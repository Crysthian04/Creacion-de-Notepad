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tables/table11.xml" ContentType="application/vnd.openxmlformats-officedocument.spreadsheetml.table+xml"/>
  <Override PartName="/xl/worksheets/sheet23.xml" ContentType="application/vnd.openxmlformats-officedocument.spreadsheetml.worksheet+xml"/>
  <Override PartName="/xl/tables/table12.xml" ContentType="application/vnd.openxmlformats-officedocument.spreadsheetml.table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worksheets/sheet25.xml" ContentType="application/vnd.openxmlformats-officedocument.spreadsheetml.worksheet+xml"/>
  <Override PartName="/xl/tables/table14.xml" ContentType="application/vnd.openxmlformats-officedocument.spreadsheetml.table+xml"/>
  <Override PartName="/xl/worksheets/sheet26.xml" ContentType="application/vnd.openxmlformats-officedocument.spreadsheetml.worksheet+xml"/>
  <Override PartName="/xl/tables/table15.xml" ContentType="application/vnd.openxmlformats-officedocument.spreadsheetml.table+xml"/>
  <Override PartName="/xl/worksheets/sheet27.xml" ContentType="application/vnd.openxmlformats-officedocument.spreadsheetml.worksheet+xml"/>
  <Override PartName="/xl/tables/table16.xml" ContentType="application/vnd.openxmlformats-officedocument.spreadsheetml.table+xml"/>
  <Override PartName="/xl/worksheets/sheet28.xml" ContentType="application/vnd.openxmlformats-officedocument.spreadsheetml.worksheet+xml"/>
  <Override PartName="/xl/tables/table17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LAN_SEMANAL" sheetId="2" state="visible" r:id="rId2"/>
    <sheet name="ADHERENCIA" sheetId="3" state="visible" r:id="rId3"/>
    <sheet name="PERFIL_HH" sheetId="4" state="visible" r:id="rId4"/>
    <sheet name="BACKLOG" sheetId="5" state="visible" r:id="rId5"/>
    <sheet name="COSTOS" sheetId="6" state="visible" r:id="rId6"/>
    <sheet name="PRESUPUESTO" sheetId="7" state="visible" r:id="rId7"/>
    <sheet name="EQUIPOS_CRITICOS" sheetId="8" state="visible" r:id="rId8"/>
    <sheet name="SEGUIMIENTO_HH" sheetId="9" state="visible" r:id="rId9"/>
    <sheet name="SEGUIMIENTO_MENSUAL" sheetId="10" state="visible" r:id="rId10"/>
    <sheet name="EXPORTAR" sheetId="11" state="visible" r:id="rId11"/>
    <sheet name="ORDENES" sheetId="12" state="visible" r:id="rId12"/>
    <sheet name="ASIGNACIONES" sheetId="13" state="visible" r:id="rId13"/>
    <sheet name="AJUSTES" sheetId="14" state="visible" r:id="rId14"/>
    <sheet name="PLAN_VACACIONES" sheetId="15" state="visible" r:id="rId15"/>
    <sheet name="2_IMPORTAR_EJECUCION" sheetId="16" state="visible" r:id="rId16"/>
    <sheet name="TECNICOS" sheetId="17" state="visible" r:id="rId17"/>
    <sheet name="CALENDARIO" sheetId="18" state="visible" r:id="rId18"/>
    <sheet name="VALIDACION" sheetId="19" state="visible" r:id="rId19"/>
    <sheet name="PARAMETROS" sheetId="20" state="visible" r:id="rId20"/>
    <sheet name="CAT_CENTROS_COSTO" sheetId="21" state="hidden" r:id="rId21"/>
    <sheet name="CAT_PUESTOS" sheetId="22" state="hidden" r:id="rId22"/>
    <sheet name="CAT_ACTIVIDADES" sheetId="23" state="hidden" r:id="rId23"/>
    <sheet name="CAT_TIPOS_OT" sheetId="24" state="hidden" r:id="rId24"/>
    <sheet name="CAT_ESTADOS_ERP" sheetId="25" state="hidden" r:id="rId25"/>
    <sheet name="CAT_TURNOS" sheetId="26" state="hidden" r:id="rId26"/>
    <sheet name="CAT_SUPERVISORES" sheetId="27" state="hidden" r:id="rId27"/>
    <sheet name="CAT_MOTIVOS_AUSENCIA" sheetId="28" state="hidden" r:id="rId28"/>
    <sheet name="INICIO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p_meta_pct_legal">PARAMETROS!$B$29</definedName>
    <definedName name="lista_no_disponible">PARAMETROS!$G$5:$G$6</definedName>
    <definedName name="lista_dias">PARAMETROS!$I$5:$I$11</definedName>
    <definedName name="lista_f_turno">PARAMETROS!$K$5:$K$9</definedName>
    <definedName name="lista_f_area">PARAMETROS!$L$5:$L$8</definedName>
    <definedName name="lista_areas">PARAMETROS!$M$5:$M$7</definedName>
    <definedName name="lista_f_coordinador">PARAMETROS!$N$5:$N$8</definedName>
    <definedName name="lista_f_subarea">PARAMETROS!$O$5:$O$11</definedName>
    <definedName name="lista_subareas">PARAMETROS!$P$5:$P$10</definedName>
    <definedName name="lista_f_especialidad">PARAMETROS!$Q$5:$Q$9</definedName>
    <definedName name="lista_esp_propias">PARAMETROS!$R$5:$R$7</definedName>
    <definedName name="lista_ceco">PARAMETROS!$S$5:$S$14</definedName>
    <definedName name="lista_puestos">PARAMETROS!$T$5:$T$9</definedName>
    <definedName name="lista_actividades">PARAMETROS!$U$5:$U$12</definedName>
    <definedName name="lista_tipos_ot">PARAMETROS!$V$5:$V$9</definedName>
    <definedName name="lista_supervisores">PARAMETROS!$W$5:$W$7</definedName>
    <definedName name="lista_motivos_ausencia">PARAMETROS!$X$5:$X$7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lista_meses_dash">DASHBOARD!$X$3:$X$13</definedName>
    <definedName name="_xlnm._FilterDatabase" localSheetId="1" hidden="1">'PLAN_SEMANAL'!$A$25:$N$1225</definedName>
    <definedName name="_xlnm.Print_Area" localSheetId="1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0.0&quot; pp&quot;"/>
  </numFmts>
  <fonts count="10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3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165" fontId="8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168" fontId="8" fillId="4" borderId="1" applyAlignment="1" pivotButton="0" quotePrefix="0" xfId="0">
      <alignment horizontal="center"/>
    </xf>
    <xf numFmtId="1" fontId="2" fillId="0" borderId="0" pivotButton="0" quotePrefix="0" xfId="0"/>
    <xf numFmtId="0" fontId="5" fillId="2" borderId="0" pivotButton="0" quotePrefix="0" xfId="0"/>
    <xf numFmtId="165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6" fillId="3" borderId="0" pivotButton="0" quotePrefix="0" xfId="0"/>
    <xf numFmtId="1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6" fillId="0" borderId="0" pivotButton="0" quotePrefix="0" xfId="0"/>
    <xf numFmtId="0" fontId="3" fillId="0" borderId="0" applyAlignment="1" pivotButton="0" quotePrefix="0" xfId="0">
      <alignment vertical="top" wrapText="1"/>
    </xf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'DASHBOARD'!B68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'DASHBOARD'!$A$69:$A$74</f>
            </numRef>
          </cat>
          <val>
            <numRef>
              <f>'DASHBOARD'!$B$69:$B$74</f>
            </numRef>
          </val>
        </ser>
        <ser>
          <idx val="1"/>
          <order val="1"/>
          <tx>
            <strRef>
              <f>'DASHBOARD'!C68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'DASHBOARD'!$A$69:$A$74</f>
            </numRef>
          </cat>
          <val>
            <numRef>
              <f>'DASHBOARD'!$C$69:$C$74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órdenes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T1203" headerRowCount="1">
  <autoFilter ref="A3:AT1203"/>
  <tableColumns count="46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linea"/>
    <tableColumn id="24" name="area"/>
    <tableColumn id="25" name="sub_area"/>
    <tableColumn id="26" name="coordinador"/>
    <tableColumn id="27" name="especialidad"/>
    <tableColumn id="28" name="actividad"/>
    <tableColumn id="29" name="backlog_dias"/>
    <tableColumn id="30" name="backlog_habiles"/>
    <tableColumn id="31" name="estado_backlog"/>
    <tableColumn id="32" name="en_plan"/>
    <tableColumn id="33" name="tecnico_asignado"/>
    <tableColumn id="34" name="turno_asignado"/>
    <tableColumn id="35" name="HHA"/>
    <tableColumn id="36" name="HHD"/>
    <tableColumn id="37" name="costo_servicio"/>
    <tableColumn id="38" name="costo_materiales"/>
    <tableColumn id="39" name="costo_total"/>
    <tableColumn id="40" name="categoria_presupuesto"/>
    <tableColumn id="41" name="permiso_requerido"/>
    <tableColumn id="42" name="bloqueo_energia"/>
    <tableColumn id="43" name="link_checklist"/>
    <tableColumn id="44" name="abrir_checklist"/>
    <tableColumn id="45" name="observaciones"/>
    <tableColumn id="46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8" headerRowCount="1">
  <autoFilter ref="A3:D8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E11" headerRowCount="1">
  <autoFilter ref="A3:E11"/>
  <tableColumns count="5">
    <tableColumn id="1" name="codigo"/>
    <tableColumn id="2" name="descripcion"/>
    <tableColumn id="3" name="tipo"/>
    <tableColumn id="4" name="categoria_presupuesto"/>
    <tableColumn id="5" name="clasificac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8" headerRowCount="1">
  <autoFilter ref="A3:D8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6" headerRowCount="1">
  <autoFilter ref="A3:C6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6" headerRowCount="1">
  <autoFilter ref="A3:A6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9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2026-02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2026-03</t>
        </is>
      </c>
    </row>
    <row r="5">
      <c r="X5" s="5" t="inlineStr">
        <is>
          <t>2026-04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2026-05</t>
        </is>
      </c>
    </row>
    <row r="7" ht="26" customHeight="1">
      <c r="A7" s="9">
        <f>IFERROR(INDEX(ADHERENCIA!$E$130:$E$140,MATCH($B$3,ADHERENCIA!$A$130:$A$140,0)),"")</f>
        <v/>
      </c>
      <c r="B7" s="8" t="n"/>
      <c r="C7" s="8" t="n"/>
      <c r="D7" s="8" t="n"/>
      <c r="E7" s="8" t="n"/>
      <c r="G7" s="9">
        <f>IFERROR(INDEX(PERFIL_HH!$L$373:$L$383,MATCH($B$3,PERFIL_HH!$A$373:$A$383,0)),"")</f>
        <v/>
      </c>
      <c r="H7" s="8" t="n"/>
      <c r="I7" s="8" t="n"/>
      <c r="J7" s="8" t="n"/>
      <c r="K7" s="8" t="n"/>
      <c r="M7" s="10">
        <f>IFERROR(INDEX(BACKLOG!$F$34:$F$44,MATCH($B$3,BACKLOG!$A$34:$A$44,0)),"")</f>
        <v/>
      </c>
      <c r="N7" s="8" t="n"/>
      <c r="O7" s="8" t="n"/>
      <c r="P7" s="8" t="n"/>
      <c r="Q7" s="8" t="n"/>
      <c r="X7" s="5" t="inlineStr">
        <is>
          <t>2026-06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2026-07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2026-08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2026-09</t>
        </is>
      </c>
    </row>
    <row r="11">
      <c r="X11" s="5" t="inlineStr">
        <is>
          <t>2026-11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MIX DE MANTENIMIENTO</t>
        </is>
      </c>
      <c r="H12" s="8" t="n"/>
      <c r="I12" s="8" t="n"/>
      <c r="J12" s="8" t="n"/>
      <c r="K12" s="8" t="n"/>
      <c r="M12" s="7" t="inlineStr">
        <is>
          <t>6 · CUMPLIMIENTO LEGAL / CALIBRACIONES</t>
        </is>
      </c>
      <c r="N12" s="8" t="n"/>
      <c r="O12" s="8" t="n"/>
      <c r="P12" s="8" t="n"/>
      <c r="Q12" s="8" t="n"/>
      <c r="X12" s="5" t="inlineStr">
        <is>
          <t>2026-12</t>
        </is>
      </c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13">
        <f>IF(COUNT($E$69:$E$74)=0,"",MAX($E$69:$E$74))</f>
        <v/>
      </c>
      <c r="H13" s="8" t="n"/>
      <c r="I13" s="8" t="n"/>
      <c r="J13" s="8" t="n"/>
      <c r="K13" s="8" t="n"/>
      <c r="M13" s="9">
        <f>IFERROR(INDEX(ADHERENCIA!$I$130:$I$140,MATCH($B$3,ADHERENCIA!$A$130:$A$140,0)),"")</f>
        <v/>
      </c>
      <c r="N13" s="8" t="n"/>
      <c r="O13" s="8" t="n"/>
      <c r="P13" s="8" t="n"/>
      <c r="Q13" s="8" t="n"/>
      <c r="X13" s="5" t="inlineStr">
        <is>
          <t>2027-01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IF(COUNT($E$69:$E$74)=0,"","desvío máximo vs meta · clase: "&amp;INDEX($A$69:$A$74,MATCH(MAX($E$69:$E$74),$E$69:$E$74,0)))</f>
        <v/>
      </c>
      <c r="H15" s="8" t="n"/>
      <c r="I15" s="8" t="n"/>
      <c r="J15" s="8" t="n"/>
      <c r="K15" s="8" t="n"/>
      <c r="M15" s="11">
        <f>"legales cerradas ÷ programadas del mes  ·  vencidas: "&amp;$G$17</f>
        <v/>
      </c>
      <c r="N15" s="8" t="n"/>
      <c r="O15" s="8" t="n"/>
      <c r="P15" s="8" t="n"/>
      <c r="Q15" s="8" t="n"/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(conteo por clase) vs metas de PARAMETROS</t>
        </is>
      </c>
      <c r="H16" s="8" t="n"/>
      <c r="I16" s="8" t="n"/>
      <c r="J16" s="8" t="n"/>
      <c r="K16" s="8" t="n"/>
      <c r="M16" s="12" t="inlineStr">
        <is>
          <t>origen: ADHERENCIA › MES A MES (clase legal)</t>
        </is>
      </c>
      <c r="N16" s="8" t="n"/>
      <c r="O16" s="8" t="n"/>
      <c r="P16" s="8" t="n"/>
      <c r="Q16" s="8" t="n"/>
    </row>
    <row r="17">
      <c r="G17" s="14">
        <f>IFERROR(INDEX(ADHERENCIA!$J$130:$J$140,MATCH($B$3,ADHERENCIA!$A$130:$A$140,0)),"")</f>
        <v/>
      </c>
      <c r="H17" s="2" t="inlineStr">
        <is>
          <t>← órdenes legales vencidas al corte (celda de apoyo del semáforo)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5" t="inlineStr">
        <is>
          <t>semana</t>
        </is>
      </c>
      <c r="B53" s="15" t="inlineStr">
        <is>
          <t>adherencia</t>
        </is>
      </c>
      <c r="C53" s="15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6">
        <f>IF($A54="","",IFERROR(INDEX(ADHERENCIA!$D$5:$D$64,MATCH($A54,ADHERENCIA!$A$5:$A$64,0)),""))</f>
        <v/>
      </c>
      <c r="C54" s="16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6">
        <f>IF($A55="","",IFERROR(INDEX(ADHERENCIA!$D$5:$D$64,MATCH($A55,ADHERENCIA!$A$5:$A$64,0)),""))</f>
        <v/>
      </c>
      <c r="C55" s="16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6">
        <f>IF($A56="","",IFERROR(INDEX(ADHERENCIA!$D$5:$D$64,MATCH($A56,ADHERENCIA!$A$5:$A$64,0)),""))</f>
        <v/>
      </c>
      <c r="C56" s="16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6">
        <f>IF($A57="","",IFERROR(INDEX(ADHERENCIA!$D$5:$D$64,MATCH($A57,ADHERENCIA!$A$5:$A$64,0)),""))</f>
        <v/>
      </c>
      <c r="C57" s="16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6">
        <f>IF($A58="","",IFERROR(INDEX(ADHERENCIA!$D$5:$D$64,MATCH($A58,ADHERENCIA!$A$5:$A$64,0)),""))</f>
        <v/>
      </c>
      <c r="C58" s="16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6">
        <f>IF($A59="","",IFERROR(INDEX(ADHERENCIA!$D$5:$D$64,MATCH($A59,ADHERENCIA!$A$5:$A$64,0)),""))</f>
        <v/>
      </c>
      <c r="C59" s="16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5" t="inlineStr">
        <is>
          <t>especialidad</t>
        </is>
      </c>
      <c r="B61" s="15" t="inlineStr">
        <is>
          <t>planificada</t>
        </is>
      </c>
      <c r="C61" s="15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IFERROR(INDEX(PERFIL_HH!$D$373:$D$383,MATCH($B$3,PERFIL_HH!$A$373:$A$383,0)),"")</f>
        <v/>
      </c>
      <c r="C62" s="17">
        <f>IFERROR(INDEX(PERFIL_HH!$E$373:$E$383,MATCH($B$3,PERFIL_HH!$A$373:$A$383,0)),"")</f>
        <v/>
      </c>
    </row>
    <row r="63">
      <c r="A63" s="5" t="inlineStr">
        <is>
          <t>ELE</t>
        </is>
      </c>
      <c r="B63" s="17">
        <f>IFERROR(INDEX(PERFIL_HH!$F$373:$F$383,MATCH($B$3,PERFIL_HH!$A$373:$A$383,0)),"")</f>
        <v/>
      </c>
      <c r="C63" s="17">
        <f>IFERROR(INDEX(PERFIL_HH!$G$373:$G$383,MATCH($B$3,PERFIL_HH!$A$373:$A$383,0)),"")</f>
        <v/>
      </c>
    </row>
    <row r="64">
      <c r="A64" s="5" t="inlineStr">
        <is>
          <t>AUT</t>
        </is>
      </c>
      <c r="B64" s="17">
        <f>IFERROR(INDEX(PERFIL_HH!$H$373:$H$383,MATCH($B$3,PERFIL_HH!$A$373:$A$383,0)),"")</f>
        <v/>
      </c>
      <c r="C64" s="17">
        <f>IFERROR(INDEX(PERFIL_HH!$I$373:$I$383,MATCH($B$3,PERFIL_HH!$A$373:$A$383,0)),"")</f>
        <v/>
      </c>
    </row>
    <row r="67">
      <c r="A67" s="2" t="inlineStr">
        <is>
          <t>C · mix de mantenimiento: real vs meta (en % de las órdenes del mes)</t>
        </is>
      </c>
    </row>
    <row r="68">
      <c r="A68" s="15" t="inlineStr">
        <is>
          <t>clase</t>
        </is>
      </c>
      <c r="B68" s="15" t="inlineStr">
        <is>
          <t>real %</t>
        </is>
      </c>
      <c r="C68" s="15" t="inlineStr">
        <is>
          <t>meta %</t>
        </is>
      </c>
      <c r="D68" s="15" t="inlineStr">
        <is>
          <t>órdenes</t>
        </is>
      </c>
      <c r="E68" s="15" t="inlineStr">
        <is>
          <t>desvío |pp|</t>
        </is>
      </c>
    </row>
    <row r="69">
      <c r="A69" s="5" t="inlineStr">
        <is>
          <t>predictivo</t>
        </is>
      </c>
      <c r="B69" s="16">
        <f>IF(N(IFERROR(INDEX(ADHERENCIA!$Q$130:$Q$140,MATCH($B$3,ADHERENCIA!$A$130:$A$140,0)),""))=0,"",$D69/IFERROR(INDEX(ADHERENCIA!$Q$130:$Q$140,MATCH($B$3,ADHERENCIA!$A$130:$A$140,0)),""))</f>
        <v/>
      </c>
      <c r="C69" s="16">
        <f>p_meta_pct_predictivo/100</f>
        <v/>
      </c>
      <c r="D69" s="5">
        <f>IFERROR(INDEX(ADHERENCIA!$K$130:$K$140,MATCH($B$3,ADHERENCIA!$A$130:$A$140,0)),"")</f>
        <v/>
      </c>
      <c r="E69" s="17">
        <f>IF($B69="","",ABS($B69-$C69)*100)</f>
        <v/>
      </c>
    </row>
    <row r="70">
      <c r="A70" s="5" t="inlineStr">
        <is>
          <t>preventivo</t>
        </is>
      </c>
      <c r="B70" s="16">
        <f>IF(N(IFERROR(INDEX(ADHERENCIA!$Q$130:$Q$140,MATCH($B$3,ADHERENCIA!$A$130:$A$140,0)),""))=0,"",$D70/IFERROR(INDEX(ADHERENCIA!$Q$130:$Q$140,MATCH($B$3,ADHERENCIA!$A$130:$A$140,0)),""))</f>
        <v/>
      </c>
      <c r="C70" s="16">
        <f>p_meta_pct_preventivo/100</f>
        <v/>
      </c>
      <c r="D70" s="5">
        <f>IFERROR(INDEX(ADHERENCIA!$L$130:$L$140,MATCH($B$3,ADHERENCIA!$A$130:$A$140,0)),"")</f>
        <v/>
      </c>
      <c r="E70" s="17">
        <f>IF($B70="","",ABS($B70-$C70)*100)</f>
        <v/>
      </c>
    </row>
    <row r="71">
      <c r="A71" s="5" t="inlineStr">
        <is>
          <t>correctivo_programado</t>
        </is>
      </c>
      <c r="B71" s="16">
        <f>IF(N(IFERROR(INDEX(ADHERENCIA!$Q$130:$Q$140,MATCH($B$3,ADHERENCIA!$A$130:$A$140,0)),""))=0,"",$D71/IFERROR(INDEX(ADHERENCIA!$Q$130:$Q$140,MATCH($B$3,ADHERENCIA!$A$130:$A$140,0)),""))</f>
        <v/>
      </c>
      <c r="C71" s="16">
        <f>p_meta_pct_correctivo_programado/100</f>
        <v/>
      </c>
      <c r="D71" s="5">
        <f>IFERROR(INDEX(ADHERENCIA!$M$130:$M$140,MATCH($B$3,ADHERENCIA!$A$130:$A$140,0)),"")</f>
        <v/>
      </c>
      <c r="E71" s="17">
        <f>IF($B71="","",ABS($B71-$C71)*100)</f>
        <v/>
      </c>
    </row>
    <row r="72">
      <c r="A72" s="5" t="inlineStr">
        <is>
          <t>emergencia</t>
        </is>
      </c>
      <c r="B72" s="16">
        <f>IF(N(IFERROR(INDEX(ADHERENCIA!$Q$130:$Q$140,MATCH($B$3,ADHERENCIA!$A$130:$A$140,0)),""))=0,"",$D72/IFERROR(INDEX(ADHERENCIA!$Q$130:$Q$140,MATCH($B$3,ADHERENCIA!$A$130:$A$140,0)),""))</f>
        <v/>
      </c>
      <c r="C72" s="16">
        <f>p_meta_pct_emergencia/100</f>
        <v/>
      </c>
      <c r="D72" s="5">
        <f>IFERROR(INDEX(ADHERENCIA!$N$130:$N$140,MATCH($B$3,ADHERENCIA!$A$130:$A$140,0)),"")</f>
        <v/>
      </c>
      <c r="E72" s="17">
        <f>IF($B72="","",ABS($B72-$C72)*100)</f>
        <v/>
      </c>
    </row>
    <row r="73">
      <c r="A73" s="5" t="inlineStr">
        <is>
          <t>legal</t>
        </is>
      </c>
      <c r="B73" s="16">
        <f>IF(N(IFERROR(INDEX(ADHERENCIA!$Q$130:$Q$140,MATCH($B$3,ADHERENCIA!$A$130:$A$140,0)),""))=0,"",$D73/IFERROR(INDEX(ADHERENCIA!$Q$130:$Q$140,MATCH($B$3,ADHERENCIA!$A$130:$A$140,0)),""))</f>
        <v/>
      </c>
      <c r="C73" s="16">
        <f>p_meta_pct_legal/100</f>
        <v/>
      </c>
      <c r="D73" s="5">
        <f>IFERROR(INDEX(ADHERENCIA!$O$130:$O$140,MATCH($B$3,ADHERENCIA!$A$130:$A$140,0)),"")</f>
        <v/>
      </c>
      <c r="E73" s="17">
        <f>IF($B73="","",ABS($B73-$C73)*100)</f>
        <v/>
      </c>
    </row>
    <row r="74">
      <c r="A74" s="5" t="inlineStr">
        <is>
          <t>SIN CLASIFICAR</t>
        </is>
      </c>
      <c r="B74" s="16">
        <f>IF(N(IFERROR(INDEX(ADHERENCIA!$Q$130:$Q$140,MATCH($B$3,ADHERENCIA!$A$130:$A$140,0)),""))=0,"",$D74/IFERROR(INDEX(ADHERENCIA!$Q$130:$Q$140,MATCH($B$3,ADHERENCIA!$A$130:$A$140,0)),""))</f>
        <v/>
      </c>
      <c r="C74" s="16">
        <f>0</f>
        <v/>
      </c>
      <c r="D74" s="5">
        <f>IFERROR(INDEX(ADHERENCIA!$P$130:$P$140,MATCH($B$3,ADHERENCIA!$A$130:$A$140,0)),"")</f>
        <v/>
      </c>
      <c r="E74" s="17">
        <f>IF($B74="","",ABS($B74-$C74)*100)</f>
        <v/>
      </c>
    </row>
    <row r="75">
      <c r="A75" s="3" t="inlineStr">
        <is>
          <t>TOTAL (control)</t>
        </is>
      </c>
      <c r="B75" s="16">
        <f>IF(N(IFERROR(INDEX(ADHERENCIA!$Q$130:$Q$140,MATCH($B$3,ADHERENCIA!$A$130:$A$140,0)),""))=0,"",SUM($B$69:$B$74))</f>
        <v/>
      </c>
      <c r="D75" s="5">
        <f>SUM($D$69:$D$74)</f>
        <v/>
      </c>
    </row>
    <row r="76">
      <c r="A76" s="2" t="inlineStr">
        <is>
          <t>DIFERENCIA vs órdenes del mes (debe ser 0)</t>
        </is>
      </c>
      <c r="D76" s="5">
        <f>$D75-N(IFERROR(INDEX(ADHERENCIA!$Q$130:$Q$140,MATCH($B$3,ADHERENCIA!$A$130:$A$140,0)),""))</f>
        <v/>
      </c>
    </row>
    <row r="77">
      <c r="A77" s="2">
        <f>PARAMETROS!$B$30</f>
        <v/>
      </c>
    </row>
    <row r="79">
      <c r="A79" s="2" t="inlineStr">
        <is>
          <t>D · OPEX plan vs real por mes (fijo y variable) — hasta el mes elegido</t>
        </is>
      </c>
    </row>
    <row r="80">
      <c r="A80" s="15" t="inlineStr">
        <is>
          <t>mes</t>
        </is>
      </c>
      <c r="B80" s="15" t="inlineStr">
        <is>
          <t>plan fijo</t>
        </is>
      </c>
      <c r="C80" s="15" t="inlineStr">
        <is>
          <t>plan variable</t>
        </is>
      </c>
      <c r="D80" s="15" t="inlineStr">
        <is>
          <t>real fijo</t>
        </is>
      </c>
      <c r="E80" s="15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2">
      <formula>AND(ISNUMBER(G13),G13&lt;=5)</formula>
    </cfRule>
    <cfRule type="expression" priority="14" dxfId="1">
      <formula>AND(ISNUMBER(G13),AND(G13&gt;5,G13&lt;=10))</formula>
    </cfRule>
    <cfRule type="expression" priority="15" dxfId="0">
      <formula>AND(ISNUMBER(G13),G13&gt;10)</formula>
    </cfRule>
  </conditionalFormatting>
  <conditionalFormatting sqref="M13:Q13">
    <cfRule type="expression" priority="16" dxfId="0">
      <formula>AND(ISNUMBER($G$17),$G$17&gt;0)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D76">
    <cfRule type="cellIs" priority="19" operator="notEqual" dxfId="0">
      <formula>0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19" t="inlineStr">
        <is>
          <t>2026-S31</t>
        </is>
      </c>
      <c r="C3" s="3" t="inlineStr">
        <is>
          <t>día:</t>
        </is>
      </c>
      <c r="D3" s="19" t="inlineStr">
        <is>
          <t>(todos)</t>
        </is>
      </c>
      <c r="E3" s="3" t="inlineStr">
        <is>
          <t>turno:</t>
        </is>
      </c>
      <c r="F3" s="19" t="inlineStr">
        <is>
          <t>(todos)</t>
        </is>
      </c>
      <c r="G3" s="3" t="inlineStr">
        <is>
          <t>coordinador:</t>
        </is>
      </c>
      <c r="H3" s="19" t="inlineStr">
        <is>
          <t>(todos)</t>
        </is>
      </c>
      <c r="I3" s="3" t="inlineStr">
        <is>
          <t>área:</t>
        </is>
      </c>
      <c r="J3" s="19" t="inlineStr">
        <is>
          <t>(todos)</t>
        </is>
      </c>
      <c r="K3" s="3" t="inlineStr">
        <is>
          <t>especialidad:</t>
        </is>
      </c>
      <c r="L3" s="19" t="inlineStr">
        <is>
          <t>(todos)</t>
        </is>
      </c>
      <c r="M3" s="3" t="inlineStr">
        <is>
          <t>sub-área:</t>
        </is>
      </c>
      <c r="N3" s="19" t="inlineStr">
        <is>
          <t>(todos)</t>
        </is>
      </c>
      <c r="P3" s="15" t="inlineStr">
        <is>
          <t>tecnico</t>
        </is>
      </c>
      <c r="Q3" s="15" t="inlineStr">
        <is>
          <t>especialidad</t>
        </is>
      </c>
      <c r="R3" s="15" t="inlineStr">
        <is>
          <t>etiqueta</t>
        </is>
      </c>
      <c r="S3" s="15" t="inlineStr">
        <is>
          <t>hha_seleccion</t>
        </is>
      </c>
      <c r="T3" s="15" t="inlineStr">
        <is>
          <t>dentro_capacidad</t>
        </is>
      </c>
      <c r="U3" s="15" t="inlineStr">
        <is>
          <t>sobreasignacion</t>
        </is>
      </c>
      <c r="V3" s="15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5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2026-S09</t>
        </is>
      </c>
    </row>
    <row r="5">
      <c r="A5" s="3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5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2026-S10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5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2026-S11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5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2026-S12</t>
        </is>
      </c>
    </row>
    <row r="8">
      <c r="P8" s="5" t="inlineStr">
        <is>
          <t>Ana Sánchez</t>
        </is>
      </c>
      <c r="Q8" s="5" t="inlineStr">
        <is>
          <t>MEC</t>
        </is>
      </c>
      <c r="R8" s="5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  <c r="X8" s="5" t="inlineStr">
        <is>
          <t>2026-S13</t>
        </is>
      </c>
    </row>
    <row r="9">
      <c r="P9" s="5" t="inlineStr">
        <is>
          <t>David Torres</t>
        </is>
      </c>
      <c r="Q9" s="5" t="inlineStr">
        <is>
          <t>MEC</t>
        </is>
      </c>
      <c r="R9" s="5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  <c r="X9" s="5" t="inlineStr">
        <is>
          <t>2026-S14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5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  <c r="X10" s="5" t="inlineStr">
        <is>
          <t>2026-S15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5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  <c r="X11" s="5" t="inlineStr">
        <is>
          <t>2026-S16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5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  <c r="X12" s="5" t="inlineStr">
        <is>
          <t>2026-S17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5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  <c r="X13" s="5" t="inlineStr">
        <is>
          <t>2026-S18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5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  <c r="X14" s="5" t="inlineStr">
        <is>
          <t>2026-S19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5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  <c r="X15" s="5" t="inlineStr">
        <is>
          <t>2026-S20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5">
        <f>IF(OR($B$3="(todos)",$D$3="(todos)"),$P16,$P16&amp;" ("&amp;_xlfn.XLOOKUP($B$3&amp;"|"&amp;$D$3&amp;"|"&amp;$P16,tblAsignaciones[clave],tblAsignaciones[turno],"")&amp;")")</f>
        <v/>
      </c>
      <c r="S16" s="17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  <c r="X16" s="5" t="inlineStr">
        <is>
          <t>2026-S21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5">
        <f>IF(OR($B$3="(todos)",$D$3="(todos)"),$P17,$P17&amp;" ("&amp;_xlfn.XLOOKUP($B$3&amp;"|"&amp;$D$3&amp;"|"&amp;$P17,tblAsignaciones[clave],tblAsignaciones[turno],"")&amp;")")</f>
        <v/>
      </c>
      <c r="S17" s="17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  <c r="X17" s="5" t="inlineStr">
        <is>
          <t>2026-S22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5">
        <f>IF(OR($B$3="(todos)",$D$3="(todos)"),$P18,$P18&amp;" ("&amp;_xlfn.XLOOKUP($B$3&amp;"|"&amp;$D$3&amp;"|"&amp;$P18,tblAsignaciones[clave],tblAsignaciones[turno],"")&amp;")")</f>
        <v/>
      </c>
      <c r="S18" s="17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  <c r="X18" s="5" t="inlineStr">
        <is>
          <t>2026-S23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5">
        <f>IF(OR($B$3="(todos)",$D$3="(todos)"),$P19,$P19&amp;" ("&amp;_xlfn.XLOOKUP($B$3&amp;"|"&amp;$D$3&amp;"|"&amp;$P19,tblAsignaciones[clave],tblAsignaciones[turno],"")&amp;")")</f>
        <v/>
      </c>
      <c r="S19" s="17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15" t="inlineStr">
        <is>
          <t>semana</t>
        </is>
      </c>
      <c r="B25" s="15" t="inlineStr">
        <is>
          <t>dia</t>
        </is>
      </c>
      <c r="C25" s="15" t="inlineStr">
        <is>
          <t>turno</t>
        </is>
      </c>
      <c r="D25" s="15" t="inlineStr">
        <is>
          <t>coordinador</t>
        </is>
      </c>
      <c r="E25" s="15" t="inlineStr">
        <is>
          <t>area</t>
        </is>
      </c>
      <c r="F25" s="15" t="inlineStr">
        <is>
          <t>especialidad</t>
        </is>
      </c>
      <c r="G25" s="15" t="inlineStr">
        <is>
          <t>sub_area</t>
        </is>
      </c>
      <c r="H25" s="15" t="inlineStr">
        <is>
          <t>tecnico</t>
        </is>
      </c>
      <c r="I25" s="15" t="inlineStr">
        <is>
          <t>id_operacion</t>
        </is>
      </c>
      <c r="J25" s="15" t="inlineStr">
        <is>
          <t>descripcion_operacion</t>
        </is>
      </c>
      <c r="K25" s="15" t="inlineStr">
        <is>
          <t>equipo</t>
        </is>
      </c>
      <c r="L25" s="15" t="inlineStr">
        <is>
          <t>horas</t>
        </is>
      </c>
      <c r="M25" s="15" t="inlineStr">
        <is>
          <t>estado</t>
        </is>
      </c>
      <c r="N25" s="15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IF('ORDENES'!$A4="","",IF('ORDENES'!$S4="","-",'ORDENES'!$S4))</f>
        <v/>
      </c>
      <c r="C26" s="5">
        <f>IF('ORDENES'!$A4="","",IF('ORDENES'!$AH4="","-",'ORDENES'!$AH4))</f>
        <v/>
      </c>
      <c r="D26" s="5">
        <f>IF('ORDENES'!$A4="","",IF('ORDENES'!$Z4="","-",'ORDENES'!$Z4))</f>
        <v/>
      </c>
      <c r="E26" s="5">
        <f>IF('ORDENES'!$A4="","",IF('ORDENES'!$X4="","-",'ORDENES'!$X4))</f>
        <v/>
      </c>
      <c r="F26" s="5">
        <f>IF('ORDENES'!$A4="","",IF('ORDENES'!$AA4="","-",'ORDENES'!$AA4))</f>
        <v/>
      </c>
      <c r="G26" s="5">
        <f>IF('ORDENES'!$A4="","",IF('ORDENES'!$Y4="","-",'ORDENES'!$Y4))</f>
        <v/>
      </c>
      <c r="H26" s="5">
        <f>IF('ORDENES'!$A4="","",IF('ORDENES'!$AG4="","-",'ORDENES'!$AG4))</f>
        <v/>
      </c>
      <c r="I26" s="5">
        <f>IF('ORDENES'!$A4="","",IF('ORDENES'!$AT4="","-",'ORDENES'!$AT4))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20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IF('ORDENES'!$A4="","",'ORDENES'!$AF4)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IF('ORDENES'!$A5="","",IF('ORDENES'!$S5="","-",'ORDENES'!$S5))</f>
        <v/>
      </c>
      <c r="C27" s="5">
        <f>IF('ORDENES'!$A5="","",IF('ORDENES'!$AH5="","-",'ORDENES'!$AH5))</f>
        <v/>
      </c>
      <c r="D27" s="5">
        <f>IF('ORDENES'!$A5="","",IF('ORDENES'!$Z5="","-",'ORDENES'!$Z5))</f>
        <v/>
      </c>
      <c r="E27" s="5">
        <f>IF('ORDENES'!$A5="","",IF('ORDENES'!$X5="","-",'ORDENES'!$X5))</f>
        <v/>
      </c>
      <c r="F27" s="5">
        <f>IF('ORDENES'!$A5="","",IF('ORDENES'!$AA5="","-",'ORDENES'!$AA5))</f>
        <v/>
      </c>
      <c r="G27" s="5">
        <f>IF('ORDENES'!$A5="","",IF('ORDENES'!$Y5="","-",'ORDENES'!$Y5))</f>
        <v/>
      </c>
      <c r="H27" s="5">
        <f>IF('ORDENES'!$A5="","",IF('ORDENES'!$AG5="","-",'ORDENES'!$AG5))</f>
        <v/>
      </c>
      <c r="I27" s="5">
        <f>IF('ORDENES'!$A5="","",IF('ORDENES'!$AT5="","-",'ORDENES'!$AT5))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20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IF('ORDENES'!$A5="","",'ORDENES'!$AF5)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IF('ORDENES'!$A6="","",IF('ORDENES'!$S6="","-",'ORDENES'!$S6))</f>
        <v/>
      </c>
      <c r="C28" s="5">
        <f>IF('ORDENES'!$A6="","",IF('ORDENES'!$AH6="","-",'ORDENES'!$AH6))</f>
        <v/>
      </c>
      <c r="D28" s="5">
        <f>IF('ORDENES'!$A6="","",IF('ORDENES'!$Z6="","-",'ORDENES'!$Z6))</f>
        <v/>
      </c>
      <c r="E28" s="5">
        <f>IF('ORDENES'!$A6="","",IF('ORDENES'!$X6="","-",'ORDENES'!$X6))</f>
        <v/>
      </c>
      <c r="F28" s="5">
        <f>IF('ORDENES'!$A6="","",IF('ORDENES'!$AA6="","-",'ORDENES'!$AA6))</f>
        <v/>
      </c>
      <c r="G28" s="5">
        <f>IF('ORDENES'!$A6="","",IF('ORDENES'!$Y6="","-",'ORDENES'!$Y6))</f>
        <v/>
      </c>
      <c r="H28" s="5">
        <f>IF('ORDENES'!$A6="","",IF('ORDENES'!$AG6="","-",'ORDENES'!$AG6))</f>
        <v/>
      </c>
      <c r="I28" s="5">
        <f>IF('ORDENES'!$A6="","",IF('ORDENES'!$AT6="","-",'ORDENES'!$AT6))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20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IF('ORDENES'!$A6="","",'ORDENES'!$AF6)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IF('ORDENES'!$A7="","",IF('ORDENES'!$S7="","-",'ORDENES'!$S7))</f>
        <v/>
      </c>
      <c r="C29" s="5">
        <f>IF('ORDENES'!$A7="","",IF('ORDENES'!$AH7="","-",'ORDENES'!$AH7))</f>
        <v/>
      </c>
      <c r="D29" s="5">
        <f>IF('ORDENES'!$A7="","",IF('ORDENES'!$Z7="","-",'ORDENES'!$Z7))</f>
        <v/>
      </c>
      <c r="E29" s="5">
        <f>IF('ORDENES'!$A7="","",IF('ORDENES'!$X7="","-",'ORDENES'!$X7))</f>
        <v/>
      </c>
      <c r="F29" s="5">
        <f>IF('ORDENES'!$A7="","",IF('ORDENES'!$AA7="","-",'ORDENES'!$AA7))</f>
        <v/>
      </c>
      <c r="G29" s="5">
        <f>IF('ORDENES'!$A7="","",IF('ORDENES'!$Y7="","-",'ORDENES'!$Y7))</f>
        <v/>
      </c>
      <c r="H29" s="5">
        <f>IF('ORDENES'!$A7="","",IF('ORDENES'!$AG7="","-",'ORDENES'!$AG7))</f>
        <v/>
      </c>
      <c r="I29" s="5">
        <f>IF('ORDENES'!$A7="","",IF('ORDENES'!$AT7="","-",'ORDENES'!$AT7))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20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IF('ORDENES'!$A7="","",'ORDENES'!$AF7)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IF('ORDENES'!$A8="","",IF('ORDENES'!$S8="","-",'ORDENES'!$S8))</f>
        <v/>
      </c>
      <c r="C30" s="5">
        <f>IF('ORDENES'!$A8="","",IF('ORDENES'!$AH8="","-",'ORDENES'!$AH8))</f>
        <v/>
      </c>
      <c r="D30" s="5">
        <f>IF('ORDENES'!$A8="","",IF('ORDENES'!$Z8="","-",'ORDENES'!$Z8))</f>
        <v/>
      </c>
      <c r="E30" s="5">
        <f>IF('ORDENES'!$A8="","",IF('ORDENES'!$X8="","-",'ORDENES'!$X8))</f>
        <v/>
      </c>
      <c r="F30" s="5">
        <f>IF('ORDENES'!$A8="","",IF('ORDENES'!$AA8="","-",'ORDENES'!$AA8))</f>
        <v/>
      </c>
      <c r="G30" s="5">
        <f>IF('ORDENES'!$A8="","",IF('ORDENES'!$Y8="","-",'ORDENES'!$Y8))</f>
        <v/>
      </c>
      <c r="H30" s="5">
        <f>IF('ORDENES'!$A8="","",IF('ORDENES'!$AG8="","-",'ORDENES'!$AG8))</f>
        <v/>
      </c>
      <c r="I30" s="5">
        <f>IF('ORDENES'!$A8="","",IF('ORDENES'!$AT8="","-",'ORDENES'!$AT8))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20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IF('ORDENES'!$A8="","",'ORDENES'!$AF8)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IF('ORDENES'!$A9="","",IF('ORDENES'!$S9="","-",'ORDENES'!$S9))</f>
        <v/>
      </c>
      <c r="C31" s="5">
        <f>IF('ORDENES'!$A9="","",IF('ORDENES'!$AH9="","-",'ORDENES'!$AH9))</f>
        <v/>
      </c>
      <c r="D31" s="5">
        <f>IF('ORDENES'!$A9="","",IF('ORDENES'!$Z9="","-",'ORDENES'!$Z9))</f>
        <v/>
      </c>
      <c r="E31" s="5">
        <f>IF('ORDENES'!$A9="","",IF('ORDENES'!$X9="","-",'ORDENES'!$X9))</f>
        <v/>
      </c>
      <c r="F31" s="5">
        <f>IF('ORDENES'!$A9="","",IF('ORDENES'!$AA9="","-",'ORDENES'!$AA9))</f>
        <v/>
      </c>
      <c r="G31" s="5">
        <f>IF('ORDENES'!$A9="","",IF('ORDENES'!$Y9="","-",'ORDENES'!$Y9))</f>
        <v/>
      </c>
      <c r="H31" s="5">
        <f>IF('ORDENES'!$A9="","",IF('ORDENES'!$AG9="","-",'ORDENES'!$AG9))</f>
        <v/>
      </c>
      <c r="I31" s="5">
        <f>IF('ORDENES'!$A9="","",IF('ORDENES'!$AT9="","-",'ORDENES'!$AT9))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20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IF('ORDENES'!$A9="","",'ORDENES'!$AF9)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IF('ORDENES'!$A10="","",IF('ORDENES'!$S10="","-",'ORDENES'!$S10))</f>
        <v/>
      </c>
      <c r="C32" s="5">
        <f>IF('ORDENES'!$A10="","",IF('ORDENES'!$AH10="","-",'ORDENES'!$AH10))</f>
        <v/>
      </c>
      <c r="D32" s="5">
        <f>IF('ORDENES'!$A10="","",IF('ORDENES'!$Z10="","-",'ORDENES'!$Z10))</f>
        <v/>
      </c>
      <c r="E32" s="5">
        <f>IF('ORDENES'!$A10="","",IF('ORDENES'!$X10="","-",'ORDENES'!$X10))</f>
        <v/>
      </c>
      <c r="F32" s="5">
        <f>IF('ORDENES'!$A10="","",IF('ORDENES'!$AA10="","-",'ORDENES'!$AA10))</f>
        <v/>
      </c>
      <c r="G32" s="5">
        <f>IF('ORDENES'!$A10="","",IF('ORDENES'!$Y10="","-",'ORDENES'!$Y10))</f>
        <v/>
      </c>
      <c r="H32" s="5">
        <f>IF('ORDENES'!$A10="","",IF('ORDENES'!$AG10="","-",'ORDENES'!$AG10))</f>
        <v/>
      </c>
      <c r="I32" s="5">
        <f>IF('ORDENES'!$A10="","",IF('ORDENES'!$AT10="","-",'ORDENES'!$AT10))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20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IF('ORDENES'!$A10="","",'ORDENES'!$AF10)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IF('ORDENES'!$A11="","",IF('ORDENES'!$S11="","-",'ORDENES'!$S11))</f>
        <v/>
      </c>
      <c r="C33" s="5">
        <f>IF('ORDENES'!$A11="","",IF('ORDENES'!$AH11="","-",'ORDENES'!$AH11))</f>
        <v/>
      </c>
      <c r="D33" s="5">
        <f>IF('ORDENES'!$A11="","",IF('ORDENES'!$Z11="","-",'ORDENES'!$Z11))</f>
        <v/>
      </c>
      <c r="E33" s="5">
        <f>IF('ORDENES'!$A11="","",IF('ORDENES'!$X11="","-",'ORDENES'!$X11))</f>
        <v/>
      </c>
      <c r="F33" s="5">
        <f>IF('ORDENES'!$A11="","",IF('ORDENES'!$AA11="","-",'ORDENES'!$AA11))</f>
        <v/>
      </c>
      <c r="G33" s="5">
        <f>IF('ORDENES'!$A11="","",IF('ORDENES'!$Y11="","-",'ORDENES'!$Y11))</f>
        <v/>
      </c>
      <c r="H33" s="5">
        <f>IF('ORDENES'!$A11="","",IF('ORDENES'!$AG11="","-",'ORDENES'!$AG11))</f>
        <v/>
      </c>
      <c r="I33" s="5">
        <f>IF('ORDENES'!$A11="","",IF('ORDENES'!$AT11="","-",'ORDENES'!$AT11))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20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IF('ORDENES'!$A11="","",'ORDENES'!$AF11)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IF('ORDENES'!$A12="","",IF('ORDENES'!$S12="","-",'ORDENES'!$S12))</f>
        <v/>
      </c>
      <c r="C34" s="5">
        <f>IF('ORDENES'!$A12="","",IF('ORDENES'!$AH12="","-",'ORDENES'!$AH12))</f>
        <v/>
      </c>
      <c r="D34" s="5">
        <f>IF('ORDENES'!$A12="","",IF('ORDENES'!$Z12="","-",'ORDENES'!$Z12))</f>
        <v/>
      </c>
      <c r="E34" s="5">
        <f>IF('ORDENES'!$A12="","",IF('ORDENES'!$X12="","-",'ORDENES'!$X12))</f>
        <v/>
      </c>
      <c r="F34" s="5">
        <f>IF('ORDENES'!$A12="","",IF('ORDENES'!$AA12="","-",'ORDENES'!$AA12))</f>
        <v/>
      </c>
      <c r="G34" s="5">
        <f>IF('ORDENES'!$A12="","",IF('ORDENES'!$Y12="","-",'ORDENES'!$Y12))</f>
        <v/>
      </c>
      <c r="H34" s="5">
        <f>IF('ORDENES'!$A12="","",IF('ORDENES'!$AG12="","-",'ORDENES'!$AG12))</f>
        <v/>
      </c>
      <c r="I34" s="5">
        <f>IF('ORDENES'!$A12="","",IF('ORDENES'!$AT12="","-",'ORDENES'!$AT12))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20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IF('ORDENES'!$A12="","",'ORDENES'!$AF12)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IF('ORDENES'!$A13="","",IF('ORDENES'!$S13="","-",'ORDENES'!$S13))</f>
        <v/>
      </c>
      <c r="C35" s="5">
        <f>IF('ORDENES'!$A13="","",IF('ORDENES'!$AH13="","-",'ORDENES'!$AH13))</f>
        <v/>
      </c>
      <c r="D35" s="5">
        <f>IF('ORDENES'!$A13="","",IF('ORDENES'!$Z13="","-",'ORDENES'!$Z13))</f>
        <v/>
      </c>
      <c r="E35" s="5">
        <f>IF('ORDENES'!$A13="","",IF('ORDENES'!$X13="","-",'ORDENES'!$X13))</f>
        <v/>
      </c>
      <c r="F35" s="5">
        <f>IF('ORDENES'!$A13="","",IF('ORDENES'!$AA13="","-",'ORDENES'!$AA13))</f>
        <v/>
      </c>
      <c r="G35" s="5">
        <f>IF('ORDENES'!$A13="","",IF('ORDENES'!$Y13="","-",'ORDENES'!$Y13))</f>
        <v/>
      </c>
      <c r="H35" s="5">
        <f>IF('ORDENES'!$A13="","",IF('ORDENES'!$AG13="","-",'ORDENES'!$AG13))</f>
        <v/>
      </c>
      <c r="I35" s="5">
        <f>IF('ORDENES'!$A13="","",IF('ORDENES'!$AT13="","-",'ORDENES'!$AT13))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20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IF('ORDENES'!$A13="","",'ORDENES'!$AF13)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IF('ORDENES'!$A14="","",IF('ORDENES'!$S14="","-",'ORDENES'!$S14))</f>
        <v/>
      </c>
      <c r="C36" s="5">
        <f>IF('ORDENES'!$A14="","",IF('ORDENES'!$AH14="","-",'ORDENES'!$AH14))</f>
        <v/>
      </c>
      <c r="D36" s="5">
        <f>IF('ORDENES'!$A14="","",IF('ORDENES'!$Z14="","-",'ORDENES'!$Z14))</f>
        <v/>
      </c>
      <c r="E36" s="5">
        <f>IF('ORDENES'!$A14="","",IF('ORDENES'!$X14="","-",'ORDENES'!$X14))</f>
        <v/>
      </c>
      <c r="F36" s="5">
        <f>IF('ORDENES'!$A14="","",IF('ORDENES'!$AA14="","-",'ORDENES'!$AA14))</f>
        <v/>
      </c>
      <c r="G36" s="5">
        <f>IF('ORDENES'!$A14="","",IF('ORDENES'!$Y14="","-",'ORDENES'!$Y14))</f>
        <v/>
      </c>
      <c r="H36" s="5">
        <f>IF('ORDENES'!$A14="","",IF('ORDENES'!$AG14="","-",'ORDENES'!$AG14))</f>
        <v/>
      </c>
      <c r="I36" s="5">
        <f>IF('ORDENES'!$A14="","",IF('ORDENES'!$AT14="","-",'ORDENES'!$AT14))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20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IF('ORDENES'!$A14="","",'ORDENES'!$AF14)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IF('ORDENES'!$A15="","",IF('ORDENES'!$S15="","-",'ORDENES'!$S15))</f>
        <v/>
      </c>
      <c r="C37" s="5">
        <f>IF('ORDENES'!$A15="","",IF('ORDENES'!$AH15="","-",'ORDENES'!$AH15))</f>
        <v/>
      </c>
      <c r="D37" s="5">
        <f>IF('ORDENES'!$A15="","",IF('ORDENES'!$Z15="","-",'ORDENES'!$Z15))</f>
        <v/>
      </c>
      <c r="E37" s="5">
        <f>IF('ORDENES'!$A15="","",IF('ORDENES'!$X15="","-",'ORDENES'!$X15))</f>
        <v/>
      </c>
      <c r="F37" s="5">
        <f>IF('ORDENES'!$A15="","",IF('ORDENES'!$AA15="","-",'ORDENES'!$AA15))</f>
        <v/>
      </c>
      <c r="G37" s="5">
        <f>IF('ORDENES'!$A15="","",IF('ORDENES'!$Y15="","-",'ORDENES'!$Y15))</f>
        <v/>
      </c>
      <c r="H37" s="5">
        <f>IF('ORDENES'!$A15="","",IF('ORDENES'!$AG15="","-",'ORDENES'!$AG15))</f>
        <v/>
      </c>
      <c r="I37" s="5">
        <f>IF('ORDENES'!$A15="","",IF('ORDENES'!$AT15="","-",'ORDENES'!$AT15))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20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IF('ORDENES'!$A15="","",'ORDENES'!$AF15)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IF('ORDENES'!$A16="","",IF('ORDENES'!$S16="","-",'ORDENES'!$S16))</f>
        <v/>
      </c>
      <c r="C38" s="5">
        <f>IF('ORDENES'!$A16="","",IF('ORDENES'!$AH16="","-",'ORDENES'!$AH16))</f>
        <v/>
      </c>
      <c r="D38" s="5">
        <f>IF('ORDENES'!$A16="","",IF('ORDENES'!$Z16="","-",'ORDENES'!$Z16))</f>
        <v/>
      </c>
      <c r="E38" s="5">
        <f>IF('ORDENES'!$A16="","",IF('ORDENES'!$X16="","-",'ORDENES'!$X16))</f>
        <v/>
      </c>
      <c r="F38" s="5">
        <f>IF('ORDENES'!$A16="","",IF('ORDENES'!$AA16="","-",'ORDENES'!$AA16))</f>
        <v/>
      </c>
      <c r="G38" s="5">
        <f>IF('ORDENES'!$A16="","",IF('ORDENES'!$Y16="","-",'ORDENES'!$Y16))</f>
        <v/>
      </c>
      <c r="H38" s="5">
        <f>IF('ORDENES'!$A16="","",IF('ORDENES'!$AG16="","-",'ORDENES'!$AG16))</f>
        <v/>
      </c>
      <c r="I38" s="5">
        <f>IF('ORDENES'!$A16="","",IF('ORDENES'!$AT16="","-",'ORDENES'!$AT16))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20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IF('ORDENES'!$A16="","",'ORDENES'!$AF16)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IF('ORDENES'!$A17="","",IF('ORDENES'!$S17="","-",'ORDENES'!$S17))</f>
        <v/>
      </c>
      <c r="C39" s="5">
        <f>IF('ORDENES'!$A17="","",IF('ORDENES'!$AH17="","-",'ORDENES'!$AH17))</f>
        <v/>
      </c>
      <c r="D39" s="5">
        <f>IF('ORDENES'!$A17="","",IF('ORDENES'!$Z17="","-",'ORDENES'!$Z17))</f>
        <v/>
      </c>
      <c r="E39" s="5">
        <f>IF('ORDENES'!$A17="","",IF('ORDENES'!$X17="","-",'ORDENES'!$X17))</f>
        <v/>
      </c>
      <c r="F39" s="5">
        <f>IF('ORDENES'!$A17="","",IF('ORDENES'!$AA17="","-",'ORDENES'!$AA17))</f>
        <v/>
      </c>
      <c r="G39" s="5">
        <f>IF('ORDENES'!$A17="","",IF('ORDENES'!$Y17="","-",'ORDENES'!$Y17))</f>
        <v/>
      </c>
      <c r="H39" s="5">
        <f>IF('ORDENES'!$A17="","",IF('ORDENES'!$AG17="","-",'ORDENES'!$AG17))</f>
        <v/>
      </c>
      <c r="I39" s="5">
        <f>IF('ORDENES'!$A17="","",IF('ORDENES'!$AT17="","-",'ORDENES'!$AT17))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20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IF('ORDENES'!$A17="","",'ORDENES'!$AF17)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IF('ORDENES'!$A18="","",IF('ORDENES'!$S18="","-",'ORDENES'!$S18))</f>
        <v/>
      </c>
      <c r="C40" s="5">
        <f>IF('ORDENES'!$A18="","",IF('ORDENES'!$AH18="","-",'ORDENES'!$AH18))</f>
        <v/>
      </c>
      <c r="D40" s="5">
        <f>IF('ORDENES'!$A18="","",IF('ORDENES'!$Z18="","-",'ORDENES'!$Z18))</f>
        <v/>
      </c>
      <c r="E40" s="5">
        <f>IF('ORDENES'!$A18="","",IF('ORDENES'!$X18="","-",'ORDENES'!$X18))</f>
        <v/>
      </c>
      <c r="F40" s="5">
        <f>IF('ORDENES'!$A18="","",IF('ORDENES'!$AA18="","-",'ORDENES'!$AA18))</f>
        <v/>
      </c>
      <c r="G40" s="5">
        <f>IF('ORDENES'!$A18="","",IF('ORDENES'!$Y18="","-",'ORDENES'!$Y18))</f>
        <v/>
      </c>
      <c r="H40" s="5">
        <f>IF('ORDENES'!$A18="","",IF('ORDENES'!$AG18="","-",'ORDENES'!$AG18))</f>
        <v/>
      </c>
      <c r="I40" s="5">
        <f>IF('ORDENES'!$A18="","",IF('ORDENES'!$AT18="","-",'ORDENES'!$AT18))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20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IF('ORDENES'!$A18="","",'ORDENES'!$AF18)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IF('ORDENES'!$A19="","",IF('ORDENES'!$S19="","-",'ORDENES'!$S19))</f>
        <v/>
      </c>
      <c r="C41" s="5">
        <f>IF('ORDENES'!$A19="","",IF('ORDENES'!$AH19="","-",'ORDENES'!$AH19))</f>
        <v/>
      </c>
      <c r="D41" s="5">
        <f>IF('ORDENES'!$A19="","",IF('ORDENES'!$Z19="","-",'ORDENES'!$Z19))</f>
        <v/>
      </c>
      <c r="E41" s="5">
        <f>IF('ORDENES'!$A19="","",IF('ORDENES'!$X19="","-",'ORDENES'!$X19))</f>
        <v/>
      </c>
      <c r="F41" s="5">
        <f>IF('ORDENES'!$A19="","",IF('ORDENES'!$AA19="","-",'ORDENES'!$AA19))</f>
        <v/>
      </c>
      <c r="G41" s="5">
        <f>IF('ORDENES'!$A19="","",IF('ORDENES'!$Y19="","-",'ORDENES'!$Y19))</f>
        <v/>
      </c>
      <c r="H41" s="5">
        <f>IF('ORDENES'!$A19="","",IF('ORDENES'!$AG19="","-",'ORDENES'!$AG19))</f>
        <v/>
      </c>
      <c r="I41" s="5">
        <f>IF('ORDENES'!$A19="","",IF('ORDENES'!$AT19="","-",'ORDENES'!$AT19))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20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IF('ORDENES'!$A19="","",'ORDENES'!$AF19)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IF('ORDENES'!$A20="","",IF('ORDENES'!$S20="","-",'ORDENES'!$S20))</f>
        <v/>
      </c>
      <c r="C42" s="5">
        <f>IF('ORDENES'!$A20="","",IF('ORDENES'!$AH20="","-",'ORDENES'!$AH20))</f>
        <v/>
      </c>
      <c r="D42" s="5">
        <f>IF('ORDENES'!$A20="","",IF('ORDENES'!$Z20="","-",'ORDENES'!$Z20))</f>
        <v/>
      </c>
      <c r="E42" s="5">
        <f>IF('ORDENES'!$A20="","",IF('ORDENES'!$X20="","-",'ORDENES'!$X20))</f>
        <v/>
      </c>
      <c r="F42" s="5">
        <f>IF('ORDENES'!$A20="","",IF('ORDENES'!$AA20="","-",'ORDENES'!$AA20))</f>
        <v/>
      </c>
      <c r="G42" s="5">
        <f>IF('ORDENES'!$A20="","",IF('ORDENES'!$Y20="","-",'ORDENES'!$Y20))</f>
        <v/>
      </c>
      <c r="H42" s="5">
        <f>IF('ORDENES'!$A20="","",IF('ORDENES'!$AG20="","-",'ORDENES'!$AG20))</f>
        <v/>
      </c>
      <c r="I42" s="5">
        <f>IF('ORDENES'!$A20="","",IF('ORDENES'!$AT20="","-",'ORDENES'!$AT20))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20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IF('ORDENES'!$A20="","",'ORDENES'!$AF20)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IF('ORDENES'!$A21="","",IF('ORDENES'!$S21="","-",'ORDENES'!$S21))</f>
        <v/>
      </c>
      <c r="C43" s="5">
        <f>IF('ORDENES'!$A21="","",IF('ORDENES'!$AH21="","-",'ORDENES'!$AH21))</f>
        <v/>
      </c>
      <c r="D43" s="5">
        <f>IF('ORDENES'!$A21="","",IF('ORDENES'!$Z21="","-",'ORDENES'!$Z21))</f>
        <v/>
      </c>
      <c r="E43" s="5">
        <f>IF('ORDENES'!$A21="","",IF('ORDENES'!$X21="","-",'ORDENES'!$X21))</f>
        <v/>
      </c>
      <c r="F43" s="5">
        <f>IF('ORDENES'!$A21="","",IF('ORDENES'!$AA21="","-",'ORDENES'!$AA21))</f>
        <v/>
      </c>
      <c r="G43" s="5">
        <f>IF('ORDENES'!$A21="","",IF('ORDENES'!$Y21="","-",'ORDENES'!$Y21))</f>
        <v/>
      </c>
      <c r="H43" s="5">
        <f>IF('ORDENES'!$A21="","",IF('ORDENES'!$AG21="","-",'ORDENES'!$AG21))</f>
        <v/>
      </c>
      <c r="I43" s="5">
        <f>IF('ORDENES'!$A21="","",IF('ORDENES'!$AT21="","-",'ORDENES'!$AT21))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20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IF('ORDENES'!$A21="","",'ORDENES'!$AF21)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IF('ORDENES'!$A22="","",IF('ORDENES'!$S22="","-",'ORDENES'!$S22))</f>
        <v/>
      </c>
      <c r="C44" s="5">
        <f>IF('ORDENES'!$A22="","",IF('ORDENES'!$AH22="","-",'ORDENES'!$AH22))</f>
        <v/>
      </c>
      <c r="D44" s="5">
        <f>IF('ORDENES'!$A22="","",IF('ORDENES'!$Z22="","-",'ORDENES'!$Z22))</f>
        <v/>
      </c>
      <c r="E44" s="5">
        <f>IF('ORDENES'!$A22="","",IF('ORDENES'!$X22="","-",'ORDENES'!$X22))</f>
        <v/>
      </c>
      <c r="F44" s="5">
        <f>IF('ORDENES'!$A22="","",IF('ORDENES'!$AA22="","-",'ORDENES'!$AA22))</f>
        <v/>
      </c>
      <c r="G44" s="5">
        <f>IF('ORDENES'!$A22="","",IF('ORDENES'!$Y22="","-",'ORDENES'!$Y22))</f>
        <v/>
      </c>
      <c r="H44" s="5">
        <f>IF('ORDENES'!$A22="","",IF('ORDENES'!$AG22="","-",'ORDENES'!$AG22))</f>
        <v/>
      </c>
      <c r="I44" s="5">
        <f>IF('ORDENES'!$A22="","",IF('ORDENES'!$AT22="","-",'ORDENES'!$AT22))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20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IF('ORDENES'!$A22="","",'ORDENES'!$AF22)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IF('ORDENES'!$A23="","",IF('ORDENES'!$S23="","-",'ORDENES'!$S23))</f>
        <v/>
      </c>
      <c r="C45" s="5">
        <f>IF('ORDENES'!$A23="","",IF('ORDENES'!$AH23="","-",'ORDENES'!$AH23))</f>
        <v/>
      </c>
      <c r="D45" s="5">
        <f>IF('ORDENES'!$A23="","",IF('ORDENES'!$Z23="","-",'ORDENES'!$Z23))</f>
        <v/>
      </c>
      <c r="E45" s="5">
        <f>IF('ORDENES'!$A23="","",IF('ORDENES'!$X23="","-",'ORDENES'!$X23))</f>
        <v/>
      </c>
      <c r="F45" s="5">
        <f>IF('ORDENES'!$A23="","",IF('ORDENES'!$AA23="","-",'ORDENES'!$AA23))</f>
        <v/>
      </c>
      <c r="G45" s="5">
        <f>IF('ORDENES'!$A23="","",IF('ORDENES'!$Y23="","-",'ORDENES'!$Y23))</f>
        <v/>
      </c>
      <c r="H45" s="5">
        <f>IF('ORDENES'!$A23="","",IF('ORDENES'!$AG23="","-",'ORDENES'!$AG23))</f>
        <v/>
      </c>
      <c r="I45" s="5">
        <f>IF('ORDENES'!$A23="","",IF('ORDENES'!$AT23="","-",'ORDENES'!$AT23))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20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IF('ORDENES'!$A23="","",'ORDENES'!$AF23)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IF('ORDENES'!$A24="","",IF('ORDENES'!$S24="","-",'ORDENES'!$S24))</f>
        <v/>
      </c>
      <c r="C46" s="5">
        <f>IF('ORDENES'!$A24="","",IF('ORDENES'!$AH24="","-",'ORDENES'!$AH24))</f>
        <v/>
      </c>
      <c r="D46" s="5">
        <f>IF('ORDENES'!$A24="","",IF('ORDENES'!$Z24="","-",'ORDENES'!$Z24))</f>
        <v/>
      </c>
      <c r="E46" s="5">
        <f>IF('ORDENES'!$A24="","",IF('ORDENES'!$X24="","-",'ORDENES'!$X24))</f>
        <v/>
      </c>
      <c r="F46" s="5">
        <f>IF('ORDENES'!$A24="","",IF('ORDENES'!$AA24="","-",'ORDENES'!$AA24))</f>
        <v/>
      </c>
      <c r="G46" s="5">
        <f>IF('ORDENES'!$A24="","",IF('ORDENES'!$Y24="","-",'ORDENES'!$Y24))</f>
        <v/>
      </c>
      <c r="H46" s="5">
        <f>IF('ORDENES'!$A24="","",IF('ORDENES'!$AG24="","-",'ORDENES'!$AG24))</f>
        <v/>
      </c>
      <c r="I46" s="5">
        <f>IF('ORDENES'!$A24="","",IF('ORDENES'!$AT24="","-",'ORDENES'!$AT24))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20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IF('ORDENES'!$A24="","",'ORDENES'!$AF24)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IF('ORDENES'!$A25="","",IF('ORDENES'!$S25="","-",'ORDENES'!$S25))</f>
        <v/>
      </c>
      <c r="C47" s="5">
        <f>IF('ORDENES'!$A25="","",IF('ORDENES'!$AH25="","-",'ORDENES'!$AH25))</f>
        <v/>
      </c>
      <c r="D47" s="5">
        <f>IF('ORDENES'!$A25="","",IF('ORDENES'!$Z25="","-",'ORDENES'!$Z25))</f>
        <v/>
      </c>
      <c r="E47" s="5">
        <f>IF('ORDENES'!$A25="","",IF('ORDENES'!$X25="","-",'ORDENES'!$X25))</f>
        <v/>
      </c>
      <c r="F47" s="5">
        <f>IF('ORDENES'!$A25="","",IF('ORDENES'!$AA25="","-",'ORDENES'!$AA25))</f>
        <v/>
      </c>
      <c r="G47" s="5">
        <f>IF('ORDENES'!$A25="","",IF('ORDENES'!$Y25="","-",'ORDENES'!$Y25))</f>
        <v/>
      </c>
      <c r="H47" s="5">
        <f>IF('ORDENES'!$A25="","",IF('ORDENES'!$AG25="","-",'ORDENES'!$AG25))</f>
        <v/>
      </c>
      <c r="I47" s="5">
        <f>IF('ORDENES'!$A25="","",IF('ORDENES'!$AT25="","-",'ORDENES'!$AT25))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20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IF('ORDENES'!$A25="","",'ORDENES'!$AF25)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IF('ORDENES'!$A26="","",IF('ORDENES'!$S26="","-",'ORDENES'!$S26))</f>
        <v/>
      </c>
      <c r="C48" s="5">
        <f>IF('ORDENES'!$A26="","",IF('ORDENES'!$AH26="","-",'ORDENES'!$AH26))</f>
        <v/>
      </c>
      <c r="D48" s="5">
        <f>IF('ORDENES'!$A26="","",IF('ORDENES'!$Z26="","-",'ORDENES'!$Z26))</f>
        <v/>
      </c>
      <c r="E48" s="5">
        <f>IF('ORDENES'!$A26="","",IF('ORDENES'!$X26="","-",'ORDENES'!$X26))</f>
        <v/>
      </c>
      <c r="F48" s="5">
        <f>IF('ORDENES'!$A26="","",IF('ORDENES'!$AA26="","-",'ORDENES'!$AA26))</f>
        <v/>
      </c>
      <c r="G48" s="5">
        <f>IF('ORDENES'!$A26="","",IF('ORDENES'!$Y26="","-",'ORDENES'!$Y26))</f>
        <v/>
      </c>
      <c r="H48" s="5">
        <f>IF('ORDENES'!$A26="","",IF('ORDENES'!$AG26="","-",'ORDENES'!$AG26))</f>
        <v/>
      </c>
      <c r="I48" s="5">
        <f>IF('ORDENES'!$A26="","",IF('ORDENES'!$AT26="","-",'ORDENES'!$AT26))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20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IF('ORDENES'!$A26="","",'ORDENES'!$AF26)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IF('ORDENES'!$A27="","",IF('ORDENES'!$S27="","-",'ORDENES'!$S27))</f>
        <v/>
      </c>
      <c r="C49" s="5">
        <f>IF('ORDENES'!$A27="","",IF('ORDENES'!$AH27="","-",'ORDENES'!$AH27))</f>
        <v/>
      </c>
      <c r="D49" s="5">
        <f>IF('ORDENES'!$A27="","",IF('ORDENES'!$Z27="","-",'ORDENES'!$Z27))</f>
        <v/>
      </c>
      <c r="E49" s="5">
        <f>IF('ORDENES'!$A27="","",IF('ORDENES'!$X27="","-",'ORDENES'!$X27))</f>
        <v/>
      </c>
      <c r="F49" s="5">
        <f>IF('ORDENES'!$A27="","",IF('ORDENES'!$AA27="","-",'ORDENES'!$AA27))</f>
        <v/>
      </c>
      <c r="G49" s="5">
        <f>IF('ORDENES'!$A27="","",IF('ORDENES'!$Y27="","-",'ORDENES'!$Y27))</f>
        <v/>
      </c>
      <c r="H49" s="5">
        <f>IF('ORDENES'!$A27="","",IF('ORDENES'!$AG27="","-",'ORDENES'!$AG27))</f>
        <v/>
      </c>
      <c r="I49" s="5">
        <f>IF('ORDENES'!$A27="","",IF('ORDENES'!$AT27="","-",'ORDENES'!$AT27))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20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IF('ORDENES'!$A27="","",'ORDENES'!$AF27)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IF('ORDENES'!$A28="","",IF('ORDENES'!$S28="","-",'ORDENES'!$S28))</f>
        <v/>
      </c>
      <c r="C50" s="5">
        <f>IF('ORDENES'!$A28="","",IF('ORDENES'!$AH28="","-",'ORDENES'!$AH28))</f>
        <v/>
      </c>
      <c r="D50" s="5">
        <f>IF('ORDENES'!$A28="","",IF('ORDENES'!$Z28="","-",'ORDENES'!$Z28))</f>
        <v/>
      </c>
      <c r="E50" s="5">
        <f>IF('ORDENES'!$A28="","",IF('ORDENES'!$X28="","-",'ORDENES'!$X28))</f>
        <v/>
      </c>
      <c r="F50" s="5">
        <f>IF('ORDENES'!$A28="","",IF('ORDENES'!$AA28="","-",'ORDENES'!$AA28))</f>
        <v/>
      </c>
      <c r="G50" s="5">
        <f>IF('ORDENES'!$A28="","",IF('ORDENES'!$Y28="","-",'ORDENES'!$Y28))</f>
        <v/>
      </c>
      <c r="H50" s="5">
        <f>IF('ORDENES'!$A28="","",IF('ORDENES'!$AG28="","-",'ORDENES'!$AG28))</f>
        <v/>
      </c>
      <c r="I50" s="5">
        <f>IF('ORDENES'!$A28="","",IF('ORDENES'!$AT28="","-",'ORDENES'!$AT28))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20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IF('ORDENES'!$A28="","",'ORDENES'!$AF28)</f>
        <v/>
      </c>
    </row>
    <row r="51">
      <c r="A51" s="5">
        <f>IF('ORDENES'!$A29="","",IF('ORDENES'!$O29="","-",'ORDENES'!$O29))</f>
        <v/>
      </c>
      <c r="B51" s="5">
        <f>IF('ORDENES'!$A29="","",IF('ORDENES'!$S29="","-",'ORDENES'!$S29))</f>
        <v/>
      </c>
      <c r="C51" s="5">
        <f>IF('ORDENES'!$A29="","",IF('ORDENES'!$AH29="","-",'ORDENES'!$AH29))</f>
        <v/>
      </c>
      <c r="D51" s="5">
        <f>IF('ORDENES'!$A29="","",IF('ORDENES'!$Z29="","-",'ORDENES'!$Z29))</f>
        <v/>
      </c>
      <c r="E51" s="5">
        <f>IF('ORDENES'!$A29="","",IF('ORDENES'!$X29="","-",'ORDENES'!$X29))</f>
        <v/>
      </c>
      <c r="F51" s="5">
        <f>IF('ORDENES'!$A29="","",IF('ORDENES'!$AA29="","-",'ORDENES'!$AA29))</f>
        <v/>
      </c>
      <c r="G51" s="5">
        <f>IF('ORDENES'!$A29="","",IF('ORDENES'!$Y29="","-",'ORDENES'!$Y29))</f>
        <v/>
      </c>
      <c r="H51" s="5">
        <f>IF('ORDENES'!$A29="","",IF('ORDENES'!$AG29="","-",'ORDENES'!$AG29))</f>
        <v/>
      </c>
      <c r="I51" s="5">
        <f>IF('ORDENES'!$A29="","",IF('ORDENES'!$AT29="","-",'ORDENES'!$AT29))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20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IF('ORDENES'!$A29="","",'ORDENES'!$AF29)</f>
        <v/>
      </c>
    </row>
    <row r="52">
      <c r="A52" s="5">
        <f>IF('ORDENES'!$A30="","",IF('ORDENES'!$O30="","-",'ORDENES'!$O30))</f>
        <v/>
      </c>
      <c r="B52" s="5">
        <f>IF('ORDENES'!$A30="","",IF('ORDENES'!$S30="","-",'ORDENES'!$S30))</f>
        <v/>
      </c>
      <c r="C52" s="5">
        <f>IF('ORDENES'!$A30="","",IF('ORDENES'!$AH30="","-",'ORDENES'!$AH30))</f>
        <v/>
      </c>
      <c r="D52" s="5">
        <f>IF('ORDENES'!$A30="","",IF('ORDENES'!$Z30="","-",'ORDENES'!$Z30))</f>
        <v/>
      </c>
      <c r="E52" s="5">
        <f>IF('ORDENES'!$A30="","",IF('ORDENES'!$X30="","-",'ORDENES'!$X30))</f>
        <v/>
      </c>
      <c r="F52" s="5">
        <f>IF('ORDENES'!$A30="","",IF('ORDENES'!$AA30="","-",'ORDENES'!$AA30))</f>
        <v/>
      </c>
      <c r="G52" s="5">
        <f>IF('ORDENES'!$A30="","",IF('ORDENES'!$Y30="","-",'ORDENES'!$Y30))</f>
        <v/>
      </c>
      <c r="H52" s="5">
        <f>IF('ORDENES'!$A30="","",IF('ORDENES'!$AG30="","-",'ORDENES'!$AG30))</f>
        <v/>
      </c>
      <c r="I52" s="5">
        <f>IF('ORDENES'!$A30="","",IF('ORDENES'!$AT30="","-",'ORDENES'!$AT30))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20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IF('ORDENES'!$A30="","",'ORDENES'!$AF30)</f>
        <v/>
      </c>
    </row>
    <row r="53">
      <c r="A53" s="5">
        <f>IF('ORDENES'!$A31="","",IF('ORDENES'!$O31="","-",'ORDENES'!$O31))</f>
        <v/>
      </c>
      <c r="B53" s="5">
        <f>IF('ORDENES'!$A31="","",IF('ORDENES'!$S31="","-",'ORDENES'!$S31))</f>
        <v/>
      </c>
      <c r="C53" s="5">
        <f>IF('ORDENES'!$A31="","",IF('ORDENES'!$AH31="","-",'ORDENES'!$AH31))</f>
        <v/>
      </c>
      <c r="D53" s="5">
        <f>IF('ORDENES'!$A31="","",IF('ORDENES'!$Z31="","-",'ORDENES'!$Z31))</f>
        <v/>
      </c>
      <c r="E53" s="5">
        <f>IF('ORDENES'!$A31="","",IF('ORDENES'!$X31="","-",'ORDENES'!$X31))</f>
        <v/>
      </c>
      <c r="F53" s="5">
        <f>IF('ORDENES'!$A31="","",IF('ORDENES'!$AA31="","-",'ORDENES'!$AA31))</f>
        <v/>
      </c>
      <c r="G53" s="5">
        <f>IF('ORDENES'!$A31="","",IF('ORDENES'!$Y31="","-",'ORDENES'!$Y31))</f>
        <v/>
      </c>
      <c r="H53" s="5">
        <f>IF('ORDENES'!$A31="","",IF('ORDENES'!$AG31="","-",'ORDENES'!$AG31))</f>
        <v/>
      </c>
      <c r="I53" s="5">
        <f>IF('ORDENES'!$A31="","",IF('ORDENES'!$AT31="","-",'ORDENES'!$AT31))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20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IF('ORDENES'!$A31="","",'ORDENES'!$AF31)</f>
        <v/>
      </c>
    </row>
    <row r="54">
      <c r="A54" s="5">
        <f>IF('ORDENES'!$A32="","",IF('ORDENES'!$O32="","-",'ORDENES'!$O32))</f>
        <v/>
      </c>
      <c r="B54" s="5">
        <f>IF('ORDENES'!$A32="","",IF('ORDENES'!$S32="","-",'ORDENES'!$S32))</f>
        <v/>
      </c>
      <c r="C54" s="5">
        <f>IF('ORDENES'!$A32="","",IF('ORDENES'!$AH32="","-",'ORDENES'!$AH32))</f>
        <v/>
      </c>
      <c r="D54" s="5">
        <f>IF('ORDENES'!$A32="","",IF('ORDENES'!$Z32="","-",'ORDENES'!$Z32))</f>
        <v/>
      </c>
      <c r="E54" s="5">
        <f>IF('ORDENES'!$A32="","",IF('ORDENES'!$X32="","-",'ORDENES'!$X32))</f>
        <v/>
      </c>
      <c r="F54" s="5">
        <f>IF('ORDENES'!$A32="","",IF('ORDENES'!$AA32="","-",'ORDENES'!$AA32))</f>
        <v/>
      </c>
      <c r="G54" s="5">
        <f>IF('ORDENES'!$A32="","",IF('ORDENES'!$Y32="","-",'ORDENES'!$Y32))</f>
        <v/>
      </c>
      <c r="H54" s="5">
        <f>IF('ORDENES'!$A32="","",IF('ORDENES'!$AG32="","-",'ORDENES'!$AG32))</f>
        <v/>
      </c>
      <c r="I54" s="5">
        <f>IF('ORDENES'!$A32="","",IF('ORDENES'!$AT32="","-",'ORDENES'!$AT32))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20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IF('ORDENES'!$A32="","",'ORDENES'!$AF32)</f>
        <v/>
      </c>
    </row>
    <row r="55">
      <c r="A55" s="5">
        <f>IF('ORDENES'!$A33="","",IF('ORDENES'!$O33="","-",'ORDENES'!$O33))</f>
        <v/>
      </c>
      <c r="B55" s="5">
        <f>IF('ORDENES'!$A33="","",IF('ORDENES'!$S33="","-",'ORDENES'!$S33))</f>
        <v/>
      </c>
      <c r="C55" s="5">
        <f>IF('ORDENES'!$A33="","",IF('ORDENES'!$AH33="","-",'ORDENES'!$AH33))</f>
        <v/>
      </c>
      <c r="D55" s="5">
        <f>IF('ORDENES'!$A33="","",IF('ORDENES'!$Z33="","-",'ORDENES'!$Z33))</f>
        <v/>
      </c>
      <c r="E55" s="5">
        <f>IF('ORDENES'!$A33="","",IF('ORDENES'!$X33="","-",'ORDENES'!$X33))</f>
        <v/>
      </c>
      <c r="F55" s="5">
        <f>IF('ORDENES'!$A33="","",IF('ORDENES'!$AA33="","-",'ORDENES'!$AA33))</f>
        <v/>
      </c>
      <c r="G55" s="5">
        <f>IF('ORDENES'!$A33="","",IF('ORDENES'!$Y33="","-",'ORDENES'!$Y33))</f>
        <v/>
      </c>
      <c r="H55" s="5">
        <f>IF('ORDENES'!$A33="","",IF('ORDENES'!$AG33="","-",'ORDENES'!$AG33))</f>
        <v/>
      </c>
      <c r="I55" s="5">
        <f>IF('ORDENES'!$A33="","",IF('ORDENES'!$AT33="","-",'ORDENES'!$AT33))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20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IF('ORDENES'!$A33="","",'ORDENES'!$AF33)</f>
        <v/>
      </c>
    </row>
    <row r="56">
      <c r="A56" s="5">
        <f>IF('ORDENES'!$A34="","",IF('ORDENES'!$O34="","-",'ORDENES'!$O34))</f>
        <v/>
      </c>
      <c r="B56" s="5">
        <f>IF('ORDENES'!$A34="","",IF('ORDENES'!$S34="","-",'ORDENES'!$S34))</f>
        <v/>
      </c>
      <c r="C56" s="5">
        <f>IF('ORDENES'!$A34="","",IF('ORDENES'!$AH34="","-",'ORDENES'!$AH34))</f>
        <v/>
      </c>
      <c r="D56" s="5">
        <f>IF('ORDENES'!$A34="","",IF('ORDENES'!$Z34="","-",'ORDENES'!$Z34))</f>
        <v/>
      </c>
      <c r="E56" s="5">
        <f>IF('ORDENES'!$A34="","",IF('ORDENES'!$X34="","-",'ORDENES'!$X34))</f>
        <v/>
      </c>
      <c r="F56" s="5">
        <f>IF('ORDENES'!$A34="","",IF('ORDENES'!$AA34="","-",'ORDENES'!$AA34))</f>
        <v/>
      </c>
      <c r="G56" s="5">
        <f>IF('ORDENES'!$A34="","",IF('ORDENES'!$Y34="","-",'ORDENES'!$Y34))</f>
        <v/>
      </c>
      <c r="H56" s="5">
        <f>IF('ORDENES'!$A34="","",IF('ORDENES'!$AG34="","-",'ORDENES'!$AG34))</f>
        <v/>
      </c>
      <c r="I56" s="5">
        <f>IF('ORDENES'!$A34="","",IF('ORDENES'!$AT34="","-",'ORDENES'!$AT34))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20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IF('ORDENES'!$A34="","",'ORDENES'!$AF34)</f>
        <v/>
      </c>
    </row>
    <row r="57">
      <c r="A57" s="5">
        <f>IF('ORDENES'!$A35="","",IF('ORDENES'!$O35="","-",'ORDENES'!$O35))</f>
        <v/>
      </c>
      <c r="B57" s="5">
        <f>IF('ORDENES'!$A35="","",IF('ORDENES'!$S35="","-",'ORDENES'!$S35))</f>
        <v/>
      </c>
      <c r="C57" s="5">
        <f>IF('ORDENES'!$A35="","",IF('ORDENES'!$AH35="","-",'ORDENES'!$AH35))</f>
        <v/>
      </c>
      <c r="D57" s="5">
        <f>IF('ORDENES'!$A35="","",IF('ORDENES'!$Z35="","-",'ORDENES'!$Z35))</f>
        <v/>
      </c>
      <c r="E57" s="5">
        <f>IF('ORDENES'!$A35="","",IF('ORDENES'!$X35="","-",'ORDENES'!$X35))</f>
        <v/>
      </c>
      <c r="F57" s="5">
        <f>IF('ORDENES'!$A35="","",IF('ORDENES'!$AA35="","-",'ORDENES'!$AA35))</f>
        <v/>
      </c>
      <c r="G57" s="5">
        <f>IF('ORDENES'!$A35="","",IF('ORDENES'!$Y35="","-",'ORDENES'!$Y35))</f>
        <v/>
      </c>
      <c r="H57" s="5">
        <f>IF('ORDENES'!$A35="","",IF('ORDENES'!$AG35="","-",'ORDENES'!$AG35))</f>
        <v/>
      </c>
      <c r="I57" s="5">
        <f>IF('ORDENES'!$A35="","",IF('ORDENES'!$AT35="","-",'ORDENES'!$AT35))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20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IF('ORDENES'!$A35="","",'ORDENES'!$AF35)</f>
        <v/>
      </c>
    </row>
    <row r="58">
      <c r="A58" s="5">
        <f>IF('ORDENES'!$A36="","",IF('ORDENES'!$O36="","-",'ORDENES'!$O36))</f>
        <v/>
      </c>
      <c r="B58" s="5">
        <f>IF('ORDENES'!$A36="","",IF('ORDENES'!$S36="","-",'ORDENES'!$S36))</f>
        <v/>
      </c>
      <c r="C58" s="5">
        <f>IF('ORDENES'!$A36="","",IF('ORDENES'!$AH36="","-",'ORDENES'!$AH36))</f>
        <v/>
      </c>
      <c r="D58" s="5">
        <f>IF('ORDENES'!$A36="","",IF('ORDENES'!$Z36="","-",'ORDENES'!$Z36))</f>
        <v/>
      </c>
      <c r="E58" s="5">
        <f>IF('ORDENES'!$A36="","",IF('ORDENES'!$X36="","-",'ORDENES'!$X36))</f>
        <v/>
      </c>
      <c r="F58" s="5">
        <f>IF('ORDENES'!$A36="","",IF('ORDENES'!$AA36="","-",'ORDENES'!$AA36))</f>
        <v/>
      </c>
      <c r="G58" s="5">
        <f>IF('ORDENES'!$A36="","",IF('ORDENES'!$Y36="","-",'ORDENES'!$Y36))</f>
        <v/>
      </c>
      <c r="H58" s="5">
        <f>IF('ORDENES'!$A36="","",IF('ORDENES'!$AG36="","-",'ORDENES'!$AG36))</f>
        <v/>
      </c>
      <c r="I58" s="5">
        <f>IF('ORDENES'!$A36="","",IF('ORDENES'!$AT36="","-",'ORDENES'!$AT36))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20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IF('ORDENES'!$A36="","",'ORDENES'!$AF36)</f>
        <v/>
      </c>
    </row>
    <row r="59">
      <c r="A59" s="5">
        <f>IF('ORDENES'!$A37="","",IF('ORDENES'!$O37="","-",'ORDENES'!$O37))</f>
        <v/>
      </c>
      <c r="B59" s="5">
        <f>IF('ORDENES'!$A37="","",IF('ORDENES'!$S37="","-",'ORDENES'!$S37))</f>
        <v/>
      </c>
      <c r="C59" s="5">
        <f>IF('ORDENES'!$A37="","",IF('ORDENES'!$AH37="","-",'ORDENES'!$AH37))</f>
        <v/>
      </c>
      <c r="D59" s="5">
        <f>IF('ORDENES'!$A37="","",IF('ORDENES'!$Z37="","-",'ORDENES'!$Z37))</f>
        <v/>
      </c>
      <c r="E59" s="5">
        <f>IF('ORDENES'!$A37="","",IF('ORDENES'!$X37="","-",'ORDENES'!$X37))</f>
        <v/>
      </c>
      <c r="F59" s="5">
        <f>IF('ORDENES'!$A37="","",IF('ORDENES'!$AA37="","-",'ORDENES'!$AA37))</f>
        <v/>
      </c>
      <c r="G59" s="5">
        <f>IF('ORDENES'!$A37="","",IF('ORDENES'!$Y37="","-",'ORDENES'!$Y37))</f>
        <v/>
      </c>
      <c r="H59" s="5">
        <f>IF('ORDENES'!$A37="","",IF('ORDENES'!$AG37="","-",'ORDENES'!$AG37))</f>
        <v/>
      </c>
      <c r="I59" s="5">
        <f>IF('ORDENES'!$A37="","",IF('ORDENES'!$AT37="","-",'ORDENES'!$AT37))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20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IF('ORDENES'!$A37="","",'ORDENES'!$AF37)</f>
        <v/>
      </c>
    </row>
    <row r="60">
      <c r="A60" s="5">
        <f>IF('ORDENES'!$A38="","",IF('ORDENES'!$O38="","-",'ORDENES'!$O38))</f>
        <v/>
      </c>
      <c r="B60" s="5">
        <f>IF('ORDENES'!$A38="","",IF('ORDENES'!$S38="","-",'ORDENES'!$S38))</f>
        <v/>
      </c>
      <c r="C60" s="5">
        <f>IF('ORDENES'!$A38="","",IF('ORDENES'!$AH38="","-",'ORDENES'!$AH38))</f>
        <v/>
      </c>
      <c r="D60" s="5">
        <f>IF('ORDENES'!$A38="","",IF('ORDENES'!$Z38="","-",'ORDENES'!$Z38))</f>
        <v/>
      </c>
      <c r="E60" s="5">
        <f>IF('ORDENES'!$A38="","",IF('ORDENES'!$X38="","-",'ORDENES'!$X38))</f>
        <v/>
      </c>
      <c r="F60" s="5">
        <f>IF('ORDENES'!$A38="","",IF('ORDENES'!$AA38="","-",'ORDENES'!$AA38))</f>
        <v/>
      </c>
      <c r="G60" s="5">
        <f>IF('ORDENES'!$A38="","",IF('ORDENES'!$Y38="","-",'ORDENES'!$Y38))</f>
        <v/>
      </c>
      <c r="H60" s="5">
        <f>IF('ORDENES'!$A38="","",IF('ORDENES'!$AG38="","-",'ORDENES'!$AG38))</f>
        <v/>
      </c>
      <c r="I60" s="5">
        <f>IF('ORDENES'!$A38="","",IF('ORDENES'!$AT38="","-",'ORDENES'!$AT38))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20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IF('ORDENES'!$A38="","",'ORDENES'!$AF38)</f>
        <v/>
      </c>
    </row>
    <row r="61">
      <c r="A61" s="5">
        <f>IF('ORDENES'!$A39="","",IF('ORDENES'!$O39="","-",'ORDENES'!$O39))</f>
        <v/>
      </c>
      <c r="B61" s="5">
        <f>IF('ORDENES'!$A39="","",IF('ORDENES'!$S39="","-",'ORDENES'!$S39))</f>
        <v/>
      </c>
      <c r="C61" s="5">
        <f>IF('ORDENES'!$A39="","",IF('ORDENES'!$AH39="","-",'ORDENES'!$AH39))</f>
        <v/>
      </c>
      <c r="D61" s="5">
        <f>IF('ORDENES'!$A39="","",IF('ORDENES'!$Z39="","-",'ORDENES'!$Z39))</f>
        <v/>
      </c>
      <c r="E61" s="5">
        <f>IF('ORDENES'!$A39="","",IF('ORDENES'!$X39="","-",'ORDENES'!$X39))</f>
        <v/>
      </c>
      <c r="F61" s="5">
        <f>IF('ORDENES'!$A39="","",IF('ORDENES'!$AA39="","-",'ORDENES'!$AA39))</f>
        <v/>
      </c>
      <c r="G61" s="5">
        <f>IF('ORDENES'!$A39="","",IF('ORDENES'!$Y39="","-",'ORDENES'!$Y39))</f>
        <v/>
      </c>
      <c r="H61" s="5">
        <f>IF('ORDENES'!$A39="","",IF('ORDENES'!$AG39="","-",'ORDENES'!$AG39))</f>
        <v/>
      </c>
      <c r="I61" s="5">
        <f>IF('ORDENES'!$A39="","",IF('ORDENES'!$AT39="","-",'ORDENES'!$AT39))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20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IF('ORDENES'!$A39="","",'ORDENES'!$AF39)</f>
        <v/>
      </c>
    </row>
    <row r="62">
      <c r="A62" s="5">
        <f>IF('ORDENES'!$A40="","",IF('ORDENES'!$O40="","-",'ORDENES'!$O40))</f>
        <v/>
      </c>
      <c r="B62" s="5">
        <f>IF('ORDENES'!$A40="","",IF('ORDENES'!$S40="","-",'ORDENES'!$S40))</f>
        <v/>
      </c>
      <c r="C62" s="5">
        <f>IF('ORDENES'!$A40="","",IF('ORDENES'!$AH40="","-",'ORDENES'!$AH40))</f>
        <v/>
      </c>
      <c r="D62" s="5">
        <f>IF('ORDENES'!$A40="","",IF('ORDENES'!$Z40="","-",'ORDENES'!$Z40))</f>
        <v/>
      </c>
      <c r="E62" s="5">
        <f>IF('ORDENES'!$A40="","",IF('ORDENES'!$X40="","-",'ORDENES'!$X40))</f>
        <v/>
      </c>
      <c r="F62" s="5">
        <f>IF('ORDENES'!$A40="","",IF('ORDENES'!$AA40="","-",'ORDENES'!$AA40))</f>
        <v/>
      </c>
      <c r="G62" s="5">
        <f>IF('ORDENES'!$A40="","",IF('ORDENES'!$Y40="","-",'ORDENES'!$Y40))</f>
        <v/>
      </c>
      <c r="H62" s="5">
        <f>IF('ORDENES'!$A40="","",IF('ORDENES'!$AG40="","-",'ORDENES'!$AG40))</f>
        <v/>
      </c>
      <c r="I62" s="5">
        <f>IF('ORDENES'!$A40="","",IF('ORDENES'!$AT40="","-",'ORDENES'!$AT40))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20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IF('ORDENES'!$A40="","",'ORDENES'!$AF40)</f>
        <v/>
      </c>
    </row>
    <row r="63">
      <c r="A63" s="5">
        <f>IF('ORDENES'!$A41="","",IF('ORDENES'!$O41="","-",'ORDENES'!$O41))</f>
        <v/>
      </c>
      <c r="B63" s="5">
        <f>IF('ORDENES'!$A41="","",IF('ORDENES'!$S41="","-",'ORDENES'!$S41))</f>
        <v/>
      </c>
      <c r="C63" s="5">
        <f>IF('ORDENES'!$A41="","",IF('ORDENES'!$AH41="","-",'ORDENES'!$AH41))</f>
        <v/>
      </c>
      <c r="D63" s="5">
        <f>IF('ORDENES'!$A41="","",IF('ORDENES'!$Z41="","-",'ORDENES'!$Z41))</f>
        <v/>
      </c>
      <c r="E63" s="5">
        <f>IF('ORDENES'!$A41="","",IF('ORDENES'!$X41="","-",'ORDENES'!$X41))</f>
        <v/>
      </c>
      <c r="F63" s="5">
        <f>IF('ORDENES'!$A41="","",IF('ORDENES'!$AA41="","-",'ORDENES'!$AA41))</f>
        <v/>
      </c>
      <c r="G63" s="5">
        <f>IF('ORDENES'!$A41="","",IF('ORDENES'!$Y41="","-",'ORDENES'!$Y41))</f>
        <v/>
      </c>
      <c r="H63" s="5">
        <f>IF('ORDENES'!$A41="","",IF('ORDENES'!$AG41="","-",'ORDENES'!$AG41))</f>
        <v/>
      </c>
      <c r="I63" s="5">
        <f>IF('ORDENES'!$A41="","",IF('ORDENES'!$AT41="","-",'ORDENES'!$AT41))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20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IF('ORDENES'!$A41="","",'ORDENES'!$AF41)</f>
        <v/>
      </c>
    </row>
    <row r="64">
      <c r="A64" s="5">
        <f>IF('ORDENES'!$A42="","",IF('ORDENES'!$O42="","-",'ORDENES'!$O42))</f>
        <v/>
      </c>
      <c r="B64" s="5">
        <f>IF('ORDENES'!$A42="","",IF('ORDENES'!$S42="","-",'ORDENES'!$S42))</f>
        <v/>
      </c>
      <c r="C64" s="5">
        <f>IF('ORDENES'!$A42="","",IF('ORDENES'!$AH42="","-",'ORDENES'!$AH42))</f>
        <v/>
      </c>
      <c r="D64" s="5">
        <f>IF('ORDENES'!$A42="","",IF('ORDENES'!$Z42="","-",'ORDENES'!$Z42))</f>
        <v/>
      </c>
      <c r="E64" s="5">
        <f>IF('ORDENES'!$A42="","",IF('ORDENES'!$X42="","-",'ORDENES'!$X42))</f>
        <v/>
      </c>
      <c r="F64" s="5">
        <f>IF('ORDENES'!$A42="","",IF('ORDENES'!$AA42="","-",'ORDENES'!$AA42))</f>
        <v/>
      </c>
      <c r="G64" s="5">
        <f>IF('ORDENES'!$A42="","",IF('ORDENES'!$Y42="","-",'ORDENES'!$Y42))</f>
        <v/>
      </c>
      <c r="H64" s="5">
        <f>IF('ORDENES'!$A42="","",IF('ORDENES'!$AG42="","-",'ORDENES'!$AG42))</f>
        <v/>
      </c>
      <c r="I64" s="5">
        <f>IF('ORDENES'!$A42="","",IF('ORDENES'!$AT42="","-",'ORDENES'!$AT42))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20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IF('ORDENES'!$A42="","",'ORDENES'!$AF42)</f>
        <v/>
      </c>
    </row>
    <row r="65">
      <c r="A65" s="5">
        <f>IF('ORDENES'!$A43="","",IF('ORDENES'!$O43="","-",'ORDENES'!$O43))</f>
        <v/>
      </c>
      <c r="B65" s="5">
        <f>IF('ORDENES'!$A43="","",IF('ORDENES'!$S43="","-",'ORDENES'!$S43))</f>
        <v/>
      </c>
      <c r="C65" s="5">
        <f>IF('ORDENES'!$A43="","",IF('ORDENES'!$AH43="","-",'ORDENES'!$AH43))</f>
        <v/>
      </c>
      <c r="D65" s="5">
        <f>IF('ORDENES'!$A43="","",IF('ORDENES'!$Z43="","-",'ORDENES'!$Z43))</f>
        <v/>
      </c>
      <c r="E65" s="5">
        <f>IF('ORDENES'!$A43="","",IF('ORDENES'!$X43="","-",'ORDENES'!$X43))</f>
        <v/>
      </c>
      <c r="F65" s="5">
        <f>IF('ORDENES'!$A43="","",IF('ORDENES'!$AA43="","-",'ORDENES'!$AA43))</f>
        <v/>
      </c>
      <c r="G65" s="5">
        <f>IF('ORDENES'!$A43="","",IF('ORDENES'!$Y43="","-",'ORDENES'!$Y43))</f>
        <v/>
      </c>
      <c r="H65" s="5">
        <f>IF('ORDENES'!$A43="","",IF('ORDENES'!$AG43="","-",'ORDENES'!$AG43))</f>
        <v/>
      </c>
      <c r="I65" s="5">
        <f>IF('ORDENES'!$A43="","",IF('ORDENES'!$AT43="","-",'ORDENES'!$AT43))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20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IF('ORDENES'!$A43="","",'ORDENES'!$AF43)</f>
        <v/>
      </c>
    </row>
    <row r="66">
      <c r="A66" s="5">
        <f>IF('ORDENES'!$A44="","",IF('ORDENES'!$O44="","-",'ORDENES'!$O44))</f>
        <v/>
      </c>
      <c r="B66" s="5">
        <f>IF('ORDENES'!$A44="","",IF('ORDENES'!$S44="","-",'ORDENES'!$S44))</f>
        <v/>
      </c>
      <c r="C66" s="5">
        <f>IF('ORDENES'!$A44="","",IF('ORDENES'!$AH44="","-",'ORDENES'!$AH44))</f>
        <v/>
      </c>
      <c r="D66" s="5">
        <f>IF('ORDENES'!$A44="","",IF('ORDENES'!$Z44="","-",'ORDENES'!$Z44))</f>
        <v/>
      </c>
      <c r="E66" s="5">
        <f>IF('ORDENES'!$A44="","",IF('ORDENES'!$X44="","-",'ORDENES'!$X44))</f>
        <v/>
      </c>
      <c r="F66" s="5">
        <f>IF('ORDENES'!$A44="","",IF('ORDENES'!$AA44="","-",'ORDENES'!$AA44))</f>
        <v/>
      </c>
      <c r="G66" s="5">
        <f>IF('ORDENES'!$A44="","",IF('ORDENES'!$Y44="","-",'ORDENES'!$Y44))</f>
        <v/>
      </c>
      <c r="H66" s="5">
        <f>IF('ORDENES'!$A44="","",IF('ORDENES'!$AG44="","-",'ORDENES'!$AG44))</f>
        <v/>
      </c>
      <c r="I66" s="5">
        <f>IF('ORDENES'!$A44="","",IF('ORDENES'!$AT44="","-",'ORDENES'!$AT44))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20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IF('ORDENES'!$A44="","",'ORDENES'!$AF44)</f>
        <v/>
      </c>
    </row>
    <row r="67">
      <c r="A67" s="5">
        <f>IF('ORDENES'!$A45="","",IF('ORDENES'!$O45="","-",'ORDENES'!$O45))</f>
        <v/>
      </c>
      <c r="B67" s="5">
        <f>IF('ORDENES'!$A45="","",IF('ORDENES'!$S45="","-",'ORDENES'!$S45))</f>
        <v/>
      </c>
      <c r="C67" s="5">
        <f>IF('ORDENES'!$A45="","",IF('ORDENES'!$AH45="","-",'ORDENES'!$AH45))</f>
        <v/>
      </c>
      <c r="D67" s="5">
        <f>IF('ORDENES'!$A45="","",IF('ORDENES'!$Z45="","-",'ORDENES'!$Z45))</f>
        <v/>
      </c>
      <c r="E67" s="5">
        <f>IF('ORDENES'!$A45="","",IF('ORDENES'!$X45="","-",'ORDENES'!$X45))</f>
        <v/>
      </c>
      <c r="F67" s="5">
        <f>IF('ORDENES'!$A45="","",IF('ORDENES'!$AA45="","-",'ORDENES'!$AA45))</f>
        <v/>
      </c>
      <c r="G67" s="5">
        <f>IF('ORDENES'!$A45="","",IF('ORDENES'!$Y45="","-",'ORDENES'!$Y45))</f>
        <v/>
      </c>
      <c r="H67" s="5">
        <f>IF('ORDENES'!$A45="","",IF('ORDENES'!$AG45="","-",'ORDENES'!$AG45))</f>
        <v/>
      </c>
      <c r="I67" s="5">
        <f>IF('ORDENES'!$A45="","",IF('ORDENES'!$AT45="","-",'ORDENES'!$AT45))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20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IF('ORDENES'!$A45="","",'ORDENES'!$AF45)</f>
        <v/>
      </c>
    </row>
    <row r="68">
      <c r="A68" s="5">
        <f>IF('ORDENES'!$A46="","",IF('ORDENES'!$O46="","-",'ORDENES'!$O46))</f>
        <v/>
      </c>
      <c r="B68" s="5">
        <f>IF('ORDENES'!$A46="","",IF('ORDENES'!$S46="","-",'ORDENES'!$S46))</f>
        <v/>
      </c>
      <c r="C68" s="5">
        <f>IF('ORDENES'!$A46="","",IF('ORDENES'!$AH46="","-",'ORDENES'!$AH46))</f>
        <v/>
      </c>
      <c r="D68" s="5">
        <f>IF('ORDENES'!$A46="","",IF('ORDENES'!$Z46="","-",'ORDENES'!$Z46))</f>
        <v/>
      </c>
      <c r="E68" s="5">
        <f>IF('ORDENES'!$A46="","",IF('ORDENES'!$X46="","-",'ORDENES'!$X46))</f>
        <v/>
      </c>
      <c r="F68" s="5">
        <f>IF('ORDENES'!$A46="","",IF('ORDENES'!$AA46="","-",'ORDENES'!$AA46))</f>
        <v/>
      </c>
      <c r="G68" s="5">
        <f>IF('ORDENES'!$A46="","",IF('ORDENES'!$Y46="","-",'ORDENES'!$Y46))</f>
        <v/>
      </c>
      <c r="H68" s="5">
        <f>IF('ORDENES'!$A46="","",IF('ORDENES'!$AG46="","-",'ORDENES'!$AG46))</f>
        <v/>
      </c>
      <c r="I68" s="5">
        <f>IF('ORDENES'!$A46="","",IF('ORDENES'!$AT46="","-",'ORDENES'!$AT46))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20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IF('ORDENES'!$A46="","",'ORDENES'!$AF46)</f>
        <v/>
      </c>
    </row>
    <row r="69">
      <c r="A69" s="5">
        <f>IF('ORDENES'!$A47="","",IF('ORDENES'!$O47="","-",'ORDENES'!$O47))</f>
        <v/>
      </c>
      <c r="B69" s="5">
        <f>IF('ORDENES'!$A47="","",IF('ORDENES'!$S47="","-",'ORDENES'!$S47))</f>
        <v/>
      </c>
      <c r="C69" s="5">
        <f>IF('ORDENES'!$A47="","",IF('ORDENES'!$AH47="","-",'ORDENES'!$AH47))</f>
        <v/>
      </c>
      <c r="D69" s="5">
        <f>IF('ORDENES'!$A47="","",IF('ORDENES'!$Z47="","-",'ORDENES'!$Z47))</f>
        <v/>
      </c>
      <c r="E69" s="5">
        <f>IF('ORDENES'!$A47="","",IF('ORDENES'!$X47="","-",'ORDENES'!$X47))</f>
        <v/>
      </c>
      <c r="F69" s="5">
        <f>IF('ORDENES'!$A47="","",IF('ORDENES'!$AA47="","-",'ORDENES'!$AA47))</f>
        <v/>
      </c>
      <c r="G69" s="5">
        <f>IF('ORDENES'!$A47="","",IF('ORDENES'!$Y47="","-",'ORDENES'!$Y47))</f>
        <v/>
      </c>
      <c r="H69" s="5">
        <f>IF('ORDENES'!$A47="","",IF('ORDENES'!$AG47="","-",'ORDENES'!$AG47))</f>
        <v/>
      </c>
      <c r="I69" s="5">
        <f>IF('ORDENES'!$A47="","",IF('ORDENES'!$AT47="","-",'ORDENES'!$AT47))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20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IF('ORDENES'!$A47="","",'ORDENES'!$AF47)</f>
        <v/>
      </c>
    </row>
    <row r="70">
      <c r="A70" s="5">
        <f>IF('ORDENES'!$A48="","",IF('ORDENES'!$O48="","-",'ORDENES'!$O48))</f>
        <v/>
      </c>
      <c r="B70" s="5">
        <f>IF('ORDENES'!$A48="","",IF('ORDENES'!$S48="","-",'ORDENES'!$S48))</f>
        <v/>
      </c>
      <c r="C70" s="5">
        <f>IF('ORDENES'!$A48="","",IF('ORDENES'!$AH48="","-",'ORDENES'!$AH48))</f>
        <v/>
      </c>
      <c r="D70" s="5">
        <f>IF('ORDENES'!$A48="","",IF('ORDENES'!$Z48="","-",'ORDENES'!$Z48))</f>
        <v/>
      </c>
      <c r="E70" s="5">
        <f>IF('ORDENES'!$A48="","",IF('ORDENES'!$X48="","-",'ORDENES'!$X48))</f>
        <v/>
      </c>
      <c r="F70" s="5">
        <f>IF('ORDENES'!$A48="","",IF('ORDENES'!$AA48="","-",'ORDENES'!$AA48))</f>
        <v/>
      </c>
      <c r="G70" s="5">
        <f>IF('ORDENES'!$A48="","",IF('ORDENES'!$Y48="","-",'ORDENES'!$Y48))</f>
        <v/>
      </c>
      <c r="H70" s="5">
        <f>IF('ORDENES'!$A48="","",IF('ORDENES'!$AG48="","-",'ORDENES'!$AG48))</f>
        <v/>
      </c>
      <c r="I70" s="5">
        <f>IF('ORDENES'!$A48="","",IF('ORDENES'!$AT48="","-",'ORDENES'!$AT48))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20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IF('ORDENES'!$A48="","",'ORDENES'!$AF48)</f>
        <v/>
      </c>
    </row>
    <row r="71">
      <c r="A71" s="5">
        <f>IF('ORDENES'!$A49="","",IF('ORDENES'!$O49="","-",'ORDENES'!$O49))</f>
        <v/>
      </c>
      <c r="B71" s="5">
        <f>IF('ORDENES'!$A49="","",IF('ORDENES'!$S49="","-",'ORDENES'!$S49))</f>
        <v/>
      </c>
      <c r="C71" s="5">
        <f>IF('ORDENES'!$A49="","",IF('ORDENES'!$AH49="","-",'ORDENES'!$AH49))</f>
        <v/>
      </c>
      <c r="D71" s="5">
        <f>IF('ORDENES'!$A49="","",IF('ORDENES'!$Z49="","-",'ORDENES'!$Z49))</f>
        <v/>
      </c>
      <c r="E71" s="5">
        <f>IF('ORDENES'!$A49="","",IF('ORDENES'!$X49="","-",'ORDENES'!$X49))</f>
        <v/>
      </c>
      <c r="F71" s="5">
        <f>IF('ORDENES'!$A49="","",IF('ORDENES'!$AA49="","-",'ORDENES'!$AA49))</f>
        <v/>
      </c>
      <c r="G71" s="5">
        <f>IF('ORDENES'!$A49="","",IF('ORDENES'!$Y49="","-",'ORDENES'!$Y49))</f>
        <v/>
      </c>
      <c r="H71" s="5">
        <f>IF('ORDENES'!$A49="","",IF('ORDENES'!$AG49="","-",'ORDENES'!$AG49))</f>
        <v/>
      </c>
      <c r="I71" s="5">
        <f>IF('ORDENES'!$A49="","",IF('ORDENES'!$AT49="","-",'ORDENES'!$AT49))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20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IF('ORDENES'!$A49="","",'ORDENES'!$AF49)</f>
        <v/>
      </c>
    </row>
    <row r="72">
      <c r="A72" s="5">
        <f>IF('ORDENES'!$A50="","",IF('ORDENES'!$O50="","-",'ORDENES'!$O50))</f>
        <v/>
      </c>
      <c r="B72" s="5">
        <f>IF('ORDENES'!$A50="","",IF('ORDENES'!$S50="","-",'ORDENES'!$S50))</f>
        <v/>
      </c>
      <c r="C72" s="5">
        <f>IF('ORDENES'!$A50="","",IF('ORDENES'!$AH50="","-",'ORDENES'!$AH50))</f>
        <v/>
      </c>
      <c r="D72" s="5">
        <f>IF('ORDENES'!$A50="","",IF('ORDENES'!$Z50="","-",'ORDENES'!$Z50))</f>
        <v/>
      </c>
      <c r="E72" s="5">
        <f>IF('ORDENES'!$A50="","",IF('ORDENES'!$X50="","-",'ORDENES'!$X50))</f>
        <v/>
      </c>
      <c r="F72" s="5">
        <f>IF('ORDENES'!$A50="","",IF('ORDENES'!$AA50="","-",'ORDENES'!$AA50))</f>
        <v/>
      </c>
      <c r="G72" s="5">
        <f>IF('ORDENES'!$A50="","",IF('ORDENES'!$Y50="","-",'ORDENES'!$Y50))</f>
        <v/>
      </c>
      <c r="H72" s="5">
        <f>IF('ORDENES'!$A50="","",IF('ORDENES'!$AG50="","-",'ORDENES'!$AG50))</f>
        <v/>
      </c>
      <c r="I72" s="5">
        <f>IF('ORDENES'!$A50="","",IF('ORDENES'!$AT50="","-",'ORDENES'!$AT50))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20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IF('ORDENES'!$A50="","",'ORDENES'!$AF50)</f>
        <v/>
      </c>
    </row>
    <row r="73">
      <c r="A73" s="5">
        <f>IF('ORDENES'!$A51="","",IF('ORDENES'!$O51="","-",'ORDENES'!$O51))</f>
        <v/>
      </c>
      <c r="B73" s="5">
        <f>IF('ORDENES'!$A51="","",IF('ORDENES'!$S51="","-",'ORDENES'!$S51))</f>
        <v/>
      </c>
      <c r="C73" s="5">
        <f>IF('ORDENES'!$A51="","",IF('ORDENES'!$AH51="","-",'ORDENES'!$AH51))</f>
        <v/>
      </c>
      <c r="D73" s="5">
        <f>IF('ORDENES'!$A51="","",IF('ORDENES'!$Z51="","-",'ORDENES'!$Z51))</f>
        <v/>
      </c>
      <c r="E73" s="5">
        <f>IF('ORDENES'!$A51="","",IF('ORDENES'!$X51="","-",'ORDENES'!$X51))</f>
        <v/>
      </c>
      <c r="F73" s="5">
        <f>IF('ORDENES'!$A51="","",IF('ORDENES'!$AA51="","-",'ORDENES'!$AA51))</f>
        <v/>
      </c>
      <c r="G73" s="5">
        <f>IF('ORDENES'!$A51="","",IF('ORDENES'!$Y51="","-",'ORDENES'!$Y51))</f>
        <v/>
      </c>
      <c r="H73" s="5">
        <f>IF('ORDENES'!$A51="","",IF('ORDENES'!$AG51="","-",'ORDENES'!$AG51))</f>
        <v/>
      </c>
      <c r="I73" s="5">
        <f>IF('ORDENES'!$A51="","",IF('ORDENES'!$AT51="","-",'ORDENES'!$AT51))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20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IF('ORDENES'!$A51="","",'ORDENES'!$AF51)</f>
        <v/>
      </c>
    </row>
    <row r="74">
      <c r="A74" s="5">
        <f>IF('ORDENES'!$A52="","",IF('ORDENES'!$O52="","-",'ORDENES'!$O52))</f>
        <v/>
      </c>
      <c r="B74" s="5">
        <f>IF('ORDENES'!$A52="","",IF('ORDENES'!$S52="","-",'ORDENES'!$S52))</f>
        <v/>
      </c>
      <c r="C74" s="5">
        <f>IF('ORDENES'!$A52="","",IF('ORDENES'!$AH52="","-",'ORDENES'!$AH52))</f>
        <v/>
      </c>
      <c r="D74" s="5">
        <f>IF('ORDENES'!$A52="","",IF('ORDENES'!$Z52="","-",'ORDENES'!$Z52))</f>
        <v/>
      </c>
      <c r="E74" s="5">
        <f>IF('ORDENES'!$A52="","",IF('ORDENES'!$X52="","-",'ORDENES'!$X52))</f>
        <v/>
      </c>
      <c r="F74" s="5">
        <f>IF('ORDENES'!$A52="","",IF('ORDENES'!$AA52="","-",'ORDENES'!$AA52))</f>
        <v/>
      </c>
      <c r="G74" s="5">
        <f>IF('ORDENES'!$A52="","",IF('ORDENES'!$Y52="","-",'ORDENES'!$Y52))</f>
        <v/>
      </c>
      <c r="H74" s="5">
        <f>IF('ORDENES'!$A52="","",IF('ORDENES'!$AG52="","-",'ORDENES'!$AG52))</f>
        <v/>
      </c>
      <c r="I74" s="5">
        <f>IF('ORDENES'!$A52="","",IF('ORDENES'!$AT52="","-",'ORDENES'!$AT52))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20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IF('ORDENES'!$A52="","",'ORDENES'!$AF52)</f>
        <v/>
      </c>
    </row>
    <row r="75">
      <c r="A75" s="5">
        <f>IF('ORDENES'!$A53="","",IF('ORDENES'!$O53="","-",'ORDENES'!$O53))</f>
        <v/>
      </c>
      <c r="B75" s="5">
        <f>IF('ORDENES'!$A53="","",IF('ORDENES'!$S53="","-",'ORDENES'!$S53))</f>
        <v/>
      </c>
      <c r="C75" s="5">
        <f>IF('ORDENES'!$A53="","",IF('ORDENES'!$AH53="","-",'ORDENES'!$AH53))</f>
        <v/>
      </c>
      <c r="D75" s="5">
        <f>IF('ORDENES'!$A53="","",IF('ORDENES'!$Z53="","-",'ORDENES'!$Z53))</f>
        <v/>
      </c>
      <c r="E75" s="5">
        <f>IF('ORDENES'!$A53="","",IF('ORDENES'!$X53="","-",'ORDENES'!$X53))</f>
        <v/>
      </c>
      <c r="F75" s="5">
        <f>IF('ORDENES'!$A53="","",IF('ORDENES'!$AA53="","-",'ORDENES'!$AA53))</f>
        <v/>
      </c>
      <c r="G75" s="5">
        <f>IF('ORDENES'!$A53="","",IF('ORDENES'!$Y53="","-",'ORDENES'!$Y53))</f>
        <v/>
      </c>
      <c r="H75" s="5">
        <f>IF('ORDENES'!$A53="","",IF('ORDENES'!$AG53="","-",'ORDENES'!$AG53))</f>
        <v/>
      </c>
      <c r="I75" s="5">
        <f>IF('ORDENES'!$A53="","",IF('ORDENES'!$AT53="","-",'ORDENES'!$AT53))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20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IF('ORDENES'!$A53="","",'ORDENES'!$AF53)</f>
        <v/>
      </c>
    </row>
    <row r="76">
      <c r="A76" s="5">
        <f>IF('ORDENES'!$A54="","",IF('ORDENES'!$O54="","-",'ORDENES'!$O54))</f>
        <v/>
      </c>
      <c r="B76" s="5">
        <f>IF('ORDENES'!$A54="","",IF('ORDENES'!$S54="","-",'ORDENES'!$S54))</f>
        <v/>
      </c>
      <c r="C76" s="5">
        <f>IF('ORDENES'!$A54="","",IF('ORDENES'!$AH54="","-",'ORDENES'!$AH54))</f>
        <v/>
      </c>
      <c r="D76" s="5">
        <f>IF('ORDENES'!$A54="","",IF('ORDENES'!$Z54="","-",'ORDENES'!$Z54))</f>
        <v/>
      </c>
      <c r="E76" s="5">
        <f>IF('ORDENES'!$A54="","",IF('ORDENES'!$X54="","-",'ORDENES'!$X54))</f>
        <v/>
      </c>
      <c r="F76" s="5">
        <f>IF('ORDENES'!$A54="","",IF('ORDENES'!$AA54="","-",'ORDENES'!$AA54))</f>
        <v/>
      </c>
      <c r="G76" s="5">
        <f>IF('ORDENES'!$A54="","",IF('ORDENES'!$Y54="","-",'ORDENES'!$Y54))</f>
        <v/>
      </c>
      <c r="H76" s="5">
        <f>IF('ORDENES'!$A54="","",IF('ORDENES'!$AG54="","-",'ORDENES'!$AG54))</f>
        <v/>
      </c>
      <c r="I76" s="5">
        <f>IF('ORDENES'!$A54="","",IF('ORDENES'!$AT54="","-",'ORDENES'!$AT54))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20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IF('ORDENES'!$A54="","",'ORDENES'!$AF54)</f>
        <v/>
      </c>
    </row>
    <row r="77">
      <c r="A77" s="5">
        <f>IF('ORDENES'!$A55="","",IF('ORDENES'!$O55="","-",'ORDENES'!$O55))</f>
        <v/>
      </c>
      <c r="B77" s="5">
        <f>IF('ORDENES'!$A55="","",IF('ORDENES'!$S55="","-",'ORDENES'!$S55))</f>
        <v/>
      </c>
      <c r="C77" s="5">
        <f>IF('ORDENES'!$A55="","",IF('ORDENES'!$AH55="","-",'ORDENES'!$AH55))</f>
        <v/>
      </c>
      <c r="D77" s="5">
        <f>IF('ORDENES'!$A55="","",IF('ORDENES'!$Z55="","-",'ORDENES'!$Z55))</f>
        <v/>
      </c>
      <c r="E77" s="5">
        <f>IF('ORDENES'!$A55="","",IF('ORDENES'!$X55="","-",'ORDENES'!$X55))</f>
        <v/>
      </c>
      <c r="F77" s="5">
        <f>IF('ORDENES'!$A55="","",IF('ORDENES'!$AA55="","-",'ORDENES'!$AA55))</f>
        <v/>
      </c>
      <c r="G77" s="5">
        <f>IF('ORDENES'!$A55="","",IF('ORDENES'!$Y55="","-",'ORDENES'!$Y55))</f>
        <v/>
      </c>
      <c r="H77" s="5">
        <f>IF('ORDENES'!$A55="","",IF('ORDENES'!$AG55="","-",'ORDENES'!$AG55))</f>
        <v/>
      </c>
      <c r="I77" s="5">
        <f>IF('ORDENES'!$A55="","",IF('ORDENES'!$AT55="","-",'ORDENES'!$AT55))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20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IF('ORDENES'!$A55="","",'ORDENES'!$AF55)</f>
        <v/>
      </c>
    </row>
    <row r="78">
      <c r="A78" s="5">
        <f>IF('ORDENES'!$A56="","",IF('ORDENES'!$O56="","-",'ORDENES'!$O56))</f>
        <v/>
      </c>
      <c r="B78" s="5">
        <f>IF('ORDENES'!$A56="","",IF('ORDENES'!$S56="","-",'ORDENES'!$S56))</f>
        <v/>
      </c>
      <c r="C78" s="5">
        <f>IF('ORDENES'!$A56="","",IF('ORDENES'!$AH56="","-",'ORDENES'!$AH56))</f>
        <v/>
      </c>
      <c r="D78" s="5">
        <f>IF('ORDENES'!$A56="","",IF('ORDENES'!$Z56="","-",'ORDENES'!$Z56))</f>
        <v/>
      </c>
      <c r="E78" s="5">
        <f>IF('ORDENES'!$A56="","",IF('ORDENES'!$X56="","-",'ORDENES'!$X56))</f>
        <v/>
      </c>
      <c r="F78" s="5">
        <f>IF('ORDENES'!$A56="","",IF('ORDENES'!$AA56="","-",'ORDENES'!$AA56))</f>
        <v/>
      </c>
      <c r="G78" s="5">
        <f>IF('ORDENES'!$A56="","",IF('ORDENES'!$Y56="","-",'ORDENES'!$Y56))</f>
        <v/>
      </c>
      <c r="H78" s="5">
        <f>IF('ORDENES'!$A56="","",IF('ORDENES'!$AG56="","-",'ORDENES'!$AG56))</f>
        <v/>
      </c>
      <c r="I78" s="5">
        <f>IF('ORDENES'!$A56="","",IF('ORDENES'!$AT56="","-",'ORDENES'!$AT56))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20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IF('ORDENES'!$A56="","",'ORDENES'!$AF56)</f>
        <v/>
      </c>
    </row>
    <row r="79">
      <c r="A79" s="5">
        <f>IF('ORDENES'!$A57="","",IF('ORDENES'!$O57="","-",'ORDENES'!$O57))</f>
        <v/>
      </c>
      <c r="B79" s="5">
        <f>IF('ORDENES'!$A57="","",IF('ORDENES'!$S57="","-",'ORDENES'!$S57))</f>
        <v/>
      </c>
      <c r="C79" s="5">
        <f>IF('ORDENES'!$A57="","",IF('ORDENES'!$AH57="","-",'ORDENES'!$AH57))</f>
        <v/>
      </c>
      <c r="D79" s="5">
        <f>IF('ORDENES'!$A57="","",IF('ORDENES'!$Z57="","-",'ORDENES'!$Z57))</f>
        <v/>
      </c>
      <c r="E79" s="5">
        <f>IF('ORDENES'!$A57="","",IF('ORDENES'!$X57="","-",'ORDENES'!$X57))</f>
        <v/>
      </c>
      <c r="F79" s="5">
        <f>IF('ORDENES'!$A57="","",IF('ORDENES'!$AA57="","-",'ORDENES'!$AA57))</f>
        <v/>
      </c>
      <c r="G79" s="5">
        <f>IF('ORDENES'!$A57="","",IF('ORDENES'!$Y57="","-",'ORDENES'!$Y57))</f>
        <v/>
      </c>
      <c r="H79" s="5">
        <f>IF('ORDENES'!$A57="","",IF('ORDENES'!$AG57="","-",'ORDENES'!$AG57))</f>
        <v/>
      </c>
      <c r="I79" s="5">
        <f>IF('ORDENES'!$A57="","",IF('ORDENES'!$AT57="","-",'ORDENES'!$AT57))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20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IF('ORDENES'!$A57="","",'ORDENES'!$AF57)</f>
        <v/>
      </c>
    </row>
    <row r="80">
      <c r="A80" s="5">
        <f>IF('ORDENES'!$A58="","",IF('ORDENES'!$O58="","-",'ORDENES'!$O58))</f>
        <v/>
      </c>
      <c r="B80" s="5">
        <f>IF('ORDENES'!$A58="","",IF('ORDENES'!$S58="","-",'ORDENES'!$S58))</f>
        <v/>
      </c>
      <c r="C80" s="5">
        <f>IF('ORDENES'!$A58="","",IF('ORDENES'!$AH58="","-",'ORDENES'!$AH58))</f>
        <v/>
      </c>
      <c r="D80" s="5">
        <f>IF('ORDENES'!$A58="","",IF('ORDENES'!$Z58="","-",'ORDENES'!$Z58))</f>
        <v/>
      </c>
      <c r="E80" s="5">
        <f>IF('ORDENES'!$A58="","",IF('ORDENES'!$X58="","-",'ORDENES'!$X58))</f>
        <v/>
      </c>
      <c r="F80" s="5">
        <f>IF('ORDENES'!$A58="","",IF('ORDENES'!$AA58="","-",'ORDENES'!$AA58))</f>
        <v/>
      </c>
      <c r="G80" s="5">
        <f>IF('ORDENES'!$A58="","",IF('ORDENES'!$Y58="","-",'ORDENES'!$Y58))</f>
        <v/>
      </c>
      <c r="H80" s="5">
        <f>IF('ORDENES'!$A58="","",IF('ORDENES'!$AG58="","-",'ORDENES'!$AG58))</f>
        <v/>
      </c>
      <c r="I80" s="5">
        <f>IF('ORDENES'!$A58="","",IF('ORDENES'!$AT58="","-",'ORDENES'!$AT58))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20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IF('ORDENES'!$A58="","",'ORDENES'!$AF58)</f>
        <v/>
      </c>
    </row>
    <row r="81">
      <c r="A81" s="5">
        <f>IF('ORDENES'!$A59="","",IF('ORDENES'!$O59="","-",'ORDENES'!$O59))</f>
        <v/>
      </c>
      <c r="B81" s="5">
        <f>IF('ORDENES'!$A59="","",IF('ORDENES'!$S59="","-",'ORDENES'!$S59))</f>
        <v/>
      </c>
      <c r="C81" s="5">
        <f>IF('ORDENES'!$A59="","",IF('ORDENES'!$AH59="","-",'ORDENES'!$AH59))</f>
        <v/>
      </c>
      <c r="D81" s="5">
        <f>IF('ORDENES'!$A59="","",IF('ORDENES'!$Z59="","-",'ORDENES'!$Z59))</f>
        <v/>
      </c>
      <c r="E81" s="5">
        <f>IF('ORDENES'!$A59="","",IF('ORDENES'!$X59="","-",'ORDENES'!$X59))</f>
        <v/>
      </c>
      <c r="F81" s="5">
        <f>IF('ORDENES'!$A59="","",IF('ORDENES'!$AA59="","-",'ORDENES'!$AA59))</f>
        <v/>
      </c>
      <c r="G81" s="5">
        <f>IF('ORDENES'!$A59="","",IF('ORDENES'!$Y59="","-",'ORDENES'!$Y59))</f>
        <v/>
      </c>
      <c r="H81" s="5">
        <f>IF('ORDENES'!$A59="","",IF('ORDENES'!$AG59="","-",'ORDENES'!$AG59))</f>
        <v/>
      </c>
      <c r="I81" s="5">
        <f>IF('ORDENES'!$A59="","",IF('ORDENES'!$AT59="","-",'ORDENES'!$AT59))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20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IF('ORDENES'!$A59="","",'ORDENES'!$AF59)</f>
        <v/>
      </c>
    </row>
    <row r="82">
      <c r="A82" s="5">
        <f>IF('ORDENES'!$A60="","",IF('ORDENES'!$O60="","-",'ORDENES'!$O60))</f>
        <v/>
      </c>
      <c r="B82" s="5">
        <f>IF('ORDENES'!$A60="","",IF('ORDENES'!$S60="","-",'ORDENES'!$S60))</f>
        <v/>
      </c>
      <c r="C82" s="5">
        <f>IF('ORDENES'!$A60="","",IF('ORDENES'!$AH60="","-",'ORDENES'!$AH60))</f>
        <v/>
      </c>
      <c r="D82" s="5">
        <f>IF('ORDENES'!$A60="","",IF('ORDENES'!$Z60="","-",'ORDENES'!$Z60))</f>
        <v/>
      </c>
      <c r="E82" s="5">
        <f>IF('ORDENES'!$A60="","",IF('ORDENES'!$X60="","-",'ORDENES'!$X60))</f>
        <v/>
      </c>
      <c r="F82" s="5">
        <f>IF('ORDENES'!$A60="","",IF('ORDENES'!$AA60="","-",'ORDENES'!$AA60))</f>
        <v/>
      </c>
      <c r="G82" s="5">
        <f>IF('ORDENES'!$A60="","",IF('ORDENES'!$Y60="","-",'ORDENES'!$Y60))</f>
        <v/>
      </c>
      <c r="H82" s="5">
        <f>IF('ORDENES'!$A60="","",IF('ORDENES'!$AG60="","-",'ORDENES'!$AG60))</f>
        <v/>
      </c>
      <c r="I82" s="5">
        <f>IF('ORDENES'!$A60="","",IF('ORDENES'!$AT60="","-",'ORDENES'!$AT60))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20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IF('ORDENES'!$A60="","",'ORDENES'!$AF60)</f>
        <v/>
      </c>
    </row>
    <row r="83">
      <c r="A83" s="5">
        <f>IF('ORDENES'!$A61="","",IF('ORDENES'!$O61="","-",'ORDENES'!$O61))</f>
        <v/>
      </c>
      <c r="B83" s="5">
        <f>IF('ORDENES'!$A61="","",IF('ORDENES'!$S61="","-",'ORDENES'!$S61))</f>
        <v/>
      </c>
      <c r="C83" s="5">
        <f>IF('ORDENES'!$A61="","",IF('ORDENES'!$AH61="","-",'ORDENES'!$AH61))</f>
        <v/>
      </c>
      <c r="D83" s="5">
        <f>IF('ORDENES'!$A61="","",IF('ORDENES'!$Z61="","-",'ORDENES'!$Z61))</f>
        <v/>
      </c>
      <c r="E83" s="5">
        <f>IF('ORDENES'!$A61="","",IF('ORDENES'!$X61="","-",'ORDENES'!$X61))</f>
        <v/>
      </c>
      <c r="F83" s="5">
        <f>IF('ORDENES'!$A61="","",IF('ORDENES'!$AA61="","-",'ORDENES'!$AA61))</f>
        <v/>
      </c>
      <c r="G83" s="5">
        <f>IF('ORDENES'!$A61="","",IF('ORDENES'!$Y61="","-",'ORDENES'!$Y61))</f>
        <v/>
      </c>
      <c r="H83" s="5">
        <f>IF('ORDENES'!$A61="","",IF('ORDENES'!$AG61="","-",'ORDENES'!$AG61))</f>
        <v/>
      </c>
      <c r="I83" s="5">
        <f>IF('ORDENES'!$A61="","",IF('ORDENES'!$AT61="","-",'ORDENES'!$AT61))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20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IF('ORDENES'!$A61="","",'ORDENES'!$AF61)</f>
        <v/>
      </c>
    </row>
    <row r="84">
      <c r="A84" s="5">
        <f>IF('ORDENES'!$A62="","",IF('ORDENES'!$O62="","-",'ORDENES'!$O62))</f>
        <v/>
      </c>
      <c r="B84" s="5">
        <f>IF('ORDENES'!$A62="","",IF('ORDENES'!$S62="","-",'ORDENES'!$S62))</f>
        <v/>
      </c>
      <c r="C84" s="5">
        <f>IF('ORDENES'!$A62="","",IF('ORDENES'!$AH62="","-",'ORDENES'!$AH62))</f>
        <v/>
      </c>
      <c r="D84" s="5">
        <f>IF('ORDENES'!$A62="","",IF('ORDENES'!$Z62="","-",'ORDENES'!$Z62))</f>
        <v/>
      </c>
      <c r="E84" s="5">
        <f>IF('ORDENES'!$A62="","",IF('ORDENES'!$X62="","-",'ORDENES'!$X62))</f>
        <v/>
      </c>
      <c r="F84" s="5">
        <f>IF('ORDENES'!$A62="","",IF('ORDENES'!$AA62="","-",'ORDENES'!$AA62))</f>
        <v/>
      </c>
      <c r="G84" s="5">
        <f>IF('ORDENES'!$A62="","",IF('ORDENES'!$Y62="","-",'ORDENES'!$Y62))</f>
        <v/>
      </c>
      <c r="H84" s="5">
        <f>IF('ORDENES'!$A62="","",IF('ORDENES'!$AG62="","-",'ORDENES'!$AG62))</f>
        <v/>
      </c>
      <c r="I84" s="5">
        <f>IF('ORDENES'!$A62="","",IF('ORDENES'!$AT62="","-",'ORDENES'!$AT62))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20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IF('ORDENES'!$A62="","",'ORDENES'!$AF62)</f>
        <v/>
      </c>
    </row>
    <row r="85">
      <c r="A85" s="5">
        <f>IF('ORDENES'!$A63="","",IF('ORDENES'!$O63="","-",'ORDENES'!$O63))</f>
        <v/>
      </c>
      <c r="B85" s="5">
        <f>IF('ORDENES'!$A63="","",IF('ORDENES'!$S63="","-",'ORDENES'!$S63))</f>
        <v/>
      </c>
      <c r="C85" s="5">
        <f>IF('ORDENES'!$A63="","",IF('ORDENES'!$AH63="","-",'ORDENES'!$AH63))</f>
        <v/>
      </c>
      <c r="D85" s="5">
        <f>IF('ORDENES'!$A63="","",IF('ORDENES'!$Z63="","-",'ORDENES'!$Z63))</f>
        <v/>
      </c>
      <c r="E85" s="5">
        <f>IF('ORDENES'!$A63="","",IF('ORDENES'!$X63="","-",'ORDENES'!$X63))</f>
        <v/>
      </c>
      <c r="F85" s="5">
        <f>IF('ORDENES'!$A63="","",IF('ORDENES'!$AA63="","-",'ORDENES'!$AA63))</f>
        <v/>
      </c>
      <c r="G85" s="5">
        <f>IF('ORDENES'!$A63="","",IF('ORDENES'!$Y63="","-",'ORDENES'!$Y63))</f>
        <v/>
      </c>
      <c r="H85" s="5">
        <f>IF('ORDENES'!$A63="","",IF('ORDENES'!$AG63="","-",'ORDENES'!$AG63))</f>
        <v/>
      </c>
      <c r="I85" s="5">
        <f>IF('ORDENES'!$A63="","",IF('ORDENES'!$AT63="","-",'ORDENES'!$AT63))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20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IF('ORDENES'!$A63="","",'ORDENES'!$AF63)</f>
        <v/>
      </c>
    </row>
    <row r="86">
      <c r="A86" s="5">
        <f>IF('ORDENES'!$A64="","",IF('ORDENES'!$O64="","-",'ORDENES'!$O64))</f>
        <v/>
      </c>
      <c r="B86" s="5">
        <f>IF('ORDENES'!$A64="","",IF('ORDENES'!$S64="","-",'ORDENES'!$S64))</f>
        <v/>
      </c>
      <c r="C86" s="5">
        <f>IF('ORDENES'!$A64="","",IF('ORDENES'!$AH64="","-",'ORDENES'!$AH64))</f>
        <v/>
      </c>
      <c r="D86" s="5">
        <f>IF('ORDENES'!$A64="","",IF('ORDENES'!$Z64="","-",'ORDENES'!$Z64))</f>
        <v/>
      </c>
      <c r="E86" s="5">
        <f>IF('ORDENES'!$A64="","",IF('ORDENES'!$X64="","-",'ORDENES'!$X64))</f>
        <v/>
      </c>
      <c r="F86" s="5">
        <f>IF('ORDENES'!$A64="","",IF('ORDENES'!$AA64="","-",'ORDENES'!$AA64))</f>
        <v/>
      </c>
      <c r="G86" s="5">
        <f>IF('ORDENES'!$A64="","",IF('ORDENES'!$Y64="","-",'ORDENES'!$Y64))</f>
        <v/>
      </c>
      <c r="H86" s="5">
        <f>IF('ORDENES'!$A64="","",IF('ORDENES'!$AG64="","-",'ORDENES'!$AG64))</f>
        <v/>
      </c>
      <c r="I86" s="5">
        <f>IF('ORDENES'!$A64="","",IF('ORDENES'!$AT64="","-",'ORDENES'!$AT64))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20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IF('ORDENES'!$A64="","",'ORDENES'!$AF64)</f>
        <v/>
      </c>
    </row>
    <row r="87">
      <c r="A87" s="5">
        <f>IF('ORDENES'!$A65="","",IF('ORDENES'!$O65="","-",'ORDENES'!$O65))</f>
        <v/>
      </c>
      <c r="B87" s="5">
        <f>IF('ORDENES'!$A65="","",IF('ORDENES'!$S65="","-",'ORDENES'!$S65))</f>
        <v/>
      </c>
      <c r="C87" s="5">
        <f>IF('ORDENES'!$A65="","",IF('ORDENES'!$AH65="","-",'ORDENES'!$AH65))</f>
        <v/>
      </c>
      <c r="D87" s="5">
        <f>IF('ORDENES'!$A65="","",IF('ORDENES'!$Z65="","-",'ORDENES'!$Z65))</f>
        <v/>
      </c>
      <c r="E87" s="5">
        <f>IF('ORDENES'!$A65="","",IF('ORDENES'!$X65="","-",'ORDENES'!$X65))</f>
        <v/>
      </c>
      <c r="F87" s="5">
        <f>IF('ORDENES'!$A65="","",IF('ORDENES'!$AA65="","-",'ORDENES'!$AA65))</f>
        <v/>
      </c>
      <c r="G87" s="5">
        <f>IF('ORDENES'!$A65="","",IF('ORDENES'!$Y65="","-",'ORDENES'!$Y65))</f>
        <v/>
      </c>
      <c r="H87" s="5">
        <f>IF('ORDENES'!$A65="","",IF('ORDENES'!$AG65="","-",'ORDENES'!$AG65))</f>
        <v/>
      </c>
      <c r="I87" s="5">
        <f>IF('ORDENES'!$A65="","",IF('ORDENES'!$AT65="","-",'ORDENES'!$AT65))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20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IF('ORDENES'!$A65="","",'ORDENES'!$AF65)</f>
        <v/>
      </c>
    </row>
    <row r="88">
      <c r="A88" s="5">
        <f>IF('ORDENES'!$A66="","",IF('ORDENES'!$O66="","-",'ORDENES'!$O66))</f>
        <v/>
      </c>
      <c r="B88" s="5">
        <f>IF('ORDENES'!$A66="","",IF('ORDENES'!$S66="","-",'ORDENES'!$S66))</f>
        <v/>
      </c>
      <c r="C88" s="5">
        <f>IF('ORDENES'!$A66="","",IF('ORDENES'!$AH66="","-",'ORDENES'!$AH66))</f>
        <v/>
      </c>
      <c r="D88" s="5">
        <f>IF('ORDENES'!$A66="","",IF('ORDENES'!$Z66="","-",'ORDENES'!$Z66))</f>
        <v/>
      </c>
      <c r="E88" s="5">
        <f>IF('ORDENES'!$A66="","",IF('ORDENES'!$X66="","-",'ORDENES'!$X66))</f>
        <v/>
      </c>
      <c r="F88" s="5">
        <f>IF('ORDENES'!$A66="","",IF('ORDENES'!$AA66="","-",'ORDENES'!$AA66))</f>
        <v/>
      </c>
      <c r="G88" s="5">
        <f>IF('ORDENES'!$A66="","",IF('ORDENES'!$Y66="","-",'ORDENES'!$Y66))</f>
        <v/>
      </c>
      <c r="H88" s="5">
        <f>IF('ORDENES'!$A66="","",IF('ORDENES'!$AG66="","-",'ORDENES'!$AG66))</f>
        <v/>
      </c>
      <c r="I88" s="5">
        <f>IF('ORDENES'!$A66="","",IF('ORDENES'!$AT66="","-",'ORDENES'!$AT66))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20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IF('ORDENES'!$A66="","",'ORDENES'!$AF66)</f>
        <v/>
      </c>
    </row>
    <row r="89">
      <c r="A89" s="5">
        <f>IF('ORDENES'!$A67="","",IF('ORDENES'!$O67="","-",'ORDENES'!$O67))</f>
        <v/>
      </c>
      <c r="B89" s="5">
        <f>IF('ORDENES'!$A67="","",IF('ORDENES'!$S67="","-",'ORDENES'!$S67))</f>
        <v/>
      </c>
      <c r="C89" s="5">
        <f>IF('ORDENES'!$A67="","",IF('ORDENES'!$AH67="","-",'ORDENES'!$AH67))</f>
        <v/>
      </c>
      <c r="D89" s="5">
        <f>IF('ORDENES'!$A67="","",IF('ORDENES'!$Z67="","-",'ORDENES'!$Z67))</f>
        <v/>
      </c>
      <c r="E89" s="5">
        <f>IF('ORDENES'!$A67="","",IF('ORDENES'!$X67="","-",'ORDENES'!$X67))</f>
        <v/>
      </c>
      <c r="F89" s="5">
        <f>IF('ORDENES'!$A67="","",IF('ORDENES'!$AA67="","-",'ORDENES'!$AA67))</f>
        <v/>
      </c>
      <c r="G89" s="5">
        <f>IF('ORDENES'!$A67="","",IF('ORDENES'!$Y67="","-",'ORDENES'!$Y67))</f>
        <v/>
      </c>
      <c r="H89" s="5">
        <f>IF('ORDENES'!$A67="","",IF('ORDENES'!$AG67="","-",'ORDENES'!$AG67))</f>
        <v/>
      </c>
      <c r="I89" s="5">
        <f>IF('ORDENES'!$A67="","",IF('ORDENES'!$AT67="","-",'ORDENES'!$AT67))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20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IF('ORDENES'!$A67="","",'ORDENES'!$AF67)</f>
        <v/>
      </c>
    </row>
    <row r="90">
      <c r="A90" s="5">
        <f>IF('ORDENES'!$A68="","",IF('ORDENES'!$O68="","-",'ORDENES'!$O68))</f>
        <v/>
      </c>
      <c r="B90" s="5">
        <f>IF('ORDENES'!$A68="","",IF('ORDENES'!$S68="","-",'ORDENES'!$S68))</f>
        <v/>
      </c>
      <c r="C90" s="5">
        <f>IF('ORDENES'!$A68="","",IF('ORDENES'!$AH68="","-",'ORDENES'!$AH68))</f>
        <v/>
      </c>
      <c r="D90" s="5">
        <f>IF('ORDENES'!$A68="","",IF('ORDENES'!$Z68="","-",'ORDENES'!$Z68))</f>
        <v/>
      </c>
      <c r="E90" s="5">
        <f>IF('ORDENES'!$A68="","",IF('ORDENES'!$X68="","-",'ORDENES'!$X68))</f>
        <v/>
      </c>
      <c r="F90" s="5">
        <f>IF('ORDENES'!$A68="","",IF('ORDENES'!$AA68="","-",'ORDENES'!$AA68))</f>
        <v/>
      </c>
      <c r="G90" s="5">
        <f>IF('ORDENES'!$A68="","",IF('ORDENES'!$Y68="","-",'ORDENES'!$Y68))</f>
        <v/>
      </c>
      <c r="H90" s="5">
        <f>IF('ORDENES'!$A68="","",IF('ORDENES'!$AG68="","-",'ORDENES'!$AG68))</f>
        <v/>
      </c>
      <c r="I90" s="5">
        <f>IF('ORDENES'!$A68="","",IF('ORDENES'!$AT68="","-",'ORDENES'!$AT68))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20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IF('ORDENES'!$A68="","",'ORDENES'!$AF68)</f>
        <v/>
      </c>
    </row>
    <row r="91">
      <c r="A91" s="5">
        <f>IF('ORDENES'!$A69="","",IF('ORDENES'!$O69="","-",'ORDENES'!$O69))</f>
        <v/>
      </c>
      <c r="B91" s="5">
        <f>IF('ORDENES'!$A69="","",IF('ORDENES'!$S69="","-",'ORDENES'!$S69))</f>
        <v/>
      </c>
      <c r="C91" s="5">
        <f>IF('ORDENES'!$A69="","",IF('ORDENES'!$AH69="","-",'ORDENES'!$AH69))</f>
        <v/>
      </c>
      <c r="D91" s="5">
        <f>IF('ORDENES'!$A69="","",IF('ORDENES'!$Z69="","-",'ORDENES'!$Z69))</f>
        <v/>
      </c>
      <c r="E91" s="5">
        <f>IF('ORDENES'!$A69="","",IF('ORDENES'!$X69="","-",'ORDENES'!$X69))</f>
        <v/>
      </c>
      <c r="F91" s="5">
        <f>IF('ORDENES'!$A69="","",IF('ORDENES'!$AA69="","-",'ORDENES'!$AA69))</f>
        <v/>
      </c>
      <c r="G91" s="5">
        <f>IF('ORDENES'!$A69="","",IF('ORDENES'!$Y69="","-",'ORDENES'!$Y69))</f>
        <v/>
      </c>
      <c r="H91" s="5">
        <f>IF('ORDENES'!$A69="","",IF('ORDENES'!$AG69="","-",'ORDENES'!$AG69))</f>
        <v/>
      </c>
      <c r="I91" s="5">
        <f>IF('ORDENES'!$A69="","",IF('ORDENES'!$AT69="","-",'ORDENES'!$AT69))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20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IF('ORDENES'!$A69="","",'ORDENES'!$AF69)</f>
        <v/>
      </c>
    </row>
    <row r="92">
      <c r="A92" s="5">
        <f>IF('ORDENES'!$A70="","",IF('ORDENES'!$O70="","-",'ORDENES'!$O70))</f>
        <v/>
      </c>
      <c r="B92" s="5">
        <f>IF('ORDENES'!$A70="","",IF('ORDENES'!$S70="","-",'ORDENES'!$S70))</f>
        <v/>
      </c>
      <c r="C92" s="5">
        <f>IF('ORDENES'!$A70="","",IF('ORDENES'!$AH70="","-",'ORDENES'!$AH70))</f>
        <v/>
      </c>
      <c r="D92" s="5">
        <f>IF('ORDENES'!$A70="","",IF('ORDENES'!$Z70="","-",'ORDENES'!$Z70))</f>
        <v/>
      </c>
      <c r="E92" s="5">
        <f>IF('ORDENES'!$A70="","",IF('ORDENES'!$X70="","-",'ORDENES'!$X70))</f>
        <v/>
      </c>
      <c r="F92" s="5">
        <f>IF('ORDENES'!$A70="","",IF('ORDENES'!$AA70="","-",'ORDENES'!$AA70))</f>
        <v/>
      </c>
      <c r="G92" s="5">
        <f>IF('ORDENES'!$A70="","",IF('ORDENES'!$Y70="","-",'ORDENES'!$Y70))</f>
        <v/>
      </c>
      <c r="H92" s="5">
        <f>IF('ORDENES'!$A70="","",IF('ORDENES'!$AG70="","-",'ORDENES'!$AG70))</f>
        <v/>
      </c>
      <c r="I92" s="5">
        <f>IF('ORDENES'!$A70="","",IF('ORDENES'!$AT70="","-",'ORDENES'!$AT70))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20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IF('ORDENES'!$A70="","",'ORDENES'!$AF70)</f>
        <v/>
      </c>
    </row>
    <row r="93">
      <c r="A93" s="5">
        <f>IF('ORDENES'!$A71="","",IF('ORDENES'!$O71="","-",'ORDENES'!$O71))</f>
        <v/>
      </c>
      <c r="B93" s="5">
        <f>IF('ORDENES'!$A71="","",IF('ORDENES'!$S71="","-",'ORDENES'!$S71))</f>
        <v/>
      </c>
      <c r="C93" s="5">
        <f>IF('ORDENES'!$A71="","",IF('ORDENES'!$AH71="","-",'ORDENES'!$AH71))</f>
        <v/>
      </c>
      <c r="D93" s="5">
        <f>IF('ORDENES'!$A71="","",IF('ORDENES'!$Z71="","-",'ORDENES'!$Z71))</f>
        <v/>
      </c>
      <c r="E93" s="5">
        <f>IF('ORDENES'!$A71="","",IF('ORDENES'!$X71="","-",'ORDENES'!$X71))</f>
        <v/>
      </c>
      <c r="F93" s="5">
        <f>IF('ORDENES'!$A71="","",IF('ORDENES'!$AA71="","-",'ORDENES'!$AA71))</f>
        <v/>
      </c>
      <c r="G93" s="5">
        <f>IF('ORDENES'!$A71="","",IF('ORDENES'!$Y71="","-",'ORDENES'!$Y71))</f>
        <v/>
      </c>
      <c r="H93" s="5">
        <f>IF('ORDENES'!$A71="","",IF('ORDENES'!$AG71="","-",'ORDENES'!$AG71))</f>
        <v/>
      </c>
      <c r="I93" s="5">
        <f>IF('ORDENES'!$A71="","",IF('ORDENES'!$AT71="","-",'ORDENES'!$AT71))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20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IF('ORDENES'!$A71="","",'ORDENES'!$AF71)</f>
        <v/>
      </c>
    </row>
    <row r="94">
      <c r="A94" s="5">
        <f>IF('ORDENES'!$A72="","",IF('ORDENES'!$O72="","-",'ORDENES'!$O72))</f>
        <v/>
      </c>
      <c r="B94" s="5">
        <f>IF('ORDENES'!$A72="","",IF('ORDENES'!$S72="","-",'ORDENES'!$S72))</f>
        <v/>
      </c>
      <c r="C94" s="5">
        <f>IF('ORDENES'!$A72="","",IF('ORDENES'!$AH72="","-",'ORDENES'!$AH72))</f>
        <v/>
      </c>
      <c r="D94" s="5">
        <f>IF('ORDENES'!$A72="","",IF('ORDENES'!$Z72="","-",'ORDENES'!$Z72))</f>
        <v/>
      </c>
      <c r="E94" s="5">
        <f>IF('ORDENES'!$A72="","",IF('ORDENES'!$X72="","-",'ORDENES'!$X72))</f>
        <v/>
      </c>
      <c r="F94" s="5">
        <f>IF('ORDENES'!$A72="","",IF('ORDENES'!$AA72="","-",'ORDENES'!$AA72))</f>
        <v/>
      </c>
      <c r="G94" s="5">
        <f>IF('ORDENES'!$A72="","",IF('ORDENES'!$Y72="","-",'ORDENES'!$Y72))</f>
        <v/>
      </c>
      <c r="H94" s="5">
        <f>IF('ORDENES'!$A72="","",IF('ORDENES'!$AG72="","-",'ORDENES'!$AG72))</f>
        <v/>
      </c>
      <c r="I94" s="5">
        <f>IF('ORDENES'!$A72="","",IF('ORDENES'!$AT72="","-",'ORDENES'!$AT72))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20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IF('ORDENES'!$A72="","",'ORDENES'!$AF72)</f>
        <v/>
      </c>
    </row>
    <row r="95">
      <c r="A95" s="5">
        <f>IF('ORDENES'!$A73="","",IF('ORDENES'!$O73="","-",'ORDENES'!$O73))</f>
        <v/>
      </c>
      <c r="B95" s="5">
        <f>IF('ORDENES'!$A73="","",IF('ORDENES'!$S73="","-",'ORDENES'!$S73))</f>
        <v/>
      </c>
      <c r="C95" s="5">
        <f>IF('ORDENES'!$A73="","",IF('ORDENES'!$AH73="","-",'ORDENES'!$AH73))</f>
        <v/>
      </c>
      <c r="D95" s="5">
        <f>IF('ORDENES'!$A73="","",IF('ORDENES'!$Z73="","-",'ORDENES'!$Z73))</f>
        <v/>
      </c>
      <c r="E95" s="5">
        <f>IF('ORDENES'!$A73="","",IF('ORDENES'!$X73="","-",'ORDENES'!$X73))</f>
        <v/>
      </c>
      <c r="F95" s="5">
        <f>IF('ORDENES'!$A73="","",IF('ORDENES'!$AA73="","-",'ORDENES'!$AA73))</f>
        <v/>
      </c>
      <c r="G95" s="5">
        <f>IF('ORDENES'!$A73="","",IF('ORDENES'!$Y73="","-",'ORDENES'!$Y73))</f>
        <v/>
      </c>
      <c r="H95" s="5">
        <f>IF('ORDENES'!$A73="","",IF('ORDENES'!$AG73="","-",'ORDENES'!$AG73))</f>
        <v/>
      </c>
      <c r="I95" s="5">
        <f>IF('ORDENES'!$A73="","",IF('ORDENES'!$AT73="","-",'ORDENES'!$AT73))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20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IF('ORDENES'!$A73="","",'ORDENES'!$AF73)</f>
        <v/>
      </c>
    </row>
    <row r="96">
      <c r="A96" s="5">
        <f>IF('ORDENES'!$A74="","",IF('ORDENES'!$O74="","-",'ORDENES'!$O74))</f>
        <v/>
      </c>
      <c r="B96" s="5">
        <f>IF('ORDENES'!$A74="","",IF('ORDENES'!$S74="","-",'ORDENES'!$S74))</f>
        <v/>
      </c>
      <c r="C96" s="5">
        <f>IF('ORDENES'!$A74="","",IF('ORDENES'!$AH74="","-",'ORDENES'!$AH74))</f>
        <v/>
      </c>
      <c r="D96" s="5">
        <f>IF('ORDENES'!$A74="","",IF('ORDENES'!$Z74="","-",'ORDENES'!$Z74))</f>
        <v/>
      </c>
      <c r="E96" s="5">
        <f>IF('ORDENES'!$A74="","",IF('ORDENES'!$X74="","-",'ORDENES'!$X74))</f>
        <v/>
      </c>
      <c r="F96" s="5">
        <f>IF('ORDENES'!$A74="","",IF('ORDENES'!$AA74="","-",'ORDENES'!$AA74))</f>
        <v/>
      </c>
      <c r="G96" s="5">
        <f>IF('ORDENES'!$A74="","",IF('ORDENES'!$Y74="","-",'ORDENES'!$Y74))</f>
        <v/>
      </c>
      <c r="H96" s="5">
        <f>IF('ORDENES'!$A74="","",IF('ORDENES'!$AG74="","-",'ORDENES'!$AG74))</f>
        <v/>
      </c>
      <c r="I96" s="5">
        <f>IF('ORDENES'!$A74="","",IF('ORDENES'!$AT74="","-",'ORDENES'!$AT74))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20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IF('ORDENES'!$A74="","",'ORDENES'!$AF74)</f>
        <v/>
      </c>
    </row>
    <row r="97">
      <c r="A97" s="5">
        <f>IF('ORDENES'!$A75="","",IF('ORDENES'!$O75="","-",'ORDENES'!$O75))</f>
        <v/>
      </c>
      <c r="B97" s="5">
        <f>IF('ORDENES'!$A75="","",IF('ORDENES'!$S75="","-",'ORDENES'!$S75))</f>
        <v/>
      </c>
      <c r="C97" s="5">
        <f>IF('ORDENES'!$A75="","",IF('ORDENES'!$AH75="","-",'ORDENES'!$AH75))</f>
        <v/>
      </c>
      <c r="D97" s="5">
        <f>IF('ORDENES'!$A75="","",IF('ORDENES'!$Z75="","-",'ORDENES'!$Z75))</f>
        <v/>
      </c>
      <c r="E97" s="5">
        <f>IF('ORDENES'!$A75="","",IF('ORDENES'!$X75="","-",'ORDENES'!$X75))</f>
        <v/>
      </c>
      <c r="F97" s="5">
        <f>IF('ORDENES'!$A75="","",IF('ORDENES'!$AA75="","-",'ORDENES'!$AA75))</f>
        <v/>
      </c>
      <c r="G97" s="5">
        <f>IF('ORDENES'!$A75="","",IF('ORDENES'!$Y75="","-",'ORDENES'!$Y75))</f>
        <v/>
      </c>
      <c r="H97" s="5">
        <f>IF('ORDENES'!$A75="","",IF('ORDENES'!$AG75="","-",'ORDENES'!$AG75))</f>
        <v/>
      </c>
      <c r="I97" s="5">
        <f>IF('ORDENES'!$A75="","",IF('ORDENES'!$AT75="","-",'ORDENES'!$AT75))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20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IF('ORDENES'!$A75="","",'ORDENES'!$AF75)</f>
        <v/>
      </c>
    </row>
    <row r="98">
      <c r="A98" s="5">
        <f>IF('ORDENES'!$A76="","",IF('ORDENES'!$O76="","-",'ORDENES'!$O76))</f>
        <v/>
      </c>
      <c r="B98" s="5">
        <f>IF('ORDENES'!$A76="","",IF('ORDENES'!$S76="","-",'ORDENES'!$S76))</f>
        <v/>
      </c>
      <c r="C98" s="5">
        <f>IF('ORDENES'!$A76="","",IF('ORDENES'!$AH76="","-",'ORDENES'!$AH76))</f>
        <v/>
      </c>
      <c r="D98" s="5">
        <f>IF('ORDENES'!$A76="","",IF('ORDENES'!$Z76="","-",'ORDENES'!$Z76))</f>
        <v/>
      </c>
      <c r="E98" s="5">
        <f>IF('ORDENES'!$A76="","",IF('ORDENES'!$X76="","-",'ORDENES'!$X76))</f>
        <v/>
      </c>
      <c r="F98" s="5">
        <f>IF('ORDENES'!$A76="","",IF('ORDENES'!$AA76="","-",'ORDENES'!$AA76))</f>
        <v/>
      </c>
      <c r="G98" s="5">
        <f>IF('ORDENES'!$A76="","",IF('ORDENES'!$Y76="","-",'ORDENES'!$Y76))</f>
        <v/>
      </c>
      <c r="H98" s="5">
        <f>IF('ORDENES'!$A76="","",IF('ORDENES'!$AG76="","-",'ORDENES'!$AG76))</f>
        <v/>
      </c>
      <c r="I98" s="5">
        <f>IF('ORDENES'!$A76="","",IF('ORDENES'!$AT76="","-",'ORDENES'!$AT76))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20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IF('ORDENES'!$A76="","",'ORDENES'!$AF76)</f>
        <v/>
      </c>
    </row>
    <row r="99">
      <c r="A99" s="5">
        <f>IF('ORDENES'!$A77="","",IF('ORDENES'!$O77="","-",'ORDENES'!$O77))</f>
        <v/>
      </c>
      <c r="B99" s="5">
        <f>IF('ORDENES'!$A77="","",IF('ORDENES'!$S77="","-",'ORDENES'!$S77))</f>
        <v/>
      </c>
      <c r="C99" s="5">
        <f>IF('ORDENES'!$A77="","",IF('ORDENES'!$AH77="","-",'ORDENES'!$AH77))</f>
        <v/>
      </c>
      <c r="D99" s="5">
        <f>IF('ORDENES'!$A77="","",IF('ORDENES'!$Z77="","-",'ORDENES'!$Z77))</f>
        <v/>
      </c>
      <c r="E99" s="5">
        <f>IF('ORDENES'!$A77="","",IF('ORDENES'!$X77="","-",'ORDENES'!$X77))</f>
        <v/>
      </c>
      <c r="F99" s="5">
        <f>IF('ORDENES'!$A77="","",IF('ORDENES'!$AA77="","-",'ORDENES'!$AA77))</f>
        <v/>
      </c>
      <c r="G99" s="5">
        <f>IF('ORDENES'!$A77="","",IF('ORDENES'!$Y77="","-",'ORDENES'!$Y77))</f>
        <v/>
      </c>
      <c r="H99" s="5">
        <f>IF('ORDENES'!$A77="","",IF('ORDENES'!$AG77="","-",'ORDENES'!$AG77))</f>
        <v/>
      </c>
      <c r="I99" s="5">
        <f>IF('ORDENES'!$A77="","",IF('ORDENES'!$AT77="","-",'ORDENES'!$AT77))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20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IF('ORDENES'!$A77="","",'ORDENES'!$AF77)</f>
        <v/>
      </c>
    </row>
    <row r="100">
      <c r="A100" s="5">
        <f>IF('ORDENES'!$A78="","",IF('ORDENES'!$O78="","-",'ORDENES'!$O78))</f>
        <v/>
      </c>
      <c r="B100" s="5">
        <f>IF('ORDENES'!$A78="","",IF('ORDENES'!$S78="","-",'ORDENES'!$S78))</f>
        <v/>
      </c>
      <c r="C100" s="5">
        <f>IF('ORDENES'!$A78="","",IF('ORDENES'!$AH78="","-",'ORDENES'!$AH78))</f>
        <v/>
      </c>
      <c r="D100" s="5">
        <f>IF('ORDENES'!$A78="","",IF('ORDENES'!$Z78="","-",'ORDENES'!$Z78))</f>
        <v/>
      </c>
      <c r="E100" s="5">
        <f>IF('ORDENES'!$A78="","",IF('ORDENES'!$X78="","-",'ORDENES'!$X78))</f>
        <v/>
      </c>
      <c r="F100" s="5">
        <f>IF('ORDENES'!$A78="","",IF('ORDENES'!$AA78="","-",'ORDENES'!$AA78))</f>
        <v/>
      </c>
      <c r="G100" s="5">
        <f>IF('ORDENES'!$A78="","",IF('ORDENES'!$Y78="","-",'ORDENES'!$Y78))</f>
        <v/>
      </c>
      <c r="H100" s="5">
        <f>IF('ORDENES'!$A78="","",IF('ORDENES'!$AG78="","-",'ORDENES'!$AG78))</f>
        <v/>
      </c>
      <c r="I100" s="5">
        <f>IF('ORDENES'!$A78="","",IF('ORDENES'!$AT78="","-",'ORDENES'!$AT78))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20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IF('ORDENES'!$A78="","",'ORDENES'!$AF78)</f>
        <v/>
      </c>
    </row>
    <row r="101">
      <c r="A101" s="5">
        <f>IF('ORDENES'!$A79="","",IF('ORDENES'!$O79="","-",'ORDENES'!$O79))</f>
        <v/>
      </c>
      <c r="B101" s="5">
        <f>IF('ORDENES'!$A79="","",IF('ORDENES'!$S79="","-",'ORDENES'!$S79))</f>
        <v/>
      </c>
      <c r="C101" s="5">
        <f>IF('ORDENES'!$A79="","",IF('ORDENES'!$AH79="","-",'ORDENES'!$AH79))</f>
        <v/>
      </c>
      <c r="D101" s="5">
        <f>IF('ORDENES'!$A79="","",IF('ORDENES'!$Z79="","-",'ORDENES'!$Z79))</f>
        <v/>
      </c>
      <c r="E101" s="5">
        <f>IF('ORDENES'!$A79="","",IF('ORDENES'!$X79="","-",'ORDENES'!$X79))</f>
        <v/>
      </c>
      <c r="F101" s="5">
        <f>IF('ORDENES'!$A79="","",IF('ORDENES'!$AA79="","-",'ORDENES'!$AA79))</f>
        <v/>
      </c>
      <c r="G101" s="5">
        <f>IF('ORDENES'!$A79="","",IF('ORDENES'!$Y79="","-",'ORDENES'!$Y79))</f>
        <v/>
      </c>
      <c r="H101" s="5">
        <f>IF('ORDENES'!$A79="","",IF('ORDENES'!$AG79="","-",'ORDENES'!$AG79))</f>
        <v/>
      </c>
      <c r="I101" s="5">
        <f>IF('ORDENES'!$A79="","",IF('ORDENES'!$AT79="","-",'ORDENES'!$AT79))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20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IF('ORDENES'!$A79="","",'ORDENES'!$AF79)</f>
        <v/>
      </c>
    </row>
    <row r="102">
      <c r="A102" s="5">
        <f>IF('ORDENES'!$A80="","",IF('ORDENES'!$O80="","-",'ORDENES'!$O80))</f>
        <v/>
      </c>
      <c r="B102" s="5">
        <f>IF('ORDENES'!$A80="","",IF('ORDENES'!$S80="","-",'ORDENES'!$S80))</f>
        <v/>
      </c>
      <c r="C102" s="5">
        <f>IF('ORDENES'!$A80="","",IF('ORDENES'!$AH80="","-",'ORDENES'!$AH80))</f>
        <v/>
      </c>
      <c r="D102" s="5">
        <f>IF('ORDENES'!$A80="","",IF('ORDENES'!$Z80="","-",'ORDENES'!$Z80))</f>
        <v/>
      </c>
      <c r="E102" s="5">
        <f>IF('ORDENES'!$A80="","",IF('ORDENES'!$X80="","-",'ORDENES'!$X80))</f>
        <v/>
      </c>
      <c r="F102" s="5">
        <f>IF('ORDENES'!$A80="","",IF('ORDENES'!$AA80="","-",'ORDENES'!$AA80))</f>
        <v/>
      </c>
      <c r="G102" s="5">
        <f>IF('ORDENES'!$A80="","",IF('ORDENES'!$Y80="","-",'ORDENES'!$Y80))</f>
        <v/>
      </c>
      <c r="H102" s="5">
        <f>IF('ORDENES'!$A80="","",IF('ORDENES'!$AG80="","-",'ORDENES'!$AG80))</f>
        <v/>
      </c>
      <c r="I102" s="5">
        <f>IF('ORDENES'!$A80="","",IF('ORDENES'!$AT80="","-",'ORDENES'!$AT80))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20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IF('ORDENES'!$A80="","",'ORDENES'!$AF80)</f>
        <v/>
      </c>
    </row>
    <row r="103">
      <c r="A103" s="5">
        <f>IF('ORDENES'!$A81="","",IF('ORDENES'!$O81="","-",'ORDENES'!$O81))</f>
        <v/>
      </c>
      <c r="B103" s="5">
        <f>IF('ORDENES'!$A81="","",IF('ORDENES'!$S81="","-",'ORDENES'!$S81))</f>
        <v/>
      </c>
      <c r="C103" s="5">
        <f>IF('ORDENES'!$A81="","",IF('ORDENES'!$AH81="","-",'ORDENES'!$AH81))</f>
        <v/>
      </c>
      <c r="D103" s="5">
        <f>IF('ORDENES'!$A81="","",IF('ORDENES'!$Z81="","-",'ORDENES'!$Z81))</f>
        <v/>
      </c>
      <c r="E103" s="5">
        <f>IF('ORDENES'!$A81="","",IF('ORDENES'!$X81="","-",'ORDENES'!$X81))</f>
        <v/>
      </c>
      <c r="F103" s="5">
        <f>IF('ORDENES'!$A81="","",IF('ORDENES'!$AA81="","-",'ORDENES'!$AA81))</f>
        <v/>
      </c>
      <c r="G103" s="5">
        <f>IF('ORDENES'!$A81="","",IF('ORDENES'!$Y81="","-",'ORDENES'!$Y81))</f>
        <v/>
      </c>
      <c r="H103" s="5">
        <f>IF('ORDENES'!$A81="","",IF('ORDENES'!$AG81="","-",'ORDENES'!$AG81))</f>
        <v/>
      </c>
      <c r="I103" s="5">
        <f>IF('ORDENES'!$A81="","",IF('ORDENES'!$AT81="","-",'ORDENES'!$AT81))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20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IF('ORDENES'!$A81="","",'ORDENES'!$AF81)</f>
        <v/>
      </c>
    </row>
    <row r="104">
      <c r="A104" s="5">
        <f>IF('ORDENES'!$A82="","",IF('ORDENES'!$O82="","-",'ORDENES'!$O82))</f>
        <v/>
      </c>
      <c r="B104" s="5">
        <f>IF('ORDENES'!$A82="","",IF('ORDENES'!$S82="","-",'ORDENES'!$S82))</f>
        <v/>
      </c>
      <c r="C104" s="5">
        <f>IF('ORDENES'!$A82="","",IF('ORDENES'!$AH82="","-",'ORDENES'!$AH82))</f>
        <v/>
      </c>
      <c r="D104" s="5">
        <f>IF('ORDENES'!$A82="","",IF('ORDENES'!$Z82="","-",'ORDENES'!$Z82))</f>
        <v/>
      </c>
      <c r="E104" s="5">
        <f>IF('ORDENES'!$A82="","",IF('ORDENES'!$X82="","-",'ORDENES'!$X82))</f>
        <v/>
      </c>
      <c r="F104" s="5">
        <f>IF('ORDENES'!$A82="","",IF('ORDENES'!$AA82="","-",'ORDENES'!$AA82))</f>
        <v/>
      </c>
      <c r="G104" s="5">
        <f>IF('ORDENES'!$A82="","",IF('ORDENES'!$Y82="","-",'ORDENES'!$Y82))</f>
        <v/>
      </c>
      <c r="H104" s="5">
        <f>IF('ORDENES'!$A82="","",IF('ORDENES'!$AG82="","-",'ORDENES'!$AG82))</f>
        <v/>
      </c>
      <c r="I104" s="5">
        <f>IF('ORDENES'!$A82="","",IF('ORDENES'!$AT82="","-",'ORDENES'!$AT82))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20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IF('ORDENES'!$A82="","",'ORDENES'!$AF82)</f>
        <v/>
      </c>
    </row>
    <row r="105">
      <c r="A105" s="5">
        <f>IF('ORDENES'!$A83="","",IF('ORDENES'!$O83="","-",'ORDENES'!$O83))</f>
        <v/>
      </c>
      <c r="B105" s="5">
        <f>IF('ORDENES'!$A83="","",IF('ORDENES'!$S83="","-",'ORDENES'!$S83))</f>
        <v/>
      </c>
      <c r="C105" s="5">
        <f>IF('ORDENES'!$A83="","",IF('ORDENES'!$AH83="","-",'ORDENES'!$AH83))</f>
        <v/>
      </c>
      <c r="D105" s="5">
        <f>IF('ORDENES'!$A83="","",IF('ORDENES'!$Z83="","-",'ORDENES'!$Z83))</f>
        <v/>
      </c>
      <c r="E105" s="5">
        <f>IF('ORDENES'!$A83="","",IF('ORDENES'!$X83="","-",'ORDENES'!$X83))</f>
        <v/>
      </c>
      <c r="F105" s="5">
        <f>IF('ORDENES'!$A83="","",IF('ORDENES'!$AA83="","-",'ORDENES'!$AA83))</f>
        <v/>
      </c>
      <c r="G105" s="5">
        <f>IF('ORDENES'!$A83="","",IF('ORDENES'!$Y83="","-",'ORDENES'!$Y83))</f>
        <v/>
      </c>
      <c r="H105" s="5">
        <f>IF('ORDENES'!$A83="","",IF('ORDENES'!$AG83="","-",'ORDENES'!$AG83))</f>
        <v/>
      </c>
      <c r="I105" s="5">
        <f>IF('ORDENES'!$A83="","",IF('ORDENES'!$AT83="","-",'ORDENES'!$AT83))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20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IF('ORDENES'!$A83="","",'ORDENES'!$AF83)</f>
        <v/>
      </c>
    </row>
    <row r="106">
      <c r="A106" s="5">
        <f>IF('ORDENES'!$A84="","",IF('ORDENES'!$O84="","-",'ORDENES'!$O84))</f>
        <v/>
      </c>
      <c r="B106" s="5">
        <f>IF('ORDENES'!$A84="","",IF('ORDENES'!$S84="","-",'ORDENES'!$S84))</f>
        <v/>
      </c>
      <c r="C106" s="5">
        <f>IF('ORDENES'!$A84="","",IF('ORDENES'!$AH84="","-",'ORDENES'!$AH84))</f>
        <v/>
      </c>
      <c r="D106" s="5">
        <f>IF('ORDENES'!$A84="","",IF('ORDENES'!$Z84="","-",'ORDENES'!$Z84))</f>
        <v/>
      </c>
      <c r="E106" s="5">
        <f>IF('ORDENES'!$A84="","",IF('ORDENES'!$X84="","-",'ORDENES'!$X84))</f>
        <v/>
      </c>
      <c r="F106" s="5">
        <f>IF('ORDENES'!$A84="","",IF('ORDENES'!$AA84="","-",'ORDENES'!$AA84))</f>
        <v/>
      </c>
      <c r="G106" s="5">
        <f>IF('ORDENES'!$A84="","",IF('ORDENES'!$Y84="","-",'ORDENES'!$Y84))</f>
        <v/>
      </c>
      <c r="H106" s="5">
        <f>IF('ORDENES'!$A84="","",IF('ORDENES'!$AG84="","-",'ORDENES'!$AG84))</f>
        <v/>
      </c>
      <c r="I106" s="5">
        <f>IF('ORDENES'!$A84="","",IF('ORDENES'!$AT84="","-",'ORDENES'!$AT84))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20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IF('ORDENES'!$A84="","",'ORDENES'!$AF84)</f>
        <v/>
      </c>
    </row>
    <row r="107">
      <c r="A107" s="5">
        <f>IF('ORDENES'!$A85="","",IF('ORDENES'!$O85="","-",'ORDENES'!$O85))</f>
        <v/>
      </c>
      <c r="B107" s="5">
        <f>IF('ORDENES'!$A85="","",IF('ORDENES'!$S85="","-",'ORDENES'!$S85))</f>
        <v/>
      </c>
      <c r="C107" s="5">
        <f>IF('ORDENES'!$A85="","",IF('ORDENES'!$AH85="","-",'ORDENES'!$AH85))</f>
        <v/>
      </c>
      <c r="D107" s="5">
        <f>IF('ORDENES'!$A85="","",IF('ORDENES'!$Z85="","-",'ORDENES'!$Z85))</f>
        <v/>
      </c>
      <c r="E107" s="5">
        <f>IF('ORDENES'!$A85="","",IF('ORDENES'!$X85="","-",'ORDENES'!$X85))</f>
        <v/>
      </c>
      <c r="F107" s="5">
        <f>IF('ORDENES'!$A85="","",IF('ORDENES'!$AA85="","-",'ORDENES'!$AA85))</f>
        <v/>
      </c>
      <c r="G107" s="5">
        <f>IF('ORDENES'!$A85="","",IF('ORDENES'!$Y85="","-",'ORDENES'!$Y85))</f>
        <v/>
      </c>
      <c r="H107" s="5">
        <f>IF('ORDENES'!$A85="","",IF('ORDENES'!$AG85="","-",'ORDENES'!$AG85))</f>
        <v/>
      </c>
      <c r="I107" s="5">
        <f>IF('ORDENES'!$A85="","",IF('ORDENES'!$AT85="","-",'ORDENES'!$AT85))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20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IF('ORDENES'!$A85="","",'ORDENES'!$AF85)</f>
        <v/>
      </c>
    </row>
    <row r="108">
      <c r="A108" s="5">
        <f>IF('ORDENES'!$A86="","",IF('ORDENES'!$O86="","-",'ORDENES'!$O86))</f>
        <v/>
      </c>
      <c r="B108" s="5">
        <f>IF('ORDENES'!$A86="","",IF('ORDENES'!$S86="","-",'ORDENES'!$S86))</f>
        <v/>
      </c>
      <c r="C108" s="5">
        <f>IF('ORDENES'!$A86="","",IF('ORDENES'!$AH86="","-",'ORDENES'!$AH86))</f>
        <v/>
      </c>
      <c r="D108" s="5">
        <f>IF('ORDENES'!$A86="","",IF('ORDENES'!$Z86="","-",'ORDENES'!$Z86))</f>
        <v/>
      </c>
      <c r="E108" s="5">
        <f>IF('ORDENES'!$A86="","",IF('ORDENES'!$X86="","-",'ORDENES'!$X86))</f>
        <v/>
      </c>
      <c r="F108" s="5">
        <f>IF('ORDENES'!$A86="","",IF('ORDENES'!$AA86="","-",'ORDENES'!$AA86))</f>
        <v/>
      </c>
      <c r="G108" s="5">
        <f>IF('ORDENES'!$A86="","",IF('ORDENES'!$Y86="","-",'ORDENES'!$Y86))</f>
        <v/>
      </c>
      <c r="H108" s="5">
        <f>IF('ORDENES'!$A86="","",IF('ORDENES'!$AG86="","-",'ORDENES'!$AG86))</f>
        <v/>
      </c>
      <c r="I108" s="5">
        <f>IF('ORDENES'!$A86="","",IF('ORDENES'!$AT86="","-",'ORDENES'!$AT86))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20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IF('ORDENES'!$A86="","",'ORDENES'!$AF86)</f>
        <v/>
      </c>
    </row>
    <row r="109">
      <c r="A109" s="5">
        <f>IF('ORDENES'!$A87="","",IF('ORDENES'!$O87="","-",'ORDENES'!$O87))</f>
        <v/>
      </c>
      <c r="B109" s="5">
        <f>IF('ORDENES'!$A87="","",IF('ORDENES'!$S87="","-",'ORDENES'!$S87))</f>
        <v/>
      </c>
      <c r="C109" s="5">
        <f>IF('ORDENES'!$A87="","",IF('ORDENES'!$AH87="","-",'ORDENES'!$AH87))</f>
        <v/>
      </c>
      <c r="D109" s="5">
        <f>IF('ORDENES'!$A87="","",IF('ORDENES'!$Z87="","-",'ORDENES'!$Z87))</f>
        <v/>
      </c>
      <c r="E109" s="5">
        <f>IF('ORDENES'!$A87="","",IF('ORDENES'!$X87="","-",'ORDENES'!$X87))</f>
        <v/>
      </c>
      <c r="F109" s="5">
        <f>IF('ORDENES'!$A87="","",IF('ORDENES'!$AA87="","-",'ORDENES'!$AA87))</f>
        <v/>
      </c>
      <c r="G109" s="5">
        <f>IF('ORDENES'!$A87="","",IF('ORDENES'!$Y87="","-",'ORDENES'!$Y87))</f>
        <v/>
      </c>
      <c r="H109" s="5">
        <f>IF('ORDENES'!$A87="","",IF('ORDENES'!$AG87="","-",'ORDENES'!$AG87))</f>
        <v/>
      </c>
      <c r="I109" s="5">
        <f>IF('ORDENES'!$A87="","",IF('ORDENES'!$AT87="","-",'ORDENES'!$AT87))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20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IF('ORDENES'!$A87="","",'ORDENES'!$AF87)</f>
        <v/>
      </c>
    </row>
    <row r="110">
      <c r="A110" s="5">
        <f>IF('ORDENES'!$A88="","",IF('ORDENES'!$O88="","-",'ORDENES'!$O88))</f>
        <v/>
      </c>
      <c r="B110" s="5">
        <f>IF('ORDENES'!$A88="","",IF('ORDENES'!$S88="","-",'ORDENES'!$S88))</f>
        <v/>
      </c>
      <c r="C110" s="5">
        <f>IF('ORDENES'!$A88="","",IF('ORDENES'!$AH88="","-",'ORDENES'!$AH88))</f>
        <v/>
      </c>
      <c r="D110" s="5">
        <f>IF('ORDENES'!$A88="","",IF('ORDENES'!$Z88="","-",'ORDENES'!$Z88))</f>
        <v/>
      </c>
      <c r="E110" s="5">
        <f>IF('ORDENES'!$A88="","",IF('ORDENES'!$X88="","-",'ORDENES'!$X88))</f>
        <v/>
      </c>
      <c r="F110" s="5">
        <f>IF('ORDENES'!$A88="","",IF('ORDENES'!$AA88="","-",'ORDENES'!$AA88))</f>
        <v/>
      </c>
      <c r="G110" s="5">
        <f>IF('ORDENES'!$A88="","",IF('ORDENES'!$Y88="","-",'ORDENES'!$Y88))</f>
        <v/>
      </c>
      <c r="H110" s="5">
        <f>IF('ORDENES'!$A88="","",IF('ORDENES'!$AG88="","-",'ORDENES'!$AG88))</f>
        <v/>
      </c>
      <c r="I110" s="5">
        <f>IF('ORDENES'!$A88="","",IF('ORDENES'!$AT88="","-",'ORDENES'!$AT88))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20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IF('ORDENES'!$A88="","",'ORDENES'!$AF88)</f>
        <v/>
      </c>
    </row>
    <row r="111">
      <c r="A111" s="5">
        <f>IF('ORDENES'!$A89="","",IF('ORDENES'!$O89="","-",'ORDENES'!$O89))</f>
        <v/>
      </c>
      <c r="B111" s="5">
        <f>IF('ORDENES'!$A89="","",IF('ORDENES'!$S89="","-",'ORDENES'!$S89))</f>
        <v/>
      </c>
      <c r="C111" s="5">
        <f>IF('ORDENES'!$A89="","",IF('ORDENES'!$AH89="","-",'ORDENES'!$AH89))</f>
        <v/>
      </c>
      <c r="D111" s="5">
        <f>IF('ORDENES'!$A89="","",IF('ORDENES'!$Z89="","-",'ORDENES'!$Z89))</f>
        <v/>
      </c>
      <c r="E111" s="5">
        <f>IF('ORDENES'!$A89="","",IF('ORDENES'!$X89="","-",'ORDENES'!$X89))</f>
        <v/>
      </c>
      <c r="F111" s="5">
        <f>IF('ORDENES'!$A89="","",IF('ORDENES'!$AA89="","-",'ORDENES'!$AA89))</f>
        <v/>
      </c>
      <c r="G111" s="5">
        <f>IF('ORDENES'!$A89="","",IF('ORDENES'!$Y89="","-",'ORDENES'!$Y89))</f>
        <v/>
      </c>
      <c r="H111" s="5">
        <f>IF('ORDENES'!$A89="","",IF('ORDENES'!$AG89="","-",'ORDENES'!$AG89))</f>
        <v/>
      </c>
      <c r="I111" s="5">
        <f>IF('ORDENES'!$A89="","",IF('ORDENES'!$AT89="","-",'ORDENES'!$AT89))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20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IF('ORDENES'!$A89="","",'ORDENES'!$AF89)</f>
        <v/>
      </c>
    </row>
    <row r="112">
      <c r="A112" s="5">
        <f>IF('ORDENES'!$A90="","",IF('ORDENES'!$O90="","-",'ORDENES'!$O90))</f>
        <v/>
      </c>
      <c r="B112" s="5">
        <f>IF('ORDENES'!$A90="","",IF('ORDENES'!$S90="","-",'ORDENES'!$S90))</f>
        <v/>
      </c>
      <c r="C112" s="5">
        <f>IF('ORDENES'!$A90="","",IF('ORDENES'!$AH90="","-",'ORDENES'!$AH90))</f>
        <v/>
      </c>
      <c r="D112" s="5">
        <f>IF('ORDENES'!$A90="","",IF('ORDENES'!$Z90="","-",'ORDENES'!$Z90))</f>
        <v/>
      </c>
      <c r="E112" s="5">
        <f>IF('ORDENES'!$A90="","",IF('ORDENES'!$X90="","-",'ORDENES'!$X90))</f>
        <v/>
      </c>
      <c r="F112" s="5">
        <f>IF('ORDENES'!$A90="","",IF('ORDENES'!$AA90="","-",'ORDENES'!$AA90))</f>
        <v/>
      </c>
      <c r="G112" s="5">
        <f>IF('ORDENES'!$A90="","",IF('ORDENES'!$Y90="","-",'ORDENES'!$Y90))</f>
        <v/>
      </c>
      <c r="H112" s="5">
        <f>IF('ORDENES'!$A90="","",IF('ORDENES'!$AG90="","-",'ORDENES'!$AG90))</f>
        <v/>
      </c>
      <c r="I112" s="5">
        <f>IF('ORDENES'!$A90="","",IF('ORDENES'!$AT90="","-",'ORDENES'!$AT90))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20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IF('ORDENES'!$A90="","",'ORDENES'!$AF90)</f>
        <v/>
      </c>
    </row>
    <row r="113">
      <c r="A113" s="5">
        <f>IF('ORDENES'!$A91="","",IF('ORDENES'!$O91="","-",'ORDENES'!$O91))</f>
        <v/>
      </c>
      <c r="B113" s="5">
        <f>IF('ORDENES'!$A91="","",IF('ORDENES'!$S91="","-",'ORDENES'!$S91))</f>
        <v/>
      </c>
      <c r="C113" s="5">
        <f>IF('ORDENES'!$A91="","",IF('ORDENES'!$AH91="","-",'ORDENES'!$AH91))</f>
        <v/>
      </c>
      <c r="D113" s="5">
        <f>IF('ORDENES'!$A91="","",IF('ORDENES'!$Z91="","-",'ORDENES'!$Z91))</f>
        <v/>
      </c>
      <c r="E113" s="5">
        <f>IF('ORDENES'!$A91="","",IF('ORDENES'!$X91="","-",'ORDENES'!$X91))</f>
        <v/>
      </c>
      <c r="F113" s="5">
        <f>IF('ORDENES'!$A91="","",IF('ORDENES'!$AA91="","-",'ORDENES'!$AA91))</f>
        <v/>
      </c>
      <c r="G113" s="5">
        <f>IF('ORDENES'!$A91="","",IF('ORDENES'!$Y91="","-",'ORDENES'!$Y91))</f>
        <v/>
      </c>
      <c r="H113" s="5">
        <f>IF('ORDENES'!$A91="","",IF('ORDENES'!$AG91="","-",'ORDENES'!$AG91))</f>
        <v/>
      </c>
      <c r="I113" s="5">
        <f>IF('ORDENES'!$A91="","",IF('ORDENES'!$AT91="","-",'ORDENES'!$AT91))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20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IF('ORDENES'!$A91="","",'ORDENES'!$AF91)</f>
        <v/>
      </c>
    </row>
    <row r="114">
      <c r="A114" s="5">
        <f>IF('ORDENES'!$A92="","",IF('ORDENES'!$O92="","-",'ORDENES'!$O92))</f>
        <v/>
      </c>
      <c r="B114" s="5">
        <f>IF('ORDENES'!$A92="","",IF('ORDENES'!$S92="","-",'ORDENES'!$S92))</f>
        <v/>
      </c>
      <c r="C114" s="5">
        <f>IF('ORDENES'!$A92="","",IF('ORDENES'!$AH92="","-",'ORDENES'!$AH92))</f>
        <v/>
      </c>
      <c r="D114" s="5">
        <f>IF('ORDENES'!$A92="","",IF('ORDENES'!$Z92="","-",'ORDENES'!$Z92))</f>
        <v/>
      </c>
      <c r="E114" s="5">
        <f>IF('ORDENES'!$A92="","",IF('ORDENES'!$X92="","-",'ORDENES'!$X92))</f>
        <v/>
      </c>
      <c r="F114" s="5">
        <f>IF('ORDENES'!$A92="","",IF('ORDENES'!$AA92="","-",'ORDENES'!$AA92))</f>
        <v/>
      </c>
      <c r="G114" s="5">
        <f>IF('ORDENES'!$A92="","",IF('ORDENES'!$Y92="","-",'ORDENES'!$Y92))</f>
        <v/>
      </c>
      <c r="H114" s="5">
        <f>IF('ORDENES'!$A92="","",IF('ORDENES'!$AG92="","-",'ORDENES'!$AG92))</f>
        <v/>
      </c>
      <c r="I114" s="5">
        <f>IF('ORDENES'!$A92="","",IF('ORDENES'!$AT92="","-",'ORDENES'!$AT92))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20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IF('ORDENES'!$A92="","",'ORDENES'!$AF92)</f>
        <v/>
      </c>
    </row>
    <row r="115">
      <c r="A115" s="5">
        <f>IF('ORDENES'!$A93="","",IF('ORDENES'!$O93="","-",'ORDENES'!$O93))</f>
        <v/>
      </c>
      <c r="B115" s="5">
        <f>IF('ORDENES'!$A93="","",IF('ORDENES'!$S93="","-",'ORDENES'!$S93))</f>
        <v/>
      </c>
      <c r="C115" s="5">
        <f>IF('ORDENES'!$A93="","",IF('ORDENES'!$AH93="","-",'ORDENES'!$AH93))</f>
        <v/>
      </c>
      <c r="D115" s="5">
        <f>IF('ORDENES'!$A93="","",IF('ORDENES'!$Z93="","-",'ORDENES'!$Z93))</f>
        <v/>
      </c>
      <c r="E115" s="5">
        <f>IF('ORDENES'!$A93="","",IF('ORDENES'!$X93="","-",'ORDENES'!$X93))</f>
        <v/>
      </c>
      <c r="F115" s="5">
        <f>IF('ORDENES'!$A93="","",IF('ORDENES'!$AA93="","-",'ORDENES'!$AA93))</f>
        <v/>
      </c>
      <c r="G115" s="5">
        <f>IF('ORDENES'!$A93="","",IF('ORDENES'!$Y93="","-",'ORDENES'!$Y93))</f>
        <v/>
      </c>
      <c r="H115" s="5">
        <f>IF('ORDENES'!$A93="","",IF('ORDENES'!$AG93="","-",'ORDENES'!$AG93))</f>
        <v/>
      </c>
      <c r="I115" s="5">
        <f>IF('ORDENES'!$A93="","",IF('ORDENES'!$AT93="","-",'ORDENES'!$AT93))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20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IF('ORDENES'!$A93="","",'ORDENES'!$AF93)</f>
        <v/>
      </c>
    </row>
    <row r="116">
      <c r="A116" s="5">
        <f>IF('ORDENES'!$A94="","",IF('ORDENES'!$O94="","-",'ORDENES'!$O94))</f>
        <v/>
      </c>
      <c r="B116" s="5">
        <f>IF('ORDENES'!$A94="","",IF('ORDENES'!$S94="","-",'ORDENES'!$S94))</f>
        <v/>
      </c>
      <c r="C116" s="5">
        <f>IF('ORDENES'!$A94="","",IF('ORDENES'!$AH94="","-",'ORDENES'!$AH94))</f>
        <v/>
      </c>
      <c r="D116" s="5">
        <f>IF('ORDENES'!$A94="","",IF('ORDENES'!$Z94="","-",'ORDENES'!$Z94))</f>
        <v/>
      </c>
      <c r="E116" s="5">
        <f>IF('ORDENES'!$A94="","",IF('ORDENES'!$X94="","-",'ORDENES'!$X94))</f>
        <v/>
      </c>
      <c r="F116" s="5">
        <f>IF('ORDENES'!$A94="","",IF('ORDENES'!$AA94="","-",'ORDENES'!$AA94))</f>
        <v/>
      </c>
      <c r="G116" s="5">
        <f>IF('ORDENES'!$A94="","",IF('ORDENES'!$Y94="","-",'ORDENES'!$Y94))</f>
        <v/>
      </c>
      <c r="H116" s="5">
        <f>IF('ORDENES'!$A94="","",IF('ORDENES'!$AG94="","-",'ORDENES'!$AG94))</f>
        <v/>
      </c>
      <c r="I116" s="5">
        <f>IF('ORDENES'!$A94="","",IF('ORDENES'!$AT94="","-",'ORDENES'!$AT94))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20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IF('ORDENES'!$A94="","",'ORDENES'!$AF94)</f>
        <v/>
      </c>
    </row>
    <row r="117">
      <c r="A117" s="5">
        <f>IF('ORDENES'!$A95="","",IF('ORDENES'!$O95="","-",'ORDENES'!$O95))</f>
        <v/>
      </c>
      <c r="B117" s="5">
        <f>IF('ORDENES'!$A95="","",IF('ORDENES'!$S95="","-",'ORDENES'!$S95))</f>
        <v/>
      </c>
      <c r="C117" s="5">
        <f>IF('ORDENES'!$A95="","",IF('ORDENES'!$AH95="","-",'ORDENES'!$AH95))</f>
        <v/>
      </c>
      <c r="D117" s="5">
        <f>IF('ORDENES'!$A95="","",IF('ORDENES'!$Z95="","-",'ORDENES'!$Z95))</f>
        <v/>
      </c>
      <c r="E117" s="5">
        <f>IF('ORDENES'!$A95="","",IF('ORDENES'!$X95="","-",'ORDENES'!$X95))</f>
        <v/>
      </c>
      <c r="F117" s="5">
        <f>IF('ORDENES'!$A95="","",IF('ORDENES'!$AA95="","-",'ORDENES'!$AA95))</f>
        <v/>
      </c>
      <c r="G117" s="5">
        <f>IF('ORDENES'!$A95="","",IF('ORDENES'!$Y95="","-",'ORDENES'!$Y95))</f>
        <v/>
      </c>
      <c r="H117" s="5">
        <f>IF('ORDENES'!$A95="","",IF('ORDENES'!$AG95="","-",'ORDENES'!$AG95))</f>
        <v/>
      </c>
      <c r="I117" s="5">
        <f>IF('ORDENES'!$A95="","",IF('ORDENES'!$AT95="","-",'ORDENES'!$AT95))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20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IF('ORDENES'!$A95="","",'ORDENES'!$AF95)</f>
        <v/>
      </c>
    </row>
    <row r="118">
      <c r="A118" s="5">
        <f>IF('ORDENES'!$A96="","",IF('ORDENES'!$O96="","-",'ORDENES'!$O96))</f>
        <v/>
      </c>
      <c r="B118" s="5">
        <f>IF('ORDENES'!$A96="","",IF('ORDENES'!$S96="","-",'ORDENES'!$S96))</f>
        <v/>
      </c>
      <c r="C118" s="5">
        <f>IF('ORDENES'!$A96="","",IF('ORDENES'!$AH96="","-",'ORDENES'!$AH96))</f>
        <v/>
      </c>
      <c r="D118" s="5">
        <f>IF('ORDENES'!$A96="","",IF('ORDENES'!$Z96="","-",'ORDENES'!$Z96))</f>
        <v/>
      </c>
      <c r="E118" s="5">
        <f>IF('ORDENES'!$A96="","",IF('ORDENES'!$X96="","-",'ORDENES'!$X96))</f>
        <v/>
      </c>
      <c r="F118" s="5">
        <f>IF('ORDENES'!$A96="","",IF('ORDENES'!$AA96="","-",'ORDENES'!$AA96))</f>
        <v/>
      </c>
      <c r="G118" s="5">
        <f>IF('ORDENES'!$A96="","",IF('ORDENES'!$Y96="","-",'ORDENES'!$Y96))</f>
        <v/>
      </c>
      <c r="H118" s="5">
        <f>IF('ORDENES'!$A96="","",IF('ORDENES'!$AG96="","-",'ORDENES'!$AG96))</f>
        <v/>
      </c>
      <c r="I118" s="5">
        <f>IF('ORDENES'!$A96="","",IF('ORDENES'!$AT96="","-",'ORDENES'!$AT96))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20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IF('ORDENES'!$A96="","",'ORDENES'!$AF96)</f>
        <v/>
      </c>
    </row>
    <row r="119">
      <c r="A119" s="5">
        <f>IF('ORDENES'!$A97="","",IF('ORDENES'!$O97="","-",'ORDENES'!$O97))</f>
        <v/>
      </c>
      <c r="B119" s="5">
        <f>IF('ORDENES'!$A97="","",IF('ORDENES'!$S97="","-",'ORDENES'!$S97))</f>
        <v/>
      </c>
      <c r="C119" s="5">
        <f>IF('ORDENES'!$A97="","",IF('ORDENES'!$AH97="","-",'ORDENES'!$AH97))</f>
        <v/>
      </c>
      <c r="D119" s="5">
        <f>IF('ORDENES'!$A97="","",IF('ORDENES'!$Z97="","-",'ORDENES'!$Z97))</f>
        <v/>
      </c>
      <c r="E119" s="5">
        <f>IF('ORDENES'!$A97="","",IF('ORDENES'!$X97="","-",'ORDENES'!$X97))</f>
        <v/>
      </c>
      <c r="F119" s="5">
        <f>IF('ORDENES'!$A97="","",IF('ORDENES'!$AA97="","-",'ORDENES'!$AA97))</f>
        <v/>
      </c>
      <c r="G119" s="5">
        <f>IF('ORDENES'!$A97="","",IF('ORDENES'!$Y97="","-",'ORDENES'!$Y97))</f>
        <v/>
      </c>
      <c r="H119" s="5">
        <f>IF('ORDENES'!$A97="","",IF('ORDENES'!$AG97="","-",'ORDENES'!$AG97))</f>
        <v/>
      </c>
      <c r="I119" s="5">
        <f>IF('ORDENES'!$A97="","",IF('ORDENES'!$AT97="","-",'ORDENES'!$AT97))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20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IF('ORDENES'!$A97="","",'ORDENES'!$AF97)</f>
        <v/>
      </c>
    </row>
    <row r="120">
      <c r="A120" s="5">
        <f>IF('ORDENES'!$A98="","",IF('ORDENES'!$O98="","-",'ORDENES'!$O98))</f>
        <v/>
      </c>
      <c r="B120" s="5">
        <f>IF('ORDENES'!$A98="","",IF('ORDENES'!$S98="","-",'ORDENES'!$S98))</f>
        <v/>
      </c>
      <c r="C120" s="5">
        <f>IF('ORDENES'!$A98="","",IF('ORDENES'!$AH98="","-",'ORDENES'!$AH98))</f>
        <v/>
      </c>
      <c r="D120" s="5">
        <f>IF('ORDENES'!$A98="","",IF('ORDENES'!$Z98="","-",'ORDENES'!$Z98))</f>
        <v/>
      </c>
      <c r="E120" s="5">
        <f>IF('ORDENES'!$A98="","",IF('ORDENES'!$X98="","-",'ORDENES'!$X98))</f>
        <v/>
      </c>
      <c r="F120" s="5">
        <f>IF('ORDENES'!$A98="","",IF('ORDENES'!$AA98="","-",'ORDENES'!$AA98))</f>
        <v/>
      </c>
      <c r="G120" s="5">
        <f>IF('ORDENES'!$A98="","",IF('ORDENES'!$Y98="","-",'ORDENES'!$Y98))</f>
        <v/>
      </c>
      <c r="H120" s="5">
        <f>IF('ORDENES'!$A98="","",IF('ORDENES'!$AG98="","-",'ORDENES'!$AG98))</f>
        <v/>
      </c>
      <c r="I120" s="5">
        <f>IF('ORDENES'!$A98="","",IF('ORDENES'!$AT98="","-",'ORDENES'!$AT98))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20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IF('ORDENES'!$A98="","",'ORDENES'!$AF98)</f>
        <v/>
      </c>
    </row>
    <row r="121">
      <c r="A121" s="5">
        <f>IF('ORDENES'!$A99="","",IF('ORDENES'!$O99="","-",'ORDENES'!$O99))</f>
        <v/>
      </c>
      <c r="B121" s="5">
        <f>IF('ORDENES'!$A99="","",IF('ORDENES'!$S99="","-",'ORDENES'!$S99))</f>
        <v/>
      </c>
      <c r="C121" s="5">
        <f>IF('ORDENES'!$A99="","",IF('ORDENES'!$AH99="","-",'ORDENES'!$AH99))</f>
        <v/>
      </c>
      <c r="D121" s="5">
        <f>IF('ORDENES'!$A99="","",IF('ORDENES'!$Z99="","-",'ORDENES'!$Z99))</f>
        <v/>
      </c>
      <c r="E121" s="5">
        <f>IF('ORDENES'!$A99="","",IF('ORDENES'!$X99="","-",'ORDENES'!$X99))</f>
        <v/>
      </c>
      <c r="F121" s="5">
        <f>IF('ORDENES'!$A99="","",IF('ORDENES'!$AA99="","-",'ORDENES'!$AA99))</f>
        <v/>
      </c>
      <c r="G121" s="5">
        <f>IF('ORDENES'!$A99="","",IF('ORDENES'!$Y99="","-",'ORDENES'!$Y99))</f>
        <v/>
      </c>
      <c r="H121" s="5">
        <f>IF('ORDENES'!$A99="","",IF('ORDENES'!$AG99="","-",'ORDENES'!$AG99))</f>
        <v/>
      </c>
      <c r="I121" s="5">
        <f>IF('ORDENES'!$A99="","",IF('ORDENES'!$AT99="","-",'ORDENES'!$AT99))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20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IF('ORDENES'!$A99="","",'ORDENES'!$AF99)</f>
        <v/>
      </c>
    </row>
    <row r="122">
      <c r="A122" s="5">
        <f>IF('ORDENES'!$A100="","",IF('ORDENES'!$O100="","-",'ORDENES'!$O100))</f>
        <v/>
      </c>
      <c r="B122" s="5">
        <f>IF('ORDENES'!$A100="","",IF('ORDENES'!$S100="","-",'ORDENES'!$S100))</f>
        <v/>
      </c>
      <c r="C122" s="5">
        <f>IF('ORDENES'!$A100="","",IF('ORDENES'!$AH100="","-",'ORDENES'!$AH100))</f>
        <v/>
      </c>
      <c r="D122" s="5">
        <f>IF('ORDENES'!$A100="","",IF('ORDENES'!$Z100="","-",'ORDENES'!$Z100))</f>
        <v/>
      </c>
      <c r="E122" s="5">
        <f>IF('ORDENES'!$A100="","",IF('ORDENES'!$X100="","-",'ORDENES'!$X100))</f>
        <v/>
      </c>
      <c r="F122" s="5">
        <f>IF('ORDENES'!$A100="","",IF('ORDENES'!$AA100="","-",'ORDENES'!$AA100))</f>
        <v/>
      </c>
      <c r="G122" s="5">
        <f>IF('ORDENES'!$A100="","",IF('ORDENES'!$Y100="","-",'ORDENES'!$Y100))</f>
        <v/>
      </c>
      <c r="H122" s="5">
        <f>IF('ORDENES'!$A100="","",IF('ORDENES'!$AG100="","-",'ORDENES'!$AG100))</f>
        <v/>
      </c>
      <c r="I122" s="5">
        <f>IF('ORDENES'!$A100="","",IF('ORDENES'!$AT100="","-",'ORDENES'!$AT100))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20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IF('ORDENES'!$A100="","",'ORDENES'!$AF100)</f>
        <v/>
      </c>
    </row>
    <row r="123">
      <c r="A123" s="5">
        <f>IF('ORDENES'!$A101="","",IF('ORDENES'!$O101="","-",'ORDENES'!$O101))</f>
        <v/>
      </c>
      <c r="B123" s="5">
        <f>IF('ORDENES'!$A101="","",IF('ORDENES'!$S101="","-",'ORDENES'!$S101))</f>
        <v/>
      </c>
      <c r="C123" s="5">
        <f>IF('ORDENES'!$A101="","",IF('ORDENES'!$AH101="","-",'ORDENES'!$AH101))</f>
        <v/>
      </c>
      <c r="D123" s="5">
        <f>IF('ORDENES'!$A101="","",IF('ORDENES'!$Z101="","-",'ORDENES'!$Z101))</f>
        <v/>
      </c>
      <c r="E123" s="5">
        <f>IF('ORDENES'!$A101="","",IF('ORDENES'!$X101="","-",'ORDENES'!$X101))</f>
        <v/>
      </c>
      <c r="F123" s="5">
        <f>IF('ORDENES'!$A101="","",IF('ORDENES'!$AA101="","-",'ORDENES'!$AA101))</f>
        <v/>
      </c>
      <c r="G123" s="5">
        <f>IF('ORDENES'!$A101="","",IF('ORDENES'!$Y101="","-",'ORDENES'!$Y101))</f>
        <v/>
      </c>
      <c r="H123" s="5">
        <f>IF('ORDENES'!$A101="","",IF('ORDENES'!$AG101="","-",'ORDENES'!$AG101))</f>
        <v/>
      </c>
      <c r="I123" s="5">
        <f>IF('ORDENES'!$A101="","",IF('ORDENES'!$AT101="","-",'ORDENES'!$AT101))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20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IF('ORDENES'!$A101="","",'ORDENES'!$AF101)</f>
        <v/>
      </c>
    </row>
    <row r="124">
      <c r="A124" s="5">
        <f>IF('ORDENES'!$A102="","",IF('ORDENES'!$O102="","-",'ORDENES'!$O102))</f>
        <v/>
      </c>
      <c r="B124" s="5">
        <f>IF('ORDENES'!$A102="","",IF('ORDENES'!$S102="","-",'ORDENES'!$S102))</f>
        <v/>
      </c>
      <c r="C124" s="5">
        <f>IF('ORDENES'!$A102="","",IF('ORDENES'!$AH102="","-",'ORDENES'!$AH102))</f>
        <v/>
      </c>
      <c r="D124" s="5">
        <f>IF('ORDENES'!$A102="","",IF('ORDENES'!$Z102="","-",'ORDENES'!$Z102))</f>
        <v/>
      </c>
      <c r="E124" s="5">
        <f>IF('ORDENES'!$A102="","",IF('ORDENES'!$X102="","-",'ORDENES'!$X102))</f>
        <v/>
      </c>
      <c r="F124" s="5">
        <f>IF('ORDENES'!$A102="","",IF('ORDENES'!$AA102="","-",'ORDENES'!$AA102))</f>
        <v/>
      </c>
      <c r="G124" s="5">
        <f>IF('ORDENES'!$A102="","",IF('ORDENES'!$Y102="","-",'ORDENES'!$Y102))</f>
        <v/>
      </c>
      <c r="H124" s="5">
        <f>IF('ORDENES'!$A102="","",IF('ORDENES'!$AG102="","-",'ORDENES'!$AG102))</f>
        <v/>
      </c>
      <c r="I124" s="5">
        <f>IF('ORDENES'!$A102="","",IF('ORDENES'!$AT102="","-",'ORDENES'!$AT102))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20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IF('ORDENES'!$A102="","",'ORDENES'!$AF102)</f>
        <v/>
      </c>
    </row>
    <row r="125">
      <c r="A125" s="5">
        <f>IF('ORDENES'!$A103="","",IF('ORDENES'!$O103="","-",'ORDENES'!$O103))</f>
        <v/>
      </c>
      <c r="B125" s="5">
        <f>IF('ORDENES'!$A103="","",IF('ORDENES'!$S103="","-",'ORDENES'!$S103))</f>
        <v/>
      </c>
      <c r="C125" s="5">
        <f>IF('ORDENES'!$A103="","",IF('ORDENES'!$AH103="","-",'ORDENES'!$AH103))</f>
        <v/>
      </c>
      <c r="D125" s="5">
        <f>IF('ORDENES'!$A103="","",IF('ORDENES'!$Z103="","-",'ORDENES'!$Z103))</f>
        <v/>
      </c>
      <c r="E125" s="5">
        <f>IF('ORDENES'!$A103="","",IF('ORDENES'!$X103="","-",'ORDENES'!$X103))</f>
        <v/>
      </c>
      <c r="F125" s="5">
        <f>IF('ORDENES'!$A103="","",IF('ORDENES'!$AA103="","-",'ORDENES'!$AA103))</f>
        <v/>
      </c>
      <c r="G125" s="5">
        <f>IF('ORDENES'!$A103="","",IF('ORDENES'!$Y103="","-",'ORDENES'!$Y103))</f>
        <v/>
      </c>
      <c r="H125" s="5">
        <f>IF('ORDENES'!$A103="","",IF('ORDENES'!$AG103="","-",'ORDENES'!$AG103))</f>
        <v/>
      </c>
      <c r="I125" s="5">
        <f>IF('ORDENES'!$A103="","",IF('ORDENES'!$AT103="","-",'ORDENES'!$AT103))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20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IF('ORDENES'!$A103="","",'ORDENES'!$AF103)</f>
        <v/>
      </c>
    </row>
    <row r="126">
      <c r="A126" s="5">
        <f>IF('ORDENES'!$A104="","",IF('ORDENES'!$O104="","-",'ORDENES'!$O104))</f>
        <v/>
      </c>
      <c r="B126" s="5">
        <f>IF('ORDENES'!$A104="","",IF('ORDENES'!$S104="","-",'ORDENES'!$S104))</f>
        <v/>
      </c>
      <c r="C126" s="5">
        <f>IF('ORDENES'!$A104="","",IF('ORDENES'!$AH104="","-",'ORDENES'!$AH104))</f>
        <v/>
      </c>
      <c r="D126" s="5">
        <f>IF('ORDENES'!$A104="","",IF('ORDENES'!$Z104="","-",'ORDENES'!$Z104))</f>
        <v/>
      </c>
      <c r="E126" s="5">
        <f>IF('ORDENES'!$A104="","",IF('ORDENES'!$X104="","-",'ORDENES'!$X104))</f>
        <v/>
      </c>
      <c r="F126" s="5">
        <f>IF('ORDENES'!$A104="","",IF('ORDENES'!$AA104="","-",'ORDENES'!$AA104))</f>
        <v/>
      </c>
      <c r="G126" s="5">
        <f>IF('ORDENES'!$A104="","",IF('ORDENES'!$Y104="","-",'ORDENES'!$Y104))</f>
        <v/>
      </c>
      <c r="H126" s="5">
        <f>IF('ORDENES'!$A104="","",IF('ORDENES'!$AG104="","-",'ORDENES'!$AG104))</f>
        <v/>
      </c>
      <c r="I126" s="5">
        <f>IF('ORDENES'!$A104="","",IF('ORDENES'!$AT104="","-",'ORDENES'!$AT104))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20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IF('ORDENES'!$A104="","",'ORDENES'!$AF104)</f>
        <v/>
      </c>
    </row>
    <row r="127">
      <c r="A127" s="5">
        <f>IF('ORDENES'!$A105="","",IF('ORDENES'!$O105="","-",'ORDENES'!$O105))</f>
        <v/>
      </c>
      <c r="B127" s="5">
        <f>IF('ORDENES'!$A105="","",IF('ORDENES'!$S105="","-",'ORDENES'!$S105))</f>
        <v/>
      </c>
      <c r="C127" s="5">
        <f>IF('ORDENES'!$A105="","",IF('ORDENES'!$AH105="","-",'ORDENES'!$AH105))</f>
        <v/>
      </c>
      <c r="D127" s="5">
        <f>IF('ORDENES'!$A105="","",IF('ORDENES'!$Z105="","-",'ORDENES'!$Z105))</f>
        <v/>
      </c>
      <c r="E127" s="5">
        <f>IF('ORDENES'!$A105="","",IF('ORDENES'!$X105="","-",'ORDENES'!$X105))</f>
        <v/>
      </c>
      <c r="F127" s="5">
        <f>IF('ORDENES'!$A105="","",IF('ORDENES'!$AA105="","-",'ORDENES'!$AA105))</f>
        <v/>
      </c>
      <c r="G127" s="5">
        <f>IF('ORDENES'!$A105="","",IF('ORDENES'!$Y105="","-",'ORDENES'!$Y105))</f>
        <v/>
      </c>
      <c r="H127" s="5">
        <f>IF('ORDENES'!$A105="","",IF('ORDENES'!$AG105="","-",'ORDENES'!$AG105))</f>
        <v/>
      </c>
      <c r="I127" s="5">
        <f>IF('ORDENES'!$A105="","",IF('ORDENES'!$AT105="","-",'ORDENES'!$AT105))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20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IF('ORDENES'!$A105="","",'ORDENES'!$AF105)</f>
        <v/>
      </c>
    </row>
    <row r="128">
      <c r="A128" s="5">
        <f>IF('ORDENES'!$A106="","",IF('ORDENES'!$O106="","-",'ORDENES'!$O106))</f>
        <v/>
      </c>
      <c r="B128" s="5">
        <f>IF('ORDENES'!$A106="","",IF('ORDENES'!$S106="","-",'ORDENES'!$S106))</f>
        <v/>
      </c>
      <c r="C128" s="5">
        <f>IF('ORDENES'!$A106="","",IF('ORDENES'!$AH106="","-",'ORDENES'!$AH106))</f>
        <v/>
      </c>
      <c r="D128" s="5">
        <f>IF('ORDENES'!$A106="","",IF('ORDENES'!$Z106="","-",'ORDENES'!$Z106))</f>
        <v/>
      </c>
      <c r="E128" s="5">
        <f>IF('ORDENES'!$A106="","",IF('ORDENES'!$X106="","-",'ORDENES'!$X106))</f>
        <v/>
      </c>
      <c r="F128" s="5">
        <f>IF('ORDENES'!$A106="","",IF('ORDENES'!$AA106="","-",'ORDENES'!$AA106))</f>
        <v/>
      </c>
      <c r="G128" s="5">
        <f>IF('ORDENES'!$A106="","",IF('ORDENES'!$Y106="","-",'ORDENES'!$Y106))</f>
        <v/>
      </c>
      <c r="H128" s="5">
        <f>IF('ORDENES'!$A106="","",IF('ORDENES'!$AG106="","-",'ORDENES'!$AG106))</f>
        <v/>
      </c>
      <c r="I128" s="5">
        <f>IF('ORDENES'!$A106="","",IF('ORDENES'!$AT106="","-",'ORDENES'!$AT106))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20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IF('ORDENES'!$A106="","",'ORDENES'!$AF106)</f>
        <v/>
      </c>
    </row>
    <row r="129">
      <c r="A129" s="5">
        <f>IF('ORDENES'!$A107="","",IF('ORDENES'!$O107="","-",'ORDENES'!$O107))</f>
        <v/>
      </c>
      <c r="B129" s="5">
        <f>IF('ORDENES'!$A107="","",IF('ORDENES'!$S107="","-",'ORDENES'!$S107))</f>
        <v/>
      </c>
      <c r="C129" s="5">
        <f>IF('ORDENES'!$A107="","",IF('ORDENES'!$AH107="","-",'ORDENES'!$AH107))</f>
        <v/>
      </c>
      <c r="D129" s="5">
        <f>IF('ORDENES'!$A107="","",IF('ORDENES'!$Z107="","-",'ORDENES'!$Z107))</f>
        <v/>
      </c>
      <c r="E129" s="5">
        <f>IF('ORDENES'!$A107="","",IF('ORDENES'!$X107="","-",'ORDENES'!$X107))</f>
        <v/>
      </c>
      <c r="F129" s="5">
        <f>IF('ORDENES'!$A107="","",IF('ORDENES'!$AA107="","-",'ORDENES'!$AA107))</f>
        <v/>
      </c>
      <c r="G129" s="5">
        <f>IF('ORDENES'!$A107="","",IF('ORDENES'!$Y107="","-",'ORDENES'!$Y107))</f>
        <v/>
      </c>
      <c r="H129" s="5">
        <f>IF('ORDENES'!$A107="","",IF('ORDENES'!$AG107="","-",'ORDENES'!$AG107))</f>
        <v/>
      </c>
      <c r="I129" s="5">
        <f>IF('ORDENES'!$A107="","",IF('ORDENES'!$AT107="","-",'ORDENES'!$AT107))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20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IF('ORDENES'!$A107="","",'ORDENES'!$AF107)</f>
        <v/>
      </c>
    </row>
    <row r="130">
      <c r="A130" s="5">
        <f>IF('ORDENES'!$A108="","",IF('ORDENES'!$O108="","-",'ORDENES'!$O108))</f>
        <v/>
      </c>
      <c r="B130" s="5">
        <f>IF('ORDENES'!$A108="","",IF('ORDENES'!$S108="","-",'ORDENES'!$S108))</f>
        <v/>
      </c>
      <c r="C130" s="5">
        <f>IF('ORDENES'!$A108="","",IF('ORDENES'!$AH108="","-",'ORDENES'!$AH108))</f>
        <v/>
      </c>
      <c r="D130" s="5">
        <f>IF('ORDENES'!$A108="","",IF('ORDENES'!$Z108="","-",'ORDENES'!$Z108))</f>
        <v/>
      </c>
      <c r="E130" s="5">
        <f>IF('ORDENES'!$A108="","",IF('ORDENES'!$X108="","-",'ORDENES'!$X108))</f>
        <v/>
      </c>
      <c r="F130" s="5">
        <f>IF('ORDENES'!$A108="","",IF('ORDENES'!$AA108="","-",'ORDENES'!$AA108))</f>
        <v/>
      </c>
      <c r="G130" s="5">
        <f>IF('ORDENES'!$A108="","",IF('ORDENES'!$Y108="","-",'ORDENES'!$Y108))</f>
        <v/>
      </c>
      <c r="H130" s="5">
        <f>IF('ORDENES'!$A108="","",IF('ORDENES'!$AG108="","-",'ORDENES'!$AG108))</f>
        <v/>
      </c>
      <c r="I130" s="5">
        <f>IF('ORDENES'!$A108="","",IF('ORDENES'!$AT108="","-",'ORDENES'!$AT108))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20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IF('ORDENES'!$A108="","",'ORDENES'!$AF108)</f>
        <v/>
      </c>
    </row>
    <row r="131">
      <c r="A131" s="5">
        <f>IF('ORDENES'!$A109="","",IF('ORDENES'!$O109="","-",'ORDENES'!$O109))</f>
        <v/>
      </c>
      <c r="B131" s="5">
        <f>IF('ORDENES'!$A109="","",IF('ORDENES'!$S109="","-",'ORDENES'!$S109))</f>
        <v/>
      </c>
      <c r="C131" s="5">
        <f>IF('ORDENES'!$A109="","",IF('ORDENES'!$AH109="","-",'ORDENES'!$AH109))</f>
        <v/>
      </c>
      <c r="D131" s="5">
        <f>IF('ORDENES'!$A109="","",IF('ORDENES'!$Z109="","-",'ORDENES'!$Z109))</f>
        <v/>
      </c>
      <c r="E131" s="5">
        <f>IF('ORDENES'!$A109="","",IF('ORDENES'!$X109="","-",'ORDENES'!$X109))</f>
        <v/>
      </c>
      <c r="F131" s="5">
        <f>IF('ORDENES'!$A109="","",IF('ORDENES'!$AA109="","-",'ORDENES'!$AA109))</f>
        <v/>
      </c>
      <c r="G131" s="5">
        <f>IF('ORDENES'!$A109="","",IF('ORDENES'!$Y109="","-",'ORDENES'!$Y109))</f>
        <v/>
      </c>
      <c r="H131" s="5">
        <f>IF('ORDENES'!$A109="","",IF('ORDENES'!$AG109="","-",'ORDENES'!$AG109))</f>
        <v/>
      </c>
      <c r="I131" s="5">
        <f>IF('ORDENES'!$A109="","",IF('ORDENES'!$AT109="","-",'ORDENES'!$AT109))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20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IF('ORDENES'!$A109="","",'ORDENES'!$AF109)</f>
        <v/>
      </c>
    </row>
    <row r="132">
      <c r="A132" s="5">
        <f>IF('ORDENES'!$A110="","",IF('ORDENES'!$O110="","-",'ORDENES'!$O110))</f>
        <v/>
      </c>
      <c r="B132" s="5">
        <f>IF('ORDENES'!$A110="","",IF('ORDENES'!$S110="","-",'ORDENES'!$S110))</f>
        <v/>
      </c>
      <c r="C132" s="5">
        <f>IF('ORDENES'!$A110="","",IF('ORDENES'!$AH110="","-",'ORDENES'!$AH110))</f>
        <v/>
      </c>
      <c r="D132" s="5">
        <f>IF('ORDENES'!$A110="","",IF('ORDENES'!$Z110="","-",'ORDENES'!$Z110))</f>
        <v/>
      </c>
      <c r="E132" s="5">
        <f>IF('ORDENES'!$A110="","",IF('ORDENES'!$X110="","-",'ORDENES'!$X110))</f>
        <v/>
      </c>
      <c r="F132" s="5">
        <f>IF('ORDENES'!$A110="","",IF('ORDENES'!$AA110="","-",'ORDENES'!$AA110))</f>
        <v/>
      </c>
      <c r="G132" s="5">
        <f>IF('ORDENES'!$A110="","",IF('ORDENES'!$Y110="","-",'ORDENES'!$Y110))</f>
        <v/>
      </c>
      <c r="H132" s="5">
        <f>IF('ORDENES'!$A110="","",IF('ORDENES'!$AG110="","-",'ORDENES'!$AG110))</f>
        <v/>
      </c>
      <c r="I132" s="5">
        <f>IF('ORDENES'!$A110="","",IF('ORDENES'!$AT110="","-",'ORDENES'!$AT110))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20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IF('ORDENES'!$A110="","",'ORDENES'!$AF110)</f>
        <v/>
      </c>
    </row>
    <row r="133">
      <c r="A133" s="5">
        <f>IF('ORDENES'!$A111="","",IF('ORDENES'!$O111="","-",'ORDENES'!$O111))</f>
        <v/>
      </c>
      <c r="B133" s="5">
        <f>IF('ORDENES'!$A111="","",IF('ORDENES'!$S111="","-",'ORDENES'!$S111))</f>
        <v/>
      </c>
      <c r="C133" s="5">
        <f>IF('ORDENES'!$A111="","",IF('ORDENES'!$AH111="","-",'ORDENES'!$AH111))</f>
        <v/>
      </c>
      <c r="D133" s="5">
        <f>IF('ORDENES'!$A111="","",IF('ORDENES'!$Z111="","-",'ORDENES'!$Z111))</f>
        <v/>
      </c>
      <c r="E133" s="5">
        <f>IF('ORDENES'!$A111="","",IF('ORDENES'!$X111="","-",'ORDENES'!$X111))</f>
        <v/>
      </c>
      <c r="F133" s="5">
        <f>IF('ORDENES'!$A111="","",IF('ORDENES'!$AA111="","-",'ORDENES'!$AA111))</f>
        <v/>
      </c>
      <c r="G133" s="5">
        <f>IF('ORDENES'!$A111="","",IF('ORDENES'!$Y111="","-",'ORDENES'!$Y111))</f>
        <v/>
      </c>
      <c r="H133" s="5">
        <f>IF('ORDENES'!$A111="","",IF('ORDENES'!$AG111="","-",'ORDENES'!$AG111))</f>
        <v/>
      </c>
      <c r="I133" s="5">
        <f>IF('ORDENES'!$A111="","",IF('ORDENES'!$AT111="","-",'ORDENES'!$AT111))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20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IF('ORDENES'!$A111="","",'ORDENES'!$AF111)</f>
        <v/>
      </c>
    </row>
    <row r="134">
      <c r="A134" s="5">
        <f>IF('ORDENES'!$A112="","",IF('ORDENES'!$O112="","-",'ORDENES'!$O112))</f>
        <v/>
      </c>
      <c r="B134" s="5">
        <f>IF('ORDENES'!$A112="","",IF('ORDENES'!$S112="","-",'ORDENES'!$S112))</f>
        <v/>
      </c>
      <c r="C134" s="5">
        <f>IF('ORDENES'!$A112="","",IF('ORDENES'!$AH112="","-",'ORDENES'!$AH112))</f>
        <v/>
      </c>
      <c r="D134" s="5">
        <f>IF('ORDENES'!$A112="","",IF('ORDENES'!$Z112="","-",'ORDENES'!$Z112))</f>
        <v/>
      </c>
      <c r="E134" s="5">
        <f>IF('ORDENES'!$A112="","",IF('ORDENES'!$X112="","-",'ORDENES'!$X112))</f>
        <v/>
      </c>
      <c r="F134" s="5">
        <f>IF('ORDENES'!$A112="","",IF('ORDENES'!$AA112="","-",'ORDENES'!$AA112))</f>
        <v/>
      </c>
      <c r="G134" s="5">
        <f>IF('ORDENES'!$A112="","",IF('ORDENES'!$Y112="","-",'ORDENES'!$Y112))</f>
        <v/>
      </c>
      <c r="H134" s="5">
        <f>IF('ORDENES'!$A112="","",IF('ORDENES'!$AG112="","-",'ORDENES'!$AG112))</f>
        <v/>
      </c>
      <c r="I134" s="5">
        <f>IF('ORDENES'!$A112="","",IF('ORDENES'!$AT112="","-",'ORDENES'!$AT112))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20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IF('ORDENES'!$A112="","",'ORDENES'!$AF112)</f>
        <v/>
      </c>
    </row>
    <row r="135">
      <c r="A135" s="5">
        <f>IF('ORDENES'!$A113="","",IF('ORDENES'!$O113="","-",'ORDENES'!$O113))</f>
        <v/>
      </c>
      <c r="B135" s="5">
        <f>IF('ORDENES'!$A113="","",IF('ORDENES'!$S113="","-",'ORDENES'!$S113))</f>
        <v/>
      </c>
      <c r="C135" s="5">
        <f>IF('ORDENES'!$A113="","",IF('ORDENES'!$AH113="","-",'ORDENES'!$AH113))</f>
        <v/>
      </c>
      <c r="D135" s="5">
        <f>IF('ORDENES'!$A113="","",IF('ORDENES'!$Z113="","-",'ORDENES'!$Z113))</f>
        <v/>
      </c>
      <c r="E135" s="5">
        <f>IF('ORDENES'!$A113="","",IF('ORDENES'!$X113="","-",'ORDENES'!$X113))</f>
        <v/>
      </c>
      <c r="F135" s="5">
        <f>IF('ORDENES'!$A113="","",IF('ORDENES'!$AA113="","-",'ORDENES'!$AA113))</f>
        <v/>
      </c>
      <c r="G135" s="5">
        <f>IF('ORDENES'!$A113="","",IF('ORDENES'!$Y113="","-",'ORDENES'!$Y113))</f>
        <v/>
      </c>
      <c r="H135" s="5">
        <f>IF('ORDENES'!$A113="","",IF('ORDENES'!$AG113="","-",'ORDENES'!$AG113))</f>
        <v/>
      </c>
      <c r="I135" s="5">
        <f>IF('ORDENES'!$A113="","",IF('ORDENES'!$AT113="","-",'ORDENES'!$AT113))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20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IF('ORDENES'!$A113="","",'ORDENES'!$AF113)</f>
        <v/>
      </c>
    </row>
    <row r="136">
      <c r="A136" s="5">
        <f>IF('ORDENES'!$A114="","",IF('ORDENES'!$O114="","-",'ORDENES'!$O114))</f>
        <v/>
      </c>
      <c r="B136" s="5">
        <f>IF('ORDENES'!$A114="","",IF('ORDENES'!$S114="","-",'ORDENES'!$S114))</f>
        <v/>
      </c>
      <c r="C136" s="5">
        <f>IF('ORDENES'!$A114="","",IF('ORDENES'!$AH114="","-",'ORDENES'!$AH114))</f>
        <v/>
      </c>
      <c r="D136" s="5">
        <f>IF('ORDENES'!$A114="","",IF('ORDENES'!$Z114="","-",'ORDENES'!$Z114))</f>
        <v/>
      </c>
      <c r="E136" s="5">
        <f>IF('ORDENES'!$A114="","",IF('ORDENES'!$X114="","-",'ORDENES'!$X114))</f>
        <v/>
      </c>
      <c r="F136" s="5">
        <f>IF('ORDENES'!$A114="","",IF('ORDENES'!$AA114="","-",'ORDENES'!$AA114))</f>
        <v/>
      </c>
      <c r="G136" s="5">
        <f>IF('ORDENES'!$A114="","",IF('ORDENES'!$Y114="","-",'ORDENES'!$Y114))</f>
        <v/>
      </c>
      <c r="H136" s="5">
        <f>IF('ORDENES'!$A114="","",IF('ORDENES'!$AG114="","-",'ORDENES'!$AG114))</f>
        <v/>
      </c>
      <c r="I136" s="5">
        <f>IF('ORDENES'!$A114="","",IF('ORDENES'!$AT114="","-",'ORDENES'!$AT114))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20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IF('ORDENES'!$A114="","",'ORDENES'!$AF114)</f>
        <v/>
      </c>
    </row>
    <row r="137">
      <c r="A137" s="5">
        <f>IF('ORDENES'!$A115="","",IF('ORDENES'!$O115="","-",'ORDENES'!$O115))</f>
        <v/>
      </c>
      <c r="B137" s="5">
        <f>IF('ORDENES'!$A115="","",IF('ORDENES'!$S115="","-",'ORDENES'!$S115))</f>
        <v/>
      </c>
      <c r="C137" s="5">
        <f>IF('ORDENES'!$A115="","",IF('ORDENES'!$AH115="","-",'ORDENES'!$AH115))</f>
        <v/>
      </c>
      <c r="D137" s="5">
        <f>IF('ORDENES'!$A115="","",IF('ORDENES'!$Z115="","-",'ORDENES'!$Z115))</f>
        <v/>
      </c>
      <c r="E137" s="5">
        <f>IF('ORDENES'!$A115="","",IF('ORDENES'!$X115="","-",'ORDENES'!$X115))</f>
        <v/>
      </c>
      <c r="F137" s="5">
        <f>IF('ORDENES'!$A115="","",IF('ORDENES'!$AA115="","-",'ORDENES'!$AA115))</f>
        <v/>
      </c>
      <c r="G137" s="5">
        <f>IF('ORDENES'!$A115="","",IF('ORDENES'!$Y115="","-",'ORDENES'!$Y115))</f>
        <v/>
      </c>
      <c r="H137" s="5">
        <f>IF('ORDENES'!$A115="","",IF('ORDENES'!$AG115="","-",'ORDENES'!$AG115))</f>
        <v/>
      </c>
      <c r="I137" s="5">
        <f>IF('ORDENES'!$A115="","",IF('ORDENES'!$AT115="","-",'ORDENES'!$AT115))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20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IF('ORDENES'!$A115="","",'ORDENES'!$AF115)</f>
        <v/>
      </c>
    </row>
    <row r="138">
      <c r="A138" s="5">
        <f>IF('ORDENES'!$A116="","",IF('ORDENES'!$O116="","-",'ORDENES'!$O116))</f>
        <v/>
      </c>
      <c r="B138" s="5">
        <f>IF('ORDENES'!$A116="","",IF('ORDENES'!$S116="","-",'ORDENES'!$S116))</f>
        <v/>
      </c>
      <c r="C138" s="5">
        <f>IF('ORDENES'!$A116="","",IF('ORDENES'!$AH116="","-",'ORDENES'!$AH116))</f>
        <v/>
      </c>
      <c r="D138" s="5">
        <f>IF('ORDENES'!$A116="","",IF('ORDENES'!$Z116="","-",'ORDENES'!$Z116))</f>
        <v/>
      </c>
      <c r="E138" s="5">
        <f>IF('ORDENES'!$A116="","",IF('ORDENES'!$X116="","-",'ORDENES'!$X116))</f>
        <v/>
      </c>
      <c r="F138" s="5">
        <f>IF('ORDENES'!$A116="","",IF('ORDENES'!$AA116="","-",'ORDENES'!$AA116))</f>
        <v/>
      </c>
      <c r="G138" s="5">
        <f>IF('ORDENES'!$A116="","",IF('ORDENES'!$Y116="","-",'ORDENES'!$Y116))</f>
        <v/>
      </c>
      <c r="H138" s="5">
        <f>IF('ORDENES'!$A116="","",IF('ORDENES'!$AG116="","-",'ORDENES'!$AG116))</f>
        <v/>
      </c>
      <c r="I138" s="5">
        <f>IF('ORDENES'!$A116="","",IF('ORDENES'!$AT116="","-",'ORDENES'!$AT116))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20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IF('ORDENES'!$A116="","",'ORDENES'!$AF116)</f>
        <v/>
      </c>
    </row>
    <row r="139">
      <c r="A139" s="5">
        <f>IF('ORDENES'!$A117="","",IF('ORDENES'!$O117="","-",'ORDENES'!$O117))</f>
        <v/>
      </c>
      <c r="B139" s="5">
        <f>IF('ORDENES'!$A117="","",IF('ORDENES'!$S117="","-",'ORDENES'!$S117))</f>
        <v/>
      </c>
      <c r="C139" s="5">
        <f>IF('ORDENES'!$A117="","",IF('ORDENES'!$AH117="","-",'ORDENES'!$AH117))</f>
        <v/>
      </c>
      <c r="D139" s="5">
        <f>IF('ORDENES'!$A117="","",IF('ORDENES'!$Z117="","-",'ORDENES'!$Z117))</f>
        <v/>
      </c>
      <c r="E139" s="5">
        <f>IF('ORDENES'!$A117="","",IF('ORDENES'!$X117="","-",'ORDENES'!$X117))</f>
        <v/>
      </c>
      <c r="F139" s="5">
        <f>IF('ORDENES'!$A117="","",IF('ORDENES'!$AA117="","-",'ORDENES'!$AA117))</f>
        <v/>
      </c>
      <c r="G139" s="5">
        <f>IF('ORDENES'!$A117="","",IF('ORDENES'!$Y117="","-",'ORDENES'!$Y117))</f>
        <v/>
      </c>
      <c r="H139" s="5">
        <f>IF('ORDENES'!$A117="","",IF('ORDENES'!$AG117="","-",'ORDENES'!$AG117))</f>
        <v/>
      </c>
      <c r="I139" s="5">
        <f>IF('ORDENES'!$A117="","",IF('ORDENES'!$AT117="","-",'ORDENES'!$AT117))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20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IF('ORDENES'!$A117="","",'ORDENES'!$AF117)</f>
        <v/>
      </c>
    </row>
    <row r="140">
      <c r="A140" s="5">
        <f>IF('ORDENES'!$A118="","",IF('ORDENES'!$O118="","-",'ORDENES'!$O118))</f>
        <v/>
      </c>
      <c r="B140" s="5">
        <f>IF('ORDENES'!$A118="","",IF('ORDENES'!$S118="","-",'ORDENES'!$S118))</f>
        <v/>
      </c>
      <c r="C140" s="5">
        <f>IF('ORDENES'!$A118="","",IF('ORDENES'!$AH118="","-",'ORDENES'!$AH118))</f>
        <v/>
      </c>
      <c r="D140" s="5">
        <f>IF('ORDENES'!$A118="","",IF('ORDENES'!$Z118="","-",'ORDENES'!$Z118))</f>
        <v/>
      </c>
      <c r="E140" s="5">
        <f>IF('ORDENES'!$A118="","",IF('ORDENES'!$X118="","-",'ORDENES'!$X118))</f>
        <v/>
      </c>
      <c r="F140" s="5">
        <f>IF('ORDENES'!$A118="","",IF('ORDENES'!$AA118="","-",'ORDENES'!$AA118))</f>
        <v/>
      </c>
      <c r="G140" s="5">
        <f>IF('ORDENES'!$A118="","",IF('ORDENES'!$Y118="","-",'ORDENES'!$Y118))</f>
        <v/>
      </c>
      <c r="H140" s="5">
        <f>IF('ORDENES'!$A118="","",IF('ORDENES'!$AG118="","-",'ORDENES'!$AG118))</f>
        <v/>
      </c>
      <c r="I140" s="5">
        <f>IF('ORDENES'!$A118="","",IF('ORDENES'!$AT118="","-",'ORDENES'!$AT118))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20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IF('ORDENES'!$A118="","",'ORDENES'!$AF118)</f>
        <v/>
      </c>
    </row>
    <row r="141">
      <c r="A141" s="5">
        <f>IF('ORDENES'!$A119="","",IF('ORDENES'!$O119="","-",'ORDENES'!$O119))</f>
        <v/>
      </c>
      <c r="B141" s="5">
        <f>IF('ORDENES'!$A119="","",IF('ORDENES'!$S119="","-",'ORDENES'!$S119))</f>
        <v/>
      </c>
      <c r="C141" s="5">
        <f>IF('ORDENES'!$A119="","",IF('ORDENES'!$AH119="","-",'ORDENES'!$AH119))</f>
        <v/>
      </c>
      <c r="D141" s="5">
        <f>IF('ORDENES'!$A119="","",IF('ORDENES'!$Z119="","-",'ORDENES'!$Z119))</f>
        <v/>
      </c>
      <c r="E141" s="5">
        <f>IF('ORDENES'!$A119="","",IF('ORDENES'!$X119="","-",'ORDENES'!$X119))</f>
        <v/>
      </c>
      <c r="F141" s="5">
        <f>IF('ORDENES'!$A119="","",IF('ORDENES'!$AA119="","-",'ORDENES'!$AA119))</f>
        <v/>
      </c>
      <c r="G141" s="5">
        <f>IF('ORDENES'!$A119="","",IF('ORDENES'!$Y119="","-",'ORDENES'!$Y119))</f>
        <v/>
      </c>
      <c r="H141" s="5">
        <f>IF('ORDENES'!$A119="","",IF('ORDENES'!$AG119="","-",'ORDENES'!$AG119))</f>
        <v/>
      </c>
      <c r="I141" s="5">
        <f>IF('ORDENES'!$A119="","",IF('ORDENES'!$AT119="","-",'ORDENES'!$AT119))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20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IF('ORDENES'!$A119="","",'ORDENES'!$AF119)</f>
        <v/>
      </c>
    </row>
    <row r="142">
      <c r="A142" s="5">
        <f>IF('ORDENES'!$A120="","",IF('ORDENES'!$O120="","-",'ORDENES'!$O120))</f>
        <v/>
      </c>
      <c r="B142" s="5">
        <f>IF('ORDENES'!$A120="","",IF('ORDENES'!$S120="","-",'ORDENES'!$S120))</f>
        <v/>
      </c>
      <c r="C142" s="5">
        <f>IF('ORDENES'!$A120="","",IF('ORDENES'!$AH120="","-",'ORDENES'!$AH120))</f>
        <v/>
      </c>
      <c r="D142" s="5">
        <f>IF('ORDENES'!$A120="","",IF('ORDENES'!$Z120="","-",'ORDENES'!$Z120))</f>
        <v/>
      </c>
      <c r="E142" s="5">
        <f>IF('ORDENES'!$A120="","",IF('ORDENES'!$X120="","-",'ORDENES'!$X120))</f>
        <v/>
      </c>
      <c r="F142" s="5">
        <f>IF('ORDENES'!$A120="","",IF('ORDENES'!$AA120="","-",'ORDENES'!$AA120))</f>
        <v/>
      </c>
      <c r="G142" s="5">
        <f>IF('ORDENES'!$A120="","",IF('ORDENES'!$Y120="","-",'ORDENES'!$Y120))</f>
        <v/>
      </c>
      <c r="H142" s="5">
        <f>IF('ORDENES'!$A120="","",IF('ORDENES'!$AG120="","-",'ORDENES'!$AG120))</f>
        <v/>
      </c>
      <c r="I142" s="5">
        <f>IF('ORDENES'!$A120="","",IF('ORDENES'!$AT120="","-",'ORDENES'!$AT120))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20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IF('ORDENES'!$A120="","",'ORDENES'!$AF120)</f>
        <v/>
      </c>
    </row>
    <row r="143">
      <c r="A143" s="5">
        <f>IF('ORDENES'!$A121="","",IF('ORDENES'!$O121="","-",'ORDENES'!$O121))</f>
        <v/>
      </c>
      <c r="B143" s="5">
        <f>IF('ORDENES'!$A121="","",IF('ORDENES'!$S121="","-",'ORDENES'!$S121))</f>
        <v/>
      </c>
      <c r="C143" s="5">
        <f>IF('ORDENES'!$A121="","",IF('ORDENES'!$AH121="","-",'ORDENES'!$AH121))</f>
        <v/>
      </c>
      <c r="D143" s="5">
        <f>IF('ORDENES'!$A121="","",IF('ORDENES'!$Z121="","-",'ORDENES'!$Z121))</f>
        <v/>
      </c>
      <c r="E143" s="5">
        <f>IF('ORDENES'!$A121="","",IF('ORDENES'!$X121="","-",'ORDENES'!$X121))</f>
        <v/>
      </c>
      <c r="F143" s="5">
        <f>IF('ORDENES'!$A121="","",IF('ORDENES'!$AA121="","-",'ORDENES'!$AA121))</f>
        <v/>
      </c>
      <c r="G143" s="5">
        <f>IF('ORDENES'!$A121="","",IF('ORDENES'!$Y121="","-",'ORDENES'!$Y121))</f>
        <v/>
      </c>
      <c r="H143" s="5">
        <f>IF('ORDENES'!$A121="","",IF('ORDENES'!$AG121="","-",'ORDENES'!$AG121))</f>
        <v/>
      </c>
      <c r="I143" s="5">
        <f>IF('ORDENES'!$A121="","",IF('ORDENES'!$AT121="","-",'ORDENES'!$AT121))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20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IF('ORDENES'!$A121="","",'ORDENES'!$AF121)</f>
        <v/>
      </c>
    </row>
    <row r="144">
      <c r="A144" s="5">
        <f>IF('ORDENES'!$A122="","",IF('ORDENES'!$O122="","-",'ORDENES'!$O122))</f>
        <v/>
      </c>
      <c r="B144" s="5">
        <f>IF('ORDENES'!$A122="","",IF('ORDENES'!$S122="","-",'ORDENES'!$S122))</f>
        <v/>
      </c>
      <c r="C144" s="5">
        <f>IF('ORDENES'!$A122="","",IF('ORDENES'!$AH122="","-",'ORDENES'!$AH122))</f>
        <v/>
      </c>
      <c r="D144" s="5">
        <f>IF('ORDENES'!$A122="","",IF('ORDENES'!$Z122="","-",'ORDENES'!$Z122))</f>
        <v/>
      </c>
      <c r="E144" s="5">
        <f>IF('ORDENES'!$A122="","",IF('ORDENES'!$X122="","-",'ORDENES'!$X122))</f>
        <v/>
      </c>
      <c r="F144" s="5">
        <f>IF('ORDENES'!$A122="","",IF('ORDENES'!$AA122="","-",'ORDENES'!$AA122))</f>
        <v/>
      </c>
      <c r="G144" s="5">
        <f>IF('ORDENES'!$A122="","",IF('ORDENES'!$Y122="","-",'ORDENES'!$Y122))</f>
        <v/>
      </c>
      <c r="H144" s="5">
        <f>IF('ORDENES'!$A122="","",IF('ORDENES'!$AG122="","-",'ORDENES'!$AG122))</f>
        <v/>
      </c>
      <c r="I144" s="5">
        <f>IF('ORDENES'!$A122="","",IF('ORDENES'!$AT122="","-",'ORDENES'!$AT122))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20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IF('ORDENES'!$A122="","",'ORDENES'!$AF122)</f>
        <v/>
      </c>
    </row>
    <row r="145">
      <c r="A145" s="5">
        <f>IF('ORDENES'!$A123="","",IF('ORDENES'!$O123="","-",'ORDENES'!$O123))</f>
        <v/>
      </c>
      <c r="B145" s="5">
        <f>IF('ORDENES'!$A123="","",IF('ORDENES'!$S123="","-",'ORDENES'!$S123))</f>
        <v/>
      </c>
      <c r="C145" s="5">
        <f>IF('ORDENES'!$A123="","",IF('ORDENES'!$AH123="","-",'ORDENES'!$AH123))</f>
        <v/>
      </c>
      <c r="D145" s="5">
        <f>IF('ORDENES'!$A123="","",IF('ORDENES'!$Z123="","-",'ORDENES'!$Z123))</f>
        <v/>
      </c>
      <c r="E145" s="5">
        <f>IF('ORDENES'!$A123="","",IF('ORDENES'!$X123="","-",'ORDENES'!$X123))</f>
        <v/>
      </c>
      <c r="F145" s="5">
        <f>IF('ORDENES'!$A123="","",IF('ORDENES'!$AA123="","-",'ORDENES'!$AA123))</f>
        <v/>
      </c>
      <c r="G145" s="5">
        <f>IF('ORDENES'!$A123="","",IF('ORDENES'!$Y123="","-",'ORDENES'!$Y123))</f>
        <v/>
      </c>
      <c r="H145" s="5">
        <f>IF('ORDENES'!$A123="","",IF('ORDENES'!$AG123="","-",'ORDENES'!$AG123))</f>
        <v/>
      </c>
      <c r="I145" s="5">
        <f>IF('ORDENES'!$A123="","",IF('ORDENES'!$AT123="","-",'ORDENES'!$AT123))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20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IF('ORDENES'!$A123="","",'ORDENES'!$AF123)</f>
        <v/>
      </c>
    </row>
    <row r="146">
      <c r="A146" s="5">
        <f>IF('ORDENES'!$A124="","",IF('ORDENES'!$O124="","-",'ORDENES'!$O124))</f>
        <v/>
      </c>
      <c r="B146" s="5">
        <f>IF('ORDENES'!$A124="","",IF('ORDENES'!$S124="","-",'ORDENES'!$S124))</f>
        <v/>
      </c>
      <c r="C146" s="5">
        <f>IF('ORDENES'!$A124="","",IF('ORDENES'!$AH124="","-",'ORDENES'!$AH124))</f>
        <v/>
      </c>
      <c r="D146" s="5">
        <f>IF('ORDENES'!$A124="","",IF('ORDENES'!$Z124="","-",'ORDENES'!$Z124))</f>
        <v/>
      </c>
      <c r="E146" s="5">
        <f>IF('ORDENES'!$A124="","",IF('ORDENES'!$X124="","-",'ORDENES'!$X124))</f>
        <v/>
      </c>
      <c r="F146" s="5">
        <f>IF('ORDENES'!$A124="","",IF('ORDENES'!$AA124="","-",'ORDENES'!$AA124))</f>
        <v/>
      </c>
      <c r="G146" s="5">
        <f>IF('ORDENES'!$A124="","",IF('ORDENES'!$Y124="","-",'ORDENES'!$Y124))</f>
        <v/>
      </c>
      <c r="H146" s="5">
        <f>IF('ORDENES'!$A124="","",IF('ORDENES'!$AG124="","-",'ORDENES'!$AG124))</f>
        <v/>
      </c>
      <c r="I146" s="5">
        <f>IF('ORDENES'!$A124="","",IF('ORDENES'!$AT124="","-",'ORDENES'!$AT124))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20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IF('ORDENES'!$A124="","",'ORDENES'!$AF124)</f>
        <v/>
      </c>
    </row>
    <row r="147">
      <c r="A147" s="5">
        <f>IF('ORDENES'!$A125="","",IF('ORDENES'!$O125="","-",'ORDENES'!$O125))</f>
        <v/>
      </c>
      <c r="B147" s="5">
        <f>IF('ORDENES'!$A125="","",IF('ORDENES'!$S125="","-",'ORDENES'!$S125))</f>
        <v/>
      </c>
      <c r="C147" s="5">
        <f>IF('ORDENES'!$A125="","",IF('ORDENES'!$AH125="","-",'ORDENES'!$AH125))</f>
        <v/>
      </c>
      <c r="D147" s="5">
        <f>IF('ORDENES'!$A125="","",IF('ORDENES'!$Z125="","-",'ORDENES'!$Z125))</f>
        <v/>
      </c>
      <c r="E147" s="5">
        <f>IF('ORDENES'!$A125="","",IF('ORDENES'!$X125="","-",'ORDENES'!$X125))</f>
        <v/>
      </c>
      <c r="F147" s="5">
        <f>IF('ORDENES'!$A125="","",IF('ORDENES'!$AA125="","-",'ORDENES'!$AA125))</f>
        <v/>
      </c>
      <c r="G147" s="5">
        <f>IF('ORDENES'!$A125="","",IF('ORDENES'!$Y125="","-",'ORDENES'!$Y125))</f>
        <v/>
      </c>
      <c r="H147" s="5">
        <f>IF('ORDENES'!$A125="","",IF('ORDENES'!$AG125="","-",'ORDENES'!$AG125))</f>
        <v/>
      </c>
      <c r="I147" s="5">
        <f>IF('ORDENES'!$A125="","",IF('ORDENES'!$AT125="","-",'ORDENES'!$AT125))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20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IF('ORDENES'!$A125="","",'ORDENES'!$AF125)</f>
        <v/>
      </c>
    </row>
    <row r="148">
      <c r="A148" s="5">
        <f>IF('ORDENES'!$A126="","",IF('ORDENES'!$O126="","-",'ORDENES'!$O126))</f>
        <v/>
      </c>
      <c r="B148" s="5">
        <f>IF('ORDENES'!$A126="","",IF('ORDENES'!$S126="","-",'ORDENES'!$S126))</f>
        <v/>
      </c>
      <c r="C148" s="5">
        <f>IF('ORDENES'!$A126="","",IF('ORDENES'!$AH126="","-",'ORDENES'!$AH126))</f>
        <v/>
      </c>
      <c r="D148" s="5">
        <f>IF('ORDENES'!$A126="","",IF('ORDENES'!$Z126="","-",'ORDENES'!$Z126))</f>
        <v/>
      </c>
      <c r="E148" s="5">
        <f>IF('ORDENES'!$A126="","",IF('ORDENES'!$X126="","-",'ORDENES'!$X126))</f>
        <v/>
      </c>
      <c r="F148" s="5">
        <f>IF('ORDENES'!$A126="","",IF('ORDENES'!$AA126="","-",'ORDENES'!$AA126))</f>
        <v/>
      </c>
      <c r="G148" s="5">
        <f>IF('ORDENES'!$A126="","",IF('ORDENES'!$Y126="","-",'ORDENES'!$Y126))</f>
        <v/>
      </c>
      <c r="H148" s="5">
        <f>IF('ORDENES'!$A126="","",IF('ORDENES'!$AG126="","-",'ORDENES'!$AG126))</f>
        <v/>
      </c>
      <c r="I148" s="5">
        <f>IF('ORDENES'!$A126="","",IF('ORDENES'!$AT126="","-",'ORDENES'!$AT126))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20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IF('ORDENES'!$A126="","",'ORDENES'!$AF126)</f>
        <v/>
      </c>
    </row>
    <row r="149">
      <c r="A149" s="5">
        <f>IF('ORDENES'!$A127="","",IF('ORDENES'!$O127="","-",'ORDENES'!$O127))</f>
        <v/>
      </c>
      <c r="B149" s="5">
        <f>IF('ORDENES'!$A127="","",IF('ORDENES'!$S127="","-",'ORDENES'!$S127))</f>
        <v/>
      </c>
      <c r="C149" s="5">
        <f>IF('ORDENES'!$A127="","",IF('ORDENES'!$AH127="","-",'ORDENES'!$AH127))</f>
        <v/>
      </c>
      <c r="D149" s="5">
        <f>IF('ORDENES'!$A127="","",IF('ORDENES'!$Z127="","-",'ORDENES'!$Z127))</f>
        <v/>
      </c>
      <c r="E149" s="5">
        <f>IF('ORDENES'!$A127="","",IF('ORDENES'!$X127="","-",'ORDENES'!$X127))</f>
        <v/>
      </c>
      <c r="F149" s="5">
        <f>IF('ORDENES'!$A127="","",IF('ORDENES'!$AA127="","-",'ORDENES'!$AA127))</f>
        <v/>
      </c>
      <c r="G149" s="5">
        <f>IF('ORDENES'!$A127="","",IF('ORDENES'!$Y127="","-",'ORDENES'!$Y127))</f>
        <v/>
      </c>
      <c r="H149" s="5">
        <f>IF('ORDENES'!$A127="","",IF('ORDENES'!$AG127="","-",'ORDENES'!$AG127))</f>
        <v/>
      </c>
      <c r="I149" s="5">
        <f>IF('ORDENES'!$A127="","",IF('ORDENES'!$AT127="","-",'ORDENES'!$AT127))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20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IF('ORDENES'!$A127="","",'ORDENES'!$AF127)</f>
        <v/>
      </c>
    </row>
    <row r="150">
      <c r="A150" s="5">
        <f>IF('ORDENES'!$A128="","",IF('ORDENES'!$O128="","-",'ORDENES'!$O128))</f>
        <v/>
      </c>
      <c r="B150" s="5">
        <f>IF('ORDENES'!$A128="","",IF('ORDENES'!$S128="","-",'ORDENES'!$S128))</f>
        <v/>
      </c>
      <c r="C150" s="5">
        <f>IF('ORDENES'!$A128="","",IF('ORDENES'!$AH128="","-",'ORDENES'!$AH128))</f>
        <v/>
      </c>
      <c r="D150" s="5">
        <f>IF('ORDENES'!$A128="","",IF('ORDENES'!$Z128="","-",'ORDENES'!$Z128))</f>
        <v/>
      </c>
      <c r="E150" s="5">
        <f>IF('ORDENES'!$A128="","",IF('ORDENES'!$X128="","-",'ORDENES'!$X128))</f>
        <v/>
      </c>
      <c r="F150" s="5">
        <f>IF('ORDENES'!$A128="","",IF('ORDENES'!$AA128="","-",'ORDENES'!$AA128))</f>
        <v/>
      </c>
      <c r="G150" s="5">
        <f>IF('ORDENES'!$A128="","",IF('ORDENES'!$Y128="","-",'ORDENES'!$Y128))</f>
        <v/>
      </c>
      <c r="H150" s="5">
        <f>IF('ORDENES'!$A128="","",IF('ORDENES'!$AG128="","-",'ORDENES'!$AG128))</f>
        <v/>
      </c>
      <c r="I150" s="5">
        <f>IF('ORDENES'!$A128="","",IF('ORDENES'!$AT128="","-",'ORDENES'!$AT128))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20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IF('ORDENES'!$A128="","",'ORDENES'!$AF128)</f>
        <v/>
      </c>
    </row>
    <row r="151">
      <c r="A151" s="5">
        <f>IF('ORDENES'!$A129="","",IF('ORDENES'!$O129="","-",'ORDENES'!$O129))</f>
        <v/>
      </c>
      <c r="B151" s="5">
        <f>IF('ORDENES'!$A129="","",IF('ORDENES'!$S129="","-",'ORDENES'!$S129))</f>
        <v/>
      </c>
      <c r="C151" s="5">
        <f>IF('ORDENES'!$A129="","",IF('ORDENES'!$AH129="","-",'ORDENES'!$AH129))</f>
        <v/>
      </c>
      <c r="D151" s="5">
        <f>IF('ORDENES'!$A129="","",IF('ORDENES'!$Z129="","-",'ORDENES'!$Z129))</f>
        <v/>
      </c>
      <c r="E151" s="5">
        <f>IF('ORDENES'!$A129="","",IF('ORDENES'!$X129="","-",'ORDENES'!$X129))</f>
        <v/>
      </c>
      <c r="F151" s="5">
        <f>IF('ORDENES'!$A129="","",IF('ORDENES'!$AA129="","-",'ORDENES'!$AA129))</f>
        <v/>
      </c>
      <c r="G151" s="5">
        <f>IF('ORDENES'!$A129="","",IF('ORDENES'!$Y129="","-",'ORDENES'!$Y129))</f>
        <v/>
      </c>
      <c r="H151" s="5">
        <f>IF('ORDENES'!$A129="","",IF('ORDENES'!$AG129="","-",'ORDENES'!$AG129))</f>
        <v/>
      </c>
      <c r="I151" s="5">
        <f>IF('ORDENES'!$A129="","",IF('ORDENES'!$AT129="","-",'ORDENES'!$AT129))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20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IF('ORDENES'!$A129="","",'ORDENES'!$AF129)</f>
        <v/>
      </c>
    </row>
    <row r="152">
      <c r="A152" s="5">
        <f>IF('ORDENES'!$A130="","",IF('ORDENES'!$O130="","-",'ORDENES'!$O130))</f>
        <v/>
      </c>
      <c r="B152" s="5">
        <f>IF('ORDENES'!$A130="","",IF('ORDENES'!$S130="","-",'ORDENES'!$S130))</f>
        <v/>
      </c>
      <c r="C152" s="5">
        <f>IF('ORDENES'!$A130="","",IF('ORDENES'!$AH130="","-",'ORDENES'!$AH130))</f>
        <v/>
      </c>
      <c r="D152" s="5">
        <f>IF('ORDENES'!$A130="","",IF('ORDENES'!$Z130="","-",'ORDENES'!$Z130))</f>
        <v/>
      </c>
      <c r="E152" s="5">
        <f>IF('ORDENES'!$A130="","",IF('ORDENES'!$X130="","-",'ORDENES'!$X130))</f>
        <v/>
      </c>
      <c r="F152" s="5">
        <f>IF('ORDENES'!$A130="","",IF('ORDENES'!$AA130="","-",'ORDENES'!$AA130))</f>
        <v/>
      </c>
      <c r="G152" s="5">
        <f>IF('ORDENES'!$A130="","",IF('ORDENES'!$Y130="","-",'ORDENES'!$Y130))</f>
        <v/>
      </c>
      <c r="H152" s="5">
        <f>IF('ORDENES'!$A130="","",IF('ORDENES'!$AG130="","-",'ORDENES'!$AG130))</f>
        <v/>
      </c>
      <c r="I152" s="5">
        <f>IF('ORDENES'!$A130="","",IF('ORDENES'!$AT130="","-",'ORDENES'!$AT130))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20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IF('ORDENES'!$A130="","",'ORDENES'!$AF130)</f>
        <v/>
      </c>
    </row>
    <row r="153">
      <c r="A153" s="5">
        <f>IF('ORDENES'!$A131="","",IF('ORDENES'!$O131="","-",'ORDENES'!$O131))</f>
        <v/>
      </c>
      <c r="B153" s="5">
        <f>IF('ORDENES'!$A131="","",IF('ORDENES'!$S131="","-",'ORDENES'!$S131))</f>
        <v/>
      </c>
      <c r="C153" s="5">
        <f>IF('ORDENES'!$A131="","",IF('ORDENES'!$AH131="","-",'ORDENES'!$AH131))</f>
        <v/>
      </c>
      <c r="D153" s="5">
        <f>IF('ORDENES'!$A131="","",IF('ORDENES'!$Z131="","-",'ORDENES'!$Z131))</f>
        <v/>
      </c>
      <c r="E153" s="5">
        <f>IF('ORDENES'!$A131="","",IF('ORDENES'!$X131="","-",'ORDENES'!$X131))</f>
        <v/>
      </c>
      <c r="F153" s="5">
        <f>IF('ORDENES'!$A131="","",IF('ORDENES'!$AA131="","-",'ORDENES'!$AA131))</f>
        <v/>
      </c>
      <c r="G153" s="5">
        <f>IF('ORDENES'!$A131="","",IF('ORDENES'!$Y131="","-",'ORDENES'!$Y131))</f>
        <v/>
      </c>
      <c r="H153" s="5">
        <f>IF('ORDENES'!$A131="","",IF('ORDENES'!$AG131="","-",'ORDENES'!$AG131))</f>
        <v/>
      </c>
      <c r="I153" s="5">
        <f>IF('ORDENES'!$A131="","",IF('ORDENES'!$AT131="","-",'ORDENES'!$AT131))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20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IF('ORDENES'!$A131="","",'ORDENES'!$AF131)</f>
        <v/>
      </c>
    </row>
    <row r="154">
      <c r="A154" s="5">
        <f>IF('ORDENES'!$A132="","",IF('ORDENES'!$O132="","-",'ORDENES'!$O132))</f>
        <v/>
      </c>
      <c r="B154" s="5">
        <f>IF('ORDENES'!$A132="","",IF('ORDENES'!$S132="","-",'ORDENES'!$S132))</f>
        <v/>
      </c>
      <c r="C154" s="5">
        <f>IF('ORDENES'!$A132="","",IF('ORDENES'!$AH132="","-",'ORDENES'!$AH132))</f>
        <v/>
      </c>
      <c r="D154" s="5">
        <f>IF('ORDENES'!$A132="","",IF('ORDENES'!$Z132="","-",'ORDENES'!$Z132))</f>
        <v/>
      </c>
      <c r="E154" s="5">
        <f>IF('ORDENES'!$A132="","",IF('ORDENES'!$X132="","-",'ORDENES'!$X132))</f>
        <v/>
      </c>
      <c r="F154" s="5">
        <f>IF('ORDENES'!$A132="","",IF('ORDENES'!$AA132="","-",'ORDENES'!$AA132))</f>
        <v/>
      </c>
      <c r="G154" s="5">
        <f>IF('ORDENES'!$A132="","",IF('ORDENES'!$Y132="","-",'ORDENES'!$Y132))</f>
        <v/>
      </c>
      <c r="H154" s="5">
        <f>IF('ORDENES'!$A132="","",IF('ORDENES'!$AG132="","-",'ORDENES'!$AG132))</f>
        <v/>
      </c>
      <c r="I154" s="5">
        <f>IF('ORDENES'!$A132="","",IF('ORDENES'!$AT132="","-",'ORDENES'!$AT132))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20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IF('ORDENES'!$A132="","",'ORDENES'!$AF132)</f>
        <v/>
      </c>
    </row>
    <row r="155">
      <c r="A155" s="5">
        <f>IF('ORDENES'!$A133="","",IF('ORDENES'!$O133="","-",'ORDENES'!$O133))</f>
        <v/>
      </c>
      <c r="B155" s="5">
        <f>IF('ORDENES'!$A133="","",IF('ORDENES'!$S133="","-",'ORDENES'!$S133))</f>
        <v/>
      </c>
      <c r="C155" s="5">
        <f>IF('ORDENES'!$A133="","",IF('ORDENES'!$AH133="","-",'ORDENES'!$AH133))</f>
        <v/>
      </c>
      <c r="D155" s="5">
        <f>IF('ORDENES'!$A133="","",IF('ORDENES'!$Z133="","-",'ORDENES'!$Z133))</f>
        <v/>
      </c>
      <c r="E155" s="5">
        <f>IF('ORDENES'!$A133="","",IF('ORDENES'!$X133="","-",'ORDENES'!$X133))</f>
        <v/>
      </c>
      <c r="F155" s="5">
        <f>IF('ORDENES'!$A133="","",IF('ORDENES'!$AA133="","-",'ORDENES'!$AA133))</f>
        <v/>
      </c>
      <c r="G155" s="5">
        <f>IF('ORDENES'!$A133="","",IF('ORDENES'!$Y133="","-",'ORDENES'!$Y133))</f>
        <v/>
      </c>
      <c r="H155" s="5">
        <f>IF('ORDENES'!$A133="","",IF('ORDENES'!$AG133="","-",'ORDENES'!$AG133))</f>
        <v/>
      </c>
      <c r="I155" s="5">
        <f>IF('ORDENES'!$A133="","",IF('ORDENES'!$AT133="","-",'ORDENES'!$AT133))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20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IF('ORDENES'!$A133="","",'ORDENES'!$AF133)</f>
        <v/>
      </c>
    </row>
    <row r="156">
      <c r="A156" s="5">
        <f>IF('ORDENES'!$A134="","",IF('ORDENES'!$O134="","-",'ORDENES'!$O134))</f>
        <v/>
      </c>
      <c r="B156" s="5">
        <f>IF('ORDENES'!$A134="","",IF('ORDENES'!$S134="","-",'ORDENES'!$S134))</f>
        <v/>
      </c>
      <c r="C156" s="5">
        <f>IF('ORDENES'!$A134="","",IF('ORDENES'!$AH134="","-",'ORDENES'!$AH134))</f>
        <v/>
      </c>
      <c r="D156" s="5">
        <f>IF('ORDENES'!$A134="","",IF('ORDENES'!$Z134="","-",'ORDENES'!$Z134))</f>
        <v/>
      </c>
      <c r="E156" s="5">
        <f>IF('ORDENES'!$A134="","",IF('ORDENES'!$X134="","-",'ORDENES'!$X134))</f>
        <v/>
      </c>
      <c r="F156" s="5">
        <f>IF('ORDENES'!$A134="","",IF('ORDENES'!$AA134="","-",'ORDENES'!$AA134))</f>
        <v/>
      </c>
      <c r="G156" s="5">
        <f>IF('ORDENES'!$A134="","",IF('ORDENES'!$Y134="","-",'ORDENES'!$Y134))</f>
        <v/>
      </c>
      <c r="H156" s="5">
        <f>IF('ORDENES'!$A134="","",IF('ORDENES'!$AG134="","-",'ORDENES'!$AG134))</f>
        <v/>
      </c>
      <c r="I156" s="5">
        <f>IF('ORDENES'!$A134="","",IF('ORDENES'!$AT134="","-",'ORDENES'!$AT134))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20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IF('ORDENES'!$A134="","",'ORDENES'!$AF134)</f>
        <v/>
      </c>
    </row>
    <row r="157">
      <c r="A157" s="5">
        <f>IF('ORDENES'!$A135="","",IF('ORDENES'!$O135="","-",'ORDENES'!$O135))</f>
        <v/>
      </c>
      <c r="B157" s="5">
        <f>IF('ORDENES'!$A135="","",IF('ORDENES'!$S135="","-",'ORDENES'!$S135))</f>
        <v/>
      </c>
      <c r="C157" s="5">
        <f>IF('ORDENES'!$A135="","",IF('ORDENES'!$AH135="","-",'ORDENES'!$AH135))</f>
        <v/>
      </c>
      <c r="D157" s="5">
        <f>IF('ORDENES'!$A135="","",IF('ORDENES'!$Z135="","-",'ORDENES'!$Z135))</f>
        <v/>
      </c>
      <c r="E157" s="5">
        <f>IF('ORDENES'!$A135="","",IF('ORDENES'!$X135="","-",'ORDENES'!$X135))</f>
        <v/>
      </c>
      <c r="F157" s="5">
        <f>IF('ORDENES'!$A135="","",IF('ORDENES'!$AA135="","-",'ORDENES'!$AA135))</f>
        <v/>
      </c>
      <c r="G157" s="5">
        <f>IF('ORDENES'!$A135="","",IF('ORDENES'!$Y135="","-",'ORDENES'!$Y135))</f>
        <v/>
      </c>
      <c r="H157" s="5">
        <f>IF('ORDENES'!$A135="","",IF('ORDENES'!$AG135="","-",'ORDENES'!$AG135))</f>
        <v/>
      </c>
      <c r="I157" s="5">
        <f>IF('ORDENES'!$A135="","",IF('ORDENES'!$AT135="","-",'ORDENES'!$AT135))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20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IF('ORDENES'!$A135="","",'ORDENES'!$AF135)</f>
        <v/>
      </c>
    </row>
    <row r="158">
      <c r="A158" s="5">
        <f>IF('ORDENES'!$A136="","",IF('ORDENES'!$O136="","-",'ORDENES'!$O136))</f>
        <v/>
      </c>
      <c r="B158" s="5">
        <f>IF('ORDENES'!$A136="","",IF('ORDENES'!$S136="","-",'ORDENES'!$S136))</f>
        <v/>
      </c>
      <c r="C158" s="5">
        <f>IF('ORDENES'!$A136="","",IF('ORDENES'!$AH136="","-",'ORDENES'!$AH136))</f>
        <v/>
      </c>
      <c r="D158" s="5">
        <f>IF('ORDENES'!$A136="","",IF('ORDENES'!$Z136="","-",'ORDENES'!$Z136))</f>
        <v/>
      </c>
      <c r="E158" s="5">
        <f>IF('ORDENES'!$A136="","",IF('ORDENES'!$X136="","-",'ORDENES'!$X136))</f>
        <v/>
      </c>
      <c r="F158" s="5">
        <f>IF('ORDENES'!$A136="","",IF('ORDENES'!$AA136="","-",'ORDENES'!$AA136))</f>
        <v/>
      </c>
      <c r="G158" s="5">
        <f>IF('ORDENES'!$A136="","",IF('ORDENES'!$Y136="","-",'ORDENES'!$Y136))</f>
        <v/>
      </c>
      <c r="H158" s="5">
        <f>IF('ORDENES'!$A136="","",IF('ORDENES'!$AG136="","-",'ORDENES'!$AG136))</f>
        <v/>
      </c>
      <c r="I158" s="5">
        <f>IF('ORDENES'!$A136="","",IF('ORDENES'!$AT136="","-",'ORDENES'!$AT136))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20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IF('ORDENES'!$A136="","",'ORDENES'!$AF136)</f>
        <v/>
      </c>
    </row>
    <row r="159">
      <c r="A159" s="5">
        <f>IF('ORDENES'!$A137="","",IF('ORDENES'!$O137="","-",'ORDENES'!$O137))</f>
        <v/>
      </c>
      <c r="B159" s="5">
        <f>IF('ORDENES'!$A137="","",IF('ORDENES'!$S137="","-",'ORDENES'!$S137))</f>
        <v/>
      </c>
      <c r="C159" s="5">
        <f>IF('ORDENES'!$A137="","",IF('ORDENES'!$AH137="","-",'ORDENES'!$AH137))</f>
        <v/>
      </c>
      <c r="D159" s="5">
        <f>IF('ORDENES'!$A137="","",IF('ORDENES'!$Z137="","-",'ORDENES'!$Z137))</f>
        <v/>
      </c>
      <c r="E159" s="5">
        <f>IF('ORDENES'!$A137="","",IF('ORDENES'!$X137="","-",'ORDENES'!$X137))</f>
        <v/>
      </c>
      <c r="F159" s="5">
        <f>IF('ORDENES'!$A137="","",IF('ORDENES'!$AA137="","-",'ORDENES'!$AA137))</f>
        <v/>
      </c>
      <c r="G159" s="5">
        <f>IF('ORDENES'!$A137="","",IF('ORDENES'!$Y137="","-",'ORDENES'!$Y137))</f>
        <v/>
      </c>
      <c r="H159" s="5">
        <f>IF('ORDENES'!$A137="","",IF('ORDENES'!$AG137="","-",'ORDENES'!$AG137))</f>
        <v/>
      </c>
      <c r="I159" s="5">
        <f>IF('ORDENES'!$A137="","",IF('ORDENES'!$AT137="","-",'ORDENES'!$AT137))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20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IF('ORDENES'!$A137="","",'ORDENES'!$AF137)</f>
        <v/>
      </c>
    </row>
    <row r="160">
      <c r="A160" s="5">
        <f>IF('ORDENES'!$A138="","",IF('ORDENES'!$O138="","-",'ORDENES'!$O138))</f>
        <v/>
      </c>
      <c r="B160" s="5">
        <f>IF('ORDENES'!$A138="","",IF('ORDENES'!$S138="","-",'ORDENES'!$S138))</f>
        <v/>
      </c>
      <c r="C160" s="5">
        <f>IF('ORDENES'!$A138="","",IF('ORDENES'!$AH138="","-",'ORDENES'!$AH138))</f>
        <v/>
      </c>
      <c r="D160" s="5">
        <f>IF('ORDENES'!$A138="","",IF('ORDENES'!$Z138="","-",'ORDENES'!$Z138))</f>
        <v/>
      </c>
      <c r="E160" s="5">
        <f>IF('ORDENES'!$A138="","",IF('ORDENES'!$X138="","-",'ORDENES'!$X138))</f>
        <v/>
      </c>
      <c r="F160" s="5">
        <f>IF('ORDENES'!$A138="","",IF('ORDENES'!$AA138="","-",'ORDENES'!$AA138))</f>
        <v/>
      </c>
      <c r="G160" s="5">
        <f>IF('ORDENES'!$A138="","",IF('ORDENES'!$Y138="","-",'ORDENES'!$Y138))</f>
        <v/>
      </c>
      <c r="H160" s="5">
        <f>IF('ORDENES'!$A138="","",IF('ORDENES'!$AG138="","-",'ORDENES'!$AG138))</f>
        <v/>
      </c>
      <c r="I160" s="5">
        <f>IF('ORDENES'!$A138="","",IF('ORDENES'!$AT138="","-",'ORDENES'!$AT138))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20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IF('ORDENES'!$A138="","",'ORDENES'!$AF138)</f>
        <v/>
      </c>
    </row>
    <row r="161">
      <c r="A161" s="5">
        <f>IF('ORDENES'!$A139="","",IF('ORDENES'!$O139="","-",'ORDENES'!$O139))</f>
        <v/>
      </c>
      <c r="B161" s="5">
        <f>IF('ORDENES'!$A139="","",IF('ORDENES'!$S139="","-",'ORDENES'!$S139))</f>
        <v/>
      </c>
      <c r="C161" s="5">
        <f>IF('ORDENES'!$A139="","",IF('ORDENES'!$AH139="","-",'ORDENES'!$AH139))</f>
        <v/>
      </c>
      <c r="D161" s="5">
        <f>IF('ORDENES'!$A139="","",IF('ORDENES'!$Z139="","-",'ORDENES'!$Z139))</f>
        <v/>
      </c>
      <c r="E161" s="5">
        <f>IF('ORDENES'!$A139="","",IF('ORDENES'!$X139="","-",'ORDENES'!$X139))</f>
        <v/>
      </c>
      <c r="F161" s="5">
        <f>IF('ORDENES'!$A139="","",IF('ORDENES'!$AA139="","-",'ORDENES'!$AA139))</f>
        <v/>
      </c>
      <c r="G161" s="5">
        <f>IF('ORDENES'!$A139="","",IF('ORDENES'!$Y139="","-",'ORDENES'!$Y139))</f>
        <v/>
      </c>
      <c r="H161" s="5">
        <f>IF('ORDENES'!$A139="","",IF('ORDENES'!$AG139="","-",'ORDENES'!$AG139))</f>
        <v/>
      </c>
      <c r="I161" s="5">
        <f>IF('ORDENES'!$A139="","",IF('ORDENES'!$AT139="","-",'ORDENES'!$AT139))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20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IF('ORDENES'!$A139="","",'ORDENES'!$AF139)</f>
        <v/>
      </c>
    </row>
    <row r="162">
      <c r="A162" s="5">
        <f>IF('ORDENES'!$A140="","",IF('ORDENES'!$O140="","-",'ORDENES'!$O140))</f>
        <v/>
      </c>
      <c r="B162" s="5">
        <f>IF('ORDENES'!$A140="","",IF('ORDENES'!$S140="","-",'ORDENES'!$S140))</f>
        <v/>
      </c>
      <c r="C162" s="5">
        <f>IF('ORDENES'!$A140="","",IF('ORDENES'!$AH140="","-",'ORDENES'!$AH140))</f>
        <v/>
      </c>
      <c r="D162" s="5">
        <f>IF('ORDENES'!$A140="","",IF('ORDENES'!$Z140="","-",'ORDENES'!$Z140))</f>
        <v/>
      </c>
      <c r="E162" s="5">
        <f>IF('ORDENES'!$A140="","",IF('ORDENES'!$X140="","-",'ORDENES'!$X140))</f>
        <v/>
      </c>
      <c r="F162" s="5">
        <f>IF('ORDENES'!$A140="","",IF('ORDENES'!$AA140="","-",'ORDENES'!$AA140))</f>
        <v/>
      </c>
      <c r="G162" s="5">
        <f>IF('ORDENES'!$A140="","",IF('ORDENES'!$Y140="","-",'ORDENES'!$Y140))</f>
        <v/>
      </c>
      <c r="H162" s="5">
        <f>IF('ORDENES'!$A140="","",IF('ORDENES'!$AG140="","-",'ORDENES'!$AG140))</f>
        <v/>
      </c>
      <c r="I162" s="5">
        <f>IF('ORDENES'!$A140="","",IF('ORDENES'!$AT140="","-",'ORDENES'!$AT140))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20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IF('ORDENES'!$A140="","",'ORDENES'!$AF140)</f>
        <v/>
      </c>
    </row>
    <row r="163">
      <c r="A163" s="5">
        <f>IF('ORDENES'!$A141="","",IF('ORDENES'!$O141="","-",'ORDENES'!$O141))</f>
        <v/>
      </c>
      <c r="B163" s="5">
        <f>IF('ORDENES'!$A141="","",IF('ORDENES'!$S141="","-",'ORDENES'!$S141))</f>
        <v/>
      </c>
      <c r="C163" s="5">
        <f>IF('ORDENES'!$A141="","",IF('ORDENES'!$AH141="","-",'ORDENES'!$AH141))</f>
        <v/>
      </c>
      <c r="D163" s="5">
        <f>IF('ORDENES'!$A141="","",IF('ORDENES'!$Z141="","-",'ORDENES'!$Z141))</f>
        <v/>
      </c>
      <c r="E163" s="5">
        <f>IF('ORDENES'!$A141="","",IF('ORDENES'!$X141="","-",'ORDENES'!$X141))</f>
        <v/>
      </c>
      <c r="F163" s="5">
        <f>IF('ORDENES'!$A141="","",IF('ORDENES'!$AA141="","-",'ORDENES'!$AA141))</f>
        <v/>
      </c>
      <c r="G163" s="5">
        <f>IF('ORDENES'!$A141="","",IF('ORDENES'!$Y141="","-",'ORDENES'!$Y141))</f>
        <v/>
      </c>
      <c r="H163" s="5">
        <f>IF('ORDENES'!$A141="","",IF('ORDENES'!$AG141="","-",'ORDENES'!$AG141))</f>
        <v/>
      </c>
      <c r="I163" s="5">
        <f>IF('ORDENES'!$A141="","",IF('ORDENES'!$AT141="","-",'ORDENES'!$AT141))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20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IF('ORDENES'!$A141="","",'ORDENES'!$AF141)</f>
        <v/>
      </c>
    </row>
    <row r="164">
      <c r="A164" s="5">
        <f>IF('ORDENES'!$A142="","",IF('ORDENES'!$O142="","-",'ORDENES'!$O142))</f>
        <v/>
      </c>
      <c r="B164" s="5">
        <f>IF('ORDENES'!$A142="","",IF('ORDENES'!$S142="","-",'ORDENES'!$S142))</f>
        <v/>
      </c>
      <c r="C164" s="5">
        <f>IF('ORDENES'!$A142="","",IF('ORDENES'!$AH142="","-",'ORDENES'!$AH142))</f>
        <v/>
      </c>
      <c r="D164" s="5">
        <f>IF('ORDENES'!$A142="","",IF('ORDENES'!$Z142="","-",'ORDENES'!$Z142))</f>
        <v/>
      </c>
      <c r="E164" s="5">
        <f>IF('ORDENES'!$A142="","",IF('ORDENES'!$X142="","-",'ORDENES'!$X142))</f>
        <v/>
      </c>
      <c r="F164" s="5">
        <f>IF('ORDENES'!$A142="","",IF('ORDENES'!$AA142="","-",'ORDENES'!$AA142))</f>
        <v/>
      </c>
      <c r="G164" s="5">
        <f>IF('ORDENES'!$A142="","",IF('ORDENES'!$Y142="","-",'ORDENES'!$Y142))</f>
        <v/>
      </c>
      <c r="H164" s="5">
        <f>IF('ORDENES'!$A142="","",IF('ORDENES'!$AG142="","-",'ORDENES'!$AG142))</f>
        <v/>
      </c>
      <c r="I164" s="5">
        <f>IF('ORDENES'!$A142="","",IF('ORDENES'!$AT142="","-",'ORDENES'!$AT142))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20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IF('ORDENES'!$A142="","",'ORDENES'!$AF142)</f>
        <v/>
      </c>
    </row>
    <row r="165">
      <c r="A165" s="5">
        <f>IF('ORDENES'!$A143="","",IF('ORDENES'!$O143="","-",'ORDENES'!$O143))</f>
        <v/>
      </c>
      <c r="B165" s="5">
        <f>IF('ORDENES'!$A143="","",IF('ORDENES'!$S143="","-",'ORDENES'!$S143))</f>
        <v/>
      </c>
      <c r="C165" s="5">
        <f>IF('ORDENES'!$A143="","",IF('ORDENES'!$AH143="","-",'ORDENES'!$AH143))</f>
        <v/>
      </c>
      <c r="D165" s="5">
        <f>IF('ORDENES'!$A143="","",IF('ORDENES'!$Z143="","-",'ORDENES'!$Z143))</f>
        <v/>
      </c>
      <c r="E165" s="5">
        <f>IF('ORDENES'!$A143="","",IF('ORDENES'!$X143="","-",'ORDENES'!$X143))</f>
        <v/>
      </c>
      <c r="F165" s="5">
        <f>IF('ORDENES'!$A143="","",IF('ORDENES'!$AA143="","-",'ORDENES'!$AA143))</f>
        <v/>
      </c>
      <c r="G165" s="5">
        <f>IF('ORDENES'!$A143="","",IF('ORDENES'!$Y143="","-",'ORDENES'!$Y143))</f>
        <v/>
      </c>
      <c r="H165" s="5">
        <f>IF('ORDENES'!$A143="","",IF('ORDENES'!$AG143="","-",'ORDENES'!$AG143))</f>
        <v/>
      </c>
      <c r="I165" s="5">
        <f>IF('ORDENES'!$A143="","",IF('ORDENES'!$AT143="","-",'ORDENES'!$AT143))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20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IF('ORDENES'!$A143="","",'ORDENES'!$AF143)</f>
        <v/>
      </c>
    </row>
    <row r="166">
      <c r="A166" s="5">
        <f>IF('ORDENES'!$A144="","",IF('ORDENES'!$O144="","-",'ORDENES'!$O144))</f>
        <v/>
      </c>
      <c r="B166" s="5">
        <f>IF('ORDENES'!$A144="","",IF('ORDENES'!$S144="","-",'ORDENES'!$S144))</f>
        <v/>
      </c>
      <c r="C166" s="5">
        <f>IF('ORDENES'!$A144="","",IF('ORDENES'!$AH144="","-",'ORDENES'!$AH144))</f>
        <v/>
      </c>
      <c r="D166" s="5">
        <f>IF('ORDENES'!$A144="","",IF('ORDENES'!$Z144="","-",'ORDENES'!$Z144))</f>
        <v/>
      </c>
      <c r="E166" s="5">
        <f>IF('ORDENES'!$A144="","",IF('ORDENES'!$X144="","-",'ORDENES'!$X144))</f>
        <v/>
      </c>
      <c r="F166" s="5">
        <f>IF('ORDENES'!$A144="","",IF('ORDENES'!$AA144="","-",'ORDENES'!$AA144))</f>
        <v/>
      </c>
      <c r="G166" s="5">
        <f>IF('ORDENES'!$A144="","",IF('ORDENES'!$Y144="","-",'ORDENES'!$Y144))</f>
        <v/>
      </c>
      <c r="H166" s="5">
        <f>IF('ORDENES'!$A144="","",IF('ORDENES'!$AG144="","-",'ORDENES'!$AG144))</f>
        <v/>
      </c>
      <c r="I166" s="5">
        <f>IF('ORDENES'!$A144="","",IF('ORDENES'!$AT144="","-",'ORDENES'!$AT144))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20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IF('ORDENES'!$A144="","",'ORDENES'!$AF144)</f>
        <v/>
      </c>
    </row>
    <row r="167">
      <c r="A167" s="5">
        <f>IF('ORDENES'!$A145="","",IF('ORDENES'!$O145="","-",'ORDENES'!$O145))</f>
        <v/>
      </c>
      <c r="B167" s="5">
        <f>IF('ORDENES'!$A145="","",IF('ORDENES'!$S145="","-",'ORDENES'!$S145))</f>
        <v/>
      </c>
      <c r="C167" s="5">
        <f>IF('ORDENES'!$A145="","",IF('ORDENES'!$AH145="","-",'ORDENES'!$AH145))</f>
        <v/>
      </c>
      <c r="D167" s="5">
        <f>IF('ORDENES'!$A145="","",IF('ORDENES'!$Z145="","-",'ORDENES'!$Z145))</f>
        <v/>
      </c>
      <c r="E167" s="5">
        <f>IF('ORDENES'!$A145="","",IF('ORDENES'!$X145="","-",'ORDENES'!$X145))</f>
        <v/>
      </c>
      <c r="F167" s="5">
        <f>IF('ORDENES'!$A145="","",IF('ORDENES'!$AA145="","-",'ORDENES'!$AA145))</f>
        <v/>
      </c>
      <c r="G167" s="5">
        <f>IF('ORDENES'!$A145="","",IF('ORDENES'!$Y145="","-",'ORDENES'!$Y145))</f>
        <v/>
      </c>
      <c r="H167" s="5">
        <f>IF('ORDENES'!$A145="","",IF('ORDENES'!$AG145="","-",'ORDENES'!$AG145))</f>
        <v/>
      </c>
      <c r="I167" s="5">
        <f>IF('ORDENES'!$A145="","",IF('ORDENES'!$AT145="","-",'ORDENES'!$AT145))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20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IF('ORDENES'!$A145="","",'ORDENES'!$AF145)</f>
        <v/>
      </c>
    </row>
    <row r="168">
      <c r="A168" s="5">
        <f>IF('ORDENES'!$A146="","",IF('ORDENES'!$O146="","-",'ORDENES'!$O146))</f>
        <v/>
      </c>
      <c r="B168" s="5">
        <f>IF('ORDENES'!$A146="","",IF('ORDENES'!$S146="","-",'ORDENES'!$S146))</f>
        <v/>
      </c>
      <c r="C168" s="5">
        <f>IF('ORDENES'!$A146="","",IF('ORDENES'!$AH146="","-",'ORDENES'!$AH146))</f>
        <v/>
      </c>
      <c r="D168" s="5">
        <f>IF('ORDENES'!$A146="","",IF('ORDENES'!$Z146="","-",'ORDENES'!$Z146))</f>
        <v/>
      </c>
      <c r="E168" s="5">
        <f>IF('ORDENES'!$A146="","",IF('ORDENES'!$X146="","-",'ORDENES'!$X146))</f>
        <v/>
      </c>
      <c r="F168" s="5">
        <f>IF('ORDENES'!$A146="","",IF('ORDENES'!$AA146="","-",'ORDENES'!$AA146))</f>
        <v/>
      </c>
      <c r="G168" s="5">
        <f>IF('ORDENES'!$A146="","",IF('ORDENES'!$Y146="","-",'ORDENES'!$Y146))</f>
        <v/>
      </c>
      <c r="H168" s="5">
        <f>IF('ORDENES'!$A146="","",IF('ORDENES'!$AG146="","-",'ORDENES'!$AG146))</f>
        <v/>
      </c>
      <c r="I168" s="5">
        <f>IF('ORDENES'!$A146="","",IF('ORDENES'!$AT146="","-",'ORDENES'!$AT146))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20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IF('ORDENES'!$A146="","",'ORDENES'!$AF146)</f>
        <v/>
      </c>
    </row>
    <row r="169">
      <c r="A169" s="5">
        <f>IF('ORDENES'!$A147="","",IF('ORDENES'!$O147="","-",'ORDENES'!$O147))</f>
        <v/>
      </c>
      <c r="B169" s="5">
        <f>IF('ORDENES'!$A147="","",IF('ORDENES'!$S147="","-",'ORDENES'!$S147))</f>
        <v/>
      </c>
      <c r="C169" s="5">
        <f>IF('ORDENES'!$A147="","",IF('ORDENES'!$AH147="","-",'ORDENES'!$AH147))</f>
        <v/>
      </c>
      <c r="D169" s="5">
        <f>IF('ORDENES'!$A147="","",IF('ORDENES'!$Z147="","-",'ORDENES'!$Z147))</f>
        <v/>
      </c>
      <c r="E169" s="5">
        <f>IF('ORDENES'!$A147="","",IF('ORDENES'!$X147="","-",'ORDENES'!$X147))</f>
        <v/>
      </c>
      <c r="F169" s="5">
        <f>IF('ORDENES'!$A147="","",IF('ORDENES'!$AA147="","-",'ORDENES'!$AA147))</f>
        <v/>
      </c>
      <c r="G169" s="5">
        <f>IF('ORDENES'!$A147="","",IF('ORDENES'!$Y147="","-",'ORDENES'!$Y147))</f>
        <v/>
      </c>
      <c r="H169" s="5">
        <f>IF('ORDENES'!$A147="","",IF('ORDENES'!$AG147="","-",'ORDENES'!$AG147))</f>
        <v/>
      </c>
      <c r="I169" s="5">
        <f>IF('ORDENES'!$A147="","",IF('ORDENES'!$AT147="","-",'ORDENES'!$AT147))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20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IF('ORDENES'!$A147="","",'ORDENES'!$AF147)</f>
        <v/>
      </c>
    </row>
    <row r="170">
      <c r="A170" s="5">
        <f>IF('ORDENES'!$A148="","",IF('ORDENES'!$O148="","-",'ORDENES'!$O148))</f>
        <v/>
      </c>
      <c r="B170" s="5">
        <f>IF('ORDENES'!$A148="","",IF('ORDENES'!$S148="","-",'ORDENES'!$S148))</f>
        <v/>
      </c>
      <c r="C170" s="5">
        <f>IF('ORDENES'!$A148="","",IF('ORDENES'!$AH148="","-",'ORDENES'!$AH148))</f>
        <v/>
      </c>
      <c r="D170" s="5">
        <f>IF('ORDENES'!$A148="","",IF('ORDENES'!$Z148="","-",'ORDENES'!$Z148))</f>
        <v/>
      </c>
      <c r="E170" s="5">
        <f>IF('ORDENES'!$A148="","",IF('ORDENES'!$X148="","-",'ORDENES'!$X148))</f>
        <v/>
      </c>
      <c r="F170" s="5">
        <f>IF('ORDENES'!$A148="","",IF('ORDENES'!$AA148="","-",'ORDENES'!$AA148))</f>
        <v/>
      </c>
      <c r="G170" s="5">
        <f>IF('ORDENES'!$A148="","",IF('ORDENES'!$Y148="","-",'ORDENES'!$Y148))</f>
        <v/>
      </c>
      <c r="H170" s="5">
        <f>IF('ORDENES'!$A148="","",IF('ORDENES'!$AG148="","-",'ORDENES'!$AG148))</f>
        <v/>
      </c>
      <c r="I170" s="5">
        <f>IF('ORDENES'!$A148="","",IF('ORDENES'!$AT148="","-",'ORDENES'!$AT148))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20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IF('ORDENES'!$A148="","",'ORDENES'!$AF148)</f>
        <v/>
      </c>
    </row>
    <row r="171">
      <c r="A171" s="5">
        <f>IF('ORDENES'!$A149="","",IF('ORDENES'!$O149="","-",'ORDENES'!$O149))</f>
        <v/>
      </c>
      <c r="B171" s="5">
        <f>IF('ORDENES'!$A149="","",IF('ORDENES'!$S149="","-",'ORDENES'!$S149))</f>
        <v/>
      </c>
      <c r="C171" s="5">
        <f>IF('ORDENES'!$A149="","",IF('ORDENES'!$AH149="","-",'ORDENES'!$AH149))</f>
        <v/>
      </c>
      <c r="D171" s="5">
        <f>IF('ORDENES'!$A149="","",IF('ORDENES'!$Z149="","-",'ORDENES'!$Z149))</f>
        <v/>
      </c>
      <c r="E171" s="5">
        <f>IF('ORDENES'!$A149="","",IF('ORDENES'!$X149="","-",'ORDENES'!$X149))</f>
        <v/>
      </c>
      <c r="F171" s="5">
        <f>IF('ORDENES'!$A149="","",IF('ORDENES'!$AA149="","-",'ORDENES'!$AA149))</f>
        <v/>
      </c>
      <c r="G171" s="5">
        <f>IF('ORDENES'!$A149="","",IF('ORDENES'!$Y149="","-",'ORDENES'!$Y149))</f>
        <v/>
      </c>
      <c r="H171" s="5">
        <f>IF('ORDENES'!$A149="","",IF('ORDENES'!$AG149="","-",'ORDENES'!$AG149))</f>
        <v/>
      </c>
      <c r="I171" s="5">
        <f>IF('ORDENES'!$A149="","",IF('ORDENES'!$AT149="","-",'ORDENES'!$AT149))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20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IF('ORDENES'!$A149="","",'ORDENES'!$AF149)</f>
        <v/>
      </c>
    </row>
    <row r="172">
      <c r="A172" s="5">
        <f>IF('ORDENES'!$A150="","",IF('ORDENES'!$O150="","-",'ORDENES'!$O150))</f>
        <v/>
      </c>
      <c r="B172" s="5">
        <f>IF('ORDENES'!$A150="","",IF('ORDENES'!$S150="","-",'ORDENES'!$S150))</f>
        <v/>
      </c>
      <c r="C172" s="5">
        <f>IF('ORDENES'!$A150="","",IF('ORDENES'!$AH150="","-",'ORDENES'!$AH150))</f>
        <v/>
      </c>
      <c r="D172" s="5">
        <f>IF('ORDENES'!$A150="","",IF('ORDENES'!$Z150="","-",'ORDENES'!$Z150))</f>
        <v/>
      </c>
      <c r="E172" s="5">
        <f>IF('ORDENES'!$A150="","",IF('ORDENES'!$X150="","-",'ORDENES'!$X150))</f>
        <v/>
      </c>
      <c r="F172" s="5">
        <f>IF('ORDENES'!$A150="","",IF('ORDENES'!$AA150="","-",'ORDENES'!$AA150))</f>
        <v/>
      </c>
      <c r="G172" s="5">
        <f>IF('ORDENES'!$A150="","",IF('ORDENES'!$Y150="","-",'ORDENES'!$Y150))</f>
        <v/>
      </c>
      <c r="H172" s="5">
        <f>IF('ORDENES'!$A150="","",IF('ORDENES'!$AG150="","-",'ORDENES'!$AG150))</f>
        <v/>
      </c>
      <c r="I172" s="5">
        <f>IF('ORDENES'!$A150="","",IF('ORDENES'!$AT150="","-",'ORDENES'!$AT150))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20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IF('ORDENES'!$A150="","",'ORDENES'!$AF150)</f>
        <v/>
      </c>
    </row>
    <row r="173">
      <c r="A173" s="5">
        <f>IF('ORDENES'!$A151="","",IF('ORDENES'!$O151="","-",'ORDENES'!$O151))</f>
        <v/>
      </c>
      <c r="B173" s="5">
        <f>IF('ORDENES'!$A151="","",IF('ORDENES'!$S151="","-",'ORDENES'!$S151))</f>
        <v/>
      </c>
      <c r="C173" s="5">
        <f>IF('ORDENES'!$A151="","",IF('ORDENES'!$AH151="","-",'ORDENES'!$AH151))</f>
        <v/>
      </c>
      <c r="D173" s="5">
        <f>IF('ORDENES'!$A151="","",IF('ORDENES'!$Z151="","-",'ORDENES'!$Z151))</f>
        <v/>
      </c>
      <c r="E173" s="5">
        <f>IF('ORDENES'!$A151="","",IF('ORDENES'!$X151="","-",'ORDENES'!$X151))</f>
        <v/>
      </c>
      <c r="F173" s="5">
        <f>IF('ORDENES'!$A151="","",IF('ORDENES'!$AA151="","-",'ORDENES'!$AA151))</f>
        <v/>
      </c>
      <c r="G173" s="5">
        <f>IF('ORDENES'!$A151="","",IF('ORDENES'!$Y151="","-",'ORDENES'!$Y151))</f>
        <v/>
      </c>
      <c r="H173" s="5">
        <f>IF('ORDENES'!$A151="","",IF('ORDENES'!$AG151="","-",'ORDENES'!$AG151))</f>
        <v/>
      </c>
      <c r="I173" s="5">
        <f>IF('ORDENES'!$A151="","",IF('ORDENES'!$AT151="","-",'ORDENES'!$AT151))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20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IF('ORDENES'!$A151="","",'ORDENES'!$AF151)</f>
        <v/>
      </c>
    </row>
    <row r="174">
      <c r="A174" s="5">
        <f>IF('ORDENES'!$A152="","",IF('ORDENES'!$O152="","-",'ORDENES'!$O152))</f>
        <v/>
      </c>
      <c r="B174" s="5">
        <f>IF('ORDENES'!$A152="","",IF('ORDENES'!$S152="","-",'ORDENES'!$S152))</f>
        <v/>
      </c>
      <c r="C174" s="5">
        <f>IF('ORDENES'!$A152="","",IF('ORDENES'!$AH152="","-",'ORDENES'!$AH152))</f>
        <v/>
      </c>
      <c r="D174" s="5">
        <f>IF('ORDENES'!$A152="","",IF('ORDENES'!$Z152="","-",'ORDENES'!$Z152))</f>
        <v/>
      </c>
      <c r="E174" s="5">
        <f>IF('ORDENES'!$A152="","",IF('ORDENES'!$X152="","-",'ORDENES'!$X152))</f>
        <v/>
      </c>
      <c r="F174" s="5">
        <f>IF('ORDENES'!$A152="","",IF('ORDENES'!$AA152="","-",'ORDENES'!$AA152))</f>
        <v/>
      </c>
      <c r="G174" s="5">
        <f>IF('ORDENES'!$A152="","",IF('ORDENES'!$Y152="","-",'ORDENES'!$Y152))</f>
        <v/>
      </c>
      <c r="H174" s="5">
        <f>IF('ORDENES'!$A152="","",IF('ORDENES'!$AG152="","-",'ORDENES'!$AG152))</f>
        <v/>
      </c>
      <c r="I174" s="5">
        <f>IF('ORDENES'!$A152="","",IF('ORDENES'!$AT152="","-",'ORDENES'!$AT152))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20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IF('ORDENES'!$A152="","",'ORDENES'!$AF152)</f>
        <v/>
      </c>
    </row>
    <row r="175">
      <c r="A175" s="5">
        <f>IF('ORDENES'!$A153="","",IF('ORDENES'!$O153="","-",'ORDENES'!$O153))</f>
        <v/>
      </c>
      <c r="B175" s="5">
        <f>IF('ORDENES'!$A153="","",IF('ORDENES'!$S153="","-",'ORDENES'!$S153))</f>
        <v/>
      </c>
      <c r="C175" s="5">
        <f>IF('ORDENES'!$A153="","",IF('ORDENES'!$AH153="","-",'ORDENES'!$AH153))</f>
        <v/>
      </c>
      <c r="D175" s="5">
        <f>IF('ORDENES'!$A153="","",IF('ORDENES'!$Z153="","-",'ORDENES'!$Z153))</f>
        <v/>
      </c>
      <c r="E175" s="5">
        <f>IF('ORDENES'!$A153="","",IF('ORDENES'!$X153="","-",'ORDENES'!$X153))</f>
        <v/>
      </c>
      <c r="F175" s="5">
        <f>IF('ORDENES'!$A153="","",IF('ORDENES'!$AA153="","-",'ORDENES'!$AA153))</f>
        <v/>
      </c>
      <c r="G175" s="5">
        <f>IF('ORDENES'!$A153="","",IF('ORDENES'!$Y153="","-",'ORDENES'!$Y153))</f>
        <v/>
      </c>
      <c r="H175" s="5">
        <f>IF('ORDENES'!$A153="","",IF('ORDENES'!$AG153="","-",'ORDENES'!$AG153))</f>
        <v/>
      </c>
      <c r="I175" s="5">
        <f>IF('ORDENES'!$A153="","",IF('ORDENES'!$AT153="","-",'ORDENES'!$AT153))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20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IF('ORDENES'!$A153="","",'ORDENES'!$AF153)</f>
        <v/>
      </c>
    </row>
    <row r="176">
      <c r="A176" s="5">
        <f>IF('ORDENES'!$A154="","",IF('ORDENES'!$O154="","-",'ORDENES'!$O154))</f>
        <v/>
      </c>
      <c r="B176" s="5">
        <f>IF('ORDENES'!$A154="","",IF('ORDENES'!$S154="","-",'ORDENES'!$S154))</f>
        <v/>
      </c>
      <c r="C176" s="5">
        <f>IF('ORDENES'!$A154="","",IF('ORDENES'!$AH154="","-",'ORDENES'!$AH154))</f>
        <v/>
      </c>
      <c r="D176" s="5">
        <f>IF('ORDENES'!$A154="","",IF('ORDENES'!$Z154="","-",'ORDENES'!$Z154))</f>
        <v/>
      </c>
      <c r="E176" s="5">
        <f>IF('ORDENES'!$A154="","",IF('ORDENES'!$X154="","-",'ORDENES'!$X154))</f>
        <v/>
      </c>
      <c r="F176" s="5">
        <f>IF('ORDENES'!$A154="","",IF('ORDENES'!$AA154="","-",'ORDENES'!$AA154))</f>
        <v/>
      </c>
      <c r="G176" s="5">
        <f>IF('ORDENES'!$A154="","",IF('ORDENES'!$Y154="","-",'ORDENES'!$Y154))</f>
        <v/>
      </c>
      <c r="H176" s="5">
        <f>IF('ORDENES'!$A154="","",IF('ORDENES'!$AG154="","-",'ORDENES'!$AG154))</f>
        <v/>
      </c>
      <c r="I176" s="5">
        <f>IF('ORDENES'!$A154="","",IF('ORDENES'!$AT154="","-",'ORDENES'!$AT154))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20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IF('ORDENES'!$A154="","",'ORDENES'!$AF154)</f>
        <v/>
      </c>
    </row>
    <row r="177">
      <c r="A177" s="5">
        <f>IF('ORDENES'!$A155="","",IF('ORDENES'!$O155="","-",'ORDENES'!$O155))</f>
        <v/>
      </c>
      <c r="B177" s="5">
        <f>IF('ORDENES'!$A155="","",IF('ORDENES'!$S155="","-",'ORDENES'!$S155))</f>
        <v/>
      </c>
      <c r="C177" s="5">
        <f>IF('ORDENES'!$A155="","",IF('ORDENES'!$AH155="","-",'ORDENES'!$AH155))</f>
        <v/>
      </c>
      <c r="D177" s="5">
        <f>IF('ORDENES'!$A155="","",IF('ORDENES'!$Z155="","-",'ORDENES'!$Z155))</f>
        <v/>
      </c>
      <c r="E177" s="5">
        <f>IF('ORDENES'!$A155="","",IF('ORDENES'!$X155="","-",'ORDENES'!$X155))</f>
        <v/>
      </c>
      <c r="F177" s="5">
        <f>IF('ORDENES'!$A155="","",IF('ORDENES'!$AA155="","-",'ORDENES'!$AA155))</f>
        <v/>
      </c>
      <c r="G177" s="5">
        <f>IF('ORDENES'!$A155="","",IF('ORDENES'!$Y155="","-",'ORDENES'!$Y155))</f>
        <v/>
      </c>
      <c r="H177" s="5">
        <f>IF('ORDENES'!$A155="","",IF('ORDENES'!$AG155="","-",'ORDENES'!$AG155))</f>
        <v/>
      </c>
      <c r="I177" s="5">
        <f>IF('ORDENES'!$A155="","",IF('ORDENES'!$AT155="","-",'ORDENES'!$AT155))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20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IF('ORDENES'!$A155="","",'ORDENES'!$AF155)</f>
        <v/>
      </c>
    </row>
    <row r="178">
      <c r="A178" s="5">
        <f>IF('ORDENES'!$A156="","",IF('ORDENES'!$O156="","-",'ORDENES'!$O156))</f>
        <v/>
      </c>
      <c r="B178" s="5">
        <f>IF('ORDENES'!$A156="","",IF('ORDENES'!$S156="","-",'ORDENES'!$S156))</f>
        <v/>
      </c>
      <c r="C178" s="5">
        <f>IF('ORDENES'!$A156="","",IF('ORDENES'!$AH156="","-",'ORDENES'!$AH156))</f>
        <v/>
      </c>
      <c r="D178" s="5">
        <f>IF('ORDENES'!$A156="","",IF('ORDENES'!$Z156="","-",'ORDENES'!$Z156))</f>
        <v/>
      </c>
      <c r="E178" s="5">
        <f>IF('ORDENES'!$A156="","",IF('ORDENES'!$X156="","-",'ORDENES'!$X156))</f>
        <v/>
      </c>
      <c r="F178" s="5">
        <f>IF('ORDENES'!$A156="","",IF('ORDENES'!$AA156="","-",'ORDENES'!$AA156))</f>
        <v/>
      </c>
      <c r="G178" s="5">
        <f>IF('ORDENES'!$A156="","",IF('ORDENES'!$Y156="","-",'ORDENES'!$Y156))</f>
        <v/>
      </c>
      <c r="H178" s="5">
        <f>IF('ORDENES'!$A156="","",IF('ORDENES'!$AG156="","-",'ORDENES'!$AG156))</f>
        <v/>
      </c>
      <c r="I178" s="5">
        <f>IF('ORDENES'!$A156="","",IF('ORDENES'!$AT156="","-",'ORDENES'!$AT156))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20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IF('ORDENES'!$A156="","",'ORDENES'!$AF156)</f>
        <v/>
      </c>
    </row>
    <row r="179">
      <c r="A179" s="5">
        <f>IF('ORDENES'!$A157="","",IF('ORDENES'!$O157="","-",'ORDENES'!$O157))</f>
        <v/>
      </c>
      <c r="B179" s="5">
        <f>IF('ORDENES'!$A157="","",IF('ORDENES'!$S157="","-",'ORDENES'!$S157))</f>
        <v/>
      </c>
      <c r="C179" s="5">
        <f>IF('ORDENES'!$A157="","",IF('ORDENES'!$AH157="","-",'ORDENES'!$AH157))</f>
        <v/>
      </c>
      <c r="D179" s="5">
        <f>IF('ORDENES'!$A157="","",IF('ORDENES'!$Z157="","-",'ORDENES'!$Z157))</f>
        <v/>
      </c>
      <c r="E179" s="5">
        <f>IF('ORDENES'!$A157="","",IF('ORDENES'!$X157="","-",'ORDENES'!$X157))</f>
        <v/>
      </c>
      <c r="F179" s="5">
        <f>IF('ORDENES'!$A157="","",IF('ORDENES'!$AA157="","-",'ORDENES'!$AA157))</f>
        <v/>
      </c>
      <c r="G179" s="5">
        <f>IF('ORDENES'!$A157="","",IF('ORDENES'!$Y157="","-",'ORDENES'!$Y157))</f>
        <v/>
      </c>
      <c r="H179" s="5">
        <f>IF('ORDENES'!$A157="","",IF('ORDENES'!$AG157="","-",'ORDENES'!$AG157))</f>
        <v/>
      </c>
      <c r="I179" s="5">
        <f>IF('ORDENES'!$A157="","",IF('ORDENES'!$AT157="","-",'ORDENES'!$AT157))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20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IF('ORDENES'!$A157="","",'ORDENES'!$AF157)</f>
        <v/>
      </c>
    </row>
    <row r="180">
      <c r="A180" s="5">
        <f>IF('ORDENES'!$A158="","",IF('ORDENES'!$O158="","-",'ORDENES'!$O158))</f>
        <v/>
      </c>
      <c r="B180" s="5">
        <f>IF('ORDENES'!$A158="","",IF('ORDENES'!$S158="","-",'ORDENES'!$S158))</f>
        <v/>
      </c>
      <c r="C180" s="5">
        <f>IF('ORDENES'!$A158="","",IF('ORDENES'!$AH158="","-",'ORDENES'!$AH158))</f>
        <v/>
      </c>
      <c r="D180" s="5">
        <f>IF('ORDENES'!$A158="","",IF('ORDENES'!$Z158="","-",'ORDENES'!$Z158))</f>
        <v/>
      </c>
      <c r="E180" s="5">
        <f>IF('ORDENES'!$A158="","",IF('ORDENES'!$X158="","-",'ORDENES'!$X158))</f>
        <v/>
      </c>
      <c r="F180" s="5">
        <f>IF('ORDENES'!$A158="","",IF('ORDENES'!$AA158="","-",'ORDENES'!$AA158))</f>
        <v/>
      </c>
      <c r="G180" s="5">
        <f>IF('ORDENES'!$A158="","",IF('ORDENES'!$Y158="","-",'ORDENES'!$Y158))</f>
        <v/>
      </c>
      <c r="H180" s="5">
        <f>IF('ORDENES'!$A158="","",IF('ORDENES'!$AG158="","-",'ORDENES'!$AG158))</f>
        <v/>
      </c>
      <c r="I180" s="5">
        <f>IF('ORDENES'!$A158="","",IF('ORDENES'!$AT158="","-",'ORDENES'!$AT158))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20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IF('ORDENES'!$A158="","",'ORDENES'!$AF158)</f>
        <v/>
      </c>
    </row>
    <row r="181">
      <c r="A181" s="5">
        <f>IF('ORDENES'!$A159="","",IF('ORDENES'!$O159="","-",'ORDENES'!$O159))</f>
        <v/>
      </c>
      <c r="B181" s="5">
        <f>IF('ORDENES'!$A159="","",IF('ORDENES'!$S159="","-",'ORDENES'!$S159))</f>
        <v/>
      </c>
      <c r="C181" s="5">
        <f>IF('ORDENES'!$A159="","",IF('ORDENES'!$AH159="","-",'ORDENES'!$AH159))</f>
        <v/>
      </c>
      <c r="D181" s="5">
        <f>IF('ORDENES'!$A159="","",IF('ORDENES'!$Z159="","-",'ORDENES'!$Z159))</f>
        <v/>
      </c>
      <c r="E181" s="5">
        <f>IF('ORDENES'!$A159="","",IF('ORDENES'!$X159="","-",'ORDENES'!$X159))</f>
        <v/>
      </c>
      <c r="F181" s="5">
        <f>IF('ORDENES'!$A159="","",IF('ORDENES'!$AA159="","-",'ORDENES'!$AA159))</f>
        <v/>
      </c>
      <c r="G181" s="5">
        <f>IF('ORDENES'!$A159="","",IF('ORDENES'!$Y159="","-",'ORDENES'!$Y159))</f>
        <v/>
      </c>
      <c r="H181" s="5">
        <f>IF('ORDENES'!$A159="","",IF('ORDENES'!$AG159="","-",'ORDENES'!$AG159))</f>
        <v/>
      </c>
      <c r="I181" s="5">
        <f>IF('ORDENES'!$A159="","",IF('ORDENES'!$AT159="","-",'ORDENES'!$AT159))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20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IF('ORDENES'!$A159="","",'ORDENES'!$AF159)</f>
        <v/>
      </c>
    </row>
    <row r="182">
      <c r="A182" s="5">
        <f>IF('ORDENES'!$A160="","",IF('ORDENES'!$O160="","-",'ORDENES'!$O160))</f>
        <v/>
      </c>
      <c r="B182" s="5">
        <f>IF('ORDENES'!$A160="","",IF('ORDENES'!$S160="","-",'ORDENES'!$S160))</f>
        <v/>
      </c>
      <c r="C182" s="5">
        <f>IF('ORDENES'!$A160="","",IF('ORDENES'!$AH160="","-",'ORDENES'!$AH160))</f>
        <v/>
      </c>
      <c r="D182" s="5">
        <f>IF('ORDENES'!$A160="","",IF('ORDENES'!$Z160="","-",'ORDENES'!$Z160))</f>
        <v/>
      </c>
      <c r="E182" s="5">
        <f>IF('ORDENES'!$A160="","",IF('ORDENES'!$X160="","-",'ORDENES'!$X160))</f>
        <v/>
      </c>
      <c r="F182" s="5">
        <f>IF('ORDENES'!$A160="","",IF('ORDENES'!$AA160="","-",'ORDENES'!$AA160))</f>
        <v/>
      </c>
      <c r="G182" s="5">
        <f>IF('ORDENES'!$A160="","",IF('ORDENES'!$Y160="","-",'ORDENES'!$Y160))</f>
        <v/>
      </c>
      <c r="H182" s="5">
        <f>IF('ORDENES'!$A160="","",IF('ORDENES'!$AG160="","-",'ORDENES'!$AG160))</f>
        <v/>
      </c>
      <c r="I182" s="5">
        <f>IF('ORDENES'!$A160="","",IF('ORDENES'!$AT160="","-",'ORDENES'!$AT160))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20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IF('ORDENES'!$A160="","",'ORDENES'!$AF160)</f>
        <v/>
      </c>
    </row>
    <row r="183">
      <c r="A183" s="5">
        <f>IF('ORDENES'!$A161="","",IF('ORDENES'!$O161="","-",'ORDENES'!$O161))</f>
        <v/>
      </c>
      <c r="B183" s="5">
        <f>IF('ORDENES'!$A161="","",IF('ORDENES'!$S161="","-",'ORDENES'!$S161))</f>
        <v/>
      </c>
      <c r="C183" s="5">
        <f>IF('ORDENES'!$A161="","",IF('ORDENES'!$AH161="","-",'ORDENES'!$AH161))</f>
        <v/>
      </c>
      <c r="D183" s="5">
        <f>IF('ORDENES'!$A161="","",IF('ORDENES'!$Z161="","-",'ORDENES'!$Z161))</f>
        <v/>
      </c>
      <c r="E183" s="5">
        <f>IF('ORDENES'!$A161="","",IF('ORDENES'!$X161="","-",'ORDENES'!$X161))</f>
        <v/>
      </c>
      <c r="F183" s="5">
        <f>IF('ORDENES'!$A161="","",IF('ORDENES'!$AA161="","-",'ORDENES'!$AA161))</f>
        <v/>
      </c>
      <c r="G183" s="5">
        <f>IF('ORDENES'!$A161="","",IF('ORDENES'!$Y161="","-",'ORDENES'!$Y161))</f>
        <v/>
      </c>
      <c r="H183" s="5">
        <f>IF('ORDENES'!$A161="","",IF('ORDENES'!$AG161="","-",'ORDENES'!$AG161))</f>
        <v/>
      </c>
      <c r="I183" s="5">
        <f>IF('ORDENES'!$A161="","",IF('ORDENES'!$AT161="","-",'ORDENES'!$AT161))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20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IF('ORDENES'!$A161="","",'ORDENES'!$AF161)</f>
        <v/>
      </c>
    </row>
    <row r="184">
      <c r="A184" s="5">
        <f>IF('ORDENES'!$A162="","",IF('ORDENES'!$O162="","-",'ORDENES'!$O162))</f>
        <v/>
      </c>
      <c r="B184" s="5">
        <f>IF('ORDENES'!$A162="","",IF('ORDENES'!$S162="","-",'ORDENES'!$S162))</f>
        <v/>
      </c>
      <c r="C184" s="5">
        <f>IF('ORDENES'!$A162="","",IF('ORDENES'!$AH162="","-",'ORDENES'!$AH162))</f>
        <v/>
      </c>
      <c r="D184" s="5">
        <f>IF('ORDENES'!$A162="","",IF('ORDENES'!$Z162="","-",'ORDENES'!$Z162))</f>
        <v/>
      </c>
      <c r="E184" s="5">
        <f>IF('ORDENES'!$A162="","",IF('ORDENES'!$X162="","-",'ORDENES'!$X162))</f>
        <v/>
      </c>
      <c r="F184" s="5">
        <f>IF('ORDENES'!$A162="","",IF('ORDENES'!$AA162="","-",'ORDENES'!$AA162))</f>
        <v/>
      </c>
      <c r="G184" s="5">
        <f>IF('ORDENES'!$A162="","",IF('ORDENES'!$Y162="","-",'ORDENES'!$Y162))</f>
        <v/>
      </c>
      <c r="H184" s="5">
        <f>IF('ORDENES'!$A162="","",IF('ORDENES'!$AG162="","-",'ORDENES'!$AG162))</f>
        <v/>
      </c>
      <c r="I184" s="5">
        <f>IF('ORDENES'!$A162="","",IF('ORDENES'!$AT162="","-",'ORDENES'!$AT162))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20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IF('ORDENES'!$A162="","",'ORDENES'!$AF162)</f>
        <v/>
      </c>
    </row>
    <row r="185">
      <c r="A185" s="5">
        <f>IF('ORDENES'!$A163="","",IF('ORDENES'!$O163="","-",'ORDENES'!$O163))</f>
        <v/>
      </c>
      <c r="B185" s="5">
        <f>IF('ORDENES'!$A163="","",IF('ORDENES'!$S163="","-",'ORDENES'!$S163))</f>
        <v/>
      </c>
      <c r="C185" s="5">
        <f>IF('ORDENES'!$A163="","",IF('ORDENES'!$AH163="","-",'ORDENES'!$AH163))</f>
        <v/>
      </c>
      <c r="D185" s="5">
        <f>IF('ORDENES'!$A163="","",IF('ORDENES'!$Z163="","-",'ORDENES'!$Z163))</f>
        <v/>
      </c>
      <c r="E185" s="5">
        <f>IF('ORDENES'!$A163="","",IF('ORDENES'!$X163="","-",'ORDENES'!$X163))</f>
        <v/>
      </c>
      <c r="F185" s="5">
        <f>IF('ORDENES'!$A163="","",IF('ORDENES'!$AA163="","-",'ORDENES'!$AA163))</f>
        <v/>
      </c>
      <c r="G185" s="5">
        <f>IF('ORDENES'!$A163="","",IF('ORDENES'!$Y163="","-",'ORDENES'!$Y163))</f>
        <v/>
      </c>
      <c r="H185" s="5">
        <f>IF('ORDENES'!$A163="","",IF('ORDENES'!$AG163="","-",'ORDENES'!$AG163))</f>
        <v/>
      </c>
      <c r="I185" s="5">
        <f>IF('ORDENES'!$A163="","",IF('ORDENES'!$AT163="","-",'ORDENES'!$AT163))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20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IF('ORDENES'!$A163="","",'ORDENES'!$AF163)</f>
        <v/>
      </c>
    </row>
    <row r="186">
      <c r="A186" s="5">
        <f>IF('ORDENES'!$A164="","",IF('ORDENES'!$O164="","-",'ORDENES'!$O164))</f>
        <v/>
      </c>
      <c r="B186" s="5">
        <f>IF('ORDENES'!$A164="","",IF('ORDENES'!$S164="","-",'ORDENES'!$S164))</f>
        <v/>
      </c>
      <c r="C186" s="5">
        <f>IF('ORDENES'!$A164="","",IF('ORDENES'!$AH164="","-",'ORDENES'!$AH164))</f>
        <v/>
      </c>
      <c r="D186" s="5">
        <f>IF('ORDENES'!$A164="","",IF('ORDENES'!$Z164="","-",'ORDENES'!$Z164))</f>
        <v/>
      </c>
      <c r="E186" s="5">
        <f>IF('ORDENES'!$A164="","",IF('ORDENES'!$X164="","-",'ORDENES'!$X164))</f>
        <v/>
      </c>
      <c r="F186" s="5">
        <f>IF('ORDENES'!$A164="","",IF('ORDENES'!$AA164="","-",'ORDENES'!$AA164))</f>
        <v/>
      </c>
      <c r="G186" s="5">
        <f>IF('ORDENES'!$A164="","",IF('ORDENES'!$Y164="","-",'ORDENES'!$Y164))</f>
        <v/>
      </c>
      <c r="H186" s="5">
        <f>IF('ORDENES'!$A164="","",IF('ORDENES'!$AG164="","-",'ORDENES'!$AG164))</f>
        <v/>
      </c>
      <c r="I186" s="5">
        <f>IF('ORDENES'!$A164="","",IF('ORDENES'!$AT164="","-",'ORDENES'!$AT164))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20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IF('ORDENES'!$A164="","",'ORDENES'!$AF164)</f>
        <v/>
      </c>
    </row>
    <row r="187">
      <c r="A187" s="5">
        <f>IF('ORDENES'!$A165="","",IF('ORDENES'!$O165="","-",'ORDENES'!$O165))</f>
        <v/>
      </c>
      <c r="B187" s="5">
        <f>IF('ORDENES'!$A165="","",IF('ORDENES'!$S165="","-",'ORDENES'!$S165))</f>
        <v/>
      </c>
      <c r="C187" s="5">
        <f>IF('ORDENES'!$A165="","",IF('ORDENES'!$AH165="","-",'ORDENES'!$AH165))</f>
        <v/>
      </c>
      <c r="D187" s="5">
        <f>IF('ORDENES'!$A165="","",IF('ORDENES'!$Z165="","-",'ORDENES'!$Z165))</f>
        <v/>
      </c>
      <c r="E187" s="5">
        <f>IF('ORDENES'!$A165="","",IF('ORDENES'!$X165="","-",'ORDENES'!$X165))</f>
        <v/>
      </c>
      <c r="F187" s="5">
        <f>IF('ORDENES'!$A165="","",IF('ORDENES'!$AA165="","-",'ORDENES'!$AA165))</f>
        <v/>
      </c>
      <c r="G187" s="5">
        <f>IF('ORDENES'!$A165="","",IF('ORDENES'!$Y165="","-",'ORDENES'!$Y165))</f>
        <v/>
      </c>
      <c r="H187" s="5">
        <f>IF('ORDENES'!$A165="","",IF('ORDENES'!$AG165="","-",'ORDENES'!$AG165))</f>
        <v/>
      </c>
      <c r="I187" s="5">
        <f>IF('ORDENES'!$A165="","",IF('ORDENES'!$AT165="","-",'ORDENES'!$AT165))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20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IF('ORDENES'!$A165="","",'ORDENES'!$AF165)</f>
        <v/>
      </c>
    </row>
    <row r="188">
      <c r="A188" s="5">
        <f>IF('ORDENES'!$A166="","",IF('ORDENES'!$O166="","-",'ORDENES'!$O166))</f>
        <v/>
      </c>
      <c r="B188" s="5">
        <f>IF('ORDENES'!$A166="","",IF('ORDENES'!$S166="","-",'ORDENES'!$S166))</f>
        <v/>
      </c>
      <c r="C188" s="5">
        <f>IF('ORDENES'!$A166="","",IF('ORDENES'!$AH166="","-",'ORDENES'!$AH166))</f>
        <v/>
      </c>
      <c r="D188" s="5">
        <f>IF('ORDENES'!$A166="","",IF('ORDENES'!$Z166="","-",'ORDENES'!$Z166))</f>
        <v/>
      </c>
      <c r="E188" s="5">
        <f>IF('ORDENES'!$A166="","",IF('ORDENES'!$X166="","-",'ORDENES'!$X166))</f>
        <v/>
      </c>
      <c r="F188" s="5">
        <f>IF('ORDENES'!$A166="","",IF('ORDENES'!$AA166="","-",'ORDENES'!$AA166))</f>
        <v/>
      </c>
      <c r="G188" s="5">
        <f>IF('ORDENES'!$A166="","",IF('ORDENES'!$Y166="","-",'ORDENES'!$Y166))</f>
        <v/>
      </c>
      <c r="H188" s="5">
        <f>IF('ORDENES'!$A166="","",IF('ORDENES'!$AG166="","-",'ORDENES'!$AG166))</f>
        <v/>
      </c>
      <c r="I188" s="5">
        <f>IF('ORDENES'!$A166="","",IF('ORDENES'!$AT166="","-",'ORDENES'!$AT166))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20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IF('ORDENES'!$A166="","",'ORDENES'!$AF166)</f>
        <v/>
      </c>
    </row>
    <row r="189">
      <c r="A189" s="5">
        <f>IF('ORDENES'!$A167="","",IF('ORDENES'!$O167="","-",'ORDENES'!$O167))</f>
        <v/>
      </c>
      <c r="B189" s="5">
        <f>IF('ORDENES'!$A167="","",IF('ORDENES'!$S167="","-",'ORDENES'!$S167))</f>
        <v/>
      </c>
      <c r="C189" s="5">
        <f>IF('ORDENES'!$A167="","",IF('ORDENES'!$AH167="","-",'ORDENES'!$AH167))</f>
        <v/>
      </c>
      <c r="D189" s="5">
        <f>IF('ORDENES'!$A167="","",IF('ORDENES'!$Z167="","-",'ORDENES'!$Z167))</f>
        <v/>
      </c>
      <c r="E189" s="5">
        <f>IF('ORDENES'!$A167="","",IF('ORDENES'!$X167="","-",'ORDENES'!$X167))</f>
        <v/>
      </c>
      <c r="F189" s="5">
        <f>IF('ORDENES'!$A167="","",IF('ORDENES'!$AA167="","-",'ORDENES'!$AA167))</f>
        <v/>
      </c>
      <c r="G189" s="5">
        <f>IF('ORDENES'!$A167="","",IF('ORDENES'!$Y167="","-",'ORDENES'!$Y167))</f>
        <v/>
      </c>
      <c r="H189" s="5">
        <f>IF('ORDENES'!$A167="","",IF('ORDENES'!$AG167="","-",'ORDENES'!$AG167))</f>
        <v/>
      </c>
      <c r="I189" s="5">
        <f>IF('ORDENES'!$A167="","",IF('ORDENES'!$AT167="","-",'ORDENES'!$AT167))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20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IF('ORDENES'!$A167="","",'ORDENES'!$AF167)</f>
        <v/>
      </c>
    </row>
    <row r="190">
      <c r="A190" s="5">
        <f>IF('ORDENES'!$A168="","",IF('ORDENES'!$O168="","-",'ORDENES'!$O168))</f>
        <v/>
      </c>
      <c r="B190" s="5">
        <f>IF('ORDENES'!$A168="","",IF('ORDENES'!$S168="","-",'ORDENES'!$S168))</f>
        <v/>
      </c>
      <c r="C190" s="5">
        <f>IF('ORDENES'!$A168="","",IF('ORDENES'!$AH168="","-",'ORDENES'!$AH168))</f>
        <v/>
      </c>
      <c r="D190" s="5">
        <f>IF('ORDENES'!$A168="","",IF('ORDENES'!$Z168="","-",'ORDENES'!$Z168))</f>
        <v/>
      </c>
      <c r="E190" s="5">
        <f>IF('ORDENES'!$A168="","",IF('ORDENES'!$X168="","-",'ORDENES'!$X168))</f>
        <v/>
      </c>
      <c r="F190" s="5">
        <f>IF('ORDENES'!$A168="","",IF('ORDENES'!$AA168="","-",'ORDENES'!$AA168))</f>
        <v/>
      </c>
      <c r="G190" s="5">
        <f>IF('ORDENES'!$A168="","",IF('ORDENES'!$Y168="","-",'ORDENES'!$Y168))</f>
        <v/>
      </c>
      <c r="H190" s="5">
        <f>IF('ORDENES'!$A168="","",IF('ORDENES'!$AG168="","-",'ORDENES'!$AG168))</f>
        <v/>
      </c>
      <c r="I190" s="5">
        <f>IF('ORDENES'!$A168="","",IF('ORDENES'!$AT168="","-",'ORDENES'!$AT168))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20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IF('ORDENES'!$A168="","",'ORDENES'!$AF168)</f>
        <v/>
      </c>
    </row>
    <row r="191">
      <c r="A191" s="5">
        <f>IF('ORDENES'!$A169="","",IF('ORDENES'!$O169="","-",'ORDENES'!$O169))</f>
        <v/>
      </c>
      <c r="B191" s="5">
        <f>IF('ORDENES'!$A169="","",IF('ORDENES'!$S169="","-",'ORDENES'!$S169))</f>
        <v/>
      </c>
      <c r="C191" s="5">
        <f>IF('ORDENES'!$A169="","",IF('ORDENES'!$AH169="","-",'ORDENES'!$AH169))</f>
        <v/>
      </c>
      <c r="D191" s="5">
        <f>IF('ORDENES'!$A169="","",IF('ORDENES'!$Z169="","-",'ORDENES'!$Z169))</f>
        <v/>
      </c>
      <c r="E191" s="5">
        <f>IF('ORDENES'!$A169="","",IF('ORDENES'!$X169="","-",'ORDENES'!$X169))</f>
        <v/>
      </c>
      <c r="F191" s="5">
        <f>IF('ORDENES'!$A169="","",IF('ORDENES'!$AA169="","-",'ORDENES'!$AA169))</f>
        <v/>
      </c>
      <c r="G191" s="5">
        <f>IF('ORDENES'!$A169="","",IF('ORDENES'!$Y169="","-",'ORDENES'!$Y169))</f>
        <v/>
      </c>
      <c r="H191" s="5">
        <f>IF('ORDENES'!$A169="","",IF('ORDENES'!$AG169="","-",'ORDENES'!$AG169))</f>
        <v/>
      </c>
      <c r="I191" s="5">
        <f>IF('ORDENES'!$A169="","",IF('ORDENES'!$AT169="","-",'ORDENES'!$AT169))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20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IF('ORDENES'!$A169="","",'ORDENES'!$AF169)</f>
        <v/>
      </c>
    </row>
    <row r="192">
      <c r="A192" s="5">
        <f>IF('ORDENES'!$A170="","",IF('ORDENES'!$O170="","-",'ORDENES'!$O170))</f>
        <v/>
      </c>
      <c r="B192" s="5">
        <f>IF('ORDENES'!$A170="","",IF('ORDENES'!$S170="","-",'ORDENES'!$S170))</f>
        <v/>
      </c>
      <c r="C192" s="5">
        <f>IF('ORDENES'!$A170="","",IF('ORDENES'!$AH170="","-",'ORDENES'!$AH170))</f>
        <v/>
      </c>
      <c r="D192" s="5">
        <f>IF('ORDENES'!$A170="","",IF('ORDENES'!$Z170="","-",'ORDENES'!$Z170))</f>
        <v/>
      </c>
      <c r="E192" s="5">
        <f>IF('ORDENES'!$A170="","",IF('ORDENES'!$X170="","-",'ORDENES'!$X170))</f>
        <v/>
      </c>
      <c r="F192" s="5">
        <f>IF('ORDENES'!$A170="","",IF('ORDENES'!$AA170="","-",'ORDENES'!$AA170))</f>
        <v/>
      </c>
      <c r="G192" s="5">
        <f>IF('ORDENES'!$A170="","",IF('ORDENES'!$Y170="","-",'ORDENES'!$Y170))</f>
        <v/>
      </c>
      <c r="H192" s="5">
        <f>IF('ORDENES'!$A170="","",IF('ORDENES'!$AG170="","-",'ORDENES'!$AG170))</f>
        <v/>
      </c>
      <c r="I192" s="5">
        <f>IF('ORDENES'!$A170="","",IF('ORDENES'!$AT170="","-",'ORDENES'!$AT170))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20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IF('ORDENES'!$A170="","",'ORDENES'!$AF170)</f>
        <v/>
      </c>
    </row>
    <row r="193">
      <c r="A193" s="5">
        <f>IF('ORDENES'!$A171="","",IF('ORDENES'!$O171="","-",'ORDENES'!$O171))</f>
        <v/>
      </c>
      <c r="B193" s="5">
        <f>IF('ORDENES'!$A171="","",IF('ORDENES'!$S171="","-",'ORDENES'!$S171))</f>
        <v/>
      </c>
      <c r="C193" s="5">
        <f>IF('ORDENES'!$A171="","",IF('ORDENES'!$AH171="","-",'ORDENES'!$AH171))</f>
        <v/>
      </c>
      <c r="D193" s="5">
        <f>IF('ORDENES'!$A171="","",IF('ORDENES'!$Z171="","-",'ORDENES'!$Z171))</f>
        <v/>
      </c>
      <c r="E193" s="5">
        <f>IF('ORDENES'!$A171="","",IF('ORDENES'!$X171="","-",'ORDENES'!$X171))</f>
        <v/>
      </c>
      <c r="F193" s="5">
        <f>IF('ORDENES'!$A171="","",IF('ORDENES'!$AA171="","-",'ORDENES'!$AA171))</f>
        <v/>
      </c>
      <c r="G193" s="5">
        <f>IF('ORDENES'!$A171="","",IF('ORDENES'!$Y171="","-",'ORDENES'!$Y171))</f>
        <v/>
      </c>
      <c r="H193" s="5">
        <f>IF('ORDENES'!$A171="","",IF('ORDENES'!$AG171="","-",'ORDENES'!$AG171))</f>
        <v/>
      </c>
      <c r="I193" s="5">
        <f>IF('ORDENES'!$A171="","",IF('ORDENES'!$AT171="","-",'ORDENES'!$AT171))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20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IF('ORDENES'!$A171="","",'ORDENES'!$AF171)</f>
        <v/>
      </c>
    </row>
    <row r="194">
      <c r="A194" s="5">
        <f>IF('ORDENES'!$A172="","",IF('ORDENES'!$O172="","-",'ORDENES'!$O172))</f>
        <v/>
      </c>
      <c r="B194" s="5">
        <f>IF('ORDENES'!$A172="","",IF('ORDENES'!$S172="","-",'ORDENES'!$S172))</f>
        <v/>
      </c>
      <c r="C194" s="5">
        <f>IF('ORDENES'!$A172="","",IF('ORDENES'!$AH172="","-",'ORDENES'!$AH172))</f>
        <v/>
      </c>
      <c r="D194" s="5">
        <f>IF('ORDENES'!$A172="","",IF('ORDENES'!$Z172="","-",'ORDENES'!$Z172))</f>
        <v/>
      </c>
      <c r="E194" s="5">
        <f>IF('ORDENES'!$A172="","",IF('ORDENES'!$X172="","-",'ORDENES'!$X172))</f>
        <v/>
      </c>
      <c r="F194" s="5">
        <f>IF('ORDENES'!$A172="","",IF('ORDENES'!$AA172="","-",'ORDENES'!$AA172))</f>
        <v/>
      </c>
      <c r="G194" s="5">
        <f>IF('ORDENES'!$A172="","",IF('ORDENES'!$Y172="","-",'ORDENES'!$Y172))</f>
        <v/>
      </c>
      <c r="H194" s="5">
        <f>IF('ORDENES'!$A172="","",IF('ORDENES'!$AG172="","-",'ORDENES'!$AG172))</f>
        <v/>
      </c>
      <c r="I194" s="5">
        <f>IF('ORDENES'!$A172="","",IF('ORDENES'!$AT172="","-",'ORDENES'!$AT172))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20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IF('ORDENES'!$A172="","",'ORDENES'!$AF172)</f>
        <v/>
      </c>
    </row>
    <row r="195">
      <c r="A195" s="5">
        <f>IF('ORDENES'!$A173="","",IF('ORDENES'!$O173="","-",'ORDENES'!$O173))</f>
        <v/>
      </c>
      <c r="B195" s="5">
        <f>IF('ORDENES'!$A173="","",IF('ORDENES'!$S173="","-",'ORDENES'!$S173))</f>
        <v/>
      </c>
      <c r="C195" s="5">
        <f>IF('ORDENES'!$A173="","",IF('ORDENES'!$AH173="","-",'ORDENES'!$AH173))</f>
        <v/>
      </c>
      <c r="D195" s="5">
        <f>IF('ORDENES'!$A173="","",IF('ORDENES'!$Z173="","-",'ORDENES'!$Z173))</f>
        <v/>
      </c>
      <c r="E195" s="5">
        <f>IF('ORDENES'!$A173="","",IF('ORDENES'!$X173="","-",'ORDENES'!$X173))</f>
        <v/>
      </c>
      <c r="F195" s="5">
        <f>IF('ORDENES'!$A173="","",IF('ORDENES'!$AA173="","-",'ORDENES'!$AA173))</f>
        <v/>
      </c>
      <c r="G195" s="5">
        <f>IF('ORDENES'!$A173="","",IF('ORDENES'!$Y173="","-",'ORDENES'!$Y173))</f>
        <v/>
      </c>
      <c r="H195" s="5">
        <f>IF('ORDENES'!$A173="","",IF('ORDENES'!$AG173="","-",'ORDENES'!$AG173))</f>
        <v/>
      </c>
      <c r="I195" s="5">
        <f>IF('ORDENES'!$A173="","",IF('ORDENES'!$AT173="","-",'ORDENES'!$AT173))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20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IF('ORDENES'!$A173="","",'ORDENES'!$AF173)</f>
        <v/>
      </c>
    </row>
    <row r="196">
      <c r="A196" s="5">
        <f>IF('ORDENES'!$A174="","",IF('ORDENES'!$O174="","-",'ORDENES'!$O174))</f>
        <v/>
      </c>
      <c r="B196" s="5">
        <f>IF('ORDENES'!$A174="","",IF('ORDENES'!$S174="","-",'ORDENES'!$S174))</f>
        <v/>
      </c>
      <c r="C196" s="5">
        <f>IF('ORDENES'!$A174="","",IF('ORDENES'!$AH174="","-",'ORDENES'!$AH174))</f>
        <v/>
      </c>
      <c r="D196" s="5">
        <f>IF('ORDENES'!$A174="","",IF('ORDENES'!$Z174="","-",'ORDENES'!$Z174))</f>
        <v/>
      </c>
      <c r="E196" s="5">
        <f>IF('ORDENES'!$A174="","",IF('ORDENES'!$X174="","-",'ORDENES'!$X174))</f>
        <v/>
      </c>
      <c r="F196" s="5">
        <f>IF('ORDENES'!$A174="","",IF('ORDENES'!$AA174="","-",'ORDENES'!$AA174))</f>
        <v/>
      </c>
      <c r="G196" s="5">
        <f>IF('ORDENES'!$A174="","",IF('ORDENES'!$Y174="","-",'ORDENES'!$Y174))</f>
        <v/>
      </c>
      <c r="H196" s="5">
        <f>IF('ORDENES'!$A174="","",IF('ORDENES'!$AG174="","-",'ORDENES'!$AG174))</f>
        <v/>
      </c>
      <c r="I196" s="5">
        <f>IF('ORDENES'!$A174="","",IF('ORDENES'!$AT174="","-",'ORDENES'!$AT174))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20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IF('ORDENES'!$A174="","",'ORDENES'!$AF174)</f>
        <v/>
      </c>
    </row>
    <row r="197">
      <c r="A197" s="5">
        <f>IF('ORDENES'!$A175="","",IF('ORDENES'!$O175="","-",'ORDENES'!$O175))</f>
        <v/>
      </c>
      <c r="B197" s="5">
        <f>IF('ORDENES'!$A175="","",IF('ORDENES'!$S175="","-",'ORDENES'!$S175))</f>
        <v/>
      </c>
      <c r="C197" s="5">
        <f>IF('ORDENES'!$A175="","",IF('ORDENES'!$AH175="","-",'ORDENES'!$AH175))</f>
        <v/>
      </c>
      <c r="D197" s="5">
        <f>IF('ORDENES'!$A175="","",IF('ORDENES'!$Z175="","-",'ORDENES'!$Z175))</f>
        <v/>
      </c>
      <c r="E197" s="5">
        <f>IF('ORDENES'!$A175="","",IF('ORDENES'!$X175="","-",'ORDENES'!$X175))</f>
        <v/>
      </c>
      <c r="F197" s="5">
        <f>IF('ORDENES'!$A175="","",IF('ORDENES'!$AA175="","-",'ORDENES'!$AA175))</f>
        <v/>
      </c>
      <c r="G197" s="5">
        <f>IF('ORDENES'!$A175="","",IF('ORDENES'!$Y175="","-",'ORDENES'!$Y175))</f>
        <v/>
      </c>
      <c r="H197" s="5">
        <f>IF('ORDENES'!$A175="","",IF('ORDENES'!$AG175="","-",'ORDENES'!$AG175))</f>
        <v/>
      </c>
      <c r="I197" s="5">
        <f>IF('ORDENES'!$A175="","",IF('ORDENES'!$AT175="","-",'ORDENES'!$AT175))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20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IF('ORDENES'!$A175="","",'ORDENES'!$AF175)</f>
        <v/>
      </c>
    </row>
    <row r="198">
      <c r="A198" s="5">
        <f>IF('ORDENES'!$A176="","",IF('ORDENES'!$O176="","-",'ORDENES'!$O176))</f>
        <v/>
      </c>
      <c r="B198" s="5">
        <f>IF('ORDENES'!$A176="","",IF('ORDENES'!$S176="","-",'ORDENES'!$S176))</f>
        <v/>
      </c>
      <c r="C198" s="5">
        <f>IF('ORDENES'!$A176="","",IF('ORDENES'!$AH176="","-",'ORDENES'!$AH176))</f>
        <v/>
      </c>
      <c r="D198" s="5">
        <f>IF('ORDENES'!$A176="","",IF('ORDENES'!$Z176="","-",'ORDENES'!$Z176))</f>
        <v/>
      </c>
      <c r="E198" s="5">
        <f>IF('ORDENES'!$A176="","",IF('ORDENES'!$X176="","-",'ORDENES'!$X176))</f>
        <v/>
      </c>
      <c r="F198" s="5">
        <f>IF('ORDENES'!$A176="","",IF('ORDENES'!$AA176="","-",'ORDENES'!$AA176))</f>
        <v/>
      </c>
      <c r="G198" s="5">
        <f>IF('ORDENES'!$A176="","",IF('ORDENES'!$Y176="","-",'ORDENES'!$Y176))</f>
        <v/>
      </c>
      <c r="H198" s="5">
        <f>IF('ORDENES'!$A176="","",IF('ORDENES'!$AG176="","-",'ORDENES'!$AG176))</f>
        <v/>
      </c>
      <c r="I198" s="5">
        <f>IF('ORDENES'!$A176="","",IF('ORDENES'!$AT176="","-",'ORDENES'!$AT176))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20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IF('ORDENES'!$A176="","",'ORDENES'!$AF176)</f>
        <v/>
      </c>
    </row>
    <row r="199">
      <c r="A199" s="5">
        <f>IF('ORDENES'!$A177="","",IF('ORDENES'!$O177="","-",'ORDENES'!$O177))</f>
        <v/>
      </c>
      <c r="B199" s="5">
        <f>IF('ORDENES'!$A177="","",IF('ORDENES'!$S177="","-",'ORDENES'!$S177))</f>
        <v/>
      </c>
      <c r="C199" s="5">
        <f>IF('ORDENES'!$A177="","",IF('ORDENES'!$AH177="","-",'ORDENES'!$AH177))</f>
        <v/>
      </c>
      <c r="D199" s="5">
        <f>IF('ORDENES'!$A177="","",IF('ORDENES'!$Z177="","-",'ORDENES'!$Z177))</f>
        <v/>
      </c>
      <c r="E199" s="5">
        <f>IF('ORDENES'!$A177="","",IF('ORDENES'!$X177="","-",'ORDENES'!$X177))</f>
        <v/>
      </c>
      <c r="F199" s="5">
        <f>IF('ORDENES'!$A177="","",IF('ORDENES'!$AA177="","-",'ORDENES'!$AA177))</f>
        <v/>
      </c>
      <c r="G199" s="5">
        <f>IF('ORDENES'!$A177="","",IF('ORDENES'!$Y177="","-",'ORDENES'!$Y177))</f>
        <v/>
      </c>
      <c r="H199" s="5">
        <f>IF('ORDENES'!$A177="","",IF('ORDENES'!$AG177="","-",'ORDENES'!$AG177))</f>
        <v/>
      </c>
      <c r="I199" s="5">
        <f>IF('ORDENES'!$A177="","",IF('ORDENES'!$AT177="","-",'ORDENES'!$AT177))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20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IF('ORDENES'!$A177="","",'ORDENES'!$AF177)</f>
        <v/>
      </c>
    </row>
    <row r="200">
      <c r="A200" s="5">
        <f>IF('ORDENES'!$A178="","",IF('ORDENES'!$O178="","-",'ORDENES'!$O178))</f>
        <v/>
      </c>
      <c r="B200" s="5">
        <f>IF('ORDENES'!$A178="","",IF('ORDENES'!$S178="","-",'ORDENES'!$S178))</f>
        <v/>
      </c>
      <c r="C200" s="5">
        <f>IF('ORDENES'!$A178="","",IF('ORDENES'!$AH178="","-",'ORDENES'!$AH178))</f>
        <v/>
      </c>
      <c r="D200" s="5">
        <f>IF('ORDENES'!$A178="","",IF('ORDENES'!$Z178="","-",'ORDENES'!$Z178))</f>
        <v/>
      </c>
      <c r="E200" s="5">
        <f>IF('ORDENES'!$A178="","",IF('ORDENES'!$X178="","-",'ORDENES'!$X178))</f>
        <v/>
      </c>
      <c r="F200" s="5">
        <f>IF('ORDENES'!$A178="","",IF('ORDENES'!$AA178="","-",'ORDENES'!$AA178))</f>
        <v/>
      </c>
      <c r="G200" s="5">
        <f>IF('ORDENES'!$A178="","",IF('ORDENES'!$Y178="","-",'ORDENES'!$Y178))</f>
        <v/>
      </c>
      <c r="H200" s="5">
        <f>IF('ORDENES'!$A178="","",IF('ORDENES'!$AG178="","-",'ORDENES'!$AG178))</f>
        <v/>
      </c>
      <c r="I200" s="5">
        <f>IF('ORDENES'!$A178="","",IF('ORDENES'!$AT178="","-",'ORDENES'!$AT178))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20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IF('ORDENES'!$A178="","",'ORDENES'!$AF178)</f>
        <v/>
      </c>
    </row>
    <row r="201">
      <c r="A201" s="5">
        <f>IF('ORDENES'!$A179="","",IF('ORDENES'!$O179="","-",'ORDENES'!$O179))</f>
        <v/>
      </c>
      <c r="B201" s="5">
        <f>IF('ORDENES'!$A179="","",IF('ORDENES'!$S179="","-",'ORDENES'!$S179))</f>
        <v/>
      </c>
      <c r="C201" s="5">
        <f>IF('ORDENES'!$A179="","",IF('ORDENES'!$AH179="","-",'ORDENES'!$AH179))</f>
        <v/>
      </c>
      <c r="D201" s="5">
        <f>IF('ORDENES'!$A179="","",IF('ORDENES'!$Z179="","-",'ORDENES'!$Z179))</f>
        <v/>
      </c>
      <c r="E201" s="5">
        <f>IF('ORDENES'!$A179="","",IF('ORDENES'!$X179="","-",'ORDENES'!$X179))</f>
        <v/>
      </c>
      <c r="F201" s="5">
        <f>IF('ORDENES'!$A179="","",IF('ORDENES'!$AA179="","-",'ORDENES'!$AA179))</f>
        <v/>
      </c>
      <c r="G201" s="5">
        <f>IF('ORDENES'!$A179="","",IF('ORDENES'!$Y179="","-",'ORDENES'!$Y179))</f>
        <v/>
      </c>
      <c r="H201" s="5">
        <f>IF('ORDENES'!$A179="","",IF('ORDENES'!$AG179="","-",'ORDENES'!$AG179))</f>
        <v/>
      </c>
      <c r="I201" s="5">
        <f>IF('ORDENES'!$A179="","",IF('ORDENES'!$AT179="","-",'ORDENES'!$AT179))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20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IF('ORDENES'!$A179="","",'ORDENES'!$AF179)</f>
        <v/>
      </c>
    </row>
    <row r="202">
      <c r="A202" s="5">
        <f>IF('ORDENES'!$A180="","",IF('ORDENES'!$O180="","-",'ORDENES'!$O180))</f>
        <v/>
      </c>
      <c r="B202" s="5">
        <f>IF('ORDENES'!$A180="","",IF('ORDENES'!$S180="","-",'ORDENES'!$S180))</f>
        <v/>
      </c>
      <c r="C202" s="5">
        <f>IF('ORDENES'!$A180="","",IF('ORDENES'!$AH180="","-",'ORDENES'!$AH180))</f>
        <v/>
      </c>
      <c r="D202" s="5">
        <f>IF('ORDENES'!$A180="","",IF('ORDENES'!$Z180="","-",'ORDENES'!$Z180))</f>
        <v/>
      </c>
      <c r="E202" s="5">
        <f>IF('ORDENES'!$A180="","",IF('ORDENES'!$X180="","-",'ORDENES'!$X180))</f>
        <v/>
      </c>
      <c r="F202" s="5">
        <f>IF('ORDENES'!$A180="","",IF('ORDENES'!$AA180="","-",'ORDENES'!$AA180))</f>
        <v/>
      </c>
      <c r="G202" s="5">
        <f>IF('ORDENES'!$A180="","",IF('ORDENES'!$Y180="","-",'ORDENES'!$Y180))</f>
        <v/>
      </c>
      <c r="H202" s="5">
        <f>IF('ORDENES'!$A180="","",IF('ORDENES'!$AG180="","-",'ORDENES'!$AG180))</f>
        <v/>
      </c>
      <c r="I202" s="5">
        <f>IF('ORDENES'!$A180="","",IF('ORDENES'!$AT180="","-",'ORDENES'!$AT180))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20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IF('ORDENES'!$A180="","",'ORDENES'!$AF180)</f>
        <v/>
      </c>
    </row>
    <row r="203">
      <c r="A203" s="5">
        <f>IF('ORDENES'!$A181="","",IF('ORDENES'!$O181="","-",'ORDENES'!$O181))</f>
        <v/>
      </c>
      <c r="B203" s="5">
        <f>IF('ORDENES'!$A181="","",IF('ORDENES'!$S181="","-",'ORDENES'!$S181))</f>
        <v/>
      </c>
      <c r="C203" s="5">
        <f>IF('ORDENES'!$A181="","",IF('ORDENES'!$AH181="","-",'ORDENES'!$AH181))</f>
        <v/>
      </c>
      <c r="D203" s="5">
        <f>IF('ORDENES'!$A181="","",IF('ORDENES'!$Z181="","-",'ORDENES'!$Z181))</f>
        <v/>
      </c>
      <c r="E203" s="5">
        <f>IF('ORDENES'!$A181="","",IF('ORDENES'!$X181="","-",'ORDENES'!$X181))</f>
        <v/>
      </c>
      <c r="F203" s="5">
        <f>IF('ORDENES'!$A181="","",IF('ORDENES'!$AA181="","-",'ORDENES'!$AA181))</f>
        <v/>
      </c>
      <c r="G203" s="5">
        <f>IF('ORDENES'!$A181="","",IF('ORDENES'!$Y181="","-",'ORDENES'!$Y181))</f>
        <v/>
      </c>
      <c r="H203" s="5">
        <f>IF('ORDENES'!$A181="","",IF('ORDENES'!$AG181="","-",'ORDENES'!$AG181))</f>
        <v/>
      </c>
      <c r="I203" s="5">
        <f>IF('ORDENES'!$A181="","",IF('ORDENES'!$AT181="","-",'ORDENES'!$AT181))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20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IF('ORDENES'!$A181="","",'ORDENES'!$AF181)</f>
        <v/>
      </c>
    </row>
    <row r="204">
      <c r="A204" s="5">
        <f>IF('ORDENES'!$A182="","",IF('ORDENES'!$O182="","-",'ORDENES'!$O182))</f>
        <v/>
      </c>
      <c r="B204" s="5">
        <f>IF('ORDENES'!$A182="","",IF('ORDENES'!$S182="","-",'ORDENES'!$S182))</f>
        <v/>
      </c>
      <c r="C204" s="5">
        <f>IF('ORDENES'!$A182="","",IF('ORDENES'!$AH182="","-",'ORDENES'!$AH182))</f>
        <v/>
      </c>
      <c r="D204" s="5">
        <f>IF('ORDENES'!$A182="","",IF('ORDENES'!$Z182="","-",'ORDENES'!$Z182))</f>
        <v/>
      </c>
      <c r="E204" s="5">
        <f>IF('ORDENES'!$A182="","",IF('ORDENES'!$X182="","-",'ORDENES'!$X182))</f>
        <v/>
      </c>
      <c r="F204" s="5">
        <f>IF('ORDENES'!$A182="","",IF('ORDENES'!$AA182="","-",'ORDENES'!$AA182))</f>
        <v/>
      </c>
      <c r="G204" s="5">
        <f>IF('ORDENES'!$A182="","",IF('ORDENES'!$Y182="","-",'ORDENES'!$Y182))</f>
        <v/>
      </c>
      <c r="H204" s="5">
        <f>IF('ORDENES'!$A182="","",IF('ORDENES'!$AG182="","-",'ORDENES'!$AG182))</f>
        <v/>
      </c>
      <c r="I204" s="5">
        <f>IF('ORDENES'!$A182="","",IF('ORDENES'!$AT182="","-",'ORDENES'!$AT182))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20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IF('ORDENES'!$A182="","",'ORDENES'!$AF182)</f>
        <v/>
      </c>
    </row>
    <row r="205">
      <c r="A205" s="5">
        <f>IF('ORDENES'!$A183="","",IF('ORDENES'!$O183="","-",'ORDENES'!$O183))</f>
        <v/>
      </c>
      <c r="B205" s="5">
        <f>IF('ORDENES'!$A183="","",IF('ORDENES'!$S183="","-",'ORDENES'!$S183))</f>
        <v/>
      </c>
      <c r="C205" s="5">
        <f>IF('ORDENES'!$A183="","",IF('ORDENES'!$AH183="","-",'ORDENES'!$AH183))</f>
        <v/>
      </c>
      <c r="D205" s="5">
        <f>IF('ORDENES'!$A183="","",IF('ORDENES'!$Z183="","-",'ORDENES'!$Z183))</f>
        <v/>
      </c>
      <c r="E205" s="5">
        <f>IF('ORDENES'!$A183="","",IF('ORDENES'!$X183="","-",'ORDENES'!$X183))</f>
        <v/>
      </c>
      <c r="F205" s="5">
        <f>IF('ORDENES'!$A183="","",IF('ORDENES'!$AA183="","-",'ORDENES'!$AA183))</f>
        <v/>
      </c>
      <c r="G205" s="5">
        <f>IF('ORDENES'!$A183="","",IF('ORDENES'!$Y183="","-",'ORDENES'!$Y183))</f>
        <v/>
      </c>
      <c r="H205" s="5">
        <f>IF('ORDENES'!$A183="","",IF('ORDENES'!$AG183="","-",'ORDENES'!$AG183))</f>
        <v/>
      </c>
      <c r="I205" s="5">
        <f>IF('ORDENES'!$A183="","",IF('ORDENES'!$AT183="","-",'ORDENES'!$AT183))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20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IF('ORDENES'!$A183="","",'ORDENES'!$AF183)</f>
        <v/>
      </c>
    </row>
    <row r="206">
      <c r="A206" s="5">
        <f>IF('ORDENES'!$A184="","",IF('ORDENES'!$O184="","-",'ORDENES'!$O184))</f>
        <v/>
      </c>
      <c r="B206" s="5">
        <f>IF('ORDENES'!$A184="","",IF('ORDENES'!$S184="","-",'ORDENES'!$S184))</f>
        <v/>
      </c>
      <c r="C206" s="5">
        <f>IF('ORDENES'!$A184="","",IF('ORDENES'!$AH184="","-",'ORDENES'!$AH184))</f>
        <v/>
      </c>
      <c r="D206" s="5">
        <f>IF('ORDENES'!$A184="","",IF('ORDENES'!$Z184="","-",'ORDENES'!$Z184))</f>
        <v/>
      </c>
      <c r="E206" s="5">
        <f>IF('ORDENES'!$A184="","",IF('ORDENES'!$X184="","-",'ORDENES'!$X184))</f>
        <v/>
      </c>
      <c r="F206" s="5">
        <f>IF('ORDENES'!$A184="","",IF('ORDENES'!$AA184="","-",'ORDENES'!$AA184))</f>
        <v/>
      </c>
      <c r="G206" s="5">
        <f>IF('ORDENES'!$A184="","",IF('ORDENES'!$Y184="","-",'ORDENES'!$Y184))</f>
        <v/>
      </c>
      <c r="H206" s="5">
        <f>IF('ORDENES'!$A184="","",IF('ORDENES'!$AG184="","-",'ORDENES'!$AG184))</f>
        <v/>
      </c>
      <c r="I206" s="5">
        <f>IF('ORDENES'!$A184="","",IF('ORDENES'!$AT184="","-",'ORDENES'!$AT184))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20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IF('ORDENES'!$A184="","",'ORDENES'!$AF184)</f>
        <v/>
      </c>
    </row>
    <row r="207">
      <c r="A207" s="5">
        <f>IF('ORDENES'!$A185="","",IF('ORDENES'!$O185="","-",'ORDENES'!$O185))</f>
        <v/>
      </c>
      <c r="B207" s="5">
        <f>IF('ORDENES'!$A185="","",IF('ORDENES'!$S185="","-",'ORDENES'!$S185))</f>
        <v/>
      </c>
      <c r="C207" s="5">
        <f>IF('ORDENES'!$A185="","",IF('ORDENES'!$AH185="","-",'ORDENES'!$AH185))</f>
        <v/>
      </c>
      <c r="D207" s="5">
        <f>IF('ORDENES'!$A185="","",IF('ORDENES'!$Z185="","-",'ORDENES'!$Z185))</f>
        <v/>
      </c>
      <c r="E207" s="5">
        <f>IF('ORDENES'!$A185="","",IF('ORDENES'!$X185="","-",'ORDENES'!$X185))</f>
        <v/>
      </c>
      <c r="F207" s="5">
        <f>IF('ORDENES'!$A185="","",IF('ORDENES'!$AA185="","-",'ORDENES'!$AA185))</f>
        <v/>
      </c>
      <c r="G207" s="5">
        <f>IF('ORDENES'!$A185="","",IF('ORDENES'!$Y185="","-",'ORDENES'!$Y185))</f>
        <v/>
      </c>
      <c r="H207" s="5">
        <f>IF('ORDENES'!$A185="","",IF('ORDENES'!$AG185="","-",'ORDENES'!$AG185))</f>
        <v/>
      </c>
      <c r="I207" s="5">
        <f>IF('ORDENES'!$A185="","",IF('ORDENES'!$AT185="","-",'ORDENES'!$AT185))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20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IF('ORDENES'!$A185="","",'ORDENES'!$AF185)</f>
        <v/>
      </c>
    </row>
    <row r="208">
      <c r="A208" s="5">
        <f>IF('ORDENES'!$A186="","",IF('ORDENES'!$O186="","-",'ORDENES'!$O186))</f>
        <v/>
      </c>
      <c r="B208" s="5">
        <f>IF('ORDENES'!$A186="","",IF('ORDENES'!$S186="","-",'ORDENES'!$S186))</f>
        <v/>
      </c>
      <c r="C208" s="5">
        <f>IF('ORDENES'!$A186="","",IF('ORDENES'!$AH186="","-",'ORDENES'!$AH186))</f>
        <v/>
      </c>
      <c r="D208" s="5">
        <f>IF('ORDENES'!$A186="","",IF('ORDENES'!$Z186="","-",'ORDENES'!$Z186))</f>
        <v/>
      </c>
      <c r="E208" s="5">
        <f>IF('ORDENES'!$A186="","",IF('ORDENES'!$X186="","-",'ORDENES'!$X186))</f>
        <v/>
      </c>
      <c r="F208" s="5">
        <f>IF('ORDENES'!$A186="","",IF('ORDENES'!$AA186="","-",'ORDENES'!$AA186))</f>
        <v/>
      </c>
      <c r="G208" s="5">
        <f>IF('ORDENES'!$A186="","",IF('ORDENES'!$Y186="","-",'ORDENES'!$Y186))</f>
        <v/>
      </c>
      <c r="H208" s="5">
        <f>IF('ORDENES'!$A186="","",IF('ORDENES'!$AG186="","-",'ORDENES'!$AG186))</f>
        <v/>
      </c>
      <c r="I208" s="5">
        <f>IF('ORDENES'!$A186="","",IF('ORDENES'!$AT186="","-",'ORDENES'!$AT186))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20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IF('ORDENES'!$A186="","",'ORDENES'!$AF186)</f>
        <v/>
      </c>
    </row>
    <row r="209">
      <c r="A209" s="5">
        <f>IF('ORDENES'!$A187="","",IF('ORDENES'!$O187="","-",'ORDENES'!$O187))</f>
        <v/>
      </c>
      <c r="B209" s="5">
        <f>IF('ORDENES'!$A187="","",IF('ORDENES'!$S187="","-",'ORDENES'!$S187))</f>
        <v/>
      </c>
      <c r="C209" s="5">
        <f>IF('ORDENES'!$A187="","",IF('ORDENES'!$AH187="","-",'ORDENES'!$AH187))</f>
        <v/>
      </c>
      <c r="D209" s="5">
        <f>IF('ORDENES'!$A187="","",IF('ORDENES'!$Z187="","-",'ORDENES'!$Z187))</f>
        <v/>
      </c>
      <c r="E209" s="5">
        <f>IF('ORDENES'!$A187="","",IF('ORDENES'!$X187="","-",'ORDENES'!$X187))</f>
        <v/>
      </c>
      <c r="F209" s="5">
        <f>IF('ORDENES'!$A187="","",IF('ORDENES'!$AA187="","-",'ORDENES'!$AA187))</f>
        <v/>
      </c>
      <c r="G209" s="5">
        <f>IF('ORDENES'!$A187="","",IF('ORDENES'!$Y187="","-",'ORDENES'!$Y187))</f>
        <v/>
      </c>
      <c r="H209" s="5">
        <f>IF('ORDENES'!$A187="","",IF('ORDENES'!$AG187="","-",'ORDENES'!$AG187))</f>
        <v/>
      </c>
      <c r="I209" s="5">
        <f>IF('ORDENES'!$A187="","",IF('ORDENES'!$AT187="","-",'ORDENES'!$AT187))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20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IF('ORDENES'!$A187="","",'ORDENES'!$AF187)</f>
        <v/>
      </c>
    </row>
    <row r="210">
      <c r="A210" s="5">
        <f>IF('ORDENES'!$A188="","",IF('ORDENES'!$O188="","-",'ORDENES'!$O188))</f>
        <v/>
      </c>
      <c r="B210" s="5">
        <f>IF('ORDENES'!$A188="","",IF('ORDENES'!$S188="","-",'ORDENES'!$S188))</f>
        <v/>
      </c>
      <c r="C210" s="5">
        <f>IF('ORDENES'!$A188="","",IF('ORDENES'!$AH188="","-",'ORDENES'!$AH188))</f>
        <v/>
      </c>
      <c r="D210" s="5">
        <f>IF('ORDENES'!$A188="","",IF('ORDENES'!$Z188="","-",'ORDENES'!$Z188))</f>
        <v/>
      </c>
      <c r="E210" s="5">
        <f>IF('ORDENES'!$A188="","",IF('ORDENES'!$X188="","-",'ORDENES'!$X188))</f>
        <v/>
      </c>
      <c r="F210" s="5">
        <f>IF('ORDENES'!$A188="","",IF('ORDENES'!$AA188="","-",'ORDENES'!$AA188))</f>
        <v/>
      </c>
      <c r="G210" s="5">
        <f>IF('ORDENES'!$A188="","",IF('ORDENES'!$Y188="","-",'ORDENES'!$Y188))</f>
        <v/>
      </c>
      <c r="H210" s="5">
        <f>IF('ORDENES'!$A188="","",IF('ORDENES'!$AG188="","-",'ORDENES'!$AG188))</f>
        <v/>
      </c>
      <c r="I210" s="5">
        <f>IF('ORDENES'!$A188="","",IF('ORDENES'!$AT188="","-",'ORDENES'!$AT188))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20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IF('ORDENES'!$A188="","",'ORDENES'!$AF188)</f>
        <v/>
      </c>
    </row>
    <row r="211">
      <c r="A211" s="5">
        <f>IF('ORDENES'!$A189="","",IF('ORDENES'!$O189="","-",'ORDENES'!$O189))</f>
        <v/>
      </c>
      <c r="B211" s="5">
        <f>IF('ORDENES'!$A189="","",IF('ORDENES'!$S189="","-",'ORDENES'!$S189))</f>
        <v/>
      </c>
      <c r="C211" s="5">
        <f>IF('ORDENES'!$A189="","",IF('ORDENES'!$AH189="","-",'ORDENES'!$AH189))</f>
        <v/>
      </c>
      <c r="D211" s="5">
        <f>IF('ORDENES'!$A189="","",IF('ORDENES'!$Z189="","-",'ORDENES'!$Z189))</f>
        <v/>
      </c>
      <c r="E211" s="5">
        <f>IF('ORDENES'!$A189="","",IF('ORDENES'!$X189="","-",'ORDENES'!$X189))</f>
        <v/>
      </c>
      <c r="F211" s="5">
        <f>IF('ORDENES'!$A189="","",IF('ORDENES'!$AA189="","-",'ORDENES'!$AA189))</f>
        <v/>
      </c>
      <c r="G211" s="5">
        <f>IF('ORDENES'!$A189="","",IF('ORDENES'!$Y189="","-",'ORDENES'!$Y189))</f>
        <v/>
      </c>
      <c r="H211" s="5">
        <f>IF('ORDENES'!$A189="","",IF('ORDENES'!$AG189="","-",'ORDENES'!$AG189))</f>
        <v/>
      </c>
      <c r="I211" s="5">
        <f>IF('ORDENES'!$A189="","",IF('ORDENES'!$AT189="","-",'ORDENES'!$AT189))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20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IF('ORDENES'!$A189="","",'ORDENES'!$AF189)</f>
        <v/>
      </c>
    </row>
    <row r="212">
      <c r="A212" s="5">
        <f>IF('ORDENES'!$A190="","",IF('ORDENES'!$O190="","-",'ORDENES'!$O190))</f>
        <v/>
      </c>
      <c r="B212" s="5">
        <f>IF('ORDENES'!$A190="","",IF('ORDENES'!$S190="","-",'ORDENES'!$S190))</f>
        <v/>
      </c>
      <c r="C212" s="5">
        <f>IF('ORDENES'!$A190="","",IF('ORDENES'!$AH190="","-",'ORDENES'!$AH190))</f>
        <v/>
      </c>
      <c r="D212" s="5">
        <f>IF('ORDENES'!$A190="","",IF('ORDENES'!$Z190="","-",'ORDENES'!$Z190))</f>
        <v/>
      </c>
      <c r="E212" s="5">
        <f>IF('ORDENES'!$A190="","",IF('ORDENES'!$X190="","-",'ORDENES'!$X190))</f>
        <v/>
      </c>
      <c r="F212" s="5">
        <f>IF('ORDENES'!$A190="","",IF('ORDENES'!$AA190="","-",'ORDENES'!$AA190))</f>
        <v/>
      </c>
      <c r="G212" s="5">
        <f>IF('ORDENES'!$A190="","",IF('ORDENES'!$Y190="","-",'ORDENES'!$Y190))</f>
        <v/>
      </c>
      <c r="H212" s="5">
        <f>IF('ORDENES'!$A190="","",IF('ORDENES'!$AG190="","-",'ORDENES'!$AG190))</f>
        <v/>
      </c>
      <c r="I212" s="5">
        <f>IF('ORDENES'!$A190="","",IF('ORDENES'!$AT190="","-",'ORDENES'!$AT190))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20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IF('ORDENES'!$A190="","",'ORDENES'!$AF190)</f>
        <v/>
      </c>
    </row>
    <row r="213">
      <c r="A213" s="5">
        <f>IF('ORDENES'!$A191="","",IF('ORDENES'!$O191="","-",'ORDENES'!$O191))</f>
        <v/>
      </c>
      <c r="B213" s="5">
        <f>IF('ORDENES'!$A191="","",IF('ORDENES'!$S191="","-",'ORDENES'!$S191))</f>
        <v/>
      </c>
      <c r="C213" s="5">
        <f>IF('ORDENES'!$A191="","",IF('ORDENES'!$AH191="","-",'ORDENES'!$AH191))</f>
        <v/>
      </c>
      <c r="D213" s="5">
        <f>IF('ORDENES'!$A191="","",IF('ORDENES'!$Z191="","-",'ORDENES'!$Z191))</f>
        <v/>
      </c>
      <c r="E213" s="5">
        <f>IF('ORDENES'!$A191="","",IF('ORDENES'!$X191="","-",'ORDENES'!$X191))</f>
        <v/>
      </c>
      <c r="F213" s="5">
        <f>IF('ORDENES'!$A191="","",IF('ORDENES'!$AA191="","-",'ORDENES'!$AA191))</f>
        <v/>
      </c>
      <c r="G213" s="5">
        <f>IF('ORDENES'!$A191="","",IF('ORDENES'!$Y191="","-",'ORDENES'!$Y191))</f>
        <v/>
      </c>
      <c r="H213" s="5">
        <f>IF('ORDENES'!$A191="","",IF('ORDENES'!$AG191="","-",'ORDENES'!$AG191))</f>
        <v/>
      </c>
      <c r="I213" s="5">
        <f>IF('ORDENES'!$A191="","",IF('ORDENES'!$AT191="","-",'ORDENES'!$AT191))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20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IF('ORDENES'!$A191="","",'ORDENES'!$AF191)</f>
        <v/>
      </c>
    </row>
    <row r="214">
      <c r="A214" s="5">
        <f>IF('ORDENES'!$A192="","",IF('ORDENES'!$O192="","-",'ORDENES'!$O192))</f>
        <v/>
      </c>
      <c r="B214" s="5">
        <f>IF('ORDENES'!$A192="","",IF('ORDENES'!$S192="","-",'ORDENES'!$S192))</f>
        <v/>
      </c>
      <c r="C214" s="5">
        <f>IF('ORDENES'!$A192="","",IF('ORDENES'!$AH192="","-",'ORDENES'!$AH192))</f>
        <v/>
      </c>
      <c r="D214" s="5">
        <f>IF('ORDENES'!$A192="","",IF('ORDENES'!$Z192="","-",'ORDENES'!$Z192))</f>
        <v/>
      </c>
      <c r="E214" s="5">
        <f>IF('ORDENES'!$A192="","",IF('ORDENES'!$X192="","-",'ORDENES'!$X192))</f>
        <v/>
      </c>
      <c r="F214" s="5">
        <f>IF('ORDENES'!$A192="","",IF('ORDENES'!$AA192="","-",'ORDENES'!$AA192))</f>
        <v/>
      </c>
      <c r="G214" s="5">
        <f>IF('ORDENES'!$A192="","",IF('ORDENES'!$Y192="","-",'ORDENES'!$Y192))</f>
        <v/>
      </c>
      <c r="H214" s="5">
        <f>IF('ORDENES'!$A192="","",IF('ORDENES'!$AG192="","-",'ORDENES'!$AG192))</f>
        <v/>
      </c>
      <c r="I214" s="5">
        <f>IF('ORDENES'!$A192="","",IF('ORDENES'!$AT192="","-",'ORDENES'!$AT192))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20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IF('ORDENES'!$A192="","",'ORDENES'!$AF192)</f>
        <v/>
      </c>
    </row>
    <row r="215">
      <c r="A215" s="5">
        <f>IF('ORDENES'!$A193="","",IF('ORDENES'!$O193="","-",'ORDENES'!$O193))</f>
        <v/>
      </c>
      <c r="B215" s="5">
        <f>IF('ORDENES'!$A193="","",IF('ORDENES'!$S193="","-",'ORDENES'!$S193))</f>
        <v/>
      </c>
      <c r="C215" s="5">
        <f>IF('ORDENES'!$A193="","",IF('ORDENES'!$AH193="","-",'ORDENES'!$AH193))</f>
        <v/>
      </c>
      <c r="D215" s="5">
        <f>IF('ORDENES'!$A193="","",IF('ORDENES'!$Z193="","-",'ORDENES'!$Z193))</f>
        <v/>
      </c>
      <c r="E215" s="5">
        <f>IF('ORDENES'!$A193="","",IF('ORDENES'!$X193="","-",'ORDENES'!$X193))</f>
        <v/>
      </c>
      <c r="F215" s="5">
        <f>IF('ORDENES'!$A193="","",IF('ORDENES'!$AA193="","-",'ORDENES'!$AA193))</f>
        <v/>
      </c>
      <c r="G215" s="5">
        <f>IF('ORDENES'!$A193="","",IF('ORDENES'!$Y193="","-",'ORDENES'!$Y193))</f>
        <v/>
      </c>
      <c r="H215" s="5">
        <f>IF('ORDENES'!$A193="","",IF('ORDENES'!$AG193="","-",'ORDENES'!$AG193))</f>
        <v/>
      </c>
      <c r="I215" s="5">
        <f>IF('ORDENES'!$A193="","",IF('ORDENES'!$AT193="","-",'ORDENES'!$AT193))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20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IF('ORDENES'!$A193="","",'ORDENES'!$AF193)</f>
        <v/>
      </c>
    </row>
    <row r="216">
      <c r="A216" s="5">
        <f>IF('ORDENES'!$A194="","",IF('ORDENES'!$O194="","-",'ORDENES'!$O194))</f>
        <v/>
      </c>
      <c r="B216" s="5">
        <f>IF('ORDENES'!$A194="","",IF('ORDENES'!$S194="","-",'ORDENES'!$S194))</f>
        <v/>
      </c>
      <c r="C216" s="5">
        <f>IF('ORDENES'!$A194="","",IF('ORDENES'!$AH194="","-",'ORDENES'!$AH194))</f>
        <v/>
      </c>
      <c r="D216" s="5">
        <f>IF('ORDENES'!$A194="","",IF('ORDENES'!$Z194="","-",'ORDENES'!$Z194))</f>
        <v/>
      </c>
      <c r="E216" s="5">
        <f>IF('ORDENES'!$A194="","",IF('ORDENES'!$X194="","-",'ORDENES'!$X194))</f>
        <v/>
      </c>
      <c r="F216" s="5">
        <f>IF('ORDENES'!$A194="","",IF('ORDENES'!$AA194="","-",'ORDENES'!$AA194))</f>
        <v/>
      </c>
      <c r="G216" s="5">
        <f>IF('ORDENES'!$A194="","",IF('ORDENES'!$Y194="","-",'ORDENES'!$Y194))</f>
        <v/>
      </c>
      <c r="H216" s="5">
        <f>IF('ORDENES'!$A194="","",IF('ORDENES'!$AG194="","-",'ORDENES'!$AG194))</f>
        <v/>
      </c>
      <c r="I216" s="5">
        <f>IF('ORDENES'!$A194="","",IF('ORDENES'!$AT194="","-",'ORDENES'!$AT194))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20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IF('ORDENES'!$A194="","",'ORDENES'!$AF194)</f>
        <v/>
      </c>
    </row>
    <row r="217">
      <c r="A217" s="5">
        <f>IF('ORDENES'!$A195="","",IF('ORDENES'!$O195="","-",'ORDENES'!$O195))</f>
        <v/>
      </c>
      <c r="B217" s="5">
        <f>IF('ORDENES'!$A195="","",IF('ORDENES'!$S195="","-",'ORDENES'!$S195))</f>
        <v/>
      </c>
      <c r="C217" s="5">
        <f>IF('ORDENES'!$A195="","",IF('ORDENES'!$AH195="","-",'ORDENES'!$AH195))</f>
        <v/>
      </c>
      <c r="D217" s="5">
        <f>IF('ORDENES'!$A195="","",IF('ORDENES'!$Z195="","-",'ORDENES'!$Z195))</f>
        <v/>
      </c>
      <c r="E217" s="5">
        <f>IF('ORDENES'!$A195="","",IF('ORDENES'!$X195="","-",'ORDENES'!$X195))</f>
        <v/>
      </c>
      <c r="F217" s="5">
        <f>IF('ORDENES'!$A195="","",IF('ORDENES'!$AA195="","-",'ORDENES'!$AA195))</f>
        <v/>
      </c>
      <c r="G217" s="5">
        <f>IF('ORDENES'!$A195="","",IF('ORDENES'!$Y195="","-",'ORDENES'!$Y195))</f>
        <v/>
      </c>
      <c r="H217" s="5">
        <f>IF('ORDENES'!$A195="","",IF('ORDENES'!$AG195="","-",'ORDENES'!$AG195))</f>
        <v/>
      </c>
      <c r="I217" s="5">
        <f>IF('ORDENES'!$A195="","",IF('ORDENES'!$AT195="","-",'ORDENES'!$AT195))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20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IF('ORDENES'!$A195="","",'ORDENES'!$AF195)</f>
        <v/>
      </c>
    </row>
    <row r="218">
      <c r="A218" s="5">
        <f>IF('ORDENES'!$A196="","",IF('ORDENES'!$O196="","-",'ORDENES'!$O196))</f>
        <v/>
      </c>
      <c r="B218" s="5">
        <f>IF('ORDENES'!$A196="","",IF('ORDENES'!$S196="","-",'ORDENES'!$S196))</f>
        <v/>
      </c>
      <c r="C218" s="5">
        <f>IF('ORDENES'!$A196="","",IF('ORDENES'!$AH196="","-",'ORDENES'!$AH196))</f>
        <v/>
      </c>
      <c r="D218" s="5">
        <f>IF('ORDENES'!$A196="","",IF('ORDENES'!$Z196="","-",'ORDENES'!$Z196))</f>
        <v/>
      </c>
      <c r="E218" s="5">
        <f>IF('ORDENES'!$A196="","",IF('ORDENES'!$X196="","-",'ORDENES'!$X196))</f>
        <v/>
      </c>
      <c r="F218" s="5">
        <f>IF('ORDENES'!$A196="","",IF('ORDENES'!$AA196="","-",'ORDENES'!$AA196))</f>
        <v/>
      </c>
      <c r="G218" s="5">
        <f>IF('ORDENES'!$A196="","",IF('ORDENES'!$Y196="","-",'ORDENES'!$Y196))</f>
        <v/>
      </c>
      <c r="H218" s="5">
        <f>IF('ORDENES'!$A196="","",IF('ORDENES'!$AG196="","-",'ORDENES'!$AG196))</f>
        <v/>
      </c>
      <c r="I218" s="5">
        <f>IF('ORDENES'!$A196="","",IF('ORDENES'!$AT196="","-",'ORDENES'!$AT196))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20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IF('ORDENES'!$A196="","",'ORDENES'!$AF196)</f>
        <v/>
      </c>
    </row>
    <row r="219">
      <c r="A219" s="5">
        <f>IF('ORDENES'!$A197="","",IF('ORDENES'!$O197="","-",'ORDENES'!$O197))</f>
        <v/>
      </c>
      <c r="B219" s="5">
        <f>IF('ORDENES'!$A197="","",IF('ORDENES'!$S197="","-",'ORDENES'!$S197))</f>
        <v/>
      </c>
      <c r="C219" s="5">
        <f>IF('ORDENES'!$A197="","",IF('ORDENES'!$AH197="","-",'ORDENES'!$AH197))</f>
        <v/>
      </c>
      <c r="D219" s="5">
        <f>IF('ORDENES'!$A197="","",IF('ORDENES'!$Z197="","-",'ORDENES'!$Z197))</f>
        <v/>
      </c>
      <c r="E219" s="5">
        <f>IF('ORDENES'!$A197="","",IF('ORDENES'!$X197="","-",'ORDENES'!$X197))</f>
        <v/>
      </c>
      <c r="F219" s="5">
        <f>IF('ORDENES'!$A197="","",IF('ORDENES'!$AA197="","-",'ORDENES'!$AA197))</f>
        <v/>
      </c>
      <c r="G219" s="5">
        <f>IF('ORDENES'!$A197="","",IF('ORDENES'!$Y197="","-",'ORDENES'!$Y197))</f>
        <v/>
      </c>
      <c r="H219" s="5">
        <f>IF('ORDENES'!$A197="","",IF('ORDENES'!$AG197="","-",'ORDENES'!$AG197))</f>
        <v/>
      </c>
      <c r="I219" s="5">
        <f>IF('ORDENES'!$A197="","",IF('ORDENES'!$AT197="","-",'ORDENES'!$AT197))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20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IF('ORDENES'!$A197="","",'ORDENES'!$AF197)</f>
        <v/>
      </c>
    </row>
    <row r="220">
      <c r="A220" s="5">
        <f>IF('ORDENES'!$A198="","",IF('ORDENES'!$O198="","-",'ORDENES'!$O198))</f>
        <v/>
      </c>
      <c r="B220" s="5">
        <f>IF('ORDENES'!$A198="","",IF('ORDENES'!$S198="","-",'ORDENES'!$S198))</f>
        <v/>
      </c>
      <c r="C220" s="5">
        <f>IF('ORDENES'!$A198="","",IF('ORDENES'!$AH198="","-",'ORDENES'!$AH198))</f>
        <v/>
      </c>
      <c r="D220" s="5">
        <f>IF('ORDENES'!$A198="","",IF('ORDENES'!$Z198="","-",'ORDENES'!$Z198))</f>
        <v/>
      </c>
      <c r="E220" s="5">
        <f>IF('ORDENES'!$A198="","",IF('ORDENES'!$X198="","-",'ORDENES'!$X198))</f>
        <v/>
      </c>
      <c r="F220" s="5">
        <f>IF('ORDENES'!$A198="","",IF('ORDENES'!$AA198="","-",'ORDENES'!$AA198))</f>
        <v/>
      </c>
      <c r="G220" s="5">
        <f>IF('ORDENES'!$A198="","",IF('ORDENES'!$Y198="","-",'ORDENES'!$Y198))</f>
        <v/>
      </c>
      <c r="H220" s="5">
        <f>IF('ORDENES'!$A198="","",IF('ORDENES'!$AG198="","-",'ORDENES'!$AG198))</f>
        <v/>
      </c>
      <c r="I220" s="5">
        <f>IF('ORDENES'!$A198="","",IF('ORDENES'!$AT198="","-",'ORDENES'!$AT198))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20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IF('ORDENES'!$A198="","",'ORDENES'!$AF198)</f>
        <v/>
      </c>
    </row>
    <row r="221">
      <c r="A221" s="5">
        <f>IF('ORDENES'!$A199="","",IF('ORDENES'!$O199="","-",'ORDENES'!$O199))</f>
        <v/>
      </c>
      <c r="B221" s="5">
        <f>IF('ORDENES'!$A199="","",IF('ORDENES'!$S199="","-",'ORDENES'!$S199))</f>
        <v/>
      </c>
      <c r="C221" s="5">
        <f>IF('ORDENES'!$A199="","",IF('ORDENES'!$AH199="","-",'ORDENES'!$AH199))</f>
        <v/>
      </c>
      <c r="D221" s="5">
        <f>IF('ORDENES'!$A199="","",IF('ORDENES'!$Z199="","-",'ORDENES'!$Z199))</f>
        <v/>
      </c>
      <c r="E221" s="5">
        <f>IF('ORDENES'!$A199="","",IF('ORDENES'!$X199="","-",'ORDENES'!$X199))</f>
        <v/>
      </c>
      <c r="F221" s="5">
        <f>IF('ORDENES'!$A199="","",IF('ORDENES'!$AA199="","-",'ORDENES'!$AA199))</f>
        <v/>
      </c>
      <c r="G221" s="5">
        <f>IF('ORDENES'!$A199="","",IF('ORDENES'!$Y199="","-",'ORDENES'!$Y199))</f>
        <v/>
      </c>
      <c r="H221" s="5">
        <f>IF('ORDENES'!$A199="","",IF('ORDENES'!$AG199="","-",'ORDENES'!$AG199))</f>
        <v/>
      </c>
      <c r="I221" s="5">
        <f>IF('ORDENES'!$A199="","",IF('ORDENES'!$AT199="","-",'ORDENES'!$AT199))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20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IF('ORDENES'!$A199="","",'ORDENES'!$AF199)</f>
        <v/>
      </c>
    </row>
    <row r="222">
      <c r="A222" s="5">
        <f>IF('ORDENES'!$A200="","",IF('ORDENES'!$O200="","-",'ORDENES'!$O200))</f>
        <v/>
      </c>
      <c r="B222" s="5">
        <f>IF('ORDENES'!$A200="","",IF('ORDENES'!$S200="","-",'ORDENES'!$S200))</f>
        <v/>
      </c>
      <c r="C222" s="5">
        <f>IF('ORDENES'!$A200="","",IF('ORDENES'!$AH200="","-",'ORDENES'!$AH200))</f>
        <v/>
      </c>
      <c r="D222" s="5">
        <f>IF('ORDENES'!$A200="","",IF('ORDENES'!$Z200="","-",'ORDENES'!$Z200))</f>
        <v/>
      </c>
      <c r="E222" s="5">
        <f>IF('ORDENES'!$A200="","",IF('ORDENES'!$X200="","-",'ORDENES'!$X200))</f>
        <v/>
      </c>
      <c r="F222" s="5">
        <f>IF('ORDENES'!$A200="","",IF('ORDENES'!$AA200="","-",'ORDENES'!$AA200))</f>
        <v/>
      </c>
      <c r="G222" s="5">
        <f>IF('ORDENES'!$A200="","",IF('ORDENES'!$Y200="","-",'ORDENES'!$Y200))</f>
        <v/>
      </c>
      <c r="H222" s="5">
        <f>IF('ORDENES'!$A200="","",IF('ORDENES'!$AG200="","-",'ORDENES'!$AG200))</f>
        <v/>
      </c>
      <c r="I222" s="5">
        <f>IF('ORDENES'!$A200="","",IF('ORDENES'!$AT200="","-",'ORDENES'!$AT200))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20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IF('ORDENES'!$A200="","",'ORDENES'!$AF200)</f>
        <v/>
      </c>
    </row>
    <row r="223">
      <c r="A223" s="5">
        <f>IF('ORDENES'!$A201="","",IF('ORDENES'!$O201="","-",'ORDENES'!$O201))</f>
        <v/>
      </c>
      <c r="B223" s="5">
        <f>IF('ORDENES'!$A201="","",IF('ORDENES'!$S201="","-",'ORDENES'!$S201))</f>
        <v/>
      </c>
      <c r="C223" s="5">
        <f>IF('ORDENES'!$A201="","",IF('ORDENES'!$AH201="","-",'ORDENES'!$AH201))</f>
        <v/>
      </c>
      <c r="D223" s="5">
        <f>IF('ORDENES'!$A201="","",IF('ORDENES'!$Z201="","-",'ORDENES'!$Z201))</f>
        <v/>
      </c>
      <c r="E223" s="5">
        <f>IF('ORDENES'!$A201="","",IF('ORDENES'!$X201="","-",'ORDENES'!$X201))</f>
        <v/>
      </c>
      <c r="F223" s="5">
        <f>IF('ORDENES'!$A201="","",IF('ORDENES'!$AA201="","-",'ORDENES'!$AA201))</f>
        <v/>
      </c>
      <c r="G223" s="5">
        <f>IF('ORDENES'!$A201="","",IF('ORDENES'!$Y201="","-",'ORDENES'!$Y201))</f>
        <v/>
      </c>
      <c r="H223" s="5">
        <f>IF('ORDENES'!$A201="","",IF('ORDENES'!$AG201="","-",'ORDENES'!$AG201))</f>
        <v/>
      </c>
      <c r="I223" s="5">
        <f>IF('ORDENES'!$A201="","",IF('ORDENES'!$AT201="","-",'ORDENES'!$AT201))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20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IF('ORDENES'!$A201="","",'ORDENES'!$AF201)</f>
        <v/>
      </c>
    </row>
    <row r="224">
      <c r="A224" s="5">
        <f>IF('ORDENES'!$A202="","",IF('ORDENES'!$O202="","-",'ORDENES'!$O202))</f>
        <v/>
      </c>
      <c r="B224" s="5">
        <f>IF('ORDENES'!$A202="","",IF('ORDENES'!$S202="","-",'ORDENES'!$S202))</f>
        <v/>
      </c>
      <c r="C224" s="5">
        <f>IF('ORDENES'!$A202="","",IF('ORDENES'!$AH202="","-",'ORDENES'!$AH202))</f>
        <v/>
      </c>
      <c r="D224" s="5">
        <f>IF('ORDENES'!$A202="","",IF('ORDENES'!$Z202="","-",'ORDENES'!$Z202))</f>
        <v/>
      </c>
      <c r="E224" s="5">
        <f>IF('ORDENES'!$A202="","",IF('ORDENES'!$X202="","-",'ORDENES'!$X202))</f>
        <v/>
      </c>
      <c r="F224" s="5">
        <f>IF('ORDENES'!$A202="","",IF('ORDENES'!$AA202="","-",'ORDENES'!$AA202))</f>
        <v/>
      </c>
      <c r="G224" s="5">
        <f>IF('ORDENES'!$A202="","",IF('ORDENES'!$Y202="","-",'ORDENES'!$Y202))</f>
        <v/>
      </c>
      <c r="H224" s="5">
        <f>IF('ORDENES'!$A202="","",IF('ORDENES'!$AG202="","-",'ORDENES'!$AG202))</f>
        <v/>
      </c>
      <c r="I224" s="5">
        <f>IF('ORDENES'!$A202="","",IF('ORDENES'!$AT202="","-",'ORDENES'!$AT202))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20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IF('ORDENES'!$A202="","",'ORDENES'!$AF202)</f>
        <v/>
      </c>
    </row>
    <row r="225">
      <c r="A225" s="5">
        <f>IF('ORDENES'!$A203="","",IF('ORDENES'!$O203="","-",'ORDENES'!$O203))</f>
        <v/>
      </c>
      <c r="B225" s="5">
        <f>IF('ORDENES'!$A203="","",IF('ORDENES'!$S203="","-",'ORDENES'!$S203))</f>
        <v/>
      </c>
      <c r="C225" s="5">
        <f>IF('ORDENES'!$A203="","",IF('ORDENES'!$AH203="","-",'ORDENES'!$AH203))</f>
        <v/>
      </c>
      <c r="D225" s="5">
        <f>IF('ORDENES'!$A203="","",IF('ORDENES'!$Z203="","-",'ORDENES'!$Z203))</f>
        <v/>
      </c>
      <c r="E225" s="5">
        <f>IF('ORDENES'!$A203="","",IF('ORDENES'!$X203="","-",'ORDENES'!$X203))</f>
        <v/>
      </c>
      <c r="F225" s="5">
        <f>IF('ORDENES'!$A203="","",IF('ORDENES'!$AA203="","-",'ORDENES'!$AA203))</f>
        <v/>
      </c>
      <c r="G225" s="5">
        <f>IF('ORDENES'!$A203="","",IF('ORDENES'!$Y203="","-",'ORDENES'!$Y203))</f>
        <v/>
      </c>
      <c r="H225" s="5">
        <f>IF('ORDENES'!$A203="","",IF('ORDENES'!$AG203="","-",'ORDENES'!$AG203))</f>
        <v/>
      </c>
      <c r="I225" s="5">
        <f>IF('ORDENES'!$A203="","",IF('ORDENES'!$AT203="","-",'ORDENES'!$AT203))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20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IF('ORDENES'!$A203="","",'ORDENES'!$AF203)</f>
        <v/>
      </c>
    </row>
    <row r="226">
      <c r="A226" s="5">
        <f>IF('ORDENES'!$A204="","",IF('ORDENES'!$O204="","-",'ORDENES'!$O204))</f>
        <v/>
      </c>
      <c r="B226" s="5">
        <f>IF('ORDENES'!$A204="","",IF('ORDENES'!$S204="","-",'ORDENES'!$S204))</f>
        <v/>
      </c>
      <c r="C226" s="5">
        <f>IF('ORDENES'!$A204="","",IF('ORDENES'!$AH204="","-",'ORDENES'!$AH204))</f>
        <v/>
      </c>
      <c r="D226" s="5">
        <f>IF('ORDENES'!$A204="","",IF('ORDENES'!$Z204="","-",'ORDENES'!$Z204))</f>
        <v/>
      </c>
      <c r="E226" s="5">
        <f>IF('ORDENES'!$A204="","",IF('ORDENES'!$X204="","-",'ORDENES'!$X204))</f>
        <v/>
      </c>
      <c r="F226" s="5">
        <f>IF('ORDENES'!$A204="","",IF('ORDENES'!$AA204="","-",'ORDENES'!$AA204))</f>
        <v/>
      </c>
      <c r="G226" s="5">
        <f>IF('ORDENES'!$A204="","",IF('ORDENES'!$Y204="","-",'ORDENES'!$Y204))</f>
        <v/>
      </c>
      <c r="H226" s="5">
        <f>IF('ORDENES'!$A204="","",IF('ORDENES'!$AG204="","-",'ORDENES'!$AG204))</f>
        <v/>
      </c>
      <c r="I226" s="5">
        <f>IF('ORDENES'!$A204="","",IF('ORDENES'!$AT204="","-",'ORDENES'!$AT204))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20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IF('ORDENES'!$A204="","",'ORDENES'!$AF204)</f>
        <v/>
      </c>
    </row>
    <row r="227">
      <c r="A227" s="5">
        <f>IF('ORDENES'!$A205="","",IF('ORDENES'!$O205="","-",'ORDENES'!$O205))</f>
        <v/>
      </c>
      <c r="B227" s="5">
        <f>IF('ORDENES'!$A205="","",IF('ORDENES'!$S205="","-",'ORDENES'!$S205))</f>
        <v/>
      </c>
      <c r="C227" s="5">
        <f>IF('ORDENES'!$A205="","",IF('ORDENES'!$AH205="","-",'ORDENES'!$AH205))</f>
        <v/>
      </c>
      <c r="D227" s="5">
        <f>IF('ORDENES'!$A205="","",IF('ORDENES'!$Z205="","-",'ORDENES'!$Z205))</f>
        <v/>
      </c>
      <c r="E227" s="5">
        <f>IF('ORDENES'!$A205="","",IF('ORDENES'!$X205="","-",'ORDENES'!$X205))</f>
        <v/>
      </c>
      <c r="F227" s="5">
        <f>IF('ORDENES'!$A205="","",IF('ORDENES'!$AA205="","-",'ORDENES'!$AA205))</f>
        <v/>
      </c>
      <c r="G227" s="5">
        <f>IF('ORDENES'!$A205="","",IF('ORDENES'!$Y205="","-",'ORDENES'!$Y205))</f>
        <v/>
      </c>
      <c r="H227" s="5">
        <f>IF('ORDENES'!$A205="","",IF('ORDENES'!$AG205="","-",'ORDENES'!$AG205))</f>
        <v/>
      </c>
      <c r="I227" s="5">
        <f>IF('ORDENES'!$A205="","",IF('ORDENES'!$AT205="","-",'ORDENES'!$AT205))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20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IF('ORDENES'!$A205="","",'ORDENES'!$AF205)</f>
        <v/>
      </c>
    </row>
    <row r="228">
      <c r="A228" s="5">
        <f>IF('ORDENES'!$A206="","",IF('ORDENES'!$O206="","-",'ORDENES'!$O206))</f>
        <v/>
      </c>
      <c r="B228" s="5">
        <f>IF('ORDENES'!$A206="","",IF('ORDENES'!$S206="","-",'ORDENES'!$S206))</f>
        <v/>
      </c>
      <c r="C228" s="5">
        <f>IF('ORDENES'!$A206="","",IF('ORDENES'!$AH206="","-",'ORDENES'!$AH206))</f>
        <v/>
      </c>
      <c r="D228" s="5">
        <f>IF('ORDENES'!$A206="","",IF('ORDENES'!$Z206="","-",'ORDENES'!$Z206))</f>
        <v/>
      </c>
      <c r="E228" s="5">
        <f>IF('ORDENES'!$A206="","",IF('ORDENES'!$X206="","-",'ORDENES'!$X206))</f>
        <v/>
      </c>
      <c r="F228" s="5">
        <f>IF('ORDENES'!$A206="","",IF('ORDENES'!$AA206="","-",'ORDENES'!$AA206))</f>
        <v/>
      </c>
      <c r="G228" s="5">
        <f>IF('ORDENES'!$A206="","",IF('ORDENES'!$Y206="","-",'ORDENES'!$Y206))</f>
        <v/>
      </c>
      <c r="H228" s="5">
        <f>IF('ORDENES'!$A206="","",IF('ORDENES'!$AG206="","-",'ORDENES'!$AG206))</f>
        <v/>
      </c>
      <c r="I228" s="5">
        <f>IF('ORDENES'!$A206="","",IF('ORDENES'!$AT206="","-",'ORDENES'!$AT206))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20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IF('ORDENES'!$A206="","",'ORDENES'!$AF206)</f>
        <v/>
      </c>
    </row>
    <row r="229">
      <c r="A229" s="5">
        <f>IF('ORDENES'!$A207="","",IF('ORDENES'!$O207="","-",'ORDENES'!$O207))</f>
        <v/>
      </c>
      <c r="B229" s="5">
        <f>IF('ORDENES'!$A207="","",IF('ORDENES'!$S207="","-",'ORDENES'!$S207))</f>
        <v/>
      </c>
      <c r="C229" s="5">
        <f>IF('ORDENES'!$A207="","",IF('ORDENES'!$AH207="","-",'ORDENES'!$AH207))</f>
        <v/>
      </c>
      <c r="D229" s="5">
        <f>IF('ORDENES'!$A207="","",IF('ORDENES'!$Z207="","-",'ORDENES'!$Z207))</f>
        <v/>
      </c>
      <c r="E229" s="5">
        <f>IF('ORDENES'!$A207="","",IF('ORDENES'!$X207="","-",'ORDENES'!$X207))</f>
        <v/>
      </c>
      <c r="F229" s="5">
        <f>IF('ORDENES'!$A207="","",IF('ORDENES'!$AA207="","-",'ORDENES'!$AA207))</f>
        <v/>
      </c>
      <c r="G229" s="5">
        <f>IF('ORDENES'!$A207="","",IF('ORDENES'!$Y207="","-",'ORDENES'!$Y207))</f>
        <v/>
      </c>
      <c r="H229" s="5">
        <f>IF('ORDENES'!$A207="","",IF('ORDENES'!$AG207="","-",'ORDENES'!$AG207))</f>
        <v/>
      </c>
      <c r="I229" s="5">
        <f>IF('ORDENES'!$A207="","",IF('ORDENES'!$AT207="","-",'ORDENES'!$AT207))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20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IF('ORDENES'!$A207="","",'ORDENES'!$AF207)</f>
        <v/>
      </c>
    </row>
    <row r="230">
      <c r="A230" s="5">
        <f>IF('ORDENES'!$A208="","",IF('ORDENES'!$O208="","-",'ORDENES'!$O208))</f>
        <v/>
      </c>
      <c r="B230" s="5">
        <f>IF('ORDENES'!$A208="","",IF('ORDENES'!$S208="","-",'ORDENES'!$S208))</f>
        <v/>
      </c>
      <c r="C230" s="5">
        <f>IF('ORDENES'!$A208="","",IF('ORDENES'!$AH208="","-",'ORDENES'!$AH208))</f>
        <v/>
      </c>
      <c r="D230" s="5">
        <f>IF('ORDENES'!$A208="","",IF('ORDENES'!$Z208="","-",'ORDENES'!$Z208))</f>
        <v/>
      </c>
      <c r="E230" s="5">
        <f>IF('ORDENES'!$A208="","",IF('ORDENES'!$X208="","-",'ORDENES'!$X208))</f>
        <v/>
      </c>
      <c r="F230" s="5">
        <f>IF('ORDENES'!$A208="","",IF('ORDENES'!$AA208="","-",'ORDENES'!$AA208))</f>
        <v/>
      </c>
      <c r="G230" s="5">
        <f>IF('ORDENES'!$A208="","",IF('ORDENES'!$Y208="","-",'ORDENES'!$Y208))</f>
        <v/>
      </c>
      <c r="H230" s="5">
        <f>IF('ORDENES'!$A208="","",IF('ORDENES'!$AG208="","-",'ORDENES'!$AG208))</f>
        <v/>
      </c>
      <c r="I230" s="5">
        <f>IF('ORDENES'!$A208="","",IF('ORDENES'!$AT208="","-",'ORDENES'!$AT208))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20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IF('ORDENES'!$A208="","",'ORDENES'!$AF208)</f>
        <v/>
      </c>
    </row>
    <row r="231">
      <c r="A231" s="5">
        <f>IF('ORDENES'!$A209="","",IF('ORDENES'!$O209="","-",'ORDENES'!$O209))</f>
        <v/>
      </c>
      <c r="B231" s="5">
        <f>IF('ORDENES'!$A209="","",IF('ORDENES'!$S209="","-",'ORDENES'!$S209))</f>
        <v/>
      </c>
      <c r="C231" s="5">
        <f>IF('ORDENES'!$A209="","",IF('ORDENES'!$AH209="","-",'ORDENES'!$AH209))</f>
        <v/>
      </c>
      <c r="D231" s="5">
        <f>IF('ORDENES'!$A209="","",IF('ORDENES'!$Z209="","-",'ORDENES'!$Z209))</f>
        <v/>
      </c>
      <c r="E231" s="5">
        <f>IF('ORDENES'!$A209="","",IF('ORDENES'!$X209="","-",'ORDENES'!$X209))</f>
        <v/>
      </c>
      <c r="F231" s="5">
        <f>IF('ORDENES'!$A209="","",IF('ORDENES'!$AA209="","-",'ORDENES'!$AA209))</f>
        <v/>
      </c>
      <c r="G231" s="5">
        <f>IF('ORDENES'!$A209="","",IF('ORDENES'!$Y209="","-",'ORDENES'!$Y209))</f>
        <v/>
      </c>
      <c r="H231" s="5">
        <f>IF('ORDENES'!$A209="","",IF('ORDENES'!$AG209="","-",'ORDENES'!$AG209))</f>
        <v/>
      </c>
      <c r="I231" s="5">
        <f>IF('ORDENES'!$A209="","",IF('ORDENES'!$AT209="","-",'ORDENES'!$AT209))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20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IF('ORDENES'!$A209="","",'ORDENES'!$AF209)</f>
        <v/>
      </c>
    </row>
    <row r="232">
      <c r="A232" s="5">
        <f>IF('ORDENES'!$A210="","",IF('ORDENES'!$O210="","-",'ORDENES'!$O210))</f>
        <v/>
      </c>
      <c r="B232" s="5">
        <f>IF('ORDENES'!$A210="","",IF('ORDENES'!$S210="","-",'ORDENES'!$S210))</f>
        <v/>
      </c>
      <c r="C232" s="5">
        <f>IF('ORDENES'!$A210="","",IF('ORDENES'!$AH210="","-",'ORDENES'!$AH210))</f>
        <v/>
      </c>
      <c r="D232" s="5">
        <f>IF('ORDENES'!$A210="","",IF('ORDENES'!$Z210="","-",'ORDENES'!$Z210))</f>
        <v/>
      </c>
      <c r="E232" s="5">
        <f>IF('ORDENES'!$A210="","",IF('ORDENES'!$X210="","-",'ORDENES'!$X210))</f>
        <v/>
      </c>
      <c r="F232" s="5">
        <f>IF('ORDENES'!$A210="","",IF('ORDENES'!$AA210="","-",'ORDENES'!$AA210))</f>
        <v/>
      </c>
      <c r="G232" s="5">
        <f>IF('ORDENES'!$A210="","",IF('ORDENES'!$Y210="","-",'ORDENES'!$Y210))</f>
        <v/>
      </c>
      <c r="H232" s="5">
        <f>IF('ORDENES'!$A210="","",IF('ORDENES'!$AG210="","-",'ORDENES'!$AG210))</f>
        <v/>
      </c>
      <c r="I232" s="5">
        <f>IF('ORDENES'!$A210="","",IF('ORDENES'!$AT210="","-",'ORDENES'!$AT210))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20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IF('ORDENES'!$A210="","",'ORDENES'!$AF210)</f>
        <v/>
      </c>
    </row>
    <row r="233">
      <c r="A233" s="5">
        <f>IF('ORDENES'!$A211="","",IF('ORDENES'!$O211="","-",'ORDENES'!$O211))</f>
        <v/>
      </c>
      <c r="B233" s="5">
        <f>IF('ORDENES'!$A211="","",IF('ORDENES'!$S211="","-",'ORDENES'!$S211))</f>
        <v/>
      </c>
      <c r="C233" s="5">
        <f>IF('ORDENES'!$A211="","",IF('ORDENES'!$AH211="","-",'ORDENES'!$AH211))</f>
        <v/>
      </c>
      <c r="D233" s="5">
        <f>IF('ORDENES'!$A211="","",IF('ORDENES'!$Z211="","-",'ORDENES'!$Z211))</f>
        <v/>
      </c>
      <c r="E233" s="5">
        <f>IF('ORDENES'!$A211="","",IF('ORDENES'!$X211="","-",'ORDENES'!$X211))</f>
        <v/>
      </c>
      <c r="F233" s="5">
        <f>IF('ORDENES'!$A211="","",IF('ORDENES'!$AA211="","-",'ORDENES'!$AA211))</f>
        <v/>
      </c>
      <c r="G233" s="5">
        <f>IF('ORDENES'!$A211="","",IF('ORDENES'!$Y211="","-",'ORDENES'!$Y211))</f>
        <v/>
      </c>
      <c r="H233" s="5">
        <f>IF('ORDENES'!$A211="","",IF('ORDENES'!$AG211="","-",'ORDENES'!$AG211))</f>
        <v/>
      </c>
      <c r="I233" s="5">
        <f>IF('ORDENES'!$A211="","",IF('ORDENES'!$AT211="","-",'ORDENES'!$AT211))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20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IF('ORDENES'!$A211="","",'ORDENES'!$AF211)</f>
        <v/>
      </c>
    </row>
    <row r="234">
      <c r="A234" s="5">
        <f>IF('ORDENES'!$A212="","",IF('ORDENES'!$O212="","-",'ORDENES'!$O212))</f>
        <v/>
      </c>
      <c r="B234" s="5">
        <f>IF('ORDENES'!$A212="","",IF('ORDENES'!$S212="","-",'ORDENES'!$S212))</f>
        <v/>
      </c>
      <c r="C234" s="5">
        <f>IF('ORDENES'!$A212="","",IF('ORDENES'!$AH212="","-",'ORDENES'!$AH212))</f>
        <v/>
      </c>
      <c r="D234" s="5">
        <f>IF('ORDENES'!$A212="","",IF('ORDENES'!$Z212="","-",'ORDENES'!$Z212))</f>
        <v/>
      </c>
      <c r="E234" s="5">
        <f>IF('ORDENES'!$A212="","",IF('ORDENES'!$X212="","-",'ORDENES'!$X212))</f>
        <v/>
      </c>
      <c r="F234" s="5">
        <f>IF('ORDENES'!$A212="","",IF('ORDENES'!$AA212="","-",'ORDENES'!$AA212))</f>
        <v/>
      </c>
      <c r="G234" s="5">
        <f>IF('ORDENES'!$A212="","",IF('ORDENES'!$Y212="","-",'ORDENES'!$Y212))</f>
        <v/>
      </c>
      <c r="H234" s="5">
        <f>IF('ORDENES'!$A212="","",IF('ORDENES'!$AG212="","-",'ORDENES'!$AG212))</f>
        <v/>
      </c>
      <c r="I234" s="5">
        <f>IF('ORDENES'!$A212="","",IF('ORDENES'!$AT212="","-",'ORDENES'!$AT212))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20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IF('ORDENES'!$A212="","",'ORDENES'!$AF212)</f>
        <v/>
      </c>
    </row>
    <row r="235">
      <c r="A235" s="5">
        <f>IF('ORDENES'!$A213="","",IF('ORDENES'!$O213="","-",'ORDENES'!$O213))</f>
        <v/>
      </c>
      <c r="B235" s="5">
        <f>IF('ORDENES'!$A213="","",IF('ORDENES'!$S213="","-",'ORDENES'!$S213))</f>
        <v/>
      </c>
      <c r="C235" s="5">
        <f>IF('ORDENES'!$A213="","",IF('ORDENES'!$AH213="","-",'ORDENES'!$AH213))</f>
        <v/>
      </c>
      <c r="D235" s="5">
        <f>IF('ORDENES'!$A213="","",IF('ORDENES'!$Z213="","-",'ORDENES'!$Z213))</f>
        <v/>
      </c>
      <c r="E235" s="5">
        <f>IF('ORDENES'!$A213="","",IF('ORDENES'!$X213="","-",'ORDENES'!$X213))</f>
        <v/>
      </c>
      <c r="F235" s="5">
        <f>IF('ORDENES'!$A213="","",IF('ORDENES'!$AA213="","-",'ORDENES'!$AA213))</f>
        <v/>
      </c>
      <c r="G235" s="5">
        <f>IF('ORDENES'!$A213="","",IF('ORDENES'!$Y213="","-",'ORDENES'!$Y213))</f>
        <v/>
      </c>
      <c r="H235" s="5">
        <f>IF('ORDENES'!$A213="","",IF('ORDENES'!$AG213="","-",'ORDENES'!$AG213))</f>
        <v/>
      </c>
      <c r="I235" s="5">
        <f>IF('ORDENES'!$A213="","",IF('ORDENES'!$AT213="","-",'ORDENES'!$AT213))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20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IF('ORDENES'!$A213="","",'ORDENES'!$AF213)</f>
        <v/>
      </c>
    </row>
    <row r="236">
      <c r="A236" s="5">
        <f>IF('ORDENES'!$A214="","",IF('ORDENES'!$O214="","-",'ORDENES'!$O214))</f>
        <v/>
      </c>
      <c r="B236" s="5">
        <f>IF('ORDENES'!$A214="","",IF('ORDENES'!$S214="","-",'ORDENES'!$S214))</f>
        <v/>
      </c>
      <c r="C236" s="5">
        <f>IF('ORDENES'!$A214="","",IF('ORDENES'!$AH214="","-",'ORDENES'!$AH214))</f>
        <v/>
      </c>
      <c r="D236" s="5">
        <f>IF('ORDENES'!$A214="","",IF('ORDENES'!$Z214="","-",'ORDENES'!$Z214))</f>
        <v/>
      </c>
      <c r="E236" s="5">
        <f>IF('ORDENES'!$A214="","",IF('ORDENES'!$X214="","-",'ORDENES'!$X214))</f>
        <v/>
      </c>
      <c r="F236" s="5">
        <f>IF('ORDENES'!$A214="","",IF('ORDENES'!$AA214="","-",'ORDENES'!$AA214))</f>
        <v/>
      </c>
      <c r="G236" s="5">
        <f>IF('ORDENES'!$A214="","",IF('ORDENES'!$Y214="","-",'ORDENES'!$Y214))</f>
        <v/>
      </c>
      <c r="H236" s="5">
        <f>IF('ORDENES'!$A214="","",IF('ORDENES'!$AG214="","-",'ORDENES'!$AG214))</f>
        <v/>
      </c>
      <c r="I236" s="5">
        <f>IF('ORDENES'!$A214="","",IF('ORDENES'!$AT214="","-",'ORDENES'!$AT214))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20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IF('ORDENES'!$A214="","",'ORDENES'!$AF214)</f>
        <v/>
      </c>
    </row>
    <row r="237">
      <c r="A237" s="5">
        <f>IF('ORDENES'!$A215="","",IF('ORDENES'!$O215="","-",'ORDENES'!$O215))</f>
        <v/>
      </c>
      <c r="B237" s="5">
        <f>IF('ORDENES'!$A215="","",IF('ORDENES'!$S215="","-",'ORDENES'!$S215))</f>
        <v/>
      </c>
      <c r="C237" s="5">
        <f>IF('ORDENES'!$A215="","",IF('ORDENES'!$AH215="","-",'ORDENES'!$AH215))</f>
        <v/>
      </c>
      <c r="D237" s="5">
        <f>IF('ORDENES'!$A215="","",IF('ORDENES'!$Z215="","-",'ORDENES'!$Z215))</f>
        <v/>
      </c>
      <c r="E237" s="5">
        <f>IF('ORDENES'!$A215="","",IF('ORDENES'!$X215="","-",'ORDENES'!$X215))</f>
        <v/>
      </c>
      <c r="F237" s="5">
        <f>IF('ORDENES'!$A215="","",IF('ORDENES'!$AA215="","-",'ORDENES'!$AA215))</f>
        <v/>
      </c>
      <c r="G237" s="5">
        <f>IF('ORDENES'!$A215="","",IF('ORDENES'!$Y215="","-",'ORDENES'!$Y215))</f>
        <v/>
      </c>
      <c r="H237" s="5">
        <f>IF('ORDENES'!$A215="","",IF('ORDENES'!$AG215="","-",'ORDENES'!$AG215))</f>
        <v/>
      </c>
      <c r="I237" s="5">
        <f>IF('ORDENES'!$A215="","",IF('ORDENES'!$AT215="","-",'ORDENES'!$AT215))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20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IF('ORDENES'!$A215="","",'ORDENES'!$AF215)</f>
        <v/>
      </c>
    </row>
    <row r="238">
      <c r="A238" s="5">
        <f>IF('ORDENES'!$A216="","",IF('ORDENES'!$O216="","-",'ORDENES'!$O216))</f>
        <v/>
      </c>
      <c r="B238" s="5">
        <f>IF('ORDENES'!$A216="","",IF('ORDENES'!$S216="","-",'ORDENES'!$S216))</f>
        <v/>
      </c>
      <c r="C238" s="5">
        <f>IF('ORDENES'!$A216="","",IF('ORDENES'!$AH216="","-",'ORDENES'!$AH216))</f>
        <v/>
      </c>
      <c r="D238" s="5">
        <f>IF('ORDENES'!$A216="","",IF('ORDENES'!$Z216="","-",'ORDENES'!$Z216))</f>
        <v/>
      </c>
      <c r="E238" s="5">
        <f>IF('ORDENES'!$A216="","",IF('ORDENES'!$X216="","-",'ORDENES'!$X216))</f>
        <v/>
      </c>
      <c r="F238" s="5">
        <f>IF('ORDENES'!$A216="","",IF('ORDENES'!$AA216="","-",'ORDENES'!$AA216))</f>
        <v/>
      </c>
      <c r="G238" s="5">
        <f>IF('ORDENES'!$A216="","",IF('ORDENES'!$Y216="","-",'ORDENES'!$Y216))</f>
        <v/>
      </c>
      <c r="H238" s="5">
        <f>IF('ORDENES'!$A216="","",IF('ORDENES'!$AG216="","-",'ORDENES'!$AG216))</f>
        <v/>
      </c>
      <c r="I238" s="5">
        <f>IF('ORDENES'!$A216="","",IF('ORDENES'!$AT216="","-",'ORDENES'!$AT216))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20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IF('ORDENES'!$A216="","",'ORDENES'!$AF216)</f>
        <v/>
      </c>
    </row>
    <row r="239">
      <c r="A239" s="5">
        <f>IF('ORDENES'!$A217="","",IF('ORDENES'!$O217="","-",'ORDENES'!$O217))</f>
        <v/>
      </c>
      <c r="B239" s="5">
        <f>IF('ORDENES'!$A217="","",IF('ORDENES'!$S217="","-",'ORDENES'!$S217))</f>
        <v/>
      </c>
      <c r="C239" s="5">
        <f>IF('ORDENES'!$A217="","",IF('ORDENES'!$AH217="","-",'ORDENES'!$AH217))</f>
        <v/>
      </c>
      <c r="D239" s="5">
        <f>IF('ORDENES'!$A217="","",IF('ORDENES'!$Z217="","-",'ORDENES'!$Z217))</f>
        <v/>
      </c>
      <c r="E239" s="5">
        <f>IF('ORDENES'!$A217="","",IF('ORDENES'!$X217="","-",'ORDENES'!$X217))</f>
        <v/>
      </c>
      <c r="F239" s="5">
        <f>IF('ORDENES'!$A217="","",IF('ORDENES'!$AA217="","-",'ORDENES'!$AA217))</f>
        <v/>
      </c>
      <c r="G239" s="5">
        <f>IF('ORDENES'!$A217="","",IF('ORDENES'!$Y217="","-",'ORDENES'!$Y217))</f>
        <v/>
      </c>
      <c r="H239" s="5">
        <f>IF('ORDENES'!$A217="","",IF('ORDENES'!$AG217="","-",'ORDENES'!$AG217))</f>
        <v/>
      </c>
      <c r="I239" s="5">
        <f>IF('ORDENES'!$A217="","",IF('ORDENES'!$AT217="","-",'ORDENES'!$AT217))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20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IF('ORDENES'!$A217="","",'ORDENES'!$AF217)</f>
        <v/>
      </c>
    </row>
    <row r="240">
      <c r="A240" s="5">
        <f>IF('ORDENES'!$A218="","",IF('ORDENES'!$O218="","-",'ORDENES'!$O218))</f>
        <v/>
      </c>
      <c r="B240" s="5">
        <f>IF('ORDENES'!$A218="","",IF('ORDENES'!$S218="","-",'ORDENES'!$S218))</f>
        <v/>
      </c>
      <c r="C240" s="5">
        <f>IF('ORDENES'!$A218="","",IF('ORDENES'!$AH218="","-",'ORDENES'!$AH218))</f>
        <v/>
      </c>
      <c r="D240" s="5">
        <f>IF('ORDENES'!$A218="","",IF('ORDENES'!$Z218="","-",'ORDENES'!$Z218))</f>
        <v/>
      </c>
      <c r="E240" s="5">
        <f>IF('ORDENES'!$A218="","",IF('ORDENES'!$X218="","-",'ORDENES'!$X218))</f>
        <v/>
      </c>
      <c r="F240" s="5">
        <f>IF('ORDENES'!$A218="","",IF('ORDENES'!$AA218="","-",'ORDENES'!$AA218))</f>
        <v/>
      </c>
      <c r="G240" s="5">
        <f>IF('ORDENES'!$A218="","",IF('ORDENES'!$Y218="","-",'ORDENES'!$Y218))</f>
        <v/>
      </c>
      <c r="H240" s="5">
        <f>IF('ORDENES'!$A218="","",IF('ORDENES'!$AG218="","-",'ORDENES'!$AG218))</f>
        <v/>
      </c>
      <c r="I240" s="5">
        <f>IF('ORDENES'!$A218="","",IF('ORDENES'!$AT218="","-",'ORDENES'!$AT218))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20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IF('ORDENES'!$A218="","",'ORDENES'!$AF218)</f>
        <v/>
      </c>
    </row>
    <row r="241">
      <c r="A241" s="5">
        <f>IF('ORDENES'!$A219="","",IF('ORDENES'!$O219="","-",'ORDENES'!$O219))</f>
        <v/>
      </c>
      <c r="B241" s="5">
        <f>IF('ORDENES'!$A219="","",IF('ORDENES'!$S219="","-",'ORDENES'!$S219))</f>
        <v/>
      </c>
      <c r="C241" s="5">
        <f>IF('ORDENES'!$A219="","",IF('ORDENES'!$AH219="","-",'ORDENES'!$AH219))</f>
        <v/>
      </c>
      <c r="D241" s="5">
        <f>IF('ORDENES'!$A219="","",IF('ORDENES'!$Z219="","-",'ORDENES'!$Z219))</f>
        <v/>
      </c>
      <c r="E241" s="5">
        <f>IF('ORDENES'!$A219="","",IF('ORDENES'!$X219="","-",'ORDENES'!$X219))</f>
        <v/>
      </c>
      <c r="F241" s="5">
        <f>IF('ORDENES'!$A219="","",IF('ORDENES'!$AA219="","-",'ORDENES'!$AA219))</f>
        <v/>
      </c>
      <c r="G241" s="5">
        <f>IF('ORDENES'!$A219="","",IF('ORDENES'!$Y219="","-",'ORDENES'!$Y219))</f>
        <v/>
      </c>
      <c r="H241" s="5">
        <f>IF('ORDENES'!$A219="","",IF('ORDENES'!$AG219="","-",'ORDENES'!$AG219))</f>
        <v/>
      </c>
      <c r="I241" s="5">
        <f>IF('ORDENES'!$A219="","",IF('ORDENES'!$AT219="","-",'ORDENES'!$AT219))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20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IF('ORDENES'!$A219="","",'ORDENES'!$AF219)</f>
        <v/>
      </c>
    </row>
    <row r="242">
      <c r="A242" s="5">
        <f>IF('ORDENES'!$A220="","",IF('ORDENES'!$O220="","-",'ORDENES'!$O220))</f>
        <v/>
      </c>
      <c r="B242" s="5">
        <f>IF('ORDENES'!$A220="","",IF('ORDENES'!$S220="","-",'ORDENES'!$S220))</f>
        <v/>
      </c>
      <c r="C242" s="5">
        <f>IF('ORDENES'!$A220="","",IF('ORDENES'!$AH220="","-",'ORDENES'!$AH220))</f>
        <v/>
      </c>
      <c r="D242" s="5">
        <f>IF('ORDENES'!$A220="","",IF('ORDENES'!$Z220="","-",'ORDENES'!$Z220))</f>
        <v/>
      </c>
      <c r="E242" s="5">
        <f>IF('ORDENES'!$A220="","",IF('ORDENES'!$X220="","-",'ORDENES'!$X220))</f>
        <v/>
      </c>
      <c r="F242" s="5">
        <f>IF('ORDENES'!$A220="","",IF('ORDENES'!$AA220="","-",'ORDENES'!$AA220))</f>
        <v/>
      </c>
      <c r="G242" s="5">
        <f>IF('ORDENES'!$A220="","",IF('ORDENES'!$Y220="","-",'ORDENES'!$Y220))</f>
        <v/>
      </c>
      <c r="H242" s="5">
        <f>IF('ORDENES'!$A220="","",IF('ORDENES'!$AG220="","-",'ORDENES'!$AG220))</f>
        <v/>
      </c>
      <c r="I242" s="5">
        <f>IF('ORDENES'!$A220="","",IF('ORDENES'!$AT220="","-",'ORDENES'!$AT220))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20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IF('ORDENES'!$A220="","",'ORDENES'!$AF220)</f>
        <v/>
      </c>
    </row>
    <row r="243">
      <c r="A243" s="5">
        <f>IF('ORDENES'!$A221="","",IF('ORDENES'!$O221="","-",'ORDENES'!$O221))</f>
        <v/>
      </c>
      <c r="B243" s="5">
        <f>IF('ORDENES'!$A221="","",IF('ORDENES'!$S221="","-",'ORDENES'!$S221))</f>
        <v/>
      </c>
      <c r="C243" s="5">
        <f>IF('ORDENES'!$A221="","",IF('ORDENES'!$AH221="","-",'ORDENES'!$AH221))</f>
        <v/>
      </c>
      <c r="D243" s="5">
        <f>IF('ORDENES'!$A221="","",IF('ORDENES'!$Z221="","-",'ORDENES'!$Z221))</f>
        <v/>
      </c>
      <c r="E243" s="5">
        <f>IF('ORDENES'!$A221="","",IF('ORDENES'!$X221="","-",'ORDENES'!$X221))</f>
        <v/>
      </c>
      <c r="F243" s="5">
        <f>IF('ORDENES'!$A221="","",IF('ORDENES'!$AA221="","-",'ORDENES'!$AA221))</f>
        <v/>
      </c>
      <c r="G243" s="5">
        <f>IF('ORDENES'!$A221="","",IF('ORDENES'!$Y221="","-",'ORDENES'!$Y221))</f>
        <v/>
      </c>
      <c r="H243" s="5">
        <f>IF('ORDENES'!$A221="","",IF('ORDENES'!$AG221="","-",'ORDENES'!$AG221))</f>
        <v/>
      </c>
      <c r="I243" s="5">
        <f>IF('ORDENES'!$A221="","",IF('ORDENES'!$AT221="","-",'ORDENES'!$AT221))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20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IF('ORDENES'!$A221="","",'ORDENES'!$AF221)</f>
        <v/>
      </c>
    </row>
    <row r="244">
      <c r="A244" s="5">
        <f>IF('ORDENES'!$A222="","",IF('ORDENES'!$O222="","-",'ORDENES'!$O222))</f>
        <v/>
      </c>
      <c r="B244" s="5">
        <f>IF('ORDENES'!$A222="","",IF('ORDENES'!$S222="","-",'ORDENES'!$S222))</f>
        <v/>
      </c>
      <c r="C244" s="5">
        <f>IF('ORDENES'!$A222="","",IF('ORDENES'!$AH222="","-",'ORDENES'!$AH222))</f>
        <v/>
      </c>
      <c r="D244" s="5">
        <f>IF('ORDENES'!$A222="","",IF('ORDENES'!$Z222="","-",'ORDENES'!$Z222))</f>
        <v/>
      </c>
      <c r="E244" s="5">
        <f>IF('ORDENES'!$A222="","",IF('ORDENES'!$X222="","-",'ORDENES'!$X222))</f>
        <v/>
      </c>
      <c r="F244" s="5">
        <f>IF('ORDENES'!$A222="","",IF('ORDENES'!$AA222="","-",'ORDENES'!$AA222))</f>
        <v/>
      </c>
      <c r="G244" s="5">
        <f>IF('ORDENES'!$A222="","",IF('ORDENES'!$Y222="","-",'ORDENES'!$Y222))</f>
        <v/>
      </c>
      <c r="H244" s="5">
        <f>IF('ORDENES'!$A222="","",IF('ORDENES'!$AG222="","-",'ORDENES'!$AG222))</f>
        <v/>
      </c>
      <c r="I244" s="5">
        <f>IF('ORDENES'!$A222="","",IF('ORDENES'!$AT222="","-",'ORDENES'!$AT222))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20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IF('ORDENES'!$A222="","",'ORDENES'!$AF222)</f>
        <v/>
      </c>
    </row>
    <row r="245">
      <c r="A245" s="5">
        <f>IF('ORDENES'!$A223="","",IF('ORDENES'!$O223="","-",'ORDENES'!$O223))</f>
        <v/>
      </c>
      <c r="B245" s="5">
        <f>IF('ORDENES'!$A223="","",IF('ORDENES'!$S223="","-",'ORDENES'!$S223))</f>
        <v/>
      </c>
      <c r="C245" s="5">
        <f>IF('ORDENES'!$A223="","",IF('ORDENES'!$AH223="","-",'ORDENES'!$AH223))</f>
        <v/>
      </c>
      <c r="D245" s="5">
        <f>IF('ORDENES'!$A223="","",IF('ORDENES'!$Z223="","-",'ORDENES'!$Z223))</f>
        <v/>
      </c>
      <c r="E245" s="5">
        <f>IF('ORDENES'!$A223="","",IF('ORDENES'!$X223="","-",'ORDENES'!$X223))</f>
        <v/>
      </c>
      <c r="F245" s="5">
        <f>IF('ORDENES'!$A223="","",IF('ORDENES'!$AA223="","-",'ORDENES'!$AA223))</f>
        <v/>
      </c>
      <c r="G245" s="5">
        <f>IF('ORDENES'!$A223="","",IF('ORDENES'!$Y223="","-",'ORDENES'!$Y223))</f>
        <v/>
      </c>
      <c r="H245" s="5">
        <f>IF('ORDENES'!$A223="","",IF('ORDENES'!$AG223="","-",'ORDENES'!$AG223))</f>
        <v/>
      </c>
      <c r="I245" s="5">
        <f>IF('ORDENES'!$A223="","",IF('ORDENES'!$AT223="","-",'ORDENES'!$AT223))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20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IF('ORDENES'!$A223="","",'ORDENES'!$AF223)</f>
        <v/>
      </c>
    </row>
    <row r="246">
      <c r="A246" s="5">
        <f>IF('ORDENES'!$A224="","",IF('ORDENES'!$O224="","-",'ORDENES'!$O224))</f>
        <v/>
      </c>
      <c r="B246" s="5">
        <f>IF('ORDENES'!$A224="","",IF('ORDENES'!$S224="","-",'ORDENES'!$S224))</f>
        <v/>
      </c>
      <c r="C246" s="5">
        <f>IF('ORDENES'!$A224="","",IF('ORDENES'!$AH224="","-",'ORDENES'!$AH224))</f>
        <v/>
      </c>
      <c r="D246" s="5">
        <f>IF('ORDENES'!$A224="","",IF('ORDENES'!$Z224="","-",'ORDENES'!$Z224))</f>
        <v/>
      </c>
      <c r="E246" s="5">
        <f>IF('ORDENES'!$A224="","",IF('ORDENES'!$X224="","-",'ORDENES'!$X224))</f>
        <v/>
      </c>
      <c r="F246" s="5">
        <f>IF('ORDENES'!$A224="","",IF('ORDENES'!$AA224="","-",'ORDENES'!$AA224))</f>
        <v/>
      </c>
      <c r="G246" s="5">
        <f>IF('ORDENES'!$A224="","",IF('ORDENES'!$Y224="","-",'ORDENES'!$Y224))</f>
        <v/>
      </c>
      <c r="H246" s="5">
        <f>IF('ORDENES'!$A224="","",IF('ORDENES'!$AG224="","-",'ORDENES'!$AG224))</f>
        <v/>
      </c>
      <c r="I246" s="5">
        <f>IF('ORDENES'!$A224="","",IF('ORDENES'!$AT224="","-",'ORDENES'!$AT224))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20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IF('ORDENES'!$A224="","",'ORDENES'!$AF224)</f>
        <v/>
      </c>
    </row>
    <row r="247">
      <c r="A247" s="5">
        <f>IF('ORDENES'!$A225="","",IF('ORDENES'!$O225="","-",'ORDENES'!$O225))</f>
        <v/>
      </c>
      <c r="B247" s="5">
        <f>IF('ORDENES'!$A225="","",IF('ORDENES'!$S225="","-",'ORDENES'!$S225))</f>
        <v/>
      </c>
      <c r="C247" s="5">
        <f>IF('ORDENES'!$A225="","",IF('ORDENES'!$AH225="","-",'ORDENES'!$AH225))</f>
        <v/>
      </c>
      <c r="D247" s="5">
        <f>IF('ORDENES'!$A225="","",IF('ORDENES'!$Z225="","-",'ORDENES'!$Z225))</f>
        <v/>
      </c>
      <c r="E247" s="5">
        <f>IF('ORDENES'!$A225="","",IF('ORDENES'!$X225="","-",'ORDENES'!$X225))</f>
        <v/>
      </c>
      <c r="F247" s="5">
        <f>IF('ORDENES'!$A225="","",IF('ORDENES'!$AA225="","-",'ORDENES'!$AA225))</f>
        <v/>
      </c>
      <c r="G247" s="5">
        <f>IF('ORDENES'!$A225="","",IF('ORDENES'!$Y225="","-",'ORDENES'!$Y225))</f>
        <v/>
      </c>
      <c r="H247" s="5">
        <f>IF('ORDENES'!$A225="","",IF('ORDENES'!$AG225="","-",'ORDENES'!$AG225))</f>
        <v/>
      </c>
      <c r="I247" s="5">
        <f>IF('ORDENES'!$A225="","",IF('ORDENES'!$AT225="","-",'ORDENES'!$AT225))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20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IF('ORDENES'!$A225="","",'ORDENES'!$AF225)</f>
        <v/>
      </c>
    </row>
    <row r="248">
      <c r="A248" s="5">
        <f>IF('ORDENES'!$A226="","",IF('ORDENES'!$O226="","-",'ORDENES'!$O226))</f>
        <v/>
      </c>
      <c r="B248" s="5">
        <f>IF('ORDENES'!$A226="","",IF('ORDENES'!$S226="","-",'ORDENES'!$S226))</f>
        <v/>
      </c>
      <c r="C248" s="5">
        <f>IF('ORDENES'!$A226="","",IF('ORDENES'!$AH226="","-",'ORDENES'!$AH226))</f>
        <v/>
      </c>
      <c r="D248" s="5">
        <f>IF('ORDENES'!$A226="","",IF('ORDENES'!$Z226="","-",'ORDENES'!$Z226))</f>
        <v/>
      </c>
      <c r="E248" s="5">
        <f>IF('ORDENES'!$A226="","",IF('ORDENES'!$X226="","-",'ORDENES'!$X226))</f>
        <v/>
      </c>
      <c r="F248" s="5">
        <f>IF('ORDENES'!$A226="","",IF('ORDENES'!$AA226="","-",'ORDENES'!$AA226))</f>
        <v/>
      </c>
      <c r="G248" s="5">
        <f>IF('ORDENES'!$A226="","",IF('ORDENES'!$Y226="","-",'ORDENES'!$Y226))</f>
        <v/>
      </c>
      <c r="H248" s="5">
        <f>IF('ORDENES'!$A226="","",IF('ORDENES'!$AG226="","-",'ORDENES'!$AG226))</f>
        <v/>
      </c>
      <c r="I248" s="5">
        <f>IF('ORDENES'!$A226="","",IF('ORDENES'!$AT226="","-",'ORDENES'!$AT226))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20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IF('ORDENES'!$A226="","",'ORDENES'!$AF226)</f>
        <v/>
      </c>
    </row>
    <row r="249">
      <c r="A249" s="5">
        <f>IF('ORDENES'!$A227="","",IF('ORDENES'!$O227="","-",'ORDENES'!$O227))</f>
        <v/>
      </c>
      <c r="B249" s="5">
        <f>IF('ORDENES'!$A227="","",IF('ORDENES'!$S227="","-",'ORDENES'!$S227))</f>
        <v/>
      </c>
      <c r="C249" s="5">
        <f>IF('ORDENES'!$A227="","",IF('ORDENES'!$AH227="","-",'ORDENES'!$AH227))</f>
        <v/>
      </c>
      <c r="D249" s="5">
        <f>IF('ORDENES'!$A227="","",IF('ORDENES'!$Z227="","-",'ORDENES'!$Z227))</f>
        <v/>
      </c>
      <c r="E249" s="5">
        <f>IF('ORDENES'!$A227="","",IF('ORDENES'!$X227="","-",'ORDENES'!$X227))</f>
        <v/>
      </c>
      <c r="F249" s="5">
        <f>IF('ORDENES'!$A227="","",IF('ORDENES'!$AA227="","-",'ORDENES'!$AA227))</f>
        <v/>
      </c>
      <c r="G249" s="5">
        <f>IF('ORDENES'!$A227="","",IF('ORDENES'!$Y227="","-",'ORDENES'!$Y227))</f>
        <v/>
      </c>
      <c r="H249" s="5">
        <f>IF('ORDENES'!$A227="","",IF('ORDENES'!$AG227="","-",'ORDENES'!$AG227))</f>
        <v/>
      </c>
      <c r="I249" s="5">
        <f>IF('ORDENES'!$A227="","",IF('ORDENES'!$AT227="","-",'ORDENES'!$AT227))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20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IF('ORDENES'!$A227="","",'ORDENES'!$AF227)</f>
        <v/>
      </c>
    </row>
    <row r="250">
      <c r="A250" s="5">
        <f>IF('ORDENES'!$A228="","",IF('ORDENES'!$O228="","-",'ORDENES'!$O228))</f>
        <v/>
      </c>
      <c r="B250" s="5">
        <f>IF('ORDENES'!$A228="","",IF('ORDENES'!$S228="","-",'ORDENES'!$S228))</f>
        <v/>
      </c>
      <c r="C250" s="5">
        <f>IF('ORDENES'!$A228="","",IF('ORDENES'!$AH228="","-",'ORDENES'!$AH228))</f>
        <v/>
      </c>
      <c r="D250" s="5">
        <f>IF('ORDENES'!$A228="","",IF('ORDENES'!$Z228="","-",'ORDENES'!$Z228))</f>
        <v/>
      </c>
      <c r="E250" s="5">
        <f>IF('ORDENES'!$A228="","",IF('ORDENES'!$X228="","-",'ORDENES'!$X228))</f>
        <v/>
      </c>
      <c r="F250" s="5">
        <f>IF('ORDENES'!$A228="","",IF('ORDENES'!$AA228="","-",'ORDENES'!$AA228))</f>
        <v/>
      </c>
      <c r="G250" s="5">
        <f>IF('ORDENES'!$A228="","",IF('ORDENES'!$Y228="","-",'ORDENES'!$Y228))</f>
        <v/>
      </c>
      <c r="H250" s="5">
        <f>IF('ORDENES'!$A228="","",IF('ORDENES'!$AG228="","-",'ORDENES'!$AG228))</f>
        <v/>
      </c>
      <c r="I250" s="5">
        <f>IF('ORDENES'!$A228="","",IF('ORDENES'!$AT228="","-",'ORDENES'!$AT228))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20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IF('ORDENES'!$A228="","",'ORDENES'!$AF228)</f>
        <v/>
      </c>
    </row>
    <row r="251">
      <c r="A251" s="5">
        <f>IF('ORDENES'!$A229="","",IF('ORDENES'!$O229="","-",'ORDENES'!$O229))</f>
        <v/>
      </c>
      <c r="B251" s="5">
        <f>IF('ORDENES'!$A229="","",IF('ORDENES'!$S229="","-",'ORDENES'!$S229))</f>
        <v/>
      </c>
      <c r="C251" s="5">
        <f>IF('ORDENES'!$A229="","",IF('ORDENES'!$AH229="","-",'ORDENES'!$AH229))</f>
        <v/>
      </c>
      <c r="D251" s="5">
        <f>IF('ORDENES'!$A229="","",IF('ORDENES'!$Z229="","-",'ORDENES'!$Z229))</f>
        <v/>
      </c>
      <c r="E251" s="5">
        <f>IF('ORDENES'!$A229="","",IF('ORDENES'!$X229="","-",'ORDENES'!$X229))</f>
        <v/>
      </c>
      <c r="F251" s="5">
        <f>IF('ORDENES'!$A229="","",IF('ORDENES'!$AA229="","-",'ORDENES'!$AA229))</f>
        <v/>
      </c>
      <c r="G251" s="5">
        <f>IF('ORDENES'!$A229="","",IF('ORDENES'!$Y229="","-",'ORDENES'!$Y229))</f>
        <v/>
      </c>
      <c r="H251" s="5">
        <f>IF('ORDENES'!$A229="","",IF('ORDENES'!$AG229="","-",'ORDENES'!$AG229))</f>
        <v/>
      </c>
      <c r="I251" s="5">
        <f>IF('ORDENES'!$A229="","",IF('ORDENES'!$AT229="","-",'ORDENES'!$AT229))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20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IF('ORDENES'!$A229="","",'ORDENES'!$AF229)</f>
        <v/>
      </c>
    </row>
    <row r="252">
      <c r="A252" s="5">
        <f>IF('ORDENES'!$A230="","",IF('ORDENES'!$O230="","-",'ORDENES'!$O230))</f>
        <v/>
      </c>
      <c r="B252" s="5">
        <f>IF('ORDENES'!$A230="","",IF('ORDENES'!$S230="","-",'ORDENES'!$S230))</f>
        <v/>
      </c>
      <c r="C252" s="5">
        <f>IF('ORDENES'!$A230="","",IF('ORDENES'!$AH230="","-",'ORDENES'!$AH230))</f>
        <v/>
      </c>
      <c r="D252" s="5">
        <f>IF('ORDENES'!$A230="","",IF('ORDENES'!$Z230="","-",'ORDENES'!$Z230))</f>
        <v/>
      </c>
      <c r="E252" s="5">
        <f>IF('ORDENES'!$A230="","",IF('ORDENES'!$X230="","-",'ORDENES'!$X230))</f>
        <v/>
      </c>
      <c r="F252" s="5">
        <f>IF('ORDENES'!$A230="","",IF('ORDENES'!$AA230="","-",'ORDENES'!$AA230))</f>
        <v/>
      </c>
      <c r="G252" s="5">
        <f>IF('ORDENES'!$A230="","",IF('ORDENES'!$Y230="","-",'ORDENES'!$Y230))</f>
        <v/>
      </c>
      <c r="H252" s="5">
        <f>IF('ORDENES'!$A230="","",IF('ORDENES'!$AG230="","-",'ORDENES'!$AG230))</f>
        <v/>
      </c>
      <c r="I252" s="5">
        <f>IF('ORDENES'!$A230="","",IF('ORDENES'!$AT230="","-",'ORDENES'!$AT230))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20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IF('ORDENES'!$A230="","",'ORDENES'!$AF230)</f>
        <v/>
      </c>
    </row>
    <row r="253">
      <c r="A253" s="5">
        <f>IF('ORDENES'!$A231="","",IF('ORDENES'!$O231="","-",'ORDENES'!$O231))</f>
        <v/>
      </c>
      <c r="B253" s="5">
        <f>IF('ORDENES'!$A231="","",IF('ORDENES'!$S231="","-",'ORDENES'!$S231))</f>
        <v/>
      </c>
      <c r="C253" s="5">
        <f>IF('ORDENES'!$A231="","",IF('ORDENES'!$AH231="","-",'ORDENES'!$AH231))</f>
        <v/>
      </c>
      <c r="D253" s="5">
        <f>IF('ORDENES'!$A231="","",IF('ORDENES'!$Z231="","-",'ORDENES'!$Z231))</f>
        <v/>
      </c>
      <c r="E253" s="5">
        <f>IF('ORDENES'!$A231="","",IF('ORDENES'!$X231="","-",'ORDENES'!$X231))</f>
        <v/>
      </c>
      <c r="F253" s="5">
        <f>IF('ORDENES'!$A231="","",IF('ORDENES'!$AA231="","-",'ORDENES'!$AA231))</f>
        <v/>
      </c>
      <c r="G253" s="5">
        <f>IF('ORDENES'!$A231="","",IF('ORDENES'!$Y231="","-",'ORDENES'!$Y231))</f>
        <v/>
      </c>
      <c r="H253" s="5">
        <f>IF('ORDENES'!$A231="","",IF('ORDENES'!$AG231="","-",'ORDENES'!$AG231))</f>
        <v/>
      </c>
      <c r="I253" s="5">
        <f>IF('ORDENES'!$A231="","",IF('ORDENES'!$AT231="","-",'ORDENES'!$AT231))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20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IF('ORDENES'!$A231="","",'ORDENES'!$AF231)</f>
        <v/>
      </c>
    </row>
    <row r="254">
      <c r="A254" s="5">
        <f>IF('ORDENES'!$A232="","",IF('ORDENES'!$O232="","-",'ORDENES'!$O232))</f>
        <v/>
      </c>
      <c r="B254" s="5">
        <f>IF('ORDENES'!$A232="","",IF('ORDENES'!$S232="","-",'ORDENES'!$S232))</f>
        <v/>
      </c>
      <c r="C254" s="5">
        <f>IF('ORDENES'!$A232="","",IF('ORDENES'!$AH232="","-",'ORDENES'!$AH232))</f>
        <v/>
      </c>
      <c r="D254" s="5">
        <f>IF('ORDENES'!$A232="","",IF('ORDENES'!$Z232="","-",'ORDENES'!$Z232))</f>
        <v/>
      </c>
      <c r="E254" s="5">
        <f>IF('ORDENES'!$A232="","",IF('ORDENES'!$X232="","-",'ORDENES'!$X232))</f>
        <v/>
      </c>
      <c r="F254" s="5">
        <f>IF('ORDENES'!$A232="","",IF('ORDENES'!$AA232="","-",'ORDENES'!$AA232))</f>
        <v/>
      </c>
      <c r="G254" s="5">
        <f>IF('ORDENES'!$A232="","",IF('ORDENES'!$Y232="","-",'ORDENES'!$Y232))</f>
        <v/>
      </c>
      <c r="H254" s="5">
        <f>IF('ORDENES'!$A232="","",IF('ORDENES'!$AG232="","-",'ORDENES'!$AG232))</f>
        <v/>
      </c>
      <c r="I254" s="5">
        <f>IF('ORDENES'!$A232="","",IF('ORDENES'!$AT232="","-",'ORDENES'!$AT232))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20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IF('ORDENES'!$A232="","",'ORDENES'!$AF232)</f>
        <v/>
      </c>
    </row>
    <row r="255">
      <c r="A255" s="5">
        <f>IF('ORDENES'!$A233="","",IF('ORDENES'!$O233="","-",'ORDENES'!$O233))</f>
        <v/>
      </c>
      <c r="B255" s="5">
        <f>IF('ORDENES'!$A233="","",IF('ORDENES'!$S233="","-",'ORDENES'!$S233))</f>
        <v/>
      </c>
      <c r="C255" s="5">
        <f>IF('ORDENES'!$A233="","",IF('ORDENES'!$AH233="","-",'ORDENES'!$AH233))</f>
        <v/>
      </c>
      <c r="D255" s="5">
        <f>IF('ORDENES'!$A233="","",IF('ORDENES'!$Z233="","-",'ORDENES'!$Z233))</f>
        <v/>
      </c>
      <c r="E255" s="5">
        <f>IF('ORDENES'!$A233="","",IF('ORDENES'!$X233="","-",'ORDENES'!$X233))</f>
        <v/>
      </c>
      <c r="F255" s="5">
        <f>IF('ORDENES'!$A233="","",IF('ORDENES'!$AA233="","-",'ORDENES'!$AA233))</f>
        <v/>
      </c>
      <c r="G255" s="5">
        <f>IF('ORDENES'!$A233="","",IF('ORDENES'!$Y233="","-",'ORDENES'!$Y233))</f>
        <v/>
      </c>
      <c r="H255" s="5">
        <f>IF('ORDENES'!$A233="","",IF('ORDENES'!$AG233="","-",'ORDENES'!$AG233))</f>
        <v/>
      </c>
      <c r="I255" s="5">
        <f>IF('ORDENES'!$A233="","",IF('ORDENES'!$AT233="","-",'ORDENES'!$AT233))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20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IF('ORDENES'!$A233="","",'ORDENES'!$AF233)</f>
        <v/>
      </c>
    </row>
    <row r="256">
      <c r="A256" s="5">
        <f>IF('ORDENES'!$A234="","",IF('ORDENES'!$O234="","-",'ORDENES'!$O234))</f>
        <v/>
      </c>
      <c r="B256" s="5">
        <f>IF('ORDENES'!$A234="","",IF('ORDENES'!$S234="","-",'ORDENES'!$S234))</f>
        <v/>
      </c>
      <c r="C256" s="5">
        <f>IF('ORDENES'!$A234="","",IF('ORDENES'!$AH234="","-",'ORDENES'!$AH234))</f>
        <v/>
      </c>
      <c r="D256" s="5">
        <f>IF('ORDENES'!$A234="","",IF('ORDENES'!$Z234="","-",'ORDENES'!$Z234))</f>
        <v/>
      </c>
      <c r="E256" s="5">
        <f>IF('ORDENES'!$A234="","",IF('ORDENES'!$X234="","-",'ORDENES'!$X234))</f>
        <v/>
      </c>
      <c r="F256" s="5">
        <f>IF('ORDENES'!$A234="","",IF('ORDENES'!$AA234="","-",'ORDENES'!$AA234))</f>
        <v/>
      </c>
      <c r="G256" s="5">
        <f>IF('ORDENES'!$A234="","",IF('ORDENES'!$Y234="","-",'ORDENES'!$Y234))</f>
        <v/>
      </c>
      <c r="H256" s="5">
        <f>IF('ORDENES'!$A234="","",IF('ORDENES'!$AG234="","-",'ORDENES'!$AG234))</f>
        <v/>
      </c>
      <c r="I256" s="5">
        <f>IF('ORDENES'!$A234="","",IF('ORDENES'!$AT234="","-",'ORDENES'!$AT234))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20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IF('ORDENES'!$A234="","",'ORDENES'!$AF234)</f>
        <v/>
      </c>
    </row>
    <row r="257">
      <c r="A257" s="5">
        <f>IF('ORDENES'!$A235="","",IF('ORDENES'!$O235="","-",'ORDENES'!$O235))</f>
        <v/>
      </c>
      <c r="B257" s="5">
        <f>IF('ORDENES'!$A235="","",IF('ORDENES'!$S235="","-",'ORDENES'!$S235))</f>
        <v/>
      </c>
      <c r="C257" s="5">
        <f>IF('ORDENES'!$A235="","",IF('ORDENES'!$AH235="","-",'ORDENES'!$AH235))</f>
        <v/>
      </c>
      <c r="D257" s="5">
        <f>IF('ORDENES'!$A235="","",IF('ORDENES'!$Z235="","-",'ORDENES'!$Z235))</f>
        <v/>
      </c>
      <c r="E257" s="5">
        <f>IF('ORDENES'!$A235="","",IF('ORDENES'!$X235="","-",'ORDENES'!$X235))</f>
        <v/>
      </c>
      <c r="F257" s="5">
        <f>IF('ORDENES'!$A235="","",IF('ORDENES'!$AA235="","-",'ORDENES'!$AA235))</f>
        <v/>
      </c>
      <c r="G257" s="5">
        <f>IF('ORDENES'!$A235="","",IF('ORDENES'!$Y235="","-",'ORDENES'!$Y235))</f>
        <v/>
      </c>
      <c r="H257" s="5">
        <f>IF('ORDENES'!$A235="","",IF('ORDENES'!$AG235="","-",'ORDENES'!$AG235))</f>
        <v/>
      </c>
      <c r="I257" s="5">
        <f>IF('ORDENES'!$A235="","",IF('ORDENES'!$AT235="","-",'ORDENES'!$AT235))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20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IF('ORDENES'!$A235="","",'ORDENES'!$AF235)</f>
        <v/>
      </c>
    </row>
    <row r="258">
      <c r="A258" s="5">
        <f>IF('ORDENES'!$A236="","",IF('ORDENES'!$O236="","-",'ORDENES'!$O236))</f>
        <v/>
      </c>
      <c r="B258" s="5">
        <f>IF('ORDENES'!$A236="","",IF('ORDENES'!$S236="","-",'ORDENES'!$S236))</f>
        <v/>
      </c>
      <c r="C258" s="5">
        <f>IF('ORDENES'!$A236="","",IF('ORDENES'!$AH236="","-",'ORDENES'!$AH236))</f>
        <v/>
      </c>
      <c r="D258" s="5">
        <f>IF('ORDENES'!$A236="","",IF('ORDENES'!$Z236="","-",'ORDENES'!$Z236))</f>
        <v/>
      </c>
      <c r="E258" s="5">
        <f>IF('ORDENES'!$A236="","",IF('ORDENES'!$X236="","-",'ORDENES'!$X236))</f>
        <v/>
      </c>
      <c r="F258" s="5">
        <f>IF('ORDENES'!$A236="","",IF('ORDENES'!$AA236="","-",'ORDENES'!$AA236))</f>
        <v/>
      </c>
      <c r="G258" s="5">
        <f>IF('ORDENES'!$A236="","",IF('ORDENES'!$Y236="","-",'ORDENES'!$Y236))</f>
        <v/>
      </c>
      <c r="H258" s="5">
        <f>IF('ORDENES'!$A236="","",IF('ORDENES'!$AG236="","-",'ORDENES'!$AG236))</f>
        <v/>
      </c>
      <c r="I258" s="5">
        <f>IF('ORDENES'!$A236="","",IF('ORDENES'!$AT236="","-",'ORDENES'!$AT236))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20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IF('ORDENES'!$A236="","",'ORDENES'!$AF236)</f>
        <v/>
      </c>
    </row>
    <row r="259">
      <c r="A259" s="5">
        <f>IF('ORDENES'!$A237="","",IF('ORDENES'!$O237="","-",'ORDENES'!$O237))</f>
        <v/>
      </c>
      <c r="B259" s="5">
        <f>IF('ORDENES'!$A237="","",IF('ORDENES'!$S237="","-",'ORDENES'!$S237))</f>
        <v/>
      </c>
      <c r="C259" s="5">
        <f>IF('ORDENES'!$A237="","",IF('ORDENES'!$AH237="","-",'ORDENES'!$AH237))</f>
        <v/>
      </c>
      <c r="D259" s="5">
        <f>IF('ORDENES'!$A237="","",IF('ORDENES'!$Z237="","-",'ORDENES'!$Z237))</f>
        <v/>
      </c>
      <c r="E259" s="5">
        <f>IF('ORDENES'!$A237="","",IF('ORDENES'!$X237="","-",'ORDENES'!$X237))</f>
        <v/>
      </c>
      <c r="F259" s="5">
        <f>IF('ORDENES'!$A237="","",IF('ORDENES'!$AA237="","-",'ORDENES'!$AA237))</f>
        <v/>
      </c>
      <c r="G259" s="5">
        <f>IF('ORDENES'!$A237="","",IF('ORDENES'!$Y237="","-",'ORDENES'!$Y237))</f>
        <v/>
      </c>
      <c r="H259" s="5">
        <f>IF('ORDENES'!$A237="","",IF('ORDENES'!$AG237="","-",'ORDENES'!$AG237))</f>
        <v/>
      </c>
      <c r="I259" s="5">
        <f>IF('ORDENES'!$A237="","",IF('ORDENES'!$AT237="","-",'ORDENES'!$AT237))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20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IF('ORDENES'!$A237="","",'ORDENES'!$AF237)</f>
        <v/>
      </c>
    </row>
    <row r="260">
      <c r="A260" s="5">
        <f>IF('ORDENES'!$A238="","",IF('ORDENES'!$O238="","-",'ORDENES'!$O238))</f>
        <v/>
      </c>
      <c r="B260" s="5">
        <f>IF('ORDENES'!$A238="","",IF('ORDENES'!$S238="","-",'ORDENES'!$S238))</f>
        <v/>
      </c>
      <c r="C260" s="5">
        <f>IF('ORDENES'!$A238="","",IF('ORDENES'!$AH238="","-",'ORDENES'!$AH238))</f>
        <v/>
      </c>
      <c r="D260" s="5">
        <f>IF('ORDENES'!$A238="","",IF('ORDENES'!$Z238="","-",'ORDENES'!$Z238))</f>
        <v/>
      </c>
      <c r="E260" s="5">
        <f>IF('ORDENES'!$A238="","",IF('ORDENES'!$X238="","-",'ORDENES'!$X238))</f>
        <v/>
      </c>
      <c r="F260" s="5">
        <f>IF('ORDENES'!$A238="","",IF('ORDENES'!$AA238="","-",'ORDENES'!$AA238))</f>
        <v/>
      </c>
      <c r="G260" s="5">
        <f>IF('ORDENES'!$A238="","",IF('ORDENES'!$Y238="","-",'ORDENES'!$Y238))</f>
        <v/>
      </c>
      <c r="H260" s="5">
        <f>IF('ORDENES'!$A238="","",IF('ORDENES'!$AG238="","-",'ORDENES'!$AG238))</f>
        <v/>
      </c>
      <c r="I260" s="5">
        <f>IF('ORDENES'!$A238="","",IF('ORDENES'!$AT238="","-",'ORDENES'!$AT238))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20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IF('ORDENES'!$A238="","",'ORDENES'!$AF238)</f>
        <v/>
      </c>
    </row>
    <row r="261">
      <c r="A261" s="5">
        <f>IF('ORDENES'!$A239="","",IF('ORDENES'!$O239="","-",'ORDENES'!$O239))</f>
        <v/>
      </c>
      <c r="B261" s="5">
        <f>IF('ORDENES'!$A239="","",IF('ORDENES'!$S239="","-",'ORDENES'!$S239))</f>
        <v/>
      </c>
      <c r="C261" s="5">
        <f>IF('ORDENES'!$A239="","",IF('ORDENES'!$AH239="","-",'ORDENES'!$AH239))</f>
        <v/>
      </c>
      <c r="D261" s="5">
        <f>IF('ORDENES'!$A239="","",IF('ORDENES'!$Z239="","-",'ORDENES'!$Z239))</f>
        <v/>
      </c>
      <c r="E261" s="5">
        <f>IF('ORDENES'!$A239="","",IF('ORDENES'!$X239="","-",'ORDENES'!$X239))</f>
        <v/>
      </c>
      <c r="F261" s="5">
        <f>IF('ORDENES'!$A239="","",IF('ORDENES'!$AA239="","-",'ORDENES'!$AA239))</f>
        <v/>
      </c>
      <c r="G261" s="5">
        <f>IF('ORDENES'!$A239="","",IF('ORDENES'!$Y239="","-",'ORDENES'!$Y239))</f>
        <v/>
      </c>
      <c r="H261" s="5">
        <f>IF('ORDENES'!$A239="","",IF('ORDENES'!$AG239="","-",'ORDENES'!$AG239))</f>
        <v/>
      </c>
      <c r="I261" s="5">
        <f>IF('ORDENES'!$A239="","",IF('ORDENES'!$AT239="","-",'ORDENES'!$AT239))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20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IF('ORDENES'!$A239="","",'ORDENES'!$AF239)</f>
        <v/>
      </c>
    </row>
    <row r="262">
      <c r="A262" s="5">
        <f>IF('ORDENES'!$A240="","",IF('ORDENES'!$O240="","-",'ORDENES'!$O240))</f>
        <v/>
      </c>
      <c r="B262" s="5">
        <f>IF('ORDENES'!$A240="","",IF('ORDENES'!$S240="","-",'ORDENES'!$S240))</f>
        <v/>
      </c>
      <c r="C262" s="5">
        <f>IF('ORDENES'!$A240="","",IF('ORDENES'!$AH240="","-",'ORDENES'!$AH240))</f>
        <v/>
      </c>
      <c r="D262" s="5">
        <f>IF('ORDENES'!$A240="","",IF('ORDENES'!$Z240="","-",'ORDENES'!$Z240))</f>
        <v/>
      </c>
      <c r="E262" s="5">
        <f>IF('ORDENES'!$A240="","",IF('ORDENES'!$X240="","-",'ORDENES'!$X240))</f>
        <v/>
      </c>
      <c r="F262" s="5">
        <f>IF('ORDENES'!$A240="","",IF('ORDENES'!$AA240="","-",'ORDENES'!$AA240))</f>
        <v/>
      </c>
      <c r="G262" s="5">
        <f>IF('ORDENES'!$A240="","",IF('ORDENES'!$Y240="","-",'ORDENES'!$Y240))</f>
        <v/>
      </c>
      <c r="H262" s="5">
        <f>IF('ORDENES'!$A240="","",IF('ORDENES'!$AG240="","-",'ORDENES'!$AG240))</f>
        <v/>
      </c>
      <c r="I262" s="5">
        <f>IF('ORDENES'!$A240="","",IF('ORDENES'!$AT240="","-",'ORDENES'!$AT240))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20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IF('ORDENES'!$A240="","",'ORDENES'!$AF240)</f>
        <v/>
      </c>
    </row>
    <row r="263">
      <c r="A263" s="5">
        <f>IF('ORDENES'!$A241="","",IF('ORDENES'!$O241="","-",'ORDENES'!$O241))</f>
        <v/>
      </c>
      <c r="B263" s="5">
        <f>IF('ORDENES'!$A241="","",IF('ORDENES'!$S241="","-",'ORDENES'!$S241))</f>
        <v/>
      </c>
      <c r="C263" s="5">
        <f>IF('ORDENES'!$A241="","",IF('ORDENES'!$AH241="","-",'ORDENES'!$AH241))</f>
        <v/>
      </c>
      <c r="D263" s="5">
        <f>IF('ORDENES'!$A241="","",IF('ORDENES'!$Z241="","-",'ORDENES'!$Z241))</f>
        <v/>
      </c>
      <c r="E263" s="5">
        <f>IF('ORDENES'!$A241="","",IF('ORDENES'!$X241="","-",'ORDENES'!$X241))</f>
        <v/>
      </c>
      <c r="F263" s="5">
        <f>IF('ORDENES'!$A241="","",IF('ORDENES'!$AA241="","-",'ORDENES'!$AA241))</f>
        <v/>
      </c>
      <c r="G263" s="5">
        <f>IF('ORDENES'!$A241="","",IF('ORDENES'!$Y241="","-",'ORDENES'!$Y241))</f>
        <v/>
      </c>
      <c r="H263" s="5">
        <f>IF('ORDENES'!$A241="","",IF('ORDENES'!$AG241="","-",'ORDENES'!$AG241))</f>
        <v/>
      </c>
      <c r="I263" s="5">
        <f>IF('ORDENES'!$A241="","",IF('ORDENES'!$AT241="","-",'ORDENES'!$AT241))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20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IF('ORDENES'!$A241="","",'ORDENES'!$AF241)</f>
        <v/>
      </c>
    </row>
    <row r="264">
      <c r="A264" s="5">
        <f>IF('ORDENES'!$A242="","",IF('ORDENES'!$O242="","-",'ORDENES'!$O242))</f>
        <v/>
      </c>
      <c r="B264" s="5">
        <f>IF('ORDENES'!$A242="","",IF('ORDENES'!$S242="","-",'ORDENES'!$S242))</f>
        <v/>
      </c>
      <c r="C264" s="5">
        <f>IF('ORDENES'!$A242="","",IF('ORDENES'!$AH242="","-",'ORDENES'!$AH242))</f>
        <v/>
      </c>
      <c r="D264" s="5">
        <f>IF('ORDENES'!$A242="","",IF('ORDENES'!$Z242="","-",'ORDENES'!$Z242))</f>
        <v/>
      </c>
      <c r="E264" s="5">
        <f>IF('ORDENES'!$A242="","",IF('ORDENES'!$X242="","-",'ORDENES'!$X242))</f>
        <v/>
      </c>
      <c r="F264" s="5">
        <f>IF('ORDENES'!$A242="","",IF('ORDENES'!$AA242="","-",'ORDENES'!$AA242))</f>
        <v/>
      </c>
      <c r="G264" s="5">
        <f>IF('ORDENES'!$A242="","",IF('ORDENES'!$Y242="","-",'ORDENES'!$Y242))</f>
        <v/>
      </c>
      <c r="H264" s="5">
        <f>IF('ORDENES'!$A242="","",IF('ORDENES'!$AG242="","-",'ORDENES'!$AG242))</f>
        <v/>
      </c>
      <c r="I264" s="5">
        <f>IF('ORDENES'!$A242="","",IF('ORDENES'!$AT242="","-",'ORDENES'!$AT242))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20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IF('ORDENES'!$A242="","",'ORDENES'!$AF242)</f>
        <v/>
      </c>
    </row>
    <row r="265">
      <c r="A265" s="5">
        <f>IF('ORDENES'!$A243="","",IF('ORDENES'!$O243="","-",'ORDENES'!$O243))</f>
        <v/>
      </c>
      <c r="B265" s="5">
        <f>IF('ORDENES'!$A243="","",IF('ORDENES'!$S243="","-",'ORDENES'!$S243))</f>
        <v/>
      </c>
      <c r="C265" s="5">
        <f>IF('ORDENES'!$A243="","",IF('ORDENES'!$AH243="","-",'ORDENES'!$AH243))</f>
        <v/>
      </c>
      <c r="D265" s="5">
        <f>IF('ORDENES'!$A243="","",IF('ORDENES'!$Z243="","-",'ORDENES'!$Z243))</f>
        <v/>
      </c>
      <c r="E265" s="5">
        <f>IF('ORDENES'!$A243="","",IF('ORDENES'!$X243="","-",'ORDENES'!$X243))</f>
        <v/>
      </c>
      <c r="F265" s="5">
        <f>IF('ORDENES'!$A243="","",IF('ORDENES'!$AA243="","-",'ORDENES'!$AA243))</f>
        <v/>
      </c>
      <c r="G265" s="5">
        <f>IF('ORDENES'!$A243="","",IF('ORDENES'!$Y243="","-",'ORDENES'!$Y243))</f>
        <v/>
      </c>
      <c r="H265" s="5">
        <f>IF('ORDENES'!$A243="","",IF('ORDENES'!$AG243="","-",'ORDENES'!$AG243))</f>
        <v/>
      </c>
      <c r="I265" s="5">
        <f>IF('ORDENES'!$A243="","",IF('ORDENES'!$AT243="","-",'ORDENES'!$AT243))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20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IF('ORDENES'!$A243="","",'ORDENES'!$AF243)</f>
        <v/>
      </c>
    </row>
    <row r="266">
      <c r="A266" s="5">
        <f>IF('ORDENES'!$A244="","",IF('ORDENES'!$O244="","-",'ORDENES'!$O244))</f>
        <v/>
      </c>
      <c r="B266" s="5">
        <f>IF('ORDENES'!$A244="","",IF('ORDENES'!$S244="","-",'ORDENES'!$S244))</f>
        <v/>
      </c>
      <c r="C266" s="5">
        <f>IF('ORDENES'!$A244="","",IF('ORDENES'!$AH244="","-",'ORDENES'!$AH244))</f>
        <v/>
      </c>
      <c r="D266" s="5">
        <f>IF('ORDENES'!$A244="","",IF('ORDENES'!$Z244="","-",'ORDENES'!$Z244))</f>
        <v/>
      </c>
      <c r="E266" s="5">
        <f>IF('ORDENES'!$A244="","",IF('ORDENES'!$X244="","-",'ORDENES'!$X244))</f>
        <v/>
      </c>
      <c r="F266" s="5">
        <f>IF('ORDENES'!$A244="","",IF('ORDENES'!$AA244="","-",'ORDENES'!$AA244))</f>
        <v/>
      </c>
      <c r="G266" s="5">
        <f>IF('ORDENES'!$A244="","",IF('ORDENES'!$Y244="","-",'ORDENES'!$Y244))</f>
        <v/>
      </c>
      <c r="H266" s="5">
        <f>IF('ORDENES'!$A244="","",IF('ORDENES'!$AG244="","-",'ORDENES'!$AG244))</f>
        <v/>
      </c>
      <c r="I266" s="5">
        <f>IF('ORDENES'!$A244="","",IF('ORDENES'!$AT244="","-",'ORDENES'!$AT244))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20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IF('ORDENES'!$A244="","",'ORDENES'!$AF244)</f>
        <v/>
      </c>
    </row>
    <row r="267">
      <c r="A267" s="5">
        <f>IF('ORDENES'!$A245="","",IF('ORDENES'!$O245="","-",'ORDENES'!$O245))</f>
        <v/>
      </c>
      <c r="B267" s="5">
        <f>IF('ORDENES'!$A245="","",IF('ORDENES'!$S245="","-",'ORDENES'!$S245))</f>
        <v/>
      </c>
      <c r="C267" s="5">
        <f>IF('ORDENES'!$A245="","",IF('ORDENES'!$AH245="","-",'ORDENES'!$AH245))</f>
        <v/>
      </c>
      <c r="D267" s="5">
        <f>IF('ORDENES'!$A245="","",IF('ORDENES'!$Z245="","-",'ORDENES'!$Z245))</f>
        <v/>
      </c>
      <c r="E267" s="5">
        <f>IF('ORDENES'!$A245="","",IF('ORDENES'!$X245="","-",'ORDENES'!$X245))</f>
        <v/>
      </c>
      <c r="F267" s="5">
        <f>IF('ORDENES'!$A245="","",IF('ORDENES'!$AA245="","-",'ORDENES'!$AA245))</f>
        <v/>
      </c>
      <c r="G267" s="5">
        <f>IF('ORDENES'!$A245="","",IF('ORDENES'!$Y245="","-",'ORDENES'!$Y245))</f>
        <v/>
      </c>
      <c r="H267" s="5">
        <f>IF('ORDENES'!$A245="","",IF('ORDENES'!$AG245="","-",'ORDENES'!$AG245))</f>
        <v/>
      </c>
      <c r="I267" s="5">
        <f>IF('ORDENES'!$A245="","",IF('ORDENES'!$AT245="","-",'ORDENES'!$AT245))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20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IF('ORDENES'!$A245="","",'ORDENES'!$AF245)</f>
        <v/>
      </c>
    </row>
    <row r="268">
      <c r="A268" s="5">
        <f>IF('ORDENES'!$A246="","",IF('ORDENES'!$O246="","-",'ORDENES'!$O246))</f>
        <v/>
      </c>
      <c r="B268" s="5">
        <f>IF('ORDENES'!$A246="","",IF('ORDENES'!$S246="","-",'ORDENES'!$S246))</f>
        <v/>
      </c>
      <c r="C268" s="5">
        <f>IF('ORDENES'!$A246="","",IF('ORDENES'!$AH246="","-",'ORDENES'!$AH246))</f>
        <v/>
      </c>
      <c r="D268" s="5">
        <f>IF('ORDENES'!$A246="","",IF('ORDENES'!$Z246="","-",'ORDENES'!$Z246))</f>
        <v/>
      </c>
      <c r="E268" s="5">
        <f>IF('ORDENES'!$A246="","",IF('ORDENES'!$X246="","-",'ORDENES'!$X246))</f>
        <v/>
      </c>
      <c r="F268" s="5">
        <f>IF('ORDENES'!$A246="","",IF('ORDENES'!$AA246="","-",'ORDENES'!$AA246))</f>
        <v/>
      </c>
      <c r="G268" s="5">
        <f>IF('ORDENES'!$A246="","",IF('ORDENES'!$Y246="","-",'ORDENES'!$Y246))</f>
        <v/>
      </c>
      <c r="H268" s="5">
        <f>IF('ORDENES'!$A246="","",IF('ORDENES'!$AG246="","-",'ORDENES'!$AG246))</f>
        <v/>
      </c>
      <c r="I268" s="5">
        <f>IF('ORDENES'!$A246="","",IF('ORDENES'!$AT246="","-",'ORDENES'!$AT246))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20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IF('ORDENES'!$A246="","",'ORDENES'!$AF246)</f>
        <v/>
      </c>
    </row>
    <row r="269">
      <c r="A269" s="5">
        <f>IF('ORDENES'!$A247="","",IF('ORDENES'!$O247="","-",'ORDENES'!$O247))</f>
        <v/>
      </c>
      <c r="B269" s="5">
        <f>IF('ORDENES'!$A247="","",IF('ORDENES'!$S247="","-",'ORDENES'!$S247))</f>
        <v/>
      </c>
      <c r="C269" s="5">
        <f>IF('ORDENES'!$A247="","",IF('ORDENES'!$AH247="","-",'ORDENES'!$AH247))</f>
        <v/>
      </c>
      <c r="D269" s="5">
        <f>IF('ORDENES'!$A247="","",IF('ORDENES'!$Z247="","-",'ORDENES'!$Z247))</f>
        <v/>
      </c>
      <c r="E269" s="5">
        <f>IF('ORDENES'!$A247="","",IF('ORDENES'!$X247="","-",'ORDENES'!$X247))</f>
        <v/>
      </c>
      <c r="F269" s="5">
        <f>IF('ORDENES'!$A247="","",IF('ORDENES'!$AA247="","-",'ORDENES'!$AA247))</f>
        <v/>
      </c>
      <c r="G269" s="5">
        <f>IF('ORDENES'!$A247="","",IF('ORDENES'!$Y247="","-",'ORDENES'!$Y247))</f>
        <v/>
      </c>
      <c r="H269" s="5">
        <f>IF('ORDENES'!$A247="","",IF('ORDENES'!$AG247="","-",'ORDENES'!$AG247))</f>
        <v/>
      </c>
      <c r="I269" s="5">
        <f>IF('ORDENES'!$A247="","",IF('ORDENES'!$AT247="","-",'ORDENES'!$AT247))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20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IF('ORDENES'!$A247="","",'ORDENES'!$AF247)</f>
        <v/>
      </c>
    </row>
    <row r="270">
      <c r="A270" s="5">
        <f>IF('ORDENES'!$A248="","",IF('ORDENES'!$O248="","-",'ORDENES'!$O248))</f>
        <v/>
      </c>
      <c r="B270" s="5">
        <f>IF('ORDENES'!$A248="","",IF('ORDENES'!$S248="","-",'ORDENES'!$S248))</f>
        <v/>
      </c>
      <c r="C270" s="5">
        <f>IF('ORDENES'!$A248="","",IF('ORDENES'!$AH248="","-",'ORDENES'!$AH248))</f>
        <v/>
      </c>
      <c r="D270" s="5">
        <f>IF('ORDENES'!$A248="","",IF('ORDENES'!$Z248="","-",'ORDENES'!$Z248))</f>
        <v/>
      </c>
      <c r="E270" s="5">
        <f>IF('ORDENES'!$A248="","",IF('ORDENES'!$X248="","-",'ORDENES'!$X248))</f>
        <v/>
      </c>
      <c r="F270" s="5">
        <f>IF('ORDENES'!$A248="","",IF('ORDENES'!$AA248="","-",'ORDENES'!$AA248))</f>
        <v/>
      </c>
      <c r="G270" s="5">
        <f>IF('ORDENES'!$A248="","",IF('ORDENES'!$Y248="","-",'ORDENES'!$Y248))</f>
        <v/>
      </c>
      <c r="H270" s="5">
        <f>IF('ORDENES'!$A248="","",IF('ORDENES'!$AG248="","-",'ORDENES'!$AG248))</f>
        <v/>
      </c>
      <c r="I270" s="5">
        <f>IF('ORDENES'!$A248="","",IF('ORDENES'!$AT248="","-",'ORDENES'!$AT248))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20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IF('ORDENES'!$A248="","",'ORDENES'!$AF248)</f>
        <v/>
      </c>
    </row>
    <row r="271">
      <c r="A271" s="5">
        <f>IF('ORDENES'!$A249="","",IF('ORDENES'!$O249="","-",'ORDENES'!$O249))</f>
        <v/>
      </c>
      <c r="B271" s="5">
        <f>IF('ORDENES'!$A249="","",IF('ORDENES'!$S249="","-",'ORDENES'!$S249))</f>
        <v/>
      </c>
      <c r="C271" s="5">
        <f>IF('ORDENES'!$A249="","",IF('ORDENES'!$AH249="","-",'ORDENES'!$AH249))</f>
        <v/>
      </c>
      <c r="D271" s="5">
        <f>IF('ORDENES'!$A249="","",IF('ORDENES'!$Z249="","-",'ORDENES'!$Z249))</f>
        <v/>
      </c>
      <c r="E271" s="5">
        <f>IF('ORDENES'!$A249="","",IF('ORDENES'!$X249="","-",'ORDENES'!$X249))</f>
        <v/>
      </c>
      <c r="F271" s="5">
        <f>IF('ORDENES'!$A249="","",IF('ORDENES'!$AA249="","-",'ORDENES'!$AA249))</f>
        <v/>
      </c>
      <c r="G271" s="5">
        <f>IF('ORDENES'!$A249="","",IF('ORDENES'!$Y249="","-",'ORDENES'!$Y249))</f>
        <v/>
      </c>
      <c r="H271" s="5">
        <f>IF('ORDENES'!$A249="","",IF('ORDENES'!$AG249="","-",'ORDENES'!$AG249))</f>
        <v/>
      </c>
      <c r="I271" s="5">
        <f>IF('ORDENES'!$A249="","",IF('ORDENES'!$AT249="","-",'ORDENES'!$AT249))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20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IF('ORDENES'!$A249="","",'ORDENES'!$AF249)</f>
        <v/>
      </c>
    </row>
    <row r="272">
      <c r="A272" s="5">
        <f>IF('ORDENES'!$A250="","",IF('ORDENES'!$O250="","-",'ORDENES'!$O250))</f>
        <v/>
      </c>
      <c r="B272" s="5">
        <f>IF('ORDENES'!$A250="","",IF('ORDENES'!$S250="","-",'ORDENES'!$S250))</f>
        <v/>
      </c>
      <c r="C272" s="5">
        <f>IF('ORDENES'!$A250="","",IF('ORDENES'!$AH250="","-",'ORDENES'!$AH250))</f>
        <v/>
      </c>
      <c r="D272" s="5">
        <f>IF('ORDENES'!$A250="","",IF('ORDENES'!$Z250="","-",'ORDENES'!$Z250))</f>
        <v/>
      </c>
      <c r="E272" s="5">
        <f>IF('ORDENES'!$A250="","",IF('ORDENES'!$X250="","-",'ORDENES'!$X250))</f>
        <v/>
      </c>
      <c r="F272" s="5">
        <f>IF('ORDENES'!$A250="","",IF('ORDENES'!$AA250="","-",'ORDENES'!$AA250))</f>
        <v/>
      </c>
      <c r="G272" s="5">
        <f>IF('ORDENES'!$A250="","",IF('ORDENES'!$Y250="","-",'ORDENES'!$Y250))</f>
        <v/>
      </c>
      <c r="H272" s="5">
        <f>IF('ORDENES'!$A250="","",IF('ORDENES'!$AG250="","-",'ORDENES'!$AG250))</f>
        <v/>
      </c>
      <c r="I272" s="5">
        <f>IF('ORDENES'!$A250="","",IF('ORDENES'!$AT250="","-",'ORDENES'!$AT250))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20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IF('ORDENES'!$A250="","",'ORDENES'!$AF250)</f>
        <v/>
      </c>
    </row>
    <row r="273">
      <c r="A273" s="5">
        <f>IF('ORDENES'!$A251="","",IF('ORDENES'!$O251="","-",'ORDENES'!$O251))</f>
        <v/>
      </c>
      <c r="B273" s="5">
        <f>IF('ORDENES'!$A251="","",IF('ORDENES'!$S251="","-",'ORDENES'!$S251))</f>
        <v/>
      </c>
      <c r="C273" s="5">
        <f>IF('ORDENES'!$A251="","",IF('ORDENES'!$AH251="","-",'ORDENES'!$AH251))</f>
        <v/>
      </c>
      <c r="D273" s="5">
        <f>IF('ORDENES'!$A251="","",IF('ORDENES'!$Z251="","-",'ORDENES'!$Z251))</f>
        <v/>
      </c>
      <c r="E273" s="5">
        <f>IF('ORDENES'!$A251="","",IF('ORDENES'!$X251="","-",'ORDENES'!$X251))</f>
        <v/>
      </c>
      <c r="F273" s="5">
        <f>IF('ORDENES'!$A251="","",IF('ORDENES'!$AA251="","-",'ORDENES'!$AA251))</f>
        <v/>
      </c>
      <c r="G273" s="5">
        <f>IF('ORDENES'!$A251="","",IF('ORDENES'!$Y251="","-",'ORDENES'!$Y251))</f>
        <v/>
      </c>
      <c r="H273" s="5">
        <f>IF('ORDENES'!$A251="","",IF('ORDENES'!$AG251="","-",'ORDENES'!$AG251))</f>
        <v/>
      </c>
      <c r="I273" s="5">
        <f>IF('ORDENES'!$A251="","",IF('ORDENES'!$AT251="","-",'ORDENES'!$AT251))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20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IF('ORDENES'!$A251="","",'ORDENES'!$AF251)</f>
        <v/>
      </c>
    </row>
    <row r="274">
      <c r="A274" s="5">
        <f>IF('ORDENES'!$A252="","",IF('ORDENES'!$O252="","-",'ORDENES'!$O252))</f>
        <v/>
      </c>
      <c r="B274" s="5">
        <f>IF('ORDENES'!$A252="","",IF('ORDENES'!$S252="","-",'ORDENES'!$S252))</f>
        <v/>
      </c>
      <c r="C274" s="5">
        <f>IF('ORDENES'!$A252="","",IF('ORDENES'!$AH252="","-",'ORDENES'!$AH252))</f>
        <v/>
      </c>
      <c r="D274" s="5">
        <f>IF('ORDENES'!$A252="","",IF('ORDENES'!$Z252="","-",'ORDENES'!$Z252))</f>
        <v/>
      </c>
      <c r="E274" s="5">
        <f>IF('ORDENES'!$A252="","",IF('ORDENES'!$X252="","-",'ORDENES'!$X252))</f>
        <v/>
      </c>
      <c r="F274" s="5">
        <f>IF('ORDENES'!$A252="","",IF('ORDENES'!$AA252="","-",'ORDENES'!$AA252))</f>
        <v/>
      </c>
      <c r="G274" s="5">
        <f>IF('ORDENES'!$A252="","",IF('ORDENES'!$Y252="","-",'ORDENES'!$Y252))</f>
        <v/>
      </c>
      <c r="H274" s="5">
        <f>IF('ORDENES'!$A252="","",IF('ORDENES'!$AG252="","-",'ORDENES'!$AG252))</f>
        <v/>
      </c>
      <c r="I274" s="5">
        <f>IF('ORDENES'!$A252="","",IF('ORDENES'!$AT252="","-",'ORDENES'!$AT252))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20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IF('ORDENES'!$A252="","",'ORDENES'!$AF252)</f>
        <v/>
      </c>
    </row>
    <row r="275">
      <c r="A275" s="5">
        <f>IF('ORDENES'!$A253="","",IF('ORDENES'!$O253="","-",'ORDENES'!$O253))</f>
        <v/>
      </c>
      <c r="B275" s="5">
        <f>IF('ORDENES'!$A253="","",IF('ORDENES'!$S253="","-",'ORDENES'!$S253))</f>
        <v/>
      </c>
      <c r="C275" s="5">
        <f>IF('ORDENES'!$A253="","",IF('ORDENES'!$AH253="","-",'ORDENES'!$AH253))</f>
        <v/>
      </c>
      <c r="D275" s="5">
        <f>IF('ORDENES'!$A253="","",IF('ORDENES'!$Z253="","-",'ORDENES'!$Z253))</f>
        <v/>
      </c>
      <c r="E275" s="5">
        <f>IF('ORDENES'!$A253="","",IF('ORDENES'!$X253="","-",'ORDENES'!$X253))</f>
        <v/>
      </c>
      <c r="F275" s="5">
        <f>IF('ORDENES'!$A253="","",IF('ORDENES'!$AA253="","-",'ORDENES'!$AA253))</f>
        <v/>
      </c>
      <c r="G275" s="5">
        <f>IF('ORDENES'!$A253="","",IF('ORDENES'!$Y253="","-",'ORDENES'!$Y253))</f>
        <v/>
      </c>
      <c r="H275" s="5">
        <f>IF('ORDENES'!$A253="","",IF('ORDENES'!$AG253="","-",'ORDENES'!$AG253))</f>
        <v/>
      </c>
      <c r="I275" s="5">
        <f>IF('ORDENES'!$A253="","",IF('ORDENES'!$AT253="","-",'ORDENES'!$AT253))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20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IF('ORDENES'!$A253="","",'ORDENES'!$AF253)</f>
        <v/>
      </c>
    </row>
    <row r="276">
      <c r="A276" s="5">
        <f>IF('ORDENES'!$A254="","",IF('ORDENES'!$O254="","-",'ORDENES'!$O254))</f>
        <v/>
      </c>
      <c r="B276" s="5">
        <f>IF('ORDENES'!$A254="","",IF('ORDENES'!$S254="","-",'ORDENES'!$S254))</f>
        <v/>
      </c>
      <c r="C276" s="5">
        <f>IF('ORDENES'!$A254="","",IF('ORDENES'!$AH254="","-",'ORDENES'!$AH254))</f>
        <v/>
      </c>
      <c r="D276" s="5">
        <f>IF('ORDENES'!$A254="","",IF('ORDENES'!$Z254="","-",'ORDENES'!$Z254))</f>
        <v/>
      </c>
      <c r="E276" s="5">
        <f>IF('ORDENES'!$A254="","",IF('ORDENES'!$X254="","-",'ORDENES'!$X254))</f>
        <v/>
      </c>
      <c r="F276" s="5">
        <f>IF('ORDENES'!$A254="","",IF('ORDENES'!$AA254="","-",'ORDENES'!$AA254))</f>
        <v/>
      </c>
      <c r="G276" s="5">
        <f>IF('ORDENES'!$A254="","",IF('ORDENES'!$Y254="","-",'ORDENES'!$Y254))</f>
        <v/>
      </c>
      <c r="H276" s="5">
        <f>IF('ORDENES'!$A254="","",IF('ORDENES'!$AG254="","-",'ORDENES'!$AG254))</f>
        <v/>
      </c>
      <c r="I276" s="5">
        <f>IF('ORDENES'!$A254="","",IF('ORDENES'!$AT254="","-",'ORDENES'!$AT254))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20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IF('ORDENES'!$A254="","",'ORDENES'!$AF254)</f>
        <v/>
      </c>
    </row>
    <row r="277">
      <c r="A277" s="5">
        <f>IF('ORDENES'!$A255="","",IF('ORDENES'!$O255="","-",'ORDENES'!$O255))</f>
        <v/>
      </c>
      <c r="B277" s="5">
        <f>IF('ORDENES'!$A255="","",IF('ORDENES'!$S255="","-",'ORDENES'!$S255))</f>
        <v/>
      </c>
      <c r="C277" s="5">
        <f>IF('ORDENES'!$A255="","",IF('ORDENES'!$AH255="","-",'ORDENES'!$AH255))</f>
        <v/>
      </c>
      <c r="D277" s="5">
        <f>IF('ORDENES'!$A255="","",IF('ORDENES'!$Z255="","-",'ORDENES'!$Z255))</f>
        <v/>
      </c>
      <c r="E277" s="5">
        <f>IF('ORDENES'!$A255="","",IF('ORDENES'!$X255="","-",'ORDENES'!$X255))</f>
        <v/>
      </c>
      <c r="F277" s="5">
        <f>IF('ORDENES'!$A255="","",IF('ORDENES'!$AA255="","-",'ORDENES'!$AA255))</f>
        <v/>
      </c>
      <c r="G277" s="5">
        <f>IF('ORDENES'!$A255="","",IF('ORDENES'!$Y255="","-",'ORDENES'!$Y255))</f>
        <v/>
      </c>
      <c r="H277" s="5">
        <f>IF('ORDENES'!$A255="","",IF('ORDENES'!$AG255="","-",'ORDENES'!$AG255))</f>
        <v/>
      </c>
      <c r="I277" s="5">
        <f>IF('ORDENES'!$A255="","",IF('ORDENES'!$AT255="","-",'ORDENES'!$AT255))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20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IF('ORDENES'!$A255="","",'ORDENES'!$AF255)</f>
        <v/>
      </c>
    </row>
    <row r="278">
      <c r="A278" s="5">
        <f>IF('ORDENES'!$A256="","",IF('ORDENES'!$O256="","-",'ORDENES'!$O256))</f>
        <v/>
      </c>
      <c r="B278" s="5">
        <f>IF('ORDENES'!$A256="","",IF('ORDENES'!$S256="","-",'ORDENES'!$S256))</f>
        <v/>
      </c>
      <c r="C278" s="5">
        <f>IF('ORDENES'!$A256="","",IF('ORDENES'!$AH256="","-",'ORDENES'!$AH256))</f>
        <v/>
      </c>
      <c r="D278" s="5">
        <f>IF('ORDENES'!$A256="","",IF('ORDENES'!$Z256="","-",'ORDENES'!$Z256))</f>
        <v/>
      </c>
      <c r="E278" s="5">
        <f>IF('ORDENES'!$A256="","",IF('ORDENES'!$X256="","-",'ORDENES'!$X256))</f>
        <v/>
      </c>
      <c r="F278" s="5">
        <f>IF('ORDENES'!$A256="","",IF('ORDENES'!$AA256="","-",'ORDENES'!$AA256))</f>
        <v/>
      </c>
      <c r="G278" s="5">
        <f>IF('ORDENES'!$A256="","",IF('ORDENES'!$Y256="","-",'ORDENES'!$Y256))</f>
        <v/>
      </c>
      <c r="H278" s="5">
        <f>IF('ORDENES'!$A256="","",IF('ORDENES'!$AG256="","-",'ORDENES'!$AG256))</f>
        <v/>
      </c>
      <c r="I278" s="5">
        <f>IF('ORDENES'!$A256="","",IF('ORDENES'!$AT256="","-",'ORDENES'!$AT256))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20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IF('ORDENES'!$A256="","",'ORDENES'!$AF256)</f>
        <v/>
      </c>
    </row>
    <row r="279">
      <c r="A279" s="5">
        <f>IF('ORDENES'!$A257="","",IF('ORDENES'!$O257="","-",'ORDENES'!$O257))</f>
        <v/>
      </c>
      <c r="B279" s="5">
        <f>IF('ORDENES'!$A257="","",IF('ORDENES'!$S257="","-",'ORDENES'!$S257))</f>
        <v/>
      </c>
      <c r="C279" s="5">
        <f>IF('ORDENES'!$A257="","",IF('ORDENES'!$AH257="","-",'ORDENES'!$AH257))</f>
        <v/>
      </c>
      <c r="D279" s="5">
        <f>IF('ORDENES'!$A257="","",IF('ORDENES'!$Z257="","-",'ORDENES'!$Z257))</f>
        <v/>
      </c>
      <c r="E279" s="5">
        <f>IF('ORDENES'!$A257="","",IF('ORDENES'!$X257="","-",'ORDENES'!$X257))</f>
        <v/>
      </c>
      <c r="F279" s="5">
        <f>IF('ORDENES'!$A257="","",IF('ORDENES'!$AA257="","-",'ORDENES'!$AA257))</f>
        <v/>
      </c>
      <c r="G279" s="5">
        <f>IF('ORDENES'!$A257="","",IF('ORDENES'!$Y257="","-",'ORDENES'!$Y257))</f>
        <v/>
      </c>
      <c r="H279" s="5">
        <f>IF('ORDENES'!$A257="","",IF('ORDENES'!$AG257="","-",'ORDENES'!$AG257))</f>
        <v/>
      </c>
      <c r="I279" s="5">
        <f>IF('ORDENES'!$A257="","",IF('ORDENES'!$AT257="","-",'ORDENES'!$AT257))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20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IF('ORDENES'!$A257="","",'ORDENES'!$AF257)</f>
        <v/>
      </c>
    </row>
    <row r="280">
      <c r="A280" s="5">
        <f>IF('ORDENES'!$A258="","",IF('ORDENES'!$O258="","-",'ORDENES'!$O258))</f>
        <v/>
      </c>
      <c r="B280" s="5">
        <f>IF('ORDENES'!$A258="","",IF('ORDENES'!$S258="","-",'ORDENES'!$S258))</f>
        <v/>
      </c>
      <c r="C280" s="5">
        <f>IF('ORDENES'!$A258="","",IF('ORDENES'!$AH258="","-",'ORDENES'!$AH258))</f>
        <v/>
      </c>
      <c r="D280" s="5">
        <f>IF('ORDENES'!$A258="","",IF('ORDENES'!$Z258="","-",'ORDENES'!$Z258))</f>
        <v/>
      </c>
      <c r="E280" s="5">
        <f>IF('ORDENES'!$A258="","",IF('ORDENES'!$X258="","-",'ORDENES'!$X258))</f>
        <v/>
      </c>
      <c r="F280" s="5">
        <f>IF('ORDENES'!$A258="","",IF('ORDENES'!$AA258="","-",'ORDENES'!$AA258))</f>
        <v/>
      </c>
      <c r="G280" s="5">
        <f>IF('ORDENES'!$A258="","",IF('ORDENES'!$Y258="","-",'ORDENES'!$Y258))</f>
        <v/>
      </c>
      <c r="H280" s="5">
        <f>IF('ORDENES'!$A258="","",IF('ORDENES'!$AG258="","-",'ORDENES'!$AG258))</f>
        <v/>
      </c>
      <c r="I280" s="5">
        <f>IF('ORDENES'!$A258="","",IF('ORDENES'!$AT258="","-",'ORDENES'!$AT258))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20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IF('ORDENES'!$A258="","",'ORDENES'!$AF258)</f>
        <v/>
      </c>
    </row>
    <row r="281">
      <c r="A281" s="5">
        <f>IF('ORDENES'!$A259="","",IF('ORDENES'!$O259="","-",'ORDENES'!$O259))</f>
        <v/>
      </c>
      <c r="B281" s="5">
        <f>IF('ORDENES'!$A259="","",IF('ORDENES'!$S259="","-",'ORDENES'!$S259))</f>
        <v/>
      </c>
      <c r="C281" s="5">
        <f>IF('ORDENES'!$A259="","",IF('ORDENES'!$AH259="","-",'ORDENES'!$AH259))</f>
        <v/>
      </c>
      <c r="D281" s="5">
        <f>IF('ORDENES'!$A259="","",IF('ORDENES'!$Z259="","-",'ORDENES'!$Z259))</f>
        <v/>
      </c>
      <c r="E281" s="5">
        <f>IF('ORDENES'!$A259="","",IF('ORDENES'!$X259="","-",'ORDENES'!$X259))</f>
        <v/>
      </c>
      <c r="F281" s="5">
        <f>IF('ORDENES'!$A259="","",IF('ORDENES'!$AA259="","-",'ORDENES'!$AA259))</f>
        <v/>
      </c>
      <c r="G281" s="5">
        <f>IF('ORDENES'!$A259="","",IF('ORDENES'!$Y259="","-",'ORDENES'!$Y259))</f>
        <v/>
      </c>
      <c r="H281" s="5">
        <f>IF('ORDENES'!$A259="","",IF('ORDENES'!$AG259="","-",'ORDENES'!$AG259))</f>
        <v/>
      </c>
      <c r="I281" s="5">
        <f>IF('ORDENES'!$A259="","",IF('ORDENES'!$AT259="","-",'ORDENES'!$AT259))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20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IF('ORDENES'!$A259="","",'ORDENES'!$AF259)</f>
        <v/>
      </c>
    </row>
    <row r="282">
      <c r="A282" s="5">
        <f>IF('ORDENES'!$A260="","",IF('ORDENES'!$O260="","-",'ORDENES'!$O260))</f>
        <v/>
      </c>
      <c r="B282" s="5">
        <f>IF('ORDENES'!$A260="","",IF('ORDENES'!$S260="","-",'ORDENES'!$S260))</f>
        <v/>
      </c>
      <c r="C282" s="5">
        <f>IF('ORDENES'!$A260="","",IF('ORDENES'!$AH260="","-",'ORDENES'!$AH260))</f>
        <v/>
      </c>
      <c r="D282" s="5">
        <f>IF('ORDENES'!$A260="","",IF('ORDENES'!$Z260="","-",'ORDENES'!$Z260))</f>
        <v/>
      </c>
      <c r="E282" s="5">
        <f>IF('ORDENES'!$A260="","",IF('ORDENES'!$X260="","-",'ORDENES'!$X260))</f>
        <v/>
      </c>
      <c r="F282" s="5">
        <f>IF('ORDENES'!$A260="","",IF('ORDENES'!$AA260="","-",'ORDENES'!$AA260))</f>
        <v/>
      </c>
      <c r="G282" s="5">
        <f>IF('ORDENES'!$A260="","",IF('ORDENES'!$Y260="","-",'ORDENES'!$Y260))</f>
        <v/>
      </c>
      <c r="H282" s="5">
        <f>IF('ORDENES'!$A260="","",IF('ORDENES'!$AG260="","-",'ORDENES'!$AG260))</f>
        <v/>
      </c>
      <c r="I282" s="5">
        <f>IF('ORDENES'!$A260="","",IF('ORDENES'!$AT260="","-",'ORDENES'!$AT260))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20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IF('ORDENES'!$A260="","",'ORDENES'!$AF260)</f>
        <v/>
      </c>
    </row>
    <row r="283">
      <c r="A283" s="5">
        <f>IF('ORDENES'!$A261="","",IF('ORDENES'!$O261="","-",'ORDENES'!$O261))</f>
        <v/>
      </c>
      <c r="B283" s="5">
        <f>IF('ORDENES'!$A261="","",IF('ORDENES'!$S261="","-",'ORDENES'!$S261))</f>
        <v/>
      </c>
      <c r="C283" s="5">
        <f>IF('ORDENES'!$A261="","",IF('ORDENES'!$AH261="","-",'ORDENES'!$AH261))</f>
        <v/>
      </c>
      <c r="D283" s="5">
        <f>IF('ORDENES'!$A261="","",IF('ORDENES'!$Z261="","-",'ORDENES'!$Z261))</f>
        <v/>
      </c>
      <c r="E283" s="5">
        <f>IF('ORDENES'!$A261="","",IF('ORDENES'!$X261="","-",'ORDENES'!$X261))</f>
        <v/>
      </c>
      <c r="F283" s="5">
        <f>IF('ORDENES'!$A261="","",IF('ORDENES'!$AA261="","-",'ORDENES'!$AA261))</f>
        <v/>
      </c>
      <c r="G283" s="5">
        <f>IF('ORDENES'!$A261="","",IF('ORDENES'!$Y261="","-",'ORDENES'!$Y261))</f>
        <v/>
      </c>
      <c r="H283" s="5">
        <f>IF('ORDENES'!$A261="","",IF('ORDENES'!$AG261="","-",'ORDENES'!$AG261))</f>
        <v/>
      </c>
      <c r="I283" s="5">
        <f>IF('ORDENES'!$A261="","",IF('ORDENES'!$AT261="","-",'ORDENES'!$AT261))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20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IF('ORDENES'!$A261="","",'ORDENES'!$AF261)</f>
        <v/>
      </c>
    </row>
    <row r="284">
      <c r="A284" s="5">
        <f>IF('ORDENES'!$A262="","",IF('ORDENES'!$O262="","-",'ORDENES'!$O262))</f>
        <v/>
      </c>
      <c r="B284" s="5">
        <f>IF('ORDENES'!$A262="","",IF('ORDENES'!$S262="","-",'ORDENES'!$S262))</f>
        <v/>
      </c>
      <c r="C284" s="5">
        <f>IF('ORDENES'!$A262="","",IF('ORDENES'!$AH262="","-",'ORDENES'!$AH262))</f>
        <v/>
      </c>
      <c r="D284" s="5">
        <f>IF('ORDENES'!$A262="","",IF('ORDENES'!$Z262="","-",'ORDENES'!$Z262))</f>
        <v/>
      </c>
      <c r="E284" s="5">
        <f>IF('ORDENES'!$A262="","",IF('ORDENES'!$X262="","-",'ORDENES'!$X262))</f>
        <v/>
      </c>
      <c r="F284" s="5">
        <f>IF('ORDENES'!$A262="","",IF('ORDENES'!$AA262="","-",'ORDENES'!$AA262))</f>
        <v/>
      </c>
      <c r="G284" s="5">
        <f>IF('ORDENES'!$A262="","",IF('ORDENES'!$Y262="","-",'ORDENES'!$Y262))</f>
        <v/>
      </c>
      <c r="H284" s="5">
        <f>IF('ORDENES'!$A262="","",IF('ORDENES'!$AG262="","-",'ORDENES'!$AG262))</f>
        <v/>
      </c>
      <c r="I284" s="5">
        <f>IF('ORDENES'!$A262="","",IF('ORDENES'!$AT262="","-",'ORDENES'!$AT262))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20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IF('ORDENES'!$A262="","",'ORDENES'!$AF262)</f>
        <v/>
      </c>
    </row>
    <row r="285">
      <c r="A285" s="5">
        <f>IF('ORDENES'!$A263="","",IF('ORDENES'!$O263="","-",'ORDENES'!$O263))</f>
        <v/>
      </c>
      <c r="B285" s="5">
        <f>IF('ORDENES'!$A263="","",IF('ORDENES'!$S263="","-",'ORDENES'!$S263))</f>
        <v/>
      </c>
      <c r="C285" s="5">
        <f>IF('ORDENES'!$A263="","",IF('ORDENES'!$AH263="","-",'ORDENES'!$AH263))</f>
        <v/>
      </c>
      <c r="D285" s="5">
        <f>IF('ORDENES'!$A263="","",IF('ORDENES'!$Z263="","-",'ORDENES'!$Z263))</f>
        <v/>
      </c>
      <c r="E285" s="5">
        <f>IF('ORDENES'!$A263="","",IF('ORDENES'!$X263="","-",'ORDENES'!$X263))</f>
        <v/>
      </c>
      <c r="F285" s="5">
        <f>IF('ORDENES'!$A263="","",IF('ORDENES'!$AA263="","-",'ORDENES'!$AA263))</f>
        <v/>
      </c>
      <c r="G285" s="5">
        <f>IF('ORDENES'!$A263="","",IF('ORDENES'!$Y263="","-",'ORDENES'!$Y263))</f>
        <v/>
      </c>
      <c r="H285" s="5">
        <f>IF('ORDENES'!$A263="","",IF('ORDENES'!$AG263="","-",'ORDENES'!$AG263))</f>
        <v/>
      </c>
      <c r="I285" s="5">
        <f>IF('ORDENES'!$A263="","",IF('ORDENES'!$AT263="","-",'ORDENES'!$AT263))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20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IF('ORDENES'!$A263="","",'ORDENES'!$AF263)</f>
        <v/>
      </c>
    </row>
    <row r="286">
      <c r="A286" s="5">
        <f>IF('ORDENES'!$A264="","",IF('ORDENES'!$O264="","-",'ORDENES'!$O264))</f>
        <v/>
      </c>
      <c r="B286" s="5">
        <f>IF('ORDENES'!$A264="","",IF('ORDENES'!$S264="","-",'ORDENES'!$S264))</f>
        <v/>
      </c>
      <c r="C286" s="5">
        <f>IF('ORDENES'!$A264="","",IF('ORDENES'!$AH264="","-",'ORDENES'!$AH264))</f>
        <v/>
      </c>
      <c r="D286" s="5">
        <f>IF('ORDENES'!$A264="","",IF('ORDENES'!$Z264="","-",'ORDENES'!$Z264))</f>
        <v/>
      </c>
      <c r="E286" s="5">
        <f>IF('ORDENES'!$A264="","",IF('ORDENES'!$X264="","-",'ORDENES'!$X264))</f>
        <v/>
      </c>
      <c r="F286" s="5">
        <f>IF('ORDENES'!$A264="","",IF('ORDENES'!$AA264="","-",'ORDENES'!$AA264))</f>
        <v/>
      </c>
      <c r="G286" s="5">
        <f>IF('ORDENES'!$A264="","",IF('ORDENES'!$Y264="","-",'ORDENES'!$Y264))</f>
        <v/>
      </c>
      <c r="H286" s="5">
        <f>IF('ORDENES'!$A264="","",IF('ORDENES'!$AG264="","-",'ORDENES'!$AG264))</f>
        <v/>
      </c>
      <c r="I286" s="5">
        <f>IF('ORDENES'!$A264="","",IF('ORDENES'!$AT264="","-",'ORDENES'!$AT264))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20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IF('ORDENES'!$A264="","",'ORDENES'!$AF264)</f>
        <v/>
      </c>
    </row>
    <row r="287">
      <c r="A287" s="5">
        <f>IF('ORDENES'!$A265="","",IF('ORDENES'!$O265="","-",'ORDENES'!$O265))</f>
        <v/>
      </c>
      <c r="B287" s="5">
        <f>IF('ORDENES'!$A265="","",IF('ORDENES'!$S265="","-",'ORDENES'!$S265))</f>
        <v/>
      </c>
      <c r="C287" s="5">
        <f>IF('ORDENES'!$A265="","",IF('ORDENES'!$AH265="","-",'ORDENES'!$AH265))</f>
        <v/>
      </c>
      <c r="D287" s="5">
        <f>IF('ORDENES'!$A265="","",IF('ORDENES'!$Z265="","-",'ORDENES'!$Z265))</f>
        <v/>
      </c>
      <c r="E287" s="5">
        <f>IF('ORDENES'!$A265="","",IF('ORDENES'!$X265="","-",'ORDENES'!$X265))</f>
        <v/>
      </c>
      <c r="F287" s="5">
        <f>IF('ORDENES'!$A265="","",IF('ORDENES'!$AA265="","-",'ORDENES'!$AA265))</f>
        <v/>
      </c>
      <c r="G287" s="5">
        <f>IF('ORDENES'!$A265="","",IF('ORDENES'!$Y265="","-",'ORDENES'!$Y265))</f>
        <v/>
      </c>
      <c r="H287" s="5">
        <f>IF('ORDENES'!$A265="","",IF('ORDENES'!$AG265="","-",'ORDENES'!$AG265))</f>
        <v/>
      </c>
      <c r="I287" s="5">
        <f>IF('ORDENES'!$A265="","",IF('ORDENES'!$AT265="","-",'ORDENES'!$AT265))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20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IF('ORDENES'!$A265="","",'ORDENES'!$AF265)</f>
        <v/>
      </c>
    </row>
    <row r="288">
      <c r="A288" s="5">
        <f>IF('ORDENES'!$A266="","",IF('ORDENES'!$O266="","-",'ORDENES'!$O266))</f>
        <v/>
      </c>
      <c r="B288" s="5">
        <f>IF('ORDENES'!$A266="","",IF('ORDENES'!$S266="","-",'ORDENES'!$S266))</f>
        <v/>
      </c>
      <c r="C288" s="5">
        <f>IF('ORDENES'!$A266="","",IF('ORDENES'!$AH266="","-",'ORDENES'!$AH266))</f>
        <v/>
      </c>
      <c r="D288" s="5">
        <f>IF('ORDENES'!$A266="","",IF('ORDENES'!$Z266="","-",'ORDENES'!$Z266))</f>
        <v/>
      </c>
      <c r="E288" s="5">
        <f>IF('ORDENES'!$A266="","",IF('ORDENES'!$X266="","-",'ORDENES'!$X266))</f>
        <v/>
      </c>
      <c r="F288" s="5">
        <f>IF('ORDENES'!$A266="","",IF('ORDENES'!$AA266="","-",'ORDENES'!$AA266))</f>
        <v/>
      </c>
      <c r="G288" s="5">
        <f>IF('ORDENES'!$A266="","",IF('ORDENES'!$Y266="","-",'ORDENES'!$Y266))</f>
        <v/>
      </c>
      <c r="H288" s="5">
        <f>IF('ORDENES'!$A266="","",IF('ORDENES'!$AG266="","-",'ORDENES'!$AG266))</f>
        <v/>
      </c>
      <c r="I288" s="5">
        <f>IF('ORDENES'!$A266="","",IF('ORDENES'!$AT266="","-",'ORDENES'!$AT266))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20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IF('ORDENES'!$A266="","",'ORDENES'!$AF266)</f>
        <v/>
      </c>
    </row>
    <row r="289">
      <c r="A289" s="5">
        <f>IF('ORDENES'!$A267="","",IF('ORDENES'!$O267="","-",'ORDENES'!$O267))</f>
        <v/>
      </c>
      <c r="B289" s="5">
        <f>IF('ORDENES'!$A267="","",IF('ORDENES'!$S267="","-",'ORDENES'!$S267))</f>
        <v/>
      </c>
      <c r="C289" s="5">
        <f>IF('ORDENES'!$A267="","",IF('ORDENES'!$AH267="","-",'ORDENES'!$AH267))</f>
        <v/>
      </c>
      <c r="D289" s="5">
        <f>IF('ORDENES'!$A267="","",IF('ORDENES'!$Z267="","-",'ORDENES'!$Z267))</f>
        <v/>
      </c>
      <c r="E289" s="5">
        <f>IF('ORDENES'!$A267="","",IF('ORDENES'!$X267="","-",'ORDENES'!$X267))</f>
        <v/>
      </c>
      <c r="F289" s="5">
        <f>IF('ORDENES'!$A267="","",IF('ORDENES'!$AA267="","-",'ORDENES'!$AA267))</f>
        <v/>
      </c>
      <c r="G289" s="5">
        <f>IF('ORDENES'!$A267="","",IF('ORDENES'!$Y267="","-",'ORDENES'!$Y267))</f>
        <v/>
      </c>
      <c r="H289" s="5">
        <f>IF('ORDENES'!$A267="","",IF('ORDENES'!$AG267="","-",'ORDENES'!$AG267))</f>
        <v/>
      </c>
      <c r="I289" s="5">
        <f>IF('ORDENES'!$A267="","",IF('ORDENES'!$AT267="","-",'ORDENES'!$AT267))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20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IF('ORDENES'!$A267="","",'ORDENES'!$AF267)</f>
        <v/>
      </c>
    </row>
    <row r="290">
      <c r="A290" s="5">
        <f>IF('ORDENES'!$A268="","",IF('ORDENES'!$O268="","-",'ORDENES'!$O268))</f>
        <v/>
      </c>
      <c r="B290" s="5">
        <f>IF('ORDENES'!$A268="","",IF('ORDENES'!$S268="","-",'ORDENES'!$S268))</f>
        <v/>
      </c>
      <c r="C290" s="5">
        <f>IF('ORDENES'!$A268="","",IF('ORDENES'!$AH268="","-",'ORDENES'!$AH268))</f>
        <v/>
      </c>
      <c r="D290" s="5">
        <f>IF('ORDENES'!$A268="","",IF('ORDENES'!$Z268="","-",'ORDENES'!$Z268))</f>
        <v/>
      </c>
      <c r="E290" s="5">
        <f>IF('ORDENES'!$A268="","",IF('ORDENES'!$X268="","-",'ORDENES'!$X268))</f>
        <v/>
      </c>
      <c r="F290" s="5">
        <f>IF('ORDENES'!$A268="","",IF('ORDENES'!$AA268="","-",'ORDENES'!$AA268))</f>
        <v/>
      </c>
      <c r="G290" s="5">
        <f>IF('ORDENES'!$A268="","",IF('ORDENES'!$Y268="","-",'ORDENES'!$Y268))</f>
        <v/>
      </c>
      <c r="H290" s="5">
        <f>IF('ORDENES'!$A268="","",IF('ORDENES'!$AG268="","-",'ORDENES'!$AG268))</f>
        <v/>
      </c>
      <c r="I290" s="5">
        <f>IF('ORDENES'!$A268="","",IF('ORDENES'!$AT268="","-",'ORDENES'!$AT268))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20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IF('ORDENES'!$A268="","",'ORDENES'!$AF268)</f>
        <v/>
      </c>
    </row>
    <row r="291">
      <c r="A291" s="5">
        <f>IF('ORDENES'!$A269="","",IF('ORDENES'!$O269="","-",'ORDENES'!$O269))</f>
        <v/>
      </c>
      <c r="B291" s="5">
        <f>IF('ORDENES'!$A269="","",IF('ORDENES'!$S269="","-",'ORDENES'!$S269))</f>
        <v/>
      </c>
      <c r="C291" s="5">
        <f>IF('ORDENES'!$A269="","",IF('ORDENES'!$AH269="","-",'ORDENES'!$AH269))</f>
        <v/>
      </c>
      <c r="D291" s="5">
        <f>IF('ORDENES'!$A269="","",IF('ORDENES'!$Z269="","-",'ORDENES'!$Z269))</f>
        <v/>
      </c>
      <c r="E291" s="5">
        <f>IF('ORDENES'!$A269="","",IF('ORDENES'!$X269="","-",'ORDENES'!$X269))</f>
        <v/>
      </c>
      <c r="F291" s="5">
        <f>IF('ORDENES'!$A269="","",IF('ORDENES'!$AA269="","-",'ORDENES'!$AA269))</f>
        <v/>
      </c>
      <c r="G291" s="5">
        <f>IF('ORDENES'!$A269="","",IF('ORDENES'!$Y269="","-",'ORDENES'!$Y269))</f>
        <v/>
      </c>
      <c r="H291" s="5">
        <f>IF('ORDENES'!$A269="","",IF('ORDENES'!$AG269="","-",'ORDENES'!$AG269))</f>
        <v/>
      </c>
      <c r="I291" s="5">
        <f>IF('ORDENES'!$A269="","",IF('ORDENES'!$AT269="","-",'ORDENES'!$AT269))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20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IF('ORDENES'!$A269="","",'ORDENES'!$AF269)</f>
        <v/>
      </c>
    </row>
    <row r="292">
      <c r="A292" s="5">
        <f>IF('ORDENES'!$A270="","",IF('ORDENES'!$O270="","-",'ORDENES'!$O270))</f>
        <v/>
      </c>
      <c r="B292" s="5">
        <f>IF('ORDENES'!$A270="","",IF('ORDENES'!$S270="","-",'ORDENES'!$S270))</f>
        <v/>
      </c>
      <c r="C292" s="5">
        <f>IF('ORDENES'!$A270="","",IF('ORDENES'!$AH270="","-",'ORDENES'!$AH270))</f>
        <v/>
      </c>
      <c r="D292" s="5">
        <f>IF('ORDENES'!$A270="","",IF('ORDENES'!$Z270="","-",'ORDENES'!$Z270))</f>
        <v/>
      </c>
      <c r="E292" s="5">
        <f>IF('ORDENES'!$A270="","",IF('ORDENES'!$X270="","-",'ORDENES'!$X270))</f>
        <v/>
      </c>
      <c r="F292" s="5">
        <f>IF('ORDENES'!$A270="","",IF('ORDENES'!$AA270="","-",'ORDENES'!$AA270))</f>
        <v/>
      </c>
      <c r="G292" s="5">
        <f>IF('ORDENES'!$A270="","",IF('ORDENES'!$Y270="","-",'ORDENES'!$Y270))</f>
        <v/>
      </c>
      <c r="H292" s="5">
        <f>IF('ORDENES'!$A270="","",IF('ORDENES'!$AG270="","-",'ORDENES'!$AG270))</f>
        <v/>
      </c>
      <c r="I292" s="5">
        <f>IF('ORDENES'!$A270="","",IF('ORDENES'!$AT270="","-",'ORDENES'!$AT270))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20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IF('ORDENES'!$A270="","",'ORDENES'!$AF270)</f>
        <v/>
      </c>
    </row>
    <row r="293">
      <c r="A293" s="5">
        <f>IF('ORDENES'!$A271="","",IF('ORDENES'!$O271="","-",'ORDENES'!$O271))</f>
        <v/>
      </c>
      <c r="B293" s="5">
        <f>IF('ORDENES'!$A271="","",IF('ORDENES'!$S271="","-",'ORDENES'!$S271))</f>
        <v/>
      </c>
      <c r="C293" s="5">
        <f>IF('ORDENES'!$A271="","",IF('ORDENES'!$AH271="","-",'ORDENES'!$AH271))</f>
        <v/>
      </c>
      <c r="D293" s="5">
        <f>IF('ORDENES'!$A271="","",IF('ORDENES'!$Z271="","-",'ORDENES'!$Z271))</f>
        <v/>
      </c>
      <c r="E293" s="5">
        <f>IF('ORDENES'!$A271="","",IF('ORDENES'!$X271="","-",'ORDENES'!$X271))</f>
        <v/>
      </c>
      <c r="F293" s="5">
        <f>IF('ORDENES'!$A271="","",IF('ORDENES'!$AA271="","-",'ORDENES'!$AA271))</f>
        <v/>
      </c>
      <c r="G293" s="5">
        <f>IF('ORDENES'!$A271="","",IF('ORDENES'!$Y271="","-",'ORDENES'!$Y271))</f>
        <v/>
      </c>
      <c r="H293" s="5">
        <f>IF('ORDENES'!$A271="","",IF('ORDENES'!$AG271="","-",'ORDENES'!$AG271))</f>
        <v/>
      </c>
      <c r="I293" s="5">
        <f>IF('ORDENES'!$A271="","",IF('ORDENES'!$AT271="","-",'ORDENES'!$AT271))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20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IF('ORDENES'!$A271="","",'ORDENES'!$AF271)</f>
        <v/>
      </c>
    </row>
    <row r="294">
      <c r="A294" s="5">
        <f>IF('ORDENES'!$A272="","",IF('ORDENES'!$O272="","-",'ORDENES'!$O272))</f>
        <v/>
      </c>
      <c r="B294" s="5">
        <f>IF('ORDENES'!$A272="","",IF('ORDENES'!$S272="","-",'ORDENES'!$S272))</f>
        <v/>
      </c>
      <c r="C294" s="5">
        <f>IF('ORDENES'!$A272="","",IF('ORDENES'!$AH272="","-",'ORDENES'!$AH272))</f>
        <v/>
      </c>
      <c r="D294" s="5">
        <f>IF('ORDENES'!$A272="","",IF('ORDENES'!$Z272="","-",'ORDENES'!$Z272))</f>
        <v/>
      </c>
      <c r="E294" s="5">
        <f>IF('ORDENES'!$A272="","",IF('ORDENES'!$X272="","-",'ORDENES'!$X272))</f>
        <v/>
      </c>
      <c r="F294" s="5">
        <f>IF('ORDENES'!$A272="","",IF('ORDENES'!$AA272="","-",'ORDENES'!$AA272))</f>
        <v/>
      </c>
      <c r="G294" s="5">
        <f>IF('ORDENES'!$A272="","",IF('ORDENES'!$Y272="","-",'ORDENES'!$Y272))</f>
        <v/>
      </c>
      <c r="H294" s="5">
        <f>IF('ORDENES'!$A272="","",IF('ORDENES'!$AG272="","-",'ORDENES'!$AG272))</f>
        <v/>
      </c>
      <c r="I294" s="5">
        <f>IF('ORDENES'!$A272="","",IF('ORDENES'!$AT272="","-",'ORDENES'!$AT272))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20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IF('ORDENES'!$A272="","",'ORDENES'!$AF272)</f>
        <v/>
      </c>
    </row>
    <row r="295">
      <c r="A295" s="5">
        <f>IF('ORDENES'!$A273="","",IF('ORDENES'!$O273="","-",'ORDENES'!$O273))</f>
        <v/>
      </c>
      <c r="B295" s="5">
        <f>IF('ORDENES'!$A273="","",IF('ORDENES'!$S273="","-",'ORDENES'!$S273))</f>
        <v/>
      </c>
      <c r="C295" s="5">
        <f>IF('ORDENES'!$A273="","",IF('ORDENES'!$AH273="","-",'ORDENES'!$AH273))</f>
        <v/>
      </c>
      <c r="D295" s="5">
        <f>IF('ORDENES'!$A273="","",IF('ORDENES'!$Z273="","-",'ORDENES'!$Z273))</f>
        <v/>
      </c>
      <c r="E295" s="5">
        <f>IF('ORDENES'!$A273="","",IF('ORDENES'!$X273="","-",'ORDENES'!$X273))</f>
        <v/>
      </c>
      <c r="F295" s="5">
        <f>IF('ORDENES'!$A273="","",IF('ORDENES'!$AA273="","-",'ORDENES'!$AA273))</f>
        <v/>
      </c>
      <c r="G295" s="5">
        <f>IF('ORDENES'!$A273="","",IF('ORDENES'!$Y273="","-",'ORDENES'!$Y273))</f>
        <v/>
      </c>
      <c r="H295" s="5">
        <f>IF('ORDENES'!$A273="","",IF('ORDENES'!$AG273="","-",'ORDENES'!$AG273))</f>
        <v/>
      </c>
      <c r="I295" s="5">
        <f>IF('ORDENES'!$A273="","",IF('ORDENES'!$AT273="","-",'ORDENES'!$AT273))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20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IF('ORDENES'!$A273="","",'ORDENES'!$AF273)</f>
        <v/>
      </c>
    </row>
    <row r="296">
      <c r="A296" s="5">
        <f>IF('ORDENES'!$A274="","",IF('ORDENES'!$O274="","-",'ORDENES'!$O274))</f>
        <v/>
      </c>
      <c r="B296" s="5">
        <f>IF('ORDENES'!$A274="","",IF('ORDENES'!$S274="","-",'ORDENES'!$S274))</f>
        <v/>
      </c>
      <c r="C296" s="5">
        <f>IF('ORDENES'!$A274="","",IF('ORDENES'!$AH274="","-",'ORDENES'!$AH274))</f>
        <v/>
      </c>
      <c r="D296" s="5">
        <f>IF('ORDENES'!$A274="","",IF('ORDENES'!$Z274="","-",'ORDENES'!$Z274))</f>
        <v/>
      </c>
      <c r="E296" s="5">
        <f>IF('ORDENES'!$A274="","",IF('ORDENES'!$X274="","-",'ORDENES'!$X274))</f>
        <v/>
      </c>
      <c r="F296" s="5">
        <f>IF('ORDENES'!$A274="","",IF('ORDENES'!$AA274="","-",'ORDENES'!$AA274))</f>
        <v/>
      </c>
      <c r="G296" s="5">
        <f>IF('ORDENES'!$A274="","",IF('ORDENES'!$Y274="","-",'ORDENES'!$Y274))</f>
        <v/>
      </c>
      <c r="H296" s="5">
        <f>IF('ORDENES'!$A274="","",IF('ORDENES'!$AG274="","-",'ORDENES'!$AG274))</f>
        <v/>
      </c>
      <c r="I296" s="5">
        <f>IF('ORDENES'!$A274="","",IF('ORDENES'!$AT274="","-",'ORDENES'!$AT274))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20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IF('ORDENES'!$A274="","",'ORDENES'!$AF274)</f>
        <v/>
      </c>
    </row>
    <row r="297">
      <c r="A297" s="5">
        <f>IF('ORDENES'!$A275="","",IF('ORDENES'!$O275="","-",'ORDENES'!$O275))</f>
        <v/>
      </c>
      <c r="B297" s="5">
        <f>IF('ORDENES'!$A275="","",IF('ORDENES'!$S275="","-",'ORDENES'!$S275))</f>
        <v/>
      </c>
      <c r="C297" s="5">
        <f>IF('ORDENES'!$A275="","",IF('ORDENES'!$AH275="","-",'ORDENES'!$AH275))</f>
        <v/>
      </c>
      <c r="D297" s="5">
        <f>IF('ORDENES'!$A275="","",IF('ORDENES'!$Z275="","-",'ORDENES'!$Z275))</f>
        <v/>
      </c>
      <c r="E297" s="5">
        <f>IF('ORDENES'!$A275="","",IF('ORDENES'!$X275="","-",'ORDENES'!$X275))</f>
        <v/>
      </c>
      <c r="F297" s="5">
        <f>IF('ORDENES'!$A275="","",IF('ORDENES'!$AA275="","-",'ORDENES'!$AA275))</f>
        <v/>
      </c>
      <c r="G297" s="5">
        <f>IF('ORDENES'!$A275="","",IF('ORDENES'!$Y275="","-",'ORDENES'!$Y275))</f>
        <v/>
      </c>
      <c r="H297" s="5">
        <f>IF('ORDENES'!$A275="","",IF('ORDENES'!$AG275="","-",'ORDENES'!$AG275))</f>
        <v/>
      </c>
      <c r="I297" s="5">
        <f>IF('ORDENES'!$A275="","",IF('ORDENES'!$AT275="","-",'ORDENES'!$AT275))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20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IF('ORDENES'!$A275="","",'ORDENES'!$AF275)</f>
        <v/>
      </c>
    </row>
    <row r="298">
      <c r="A298" s="5">
        <f>IF('ORDENES'!$A276="","",IF('ORDENES'!$O276="","-",'ORDENES'!$O276))</f>
        <v/>
      </c>
      <c r="B298" s="5">
        <f>IF('ORDENES'!$A276="","",IF('ORDENES'!$S276="","-",'ORDENES'!$S276))</f>
        <v/>
      </c>
      <c r="C298" s="5">
        <f>IF('ORDENES'!$A276="","",IF('ORDENES'!$AH276="","-",'ORDENES'!$AH276))</f>
        <v/>
      </c>
      <c r="D298" s="5">
        <f>IF('ORDENES'!$A276="","",IF('ORDENES'!$Z276="","-",'ORDENES'!$Z276))</f>
        <v/>
      </c>
      <c r="E298" s="5">
        <f>IF('ORDENES'!$A276="","",IF('ORDENES'!$X276="","-",'ORDENES'!$X276))</f>
        <v/>
      </c>
      <c r="F298" s="5">
        <f>IF('ORDENES'!$A276="","",IF('ORDENES'!$AA276="","-",'ORDENES'!$AA276))</f>
        <v/>
      </c>
      <c r="G298" s="5">
        <f>IF('ORDENES'!$A276="","",IF('ORDENES'!$Y276="","-",'ORDENES'!$Y276))</f>
        <v/>
      </c>
      <c r="H298" s="5">
        <f>IF('ORDENES'!$A276="","",IF('ORDENES'!$AG276="","-",'ORDENES'!$AG276))</f>
        <v/>
      </c>
      <c r="I298" s="5">
        <f>IF('ORDENES'!$A276="","",IF('ORDENES'!$AT276="","-",'ORDENES'!$AT276))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20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IF('ORDENES'!$A276="","",'ORDENES'!$AF276)</f>
        <v/>
      </c>
    </row>
    <row r="299">
      <c r="A299" s="5">
        <f>IF('ORDENES'!$A277="","",IF('ORDENES'!$O277="","-",'ORDENES'!$O277))</f>
        <v/>
      </c>
      <c r="B299" s="5">
        <f>IF('ORDENES'!$A277="","",IF('ORDENES'!$S277="","-",'ORDENES'!$S277))</f>
        <v/>
      </c>
      <c r="C299" s="5">
        <f>IF('ORDENES'!$A277="","",IF('ORDENES'!$AH277="","-",'ORDENES'!$AH277))</f>
        <v/>
      </c>
      <c r="D299" s="5">
        <f>IF('ORDENES'!$A277="","",IF('ORDENES'!$Z277="","-",'ORDENES'!$Z277))</f>
        <v/>
      </c>
      <c r="E299" s="5">
        <f>IF('ORDENES'!$A277="","",IF('ORDENES'!$X277="","-",'ORDENES'!$X277))</f>
        <v/>
      </c>
      <c r="F299" s="5">
        <f>IF('ORDENES'!$A277="","",IF('ORDENES'!$AA277="","-",'ORDENES'!$AA277))</f>
        <v/>
      </c>
      <c r="G299" s="5">
        <f>IF('ORDENES'!$A277="","",IF('ORDENES'!$Y277="","-",'ORDENES'!$Y277))</f>
        <v/>
      </c>
      <c r="H299" s="5">
        <f>IF('ORDENES'!$A277="","",IF('ORDENES'!$AG277="","-",'ORDENES'!$AG277))</f>
        <v/>
      </c>
      <c r="I299" s="5">
        <f>IF('ORDENES'!$A277="","",IF('ORDENES'!$AT277="","-",'ORDENES'!$AT277))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20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IF('ORDENES'!$A277="","",'ORDENES'!$AF277)</f>
        <v/>
      </c>
    </row>
    <row r="300">
      <c r="A300" s="5">
        <f>IF('ORDENES'!$A278="","",IF('ORDENES'!$O278="","-",'ORDENES'!$O278))</f>
        <v/>
      </c>
      <c r="B300" s="5">
        <f>IF('ORDENES'!$A278="","",IF('ORDENES'!$S278="","-",'ORDENES'!$S278))</f>
        <v/>
      </c>
      <c r="C300" s="5">
        <f>IF('ORDENES'!$A278="","",IF('ORDENES'!$AH278="","-",'ORDENES'!$AH278))</f>
        <v/>
      </c>
      <c r="D300" s="5">
        <f>IF('ORDENES'!$A278="","",IF('ORDENES'!$Z278="","-",'ORDENES'!$Z278))</f>
        <v/>
      </c>
      <c r="E300" s="5">
        <f>IF('ORDENES'!$A278="","",IF('ORDENES'!$X278="","-",'ORDENES'!$X278))</f>
        <v/>
      </c>
      <c r="F300" s="5">
        <f>IF('ORDENES'!$A278="","",IF('ORDENES'!$AA278="","-",'ORDENES'!$AA278))</f>
        <v/>
      </c>
      <c r="G300" s="5">
        <f>IF('ORDENES'!$A278="","",IF('ORDENES'!$Y278="","-",'ORDENES'!$Y278))</f>
        <v/>
      </c>
      <c r="H300" s="5">
        <f>IF('ORDENES'!$A278="","",IF('ORDENES'!$AG278="","-",'ORDENES'!$AG278))</f>
        <v/>
      </c>
      <c r="I300" s="5">
        <f>IF('ORDENES'!$A278="","",IF('ORDENES'!$AT278="","-",'ORDENES'!$AT278))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20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IF('ORDENES'!$A278="","",'ORDENES'!$AF278)</f>
        <v/>
      </c>
    </row>
    <row r="301">
      <c r="A301" s="5">
        <f>IF('ORDENES'!$A279="","",IF('ORDENES'!$O279="","-",'ORDENES'!$O279))</f>
        <v/>
      </c>
      <c r="B301" s="5">
        <f>IF('ORDENES'!$A279="","",IF('ORDENES'!$S279="","-",'ORDENES'!$S279))</f>
        <v/>
      </c>
      <c r="C301" s="5">
        <f>IF('ORDENES'!$A279="","",IF('ORDENES'!$AH279="","-",'ORDENES'!$AH279))</f>
        <v/>
      </c>
      <c r="D301" s="5">
        <f>IF('ORDENES'!$A279="","",IF('ORDENES'!$Z279="","-",'ORDENES'!$Z279))</f>
        <v/>
      </c>
      <c r="E301" s="5">
        <f>IF('ORDENES'!$A279="","",IF('ORDENES'!$X279="","-",'ORDENES'!$X279))</f>
        <v/>
      </c>
      <c r="F301" s="5">
        <f>IF('ORDENES'!$A279="","",IF('ORDENES'!$AA279="","-",'ORDENES'!$AA279))</f>
        <v/>
      </c>
      <c r="G301" s="5">
        <f>IF('ORDENES'!$A279="","",IF('ORDENES'!$Y279="","-",'ORDENES'!$Y279))</f>
        <v/>
      </c>
      <c r="H301" s="5">
        <f>IF('ORDENES'!$A279="","",IF('ORDENES'!$AG279="","-",'ORDENES'!$AG279))</f>
        <v/>
      </c>
      <c r="I301" s="5">
        <f>IF('ORDENES'!$A279="","",IF('ORDENES'!$AT279="","-",'ORDENES'!$AT279))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20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IF('ORDENES'!$A279="","",'ORDENES'!$AF279)</f>
        <v/>
      </c>
    </row>
    <row r="302">
      <c r="A302" s="5">
        <f>IF('ORDENES'!$A280="","",IF('ORDENES'!$O280="","-",'ORDENES'!$O280))</f>
        <v/>
      </c>
      <c r="B302" s="5">
        <f>IF('ORDENES'!$A280="","",IF('ORDENES'!$S280="","-",'ORDENES'!$S280))</f>
        <v/>
      </c>
      <c r="C302" s="5">
        <f>IF('ORDENES'!$A280="","",IF('ORDENES'!$AH280="","-",'ORDENES'!$AH280))</f>
        <v/>
      </c>
      <c r="D302" s="5">
        <f>IF('ORDENES'!$A280="","",IF('ORDENES'!$Z280="","-",'ORDENES'!$Z280))</f>
        <v/>
      </c>
      <c r="E302" s="5">
        <f>IF('ORDENES'!$A280="","",IF('ORDENES'!$X280="","-",'ORDENES'!$X280))</f>
        <v/>
      </c>
      <c r="F302" s="5">
        <f>IF('ORDENES'!$A280="","",IF('ORDENES'!$AA280="","-",'ORDENES'!$AA280))</f>
        <v/>
      </c>
      <c r="G302" s="5">
        <f>IF('ORDENES'!$A280="","",IF('ORDENES'!$Y280="","-",'ORDENES'!$Y280))</f>
        <v/>
      </c>
      <c r="H302" s="5">
        <f>IF('ORDENES'!$A280="","",IF('ORDENES'!$AG280="","-",'ORDENES'!$AG280))</f>
        <v/>
      </c>
      <c r="I302" s="5">
        <f>IF('ORDENES'!$A280="","",IF('ORDENES'!$AT280="","-",'ORDENES'!$AT280))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20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IF('ORDENES'!$A280="","",'ORDENES'!$AF280)</f>
        <v/>
      </c>
    </row>
    <row r="303">
      <c r="A303" s="5">
        <f>IF('ORDENES'!$A281="","",IF('ORDENES'!$O281="","-",'ORDENES'!$O281))</f>
        <v/>
      </c>
      <c r="B303" s="5">
        <f>IF('ORDENES'!$A281="","",IF('ORDENES'!$S281="","-",'ORDENES'!$S281))</f>
        <v/>
      </c>
      <c r="C303" s="5">
        <f>IF('ORDENES'!$A281="","",IF('ORDENES'!$AH281="","-",'ORDENES'!$AH281))</f>
        <v/>
      </c>
      <c r="D303" s="5">
        <f>IF('ORDENES'!$A281="","",IF('ORDENES'!$Z281="","-",'ORDENES'!$Z281))</f>
        <v/>
      </c>
      <c r="E303" s="5">
        <f>IF('ORDENES'!$A281="","",IF('ORDENES'!$X281="","-",'ORDENES'!$X281))</f>
        <v/>
      </c>
      <c r="F303" s="5">
        <f>IF('ORDENES'!$A281="","",IF('ORDENES'!$AA281="","-",'ORDENES'!$AA281))</f>
        <v/>
      </c>
      <c r="G303" s="5">
        <f>IF('ORDENES'!$A281="","",IF('ORDENES'!$Y281="","-",'ORDENES'!$Y281))</f>
        <v/>
      </c>
      <c r="H303" s="5">
        <f>IF('ORDENES'!$A281="","",IF('ORDENES'!$AG281="","-",'ORDENES'!$AG281))</f>
        <v/>
      </c>
      <c r="I303" s="5">
        <f>IF('ORDENES'!$A281="","",IF('ORDENES'!$AT281="","-",'ORDENES'!$AT281))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20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IF('ORDENES'!$A281="","",'ORDENES'!$AF281)</f>
        <v/>
      </c>
    </row>
    <row r="304">
      <c r="A304" s="5">
        <f>IF('ORDENES'!$A282="","",IF('ORDENES'!$O282="","-",'ORDENES'!$O282))</f>
        <v/>
      </c>
      <c r="B304" s="5">
        <f>IF('ORDENES'!$A282="","",IF('ORDENES'!$S282="","-",'ORDENES'!$S282))</f>
        <v/>
      </c>
      <c r="C304" s="5">
        <f>IF('ORDENES'!$A282="","",IF('ORDENES'!$AH282="","-",'ORDENES'!$AH282))</f>
        <v/>
      </c>
      <c r="D304" s="5">
        <f>IF('ORDENES'!$A282="","",IF('ORDENES'!$Z282="","-",'ORDENES'!$Z282))</f>
        <v/>
      </c>
      <c r="E304" s="5">
        <f>IF('ORDENES'!$A282="","",IF('ORDENES'!$X282="","-",'ORDENES'!$X282))</f>
        <v/>
      </c>
      <c r="F304" s="5">
        <f>IF('ORDENES'!$A282="","",IF('ORDENES'!$AA282="","-",'ORDENES'!$AA282))</f>
        <v/>
      </c>
      <c r="G304" s="5">
        <f>IF('ORDENES'!$A282="","",IF('ORDENES'!$Y282="","-",'ORDENES'!$Y282))</f>
        <v/>
      </c>
      <c r="H304" s="5">
        <f>IF('ORDENES'!$A282="","",IF('ORDENES'!$AG282="","-",'ORDENES'!$AG282))</f>
        <v/>
      </c>
      <c r="I304" s="5">
        <f>IF('ORDENES'!$A282="","",IF('ORDENES'!$AT282="","-",'ORDENES'!$AT282))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20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IF('ORDENES'!$A282="","",'ORDENES'!$AF282)</f>
        <v/>
      </c>
    </row>
    <row r="305">
      <c r="A305" s="5">
        <f>IF('ORDENES'!$A283="","",IF('ORDENES'!$O283="","-",'ORDENES'!$O283))</f>
        <v/>
      </c>
      <c r="B305" s="5">
        <f>IF('ORDENES'!$A283="","",IF('ORDENES'!$S283="","-",'ORDENES'!$S283))</f>
        <v/>
      </c>
      <c r="C305" s="5">
        <f>IF('ORDENES'!$A283="","",IF('ORDENES'!$AH283="","-",'ORDENES'!$AH283))</f>
        <v/>
      </c>
      <c r="D305" s="5">
        <f>IF('ORDENES'!$A283="","",IF('ORDENES'!$Z283="","-",'ORDENES'!$Z283))</f>
        <v/>
      </c>
      <c r="E305" s="5">
        <f>IF('ORDENES'!$A283="","",IF('ORDENES'!$X283="","-",'ORDENES'!$X283))</f>
        <v/>
      </c>
      <c r="F305" s="5">
        <f>IF('ORDENES'!$A283="","",IF('ORDENES'!$AA283="","-",'ORDENES'!$AA283))</f>
        <v/>
      </c>
      <c r="G305" s="5">
        <f>IF('ORDENES'!$A283="","",IF('ORDENES'!$Y283="","-",'ORDENES'!$Y283))</f>
        <v/>
      </c>
      <c r="H305" s="5">
        <f>IF('ORDENES'!$A283="","",IF('ORDENES'!$AG283="","-",'ORDENES'!$AG283))</f>
        <v/>
      </c>
      <c r="I305" s="5">
        <f>IF('ORDENES'!$A283="","",IF('ORDENES'!$AT283="","-",'ORDENES'!$AT283))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20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IF('ORDENES'!$A283="","",'ORDENES'!$AF283)</f>
        <v/>
      </c>
    </row>
    <row r="306">
      <c r="A306" s="5">
        <f>IF('ORDENES'!$A284="","",IF('ORDENES'!$O284="","-",'ORDENES'!$O284))</f>
        <v/>
      </c>
      <c r="B306" s="5">
        <f>IF('ORDENES'!$A284="","",IF('ORDENES'!$S284="","-",'ORDENES'!$S284))</f>
        <v/>
      </c>
      <c r="C306" s="5">
        <f>IF('ORDENES'!$A284="","",IF('ORDENES'!$AH284="","-",'ORDENES'!$AH284))</f>
        <v/>
      </c>
      <c r="D306" s="5">
        <f>IF('ORDENES'!$A284="","",IF('ORDENES'!$Z284="","-",'ORDENES'!$Z284))</f>
        <v/>
      </c>
      <c r="E306" s="5">
        <f>IF('ORDENES'!$A284="","",IF('ORDENES'!$X284="","-",'ORDENES'!$X284))</f>
        <v/>
      </c>
      <c r="F306" s="5">
        <f>IF('ORDENES'!$A284="","",IF('ORDENES'!$AA284="","-",'ORDENES'!$AA284))</f>
        <v/>
      </c>
      <c r="G306" s="5">
        <f>IF('ORDENES'!$A284="","",IF('ORDENES'!$Y284="","-",'ORDENES'!$Y284))</f>
        <v/>
      </c>
      <c r="H306" s="5">
        <f>IF('ORDENES'!$A284="","",IF('ORDENES'!$AG284="","-",'ORDENES'!$AG284))</f>
        <v/>
      </c>
      <c r="I306" s="5">
        <f>IF('ORDENES'!$A284="","",IF('ORDENES'!$AT284="","-",'ORDENES'!$AT284))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20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IF('ORDENES'!$A284="","",'ORDENES'!$AF284)</f>
        <v/>
      </c>
    </row>
    <row r="307">
      <c r="A307" s="5">
        <f>IF('ORDENES'!$A285="","",IF('ORDENES'!$O285="","-",'ORDENES'!$O285))</f>
        <v/>
      </c>
      <c r="B307" s="5">
        <f>IF('ORDENES'!$A285="","",IF('ORDENES'!$S285="","-",'ORDENES'!$S285))</f>
        <v/>
      </c>
      <c r="C307" s="5">
        <f>IF('ORDENES'!$A285="","",IF('ORDENES'!$AH285="","-",'ORDENES'!$AH285))</f>
        <v/>
      </c>
      <c r="D307" s="5">
        <f>IF('ORDENES'!$A285="","",IF('ORDENES'!$Z285="","-",'ORDENES'!$Z285))</f>
        <v/>
      </c>
      <c r="E307" s="5">
        <f>IF('ORDENES'!$A285="","",IF('ORDENES'!$X285="","-",'ORDENES'!$X285))</f>
        <v/>
      </c>
      <c r="F307" s="5">
        <f>IF('ORDENES'!$A285="","",IF('ORDENES'!$AA285="","-",'ORDENES'!$AA285))</f>
        <v/>
      </c>
      <c r="G307" s="5">
        <f>IF('ORDENES'!$A285="","",IF('ORDENES'!$Y285="","-",'ORDENES'!$Y285))</f>
        <v/>
      </c>
      <c r="H307" s="5">
        <f>IF('ORDENES'!$A285="","",IF('ORDENES'!$AG285="","-",'ORDENES'!$AG285))</f>
        <v/>
      </c>
      <c r="I307" s="5">
        <f>IF('ORDENES'!$A285="","",IF('ORDENES'!$AT285="","-",'ORDENES'!$AT285))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20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IF('ORDENES'!$A285="","",'ORDENES'!$AF285)</f>
        <v/>
      </c>
    </row>
    <row r="308">
      <c r="A308" s="5">
        <f>IF('ORDENES'!$A286="","",IF('ORDENES'!$O286="","-",'ORDENES'!$O286))</f>
        <v/>
      </c>
      <c r="B308" s="5">
        <f>IF('ORDENES'!$A286="","",IF('ORDENES'!$S286="","-",'ORDENES'!$S286))</f>
        <v/>
      </c>
      <c r="C308" s="5">
        <f>IF('ORDENES'!$A286="","",IF('ORDENES'!$AH286="","-",'ORDENES'!$AH286))</f>
        <v/>
      </c>
      <c r="D308" s="5">
        <f>IF('ORDENES'!$A286="","",IF('ORDENES'!$Z286="","-",'ORDENES'!$Z286))</f>
        <v/>
      </c>
      <c r="E308" s="5">
        <f>IF('ORDENES'!$A286="","",IF('ORDENES'!$X286="","-",'ORDENES'!$X286))</f>
        <v/>
      </c>
      <c r="F308" s="5">
        <f>IF('ORDENES'!$A286="","",IF('ORDENES'!$AA286="","-",'ORDENES'!$AA286))</f>
        <v/>
      </c>
      <c r="G308" s="5">
        <f>IF('ORDENES'!$A286="","",IF('ORDENES'!$Y286="","-",'ORDENES'!$Y286))</f>
        <v/>
      </c>
      <c r="H308" s="5">
        <f>IF('ORDENES'!$A286="","",IF('ORDENES'!$AG286="","-",'ORDENES'!$AG286))</f>
        <v/>
      </c>
      <c r="I308" s="5">
        <f>IF('ORDENES'!$A286="","",IF('ORDENES'!$AT286="","-",'ORDENES'!$AT286))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20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IF('ORDENES'!$A286="","",'ORDENES'!$AF286)</f>
        <v/>
      </c>
    </row>
    <row r="309">
      <c r="A309" s="5">
        <f>IF('ORDENES'!$A287="","",IF('ORDENES'!$O287="","-",'ORDENES'!$O287))</f>
        <v/>
      </c>
      <c r="B309" s="5">
        <f>IF('ORDENES'!$A287="","",IF('ORDENES'!$S287="","-",'ORDENES'!$S287))</f>
        <v/>
      </c>
      <c r="C309" s="5">
        <f>IF('ORDENES'!$A287="","",IF('ORDENES'!$AH287="","-",'ORDENES'!$AH287))</f>
        <v/>
      </c>
      <c r="D309" s="5">
        <f>IF('ORDENES'!$A287="","",IF('ORDENES'!$Z287="","-",'ORDENES'!$Z287))</f>
        <v/>
      </c>
      <c r="E309" s="5">
        <f>IF('ORDENES'!$A287="","",IF('ORDENES'!$X287="","-",'ORDENES'!$X287))</f>
        <v/>
      </c>
      <c r="F309" s="5">
        <f>IF('ORDENES'!$A287="","",IF('ORDENES'!$AA287="","-",'ORDENES'!$AA287))</f>
        <v/>
      </c>
      <c r="G309" s="5">
        <f>IF('ORDENES'!$A287="","",IF('ORDENES'!$Y287="","-",'ORDENES'!$Y287))</f>
        <v/>
      </c>
      <c r="H309" s="5">
        <f>IF('ORDENES'!$A287="","",IF('ORDENES'!$AG287="","-",'ORDENES'!$AG287))</f>
        <v/>
      </c>
      <c r="I309" s="5">
        <f>IF('ORDENES'!$A287="","",IF('ORDENES'!$AT287="","-",'ORDENES'!$AT287))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20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IF('ORDENES'!$A287="","",'ORDENES'!$AF287)</f>
        <v/>
      </c>
    </row>
    <row r="310">
      <c r="A310" s="5">
        <f>IF('ORDENES'!$A288="","",IF('ORDENES'!$O288="","-",'ORDENES'!$O288))</f>
        <v/>
      </c>
      <c r="B310" s="5">
        <f>IF('ORDENES'!$A288="","",IF('ORDENES'!$S288="","-",'ORDENES'!$S288))</f>
        <v/>
      </c>
      <c r="C310" s="5">
        <f>IF('ORDENES'!$A288="","",IF('ORDENES'!$AH288="","-",'ORDENES'!$AH288))</f>
        <v/>
      </c>
      <c r="D310" s="5">
        <f>IF('ORDENES'!$A288="","",IF('ORDENES'!$Z288="","-",'ORDENES'!$Z288))</f>
        <v/>
      </c>
      <c r="E310" s="5">
        <f>IF('ORDENES'!$A288="","",IF('ORDENES'!$X288="","-",'ORDENES'!$X288))</f>
        <v/>
      </c>
      <c r="F310" s="5">
        <f>IF('ORDENES'!$A288="","",IF('ORDENES'!$AA288="","-",'ORDENES'!$AA288))</f>
        <v/>
      </c>
      <c r="G310" s="5">
        <f>IF('ORDENES'!$A288="","",IF('ORDENES'!$Y288="","-",'ORDENES'!$Y288))</f>
        <v/>
      </c>
      <c r="H310" s="5">
        <f>IF('ORDENES'!$A288="","",IF('ORDENES'!$AG288="","-",'ORDENES'!$AG288))</f>
        <v/>
      </c>
      <c r="I310" s="5">
        <f>IF('ORDENES'!$A288="","",IF('ORDENES'!$AT288="","-",'ORDENES'!$AT288))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20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IF('ORDENES'!$A288="","",'ORDENES'!$AF288)</f>
        <v/>
      </c>
    </row>
    <row r="311">
      <c r="A311" s="5">
        <f>IF('ORDENES'!$A289="","",IF('ORDENES'!$O289="","-",'ORDENES'!$O289))</f>
        <v/>
      </c>
      <c r="B311" s="5">
        <f>IF('ORDENES'!$A289="","",IF('ORDENES'!$S289="","-",'ORDENES'!$S289))</f>
        <v/>
      </c>
      <c r="C311" s="5">
        <f>IF('ORDENES'!$A289="","",IF('ORDENES'!$AH289="","-",'ORDENES'!$AH289))</f>
        <v/>
      </c>
      <c r="D311" s="5">
        <f>IF('ORDENES'!$A289="","",IF('ORDENES'!$Z289="","-",'ORDENES'!$Z289))</f>
        <v/>
      </c>
      <c r="E311" s="5">
        <f>IF('ORDENES'!$A289="","",IF('ORDENES'!$X289="","-",'ORDENES'!$X289))</f>
        <v/>
      </c>
      <c r="F311" s="5">
        <f>IF('ORDENES'!$A289="","",IF('ORDENES'!$AA289="","-",'ORDENES'!$AA289))</f>
        <v/>
      </c>
      <c r="G311" s="5">
        <f>IF('ORDENES'!$A289="","",IF('ORDENES'!$Y289="","-",'ORDENES'!$Y289))</f>
        <v/>
      </c>
      <c r="H311" s="5">
        <f>IF('ORDENES'!$A289="","",IF('ORDENES'!$AG289="","-",'ORDENES'!$AG289))</f>
        <v/>
      </c>
      <c r="I311" s="5">
        <f>IF('ORDENES'!$A289="","",IF('ORDENES'!$AT289="","-",'ORDENES'!$AT289))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20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IF('ORDENES'!$A289="","",'ORDENES'!$AF289)</f>
        <v/>
      </c>
    </row>
    <row r="312">
      <c r="A312" s="5">
        <f>IF('ORDENES'!$A290="","",IF('ORDENES'!$O290="","-",'ORDENES'!$O290))</f>
        <v/>
      </c>
      <c r="B312" s="5">
        <f>IF('ORDENES'!$A290="","",IF('ORDENES'!$S290="","-",'ORDENES'!$S290))</f>
        <v/>
      </c>
      <c r="C312" s="5">
        <f>IF('ORDENES'!$A290="","",IF('ORDENES'!$AH290="","-",'ORDENES'!$AH290))</f>
        <v/>
      </c>
      <c r="D312" s="5">
        <f>IF('ORDENES'!$A290="","",IF('ORDENES'!$Z290="","-",'ORDENES'!$Z290))</f>
        <v/>
      </c>
      <c r="E312" s="5">
        <f>IF('ORDENES'!$A290="","",IF('ORDENES'!$X290="","-",'ORDENES'!$X290))</f>
        <v/>
      </c>
      <c r="F312" s="5">
        <f>IF('ORDENES'!$A290="","",IF('ORDENES'!$AA290="","-",'ORDENES'!$AA290))</f>
        <v/>
      </c>
      <c r="G312" s="5">
        <f>IF('ORDENES'!$A290="","",IF('ORDENES'!$Y290="","-",'ORDENES'!$Y290))</f>
        <v/>
      </c>
      <c r="H312" s="5">
        <f>IF('ORDENES'!$A290="","",IF('ORDENES'!$AG290="","-",'ORDENES'!$AG290))</f>
        <v/>
      </c>
      <c r="I312" s="5">
        <f>IF('ORDENES'!$A290="","",IF('ORDENES'!$AT290="","-",'ORDENES'!$AT290))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20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IF('ORDENES'!$A290="","",'ORDENES'!$AF290)</f>
        <v/>
      </c>
    </row>
    <row r="313">
      <c r="A313" s="5">
        <f>IF('ORDENES'!$A291="","",IF('ORDENES'!$O291="","-",'ORDENES'!$O291))</f>
        <v/>
      </c>
      <c r="B313" s="5">
        <f>IF('ORDENES'!$A291="","",IF('ORDENES'!$S291="","-",'ORDENES'!$S291))</f>
        <v/>
      </c>
      <c r="C313" s="5">
        <f>IF('ORDENES'!$A291="","",IF('ORDENES'!$AH291="","-",'ORDENES'!$AH291))</f>
        <v/>
      </c>
      <c r="D313" s="5">
        <f>IF('ORDENES'!$A291="","",IF('ORDENES'!$Z291="","-",'ORDENES'!$Z291))</f>
        <v/>
      </c>
      <c r="E313" s="5">
        <f>IF('ORDENES'!$A291="","",IF('ORDENES'!$X291="","-",'ORDENES'!$X291))</f>
        <v/>
      </c>
      <c r="F313" s="5">
        <f>IF('ORDENES'!$A291="","",IF('ORDENES'!$AA291="","-",'ORDENES'!$AA291))</f>
        <v/>
      </c>
      <c r="G313" s="5">
        <f>IF('ORDENES'!$A291="","",IF('ORDENES'!$Y291="","-",'ORDENES'!$Y291))</f>
        <v/>
      </c>
      <c r="H313" s="5">
        <f>IF('ORDENES'!$A291="","",IF('ORDENES'!$AG291="","-",'ORDENES'!$AG291))</f>
        <v/>
      </c>
      <c r="I313" s="5">
        <f>IF('ORDENES'!$A291="","",IF('ORDENES'!$AT291="","-",'ORDENES'!$AT291))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20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IF('ORDENES'!$A291="","",'ORDENES'!$AF291)</f>
        <v/>
      </c>
    </row>
    <row r="314">
      <c r="A314" s="5">
        <f>IF('ORDENES'!$A292="","",IF('ORDENES'!$O292="","-",'ORDENES'!$O292))</f>
        <v/>
      </c>
      <c r="B314" s="5">
        <f>IF('ORDENES'!$A292="","",IF('ORDENES'!$S292="","-",'ORDENES'!$S292))</f>
        <v/>
      </c>
      <c r="C314" s="5">
        <f>IF('ORDENES'!$A292="","",IF('ORDENES'!$AH292="","-",'ORDENES'!$AH292))</f>
        <v/>
      </c>
      <c r="D314" s="5">
        <f>IF('ORDENES'!$A292="","",IF('ORDENES'!$Z292="","-",'ORDENES'!$Z292))</f>
        <v/>
      </c>
      <c r="E314" s="5">
        <f>IF('ORDENES'!$A292="","",IF('ORDENES'!$X292="","-",'ORDENES'!$X292))</f>
        <v/>
      </c>
      <c r="F314" s="5">
        <f>IF('ORDENES'!$A292="","",IF('ORDENES'!$AA292="","-",'ORDENES'!$AA292))</f>
        <v/>
      </c>
      <c r="G314" s="5">
        <f>IF('ORDENES'!$A292="","",IF('ORDENES'!$Y292="","-",'ORDENES'!$Y292))</f>
        <v/>
      </c>
      <c r="H314" s="5">
        <f>IF('ORDENES'!$A292="","",IF('ORDENES'!$AG292="","-",'ORDENES'!$AG292))</f>
        <v/>
      </c>
      <c r="I314" s="5">
        <f>IF('ORDENES'!$A292="","",IF('ORDENES'!$AT292="","-",'ORDENES'!$AT292))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20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IF('ORDENES'!$A292="","",'ORDENES'!$AF292)</f>
        <v/>
      </c>
    </row>
    <row r="315">
      <c r="A315" s="5">
        <f>IF('ORDENES'!$A293="","",IF('ORDENES'!$O293="","-",'ORDENES'!$O293))</f>
        <v/>
      </c>
      <c r="B315" s="5">
        <f>IF('ORDENES'!$A293="","",IF('ORDENES'!$S293="","-",'ORDENES'!$S293))</f>
        <v/>
      </c>
      <c r="C315" s="5">
        <f>IF('ORDENES'!$A293="","",IF('ORDENES'!$AH293="","-",'ORDENES'!$AH293))</f>
        <v/>
      </c>
      <c r="D315" s="5">
        <f>IF('ORDENES'!$A293="","",IF('ORDENES'!$Z293="","-",'ORDENES'!$Z293))</f>
        <v/>
      </c>
      <c r="E315" s="5">
        <f>IF('ORDENES'!$A293="","",IF('ORDENES'!$X293="","-",'ORDENES'!$X293))</f>
        <v/>
      </c>
      <c r="F315" s="5">
        <f>IF('ORDENES'!$A293="","",IF('ORDENES'!$AA293="","-",'ORDENES'!$AA293))</f>
        <v/>
      </c>
      <c r="G315" s="5">
        <f>IF('ORDENES'!$A293="","",IF('ORDENES'!$Y293="","-",'ORDENES'!$Y293))</f>
        <v/>
      </c>
      <c r="H315" s="5">
        <f>IF('ORDENES'!$A293="","",IF('ORDENES'!$AG293="","-",'ORDENES'!$AG293))</f>
        <v/>
      </c>
      <c r="I315" s="5">
        <f>IF('ORDENES'!$A293="","",IF('ORDENES'!$AT293="","-",'ORDENES'!$AT293))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20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IF('ORDENES'!$A293="","",'ORDENES'!$AF293)</f>
        <v/>
      </c>
    </row>
    <row r="316">
      <c r="A316" s="5">
        <f>IF('ORDENES'!$A294="","",IF('ORDENES'!$O294="","-",'ORDENES'!$O294))</f>
        <v/>
      </c>
      <c r="B316" s="5">
        <f>IF('ORDENES'!$A294="","",IF('ORDENES'!$S294="","-",'ORDENES'!$S294))</f>
        <v/>
      </c>
      <c r="C316" s="5">
        <f>IF('ORDENES'!$A294="","",IF('ORDENES'!$AH294="","-",'ORDENES'!$AH294))</f>
        <v/>
      </c>
      <c r="D316" s="5">
        <f>IF('ORDENES'!$A294="","",IF('ORDENES'!$Z294="","-",'ORDENES'!$Z294))</f>
        <v/>
      </c>
      <c r="E316" s="5">
        <f>IF('ORDENES'!$A294="","",IF('ORDENES'!$X294="","-",'ORDENES'!$X294))</f>
        <v/>
      </c>
      <c r="F316" s="5">
        <f>IF('ORDENES'!$A294="","",IF('ORDENES'!$AA294="","-",'ORDENES'!$AA294))</f>
        <v/>
      </c>
      <c r="G316" s="5">
        <f>IF('ORDENES'!$A294="","",IF('ORDENES'!$Y294="","-",'ORDENES'!$Y294))</f>
        <v/>
      </c>
      <c r="H316" s="5">
        <f>IF('ORDENES'!$A294="","",IF('ORDENES'!$AG294="","-",'ORDENES'!$AG294))</f>
        <v/>
      </c>
      <c r="I316" s="5">
        <f>IF('ORDENES'!$A294="","",IF('ORDENES'!$AT294="","-",'ORDENES'!$AT294))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20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IF('ORDENES'!$A294="","",'ORDENES'!$AF294)</f>
        <v/>
      </c>
    </row>
    <row r="317">
      <c r="A317" s="5">
        <f>IF('ORDENES'!$A295="","",IF('ORDENES'!$O295="","-",'ORDENES'!$O295))</f>
        <v/>
      </c>
      <c r="B317" s="5">
        <f>IF('ORDENES'!$A295="","",IF('ORDENES'!$S295="","-",'ORDENES'!$S295))</f>
        <v/>
      </c>
      <c r="C317" s="5">
        <f>IF('ORDENES'!$A295="","",IF('ORDENES'!$AH295="","-",'ORDENES'!$AH295))</f>
        <v/>
      </c>
      <c r="D317" s="5">
        <f>IF('ORDENES'!$A295="","",IF('ORDENES'!$Z295="","-",'ORDENES'!$Z295))</f>
        <v/>
      </c>
      <c r="E317" s="5">
        <f>IF('ORDENES'!$A295="","",IF('ORDENES'!$X295="","-",'ORDENES'!$X295))</f>
        <v/>
      </c>
      <c r="F317" s="5">
        <f>IF('ORDENES'!$A295="","",IF('ORDENES'!$AA295="","-",'ORDENES'!$AA295))</f>
        <v/>
      </c>
      <c r="G317" s="5">
        <f>IF('ORDENES'!$A295="","",IF('ORDENES'!$Y295="","-",'ORDENES'!$Y295))</f>
        <v/>
      </c>
      <c r="H317" s="5">
        <f>IF('ORDENES'!$A295="","",IF('ORDENES'!$AG295="","-",'ORDENES'!$AG295))</f>
        <v/>
      </c>
      <c r="I317" s="5">
        <f>IF('ORDENES'!$A295="","",IF('ORDENES'!$AT295="","-",'ORDENES'!$AT295))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20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IF('ORDENES'!$A295="","",'ORDENES'!$AF295)</f>
        <v/>
      </c>
    </row>
    <row r="318">
      <c r="A318" s="5">
        <f>IF('ORDENES'!$A296="","",IF('ORDENES'!$O296="","-",'ORDENES'!$O296))</f>
        <v/>
      </c>
      <c r="B318" s="5">
        <f>IF('ORDENES'!$A296="","",IF('ORDENES'!$S296="","-",'ORDENES'!$S296))</f>
        <v/>
      </c>
      <c r="C318" s="5">
        <f>IF('ORDENES'!$A296="","",IF('ORDENES'!$AH296="","-",'ORDENES'!$AH296))</f>
        <v/>
      </c>
      <c r="D318" s="5">
        <f>IF('ORDENES'!$A296="","",IF('ORDENES'!$Z296="","-",'ORDENES'!$Z296))</f>
        <v/>
      </c>
      <c r="E318" s="5">
        <f>IF('ORDENES'!$A296="","",IF('ORDENES'!$X296="","-",'ORDENES'!$X296))</f>
        <v/>
      </c>
      <c r="F318" s="5">
        <f>IF('ORDENES'!$A296="","",IF('ORDENES'!$AA296="","-",'ORDENES'!$AA296))</f>
        <v/>
      </c>
      <c r="G318" s="5">
        <f>IF('ORDENES'!$A296="","",IF('ORDENES'!$Y296="","-",'ORDENES'!$Y296))</f>
        <v/>
      </c>
      <c r="H318" s="5">
        <f>IF('ORDENES'!$A296="","",IF('ORDENES'!$AG296="","-",'ORDENES'!$AG296))</f>
        <v/>
      </c>
      <c r="I318" s="5">
        <f>IF('ORDENES'!$A296="","",IF('ORDENES'!$AT296="","-",'ORDENES'!$AT296))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20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IF('ORDENES'!$A296="","",'ORDENES'!$AF296)</f>
        <v/>
      </c>
    </row>
    <row r="319">
      <c r="A319" s="5">
        <f>IF('ORDENES'!$A297="","",IF('ORDENES'!$O297="","-",'ORDENES'!$O297))</f>
        <v/>
      </c>
      <c r="B319" s="5">
        <f>IF('ORDENES'!$A297="","",IF('ORDENES'!$S297="","-",'ORDENES'!$S297))</f>
        <v/>
      </c>
      <c r="C319" s="5">
        <f>IF('ORDENES'!$A297="","",IF('ORDENES'!$AH297="","-",'ORDENES'!$AH297))</f>
        <v/>
      </c>
      <c r="D319" s="5">
        <f>IF('ORDENES'!$A297="","",IF('ORDENES'!$Z297="","-",'ORDENES'!$Z297))</f>
        <v/>
      </c>
      <c r="E319" s="5">
        <f>IF('ORDENES'!$A297="","",IF('ORDENES'!$X297="","-",'ORDENES'!$X297))</f>
        <v/>
      </c>
      <c r="F319" s="5">
        <f>IF('ORDENES'!$A297="","",IF('ORDENES'!$AA297="","-",'ORDENES'!$AA297))</f>
        <v/>
      </c>
      <c r="G319" s="5">
        <f>IF('ORDENES'!$A297="","",IF('ORDENES'!$Y297="","-",'ORDENES'!$Y297))</f>
        <v/>
      </c>
      <c r="H319" s="5">
        <f>IF('ORDENES'!$A297="","",IF('ORDENES'!$AG297="","-",'ORDENES'!$AG297))</f>
        <v/>
      </c>
      <c r="I319" s="5">
        <f>IF('ORDENES'!$A297="","",IF('ORDENES'!$AT297="","-",'ORDENES'!$AT297))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20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IF('ORDENES'!$A297="","",'ORDENES'!$AF297)</f>
        <v/>
      </c>
    </row>
    <row r="320">
      <c r="A320" s="5">
        <f>IF('ORDENES'!$A298="","",IF('ORDENES'!$O298="","-",'ORDENES'!$O298))</f>
        <v/>
      </c>
      <c r="B320" s="5">
        <f>IF('ORDENES'!$A298="","",IF('ORDENES'!$S298="","-",'ORDENES'!$S298))</f>
        <v/>
      </c>
      <c r="C320" s="5">
        <f>IF('ORDENES'!$A298="","",IF('ORDENES'!$AH298="","-",'ORDENES'!$AH298))</f>
        <v/>
      </c>
      <c r="D320" s="5">
        <f>IF('ORDENES'!$A298="","",IF('ORDENES'!$Z298="","-",'ORDENES'!$Z298))</f>
        <v/>
      </c>
      <c r="E320" s="5">
        <f>IF('ORDENES'!$A298="","",IF('ORDENES'!$X298="","-",'ORDENES'!$X298))</f>
        <v/>
      </c>
      <c r="F320" s="5">
        <f>IF('ORDENES'!$A298="","",IF('ORDENES'!$AA298="","-",'ORDENES'!$AA298))</f>
        <v/>
      </c>
      <c r="G320" s="5">
        <f>IF('ORDENES'!$A298="","",IF('ORDENES'!$Y298="","-",'ORDENES'!$Y298))</f>
        <v/>
      </c>
      <c r="H320" s="5">
        <f>IF('ORDENES'!$A298="","",IF('ORDENES'!$AG298="","-",'ORDENES'!$AG298))</f>
        <v/>
      </c>
      <c r="I320" s="5">
        <f>IF('ORDENES'!$A298="","",IF('ORDENES'!$AT298="","-",'ORDENES'!$AT298))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20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IF('ORDENES'!$A298="","",'ORDENES'!$AF298)</f>
        <v/>
      </c>
    </row>
    <row r="321">
      <c r="A321" s="5">
        <f>IF('ORDENES'!$A299="","",IF('ORDENES'!$O299="","-",'ORDENES'!$O299))</f>
        <v/>
      </c>
      <c r="B321" s="5">
        <f>IF('ORDENES'!$A299="","",IF('ORDENES'!$S299="","-",'ORDENES'!$S299))</f>
        <v/>
      </c>
      <c r="C321" s="5">
        <f>IF('ORDENES'!$A299="","",IF('ORDENES'!$AH299="","-",'ORDENES'!$AH299))</f>
        <v/>
      </c>
      <c r="D321" s="5">
        <f>IF('ORDENES'!$A299="","",IF('ORDENES'!$Z299="","-",'ORDENES'!$Z299))</f>
        <v/>
      </c>
      <c r="E321" s="5">
        <f>IF('ORDENES'!$A299="","",IF('ORDENES'!$X299="","-",'ORDENES'!$X299))</f>
        <v/>
      </c>
      <c r="F321" s="5">
        <f>IF('ORDENES'!$A299="","",IF('ORDENES'!$AA299="","-",'ORDENES'!$AA299))</f>
        <v/>
      </c>
      <c r="G321" s="5">
        <f>IF('ORDENES'!$A299="","",IF('ORDENES'!$Y299="","-",'ORDENES'!$Y299))</f>
        <v/>
      </c>
      <c r="H321" s="5">
        <f>IF('ORDENES'!$A299="","",IF('ORDENES'!$AG299="","-",'ORDENES'!$AG299))</f>
        <v/>
      </c>
      <c r="I321" s="5">
        <f>IF('ORDENES'!$A299="","",IF('ORDENES'!$AT299="","-",'ORDENES'!$AT299))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20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IF('ORDENES'!$A299="","",'ORDENES'!$AF299)</f>
        <v/>
      </c>
    </row>
    <row r="322">
      <c r="A322" s="5">
        <f>IF('ORDENES'!$A300="","",IF('ORDENES'!$O300="","-",'ORDENES'!$O300))</f>
        <v/>
      </c>
      <c r="B322" s="5">
        <f>IF('ORDENES'!$A300="","",IF('ORDENES'!$S300="","-",'ORDENES'!$S300))</f>
        <v/>
      </c>
      <c r="C322" s="5">
        <f>IF('ORDENES'!$A300="","",IF('ORDENES'!$AH300="","-",'ORDENES'!$AH300))</f>
        <v/>
      </c>
      <c r="D322" s="5">
        <f>IF('ORDENES'!$A300="","",IF('ORDENES'!$Z300="","-",'ORDENES'!$Z300))</f>
        <v/>
      </c>
      <c r="E322" s="5">
        <f>IF('ORDENES'!$A300="","",IF('ORDENES'!$X300="","-",'ORDENES'!$X300))</f>
        <v/>
      </c>
      <c r="F322" s="5">
        <f>IF('ORDENES'!$A300="","",IF('ORDENES'!$AA300="","-",'ORDENES'!$AA300))</f>
        <v/>
      </c>
      <c r="G322" s="5">
        <f>IF('ORDENES'!$A300="","",IF('ORDENES'!$Y300="","-",'ORDENES'!$Y300))</f>
        <v/>
      </c>
      <c r="H322" s="5">
        <f>IF('ORDENES'!$A300="","",IF('ORDENES'!$AG300="","-",'ORDENES'!$AG300))</f>
        <v/>
      </c>
      <c r="I322" s="5">
        <f>IF('ORDENES'!$A300="","",IF('ORDENES'!$AT300="","-",'ORDENES'!$AT300))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20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IF('ORDENES'!$A300="","",'ORDENES'!$AF300)</f>
        <v/>
      </c>
    </row>
    <row r="323">
      <c r="A323" s="5">
        <f>IF('ORDENES'!$A301="","",IF('ORDENES'!$O301="","-",'ORDENES'!$O301))</f>
        <v/>
      </c>
      <c r="B323" s="5">
        <f>IF('ORDENES'!$A301="","",IF('ORDENES'!$S301="","-",'ORDENES'!$S301))</f>
        <v/>
      </c>
      <c r="C323" s="5">
        <f>IF('ORDENES'!$A301="","",IF('ORDENES'!$AH301="","-",'ORDENES'!$AH301))</f>
        <v/>
      </c>
      <c r="D323" s="5">
        <f>IF('ORDENES'!$A301="","",IF('ORDENES'!$Z301="","-",'ORDENES'!$Z301))</f>
        <v/>
      </c>
      <c r="E323" s="5">
        <f>IF('ORDENES'!$A301="","",IF('ORDENES'!$X301="","-",'ORDENES'!$X301))</f>
        <v/>
      </c>
      <c r="F323" s="5">
        <f>IF('ORDENES'!$A301="","",IF('ORDENES'!$AA301="","-",'ORDENES'!$AA301))</f>
        <v/>
      </c>
      <c r="G323" s="5">
        <f>IF('ORDENES'!$A301="","",IF('ORDENES'!$Y301="","-",'ORDENES'!$Y301))</f>
        <v/>
      </c>
      <c r="H323" s="5">
        <f>IF('ORDENES'!$A301="","",IF('ORDENES'!$AG301="","-",'ORDENES'!$AG301))</f>
        <v/>
      </c>
      <c r="I323" s="5">
        <f>IF('ORDENES'!$A301="","",IF('ORDENES'!$AT301="","-",'ORDENES'!$AT301))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20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IF('ORDENES'!$A301="","",'ORDENES'!$AF301)</f>
        <v/>
      </c>
    </row>
    <row r="324">
      <c r="A324" s="5">
        <f>IF('ORDENES'!$A302="","",IF('ORDENES'!$O302="","-",'ORDENES'!$O302))</f>
        <v/>
      </c>
      <c r="B324" s="5">
        <f>IF('ORDENES'!$A302="","",IF('ORDENES'!$S302="","-",'ORDENES'!$S302))</f>
        <v/>
      </c>
      <c r="C324" s="5">
        <f>IF('ORDENES'!$A302="","",IF('ORDENES'!$AH302="","-",'ORDENES'!$AH302))</f>
        <v/>
      </c>
      <c r="D324" s="5">
        <f>IF('ORDENES'!$A302="","",IF('ORDENES'!$Z302="","-",'ORDENES'!$Z302))</f>
        <v/>
      </c>
      <c r="E324" s="5">
        <f>IF('ORDENES'!$A302="","",IF('ORDENES'!$X302="","-",'ORDENES'!$X302))</f>
        <v/>
      </c>
      <c r="F324" s="5">
        <f>IF('ORDENES'!$A302="","",IF('ORDENES'!$AA302="","-",'ORDENES'!$AA302))</f>
        <v/>
      </c>
      <c r="G324" s="5">
        <f>IF('ORDENES'!$A302="","",IF('ORDENES'!$Y302="","-",'ORDENES'!$Y302))</f>
        <v/>
      </c>
      <c r="H324" s="5">
        <f>IF('ORDENES'!$A302="","",IF('ORDENES'!$AG302="","-",'ORDENES'!$AG302))</f>
        <v/>
      </c>
      <c r="I324" s="5">
        <f>IF('ORDENES'!$A302="","",IF('ORDENES'!$AT302="","-",'ORDENES'!$AT302))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20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IF('ORDENES'!$A302="","",'ORDENES'!$AF302)</f>
        <v/>
      </c>
    </row>
    <row r="325">
      <c r="A325" s="5">
        <f>IF('ORDENES'!$A303="","",IF('ORDENES'!$O303="","-",'ORDENES'!$O303))</f>
        <v/>
      </c>
      <c r="B325" s="5">
        <f>IF('ORDENES'!$A303="","",IF('ORDENES'!$S303="","-",'ORDENES'!$S303))</f>
        <v/>
      </c>
      <c r="C325" s="5">
        <f>IF('ORDENES'!$A303="","",IF('ORDENES'!$AH303="","-",'ORDENES'!$AH303))</f>
        <v/>
      </c>
      <c r="D325" s="5">
        <f>IF('ORDENES'!$A303="","",IF('ORDENES'!$Z303="","-",'ORDENES'!$Z303))</f>
        <v/>
      </c>
      <c r="E325" s="5">
        <f>IF('ORDENES'!$A303="","",IF('ORDENES'!$X303="","-",'ORDENES'!$X303))</f>
        <v/>
      </c>
      <c r="F325" s="5">
        <f>IF('ORDENES'!$A303="","",IF('ORDENES'!$AA303="","-",'ORDENES'!$AA303))</f>
        <v/>
      </c>
      <c r="G325" s="5">
        <f>IF('ORDENES'!$A303="","",IF('ORDENES'!$Y303="","-",'ORDENES'!$Y303))</f>
        <v/>
      </c>
      <c r="H325" s="5">
        <f>IF('ORDENES'!$A303="","",IF('ORDENES'!$AG303="","-",'ORDENES'!$AG303))</f>
        <v/>
      </c>
      <c r="I325" s="5">
        <f>IF('ORDENES'!$A303="","",IF('ORDENES'!$AT303="","-",'ORDENES'!$AT303))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20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IF('ORDENES'!$A303="","",'ORDENES'!$AF303)</f>
        <v/>
      </c>
    </row>
    <row r="326">
      <c r="A326" s="5">
        <f>IF('ORDENES'!$A304="","",IF('ORDENES'!$O304="","-",'ORDENES'!$O304))</f>
        <v/>
      </c>
      <c r="B326" s="5">
        <f>IF('ORDENES'!$A304="","",IF('ORDENES'!$S304="","-",'ORDENES'!$S304))</f>
        <v/>
      </c>
      <c r="C326" s="5">
        <f>IF('ORDENES'!$A304="","",IF('ORDENES'!$AH304="","-",'ORDENES'!$AH304))</f>
        <v/>
      </c>
      <c r="D326" s="5">
        <f>IF('ORDENES'!$A304="","",IF('ORDENES'!$Z304="","-",'ORDENES'!$Z304))</f>
        <v/>
      </c>
      <c r="E326" s="5">
        <f>IF('ORDENES'!$A304="","",IF('ORDENES'!$X304="","-",'ORDENES'!$X304))</f>
        <v/>
      </c>
      <c r="F326" s="5">
        <f>IF('ORDENES'!$A304="","",IF('ORDENES'!$AA304="","-",'ORDENES'!$AA304))</f>
        <v/>
      </c>
      <c r="G326" s="5">
        <f>IF('ORDENES'!$A304="","",IF('ORDENES'!$Y304="","-",'ORDENES'!$Y304))</f>
        <v/>
      </c>
      <c r="H326" s="5">
        <f>IF('ORDENES'!$A304="","",IF('ORDENES'!$AG304="","-",'ORDENES'!$AG304))</f>
        <v/>
      </c>
      <c r="I326" s="5">
        <f>IF('ORDENES'!$A304="","",IF('ORDENES'!$AT304="","-",'ORDENES'!$AT304))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20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IF('ORDENES'!$A304="","",'ORDENES'!$AF304)</f>
        <v/>
      </c>
    </row>
    <row r="327">
      <c r="A327" s="5">
        <f>IF('ORDENES'!$A305="","",IF('ORDENES'!$O305="","-",'ORDENES'!$O305))</f>
        <v/>
      </c>
      <c r="B327" s="5">
        <f>IF('ORDENES'!$A305="","",IF('ORDENES'!$S305="","-",'ORDENES'!$S305))</f>
        <v/>
      </c>
      <c r="C327" s="5">
        <f>IF('ORDENES'!$A305="","",IF('ORDENES'!$AH305="","-",'ORDENES'!$AH305))</f>
        <v/>
      </c>
      <c r="D327" s="5">
        <f>IF('ORDENES'!$A305="","",IF('ORDENES'!$Z305="","-",'ORDENES'!$Z305))</f>
        <v/>
      </c>
      <c r="E327" s="5">
        <f>IF('ORDENES'!$A305="","",IF('ORDENES'!$X305="","-",'ORDENES'!$X305))</f>
        <v/>
      </c>
      <c r="F327" s="5">
        <f>IF('ORDENES'!$A305="","",IF('ORDENES'!$AA305="","-",'ORDENES'!$AA305))</f>
        <v/>
      </c>
      <c r="G327" s="5">
        <f>IF('ORDENES'!$A305="","",IF('ORDENES'!$Y305="","-",'ORDENES'!$Y305))</f>
        <v/>
      </c>
      <c r="H327" s="5">
        <f>IF('ORDENES'!$A305="","",IF('ORDENES'!$AG305="","-",'ORDENES'!$AG305))</f>
        <v/>
      </c>
      <c r="I327" s="5">
        <f>IF('ORDENES'!$A305="","",IF('ORDENES'!$AT305="","-",'ORDENES'!$AT305))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20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IF('ORDENES'!$A305="","",'ORDENES'!$AF305)</f>
        <v/>
      </c>
    </row>
    <row r="328">
      <c r="A328" s="5">
        <f>IF('ORDENES'!$A306="","",IF('ORDENES'!$O306="","-",'ORDENES'!$O306))</f>
        <v/>
      </c>
      <c r="B328" s="5">
        <f>IF('ORDENES'!$A306="","",IF('ORDENES'!$S306="","-",'ORDENES'!$S306))</f>
        <v/>
      </c>
      <c r="C328" s="5">
        <f>IF('ORDENES'!$A306="","",IF('ORDENES'!$AH306="","-",'ORDENES'!$AH306))</f>
        <v/>
      </c>
      <c r="D328" s="5">
        <f>IF('ORDENES'!$A306="","",IF('ORDENES'!$Z306="","-",'ORDENES'!$Z306))</f>
        <v/>
      </c>
      <c r="E328" s="5">
        <f>IF('ORDENES'!$A306="","",IF('ORDENES'!$X306="","-",'ORDENES'!$X306))</f>
        <v/>
      </c>
      <c r="F328" s="5">
        <f>IF('ORDENES'!$A306="","",IF('ORDENES'!$AA306="","-",'ORDENES'!$AA306))</f>
        <v/>
      </c>
      <c r="G328" s="5">
        <f>IF('ORDENES'!$A306="","",IF('ORDENES'!$Y306="","-",'ORDENES'!$Y306))</f>
        <v/>
      </c>
      <c r="H328" s="5">
        <f>IF('ORDENES'!$A306="","",IF('ORDENES'!$AG306="","-",'ORDENES'!$AG306))</f>
        <v/>
      </c>
      <c r="I328" s="5">
        <f>IF('ORDENES'!$A306="","",IF('ORDENES'!$AT306="","-",'ORDENES'!$AT306))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20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IF('ORDENES'!$A306="","",'ORDENES'!$AF306)</f>
        <v/>
      </c>
    </row>
    <row r="329">
      <c r="A329" s="5">
        <f>IF('ORDENES'!$A307="","",IF('ORDENES'!$O307="","-",'ORDENES'!$O307))</f>
        <v/>
      </c>
      <c r="B329" s="5">
        <f>IF('ORDENES'!$A307="","",IF('ORDENES'!$S307="","-",'ORDENES'!$S307))</f>
        <v/>
      </c>
      <c r="C329" s="5">
        <f>IF('ORDENES'!$A307="","",IF('ORDENES'!$AH307="","-",'ORDENES'!$AH307))</f>
        <v/>
      </c>
      <c r="D329" s="5">
        <f>IF('ORDENES'!$A307="","",IF('ORDENES'!$Z307="","-",'ORDENES'!$Z307))</f>
        <v/>
      </c>
      <c r="E329" s="5">
        <f>IF('ORDENES'!$A307="","",IF('ORDENES'!$X307="","-",'ORDENES'!$X307))</f>
        <v/>
      </c>
      <c r="F329" s="5">
        <f>IF('ORDENES'!$A307="","",IF('ORDENES'!$AA307="","-",'ORDENES'!$AA307))</f>
        <v/>
      </c>
      <c r="G329" s="5">
        <f>IF('ORDENES'!$A307="","",IF('ORDENES'!$Y307="","-",'ORDENES'!$Y307))</f>
        <v/>
      </c>
      <c r="H329" s="5">
        <f>IF('ORDENES'!$A307="","",IF('ORDENES'!$AG307="","-",'ORDENES'!$AG307))</f>
        <v/>
      </c>
      <c r="I329" s="5">
        <f>IF('ORDENES'!$A307="","",IF('ORDENES'!$AT307="","-",'ORDENES'!$AT307))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20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IF('ORDENES'!$A307="","",'ORDENES'!$AF307)</f>
        <v/>
      </c>
    </row>
    <row r="330">
      <c r="A330" s="5">
        <f>IF('ORDENES'!$A308="","",IF('ORDENES'!$O308="","-",'ORDENES'!$O308))</f>
        <v/>
      </c>
      <c r="B330" s="5">
        <f>IF('ORDENES'!$A308="","",IF('ORDENES'!$S308="","-",'ORDENES'!$S308))</f>
        <v/>
      </c>
      <c r="C330" s="5">
        <f>IF('ORDENES'!$A308="","",IF('ORDENES'!$AH308="","-",'ORDENES'!$AH308))</f>
        <v/>
      </c>
      <c r="D330" s="5">
        <f>IF('ORDENES'!$A308="","",IF('ORDENES'!$Z308="","-",'ORDENES'!$Z308))</f>
        <v/>
      </c>
      <c r="E330" s="5">
        <f>IF('ORDENES'!$A308="","",IF('ORDENES'!$X308="","-",'ORDENES'!$X308))</f>
        <v/>
      </c>
      <c r="F330" s="5">
        <f>IF('ORDENES'!$A308="","",IF('ORDENES'!$AA308="","-",'ORDENES'!$AA308))</f>
        <v/>
      </c>
      <c r="G330" s="5">
        <f>IF('ORDENES'!$A308="","",IF('ORDENES'!$Y308="","-",'ORDENES'!$Y308))</f>
        <v/>
      </c>
      <c r="H330" s="5">
        <f>IF('ORDENES'!$A308="","",IF('ORDENES'!$AG308="","-",'ORDENES'!$AG308))</f>
        <v/>
      </c>
      <c r="I330" s="5">
        <f>IF('ORDENES'!$A308="","",IF('ORDENES'!$AT308="","-",'ORDENES'!$AT308))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20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IF('ORDENES'!$A308="","",'ORDENES'!$AF308)</f>
        <v/>
      </c>
    </row>
    <row r="331">
      <c r="A331" s="5">
        <f>IF('ORDENES'!$A309="","",IF('ORDENES'!$O309="","-",'ORDENES'!$O309))</f>
        <v/>
      </c>
      <c r="B331" s="5">
        <f>IF('ORDENES'!$A309="","",IF('ORDENES'!$S309="","-",'ORDENES'!$S309))</f>
        <v/>
      </c>
      <c r="C331" s="5">
        <f>IF('ORDENES'!$A309="","",IF('ORDENES'!$AH309="","-",'ORDENES'!$AH309))</f>
        <v/>
      </c>
      <c r="D331" s="5">
        <f>IF('ORDENES'!$A309="","",IF('ORDENES'!$Z309="","-",'ORDENES'!$Z309))</f>
        <v/>
      </c>
      <c r="E331" s="5">
        <f>IF('ORDENES'!$A309="","",IF('ORDENES'!$X309="","-",'ORDENES'!$X309))</f>
        <v/>
      </c>
      <c r="F331" s="5">
        <f>IF('ORDENES'!$A309="","",IF('ORDENES'!$AA309="","-",'ORDENES'!$AA309))</f>
        <v/>
      </c>
      <c r="G331" s="5">
        <f>IF('ORDENES'!$A309="","",IF('ORDENES'!$Y309="","-",'ORDENES'!$Y309))</f>
        <v/>
      </c>
      <c r="H331" s="5">
        <f>IF('ORDENES'!$A309="","",IF('ORDENES'!$AG309="","-",'ORDENES'!$AG309))</f>
        <v/>
      </c>
      <c r="I331" s="5">
        <f>IF('ORDENES'!$A309="","",IF('ORDENES'!$AT309="","-",'ORDENES'!$AT309))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20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IF('ORDENES'!$A309="","",'ORDENES'!$AF309)</f>
        <v/>
      </c>
    </row>
    <row r="332">
      <c r="A332" s="5">
        <f>IF('ORDENES'!$A310="","",IF('ORDENES'!$O310="","-",'ORDENES'!$O310))</f>
        <v/>
      </c>
      <c r="B332" s="5">
        <f>IF('ORDENES'!$A310="","",IF('ORDENES'!$S310="","-",'ORDENES'!$S310))</f>
        <v/>
      </c>
      <c r="C332" s="5">
        <f>IF('ORDENES'!$A310="","",IF('ORDENES'!$AH310="","-",'ORDENES'!$AH310))</f>
        <v/>
      </c>
      <c r="D332" s="5">
        <f>IF('ORDENES'!$A310="","",IF('ORDENES'!$Z310="","-",'ORDENES'!$Z310))</f>
        <v/>
      </c>
      <c r="E332" s="5">
        <f>IF('ORDENES'!$A310="","",IF('ORDENES'!$X310="","-",'ORDENES'!$X310))</f>
        <v/>
      </c>
      <c r="F332" s="5">
        <f>IF('ORDENES'!$A310="","",IF('ORDENES'!$AA310="","-",'ORDENES'!$AA310))</f>
        <v/>
      </c>
      <c r="G332" s="5">
        <f>IF('ORDENES'!$A310="","",IF('ORDENES'!$Y310="","-",'ORDENES'!$Y310))</f>
        <v/>
      </c>
      <c r="H332" s="5">
        <f>IF('ORDENES'!$A310="","",IF('ORDENES'!$AG310="","-",'ORDENES'!$AG310))</f>
        <v/>
      </c>
      <c r="I332" s="5">
        <f>IF('ORDENES'!$A310="","",IF('ORDENES'!$AT310="","-",'ORDENES'!$AT310))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20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IF('ORDENES'!$A310="","",'ORDENES'!$AF310)</f>
        <v/>
      </c>
    </row>
    <row r="333">
      <c r="A333" s="5">
        <f>IF('ORDENES'!$A311="","",IF('ORDENES'!$O311="","-",'ORDENES'!$O311))</f>
        <v/>
      </c>
      <c r="B333" s="5">
        <f>IF('ORDENES'!$A311="","",IF('ORDENES'!$S311="","-",'ORDENES'!$S311))</f>
        <v/>
      </c>
      <c r="C333" s="5">
        <f>IF('ORDENES'!$A311="","",IF('ORDENES'!$AH311="","-",'ORDENES'!$AH311))</f>
        <v/>
      </c>
      <c r="D333" s="5">
        <f>IF('ORDENES'!$A311="","",IF('ORDENES'!$Z311="","-",'ORDENES'!$Z311))</f>
        <v/>
      </c>
      <c r="E333" s="5">
        <f>IF('ORDENES'!$A311="","",IF('ORDENES'!$X311="","-",'ORDENES'!$X311))</f>
        <v/>
      </c>
      <c r="F333" s="5">
        <f>IF('ORDENES'!$A311="","",IF('ORDENES'!$AA311="","-",'ORDENES'!$AA311))</f>
        <v/>
      </c>
      <c r="G333" s="5">
        <f>IF('ORDENES'!$A311="","",IF('ORDENES'!$Y311="","-",'ORDENES'!$Y311))</f>
        <v/>
      </c>
      <c r="H333" s="5">
        <f>IF('ORDENES'!$A311="","",IF('ORDENES'!$AG311="","-",'ORDENES'!$AG311))</f>
        <v/>
      </c>
      <c r="I333" s="5">
        <f>IF('ORDENES'!$A311="","",IF('ORDENES'!$AT311="","-",'ORDENES'!$AT311))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20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IF('ORDENES'!$A311="","",'ORDENES'!$AF311)</f>
        <v/>
      </c>
    </row>
    <row r="334">
      <c r="A334" s="5">
        <f>IF('ORDENES'!$A312="","",IF('ORDENES'!$O312="","-",'ORDENES'!$O312))</f>
        <v/>
      </c>
      <c r="B334" s="5">
        <f>IF('ORDENES'!$A312="","",IF('ORDENES'!$S312="","-",'ORDENES'!$S312))</f>
        <v/>
      </c>
      <c r="C334" s="5">
        <f>IF('ORDENES'!$A312="","",IF('ORDENES'!$AH312="","-",'ORDENES'!$AH312))</f>
        <v/>
      </c>
      <c r="D334" s="5">
        <f>IF('ORDENES'!$A312="","",IF('ORDENES'!$Z312="","-",'ORDENES'!$Z312))</f>
        <v/>
      </c>
      <c r="E334" s="5">
        <f>IF('ORDENES'!$A312="","",IF('ORDENES'!$X312="","-",'ORDENES'!$X312))</f>
        <v/>
      </c>
      <c r="F334" s="5">
        <f>IF('ORDENES'!$A312="","",IF('ORDENES'!$AA312="","-",'ORDENES'!$AA312))</f>
        <v/>
      </c>
      <c r="G334" s="5">
        <f>IF('ORDENES'!$A312="","",IF('ORDENES'!$Y312="","-",'ORDENES'!$Y312))</f>
        <v/>
      </c>
      <c r="H334" s="5">
        <f>IF('ORDENES'!$A312="","",IF('ORDENES'!$AG312="","-",'ORDENES'!$AG312))</f>
        <v/>
      </c>
      <c r="I334" s="5">
        <f>IF('ORDENES'!$A312="","",IF('ORDENES'!$AT312="","-",'ORDENES'!$AT312))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20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IF('ORDENES'!$A312="","",'ORDENES'!$AF312)</f>
        <v/>
      </c>
    </row>
    <row r="335">
      <c r="A335" s="5">
        <f>IF('ORDENES'!$A313="","",IF('ORDENES'!$O313="","-",'ORDENES'!$O313))</f>
        <v/>
      </c>
      <c r="B335" s="5">
        <f>IF('ORDENES'!$A313="","",IF('ORDENES'!$S313="","-",'ORDENES'!$S313))</f>
        <v/>
      </c>
      <c r="C335" s="5">
        <f>IF('ORDENES'!$A313="","",IF('ORDENES'!$AH313="","-",'ORDENES'!$AH313))</f>
        <v/>
      </c>
      <c r="D335" s="5">
        <f>IF('ORDENES'!$A313="","",IF('ORDENES'!$Z313="","-",'ORDENES'!$Z313))</f>
        <v/>
      </c>
      <c r="E335" s="5">
        <f>IF('ORDENES'!$A313="","",IF('ORDENES'!$X313="","-",'ORDENES'!$X313))</f>
        <v/>
      </c>
      <c r="F335" s="5">
        <f>IF('ORDENES'!$A313="","",IF('ORDENES'!$AA313="","-",'ORDENES'!$AA313))</f>
        <v/>
      </c>
      <c r="G335" s="5">
        <f>IF('ORDENES'!$A313="","",IF('ORDENES'!$Y313="","-",'ORDENES'!$Y313))</f>
        <v/>
      </c>
      <c r="H335" s="5">
        <f>IF('ORDENES'!$A313="","",IF('ORDENES'!$AG313="","-",'ORDENES'!$AG313))</f>
        <v/>
      </c>
      <c r="I335" s="5">
        <f>IF('ORDENES'!$A313="","",IF('ORDENES'!$AT313="","-",'ORDENES'!$AT313))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20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IF('ORDENES'!$A313="","",'ORDENES'!$AF313)</f>
        <v/>
      </c>
    </row>
    <row r="336">
      <c r="A336" s="5">
        <f>IF('ORDENES'!$A314="","",IF('ORDENES'!$O314="","-",'ORDENES'!$O314))</f>
        <v/>
      </c>
      <c r="B336" s="5">
        <f>IF('ORDENES'!$A314="","",IF('ORDENES'!$S314="","-",'ORDENES'!$S314))</f>
        <v/>
      </c>
      <c r="C336" s="5">
        <f>IF('ORDENES'!$A314="","",IF('ORDENES'!$AH314="","-",'ORDENES'!$AH314))</f>
        <v/>
      </c>
      <c r="D336" s="5">
        <f>IF('ORDENES'!$A314="","",IF('ORDENES'!$Z314="","-",'ORDENES'!$Z314))</f>
        <v/>
      </c>
      <c r="E336" s="5">
        <f>IF('ORDENES'!$A314="","",IF('ORDENES'!$X314="","-",'ORDENES'!$X314))</f>
        <v/>
      </c>
      <c r="F336" s="5">
        <f>IF('ORDENES'!$A314="","",IF('ORDENES'!$AA314="","-",'ORDENES'!$AA314))</f>
        <v/>
      </c>
      <c r="G336" s="5">
        <f>IF('ORDENES'!$A314="","",IF('ORDENES'!$Y314="","-",'ORDENES'!$Y314))</f>
        <v/>
      </c>
      <c r="H336" s="5">
        <f>IF('ORDENES'!$A314="","",IF('ORDENES'!$AG314="","-",'ORDENES'!$AG314))</f>
        <v/>
      </c>
      <c r="I336" s="5">
        <f>IF('ORDENES'!$A314="","",IF('ORDENES'!$AT314="","-",'ORDENES'!$AT314))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20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IF('ORDENES'!$A314="","",'ORDENES'!$AF314)</f>
        <v/>
      </c>
    </row>
    <row r="337">
      <c r="A337" s="5">
        <f>IF('ORDENES'!$A315="","",IF('ORDENES'!$O315="","-",'ORDENES'!$O315))</f>
        <v/>
      </c>
      <c r="B337" s="5">
        <f>IF('ORDENES'!$A315="","",IF('ORDENES'!$S315="","-",'ORDENES'!$S315))</f>
        <v/>
      </c>
      <c r="C337" s="5">
        <f>IF('ORDENES'!$A315="","",IF('ORDENES'!$AH315="","-",'ORDENES'!$AH315))</f>
        <v/>
      </c>
      <c r="D337" s="5">
        <f>IF('ORDENES'!$A315="","",IF('ORDENES'!$Z315="","-",'ORDENES'!$Z315))</f>
        <v/>
      </c>
      <c r="E337" s="5">
        <f>IF('ORDENES'!$A315="","",IF('ORDENES'!$X315="","-",'ORDENES'!$X315))</f>
        <v/>
      </c>
      <c r="F337" s="5">
        <f>IF('ORDENES'!$A315="","",IF('ORDENES'!$AA315="","-",'ORDENES'!$AA315))</f>
        <v/>
      </c>
      <c r="G337" s="5">
        <f>IF('ORDENES'!$A315="","",IF('ORDENES'!$Y315="","-",'ORDENES'!$Y315))</f>
        <v/>
      </c>
      <c r="H337" s="5">
        <f>IF('ORDENES'!$A315="","",IF('ORDENES'!$AG315="","-",'ORDENES'!$AG315))</f>
        <v/>
      </c>
      <c r="I337" s="5">
        <f>IF('ORDENES'!$A315="","",IF('ORDENES'!$AT315="","-",'ORDENES'!$AT315))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20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IF('ORDENES'!$A315="","",'ORDENES'!$AF315)</f>
        <v/>
      </c>
    </row>
    <row r="338">
      <c r="A338" s="5">
        <f>IF('ORDENES'!$A316="","",IF('ORDENES'!$O316="","-",'ORDENES'!$O316))</f>
        <v/>
      </c>
      <c r="B338" s="5">
        <f>IF('ORDENES'!$A316="","",IF('ORDENES'!$S316="","-",'ORDENES'!$S316))</f>
        <v/>
      </c>
      <c r="C338" s="5">
        <f>IF('ORDENES'!$A316="","",IF('ORDENES'!$AH316="","-",'ORDENES'!$AH316))</f>
        <v/>
      </c>
      <c r="D338" s="5">
        <f>IF('ORDENES'!$A316="","",IF('ORDENES'!$Z316="","-",'ORDENES'!$Z316))</f>
        <v/>
      </c>
      <c r="E338" s="5">
        <f>IF('ORDENES'!$A316="","",IF('ORDENES'!$X316="","-",'ORDENES'!$X316))</f>
        <v/>
      </c>
      <c r="F338" s="5">
        <f>IF('ORDENES'!$A316="","",IF('ORDENES'!$AA316="","-",'ORDENES'!$AA316))</f>
        <v/>
      </c>
      <c r="G338" s="5">
        <f>IF('ORDENES'!$A316="","",IF('ORDENES'!$Y316="","-",'ORDENES'!$Y316))</f>
        <v/>
      </c>
      <c r="H338" s="5">
        <f>IF('ORDENES'!$A316="","",IF('ORDENES'!$AG316="","-",'ORDENES'!$AG316))</f>
        <v/>
      </c>
      <c r="I338" s="5">
        <f>IF('ORDENES'!$A316="","",IF('ORDENES'!$AT316="","-",'ORDENES'!$AT316))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20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IF('ORDENES'!$A316="","",'ORDENES'!$AF316)</f>
        <v/>
      </c>
    </row>
    <row r="339">
      <c r="A339" s="5">
        <f>IF('ORDENES'!$A317="","",IF('ORDENES'!$O317="","-",'ORDENES'!$O317))</f>
        <v/>
      </c>
      <c r="B339" s="5">
        <f>IF('ORDENES'!$A317="","",IF('ORDENES'!$S317="","-",'ORDENES'!$S317))</f>
        <v/>
      </c>
      <c r="C339" s="5">
        <f>IF('ORDENES'!$A317="","",IF('ORDENES'!$AH317="","-",'ORDENES'!$AH317))</f>
        <v/>
      </c>
      <c r="D339" s="5">
        <f>IF('ORDENES'!$A317="","",IF('ORDENES'!$Z317="","-",'ORDENES'!$Z317))</f>
        <v/>
      </c>
      <c r="E339" s="5">
        <f>IF('ORDENES'!$A317="","",IF('ORDENES'!$X317="","-",'ORDENES'!$X317))</f>
        <v/>
      </c>
      <c r="F339" s="5">
        <f>IF('ORDENES'!$A317="","",IF('ORDENES'!$AA317="","-",'ORDENES'!$AA317))</f>
        <v/>
      </c>
      <c r="G339" s="5">
        <f>IF('ORDENES'!$A317="","",IF('ORDENES'!$Y317="","-",'ORDENES'!$Y317))</f>
        <v/>
      </c>
      <c r="H339" s="5">
        <f>IF('ORDENES'!$A317="","",IF('ORDENES'!$AG317="","-",'ORDENES'!$AG317))</f>
        <v/>
      </c>
      <c r="I339" s="5">
        <f>IF('ORDENES'!$A317="","",IF('ORDENES'!$AT317="","-",'ORDENES'!$AT317))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20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IF('ORDENES'!$A317="","",'ORDENES'!$AF317)</f>
        <v/>
      </c>
    </row>
    <row r="340">
      <c r="A340" s="5">
        <f>IF('ORDENES'!$A318="","",IF('ORDENES'!$O318="","-",'ORDENES'!$O318))</f>
        <v/>
      </c>
      <c r="B340" s="5">
        <f>IF('ORDENES'!$A318="","",IF('ORDENES'!$S318="","-",'ORDENES'!$S318))</f>
        <v/>
      </c>
      <c r="C340" s="5">
        <f>IF('ORDENES'!$A318="","",IF('ORDENES'!$AH318="","-",'ORDENES'!$AH318))</f>
        <v/>
      </c>
      <c r="D340" s="5">
        <f>IF('ORDENES'!$A318="","",IF('ORDENES'!$Z318="","-",'ORDENES'!$Z318))</f>
        <v/>
      </c>
      <c r="E340" s="5">
        <f>IF('ORDENES'!$A318="","",IF('ORDENES'!$X318="","-",'ORDENES'!$X318))</f>
        <v/>
      </c>
      <c r="F340" s="5">
        <f>IF('ORDENES'!$A318="","",IF('ORDENES'!$AA318="","-",'ORDENES'!$AA318))</f>
        <v/>
      </c>
      <c r="G340" s="5">
        <f>IF('ORDENES'!$A318="","",IF('ORDENES'!$Y318="","-",'ORDENES'!$Y318))</f>
        <v/>
      </c>
      <c r="H340" s="5">
        <f>IF('ORDENES'!$A318="","",IF('ORDENES'!$AG318="","-",'ORDENES'!$AG318))</f>
        <v/>
      </c>
      <c r="I340" s="5">
        <f>IF('ORDENES'!$A318="","",IF('ORDENES'!$AT318="","-",'ORDENES'!$AT318))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20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IF('ORDENES'!$A318="","",'ORDENES'!$AF318)</f>
        <v/>
      </c>
    </row>
    <row r="341">
      <c r="A341" s="5">
        <f>IF('ORDENES'!$A319="","",IF('ORDENES'!$O319="","-",'ORDENES'!$O319))</f>
        <v/>
      </c>
      <c r="B341" s="5">
        <f>IF('ORDENES'!$A319="","",IF('ORDENES'!$S319="","-",'ORDENES'!$S319))</f>
        <v/>
      </c>
      <c r="C341" s="5">
        <f>IF('ORDENES'!$A319="","",IF('ORDENES'!$AH319="","-",'ORDENES'!$AH319))</f>
        <v/>
      </c>
      <c r="D341" s="5">
        <f>IF('ORDENES'!$A319="","",IF('ORDENES'!$Z319="","-",'ORDENES'!$Z319))</f>
        <v/>
      </c>
      <c r="E341" s="5">
        <f>IF('ORDENES'!$A319="","",IF('ORDENES'!$X319="","-",'ORDENES'!$X319))</f>
        <v/>
      </c>
      <c r="F341" s="5">
        <f>IF('ORDENES'!$A319="","",IF('ORDENES'!$AA319="","-",'ORDENES'!$AA319))</f>
        <v/>
      </c>
      <c r="G341" s="5">
        <f>IF('ORDENES'!$A319="","",IF('ORDENES'!$Y319="","-",'ORDENES'!$Y319))</f>
        <v/>
      </c>
      <c r="H341" s="5">
        <f>IF('ORDENES'!$A319="","",IF('ORDENES'!$AG319="","-",'ORDENES'!$AG319))</f>
        <v/>
      </c>
      <c r="I341" s="5">
        <f>IF('ORDENES'!$A319="","",IF('ORDENES'!$AT319="","-",'ORDENES'!$AT319))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20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IF('ORDENES'!$A319="","",'ORDENES'!$AF319)</f>
        <v/>
      </c>
    </row>
    <row r="342">
      <c r="A342" s="5">
        <f>IF('ORDENES'!$A320="","",IF('ORDENES'!$O320="","-",'ORDENES'!$O320))</f>
        <v/>
      </c>
      <c r="B342" s="5">
        <f>IF('ORDENES'!$A320="","",IF('ORDENES'!$S320="","-",'ORDENES'!$S320))</f>
        <v/>
      </c>
      <c r="C342" s="5">
        <f>IF('ORDENES'!$A320="","",IF('ORDENES'!$AH320="","-",'ORDENES'!$AH320))</f>
        <v/>
      </c>
      <c r="D342" s="5">
        <f>IF('ORDENES'!$A320="","",IF('ORDENES'!$Z320="","-",'ORDENES'!$Z320))</f>
        <v/>
      </c>
      <c r="E342" s="5">
        <f>IF('ORDENES'!$A320="","",IF('ORDENES'!$X320="","-",'ORDENES'!$X320))</f>
        <v/>
      </c>
      <c r="F342" s="5">
        <f>IF('ORDENES'!$A320="","",IF('ORDENES'!$AA320="","-",'ORDENES'!$AA320))</f>
        <v/>
      </c>
      <c r="G342" s="5">
        <f>IF('ORDENES'!$A320="","",IF('ORDENES'!$Y320="","-",'ORDENES'!$Y320))</f>
        <v/>
      </c>
      <c r="H342" s="5">
        <f>IF('ORDENES'!$A320="","",IF('ORDENES'!$AG320="","-",'ORDENES'!$AG320))</f>
        <v/>
      </c>
      <c r="I342" s="5">
        <f>IF('ORDENES'!$A320="","",IF('ORDENES'!$AT320="","-",'ORDENES'!$AT320))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20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IF('ORDENES'!$A320="","",'ORDENES'!$AF320)</f>
        <v/>
      </c>
    </row>
    <row r="343">
      <c r="A343" s="5">
        <f>IF('ORDENES'!$A321="","",IF('ORDENES'!$O321="","-",'ORDENES'!$O321))</f>
        <v/>
      </c>
      <c r="B343" s="5">
        <f>IF('ORDENES'!$A321="","",IF('ORDENES'!$S321="","-",'ORDENES'!$S321))</f>
        <v/>
      </c>
      <c r="C343" s="5">
        <f>IF('ORDENES'!$A321="","",IF('ORDENES'!$AH321="","-",'ORDENES'!$AH321))</f>
        <v/>
      </c>
      <c r="D343" s="5">
        <f>IF('ORDENES'!$A321="","",IF('ORDENES'!$Z321="","-",'ORDENES'!$Z321))</f>
        <v/>
      </c>
      <c r="E343" s="5">
        <f>IF('ORDENES'!$A321="","",IF('ORDENES'!$X321="","-",'ORDENES'!$X321))</f>
        <v/>
      </c>
      <c r="F343" s="5">
        <f>IF('ORDENES'!$A321="","",IF('ORDENES'!$AA321="","-",'ORDENES'!$AA321))</f>
        <v/>
      </c>
      <c r="G343" s="5">
        <f>IF('ORDENES'!$A321="","",IF('ORDENES'!$Y321="","-",'ORDENES'!$Y321))</f>
        <v/>
      </c>
      <c r="H343" s="5">
        <f>IF('ORDENES'!$A321="","",IF('ORDENES'!$AG321="","-",'ORDENES'!$AG321))</f>
        <v/>
      </c>
      <c r="I343" s="5">
        <f>IF('ORDENES'!$A321="","",IF('ORDENES'!$AT321="","-",'ORDENES'!$AT321))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20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IF('ORDENES'!$A321="","",'ORDENES'!$AF321)</f>
        <v/>
      </c>
    </row>
    <row r="344">
      <c r="A344" s="5">
        <f>IF('ORDENES'!$A322="","",IF('ORDENES'!$O322="","-",'ORDENES'!$O322))</f>
        <v/>
      </c>
      <c r="B344" s="5">
        <f>IF('ORDENES'!$A322="","",IF('ORDENES'!$S322="","-",'ORDENES'!$S322))</f>
        <v/>
      </c>
      <c r="C344" s="5">
        <f>IF('ORDENES'!$A322="","",IF('ORDENES'!$AH322="","-",'ORDENES'!$AH322))</f>
        <v/>
      </c>
      <c r="D344" s="5">
        <f>IF('ORDENES'!$A322="","",IF('ORDENES'!$Z322="","-",'ORDENES'!$Z322))</f>
        <v/>
      </c>
      <c r="E344" s="5">
        <f>IF('ORDENES'!$A322="","",IF('ORDENES'!$X322="","-",'ORDENES'!$X322))</f>
        <v/>
      </c>
      <c r="F344" s="5">
        <f>IF('ORDENES'!$A322="","",IF('ORDENES'!$AA322="","-",'ORDENES'!$AA322))</f>
        <v/>
      </c>
      <c r="G344" s="5">
        <f>IF('ORDENES'!$A322="","",IF('ORDENES'!$Y322="","-",'ORDENES'!$Y322))</f>
        <v/>
      </c>
      <c r="H344" s="5">
        <f>IF('ORDENES'!$A322="","",IF('ORDENES'!$AG322="","-",'ORDENES'!$AG322))</f>
        <v/>
      </c>
      <c r="I344" s="5">
        <f>IF('ORDENES'!$A322="","",IF('ORDENES'!$AT322="","-",'ORDENES'!$AT322))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20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IF('ORDENES'!$A322="","",'ORDENES'!$AF322)</f>
        <v/>
      </c>
    </row>
    <row r="345">
      <c r="A345" s="5">
        <f>IF('ORDENES'!$A323="","",IF('ORDENES'!$O323="","-",'ORDENES'!$O323))</f>
        <v/>
      </c>
      <c r="B345" s="5">
        <f>IF('ORDENES'!$A323="","",IF('ORDENES'!$S323="","-",'ORDENES'!$S323))</f>
        <v/>
      </c>
      <c r="C345" s="5">
        <f>IF('ORDENES'!$A323="","",IF('ORDENES'!$AH323="","-",'ORDENES'!$AH323))</f>
        <v/>
      </c>
      <c r="D345" s="5">
        <f>IF('ORDENES'!$A323="","",IF('ORDENES'!$Z323="","-",'ORDENES'!$Z323))</f>
        <v/>
      </c>
      <c r="E345" s="5">
        <f>IF('ORDENES'!$A323="","",IF('ORDENES'!$X323="","-",'ORDENES'!$X323))</f>
        <v/>
      </c>
      <c r="F345" s="5">
        <f>IF('ORDENES'!$A323="","",IF('ORDENES'!$AA323="","-",'ORDENES'!$AA323))</f>
        <v/>
      </c>
      <c r="G345" s="5">
        <f>IF('ORDENES'!$A323="","",IF('ORDENES'!$Y323="","-",'ORDENES'!$Y323))</f>
        <v/>
      </c>
      <c r="H345" s="5">
        <f>IF('ORDENES'!$A323="","",IF('ORDENES'!$AG323="","-",'ORDENES'!$AG323))</f>
        <v/>
      </c>
      <c r="I345" s="5">
        <f>IF('ORDENES'!$A323="","",IF('ORDENES'!$AT323="","-",'ORDENES'!$AT323))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20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IF('ORDENES'!$A323="","",'ORDENES'!$AF323)</f>
        <v/>
      </c>
    </row>
    <row r="346">
      <c r="A346" s="5">
        <f>IF('ORDENES'!$A324="","",IF('ORDENES'!$O324="","-",'ORDENES'!$O324))</f>
        <v/>
      </c>
      <c r="B346" s="5">
        <f>IF('ORDENES'!$A324="","",IF('ORDENES'!$S324="","-",'ORDENES'!$S324))</f>
        <v/>
      </c>
      <c r="C346" s="5">
        <f>IF('ORDENES'!$A324="","",IF('ORDENES'!$AH324="","-",'ORDENES'!$AH324))</f>
        <v/>
      </c>
      <c r="D346" s="5">
        <f>IF('ORDENES'!$A324="","",IF('ORDENES'!$Z324="","-",'ORDENES'!$Z324))</f>
        <v/>
      </c>
      <c r="E346" s="5">
        <f>IF('ORDENES'!$A324="","",IF('ORDENES'!$X324="","-",'ORDENES'!$X324))</f>
        <v/>
      </c>
      <c r="F346" s="5">
        <f>IF('ORDENES'!$A324="","",IF('ORDENES'!$AA324="","-",'ORDENES'!$AA324))</f>
        <v/>
      </c>
      <c r="G346" s="5">
        <f>IF('ORDENES'!$A324="","",IF('ORDENES'!$Y324="","-",'ORDENES'!$Y324))</f>
        <v/>
      </c>
      <c r="H346" s="5">
        <f>IF('ORDENES'!$A324="","",IF('ORDENES'!$AG324="","-",'ORDENES'!$AG324))</f>
        <v/>
      </c>
      <c r="I346" s="5">
        <f>IF('ORDENES'!$A324="","",IF('ORDENES'!$AT324="","-",'ORDENES'!$AT324))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20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IF('ORDENES'!$A324="","",'ORDENES'!$AF324)</f>
        <v/>
      </c>
    </row>
    <row r="347">
      <c r="A347" s="5">
        <f>IF('ORDENES'!$A325="","",IF('ORDENES'!$O325="","-",'ORDENES'!$O325))</f>
        <v/>
      </c>
      <c r="B347" s="5">
        <f>IF('ORDENES'!$A325="","",IF('ORDENES'!$S325="","-",'ORDENES'!$S325))</f>
        <v/>
      </c>
      <c r="C347" s="5">
        <f>IF('ORDENES'!$A325="","",IF('ORDENES'!$AH325="","-",'ORDENES'!$AH325))</f>
        <v/>
      </c>
      <c r="D347" s="5">
        <f>IF('ORDENES'!$A325="","",IF('ORDENES'!$Z325="","-",'ORDENES'!$Z325))</f>
        <v/>
      </c>
      <c r="E347" s="5">
        <f>IF('ORDENES'!$A325="","",IF('ORDENES'!$X325="","-",'ORDENES'!$X325))</f>
        <v/>
      </c>
      <c r="F347" s="5">
        <f>IF('ORDENES'!$A325="","",IF('ORDENES'!$AA325="","-",'ORDENES'!$AA325))</f>
        <v/>
      </c>
      <c r="G347" s="5">
        <f>IF('ORDENES'!$A325="","",IF('ORDENES'!$Y325="","-",'ORDENES'!$Y325))</f>
        <v/>
      </c>
      <c r="H347" s="5">
        <f>IF('ORDENES'!$A325="","",IF('ORDENES'!$AG325="","-",'ORDENES'!$AG325))</f>
        <v/>
      </c>
      <c r="I347" s="5">
        <f>IF('ORDENES'!$A325="","",IF('ORDENES'!$AT325="","-",'ORDENES'!$AT325))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20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IF('ORDENES'!$A325="","",'ORDENES'!$AF325)</f>
        <v/>
      </c>
    </row>
    <row r="348">
      <c r="A348" s="5">
        <f>IF('ORDENES'!$A326="","",IF('ORDENES'!$O326="","-",'ORDENES'!$O326))</f>
        <v/>
      </c>
      <c r="B348" s="5">
        <f>IF('ORDENES'!$A326="","",IF('ORDENES'!$S326="","-",'ORDENES'!$S326))</f>
        <v/>
      </c>
      <c r="C348" s="5">
        <f>IF('ORDENES'!$A326="","",IF('ORDENES'!$AH326="","-",'ORDENES'!$AH326))</f>
        <v/>
      </c>
      <c r="D348" s="5">
        <f>IF('ORDENES'!$A326="","",IF('ORDENES'!$Z326="","-",'ORDENES'!$Z326))</f>
        <v/>
      </c>
      <c r="E348" s="5">
        <f>IF('ORDENES'!$A326="","",IF('ORDENES'!$X326="","-",'ORDENES'!$X326))</f>
        <v/>
      </c>
      <c r="F348" s="5">
        <f>IF('ORDENES'!$A326="","",IF('ORDENES'!$AA326="","-",'ORDENES'!$AA326))</f>
        <v/>
      </c>
      <c r="G348" s="5">
        <f>IF('ORDENES'!$A326="","",IF('ORDENES'!$Y326="","-",'ORDENES'!$Y326))</f>
        <v/>
      </c>
      <c r="H348" s="5">
        <f>IF('ORDENES'!$A326="","",IF('ORDENES'!$AG326="","-",'ORDENES'!$AG326))</f>
        <v/>
      </c>
      <c r="I348" s="5">
        <f>IF('ORDENES'!$A326="","",IF('ORDENES'!$AT326="","-",'ORDENES'!$AT326))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20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IF('ORDENES'!$A326="","",'ORDENES'!$AF326)</f>
        <v/>
      </c>
    </row>
    <row r="349">
      <c r="A349" s="5">
        <f>IF('ORDENES'!$A327="","",IF('ORDENES'!$O327="","-",'ORDENES'!$O327))</f>
        <v/>
      </c>
      <c r="B349" s="5">
        <f>IF('ORDENES'!$A327="","",IF('ORDENES'!$S327="","-",'ORDENES'!$S327))</f>
        <v/>
      </c>
      <c r="C349" s="5">
        <f>IF('ORDENES'!$A327="","",IF('ORDENES'!$AH327="","-",'ORDENES'!$AH327))</f>
        <v/>
      </c>
      <c r="D349" s="5">
        <f>IF('ORDENES'!$A327="","",IF('ORDENES'!$Z327="","-",'ORDENES'!$Z327))</f>
        <v/>
      </c>
      <c r="E349" s="5">
        <f>IF('ORDENES'!$A327="","",IF('ORDENES'!$X327="","-",'ORDENES'!$X327))</f>
        <v/>
      </c>
      <c r="F349" s="5">
        <f>IF('ORDENES'!$A327="","",IF('ORDENES'!$AA327="","-",'ORDENES'!$AA327))</f>
        <v/>
      </c>
      <c r="G349" s="5">
        <f>IF('ORDENES'!$A327="","",IF('ORDENES'!$Y327="","-",'ORDENES'!$Y327))</f>
        <v/>
      </c>
      <c r="H349" s="5">
        <f>IF('ORDENES'!$A327="","",IF('ORDENES'!$AG327="","-",'ORDENES'!$AG327))</f>
        <v/>
      </c>
      <c r="I349" s="5">
        <f>IF('ORDENES'!$A327="","",IF('ORDENES'!$AT327="","-",'ORDENES'!$AT327))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20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IF('ORDENES'!$A327="","",'ORDENES'!$AF327)</f>
        <v/>
      </c>
    </row>
    <row r="350">
      <c r="A350" s="5">
        <f>IF('ORDENES'!$A328="","",IF('ORDENES'!$O328="","-",'ORDENES'!$O328))</f>
        <v/>
      </c>
      <c r="B350" s="5">
        <f>IF('ORDENES'!$A328="","",IF('ORDENES'!$S328="","-",'ORDENES'!$S328))</f>
        <v/>
      </c>
      <c r="C350" s="5">
        <f>IF('ORDENES'!$A328="","",IF('ORDENES'!$AH328="","-",'ORDENES'!$AH328))</f>
        <v/>
      </c>
      <c r="D350" s="5">
        <f>IF('ORDENES'!$A328="","",IF('ORDENES'!$Z328="","-",'ORDENES'!$Z328))</f>
        <v/>
      </c>
      <c r="E350" s="5">
        <f>IF('ORDENES'!$A328="","",IF('ORDENES'!$X328="","-",'ORDENES'!$X328))</f>
        <v/>
      </c>
      <c r="F350" s="5">
        <f>IF('ORDENES'!$A328="","",IF('ORDENES'!$AA328="","-",'ORDENES'!$AA328))</f>
        <v/>
      </c>
      <c r="G350" s="5">
        <f>IF('ORDENES'!$A328="","",IF('ORDENES'!$Y328="","-",'ORDENES'!$Y328))</f>
        <v/>
      </c>
      <c r="H350" s="5">
        <f>IF('ORDENES'!$A328="","",IF('ORDENES'!$AG328="","-",'ORDENES'!$AG328))</f>
        <v/>
      </c>
      <c r="I350" s="5">
        <f>IF('ORDENES'!$A328="","",IF('ORDENES'!$AT328="","-",'ORDENES'!$AT328))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20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IF('ORDENES'!$A328="","",'ORDENES'!$AF328)</f>
        <v/>
      </c>
    </row>
    <row r="351">
      <c r="A351" s="5">
        <f>IF('ORDENES'!$A329="","",IF('ORDENES'!$O329="","-",'ORDENES'!$O329))</f>
        <v/>
      </c>
      <c r="B351" s="5">
        <f>IF('ORDENES'!$A329="","",IF('ORDENES'!$S329="","-",'ORDENES'!$S329))</f>
        <v/>
      </c>
      <c r="C351" s="5">
        <f>IF('ORDENES'!$A329="","",IF('ORDENES'!$AH329="","-",'ORDENES'!$AH329))</f>
        <v/>
      </c>
      <c r="D351" s="5">
        <f>IF('ORDENES'!$A329="","",IF('ORDENES'!$Z329="","-",'ORDENES'!$Z329))</f>
        <v/>
      </c>
      <c r="E351" s="5">
        <f>IF('ORDENES'!$A329="","",IF('ORDENES'!$X329="","-",'ORDENES'!$X329))</f>
        <v/>
      </c>
      <c r="F351" s="5">
        <f>IF('ORDENES'!$A329="","",IF('ORDENES'!$AA329="","-",'ORDENES'!$AA329))</f>
        <v/>
      </c>
      <c r="G351" s="5">
        <f>IF('ORDENES'!$A329="","",IF('ORDENES'!$Y329="","-",'ORDENES'!$Y329))</f>
        <v/>
      </c>
      <c r="H351" s="5">
        <f>IF('ORDENES'!$A329="","",IF('ORDENES'!$AG329="","-",'ORDENES'!$AG329))</f>
        <v/>
      </c>
      <c r="I351" s="5">
        <f>IF('ORDENES'!$A329="","",IF('ORDENES'!$AT329="","-",'ORDENES'!$AT329))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20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IF('ORDENES'!$A329="","",'ORDENES'!$AF329)</f>
        <v/>
      </c>
    </row>
    <row r="352">
      <c r="A352" s="5">
        <f>IF('ORDENES'!$A330="","",IF('ORDENES'!$O330="","-",'ORDENES'!$O330))</f>
        <v/>
      </c>
      <c r="B352" s="5">
        <f>IF('ORDENES'!$A330="","",IF('ORDENES'!$S330="","-",'ORDENES'!$S330))</f>
        <v/>
      </c>
      <c r="C352" s="5">
        <f>IF('ORDENES'!$A330="","",IF('ORDENES'!$AH330="","-",'ORDENES'!$AH330))</f>
        <v/>
      </c>
      <c r="D352" s="5">
        <f>IF('ORDENES'!$A330="","",IF('ORDENES'!$Z330="","-",'ORDENES'!$Z330))</f>
        <v/>
      </c>
      <c r="E352" s="5">
        <f>IF('ORDENES'!$A330="","",IF('ORDENES'!$X330="","-",'ORDENES'!$X330))</f>
        <v/>
      </c>
      <c r="F352" s="5">
        <f>IF('ORDENES'!$A330="","",IF('ORDENES'!$AA330="","-",'ORDENES'!$AA330))</f>
        <v/>
      </c>
      <c r="G352" s="5">
        <f>IF('ORDENES'!$A330="","",IF('ORDENES'!$Y330="","-",'ORDENES'!$Y330))</f>
        <v/>
      </c>
      <c r="H352" s="5">
        <f>IF('ORDENES'!$A330="","",IF('ORDENES'!$AG330="","-",'ORDENES'!$AG330))</f>
        <v/>
      </c>
      <c r="I352" s="5">
        <f>IF('ORDENES'!$A330="","",IF('ORDENES'!$AT330="","-",'ORDENES'!$AT330))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20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IF('ORDENES'!$A330="","",'ORDENES'!$AF330)</f>
        <v/>
      </c>
    </row>
    <row r="353">
      <c r="A353" s="5">
        <f>IF('ORDENES'!$A331="","",IF('ORDENES'!$O331="","-",'ORDENES'!$O331))</f>
        <v/>
      </c>
      <c r="B353" s="5">
        <f>IF('ORDENES'!$A331="","",IF('ORDENES'!$S331="","-",'ORDENES'!$S331))</f>
        <v/>
      </c>
      <c r="C353" s="5">
        <f>IF('ORDENES'!$A331="","",IF('ORDENES'!$AH331="","-",'ORDENES'!$AH331))</f>
        <v/>
      </c>
      <c r="D353" s="5">
        <f>IF('ORDENES'!$A331="","",IF('ORDENES'!$Z331="","-",'ORDENES'!$Z331))</f>
        <v/>
      </c>
      <c r="E353" s="5">
        <f>IF('ORDENES'!$A331="","",IF('ORDENES'!$X331="","-",'ORDENES'!$X331))</f>
        <v/>
      </c>
      <c r="F353" s="5">
        <f>IF('ORDENES'!$A331="","",IF('ORDENES'!$AA331="","-",'ORDENES'!$AA331))</f>
        <v/>
      </c>
      <c r="G353" s="5">
        <f>IF('ORDENES'!$A331="","",IF('ORDENES'!$Y331="","-",'ORDENES'!$Y331))</f>
        <v/>
      </c>
      <c r="H353" s="5">
        <f>IF('ORDENES'!$A331="","",IF('ORDENES'!$AG331="","-",'ORDENES'!$AG331))</f>
        <v/>
      </c>
      <c r="I353" s="5">
        <f>IF('ORDENES'!$A331="","",IF('ORDENES'!$AT331="","-",'ORDENES'!$AT331))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20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IF('ORDENES'!$A331="","",'ORDENES'!$AF331)</f>
        <v/>
      </c>
    </row>
    <row r="354">
      <c r="A354" s="5">
        <f>IF('ORDENES'!$A332="","",IF('ORDENES'!$O332="","-",'ORDENES'!$O332))</f>
        <v/>
      </c>
      <c r="B354" s="5">
        <f>IF('ORDENES'!$A332="","",IF('ORDENES'!$S332="","-",'ORDENES'!$S332))</f>
        <v/>
      </c>
      <c r="C354" s="5">
        <f>IF('ORDENES'!$A332="","",IF('ORDENES'!$AH332="","-",'ORDENES'!$AH332))</f>
        <v/>
      </c>
      <c r="D354" s="5">
        <f>IF('ORDENES'!$A332="","",IF('ORDENES'!$Z332="","-",'ORDENES'!$Z332))</f>
        <v/>
      </c>
      <c r="E354" s="5">
        <f>IF('ORDENES'!$A332="","",IF('ORDENES'!$X332="","-",'ORDENES'!$X332))</f>
        <v/>
      </c>
      <c r="F354" s="5">
        <f>IF('ORDENES'!$A332="","",IF('ORDENES'!$AA332="","-",'ORDENES'!$AA332))</f>
        <v/>
      </c>
      <c r="G354" s="5">
        <f>IF('ORDENES'!$A332="","",IF('ORDENES'!$Y332="","-",'ORDENES'!$Y332))</f>
        <v/>
      </c>
      <c r="H354" s="5">
        <f>IF('ORDENES'!$A332="","",IF('ORDENES'!$AG332="","-",'ORDENES'!$AG332))</f>
        <v/>
      </c>
      <c r="I354" s="5">
        <f>IF('ORDENES'!$A332="","",IF('ORDENES'!$AT332="","-",'ORDENES'!$AT332))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20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IF('ORDENES'!$A332="","",'ORDENES'!$AF332)</f>
        <v/>
      </c>
    </row>
    <row r="355">
      <c r="A355" s="5">
        <f>IF('ORDENES'!$A333="","",IF('ORDENES'!$O333="","-",'ORDENES'!$O333))</f>
        <v/>
      </c>
      <c r="B355" s="5">
        <f>IF('ORDENES'!$A333="","",IF('ORDENES'!$S333="","-",'ORDENES'!$S333))</f>
        <v/>
      </c>
      <c r="C355" s="5">
        <f>IF('ORDENES'!$A333="","",IF('ORDENES'!$AH333="","-",'ORDENES'!$AH333))</f>
        <v/>
      </c>
      <c r="D355" s="5">
        <f>IF('ORDENES'!$A333="","",IF('ORDENES'!$Z333="","-",'ORDENES'!$Z333))</f>
        <v/>
      </c>
      <c r="E355" s="5">
        <f>IF('ORDENES'!$A333="","",IF('ORDENES'!$X333="","-",'ORDENES'!$X333))</f>
        <v/>
      </c>
      <c r="F355" s="5">
        <f>IF('ORDENES'!$A333="","",IF('ORDENES'!$AA333="","-",'ORDENES'!$AA333))</f>
        <v/>
      </c>
      <c r="G355" s="5">
        <f>IF('ORDENES'!$A333="","",IF('ORDENES'!$Y333="","-",'ORDENES'!$Y333))</f>
        <v/>
      </c>
      <c r="H355" s="5">
        <f>IF('ORDENES'!$A333="","",IF('ORDENES'!$AG333="","-",'ORDENES'!$AG333))</f>
        <v/>
      </c>
      <c r="I355" s="5">
        <f>IF('ORDENES'!$A333="","",IF('ORDENES'!$AT333="","-",'ORDENES'!$AT333))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20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IF('ORDENES'!$A333="","",'ORDENES'!$AF333)</f>
        <v/>
      </c>
    </row>
    <row r="356">
      <c r="A356" s="5">
        <f>IF('ORDENES'!$A334="","",IF('ORDENES'!$O334="","-",'ORDENES'!$O334))</f>
        <v/>
      </c>
      <c r="B356" s="5">
        <f>IF('ORDENES'!$A334="","",IF('ORDENES'!$S334="","-",'ORDENES'!$S334))</f>
        <v/>
      </c>
      <c r="C356" s="5">
        <f>IF('ORDENES'!$A334="","",IF('ORDENES'!$AH334="","-",'ORDENES'!$AH334))</f>
        <v/>
      </c>
      <c r="D356" s="5">
        <f>IF('ORDENES'!$A334="","",IF('ORDENES'!$Z334="","-",'ORDENES'!$Z334))</f>
        <v/>
      </c>
      <c r="E356" s="5">
        <f>IF('ORDENES'!$A334="","",IF('ORDENES'!$X334="","-",'ORDENES'!$X334))</f>
        <v/>
      </c>
      <c r="F356" s="5">
        <f>IF('ORDENES'!$A334="","",IF('ORDENES'!$AA334="","-",'ORDENES'!$AA334))</f>
        <v/>
      </c>
      <c r="G356" s="5">
        <f>IF('ORDENES'!$A334="","",IF('ORDENES'!$Y334="","-",'ORDENES'!$Y334))</f>
        <v/>
      </c>
      <c r="H356" s="5">
        <f>IF('ORDENES'!$A334="","",IF('ORDENES'!$AG334="","-",'ORDENES'!$AG334))</f>
        <v/>
      </c>
      <c r="I356" s="5">
        <f>IF('ORDENES'!$A334="","",IF('ORDENES'!$AT334="","-",'ORDENES'!$AT334))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20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IF('ORDENES'!$A334="","",'ORDENES'!$AF334)</f>
        <v/>
      </c>
    </row>
    <row r="357">
      <c r="A357" s="5">
        <f>IF('ORDENES'!$A335="","",IF('ORDENES'!$O335="","-",'ORDENES'!$O335))</f>
        <v/>
      </c>
      <c r="B357" s="5">
        <f>IF('ORDENES'!$A335="","",IF('ORDENES'!$S335="","-",'ORDENES'!$S335))</f>
        <v/>
      </c>
      <c r="C357" s="5">
        <f>IF('ORDENES'!$A335="","",IF('ORDENES'!$AH335="","-",'ORDENES'!$AH335))</f>
        <v/>
      </c>
      <c r="D357" s="5">
        <f>IF('ORDENES'!$A335="","",IF('ORDENES'!$Z335="","-",'ORDENES'!$Z335))</f>
        <v/>
      </c>
      <c r="E357" s="5">
        <f>IF('ORDENES'!$A335="","",IF('ORDENES'!$X335="","-",'ORDENES'!$X335))</f>
        <v/>
      </c>
      <c r="F357" s="5">
        <f>IF('ORDENES'!$A335="","",IF('ORDENES'!$AA335="","-",'ORDENES'!$AA335))</f>
        <v/>
      </c>
      <c r="G357" s="5">
        <f>IF('ORDENES'!$A335="","",IF('ORDENES'!$Y335="","-",'ORDENES'!$Y335))</f>
        <v/>
      </c>
      <c r="H357" s="5">
        <f>IF('ORDENES'!$A335="","",IF('ORDENES'!$AG335="","-",'ORDENES'!$AG335))</f>
        <v/>
      </c>
      <c r="I357" s="5">
        <f>IF('ORDENES'!$A335="","",IF('ORDENES'!$AT335="","-",'ORDENES'!$AT335))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20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IF('ORDENES'!$A335="","",'ORDENES'!$AF335)</f>
        <v/>
      </c>
    </row>
    <row r="358">
      <c r="A358" s="5">
        <f>IF('ORDENES'!$A336="","",IF('ORDENES'!$O336="","-",'ORDENES'!$O336))</f>
        <v/>
      </c>
      <c r="B358" s="5">
        <f>IF('ORDENES'!$A336="","",IF('ORDENES'!$S336="","-",'ORDENES'!$S336))</f>
        <v/>
      </c>
      <c r="C358" s="5">
        <f>IF('ORDENES'!$A336="","",IF('ORDENES'!$AH336="","-",'ORDENES'!$AH336))</f>
        <v/>
      </c>
      <c r="D358" s="5">
        <f>IF('ORDENES'!$A336="","",IF('ORDENES'!$Z336="","-",'ORDENES'!$Z336))</f>
        <v/>
      </c>
      <c r="E358" s="5">
        <f>IF('ORDENES'!$A336="","",IF('ORDENES'!$X336="","-",'ORDENES'!$X336))</f>
        <v/>
      </c>
      <c r="F358" s="5">
        <f>IF('ORDENES'!$A336="","",IF('ORDENES'!$AA336="","-",'ORDENES'!$AA336))</f>
        <v/>
      </c>
      <c r="G358" s="5">
        <f>IF('ORDENES'!$A336="","",IF('ORDENES'!$Y336="","-",'ORDENES'!$Y336))</f>
        <v/>
      </c>
      <c r="H358" s="5">
        <f>IF('ORDENES'!$A336="","",IF('ORDENES'!$AG336="","-",'ORDENES'!$AG336))</f>
        <v/>
      </c>
      <c r="I358" s="5">
        <f>IF('ORDENES'!$A336="","",IF('ORDENES'!$AT336="","-",'ORDENES'!$AT336))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20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IF('ORDENES'!$A336="","",'ORDENES'!$AF336)</f>
        <v/>
      </c>
    </row>
    <row r="359">
      <c r="A359" s="5">
        <f>IF('ORDENES'!$A337="","",IF('ORDENES'!$O337="","-",'ORDENES'!$O337))</f>
        <v/>
      </c>
      <c r="B359" s="5">
        <f>IF('ORDENES'!$A337="","",IF('ORDENES'!$S337="","-",'ORDENES'!$S337))</f>
        <v/>
      </c>
      <c r="C359" s="5">
        <f>IF('ORDENES'!$A337="","",IF('ORDENES'!$AH337="","-",'ORDENES'!$AH337))</f>
        <v/>
      </c>
      <c r="D359" s="5">
        <f>IF('ORDENES'!$A337="","",IF('ORDENES'!$Z337="","-",'ORDENES'!$Z337))</f>
        <v/>
      </c>
      <c r="E359" s="5">
        <f>IF('ORDENES'!$A337="","",IF('ORDENES'!$X337="","-",'ORDENES'!$X337))</f>
        <v/>
      </c>
      <c r="F359" s="5">
        <f>IF('ORDENES'!$A337="","",IF('ORDENES'!$AA337="","-",'ORDENES'!$AA337))</f>
        <v/>
      </c>
      <c r="G359" s="5">
        <f>IF('ORDENES'!$A337="","",IF('ORDENES'!$Y337="","-",'ORDENES'!$Y337))</f>
        <v/>
      </c>
      <c r="H359" s="5">
        <f>IF('ORDENES'!$A337="","",IF('ORDENES'!$AG337="","-",'ORDENES'!$AG337))</f>
        <v/>
      </c>
      <c r="I359" s="5">
        <f>IF('ORDENES'!$A337="","",IF('ORDENES'!$AT337="","-",'ORDENES'!$AT337))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20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IF('ORDENES'!$A337="","",'ORDENES'!$AF337)</f>
        <v/>
      </c>
    </row>
    <row r="360">
      <c r="A360" s="5">
        <f>IF('ORDENES'!$A338="","",IF('ORDENES'!$O338="","-",'ORDENES'!$O338))</f>
        <v/>
      </c>
      <c r="B360" s="5">
        <f>IF('ORDENES'!$A338="","",IF('ORDENES'!$S338="","-",'ORDENES'!$S338))</f>
        <v/>
      </c>
      <c r="C360" s="5">
        <f>IF('ORDENES'!$A338="","",IF('ORDENES'!$AH338="","-",'ORDENES'!$AH338))</f>
        <v/>
      </c>
      <c r="D360" s="5">
        <f>IF('ORDENES'!$A338="","",IF('ORDENES'!$Z338="","-",'ORDENES'!$Z338))</f>
        <v/>
      </c>
      <c r="E360" s="5">
        <f>IF('ORDENES'!$A338="","",IF('ORDENES'!$X338="","-",'ORDENES'!$X338))</f>
        <v/>
      </c>
      <c r="F360" s="5">
        <f>IF('ORDENES'!$A338="","",IF('ORDENES'!$AA338="","-",'ORDENES'!$AA338))</f>
        <v/>
      </c>
      <c r="G360" s="5">
        <f>IF('ORDENES'!$A338="","",IF('ORDENES'!$Y338="","-",'ORDENES'!$Y338))</f>
        <v/>
      </c>
      <c r="H360" s="5">
        <f>IF('ORDENES'!$A338="","",IF('ORDENES'!$AG338="","-",'ORDENES'!$AG338))</f>
        <v/>
      </c>
      <c r="I360" s="5">
        <f>IF('ORDENES'!$A338="","",IF('ORDENES'!$AT338="","-",'ORDENES'!$AT338))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20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IF('ORDENES'!$A338="","",'ORDENES'!$AF338)</f>
        <v/>
      </c>
    </row>
    <row r="361">
      <c r="A361" s="5">
        <f>IF('ORDENES'!$A339="","",IF('ORDENES'!$O339="","-",'ORDENES'!$O339))</f>
        <v/>
      </c>
      <c r="B361" s="5">
        <f>IF('ORDENES'!$A339="","",IF('ORDENES'!$S339="","-",'ORDENES'!$S339))</f>
        <v/>
      </c>
      <c r="C361" s="5">
        <f>IF('ORDENES'!$A339="","",IF('ORDENES'!$AH339="","-",'ORDENES'!$AH339))</f>
        <v/>
      </c>
      <c r="D361" s="5">
        <f>IF('ORDENES'!$A339="","",IF('ORDENES'!$Z339="","-",'ORDENES'!$Z339))</f>
        <v/>
      </c>
      <c r="E361" s="5">
        <f>IF('ORDENES'!$A339="","",IF('ORDENES'!$X339="","-",'ORDENES'!$X339))</f>
        <v/>
      </c>
      <c r="F361" s="5">
        <f>IF('ORDENES'!$A339="","",IF('ORDENES'!$AA339="","-",'ORDENES'!$AA339))</f>
        <v/>
      </c>
      <c r="G361" s="5">
        <f>IF('ORDENES'!$A339="","",IF('ORDENES'!$Y339="","-",'ORDENES'!$Y339))</f>
        <v/>
      </c>
      <c r="H361" s="5">
        <f>IF('ORDENES'!$A339="","",IF('ORDENES'!$AG339="","-",'ORDENES'!$AG339))</f>
        <v/>
      </c>
      <c r="I361" s="5">
        <f>IF('ORDENES'!$A339="","",IF('ORDENES'!$AT339="","-",'ORDENES'!$AT339))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20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IF('ORDENES'!$A339="","",'ORDENES'!$AF339)</f>
        <v/>
      </c>
    </row>
    <row r="362">
      <c r="A362" s="5">
        <f>IF('ORDENES'!$A340="","",IF('ORDENES'!$O340="","-",'ORDENES'!$O340))</f>
        <v/>
      </c>
      <c r="B362" s="5">
        <f>IF('ORDENES'!$A340="","",IF('ORDENES'!$S340="","-",'ORDENES'!$S340))</f>
        <v/>
      </c>
      <c r="C362" s="5">
        <f>IF('ORDENES'!$A340="","",IF('ORDENES'!$AH340="","-",'ORDENES'!$AH340))</f>
        <v/>
      </c>
      <c r="D362" s="5">
        <f>IF('ORDENES'!$A340="","",IF('ORDENES'!$Z340="","-",'ORDENES'!$Z340))</f>
        <v/>
      </c>
      <c r="E362" s="5">
        <f>IF('ORDENES'!$A340="","",IF('ORDENES'!$X340="","-",'ORDENES'!$X340))</f>
        <v/>
      </c>
      <c r="F362" s="5">
        <f>IF('ORDENES'!$A340="","",IF('ORDENES'!$AA340="","-",'ORDENES'!$AA340))</f>
        <v/>
      </c>
      <c r="G362" s="5">
        <f>IF('ORDENES'!$A340="","",IF('ORDENES'!$Y340="","-",'ORDENES'!$Y340))</f>
        <v/>
      </c>
      <c r="H362" s="5">
        <f>IF('ORDENES'!$A340="","",IF('ORDENES'!$AG340="","-",'ORDENES'!$AG340))</f>
        <v/>
      </c>
      <c r="I362" s="5">
        <f>IF('ORDENES'!$A340="","",IF('ORDENES'!$AT340="","-",'ORDENES'!$AT340))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20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IF('ORDENES'!$A340="","",'ORDENES'!$AF340)</f>
        <v/>
      </c>
    </row>
    <row r="363">
      <c r="A363" s="5">
        <f>IF('ORDENES'!$A341="","",IF('ORDENES'!$O341="","-",'ORDENES'!$O341))</f>
        <v/>
      </c>
      <c r="B363" s="5">
        <f>IF('ORDENES'!$A341="","",IF('ORDENES'!$S341="","-",'ORDENES'!$S341))</f>
        <v/>
      </c>
      <c r="C363" s="5">
        <f>IF('ORDENES'!$A341="","",IF('ORDENES'!$AH341="","-",'ORDENES'!$AH341))</f>
        <v/>
      </c>
      <c r="D363" s="5">
        <f>IF('ORDENES'!$A341="","",IF('ORDENES'!$Z341="","-",'ORDENES'!$Z341))</f>
        <v/>
      </c>
      <c r="E363" s="5">
        <f>IF('ORDENES'!$A341="","",IF('ORDENES'!$X341="","-",'ORDENES'!$X341))</f>
        <v/>
      </c>
      <c r="F363" s="5">
        <f>IF('ORDENES'!$A341="","",IF('ORDENES'!$AA341="","-",'ORDENES'!$AA341))</f>
        <v/>
      </c>
      <c r="G363" s="5">
        <f>IF('ORDENES'!$A341="","",IF('ORDENES'!$Y341="","-",'ORDENES'!$Y341))</f>
        <v/>
      </c>
      <c r="H363" s="5">
        <f>IF('ORDENES'!$A341="","",IF('ORDENES'!$AG341="","-",'ORDENES'!$AG341))</f>
        <v/>
      </c>
      <c r="I363" s="5">
        <f>IF('ORDENES'!$A341="","",IF('ORDENES'!$AT341="","-",'ORDENES'!$AT341))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20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IF('ORDENES'!$A341="","",'ORDENES'!$AF341)</f>
        <v/>
      </c>
    </row>
    <row r="364">
      <c r="A364" s="5">
        <f>IF('ORDENES'!$A342="","",IF('ORDENES'!$O342="","-",'ORDENES'!$O342))</f>
        <v/>
      </c>
      <c r="B364" s="5">
        <f>IF('ORDENES'!$A342="","",IF('ORDENES'!$S342="","-",'ORDENES'!$S342))</f>
        <v/>
      </c>
      <c r="C364" s="5">
        <f>IF('ORDENES'!$A342="","",IF('ORDENES'!$AH342="","-",'ORDENES'!$AH342))</f>
        <v/>
      </c>
      <c r="D364" s="5">
        <f>IF('ORDENES'!$A342="","",IF('ORDENES'!$Z342="","-",'ORDENES'!$Z342))</f>
        <v/>
      </c>
      <c r="E364" s="5">
        <f>IF('ORDENES'!$A342="","",IF('ORDENES'!$X342="","-",'ORDENES'!$X342))</f>
        <v/>
      </c>
      <c r="F364" s="5">
        <f>IF('ORDENES'!$A342="","",IF('ORDENES'!$AA342="","-",'ORDENES'!$AA342))</f>
        <v/>
      </c>
      <c r="G364" s="5">
        <f>IF('ORDENES'!$A342="","",IF('ORDENES'!$Y342="","-",'ORDENES'!$Y342))</f>
        <v/>
      </c>
      <c r="H364" s="5">
        <f>IF('ORDENES'!$A342="","",IF('ORDENES'!$AG342="","-",'ORDENES'!$AG342))</f>
        <v/>
      </c>
      <c r="I364" s="5">
        <f>IF('ORDENES'!$A342="","",IF('ORDENES'!$AT342="","-",'ORDENES'!$AT342))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20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IF('ORDENES'!$A342="","",'ORDENES'!$AF342)</f>
        <v/>
      </c>
    </row>
    <row r="365">
      <c r="A365" s="5">
        <f>IF('ORDENES'!$A343="","",IF('ORDENES'!$O343="","-",'ORDENES'!$O343))</f>
        <v/>
      </c>
      <c r="B365" s="5">
        <f>IF('ORDENES'!$A343="","",IF('ORDENES'!$S343="","-",'ORDENES'!$S343))</f>
        <v/>
      </c>
      <c r="C365" s="5">
        <f>IF('ORDENES'!$A343="","",IF('ORDENES'!$AH343="","-",'ORDENES'!$AH343))</f>
        <v/>
      </c>
      <c r="D365" s="5">
        <f>IF('ORDENES'!$A343="","",IF('ORDENES'!$Z343="","-",'ORDENES'!$Z343))</f>
        <v/>
      </c>
      <c r="E365" s="5">
        <f>IF('ORDENES'!$A343="","",IF('ORDENES'!$X343="","-",'ORDENES'!$X343))</f>
        <v/>
      </c>
      <c r="F365" s="5">
        <f>IF('ORDENES'!$A343="","",IF('ORDENES'!$AA343="","-",'ORDENES'!$AA343))</f>
        <v/>
      </c>
      <c r="G365" s="5">
        <f>IF('ORDENES'!$A343="","",IF('ORDENES'!$Y343="","-",'ORDENES'!$Y343))</f>
        <v/>
      </c>
      <c r="H365" s="5">
        <f>IF('ORDENES'!$A343="","",IF('ORDENES'!$AG343="","-",'ORDENES'!$AG343))</f>
        <v/>
      </c>
      <c r="I365" s="5">
        <f>IF('ORDENES'!$A343="","",IF('ORDENES'!$AT343="","-",'ORDENES'!$AT343))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20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IF('ORDENES'!$A343="","",'ORDENES'!$AF343)</f>
        <v/>
      </c>
    </row>
    <row r="366">
      <c r="A366" s="5">
        <f>IF('ORDENES'!$A344="","",IF('ORDENES'!$O344="","-",'ORDENES'!$O344))</f>
        <v/>
      </c>
      <c r="B366" s="5">
        <f>IF('ORDENES'!$A344="","",IF('ORDENES'!$S344="","-",'ORDENES'!$S344))</f>
        <v/>
      </c>
      <c r="C366" s="5">
        <f>IF('ORDENES'!$A344="","",IF('ORDENES'!$AH344="","-",'ORDENES'!$AH344))</f>
        <v/>
      </c>
      <c r="D366" s="5">
        <f>IF('ORDENES'!$A344="","",IF('ORDENES'!$Z344="","-",'ORDENES'!$Z344))</f>
        <v/>
      </c>
      <c r="E366" s="5">
        <f>IF('ORDENES'!$A344="","",IF('ORDENES'!$X344="","-",'ORDENES'!$X344))</f>
        <v/>
      </c>
      <c r="F366" s="5">
        <f>IF('ORDENES'!$A344="","",IF('ORDENES'!$AA344="","-",'ORDENES'!$AA344))</f>
        <v/>
      </c>
      <c r="G366" s="5">
        <f>IF('ORDENES'!$A344="","",IF('ORDENES'!$Y344="","-",'ORDENES'!$Y344))</f>
        <v/>
      </c>
      <c r="H366" s="5">
        <f>IF('ORDENES'!$A344="","",IF('ORDENES'!$AG344="","-",'ORDENES'!$AG344))</f>
        <v/>
      </c>
      <c r="I366" s="5">
        <f>IF('ORDENES'!$A344="","",IF('ORDENES'!$AT344="","-",'ORDENES'!$AT344))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20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IF('ORDENES'!$A344="","",'ORDENES'!$AF344)</f>
        <v/>
      </c>
    </row>
    <row r="367">
      <c r="A367" s="5">
        <f>IF('ORDENES'!$A345="","",IF('ORDENES'!$O345="","-",'ORDENES'!$O345))</f>
        <v/>
      </c>
      <c r="B367" s="5">
        <f>IF('ORDENES'!$A345="","",IF('ORDENES'!$S345="","-",'ORDENES'!$S345))</f>
        <v/>
      </c>
      <c r="C367" s="5">
        <f>IF('ORDENES'!$A345="","",IF('ORDENES'!$AH345="","-",'ORDENES'!$AH345))</f>
        <v/>
      </c>
      <c r="D367" s="5">
        <f>IF('ORDENES'!$A345="","",IF('ORDENES'!$Z345="","-",'ORDENES'!$Z345))</f>
        <v/>
      </c>
      <c r="E367" s="5">
        <f>IF('ORDENES'!$A345="","",IF('ORDENES'!$X345="","-",'ORDENES'!$X345))</f>
        <v/>
      </c>
      <c r="F367" s="5">
        <f>IF('ORDENES'!$A345="","",IF('ORDENES'!$AA345="","-",'ORDENES'!$AA345))</f>
        <v/>
      </c>
      <c r="G367" s="5">
        <f>IF('ORDENES'!$A345="","",IF('ORDENES'!$Y345="","-",'ORDENES'!$Y345))</f>
        <v/>
      </c>
      <c r="H367" s="5">
        <f>IF('ORDENES'!$A345="","",IF('ORDENES'!$AG345="","-",'ORDENES'!$AG345))</f>
        <v/>
      </c>
      <c r="I367" s="5">
        <f>IF('ORDENES'!$A345="","",IF('ORDENES'!$AT345="","-",'ORDENES'!$AT345))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20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IF('ORDENES'!$A345="","",'ORDENES'!$AF345)</f>
        <v/>
      </c>
    </row>
    <row r="368">
      <c r="A368" s="5">
        <f>IF('ORDENES'!$A346="","",IF('ORDENES'!$O346="","-",'ORDENES'!$O346))</f>
        <v/>
      </c>
      <c r="B368" s="5">
        <f>IF('ORDENES'!$A346="","",IF('ORDENES'!$S346="","-",'ORDENES'!$S346))</f>
        <v/>
      </c>
      <c r="C368" s="5">
        <f>IF('ORDENES'!$A346="","",IF('ORDENES'!$AH346="","-",'ORDENES'!$AH346))</f>
        <v/>
      </c>
      <c r="D368" s="5">
        <f>IF('ORDENES'!$A346="","",IF('ORDENES'!$Z346="","-",'ORDENES'!$Z346))</f>
        <v/>
      </c>
      <c r="E368" s="5">
        <f>IF('ORDENES'!$A346="","",IF('ORDENES'!$X346="","-",'ORDENES'!$X346))</f>
        <v/>
      </c>
      <c r="F368" s="5">
        <f>IF('ORDENES'!$A346="","",IF('ORDENES'!$AA346="","-",'ORDENES'!$AA346))</f>
        <v/>
      </c>
      <c r="G368" s="5">
        <f>IF('ORDENES'!$A346="","",IF('ORDENES'!$Y346="","-",'ORDENES'!$Y346))</f>
        <v/>
      </c>
      <c r="H368" s="5">
        <f>IF('ORDENES'!$A346="","",IF('ORDENES'!$AG346="","-",'ORDENES'!$AG346))</f>
        <v/>
      </c>
      <c r="I368" s="5">
        <f>IF('ORDENES'!$A346="","",IF('ORDENES'!$AT346="","-",'ORDENES'!$AT346))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20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IF('ORDENES'!$A346="","",'ORDENES'!$AF346)</f>
        <v/>
      </c>
    </row>
    <row r="369">
      <c r="A369" s="5">
        <f>IF('ORDENES'!$A347="","",IF('ORDENES'!$O347="","-",'ORDENES'!$O347))</f>
        <v/>
      </c>
      <c r="B369" s="5">
        <f>IF('ORDENES'!$A347="","",IF('ORDENES'!$S347="","-",'ORDENES'!$S347))</f>
        <v/>
      </c>
      <c r="C369" s="5">
        <f>IF('ORDENES'!$A347="","",IF('ORDENES'!$AH347="","-",'ORDENES'!$AH347))</f>
        <v/>
      </c>
      <c r="D369" s="5">
        <f>IF('ORDENES'!$A347="","",IF('ORDENES'!$Z347="","-",'ORDENES'!$Z347))</f>
        <v/>
      </c>
      <c r="E369" s="5">
        <f>IF('ORDENES'!$A347="","",IF('ORDENES'!$X347="","-",'ORDENES'!$X347))</f>
        <v/>
      </c>
      <c r="F369" s="5">
        <f>IF('ORDENES'!$A347="","",IF('ORDENES'!$AA347="","-",'ORDENES'!$AA347))</f>
        <v/>
      </c>
      <c r="G369" s="5">
        <f>IF('ORDENES'!$A347="","",IF('ORDENES'!$Y347="","-",'ORDENES'!$Y347))</f>
        <v/>
      </c>
      <c r="H369" s="5">
        <f>IF('ORDENES'!$A347="","",IF('ORDENES'!$AG347="","-",'ORDENES'!$AG347))</f>
        <v/>
      </c>
      <c r="I369" s="5">
        <f>IF('ORDENES'!$A347="","",IF('ORDENES'!$AT347="","-",'ORDENES'!$AT347))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20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IF('ORDENES'!$A347="","",'ORDENES'!$AF347)</f>
        <v/>
      </c>
    </row>
    <row r="370">
      <c r="A370" s="5">
        <f>IF('ORDENES'!$A348="","",IF('ORDENES'!$O348="","-",'ORDENES'!$O348))</f>
        <v/>
      </c>
      <c r="B370" s="5">
        <f>IF('ORDENES'!$A348="","",IF('ORDENES'!$S348="","-",'ORDENES'!$S348))</f>
        <v/>
      </c>
      <c r="C370" s="5">
        <f>IF('ORDENES'!$A348="","",IF('ORDENES'!$AH348="","-",'ORDENES'!$AH348))</f>
        <v/>
      </c>
      <c r="D370" s="5">
        <f>IF('ORDENES'!$A348="","",IF('ORDENES'!$Z348="","-",'ORDENES'!$Z348))</f>
        <v/>
      </c>
      <c r="E370" s="5">
        <f>IF('ORDENES'!$A348="","",IF('ORDENES'!$X348="","-",'ORDENES'!$X348))</f>
        <v/>
      </c>
      <c r="F370" s="5">
        <f>IF('ORDENES'!$A348="","",IF('ORDENES'!$AA348="","-",'ORDENES'!$AA348))</f>
        <v/>
      </c>
      <c r="G370" s="5">
        <f>IF('ORDENES'!$A348="","",IF('ORDENES'!$Y348="","-",'ORDENES'!$Y348))</f>
        <v/>
      </c>
      <c r="H370" s="5">
        <f>IF('ORDENES'!$A348="","",IF('ORDENES'!$AG348="","-",'ORDENES'!$AG348))</f>
        <v/>
      </c>
      <c r="I370" s="5">
        <f>IF('ORDENES'!$A348="","",IF('ORDENES'!$AT348="","-",'ORDENES'!$AT348))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20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IF('ORDENES'!$A348="","",'ORDENES'!$AF348)</f>
        <v/>
      </c>
    </row>
    <row r="371">
      <c r="A371" s="5">
        <f>IF('ORDENES'!$A349="","",IF('ORDENES'!$O349="","-",'ORDENES'!$O349))</f>
        <v/>
      </c>
      <c r="B371" s="5">
        <f>IF('ORDENES'!$A349="","",IF('ORDENES'!$S349="","-",'ORDENES'!$S349))</f>
        <v/>
      </c>
      <c r="C371" s="5">
        <f>IF('ORDENES'!$A349="","",IF('ORDENES'!$AH349="","-",'ORDENES'!$AH349))</f>
        <v/>
      </c>
      <c r="D371" s="5">
        <f>IF('ORDENES'!$A349="","",IF('ORDENES'!$Z349="","-",'ORDENES'!$Z349))</f>
        <v/>
      </c>
      <c r="E371" s="5">
        <f>IF('ORDENES'!$A349="","",IF('ORDENES'!$X349="","-",'ORDENES'!$X349))</f>
        <v/>
      </c>
      <c r="F371" s="5">
        <f>IF('ORDENES'!$A349="","",IF('ORDENES'!$AA349="","-",'ORDENES'!$AA349))</f>
        <v/>
      </c>
      <c r="G371" s="5">
        <f>IF('ORDENES'!$A349="","",IF('ORDENES'!$Y349="","-",'ORDENES'!$Y349))</f>
        <v/>
      </c>
      <c r="H371" s="5">
        <f>IF('ORDENES'!$A349="","",IF('ORDENES'!$AG349="","-",'ORDENES'!$AG349))</f>
        <v/>
      </c>
      <c r="I371" s="5">
        <f>IF('ORDENES'!$A349="","",IF('ORDENES'!$AT349="","-",'ORDENES'!$AT349))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20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IF('ORDENES'!$A349="","",'ORDENES'!$AF349)</f>
        <v/>
      </c>
    </row>
    <row r="372">
      <c r="A372" s="5">
        <f>IF('ORDENES'!$A350="","",IF('ORDENES'!$O350="","-",'ORDENES'!$O350))</f>
        <v/>
      </c>
      <c r="B372" s="5">
        <f>IF('ORDENES'!$A350="","",IF('ORDENES'!$S350="","-",'ORDENES'!$S350))</f>
        <v/>
      </c>
      <c r="C372" s="5">
        <f>IF('ORDENES'!$A350="","",IF('ORDENES'!$AH350="","-",'ORDENES'!$AH350))</f>
        <v/>
      </c>
      <c r="D372" s="5">
        <f>IF('ORDENES'!$A350="","",IF('ORDENES'!$Z350="","-",'ORDENES'!$Z350))</f>
        <v/>
      </c>
      <c r="E372" s="5">
        <f>IF('ORDENES'!$A350="","",IF('ORDENES'!$X350="","-",'ORDENES'!$X350))</f>
        <v/>
      </c>
      <c r="F372" s="5">
        <f>IF('ORDENES'!$A350="","",IF('ORDENES'!$AA350="","-",'ORDENES'!$AA350))</f>
        <v/>
      </c>
      <c r="G372" s="5">
        <f>IF('ORDENES'!$A350="","",IF('ORDENES'!$Y350="","-",'ORDENES'!$Y350))</f>
        <v/>
      </c>
      <c r="H372" s="5">
        <f>IF('ORDENES'!$A350="","",IF('ORDENES'!$AG350="","-",'ORDENES'!$AG350))</f>
        <v/>
      </c>
      <c r="I372" s="5">
        <f>IF('ORDENES'!$A350="","",IF('ORDENES'!$AT350="","-",'ORDENES'!$AT350))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20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IF('ORDENES'!$A350="","",'ORDENES'!$AF350)</f>
        <v/>
      </c>
    </row>
    <row r="373">
      <c r="A373" s="5">
        <f>IF('ORDENES'!$A351="","",IF('ORDENES'!$O351="","-",'ORDENES'!$O351))</f>
        <v/>
      </c>
      <c r="B373" s="5">
        <f>IF('ORDENES'!$A351="","",IF('ORDENES'!$S351="","-",'ORDENES'!$S351))</f>
        <v/>
      </c>
      <c r="C373" s="5">
        <f>IF('ORDENES'!$A351="","",IF('ORDENES'!$AH351="","-",'ORDENES'!$AH351))</f>
        <v/>
      </c>
      <c r="D373" s="5">
        <f>IF('ORDENES'!$A351="","",IF('ORDENES'!$Z351="","-",'ORDENES'!$Z351))</f>
        <v/>
      </c>
      <c r="E373" s="5">
        <f>IF('ORDENES'!$A351="","",IF('ORDENES'!$X351="","-",'ORDENES'!$X351))</f>
        <v/>
      </c>
      <c r="F373" s="5">
        <f>IF('ORDENES'!$A351="","",IF('ORDENES'!$AA351="","-",'ORDENES'!$AA351))</f>
        <v/>
      </c>
      <c r="G373" s="5">
        <f>IF('ORDENES'!$A351="","",IF('ORDENES'!$Y351="","-",'ORDENES'!$Y351))</f>
        <v/>
      </c>
      <c r="H373" s="5">
        <f>IF('ORDENES'!$A351="","",IF('ORDENES'!$AG351="","-",'ORDENES'!$AG351))</f>
        <v/>
      </c>
      <c r="I373" s="5">
        <f>IF('ORDENES'!$A351="","",IF('ORDENES'!$AT351="","-",'ORDENES'!$AT351))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20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IF('ORDENES'!$A351="","",'ORDENES'!$AF351)</f>
        <v/>
      </c>
    </row>
    <row r="374">
      <c r="A374" s="5">
        <f>IF('ORDENES'!$A352="","",IF('ORDENES'!$O352="","-",'ORDENES'!$O352))</f>
        <v/>
      </c>
      <c r="B374" s="5">
        <f>IF('ORDENES'!$A352="","",IF('ORDENES'!$S352="","-",'ORDENES'!$S352))</f>
        <v/>
      </c>
      <c r="C374" s="5">
        <f>IF('ORDENES'!$A352="","",IF('ORDENES'!$AH352="","-",'ORDENES'!$AH352))</f>
        <v/>
      </c>
      <c r="D374" s="5">
        <f>IF('ORDENES'!$A352="","",IF('ORDENES'!$Z352="","-",'ORDENES'!$Z352))</f>
        <v/>
      </c>
      <c r="E374" s="5">
        <f>IF('ORDENES'!$A352="","",IF('ORDENES'!$X352="","-",'ORDENES'!$X352))</f>
        <v/>
      </c>
      <c r="F374" s="5">
        <f>IF('ORDENES'!$A352="","",IF('ORDENES'!$AA352="","-",'ORDENES'!$AA352))</f>
        <v/>
      </c>
      <c r="G374" s="5">
        <f>IF('ORDENES'!$A352="","",IF('ORDENES'!$Y352="","-",'ORDENES'!$Y352))</f>
        <v/>
      </c>
      <c r="H374" s="5">
        <f>IF('ORDENES'!$A352="","",IF('ORDENES'!$AG352="","-",'ORDENES'!$AG352))</f>
        <v/>
      </c>
      <c r="I374" s="5">
        <f>IF('ORDENES'!$A352="","",IF('ORDENES'!$AT352="","-",'ORDENES'!$AT352))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20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IF('ORDENES'!$A352="","",'ORDENES'!$AF352)</f>
        <v/>
      </c>
    </row>
    <row r="375">
      <c r="A375" s="5">
        <f>IF('ORDENES'!$A353="","",IF('ORDENES'!$O353="","-",'ORDENES'!$O353))</f>
        <v/>
      </c>
      <c r="B375" s="5">
        <f>IF('ORDENES'!$A353="","",IF('ORDENES'!$S353="","-",'ORDENES'!$S353))</f>
        <v/>
      </c>
      <c r="C375" s="5">
        <f>IF('ORDENES'!$A353="","",IF('ORDENES'!$AH353="","-",'ORDENES'!$AH353))</f>
        <v/>
      </c>
      <c r="D375" s="5">
        <f>IF('ORDENES'!$A353="","",IF('ORDENES'!$Z353="","-",'ORDENES'!$Z353))</f>
        <v/>
      </c>
      <c r="E375" s="5">
        <f>IF('ORDENES'!$A353="","",IF('ORDENES'!$X353="","-",'ORDENES'!$X353))</f>
        <v/>
      </c>
      <c r="F375" s="5">
        <f>IF('ORDENES'!$A353="","",IF('ORDENES'!$AA353="","-",'ORDENES'!$AA353))</f>
        <v/>
      </c>
      <c r="G375" s="5">
        <f>IF('ORDENES'!$A353="","",IF('ORDENES'!$Y353="","-",'ORDENES'!$Y353))</f>
        <v/>
      </c>
      <c r="H375" s="5">
        <f>IF('ORDENES'!$A353="","",IF('ORDENES'!$AG353="","-",'ORDENES'!$AG353))</f>
        <v/>
      </c>
      <c r="I375" s="5">
        <f>IF('ORDENES'!$A353="","",IF('ORDENES'!$AT353="","-",'ORDENES'!$AT353))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20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IF('ORDENES'!$A353="","",'ORDENES'!$AF353)</f>
        <v/>
      </c>
    </row>
    <row r="376">
      <c r="A376" s="5">
        <f>IF('ORDENES'!$A354="","",IF('ORDENES'!$O354="","-",'ORDENES'!$O354))</f>
        <v/>
      </c>
      <c r="B376" s="5">
        <f>IF('ORDENES'!$A354="","",IF('ORDENES'!$S354="","-",'ORDENES'!$S354))</f>
        <v/>
      </c>
      <c r="C376" s="5">
        <f>IF('ORDENES'!$A354="","",IF('ORDENES'!$AH354="","-",'ORDENES'!$AH354))</f>
        <v/>
      </c>
      <c r="D376" s="5">
        <f>IF('ORDENES'!$A354="","",IF('ORDENES'!$Z354="","-",'ORDENES'!$Z354))</f>
        <v/>
      </c>
      <c r="E376" s="5">
        <f>IF('ORDENES'!$A354="","",IF('ORDENES'!$X354="","-",'ORDENES'!$X354))</f>
        <v/>
      </c>
      <c r="F376" s="5">
        <f>IF('ORDENES'!$A354="","",IF('ORDENES'!$AA354="","-",'ORDENES'!$AA354))</f>
        <v/>
      </c>
      <c r="G376" s="5">
        <f>IF('ORDENES'!$A354="","",IF('ORDENES'!$Y354="","-",'ORDENES'!$Y354))</f>
        <v/>
      </c>
      <c r="H376" s="5">
        <f>IF('ORDENES'!$A354="","",IF('ORDENES'!$AG354="","-",'ORDENES'!$AG354))</f>
        <v/>
      </c>
      <c r="I376" s="5">
        <f>IF('ORDENES'!$A354="","",IF('ORDENES'!$AT354="","-",'ORDENES'!$AT354))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20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IF('ORDENES'!$A354="","",'ORDENES'!$AF354)</f>
        <v/>
      </c>
    </row>
    <row r="377">
      <c r="A377" s="5">
        <f>IF('ORDENES'!$A355="","",IF('ORDENES'!$O355="","-",'ORDENES'!$O355))</f>
        <v/>
      </c>
      <c r="B377" s="5">
        <f>IF('ORDENES'!$A355="","",IF('ORDENES'!$S355="","-",'ORDENES'!$S355))</f>
        <v/>
      </c>
      <c r="C377" s="5">
        <f>IF('ORDENES'!$A355="","",IF('ORDENES'!$AH355="","-",'ORDENES'!$AH355))</f>
        <v/>
      </c>
      <c r="D377" s="5">
        <f>IF('ORDENES'!$A355="","",IF('ORDENES'!$Z355="","-",'ORDENES'!$Z355))</f>
        <v/>
      </c>
      <c r="E377" s="5">
        <f>IF('ORDENES'!$A355="","",IF('ORDENES'!$X355="","-",'ORDENES'!$X355))</f>
        <v/>
      </c>
      <c r="F377" s="5">
        <f>IF('ORDENES'!$A355="","",IF('ORDENES'!$AA355="","-",'ORDENES'!$AA355))</f>
        <v/>
      </c>
      <c r="G377" s="5">
        <f>IF('ORDENES'!$A355="","",IF('ORDENES'!$Y355="","-",'ORDENES'!$Y355))</f>
        <v/>
      </c>
      <c r="H377" s="5">
        <f>IF('ORDENES'!$A355="","",IF('ORDENES'!$AG355="","-",'ORDENES'!$AG355))</f>
        <v/>
      </c>
      <c r="I377" s="5">
        <f>IF('ORDENES'!$A355="","",IF('ORDENES'!$AT355="","-",'ORDENES'!$AT355))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20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IF('ORDENES'!$A355="","",'ORDENES'!$AF355)</f>
        <v/>
      </c>
    </row>
    <row r="378">
      <c r="A378" s="5">
        <f>IF('ORDENES'!$A356="","",IF('ORDENES'!$O356="","-",'ORDENES'!$O356))</f>
        <v/>
      </c>
      <c r="B378" s="5">
        <f>IF('ORDENES'!$A356="","",IF('ORDENES'!$S356="","-",'ORDENES'!$S356))</f>
        <v/>
      </c>
      <c r="C378" s="5">
        <f>IF('ORDENES'!$A356="","",IF('ORDENES'!$AH356="","-",'ORDENES'!$AH356))</f>
        <v/>
      </c>
      <c r="D378" s="5">
        <f>IF('ORDENES'!$A356="","",IF('ORDENES'!$Z356="","-",'ORDENES'!$Z356))</f>
        <v/>
      </c>
      <c r="E378" s="5">
        <f>IF('ORDENES'!$A356="","",IF('ORDENES'!$X356="","-",'ORDENES'!$X356))</f>
        <v/>
      </c>
      <c r="F378" s="5">
        <f>IF('ORDENES'!$A356="","",IF('ORDENES'!$AA356="","-",'ORDENES'!$AA356))</f>
        <v/>
      </c>
      <c r="G378" s="5">
        <f>IF('ORDENES'!$A356="","",IF('ORDENES'!$Y356="","-",'ORDENES'!$Y356))</f>
        <v/>
      </c>
      <c r="H378" s="5">
        <f>IF('ORDENES'!$A356="","",IF('ORDENES'!$AG356="","-",'ORDENES'!$AG356))</f>
        <v/>
      </c>
      <c r="I378" s="5">
        <f>IF('ORDENES'!$A356="","",IF('ORDENES'!$AT356="","-",'ORDENES'!$AT356))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20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IF('ORDENES'!$A356="","",'ORDENES'!$AF356)</f>
        <v/>
      </c>
    </row>
    <row r="379">
      <c r="A379" s="5">
        <f>IF('ORDENES'!$A357="","",IF('ORDENES'!$O357="","-",'ORDENES'!$O357))</f>
        <v/>
      </c>
      <c r="B379" s="5">
        <f>IF('ORDENES'!$A357="","",IF('ORDENES'!$S357="","-",'ORDENES'!$S357))</f>
        <v/>
      </c>
      <c r="C379" s="5">
        <f>IF('ORDENES'!$A357="","",IF('ORDENES'!$AH357="","-",'ORDENES'!$AH357))</f>
        <v/>
      </c>
      <c r="D379" s="5">
        <f>IF('ORDENES'!$A357="","",IF('ORDENES'!$Z357="","-",'ORDENES'!$Z357))</f>
        <v/>
      </c>
      <c r="E379" s="5">
        <f>IF('ORDENES'!$A357="","",IF('ORDENES'!$X357="","-",'ORDENES'!$X357))</f>
        <v/>
      </c>
      <c r="F379" s="5">
        <f>IF('ORDENES'!$A357="","",IF('ORDENES'!$AA357="","-",'ORDENES'!$AA357))</f>
        <v/>
      </c>
      <c r="G379" s="5">
        <f>IF('ORDENES'!$A357="","",IF('ORDENES'!$Y357="","-",'ORDENES'!$Y357))</f>
        <v/>
      </c>
      <c r="H379" s="5">
        <f>IF('ORDENES'!$A357="","",IF('ORDENES'!$AG357="","-",'ORDENES'!$AG357))</f>
        <v/>
      </c>
      <c r="I379" s="5">
        <f>IF('ORDENES'!$A357="","",IF('ORDENES'!$AT357="","-",'ORDENES'!$AT357))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20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IF('ORDENES'!$A357="","",'ORDENES'!$AF357)</f>
        <v/>
      </c>
    </row>
    <row r="380">
      <c r="A380" s="5">
        <f>IF('ORDENES'!$A358="","",IF('ORDENES'!$O358="","-",'ORDENES'!$O358))</f>
        <v/>
      </c>
      <c r="B380" s="5">
        <f>IF('ORDENES'!$A358="","",IF('ORDENES'!$S358="","-",'ORDENES'!$S358))</f>
        <v/>
      </c>
      <c r="C380" s="5">
        <f>IF('ORDENES'!$A358="","",IF('ORDENES'!$AH358="","-",'ORDENES'!$AH358))</f>
        <v/>
      </c>
      <c r="D380" s="5">
        <f>IF('ORDENES'!$A358="","",IF('ORDENES'!$Z358="","-",'ORDENES'!$Z358))</f>
        <v/>
      </c>
      <c r="E380" s="5">
        <f>IF('ORDENES'!$A358="","",IF('ORDENES'!$X358="","-",'ORDENES'!$X358))</f>
        <v/>
      </c>
      <c r="F380" s="5">
        <f>IF('ORDENES'!$A358="","",IF('ORDENES'!$AA358="","-",'ORDENES'!$AA358))</f>
        <v/>
      </c>
      <c r="G380" s="5">
        <f>IF('ORDENES'!$A358="","",IF('ORDENES'!$Y358="","-",'ORDENES'!$Y358))</f>
        <v/>
      </c>
      <c r="H380" s="5">
        <f>IF('ORDENES'!$A358="","",IF('ORDENES'!$AG358="","-",'ORDENES'!$AG358))</f>
        <v/>
      </c>
      <c r="I380" s="5">
        <f>IF('ORDENES'!$A358="","",IF('ORDENES'!$AT358="","-",'ORDENES'!$AT358))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20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IF('ORDENES'!$A358="","",'ORDENES'!$AF358)</f>
        <v/>
      </c>
    </row>
    <row r="381">
      <c r="A381" s="5">
        <f>IF('ORDENES'!$A359="","",IF('ORDENES'!$O359="","-",'ORDENES'!$O359))</f>
        <v/>
      </c>
      <c r="B381" s="5">
        <f>IF('ORDENES'!$A359="","",IF('ORDENES'!$S359="","-",'ORDENES'!$S359))</f>
        <v/>
      </c>
      <c r="C381" s="5">
        <f>IF('ORDENES'!$A359="","",IF('ORDENES'!$AH359="","-",'ORDENES'!$AH359))</f>
        <v/>
      </c>
      <c r="D381" s="5">
        <f>IF('ORDENES'!$A359="","",IF('ORDENES'!$Z359="","-",'ORDENES'!$Z359))</f>
        <v/>
      </c>
      <c r="E381" s="5">
        <f>IF('ORDENES'!$A359="","",IF('ORDENES'!$X359="","-",'ORDENES'!$X359))</f>
        <v/>
      </c>
      <c r="F381" s="5">
        <f>IF('ORDENES'!$A359="","",IF('ORDENES'!$AA359="","-",'ORDENES'!$AA359))</f>
        <v/>
      </c>
      <c r="G381" s="5">
        <f>IF('ORDENES'!$A359="","",IF('ORDENES'!$Y359="","-",'ORDENES'!$Y359))</f>
        <v/>
      </c>
      <c r="H381" s="5">
        <f>IF('ORDENES'!$A359="","",IF('ORDENES'!$AG359="","-",'ORDENES'!$AG359))</f>
        <v/>
      </c>
      <c r="I381" s="5">
        <f>IF('ORDENES'!$A359="","",IF('ORDENES'!$AT359="","-",'ORDENES'!$AT359))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20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IF('ORDENES'!$A359="","",'ORDENES'!$AF359)</f>
        <v/>
      </c>
    </row>
    <row r="382">
      <c r="A382" s="5">
        <f>IF('ORDENES'!$A360="","",IF('ORDENES'!$O360="","-",'ORDENES'!$O360))</f>
        <v/>
      </c>
      <c r="B382" s="5">
        <f>IF('ORDENES'!$A360="","",IF('ORDENES'!$S360="","-",'ORDENES'!$S360))</f>
        <v/>
      </c>
      <c r="C382" s="5">
        <f>IF('ORDENES'!$A360="","",IF('ORDENES'!$AH360="","-",'ORDENES'!$AH360))</f>
        <v/>
      </c>
      <c r="D382" s="5">
        <f>IF('ORDENES'!$A360="","",IF('ORDENES'!$Z360="","-",'ORDENES'!$Z360))</f>
        <v/>
      </c>
      <c r="E382" s="5">
        <f>IF('ORDENES'!$A360="","",IF('ORDENES'!$X360="","-",'ORDENES'!$X360))</f>
        <v/>
      </c>
      <c r="F382" s="5">
        <f>IF('ORDENES'!$A360="","",IF('ORDENES'!$AA360="","-",'ORDENES'!$AA360))</f>
        <v/>
      </c>
      <c r="G382" s="5">
        <f>IF('ORDENES'!$A360="","",IF('ORDENES'!$Y360="","-",'ORDENES'!$Y360))</f>
        <v/>
      </c>
      <c r="H382" s="5">
        <f>IF('ORDENES'!$A360="","",IF('ORDENES'!$AG360="","-",'ORDENES'!$AG360))</f>
        <v/>
      </c>
      <c r="I382" s="5">
        <f>IF('ORDENES'!$A360="","",IF('ORDENES'!$AT360="","-",'ORDENES'!$AT360))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20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IF('ORDENES'!$A360="","",'ORDENES'!$AF360)</f>
        <v/>
      </c>
    </row>
    <row r="383">
      <c r="A383" s="5">
        <f>IF('ORDENES'!$A361="","",IF('ORDENES'!$O361="","-",'ORDENES'!$O361))</f>
        <v/>
      </c>
      <c r="B383" s="5">
        <f>IF('ORDENES'!$A361="","",IF('ORDENES'!$S361="","-",'ORDENES'!$S361))</f>
        <v/>
      </c>
      <c r="C383" s="5">
        <f>IF('ORDENES'!$A361="","",IF('ORDENES'!$AH361="","-",'ORDENES'!$AH361))</f>
        <v/>
      </c>
      <c r="D383" s="5">
        <f>IF('ORDENES'!$A361="","",IF('ORDENES'!$Z361="","-",'ORDENES'!$Z361))</f>
        <v/>
      </c>
      <c r="E383" s="5">
        <f>IF('ORDENES'!$A361="","",IF('ORDENES'!$X361="","-",'ORDENES'!$X361))</f>
        <v/>
      </c>
      <c r="F383" s="5">
        <f>IF('ORDENES'!$A361="","",IF('ORDENES'!$AA361="","-",'ORDENES'!$AA361))</f>
        <v/>
      </c>
      <c r="G383" s="5">
        <f>IF('ORDENES'!$A361="","",IF('ORDENES'!$Y361="","-",'ORDENES'!$Y361))</f>
        <v/>
      </c>
      <c r="H383" s="5">
        <f>IF('ORDENES'!$A361="","",IF('ORDENES'!$AG361="","-",'ORDENES'!$AG361))</f>
        <v/>
      </c>
      <c r="I383" s="5">
        <f>IF('ORDENES'!$A361="","",IF('ORDENES'!$AT361="","-",'ORDENES'!$AT361))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20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IF('ORDENES'!$A361="","",'ORDENES'!$AF361)</f>
        <v/>
      </c>
    </row>
    <row r="384">
      <c r="A384" s="5">
        <f>IF('ORDENES'!$A362="","",IF('ORDENES'!$O362="","-",'ORDENES'!$O362))</f>
        <v/>
      </c>
      <c r="B384" s="5">
        <f>IF('ORDENES'!$A362="","",IF('ORDENES'!$S362="","-",'ORDENES'!$S362))</f>
        <v/>
      </c>
      <c r="C384" s="5">
        <f>IF('ORDENES'!$A362="","",IF('ORDENES'!$AH362="","-",'ORDENES'!$AH362))</f>
        <v/>
      </c>
      <c r="D384" s="5">
        <f>IF('ORDENES'!$A362="","",IF('ORDENES'!$Z362="","-",'ORDENES'!$Z362))</f>
        <v/>
      </c>
      <c r="E384" s="5">
        <f>IF('ORDENES'!$A362="","",IF('ORDENES'!$X362="","-",'ORDENES'!$X362))</f>
        <v/>
      </c>
      <c r="F384" s="5">
        <f>IF('ORDENES'!$A362="","",IF('ORDENES'!$AA362="","-",'ORDENES'!$AA362))</f>
        <v/>
      </c>
      <c r="G384" s="5">
        <f>IF('ORDENES'!$A362="","",IF('ORDENES'!$Y362="","-",'ORDENES'!$Y362))</f>
        <v/>
      </c>
      <c r="H384" s="5">
        <f>IF('ORDENES'!$A362="","",IF('ORDENES'!$AG362="","-",'ORDENES'!$AG362))</f>
        <v/>
      </c>
      <c r="I384" s="5">
        <f>IF('ORDENES'!$A362="","",IF('ORDENES'!$AT362="","-",'ORDENES'!$AT362))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20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IF('ORDENES'!$A362="","",'ORDENES'!$AF362)</f>
        <v/>
      </c>
    </row>
    <row r="385">
      <c r="A385" s="5">
        <f>IF('ORDENES'!$A363="","",IF('ORDENES'!$O363="","-",'ORDENES'!$O363))</f>
        <v/>
      </c>
      <c r="B385" s="5">
        <f>IF('ORDENES'!$A363="","",IF('ORDENES'!$S363="","-",'ORDENES'!$S363))</f>
        <v/>
      </c>
      <c r="C385" s="5">
        <f>IF('ORDENES'!$A363="","",IF('ORDENES'!$AH363="","-",'ORDENES'!$AH363))</f>
        <v/>
      </c>
      <c r="D385" s="5">
        <f>IF('ORDENES'!$A363="","",IF('ORDENES'!$Z363="","-",'ORDENES'!$Z363))</f>
        <v/>
      </c>
      <c r="E385" s="5">
        <f>IF('ORDENES'!$A363="","",IF('ORDENES'!$X363="","-",'ORDENES'!$X363))</f>
        <v/>
      </c>
      <c r="F385" s="5">
        <f>IF('ORDENES'!$A363="","",IF('ORDENES'!$AA363="","-",'ORDENES'!$AA363))</f>
        <v/>
      </c>
      <c r="G385" s="5">
        <f>IF('ORDENES'!$A363="","",IF('ORDENES'!$Y363="","-",'ORDENES'!$Y363))</f>
        <v/>
      </c>
      <c r="H385" s="5">
        <f>IF('ORDENES'!$A363="","",IF('ORDENES'!$AG363="","-",'ORDENES'!$AG363))</f>
        <v/>
      </c>
      <c r="I385" s="5">
        <f>IF('ORDENES'!$A363="","",IF('ORDENES'!$AT363="","-",'ORDENES'!$AT363))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20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IF('ORDENES'!$A363="","",'ORDENES'!$AF363)</f>
        <v/>
      </c>
    </row>
    <row r="386">
      <c r="A386" s="5">
        <f>IF('ORDENES'!$A364="","",IF('ORDENES'!$O364="","-",'ORDENES'!$O364))</f>
        <v/>
      </c>
      <c r="B386" s="5">
        <f>IF('ORDENES'!$A364="","",IF('ORDENES'!$S364="","-",'ORDENES'!$S364))</f>
        <v/>
      </c>
      <c r="C386" s="5">
        <f>IF('ORDENES'!$A364="","",IF('ORDENES'!$AH364="","-",'ORDENES'!$AH364))</f>
        <v/>
      </c>
      <c r="D386" s="5">
        <f>IF('ORDENES'!$A364="","",IF('ORDENES'!$Z364="","-",'ORDENES'!$Z364))</f>
        <v/>
      </c>
      <c r="E386" s="5">
        <f>IF('ORDENES'!$A364="","",IF('ORDENES'!$X364="","-",'ORDENES'!$X364))</f>
        <v/>
      </c>
      <c r="F386" s="5">
        <f>IF('ORDENES'!$A364="","",IF('ORDENES'!$AA364="","-",'ORDENES'!$AA364))</f>
        <v/>
      </c>
      <c r="G386" s="5">
        <f>IF('ORDENES'!$A364="","",IF('ORDENES'!$Y364="","-",'ORDENES'!$Y364))</f>
        <v/>
      </c>
      <c r="H386" s="5">
        <f>IF('ORDENES'!$A364="","",IF('ORDENES'!$AG364="","-",'ORDENES'!$AG364))</f>
        <v/>
      </c>
      <c r="I386" s="5">
        <f>IF('ORDENES'!$A364="","",IF('ORDENES'!$AT364="","-",'ORDENES'!$AT364))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20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IF('ORDENES'!$A364="","",'ORDENES'!$AF364)</f>
        <v/>
      </c>
    </row>
    <row r="387">
      <c r="A387" s="5">
        <f>IF('ORDENES'!$A365="","",IF('ORDENES'!$O365="","-",'ORDENES'!$O365))</f>
        <v/>
      </c>
      <c r="B387" s="5">
        <f>IF('ORDENES'!$A365="","",IF('ORDENES'!$S365="","-",'ORDENES'!$S365))</f>
        <v/>
      </c>
      <c r="C387" s="5">
        <f>IF('ORDENES'!$A365="","",IF('ORDENES'!$AH365="","-",'ORDENES'!$AH365))</f>
        <v/>
      </c>
      <c r="D387" s="5">
        <f>IF('ORDENES'!$A365="","",IF('ORDENES'!$Z365="","-",'ORDENES'!$Z365))</f>
        <v/>
      </c>
      <c r="E387" s="5">
        <f>IF('ORDENES'!$A365="","",IF('ORDENES'!$X365="","-",'ORDENES'!$X365))</f>
        <v/>
      </c>
      <c r="F387" s="5">
        <f>IF('ORDENES'!$A365="","",IF('ORDENES'!$AA365="","-",'ORDENES'!$AA365))</f>
        <v/>
      </c>
      <c r="G387" s="5">
        <f>IF('ORDENES'!$A365="","",IF('ORDENES'!$Y365="","-",'ORDENES'!$Y365))</f>
        <v/>
      </c>
      <c r="H387" s="5">
        <f>IF('ORDENES'!$A365="","",IF('ORDENES'!$AG365="","-",'ORDENES'!$AG365))</f>
        <v/>
      </c>
      <c r="I387" s="5">
        <f>IF('ORDENES'!$A365="","",IF('ORDENES'!$AT365="","-",'ORDENES'!$AT365))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20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IF('ORDENES'!$A365="","",'ORDENES'!$AF365)</f>
        <v/>
      </c>
    </row>
    <row r="388">
      <c r="A388" s="5">
        <f>IF('ORDENES'!$A366="","",IF('ORDENES'!$O366="","-",'ORDENES'!$O366))</f>
        <v/>
      </c>
      <c r="B388" s="5">
        <f>IF('ORDENES'!$A366="","",IF('ORDENES'!$S366="","-",'ORDENES'!$S366))</f>
        <v/>
      </c>
      <c r="C388" s="5">
        <f>IF('ORDENES'!$A366="","",IF('ORDENES'!$AH366="","-",'ORDENES'!$AH366))</f>
        <v/>
      </c>
      <c r="D388" s="5">
        <f>IF('ORDENES'!$A366="","",IF('ORDENES'!$Z366="","-",'ORDENES'!$Z366))</f>
        <v/>
      </c>
      <c r="E388" s="5">
        <f>IF('ORDENES'!$A366="","",IF('ORDENES'!$X366="","-",'ORDENES'!$X366))</f>
        <v/>
      </c>
      <c r="F388" s="5">
        <f>IF('ORDENES'!$A366="","",IF('ORDENES'!$AA366="","-",'ORDENES'!$AA366))</f>
        <v/>
      </c>
      <c r="G388" s="5">
        <f>IF('ORDENES'!$A366="","",IF('ORDENES'!$Y366="","-",'ORDENES'!$Y366))</f>
        <v/>
      </c>
      <c r="H388" s="5">
        <f>IF('ORDENES'!$A366="","",IF('ORDENES'!$AG366="","-",'ORDENES'!$AG366))</f>
        <v/>
      </c>
      <c r="I388" s="5">
        <f>IF('ORDENES'!$A366="","",IF('ORDENES'!$AT366="","-",'ORDENES'!$AT366))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20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IF('ORDENES'!$A366="","",'ORDENES'!$AF366)</f>
        <v/>
      </c>
    </row>
    <row r="389">
      <c r="A389" s="5">
        <f>IF('ORDENES'!$A367="","",IF('ORDENES'!$O367="","-",'ORDENES'!$O367))</f>
        <v/>
      </c>
      <c r="B389" s="5">
        <f>IF('ORDENES'!$A367="","",IF('ORDENES'!$S367="","-",'ORDENES'!$S367))</f>
        <v/>
      </c>
      <c r="C389" s="5">
        <f>IF('ORDENES'!$A367="","",IF('ORDENES'!$AH367="","-",'ORDENES'!$AH367))</f>
        <v/>
      </c>
      <c r="D389" s="5">
        <f>IF('ORDENES'!$A367="","",IF('ORDENES'!$Z367="","-",'ORDENES'!$Z367))</f>
        <v/>
      </c>
      <c r="E389" s="5">
        <f>IF('ORDENES'!$A367="","",IF('ORDENES'!$X367="","-",'ORDENES'!$X367))</f>
        <v/>
      </c>
      <c r="F389" s="5">
        <f>IF('ORDENES'!$A367="","",IF('ORDENES'!$AA367="","-",'ORDENES'!$AA367))</f>
        <v/>
      </c>
      <c r="G389" s="5">
        <f>IF('ORDENES'!$A367="","",IF('ORDENES'!$Y367="","-",'ORDENES'!$Y367))</f>
        <v/>
      </c>
      <c r="H389" s="5">
        <f>IF('ORDENES'!$A367="","",IF('ORDENES'!$AG367="","-",'ORDENES'!$AG367))</f>
        <v/>
      </c>
      <c r="I389" s="5">
        <f>IF('ORDENES'!$A367="","",IF('ORDENES'!$AT367="","-",'ORDENES'!$AT367))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20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IF('ORDENES'!$A367="","",'ORDENES'!$AF367)</f>
        <v/>
      </c>
    </row>
    <row r="390">
      <c r="A390" s="5">
        <f>IF('ORDENES'!$A368="","",IF('ORDENES'!$O368="","-",'ORDENES'!$O368))</f>
        <v/>
      </c>
      <c r="B390" s="5">
        <f>IF('ORDENES'!$A368="","",IF('ORDENES'!$S368="","-",'ORDENES'!$S368))</f>
        <v/>
      </c>
      <c r="C390" s="5">
        <f>IF('ORDENES'!$A368="","",IF('ORDENES'!$AH368="","-",'ORDENES'!$AH368))</f>
        <v/>
      </c>
      <c r="D390" s="5">
        <f>IF('ORDENES'!$A368="","",IF('ORDENES'!$Z368="","-",'ORDENES'!$Z368))</f>
        <v/>
      </c>
      <c r="E390" s="5">
        <f>IF('ORDENES'!$A368="","",IF('ORDENES'!$X368="","-",'ORDENES'!$X368))</f>
        <v/>
      </c>
      <c r="F390" s="5">
        <f>IF('ORDENES'!$A368="","",IF('ORDENES'!$AA368="","-",'ORDENES'!$AA368))</f>
        <v/>
      </c>
      <c r="G390" s="5">
        <f>IF('ORDENES'!$A368="","",IF('ORDENES'!$Y368="","-",'ORDENES'!$Y368))</f>
        <v/>
      </c>
      <c r="H390" s="5">
        <f>IF('ORDENES'!$A368="","",IF('ORDENES'!$AG368="","-",'ORDENES'!$AG368))</f>
        <v/>
      </c>
      <c r="I390" s="5">
        <f>IF('ORDENES'!$A368="","",IF('ORDENES'!$AT368="","-",'ORDENES'!$AT368))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20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IF('ORDENES'!$A368="","",'ORDENES'!$AF368)</f>
        <v/>
      </c>
    </row>
    <row r="391">
      <c r="A391" s="5">
        <f>IF('ORDENES'!$A369="","",IF('ORDENES'!$O369="","-",'ORDENES'!$O369))</f>
        <v/>
      </c>
      <c r="B391" s="5">
        <f>IF('ORDENES'!$A369="","",IF('ORDENES'!$S369="","-",'ORDENES'!$S369))</f>
        <v/>
      </c>
      <c r="C391" s="5">
        <f>IF('ORDENES'!$A369="","",IF('ORDENES'!$AH369="","-",'ORDENES'!$AH369))</f>
        <v/>
      </c>
      <c r="D391" s="5">
        <f>IF('ORDENES'!$A369="","",IF('ORDENES'!$Z369="","-",'ORDENES'!$Z369))</f>
        <v/>
      </c>
      <c r="E391" s="5">
        <f>IF('ORDENES'!$A369="","",IF('ORDENES'!$X369="","-",'ORDENES'!$X369))</f>
        <v/>
      </c>
      <c r="F391" s="5">
        <f>IF('ORDENES'!$A369="","",IF('ORDENES'!$AA369="","-",'ORDENES'!$AA369))</f>
        <v/>
      </c>
      <c r="G391" s="5">
        <f>IF('ORDENES'!$A369="","",IF('ORDENES'!$Y369="","-",'ORDENES'!$Y369))</f>
        <v/>
      </c>
      <c r="H391" s="5">
        <f>IF('ORDENES'!$A369="","",IF('ORDENES'!$AG369="","-",'ORDENES'!$AG369))</f>
        <v/>
      </c>
      <c r="I391" s="5">
        <f>IF('ORDENES'!$A369="","",IF('ORDENES'!$AT369="","-",'ORDENES'!$AT369))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20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IF('ORDENES'!$A369="","",'ORDENES'!$AF369)</f>
        <v/>
      </c>
    </row>
    <row r="392">
      <c r="A392" s="5">
        <f>IF('ORDENES'!$A370="","",IF('ORDENES'!$O370="","-",'ORDENES'!$O370))</f>
        <v/>
      </c>
      <c r="B392" s="5">
        <f>IF('ORDENES'!$A370="","",IF('ORDENES'!$S370="","-",'ORDENES'!$S370))</f>
        <v/>
      </c>
      <c r="C392" s="5">
        <f>IF('ORDENES'!$A370="","",IF('ORDENES'!$AH370="","-",'ORDENES'!$AH370))</f>
        <v/>
      </c>
      <c r="D392" s="5">
        <f>IF('ORDENES'!$A370="","",IF('ORDENES'!$Z370="","-",'ORDENES'!$Z370))</f>
        <v/>
      </c>
      <c r="E392" s="5">
        <f>IF('ORDENES'!$A370="","",IF('ORDENES'!$X370="","-",'ORDENES'!$X370))</f>
        <v/>
      </c>
      <c r="F392" s="5">
        <f>IF('ORDENES'!$A370="","",IF('ORDENES'!$AA370="","-",'ORDENES'!$AA370))</f>
        <v/>
      </c>
      <c r="G392" s="5">
        <f>IF('ORDENES'!$A370="","",IF('ORDENES'!$Y370="","-",'ORDENES'!$Y370))</f>
        <v/>
      </c>
      <c r="H392" s="5">
        <f>IF('ORDENES'!$A370="","",IF('ORDENES'!$AG370="","-",'ORDENES'!$AG370))</f>
        <v/>
      </c>
      <c r="I392" s="5">
        <f>IF('ORDENES'!$A370="","",IF('ORDENES'!$AT370="","-",'ORDENES'!$AT370))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20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IF('ORDENES'!$A370="","",'ORDENES'!$AF370)</f>
        <v/>
      </c>
    </row>
    <row r="393">
      <c r="A393" s="5">
        <f>IF('ORDENES'!$A371="","",IF('ORDENES'!$O371="","-",'ORDENES'!$O371))</f>
        <v/>
      </c>
      <c r="B393" s="5">
        <f>IF('ORDENES'!$A371="","",IF('ORDENES'!$S371="","-",'ORDENES'!$S371))</f>
        <v/>
      </c>
      <c r="C393" s="5">
        <f>IF('ORDENES'!$A371="","",IF('ORDENES'!$AH371="","-",'ORDENES'!$AH371))</f>
        <v/>
      </c>
      <c r="D393" s="5">
        <f>IF('ORDENES'!$A371="","",IF('ORDENES'!$Z371="","-",'ORDENES'!$Z371))</f>
        <v/>
      </c>
      <c r="E393" s="5">
        <f>IF('ORDENES'!$A371="","",IF('ORDENES'!$X371="","-",'ORDENES'!$X371))</f>
        <v/>
      </c>
      <c r="F393" s="5">
        <f>IF('ORDENES'!$A371="","",IF('ORDENES'!$AA371="","-",'ORDENES'!$AA371))</f>
        <v/>
      </c>
      <c r="G393" s="5">
        <f>IF('ORDENES'!$A371="","",IF('ORDENES'!$Y371="","-",'ORDENES'!$Y371))</f>
        <v/>
      </c>
      <c r="H393" s="5">
        <f>IF('ORDENES'!$A371="","",IF('ORDENES'!$AG371="","-",'ORDENES'!$AG371))</f>
        <v/>
      </c>
      <c r="I393" s="5">
        <f>IF('ORDENES'!$A371="","",IF('ORDENES'!$AT371="","-",'ORDENES'!$AT371))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20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IF('ORDENES'!$A371="","",'ORDENES'!$AF371)</f>
        <v/>
      </c>
    </row>
    <row r="394">
      <c r="A394" s="5">
        <f>IF('ORDENES'!$A372="","",IF('ORDENES'!$O372="","-",'ORDENES'!$O372))</f>
        <v/>
      </c>
      <c r="B394" s="5">
        <f>IF('ORDENES'!$A372="","",IF('ORDENES'!$S372="","-",'ORDENES'!$S372))</f>
        <v/>
      </c>
      <c r="C394" s="5">
        <f>IF('ORDENES'!$A372="","",IF('ORDENES'!$AH372="","-",'ORDENES'!$AH372))</f>
        <v/>
      </c>
      <c r="D394" s="5">
        <f>IF('ORDENES'!$A372="","",IF('ORDENES'!$Z372="","-",'ORDENES'!$Z372))</f>
        <v/>
      </c>
      <c r="E394" s="5">
        <f>IF('ORDENES'!$A372="","",IF('ORDENES'!$X372="","-",'ORDENES'!$X372))</f>
        <v/>
      </c>
      <c r="F394" s="5">
        <f>IF('ORDENES'!$A372="","",IF('ORDENES'!$AA372="","-",'ORDENES'!$AA372))</f>
        <v/>
      </c>
      <c r="G394" s="5">
        <f>IF('ORDENES'!$A372="","",IF('ORDENES'!$Y372="","-",'ORDENES'!$Y372))</f>
        <v/>
      </c>
      <c r="H394" s="5">
        <f>IF('ORDENES'!$A372="","",IF('ORDENES'!$AG372="","-",'ORDENES'!$AG372))</f>
        <v/>
      </c>
      <c r="I394" s="5">
        <f>IF('ORDENES'!$A372="","",IF('ORDENES'!$AT372="","-",'ORDENES'!$AT372))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20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IF('ORDENES'!$A372="","",'ORDENES'!$AF372)</f>
        <v/>
      </c>
    </row>
    <row r="395">
      <c r="A395" s="5">
        <f>IF('ORDENES'!$A373="","",IF('ORDENES'!$O373="","-",'ORDENES'!$O373))</f>
        <v/>
      </c>
      <c r="B395" s="5">
        <f>IF('ORDENES'!$A373="","",IF('ORDENES'!$S373="","-",'ORDENES'!$S373))</f>
        <v/>
      </c>
      <c r="C395" s="5">
        <f>IF('ORDENES'!$A373="","",IF('ORDENES'!$AH373="","-",'ORDENES'!$AH373))</f>
        <v/>
      </c>
      <c r="D395" s="5">
        <f>IF('ORDENES'!$A373="","",IF('ORDENES'!$Z373="","-",'ORDENES'!$Z373))</f>
        <v/>
      </c>
      <c r="E395" s="5">
        <f>IF('ORDENES'!$A373="","",IF('ORDENES'!$X373="","-",'ORDENES'!$X373))</f>
        <v/>
      </c>
      <c r="F395" s="5">
        <f>IF('ORDENES'!$A373="","",IF('ORDENES'!$AA373="","-",'ORDENES'!$AA373))</f>
        <v/>
      </c>
      <c r="G395" s="5">
        <f>IF('ORDENES'!$A373="","",IF('ORDENES'!$Y373="","-",'ORDENES'!$Y373))</f>
        <v/>
      </c>
      <c r="H395" s="5">
        <f>IF('ORDENES'!$A373="","",IF('ORDENES'!$AG373="","-",'ORDENES'!$AG373))</f>
        <v/>
      </c>
      <c r="I395" s="5">
        <f>IF('ORDENES'!$A373="","",IF('ORDENES'!$AT373="","-",'ORDENES'!$AT373))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20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IF('ORDENES'!$A373="","",'ORDENES'!$AF373)</f>
        <v/>
      </c>
    </row>
    <row r="396">
      <c r="A396" s="5">
        <f>IF('ORDENES'!$A374="","",IF('ORDENES'!$O374="","-",'ORDENES'!$O374))</f>
        <v/>
      </c>
      <c r="B396" s="5">
        <f>IF('ORDENES'!$A374="","",IF('ORDENES'!$S374="","-",'ORDENES'!$S374))</f>
        <v/>
      </c>
      <c r="C396" s="5">
        <f>IF('ORDENES'!$A374="","",IF('ORDENES'!$AH374="","-",'ORDENES'!$AH374))</f>
        <v/>
      </c>
      <c r="D396" s="5">
        <f>IF('ORDENES'!$A374="","",IF('ORDENES'!$Z374="","-",'ORDENES'!$Z374))</f>
        <v/>
      </c>
      <c r="E396" s="5">
        <f>IF('ORDENES'!$A374="","",IF('ORDENES'!$X374="","-",'ORDENES'!$X374))</f>
        <v/>
      </c>
      <c r="F396" s="5">
        <f>IF('ORDENES'!$A374="","",IF('ORDENES'!$AA374="","-",'ORDENES'!$AA374))</f>
        <v/>
      </c>
      <c r="G396" s="5">
        <f>IF('ORDENES'!$A374="","",IF('ORDENES'!$Y374="","-",'ORDENES'!$Y374))</f>
        <v/>
      </c>
      <c r="H396" s="5">
        <f>IF('ORDENES'!$A374="","",IF('ORDENES'!$AG374="","-",'ORDENES'!$AG374))</f>
        <v/>
      </c>
      <c r="I396" s="5">
        <f>IF('ORDENES'!$A374="","",IF('ORDENES'!$AT374="","-",'ORDENES'!$AT374))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20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IF('ORDENES'!$A374="","",'ORDENES'!$AF374)</f>
        <v/>
      </c>
    </row>
    <row r="397">
      <c r="A397" s="5">
        <f>IF('ORDENES'!$A375="","",IF('ORDENES'!$O375="","-",'ORDENES'!$O375))</f>
        <v/>
      </c>
      <c r="B397" s="5">
        <f>IF('ORDENES'!$A375="","",IF('ORDENES'!$S375="","-",'ORDENES'!$S375))</f>
        <v/>
      </c>
      <c r="C397" s="5">
        <f>IF('ORDENES'!$A375="","",IF('ORDENES'!$AH375="","-",'ORDENES'!$AH375))</f>
        <v/>
      </c>
      <c r="D397" s="5">
        <f>IF('ORDENES'!$A375="","",IF('ORDENES'!$Z375="","-",'ORDENES'!$Z375))</f>
        <v/>
      </c>
      <c r="E397" s="5">
        <f>IF('ORDENES'!$A375="","",IF('ORDENES'!$X375="","-",'ORDENES'!$X375))</f>
        <v/>
      </c>
      <c r="F397" s="5">
        <f>IF('ORDENES'!$A375="","",IF('ORDENES'!$AA375="","-",'ORDENES'!$AA375))</f>
        <v/>
      </c>
      <c r="G397" s="5">
        <f>IF('ORDENES'!$A375="","",IF('ORDENES'!$Y375="","-",'ORDENES'!$Y375))</f>
        <v/>
      </c>
      <c r="H397" s="5">
        <f>IF('ORDENES'!$A375="","",IF('ORDENES'!$AG375="","-",'ORDENES'!$AG375))</f>
        <v/>
      </c>
      <c r="I397" s="5">
        <f>IF('ORDENES'!$A375="","",IF('ORDENES'!$AT375="","-",'ORDENES'!$AT375))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20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IF('ORDENES'!$A375="","",'ORDENES'!$AF375)</f>
        <v/>
      </c>
    </row>
    <row r="398">
      <c r="A398" s="5">
        <f>IF('ORDENES'!$A376="","",IF('ORDENES'!$O376="","-",'ORDENES'!$O376))</f>
        <v/>
      </c>
      <c r="B398" s="5">
        <f>IF('ORDENES'!$A376="","",IF('ORDENES'!$S376="","-",'ORDENES'!$S376))</f>
        <v/>
      </c>
      <c r="C398" s="5">
        <f>IF('ORDENES'!$A376="","",IF('ORDENES'!$AH376="","-",'ORDENES'!$AH376))</f>
        <v/>
      </c>
      <c r="D398" s="5">
        <f>IF('ORDENES'!$A376="","",IF('ORDENES'!$Z376="","-",'ORDENES'!$Z376))</f>
        <v/>
      </c>
      <c r="E398" s="5">
        <f>IF('ORDENES'!$A376="","",IF('ORDENES'!$X376="","-",'ORDENES'!$X376))</f>
        <v/>
      </c>
      <c r="F398" s="5">
        <f>IF('ORDENES'!$A376="","",IF('ORDENES'!$AA376="","-",'ORDENES'!$AA376))</f>
        <v/>
      </c>
      <c r="G398" s="5">
        <f>IF('ORDENES'!$A376="","",IF('ORDENES'!$Y376="","-",'ORDENES'!$Y376))</f>
        <v/>
      </c>
      <c r="H398" s="5">
        <f>IF('ORDENES'!$A376="","",IF('ORDENES'!$AG376="","-",'ORDENES'!$AG376))</f>
        <v/>
      </c>
      <c r="I398" s="5">
        <f>IF('ORDENES'!$A376="","",IF('ORDENES'!$AT376="","-",'ORDENES'!$AT376))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20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IF('ORDENES'!$A376="","",'ORDENES'!$AF376)</f>
        <v/>
      </c>
    </row>
    <row r="399">
      <c r="A399" s="5">
        <f>IF('ORDENES'!$A377="","",IF('ORDENES'!$O377="","-",'ORDENES'!$O377))</f>
        <v/>
      </c>
      <c r="B399" s="5">
        <f>IF('ORDENES'!$A377="","",IF('ORDENES'!$S377="","-",'ORDENES'!$S377))</f>
        <v/>
      </c>
      <c r="C399" s="5">
        <f>IF('ORDENES'!$A377="","",IF('ORDENES'!$AH377="","-",'ORDENES'!$AH377))</f>
        <v/>
      </c>
      <c r="D399" s="5">
        <f>IF('ORDENES'!$A377="","",IF('ORDENES'!$Z377="","-",'ORDENES'!$Z377))</f>
        <v/>
      </c>
      <c r="E399" s="5">
        <f>IF('ORDENES'!$A377="","",IF('ORDENES'!$X377="","-",'ORDENES'!$X377))</f>
        <v/>
      </c>
      <c r="F399" s="5">
        <f>IF('ORDENES'!$A377="","",IF('ORDENES'!$AA377="","-",'ORDENES'!$AA377))</f>
        <v/>
      </c>
      <c r="G399" s="5">
        <f>IF('ORDENES'!$A377="","",IF('ORDENES'!$Y377="","-",'ORDENES'!$Y377))</f>
        <v/>
      </c>
      <c r="H399" s="5">
        <f>IF('ORDENES'!$A377="","",IF('ORDENES'!$AG377="","-",'ORDENES'!$AG377))</f>
        <v/>
      </c>
      <c r="I399" s="5">
        <f>IF('ORDENES'!$A377="","",IF('ORDENES'!$AT377="","-",'ORDENES'!$AT377))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20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IF('ORDENES'!$A377="","",'ORDENES'!$AF377)</f>
        <v/>
      </c>
    </row>
    <row r="400">
      <c r="A400" s="5">
        <f>IF('ORDENES'!$A378="","",IF('ORDENES'!$O378="","-",'ORDENES'!$O378))</f>
        <v/>
      </c>
      <c r="B400" s="5">
        <f>IF('ORDENES'!$A378="","",IF('ORDENES'!$S378="","-",'ORDENES'!$S378))</f>
        <v/>
      </c>
      <c r="C400" s="5">
        <f>IF('ORDENES'!$A378="","",IF('ORDENES'!$AH378="","-",'ORDENES'!$AH378))</f>
        <v/>
      </c>
      <c r="D400" s="5">
        <f>IF('ORDENES'!$A378="","",IF('ORDENES'!$Z378="","-",'ORDENES'!$Z378))</f>
        <v/>
      </c>
      <c r="E400" s="5">
        <f>IF('ORDENES'!$A378="","",IF('ORDENES'!$X378="","-",'ORDENES'!$X378))</f>
        <v/>
      </c>
      <c r="F400" s="5">
        <f>IF('ORDENES'!$A378="","",IF('ORDENES'!$AA378="","-",'ORDENES'!$AA378))</f>
        <v/>
      </c>
      <c r="G400" s="5">
        <f>IF('ORDENES'!$A378="","",IF('ORDENES'!$Y378="","-",'ORDENES'!$Y378))</f>
        <v/>
      </c>
      <c r="H400" s="5">
        <f>IF('ORDENES'!$A378="","",IF('ORDENES'!$AG378="","-",'ORDENES'!$AG378))</f>
        <v/>
      </c>
      <c r="I400" s="5">
        <f>IF('ORDENES'!$A378="","",IF('ORDENES'!$AT378="","-",'ORDENES'!$AT378))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20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IF('ORDENES'!$A378="","",'ORDENES'!$AF378)</f>
        <v/>
      </c>
    </row>
    <row r="401">
      <c r="A401" s="5">
        <f>IF('ORDENES'!$A379="","",IF('ORDENES'!$O379="","-",'ORDENES'!$O379))</f>
        <v/>
      </c>
      <c r="B401" s="5">
        <f>IF('ORDENES'!$A379="","",IF('ORDENES'!$S379="","-",'ORDENES'!$S379))</f>
        <v/>
      </c>
      <c r="C401" s="5">
        <f>IF('ORDENES'!$A379="","",IF('ORDENES'!$AH379="","-",'ORDENES'!$AH379))</f>
        <v/>
      </c>
      <c r="D401" s="5">
        <f>IF('ORDENES'!$A379="","",IF('ORDENES'!$Z379="","-",'ORDENES'!$Z379))</f>
        <v/>
      </c>
      <c r="E401" s="5">
        <f>IF('ORDENES'!$A379="","",IF('ORDENES'!$X379="","-",'ORDENES'!$X379))</f>
        <v/>
      </c>
      <c r="F401" s="5">
        <f>IF('ORDENES'!$A379="","",IF('ORDENES'!$AA379="","-",'ORDENES'!$AA379))</f>
        <v/>
      </c>
      <c r="G401" s="5">
        <f>IF('ORDENES'!$A379="","",IF('ORDENES'!$Y379="","-",'ORDENES'!$Y379))</f>
        <v/>
      </c>
      <c r="H401" s="5">
        <f>IF('ORDENES'!$A379="","",IF('ORDENES'!$AG379="","-",'ORDENES'!$AG379))</f>
        <v/>
      </c>
      <c r="I401" s="5">
        <f>IF('ORDENES'!$A379="","",IF('ORDENES'!$AT379="","-",'ORDENES'!$AT379))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20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IF('ORDENES'!$A379="","",'ORDENES'!$AF379)</f>
        <v/>
      </c>
    </row>
    <row r="402">
      <c r="A402" s="5">
        <f>IF('ORDENES'!$A380="","",IF('ORDENES'!$O380="","-",'ORDENES'!$O380))</f>
        <v/>
      </c>
      <c r="B402" s="5">
        <f>IF('ORDENES'!$A380="","",IF('ORDENES'!$S380="","-",'ORDENES'!$S380))</f>
        <v/>
      </c>
      <c r="C402" s="5">
        <f>IF('ORDENES'!$A380="","",IF('ORDENES'!$AH380="","-",'ORDENES'!$AH380))</f>
        <v/>
      </c>
      <c r="D402" s="5">
        <f>IF('ORDENES'!$A380="","",IF('ORDENES'!$Z380="","-",'ORDENES'!$Z380))</f>
        <v/>
      </c>
      <c r="E402" s="5">
        <f>IF('ORDENES'!$A380="","",IF('ORDENES'!$X380="","-",'ORDENES'!$X380))</f>
        <v/>
      </c>
      <c r="F402" s="5">
        <f>IF('ORDENES'!$A380="","",IF('ORDENES'!$AA380="","-",'ORDENES'!$AA380))</f>
        <v/>
      </c>
      <c r="G402" s="5">
        <f>IF('ORDENES'!$A380="","",IF('ORDENES'!$Y380="","-",'ORDENES'!$Y380))</f>
        <v/>
      </c>
      <c r="H402" s="5">
        <f>IF('ORDENES'!$A380="","",IF('ORDENES'!$AG380="","-",'ORDENES'!$AG380))</f>
        <v/>
      </c>
      <c r="I402" s="5">
        <f>IF('ORDENES'!$A380="","",IF('ORDENES'!$AT380="","-",'ORDENES'!$AT380))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20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IF('ORDENES'!$A380="","",'ORDENES'!$AF380)</f>
        <v/>
      </c>
    </row>
    <row r="403">
      <c r="A403" s="5">
        <f>IF('ORDENES'!$A381="","",IF('ORDENES'!$O381="","-",'ORDENES'!$O381))</f>
        <v/>
      </c>
      <c r="B403" s="5">
        <f>IF('ORDENES'!$A381="","",IF('ORDENES'!$S381="","-",'ORDENES'!$S381))</f>
        <v/>
      </c>
      <c r="C403" s="5">
        <f>IF('ORDENES'!$A381="","",IF('ORDENES'!$AH381="","-",'ORDENES'!$AH381))</f>
        <v/>
      </c>
      <c r="D403" s="5">
        <f>IF('ORDENES'!$A381="","",IF('ORDENES'!$Z381="","-",'ORDENES'!$Z381))</f>
        <v/>
      </c>
      <c r="E403" s="5">
        <f>IF('ORDENES'!$A381="","",IF('ORDENES'!$X381="","-",'ORDENES'!$X381))</f>
        <v/>
      </c>
      <c r="F403" s="5">
        <f>IF('ORDENES'!$A381="","",IF('ORDENES'!$AA381="","-",'ORDENES'!$AA381))</f>
        <v/>
      </c>
      <c r="G403" s="5">
        <f>IF('ORDENES'!$A381="","",IF('ORDENES'!$Y381="","-",'ORDENES'!$Y381))</f>
        <v/>
      </c>
      <c r="H403" s="5">
        <f>IF('ORDENES'!$A381="","",IF('ORDENES'!$AG381="","-",'ORDENES'!$AG381))</f>
        <v/>
      </c>
      <c r="I403" s="5">
        <f>IF('ORDENES'!$A381="","",IF('ORDENES'!$AT381="","-",'ORDENES'!$AT381))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20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IF('ORDENES'!$A381="","",'ORDENES'!$AF381)</f>
        <v/>
      </c>
    </row>
    <row r="404">
      <c r="A404" s="5">
        <f>IF('ORDENES'!$A382="","",IF('ORDENES'!$O382="","-",'ORDENES'!$O382))</f>
        <v/>
      </c>
      <c r="B404" s="5">
        <f>IF('ORDENES'!$A382="","",IF('ORDENES'!$S382="","-",'ORDENES'!$S382))</f>
        <v/>
      </c>
      <c r="C404" s="5">
        <f>IF('ORDENES'!$A382="","",IF('ORDENES'!$AH382="","-",'ORDENES'!$AH382))</f>
        <v/>
      </c>
      <c r="D404" s="5">
        <f>IF('ORDENES'!$A382="","",IF('ORDENES'!$Z382="","-",'ORDENES'!$Z382))</f>
        <v/>
      </c>
      <c r="E404" s="5">
        <f>IF('ORDENES'!$A382="","",IF('ORDENES'!$X382="","-",'ORDENES'!$X382))</f>
        <v/>
      </c>
      <c r="F404" s="5">
        <f>IF('ORDENES'!$A382="","",IF('ORDENES'!$AA382="","-",'ORDENES'!$AA382))</f>
        <v/>
      </c>
      <c r="G404" s="5">
        <f>IF('ORDENES'!$A382="","",IF('ORDENES'!$Y382="","-",'ORDENES'!$Y382))</f>
        <v/>
      </c>
      <c r="H404" s="5">
        <f>IF('ORDENES'!$A382="","",IF('ORDENES'!$AG382="","-",'ORDENES'!$AG382))</f>
        <v/>
      </c>
      <c r="I404" s="5">
        <f>IF('ORDENES'!$A382="","",IF('ORDENES'!$AT382="","-",'ORDENES'!$AT382))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20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IF('ORDENES'!$A382="","",'ORDENES'!$AF382)</f>
        <v/>
      </c>
    </row>
    <row r="405">
      <c r="A405" s="5">
        <f>IF('ORDENES'!$A383="","",IF('ORDENES'!$O383="","-",'ORDENES'!$O383))</f>
        <v/>
      </c>
      <c r="B405" s="5">
        <f>IF('ORDENES'!$A383="","",IF('ORDENES'!$S383="","-",'ORDENES'!$S383))</f>
        <v/>
      </c>
      <c r="C405" s="5">
        <f>IF('ORDENES'!$A383="","",IF('ORDENES'!$AH383="","-",'ORDENES'!$AH383))</f>
        <v/>
      </c>
      <c r="D405" s="5">
        <f>IF('ORDENES'!$A383="","",IF('ORDENES'!$Z383="","-",'ORDENES'!$Z383))</f>
        <v/>
      </c>
      <c r="E405" s="5">
        <f>IF('ORDENES'!$A383="","",IF('ORDENES'!$X383="","-",'ORDENES'!$X383))</f>
        <v/>
      </c>
      <c r="F405" s="5">
        <f>IF('ORDENES'!$A383="","",IF('ORDENES'!$AA383="","-",'ORDENES'!$AA383))</f>
        <v/>
      </c>
      <c r="G405" s="5">
        <f>IF('ORDENES'!$A383="","",IF('ORDENES'!$Y383="","-",'ORDENES'!$Y383))</f>
        <v/>
      </c>
      <c r="H405" s="5">
        <f>IF('ORDENES'!$A383="","",IF('ORDENES'!$AG383="","-",'ORDENES'!$AG383))</f>
        <v/>
      </c>
      <c r="I405" s="5">
        <f>IF('ORDENES'!$A383="","",IF('ORDENES'!$AT383="","-",'ORDENES'!$AT383))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20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IF('ORDENES'!$A383="","",'ORDENES'!$AF383)</f>
        <v/>
      </c>
    </row>
    <row r="406">
      <c r="A406" s="5">
        <f>IF('ORDENES'!$A384="","",IF('ORDENES'!$O384="","-",'ORDENES'!$O384))</f>
        <v/>
      </c>
      <c r="B406" s="5">
        <f>IF('ORDENES'!$A384="","",IF('ORDENES'!$S384="","-",'ORDENES'!$S384))</f>
        <v/>
      </c>
      <c r="C406" s="5">
        <f>IF('ORDENES'!$A384="","",IF('ORDENES'!$AH384="","-",'ORDENES'!$AH384))</f>
        <v/>
      </c>
      <c r="D406" s="5">
        <f>IF('ORDENES'!$A384="","",IF('ORDENES'!$Z384="","-",'ORDENES'!$Z384))</f>
        <v/>
      </c>
      <c r="E406" s="5">
        <f>IF('ORDENES'!$A384="","",IF('ORDENES'!$X384="","-",'ORDENES'!$X384))</f>
        <v/>
      </c>
      <c r="F406" s="5">
        <f>IF('ORDENES'!$A384="","",IF('ORDENES'!$AA384="","-",'ORDENES'!$AA384))</f>
        <v/>
      </c>
      <c r="G406" s="5">
        <f>IF('ORDENES'!$A384="","",IF('ORDENES'!$Y384="","-",'ORDENES'!$Y384))</f>
        <v/>
      </c>
      <c r="H406" s="5">
        <f>IF('ORDENES'!$A384="","",IF('ORDENES'!$AG384="","-",'ORDENES'!$AG384))</f>
        <v/>
      </c>
      <c r="I406" s="5">
        <f>IF('ORDENES'!$A384="","",IF('ORDENES'!$AT384="","-",'ORDENES'!$AT384))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20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IF('ORDENES'!$A384="","",'ORDENES'!$AF384)</f>
        <v/>
      </c>
    </row>
    <row r="407">
      <c r="A407" s="5">
        <f>IF('ORDENES'!$A385="","",IF('ORDENES'!$O385="","-",'ORDENES'!$O385))</f>
        <v/>
      </c>
      <c r="B407" s="5">
        <f>IF('ORDENES'!$A385="","",IF('ORDENES'!$S385="","-",'ORDENES'!$S385))</f>
        <v/>
      </c>
      <c r="C407" s="5">
        <f>IF('ORDENES'!$A385="","",IF('ORDENES'!$AH385="","-",'ORDENES'!$AH385))</f>
        <v/>
      </c>
      <c r="D407" s="5">
        <f>IF('ORDENES'!$A385="","",IF('ORDENES'!$Z385="","-",'ORDENES'!$Z385))</f>
        <v/>
      </c>
      <c r="E407" s="5">
        <f>IF('ORDENES'!$A385="","",IF('ORDENES'!$X385="","-",'ORDENES'!$X385))</f>
        <v/>
      </c>
      <c r="F407" s="5">
        <f>IF('ORDENES'!$A385="","",IF('ORDENES'!$AA385="","-",'ORDENES'!$AA385))</f>
        <v/>
      </c>
      <c r="G407" s="5">
        <f>IF('ORDENES'!$A385="","",IF('ORDENES'!$Y385="","-",'ORDENES'!$Y385))</f>
        <v/>
      </c>
      <c r="H407" s="5">
        <f>IF('ORDENES'!$A385="","",IF('ORDENES'!$AG385="","-",'ORDENES'!$AG385))</f>
        <v/>
      </c>
      <c r="I407" s="5">
        <f>IF('ORDENES'!$A385="","",IF('ORDENES'!$AT385="","-",'ORDENES'!$AT385))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20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IF('ORDENES'!$A385="","",'ORDENES'!$AF385)</f>
        <v/>
      </c>
    </row>
    <row r="408">
      <c r="A408" s="5">
        <f>IF('ORDENES'!$A386="","",IF('ORDENES'!$O386="","-",'ORDENES'!$O386))</f>
        <v/>
      </c>
      <c r="B408" s="5">
        <f>IF('ORDENES'!$A386="","",IF('ORDENES'!$S386="","-",'ORDENES'!$S386))</f>
        <v/>
      </c>
      <c r="C408" s="5">
        <f>IF('ORDENES'!$A386="","",IF('ORDENES'!$AH386="","-",'ORDENES'!$AH386))</f>
        <v/>
      </c>
      <c r="D408" s="5">
        <f>IF('ORDENES'!$A386="","",IF('ORDENES'!$Z386="","-",'ORDENES'!$Z386))</f>
        <v/>
      </c>
      <c r="E408" s="5">
        <f>IF('ORDENES'!$A386="","",IF('ORDENES'!$X386="","-",'ORDENES'!$X386))</f>
        <v/>
      </c>
      <c r="F408" s="5">
        <f>IF('ORDENES'!$A386="","",IF('ORDENES'!$AA386="","-",'ORDENES'!$AA386))</f>
        <v/>
      </c>
      <c r="G408" s="5">
        <f>IF('ORDENES'!$A386="","",IF('ORDENES'!$Y386="","-",'ORDENES'!$Y386))</f>
        <v/>
      </c>
      <c r="H408" s="5">
        <f>IF('ORDENES'!$A386="","",IF('ORDENES'!$AG386="","-",'ORDENES'!$AG386))</f>
        <v/>
      </c>
      <c r="I408" s="5">
        <f>IF('ORDENES'!$A386="","",IF('ORDENES'!$AT386="","-",'ORDENES'!$AT386))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20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IF('ORDENES'!$A386="","",'ORDENES'!$AF386)</f>
        <v/>
      </c>
    </row>
    <row r="409">
      <c r="A409" s="5">
        <f>IF('ORDENES'!$A387="","",IF('ORDENES'!$O387="","-",'ORDENES'!$O387))</f>
        <v/>
      </c>
      <c r="B409" s="5">
        <f>IF('ORDENES'!$A387="","",IF('ORDENES'!$S387="","-",'ORDENES'!$S387))</f>
        <v/>
      </c>
      <c r="C409" s="5">
        <f>IF('ORDENES'!$A387="","",IF('ORDENES'!$AH387="","-",'ORDENES'!$AH387))</f>
        <v/>
      </c>
      <c r="D409" s="5">
        <f>IF('ORDENES'!$A387="","",IF('ORDENES'!$Z387="","-",'ORDENES'!$Z387))</f>
        <v/>
      </c>
      <c r="E409" s="5">
        <f>IF('ORDENES'!$A387="","",IF('ORDENES'!$X387="","-",'ORDENES'!$X387))</f>
        <v/>
      </c>
      <c r="F409" s="5">
        <f>IF('ORDENES'!$A387="","",IF('ORDENES'!$AA387="","-",'ORDENES'!$AA387))</f>
        <v/>
      </c>
      <c r="G409" s="5">
        <f>IF('ORDENES'!$A387="","",IF('ORDENES'!$Y387="","-",'ORDENES'!$Y387))</f>
        <v/>
      </c>
      <c r="H409" s="5">
        <f>IF('ORDENES'!$A387="","",IF('ORDENES'!$AG387="","-",'ORDENES'!$AG387))</f>
        <v/>
      </c>
      <c r="I409" s="5">
        <f>IF('ORDENES'!$A387="","",IF('ORDENES'!$AT387="","-",'ORDENES'!$AT387))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20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IF('ORDENES'!$A387="","",'ORDENES'!$AF387)</f>
        <v/>
      </c>
    </row>
    <row r="410">
      <c r="A410" s="5">
        <f>IF('ORDENES'!$A388="","",IF('ORDENES'!$O388="","-",'ORDENES'!$O388))</f>
        <v/>
      </c>
      <c r="B410" s="5">
        <f>IF('ORDENES'!$A388="","",IF('ORDENES'!$S388="","-",'ORDENES'!$S388))</f>
        <v/>
      </c>
      <c r="C410" s="5">
        <f>IF('ORDENES'!$A388="","",IF('ORDENES'!$AH388="","-",'ORDENES'!$AH388))</f>
        <v/>
      </c>
      <c r="D410" s="5">
        <f>IF('ORDENES'!$A388="","",IF('ORDENES'!$Z388="","-",'ORDENES'!$Z388))</f>
        <v/>
      </c>
      <c r="E410" s="5">
        <f>IF('ORDENES'!$A388="","",IF('ORDENES'!$X388="","-",'ORDENES'!$X388))</f>
        <v/>
      </c>
      <c r="F410" s="5">
        <f>IF('ORDENES'!$A388="","",IF('ORDENES'!$AA388="","-",'ORDENES'!$AA388))</f>
        <v/>
      </c>
      <c r="G410" s="5">
        <f>IF('ORDENES'!$A388="","",IF('ORDENES'!$Y388="","-",'ORDENES'!$Y388))</f>
        <v/>
      </c>
      <c r="H410" s="5">
        <f>IF('ORDENES'!$A388="","",IF('ORDENES'!$AG388="","-",'ORDENES'!$AG388))</f>
        <v/>
      </c>
      <c r="I410" s="5">
        <f>IF('ORDENES'!$A388="","",IF('ORDENES'!$AT388="","-",'ORDENES'!$AT388))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20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IF('ORDENES'!$A388="","",'ORDENES'!$AF388)</f>
        <v/>
      </c>
    </row>
    <row r="411">
      <c r="A411" s="5">
        <f>IF('ORDENES'!$A389="","",IF('ORDENES'!$O389="","-",'ORDENES'!$O389))</f>
        <v/>
      </c>
      <c r="B411" s="5">
        <f>IF('ORDENES'!$A389="","",IF('ORDENES'!$S389="","-",'ORDENES'!$S389))</f>
        <v/>
      </c>
      <c r="C411" s="5">
        <f>IF('ORDENES'!$A389="","",IF('ORDENES'!$AH389="","-",'ORDENES'!$AH389))</f>
        <v/>
      </c>
      <c r="D411" s="5">
        <f>IF('ORDENES'!$A389="","",IF('ORDENES'!$Z389="","-",'ORDENES'!$Z389))</f>
        <v/>
      </c>
      <c r="E411" s="5">
        <f>IF('ORDENES'!$A389="","",IF('ORDENES'!$X389="","-",'ORDENES'!$X389))</f>
        <v/>
      </c>
      <c r="F411" s="5">
        <f>IF('ORDENES'!$A389="","",IF('ORDENES'!$AA389="","-",'ORDENES'!$AA389))</f>
        <v/>
      </c>
      <c r="G411" s="5">
        <f>IF('ORDENES'!$A389="","",IF('ORDENES'!$Y389="","-",'ORDENES'!$Y389))</f>
        <v/>
      </c>
      <c r="H411" s="5">
        <f>IF('ORDENES'!$A389="","",IF('ORDENES'!$AG389="","-",'ORDENES'!$AG389))</f>
        <v/>
      </c>
      <c r="I411" s="5">
        <f>IF('ORDENES'!$A389="","",IF('ORDENES'!$AT389="","-",'ORDENES'!$AT389))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20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IF('ORDENES'!$A389="","",'ORDENES'!$AF389)</f>
        <v/>
      </c>
    </row>
    <row r="412">
      <c r="A412" s="5">
        <f>IF('ORDENES'!$A390="","",IF('ORDENES'!$O390="","-",'ORDENES'!$O390))</f>
        <v/>
      </c>
      <c r="B412" s="5">
        <f>IF('ORDENES'!$A390="","",IF('ORDENES'!$S390="","-",'ORDENES'!$S390))</f>
        <v/>
      </c>
      <c r="C412" s="5">
        <f>IF('ORDENES'!$A390="","",IF('ORDENES'!$AH390="","-",'ORDENES'!$AH390))</f>
        <v/>
      </c>
      <c r="D412" s="5">
        <f>IF('ORDENES'!$A390="","",IF('ORDENES'!$Z390="","-",'ORDENES'!$Z390))</f>
        <v/>
      </c>
      <c r="E412" s="5">
        <f>IF('ORDENES'!$A390="","",IF('ORDENES'!$X390="","-",'ORDENES'!$X390))</f>
        <v/>
      </c>
      <c r="F412" s="5">
        <f>IF('ORDENES'!$A390="","",IF('ORDENES'!$AA390="","-",'ORDENES'!$AA390))</f>
        <v/>
      </c>
      <c r="G412" s="5">
        <f>IF('ORDENES'!$A390="","",IF('ORDENES'!$Y390="","-",'ORDENES'!$Y390))</f>
        <v/>
      </c>
      <c r="H412" s="5">
        <f>IF('ORDENES'!$A390="","",IF('ORDENES'!$AG390="","-",'ORDENES'!$AG390))</f>
        <v/>
      </c>
      <c r="I412" s="5">
        <f>IF('ORDENES'!$A390="","",IF('ORDENES'!$AT390="","-",'ORDENES'!$AT390))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20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IF('ORDENES'!$A390="","",'ORDENES'!$AF390)</f>
        <v/>
      </c>
    </row>
    <row r="413">
      <c r="A413" s="5">
        <f>IF('ORDENES'!$A391="","",IF('ORDENES'!$O391="","-",'ORDENES'!$O391))</f>
        <v/>
      </c>
      <c r="B413" s="5">
        <f>IF('ORDENES'!$A391="","",IF('ORDENES'!$S391="","-",'ORDENES'!$S391))</f>
        <v/>
      </c>
      <c r="C413" s="5">
        <f>IF('ORDENES'!$A391="","",IF('ORDENES'!$AH391="","-",'ORDENES'!$AH391))</f>
        <v/>
      </c>
      <c r="D413" s="5">
        <f>IF('ORDENES'!$A391="","",IF('ORDENES'!$Z391="","-",'ORDENES'!$Z391))</f>
        <v/>
      </c>
      <c r="E413" s="5">
        <f>IF('ORDENES'!$A391="","",IF('ORDENES'!$X391="","-",'ORDENES'!$X391))</f>
        <v/>
      </c>
      <c r="F413" s="5">
        <f>IF('ORDENES'!$A391="","",IF('ORDENES'!$AA391="","-",'ORDENES'!$AA391))</f>
        <v/>
      </c>
      <c r="G413" s="5">
        <f>IF('ORDENES'!$A391="","",IF('ORDENES'!$Y391="","-",'ORDENES'!$Y391))</f>
        <v/>
      </c>
      <c r="H413" s="5">
        <f>IF('ORDENES'!$A391="","",IF('ORDENES'!$AG391="","-",'ORDENES'!$AG391))</f>
        <v/>
      </c>
      <c r="I413" s="5">
        <f>IF('ORDENES'!$A391="","",IF('ORDENES'!$AT391="","-",'ORDENES'!$AT391))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20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IF('ORDENES'!$A391="","",'ORDENES'!$AF391)</f>
        <v/>
      </c>
    </row>
    <row r="414">
      <c r="A414" s="5">
        <f>IF('ORDENES'!$A392="","",IF('ORDENES'!$O392="","-",'ORDENES'!$O392))</f>
        <v/>
      </c>
      <c r="B414" s="5">
        <f>IF('ORDENES'!$A392="","",IF('ORDENES'!$S392="","-",'ORDENES'!$S392))</f>
        <v/>
      </c>
      <c r="C414" s="5">
        <f>IF('ORDENES'!$A392="","",IF('ORDENES'!$AH392="","-",'ORDENES'!$AH392))</f>
        <v/>
      </c>
      <c r="D414" s="5">
        <f>IF('ORDENES'!$A392="","",IF('ORDENES'!$Z392="","-",'ORDENES'!$Z392))</f>
        <v/>
      </c>
      <c r="E414" s="5">
        <f>IF('ORDENES'!$A392="","",IF('ORDENES'!$X392="","-",'ORDENES'!$X392))</f>
        <v/>
      </c>
      <c r="F414" s="5">
        <f>IF('ORDENES'!$A392="","",IF('ORDENES'!$AA392="","-",'ORDENES'!$AA392))</f>
        <v/>
      </c>
      <c r="G414" s="5">
        <f>IF('ORDENES'!$A392="","",IF('ORDENES'!$Y392="","-",'ORDENES'!$Y392))</f>
        <v/>
      </c>
      <c r="H414" s="5">
        <f>IF('ORDENES'!$A392="","",IF('ORDENES'!$AG392="","-",'ORDENES'!$AG392))</f>
        <v/>
      </c>
      <c r="I414" s="5">
        <f>IF('ORDENES'!$A392="","",IF('ORDENES'!$AT392="","-",'ORDENES'!$AT392))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20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IF('ORDENES'!$A392="","",'ORDENES'!$AF392)</f>
        <v/>
      </c>
    </row>
    <row r="415">
      <c r="A415" s="5">
        <f>IF('ORDENES'!$A393="","",IF('ORDENES'!$O393="","-",'ORDENES'!$O393))</f>
        <v/>
      </c>
      <c r="B415" s="5">
        <f>IF('ORDENES'!$A393="","",IF('ORDENES'!$S393="","-",'ORDENES'!$S393))</f>
        <v/>
      </c>
      <c r="C415" s="5">
        <f>IF('ORDENES'!$A393="","",IF('ORDENES'!$AH393="","-",'ORDENES'!$AH393))</f>
        <v/>
      </c>
      <c r="D415" s="5">
        <f>IF('ORDENES'!$A393="","",IF('ORDENES'!$Z393="","-",'ORDENES'!$Z393))</f>
        <v/>
      </c>
      <c r="E415" s="5">
        <f>IF('ORDENES'!$A393="","",IF('ORDENES'!$X393="","-",'ORDENES'!$X393))</f>
        <v/>
      </c>
      <c r="F415" s="5">
        <f>IF('ORDENES'!$A393="","",IF('ORDENES'!$AA393="","-",'ORDENES'!$AA393))</f>
        <v/>
      </c>
      <c r="G415" s="5">
        <f>IF('ORDENES'!$A393="","",IF('ORDENES'!$Y393="","-",'ORDENES'!$Y393))</f>
        <v/>
      </c>
      <c r="H415" s="5">
        <f>IF('ORDENES'!$A393="","",IF('ORDENES'!$AG393="","-",'ORDENES'!$AG393))</f>
        <v/>
      </c>
      <c r="I415" s="5">
        <f>IF('ORDENES'!$A393="","",IF('ORDENES'!$AT393="","-",'ORDENES'!$AT393))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20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IF('ORDENES'!$A393="","",'ORDENES'!$AF393)</f>
        <v/>
      </c>
    </row>
    <row r="416">
      <c r="A416" s="5">
        <f>IF('ORDENES'!$A394="","",IF('ORDENES'!$O394="","-",'ORDENES'!$O394))</f>
        <v/>
      </c>
      <c r="B416" s="5">
        <f>IF('ORDENES'!$A394="","",IF('ORDENES'!$S394="","-",'ORDENES'!$S394))</f>
        <v/>
      </c>
      <c r="C416" s="5">
        <f>IF('ORDENES'!$A394="","",IF('ORDENES'!$AH394="","-",'ORDENES'!$AH394))</f>
        <v/>
      </c>
      <c r="D416" s="5">
        <f>IF('ORDENES'!$A394="","",IF('ORDENES'!$Z394="","-",'ORDENES'!$Z394))</f>
        <v/>
      </c>
      <c r="E416" s="5">
        <f>IF('ORDENES'!$A394="","",IF('ORDENES'!$X394="","-",'ORDENES'!$X394))</f>
        <v/>
      </c>
      <c r="F416" s="5">
        <f>IF('ORDENES'!$A394="","",IF('ORDENES'!$AA394="","-",'ORDENES'!$AA394))</f>
        <v/>
      </c>
      <c r="G416" s="5">
        <f>IF('ORDENES'!$A394="","",IF('ORDENES'!$Y394="","-",'ORDENES'!$Y394))</f>
        <v/>
      </c>
      <c r="H416" s="5">
        <f>IF('ORDENES'!$A394="","",IF('ORDENES'!$AG394="","-",'ORDENES'!$AG394))</f>
        <v/>
      </c>
      <c r="I416" s="5">
        <f>IF('ORDENES'!$A394="","",IF('ORDENES'!$AT394="","-",'ORDENES'!$AT394))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20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IF('ORDENES'!$A394="","",'ORDENES'!$AF394)</f>
        <v/>
      </c>
    </row>
    <row r="417">
      <c r="A417" s="5">
        <f>IF('ORDENES'!$A395="","",IF('ORDENES'!$O395="","-",'ORDENES'!$O395))</f>
        <v/>
      </c>
      <c r="B417" s="5">
        <f>IF('ORDENES'!$A395="","",IF('ORDENES'!$S395="","-",'ORDENES'!$S395))</f>
        <v/>
      </c>
      <c r="C417" s="5">
        <f>IF('ORDENES'!$A395="","",IF('ORDENES'!$AH395="","-",'ORDENES'!$AH395))</f>
        <v/>
      </c>
      <c r="D417" s="5">
        <f>IF('ORDENES'!$A395="","",IF('ORDENES'!$Z395="","-",'ORDENES'!$Z395))</f>
        <v/>
      </c>
      <c r="E417" s="5">
        <f>IF('ORDENES'!$A395="","",IF('ORDENES'!$X395="","-",'ORDENES'!$X395))</f>
        <v/>
      </c>
      <c r="F417" s="5">
        <f>IF('ORDENES'!$A395="","",IF('ORDENES'!$AA395="","-",'ORDENES'!$AA395))</f>
        <v/>
      </c>
      <c r="G417" s="5">
        <f>IF('ORDENES'!$A395="","",IF('ORDENES'!$Y395="","-",'ORDENES'!$Y395))</f>
        <v/>
      </c>
      <c r="H417" s="5">
        <f>IF('ORDENES'!$A395="","",IF('ORDENES'!$AG395="","-",'ORDENES'!$AG395))</f>
        <v/>
      </c>
      <c r="I417" s="5">
        <f>IF('ORDENES'!$A395="","",IF('ORDENES'!$AT395="","-",'ORDENES'!$AT395))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20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IF('ORDENES'!$A395="","",'ORDENES'!$AF395)</f>
        <v/>
      </c>
    </row>
    <row r="418">
      <c r="A418" s="5">
        <f>IF('ORDENES'!$A396="","",IF('ORDENES'!$O396="","-",'ORDENES'!$O396))</f>
        <v/>
      </c>
      <c r="B418" s="5">
        <f>IF('ORDENES'!$A396="","",IF('ORDENES'!$S396="","-",'ORDENES'!$S396))</f>
        <v/>
      </c>
      <c r="C418" s="5">
        <f>IF('ORDENES'!$A396="","",IF('ORDENES'!$AH396="","-",'ORDENES'!$AH396))</f>
        <v/>
      </c>
      <c r="D418" s="5">
        <f>IF('ORDENES'!$A396="","",IF('ORDENES'!$Z396="","-",'ORDENES'!$Z396))</f>
        <v/>
      </c>
      <c r="E418" s="5">
        <f>IF('ORDENES'!$A396="","",IF('ORDENES'!$X396="","-",'ORDENES'!$X396))</f>
        <v/>
      </c>
      <c r="F418" s="5">
        <f>IF('ORDENES'!$A396="","",IF('ORDENES'!$AA396="","-",'ORDENES'!$AA396))</f>
        <v/>
      </c>
      <c r="G418" s="5">
        <f>IF('ORDENES'!$A396="","",IF('ORDENES'!$Y396="","-",'ORDENES'!$Y396))</f>
        <v/>
      </c>
      <c r="H418" s="5">
        <f>IF('ORDENES'!$A396="","",IF('ORDENES'!$AG396="","-",'ORDENES'!$AG396))</f>
        <v/>
      </c>
      <c r="I418" s="5">
        <f>IF('ORDENES'!$A396="","",IF('ORDENES'!$AT396="","-",'ORDENES'!$AT396))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20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IF('ORDENES'!$A396="","",'ORDENES'!$AF396)</f>
        <v/>
      </c>
    </row>
    <row r="419">
      <c r="A419" s="5">
        <f>IF('ORDENES'!$A397="","",IF('ORDENES'!$O397="","-",'ORDENES'!$O397))</f>
        <v/>
      </c>
      <c r="B419" s="5">
        <f>IF('ORDENES'!$A397="","",IF('ORDENES'!$S397="","-",'ORDENES'!$S397))</f>
        <v/>
      </c>
      <c r="C419" s="5">
        <f>IF('ORDENES'!$A397="","",IF('ORDENES'!$AH397="","-",'ORDENES'!$AH397))</f>
        <v/>
      </c>
      <c r="D419" s="5">
        <f>IF('ORDENES'!$A397="","",IF('ORDENES'!$Z397="","-",'ORDENES'!$Z397))</f>
        <v/>
      </c>
      <c r="E419" s="5">
        <f>IF('ORDENES'!$A397="","",IF('ORDENES'!$X397="","-",'ORDENES'!$X397))</f>
        <v/>
      </c>
      <c r="F419" s="5">
        <f>IF('ORDENES'!$A397="","",IF('ORDENES'!$AA397="","-",'ORDENES'!$AA397))</f>
        <v/>
      </c>
      <c r="G419" s="5">
        <f>IF('ORDENES'!$A397="","",IF('ORDENES'!$Y397="","-",'ORDENES'!$Y397))</f>
        <v/>
      </c>
      <c r="H419" s="5">
        <f>IF('ORDENES'!$A397="","",IF('ORDENES'!$AG397="","-",'ORDENES'!$AG397))</f>
        <v/>
      </c>
      <c r="I419" s="5">
        <f>IF('ORDENES'!$A397="","",IF('ORDENES'!$AT397="","-",'ORDENES'!$AT397))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20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IF('ORDENES'!$A397="","",'ORDENES'!$AF397)</f>
        <v/>
      </c>
    </row>
    <row r="420">
      <c r="A420" s="5">
        <f>IF('ORDENES'!$A398="","",IF('ORDENES'!$O398="","-",'ORDENES'!$O398))</f>
        <v/>
      </c>
      <c r="B420" s="5">
        <f>IF('ORDENES'!$A398="","",IF('ORDENES'!$S398="","-",'ORDENES'!$S398))</f>
        <v/>
      </c>
      <c r="C420" s="5">
        <f>IF('ORDENES'!$A398="","",IF('ORDENES'!$AH398="","-",'ORDENES'!$AH398))</f>
        <v/>
      </c>
      <c r="D420" s="5">
        <f>IF('ORDENES'!$A398="","",IF('ORDENES'!$Z398="","-",'ORDENES'!$Z398))</f>
        <v/>
      </c>
      <c r="E420" s="5">
        <f>IF('ORDENES'!$A398="","",IF('ORDENES'!$X398="","-",'ORDENES'!$X398))</f>
        <v/>
      </c>
      <c r="F420" s="5">
        <f>IF('ORDENES'!$A398="","",IF('ORDENES'!$AA398="","-",'ORDENES'!$AA398))</f>
        <v/>
      </c>
      <c r="G420" s="5">
        <f>IF('ORDENES'!$A398="","",IF('ORDENES'!$Y398="","-",'ORDENES'!$Y398))</f>
        <v/>
      </c>
      <c r="H420" s="5">
        <f>IF('ORDENES'!$A398="","",IF('ORDENES'!$AG398="","-",'ORDENES'!$AG398))</f>
        <v/>
      </c>
      <c r="I420" s="5">
        <f>IF('ORDENES'!$A398="","",IF('ORDENES'!$AT398="","-",'ORDENES'!$AT398))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20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IF('ORDENES'!$A398="","",'ORDENES'!$AF398)</f>
        <v/>
      </c>
    </row>
    <row r="421">
      <c r="A421" s="5">
        <f>IF('ORDENES'!$A399="","",IF('ORDENES'!$O399="","-",'ORDENES'!$O399))</f>
        <v/>
      </c>
      <c r="B421" s="5">
        <f>IF('ORDENES'!$A399="","",IF('ORDENES'!$S399="","-",'ORDENES'!$S399))</f>
        <v/>
      </c>
      <c r="C421" s="5">
        <f>IF('ORDENES'!$A399="","",IF('ORDENES'!$AH399="","-",'ORDENES'!$AH399))</f>
        <v/>
      </c>
      <c r="D421" s="5">
        <f>IF('ORDENES'!$A399="","",IF('ORDENES'!$Z399="","-",'ORDENES'!$Z399))</f>
        <v/>
      </c>
      <c r="E421" s="5">
        <f>IF('ORDENES'!$A399="","",IF('ORDENES'!$X399="","-",'ORDENES'!$X399))</f>
        <v/>
      </c>
      <c r="F421" s="5">
        <f>IF('ORDENES'!$A399="","",IF('ORDENES'!$AA399="","-",'ORDENES'!$AA399))</f>
        <v/>
      </c>
      <c r="G421" s="5">
        <f>IF('ORDENES'!$A399="","",IF('ORDENES'!$Y399="","-",'ORDENES'!$Y399))</f>
        <v/>
      </c>
      <c r="H421" s="5">
        <f>IF('ORDENES'!$A399="","",IF('ORDENES'!$AG399="","-",'ORDENES'!$AG399))</f>
        <v/>
      </c>
      <c r="I421" s="5">
        <f>IF('ORDENES'!$A399="","",IF('ORDENES'!$AT399="","-",'ORDENES'!$AT399))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20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IF('ORDENES'!$A399="","",'ORDENES'!$AF399)</f>
        <v/>
      </c>
    </row>
    <row r="422">
      <c r="A422" s="5">
        <f>IF('ORDENES'!$A400="","",IF('ORDENES'!$O400="","-",'ORDENES'!$O400))</f>
        <v/>
      </c>
      <c r="B422" s="5">
        <f>IF('ORDENES'!$A400="","",IF('ORDENES'!$S400="","-",'ORDENES'!$S400))</f>
        <v/>
      </c>
      <c r="C422" s="5">
        <f>IF('ORDENES'!$A400="","",IF('ORDENES'!$AH400="","-",'ORDENES'!$AH400))</f>
        <v/>
      </c>
      <c r="D422" s="5">
        <f>IF('ORDENES'!$A400="","",IF('ORDENES'!$Z400="","-",'ORDENES'!$Z400))</f>
        <v/>
      </c>
      <c r="E422" s="5">
        <f>IF('ORDENES'!$A400="","",IF('ORDENES'!$X400="","-",'ORDENES'!$X400))</f>
        <v/>
      </c>
      <c r="F422" s="5">
        <f>IF('ORDENES'!$A400="","",IF('ORDENES'!$AA400="","-",'ORDENES'!$AA400))</f>
        <v/>
      </c>
      <c r="G422" s="5">
        <f>IF('ORDENES'!$A400="","",IF('ORDENES'!$Y400="","-",'ORDENES'!$Y400))</f>
        <v/>
      </c>
      <c r="H422" s="5">
        <f>IF('ORDENES'!$A400="","",IF('ORDENES'!$AG400="","-",'ORDENES'!$AG400))</f>
        <v/>
      </c>
      <c r="I422" s="5">
        <f>IF('ORDENES'!$A400="","",IF('ORDENES'!$AT400="","-",'ORDENES'!$AT400))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20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IF('ORDENES'!$A400="","",'ORDENES'!$AF400)</f>
        <v/>
      </c>
    </row>
    <row r="423">
      <c r="A423" s="5">
        <f>IF('ORDENES'!$A401="","",IF('ORDENES'!$O401="","-",'ORDENES'!$O401))</f>
        <v/>
      </c>
      <c r="B423" s="5">
        <f>IF('ORDENES'!$A401="","",IF('ORDENES'!$S401="","-",'ORDENES'!$S401))</f>
        <v/>
      </c>
      <c r="C423" s="5">
        <f>IF('ORDENES'!$A401="","",IF('ORDENES'!$AH401="","-",'ORDENES'!$AH401))</f>
        <v/>
      </c>
      <c r="D423" s="5">
        <f>IF('ORDENES'!$A401="","",IF('ORDENES'!$Z401="","-",'ORDENES'!$Z401))</f>
        <v/>
      </c>
      <c r="E423" s="5">
        <f>IF('ORDENES'!$A401="","",IF('ORDENES'!$X401="","-",'ORDENES'!$X401))</f>
        <v/>
      </c>
      <c r="F423" s="5">
        <f>IF('ORDENES'!$A401="","",IF('ORDENES'!$AA401="","-",'ORDENES'!$AA401))</f>
        <v/>
      </c>
      <c r="G423" s="5">
        <f>IF('ORDENES'!$A401="","",IF('ORDENES'!$Y401="","-",'ORDENES'!$Y401))</f>
        <v/>
      </c>
      <c r="H423" s="5">
        <f>IF('ORDENES'!$A401="","",IF('ORDENES'!$AG401="","-",'ORDENES'!$AG401))</f>
        <v/>
      </c>
      <c r="I423" s="5">
        <f>IF('ORDENES'!$A401="","",IF('ORDENES'!$AT401="","-",'ORDENES'!$AT401))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20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IF('ORDENES'!$A401="","",'ORDENES'!$AF401)</f>
        <v/>
      </c>
    </row>
    <row r="424">
      <c r="A424" s="5">
        <f>IF('ORDENES'!$A402="","",IF('ORDENES'!$O402="","-",'ORDENES'!$O402))</f>
        <v/>
      </c>
      <c r="B424" s="5">
        <f>IF('ORDENES'!$A402="","",IF('ORDENES'!$S402="","-",'ORDENES'!$S402))</f>
        <v/>
      </c>
      <c r="C424" s="5">
        <f>IF('ORDENES'!$A402="","",IF('ORDENES'!$AH402="","-",'ORDENES'!$AH402))</f>
        <v/>
      </c>
      <c r="D424" s="5">
        <f>IF('ORDENES'!$A402="","",IF('ORDENES'!$Z402="","-",'ORDENES'!$Z402))</f>
        <v/>
      </c>
      <c r="E424" s="5">
        <f>IF('ORDENES'!$A402="","",IF('ORDENES'!$X402="","-",'ORDENES'!$X402))</f>
        <v/>
      </c>
      <c r="F424" s="5">
        <f>IF('ORDENES'!$A402="","",IF('ORDENES'!$AA402="","-",'ORDENES'!$AA402))</f>
        <v/>
      </c>
      <c r="G424" s="5">
        <f>IF('ORDENES'!$A402="","",IF('ORDENES'!$Y402="","-",'ORDENES'!$Y402))</f>
        <v/>
      </c>
      <c r="H424" s="5">
        <f>IF('ORDENES'!$A402="","",IF('ORDENES'!$AG402="","-",'ORDENES'!$AG402))</f>
        <v/>
      </c>
      <c r="I424" s="5">
        <f>IF('ORDENES'!$A402="","",IF('ORDENES'!$AT402="","-",'ORDENES'!$AT402))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20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IF('ORDENES'!$A402="","",'ORDENES'!$AF402)</f>
        <v/>
      </c>
    </row>
    <row r="425">
      <c r="A425" s="5">
        <f>IF('ORDENES'!$A403="","",IF('ORDENES'!$O403="","-",'ORDENES'!$O403))</f>
        <v/>
      </c>
      <c r="B425" s="5">
        <f>IF('ORDENES'!$A403="","",IF('ORDENES'!$S403="","-",'ORDENES'!$S403))</f>
        <v/>
      </c>
      <c r="C425" s="5">
        <f>IF('ORDENES'!$A403="","",IF('ORDENES'!$AH403="","-",'ORDENES'!$AH403))</f>
        <v/>
      </c>
      <c r="D425" s="5">
        <f>IF('ORDENES'!$A403="","",IF('ORDENES'!$Z403="","-",'ORDENES'!$Z403))</f>
        <v/>
      </c>
      <c r="E425" s="5">
        <f>IF('ORDENES'!$A403="","",IF('ORDENES'!$X403="","-",'ORDENES'!$X403))</f>
        <v/>
      </c>
      <c r="F425" s="5">
        <f>IF('ORDENES'!$A403="","",IF('ORDENES'!$AA403="","-",'ORDENES'!$AA403))</f>
        <v/>
      </c>
      <c r="G425" s="5">
        <f>IF('ORDENES'!$A403="","",IF('ORDENES'!$Y403="","-",'ORDENES'!$Y403))</f>
        <v/>
      </c>
      <c r="H425" s="5">
        <f>IF('ORDENES'!$A403="","",IF('ORDENES'!$AG403="","-",'ORDENES'!$AG403))</f>
        <v/>
      </c>
      <c r="I425" s="5">
        <f>IF('ORDENES'!$A403="","",IF('ORDENES'!$AT403="","-",'ORDENES'!$AT403))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20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IF('ORDENES'!$A403="","",'ORDENES'!$AF403)</f>
        <v/>
      </c>
    </row>
    <row r="426">
      <c r="A426" s="5">
        <f>IF('ORDENES'!$A404="","",IF('ORDENES'!$O404="","-",'ORDENES'!$O404))</f>
        <v/>
      </c>
      <c r="B426" s="5">
        <f>IF('ORDENES'!$A404="","",IF('ORDENES'!$S404="","-",'ORDENES'!$S404))</f>
        <v/>
      </c>
      <c r="C426" s="5">
        <f>IF('ORDENES'!$A404="","",IF('ORDENES'!$AH404="","-",'ORDENES'!$AH404))</f>
        <v/>
      </c>
      <c r="D426" s="5">
        <f>IF('ORDENES'!$A404="","",IF('ORDENES'!$Z404="","-",'ORDENES'!$Z404))</f>
        <v/>
      </c>
      <c r="E426" s="5">
        <f>IF('ORDENES'!$A404="","",IF('ORDENES'!$X404="","-",'ORDENES'!$X404))</f>
        <v/>
      </c>
      <c r="F426" s="5">
        <f>IF('ORDENES'!$A404="","",IF('ORDENES'!$AA404="","-",'ORDENES'!$AA404))</f>
        <v/>
      </c>
      <c r="G426" s="5">
        <f>IF('ORDENES'!$A404="","",IF('ORDENES'!$Y404="","-",'ORDENES'!$Y404))</f>
        <v/>
      </c>
      <c r="H426" s="5">
        <f>IF('ORDENES'!$A404="","",IF('ORDENES'!$AG404="","-",'ORDENES'!$AG404))</f>
        <v/>
      </c>
      <c r="I426" s="5">
        <f>IF('ORDENES'!$A404="","",IF('ORDENES'!$AT404="","-",'ORDENES'!$AT404))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20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IF('ORDENES'!$A404="","",'ORDENES'!$AF404)</f>
        <v/>
      </c>
    </row>
    <row r="427">
      <c r="A427" s="5">
        <f>IF('ORDENES'!$A405="","",IF('ORDENES'!$O405="","-",'ORDENES'!$O405))</f>
        <v/>
      </c>
      <c r="B427" s="5">
        <f>IF('ORDENES'!$A405="","",IF('ORDENES'!$S405="","-",'ORDENES'!$S405))</f>
        <v/>
      </c>
      <c r="C427" s="5">
        <f>IF('ORDENES'!$A405="","",IF('ORDENES'!$AH405="","-",'ORDENES'!$AH405))</f>
        <v/>
      </c>
      <c r="D427" s="5">
        <f>IF('ORDENES'!$A405="","",IF('ORDENES'!$Z405="","-",'ORDENES'!$Z405))</f>
        <v/>
      </c>
      <c r="E427" s="5">
        <f>IF('ORDENES'!$A405="","",IF('ORDENES'!$X405="","-",'ORDENES'!$X405))</f>
        <v/>
      </c>
      <c r="F427" s="5">
        <f>IF('ORDENES'!$A405="","",IF('ORDENES'!$AA405="","-",'ORDENES'!$AA405))</f>
        <v/>
      </c>
      <c r="G427" s="5">
        <f>IF('ORDENES'!$A405="","",IF('ORDENES'!$Y405="","-",'ORDENES'!$Y405))</f>
        <v/>
      </c>
      <c r="H427" s="5">
        <f>IF('ORDENES'!$A405="","",IF('ORDENES'!$AG405="","-",'ORDENES'!$AG405))</f>
        <v/>
      </c>
      <c r="I427" s="5">
        <f>IF('ORDENES'!$A405="","",IF('ORDENES'!$AT405="","-",'ORDENES'!$AT405))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20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IF('ORDENES'!$A405="","",'ORDENES'!$AF405)</f>
        <v/>
      </c>
    </row>
    <row r="428">
      <c r="A428" s="5">
        <f>IF('ORDENES'!$A406="","",IF('ORDENES'!$O406="","-",'ORDENES'!$O406))</f>
        <v/>
      </c>
      <c r="B428" s="5">
        <f>IF('ORDENES'!$A406="","",IF('ORDENES'!$S406="","-",'ORDENES'!$S406))</f>
        <v/>
      </c>
      <c r="C428" s="5">
        <f>IF('ORDENES'!$A406="","",IF('ORDENES'!$AH406="","-",'ORDENES'!$AH406))</f>
        <v/>
      </c>
      <c r="D428" s="5">
        <f>IF('ORDENES'!$A406="","",IF('ORDENES'!$Z406="","-",'ORDENES'!$Z406))</f>
        <v/>
      </c>
      <c r="E428" s="5">
        <f>IF('ORDENES'!$A406="","",IF('ORDENES'!$X406="","-",'ORDENES'!$X406))</f>
        <v/>
      </c>
      <c r="F428" s="5">
        <f>IF('ORDENES'!$A406="","",IF('ORDENES'!$AA406="","-",'ORDENES'!$AA406))</f>
        <v/>
      </c>
      <c r="G428" s="5">
        <f>IF('ORDENES'!$A406="","",IF('ORDENES'!$Y406="","-",'ORDENES'!$Y406))</f>
        <v/>
      </c>
      <c r="H428" s="5">
        <f>IF('ORDENES'!$A406="","",IF('ORDENES'!$AG406="","-",'ORDENES'!$AG406))</f>
        <v/>
      </c>
      <c r="I428" s="5">
        <f>IF('ORDENES'!$A406="","",IF('ORDENES'!$AT406="","-",'ORDENES'!$AT406))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20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IF('ORDENES'!$A406="","",'ORDENES'!$AF406)</f>
        <v/>
      </c>
    </row>
    <row r="429">
      <c r="A429" s="5">
        <f>IF('ORDENES'!$A407="","",IF('ORDENES'!$O407="","-",'ORDENES'!$O407))</f>
        <v/>
      </c>
      <c r="B429" s="5">
        <f>IF('ORDENES'!$A407="","",IF('ORDENES'!$S407="","-",'ORDENES'!$S407))</f>
        <v/>
      </c>
      <c r="C429" s="5">
        <f>IF('ORDENES'!$A407="","",IF('ORDENES'!$AH407="","-",'ORDENES'!$AH407))</f>
        <v/>
      </c>
      <c r="D429" s="5">
        <f>IF('ORDENES'!$A407="","",IF('ORDENES'!$Z407="","-",'ORDENES'!$Z407))</f>
        <v/>
      </c>
      <c r="E429" s="5">
        <f>IF('ORDENES'!$A407="","",IF('ORDENES'!$X407="","-",'ORDENES'!$X407))</f>
        <v/>
      </c>
      <c r="F429" s="5">
        <f>IF('ORDENES'!$A407="","",IF('ORDENES'!$AA407="","-",'ORDENES'!$AA407))</f>
        <v/>
      </c>
      <c r="G429" s="5">
        <f>IF('ORDENES'!$A407="","",IF('ORDENES'!$Y407="","-",'ORDENES'!$Y407))</f>
        <v/>
      </c>
      <c r="H429" s="5">
        <f>IF('ORDENES'!$A407="","",IF('ORDENES'!$AG407="","-",'ORDENES'!$AG407))</f>
        <v/>
      </c>
      <c r="I429" s="5">
        <f>IF('ORDENES'!$A407="","",IF('ORDENES'!$AT407="","-",'ORDENES'!$AT407))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20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IF('ORDENES'!$A407="","",'ORDENES'!$AF407)</f>
        <v/>
      </c>
    </row>
    <row r="430">
      <c r="A430" s="5">
        <f>IF('ORDENES'!$A408="","",IF('ORDENES'!$O408="","-",'ORDENES'!$O408))</f>
        <v/>
      </c>
      <c r="B430" s="5">
        <f>IF('ORDENES'!$A408="","",IF('ORDENES'!$S408="","-",'ORDENES'!$S408))</f>
        <v/>
      </c>
      <c r="C430" s="5">
        <f>IF('ORDENES'!$A408="","",IF('ORDENES'!$AH408="","-",'ORDENES'!$AH408))</f>
        <v/>
      </c>
      <c r="D430" s="5">
        <f>IF('ORDENES'!$A408="","",IF('ORDENES'!$Z408="","-",'ORDENES'!$Z408))</f>
        <v/>
      </c>
      <c r="E430" s="5">
        <f>IF('ORDENES'!$A408="","",IF('ORDENES'!$X408="","-",'ORDENES'!$X408))</f>
        <v/>
      </c>
      <c r="F430" s="5">
        <f>IF('ORDENES'!$A408="","",IF('ORDENES'!$AA408="","-",'ORDENES'!$AA408))</f>
        <v/>
      </c>
      <c r="G430" s="5">
        <f>IF('ORDENES'!$A408="","",IF('ORDENES'!$Y408="","-",'ORDENES'!$Y408))</f>
        <v/>
      </c>
      <c r="H430" s="5">
        <f>IF('ORDENES'!$A408="","",IF('ORDENES'!$AG408="","-",'ORDENES'!$AG408))</f>
        <v/>
      </c>
      <c r="I430" s="5">
        <f>IF('ORDENES'!$A408="","",IF('ORDENES'!$AT408="","-",'ORDENES'!$AT408))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20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IF('ORDENES'!$A408="","",'ORDENES'!$AF408)</f>
        <v/>
      </c>
    </row>
    <row r="431">
      <c r="A431" s="5">
        <f>IF('ORDENES'!$A409="","",IF('ORDENES'!$O409="","-",'ORDENES'!$O409))</f>
        <v/>
      </c>
      <c r="B431" s="5">
        <f>IF('ORDENES'!$A409="","",IF('ORDENES'!$S409="","-",'ORDENES'!$S409))</f>
        <v/>
      </c>
      <c r="C431" s="5">
        <f>IF('ORDENES'!$A409="","",IF('ORDENES'!$AH409="","-",'ORDENES'!$AH409))</f>
        <v/>
      </c>
      <c r="D431" s="5">
        <f>IF('ORDENES'!$A409="","",IF('ORDENES'!$Z409="","-",'ORDENES'!$Z409))</f>
        <v/>
      </c>
      <c r="E431" s="5">
        <f>IF('ORDENES'!$A409="","",IF('ORDENES'!$X409="","-",'ORDENES'!$X409))</f>
        <v/>
      </c>
      <c r="F431" s="5">
        <f>IF('ORDENES'!$A409="","",IF('ORDENES'!$AA409="","-",'ORDENES'!$AA409))</f>
        <v/>
      </c>
      <c r="G431" s="5">
        <f>IF('ORDENES'!$A409="","",IF('ORDENES'!$Y409="","-",'ORDENES'!$Y409))</f>
        <v/>
      </c>
      <c r="H431" s="5">
        <f>IF('ORDENES'!$A409="","",IF('ORDENES'!$AG409="","-",'ORDENES'!$AG409))</f>
        <v/>
      </c>
      <c r="I431" s="5">
        <f>IF('ORDENES'!$A409="","",IF('ORDENES'!$AT409="","-",'ORDENES'!$AT409))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20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IF('ORDENES'!$A409="","",'ORDENES'!$AF409)</f>
        <v/>
      </c>
    </row>
    <row r="432">
      <c r="A432" s="5">
        <f>IF('ORDENES'!$A410="","",IF('ORDENES'!$O410="","-",'ORDENES'!$O410))</f>
        <v/>
      </c>
      <c r="B432" s="5">
        <f>IF('ORDENES'!$A410="","",IF('ORDENES'!$S410="","-",'ORDENES'!$S410))</f>
        <v/>
      </c>
      <c r="C432" s="5">
        <f>IF('ORDENES'!$A410="","",IF('ORDENES'!$AH410="","-",'ORDENES'!$AH410))</f>
        <v/>
      </c>
      <c r="D432" s="5">
        <f>IF('ORDENES'!$A410="","",IF('ORDENES'!$Z410="","-",'ORDENES'!$Z410))</f>
        <v/>
      </c>
      <c r="E432" s="5">
        <f>IF('ORDENES'!$A410="","",IF('ORDENES'!$X410="","-",'ORDENES'!$X410))</f>
        <v/>
      </c>
      <c r="F432" s="5">
        <f>IF('ORDENES'!$A410="","",IF('ORDENES'!$AA410="","-",'ORDENES'!$AA410))</f>
        <v/>
      </c>
      <c r="G432" s="5">
        <f>IF('ORDENES'!$A410="","",IF('ORDENES'!$Y410="","-",'ORDENES'!$Y410))</f>
        <v/>
      </c>
      <c r="H432" s="5">
        <f>IF('ORDENES'!$A410="","",IF('ORDENES'!$AG410="","-",'ORDENES'!$AG410))</f>
        <v/>
      </c>
      <c r="I432" s="5">
        <f>IF('ORDENES'!$A410="","",IF('ORDENES'!$AT410="","-",'ORDENES'!$AT410))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20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IF('ORDENES'!$A410="","",'ORDENES'!$AF410)</f>
        <v/>
      </c>
    </row>
    <row r="433">
      <c r="A433" s="5">
        <f>IF('ORDENES'!$A411="","",IF('ORDENES'!$O411="","-",'ORDENES'!$O411))</f>
        <v/>
      </c>
      <c r="B433" s="5">
        <f>IF('ORDENES'!$A411="","",IF('ORDENES'!$S411="","-",'ORDENES'!$S411))</f>
        <v/>
      </c>
      <c r="C433" s="5">
        <f>IF('ORDENES'!$A411="","",IF('ORDENES'!$AH411="","-",'ORDENES'!$AH411))</f>
        <v/>
      </c>
      <c r="D433" s="5">
        <f>IF('ORDENES'!$A411="","",IF('ORDENES'!$Z411="","-",'ORDENES'!$Z411))</f>
        <v/>
      </c>
      <c r="E433" s="5">
        <f>IF('ORDENES'!$A411="","",IF('ORDENES'!$X411="","-",'ORDENES'!$X411))</f>
        <v/>
      </c>
      <c r="F433" s="5">
        <f>IF('ORDENES'!$A411="","",IF('ORDENES'!$AA411="","-",'ORDENES'!$AA411))</f>
        <v/>
      </c>
      <c r="G433" s="5">
        <f>IF('ORDENES'!$A411="","",IF('ORDENES'!$Y411="","-",'ORDENES'!$Y411))</f>
        <v/>
      </c>
      <c r="H433" s="5">
        <f>IF('ORDENES'!$A411="","",IF('ORDENES'!$AG411="","-",'ORDENES'!$AG411))</f>
        <v/>
      </c>
      <c r="I433" s="5">
        <f>IF('ORDENES'!$A411="","",IF('ORDENES'!$AT411="","-",'ORDENES'!$AT411))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20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IF('ORDENES'!$A411="","",'ORDENES'!$AF411)</f>
        <v/>
      </c>
    </row>
    <row r="434">
      <c r="A434" s="5">
        <f>IF('ORDENES'!$A412="","",IF('ORDENES'!$O412="","-",'ORDENES'!$O412))</f>
        <v/>
      </c>
      <c r="B434" s="5">
        <f>IF('ORDENES'!$A412="","",IF('ORDENES'!$S412="","-",'ORDENES'!$S412))</f>
        <v/>
      </c>
      <c r="C434" s="5">
        <f>IF('ORDENES'!$A412="","",IF('ORDENES'!$AH412="","-",'ORDENES'!$AH412))</f>
        <v/>
      </c>
      <c r="D434" s="5">
        <f>IF('ORDENES'!$A412="","",IF('ORDENES'!$Z412="","-",'ORDENES'!$Z412))</f>
        <v/>
      </c>
      <c r="E434" s="5">
        <f>IF('ORDENES'!$A412="","",IF('ORDENES'!$X412="","-",'ORDENES'!$X412))</f>
        <v/>
      </c>
      <c r="F434" s="5">
        <f>IF('ORDENES'!$A412="","",IF('ORDENES'!$AA412="","-",'ORDENES'!$AA412))</f>
        <v/>
      </c>
      <c r="G434" s="5">
        <f>IF('ORDENES'!$A412="","",IF('ORDENES'!$Y412="","-",'ORDENES'!$Y412))</f>
        <v/>
      </c>
      <c r="H434" s="5">
        <f>IF('ORDENES'!$A412="","",IF('ORDENES'!$AG412="","-",'ORDENES'!$AG412))</f>
        <v/>
      </c>
      <c r="I434" s="5">
        <f>IF('ORDENES'!$A412="","",IF('ORDENES'!$AT412="","-",'ORDENES'!$AT412))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20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IF('ORDENES'!$A412="","",'ORDENES'!$AF412)</f>
        <v/>
      </c>
    </row>
    <row r="435">
      <c r="A435" s="5">
        <f>IF('ORDENES'!$A413="","",IF('ORDENES'!$O413="","-",'ORDENES'!$O413))</f>
        <v/>
      </c>
      <c r="B435" s="5">
        <f>IF('ORDENES'!$A413="","",IF('ORDENES'!$S413="","-",'ORDENES'!$S413))</f>
        <v/>
      </c>
      <c r="C435" s="5">
        <f>IF('ORDENES'!$A413="","",IF('ORDENES'!$AH413="","-",'ORDENES'!$AH413))</f>
        <v/>
      </c>
      <c r="D435" s="5">
        <f>IF('ORDENES'!$A413="","",IF('ORDENES'!$Z413="","-",'ORDENES'!$Z413))</f>
        <v/>
      </c>
      <c r="E435" s="5">
        <f>IF('ORDENES'!$A413="","",IF('ORDENES'!$X413="","-",'ORDENES'!$X413))</f>
        <v/>
      </c>
      <c r="F435" s="5">
        <f>IF('ORDENES'!$A413="","",IF('ORDENES'!$AA413="","-",'ORDENES'!$AA413))</f>
        <v/>
      </c>
      <c r="G435" s="5">
        <f>IF('ORDENES'!$A413="","",IF('ORDENES'!$Y413="","-",'ORDENES'!$Y413))</f>
        <v/>
      </c>
      <c r="H435" s="5">
        <f>IF('ORDENES'!$A413="","",IF('ORDENES'!$AG413="","-",'ORDENES'!$AG413))</f>
        <v/>
      </c>
      <c r="I435" s="5">
        <f>IF('ORDENES'!$A413="","",IF('ORDENES'!$AT413="","-",'ORDENES'!$AT413))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20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IF('ORDENES'!$A413="","",'ORDENES'!$AF413)</f>
        <v/>
      </c>
    </row>
    <row r="436">
      <c r="A436" s="5">
        <f>IF('ORDENES'!$A414="","",IF('ORDENES'!$O414="","-",'ORDENES'!$O414))</f>
        <v/>
      </c>
      <c r="B436" s="5">
        <f>IF('ORDENES'!$A414="","",IF('ORDENES'!$S414="","-",'ORDENES'!$S414))</f>
        <v/>
      </c>
      <c r="C436" s="5">
        <f>IF('ORDENES'!$A414="","",IF('ORDENES'!$AH414="","-",'ORDENES'!$AH414))</f>
        <v/>
      </c>
      <c r="D436" s="5">
        <f>IF('ORDENES'!$A414="","",IF('ORDENES'!$Z414="","-",'ORDENES'!$Z414))</f>
        <v/>
      </c>
      <c r="E436" s="5">
        <f>IF('ORDENES'!$A414="","",IF('ORDENES'!$X414="","-",'ORDENES'!$X414))</f>
        <v/>
      </c>
      <c r="F436" s="5">
        <f>IF('ORDENES'!$A414="","",IF('ORDENES'!$AA414="","-",'ORDENES'!$AA414))</f>
        <v/>
      </c>
      <c r="G436" s="5">
        <f>IF('ORDENES'!$A414="","",IF('ORDENES'!$Y414="","-",'ORDENES'!$Y414))</f>
        <v/>
      </c>
      <c r="H436" s="5">
        <f>IF('ORDENES'!$A414="","",IF('ORDENES'!$AG414="","-",'ORDENES'!$AG414))</f>
        <v/>
      </c>
      <c r="I436" s="5">
        <f>IF('ORDENES'!$A414="","",IF('ORDENES'!$AT414="","-",'ORDENES'!$AT414))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20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IF('ORDENES'!$A414="","",'ORDENES'!$AF414)</f>
        <v/>
      </c>
    </row>
    <row r="437">
      <c r="A437" s="5">
        <f>IF('ORDENES'!$A415="","",IF('ORDENES'!$O415="","-",'ORDENES'!$O415))</f>
        <v/>
      </c>
      <c r="B437" s="5">
        <f>IF('ORDENES'!$A415="","",IF('ORDENES'!$S415="","-",'ORDENES'!$S415))</f>
        <v/>
      </c>
      <c r="C437" s="5">
        <f>IF('ORDENES'!$A415="","",IF('ORDENES'!$AH415="","-",'ORDENES'!$AH415))</f>
        <v/>
      </c>
      <c r="D437" s="5">
        <f>IF('ORDENES'!$A415="","",IF('ORDENES'!$Z415="","-",'ORDENES'!$Z415))</f>
        <v/>
      </c>
      <c r="E437" s="5">
        <f>IF('ORDENES'!$A415="","",IF('ORDENES'!$X415="","-",'ORDENES'!$X415))</f>
        <v/>
      </c>
      <c r="F437" s="5">
        <f>IF('ORDENES'!$A415="","",IF('ORDENES'!$AA415="","-",'ORDENES'!$AA415))</f>
        <v/>
      </c>
      <c r="G437" s="5">
        <f>IF('ORDENES'!$A415="","",IF('ORDENES'!$Y415="","-",'ORDENES'!$Y415))</f>
        <v/>
      </c>
      <c r="H437" s="5">
        <f>IF('ORDENES'!$A415="","",IF('ORDENES'!$AG415="","-",'ORDENES'!$AG415))</f>
        <v/>
      </c>
      <c r="I437" s="5">
        <f>IF('ORDENES'!$A415="","",IF('ORDENES'!$AT415="","-",'ORDENES'!$AT415))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20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IF('ORDENES'!$A415="","",'ORDENES'!$AF415)</f>
        <v/>
      </c>
    </row>
    <row r="438">
      <c r="A438" s="5">
        <f>IF('ORDENES'!$A416="","",IF('ORDENES'!$O416="","-",'ORDENES'!$O416))</f>
        <v/>
      </c>
      <c r="B438" s="5">
        <f>IF('ORDENES'!$A416="","",IF('ORDENES'!$S416="","-",'ORDENES'!$S416))</f>
        <v/>
      </c>
      <c r="C438" s="5">
        <f>IF('ORDENES'!$A416="","",IF('ORDENES'!$AH416="","-",'ORDENES'!$AH416))</f>
        <v/>
      </c>
      <c r="D438" s="5">
        <f>IF('ORDENES'!$A416="","",IF('ORDENES'!$Z416="","-",'ORDENES'!$Z416))</f>
        <v/>
      </c>
      <c r="E438" s="5">
        <f>IF('ORDENES'!$A416="","",IF('ORDENES'!$X416="","-",'ORDENES'!$X416))</f>
        <v/>
      </c>
      <c r="F438" s="5">
        <f>IF('ORDENES'!$A416="","",IF('ORDENES'!$AA416="","-",'ORDENES'!$AA416))</f>
        <v/>
      </c>
      <c r="G438" s="5">
        <f>IF('ORDENES'!$A416="","",IF('ORDENES'!$Y416="","-",'ORDENES'!$Y416))</f>
        <v/>
      </c>
      <c r="H438" s="5">
        <f>IF('ORDENES'!$A416="","",IF('ORDENES'!$AG416="","-",'ORDENES'!$AG416))</f>
        <v/>
      </c>
      <c r="I438" s="5">
        <f>IF('ORDENES'!$A416="","",IF('ORDENES'!$AT416="","-",'ORDENES'!$AT416))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20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IF('ORDENES'!$A416="","",'ORDENES'!$AF416)</f>
        <v/>
      </c>
    </row>
    <row r="439">
      <c r="A439" s="5">
        <f>IF('ORDENES'!$A417="","",IF('ORDENES'!$O417="","-",'ORDENES'!$O417))</f>
        <v/>
      </c>
      <c r="B439" s="5">
        <f>IF('ORDENES'!$A417="","",IF('ORDENES'!$S417="","-",'ORDENES'!$S417))</f>
        <v/>
      </c>
      <c r="C439" s="5">
        <f>IF('ORDENES'!$A417="","",IF('ORDENES'!$AH417="","-",'ORDENES'!$AH417))</f>
        <v/>
      </c>
      <c r="D439" s="5">
        <f>IF('ORDENES'!$A417="","",IF('ORDENES'!$Z417="","-",'ORDENES'!$Z417))</f>
        <v/>
      </c>
      <c r="E439" s="5">
        <f>IF('ORDENES'!$A417="","",IF('ORDENES'!$X417="","-",'ORDENES'!$X417))</f>
        <v/>
      </c>
      <c r="F439" s="5">
        <f>IF('ORDENES'!$A417="","",IF('ORDENES'!$AA417="","-",'ORDENES'!$AA417))</f>
        <v/>
      </c>
      <c r="G439" s="5">
        <f>IF('ORDENES'!$A417="","",IF('ORDENES'!$Y417="","-",'ORDENES'!$Y417))</f>
        <v/>
      </c>
      <c r="H439" s="5">
        <f>IF('ORDENES'!$A417="","",IF('ORDENES'!$AG417="","-",'ORDENES'!$AG417))</f>
        <v/>
      </c>
      <c r="I439" s="5">
        <f>IF('ORDENES'!$A417="","",IF('ORDENES'!$AT417="","-",'ORDENES'!$AT417))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20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IF('ORDENES'!$A417="","",'ORDENES'!$AF417)</f>
        <v/>
      </c>
    </row>
    <row r="440">
      <c r="A440" s="5">
        <f>IF('ORDENES'!$A418="","",IF('ORDENES'!$O418="","-",'ORDENES'!$O418))</f>
        <v/>
      </c>
      <c r="B440" s="5">
        <f>IF('ORDENES'!$A418="","",IF('ORDENES'!$S418="","-",'ORDENES'!$S418))</f>
        <v/>
      </c>
      <c r="C440" s="5">
        <f>IF('ORDENES'!$A418="","",IF('ORDENES'!$AH418="","-",'ORDENES'!$AH418))</f>
        <v/>
      </c>
      <c r="D440" s="5">
        <f>IF('ORDENES'!$A418="","",IF('ORDENES'!$Z418="","-",'ORDENES'!$Z418))</f>
        <v/>
      </c>
      <c r="E440" s="5">
        <f>IF('ORDENES'!$A418="","",IF('ORDENES'!$X418="","-",'ORDENES'!$X418))</f>
        <v/>
      </c>
      <c r="F440" s="5">
        <f>IF('ORDENES'!$A418="","",IF('ORDENES'!$AA418="","-",'ORDENES'!$AA418))</f>
        <v/>
      </c>
      <c r="G440" s="5">
        <f>IF('ORDENES'!$A418="","",IF('ORDENES'!$Y418="","-",'ORDENES'!$Y418))</f>
        <v/>
      </c>
      <c r="H440" s="5">
        <f>IF('ORDENES'!$A418="","",IF('ORDENES'!$AG418="","-",'ORDENES'!$AG418))</f>
        <v/>
      </c>
      <c r="I440" s="5">
        <f>IF('ORDENES'!$A418="","",IF('ORDENES'!$AT418="","-",'ORDENES'!$AT418))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20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IF('ORDENES'!$A418="","",'ORDENES'!$AF418)</f>
        <v/>
      </c>
    </row>
    <row r="441">
      <c r="A441" s="5">
        <f>IF('ORDENES'!$A419="","",IF('ORDENES'!$O419="","-",'ORDENES'!$O419))</f>
        <v/>
      </c>
      <c r="B441" s="5">
        <f>IF('ORDENES'!$A419="","",IF('ORDENES'!$S419="","-",'ORDENES'!$S419))</f>
        <v/>
      </c>
      <c r="C441" s="5">
        <f>IF('ORDENES'!$A419="","",IF('ORDENES'!$AH419="","-",'ORDENES'!$AH419))</f>
        <v/>
      </c>
      <c r="D441" s="5">
        <f>IF('ORDENES'!$A419="","",IF('ORDENES'!$Z419="","-",'ORDENES'!$Z419))</f>
        <v/>
      </c>
      <c r="E441" s="5">
        <f>IF('ORDENES'!$A419="","",IF('ORDENES'!$X419="","-",'ORDENES'!$X419))</f>
        <v/>
      </c>
      <c r="F441" s="5">
        <f>IF('ORDENES'!$A419="","",IF('ORDENES'!$AA419="","-",'ORDENES'!$AA419))</f>
        <v/>
      </c>
      <c r="G441" s="5">
        <f>IF('ORDENES'!$A419="","",IF('ORDENES'!$Y419="","-",'ORDENES'!$Y419))</f>
        <v/>
      </c>
      <c r="H441" s="5">
        <f>IF('ORDENES'!$A419="","",IF('ORDENES'!$AG419="","-",'ORDENES'!$AG419))</f>
        <v/>
      </c>
      <c r="I441" s="5">
        <f>IF('ORDENES'!$A419="","",IF('ORDENES'!$AT419="","-",'ORDENES'!$AT419))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20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IF('ORDENES'!$A419="","",'ORDENES'!$AF419)</f>
        <v/>
      </c>
    </row>
    <row r="442">
      <c r="A442" s="5">
        <f>IF('ORDENES'!$A420="","",IF('ORDENES'!$O420="","-",'ORDENES'!$O420))</f>
        <v/>
      </c>
      <c r="B442" s="5">
        <f>IF('ORDENES'!$A420="","",IF('ORDENES'!$S420="","-",'ORDENES'!$S420))</f>
        <v/>
      </c>
      <c r="C442" s="5">
        <f>IF('ORDENES'!$A420="","",IF('ORDENES'!$AH420="","-",'ORDENES'!$AH420))</f>
        <v/>
      </c>
      <c r="D442" s="5">
        <f>IF('ORDENES'!$A420="","",IF('ORDENES'!$Z420="","-",'ORDENES'!$Z420))</f>
        <v/>
      </c>
      <c r="E442" s="5">
        <f>IF('ORDENES'!$A420="","",IF('ORDENES'!$X420="","-",'ORDENES'!$X420))</f>
        <v/>
      </c>
      <c r="F442" s="5">
        <f>IF('ORDENES'!$A420="","",IF('ORDENES'!$AA420="","-",'ORDENES'!$AA420))</f>
        <v/>
      </c>
      <c r="G442" s="5">
        <f>IF('ORDENES'!$A420="","",IF('ORDENES'!$Y420="","-",'ORDENES'!$Y420))</f>
        <v/>
      </c>
      <c r="H442" s="5">
        <f>IF('ORDENES'!$A420="","",IF('ORDENES'!$AG420="","-",'ORDENES'!$AG420))</f>
        <v/>
      </c>
      <c r="I442" s="5">
        <f>IF('ORDENES'!$A420="","",IF('ORDENES'!$AT420="","-",'ORDENES'!$AT420))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20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IF('ORDENES'!$A420="","",'ORDENES'!$AF420)</f>
        <v/>
      </c>
    </row>
    <row r="443">
      <c r="A443" s="5">
        <f>IF('ORDENES'!$A421="","",IF('ORDENES'!$O421="","-",'ORDENES'!$O421))</f>
        <v/>
      </c>
      <c r="B443" s="5">
        <f>IF('ORDENES'!$A421="","",IF('ORDENES'!$S421="","-",'ORDENES'!$S421))</f>
        <v/>
      </c>
      <c r="C443" s="5">
        <f>IF('ORDENES'!$A421="","",IF('ORDENES'!$AH421="","-",'ORDENES'!$AH421))</f>
        <v/>
      </c>
      <c r="D443" s="5">
        <f>IF('ORDENES'!$A421="","",IF('ORDENES'!$Z421="","-",'ORDENES'!$Z421))</f>
        <v/>
      </c>
      <c r="E443" s="5">
        <f>IF('ORDENES'!$A421="","",IF('ORDENES'!$X421="","-",'ORDENES'!$X421))</f>
        <v/>
      </c>
      <c r="F443" s="5">
        <f>IF('ORDENES'!$A421="","",IF('ORDENES'!$AA421="","-",'ORDENES'!$AA421))</f>
        <v/>
      </c>
      <c r="G443" s="5">
        <f>IF('ORDENES'!$A421="","",IF('ORDENES'!$Y421="","-",'ORDENES'!$Y421))</f>
        <v/>
      </c>
      <c r="H443" s="5">
        <f>IF('ORDENES'!$A421="","",IF('ORDENES'!$AG421="","-",'ORDENES'!$AG421))</f>
        <v/>
      </c>
      <c r="I443" s="5">
        <f>IF('ORDENES'!$A421="","",IF('ORDENES'!$AT421="","-",'ORDENES'!$AT421))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20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IF('ORDENES'!$A421="","",'ORDENES'!$AF421)</f>
        <v/>
      </c>
    </row>
    <row r="444">
      <c r="A444" s="5">
        <f>IF('ORDENES'!$A422="","",IF('ORDENES'!$O422="","-",'ORDENES'!$O422))</f>
        <v/>
      </c>
      <c r="B444" s="5">
        <f>IF('ORDENES'!$A422="","",IF('ORDENES'!$S422="","-",'ORDENES'!$S422))</f>
        <v/>
      </c>
      <c r="C444" s="5">
        <f>IF('ORDENES'!$A422="","",IF('ORDENES'!$AH422="","-",'ORDENES'!$AH422))</f>
        <v/>
      </c>
      <c r="D444" s="5">
        <f>IF('ORDENES'!$A422="","",IF('ORDENES'!$Z422="","-",'ORDENES'!$Z422))</f>
        <v/>
      </c>
      <c r="E444" s="5">
        <f>IF('ORDENES'!$A422="","",IF('ORDENES'!$X422="","-",'ORDENES'!$X422))</f>
        <v/>
      </c>
      <c r="F444" s="5">
        <f>IF('ORDENES'!$A422="","",IF('ORDENES'!$AA422="","-",'ORDENES'!$AA422))</f>
        <v/>
      </c>
      <c r="G444" s="5">
        <f>IF('ORDENES'!$A422="","",IF('ORDENES'!$Y422="","-",'ORDENES'!$Y422))</f>
        <v/>
      </c>
      <c r="H444" s="5">
        <f>IF('ORDENES'!$A422="","",IF('ORDENES'!$AG422="","-",'ORDENES'!$AG422))</f>
        <v/>
      </c>
      <c r="I444" s="5">
        <f>IF('ORDENES'!$A422="","",IF('ORDENES'!$AT422="","-",'ORDENES'!$AT422))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20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IF('ORDENES'!$A422="","",'ORDENES'!$AF422)</f>
        <v/>
      </c>
    </row>
    <row r="445">
      <c r="A445" s="5">
        <f>IF('ORDENES'!$A423="","",IF('ORDENES'!$O423="","-",'ORDENES'!$O423))</f>
        <v/>
      </c>
      <c r="B445" s="5">
        <f>IF('ORDENES'!$A423="","",IF('ORDENES'!$S423="","-",'ORDENES'!$S423))</f>
        <v/>
      </c>
      <c r="C445" s="5">
        <f>IF('ORDENES'!$A423="","",IF('ORDENES'!$AH423="","-",'ORDENES'!$AH423))</f>
        <v/>
      </c>
      <c r="D445" s="5">
        <f>IF('ORDENES'!$A423="","",IF('ORDENES'!$Z423="","-",'ORDENES'!$Z423))</f>
        <v/>
      </c>
      <c r="E445" s="5">
        <f>IF('ORDENES'!$A423="","",IF('ORDENES'!$X423="","-",'ORDENES'!$X423))</f>
        <v/>
      </c>
      <c r="F445" s="5">
        <f>IF('ORDENES'!$A423="","",IF('ORDENES'!$AA423="","-",'ORDENES'!$AA423))</f>
        <v/>
      </c>
      <c r="G445" s="5">
        <f>IF('ORDENES'!$A423="","",IF('ORDENES'!$Y423="","-",'ORDENES'!$Y423))</f>
        <v/>
      </c>
      <c r="H445" s="5">
        <f>IF('ORDENES'!$A423="","",IF('ORDENES'!$AG423="","-",'ORDENES'!$AG423))</f>
        <v/>
      </c>
      <c r="I445" s="5">
        <f>IF('ORDENES'!$A423="","",IF('ORDENES'!$AT423="","-",'ORDENES'!$AT423))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20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IF('ORDENES'!$A423="","",'ORDENES'!$AF423)</f>
        <v/>
      </c>
    </row>
    <row r="446">
      <c r="A446" s="5">
        <f>IF('ORDENES'!$A424="","",IF('ORDENES'!$O424="","-",'ORDENES'!$O424))</f>
        <v/>
      </c>
      <c r="B446" s="5">
        <f>IF('ORDENES'!$A424="","",IF('ORDENES'!$S424="","-",'ORDENES'!$S424))</f>
        <v/>
      </c>
      <c r="C446" s="5">
        <f>IF('ORDENES'!$A424="","",IF('ORDENES'!$AH424="","-",'ORDENES'!$AH424))</f>
        <v/>
      </c>
      <c r="D446" s="5">
        <f>IF('ORDENES'!$A424="","",IF('ORDENES'!$Z424="","-",'ORDENES'!$Z424))</f>
        <v/>
      </c>
      <c r="E446" s="5">
        <f>IF('ORDENES'!$A424="","",IF('ORDENES'!$X424="","-",'ORDENES'!$X424))</f>
        <v/>
      </c>
      <c r="F446" s="5">
        <f>IF('ORDENES'!$A424="","",IF('ORDENES'!$AA424="","-",'ORDENES'!$AA424))</f>
        <v/>
      </c>
      <c r="G446" s="5">
        <f>IF('ORDENES'!$A424="","",IF('ORDENES'!$Y424="","-",'ORDENES'!$Y424))</f>
        <v/>
      </c>
      <c r="H446" s="5">
        <f>IF('ORDENES'!$A424="","",IF('ORDENES'!$AG424="","-",'ORDENES'!$AG424))</f>
        <v/>
      </c>
      <c r="I446" s="5">
        <f>IF('ORDENES'!$A424="","",IF('ORDENES'!$AT424="","-",'ORDENES'!$AT424))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20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IF('ORDENES'!$A424="","",'ORDENES'!$AF424)</f>
        <v/>
      </c>
    </row>
    <row r="447">
      <c r="A447" s="5">
        <f>IF('ORDENES'!$A425="","",IF('ORDENES'!$O425="","-",'ORDENES'!$O425))</f>
        <v/>
      </c>
      <c r="B447" s="5">
        <f>IF('ORDENES'!$A425="","",IF('ORDENES'!$S425="","-",'ORDENES'!$S425))</f>
        <v/>
      </c>
      <c r="C447" s="5">
        <f>IF('ORDENES'!$A425="","",IF('ORDENES'!$AH425="","-",'ORDENES'!$AH425))</f>
        <v/>
      </c>
      <c r="D447" s="5">
        <f>IF('ORDENES'!$A425="","",IF('ORDENES'!$Z425="","-",'ORDENES'!$Z425))</f>
        <v/>
      </c>
      <c r="E447" s="5">
        <f>IF('ORDENES'!$A425="","",IF('ORDENES'!$X425="","-",'ORDENES'!$X425))</f>
        <v/>
      </c>
      <c r="F447" s="5">
        <f>IF('ORDENES'!$A425="","",IF('ORDENES'!$AA425="","-",'ORDENES'!$AA425))</f>
        <v/>
      </c>
      <c r="G447" s="5">
        <f>IF('ORDENES'!$A425="","",IF('ORDENES'!$Y425="","-",'ORDENES'!$Y425))</f>
        <v/>
      </c>
      <c r="H447" s="5">
        <f>IF('ORDENES'!$A425="","",IF('ORDENES'!$AG425="","-",'ORDENES'!$AG425))</f>
        <v/>
      </c>
      <c r="I447" s="5">
        <f>IF('ORDENES'!$A425="","",IF('ORDENES'!$AT425="","-",'ORDENES'!$AT425))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20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IF('ORDENES'!$A425="","",'ORDENES'!$AF425)</f>
        <v/>
      </c>
    </row>
    <row r="448">
      <c r="A448" s="5">
        <f>IF('ORDENES'!$A426="","",IF('ORDENES'!$O426="","-",'ORDENES'!$O426))</f>
        <v/>
      </c>
      <c r="B448" s="5">
        <f>IF('ORDENES'!$A426="","",IF('ORDENES'!$S426="","-",'ORDENES'!$S426))</f>
        <v/>
      </c>
      <c r="C448" s="5">
        <f>IF('ORDENES'!$A426="","",IF('ORDENES'!$AH426="","-",'ORDENES'!$AH426))</f>
        <v/>
      </c>
      <c r="D448" s="5">
        <f>IF('ORDENES'!$A426="","",IF('ORDENES'!$Z426="","-",'ORDENES'!$Z426))</f>
        <v/>
      </c>
      <c r="E448" s="5">
        <f>IF('ORDENES'!$A426="","",IF('ORDENES'!$X426="","-",'ORDENES'!$X426))</f>
        <v/>
      </c>
      <c r="F448" s="5">
        <f>IF('ORDENES'!$A426="","",IF('ORDENES'!$AA426="","-",'ORDENES'!$AA426))</f>
        <v/>
      </c>
      <c r="G448" s="5">
        <f>IF('ORDENES'!$A426="","",IF('ORDENES'!$Y426="","-",'ORDENES'!$Y426))</f>
        <v/>
      </c>
      <c r="H448" s="5">
        <f>IF('ORDENES'!$A426="","",IF('ORDENES'!$AG426="","-",'ORDENES'!$AG426))</f>
        <v/>
      </c>
      <c r="I448" s="5">
        <f>IF('ORDENES'!$A426="","",IF('ORDENES'!$AT426="","-",'ORDENES'!$AT426))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20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IF('ORDENES'!$A426="","",'ORDENES'!$AF426)</f>
        <v/>
      </c>
    </row>
    <row r="449">
      <c r="A449" s="5">
        <f>IF('ORDENES'!$A427="","",IF('ORDENES'!$O427="","-",'ORDENES'!$O427))</f>
        <v/>
      </c>
      <c r="B449" s="5">
        <f>IF('ORDENES'!$A427="","",IF('ORDENES'!$S427="","-",'ORDENES'!$S427))</f>
        <v/>
      </c>
      <c r="C449" s="5">
        <f>IF('ORDENES'!$A427="","",IF('ORDENES'!$AH427="","-",'ORDENES'!$AH427))</f>
        <v/>
      </c>
      <c r="D449" s="5">
        <f>IF('ORDENES'!$A427="","",IF('ORDENES'!$Z427="","-",'ORDENES'!$Z427))</f>
        <v/>
      </c>
      <c r="E449" s="5">
        <f>IF('ORDENES'!$A427="","",IF('ORDENES'!$X427="","-",'ORDENES'!$X427))</f>
        <v/>
      </c>
      <c r="F449" s="5">
        <f>IF('ORDENES'!$A427="","",IF('ORDENES'!$AA427="","-",'ORDENES'!$AA427))</f>
        <v/>
      </c>
      <c r="G449" s="5">
        <f>IF('ORDENES'!$A427="","",IF('ORDENES'!$Y427="","-",'ORDENES'!$Y427))</f>
        <v/>
      </c>
      <c r="H449" s="5">
        <f>IF('ORDENES'!$A427="","",IF('ORDENES'!$AG427="","-",'ORDENES'!$AG427))</f>
        <v/>
      </c>
      <c r="I449" s="5">
        <f>IF('ORDENES'!$A427="","",IF('ORDENES'!$AT427="","-",'ORDENES'!$AT427))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20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IF('ORDENES'!$A427="","",'ORDENES'!$AF427)</f>
        <v/>
      </c>
    </row>
    <row r="450">
      <c r="A450" s="5">
        <f>IF('ORDENES'!$A428="","",IF('ORDENES'!$O428="","-",'ORDENES'!$O428))</f>
        <v/>
      </c>
      <c r="B450" s="5">
        <f>IF('ORDENES'!$A428="","",IF('ORDENES'!$S428="","-",'ORDENES'!$S428))</f>
        <v/>
      </c>
      <c r="C450" s="5">
        <f>IF('ORDENES'!$A428="","",IF('ORDENES'!$AH428="","-",'ORDENES'!$AH428))</f>
        <v/>
      </c>
      <c r="D450" s="5">
        <f>IF('ORDENES'!$A428="","",IF('ORDENES'!$Z428="","-",'ORDENES'!$Z428))</f>
        <v/>
      </c>
      <c r="E450" s="5">
        <f>IF('ORDENES'!$A428="","",IF('ORDENES'!$X428="","-",'ORDENES'!$X428))</f>
        <v/>
      </c>
      <c r="F450" s="5">
        <f>IF('ORDENES'!$A428="","",IF('ORDENES'!$AA428="","-",'ORDENES'!$AA428))</f>
        <v/>
      </c>
      <c r="G450" s="5">
        <f>IF('ORDENES'!$A428="","",IF('ORDENES'!$Y428="","-",'ORDENES'!$Y428))</f>
        <v/>
      </c>
      <c r="H450" s="5">
        <f>IF('ORDENES'!$A428="","",IF('ORDENES'!$AG428="","-",'ORDENES'!$AG428))</f>
        <v/>
      </c>
      <c r="I450" s="5">
        <f>IF('ORDENES'!$A428="","",IF('ORDENES'!$AT428="","-",'ORDENES'!$AT428))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20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IF('ORDENES'!$A428="","",'ORDENES'!$AF428)</f>
        <v/>
      </c>
    </row>
    <row r="451">
      <c r="A451" s="5">
        <f>IF('ORDENES'!$A429="","",IF('ORDENES'!$O429="","-",'ORDENES'!$O429))</f>
        <v/>
      </c>
      <c r="B451" s="5">
        <f>IF('ORDENES'!$A429="","",IF('ORDENES'!$S429="","-",'ORDENES'!$S429))</f>
        <v/>
      </c>
      <c r="C451" s="5">
        <f>IF('ORDENES'!$A429="","",IF('ORDENES'!$AH429="","-",'ORDENES'!$AH429))</f>
        <v/>
      </c>
      <c r="D451" s="5">
        <f>IF('ORDENES'!$A429="","",IF('ORDENES'!$Z429="","-",'ORDENES'!$Z429))</f>
        <v/>
      </c>
      <c r="E451" s="5">
        <f>IF('ORDENES'!$A429="","",IF('ORDENES'!$X429="","-",'ORDENES'!$X429))</f>
        <v/>
      </c>
      <c r="F451" s="5">
        <f>IF('ORDENES'!$A429="","",IF('ORDENES'!$AA429="","-",'ORDENES'!$AA429))</f>
        <v/>
      </c>
      <c r="G451" s="5">
        <f>IF('ORDENES'!$A429="","",IF('ORDENES'!$Y429="","-",'ORDENES'!$Y429))</f>
        <v/>
      </c>
      <c r="H451" s="5">
        <f>IF('ORDENES'!$A429="","",IF('ORDENES'!$AG429="","-",'ORDENES'!$AG429))</f>
        <v/>
      </c>
      <c r="I451" s="5">
        <f>IF('ORDENES'!$A429="","",IF('ORDENES'!$AT429="","-",'ORDENES'!$AT429))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20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IF('ORDENES'!$A429="","",'ORDENES'!$AF429)</f>
        <v/>
      </c>
    </row>
    <row r="452">
      <c r="A452" s="5">
        <f>IF('ORDENES'!$A430="","",IF('ORDENES'!$O430="","-",'ORDENES'!$O430))</f>
        <v/>
      </c>
      <c r="B452" s="5">
        <f>IF('ORDENES'!$A430="","",IF('ORDENES'!$S430="","-",'ORDENES'!$S430))</f>
        <v/>
      </c>
      <c r="C452" s="5">
        <f>IF('ORDENES'!$A430="","",IF('ORDENES'!$AH430="","-",'ORDENES'!$AH430))</f>
        <v/>
      </c>
      <c r="D452" s="5">
        <f>IF('ORDENES'!$A430="","",IF('ORDENES'!$Z430="","-",'ORDENES'!$Z430))</f>
        <v/>
      </c>
      <c r="E452" s="5">
        <f>IF('ORDENES'!$A430="","",IF('ORDENES'!$X430="","-",'ORDENES'!$X430))</f>
        <v/>
      </c>
      <c r="F452" s="5">
        <f>IF('ORDENES'!$A430="","",IF('ORDENES'!$AA430="","-",'ORDENES'!$AA430))</f>
        <v/>
      </c>
      <c r="G452" s="5">
        <f>IF('ORDENES'!$A430="","",IF('ORDENES'!$Y430="","-",'ORDENES'!$Y430))</f>
        <v/>
      </c>
      <c r="H452" s="5">
        <f>IF('ORDENES'!$A430="","",IF('ORDENES'!$AG430="","-",'ORDENES'!$AG430))</f>
        <v/>
      </c>
      <c r="I452" s="5">
        <f>IF('ORDENES'!$A430="","",IF('ORDENES'!$AT430="","-",'ORDENES'!$AT430))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20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IF('ORDENES'!$A430="","",'ORDENES'!$AF430)</f>
        <v/>
      </c>
    </row>
    <row r="453">
      <c r="A453" s="5">
        <f>IF('ORDENES'!$A431="","",IF('ORDENES'!$O431="","-",'ORDENES'!$O431))</f>
        <v/>
      </c>
      <c r="B453" s="5">
        <f>IF('ORDENES'!$A431="","",IF('ORDENES'!$S431="","-",'ORDENES'!$S431))</f>
        <v/>
      </c>
      <c r="C453" s="5">
        <f>IF('ORDENES'!$A431="","",IF('ORDENES'!$AH431="","-",'ORDENES'!$AH431))</f>
        <v/>
      </c>
      <c r="D453" s="5">
        <f>IF('ORDENES'!$A431="","",IF('ORDENES'!$Z431="","-",'ORDENES'!$Z431))</f>
        <v/>
      </c>
      <c r="E453" s="5">
        <f>IF('ORDENES'!$A431="","",IF('ORDENES'!$X431="","-",'ORDENES'!$X431))</f>
        <v/>
      </c>
      <c r="F453" s="5">
        <f>IF('ORDENES'!$A431="","",IF('ORDENES'!$AA431="","-",'ORDENES'!$AA431))</f>
        <v/>
      </c>
      <c r="G453" s="5">
        <f>IF('ORDENES'!$A431="","",IF('ORDENES'!$Y431="","-",'ORDENES'!$Y431))</f>
        <v/>
      </c>
      <c r="H453" s="5">
        <f>IF('ORDENES'!$A431="","",IF('ORDENES'!$AG431="","-",'ORDENES'!$AG431))</f>
        <v/>
      </c>
      <c r="I453" s="5">
        <f>IF('ORDENES'!$A431="","",IF('ORDENES'!$AT431="","-",'ORDENES'!$AT431))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20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IF('ORDENES'!$A431="","",'ORDENES'!$AF431)</f>
        <v/>
      </c>
    </row>
    <row r="454">
      <c r="A454" s="5">
        <f>IF('ORDENES'!$A432="","",IF('ORDENES'!$O432="","-",'ORDENES'!$O432))</f>
        <v/>
      </c>
      <c r="B454" s="5">
        <f>IF('ORDENES'!$A432="","",IF('ORDENES'!$S432="","-",'ORDENES'!$S432))</f>
        <v/>
      </c>
      <c r="C454" s="5">
        <f>IF('ORDENES'!$A432="","",IF('ORDENES'!$AH432="","-",'ORDENES'!$AH432))</f>
        <v/>
      </c>
      <c r="D454" s="5">
        <f>IF('ORDENES'!$A432="","",IF('ORDENES'!$Z432="","-",'ORDENES'!$Z432))</f>
        <v/>
      </c>
      <c r="E454" s="5">
        <f>IF('ORDENES'!$A432="","",IF('ORDENES'!$X432="","-",'ORDENES'!$X432))</f>
        <v/>
      </c>
      <c r="F454" s="5">
        <f>IF('ORDENES'!$A432="","",IF('ORDENES'!$AA432="","-",'ORDENES'!$AA432))</f>
        <v/>
      </c>
      <c r="G454" s="5">
        <f>IF('ORDENES'!$A432="","",IF('ORDENES'!$Y432="","-",'ORDENES'!$Y432))</f>
        <v/>
      </c>
      <c r="H454" s="5">
        <f>IF('ORDENES'!$A432="","",IF('ORDENES'!$AG432="","-",'ORDENES'!$AG432))</f>
        <v/>
      </c>
      <c r="I454" s="5">
        <f>IF('ORDENES'!$A432="","",IF('ORDENES'!$AT432="","-",'ORDENES'!$AT432))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20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IF('ORDENES'!$A432="","",'ORDENES'!$AF432)</f>
        <v/>
      </c>
    </row>
    <row r="455">
      <c r="A455" s="5">
        <f>IF('ORDENES'!$A433="","",IF('ORDENES'!$O433="","-",'ORDENES'!$O433))</f>
        <v/>
      </c>
      <c r="B455" s="5">
        <f>IF('ORDENES'!$A433="","",IF('ORDENES'!$S433="","-",'ORDENES'!$S433))</f>
        <v/>
      </c>
      <c r="C455" s="5">
        <f>IF('ORDENES'!$A433="","",IF('ORDENES'!$AH433="","-",'ORDENES'!$AH433))</f>
        <v/>
      </c>
      <c r="D455" s="5">
        <f>IF('ORDENES'!$A433="","",IF('ORDENES'!$Z433="","-",'ORDENES'!$Z433))</f>
        <v/>
      </c>
      <c r="E455" s="5">
        <f>IF('ORDENES'!$A433="","",IF('ORDENES'!$X433="","-",'ORDENES'!$X433))</f>
        <v/>
      </c>
      <c r="F455" s="5">
        <f>IF('ORDENES'!$A433="","",IF('ORDENES'!$AA433="","-",'ORDENES'!$AA433))</f>
        <v/>
      </c>
      <c r="G455" s="5">
        <f>IF('ORDENES'!$A433="","",IF('ORDENES'!$Y433="","-",'ORDENES'!$Y433))</f>
        <v/>
      </c>
      <c r="H455" s="5">
        <f>IF('ORDENES'!$A433="","",IF('ORDENES'!$AG433="","-",'ORDENES'!$AG433))</f>
        <v/>
      </c>
      <c r="I455" s="5">
        <f>IF('ORDENES'!$A433="","",IF('ORDENES'!$AT433="","-",'ORDENES'!$AT433))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20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IF('ORDENES'!$A433="","",'ORDENES'!$AF433)</f>
        <v/>
      </c>
    </row>
    <row r="456">
      <c r="A456" s="5">
        <f>IF('ORDENES'!$A434="","",IF('ORDENES'!$O434="","-",'ORDENES'!$O434))</f>
        <v/>
      </c>
      <c r="B456" s="5">
        <f>IF('ORDENES'!$A434="","",IF('ORDENES'!$S434="","-",'ORDENES'!$S434))</f>
        <v/>
      </c>
      <c r="C456" s="5">
        <f>IF('ORDENES'!$A434="","",IF('ORDENES'!$AH434="","-",'ORDENES'!$AH434))</f>
        <v/>
      </c>
      <c r="D456" s="5">
        <f>IF('ORDENES'!$A434="","",IF('ORDENES'!$Z434="","-",'ORDENES'!$Z434))</f>
        <v/>
      </c>
      <c r="E456" s="5">
        <f>IF('ORDENES'!$A434="","",IF('ORDENES'!$X434="","-",'ORDENES'!$X434))</f>
        <v/>
      </c>
      <c r="F456" s="5">
        <f>IF('ORDENES'!$A434="","",IF('ORDENES'!$AA434="","-",'ORDENES'!$AA434))</f>
        <v/>
      </c>
      <c r="G456" s="5">
        <f>IF('ORDENES'!$A434="","",IF('ORDENES'!$Y434="","-",'ORDENES'!$Y434))</f>
        <v/>
      </c>
      <c r="H456" s="5">
        <f>IF('ORDENES'!$A434="","",IF('ORDENES'!$AG434="","-",'ORDENES'!$AG434))</f>
        <v/>
      </c>
      <c r="I456" s="5">
        <f>IF('ORDENES'!$A434="","",IF('ORDENES'!$AT434="","-",'ORDENES'!$AT434))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20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IF('ORDENES'!$A434="","",'ORDENES'!$AF434)</f>
        <v/>
      </c>
    </row>
    <row r="457">
      <c r="A457" s="5">
        <f>IF('ORDENES'!$A435="","",IF('ORDENES'!$O435="","-",'ORDENES'!$O435))</f>
        <v/>
      </c>
      <c r="B457" s="5">
        <f>IF('ORDENES'!$A435="","",IF('ORDENES'!$S435="","-",'ORDENES'!$S435))</f>
        <v/>
      </c>
      <c r="C457" s="5">
        <f>IF('ORDENES'!$A435="","",IF('ORDENES'!$AH435="","-",'ORDENES'!$AH435))</f>
        <v/>
      </c>
      <c r="D457" s="5">
        <f>IF('ORDENES'!$A435="","",IF('ORDENES'!$Z435="","-",'ORDENES'!$Z435))</f>
        <v/>
      </c>
      <c r="E457" s="5">
        <f>IF('ORDENES'!$A435="","",IF('ORDENES'!$X435="","-",'ORDENES'!$X435))</f>
        <v/>
      </c>
      <c r="F457" s="5">
        <f>IF('ORDENES'!$A435="","",IF('ORDENES'!$AA435="","-",'ORDENES'!$AA435))</f>
        <v/>
      </c>
      <c r="G457" s="5">
        <f>IF('ORDENES'!$A435="","",IF('ORDENES'!$Y435="","-",'ORDENES'!$Y435))</f>
        <v/>
      </c>
      <c r="H457" s="5">
        <f>IF('ORDENES'!$A435="","",IF('ORDENES'!$AG435="","-",'ORDENES'!$AG435))</f>
        <v/>
      </c>
      <c r="I457" s="5">
        <f>IF('ORDENES'!$A435="","",IF('ORDENES'!$AT435="","-",'ORDENES'!$AT435))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20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IF('ORDENES'!$A435="","",'ORDENES'!$AF435)</f>
        <v/>
      </c>
    </row>
    <row r="458">
      <c r="A458" s="5">
        <f>IF('ORDENES'!$A436="","",IF('ORDENES'!$O436="","-",'ORDENES'!$O436))</f>
        <v/>
      </c>
      <c r="B458" s="5">
        <f>IF('ORDENES'!$A436="","",IF('ORDENES'!$S436="","-",'ORDENES'!$S436))</f>
        <v/>
      </c>
      <c r="C458" s="5">
        <f>IF('ORDENES'!$A436="","",IF('ORDENES'!$AH436="","-",'ORDENES'!$AH436))</f>
        <v/>
      </c>
      <c r="D458" s="5">
        <f>IF('ORDENES'!$A436="","",IF('ORDENES'!$Z436="","-",'ORDENES'!$Z436))</f>
        <v/>
      </c>
      <c r="E458" s="5">
        <f>IF('ORDENES'!$A436="","",IF('ORDENES'!$X436="","-",'ORDENES'!$X436))</f>
        <v/>
      </c>
      <c r="F458" s="5">
        <f>IF('ORDENES'!$A436="","",IF('ORDENES'!$AA436="","-",'ORDENES'!$AA436))</f>
        <v/>
      </c>
      <c r="G458" s="5">
        <f>IF('ORDENES'!$A436="","",IF('ORDENES'!$Y436="","-",'ORDENES'!$Y436))</f>
        <v/>
      </c>
      <c r="H458" s="5">
        <f>IF('ORDENES'!$A436="","",IF('ORDENES'!$AG436="","-",'ORDENES'!$AG436))</f>
        <v/>
      </c>
      <c r="I458" s="5">
        <f>IF('ORDENES'!$A436="","",IF('ORDENES'!$AT436="","-",'ORDENES'!$AT436))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20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IF('ORDENES'!$A436="","",'ORDENES'!$AF436)</f>
        <v/>
      </c>
    </row>
    <row r="459">
      <c r="A459" s="5">
        <f>IF('ORDENES'!$A437="","",IF('ORDENES'!$O437="","-",'ORDENES'!$O437))</f>
        <v/>
      </c>
      <c r="B459" s="5">
        <f>IF('ORDENES'!$A437="","",IF('ORDENES'!$S437="","-",'ORDENES'!$S437))</f>
        <v/>
      </c>
      <c r="C459" s="5">
        <f>IF('ORDENES'!$A437="","",IF('ORDENES'!$AH437="","-",'ORDENES'!$AH437))</f>
        <v/>
      </c>
      <c r="D459" s="5">
        <f>IF('ORDENES'!$A437="","",IF('ORDENES'!$Z437="","-",'ORDENES'!$Z437))</f>
        <v/>
      </c>
      <c r="E459" s="5">
        <f>IF('ORDENES'!$A437="","",IF('ORDENES'!$X437="","-",'ORDENES'!$X437))</f>
        <v/>
      </c>
      <c r="F459" s="5">
        <f>IF('ORDENES'!$A437="","",IF('ORDENES'!$AA437="","-",'ORDENES'!$AA437))</f>
        <v/>
      </c>
      <c r="G459" s="5">
        <f>IF('ORDENES'!$A437="","",IF('ORDENES'!$Y437="","-",'ORDENES'!$Y437))</f>
        <v/>
      </c>
      <c r="H459" s="5">
        <f>IF('ORDENES'!$A437="","",IF('ORDENES'!$AG437="","-",'ORDENES'!$AG437))</f>
        <v/>
      </c>
      <c r="I459" s="5">
        <f>IF('ORDENES'!$A437="","",IF('ORDENES'!$AT437="","-",'ORDENES'!$AT437))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20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IF('ORDENES'!$A437="","",'ORDENES'!$AF437)</f>
        <v/>
      </c>
    </row>
    <row r="460">
      <c r="A460" s="5">
        <f>IF('ORDENES'!$A438="","",IF('ORDENES'!$O438="","-",'ORDENES'!$O438))</f>
        <v/>
      </c>
      <c r="B460" s="5">
        <f>IF('ORDENES'!$A438="","",IF('ORDENES'!$S438="","-",'ORDENES'!$S438))</f>
        <v/>
      </c>
      <c r="C460" s="5">
        <f>IF('ORDENES'!$A438="","",IF('ORDENES'!$AH438="","-",'ORDENES'!$AH438))</f>
        <v/>
      </c>
      <c r="D460" s="5">
        <f>IF('ORDENES'!$A438="","",IF('ORDENES'!$Z438="","-",'ORDENES'!$Z438))</f>
        <v/>
      </c>
      <c r="E460" s="5">
        <f>IF('ORDENES'!$A438="","",IF('ORDENES'!$X438="","-",'ORDENES'!$X438))</f>
        <v/>
      </c>
      <c r="F460" s="5">
        <f>IF('ORDENES'!$A438="","",IF('ORDENES'!$AA438="","-",'ORDENES'!$AA438))</f>
        <v/>
      </c>
      <c r="G460" s="5">
        <f>IF('ORDENES'!$A438="","",IF('ORDENES'!$Y438="","-",'ORDENES'!$Y438))</f>
        <v/>
      </c>
      <c r="H460" s="5">
        <f>IF('ORDENES'!$A438="","",IF('ORDENES'!$AG438="","-",'ORDENES'!$AG438))</f>
        <v/>
      </c>
      <c r="I460" s="5">
        <f>IF('ORDENES'!$A438="","",IF('ORDENES'!$AT438="","-",'ORDENES'!$AT438))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20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IF('ORDENES'!$A438="","",'ORDENES'!$AF438)</f>
        <v/>
      </c>
    </row>
    <row r="461">
      <c r="A461" s="5">
        <f>IF('ORDENES'!$A439="","",IF('ORDENES'!$O439="","-",'ORDENES'!$O439))</f>
        <v/>
      </c>
      <c r="B461" s="5">
        <f>IF('ORDENES'!$A439="","",IF('ORDENES'!$S439="","-",'ORDENES'!$S439))</f>
        <v/>
      </c>
      <c r="C461" s="5">
        <f>IF('ORDENES'!$A439="","",IF('ORDENES'!$AH439="","-",'ORDENES'!$AH439))</f>
        <v/>
      </c>
      <c r="D461" s="5">
        <f>IF('ORDENES'!$A439="","",IF('ORDENES'!$Z439="","-",'ORDENES'!$Z439))</f>
        <v/>
      </c>
      <c r="E461" s="5">
        <f>IF('ORDENES'!$A439="","",IF('ORDENES'!$X439="","-",'ORDENES'!$X439))</f>
        <v/>
      </c>
      <c r="F461" s="5">
        <f>IF('ORDENES'!$A439="","",IF('ORDENES'!$AA439="","-",'ORDENES'!$AA439))</f>
        <v/>
      </c>
      <c r="G461" s="5">
        <f>IF('ORDENES'!$A439="","",IF('ORDENES'!$Y439="","-",'ORDENES'!$Y439))</f>
        <v/>
      </c>
      <c r="H461" s="5">
        <f>IF('ORDENES'!$A439="","",IF('ORDENES'!$AG439="","-",'ORDENES'!$AG439))</f>
        <v/>
      </c>
      <c r="I461" s="5">
        <f>IF('ORDENES'!$A439="","",IF('ORDENES'!$AT439="","-",'ORDENES'!$AT439))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20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IF('ORDENES'!$A439="","",'ORDENES'!$AF439)</f>
        <v/>
      </c>
    </row>
    <row r="462">
      <c r="A462" s="5">
        <f>IF('ORDENES'!$A440="","",IF('ORDENES'!$O440="","-",'ORDENES'!$O440))</f>
        <v/>
      </c>
      <c r="B462" s="5">
        <f>IF('ORDENES'!$A440="","",IF('ORDENES'!$S440="","-",'ORDENES'!$S440))</f>
        <v/>
      </c>
      <c r="C462" s="5">
        <f>IF('ORDENES'!$A440="","",IF('ORDENES'!$AH440="","-",'ORDENES'!$AH440))</f>
        <v/>
      </c>
      <c r="D462" s="5">
        <f>IF('ORDENES'!$A440="","",IF('ORDENES'!$Z440="","-",'ORDENES'!$Z440))</f>
        <v/>
      </c>
      <c r="E462" s="5">
        <f>IF('ORDENES'!$A440="","",IF('ORDENES'!$X440="","-",'ORDENES'!$X440))</f>
        <v/>
      </c>
      <c r="F462" s="5">
        <f>IF('ORDENES'!$A440="","",IF('ORDENES'!$AA440="","-",'ORDENES'!$AA440))</f>
        <v/>
      </c>
      <c r="G462" s="5">
        <f>IF('ORDENES'!$A440="","",IF('ORDENES'!$Y440="","-",'ORDENES'!$Y440))</f>
        <v/>
      </c>
      <c r="H462" s="5">
        <f>IF('ORDENES'!$A440="","",IF('ORDENES'!$AG440="","-",'ORDENES'!$AG440))</f>
        <v/>
      </c>
      <c r="I462" s="5">
        <f>IF('ORDENES'!$A440="","",IF('ORDENES'!$AT440="","-",'ORDENES'!$AT440))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20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IF('ORDENES'!$A440="","",'ORDENES'!$AF440)</f>
        <v/>
      </c>
    </row>
    <row r="463">
      <c r="A463" s="5">
        <f>IF('ORDENES'!$A441="","",IF('ORDENES'!$O441="","-",'ORDENES'!$O441))</f>
        <v/>
      </c>
      <c r="B463" s="5">
        <f>IF('ORDENES'!$A441="","",IF('ORDENES'!$S441="","-",'ORDENES'!$S441))</f>
        <v/>
      </c>
      <c r="C463" s="5">
        <f>IF('ORDENES'!$A441="","",IF('ORDENES'!$AH441="","-",'ORDENES'!$AH441))</f>
        <v/>
      </c>
      <c r="D463" s="5">
        <f>IF('ORDENES'!$A441="","",IF('ORDENES'!$Z441="","-",'ORDENES'!$Z441))</f>
        <v/>
      </c>
      <c r="E463" s="5">
        <f>IF('ORDENES'!$A441="","",IF('ORDENES'!$X441="","-",'ORDENES'!$X441))</f>
        <v/>
      </c>
      <c r="F463" s="5">
        <f>IF('ORDENES'!$A441="","",IF('ORDENES'!$AA441="","-",'ORDENES'!$AA441))</f>
        <v/>
      </c>
      <c r="G463" s="5">
        <f>IF('ORDENES'!$A441="","",IF('ORDENES'!$Y441="","-",'ORDENES'!$Y441))</f>
        <v/>
      </c>
      <c r="H463" s="5">
        <f>IF('ORDENES'!$A441="","",IF('ORDENES'!$AG441="","-",'ORDENES'!$AG441))</f>
        <v/>
      </c>
      <c r="I463" s="5">
        <f>IF('ORDENES'!$A441="","",IF('ORDENES'!$AT441="","-",'ORDENES'!$AT441))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20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IF('ORDENES'!$A441="","",'ORDENES'!$AF441)</f>
        <v/>
      </c>
    </row>
    <row r="464">
      <c r="A464" s="5">
        <f>IF('ORDENES'!$A442="","",IF('ORDENES'!$O442="","-",'ORDENES'!$O442))</f>
        <v/>
      </c>
      <c r="B464" s="5">
        <f>IF('ORDENES'!$A442="","",IF('ORDENES'!$S442="","-",'ORDENES'!$S442))</f>
        <v/>
      </c>
      <c r="C464" s="5">
        <f>IF('ORDENES'!$A442="","",IF('ORDENES'!$AH442="","-",'ORDENES'!$AH442))</f>
        <v/>
      </c>
      <c r="D464" s="5">
        <f>IF('ORDENES'!$A442="","",IF('ORDENES'!$Z442="","-",'ORDENES'!$Z442))</f>
        <v/>
      </c>
      <c r="E464" s="5">
        <f>IF('ORDENES'!$A442="","",IF('ORDENES'!$X442="","-",'ORDENES'!$X442))</f>
        <v/>
      </c>
      <c r="F464" s="5">
        <f>IF('ORDENES'!$A442="","",IF('ORDENES'!$AA442="","-",'ORDENES'!$AA442))</f>
        <v/>
      </c>
      <c r="G464" s="5">
        <f>IF('ORDENES'!$A442="","",IF('ORDENES'!$Y442="","-",'ORDENES'!$Y442))</f>
        <v/>
      </c>
      <c r="H464" s="5">
        <f>IF('ORDENES'!$A442="","",IF('ORDENES'!$AG442="","-",'ORDENES'!$AG442))</f>
        <v/>
      </c>
      <c r="I464" s="5">
        <f>IF('ORDENES'!$A442="","",IF('ORDENES'!$AT442="","-",'ORDENES'!$AT442))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20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IF('ORDENES'!$A442="","",'ORDENES'!$AF442)</f>
        <v/>
      </c>
    </row>
    <row r="465">
      <c r="A465" s="5">
        <f>IF('ORDENES'!$A443="","",IF('ORDENES'!$O443="","-",'ORDENES'!$O443))</f>
        <v/>
      </c>
      <c r="B465" s="5">
        <f>IF('ORDENES'!$A443="","",IF('ORDENES'!$S443="","-",'ORDENES'!$S443))</f>
        <v/>
      </c>
      <c r="C465" s="5">
        <f>IF('ORDENES'!$A443="","",IF('ORDENES'!$AH443="","-",'ORDENES'!$AH443))</f>
        <v/>
      </c>
      <c r="D465" s="5">
        <f>IF('ORDENES'!$A443="","",IF('ORDENES'!$Z443="","-",'ORDENES'!$Z443))</f>
        <v/>
      </c>
      <c r="E465" s="5">
        <f>IF('ORDENES'!$A443="","",IF('ORDENES'!$X443="","-",'ORDENES'!$X443))</f>
        <v/>
      </c>
      <c r="F465" s="5">
        <f>IF('ORDENES'!$A443="","",IF('ORDENES'!$AA443="","-",'ORDENES'!$AA443))</f>
        <v/>
      </c>
      <c r="G465" s="5">
        <f>IF('ORDENES'!$A443="","",IF('ORDENES'!$Y443="","-",'ORDENES'!$Y443))</f>
        <v/>
      </c>
      <c r="H465" s="5">
        <f>IF('ORDENES'!$A443="","",IF('ORDENES'!$AG443="","-",'ORDENES'!$AG443))</f>
        <v/>
      </c>
      <c r="I465" s="5">
        <f>IF('ORDENES'!$A443="","",IF('ORDENES'!$AT443="","-",'ORDENES'!$AT443))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20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IF('ORDENES'!$A443="","",'ORDENES'!$AF443)</f>
        <v/>
      </c>
    </row>
    <row r="466">
      <c r="A466" s="5">
        <f>IF('ORDENES'!$A444="","",IF('ORDENES'!$O444="","-",'ORDENES'!$O444))</f>
        <v/>
      </c>
      <c r="B466" s="5">
        <f>IF('ORDENES'!$A444="","",IF('ORDENES'!$S444="","-",'ORDENES'!$S444))</f>
        <v/>
      </c>
      <c r="C466" s="5">
        <f>IF('ORDENES'!$A444="","",IF('ORDENES'!$AH444="","-",'ORDENES'!$AH444))</f>
        <v/>
      </c>
      <c r="D466" s="5">
        <f>IF('ORDENES'!$A444="","",IF('ORDENES'!$Z444="","-",'ORDENES'!$Z444))</f>
        <v/>
      </c>
      <c r="E466" s="5">
        <f>IF('ORDENES'!$A444="","",IF('ORDENES'!$X444="","-",'ORDENES'!$X444))</f>
        <v/>
      </c>
      <c r="F466" s="5">
        <f>IF('ORDENES'!$A444="","",IF('ORDENES'!$AA444="","-",'ORDENES'!$AA444))</f>
        <v/>
      </c>
      <c r="G466" s="5">
        <f>IF('ORDENES'!$A444="","",IF('ORDENES'!$Y444="","-",'ORDENES'!$Y444))</f>
        <v/>
      </c>
      <c r="H466" s="5">
        <f>IF('ORDENES'!$A444="","",IF('ORDENES'!$AG444="","-",'ORDENES'!$AG444))</f>
        <v/>
      </c>
      <c r="I466" s="5">
        <f>IF('ORDENES'!$A444="","",IF('ORDENES'!$AT444="","-",'ORDENES'!$AT444))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20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IF('ORDENES'!$A444="","",'ORDENES'!$AF444)</f>
        <v/>
      </c>
    </row>
    <row r="467">
      <c r="A467" s="5">
        <f>IF('ORDENES'!$A445="","",IF('ORDENES'!$O445="","-",'ORDENES'!$O445))</f>
        <v/>
      </c>
      <c r="B467" s="5">
        <f>IF('ORDENES'!$A445="","",IF('ORDENES'!$S445="","-",'ORDENES'!$S445))</f>
        <v/>
      </c>
      <c r="C467" s="5">
        <f>IF('ORDENES'!$A445="","",IF('ORDENES'!$AH445="","-",'ORDENES'!$AH445))</f>
        <v/>
      </c>
      <c r="D467" s="5">
        <f>IF('ORDENES'!$A445="","",IF('ORDENES'!$Z445="","-",'ORDENES'!$Z445))</f>
        <v/>
      </c>
      <c r="E467" s="5">
        <f>IF('ORDENES'!$A445="","",IF('ORDENES'!$X445="","-",'ORDENES'!$X445))</f>
        <v/>
      </c>
      <c r="F467" s="5">
        <f>IF('ORDENES'!$A445="","",IF('ORDENES'!$AA445="","-",'ORDENES'!$AA445))</f>
        <v/>
      </c>
      <c r="G467" s="5">
        <f>IF('ORDENES'!$A445="","",IF('ORDENES'!$Y445="","-",'ORDENES'!$Y445))</f>
        <v/>
      </c>
      <c r="H467" s="5">
        <f>IF('ORDENES'!$A445="","",IF('ORDENES'!$AG445="","-",'ORDENES'!$AG445))</f>
        <v/>
      </c>
      <c r="I467" s="5">
        <f>IF('ORDENES'!$A445="","",IF('ORDENES'!$AT445="","-",'ORDENES'!$AT445))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20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IF('ORDENES'!$A445="","",'ORDENES'!$AF445)</f>
        <v/>
      </c>
    </row>
    <row r="468">
      <c r="A468" s="5">
        <f>IF('ORDENES'!$A446="","",IF('ORDENES'!$O446="","-",'ORDENES'!$O446))</f>
        <v/>
      </c>
      <c r="B468" s="5">
        <f>IF('ORDENES'!$A446="","",IF('ORDENES'!$S446="","-",'ORDENES'!$S446))</f>
        <v/>
      </c>
      <c r="C468" s="5">
        <f>IF('ORDENES'!$A446="","",IF('ORDENES'!$AH446="","-",'ORDENES'!$AH446))</f>
        <v/>
      </c>
      <c r="D468" s="5">
        <f>IF('ORDENES'!$A446="","",IF('ORDENES'!$Z446="","-",'ORDENES'!$Z446))</f>
        <v/>
      </c>
      <c r="E468" s="5">
        <f>IF('ORDENES'!$A446="","",IF('ORDENES'!$X446="","-",'ORDENES'!$X446))</f>
        <v/>
      </c>
      <c r="F468" s="5">
        <f>IF('ORDENES'!$A446="","",IF('ORDENES'!$AA446="","-",'ORDENES'!$AA446))</f>
        <v/>
      </c>
      <c r="G468" s="5">
        <f>IF('ORDENES'!$A446="","",IF('ORDENES'!$Y446="","-",'ORDENES'!$Y446))</f>
        <v/>
      </c>
      <c r="H468" s="5">
        <f>IF('ORDENES'!$A446="","",IF('ORDENES'!$AG446="","-",'ORDENES'!$AG446))</f>
        <v/>
      </c>
      <c r="I468" s="5">
        <f>IF('ORDENES'!$A446="","",IF('ORDENES'!$AT446="","-",'ORDENES'!$AT446))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20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IF('ORDENES'!$A446="","",'ORDENES'!$AF446)</f>
        <v/>
      </c>
    </row>
    <row r="469">
      <c r="A469" s="5">
        <f>IF('ORDENES'!$A447="","",IF('ORDENES'!$O447="","-",'ORDENES'!$O447))</f>
        <v/>
      </c>
      <c r="B469" s="5">
        <f>IF('ORDENES'!$A447="","",IF('ORDENES'!$S447="","-",'ORDENES'!$S447))</f>
        <v/>
      </c>
      <c r="C469" s="5">
        <f>IF('ORDENES'!$A447="","",IF('ORDENES'!$AH447="","-",'ORDENES'!$AH447))</f>
        <v/>
      </c>
      <c r="D469" s="5">
        <f>IF('ORDENES'!$A447="","",IF('ORDENES'!$Z447="","-",'ORDENES'!$Z447))</f>
        <v/>
      </c>
      <c r="E469" s="5">
        <f>IF('ORDENES'!$A447="","",IF('ORDENES'!$X447="","-",'ORDENES'!$X447))</f>
        <v/>
      </c>
      <c r="F469" s="5">
        <f>IF('ORDENES'!$A447="","",IF('ORDENES'!$AA447="","-",'ORDENES'!$AA447))</f>
        <v/>
      </c>
      <c r="G469" s="5">
        <f>IF('ORDENES'!$A447="","",IF('ORDENES'!$Y447="","-",'ORDENES'!$Y447))</f>
        <v/>
      </c>
      <c r="H469" s="5">
        <f>IF('ORDENES'!$A447="","",IF('ORDENES'!$AG447="","-",'ORDENES'!$AG447))</f>
        <v/>
      </c>
      <c r="I469" s="5">
        <f>IF('ORDENES'!$A447="","",IF('ORDENES'!$AT447="","-",'ORDENES'!$AT447))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20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IF('ORDENES'!$A447="","",'ORDENES'!$AF447)</f>
        <v/>
      </c>
    </row>
    <row r="470">
      <c r="A470" s="5">
        <f>IF('ORDENES'!$A448="","",IF('ORDENES'!$O448="","-",'ORDENES'!$O448))</f>
        <v/>
      </c>
      <c r="B470" s="5">
        <f>IF('ORDENES'!$A448="","",IF('ORDENES'!$S448="","-",'ORDENES'!$S448))</f>
        <v/>
      </c>
      <c r="C470" s="5">
        <f>IF('ORDENES'!$A448="","",IF('ORDENES'!$AH448="","-",'ORDENES'!$AH448))</f>
        <v/>
      </c>
      <c r="D470" s="5">
        <f>IF('ORDENES'!$A448="","",IF('ORDENES'!$Z448="","-",'ORDENES'!$Z448))</f>
        <v/>
      </c>
      <c r="E470" s="5">
        <f>IF('ORDENES'!$A448="","",IF('ORDENES'!$X448="","-",'ORDENES'!$X448))</f>
        <v/>
      </c>
      <c r="F470" s="5">
        <f>IF('ORDENES'!$A448="","",IF('ORDENES'!$AA448="","-",'ORDENES'!$AA448))</f>
        <v/>
      </c>
      <c r="G470" s="5">
        <f>IF('ORDENES'!$A448="","",IF('ORDENES'!$Y448="","-",'ORDENES'!$Y448))</f>
        <v/>
      </c>
      <c r="H470" s="5">
        <f>IF('ORDENES'!$A448="","",IF('ORDENES'!$AG448="","-",'ORDENES'!$AG448))</f>
        <v/>
      </c>
      <c r="I470" s="5">
        <f>IF('ORDENES'!$A448="","",IF('ORDENES'!$AT448="","-",'ORDENES'!$AT448))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20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IF('ORDENES'!$A448="","",'ORDENES'!$AF448)</f>
        <v/>
      </c>
    </row>
    <row r="471">
      <c r="A471" s="5">
        <f>IF('ORDENES'!$A449="","",IF('ORDENES'!$O449="","-",'ORDENES'!$O449))</f>
        <v/>
      </c>
      <c r="B471" s="5">
        <f>IF('ORDENES'!$A449="","",IF('ORDENES'!$S449="","-",'ORDENES'!$S449))</f>
        <v/>
      </c>
      <c r="C471" s="5">
        <f>IF('ORDENES'!$A449="","",IF('ORDENES'!$AH449="","-",'ORDENES'!$AH449))</f>
        <v/>
      </c>
      <c r="D471" s="5">
        <f>IF('ORDENES'!$A449="","",IF('ORDENES'!$Z449="","-",'ORDENES'!$Z449))</f>
        <v/>
      </c>
      <c r="E471" s="5">
        <f>IF('ORDENES'!$A449="","",IF('ORDENES'!$X449="","-",'ORDENES'!$X449))</f>
        <v/>
      </c>
      <c r="F471" s="5">
        <f>IF('ORDENES'!$A449="","",IF('ORDENES'!$AA449="","-",'ORDENES'!$AA449))</f>
        <v/>
      </c>
      <c r="G471" s="5">
        <f>IF('ORDENES'!$A449="","",IF('ORDENES'!$Y449="","-",'ORDENES'!$Y449))</f>
        <v/>
      </c>
      <c r="H471" s="5">
        <f>IF('ORDENES'!$A449="","",IF('ORDENES'!$AG449="","-",'ORDENES'!$AG449))</f>
        <v/>
      </c>
      <c r="I471" s="5">
        <f>IF('ORDENES'!$A449="","",IF('ORDENES'!$AT449="","-",'ORDENES'!$AT449))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20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IF('ORDENES'!$A449="","",'ORDENES'!$AF449)</f>
        <v/>
      </c>
    </row>
    <row r="472">
      <c r="A472" s="5">
        <f>IF('ORDENES'!$A450="","",IF('ORDENES'!$O450="","-",'ORDENES'!$O450))</f>
        <v/>
      </c>
      <c r="B472" s="5">
        <f>IF('ORDENES'!$A450="","",IF('ORDENES'!$S450="","-",'ORDENES'!$S450))</f>
        <v/>
      </c>
      <c r="C472" s="5">
        <f>IF('ORDENES'!$A450="","",IF('ORDENES'!$AH450="","-",'ORDENES'!$AH450))</f>
        <v/>
      </c>
      <c r="D472" s="5">
        <f>IF('ORDENES'!$A450="","",IF('ORDENES'!$Z450="","-",'ORDENES'!$Z450))</f>
        <v/>
      </c>
      <c r="E472" s="5">
        <f>IF('ORDENES'!$A450="","",IF('ORDENES'!$X450="","-",'ORDENES'!$X450))</f>
        <v/>
      </c>
      <c r="F472" s="5">
        <f>IF('ORDENES'!$A450="","",IF('ORDENES'!$AA450="","-",'ORDENES'!$AA450))</f>
        <v/>
      </c>
      <c r="G472" s="5">
        <f>IF('ORDENES'!$A450="","",IF('ORDENES'!$Y450="","-",'ORDENES'!$Y450))</f>
        <v/>
      </c>
      <c r="H472" s="5">
        <f>IF('ORDENES'!$A450="","",IF('ORDENES'!$AG450="","-",'ORDENES'!$AG450))</f>
        <v/>
      </c>
      <c r="I472" s="5">
        <f>IF('ORDENES'!$A450="","",IF('ORDENES'!$AT450="","-",'ORDENES'!$AT450))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20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IF('ORDENES'!$A450="","",'ORDENES'!$AF450)</f>
        <v/>
      </c>
    </row>
    <row r="473">
      <c r="A473" s="5">
        <f>IF('ORDENES'!$A451="","",IF('ORDENES'!$O451="","-",'ORDENES'!$O451))</f>
        <v/>
      </c>
      <c r="B473" s="5">
        <f>IF('ORDENES'!$A451="","",IF('ORDENES'!$S451="","-",'ORDENES'!$S451))</f>
        <v/>
      </c>
      <c r="C473" s="5">
        <f>IF('ORDENES'!$A451="","",IF('ORDENES'!$AH451="","-",'ORDENES'!$AH451))</f>
        <v/>
      </c>
      <c r="D473" s="5">
        <f>IF('ORDENES'!$A451="","",IF('ORDENES'!$Z451="","-",'ORDENES'!$Z451))</f>
        <v/>
      </c>
      <c r="E473" s="5">
        <f>IF('ORDENES'!$A451="","",IF('ORDENES'!$X451="","-",'ORDENES'!$X451))</f>
        <v/>
      </c>
      <c r="F473" s="5">
        <f>IF('ORDENES'!$A451="","",IF('ORDENES'!$AA451="","-",'ORDENES'!$AA451))</f>
        <v/>
      </c>
      <c r="G473" s="5">
        <f>IF('ORDENES'!$A451="","",IF('ORDENES'!$Y451="","-",'ORDENES'!$Y451))</f>
        <v/>
      </c>
      <c r="H473" s="5">
        <f>IF('ORDENES'!$A451="","",IF('ORDENES'!$AG451="","-",'ORDENES'!$AG451))</f>
        <v/>
      </c>
      <c r="I473" s="5">
        <f>IF('ORDENES'!$A451="","",IF('ORDENES'!$AT451="","-",'ORDENES'!$AT451))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20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IF('ORDENES'!$A451="","",'ORDENES'!$AF451)</f>
        <v/>
      </c>
    </row>
    <row r="474">
      <c r="A474" s="5">
        <f>IF('ORDENES'!$A452="","",IF('ORDENES'!$O452="","-",'ORDENES'!$O452))</f>
        <v/>
      </c>
      <c r="B474" s="5">
        <f>IF('ORDENES'!$A452="","",IF('ORDENES'!$S452="","-",'ORDENES'!$S452))</f>
        <v/>
      </c>
      <c r="C474" s="5">
        <f>IF('ORDENES'!$A452="","",IF('ORDENES'!$AH452="","-",'ORDENES'!$AH452))</f>
        <v/>
      </c>
      <c r="D474" s="5">
        <f>IF('ORDENES'!$A452="","",IF('ORDENES'!$Z452="","-",'ORDENES'!$Z452))</f>
        <v/>
      </c>
      <c r="E474" s="5">
        <f>IF('ORDENES'!$A452="","",IF('ORDENES'!$X452="","-",'ORDENES'!$X452))</f>
        <v/>
      </c>
      <c r="F474" s="5">
        <f>IF('ORDENES'!$A452="","",IF('ORDENES'!$AA452="","-",'ORDENES'!$AA452))</f>
        <v/>
      </c>
      <c r="G474" s="5">
        <f>IF('ORDENES'!$A452="","",IF('ORDENES'!$Y452="","-",'ORDENES'!$Y452))</f>
        <v/>
      </c>
      <c r="H474" s="5">
        <f>IF('ORDENES'!$A452="","",IF('ORDENES'!$AG452="","-",'ORDENES'!$AG452))</f>
        <v/>
      </c>
      <c r="I474" s="5">
        <f>IF('ORDENES'!$A452="","",IF('ORDENES'!$AT452="","-",'ORDENES'!$AT452))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20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IF('ORDENES'!$A452="","",'ORDENES'!$AF452)</f>
        <v/>
      </c>
    </row>
    <row r="475">
      <c r="A475" s="5">
        <f>IF('ORDENES'!$A453="","",IF('ORDENES'!$O453="","-",'ORDENES'!$O453))</f>
        <v/>
      </c>
      <c r="B475" s="5">
        <f>IF('ORDENES'!$A453="","",IF('ORDENES'!$S453="","-",'ORDENES'!$S453))</f>
        <v/>
      </c>
      <c r="C475" s="5">
        <f>IF('ORDENES'!$A453="","",IF('ORDENES'!$AH453="","-",'ORDENES'!$AH453))</f>
        <v/>
      </c>
      <c r="D475" s="5">
        <f>IF('ORDENES'!$A453="","",IF('ORDENES'!$Z453="","-",'ORDENES'!$Z453))</f>
        <v/>
      </c>
      <c r="E475" s="5">
        <f>IF('ORDENES'!$A453="","",IF('ORDENES'!$X453="","-",'ORDENES'!$X453))</f>
        <v/>
      </c>
      <c r="F475" s="5">
        <f>IF('ORDENES'!$A453="","",IF('ORDENES'!$AA453="","-",'ORDENES'!$AA453))</f>
        <v/>
      </c>
      <c r="G475" s="5">
        <f>IF('ORDENES'!$A453="","",IF('ORDENES'!$Y453="","-",'ORDENES'!$Y453))</f>
        <v/>
      </c>
      <c r="H475" s="5">
        <f>IF('ORDENES'!$A453="","",IF('ORDENES'!$AG453="","-",'ORDENES'!$AG453))</f>
        <v/>
      </c>
      <c r="I475" s="5">
        <f>IF('ORDENES'!$A453="","",IF('ORDENES'!$AT453="","-",'ORDENES'!$AT453))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20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IF('ORDENES'!$A453="","",'ORDENES'!$AF453)</f>
        <v/>
      </c>
    </row>
    <row r="476">
      <c r="A476" s="5">
        <f>IF('ORDENES'!$A454="","",IF('ORDENES'!$O454="","-",'ORDENES'!$O454))</f>
        <v/>
      </c>
      <c r="B476" s="5">
        <f>IF('ORDENES'!$A454="","",IF('ORDENES'!$S454="","-",'ORDENES'!$S454))</f>
        <v/>
      </c>
      <c r="C476" s="5">
        <f>IF('ORDENES'!$A454="","",IF('ORDENES'!$AH454="","-",'ORDENES'!$AH454))</f>
        <v/>
      </c>
      <c r="D476" s="5">
        <f>IF('ORDENES'!$A454="","",IF('ORDENES'!$Z454="","-",'ORDENES'!$Z454))</f>
        <v/>
      </c>
      <c r="E476" s="5">
        <f>IF('ORDENES'!$A454="","",IF('ORDENES'!$X454="","-",'ORDENES'!$X454))</f>
        <v/>
      </c>
      <c r="F476" s="5">
        <f>IF('ORDENES'!$A454="","",IF('ORDENES'!$AA454="","-",'ORDENES'!$AA454))</f>
        <v/>
      </c>
      <c r="G476" s="5">
        <f>IF('ORDENES'!$A454="","",IF('ORDENES'!$Y454="","-",'ORDENES'!$Y454))</f>
        <v/>
      </c>
      <c r="H476" s="5">
        <f>IF('ORDENES'!$A454="","",IF('ORDENES'!$AG454="","-",'ORDENES'!$AG454))</f>
        <v/>
      </c>
      <c r="I476" s="5">
        <f>IF('ORDENES'!$A454="","",IF('ORDENES'!$AT454="","-",'ORDENES'!$AT454))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20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IF('ORDENES'!$A454="","",'ORDENES'!$AF454)</f>
        <v/>
      </c>
    </row>
    <row r="477">
      <c r="A477" s="5">
        <f>IF('ORDENES'!$A455="","",IF('ORDENES'!$O455="","-",'ORDENES'!$O455))</f>
        <v/>
      </c>
      <c r="B477" s="5">
        <f>IF('ORDENES'!$A455="","",IF('ORDENES'!$S455="","-",'ORDENES'!$S455))</f>
        <v/>
      </c>
      <c r="C477" s="5">
        <f>IF('ORDENES'!$A455="","",IF('ORDENES'!$AH455="","-",'ORDENES'!$AH455))</f>
        <v/>
      </c>
      <c r="D477" s="5">
        <f>IF('ORDENES'!$A455="","",IF('ORDENES'!$Z455="","-",'ORDENES'!$Z455))</f>
        <v/>
      </c>
      <c r="E477" s="5">
        <f>IF('ORDENES'!$A455="","",IF('ORDENES'!$X455="","-",'ORDENES'!$X455))</f>
        <v/>
      </c>
      <c r="F477" s="5">
        <f>IF('ORDENES'!$A455="","",IF('ORDENES'!$AA455="","-",'ORDENES'!$AA455))</f>
        <v/>
      </c>
      <c r="G477" s="5">
        <f>IF('ORDENES'!$A455="","",IF('ORDENES'!$Y455="","-",'ORDENES'!$Y455))</f>
        <v/>
      </c>
      <c r="H477" s="5">
        <f>IF('ORDENES'!$A455="","",IF('ORDENES'!$AG455="","-",'ORDENES'!$AG455))</f>
        <v/>
      </c>
      <c r="I477" s="5">
        <f>IF('ORDENES'!$A455="","",IF('ORDENES'!$AT455="","-",'ORDENES'!$AT455))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20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IF('ORDENES'!$A455="","",'ORDENES'!$AF455)</f>
        <v/>
      </c>
    </row>
    <row r="478">
      <c r="A478" s="5">
        <f>IF('ORDENES'!$A456="","",IF('ORDENES'!$O456="","-",'ORDENES'!$O456))</f>
        <v/>
      </c>
      <c r="B478" s="5">
        <f>IF('ORDENES'!$A456="","",IF('ORDENES'!$S456="","-",'ORDENES'!$S456))</f>
        <v/>
      </c>
      <c r="C478" s="5">
        <f>IF('ORDENES'!$A456="","",IF('ORDENES'!$AH456="","-",'ORDENES'!$AH456))</f>
        <v/>
      </c>
      <c r="D478" s="5">
        <f>IF('ORDENES'!$A456="","",IF('ORDENES'!$Z456="","-",'ORDENES'!$Z456))</f>
        <v/>
      </c>
      <c r="E478" s="5">
        <f>IF('ORDENES'!$A456="","",IF('ORDENES'!$X456="","-",'ORDENES'!$X456))</f>
        <v/>
      </c>
      <c r="F478" s="5">
        <f>IF('ORDENES'!$A456="","",IF('ORDENES'!$AA456="","-",'ORDENES'!$AA456))</f>
        <v/>
      </c>
      <c r="G478" s="5">
        <f>IF('ORDENES'!$A456="","",IF('ORDENES'!$Y456="","-",'ORDENES'!$Y456))</f>
        <v/>
      </c>
      <c r="H478" s="5">
        <f>IF('ORDENES'!$A456="","",IF('ORDENES'!$AG456="","-",'ORDENES'!$AG456))</f>
        <v/>
      </c>
      <c r="I478" s="5">
        <f>IF('ORDENES'!$A456="","",IF('ORDENES'!$AT456="","-",'ORDENES'!$AT456))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20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IF('ORDENES'!$A456="","",'ORDENES'!$AF456)</f>
        <v/>
      </c>
    </row>
    <row r="479">
      <c r="A479" s="5">
        <f>IF('ORDENES'!$A457="","",IF('ORDENES'!$O457="","-",'ORDENES'!$O457))</f>
        <v/>
      </c>
      <c r="B479" s="5">
        <f>IF('ORDENES'!$A457="","",IF('ORDENES'!$S457="","-",'ORDENES'!$S457))</f>
        <v/>
      </c>
      <c r="C479" s="5">
        <f>IF('ORDENES'!$A457="","",IF('ORDENES'!$AH457="","-",'ORDENES'!$AH457))</f>
        <v/>
      </c>
      <c r="D479" s="5">
        <f>IF('ORDENES'!$A457="","",IF('ORDENES'!$Z457="","-",'ORDENES'!$Z457))</f>
        <v/>
      </c>
      <c r="E479" s="5">
        <f>IF('ORDENES'!$A457="","",IF('ORDENES'!$X457="","-",'ORDENES'!$X457))</f>
        <v/>
      </c>
      <c r="F479" s="5">
        <f>IF('ORDENES'!$A457="","",IF('ORDENES'!$AA457="","-",'ORDENES'!$AA457))</f>
        <v/>
      </c>
      <c r="G479" s="5">
        <f>IF('ORDENES'!$A457="","",IF('ORDENES'!$Y457="","-",'ORDENES'!$Y457))</f>
        <v/>
      </c>
      <c r="H479" s="5">
        <f>IF('ORDENES'!$A457="","",IF('ORDENES'!$AG457="","-",'ORDENES'!$AG457))</f>
        <v/>
      </c>
      <c r="I479" s="5">
        <f>IF('ORDENES'!$A457="","",IF('ORDENES'!$AT457="","-",'ORDENES'!$AT457))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20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IF('ORDENES'!$A457="","",'ORDENES'!$AF457)</f>
        <v/>
      </c>
    </row>
    <row r="480">
      <c r="A480" s="5">
        <f>IF('ORDENES'!$A458="","",IF('ORDENES'!$O458="","-",'ORDENES'!$O458))</f>
        <v/>
      </c>
      <c r="B480" s="5">
        <f>IF('ORDENES'!$A458="","",IF('ORDENES'!$S458="","-",'ORDENES'!$S458))</f>
        <v/>
      </c>
      <c r="C480" s="5">
        <f>IF('ORDENES'!$A458="","",IF('ORDENES'!$AH458="","-",'ORDENES'!$AH458))</f>
        <v/>
      </c>
      <c r="D480" s="5">
        <f>IF('ORDENES'!$A458="","",IF('ORDENES'!$Z458="","-",'ORDENES'!$Z458))</f>
        <v/>
      </c>
      <c r="E480" s="5">
        <f>IF('ORDENES'!$A458="","",IF('ORDENES'!$X458="","-",'ORDENES'!$X458))</f>
        <v/>
      </c>
      <c r="F480" s="5">
        <f>IF('ORDENES'!$A458="","",IF('ORDENES'!$AA458="","-",'ORDENES'!$AA458))</f>
        <v/>
      </c>
      <c r="G480" s="5">
        <f>IF('ORDENES'!$A458="","",IF('ORDENES'!$Y458="","-",'ORDENES'!$Y458))</f>
        <v/>
      </c>
      <c r="H480" s="5">
        <f>IF('ORDENES'!$A458="","",IF('ORDENES'!$AG458="","-",'ORDENES'!$AG458))</f>
        <v/>
      </c>
      <c r="I480" s="5">
        <f>IF('ORDENES'!$A458="","",IF('ORDENES'!$AT458="","-",'ORDENES'!$AT458))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20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IF('ORDENES'!$A458="","",'ORDENES'!$AF458)</f>
        <v/>
      </c>
    </row>
    <row r="481">
      <c r="A481" s="5">
        <f>IF('ORDENES'!$A459="","",IF('ORDENES'!$O459="","-",'ORDENES'!$O459))</f>
        <v/>
      </c>
      <c r="B481" s="5">
        <f>IF('ORDENES'!$A459="","",IF('ORDENES'!$S459="","-",'ORDENES'!$S459))</f>
        <v/>
      </c>
      <c r="C481" s="5">
        <f>IF('ORDENES'!$A459="","",IF('ORDENES'!$AH459="","-",'ORDENES'!$AH459))</f>
        <v/>
      </c>
      <c r="D481" s="5">
        <f>IF('ORDENES'!$A459="","",IF('ORDENES'!$Z459="","-",'ORDENES'!$Z459))</f>
        <v/>
      </c>
      <c r="E481" s="5">
        <f>IF('ORDENES'!$A459="","",IF('ORDENES'!$X459="","-",'ORDENES'!$X459))</f>
        <v/>
      </c>
      <c r="F481" s="5">
        <f>IF('ORDENES'!$A459="","",IF('ORDENES'!$AA459="","-",'ORDENES'!$AA459))</f>
        <v/>
      </c>
      <c r="G481" s="5">
        <f>IF('ORDENES'!$A459="","",IF('ORDENES'!$Y459="","-",'ORDENES'!$Y459))</f>
        <v/>
      </c>
      <c r="H481" s="5">
        <f>IF('ORDENES'!$A459="","",IF('ORDENES'!$AG459="","-",'ORDENES'!$AG459))</f>
        <v/>
      </c>
      <c r="I481" s="5">
        <f>IF('ORDENES'!$A459="","",IF('ORDENES'!$AT459="","-",'ORDENES'!$AT459))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20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IF('ORDENES'!$A459="","",'ORDENES'!$AF459)</f>
        <v/>
      </c>
    </row>
    <row r="482">
      <c r="A482" s="5">
        <f>IF('ORDENES'!$A460="","",IF('ORDENES'!$O460="","-",'ORDENES'!$O460))</f>
        <v/>
      </c>
      <c r="B482" s="5">
        <f>IF('ORDENES'!$A460="","",IF('ORDENES'!$S460="","-",'ORDENES'!$S460))</f>
        <v/>
      </c>
      <c r="C482" s="5">
        <f>IF('ORDENES'!$A460="","",IF('ORDENES'!$AH460="","-",'ORDENES'!$AH460))</f>
        <v/>
      </c>
      <c r="D482" s="5">
        <f>IF('ORDENES'!$A460="","",IF('ORDENES'!$Z460="","-",'ORDENES'!$Z460))</f>
        <v/>
      </c>
      <c r="E482" s="5">
        <f>IF('ORDENES'!$A460="","",IF('ORDENES'!$X460="","-",'ORDENES'!$X460))</f>
        <v/>
      </c>
      <c r="F482" s="5">
        <f>IF('ORDENES'!$A460="","",IF('ORDENES'!$AA460="","-",'ORDENES'!$AA460))</f>
        <v/>
      </c>
      <c r="G482" s="5">
        <f>IF('ORDENES'!$A460="","",IF('ORDENES'!$Y460="","-",'ORDENES'!$Y460))</f>
        <v/>
      </c>
      <c r="H482" s="5">
        <f>IF('ORDENES'!$A460="","",IF('ORDENES'!$AG460="","-",'ORDENES'!$AG460))</f>
        <v/>
      </c>
      <c r="I482" s="5">
        <f>IF('ORDENES'!$A460="","",IF('ORDENES'!$AT460="","-",'ORDENES'!$AT460))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20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IF('ORDENES'!$A460="","",'ORDENES'!$AF460)</f>
        <v/>
      </c>
    </row>
    <row r="483">
      <c r="A483" s="5">
        <f>IF('ORDENES'!$A461="","",IF('ORDENES'!$O461="","-",'ORDENES'!$O461))</f>
        <v/>
      </c>
      <c r="B483" s="5">
        <f>IF('ORDENES'!$A461="","",IF('ORDENES'!$S461="","-",'ORDENES'!$S461))</f>
        <v/>
      </c>
      <c r="C483" s="5">
        <f>IF('ORDENES'!$A461="","",IF('ORDENES'!$AH461="","-",'ORDENES'!$AH461))</f>
        <v/>
      </c>
      <c r="D483" s="5">
        <f>IF('ORDENES'!$A461="","",IF('ORDENES'!$Z461="","-",'ORDENES'!$Z461))</f>
        <v/>
      </c>
      <c r="E483" s="5">
        <f>IF('ORDENES'!$A461="","",IF('ORDENES'!$X461="","-",'ORDENES'!$X461))</f>
        <v/>
      </c>
      <c r="F483" s="5">
        <f>IF('ORDENES'!$A461="","",IF('ORDENES'!$AA461="","-",'ORDENES'!$AA461))</f>
        <v/>
      </c>
      <c r="G483" s="5">
        <f>IF('ORDENES'!$A461="","",IF('ORDENES'!$Y461="","-",'ORDENES'!$Y461))</f>
        <v/>
      </c>
      <c r="H483" s="5">
        <f>IF('ORDENES'!$A461="","",IF('ORDENES'!$AG461="","-",'ORDENES'!$AG461))</f>
        <v/>
      </c>
      <c r="I483" s="5">
        <f>IF('ORDENES'!$A461="","",IF('ORDENES'!$AT461="","-",'ORDENES'!$AT461))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20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IF('ORDENES'!$A461="","",'ORDENES'!$AF461)</f>
        <v/>
      </c>
    </row>
    <row r="484">
      <c r="A484" s="5">
        <f>IF('ORDENES'!$A462="","",IF('ORDENES'!$O462="","-",'ORDENES'!$O462))</f>
        <v/>
      </c>
      <c r="B484" s="5">
        <f>IF('ORDENES'!$A462="","",IF('ORDENES'!$S462="","-",'ORDENES'!$S462))</f>
        <v/>
      </c>
      <c r="C484" s="5">
        <f>IF('ORDENES'!$A462="","",IF('ORDENES'!$AH462="","-",'ORDENES'!$AH462))</f>
        <v/>
      </c>
      <c r="D484" s="5">
        <f>IF('ORDENES'!$A462="","",IF('ORDENES'!$Z462="","-",'ORDENES'!$Z462))</f>
        <v/>
      </c>
      <c r="E484" s="5">
        <f>IF('ORDENES'!$A462="","",IF('ORDENES'!$X462="","-",'ORDENES'!$X462))</f>
        <v/>
      </c>
      <c r="F484" s="5">
        <f>IF('ORDENES'!$A462="","",IF('ORDENES'!$AA462="","-",'ORDENES'!$AA462))</f>
        <v/>
      </c>
      <c r="G484" s="5">
        <f>IF('ORDENES'!$A462="","",IF('ORDENES'!$Y462="","-",'ORDENES'!$Y462))</f>
        <v/>
      </c>
      <c r="H484" s="5">
        <f>IF('ORDENES'!$A462="","",IF('ORDENES'!$AG462="","-",'ORDENES'!$AG462))</f>
        <v/>
      </c>
      <c r="I484" s="5">
        <f>IF('ORDENES'!$A462="","",IF('ORDENES'!$AT462="","-",'ORDENES'!$AT462))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20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IF('ORDENES'!$A462="","",'ORDENES'!$AF462)</f>
        <v/>
      </c>
    </row>
    <row r="485">
      <c r="A485" s="5">
        <f>IF('ORDENES'!$A463="","",IF('ORDENES'!$O463="","-",'ORDENES'!$O463))</f>
        <v/>
      </c>
      <c r="B485" s="5">
        <f>IF('ORDENES'!$A463="","",IF('ORDENES'!$S463="","-",'ORDENES'!$S463))</f>
        <v/>
      </c>
      <c r="C485" s="5">
        <f>IF('ORDENES'!$A463="","",IF('ORDENES'!$AH463="","-",'ORDENES'!$AH463))</f>
        <v/>
      </c>
      <c r="D485" s="5">
        <f>IF('ORDENES'!$A463="","",IF('ORDENES'!$Z463="","-",'ORDENES'!$Z463))</f>
        <v/>
      </c>
      <c r="E485" s="5">
        <f>IF('ORDENES'!$A463="","",IF('ORDENES'!$X463="","-",'ORDENES'!$X463))</f>
        <v/>
      </c>
      <c r="F485" s="5">
        <f>IF('ORDENES'!$A463="","",IF('ORDENES'!$AA463="","-",'ORDENES'!$AA463))</f>
        <v/>
      </c>
      <c r="G485" s="5">
        <f>IF('ORDENES'!$A463="","",IF('ORDENES'!$Y463="","-",'ORDENES'!$Y463))</f>
        <v/>
      </c>
      <c r="H485" s="5">
        <f>IF('ORDENES'!$A463="","",IF('ORDENES'!$AG463="","-",'ORDENES'!$AG463))</f>
        <v/>
      </c>
      <c r="I485" s="5">
        <f>IF('ORDENES'!$A463="","",IF('ORDENES'!$AT463="","-",'ORDENES'!$AT463))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20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IF('ORDENES'!$A463="","",'ORDENES'!$AF463)</f>
        <v/>
      </c>
    </row>
    <row r="486">
      <c r="A486" s="5">
        <f>IF('ORDENES'!$A464="","",IF('ORDENES'!$O464="","-",'ORDENES'!$O464))</f>
        <v/>
      </c>
      <c r="B486" s="5">
        <f>IF('ORDENES'!$A464="","",IF('ORDENES'!$S464="","-",'ORDENES'!$S464))</f>
        <v/>
      </c>
      <c r="C486" s="5">
        <f>IF('ORDENES'!$A464="","",IF('ORDENES'!$AH464="","-",'ORDENES'!$AH464))</f>
        <v/>
      </c>
      <c r="D486" s="5">
        <f>IF('ORDENES'!$A464="","",IF('ORDENES'!$Z464="","-",'ORDENES'!$Z464))</f>
        <v/>
      </c>
      <c r="E486" s="5">
        <f>IF('ORDENES'!$A464="","",IF('ORDENES'!$X464="","-",'ORDENES'!$X464))</f>
        <v/>
      </c>
      <c r="F486" s="5">
        <f>IF('ORDENES'!$A464="","",IF('ORDENES'!$AA464="","-",'ORDENES'!$AA464))</f>
        <v/>
      </c>
      <c r="G486" s="5">
        <f>IF('ORDENES'!$A464="","",IF('ORDENES'!$Y464="","-",'ORDENES'!$Y464))</f>
        <v/>
      </c>
      <c r="H486" s="5">
        <f>IF('ORDENES'!$A464="","",IF('ORDENES'!$AG464="","-",'ORDENES'!$AG464))</f>
        <v/>
      </c>
      <c r="I486" s="5">
        <f>IF('ORDENES'!$A464="","",IF('ORDENES'!$AT464="","-",'ORDENES'!$AT464))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20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IF('ORDENES'!$A464="","",'ORDENES'!$AF464)</f>
        <v/>
      </c>
    </row>
    <row r="487">
      <c r="A487" s="5">
        <f>IF('ORDENES'!$A465="","",IF('ORDENES'!$O465="","-",'ORDENES'!$O465))</f>
        <v/>
      </c>
      <c r="B487" s="5">
        <f>IF('ORDENES'!$A465="","",IF('ORDENES'!$S465="","-",'ORDENES'!$S465))</f>
        <v/>
      </c>
      <c r="C487" s="5">
        <f>IF('ORDENES'!$A465="","",IF('ORDENES'!$AH465="","-",'ORDENES'!$AH465))</f>
        <v/>
      </c>
      <c r="D487" s="5">
        <f>IF('ORDENES'!$A465="","",IF('ORDENES'!$Z465="","-",'ORDENES'!$Z465))</f>
        <v/>
      </c>
      <c r="E487" s="5">
        <f>IF('ORDENES'!$A465="","",IF('ORDENES'!$X465="","-",'ORDENES'!$X465))</f>
        <v/>
      </c>
      <c r="F487" s="5">
        <f>IF('ORDENES'!$A465="","",IF('ORDENES'!$AA465="","-",'ORDENES'!$AA465))</f>
        <v/>
      </c>
      <c r="G487" s="5">
        <f>IF('ORDENES'!$A465="","",IF('ORDENES'!$Y465="","-",'ORDENES'!$Y465))</f>
        <v/>
      </c>
      <c r="H487" s="5">
        <f>IF('ORDENES'!$A465="","",IF('ORDENES'!$AG465="","-",'ORDENES'!$AG465))</f>
        <v/>
      </c>
      <c r="I487" s="5">
        <f>IF('ORDENES'!$A465="","",IF('ORDENES'!$AT465="","-",'ORDENES'!$AT465))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20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IF('ORDENES'!$A465="","",'ORDENES'!$AF465)</f>
        <v/>
      </c>
    </row>
    <row r="488">
      <c r="A488" s="5">
        <f>IF('ORDENES'!$A466="","",IF('ORDENES'!$O466="","-",'ORDENES'!$O466))</f>
        <v/>
      </c>
      <c r="B488" s="5">
        <f>IF('ORDENES'!$A466="","",IF('ORDENES'!$S466="","-",'ORDENES'!$S466))</f>
        <v/>
      </c>
      <c r="C488" s="5">
        <f>IF('ORDENES'!$A466="","",IF('ORDENES'!$AH466="","-",'ORDENES'!$AH466))</f>
        <v/>
      </c>
      <c r="D488" s="5">
        <f>IF('ORDENES'!$A466="","",IF('ORDENES'!$Z466="","-",'ORDENES'!$Z466))</f>
        <v/>
      </c>
      <c r="E488" s="5">
        <f>IF('ORDENES'!$A466="","",IF('ORDENES'!$X466="","-",'ORDENES'!$X466))</f>
        <v/>
      </c>
      <c r="F488" s="5">
        <f>IF('ORDENES'!$A466="","",IF('ORDENES'!$AA466="","-",'ORDENES'!$AA466))</f>
        <v/>
      </c>
      <c r="G488" s="5">
        <f>IF('ORDENES'!$A466="","",IF('ORDENES'!$Y466="","-",'ORDENES'!$Y466))</f>
        <v/>
      </c>
      <c r="H488" s="5">
        <f>IF('ORDENES'!$A466="","",IF('ORDENES'!$AG466="","-",'ORDENES'!$AG466))</f>
        <v/>
      </c>
      <c r="I488" s="5">
        <f>IF('ORDENES'!$A466="","",IF('ORDENES'!$AT466="","-",'ORDENES'!$AT466))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20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IF('ORDENES'!$A466="","",'ORDENES'!$AF466)</f>
        <v/>
      </c>
    </row>
    <row r="489">
      <c r="A489" s="5">
        <f>IF('ORDENES'!$A467="","",IF('ORDENES'!$O467="","-",'ORDENES'!$O467))</f>
        <v/>
      </c>
      <c r="B489" s="5">
        <f>IF('ORDENES'!$A467="","",IF('ORDENES'!$S467="","-",'ORDENES'!$S467))</f>
        <v/>
      </c>
      <c r="C489" s="5">
        <f>IF('ORDENES'!$A467="","",IF('ORDENES'!$AH467="","-",'ORDENES'!$AH467))</f>
        <v/>
      </c>
      <c r="D489" s="5">
        <f>IF('ORDENES'!$A467="","",IF('ORDENES'!$Z467="","-",'ORDENES'!$Z467))</f>
        <v/>
      </c>
      <c r="E489" s="5">
        <f>IF('ORDENES'!$A467="","",IF('ORDENES'!$X467="","-",'ORDENES'!$X467))</f>
        <v/>
      </c>
      <c r="F489" s="5">
        <f>IF('ORDENES'!$A467="","",IF('ORDENES'!$AA467="","-",'ORDENES'!$AA467))</f>
        <v/>
      </c>
      <c r="G489" s="5">
        <f>IF('ORDENES'!$A467="","",IF('ORDENES'!$Y467="","-",'ORDENES'!$Y467))</f>
        <v/>
      </c>
      <c r="H489" s="5">
        <f>IF('ORDENES'!$A467="","",IF('ORDENES'!$AG467="","-",'ORDENES'!$AG467))</f>
        <v/>
      </c>
      <c r="I489" s="5">
        <f>IF('ORDENES'!$A467="","",IF('ORDENES'!$AT467="","-",'ORDENES'!$AT467))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20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IF('ORDENES'!$A467="","",'ORDENES'!$AF467)</f>
        <v/>
      </c>
    </row>
    <row r="490">
      <c r="A490" s="5">
        <f>IF('ORDENES'!$A468="","",IF('ORDENES'!$O468="","-",'ORDENES'!$O468))</f>
        <v/>
      </c>
      <c r="B490" s="5">
        <f>IF('ORDENES'!$A468="","",IF('ORDENES'!$S468="","-",'ORDENES'!$S468))</f>
        <v/>
      </c>
      <c r="C490" s="5">
        <f>IF('ORDENES'!$A468="","",IF('ORDENES'!$AH468="","-",'ORDENES'!$AH468))</f>
        <v/>
      </c>
      <c r="D490" s="5">
        <f>IF('ORDENES'!$A468="","",IF('ORDENES'!$Z468="","-",'ORDENES'!$Z468))</f>
        <v/>
      </c>
      <c r="E490" s="5">
        <f>IF('ORDENES'!$A468="","",IF('ORDENES'!$X468="","-",'ORDENES'!$X468))</f>
        <v/>
      </c>
      <c r="F490" s="5">
        <f>IF('ORDENES'!$A468="","",IF('ORDENES'!$AA468="","-",'ORDENES'!$AA468))</f>
        <v/>
      </c>
      <c r="G490" s="5">
        <f>IF('ORDENES'!$A468="","",IF('ORDENES'!$Y468="","-",'ORDENES'!$Y468))</f>
        <v/>
      </c>
      <c r="H490" s="5">
        <f>IF('ORDENES'!$A468="","",IF('ORDENES'!$AG468="","-",'ORDENES'!$AG468))</f>
        <v/>
      </c>
      <c r="I490" s="5">
        <f>IF('ORDENES'!$A468="","",IF('ORDENES'!$AT468="","-",'ORDENES'!$AT468))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20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IF('ORDENES'!$A468="","",'ORDENES'!$AF468)</f>
        <v/>
      </c>
    </row>
    <row r="491">
      <c r="A491" s="5">
        <f>IF('ORDENES'!$A469="","",IF('ORDENES'!$O469="","-",'ORDENES'!$O469))</f>
        <v/>
      </c>
      <c r="B491" s="5">
        <f>IF('ORDENES'!$A469="","",IF('ORDENES'!$S469="","-",'ORDENES'!$S469))</f>
        <v/>
      </c>
      <c r="C491" s="5">
        <f>IF('ORDENES'!$A469="","",IF('ORDENES'!$AH469="","-",'ORDENES'!$AH469))</f>
        <v/>
      </c>
      <c r="D491" s="5">
        <f>IF('ORDENES'!$A469="","",IF('ORDENES'!$Z469="","-",'ORDENES'!$Z469))</f>
        <v/>
      </c>
      <c r="E491" s="5">
        <f>IF('ORDENES'!$A469="","",IF('ORDENES'!$X469="","-",'ORDENES'!$X469))</f>
        <v/>
      </c>
      <c r="F491" s="5">
        <f>IF('ORDENES'!$A469="","",IF('ORDENES'!$AA469="","-",'ORDENES'!$AA469))</f>
        <v/>
      </c>
      <c r="G491" s="5">
        <f>IF('ORDENES'!$A469="","",IF('ORDENES'!$Y469="","-",'ORDENES'!$Y469))</f>
        <v/>
      </c>
      <c r="H491" s="5">
        <f>IF('ORDENES'!$A469="","",IF('ORDENES'!$AG469="","-",'ORDENES'!$AG469))</f>
        <v/>
      </c>
      <c r="I491" s="5">
        <f>IF('ORDENES'!$A469="","",IF('ORDENES'!$AT469="","-",'ORDENES'!$AT469))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20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IF('ORDENES'!$A469="","",'ORDENES'!$AF469)</f>
        <v/>
      </c>
    </row>
    <row r="492">
      <c r="A492" s="5">
        <f>IF('ORDENES'!$A470="","",IF('ORDENES'!$O470="","-",'ORDENES'!$O470))</f>
        <v/>
      </c>
      <c r="B492" s="5">
        <f>IF('ORDENES'!$A470="","",IF('ORDENES'!$S470="","-",'ORDENES'!$S470))</f>
        <v/>
      </c>
      <c r="C492" s="5">
        <f>IF('ORDENES'!$A470="","",IF('ORDENES'!$AH470="","-",'ORDENES'!$AH470))</f>
        <v/>
      </c>
      <c r="D492" s="5">
        <f>IF('ORDENES'!$A470="","",IF('ORDENES'!$Z470="","-",'ORDENES'!$Z470))</f>
        <v/>
      </c>
      <c r="E492" s="5">
        <f>IF('ORDENES'!$A470="","",IF('ORDENES'!$X470="","-",'ORDENES'!$X470))</f>
        <v/>
      </c>
      <c r="F492" s="5">
        <f>IF('ORDENES'!$A470="","",IF('ORDENES'!$AA470="","-",'ORDENES'!$AA470))</f>
        <v/>
      </c>
      <c r="G492" s="5">
        <f>IF('ORDENES'!$A470="","",IF('ORDENES'!$Y470="","-",'ORDENES'!$Y470))</f>
        <v/>
      </c>
      <c r="H492" s="5">
        <f>IF('ORDENES'!$A470="","",IF('ORDENES'!$AG470="","-",'ORDENES'!$AG470))</f>
        <v/>
      </c>
      <c r="I492" s="5">
        <f>IF('ORDENES'!$A470="","",IF('ORDENES'!$AT470="","-",'ORDENES'!$AT470))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20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IF('ORDENES'!$A470="","",'ORDENES'!$AF470)</f>
        <v/>
      </c>
    </row>
    <row r="493">
      <c r="A493" s="5">
        <f>IF('ORDENES'!$A471="","",IF('ORDENES'!$O471="","-",'ORDENES'!$O471))</f>
        <v/>
      </c>
      <c r="B493" s="5">
        <f>IF('ORDENES'!$A471="","",IF('ORDENES'!$S471="","-",'ORDENES'!$S471))</f>
        <v/>
      </c>
      <c r="C493" s="5">
        <f>IF('ORDENES'!$A471="","",IF('ORDENES'!$AH471="","-",'ORDENES'!$AH471))</f>
        <v/>
      </c>
      <c r="D493" s="5">
        <f>IF('ORDENES'!$A471="","",IF('ORDENES'!$Z471="","-",'ORDENES'!$Z471))</f>
        <v/>
      </c>
      <c r="E493" s="5">
        <f>IF('ORDENES'!$A471="","",IF('ORDENES'!$X471="","-",'ORDENES'!$X471))</f>
        <v/>
      </c>
      <c r="F493" s="5">
        <f>IF('ORDENES'!$A471="","",IF('ORDENES'!$AA471="","-",'ORDENES'!$AA471))</f>
        <v/>
      </c>
      <c r="G493" s="5">
        <f>IF('ORDENES'!$A471="","",IF('ORDENES'!$Y471="","-",'ORDENES'!$Y471))</f>
        <v/>
      </c>
      <c r="H493" s="5">
        <f>IF('ORDENES'!$A471="","",IF('ORDENES'!$AG471="","-",'ORDENES'!$AG471))</f>
        <v/>
      </c>
      <c r="I493" s="5">
        <f>IF('ORDENES'!$A471="","",IF('ORDENES'!$AT471="","-",'ORDENES'!$AT471))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20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IF('ORDENES'!$A471="","",'ORDENES'!$AF471)</f>
        <v/>
      </c>
    </row>
    <row r="494">
      <c r="A494" s="5">
        <f>IF('ORDENES'!$A472="","",IF('ORDENES'!$O472="","-",'ORDENES'!$O472))</f>
        <v/>
      </c>
      <c r="B494" s="5">
        <f>IF('ORDENES'!$A472="","",IF('ORDENES'!$S472="","-",'ORDENES'!$S472))</f>
        <v/>
      </c>
      <c r="C494" s="5">
        <f>IF('ORDENES'!$A472="","",IF('ORDENES'!$AH472="","-",'ORDENES'!$AH472))</f>
        <v/>
      </c>
      <c r="D494" s="5">
        <f>IF('ORDENES'!$A472="","",IF('ORDENES'!$Z472="","-",'ORDENES'!$Z472))</f>
        <v/>
      </c>
      <c r="E494" s="5">
        <f>IF('ORDENES'!$A472="","",IF('ORDENES'!$X472="","-",'ORDENES'!$X472))</f>
        <v/>
      </c>
      <c r="F494" s="5">
        <f>IF('ORDENES'!$A472="","",IF('ORDENES'!$AA472="","-",'ORDENES'!$AA472))</f>
        <v/>
      </c>
      <c r="G494" s="5">
        <f>IF('ORDENES'!$A472="","",IF('ORDENES'!$Y472="","-",'ORDENES'!$Y472))</f>
        <v/>
      </c>
      <c r="H494" s="5">
        <f>IF('ORDENES'!$A472="","",IF('ORDENES'!$AG472="","-",'ORDENES'!$AG472))</f>
        <v/>
      </c>
      <c r="I494" s="5">
        <f>IF('ORDENES'!$A472="","",IF('ORDENES'!$AT472="","-",'ORDENES'!$AT472))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20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IF('ORDENES'!$A472="","",'ORDENES'!$AF472)</f>
        <v/>
      </c>
    </row>
    <row r="495">
      <c r="A495" s="5">
        <f>IF('ORDENES'!$A473="","",IF('ORDENES'!$O473="","-",'ORDENES'!$O473))</f>
        <v/>
      </c>
      <c r="B495" s="5">
        <f>IF('ORDENES'!$A473="","",IF('ORDENES'!$S473="","-",'ORDENES'!$S473))</f>
        <v/>
      </c>
      <c r="C495" s="5">
        <f>IF('ORDENES'!$A473="","",IF('ORDENES'!$AH473="","-",'ORDENES'!$AH473))</f>
        <v/>
      </c>
      <c r="D495" s="5">
        <f>IF('ORDENES'!$A473="","",IF('ORDENES'!$Z473="","-",'ORDENES'!$Z473))</f>
        <v/>
      </c>
      <c r="E495" s="5">
        <f>IF('ORDENES'!$A473="","",IF('ORDENES'!$X473="","-",'ORDENES'!$X473))</f>
        <v/>
      </c>
      <c r="F495" s="5">
        <f>IF('ORDENES'!$A473="","",IF('ORDENES'!$AA473="","-",'ORDENES'!$AA473))</f>
        <v/>
      </c>
      <c r="G495" s="5">
        <f>IF('ORDENES'!$A473="","",IF('ORDENES'!$Y473="","-",'ORDENES'!$Y473))</f>
        <v/>
      </c>
      <c r="H495" s="5">
        <f>IF('ORDENES'!$A473="","",IF('ORDENES'!$AG473="","-",'ORDENES'!$AG473))</f>
        <v/>
      </c>
      <c r="I495" s="5">
        <f>IF('ORDENES'!$A473="","",IF('ORDENES'!$AT473="","-",'ORDENES'!$AT473))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20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IF('ORDENES'!$A473="","",'ORDENES'!$AF473)</f>
        <v/>
      </c>
    </row>
    <row r="496">
      <c r="A496" s="5">
        <f>IF('ORDENES'!$A474="","",IF('ORDENES'!$O474="","-",'ORDENES'!$O474))</f>
        <v/>
      </c>
      <c r="B496" s="5">
        <f>IF('ORDENES'!$A474="","",IF('ORDENES'!$S474="","-",'ORDENES'!$S474))</f>
        <v/>
      </c>
      <c r="C496" s="5">
        <f>IF('ORDENES'!$A474="","",IF('ORDENES'!$AH474="","-",'ORDENES'!$AH474))</f>
        <v/>
      </c>
      <c r="D496" s="5">
        <f>IF('ORDENES'!$A474="","",IF('ORDENES'!$Z474="","-",'ORDENES'!$Z474))</f>
        <v/>
      </c>
      <c r="E496" s="5">
        <f>IF('ORDENES'!$A474="","",IF('ORDENES'!$X474="","-",'ORDENES'!$X474))</f>
        <v/>
      </c>
      <c r="F496" s="5">
        <f>IF('ORDENES'!$A474="","",IF('ORDENES'!$AA474="","-",'ORDENES'!$AA474))</f>
        <v/>
      </c>
      <c r="G496" s="5">
        <f>IF('ORDENES'!$A474="","",IF('ORDENES'!$Y474="","-",'ORDENES'!$Y474))</f>
        <v/>
      </c>
      <c r="H496" s="5">
        <f>IF('ORDENES'!$A474="","",IF('ORDENES'!$AG474="","-",'ORDENES'!$AG474))</f>
        <v/>
      </c>
      <c r="I496" s="5">
        <f>IF('ORDENES'!$A474="","",IF('ORDENES'!$AT474="","-",'ORDENES'!$AT474))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20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IF('ORDENES'!$A474="","",'ORDENES'!$AF474)</f>
        <v/>
      </c>
    </row>
    <row r="497">
      <c r="A497" s="5">
        <f>IF('ORDENES'!$A475="","",IF('ORDENES'!$O475="","-",'ORDENES'!$O475))</f>
        <v/>
      </c>
      <c r="B497" s="5">
        <f>IF('ORDENES'!$A475="","",IF('ORDENES'!$S475="","-",'ORDENES'!$S475))</f>
        <v/>
      </c>
      <c r="C497" s="5">
        <f>IF('ORDENES'!$A475="","",IF('ORDENES'!$AH475="","-",'ORDENES'!$AH475))</f>
        <v/>
      </c>
      <c r="D497" s="5">
        <f>IF('ORDENES'!$A475="","",IF('ORDENES'!$Z475="","-",'ORDENES'!$Z475))</f>
        <v/>
      </c>
      <c r="E497" s="5">
        <f>IF('ORDENES'!$A475="","",IF('ORDENES'!$X475="","-",'ORDENES'!$X475))</f>
        <v/>
      </c>
      <c r="F497" s="5">
        <f>IF('ORDENES'!$A475="","",IF('ORDENES'!$AA475="","-",'ORDENES'!$AA475))</f>
        <v/>
      </c>
      <c r="G497" s="5">
        <f>IF('ORDENES'!$A475="","",IF('ORDENES'!$Y475="","-",'ORDENES'!$Y475))</f>
        <v/>
      </c>
      <c r="H497" s="5">
        <f>IF('ORDENES'!$A475="","",IF('ORDENES'!$AG475="","-",'ORDENES'!$AG475))</f>
        <v/>
      </c>
      <c r="I497" s="5">
        <f>IF('ORDENES'!$A475="","",IF('ORDENES'!$AT475="","-",'ORDENES'!$AT475))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20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IF('ORDENES'!$A475="","",'ORDENES'!$AF475)</f>
        <v/>
      </c>
    </row>
    <row r="498">
      <c r="A498" s="5">
        <f>IF('ORDENES'!$A476="","",IF('ORDENES'!$O476="","-",'ORDENES'!$O476))</f>
        <v/>
      </c>
      <c r="B498" s="5">
        <f>IF('ORDENES'!$A476="","",IF('ORDENES'!$S476="","-",'ORDENES'!$S476))</f>
        <v/>
      </c>
      <c r="C498" s="5">
        <f>IF('ORDENES'!$A476="","",IF('ORDENES'!$AH476="","-",'ORDENES'!$AH476))</f>
        <v/>
      </c>
      <c r="D498" s="5">
        <f>IF('ORDENES'!$A476="","",IF('ORDENES'!$Z476="","-",'ORDENES'!$Z476))</f>
        <v/>
      </c>
      <c r="E498" s="5">
        <f>IF('ORDENES'!$A476="","",IF('ORDENES'!$X476="","-",'ORDENES'!$X476))</f>
        <v/>
      </c>
      <c r="F498" s="5">
        <f>IF('ORDENES'!$A476="","",IF('ORDENES'!$AA476="","-",'ORDENES'!$AA476))</f>
        <v/>
      </c>
      <c r="G498" s="5">
        <f>IF('ORDENES'!$A476="","",IF('ORDENES'!$Y476="","-",'ORDENES'!$Y476))</f>
        <v/>
      </c>
      <c r="H498" s="5">
        <f>IF('ORDENES'!$A476="","",IF('ORDENES'!$AG476="","-",'ORDENES'!$AG476))</f>
        <v/>
      </c>
      <c r="I498" s="5">
        <f>IF('ORDENES'!$A476="","",IF('ORDENES'!$AT476="","-",'ORDENES'!$AT476))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20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IF('ORDENES'!$A476="","",'ORDENES'!$AF476)</f>
        <v/>
      </c>
    </row>
    <row r="499">
      <c r="A499" s="5">
        <f>IF('ORDENES'!$A477="","",IF('ORDENES'!$O477="","-",'ORDENES'!$O477))</f>
        <v/>
      </c>
      <c r="B499" s="5">
        <f>IF('ORDENES'!$A477="","",IF('ORDENES'!$S477="","-",'ORDENES'!$S477))</f>
        <v/>
      </c>
      <c r="C499" s="5">
        <f>IF('ORDENES'!$A477="","",IF('ORDENES'!$AH477="","-",'ORDENES'!$AH477))</f>
        <v/>
      </c>
      <c r="D499" s="5">
        <f>IF('ORDENES'!$A477="","",IF('ORDENES'!$Z477="","-",'ORDENES'!$Z477))</f>
        <v/>
      </c>
      <c r="E499" s="5">
        <f>IF('ORDENES'!$A477="","",IF('ORDENES'!$X477="","-",'ORDENES'!$X477))</f>
        <v/>
      </c>
      <c r="F499" s="5">
        <f>IF('ORDENES'!$A477="","",IF('ORDENES'!$AA477="","-",'ORDENES'!$AA477))</f>
        <v/>
      </c>
      <c r="G499" s="5">
        <f>IF('ORDENES'!$A477="","",IF('ORDENES'!$Y477="","-",'ORDENES'!$Y477))</f>
        <v/>
      </c>
      <c r="H499" s="5">
        <f>IF('ORDENES'!$A477="","",IF('ORDENES'!$AG477="","-",'ORDENES'!$AG477))</f>
        <v/>
      </c>
      <c r="I499" s="5">
        <f>IF('ORDENES'!$A477="","",IF('ORDENES'!$AT477="","-",'ORDENES'!$AT477))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20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IF('ORDENES'!$A477="","",'ORDENES'!$AF477)</f>
        <v/>
      </c>
    </row>
    <row r="500">
      <c r="A500" s="5">
        <f>IF('ORDENES'!$A478="","",IF('ORDENES'!$O478="","-",'ORDENES'!$O478))</f>
        <v/>
      </c>
      <c r="B500" s="5">
        <f>IF('ORDENES'!$A478="","",IF('ORDENES'!$S478="","-",'ORDENES'!$S478))</f>
        <v/>
      </c>
      <c r="C500" s="5">
        <f>IF('ORDENES'!$A478="","",IF('ORDENES'!$AH478="","-",'ORDENES'!$AH478))</f>
        <v/>
      </c>
      <c r="D500" s="5">
        <f>IF('ORDENES'!$A478="","",IF('ORDENES'!$Z478="","-",'ORDENES'!$Z478))</f>
        <v/>
      </c>
      <c r="E500" s="5">
        <f>IF('ORDENES'!$A478="","",IF('ORDENES'!$X478="","-",'ORDENES'!$X478))</f>
        <v/>
      </c>
      <c r="F500" s="5">
        <f>IF('ORDENES'!$A478="","",IF('ORDENES'!$AA478="","-",'ORDENES'!$AA478))</f>
        <v/>
      </c>
      <c r="G500" s="5">
        <f>IF('ORDENES'!$A478="","",IF('ORDENES'!$Y478="","-",'ORDENES'!$Y478))</f>
        <v/>
      </c>
      <c r="H500" s="5">
        <f>IF('ORDENES'!$A478="","",IF('ORDENES'!$AG478="","-",'ORDENES'!$AG478))</f>
        <v/>
      </c>
      <c r="I500" s="5">
        <f>IF('ORDENES'!$A478="","",IF('ORDENES'!$AT478="","-",'ORDENES'!$AT478))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20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IF('ORDENES'!$A478="","",'ORDENES'!$AF478)</f>
        <v/>
      </c>
    </row>
    <row r="501">
      <c r="A501" s="5">
        <f>IF('ORDENES'!$A479="","",IF('ORDENES'!$O479="","-",'ORDENES'!$O479))</f>
        <v/>
      </c>
      <c r="B501" s="5">
        <f>IF('ORDENES'!$A479="","",IF('ORDENES'!$S479="","-",'ORDENES'!$S479))</f>
        <v/>
      </c>
      <c r="C501" s="5">
        <f>IF('ORDENES'!$A479="","",IF('ORDENES'!$AH479="","-",'ORDENES'!$AH479))</f>
        <v/>
      </c>
      <c r="D501" s="5">
        <f>IF('ORDENES'!$A479="","",IF('ORDENES'!$Z479="","-",'ORDENES'!$Z479))</f>
        <v/>
      </c>
      <c r="E501" s="5">
        <f>IF('ORDENES'!$A479="","",IF('ORDENES'!$X479="","-",'ORDENES'!$X479))</f>
        <v/>
      </c>
      <c r="F501" s="5">
        <f>IF('ORDENES'!$A479="","",IF('ORDENES'!$AA479="","-",'ORDENES'!$AA479))</f>
        <v/>
      </c>
      <c r="G501" s="5">
        <f>IF('ORDENES'!$A479="","",IF('ORDENES'!$Y479="","-",'ORDENES'!$Y479))</f>
        <v/>
      </c>
      <c r="H501" s="5">
        <f>IF('ORDENES'!$A479="","",IF('ORDENES'!$AG479="","-",'ORDENES'!$AG479))</f>
        <v/>
      </c>
      <c r="I501" s="5">
        <f>IF('ORDENES'!$A479="","",IF('ORDENES'!$AT479="","-",'ORDENES'!$AT479))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20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IF('ORDENES'!$A479="","",'ORDENES'!$AF479)</f>
        <v/>
      </c>
    </row>
    <row r="502">
      <c r="A502" s="5">
        <f>IF('ORDENES'!$A480="","",IF('ORDENES'!$O480="","-",'ORDENES'!$O480))</f>
        <v/>
      </c>
      <c r="B502" s="5">
        <f>IF('ORDENES'!$A480="","",IF('ORDENES'!$S480="","-",'ORDENES'!$S480))</f>
        <v/>
      </c>
      <c r="C502" s="5">
        <f>IF('ORDENES'!$A480="","",IF('ORDENES'!$AH480="","-",'ORDENES'!$AH480))</f>
        <v/>
      </c>
      <c r="D502" s="5">
        <f>IF('ORDENES'!$A480="","",IF('ORDENES'!$Z480="","-",'ORDENES'!$Z480))</f>
        <v/>
      </c>
      <c r="E502" s="5">
        <f>IF('ORDENES'!$A480="","",IF('ORDENES'!$X480="","-",'ORDENES'!$X480))</f>
        <v/>
      </c>
      <c r="F502" s="5">
        <f>IF('ORDENES'!$A480="","",IF('ORDENES'!$AA480="","-",'ORDENES'!$AA480))</f>
        <v/>
      </c>
      <c r="G502" s="5">
        <f>IF('ORDENES'!$A480="","",IF('ORDENES'!$Y480="","-",'ORDENES'!$Y480))</f>
        <v/>
      </c>
      <c r="H502" s="5">
        <f>IF('ORDENES'!$A480="","",IF('ORDENES'!$AG480="","-",'ORDENES'!$AG480))</f>
        <v/>
      </c>
      <c r="I502" s="5">
        <f>IF('ORDENES'!$A480="","",IF('ORDENES'!$AT480="","-",'ORDENES'!$AT480))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20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IF('ORDENES'!$A480="","",'ORDENES'!$AF480)</f>
        <v/>
      </c>
    </row>
    <row r="503">
      <c r="A503" s="5">
        <f>IF('ORDENES'!$A481="","",IF('ORDENES'!$O481="","-",'ORDENES'!$O481))</f>
        <v/>
      </c>
      <c r="B503" s="5">
        <f>IF('ORDENES'!$A481="","",IF('ORDENES'!$S481="","-",'ORDENES'!$S481))</f>
        <v/>
      </c>
      <c r="C503" s="5">
        <f>IF('ORDENES'!$A481="","",IF('ORDENES'!$AH481="","-",'ORDENES'!$AH481))</f>
        <v/>
      </c>
      <c r="D503" s="5">
        <f>IF('ORDENES'!$A481="","",IF('ORDENES'!$Z481="","-",'ORDENES'!$Z481))</f>
        <v/>
      </c>
      <c r="E503" s="5">
        <f>IF('ORDENES'!$A481="","",IF('ORDENES'!$X481="","-",'ORDENES'!$X481))</f>
        <v/>
      </c>
      <c r="F503" s="5">
        <f>IF('ORDENES'!$A481="","",IF('ORDENES'!$AA481="","-",'ORDENES'!$AA481))</f>
        <v/>
      </c>
      <c r="G503" s="5">
        <f>IF('ORDENES'!$A481="","",IF('ORDENES'!$Y481="","-",'ORDENES'!$Y481))</f>
        <v/>
      </c>
      <c r="H503" s="5">
        <f>IF('ORDENES'!$A481="","",IF('ORDENES'!$AG481="","-",'ORDENES'!$AG481))</f>
        <v/>
      </c>
      <c r="I503" s="5">
        <f>IF('ORDENES'!$A481="","",IF('ORDENES'!$AT481="","-",'ORDENES'!$AT481))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20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IF('ORDENES'!$A481="","",'ORDENES'!$AF481)</f>
        <v/>
      </c>
    </row>
    <row r="504">
      <c r="A504" s="5">
        <f>IF('ORDENES'!$A482="","",IF('ORDENES'!$O482="","-",'ORDENES'!$O482))</f>
        <v/>
      </c>
      <c r="B504" s="5">
        <f>IF('ORDENES'!$A482="","",IF('ORDENES'!$S482="","-",'ORDENES'!$S482))</f>
        <v/>
      </c>
      <c r="C504" s="5">
        <f>IF('ORDENES'!$A482="","",IF('ORDENES'!$AH482="","-",'ORDENES'!$AH482))</f>
        <v/>
      </c>
      <c r="D504" s="5">
        <f>IF('ORDENES'!$A482="","",IF('ORDENES'!$Z482="","-",'ORDENES'!$Z482))</f>
        <v/>
      </c>
      <c r="E504" s="5">
        <f>IF('ORDENES'!$A482="","",IF('ORDENES'!$X482="","-",'ORDENES'!$X482))</f>
        <v/>
      </c>
      <c r="F504" s="5">
        <f>IF('ORDENES'!$A482="","",IF('ORDENES'!$AA482="","-",'ORDENES'!$AA482))</f>
        <v/>
      </c>
      <c r="G504" s="5">
        <f>IF('ORDENES'!$A482="","",IF('ORDENES'!$Y482="","-",'ORDENES'!$Y482))</f>
        <v/>
      </c>
      <c r="H504" s="5">
        <f>IF('ORDENES'!$A482="","",IF('ORDENES'!$AG482="","-",'ORDENES'!$AG482))</f>
        <v/>
      </c>
      <c r="I504" s="5">
        <f>IF('ORDENES'!$A482="","",IF('ORDENES'!$AT482="","-",'ORDENES'!$AT482))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20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IF('ORDENES'!$A482="","",'ORDENES'!$AF482)</f>
        <v/>
      </c>
    </row>
    <row r="505">
      <c r="A505" s="5">
        <f>IF('ORDENES'!$A483="","",IF('ORDENES'!$O483="","-",'ORDENES'!$O483))</f>
        <v/>
      </c>
      <c r="B505" s="5">
        <f>IF('ORDENES'!$A483="","",IF('ORDENES'!$S483="","-",'ORDENES'!$S483))</f>
        <v/>
      </c>
      <c r="C505" s="5">
        <f>IF('ORDENES'!$A483="","",IF('ORDENES'!$AH483="","-",'ORDENES'!$AH483))</f>
        <v/>
      </c>
      <c r="D505" s="5">
        <f>IF('ORDENES'!$A483="","",IF('ORDENES'!$Z483="","-",'ORDENES'!$Z483))</f>
        <v/>
      </c>
      <c r="E505" s="5">
        <f>IF('ORDENES'!$A483="","",IF('ORDENES'!$X483="","-",'ORDENES'!$X483))</f>
        <v/>
      </c>
      <c r="F505" s="5">
        <f>IF('ORDENES'!$A483="","",IF('ORDENES'!$AA483="","-",'ORDENES'!$AA483))</f>
        <v/>
      </c>
      <c r="G505" s="5">
        <f>IF('ORDENES'!$A483="","",IF('ORDENES'!$Y483="","-",'ORDENES'!$Y483))</f>
        <v/>
      </c>
      <c r="H505" s="5">
        <f>IF('ORDENES'!$A483="","",IF('ORDENES'!$AG483="","-",'ORDENES'!$AG483))</f>
        <v/>
      </c>
      <c r="I505" s="5">
        <f>IF('ORDENES'!$A483="","",IF('ORDENES'!$AT483="","-",'ORDENES'!$AT483))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20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IF('ORDENES'!$A483="","",'ORDENES'!$AF483)</f>
        <v/>
      </c>
    </row>
    <row r="506">
      <c r="A506" s="5">
        <f>IF('ORDENES'!$A484="","",IF('ORDENES'!$O484="","-",'ORDENES'!$O484))</f>
        <v/>
      </c>
      <c r="B506" s="5">
        <f>IF('ORDENES'!$A484="","",IF('ORDENES'!$S484="","-",'ORDENES'!$S484))</f>
        <v/>
      </c>
      <c r="C506" s="5">
        <f>IF('ORDENES'!$A484="","",IF('ORDENES'!$AH484="","-",'ORDENES'!$AH484))</f>
        <v/>
      </c>
      <c r="D506" s="5">
        <f>IF('ORDENES'!$A484="","",IF('ORDENES'!$Z484="","-",'ORDENES'!$Z484))</f>
        <v/>
      </c>
      <c r="E506" s="5">
        <f>IF('ORDENES'!$A484="","",IF('ORDENES'!$X484="","-",'ORDENES'!$X484))</f>
        <v/>
      </c>
      <c r="F506" s="5">
        <f>IF('ORDENES'!$A484="","",IF('ORDENES'!$AA484="","-",'ORDENES'!$AA484))</f>
        <v/>
      </c>
      <c r="G506" s="5">
        <f>IF('ORDENES'!$A484="","",IF('ORDENES'!$Y484="","-",'ORDENES'!$Y484))</f>
        <v/>
      </c>
      <c r="H506" s="5">
        <f>IF('ORDENES'!$A484="","",IF('ORDENES'!$AG484="","-",'ORDENES'!$AG484))</f>
        <v/>
      </c>
      <c r="I506" s="5">
        <f>IF('ORDENES'!$A484="","",IF('ORDENES'!$AT484="","-",'ORDENES'!$AT484))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20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IF('ORDENES'!$A484="","",'ORDENES'!$AF484)</f>
        <v/>
      </c>
    </row>
    <row r="507">
      <c r="A507" s="5">
        <f>IF('ORDENES'!$A485="","",IF('ORDENES'!$O485="","-",'ORDENES'!$O485))</f>
        <v/>
      </c>
      <c r="B507" s="5">
        <f>IF('ORDENES'!$A485="","",IF('ORDENES'!$S485="","-",'ORDENES'!$S485))</f>
        <v/>
      </c>
      <c r="C507" s="5">
        <f>IF('ORDENES'!$A485="","",IF('ORDENES'!$AH485="","-",'ORDENES'!$AH485))</f>
        <v/>
      </c>
      <c r="D507" s="5">
        <f>IF('ORDENES'!$A485="","",IF('ORDENES'!$Z485="","-",'ORDENES'!$Z485))</f>
        <v/>
      </c>
      <c r="E507" s="5">
        <f>IF('ORDENES'!$A485="","",IF('ORDENES'!$X485="","-",'ORDENES'!$X485))</f>
        <v/>
      </c>
      <c r="F507" s="5">
        <f>IF('ORDENES'!$A485="","",IF('ORDENES'!$AA485="","-",'ORDENES'!$AA485))</f>
        <v/>
      </c>
      <c r="G507" s="5">
        <f>IF('ORDENES'!$A485="","",IF('ORDENES'!$Y485="","-",'ORDENES'!$Y485))</f>
        <v/>
      </c>
      <c r="H507" s="5">
        <f>IF('ORDENES'!$A485="","",IF('ORDENES'!$AG485="","-",'ORDENES'!$AG485))</f>
        <v/>
      </c>
      <c r="I507" s="5">
        <f>IF('ORDENES'!$A485="","",IF('ORDENES'!$AT485="","-",'ORDENES'!$AT485))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20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IF('ORDENES'!$A485="","",'ORDENES'!$AF485)</f>
        <v/>
      </c>
    </row>
    <row r="508">
      <c r="A508" s="5">
        <f>IF('ORDENES'!$A486="","",IF('ORDENES'!$O486="","-",'ORDENES'!$O486))</f>
        <v/>
      </c>
      <c r="B508" s="5">
        <f>IF('ORDENES'!$A486="","",IF('ORDENES'!$S486="","-",'ORDENES'!$S486))</f>
        <v/>
      </c>
      <c r="C508" s="5">
        <f>IF('ORDENES'!$A486="","",IF('ORDENES'!$AH486="","-",'ORDENES'!$AH486))</f>
        <v/>
      </c>
      <c r="D508" s="5">
        <f>IF('ORDENES'!$A486="","",IF('ORDENES'!$Z486="","-",'ORDENES'!$Z486))</f>
        <v/>
      </c>
      <c r="E508" s="5">
        <f>IF('ORDENES'!$A486="","",IF('ORDENES'!$X486="","-",'ORDENES'!$X486))</f>
        <v/>
      </c>
      <c r="F508" s="5">
        <f>IF('ORDENES'!$A486="","",IF('ORDENES'!$AA486="","-",'ORDENES'!$AA486))</f>
        <v/>
      </c>
      <c r="G508" s="5">
        <f>IF('ORDENES'!$A486="","",IF('ORDENES'!$Y486="","-",'ORDENES'!$Y486))</f>
        <v/>
      </c>
      <c r="H508" s="5">
        <f>IF('ORDENES'!$A486="","",IF('ORDENES'!$AG486="","-",'ORDENES'!$AG486))</f>
        <v/>
      </c>
      <c r="I508" s="5">
        <f>IF('ORDENES'!$A486="","",IF('ORDENES'!$AT486="","-",'ORDENES'!$AT486))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20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IF('ORDENES'!$A486="","",'ORDENES'!$AF486)</f>
        <v/>
      </c>
    </row>
    <row r="509">
      <c r="A509" s="5">
        <f>IF('ORDENES'!$A487="","",IF('ORDENES'!$O487="","-",'ORDENES'!$O487))</f>
        <v/>
      </c>
      <c r="B509" s="5">
        <f>IF('ORDENES'!$A487="","",IF('ORDENES'!$S487="","-",'ORDENES'!$S487))</f>
        <v/>
      </c>
      <c r="C509" s="5">
        <f>IF('ORDENES'!$A487="","",IF('ORDENES'!$AH487="","-",'ORDENES'!$AH487))</f>
        <v/>
      </c>
      <c r="D509" s="5">
        <f>IF('ORDENES'!$A487="","",IF('ORDENES'!$Z487="","-",'ORDENES'!$Z487))</f>
        <v/>
      </c>
      <c r="E509" s="5">
        <f>IF('ORDENES'!$A487="","",IF('ORDENES'!$X487="","-",'ORDENES'!$X487))</f>
        <v/>
      </c>
      <c r="F509" s="5">
        <f>IF('ORDENES'!$A487="","",IF('ORDENES'!$AA487="","-",'ORDENES'!$AA487))</f>
        <v/>
      </c>
      <c r="G509" s="5">
        <f>IF('ORDENES'!$A487="","",IF('ORDENES'!$Y487="","-",'ORDENES'!$Y487))</f>
        <v/>
      </c>
      <c r="H509" s="5">
        <f>IF('ORDENES'!$A487="","",IF('ORDENES'!$AG487="","-",'ORDENES'!$AG487))</f>
        <v/>
      </c>
      <c r="I509" s="5">
        <f>IF('ORDENES'!$A487="","",IF('ORDENES'!$AT487="","-",'ORDENES'!$AT487))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20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IF('ORDENES'!$A487="","",'ORDENES'!$AF487)</f>
        <v/>
      </c>
    </row>
    <row r="510">
      <c r="A510" s="5">
        <f>IF('ORDENES'!$A488="","",IF('ORDENES'!$O488="","-",'ORDENES'!$O488))</f>
        <v/>
      </c>
      <c r="B510" s="5">
        <f>IF('ORDENES'!$A488="","",IF('ORDENES'!$S488="","-",'ORDENES'!$S488))</f>
        <v/>
      </c>
      <c r="C510" s="5">
        <f>IF('ORDENES'!$A488="","",IF('ORDENES'!$AH488="","-",'ORDENES'!$AH488))</f>
        <v/>
      </c>
      <c r="D510" s="5">
        <f>IF('ORDENES'!$A488="","",IF('ORDENES'!$Z488="","-",'ORDENES'!$Z488))</f>
        <v/>
      </c>
      <c r="E510" s="5">
        <f>IF('ORDENES'!$A488="","",IF('ORDENES'!$X488="","-",'ORDENES'!$X488))</f>
        <v/>
      </c>
      <c r="F510" s="5">
        <f>IF('ORDENES'!$A488="","",IF('ORDENES'!$AA488="","-",'ORDENES'!$AA488))</f>
        <v/>
      </c>
      <c r="G510" s="5">
        <f>IF('ORDENES'!$A488="","",IF('ORDENES'!$Y488="","-",'ORDENES'!$Y488))</f>
        <v/>
      </c>
      <c r="H510" s="5">
        <f>IF('ORDENES'!$A488="","",IF('ORDENES'!$AG488="","-",'ORDENES'!$AG488))</f>
        <v/>
      </c>
      <c r="I510" s="5">
        <f>IF('ORDENES'!$A488="","",IF('ORDENES'!$AT488="","-",'ORDENES'!$AT488))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20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IF('ORDENES'!$A488="","",'ORDENES'!$AF488)</f>
        <v/>
      </c>
    </row>
    <row r="511">
      <c r="A511" s="5">
        <f>IF('ORDENES'!$A489="","",IF('ORDENES'!$O489="","-",'ORDENES'!$O489))</f>
        <v/>
      </c>
      <c r="B511" s="5">
        <f>IF('ORDENES'!$A489="","",IF('ORDENES'!$S489="","-",'ORDENES'!$S489))</f>
        <v/>
      </c>
      <c r="C511" s="5">
        <f>IF('ORDENES'!$A489="","",IF('ORDENES'!$AH489="","-",'ORDENES'!$AH489))</f>
        <v/>
      </c>
      <c r="D511" s="5">
        <f>IF('ORDENES'!$A489="","",IF('ORDENES'!$Z489="","-",'ORDENES'!$Z489))</f>
        <v/>
      </c>
      <c r="E511" s="5">
        <f>IF('ORDENES'!$A489="","",IF('ORDENES'!$X489="","-",'ORDENES'!$X489))</f>
        <v/>
      </c>
      <c r="F511" s="5">
        <f>IF('ORDENES'!$A489="","",IF('ORDENES'!$AA489="","-",'ORDENES'!$AA489))</f>
        <v/>
      </c>
      <c r="G511" s="5">
        <f>IF('ORDENES'!$A489="","",IF('ORDENES'!$Y489="","-",'ORDENES'!$Y489))</f>
        <v/>
      </c>
      <c r="H511" s="5">
        <f>IF('ORDENES'!$A489="","",IF('ORDENES'!$AG489="","-",'ORDENES'!$AG489))</f>
        <v/>
      </c>
      <c r="I511" s="5">
        <f>IF('ORDENES'!$A489="","",IF('ORDENES'!$AT489="","-",'ORDENES'!$AT489))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20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IF('ORDENES'!$A489="","",'ORDENES'!$AF489)</f>
        <v/>
      </c>
    </row>
    <row r="512">
      <c r="A512" s="5">
        <f>IF('ORDENES'!$A490="","",IF('ORDENES'!$O490="","-",'ORDENES'!$O490))</f>
        <v/>
      </c>
      <c r="B512" s="5">
        <f>IF('ORDENES'!$A490="","",IF('ORDENES'!$S490="","-",'ORDENES'!$S490))</f>
        <v/>
      </c>
      <c r="C512" s="5">
        <f>IF('ORDENES'!$A490="","",IF('ORDENES'!$AH490="","-",'ORDENES'!$AH490))</f>
        <v/>
      </c>
      <c r="D512" s="5">
        <f>IF('ORDENES'!$A490="","",IF('ORDENES'!$Z490="","-",'ORDENES'!$Z490))</f>
        <v/>
      </c>
      <c r="E512" s="5">
        <f>IF('ORDENES'!$A490="","",IF('ORDENES'!$X490="","-",'ORDENES'!$X490))</f>
        <v/>
      </c>
      <c r="F512" s="5">
        <f>IF('ORDENES'!$A490="","",IF('ORDENES'!$AA490="","-",'ORDENES'!$AA490))</f>
        <v/>
      </c>
      <c r="G512" s="5">
        <f>IF('ORDENES'!$A490="","",IF('ORDENES'!$Y490="","-",'ORDENES'!$Y490))</f>
        <v/>
      </c>
      <c r="H512" s="5">
        <f>IF('ORDENES'!$A490="","",IF('ORDENES'!$AG490="","-",'ORDENES'!$AG490))</f>
        <v/>
      </c>
      <c r="I512" s="5">
        <f>IF('ORDENES'!$A490="","",IF('ORDENES'!$AT490="","-",'ORDENES'!$AT490))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20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IF('ORDENES'!$A490="","",'ORDENES'!$AF490)</f>
        <v/>
      </c>
    </row>
    <row r="513">
      <c r="A513" s="5">
        <f>IF('ORDENES'!$A491="","",IF('ORDENES'!$O491="","-",'ORDENES'!$O491))</f>
        <v/>
      </c>
      <c r="B513" s="5">
        <f>IF('ORDENES'!$A491="","",IF('ORDENES'!$S491="","-",'ORDENES'!$S491))</f>
        <v/>
      </c>
      <c r="C513" s="5">
        <f>IF('ORDENES'!$A491="","",IF('ORDENES'!$AH491="","-",'ORDENES'!$AH491))</f>
        <v/>
      </c>
      <c r="D513" s="5">
        <f>IF('ORDENES'!$A491="","",IF('ORDENES'!$Z491="","-",'ORDENES'!$Z491))</f>
        <v/>
      </c>
      <c r="E513" s="5">
        <f>IF('ORDENES'!$A491="","",IF('ORDENES'!$X491="","-",'ORDENES'!$X491))</f>
        <v/>
      </c>
      <c r="F513" s="5">
        <f>IF('ORDENES'!$A491="","",IF('ORDENES'!$AA491="","-",'ORDENES'!$AA491))</f>
        <v/>
      </c>
      <c r="G513" s="5">
        <f>IF('ORDENES'!$A491="","",IF('ORDENES'!$Y491="","-",'ORDENES'!$Y491))</f>
        <v/>
      </c>
      <c r="H513" s="5">
        <f>IF('ORDENES'!$A491="","",IF('ORDENES'!$AG491="","-",'ORDENES'!$AG491))</f>
        <v/>
      </c>
      <c r="I513" s="5">
        <f>IF('ORDENES'!$A491="","",IF('ORDENES'!$AT491="","-",'ORDENES'!$AT491))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20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IF('ORDENES'!$A491="","",'ORDENES'!$AF491)</f>
        <v/>
      </c>
    </row>
    <row r="514">
      <c r="A514" s="5">
        <f>IF('ORDENES'!$A492="","",IF('ORDENES'!$O492="","-",'ORDENES'!$O492))</f>
        <v/>
      </c>
      <c r="B514" s="5">
        <f>IF('ORDENES'!$A492="","",IF('ORDENES'!$S492="","-",'ORDENES'!$S492))</f>
        <v/>
      </c>
      <c r="C514" s="5">
        <f>IF('ORDENES'!$A492="","",IF('ORDENES'!$AH492="","-",'ORDENES'!$AH492))</f>
        <v/>
      </c>
      <c r="D514" s="5">
        <f>IF('ORDENES'!$A492="","",IF('ORDENES'!$Z492="","-",'ORDENES'!$Z492))</f>
        <v/>
      </c>
      <c r="E514" s="5">
        <f>IF('ORDENES'!$A492="","",IF('ORDENES'!$X492="","-",'ORDENES'!$X492))</f>
        <v/>
      </c>
      <c r="F514" s="5">
        <f>IF('ORDENES'!$A492="","",IF('ORDENES'!$AA492="","-",'ORDENES'!$AA492))</f>
        <v/>
      </c>
      <c r="G514" s="5">
        <f>IF('ORDENES'!$A492="","",IF('ORDENES'!$Y492="","-",'ORDENES'!$Y492))</f>
        <v/>
      </c>
      <c r="H514" s="5">
        <f>IF('ORDENES'!$A492="","",IF('ORDENES'!$AG492="","-",'ORDENES'!$AG492))</f>
        <v/>
      </c>
      <c r="I514" s="5">
        <f>IF('ORDENES'!$A492="","",IF('ORDENES'!$AT492="","-",'ORDENES'!$AT492))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20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IF('ORDENES'!$A492="","",'ORDENES'!$AF492)</f>
        <v/>
      </c>
    </row>
    <row r="515">
      <c r="A515" s="5">
        <f>IF('ORDENES'!$A493="","",IF('ORDENES'!$O493="","-",'ORDENES'!$O493))</f>
        <v/>
      </c>
      <c r="B515" s="5">
        <f>IF('ORDENES'!$A493="","",IF('ORDENES'!$S493="","-",'ORDENES'!$S493))</f>
        <v/>
      </c>
      <c r="C515" s="5">
        <f>IF('ORDENES'!$A493="","",IF('ORDENES'!$AH493="","-",'ORDENES'!$AH493))</f>
        <v/>
      </c>
      <c r="D515" s="5">
        <f>IF('ORDENES'!$A493="","",IF('ORDENES'!$Z493="","-",'ORDENES'!$Z493))</f>
        <v/>
      </c>
      <c r="E515" s="5">
        <f>IF('ORDENES'!$A493="","",IF('ORDENES'!$X493="","-",'ORDENES'!$X493))</f>
        <v/>
      </c>
      <c r="F515" s="5">
        <f>IF('ORDENES'!$A493="","",IF('ORDENES'!$AA493="","-",'ORDENES'!$AA493))</f>
        <v/>
      </c>
      <c r="G515" s="5">
        <f>IF('ORDENES'!$A493="","",IF('ORDENES'!$Y493="","-",'ORDENES'!$Y493))</f>
        <v/>
      </c>
      <c r="H515" s="5">
        <f>IF('ORDENES'!$A493="","",IF('ORDENES'!$AG493="","-",'ORDENES'!$AG493))</f>
        <v/>
      </c>
      <c r="I515" s="5">
        <f>IF('ORDENES'!$A493="","",IF('ORDENES'!$AT493="","-",'ORDENES'!$AT493))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20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IF('ORDENES'!$A493="","",'ORDENES'!$AF493)</f>
        <v/>
      </c>
    </row>
    <row r="516">
      <c r="A516" s="5">
        <f>IF('ORDENES'!$A494="","",IF('ORDENES'!$O494="","-",'ORDENES'!$O494))</f>
        <v/>
      </c>
      <c r="B516" s="5">
        <f>IF('ORDENES'!$A494="","",IF('ORDENES'!$S494="","-",'ORDENES'!$S494))</f>
        <v/>
      </c>
      <c r="C516" s="5">
        <f>IF('ORDENES'!$A494="","",IF('ORDENES'!$AH494="","-",'ORDENES'!$AH494))</f>
        <v/>
      </c>
      <c r="D516" s="5">
        <f>IF('ORDENES'!$A494="","",IF('ORDENES'!$Z494="","-",'ORDENES'!$Z494))</f>
        <v/>
      </c>
      <c r="E516" s="5">
        <f>IF('ORDENES'!$A494="","",IF('ORDENES'!$X494="","-",'ORDENES'!$X494))</f>
        <v/>
      </c>
      <c r="F516" s="5">
        <f>IF('ORDENES'!$A494="","",IF('ORDENES'!$AA494="","-",'ORDENES'!$AA494))</f>
        <v/>
      </c>
      <c r="G516" s="5">
        <f>IF('ORDENES'!$A494="","",IF('ORDENES'!$Y494="","-",'ORDENES'!$Y494))</f>
        <v/>
      </c>
      <c r="H516" s="5">
        <f>IF('ORDENES'!$A494="","",IF('ORDENES'!$AG494="","-",'ORDENES'!$AG494))</f>
        <v/>
      </c>
      <c r="I516" s="5">
        <f>IF('ORDENES'!$A494="","",IF('ORDENES'!$AT494="","-",'ORDENES'!$AT494))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20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IF('ORDENES'!$A494="","",'ORDENES'!$AF494)</f>
        <v/>
      </c>
    </row>
    <row r="517">
      <c r="A517" s="5">
        <f>IF('ORDENES'!$A495="","",IF('ORDENES'!$O495="","-",'ORDENES'!$O495))</f>
        <v/>
      </c>
      <c r="B517" s="5">
        <f>IF('ORDENES'!$A495="","",IF('ORDENES'!$S495="","-",'ORDENES'!$S495))</f>
        <v/>
      </c>
      <c r="C517" s="5">
        <f>IF('ORDENES'!$A495="","",IF('ORDENES'!$AH495="","-",'ORDENES'!$AH495))</f>
        <v/>
      </c>
      <c r="D517" s="5">
        <f>IF('ORDENES'!$A495="","",IF('ORDENES'!$Z495="","-",'ORDENES'!$Z495))</f>
        <v/>
      </c>
      <c r="E517" s="5">
        <f>IF('ORDENES'!$A495="","",IF('ORDENES'!$X495="","-",'ORDENES'!$X495))</f>
        <v/>
      </c>
      <c r="F517" s="5">
        <f>IF('ORDENES'!$A495="","",IF('ORDENES'!$AA495="","-",'ORDENES'!$AA495))</f>
        <v/>
      </c>
      <c r="G517" s="5">
        <f>IF('ORDENES'!$A495="","",IF('ORDENES'!$Y495="","-",'ORDENES'!$Y495))</f>
        <v/>
      </c>
      <c r="H517" s="5">
        <f>IF('ORDENES'!$A495="","",IF('ORDENES'!$AG495="","-",'ORDENES'!$AG495))</f>
        <v/>
      </c>
      <c r="I517" s="5">
        <f>IF('ORDENES'!$A495="","",IF('ORDENES'!$AT495="","-",'ORDENES'!$AT495))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20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IF('ORDENES'!$A495="","",'ORDENES'!$AF495)</f>
        <v/>
      </c>
    </row>
    <row r="518">
      <c r="A518" s="5">
        <f>IF('ORDENES'!$A496="","",IF('ORDENES'!$O496="","-",'ORDENES'!$O496))</f>
        <v/>
      </c>
      <c r="B518" s="5">
        <f>IF('ORDENES'!$A496="","",IF('ORDENES'!$S496="","-",'ORDENES'!$S496))</f>
        <v/>
      </c>
      <c r="C518" s="5">
        <f>IF('ORDENES'!$A496="","",IF('ORDENES'!$AH496="","-",'ORDENES'!$AH496))</f>
        <v/>
      </c>
      <c r="D518" s="5">
        <f>IF('ORDENES'!$A496="","",IF('ORDENES'!$Z496="","-",'ORDENES'!$Z496))</f>
        <v/>
      </c>
      <c r="E518" s="5">
        <f>IF('ORDENES'!$A496="","",IF('ORDENES'!$X496="","-",'ORDENES'!$X496))</f>
        <v/>
      </c>
      <c r="F518" s="5">
        <f>IF('ORDENES'!$A496="","",IF('ORDENES'!$AA496="","-",'ORDENES'!$AA496))</f>
        <v/>
      </c>
      <c r="G518" s="5">
        <f>IF('ORDENES'!$A496="","",IF('ORDENES'!$Y496="","-",'ORDENES'!$Y496))</f>
        <v/>
      </c>
      <c r="H518" s="5">
        <f>IF('ORDENES'!$A496="","",IF('ORDENES'!$AG496="","-",'ORDENES'!$AG496))</f>
        <v/>
      </c>
      <c r="I518" s="5">
        <f>IF('ORDENES'!$A496="","",IF('ORDENES'!$AT496="","-",'ORDENES'!$AT496))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20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IF('ORDENES'!$A496="","",'ORDENES'!$AF496)</f>
        <v/>
      </c>
    </row>
    <row r="519">
      <c r="A519" s="5">
        <f>IF('ORDENES'!$A497="","",IF('ORDENES'!$O497="","-",'ORDENES'!$O497))</f>
        <v/>
      </c>
      <c r="B519" s="5">
        <f>IF('ORDENES'!$A497="","",IF('ORDENES'!$S497="","-",'ORDENES'!$S497))</f>
        <v/>
      </c>
      <c r="C519" s="5">
        <f>IF('ORDENES'!$A497="","",IF('ORDENES'!$AH497="","-",'ORDENES'!$AH497))</f>
        <v/>
      </c>
      <c r="D519" s="5">
        <f>IF('ORDENES'!$A497="","",IF('ORDENES'!$Z497="","-",'ORDENES'!$Z497))</f>
        <v/>
      </c>
      <c r="E519" s="5">
        <f>IF('ORDENES'!$A497="","",IF('ORDENES'!$X497="","-",'ORDENES'!$X497))</f>
        <v/>
      </c>
      <c r="F519" s="5">
        <f>IF('ORDENES'!$A497="","",IF('ORDENES'!$AA497="","-",'ORDENES'!$AA497))</f>
        <v/>
      </c>
      <c r="G519" s="5">
        <f>IF('ORDENES'!$A497="","",IF('ORDENES'!$Y497="","-",'ORDENES'!$Y497))</f>
        <v/>
      </c>
      <c r="H519" s="5">
        <f>IF('ORDENES'!$A497="","",IF('ORDENES'!$AG497="","-",'ORDENES'!$AG497))</f>
        <v/>
      </c>
      <c r="I519" s="5">
        <f>IF('ORDENES'!$A497="","",IF('ORDENES'!$AT497="","-",'ORDENES'!$AT497))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20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IF('ORDENES'!$A497="","",'ORDENES'!$AF497)</f>
        <v/>
      </c>
    </row>
    <row r="520">
      <c r="A520" s="5">
        <f>IF('ORDENES'!$A498="","",IF('ORDENES'!$O498="","-",'ORDENES'!$O498))</f>
        <v/>
      </c>
      <c r="B520" s="5">
        <f>IF('ORDENES'!$A498="","",IF('ORDENES'!$S498="","-",'ORDENES'!$S498))</f>
        <v/>
      </c>
      <c r="C520" s="5">
        <f>IF('ORDENES'!$A498="","",IF('ORDENES'!$AH498="","-",'ORDENES'!$AH498))</f>
        <v/>
      </c>
      <c r="D520" s="5">
        <f>IF('ORDENES'!$A498="","",IF('ORDENES'!$Z498="","-",'ORDENES'!$Z498))</f>
        <v/>
      </c>
      <c r="E520" s="5">
        <f>IF('ORDENES'!$A498="","",IF('ORDENES'!$X498="","-",'ORDENES'!$X498))</f>
        <v/>
      </c>
      <c r="F520" s="5">
        <f>IF('ORDENES'!$A498="","",IF('ORDENES'!$AA498="","-",'ORDENES'!$AA498))</f>
        <v/>
      </c>
      <c r="G520" s="5">
        <f>IF('ORDENES'!$A498="","",IF('ORDENES'!$Y498="","-",'ORDENES'!$Y498))</f>
        <v/>
      </c>
      <c r="H520" s="5">
        <f>IF('ORDENES'!$A498="","",IF('ORDENES'!$AG498="","-",'ORDENES'!$AG498))</f>
        <v/>
      </c>
      <c r="I520" s="5">
        <f>IF('ORDENES'!$A498="","",IF('ORDENES'!$AT498="","-",'ORDENES'!$AT498))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20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IF('ORDENES'!$A498="","",'ORDENES'!$AF498)</f>
        <v/>
      </c>
    </row>
    <row r="521">
      <c r="A521" s="5">
        <f>IF('ORDENES'!$A499="","",IF('ORDENES'!$O499="","-",'ORDENES'!$O499))</f>
        <v/>
      </c>
      <c r="B521" s="5">
        <f>IF('ORDENES'!$A499="","",IF('ORDENES'!$S499="","-",'ORDENES'!$S499))</f>
        <v/>
      </c>
      <c r="C521" s="5">
        <f>IF('ORDENES'!$A499="","",IF('ORDENES'!$AH499="","-",'ORDENES'!$AH499))</f>
        <v/>
      </c>
      <c r="D521" s="5">
        <f>IF('ORDENES'!$A499="","",IF('ORDENES'!$Z499="","-",'ORDENES'!$Z499))</f>
        <v/>
      </c>
      <c r="E521" s="5">
        <f>IF('ORDENES'!$A499="","",IF('ORDENES'!$X499="","-",'ORDENES'!$X499))</f>
        <v/>
      </c>
      <c r="F521" s="5">
        <f>IF('ORDENES'!$A499="","",IF('ORDENES'!$AA499="","-",'ORDENES'!$AA499))</f>
        <v/>
      </c>
      <c r="G521" s="5">
        <f>IF('ORDENES'!$A499="","",IF('ORDENES'!$Y499="","-",'ORDENES'!$Y499))</f>
        <v/>
      </c>
      <c r="H521" s="5">
        <f>IF('ORDENES'!$A499="","",IF('ORDENES'!$AG499="","-",'ORDENES'!$AG499))</f>
        <v/>
      </c>
      <c r="I521" s="5">
        <f>IF('ORDENES'!$A499="","",IF('ORDENES'!$AT499="","-",'ORDENES'!$AT499))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20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IF('ORDENES'!$A499="","",'ORDENES'!$AF499)</f>
        <v/>
      </c>
    </row>
    <row r="522">
      <c r="A522" s="5">
        <f>IF('ORDENES'!$A500="","",IF('ORDENES'!$O500="","-",'ORDENES'!$O500))</f>
        <v/>
      </c>
      <c r="B522" s="5">
        <f>IF('ORDENES'!$A500="","",IF('ORDENES'!$S500="","-",'ORDENES'!$S500))</f>
        <v/>
      </c>
      <c r="C522" s="5">
        <f>IF('ORDENES'!$A500="","",IF('ORDENES'!$AH500="","-",'ORDENES'!$AH500))</f>
        <v/>
      </c>
      <c r="D522" s="5">
        <f>IF('ORDENES'!$A500="","",IF('ORDENES'!$Z500="","-",'ORDENES'!$Z500))</f>
        <v/>
      </c>
      <c r="E522" s="5">
        <f>IF('ORDENES'!$A500="","",IF('ORDENES'!$X500="","-",'ORDENES'!$X500))</f>
        <v/>
      </c>
      <c r="F522" s="5">
        <f>IF('ORDENES'!$A500="","",IF('ORDENES'!$AA500="","-",'ORDENES'!$AA500))</f>
        <v/>
      </c>
      <c r="G522" s="5">
        <f>IF('ORDENES'!$A500="","",IF('ORDENES'!$Y500="","-",'ORDENES'!$Y500))</f>
        <v/>
      </c>
      <c r="H522" s="5">
        <f>IF('ORDENES'!$A500="","",IF('ORDENES'!$AG500="","-",'ORDENES'!$AG500))</f>
        <v/>
      </c>
      <c r="I522" s="5">
        <f>IF('ORDENES'!$A500="","",IF('ORDENES'!$AT500="","-",'ORDENES'!$AT500))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20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IF('ORDENES'!$A500="","",'ORDENES'!$AF500)</f>
        <v/>
      </c>
    </row>
    <row r="523">
      <c r="A523" s="5">
        <f>IF('ORDENES'!$A501="","",IF('ORDENES'!$O501="","-",'ORDENES'!$O501))</f>
        <v/>
      </c>
      <c r="B523" s="5">
        <f>IF('ORDENES'!$A501="","",IF('ORDENES'!$S501="","-",'ORDENES'!$S501))</f>
        <v/>
      </c>
      <c r="C523" s="5">
        <f>IF('ORDENES'!$A501="","",IF('ORDENES'!$AH501="","-",'ORDENES'!$AH501))</f>
        <v/>
      </c>
      <c r="D523" s="5">
        <f>IF('ORDENES'!$A501="","",IF('ORDENES'!$Z501="","-",'ORDENES'!$Z501))</f>
        <v/>
      </c>
      <c r="E523" s="5">
        <f>IF('ORDENES'!$A501="","",IF('ORDENES'!$X501="","-",'ORDENES'!$X501))</f>
        <v/>
      </c>
      <c r="F523" s="5">
        <f>IF('ORDENES'!$A501="","",IF('ORDENES'!$AA501="","-",'ORDENES'!$AA501))</f>
        <v/>
      </c>
      <c r="G523" s="5">
        <f>IF('ORDENES'!$A501="","",IF('ORDENES'!$Y501="","-",'ORDENES'!$Y501))</f>
        <v/>
      </c>
      <c r="H523" s="5">
        <f>IF('ORDENES'!$A501="","",IF('ORDENES'!$AG501="","-",'ORDENES'!$AG501))</f>
        <v/>
      </c>
      <c r="I523" s="5">
        <f>IF('ORDENES'!$A501="","",IF('ORDENES'!$AT501="","-",'ORDENES'!$AT501))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20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IF('ORDENES'!$A501="","",'ORDENES'!$AF501)</f>
        <v/>
      </c>
    </row>
    <row r="524">
      <c r="A524" s="5">
        <f>IF('ORDENES'!$A502="","",IF('ORDENES'!$O502="","-",'ORDENES'!$O502))</f>
        <v/>
      </c>
      <c r="B524" s="5">
        <f>IF('ORDENES'!$A502="","",IF('ORDENES'!$S502="","-",'ORDENES'!$S502))</f>
        <v/>
      </c>
      <c r="C524" s="5">
        <f>IF('ORDENES'!$A502="","",IF('ORDENES'!$AH502="","-",'ORDENES'!$AH502))</f>
        <v/>
      </c>
      <c r="D524" s="5">
        <f>IF('ORDENES'!$A502="","",IF('ORDENES'!$Z502="","-",'ORDENES'!$Z502))</f>
        <v/>
      </c>
      <c r="E524" s="5">
        <f>IF('ORDENES'!$A502="","",IF('ORDENES'!$X502="","-",'ORDENES'!$X502))</f>
        <v/>
      </c>
      <c r="F524" s="5">
        <f>IF('ORDENES'!$A502="","",IF('ORDENES'!$AA502="","-",'ORDENES'!$AA502))</f>
        <v/>
      </c>
      <c r="G524" s="5">
        <f>IF('ORDENES'!$A502="","",IF('ORDENES'!$Y502="","-",'ORDENES'!$Y502))</f>
        <v/>
      </c>
      <c r="H524" s="5">
        <f>IF('ORDENES'!$A502="","",IF('ORDENES'!$AG502="","-",'ORDENES'!$AG502))</f>
        <v/>
      </c>
      <c r="I524" s="5">
        <f>IF('ORDENES'!$A502="","",IF('ORDENES'!$AT502="","-",'ORDENES'!$AT502))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20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IF('ORDENES'!$A502="","",'ORDENES'!$AF502)</f>
        <v/>
      </c>
    </row>
    <row r="525">
      <c r="A525" s="5">
        <f>IF('ORDENES'!$A503="","",IF('ORDENES'!$O503="","-",'ORDENES'!$O503))</f>
        <v/>
      </c>
      <c r="B525" s="5">
        <f>IF('ORDENES'!$A503="","",IF('ORDENES'!$S503="","-",'ORDENES'!$S503))</f>
        <v/>
      </c>
      <c r="C525" s="5">
        <f>IF('ORDENES'!$A503="","",IF('ORDENES'!$AH503="","-",'ORDENES'!$AH503))</f>
        <v/>
      </c>
      <c r="D525" s="5">
        <f>IF('ORDENES'!$A503="","",IF('ORDENES'!$Z503="","-",'ORDENES'!$Z503))</f>
        <v/>
      </c>
      <c r="E525" s="5">
        <f>IF('ORDENES'!$A503="","",IF('ORDENES'!$X503="","-",'ORDENES'!$X503))</f>
        <v/>
      </c>
      <c r="F525" s="5">
        <f>IF('ORDENES'!$A503="","",IF('ORDENES'!$AA503="","-",'ORDENES'!$AA503))</f>
        <v/>
      </c>
      <c r="G525" s="5">
        <f>IF('ORDENES'!$A503="","",IF('ORDENES'!$Y503="","-",'ORDENES'!$Y503))</f>
        <v/>
      </c>
      <c r="H525" s="5">
        <f>IF('ORDENES'!$A503="","",IF('ORDENES'!$AG503="","-",'ORDENES'!$AG503))</f>
        <v/>
      </c>
      <c r="I525" s="5">
        <f>IF('ORDENES'!$A503="","",IF('ORDENES'!$AT503="","-",'ORDENES'!$AT503))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20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IF('ORDENES'!$A503="","",'ORDENES'!$AF503)</f>
        <v/>
      </c>
    </row>
    <row r="526">
      <c r="A526" s="5">
        <f>IF('ORDENES'!$A504="","",IF('ORDENES'!$O504="","-",'ORDENES'!$O504))</f>
        <v/>
      </c>
      <c r="B526" s="5">
        <f>IF('ORDENES'!$A504="","",IF('ORDENES'!$S504="","-",'ORDENES'!$S504))</f>
        <v/>
      </c>
      <c r="C526" s="5">
        <f>IF('ORDENES'!$A504="","",IF('ORDENES'!$AH504="","-",'ORDENES'!$AH504))</f>
        <v/>
      </c>
      <c r="D526" s="5">
        <f>IF('ORDENES'!$A504="","",IF('ORDENES'!$Z504="","-",'ORDENES'!$Z504))</f>
        <v/>
      </c>
      <c r="E526" s="5">
        <f>IF('ORDENES'!$A504="","",IF('ORDENES'!$X504="","-",'ORDENES'!$X504))</f>
        <v/>
      </c>
      <c r="F526" s="5">
        <f>IF('ORDENES'!$A504="","",IF('ORDENES'!$AA504="","-",'ORDENES'!$AA504))</f>
        <v/>
      </c>
      <c r="G526" s="5">
        <f>IF('ORDENES'!$A504="","",IF('ORDENES'!$Y504="","-",'ORDENES'!$Y504))</f>
        <v/>
      </c>
      <c r="H526" s="5">
        <f>IF('ORDENES'!$A504="","",IF('ORDENES'!$AG504="","-",'ORDENES'!$AG504))</f>
        <v/>
      </c>
      <c r="I526" s="5">
        <f>IF('ORDENES'!$A504="","",IF('ORDENES'!$AT504="","-",'ORDENES'!$AT504))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20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IF('ORDENES'!$A504="","",'ORDENES'!$AF504)</f>
        <v/>
      </c>
    </row>
    <row r="527">
      <c r="A527" s="5">
        <f>IF('ORDENES'!$A505="","",IF('ORDENES'!$O505="","-",'ORDENES'!$O505))</f>
        <v/>
      </c>
      <c r="B527" s="5">
        <f>IF('ORDENES'!$A505="","",IF('ORDENES'!$S505="","-",'ORDENES'!$S505))</f>
        <v/>
      </c>
      <c r="C527" s="5">
        <f>IF('ORDENES'!$A505="","",IF('ORDENES'!$AH505="","-",'ORDENES'!$AH505))</f>
        <v/>
      </c>
      <c r="D527" s="5">
        <f>IF('ORDENES'!$A505="","",IF('ORDENES'!$Z505="","-",'ORDENES'!$Z505))</f>
        <v/>
      </c>
      <c r="E527" s="5">
        <f>IF('ORDENES'!$A505="","",IF('ORDENES'!$X505="","-",'ORDENES'!$X505))</f>
        <v/>
      </c>
      <c r="F527" s="5">
        <f>IF('ORDENES'!$A505="","",IF('ORDENES'!$AA505="","-",'ORDENES'!$AA505))</f>
        <v/>
      </c>
      <c r="G527" s="5">
        <f>IF('ORDENES'!$A505="","",IF('ORDENES'!$Y505="","-",'ORDENES'!$Y505))</f>
        <v/>
      </c>
      <c r="H527" s="5">
        <f>IF('ORDENES'!$A505="","",IF('ORDENES'!$AG505="","-",'ORDENES'!$AG505))</f>
        <v/>
      </c>
      <c r="I527" s="5">
        <f>IF('ORDENES'!$A505="","",IF('ORDENES'!$AT505="","-",'ORDENES'!$AT505))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20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IF('ORDENES'!$A505="","",'ORDENES'!$AF505)</f>
        <v/>
      </c>
    </row>
    <row r="528">
      <c r="A528" s="5">
        <f>IF('ORDENES'!$A506="","",IF('ORDENES'!$O506="","-",'ORDENES'!$O506))</f>
        <v/>
      </c>
      <c r="B528" s="5">
        <f>IF('ORDENES'!$A506="","",IF('ORDENES'!$S506="","-",'ORDENES'!$S506))</f>
        <v/>
      </c>
      <c r="C528" s="5">
        <f>IF('ORDENES'!$A506="","",IF('ORDENES'!$AH506="","-",'ORDENES'!$AH506))</f>
        <v/>
      </c>
      <c r="D528" s="5">
        <f>IF('ORDENES'!$A506="","",IF('ORDENES'!$Z506="","-",'ORDENES'!$Z506))</f>
        <v/>
      </c>
      <c r="E528" s="5">
        <f>IF('ORDENES'!$A506="","",IF('ORDENES'!$X506="","-",'ORDENES'!$X506))</f>
        <v/>
      </c>
      <c r="F528" s="5">
        <f>IF('ORDENES'!$A506="","",IF('ORDENES'!$AA506="","-",'ORDENES'!$AA506))</f>
        <v/>
      </c>
      <c r="G528" s="5">
        <f>IF('ORDENES'!$A506="","",IF('ORDENES'!$Y506="","-",'ORDENES'!$Y506))</f>
        <v/>
      </c>
      <c r="H528" s="5">
        <f>IF('ORDENES'!$A506="","",IF('ORDENES'!$AG506="","-",'ORDENES'!$AG506))</f>
        <v/>
      </c>
      <c r="I528" s="5">
        <f>IF('ORDENES'!$A506="","",IF('ORDENES'!$AT506="","-",'ORDENES'!$AT506))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20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IF('ORDENES'!$A506="","",'ORDENES'!$AF506)</f>
        <v/>
      </c>
    </row>
    <row r="529">
      <c r="A529" s="5">
        <f>IF('ORDENES'!$A507="","",IF('ORDENES'!$O507="","-",'ORDENES'!$O507))</f>
        <v/>
      </c>
      <c r="B529" s="5">
        <f>IF('ORDENES'!$A507="","",IF('ORDENES'!$S507="","-",'ORDENES'!$S507))</f>
        <v/>
      </c>
      <c r="C529" s="5">
        <f>IF('ORDENES'!$A507="","",IF('ORDENES'!$AH507="","-",'ORDENES'!$AH507))</f>
        <v/>
      </c>
      <c r="D529" s="5">
        <f>IF('ORDENES'!$A507="","",IF('ORDENES'!$Z507="","-",'ORDENES'!$Z507))</f>
        <v/>
      </c>
      <c r="E529" s="5">
        <f>IF('ORDENES'!$A507="","",IF('ORDENES'!$X507="","-",'ORDENES'!$X507))</f>
        <v/>
      </c>
      <c r="F529" s="5">
        <f>IF('ORDENES'!$A507="","",IF('ORDENES'!$AA507="","-",'ORDENES'!$AA507))</f>
        <v/>
      </c>
      <c r="G529" s="5">
        <f>IF('ORDENES'!$A507="","",IF('ORDENES'!$Y507="","-",'ORDENES'!$Y507))</f>
        <v/>
      </c>
      <c r="H529" s="5">
        <f>IF('ORDENES'!$A507="","",IF('ORDENES'!$AG507="","-",'ORDENES'!$AG507))</f>
        <v/>
      </c>
      <c r="I529" s="5">
        <f>IF('ORDENES'!$A507="","",IF('ORDENES'!$AT507="","-",'ORDENES'!$AT507))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20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IF('ORDENES'!$A507="","",'ORDENES'!$AF507)</f>
        <v/>
      </c>
    </row>
    <row r="530">
      <c r="A530" s="5">
        <f>IF('ORDENES'!$A508="","",IF('ORDENES'!$O508="","-",'ORDENES'!$O508))</f>
        <v/>
      </c>
      <c r="B530" s="5">
        <f>IF('ORDENES'!$A508="","",IF('ORDENES'!$S508="","-",'ORDENES'!$S508))</f>
        <v/>
      </c>
      <c r="C530" s="5">
        <f>IF('ORDENES'!$A508="","",IF('ORDENES'!$AH508="","-",'ORDENES'!$AH508))</f>
        <v/>
      </c>
      <c r="D530" s="5">
        <f>IF('ORDENES'!$A508="","",IF('ORDENES'!$Z508="","-",'ORDENES'!$Z508))</f>
        <v/>
      </c>
      <c r="E530" s="5">
        <f>IF('ORDENES'!$A508="","",IF('ORDENES'!$X508="","-",'ORDENES'!$X508))</f>
        <v/>
      </c>
      <c r="F530" s="5">
        <f>IF('ORDENES'!$A508="","",IF('ORDENES'!$AA508="","-",'ORDENES'!$AA508))</f>
        <v/>
      </c>
      <c r="G530" s="5">
        <f>IF('ORDENES'!$A508="","",IF('ORDENES'!$Y508="","-",'ORDENES'!$Y508))</f>
        <v/>
      </c>
      <c r="H530" s="5">
        <f>IF('ORDENES'!$A508="","",IF('ORDENES'!$AG508="","-",'ORDENES'!$AG508))</f>
        <v/>
      </c>
      <c r="I530" s="5">
        <f>IF('ORDENES'!$A508="","",IF('ORDENES'!$AT508="","-",'ORDENES'!$AT508))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20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IF('ORDENES'!$A508="","",'ORDENES'!$AF508)</f>
        <v/>
      </c>
    </row>
    <row r="531">
      <c r="A531" s="5">
        <f>IF('ORDENES'!$A509="","",IF('ORDENES'!$O509="","-",'ORDENES'!$O509))</f>
        <v/>
      </c>
      <c r="B531" s="5">
        <f>IF('ORDENES'!$A509="","",IF('ORDENES'!$S509="","-",'ORDENES'!$S509))</f>
        <v/>
      </c>
      <c r="C531" s="5">
        <f>IF('ORDENES'!$A509="","",IF('ORDENES'!$AH509="","-",'ORDENES'!$AH509))</f>
        <v/>
      </c>
      <c r="D531" s="5">
        <f>IF('ORDENES'!$A509="","",IF('ORDENES'!$Z509="","-",'ORDENES'!$Z509))</f>
        <v/>
      </c>
      <c r="E531" s="5">
        <f>IF('ORDENES'!$A509="","",IF('ORDENES'!$X509="","-",'ORDENES'!$X509))</f>
        <v/>
      </c>
      <c r="F531" s="5">
        <f>IF('ORDENES'!$A509="","",IF('ORDENES'!$AA509="","-",'ORDENES'!$AA509))</f>
        <v/>
      </c>
      <c r="G531" s="5">
        <f>IF('ORDENES'!$A509="","",IF('ORDENES'!$Y509="","-",'ORDENES'!$Y509))</f>
        <v/>
      </c>
      <c r="H531" s="5">
        <f>IF('ORDENES'!$A509="","",IF('ORDENES'!$AG509="","-",'ORDENES'!$AG509))</f>
        <v/>
      </c>
      <c r="I531" s="5">
        <f>IF('ORDENES'!$A509="","",IF('ORDENES'!$AT509="","-",'ORDENES'!$AT509))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20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IF('ORDENES'!$A509="","",'ORDENES'!$AF509)</f>
        <v/>
      </c>
    </row>
    <row r="532">
      <c r="A532" s="5">
        <f>IF('ORDENES'!$A510="","",IF('ORDENES'!$O510="","-",'ORDENES'!$O510))</f>
        <v/>
      </c>
      <c r="B532" s="5">
        <f>IF('ORDENES'!$A510="","",IF('ORDENES'!$S510="","-",'ORDENES'!$S510))</f>
        <v/>
      </c>
      <c r="C532" s="5">
        <f>IF('ORDENES'!$A510="","",IF('ORDENES'!$AH510="","-",'ORDENES'!$AH510))</f>
        <v/>
      </c>
      <c r="D532" s="5">
        <f>IF('ORDENES'!$A510="","",IF('ORDENES'!$Z510="","-",'ORDENES'!$Z510))</f>
        <v/>
      </c>
      <c r="E532" s="5">
        <f>IF('ORDENES'!$A510="","",IF('ORDENES'!$X510="","-",'ORDENES'!$X510))</f>
        <v/>
      </c>
      <c r="F532" s="5">
        <f>IF('ORDENES'!$A510="","",IF('ORDENES'!$AA510="","-",'ORDENES'!$AA510))</f>
        <v/>
      </c>
      <c r="G532" s="5">
        <f>IF('ORDENES'!$A510="","",IF('ORDENES'!$Y510="","-",'ORDENES'!$Y510))</f>
        <v/>
      </c>
      <c r="H532" s="5">
        <f>IF('ORDENES'!$A510="","",IF('ORDENES'!$AG510="","-",'ORDENES'!$AG510))</f>
        <v/>
      </c>
      <c r="I532" s="5">
        <f>IF('ORDENES'!$A510="","",IF('ORDENES'!$AT510="","-",'ORDENES'!$AT510))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20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IF('ORDENES'!$A510="","",'ORDENES'!$AF510)</f>
        <v/>
      </c>
    </row>
    <row r="533">
      <c r="A533" s="5">
        <f>IF('ORDENES'!$A511="","",IF('ORDENES'!$O511="","-",'ORDENES'!$O511))</f>
        <v/>
      </c>
      <c r="B533" s="5">
        <f>IF('ORDENES'!$A511="","",IF('ORDENES'!$S511="","-",'ORDENES'!$S511))</f>
        <v/>
      </c>
      <c r="C533" s="5">
        <f>IF('ORDENES'!$A511="","",IF('ORDENES'!$AH511="","-",'ORDENES'!$AH511))</f>
        <v/>
      </c>
      <c r="D533" s="5">
        <f>IF('ORDENES'!$A511="","",IF('ORDENES'!$Z511="","-",'ORDENES'!$Z511))</f>
        <v/>
      </c>
      <c r="E533" s="5">
        <f>IF('ORDENES'!$A511="","",IF('ORDENES'!$X511="","-",'ORDENES'!$X511))</f>
        <v/>
      </c>
      <c r="F533" s="5">
        <f>IF('ORDENES'!$A511="","",IF('ORDENES'!$AA511="","-",'ORDENES'!$AA511))</f>
        <v/>
      </c>
      <c r="G533" s="5">
        <f>IF('ORDENES'!$A511="","",IF('ORDENES'!$Y511="","-",'ORDENES'!$Y511))</f>
        <v/>
      </c>
      <c r="H533" s="5">
        <f>IF('ORDENES'!$A511="","",IF('ORDENES'!$AG511="","-",'ORDENES'!$AG511))</f>
        <v/>
      </c>
      <c r="I533" s="5">
        <f>IF('ORDENES'!$A511="","",IF('ORDENES'!$AT511="","-",'ORDENES'!$AT511))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20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IF('ORDENES'!$A511="","",'ORDENES'!$AF511)</f>
        <v/>
      </c>
    </row>
    <row r="534">
      <c r="A534" s="5">
        <f>IF('ORDENES'!$A512="","",IF('ORDENES'!$O512="","-",'ORDENES'!$O512))</f>
        <v/>
      </c>
      <c r="B534" s="5">
        <f>IF('ORDENES'!$A512="","",IF('ORDENES'!$S512="","-",'ORDENES'!$S512))</f>
        <v/>
      </c>
      <c r="C534" s="5">
        <f>IF('ORDENES'!$A512="","",IF('ORDENES'!$AH512="","-",'ORDENES'!$AH512))</f>
        <v/>
      </c>
      <c r="D534" s="5">
        <f>IF('ORDENES'!$A512="","",IF('ORDENES'!$Z512="","-",'ORDENES'!$Z512))</f>
        <v/>
      </c>
      <c r="E534" s="5">
        <f>IF('ORDENES'!$A512="","",IF('ORDENES'!$X512="","-",'ORDENES'!$X512))</f>
        <v/>
      </c>
      <c r="F534" s="5">
        <f>IF('ORDENES'!$A512="","",IF('ORDENES'!$AA512="","-",'ORDENES'!$AA512))</f>
        <v/>
      </c>
      <c r="G534" s="5">
        <f>IF('ORDENES'!$A512="","",IF('ORDENES'!$Y512="","-",'ORDENES'!$Y512))</f>
        <v/>
      </c>
      <c r="H534" s="5">
        <f>IF('ORDENES'!$A512="","",IF('ORDENES'!$AG512="","-",'ORDENES'!$AG512))</f>
        <v/>
      </c>
      <c r="I534" s="5">
        <f>IF('ORDENES'!$A512="","",IF('ORDENES'!$AT512="","-",'ORDENES'!$AT512))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20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IF('ORDENES'!$A512="","",'ORDENES'!$AF512)</f>
        <v/>
      </c>
    </row>
    <row r="535">
      <c r="A535" s="5">
        <f>IF('ORDENES'!$A513="","",IF('ORDENES'!$O513="","-",'ORDENES'!$O513))</f>
        <v/>
      </c>
      <c r="B535" s="5">
        <f>IF('ORDENES'!$A513="","",IF('ORDENES'!$S513="","-",'ORDENES'!$S513))</f>
        <v/>
      </c>
      <c r="C535" s="5">
        <f>IF('ORDENES'!$A513="","",IF('ORDENES'!$AH513="","-",'ORDENES'!$AH513))</f>
        <v/>
      </c>
      <c r="D535" s="5">
        <f>IF('ORDENES'!$A513="","",IF('ORDENES'!$Z513="","-",'ORDENES'!$Z513))</f>
        <v/>
      </c>
      <c r="E535" s="5">
        <f>IF('ORDENES'!$A513="","",IF('ORDENES'!$X513="","-",'ORDENES'!$X513))</f>
        <v/>
      </c>
      <c r="F535" s="5">
        <f>IF('ORDENES'!$A513="","",IF('ORDENES'!$AA513="","-",'ORDENES'!$AA513))</f>
        <v/>
      </c>
      <c r="G535" s="5">
        <f>IF('ORDENES'!$A513="","",IF('ORDENES'!$Y513="","-",'ORDENES'!$Y513))</f>
        <v/>
      </c>
      <c r="H535" s="5">
        <f>IF('ORDENES'!$A513="","",IF('ORDENES'!$AG513="","-",'ORDENES'!$AG513))</f>
        <v/>
      </c>
      <c r="I535" s="5">
        <f>IF('ORDENES'!$A513="","",IF('ORDENES'!$AT513="","-",'ORDENES'!$AT513))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20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IF('ORDENES'!$A513="","",'ORDENES'!$AF513)</f>
        <v/>
      </c>
    </row>
    <row r="536">
      <c r="A536" s="5">
        <f>IF('ORDENES'!$A514="","",IF('ORDENES'!$O514="","-",'ORDENES'!$O514))</f>
        <v/>
      </c>
      <c r="B536" s="5">
        <f>IF('ORDENES'!$A514="","",IF('ORDENES'!$S514="","-",'ORDENES'!$S514))</f>
        <v/>
      </c>
      <c r="C536" s="5">
        <f>IF('ORDENES'!$A514="","",IF('ORDENES'!$AH514="","-",'ORDENES'!$AH514))</f>
        <v/>
      </c>
      <c r="D536" s="5">
        <f>IF('ORDENES'!$A514="","",IF('ORDENES'!$Z514="","-",'ORDENES'!$Z514))</f>
        <v/>
      </c>
      <c r="E536" s="5">
        <f>IF('ORDENES'!$A514="","",IF('ORDENES'!$X514="","-",'ORDENES'!$X514))</f>
        <v/>
      </c>
      <c r="F536" s="5">
        <f>IF('ORDENES'!$A514="","",IF('ORDENES'!$AA514="","-",'ORDENES'!$AA514))</f>
        <v/>
      </c>
      <c r="G536" s="5">
        <f>IF('ORDENES'!$A514="","",IF('ORDENES'!$Y514="","-",'ORDENES'!$Y514))</f>
        <v/>
      </c>
      <c r="H536" s="5">
        <f>IF('ORDENES'!$A514="","",IF('ORDENES'!$AG514="","-",'ORDENES'!$AG514))</f>
        <v/>
      </c>
      <c r="I536" s="5">
        <f>IF('ORDENES'!$A514="","",IF('ORDENES'!$AT514="","-",'ORDENES'!$AT514))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20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IF('ORDENES'!$A514="","",'ORDENES'!$AF514)</f>
        <v/>
      </c>
    </row>
    <row r="537">
      <c r="A537" s="5">
        <f>IF('ORDENES'!$A515="","",IF('ORDENES'!$O515="","-",'ORDENES'!$O515))</f>
        <v/>
      </c>
      <c r="B537" s="5">
        <f>IF('ORDENES'!$A515="","",IF('ORDENES'!$S515="","-",'ORDENES'!$S515))</f>
        <v/>
      </c>
      <c r="C537" s="5">
        <f>IF('ORDENES'!$A515="","",IF('ORDENES'!$AH515="","-",'ORDENES'!$AH515))</f>
        <v/>
      </c>
      <c r="D537" s="5">
        <f>IF('ORDENES'!$A515="","",IF('ORDENES'!$Z515="","-",'ORDENES'!$Z515))</f>
        <v/>
      </c>
      <c r="E537" s="5">
        <f>IF('ORDENES'!$A515="","",IF('ORDENES'!$X515="","-",'ORDENES'!$X515))</f>
        <v/>
      </c>
      <c r="F537" s="5">
        <f>IF('ORDENES'!$A515="","",IF('ORDENES'!$AA515="","-",'ORDENES'!$AA515))</f>
        <v/>
      </c>
      <c r="G537" s="5">
        <f>IF('ORDENES'!$A515="","",IF('ORDENES'!$Y515="","-",'ORDENES'!$Y515))</f>
        <v/>
      </c>
      <c r="H537" s="5">
        <f>IF('ORDENES'!$A515="","",IF('ORDENES'!$AG515="","-",'ORDENES'!$AG515))</f>
        <v/>
      </c>
      <c r="I537" s="5">
        <f>IF('ORDENES'!$A515="","",IF('ORDENES'!$AT515="","-",'ORDENES'!$AT515))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20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IF('ORDENES'!$A515="","",'ORDENES'!$AF515)</f>
        <v/>
      </c>
    </row>
    <row r="538">
      <c r="A538" s="5">
        <f>IF('ORDENES'!$A516="","",IF('ORDENES'!$O516="","-",'ORDENES'!$O516))</f>
        <v/>
      </c>
      <c r="B538" s="5">
        <f>IF('ORDENES'!$A516="","",IF('ORDENES'!$S516="","-",'ORDENES'!$S516))</f>
        <v/>
      </c>
      <c r="C538" s="5">
        <f>IF('ORDENES'!$A516="","",IF('ORDENES'!$AH516="","-",'ORDENES'!$AH516))</f>
        <v/>
      </c>
      <c r="D538" s="5">
        <f>IF('ORDENES'!$A516="","",IF('ORDENES'!$Z516="","-",'ORDENES'!$Z516))</f>
        <v/>
      </c>
      <c r="E538" s="5">
        <f>IF('ORDENES'!$A516="","",IF('ORDENES'!$X516="","-",'ORDENES'!$X516))</f>
        <v/>
      </c>
      <c r="F538" s="5">
        <f>IF('ORDENES'!$A516="","",IF('ORDENES'!$AA516="","-",'ORDENES'!$AA516))</f>
        <v/>
      </c>
      <c r="G538" s="5">
        <f>IF('ORDENES'!$A516="","",IF('ORDENES'!$Y516="","-",'ORDENES'!$Y516))</f>
        <v/>
      </c>
      <c r="H538" s="5">
        <f>IF('ORDENES'!$A516="","",IF('ORDENES'!$AG516="","-",'ORDENES'!$AG516))</f>
        <v/>
      </c>
      <c r="I538" s="5">
        <f>IF('ORDENES'!$A516="","",IF('ORDENES'!$AT516="","-",'ORDENES'!$AT516))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20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IF('ORDENES'!$A516="","",'ORDENES'!$AF516)</f>
        <v/>
      </c>
    </row>
    <row r="539">
      <c r="A539" s="5">
        <f>IF('ORDENES'!$A517="","",IF('ORDENES'!$O517="","-",'ORDENES'!$O517))</f>
        <v/>
      </c>
      <c r="B539" s="5">
        <f>IF('ORDENES'!$A517="","",IF('ORDENES'!$S517="","-",'ORDENES'!$S517))</f>
        <v/>
      </c>
      <c r="C539" s="5">
        <f>IF('ORDENES'!$A517="","",IF('ORDENES'!$AH517="","-",'ORDENES'!$AH517))</f>
        <v/>
      </c>
      <c r="D539" s="5">
        <f>IF('ORDENES'!$A517="","",IF('ORDENES'!$Z517="","-",'ORDENES'!$Z517))</f>
        <v/>
      </c>
      <c r="E539" s="5">
        <f>IF('ORDENES'!$A517="","",IF('ORDENES'!$X517="","-",'ORDENES'!$X517))</f>
        <v/>
      </c>
      <c r="F539" s="5">
        <f>IF('ORDENES'!$A517="","",IF('ORDENES'!$AA517="","-",'ORDENES'!$AA517))</f>
        <v/>
      </c>
      <c r="G539" s="5">
        <f>IF('ORDENES'!$A517="","",IF('ORDENES'!$Y517="","-",'ORDENES'!$Y517))</f>
        <v/>
      </c>
      <c r="H539" s="5">
        <f>IF('ORDENES'!$A517="","",IF('ORDENES'!$AG517="","-",'ORDENES'!$AG517))</f>
        <v/>
      </c>
      <c r="I539" s="5">
        <f>IF('ORDENES'!$A517="","",IF('ORDENES'!$AT517="","-",'ORDENES'!$AT517))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20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IF('ORDENES'!$A517="","",'ORDENES'!$AF517)</f>
        <v/>
      </c>
    </row>
    <row r="540">
      <c r="A540" s="5">
        <f>IF('ORDENES'!$A518="","",IF('ORDENES'!$O518="","-",'ORDENES'!$O518))</f>
        <v/>
      </c>
      <c r="B540" s="5">
        <f>IF('ORDENES'!$A518="","",IF('ORDENES'!$S518="","-",'ORDENES'!$S518))</f>
        <v/>
      </c>
      <c r="C540" s="5">
        <f>IF('ORDENES'!$A518="","",IF('ORDENES'!$AH518="","-",'ORDENES'!$AH518))</f>
        <v/>
      </c>
      <c r="D540" s="5">
        <f>IF('ORDENES'!$A518="","",IF('ORDENES'!$Z518="","-",'ORDENES'!$Z518))</f>
        <v/>
      </c>
      <c r="E540" s="5">
        <f>IF('ORDENES'!$A518="","",IF('ORDENES'!$X518="","-",'ORDENES'!$X518))</f>
        <v/>
      </c>
      <c r="F540" s="5">
        <f>IF('ORDENES'!$A518="","",IF('ORDENES'!$AA518="","-",'ORDENES'!$AA518))</f>
        <v/>
      </c>
      <c r="G540" s="5">
        <f>IF('ORDENES'!$A518="","",IF('ORDENES'!$Y518="","-",'ORDENES'!$Y518))</f>
        <v/>
      </c>
      <c r="H540" s="5">
        <f>IF('ORDENES'!$A518="","",IF('ORDENES'!$AG518="","-",'ORDENES'!$AG518))</f>
        <v/>
      </c>
      <c r="I540" s="5">
        <f>IF('ORDENES'!$A518="","",IF('ORDENES'!$AT518="","-",'ORDENES'!$AT518))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20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IF('ORDENES'!$A518="","",'ORDENES'!$AF518)</f>
        <v/>
      </c>
    </row>
    <row r="541">
      <c r="A541" s="5">
        <f>IF('ORDENES'!$A519="","",IF('ORDENES'!$O519="","-",'ORDENES'!$O519))</f>
        <v/>
      </c>
      <c r="B541" s="5">
        <f>IF('ORDENES'!$A519="","",IF('ORDENES'!$S519="","-",'ORDENES'!$S519))</f>
        <v/>
      </c>
      <c r="C541" s="5">
        <f>IF('ORDENES'!$A519="","",IF('ORDENES'!$AH519="","-",'ORDENES'!$AH519))</f>
        <v/>
      </c>
      <c r="D541" s="5">
        <f>IF('ORDENES'!$A519="","",IF('ORDENES'!$Z519="","-",'ORDENES'!$Z519))</f>
        <v/>
      </c>
      <c r="E541" s="5">
        <f>IF('ORDENES'!$A519="","",IF('ORDENES'!$X519="","-",'ORDENES'!$X519))</f>
        <v/>
      </c>
      <c r="F541" s="5">
        <f>IF('ORDENES'!$A519="","",IF('ORDENES'!$AA519="","-",'ORDENES'!$AA519))</f>
        <v/>
      </c>
      <c r="G541" s="5">
        <f>IF('ORDENES'!$A519="","",IF('ORDENES'!$Y519="","-",'ORDENES'!$Y519))</f>
        <v/>
      </c>
      <c r="H541" s="5">
        <f>IF('ORDENES'!$A519="","",IF('ORDENES'!$AG519="","-",'ORDENES'!$AG519))</f>
        <v/>
      </c>
      <c r="I541" s="5">
        <f>IF('ORDENES'!$A519="","",IF('ORDENES'!$AT519="","-",'ORDENES'!$AT519))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20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IF('ORDENES'!$A519="","",'ORDENES'!$AF519)</f>
        <v/>
      </c>
    </row>
    <row r="542">
      <c r="A542" s="5">
        <f>IF('ORDENES'!$A520="","",IF('ORDENES'!$O520="","-",'ORDENES'!$O520))</f>
        <v/>
      </c>
      <c r="B542" s="5">
        <f>IF('ORDENES'!$A520="","",IF('ORDENES'!$S520="","-",'ORDENES'!$S520))</f>
        <v/>
      </c>
      <c r="C542" s="5">
        <f>IF('ORDENES'!$A520="","",IF('ORDENES'!$AH520="","-",'ORDENES'!$AH520))</f>
        <v/>
      </c>
      <c r="D542" s="5">
        <f>IF('ORDENES'!$A520="","",IF('ORDENES'!$Z520="","-",'ORDENES'!$Z520))</f>
        <v/>
      </c>
      <c r="E542" s="5">
        <f>IF('ORDENES'!$A520="","",IF('ORDENES'!$X520="","-",'ORDENES'!$X520))</f>
        <v/>
      </c>
      <c r="F542" s="5">
        <f>IF('ORDENES'!$A520="","",IF('ORDENES'!$AA520="","-",'ORDENES'!$AA520))</f>
        <v/>
      </c>
      <c r="G542" s="5">
        <f>IF('ORDENES'!$A520="","",IF('ORDENES'!$Y520="","-",'ORDENES'!$Y520))</f>
        <v/>
      </c>
      <c r="H542" s="5">
        <f>IF('ORDENES'!$A520="","",IF('ORDENES'!$AG520="","-",'ORDENES'!$AG520))</f>
        <v/>
      </c>
      <c r="I542" s="5">
        <f>IF('ORDENES'!$A520="","",IF('ORDENES'!$AT520="","-",'ORDENES'!$AT520))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20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IF('ORDENES'!$A520="","",'ORDENES'!$AF520)</f>
        <v/>
      </c>
    </row>
    <row r="543">
      <c r="A543" s="5">
        <f>IF('ORDENES'!$A521="","",IF('ORDENES'!$O521="","-",'ORDENES'!$O521))</f>
        <v/>
      </c>
      <c r="B543" s="5">
        <f>IF('ORDENES'!$A521="","",IF('ORDENES'!$S521="","-",'ORDENES'!$S521))</f>
        <v/>
      </c>
      <c r="C543" s="5">
        <f>IF('ORDENES'!$A521="","",IF('ORDENES'!$AH521="","-",'ORDENES'!$AH521))</f>
        <v/>
      </c>
      <c r="D543" s="5">
        <f>IF('ORDENES'!$A521="","",IF('ORDENES'!$Z521="","-",'ORDENES'!$Z521))</f>
        <v/>
      </c>
      <c r="E543" s="5">
        <f>IF('ORDENES'!$A521="","",IF('ORDENES'!$X521="","-",'ORDENES'!$X521))</f>
        <v/>
      </c>
      <c r="F543" s="5">
        <f>IF('ORDENES'!$A521="","",IF('ORDENES'!$AA521="","-",'ORDENES'!$AA521))</f>
        <v/>
      </c>
      <c r="G543" s="5">
        <f>IF('ORDENES'!$A521="","",IF('ORDENES'!$Y521="","-",'ORDENES'!$Y521))</f>
        <v/>
      </c>
      <c r="H543" s="5">
        <f>IF('ORDENES'!$A521="","",IF('ORDENES'!$AG521="","-",'ORDENES'!$AG521))</f>
        <v/>
      </c>
      <c r="I543" s="5">
        <f>IF('ORDENES'!$A521="","",IF('ORDENES'!$AT521="","-",'ORDENES'!$AT521))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20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IF('ORDENES'!$A521="","",'ORDENES'!$AF521)</f>
        <v/>
      </c>
    </row>
    <row r="544">
      <c r="A544" s="5">
        <f>IF('ORDENES'!$A522="","",IF('ORDENES'!$O522="","-",'ORDENES'!$O522))</f>
        <v/>
      </c>
      <c r="B544" s="5">
        <f>IF('ORDENES'!$A522="","",IF('ORDENES'!$S522="","-",'ORDENES'!$S522))</f>
        <v/>
      </c>
      <c r="C544" s="5">
        <f>IF('ORDENES'!$A522="","",IF('ORDENES'!$AH522="","-",'ORDENES'!$AH522))</f>
        <v/>
      </c>
      <c r="D544" s="5">
        <f>IF('ORDENES'!$A522="","",IF('ORDENES'!$Z522="","-",'ORDENES'!$Z522))</f>
        <v/>
      </c>
      <c r="E544" s="5">
        <f>IF('ORDENES'!$A522="","",IF('ORDENES'!$X522="","-",'ORDENES'!$X522))</f>
        <v/>
      </c>
      <c r="F544" s="5">
        <f>IF('ORDENES'!$A522="","",IF('ORDENES'!$AA522="","-",'ORDENES'!$AA522))</f>
        <v/>
      </c>
      <c r="G544" s="5">
        <f>IF('ORDENES'!$A522="","",IF('ORDENES'!$Y522="","-",'ORDENES'!$Y522))</f>
        <v/>
      </c>
      <c r="H544" s="5">
        <f>IF('ORDENES'!$A522="","",IF('ORDENES'!$AG522="","-",'ORDENES'!$AG522))</f>
        <v/>
      </c>
      <c r="I544" s="5">
        <f>IF('ORDENES'!$A522="","",IF('ORDENES'!$AT522="","-",'ORDENES'!$AT522))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20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IF('ORDENES'!$A522="","",'ORDENES'!$AF522)</f>
        <v/>
      </c>
    </row>
    <row r="545">
      <c r="A545" s="5">
        <f>IF('ORDENES'!$A523="","",IF('ORDENES'!$O523="","-",'ORDENES'!$O523))</f>
        <v/>
      </c>
      <c r="B545" s="5">
        <f>IF('ORDENES'!$A523="","",IF('ORDENES'!$S523="","-",'ORDENES'!$S523))</f>
        <v/>
      </c>
      <c r="C545" s="5">
        <f>IF('ORDENES'!$A523="","",IF('ORDENES'!$AH523="","-",'ORDENES'!$AH523))</f>
        <v/>
      </c>
      <c r="D545" s="5">
        <f>IF('ORDENES'!$A523="","",IF('ORDENES'!$Z523="","-",'ORDENES'!$Z523))</f>
        <v/>
      </c>
      <c r="E545" s="5">
        <f>IF('ORDENES'!$A523="","",IF('ORDENES'!$X523="","-",'ORDENES'!$X523))</f>
        <v/>
      </c>
      <c r="F545" s="5">
        <f>IF('ORDENES'!$A523="","",IF('ORDENES'!$AA523="","-",'ORDENES'!$AA523))</f>
        <v/>
      </c>
      <c r="G545" s="5">
        <f>IF('ORDENES'!$A523="","",IF('ORDENES'!$Y523="","-",'ORDENES'!$Y523))</f>
        <v/>
      </c>
      <c r="H545" s="5">
        <f>IF('ORDENES'!$A523="","",IF('ORDENES'!$AG523="","-",'ORDENES'!$AG523))</f>
        <v/>
      </c>
      <c r="I545" s="5">
        <f>IF('ORDENES'!$A523="","",IF('ORDENES'!$AT523="","-",'ORDENES'!$AT523))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20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IF('ORDENES'!$A523="","",'ORDENES'!$AF523)</f>
        <v/>
      </c>
    </row>
    <row r="546">
      <c r="A546" s="5">
        <f>IF('ORDENES'!$A524="","",IF('ORDENES'!$O524="","-",'ORDENES'!$O524))</f>
        <v/>
      </c>
      <c r="B546" s="5">
        <f>IF('ORDENES'!$A524="","",IF('ORDENES'!$S524="","-",'ORDENES'!$S524))</f>
        <v/>
      </c>
      <c r="C546" s="5">
        <f>IF('ORDENES'!$A524="","",IF('ORDENES'!$AH524="","-",'ORDENES'!$AH524))</f>
        <v/>
      </c>
      <c r="D546" s="5">
        <f>IF('ORDENES'!$A524="","",IF('ORDENES'!$Z524="","-",'ORDENES'!$Z524))</f>
        <v/>
      </c>
      <c r="E546" s="5">
        <f>IF('ORDENES'!$A524="","",IF('ORDENES'!$X524="","-",'ORDENES'!$X524))</f>
        <v/>
      </c>
      <c r="F546" s="5">
        <f>IF('ORDENES'!$A524="","",IF('ORDENES'!$AA524="","-",'ORDENES'!$AA524))</f>
        <v/>
      </c>
      <c r="G546" s="5">
        <f>IF('ORDENES'!$A524="","",IF('ORDENES'!$Y524="","-",'ORDENES'!$Y524))</f>
        <v/>
      </c>
      <c r="H546" s="5">
        <f>IF('ORDENES'!$A524="","",IF('ORDENES'!$AG524="","-",'ORDENES'!$AG524))</f>
        <v/>
      </c>
      <c r="I546" s="5">
        <f>IF('ORDENES'!$A524="","",IF('ORDENES'!$AT524="","-",'ORDENES'!$AT524))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20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IF('ORDENES'!$A524="","",'ORDENES'!$AF524)</f>
        <v/>
      </c>
    </row>
    <row r="547">
      <c r="A547" s="5">
        <f>IF('ORDENES'!$A525="","",IF('ORDENES'!$O525="","-",'ORDENES'!$O525))</f>
        <v/>
      </c>
      <c r="B547" s="5">
        <f>IF('ORDENES'!$A525="","",IF('ORDENES'!$S525="","-",'ORDENES'!$S525))</f>
        <v/>
      </c>
      <c r="C547" s="5">
        <f>IF('ORDENES'!$A525="","",IF('ORDENES'!$AH525="","-",'ORDENES'!$AH525))</f>
        <v/>
      </c>
      <c r="D547" s="5">
        <f>IF('ORDENES'!$A525="","",IF('ORDENES'!$Z525="","-",'ORDENES'!$Z525))</f>
        <v/>
      </c>
      <c r="E547" s="5">
        <f>IF('ORDENES'!$A525="","",IF('ORDENES'!$X525="","-",'ORDENES'!$X525))</f>
        <v/>
      </c>
      <c r="F547" s="5">
        <f>IF('ORDENES'!$A525="","",IF('ORDENES'!$AA525="","-",'ORDENES'!$AA525))</f>
        <v/>
      </c>
      <c r="G547" s="5">
        <f>IF('ORDENES'!$A525="","",IF('ORDENES'!$Y525="","-",'ORDENES'!$Y525))</f>
        <v/>
      </c>
      <c r="H547" s="5">
        <f>IF('ORDENES'!$A525="","",IF('ORDENES'!$AG525="","-",'ORDENES'!$AG525))</f>
        <v/>
      </c>
      <c r="I547" s="5">
        <f>IF('ORDENES'!$A525="","",IF('ORDENES'!$AT525="","-",'ORDENES'!$AT525))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20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IF('ORDENES'!$A525="","",'ORDENES'!$AF525)</f>
        <v/>
      </c>
    </row>
    <row r="548">
      <c r="A548" s="5">
        <f>IF('ORDENES'!$A526="","",IF('ORDENES'!$O526="","-",'ORDENES'!$O526))</f>
        <v/>
      </c>
      <c r="B548" s="5">
        <f>IF('ORDENES'!$A526="","",IF('ORDENES'!$S526="","-",'ORDENES'!$S526))</f>
        <v/>
      </c>
      <c r="C548" s="5">
        <f>IF('ORDENES'!$A526="","",IF('ORDENES'!$AH526="","-",'ORDENES'!$AH526))</f>
        <v/>
      </c>
      <c r="D548" s="5">
        <f>IF('ORDENES'!$A526="","",IF('ORDENES'!$Z526="","-",'ORDENES'!$Z526))</f>
        <v/>
      </c>
      <c r="E548" s="5">
        <f>IF('ORDENES'!$A526="","",IF('ORDENES'!$X526="","-",'ORDENES'!$X526))</f>
        <v/>
      </c>
      <c r="F548" s="5">
        <f>IF('ORDENES'!$A526="","",IF('ORDENES'!$AA526="","-",'ORDENES'!$AA526))</f>
        <v/>
      </c>
      <c r="G548" s="5">
        <f>IF('ORDENES'!$A526="","",IF('ORDENES'!$Y526="","-",'ORDENES'!$Y526))</f>
        <v/>
      </c>
      <c r="H548" s="5">
        <f>IF('ORDENES'!$A526="","",IF('ORDENES'!$AG526="","-",'ORDENES'!$AG526))</f>
        <v/>
      </c>
      <c r="I548" s="5">
        <f>IF('ORDENES'!$A526="","",IF('ORDENES'!$AT526="","-",'ORDENES'!$AT526))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20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IF('ORDENES'!$A526="","",'ORDENES'!$AF526)</f>
        <v/>
      </c>
    </row>
    <row r="549">
      <c r="A549" s="5">
        <f>IF('ORDENES'!$A527="","",IF('ORDENES'!$O527="","-",'ORDENES'!$O527))</f>
        <v/>
      </c>
      <c r="B549" s="5">
        <f>IF('ORDENES'!$A527="","",IF('ORDENES'!$S527="","-",'ORDENES'!$S527))</f>
        <v/>
      </c>
      <c r="C549" s="5">
        <f>IF('ORDENES'!$A527="","",IF('ORDENES'!$AH527="","-",'ORDENES'!$AH527))</f>
        <v/>
      </c>
      <c r="D549" s="5">
        <f>IF('ORDENES'!$A527="","",IF('ORDENES'!$Z527="","-",'ORDENES'!$Z527))</f>
        <v/>
      </c>
      <c r="E549" s="5">
        <f>IF('ORDENES'!$A527="","",IF('ORDENES'!$X527="","-",'ORDENES'!$X527))</f>
        <v/>
      </c>
      <c r="F549" s="5">
        <f>IF('ORDENES'!$A527="","",IF('ORDENES'!$AA527="","-",'ORDENES'!$AA527))</f>
        <v/>
      </c>
      <c r="G549" s="5">
        <f>IF('ORDENES'!$A527="","",IF('ORDENES'!$Y527="","-",'ORDENES'!$Y527))</f>
        <v/>
      </c>
      <c r="H549" s="5">
        <f>IF('ORDENES'!$A527="","",IF('ORDENES'!$AG527="","-",'ORDENES'!$AG527))</f>
        <v/>
      </c>
      <c r="I549" s="5">
        <f>IF('ORDENES'!$A527="","",IF('ORDENES'!$AT527="","-",'ORDENES'!$AT527))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20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IF('ORDENES'!$A527="","",'ORDENES'!$AF527)</f>
        <v/>
      </c>
    </row>
    <row r="550">
      <c r="A550" s="5">
        <f>IF('ORDENES'!$A528="","",IF('ORDENES'!$O528="","-",'ORDENES'!$O528))</f>
        <v/>
      </c>
      <c r="B550" s="5">
        <f>IF('ORDENES'!$A528="","",IF('ORDENES'!$S528="","-",'ORDENES'!$S528))</f>
        <v/>
      </c>
      <c r="C550" s="5">
        <f>IF('ORDENES'!$A528="","",IF('ORDENES'!$AH528="","-",'ORDENES'!$AH528))</f>
        <v/>
      </c>
      <c r="D550" s="5">
        <f>IF('ORDENES'!$A528="","",IF('ORDENES'!$Z528="","-",'ORDENES'!$Z528))</f>
        <v/>
      </c>
      <c r="E550" s="5">
        <f>IF('ORDENES'!$A528="","",IF('ORDENES'!$X528="","-",'ORDENES'!$X528))</f>
        <v/>
      </c>
      <c r="F550" s="5">
        <f>IF('ORDENES'!$A528="","",IF('ORDENES'!$AA528="","-",'ORDENES'!$AA528))</f>
        <v/>
      </c>
      <c r="G550" s="5">
        <f>IF('ORDENES'!$A528="","",IF('ORDENES'!$Y528="","-",'ORDENES'!$Y528))</f>
        <v/>
      </c>
      <c r="H550" s="5">
        <f>IF('ORDENES'!$A528="","",IF('ORDENES'!$AG528="","-",'ORDENES'!$AG528))</f>
        <v/>
      </c>
      <c r="I550" s="5">
        <f>IF('ORDENES'!$A528="","",IF('ORDENES'!$AT528="","-",'ORDENES'!$AT528))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20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IF('ORDENES'!$A528="","",'ORDENES'!$AF528)</f>
        <v/>
      </c>
    </row>
    <row r="551">
      <c r="A551" s="5">
        <f>IF('ORDENES'!$A529="","",IF('ORDENES'!$O529="","-",'ORDENES'!$O529))</f>
        <v/>
      </c>
      <c r="B551" s="5">
        <f>IF('ORDENES'!$A529="","",IF('ORDENES'!$S529="","-",'ORDENES'!$S529))</f>
        <v/>
      </c>
      <c r="C551" s="5">
        <f>IF('ORDENES'!$A529="","",IF('ORDENES'!$AH529="","-",'ORDENES'!$AH529))</f>
        <v/>
      </c>
      <c r="D551" s="5">
        <f>IF('ORDENES'!$A529="","",IF('ORDENES'!$Z529="","-",'ORDENES'!$Z529))</f>
        <v/>
      </c>
      <c r="E551" s="5">
        <f>IF('ORDENES'!$A529="","",IF('ORDENES'!$X529="","-",'ORDENES'!$X529))</f>
        <v/>
      </c>
      <c r="F551" s="5">
        <f>IF('ORDENES'!$A529="","",IF('ORDENES'!$AA529="","-",'ORDENES'!$AA529))</f>
        <v/>
      </c>
      <c r="G551" s="5">
        <f>IF('ORDENES'!$A529="","",IF('ORDENES'!$Y529="","-",'ORDENES'!$Y529))</f>
        <v/>
      </c>
      <c r="H551" s="5">
        <f>IF('ORDENES'!$A529="","",IF('ORDENES'!$AG529="","-",'ORDENES'!$AG529))</f>
        <v/>
      </c>
      <c r="I551" s="5">
        <f>IF('ORDENES'!$A529="","",IF('ORDENES'!$AT529="","-",'ORDENES'!$AT529))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20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IF('ORDENES'!$A529="","",'ORDENES'!$AF529)</f>
        <v/>
      </c>
    </row>
    <row r="552">
      <c r="A552" s="5">
        <f>IF('ORDENES'!$A530="","",IF('ORDENES'!$O530="","-",'ORDENES'!$O530))</f>
        <v/>
      </c>
      <c r="B552" s="5">
        <f>IF('ORDENES'!$A530="","",IF('ORDENES'!$S530="","-",'ORDENES'!$S530))</f>
        <v/>
      </c>
      <c r="C552" s="5">
        <f>IF('ORDENES'!$A530="","",IF('ORDENES'!$AH530="","-",'ORDENES'!$AH530))</f>
        <v/>
      </c>
      <c r="D552" s="5">
        <f>IF('ORDENES'!$A530="","",IF('ORDENES'!$Z530="","-",'ORDENES'!$Z530))</f>
        <v/>
      </c>
      <c r="E552" s="5">
        <f>IF('ORDENES'!$A530="","",IF('ORDENES'!$X530="","-",'ORDENES'!$X530))</f>
        <v/>
      </c>
      <c r="F552" s="5">
        <f>IF('ORDENES'!$A530="","",IF('ORDENES'!$AA530="","-",'ORDENES'!$AA530))</f>
        <v/>
      </c>
      <c r="G552" s="5">
        <f>IF('ORDENES'!$A530="","",IF('ORDENES'!$Y530="","-",'ORDENES'!$Y530))</f>
        <v/>
      </c>
      <c r="H552" s="5">
        <f>IF('ORDENES'!$A530="","",IF('ORDENES'!$AG530="","-",'ORDENES'!$AG530))</f>
        <v/>
      </c>
      <c r="I552" s="5">
        <f>IF('ORDENES'!$A530="","",IF('ORDENES'!$AT530="","-",'ORDENES'!$AT530))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20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IF('ORDENES'!$A530="","",'ORDENES'!$AF530)</f>
        <v/>
      </c>
    </row>
    <row r="553">
      <c r="A553" s="5">
        <f>IF('ORDENES'!$A531="","",IF('ORDENES'!$O531="","-",'ORDENES'!$O531))</f>
        <v/>
      </c>
      <c r="B553" s="5">
        <f>IF('ORDENES'!$A531="","",IF('ORDENES'!$S531="","-",'ORDENES'!$S531))</f>
        <v/>
      </c>
      <c r="C553" s="5">
        <f>IF('ORDENES'!$A531="","",IF('ORDENES'!$AH531="","-",'ORDENES'!$AH531))</f>
        <v/>
      </c>
      <c r="D553" s="5">
        <f>IF('ORDENES'!$A531="","",IF('ORDENES'!$Z531="","-",'ORDENES'!$Z531))</f>
        <v/>
      </c>
      <c r="E553" s="5">
        <f>IF('ORDENES'!$A531="","",IF('ORDENES'!$X531="","-",'ORDENES'!$X531))</f>
        <v/>
      </c>
      <c r="F553" s="5">
        <f>IF('ORDENES'!$A531="","",IF('ORDENES'!$AA531="","-",'ORDENES'!$AA531))</f>
        <v/>
      </c>
      <c r="G553" s="5">
        <f>IF('ORDENES'!$A531="","",IF('ORDENES'!$Y531="","-",'ORDENES'!$Y531))</f>
        <v/>
      </c>
      <c r="H553" s="5">
        <f>IF('ORDENES'!$A531="","",IF('ORDENES'!$AG531="","-",'ORDENES'!$AG531))</f>
        <v/>
      </c>
      <c r="I553" s="5">
        <f>IF('ORDENES'!$A531="","",IF('ORDENES'!$AT531="","-",'ORDENES'!$AT531))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20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IF('ORDENES'!$A531="","",'ORDENES'!$AF531)</f>
        <v/>
      </c>
    </row>
    <row r="554">
      <c r="A554" s="5">
        <f>IF('ORDENES'!$A532="","",IF('ORDENES'!$O532="","-",'ORDENES'!$O532))</f>
        <v/>
      </c>
      <c r="B554" s="5">
        <f>IF('ORDENES'!$A532="","",IF('ORDENES'!$S532="","-",'ORDENES'!$S532))</f>
        <v/>
      </c>
      <c r="C554" s="5">
        <f>IF('ORDENES'!$A532="","",IF('ORDENES'!$AH532="","-",'ORDENES'!$AH532))</f>
        <v/>
      </c>
      <c r="D554" s="5">
        <f>IF('ORDENES'!$A532="","",IF('ORDENES'!$Z532="","-",'ORDENES'!$Z532))</f>
        <v/>
      </c>
      <c r="E554" s="5">
        <f>IF('ORDENES'!$A532="","",IF('ORDENES'!$X532="","-",'ORDENES'!$X532))</f>
        <v/>
      </c>
      <c r="F554" s="5">
        <f>IF('ORDENES'!$A532="","",IF('ORDENES'!$AA532="","-",'ORDENES'!$AA532))</f>
        <v/>
      </c>
      <c r="G554" s="5">
        <f>IF('ORDENES'!$A532="","",IF('ORDENES'!$Y532="","-",'ORDENES'!$Y532))</f>
        <v/>
      </c>
      <c r="H554" s="5">
        <f>IF('ORDENES'!$A532="","",IF('ORDENES'!$AG532="","-",'ORDENES'!$AG532))</f>
        <v/>
      </c>
      <c r="I554" s="5">
        <f>IF('ORDENES'!$A532="","",IF('ORDENES'!$AT532="","-",'ORDENES'!$AT532))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20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IF('ORDENES'!$A532="","",'ORDENES'!$AF532)</f>
        <v/>
      </c>
    </row>
    <row r="555">
      <c r="A555" s="5">
        <f>IF('ORDENES'!$A533="","",IF('ORDENES'!$O533="","-",'ORDENES'!$O533))</f>
        <v/>
      </c>
      <c r="B555" s="5">
        <f>IF('ORDENES'!$A533="","",IF('ORDENES'!$S533="","-",'ORDENES'!$S533))</f>
        <v/>
      </c>
      <c r="C555" s="5">
        <f>IF('ORDENES'!$A533="","",IF('ORDENES'!$AH533="","-",'ORDENES'!$AH533))</f>
        <v/>
      </c>
      <c r="D555" s="5">
        <f>IF('ORDENES'!$A533="","",IF('ORDENES'!$Z533="","-",'ORDENES'!$Z533))</f>
        <v/>
      </c>
      <c r="E555" s="5">
        <f>IF('ORDENES'!$A533="","",IF('ORDENES'!$X533="","-",'ORDENES'!$X533))</f>
        <v/>
      </c>
      <c r="F555" s="5">
        <f>IF('ORDENES'!$A533="","",IF('ORDENES'!$AA533="","-",'ORDENES'!$AA533))</f>
        <v/>
      </c>
      <c r="G555" s="5">
        <f>IF('ORDENES'!$A533="","",IF('ORDENES'!$Y533="","-",'ORDENES'!$Y533))</f>
        <v/>
      </c>
      <c r="H555" s="5">
        <f>IF('ORDENES'!$A533="","",IF('ORDENES'!$AG533="","-",'ORDENES'!$AG533))</f>
        <v/>
      </c>
      <c r="I555" s="5">
        <f>IF('ORDENES'!$A533="","",IF('ORDENES'!$AT533="","-",'ORDENES'!$AT533))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20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IF('ORDENES'!$A533="","",'ORDENES'!$AF533)</f>
        <v/>
      </c>
    </row>
    <row r="556">
      <c r="A556" s="5">
        <f>IF('ORDENES'!$A534="","",IF('ORDENES'!$O534="","-",'ORDENES'!$O534))</f>
        <v/>
      </c>
      <c r="B556" s="5">
        <f>IF('ORDENES'!$A534="","",IF('ORDENES'!$S534="","-",'ORDENES'!$S534))</f>
        <v/>
      </c>
      <c r="C556" s="5">
        <f>IF('ORDENES'!$A534="","",IF('ORDENES'!$AH534="","-",'ORDENES'!$AH534))</f>
        <v/>
      </c>
      <c r="D556" s="5">
        <f>IF('ORDENES'!$A534="","",IF('ORDENES'!$Z534="","-",'ORDENES'!$Z534))</f>
        <v/>
      </c>
      <c r="E556" s="5">
        <f>IF('ORDENES'!$A534="","",IF('ORDENES'!$X534="","-",'ORDENES'!$X534))</f>
        <v/>
      </c>
      <c r="F556" s="5">
        <f>IF('ORDENES'!$A534="","",IF('ORDENES'!$AA534="","-",'ORDENES'!$AA534))</f>
        <v/>
      </c>
      <c r="G556" s="5">
        <f>IF('ORDENES'!$A534="","",IF('ORDENES'!$Y534="","-",'ORDENES'!$Y534))</f>
        <v/>
      </c>
      <c r="H556" s="5">
        <f>IF('ORDENES'!$A534="","",IF('ORDENES'!$AG534="","-",'ORDENES'!$AG534))</f>
        <v/>
      </c>
      <c r="I556" s="5">
        <f>IF('ORDENES'!$A534="","",IF('ORDENES'!$AT534="","-",'ORDENES'!$AT534))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20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IF('ORDENES'!$A534="","",'ORDENES'!$AF534)</f>
        <v/>
      </c>
    </row>
    <row r="557">
      <c r="A557" s="5">
        <f>IF('ORDENES'!$A535="","",IF('ORDENES'!$O535="","-",'ORDENES'!$O535))</f>
        <v/>
      </c>
      <c r="B557" s="5">
        <f>IF('ORDENES'!$A535="","",IF('ORDENES'!$S535="","-",'ORDENES'!$S535))</f>
        <v/>
      </c>
      <c r="C557" s="5">
        <f>IF('ORDENES'!$A535="","",IF('ORDENES'!$AH535="","-",'ORDENES'!$AH535))</f>
        <v/>
      </c>
      <c r="D557" s="5">
        <f>IF('ORDENES'!$A535="","",IF('ORDENES'!$Z535="","-",'ORDENES'!$Z535))</f>
        <v/>
      </c>
      <c r="E557" s="5">
        <f>IF('ORDENES'!$A535="","",IF('ORDENES'!$X535="","-",'ORDENES'!$X535))</f>
        <v/>
      </c>
      <c r="F557" s="5">
        <f>IF('ORDENES'!$A535="","",IF('ORDENES'!$AA535="","-",'ORDENES'!$AA535))</f>
        <v/>
      </c>
      <c r="G557" s="5">
        <f>IF('ORDENES'!$A535="","",IF('ORDENES'!$Y535="","-",'ORDENES'!$Y535))</f>
        <v/>
      </c>
      <c r="H557" s="5">
        <f>IF('ORDENES'!$A535="","",IF('ORDENES'!$AG535="","-",'ORDENES'!$AG535))</f>
        <v/>
      </c>
      <c r="I557" s="5">
        <f>IF('ORDENES'!$A535="","",IF('ORDENES'!$AT535="","-",'ORDENES'!$AT535))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20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IF('ORDENES'!$A535="","",'ORDENES'!$AF535)</f>
        <v/>
      </c>
    </row>
    <row r="558">
      <c r="A558" s="5">
        <f>IF('ORDENES'!$A536="","",IF('ORDENES'!$O536="","-",'ORDENES'!$O536))</f>
        <v/>
      </c>
      <c r="B558" s="5">
        <f>IF('ORDENES'!$A536="","",IF('ORDENES'!$S536="","-",'ORDENES'!$S536))</f>
        <v/>
      </c>
      <c r="C558" s="5">
        <f>IF('ORDENES'!$A536="","",IF('ORDENES'!$AH536="","-",'ORDENES'!$AH536))</f>
        <v/>
      </c>
      <c r="D558" s="5">
        <f>IF('ORDENES'!$A536="","",IF('ORDENES'!$Z536="","-",'ORDENES'!$Z536))</f>
        <v/>
      </c>
      <c r="E558" s="5">
        <f>IF('ORDENES'!$A536="","",IF('ORDENES'!$X536="","-",'ORDENES'!$X536))</f>
        <v/>
      </c>
      <c r="F558" s="5">
        <f>IF('ORDENES'!$A536="","",IF('ORDENES'!$AA536="","-",'ORDENES'!$AA536))</f>
        <v/>
      </c>
      <c r="G558" s="5">
        <f>IF('ORDENES'!$A536="","",IF('ORDENES'!$Y536="","-",'ORDENES'!$Y536))</f>
        <v/>
      </c>
      <c r="H558" s="5">
        <f>IF('ORDENES'!$A536="","",IF('ORDENES'!$AG536="","-",'ORDENES'!$AG536))</f>
        <v/>
      </c>
      <c r="I558" s="5">
        <f>IF('ORDENES'!$A536="","",IF('ORDENES'!$AT536="","-",'ORDENES'!$AT536))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20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IF('ORDENES'!$A536="","",'ORDENES'!$AF536)</f>
        <v/>
      </c>
    </row>
    <row r="559">
      <c r="A559" s="5">
        <f>IF('ORDENES'!$A537="","",IF('ORDENES'!$O537="","-",'ORDENES'!$O537))</f>
        <v/>
      </c>
      <c r="B559" s="5">
        <f>IF('ORDENES'!$A537="","",IF('ORDENES'!$S537="","-",'ORDENES'!$S537))</f>
        <v/>
      </c>
      <c r="C559" s="5">
        <f>IF('ORDENES'!$A537="","",IF('ORDENES'!$AH537="","-",'ORDENES'!$AH537))</f>
        <v/>
      </c>
      <c r="D559" s="5">
        <f>IF('ORDENES'!$A537="","",IF('ORDENES'!$Z537="","-",'ORDENES'!$Z537))</f>
        <v/>
      </c>
      <c r="E559" s="5">
        <f>IF('ORDENES'!$A537="","",IF('ORDENES'!$X537="","-",'ORDENES'!$X537))</f>
        <v/>
      </c>
      <c r="F559" s="5">
        <f>IF('ORDENES'!$A537="","",IF('ORDENES'!$AA537="","-",'ORDENES'!$AA537))</f>
        <v/>
      </c>
      <c r="G559" s="5">
        <f>IF('ORDENES'!$A537="","",IF('ORDENES'!$Y537="","-",'ORDENES'!$Y537))</f>
        <v/>
      </c>
      <c r="H559" s="5">
        <f>IF('ORDENES'!$A537="","",IF('ORDENES'!$AG537="","-",'ORDENES'!$AG537))</f>
        <v/>
      </c>
      <c r="I559" s="5">
        <f>IF('ORDENES'!$A537="","",IF('ORDENES'!$AT537="","-",'ORDENES'!$AT537))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20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IF('ORDENES'!$A537="","",'ORDENES'!$AF537)</f>
        <v/>
      </c>
    </row>
    <row r="560">
      <c r="A560" s="5">
        <f>IF('ORDENES'!$A538="","",IF('ORDENES'!$O538="","-",'ORDENES'!$O538))</f>
        <v/>
      </c>
      <c r="B560" s="5">
        <f>IF('ORDENES'!$A538="","",IF('ORDENES'!$S538="","-",'ORDENES'!$S538))</f>
        <v/>
      </c>
      <c r="C560" s="5">
        <f>IF('ORDENES'!$A538="","",IF('ORDENES'!$AH538="","-",'ORDENES'!$AH538))</f>
        <v/>
      </c>
      <c r="D560" s="5">
        <f>IF('ORDENES'!$A538="","",IF('ORDENES'!$Z538="","-",'ORDENES'!$Z538))</f>
        <v/>
      </c>
      <c r="E560" s="5">
        <f>IF('ORDENES'!$A538="","",IF('ORDENES'!$X538="","-",'ORDENES'!$X538))</f>
        <v/>
      </c>
      <c r="F560" s="5">
        <f>IF('ORDENES'!$A538="","",IF('ORDENES'!$AA538="","-",'ORDENES'!$AA538))</f>
        <v/>
      </c>
      <c r="G560" s="5">
        <f>IF('ORDENES'!$A538="","",IF('ORDENES'!$Y538="","-",'ORDENES'!$Y538))</f>
        <v/>
      </c>
      <c r="H560" s="5">
        <f>IF('ORDENES'!$A538="","",IF('ORDENES'!$AG538="","-",'ORDENES'!$AG538))</f>
        <v/>
      </c>
      <c r="I560" s="5">
        <f>IF('ORDENES'!$A538="","",IF('ORDENES'!$AT538="","-",'ORDENES'!$AT538))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20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IF('ORDENES'!$A538="","",'ORDENES'!$AF538)</f>
        <v/>
      </c>
    </row>
    <row r="561">
      <c r="A561" s="5">
        <f>IF('ORDENES'!$A539="","",IF('ORDENES'!$O539="","-",'ORDENES'!$O539))</f>
        <v/>
      </c>
      <c r="B561" s="5">
        <f>IF('ORDENES'!$A539="","",IF('ORDENES'!$S539="","-",'ORDENES'!$S539))</f>
        <v/>
      </c>
      <c r="C561" s="5">
        <f>IF('ORDENES'!$A539="","",IF('ORDENES'!$AH539="","-",'ORDENES'!$AH539))</f>
        <v/>
      </c>
      <c r="D561" s="5">
        <f>IF('ORDENES'!$A539="","",IF('ORDENES'!$Z539="","-",'ORDENES'!$Z539))</f>
        <v/>
      </c>
      <c r="E561" s="5">
        <f>IF('ORDENES'!$A539="","",IF('ORDENES'!$X539="","-",'ORDENES'!$X539))</f>
        <v/>
      </c>
      <c r="F561" s="5">
        <f>IF('ORDENES'!$A539="","",IF('ORDENES'!$AA539="","-",'ORDENES'!$AA539))</f>
        <v/>
      </c>
      <c r="G561" s="5">
        <f>IF('ORDENES'!$A539="","",IF('ORDENES'!$Y539="","-",'ORDENES'!$Y539))</f>
        <v/>
      </c>
      <c r="H561" s="5">
        <f>IF('ORDENES'!$A539="","",IF('ORDENES'!$AG539="","-",'ORDENES'!$AG539))</f>
        <v/>
      </c>
      <c r="I561" s="5">
        <f>IF('ORDENES'!$A539="","",IF('ORDENES'!$AT539="","-",'ORDENES'!$AT539))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20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IF('ORDENES'!$A539="","",'ORDENES'!$AF539)</f>
        <v/>
      </c>
    </row>
    <row r="562">
      <c r="A562" s="5">
        <f>IF('ORDENES'!$A540="","",IF('ORDENES'!$O540="","-",'ORDENES'!$O540))</f>
        <v/>
      </c>
      <c r="B562" s="5">
        <f>IF('ORDENES'!$A540="","",IF('ORDENES'!$S540="","-",'ORDENES'!$S540))</f>
        <v/>
      </c>
      <c r="C562" s="5">
        <f>IF('ORDENES'!$A540="","",IF('ORDENES'!$AH540="","-",'ORDENES'!$AH540))</f>
        <v/>
      </c>
      <c r="D562" s="5">
        <f>IF('ORDENES'!$A540="","",IF('ORDENES'!$Z540="","-",'ORDENES'!$Z540))</f>
        <v/>
      </c>
      <c r="E562" s="5">
        <f>IF('ORDENES'!$A540="","",IF('ORDENES'!$X540="","-",'ORDENES'!$X540))</f>
        <v/>
      </c>
      <c r="F562" s="5">
        <f>IF('ORDENES'!$A540="","",IF('ORDENES'!$AA540="","-",'ORDENES'!$AA540))</f>
        <v/>
      </c>
      <c r="G562" s="5">
        <f>IF('ORDENES'!$A540="","",IF('ORDENES'!$Y540="","-",'ORDENES'!$Y540))</f>
        <v/>
      </c>
      <c r="H562" s="5">
        <f>IF('ORDENES'!$A540="","",IF('ORDENES'!$AG540="","-",'ORDENES'!$AG540))</f>
        <v/>
      </c>
      <c r="I562" s="5">
        <f>IF('ORDENES'!$A540="","",IF('ORDENES'!$AT540="","-",'ORDENES'!$AT540))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20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IF('ORDENES'!$A540="","",'ORDENES'!$AF540)</f>
        <v/>
      </c>
    </row>
    <row r="563">
      <c r="A563" s="5">
        <f>IF('ORDENES'!$A541="","",IF('ORDENES'!$O541="","-",'ORDENES'!$O541))</f>
        <v/>
      </c>
      <c r="B563" s="5">
        <f>IF('ORDENES'!$A541="","",IF('ORDENES'!$S541="","-",'ORDENES'!$S541))</f>
        <v/>
      </c>
      <c r="C563" s="5">
        <f>IF('ORDENES'!$A541="","",IF('ORDENES'!$AH541="","-",'ORDENES'!$AH541))</f>
        <v/>
      </c>
      <c r="D563" s="5">
        <f>IF('ORDENES'!$A541="","",IF('ORDENES'!$Z541="","-",'ORDENES'!$Z541))</f>
        <v/>
      </c>
      <c r="E563" s="5">
        <f>IF('ORDENES'!$A541="","",IF('ORDENES'!$X541="","-",'ORDENES'!$X541))</f>
        <v/>
      </c>
      <c r="F563" s="5">
        <f>IF('ORDENES'!$A541="","",IF('ORDENES'!$AA541="","-",'ORDENES'!$AA541))</f>
        <v/>
      </c>
      <c r="G563" s="5">
        <f>IF('ORDENES'!$A541="","",IF('ORDENES'!$Y541="","-",'ORDENES'!$Y541))</f>
        <v/>
      </c>
      <c r="H563" s="5">
        <f>IF('ORDENES'!$A541="","",IF('ORDENES'!$AG541="","-",'ORDENES'!$AG541))</f>
        <v/>
      </c>
      <c r="I563" s="5">
        <f>IF('ORDENES'!$A541="","",IF('ORDENES'!$AT541="","-",'ORDENES'!$AT541))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20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IF('ORDENES'!$A541="","",'ORDENES'!$AF541)</f>
        <v/>
      </c>
    </row>
    <row r="564">
      <c r="A564" s="5">
        <f>IF('ORDENES'!$A542="","",IF('ORDENES'!$O542="","-",'ORDENES'!$O542))</f>
        <v/>
      </c>
      <c r="B564" s="5">
        <f>IF('ORDENES'!$A542="","",IF('ORDENES'!$S542="","-",'ORDENES'!$S542))</f>
        <v/>
      </c>
      <c r="C564" s="5">
        <f>IF('ORDENES'!$A542="","",IF('ORDENES'!$AH542="","-",'ORDENES'!$AH542))</f>
        <v/>
      </c>
      <c r="D564" s="5">
        <f>IF('ORDENES'!$A542="","",IF('ORDENES'!$Z542="","-",'ORDENES'!$Z542))</f>
        <v/>
      </c>
      <c r="E564" s="5">
        <f>IF('ORDENES'!$A542="","",IF('ORDENES'!$X542="","-",'ORDENES'!$X542))</f>
        <v/>
      </c>
      <c r="F564" s="5">
        <f>IF('ORDENES'!$A542="","",IF('ORDENES'!$AA542="","-",'ORDENES'!$AA542))</f>
        <v/>
      </c>
      <c r="G564" s="5">
        <f>IF('ORDENES'!$A542="","",IF('ORDENES'!$Y542="","-",'ORDENES'!$Y542))</f>
        <v/>
      </c>
      <c r="H564" s="5">
        <f>IF('ORDENES'!$A542="","",IF('ORDENES'!$AG542="","-",'ORDENES'!$AG542))</f>
        <v/>
      </c>
      <c r="I564" s="5">
        <f>IF('ORDENES'!$A542="","",IF('ORDENES'!$AT542="","-",'ORDENES'!$AT542))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20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IF('ORDENES'!$A542="","",'ORDENES'!$AF542)</f>
        <v/>
      </c>
    </row>
    <row r="565">
      <c r="A565" s="5">
        <f>IF('ORDENES'!$A543="","",IF('ORDENES'!$O543="","-",'ORDENES'!$O543))</f>
        <v/>
      </c>
      <c r="B565" s="5">
        <f>IF('ORDENES'!$A543="","",IF('ORDENES'!$S543="","-",'ORDENES'!$S543))</f>
        <v/>
      </c>
      <c r="C565" s="5">
        <f>IF('ORDENES'!$A543="","",IF('ORDENES'!$AH543="","-",'ORDENES'!$AH543))</f>
        <v/>
      </c>
      <c r="D565" s="5">
        <f>IF('ORDENES'!$A543="","",IF('ORDENES'!$Z543="","-",'ORDENES'!$Z543))</f>
        <v/>
      </c>
      <c r="E565" s="5">
        <f>IF('ORDENES'!$A543="","",IF('ORDENES'!$X543="","-",'ORDENES'!$X543))</f>
        <v/>
      </c>
      <c r="F565" s="5">
        <f>IF('ORDENES'!$A543="","",IF('ORDENES'!$AA543="","-",'ORDENES'!$AA543))</f>
        <v/>
      </c>
      <c r="G565" s="5">
        <f>IF('ORDENES'!$A543="","",IF('ORDENES'!$Y543="","-",'ORDENES'!$Y543))</f>
        <v/>
      </c>
      <c r="H565" s="5">
        <f>IF('ORDENES'!$A543="","",IF('ORDENES'!$AG543="","-",'ORDENES'!$AG543))</f>
        <v/>
      </c>
      <c r="I565" s="5">
        <f>IF('ORDENES'!$A543="","",IF('ORDENES'!$AT543="","-",'ORDENES'!$AT543))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20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IF('ORDENES'!$A543="","",'ORDENES'!$AF543)</f>
        <v/>
      </c>
    </row>
    <row r="566">
      <c r="A566" s="5">
        <f>IF('ORDENES'!$A544="","",IF('ORDENES'!$O544="","-",'ORDENES'!$O544))</f>
        <v/>
      </c>
      <c r="B566" s="5">
        <f>IF('ORDENES'!$A544="","",IF('ORDENES'!$S544="","-",'ORDENES'!$S544))</f>
        <v/>
      </c>
      <c r="C566" s="5">
        <f>IF('ORDENES'!$A544="","",IF('ORDENES'!$AH544="","-",'ORDENES'!$AH544))</f>
        <v/>
      </c>
      <c r="D566" s="5">
        <f>IF('ORDENES'!$A544="","",IF('ORDENES'!$Z544="","-",'ORDENES'!$Z544))</f>
        <v/>
      </c>
      <c r="E566" s="5">
        <f>IF('ORDENES'!$A544="","",IF('ORDENES'!$X544="","-",'ORDENES'!$X544))</f>
        <v/>
      </c>
      <c r="F566" s="5">
        <f>IF('ORDENES'!$A544="","",IF('ORDENES'!$AA544="","-",'ORDENES'!$AA544))</f>
        <v/>
      </c>
      <c r="G566" s="5">
        <f>IF('ORDENES'!$A544="","",IF('ORDENES'!$Y544="","-",'ORDENES'!$Y544))</f>
        <v/>
      </c>
      <c r="H566" s="5">
        <f>IF('ORDENES'!$A544="","",IF('ORDENES'!$AG544="","-",'ORDENES'!$AG544))</f>
        <v/>
      </c>
      <c r="I566" s="5">
        <f>IF('ORDENES'!$A544="","",IF('ORDENES'!$AT544="","-",'ORDENES'!$AT544))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20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IF('ORDENES'!$A544="","",'ORDENES'!$AF544)</f>
        <v/>
      </c>
    </row>
    <row r="567">
      <c r="A567" s="5">
        <f>IF('ORDENES'!$A545="","",IF('ORDENES'!$O545="","-",'ORDENES'!$O545))</f>
        <v/>
      </c>
      <c r="B567" s="5">
        <f>IF('ORDENES'!$A545="","",IF('ORDENES'!$S545="","-",'ORDENES'!$S545))</f>
        <v/>
      </c>
      <c r="C567" s="5">
        <f>IF('ORDENES'!$A545="","",IF('ORDENES'!$AH545="","-",'ORDENES'!$AH545))</f>
        <v/>
      </c>
      <c r="D567" s="5">
        <f>IF('ORDENES'!$A545="","",IF('ORDENES'!$Z545="","-",'ORDENES'!$Z545))</f>
        <v/>
      </c>
      <c r="E567" s="5">
        <f>IF('ORDENES'!$A545="","",IF('ORDENES'!$X545="","-",'ORDENES'!$X545))</f>
        <v/>
      </c>
      <c r="F567" s="5">
        <f>IF('ORDENES'!$A545="","",IF('ORDENES'!$AA545="","-",'ORDENES'!$AA545))</f>
        <v/>
      </c>
      <c r="G567" s="5">
        <f>IF('ORDENES'!$A545="","",IF('ORDENES'!$Y545="","-",'ORDENES'!$Y545))</f>
        <v/>
      </c>
      <c r="H567" s="5">
        <f>IF('ORDENES'!$A545="","",IF('ORDENES'!$AG545="","-",'ORDENES'!$AG545))</f>
        <v/>
      </c>
      <c r="I567" s="5">
        <f>IF('ORDENES'!$A545="","",IF('ORDENES'!$AT545="","-",'ORDENES'!$AT545))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20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IF('ORDENES'!$A545="","",'ORDENES'!$AF545)</f>
        <v/>
      </c>
    </row>
    <row r="568">
      <c r="A568" s="5">
        <f>IF('ORDENES'!$A546="","",IF('ORDENES'!$O546="","-",'ORDENES'!$O546))</f>
        <v/>
      </c>
      <c r="B568" s="5">
        <f>IF('ORDENES'!$A546="","",IF('ORDENES'!$S546="","-",'ORDENES'!$S546))</f>
        <v/>
      </c>
      <c r="C568" s="5">
        <f>IF('ORDENES'!$A546="","",IF('ORDENES'!$AH546="","-",'ORDENES'!$AH546))</f>
        <v/>
      </c>
      <c r="D568" s="5">
        <f>IF('ORDENES'!$A546="","",IF('ORDENES'!$Z546="","-",'ORDENES'!$Z546))</f>
        <v/>
      </c>
      <c r="E568" s="5">
        <f>IF('ORDENES'!$A546="","",IF('ORDENES'!$X546="","-",'ORDENES'!$X546))</f>
        <v/>
      </c>
      <c r="F568" s="5">
        <f>IF('ORDENES'!$A546="","",IF('ORDENES'!$AA546="","-",'ORDENES'!$AA546))</f>
        <v/>
      </c>
      <c r="G568" s="5">
        <f>IF('ORDENES'!$A546="","",IF('ORDENES'!$Y546="","-",'ORDENES'!$Y546))</f>
        <v/>
      </c>
      <c r="H568" s="5">
        <f>IF('ORDENES'!$A546="","",IF('ORDENES'!$AG546="","-",'ORDENES'!$AG546))</f>
        <v/>
      </c>
      <c r="I568" s="5">
        <f>IF('ORDENES'!$A546="","",IF('ORDENES'!$AT546="","-",'ORDENES'!$AT546))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20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IF('ORDENES'!$A546="","",'ORDENES'!$AF546)</f>
        <v/>
      </c>
    </row>
    <row r="569">
      <c r="A569" s="5">
        <f>IF('ORDENES'!$A547="","",IF('ORDENES'!$O547="","-",'ORDENES'!$O547))</f>
        <v/>
      </c>
      <c r="B569" s="5">
        <f>IF('ORDENES'!$A547="","",IF('ORDENES'!$S547="","-",'ORDENES'!$S547))</f>
        <v/>
      </c>
      <c r="C569" s="5">
        <f>IF('ORDENES'!$A547="","",IF('ORDENES'!$AH547="","-",'ORDENES'!$AH547))</f>
        <v/>
      </c>
      <c r="D569" s="5">
        <f>IF('ORDENES'!$A547="","",IF('ORDENES'!$Z547="","-",'ORDENES'!$Z547))</f>
        <v/>
      </c>
      <c r="E569" s="5">
        <f>IF('ORDENES'!$A547="","",IF('ORDENES'!$X547="","-",'ORDENES'!$X547))</f>
        <v/>
      </c>
      <c r="F569" s="5">
        <f>IF('ORDENES'!$A547="","",IF('ORDENES'!$AA547="","-",'ORDENES'!$AA547))</f>
        <v/>
      </c>
      <c r="G569" s="5">
        <f>IF('ORDENES'!$A547="","",IF('ORDENES'!$Y547="","-",'ORDENES'!$Y547))</f>
        <v/>
      </c>
      <c r="H569" s="5">
        <f>IF('ORDENES'!$A547="","",IF('ORDENES'!$AG547="","-",'ORDENES'!$AG547))</f>
        <v/>
      </c>
      <c r="I569" s="5">
        <f>IF('ORDENES'!$A547="","",IF('ORDENES'!$AT547="","-",'ORDENES'!$AT547))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20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IF('ORDENES'!$A547="","",'ORDENES'!$AF547)</f>
        <v/>
      </c>
    </row>
    <row r="570">
      <c r="A570" s="5">
        <f>IF('ORDENES'!$A548="","",IF('ORDENES'!$O548="","-",'ORDENES'!$O548))</f>
        <v/>
      </c>
      <c r="B570" s="5">
        <f>IF('ORDENES'!$A548="","",IF('ORDENES'!$S548="","-",'ORDENES'!$S548))</f>
        <v/>
      </c>
      <c r="C570" s="5">
        <f>IF('ORDENES'!$A548="","",IF('ORDENES'!$AH548="","-",'ORDENES'!$AH548))</f>
        <v/>
      </c>
      <c r="D570" s="5">
        <f>IF('ORDENES'!$A548="","",IF('ORDENES'!$Z548="","-",'ORDENES'!$Z548))</f>
        <v/>
      </c>
      <c r="E570" s="5">
        <f>IF('ORDENES'!$A548="","",IF('ORDENES'!$X548="","-",'ORDENES'!$X548))</f>
        <v/>
      </c>
      <c r="F570" s="5">
        <f>IF('ORDENES'!$A548="","",IF('ORDENES'!$AA548="","-",'ORDENES'!$AA548))</f>
        <v/>
      </c>
      <c r="G570" s="5">
        <f>IF('ORDENES'!$A548="","",IF('ORDENES'!$Y548="","-",'ORDENES'!$Y548))</f>
        <v/>
      </c>
      <c r="H570" s="5">
        <f>IF('ORDENES'!$A548="","",IF('ORDENES'!$AG548="","-",'ORDENES'!$AG548))</f>
        <v/>
      </c>
      <c r="I570" s="5">
        <f>IF('ORDENES'!$A548="","",IF('ORDENES'!$AT548="","-",'ORDENES'!$AT548))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20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IF('ORDENES'!$A548="","",'ORDENES'!$AF548)</f>
        <v/>
      </c>
    </row>
    <row r="571">
      <c r="A571" s="5">
        <f>IF('ORDENES'!$A549="","",IF('ORDENES'!$O549="","-",'ORDENES'!$O549))</f>
        <v/>
      </c>
      <c r="B571" s="5">
        <f>IF('ORDENES'!$A549="","",IF('ORDENES'!$S549="","-",'ORDENES'!$S549))</f>
        <v/>
      </c>
      <c r="C571" s="5">
        <f>IF('ORDENES'!$A549="","",IF('ORDENES'!$AH549="","-",'ORDENES'!$AH549))</f>
        <v/>
      </c>
      <c r="D571" s="5">
        <f>IF('ORDENES'!$A549="","",IF('ORDENES'!$Z549="","-",'ORDENES'!$Z549))</f>
        <v/>
      </c>
      <c r="E571" s="5">
        <f>IF('ORDENES'!$A549="","",IF('ORDENES'!$X549="","-",'ORDENES'!$X549))</f>
        <v/>
      </c>
      <c r="F571" s="5">
        <f>IF('ORDENES'!$A549="","",IF('ORDENES'!$AA549="","-",'ORDENES'!$AA549))</f>
        <v/>
      </c>
      <c r="G571" s="5">
        <f>IF('ORDENES'!$A549="","",IF('ORDENES'!$Y549="","-",'ORDENES'!$Y549))</f>
        <v/>
      </c>
      <c r="H571" s="5">
        <f>IF('ORDENES'!$A549="","",IF('ORDENES'!$AG549="","-",'ORDENES'!$AG549))</f>
        <v/>
      </c>
      <c r="I571" s="5">
        <f>IF('ORDENES'!$A549="","",IF('ORDENES'!$AT549="","-",'ORDENES'!$AT549))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20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IF('ORDENES'!$A549="","",'ORDENES'!$AF549)</f>
        <v/>
      </c>
    </row>
    <row r="572">
      <c r="A572" s="5">
        <f>IF('ORDENES'!$A550="","",IF('ORDENES'!$O550="","-",'ORDENES'!$O550))</f>
        <v/>
      </c>
      <c r="B572" s="5">
        <f>IF('ORDENES'!$A550="","",IF('ORDENES'!$S550="","-",'ORDENES'!$S550))</f>
        <v/>
      </c>
      <c r="C572" s="5">
        <f>IF('ORDENES'!$A550="","",IF('ORDENES'!$AH550="","-",'ORDENES'!$AH550))</f>
        <v/>
      </c>
      <c r="D572" s="5">
        <f>IF('ORDENES'!$A550="","",IF('ORDENES'!$Z550="","-",'ORDENES'!$Z550))</f>
        <v/>
      </c>
      <c r="E572" s="5">
        <f>IF('ORDENES'!$A550="","",IF('ORDENES'!$X550="","-",'ORDENES'!$X550))</f>
        <v/>
      </c>
      <c r="F572" s="5">
        <f>IF('ORDENES'!$A550="","",IF('ORDENES'!$AA550="","-",'ORDENES'!$AA550))</f>
        <v/>
      </c>
      <c r="G572" s="5">
        <f>IF('ORDENES'!$A550="","",IF('ORDENES'!$Y550="","-",'ORDENES'!$Y550))</f>
        <v/>
      </c>
      <c r="H572" s="5">
        <f>IF('ORDENES'!$A550="","",IF('ORDENES'!$AG550="","-",'ORDENES'!$AG550))</f>
        <v/>
      </c>
      <c r="I572" s="5">
        <f>IF('ORDENES'!$A550="","",IF('ORDENES'!$AT550="","-",'ORDENES'!$AT550))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20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IF('ORDENES'!$A550="","",'ORDENES'!$AF550)</f>
        <v/>
      </c>
    </row>
    <row r="573">
      <c r="A573" s="5">
        <f>IF('ORDENES'!$A551="","",IF('ORDENES'!$O551="","-",'ORDENES'!$O551))</f>
        <v/>
      </c>
      <c r="B573" s="5">
        <f>IF('ORDENES'!$A551="","",IF('ORDENES'!$S551="","-",'ORDENES'!$S551))</f>
        <v/>
      </c>
      <c r="C573" s="5">
        <f>IF('ORDENES'!$A551="","",IF('ORDENES'!$AH551="","-",'ORDENES'!$AH551))</f>
        <v/>
      </c>
      <c r="D573" s="5">
        <f>IF('ORDENES'!$A551="","",IF('ORDENES'!$Z551="","-",'ORDENES'!$Z551))</f>
        <v/>
      </c>
      <c r="E573" s="5">
        <f>IF('ORDENES'!$A551="","",IF('ORDENES'!$X551="","-",'ORDENES'!$X551))</f>
        <v/>
      </c>
      <c r="F573" s="5">
        <f>IF('ORDENES'!$A551="","",IF('ORDENES'!$AA551="","-",'ORDENES'!$AA551))</f>
        <v/>
      </c>
      <c r="G573" s="5">
        <f>IF('ORDENES'!$A551="","",IF('ORDENES'!$Y551="","-",'ORDENES'!$Y551))</f>
        <v/>
      </c>
      <c r="H573" s="5">
        <f>IF('ORDENES'!$A551="","",IF('ORDENES'!$AG551="","-",'ORDENES'!$AG551))</f>
        <v/>
      </c>
      <c r="I573" s="5">
        <f>IF('ORDENES'!$A551="","",IF('ORDENES'!$AT551="","-",'ORDENES'!$AT551))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20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IF('ORDENES'!$A551="","",'ORDENES'!$AF551)</f>
        <v/>
      </c>
    </row>
    <row r="574">
      <c r="A574" s="5">
        <f>IF('ORDENES'!$A552="","",IF('ORDENES'!$O552="","-",'ORDENES'!$O552))</f>
        <v/>
      </c>
      <c r="B574" s="5">
        <f>IF('ORDENES'!$A552="","",IF('ORDENES'!$S552="","-",'ORDENES'!$S552))</f>
        <v/>
      </c>
      <c r="C574" s="5">
        <f>IF('ORDENES'!$A552="","",IF('ORDENES'!$AH552="","-",'ORDENES'!$AH552))</f>
        <v/>
      </c>
      <c r="D574" s="5">
        <f>IF('ORDENES'!$A552="","",IF('ORDENES'!$Z552="","-",'ORDENES'!$Z552))</f>
        <v/>
      </c>
      <c r="E574" s="5">
        <f>IF('ORDENES'!$A552="","",IF('ORDENES'!$X552="","-",'ORDENES'!$X552))</f>
        <v/>
      </c>
      <c r="F574" s="5">
        <f>IF('ORDENES'!$A552="","",IF('ORDENES'!$AA552="","-",'ORDENES'!$AA552))</f>
        <v/>
      </c>
      <c r="G574" s="5">
        <f>IF('ORDENES'!$A552="","",IF('ORDENES'!$Y552="","-",'ORDENES'!$Y552))</f>
        <v/>
      </c>
      <c r="H574" s="5">
        <f>IF('ORDENES'!$A552="","",IF('ORDENES'!$AG552="","-",'ORDENES'!$AG552))</f>
        <v/>
      </c>
      <c r="I574" s="5">
        <f>IF('ORDENES'!$A552="","",IF('ORDENES'!$AT552="","-",'ORDENES'!$AT552))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20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IF('ORDENES'!$A552="","",'ORDENES'!$AF552)</f>
        <v/>
      </c>
    </row>
    <row r="575">
      <c r="A575" s="5">
        <f>IF('ORDENES'!$A553="","",IF('ORDENES'!$O553="","-",'ORDENES'!$O553))</f>
        <v/>
      </c>
      <c r="B575" s="5">
        <f>IF('ORDENES'!$A553="","",IF('ORDENES'!$S553="","-",'ORDENES'!$S553))</f>
        <v/>
      </c>
      <c r="C575" s="5">
        <f>IF('ORDENES'!$A553="","",IF('ORDENES'!$AH553="","-",'ORDENES'!$AH553))</f>
        <v/>
      </c>
      <c r="D575" s="5">
        <f>IF('ORDENES'!$A553="","",IF('ORDENES'!$Z553="","-",'ORDENES'!$Z553))</f>
        <v/>
      </c>
      <c r="E575" s="5">
        <f>IF('ORDENES'!$A553="","",IF('ORDENES'!$X553="","-",'ORDENES'!$X553))</f>
        <v/>
      </c>
      <c r="F575" s="5">
        <f>IF('ORDENES'!$A553="","",IF('ORDENES'!$AA553="","-",'ORDENES'!$AA553))</f>
        <v/>
      </c>
      <c r="G575" s="5">
        <f>IF('ORDENES'!$A553="","",IF('ORDENES'!$Y553="","-",'ORDENES'!$Y553))</f>
        <v/>
      </c>
      <c r="H575" s="5">
        <f>IF('ORDENES'!$A553="","",IF('ORDENES'!$AG553="","-",'ORDENES'!$AG553))</f>
        <v/>
      </c>
      <c r="I575" s="5">
        <f>IF('ORDENES'!$A553="","",IF('ORDENES'!$AT553="","-",'ORDENES'!$AT553))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20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IF('ORDENES'!$A553="","",'ORDENES'!$AF553)</f>
        <v/>
      </c>
    </row>
    <row r="576">
      <c r="A576" s="5">
        <f>IF('ORDENES'!$A554="","",IF('ORDENES'!$O554="","-",'ORDENES'!$O554))</f>
        <v/>
      </c>
      <c r="B576" s="5">
        <f>IF('ORDENES'!$A554="","",IF('ORDENES'!$S554="","-",'ORDENES'!$S554))</f>
        <v/>
      </c>
      <c r="C576" s="5">
        <f>IF('ORDENES'!$A554="","",IF('ORDENES'!$AH554="","-",'ORDENES'!$AH554))</f>
        <v/>
      </c>
      <c r="D576" s="5">
        <f>IF('ORDENES'!$A554="","",IF('ORDENES'!$Z554="","-",'ORDENES'!$Z554))</f>
        <v/>
      </c>
      <c r="E576" s="5">
        <f>IF('ORDENES'!$A554="","",IF('ORDENES'!$X554="","-",'ORDENES'!$X554))</f>
        <v/>
      </c>
      <c r="F576" s="5">
        <f>IF('ORDENES'!$A554="","",IF('ORDENES'!$AA554="","-",'ORDENES'!$AA554))</f>
        <v/>
      </c>
      <c r="G576" s="5">
        <f>IF('ORDENES'!$A554="","",IF('ORDENES'!$Y554="","-",'ORDENES'!$Y554))</f>
        <v/>
      </c>
      <c r="H576" s="5">
        <f>IF('ORDENES'!$A554="","",IF('ORDENES'!$AG554="","-",'ORDENES'!$AG554))</f>
        <v/>
      </c>
      <c r="I576" s="5">
        <f>IF('ORDENES'!$A554="","",IF('ORDENES'!$AT554="","-",'ORDENES'!$AT554))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20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IF('ORDENES'!$A554="","",'ORDENES'!$AF554)</f>
        <v/>
      </c>
    </row>
    <row r="577">
      <c r="A577" s="5">
        <f>IF('ORDENES'!$A555="","",IF('ORDENES'!$O555="","-",'ORDENES'!$O555))</f>
        <v/>
      </c>
      <c r="B577" s="5">
        <f>IF('ORDENES'!$A555="","",IF('ORDENES'!$S555="","-",'ORDENES'!$S555))</f>
        <v/>
      </c>
      <c r="C577" s="5">
        <f>IF('ORDENES'!$A555="","",IF('ORDENES'!$AH555="","-",'ORDENES'!$AH555))</f>
        <v/>
      </c>
      <c r="D577" s="5">
        <f>IF('ORDENES'!$A555="","",IF('ORDENES'!$Z555="","-",'ORDENES'!$Z555))</f>
        <v/>
      </c>
      <c r="E577" s="5">
        <f>IF('ORDENES'!$A555="","",IF('ORDENES'!$X555="","-",'ORDENES'!$X555))</f>
        <v/>
      </c>
      <c r="F577" s="5">
        <f>IF('ORDENES'!$A555="","",IF('ORDENES'!$AA555="","-",'ORDENES'!$AA555))</f>
        <v/>
      </c>
      <c r="G577" s="5">
        <f>IF('ORDENES'!$A555="","",IF('ORDENES'!$Y555="","-",'ORDENES'!$Y555))</f>
        <v/>
      </c>
      <c r="H577" s="5">
        <f>IF('ORDENES'!$A555="","",IF('ORDENES'!$AG555="","-",'ORDENES'!$AG555))</f>
        <v/>
      </c>
      <c r="I577" s="5">
        <f>IF('ORDENES'!$A555="","",IF('ORDENES'!$AT555="","-",'ORDENES'!$AT555))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20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IF('ORDENES'!$A555="","",'ORDENES'!$AF555)</f>
        <v/>
      </c>
    </row>
    <row r="578">
      <c r="A578" s="5">
        <f>IF('ORDENES'!$A556="","",IF('ORDENES'!$O556="","-",'ORDENES'!$O556))</f>
        <v/>
      </c>
      <c r="B578" s="5">
        <f>IF('ORDENES'!$A556="","",IF('ORDENES'!$S556="","-",'ORDENES'!$S556))</f>
        <v/>
      </c>
      <c r="C578" s="5">
        <f>IF('ORDENES'!$A556="","",IF('ORDENES'!$AH556="","-",'ORDENES'!$AH556))</f>
        <v/>
      </c>
      <c r="D578" s="5">
        <f>IF('ORDENES'!$A556="","",IF('ORDENES'!$Z556="","-",'ORDENES'!$Z556))</f>
        <v/>
      </c>
      <c r="E578" s="5">
        <f>IF('ORDENES'!$A556="","",IF('ORDENES'!$X556="","-",'ORDENES'!$X556))</f>
        <v/>
      </c>
      <c r="F578" s="5">
        <f>IF('ORDENES'!$A556="","",IF('ORDENES'!$AA556="","-",'ORDENES'!$AA556))</f>
        <v/>
      </c>
      <c r="G578" s="5">
        <f>IF('ORDENES'!$A556="","",IF('ORDENES'!$Y556="","-",'ORDENES'!$Y556))</f>
        <v/>
      </c>
      <c r="H578" s="5">
        <f>IF('ORDENES'!$A556="","",IF('ORDENES'!$AG556="","-",'ORDENES'!$AG556))</f>
        <v/>
      </c>
      <c r="I578" s="5">
        <f>IF('ORDENES'!$A556="","",IF('ORDENES'!$AT556="","-",'ORDENES'!$AT556))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20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IF('ORDENES'!$A556="","",'ORDENES'!$AF556)</f>
        <v/>
      </c>
    </row>
    <row r="579">
      <c r="A579" s="5">
        <f>IF('ORDENES'!$A557="","",IF('ORDENES'!$O557="","-",'ORDENES'!$O557))</f>
        <v/>
      </c>
      <c r="B579" s="5">
        <f>IF('ORDENES'!$A557="","",IF('ORDENES'!$S557="","-",'ORDENES'!$S557))</f>
        <v/>
      </c>
      <c r="C579" s="5">
        <f>IF('ORDENES'!$A557="","",IF('ORDENES'!$AH557="","-",'ORDENES'!$AH557))</f>
        <v/>
      </c>
      <c r="D579" s="5">
        <f>IF('ORDENES'!$A557="","",IF('ORDENES'!$Z557="","-",'ORDENES'!$Z557))</f>
        <v/>
      </c>
      <c r="E579" s="5">
        <f>IF('ORDENES'!$A557="","",IF('ORDENES'!$X557="","-",'ORDENES'!$X557))</f>
        <v/>
      </c>
      <c r="F579" s="5">
        <f>IF('ORDENES'!$A557="","",IF('ORDENES'!$AA557="","-",'ORDENES'!$AA557))</f>
        <v/>
      </c>
      <c r="G579" s="5">
        <f>IF('ORDENES'!$A557="","",IF('ORDENES'!$Y557="","-",'ORDENES'!$Y557))</f>
        <v/>
      </c>
      <c r="H579" s="5">
        <f>IF('ORDENES'!$A557="","",IF('ORDENES'!$AG557="","-",'ORDENES'!$AG557))</f>
        <v/>
      </c>
      <c r="I579" s="5">
        <f>IF('ORDENES'!$A557="","",IF('ORDENES'!$AT557="","-",'ORDENES'!$AT557))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20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IF('ORDENES'!$A557="","",'ORDENES'!$AF557)</f>
        <v/>
      </c>
    </row>
    <row r="580">
      <c r="A580" s="5">
        <f>IF('ORDENES'!$A558="","",IF('ORDENES'!$O558="","-",'ORDENES'!$O558))</f>
        <v/>
      </c>
      <c r="B580" s="5">
        <f>IF('ORDENES'!$A558="","",IF('ORDENES'!$S558="","-",'ORDENES'!$S558))</f>
        <v/>
      </c>
      <c r="C580" s="5">
        <f>IF('ORDENES'!$A558="","",IF('ORDENES'!$AH558="","-",'ORDENES'!$AH558))</f>
        <v/>
      </c>
      <c r="D580" s="5">
        <f>IF('ORDENES'!$A558="","",IF('ORDENES'!$Z558="","-",'ORDENES'!$Z558))</f>
        <v/>
      </c>
      <c r="E580" s="5">
        <f>IF('ORDENES'!$A558="","",IF('ORDENES'!$X558="","-",'ORDENES'!$X558))</f>
        <v/>
      </c>
      <c r="F580" s="5">
        <f>IF('ORDENES'!$A558="","",IF('ORDENES'!$AA558="","-",'ORDENES'!$AA558))</f>
        <v/>
      </c>
      <c r="G580" s="5">
        <f>IF('ORDENES'!$A558="","",IF('ORDENES'!$Y558="","-",'ORDENES'!$Y558))</f>
        <v/>
      </c>
      <c r="H580" s="5">
        <f>IF('ORDENES'!$A558="","",IF('ORDENES'!$AG558="","-",'ORDENES'!$AG558))</f>
        <v/>
      </c>
      <c r="I580" s="5">
        <f>IF('ORDENES'!$A558="","",IF('ORDENES'!$AT558="","-",'ORDENES'!$AT558))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20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IF('ORDENES'!$A558="","",'ORDENES'!$AF558)</f>
        <v/>
      </c>
    </row>
    <row r="581">
      <c r="A581" s="5">
        <f>IF('ORDENES'!$A559="","",IF('ORDENES'!$O559="","-",'ORDENES'!$O559))</f>
        <v/>
      </c>
      <c r="B581" s="5">
        <f>IF('ORDENES'!$A559="","",IF('ORDENES'!$S559="","-",'ORDENES'!$S559))</f>
        <v/>
      </c>
      <c r="C581" s="5">
        <f>IF('ORDENES'!$A559="","",IF('ORDENES'!$AH559="","-",'ORDENES'!$AH559))</f>
        <v/>
      </c>
      <c r="D581" s="5">
        <f>IF('ORDENES'!$A559="","",IF('ORDENES'!$Z559="","-",'ORDENES'!$Z559))</f>
        <v/>
      </c>
      <c r="E581" s="5">
        <f>IF('ORDENES'!$A559="","",IF('ORDENES'!$X559="","-",'ORDENES'!$X559))</f>
        <v/>
      </c>
      <c r="F581" s="5">
        <f>IF('ORDENES'!$A559="","",IF('ORDENES'!$AA559="","-",'ORDENES'!$AA559))</f>
        <v/>
      </c>
      <c r="G581" s="5">
        <f>IF('ORDENES'!$A559="","",IF('ORDENES'!$Y559="","-",'ORDENES'!$Y559))</f>
        <v/>
      </c>
      <c r="H581" s="5">
        <f>IF('ORDENES'!$A559="","",IF('ORDENES'!$AG559="","-",'ORDENES'!$AG559))</f>
        <v/>
      </c>
      <c r="I581" s="5">
        <f>IF('ORDENES'!$A559="","",IF('ORDENES'!$AT559="","-",'ORDENES'!$AT559))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20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IF('ORDENES'!$A559="","",'ORDENES'!$AF559)</f>
        <v/>
      </c>
    </row>
    <row r="582">
      <c r="A582" s="5">
        <f>IF('ORDENES'!$A560="","",IF('ORDENES'!$O560="","-",'ORDENES'!$O560))</f>
        <v/>
      </c>
      <c r="B582" s="5">
        <f>IF('ORDENES'!$A560="","",IF('ORDENES'!$S560="","-",'ORDENES'!$S560))</f>
        <v/>
      </c>
      <c r="C582" s="5">
        <f>IF('ORDENES'!$A560="","",IF('ORDENES'!$AH560="","-",'ORDENES'!$AH560))</f>
        <v/>
      </c>
      <c r="D582" s="5">
        <f>IF('ORDENES'!$A560="","",IF('ORDENES'!$Z560="","-",'ORDENES'!$Z560))</f>
        <v/>
      </c>
      <c r="E582" s="5">
        <f>IF('ORDENES'!$A560="","",IF('ORDENES'!$X560="","-",'ORDENES'!$X560))</f>
        <v/>
      </c>
      <c r="F582" s="5">
        <f>IF('ORDENES'!$A560="","",IF('ORDENES'!$AA560="","-",'ORDENES'!$AA560))</f>
        <v/>
      </c>
      <c r="G582" s="5">
        <f>IF('ORDENES'!$A560="","",IF('ORDENES'!$Y560="","-",'ORDENES'!$Y560))</f>
        <v/>
      </c>
      <c r="H582" s="5">
        <f>IF('ORDENES'!$A560="","",IF('ORDENES'!$AG560="","-",'ORDENES'!$AG560))</f>
        <v/>
      </c>
      <c r="I582" s="5">
        <f>IF('ORDENES'!$A560="","",IF('ORDENES'!$AT560="","-",'ORDENES'!$AT560))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20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IF('ORDENES'!$A560="","",'ORDENES'!$AF560)</f>
        <v/>
      </c>
    </row>
    <row r="583">
      <c r="A583" s="5">
        <f>IF('ORDENES'!$A561="","",IF('ORDENES'!$O561="","-",'ORDENES'!$O561))</f>
        <v/>
      </c>
      <c r="B583" s="5">
        <f>IF('ORDENES'!$A561="","",IF('ORDENES'!$S561="","-",'ORDENES'!$S561))</f>
        <v/>
      </c>
      <c r="C583" s="5">
        <f>IF('ORDENES'!$A561="","",IF('ORDENES'!$AH561="","-",'ORDENES'!$AH561))</f>
        <v/>
      </c>
      <c r="D583" s="5">
        <f>IF('ORDENES'!$A561="","",IF('ORDENES'!$Z561="","-",'ORDENES'!$Z561))</f>
        <v/>
      </c>
      <c r="E583" s="5">
        <f>IF('ORDENES'!$A561="","",IF('ORDENES'!$X561="","-",'ORDENES'!$X561))</f>
        <v/>
      </c>
      <c r="F583" s="5">
        <f>IF('ORDENES'!$A561="","",IF('ORDENES'!$AA561="","-",'ORDENES'!$AA561))</f>
        <v/>
      </c>
      <c r="G583" s="5">
        <f>IF('ORDENES'!$A561="","",IF('ORDENES'!$Y561="","-",'ORDENES'!$Y561))</f>
        <v/>
      </c>
      <c r="H583" s="5">
        <f>IF('ORDENES'!$A561="","",IF('ORDENES'!$AG561="","-",'ORDENES'!$AG561))</f>
        <v/>
      </c>
      <c r="I583" s="5">
        <f>IF('ORDENES'!$A561="","",IF('ORDENES'!$AT561="","-",'ORDENES'!$AT561))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20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IF('ORDENES'!$A561="","",'ORDENES'!$AF561)</f>
        <v/>
      </c>
    </row>
    <row r="584">
      <c r="A584" s="5">
        <f>IF('ORDENES'!$A562="","",IF('ORDENES'!$O562="","-",'ORDENES'!$O562))</f>
        <v/>
      </c>
      <c r="B584" s="5">
        <f>IF('ORDENES'!$A562="","",IF('ORDENES'!$S562="","-",'ORDENES'!$S562))</f>
        <v/>
      </c>
      <c r="C584" s="5">
        <f>IF('ORDENES'!$A562="","",IF('ORDENES'!$AH562="","-",'ORDENES'!$AH562))</f>
        <v/>
      </c>
      <c r="D584" s="5">
        <f>IF('ORDENES'!$A562="","",IF('ORDENES'!$Z562="","-",'ORDENES'!$Z562))</f>
        <v/>
      </c>
      <c r="E584" s="5">
        <f>IF('ORDENES'!$A562="","",IF('ORDENES'!$X562="","-",'ORDENES'!$X562))</f>
        <v/>
      </c>
      <c r="F584" s="5">
        <f>IF('ORDENES'!$A562="","",IF('ORDENES'!$AA562="","-",'ORDENES'!$AA562))</f>
        <v/>
      </c>
      <c r="G584" s="5">
        <f>IF('ORDENES'!$A562="","",IF('ORDENES'!$Y562="","-",'ORDENES'!$Y562))</f>
        <v/>
      </c>
      <c r="H584" s="5">
        <f>IF('ORDENES'!$A562="","",IF('ORDENES'!$AG562="","-",'ORDENES'!$AG562))</f>
        <v/>
      </c>
      <c r="I584" s="5">
        <f>IF('ORDENES'!$A562="","",IF('ORDENES'!$AT562="","-",'ORDENES'!$AT562))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20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IF('ORDENES'!$A562="","",'ORDENES'!$AF562)</f>
        <v/>
      </c>
    </row>
    <row r="585">
      <c r="A585" s="5">
        <f>IF('ORDENES'!$A563="","",IF('ORDENES'!$O563="","-",'ORDENES'!$O563))</f>
        <v/>
      </c>
      <c r="B585" s="5">
        <f>IF('ORDENES'!$A563="","",IF('ORDENES'!$S563="","-",'ORDENES'!$S563))</f>
        <v/>
      </c>
      <c r="C585" s="5">
        <f>IF('ORDENES'!$A563="","",IF('ORDENES'!$AH563="","-",'ORDENES'!$AH563))</f>
        <v/>
      </c>
      <c r="D585" s="5">
        <f>IF('ORDENES'!$A563="","",IF('ORDENES'!$Z563="","-",'ORDENES'!$Z563))</f>
        <v/>
      </c>
      <c r="E585" s="5">
        <f>IF('ORDENES'!$A563="","",IF('ORDENES'!$X563="","-",'ORDENES'!$X563))</f>
        <v/>
      </c>
      <c r="F585" s="5">
        <f>IF('ORDENES'!$A563="","",IF('ORDENES'!$AA563="","-",'ORDENES'!$AA563))</f>
        <v/>
      </c>
      <c r="G585" s="5">
        <f>IF('ORDENES'!$A563="","",IF('ORDENES'!$Y563="","-",'ORDENES'!$Y563))</f>
        <v/>
      </c>
      <c r="H585" s="5">
        <f>IF('ORDENES'!$A563="","",IF('ORDENES'!$AG563="","-",'ORDENES'!$AG563))</f>
        <v/>
      </c>
      <c r="I585" s="5">
        <f>IF('ORDENES'!$A563="","",IF('ORDENES'!$AT563="","-",'ORDENES'!$AT563))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20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IF('ORDENES'!$A563="","",'ORDENES'!$AF563)</f>
        <v/>
      </c>
    </row>
    <row r="586">
      <c r="A586" s="5">
        <f>IF('ORDENES'!$A564="","",IF('ORDENES'!$O564="","-",'ORDENES'!$O564))</f>
        <v/>
      </c>
      <c r="B586" s="5">
        <f>IF('ORDENES'!$A564="","",IF('ORDENES'!$S564="","-",'ORDENES'!$S564))</f>
        <v/>
      </c>
      <c r="C586" s="5">
        <f>IF('ORDENES'!$A564="","",IF('ORDENES'!$AH564="","-",'ORDENES'!$AH564))</f>
        <v/>
      </c>
      <c r="D586" s="5">
        <f>IF('ORDENES'!$A564="","",IF('ORDENES'!$Z564="","-",'ORDENES'!$Z564))</f>
        <v/>
      </c>
      <c r="E586" s="5">
        <f>IF('ORDENES'!$A564="","",IF('ORDENES'!$X564="","-",'ORDENES'!$X564))</f>
        <v/>
      </c>
      <c r="F586" s="5">
        <f>IF('ORDENES'!$A564="","",IF('ORDENES'!$AA564="","-",'ORDENES'!$AA564))</f>
        <v/>
      </c>
      <c r="G586" s="5">
        <f>IF('ORDENES'!$A564="","",IF('ORDENES'!$Y564="","-",'ORDENES'!$Y564))</f>
        <v/>
      </c>
      <c r="H586" s="5">
        <f>IF('ORDENES'!$A564="","",IF('ORDENES'!$AG564="","-",'ORDENES'!$AG564))</f>
        <v/>
      </c>
      <c r="I586" s="5">
        <f>IF('ORDENES'!$A564="","",IF('ORDENES'!$AT564="","-",'ORDENES'!$AT564))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20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IF('ORDENES'!$A564="","",'ORDENES'!$AF564)</f>
        <v/>
      </c>
    </row>
    <row r="587">
      <c r="A587" s="5">
        <f>IF('ORDENES'!$A565="","",IF('ORDENES'!$O565="","-",'ORDENES'!$O565))</f>
        <v/>
      </c>
      <c r="B587" s="5">
        <f>IF('ORDENES'!$A565="","",IF('ORDENES'!$S565="","-",'ORDENES'!$S565))</f>
        <v/>
      </c>
      <c r="C587" s="5">
        <f>IF('ORDENES'!$A565="","",IF('ORDENES'!$AH565="","-",'ORDENES'!$AH565))</f>
        <v/>
      </c>
      <c r="D587" s="5">
        <f>IF('ORDENES'!$A565="","",IF('ORDENES'!$Z565="","-",'ORDENES'!$Z565))</f>
        <v/>
      </c>
      <c r="E587" s="5">
        <f>IF('ORDENES'!$A565="","",IF('ORDENES'!$X565="","-",'ORDENES'!$X565))</f>
        <v/>
      </c>
      <c r="F587" s="5">
        <f>IF('ORDENES'!$A565="","",IF('ORDENES'!$AA565="","-",'ORDENES'!$AA565))</f>
        <v/>
      </c>
      <c r="G587" s="5">
        <f>IF('ORDENES'!$A565="","",IF('ORDENES'!$Y565="","-",'ORDENES'!$Y565))</f>
        <v/>
      </c>
      <c r="H587" s="5">
        <f>IF('ORDENES'!$A565="","",IF('ORDENES'!$AG565="","-",'ORDENES'!$AG565))</f>
        <v/>
      </c>
      <c r="I587" s="5">
        <f>IF('ORDENES'!$A565="","",IF('ORDENES'!$AT565="","-",'ORDENES'!$AT565))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20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IF('ORDENES'!$A565="","",'ORDENES'!$AF565)</f>
        <v/>
      </c>
    </row>
    <row r="588">
      <c r="A588" s="5">
        <f>IF('ORDENES'!$A566="","",IF('ORDENES'!$O566="","-",'ORDENES'!$O566))</f>
        <v/>
      </c>
      <c r="B588" s="5">
        <f>IF('ORDENES'!$A566="","",IF('ORDENES'!$S566="","-",'ORDENES'!$S566))</f>
        <v/>
      </c>
      <c r="C588" s="5">
        <f>IF('ORDENES'!$A566="","",IF('ORDENES'!$AH566="","-",'ORDENES'!$AH566))</f>
        <v/>
      </c>
      <c r="D588" s="5">
        <f>IF('ORDENES'!$A566="","",IF('ORDENES'!$Z566="","-",'ORDENES'!$Z566))</f>
        <v/>
      </c>
      <c r="E588" s="5">
        <f>IF('ORDENES'!$A566="","",IF('ORDENES'!$X566="","-",'ORDENES'!$X566))</f>
        <v/>
      </c>
      <c r="F588" s="5">
        <f>IF('ORDENES'!$A566="","",IF('ORDENES'!$AA566="","-",'ORDENES'!$AA566))</f>
        <v/>
      </c>
      <c r="G588" s="5">
        <f>IF('ORDENES'!$A566="","",IF('ORDENES'!$Y566="","-",'ORDENES'!$Y566))</f>
        <v/>
      </c>
      <c r="H588" s="5">
        <f>IF('ORDENES'!$A566="","",IF('ORDENES'!$AG566="","-",'ORDENES'!$AG566))</f>
        <v/>
      </c>
      <c r="I588" s="5">
        <f>IF('ORDENES'!$A566="","",IF('ORDENES'!$AT566="","-",'ORDENES'!$AT566))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20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IF('ORDENES'!$A566="","",'ORDENES'!$AF566)</f>
        <v/>
      </c>
    </row>
    <row r="589">
      <c r="A589" s="5">
        <f>IF('ORDENES'!$A567="","",IF('ORDENES'!$O567="","-",'ORDENES'!$O567))</f>
        <v/>
      </c>
      <c r="B589" s="5">
        <f>IF('ORDENES'!$A567="","",IF('ORDENES'!$S567="","-",'ORDENES'!$S567))</f>
        <v/>
      </c>
      <c r="C589" s="5">
        <f>IF('ORDENES'!$A567="","",IF('ORDENES'!$AH567="","-",'ORDENES'!$AH567))</f>
        <v/>
      </c>
      <c r="D589" s="5">
        <f>IF('ORDENES'!$A567="","",IF('ORDENES'!$Z567="","-",'ORDENES'!$Z567))</f>
        <v/>
      </c>
      <c r="E589" s="5">
        <f>IF('ORDENES'!$A567="","",IF('ORDENES'!$X567="","-",'ORDENES'!$X567))</f>
        <v/>
      </c>
      <c r="F589" s="5">
        <f>IF('ORDENES'!$A567="","",IF('ORDENES'!$AA567="","-",'ORDENES'!$AA567))</f>
        <v/>
      </c>
      <c r="G589" s="5">
        <f>IF('ORDENES'!$A567="","",IF('ORDENES'!$Y567="","-",'ORDENES'!$Y567))</f>
        <v/>
      </c>
      <c r="H589" s="5">
        <f>IF('ORDENES'!$A567="","",IF('ORDENES'!$AG567="","-",'ORDENES'!$AG567))</f>
        <v/>
      </c>
      <c r="I589" s="5">
        <f>IF('ORDENES'!$A567="","",IF('ORDENES'!$AT567="","-",'ORDENES'!$AT567))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20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IF('ORDENES'!$A567="","",'ORDENES'!$AF567)</f>
        <v/>
      </c>
    </row>
    <row r="590">
      <c r="A590" s="5">
        <f>IF('ORDENES'!$A568="","",IF('ORDENES'!$O568="","-",'ORDENES'!$O568))</f>
        <v/>
      </c>
      <c r="B590" s="5">
        <f>IF('ORDENES'!$A568="","",IF('ORDENES'!$S568="","-",'ORDENES'!$S568))</f>
        <v/>
      </c>
      <c r="C590" s="5">
        <f>IF('ORDENES'!$A568="","",IF('ORDENES'!$AH568="","-",'ORDENES'!$AH568))</f>
        <v/>
      </c>
      <c r="D590" s="5">
        <f>IF('ORDENES'!$A568="","",IF('ORDENES'!$Z568="","-",'ORDENES'!$Z568))</f>
        <v/>
      </c>
      <c r="E590" s="5">
        <f>IF('ORDENES'!$A568="","",IF('ORDENES'!$X568="","-",'ORDENES'!$X568))</f>
        <v/>
      </c>
      <c r="F590" s="5">
        <f>IF('ORDENES'!$A568="","",IF('ORDENES'!$AA568="","-",'ORDENES'!$AA568))</f>
        <v/>
      </c>
      <c r="G590" s="5">
        <f>IF('ORDENES'!$A568="","",IF('ORDENES'!$Y568="","-",'ORDENES'!$Y568))</f>
        <v/>
      </c>
      <c r="H590" s="5">
        <f>IF('ORDENES'!$A568="","",IF('ORDENES'!$AG568="","-",'ORDENES'!$AG568))</f>
        <v/>
      </c>
      <c r="I590" s="5">
        <f>IF('ORDENES'!$A568="","",IF('ORDENES'!$AT568="","-",'ORDENES'!$AT568))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20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IF('ORDENES'!$A568="","",'ORDENES'!$AF568)</f>
        <v/>
      </c>
    </row>
    <row r="591">
      <c r="A591" s="5">
        <f>IF('ORDENES'!$A569="","",IF('ORDENES'!$O569="","-",'ORDENES'!$O569))</f>
        <v/>
      </c>
      <c r="B591" s="5">
        <f>IF('ORDENES'!$A569="","",IF('ORDENES'!$S569="","-",'ORDENES'!$S569))</f>
        <v/>
      </c>
      <c r="C591" s="5">
        <f>IF('ORDENES'!$A569="","",IF('ORDENES'!$AH569="","-",'ORDENES'!$AH569))</f>
        <v/>
      </c>
      <c r="D591" s="5">
        <f>IF('ORDENES'!$A569="","",IF('ORDENES'!$Z569="","-",'ORDENES'!$Z569))</f>
        <v/>
      </c>
      <c r="E591" s="5">
        <f>IF('ORDENES'!$A569="","",IF('ORDENES'!$X569="","-",'ORDENES'!$X569))</f>
        <v/>
      </c>
      <c r="F591" s="5">
        <f>IF('ORDENES'!$A569="","",IF('ORDENES'!$AA569="","-",'ORDENES'!$AA569))</f>
        <v/>
      </c>
      <c r="G591" s="5">
        <f>IF('ORDENES'!$A569="","",IF('ORDENES'!$Y569="","-",'ORDENES'!$Y569))</f>
        <v/>
      </c>
      <c r="H591" s="5">
        <f>IF('ORDENES'!$A569="","",IF('ORDENES'!$AG569="","-",'ORDENES'!$AG569))</f>
        <v/>
      </c>
      <c r="I591" s="5">
        <f>IF('ORDENES'!$A569="","",IF('ORDENES'!$AT569="","-",'ORDENES'!$AT569))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20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IF('ORDENES'!$A569="","",'ORDENES'!$AF569)</f>
        <v/>
      </c>
    </row>
    <row r="592">
      <c r="A592" s="5">
        <f>IF('ORDENES'!$A570="","",IF('ORDENES'!$O570="","-",'ORDENES'!$O570))</f>
        <v/>
      </c>
      <c r="B592" s="5">
        <f>IF('ORDENES'!$A570="","",IF('ORDENES'!$S570="","-",'ORDENES'!$S570))</f>
        <v/>
      </c>
      <c r="C592" s="5">
        <f>IF('ORDENES'!$A570="","",IF('ORDENES'!$AH570="","-",'ORDENES'!$AH570))</f>
        <v/>
      </c>
      <c r="D592" s="5">
        <f>IF('ORDENES'!$A570="","",IF('ORDENES'!$Z570="","-",'ORDENES'!$Z570))</f>
        <v/>
      </c>
      <c r="E592" s="5">
        <f>IF('ORDENES'!$A570="","",IF('ORDENES'!$X570="","-",'ORDENES'!$X570))</f>
        <v/>
      </c>
      <c r="F592" s="5">
        <f>IF('ORDENES'!$A570="","",IF('ORDENES'!$AA570="","-",'ORDENES'!$AA570))</f>
        <v/>
      </c>
      <c r="G592" s="5">
        <f>IF('ORDENES'!$A570="","",IF('ORDENES'!$Y570="","-",'ORDENES'!$Y570))</f>
        <v/>
      </c>
      <c r="H592" s="5">
        <f>IF('ORDENES'!$A570="","",IF('ORDENES'!$AG570="","-",'ORDENES'!$AG570))</f>
        <v/>
      </c>
      <c r="I592" s="5">
        <f>IF('ORDENES'!$A570="","",IF('ORDENES'!$AT570="","-",'ORDENES'!$AT570))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20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IF('ORDENES'!$A570="","",'ORDENES'!$AF570)</f>
        <v/>
      </c>
    </row>
    <row r="593">
      <c r="A593" s="5">
        <f>IF('ORDENES'!$A571="","",IF('ORDENES'!$O571="","-",'ORDENES'!$O571))</f>
        <v/>
      </c>
      <c r="B593" s="5">
        <f>IF('ORDENES'!$A571="","",IF('ORDENES'!$S571="","-",'ORDENES'!$S571))</f>
        <v/>
      </c>
      <c r="C593" s="5">
        <f>IF('ORDENES'!$A571="","",IF('ORDENES'!$AH571="","-",'ORDENES'!$AH571))</f>
        <v/>
      </c>
      <c r="D593" s="5">
        <f>IF('ORDENES'!$A571="","",IF('ORDENES'!$Z571="","-",'ORDENES'!$Z571))</f>
        <v/>
      </c>
      <c r="E593" s="5">
        <f>IF('ORDENES'!$A571="","",IF('ORDENES'!$X571="","-",'ORDENES'!$X571))</f>
        <v/>
      </c>
      <c r="F593" s="5">
        <f>IF('ORDENES'!$A571="","",IF('ORDENES'!$AA571="","-",'ORDENES'!$AA571))</f>
        <v/>
      </c>
      <c r="G593" s="5">
        <f>IF('ORDENES'!$A571="","",IF('ORDENES'!$Y571="","-",'ORDENES'!$Y571))</f>
        <v/>
      </c>
      <c r="H593" s="5">
        <f>IF('ORDENES'!$A571="","",IF('ORDENES'!$AG571="","-",'ORDENES'!$AG571))</f>
        <v/>
      </c>
      <c r="I593" s="5">
        <f>IF('ORDENES'!$A571="","",IF('ORDENES'!$AT571="","-",'ORDENES'!$AT571))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20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IF('ORDENES'!$A571="","",'ORDENES'!$AF571)</f>
        <v/>
      </c>
    </row>
    <row r="594">
      <c r="A594" s="5">
        <f>IF('ORDENES'!$A572="","",IF('ORDENES'!$O572="","-",'ORDENES'!$O572))</f>
        <v/>
      </c>
      <c r="B594" s="5">
        <f>IF('ORDENES'!$A572="","",IF('ORDENES'!$S572="","-",'ORDENES'!$S572))</f>
        <v/>
      </c>
      <c r="C594" s="5">
        <f>IF('ORDENES'!$A572="","",IF('ORDENES'!$AH572="","-",'ORDENES'!$AH572))</f>
        <v/>
      </c>
      <c r="D594" s="5">
        <f>IF('ORDENES'!$A572="","",IF('ORDENES'!$Z572="","-",'ORDENES'!$Z572))</f>
        <v/>
      </c>
      <c r="E594" s="5">
        <f>IF('ORDENES'!$A572="","",IF('ORDENES'!$X572="","-",'ORDENES'!$X572))</f>
        <v/>
      </c>
      <c r="F594" s="5">
        <f>IF('ORDENES'!$A572="","",IF('ORDENES'!$AA572="","-",'ORDENES'!$AA572))</f>
        <v/>
      </c>
      <c r="G594" s="5">
        <f>IF('ORDENES'!$A572="","",IF('ORDENES'!$Y572="","-",'ORDENES'!$Y572))</f>
        <v/>
      </c>
      <c r="H594" s="5">
        <f>IF('ORDENES'!$A572="","",IF('ORDENES'!$AG572="","-",'ORDENES'!$AG572))</f>
        <v/>
      </c>
      <c r="I594" s="5">
        <f>IF('ORDENES'!$A572="","",IF('ORDENES'!$AT572="","-",'ORDENES'!$AT572))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20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IF('ORDENES'!$A572="","",'ORDENES'!$AF572)</f>
        <v/>
      </c>
    </row>
    <row r="595">
      <c r="A595" s="5">
        <f>IF('ORDENES'!$A573="","",IF('ORDENES'!$O573="","-",'ORDENES'!$O573))</f>
        <v/>
      </c>
      <c r="B595" s="5">
        <f>IF('ORDENES'!$A573="","",IF('ORDENES'!$S573="","-",'ORDENES'!$S573))</f>
        <v/>
      </c>
      <c r="C595" s="5">
        <f>IF('ORDENES'!$A573="","",IF('ORDENES'!$AH573="","-",'ORDENES'!$AH573))</f>
        <v/>
      </c>
      <c r="D595" s="5">
        <f>IF('ORDENES'!$A573="","",IF('ORDENES'!$Z573="","-",'ORDENES'!$Z573))</f>
        <v/>
      </c>
      <c r="E595" s="5">
        <f>IF('ORDENES'!$A573="","",IF('ORDENES'!$X573="","-",'ORDENES'!$X573))</f>
        <v/>
      </c>
      <c r="F595" s="5">
        <f>IF('ORDENES'!$A573="","",IF('ORDENES'!$AA573="","-",'ORDENES'!$AA573))</f>
        <v/>
      </c>
      <c r="G595" s="5">
        <f>IF('ORDENES'!$A573="","",IF('ORDENES'!$Y573="","-",'ORDENES'!$Y573))</f>
        <v/>
      </c>
      <c r="H595" s="5">
        <f>IF('ORDENES'!$A573="","",IF('ORDENES'!$AG573="","-",'ORDENES'!$AG573))</f>
        <v/>
      </c>
      <c r="I595" s="5">
        <f>IF('ORDENES'!$A573="","",IF('ORDENES'!$AT573="","-",'ORDENES'!$AT573))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20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IF('ORDENES'!$A573="","",'ORDENES'!$AF573)</f>
        <v/>
      </c>
    </row>
    <row r="596">
      <c r="A596" s="5">
        <f>IF('ORDENES'!$A574="","",IF('ORDENES'!$O574="","-",'ORDENES'!$O574))</f>
        <v/>
      </c>
      <c r="B596" s="5">
        <f>IF('ORDENES'!$A574="","",IF('ORDENES'!$S574="","-",'ORDENES'!$S574))</f>
        <v/>
      </c>
      <c r="C596" s="5">
        <f>IF('ORDENES'!$A574="","",IF('ORDENES'!$AH574="","-",'ORDENES'!$AH574))</f>
        <v/>
      </c>
      <c r="D596" s="5">
        <f>IF('ORDENES'!$A574="","",IF('ORDENES'!$Z574="","-",'ORDENES'!$Z574))</f>
        <v/>
      </c>
      <c r="E596" s="5">
        <f>IF('ORDENES'!$A574="","",IF('ORDENES'!$X574="","-",'ORDENES'!$X574))</f>
        <v/>
      </c>
      <c r="F596" s="5">
        <f>IF('ORDENES'!$A574="","",IF('ORDENES'!$AA574="","-",'ORDENES'!$AA574))</f>
        <v/>
      </c>
      <c r="G596" s="5">
        <f>IF('ORDENES'!$A574="","",IF('ORDENES'!$Y574="","-",'ORDENES'!$Y574))</f>
        <v/>
      </c>
      <c r="H596" s="5">
        <f>IF('ORDENES'!$A574="","",IF('ORDENES'!$AG574="","-",'ORDENES'!$AG574))</f>
        <v/>
      </c>
      <c r="I596" s="5">
        <f>IF('ORDENES'!$A574="","",IF('ORDENES'!$AT574="","-",'ORDENES'!$AT574))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20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IF('ORDENES'!$A574="","",'ORDENES'!$AF574)</f>
        <v/>
      </c>
    </row>
    <row r="597">
      <c r="A597" s="5">
        <f>IF('ORDENES'!$A575="","",IF('ORDENES'!$O575="","-",'ORDENES'!$O575))</f>
        <v/>
      </c>
      <c r="B597" s="5">
        <f>IF('ORDENES'!$A575="","",IF('ORDENES'!$S575="","-",'ORDENES'!$S575))</f>
        <v/>
      </c>
      <c r="C597" s="5">
        <f>IF('ORDENES'!$A575="","",IF('ORDENES'!$AH575="","-",'ORDENES'!$AH575))</f>
        <v/>
      </c>
      <c r="D597" s="5">
        <f>IF('ORDENES'!$A575="","",IF('ORDENES'!$Z575="","-",'ORDENES'!$Z575))</f>
        <v/>
      </c>
      <c r="E597" s="5">
        <f>IF('ORDENES'!$A575="","",IF('ORDENES'!$X575="","-",'ORDENES'!$X575))</f>
        <v/>
      </c>
      <c r="F597" s="5">
        <f>IF('ORDENES'!$A575="","",IF('ORDENES'!$AA575="","-",'ORDENES'!$AA575))</f>
        <v/>
      </c>
      <c r="G597" s="5">
        <f>IF('ORDENES'!$A575="","",IF('ORDENES'!$Y575="","-",'ORDENES'!$Y575))</f>
        <v/>
      </c>
      <c r="H597" s="5">
        <f>IF('ORDENES'!$A575="","",IF('ORDENES'!$AG575="","-",'ORDENES'!$AG575))</f>
        <v/>
      </c>
      <c r="I597" s="5">
        <f>IF('ORDENES'!$A575="","",IF('ORDENES'!$AT575="","-",'ORDENES'!$AT575))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20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IF('ORDENES'!$A575="","",'ORDENES'!$AF575)</f>
        <v/>
      </c>
    </row>
    <row r="598">
      <c r="A598" s="5">
        <f>IF('ORDENES'!$A576="","",IF('ORDENES'!$O576="","-",'ORDENES'!$O576))</f>
        <v/>
      </c>
      <c r="B598" s="5">
        <f>IF('ORDENES'!$A576="","",IF('ORDENES'!$S576="","-",'ORDENES'!$S576))</f>
        <v/>
      </c>
      <c r="C598" s="5">
        <f>IF('ORDENES'!$A576="","",IF('ORDENES'!$AH576="","-",'ORDENES'!$AH576))</f>
        <v/>
      </c>
      <c r="D598" s="5">
        <f>IF('ORDENES'!$A576="","",IF('ORDENES'!$Z576="","-",'ORDENES'!$Z576))</f>
        <v/>
      </c>
      <c r="E598" s="5">
        <f>IF('ORDENES'!$A576="","",IF('ORDENES'!$X576="","-",'ORDENES'!$X576))</f>
        <v/>
      </c>
      <c r="F598" s="5">
        <f>IF('ORDENES'!$A576="","",IF('ORDENES'!$AA576="","-",'ORDENES'!$AA576))</f>
        <v/>
      </c>
      <c r="G598" s="5">
        <f>IF('ORDENES'!$A576="","",IF('ORDENES'!$Y576="","-",'ORDENES'!$Y576))</f>
        <v/>
      </c>
      <c r="H598" s="5">
        <f>IF('ORDENES'!$A576="","",IF('ORDENES'!$AG576="","-",'ORDENES'!$AG576))</f>
        <v/>
      </c>
      <c r="I598" s="5">
        <f>IF('ORDENES'!$A576="","",IF('ORDENES'!$AT576="","-",'ORDENES'!$AT576))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20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IF('ORDENES'!$A576="","",'ORDENES'!$AF576)</f>
        <v/>
      </c>
    </row>
    <row r="599">
      <c r="A599" s="5">
        <f>IF('ORDENES'!$A577="","",IF('ORDENES'!$O577="","-",'ORDENES'!$O577))</f>
        <v/>
      </c>
      <c r="B599" s="5">
        <f>IF('ORDENES'!$A577="","",IF('ORDENES'!$S577="","-",'ORDENES'!$S577))</f>
        <v/>
      </c>
      <c r="C599" s="5">
        <f>IF('ORDENES'!$A577="","",IF('ORDENES'!$AH577="","-",'ORDENES'!$AH577))</f>
        <v/>
      </c>
      <c r="D599" s="5">
        <f>IF('ORDENES'!$A577="","",IF('ORDENES'!$Z577="","-",'ORDENES'!$Z577))</f>
        <v/>
      </c>
      <c r="E599" s="5">
        <f>IF('ORDENES'!$A577="","",IF('ORDENES'!$X577="","-",'ORDENES'!$X577))</f>
        <v/>
      </c>
      <c r="F599" s="5">
        <f>IF('ORDENES'!$A577="","",IF('ORDENES'!$AA577="","-",'ORDENES'!$AA577))</f>
        <v/>
      </c>
      <c r="G599" s="5">
        <f>IF('ORDENES'!$A577="","",IF('ORDENES'!$Y577="","-",'ORDENES'!$Y577))</f>
        <v/>
      </c>
      <c r="H599" s="5">
        <f>IF('ORDENES'!$A577="","",IF('ORDENES'!$AG577="","-",'ORDENES'!$AG577))</f>
        <v/>
      </c>
      <c r="I599" s="5">
        <f>IF('ORDENES'!$A577="","",IF('ORDENES'!$AT577="","-",'ORDENES'!$AT577))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20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IF('ORDENES'!$A577="","",'ORDENES'!$AF577)</f>
        <v/>
      </c>
    </row>
    <row r="600">
      <c r="A600" s="5">
        <f>IF('ORDENES'!$A578="","",IF('ORDENES'!$O578="","-",'ORDENES'!$O578))</f>
        <v/>
      </c>
      <c r="B600" s="5">
        <f>IF('ORDENES'!$A578="","",IF('ORDENES'!$S578="","-",'ORDENES'!$S578))</f>
        <v/>
      </c>
      <c r="C600" s="5">
        <f>IF('ORDENES'!$A578="","",IF('ORDENES'!$AH578="","-",'ORDENES'!$AH578))</f>
        <v/>
      </c>
      <c r="D600" s="5">
        <f>IF('ORDENES'!$A578="","",IF('ORDENES'!$Z578="","-",'ORDENES'!$Z578))</f>
        <v/>
      </c>
      <c r="E600" s="5">
        <f>IF('ORDENES'!$A578="","",IF('ORDENES'!$X578="","-",'ORDENES'!$X578))</f>
        <v/>
      </c>
      <c r="F600" s="5">
        <f>IF('ORDENES'!$A578="","",IF('ORDENES'!$AA578="","-",'ORDENES'!$AA578))</f>
        <v/>
      </c>
      <c r="G600" s="5">
        <f>IF('ORDENES'!$A578="","",IF('ORDENES'!$Y578="","-",'ORDENES'!$Y578))</f>
        <v/>
      </c>
      <c r="H600" s="5">
        <f>IF('ORDENES'!$A578="","",IF('ORDENES'!$AG578="","-",'ORDENES'!$AG578))</f>
        <v/>
      </c>
      <c r="I600" s="5">
        <f>IF('ORDENES'!$A578="","",IF('ORDENES'!$AT578="","-",'ORDENES'!$AT578))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20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IF('ORDENES'!$A578="","",'ORDENES'!$AF578)</f>
        <v/>
      </c>
    </row>
    <row r="601">
      <c r="A601" s="5">
        <f>IF('ORDENES'!$A579="","",IF('ORDENES'!$O579="","-",'ORDENES'!$O579))</f>
        <v/>
      </c>
      <c r="B601" s="5">
        <f>IF('ORDENES'!$A579="","",IF('ORDENES'!$S579="","-",'ORDENES'!$S579))</f>
        <v/>
      </c>
      <c r="C601" s="5">
        <f>IF('ORDENES'!$A579="","",IF('ORDENES'!$AH579="","-",'ORDENES'!$AH579))</f>
        <v/>
      </c>
      <c r="D601" s="5">
        <f>IF('ORDENES'!$A579="","",IF('ORDENES'!$Z579="","-",'ORDENES'!$Z579))</f>
        <v/>
      </c>
      <c r="E601" s="5">
        <f>IF('ORDENES'!$A579="","",IF('ORDENES'!$X579="","-",'ORDENES'!$X579))</f>
        <v/>
      </c>
      <c r="F601" s="5">
        <f>IF('ORDENES'!$A579="","",IF('ORDENES'!$AA579="","-",'ORDENES'!$AA579))</f>
        <v/>
      </c>
      <c r="G601" s="5">
        <f>IF('ORDENES'!$A579="","",IF('ORDENES'!$Y579="","-",'ORDENES'!$Y579))</f>
        <v/>
      </c>
      <c r="H601" s="5">
        <f>IF('ORDENES'!$A579="","",IF('ORDENES'!$AG579="","-",'ORDENES'!$AG579))</f>
        <v/>
      </c>
      <c r="I601" s="5">
        <f>IF('ORDENES'!$A579="","",IF('ORDENES'!$AT579="","-",'ORDENES'!$AT579))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20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IF('ORDENES'!$A579="","",'ORDENES'!$AF579)</f>
        <v/>
      </c>
    </row>
    <row r="602">
      <c r="A602" s="5">
        <f>IF('ORDENES'!$A580="","",IF('ORDENES'!$O580="","-",'ORDENES'!$O580))</f>
        <v/>
      </c>
      <c r="B602" s="5">
        <f>IF('ORDENES'!$A580="","",IF('ORDENES'!$S580="","-",'ORDENES'!$S580))</f>
        <v/>
      </c>
      <c r="C602" s="5">
        <f>IF('ORDENES'!$A580="","",IF('ORDENES'!$AH580="","-",'ORDENES'!$AH580))</f>
        <v/>
      </c>
      <c r="D602" s="5">
        <f>IF('ORDENES'!$A580="","",IF('ORDENES'!$Z580="","-",'ORDENES'!$Z580))</f>
        <v/>
      </c>
      <c r="E602" s="5">
        <f>IF('ORDENES'!$A580="","",IF('ORDENES'!$X580="","-",'ORDENES'!$X580))</f>
        <v/>
      </c>
      <c r="F602" s="5">
        <f>IF('ORDENES'!$A580="","",IF('ORDENES'!$AA580="","-",'ORDENES'!$AA580))</f>
        <v/>
      </c>
      <c r="G602" s="5">
        <f>IF('ORDENES'!$A580="","",IF('ORDENES'!$Y580="","-",'ORDENES'!$Y580))</f>
        <v/>
      </c>
      <c r="H602" s="5">
        <f>IF('ORDENES'!$A580="","",IF('ORDENES'!$AG580="","-",'ORDENES'!$AG580))</f>
        <v/>
      </c>
      <c r="I602" s="5">
        <f>IF('ORDENES'!$A580="","",IF('ORDENES'!$AT580="","-",'ORDENES'!$AT580))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20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IF('ORDENES'!$A580="","",'ORDENES'!$AF580)</f>
        <v/>
      </c>
    </row>
    <row r="603">
      <c r="A603" s="5">
        <f>IF('ORDENES'!$A581="","",IF('ORDENES'!$O581="","-",'ORDENES'!$O581))</f>
        <v/>
      </c>
      <c r="B603" s="5">
        <f>IF('ORDENES'!$A581="","",IF('ORDENES'!$S581="","-",'ORDENES'!$S581))</f>
        <v/>
      </c>
      <c r="C603" s="5">
        <f>IF('ORDENES'!$A581="","",IF('ORDENES'!$AH581="","-",'ORDENES'!$AH581))</f>
        <v/>
      </c>
      <c r="D603" s="5">
        <f>IF('ORDENES'!$A581="","",IF('ORDENES'!$Z581="","-",'ORDENES'!$Z581))</f>
        <v/>
      </c>
      <c r="E603" s="5">
        <f>IF('ORDENES'!$A581="","",IF('ORDENES'!$X581="","-",'ORDENES'!$X581))</f>
        <v/>
      </c>
      <c r="F603" s="5">
        <f>IF('ORDENES'!$A581="","",IF('ORDENES'!$AA581="","-",'ORDENES'!$AA581))</f>
        <v/>
      </c>
      <c r="G603" s="5">
        <f>IF('ORDENES'!$A581="","",IF('ORDENES'!$Y581="","-",'ORDENES'!$Y581))</f>
        <v/>
      </c>
      <c r="H603" s="5">
        <f>IF('ORDENES'!$A581="","",IF('ORDENES'!$AG581="","-",'ORDENES'!$AG581))</f>
        <v/>
      </c>
      <c r="I603" s="5">
        <f>IF('ORDENES'!$A581="","",IF('ORDENES'!$AT581="","-",'ORDENES'!$AT581))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20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IF('ORDENES'!$A581="","",'ORDENES'!$AF581)</f>
        <v/>
      </c>
    </row>
    <row r="604">
      <c r="A604" s="5">
        <f>IF('ORDENES'!$A582="","",IF('ORDENES'!$O582="","-",'ORDENES'!$O582))</f>
        <v/>
      </c>
      <c r="B604" s="5">
        <f>IF('ORDENES'!$A582="","",IF('ORDENES'!$S582="","-",'ORDENES'!$S582))</f>
        <v/>
      </c>
      <c r="C604" s="5">
        <f>IF('ORDENES'!$A582="","",IF('ORDENES'!$AH582="","-",'ORDENES'!$AH582))</f>
        <v/>
      </c>
      <c r="D604" s="5">
        <f>IF('ORDENES'!$A582="","",IF('ORDENES'!$Z582="","-",'ORDENES'!$Z582))</f>
        <v/>
      </c>
      <c r="E604" s="5">
        <f>IF('ORDENES'!$A582="","",IF('ORDENES'!$X582="","-",'ORDENES'!$X582))</f>
        <v/>
      </c>
      <c r="F604" s="5">
        <f>IF('ORDENES'!$A582="","",IF('ORDENES'!$AA582="","-",'ORDENES'!$AA582))</f>
        <v/>
      </c>
      <c r="G604" s="5">
        <f>IF('ORDENES'!$A582="","",IF('ORDENES'!$Y582="","-",'ORDENES'!$Y582))</f>
        <v/>
      </c>
      <c r="H604" s="5">
        <f>IF('ORDENES'!$A582="","",IF('ORDENES'!$AG582="","-",'ORDENES'!$AG582))</f>
        <v/>
      </c>
      <c r="I604" s="5">
        <f>IF('ORDENES'!$A582="","",IF('ORDENES'!$AT582="","-",'ORDENES'!$AT582))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20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IF('ORDENES'!$A582="","",'ORDENES'!$AF582)</f>
        <v/>
      </c>
    </row>
    <row r="605">
      <c r="A605" s="5">
        <f>IF('ORDENES'!$A583="","",IF('ORDENES'!$O583="","-",'ORDENES'!$O583))</f>
        <v/>
      </c>
      <c r="B605" s="5">
        <f>IF('ORDENES'!$A583="","",IF('ORDENES'!$S583="","-",'ORDENES'!$S583))</f>
        <v/>
      </c>
      <c r="C605" s="5">
        <f>IF('ORDENES'!$A583="","",IF('ORDENES'!$AH583="","-",'ORDENES'!$AH583))</f>
        <v/>
      </c>
      <c r="D605" s="5">
        <f>IF('ORDENES'!$A583="","",IF('ORDENES'!$Z583="","-",'ORDENES'!$Z583))</f>
        <v/>
      </c>
      <c r="E605" s="5">
        <f>IF('ORDENES'!$A583="","",IF('ORDENES'!$X583="","-",'ORDENES'!$X583))</f>
        <v/>
      </c>
      <c r="F605" s="5">
        <f>IF('ORDENES'!$A583="","",IF('ORDENES'!$AA583="","-",'ORDENES'!$AA583))</f>
        <v/>
      </c>
      <c r="G605" s="5">
        <f>IF('ORDENES'!$A583="","",IF('ORDENES'!$Y583="","-",'ORDENES'!$Y583))</f>
        <v/>
      </c>
      <c r="H605" s="5">
        <f>IF('ORDENES'!$A583="","",IF('ORDENES'!$AG583="","-",'ORDENES'!$AG583))</f>
        <v/>
      </c>
      <c r="I605" s="5">
        <f>IF('ORDENES'!$A583="","",IF('ORDENES'!$AT583="","-",'ORDENES'!$AT583))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20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IF('ORDENES'!$A583="","",'ORDENES'!$AF583)</f>
        <v/>
      </c>
    </row>
    <row r="606">
      <c r="A606" s="5">
        <f>IF('ORDENES'!$A584="","",IF('ORDENES'!$O584="","-",'ORDENES'!$O584))</f>
        <v/>
      </c>
      <c r="B606" s="5">
        <f>IF('ORDENES'!$A584="","",IF('ORDENES'!$S584="","-",'ORDENES'!$S584))</f>
        <v/>
      </c>
      <c r="C606" s="5">
        <f>IF('ORDENES'!$A584="","",IF('ORDENES'!$AH584="","-",'ORDENES'!$AH584))</f>
        <v/>
      </c>
      <c r="D606" s="5">
        <f>IF('ORDENES'!$A584="","",IF('ORDENES'!$Z584="","-",'ORDENES'!$Z584))</f>
        <v/>
      </c>
      <c r="E606" s="5">
        <f>IF('ORDENES'!$A584="","",IF('ORDENES'!$X584="","-",'ORDENES'!$X584))</f>
        <v/>
      </c>
      <c r="F606" s="5">
        <f>IF('ORDENES'!$A584="","",IF('ORDENES'!$AA584="","-",'ORDENES'!$AA584))</f>
        <v/>
      </c>
      <c r="G606" s="5">
        <f>IF('ORDENES'!$A584="","",IF('ORDENES'!$Y584="","-",'ORDENES'!$Y584))</f>
        <v/>
      </c>
      <c r="H606" s="5">
        <f>IF('ORDENES'!$A584="","",IF('ORDENES'!$AG584="","-",'ORDENES'!$AG584))</f>
        <v/>
      </c>
      <c r="I606" s="5">
        <f>IF('ORDENES'!$A584="","",IF('ORDENES'!$AT584="","-",'ORDENES'!$AT584))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20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IF('ORDENES'!$A584="","",'ORDENES'!$AF584)</f>
        <v/>
      </c>
    </row>
    <row r="607">
      <c r="A607" s="5">
        <f>IF('ORDENES'!$A585="","",IF('ORDENES'!$O585="","-",'ORDENES'!$O585))</f>
        <v/>
      </c>
      <c r="B607" s="5">
        <f>IF('ORDENES'!$A585="","",IF('ORDENES'!$S585="","-",'ORDENES'!$S585))</f>
        <v/>
      </c>
      <c r="C607" s="5">
        <f>IF('ORDENES'!$A585="","",IF('ORDENES'!$AH585="","-",'ORDENES'!$AH585))</f>
        <v/>
      </c>
      <c r="D607" s="5">
        <f>IF('ORDENES'!$A585="","",IF('ORDENES'!$Z585="","-",'ORDENES'!$Z585))</f>
        <v/>
      </c>
      <c r="E607" s="5">
        <f>IF('ORDENES'!$A585="","",IF('ORDENES'!$X585="","-",'ORDENES'!$X585))</f>
        <v/>
      </c>
      <c r="F607" s="5">
        <f>IF('ORDENES'!$A585="","",IF('ORDENES'!$AA585="","-",'ORDENES'!$AA585))</f>
        <v/>
      </c>
      <c r="G607" s="5">
        <f>IF('ORDENES'!$A585="","",IF('ORDENES'!$Y585="","-",'ORDENES'!$Y585))</f>
        <v/>
      </c>
      <c r="H607" s="5">
        <f>IF('ORDENES'!$A585="","",IF('ORDENES'!$AG585="","-",'ORDENES'!$AG585))</f>
        <v/>
      </c>
      <c r="I607" s="5">
        <f>IF('ORDENES'!$A585="","",IF('ORDENES'!$AT585="","-",'ORDENES'!$AT585))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20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IF('ORDENES'!$A585="","",'ORDENES'!$AF585)</f>
        <v/>
      </c>
    </row>
    <row r="608">
      <c r="A608" s="5">
        <f>IF('ORDENES'!$A586="","",IF('ORDENES'!$O586="","-",'ORDENES'!$O586))</f>
        <v/>
      </c>
      <c r="B608" s="5">
        <f>IF('ORDENES'!$A586="","",IF('ORDENES'!$S586="","-",'ORDENES'!$S586))</f>
        <v/>
      </c>
      <c r="C608" s="5">
        <f>IF('ORDENES'!$A586="","",IF('ORDENES'!$AH586="","-",'ORDENES'!$AH586))</f>
        <v/>
      </c>
      <c r="D608" s="5">
        <f>IF('ORDENES'!$A586="","",IF('ORDENES'!$Z586="","-",'ORDENES'!$Z586))</f>
        <v/>
      </c>
      <c r="E608" s="5">
        <f>IF('ORDENES'!$A586="","",IF('ORDENES'!$X586="","-",'ORDENES'!$X586))</f>
        <v/>
      </c>
      <c r="F608" s="5">
        <f>IF('ORDENES'!$A586="","",IF('ORDENES'!$AA586="","-",'ORDENES'!$AA586))</f>
        <v/>
      </c>
      <c r="G608" s="5">
        <f>IF('ORDENES'!$A586="","",IF('ORDENES'!$Y586="","-",'ORDENES'!$Y586))</f>
        <v/>
      </c>
      <c r="H608" s="5">
        <f>IF('ORDENES'!$A586="","",IF('ORDENES'!$AG586="","-",'ORDENES'!$AG586))</f>
        <v/>
      </c>
      <c r="I608" s="5">
        <f>IF('ORDENES'!$A586="","",IF('ORDENES'!$AT586="","-",'ORDENES'!$AT586))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20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IF('ORDENES'!$A586="","",'ORDENES'!$AF586)</f>
        <v/>
      </c>
    </row>
    <row r="609">
      <c r="A609" s="5">
        <f>IF('ORDENES'!$A587="","",IF('ORDENES'!$O587="","-",'ORDENES'!$O587))</f>
        <v/>
      </c>
      <c r="B609" s="5">
        <f>IF('ORDENES'!$A587="","",IF('ORDENES'!$S587="","-",'ORDENES'!$S587))</f>
        <v/>
      </c>
      <c r="C609" s="5">
        <f>IF('ORDENES'!$A587="","",IF('ORDENES'!$AH587="","-",'ORDENES'!$AH587))</f>
        <v/>
      </c>
      <c r="D609" s="5">
        <f>IF('ORDENES'!$A587="","",IF('ORDENES'!$Z587="","-",'ORDENES'!$Z587))</f>
        <v/>
      </c>
      <c r="E609" s="5">
        <f>IF('ORDENES'!$A587="","",IF('ORDENES'!$X587="","-",'ORDENES'!$X587))</f>
        <v/>
      </c>
      <c r="F609" s="5">
        <f>IF('ORDENES'!$A587="","",IF('ORDENES'!$AA587="","-",'ORDENES'!$AA587))</f>
        <v/>
      </c>
      <c r="G609" s="5">
        <f>IF('ORDENES'!$A587="","",IF('ORDENES'!$Y587="","-",'ORDENES'!$Y587))</f>
        <v/>
      </c>
      <c r="H609" s="5">
        <f>IF('ORDENES'!$A587="","",IF('ORDENES'!$AG587="","-",'ORDENES'!$AG587))</f>
        <v/>
      </c>
      <c r="I609" s="5">
        <f>IF('ORDENES'!$A587="","",IF('ORDENES'!$AT587="","-",'ORDENES'!$AT587))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20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IF('ORDENES'!$A587="","",'ORDENES'!$AF587)</f>
        <v/>
      </c>
    </row>
    <row r="610">
      <c r="A610" s="5">
        <f>IF('ORDENES'!$A588="","",IF('ORDENES'!$O588="","-",'ORDENES'!$O588))</f>
        <v/>
      </c>
      <c r="B610" s="5">
        <f>IF('ORDENES'!$A588="","",IF('ORDENES'!$S588="","-",'ORDENES'!$S588))</f>
        <v/>
      </c>
      <c r="C610" s="5">
        <f>IF('ORDENES'!$A588="","",IF('ORDENES'!$AH588="","-",'ORDENES'!$AH588))</f>
        <v/>
      </c>
      <c r="D610" s="5">
        <f>IF('ORDENES'!$A588="","",IF('ORDENES'!$Z588="","-",'ORDENES'!$Z588))</f>
        <v/>
      </c>
      <c r="E610" s="5">
        <f>IF('ORDENES'!$A588="","",IF('ORDENES'!$X588="","-",'ORDENES'!$X588))</f>
        <v/>
      </c>
      <c r="F610" s="5">
        <f>IF('ORDENES'!$A588="","",IF('ORDENES'!$AA588="","-",'ORDENES'!$AA588))</f>
        <v/>
      </c>
      <c r="G610" s="5">
        <f>IF('ORDENES'!$A588="","",IF('ORDENES'!$Y588="","-",'ORDENES'!$Y588))</f>
        <v/>
      </c>
      <c r="H610" s="5">
        <f>IF('ORDENES'!$A588="","",IF('ORDENES'!$AG588="","-",'ORDENES'!$AG588))</f>
        <v/>
      </c>
      <c r="I610" s="5">
        <f>IF('ORDENES'!$A588="","",IF('ORDENES'!$AT588="","-",'ORDENES'!$AT588))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20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IF('ORDENES'!$A588="","",'ORDENES'!$AF588)</f>
        <v/>
      </c>
    </row>
    <row r="611">
      <c r="A611" s="5">
        <f>IF('ORDENES'!$A589="","",IF('ORDENES'!$O589="","-",'ORDENES'!$O589))</f>
        <v/>
      </c>
      <c r="B611" s="5">
        <f>IF('ORDENES'!$A589="","",IF('ORDENES'!$S589="","-",'ORDENES'!$S589))</f>
        <v/>
      </c>
      <c r="C611" s="5">
        <f>IF('ORDENES'!$A589="","",IF('ORDENES'!$AH589="","-",'ORDENES'!$AH589))</f>
        <v/>
      </c>
      <c r="D611" s="5">
        <f>IF('ORDENES'!$A589="","",IF('ORDENES'!$Z589="","-",'ORDENES'!$Z589))</f>
        <v/>
      </c>
      <c r="E611" s="5">
        <f>IF('ORDENES'!$A589="","",IF('ORDENES'!$X589="","-",'ORDENES'!$X589))</f>
        <v/>
      </c>
      <c r="F611" s="5">
        <f>IF('ORDENES'!$A589="","",IF('ORDENES'!$AA589="","-",'ORDENES'!$AA589))</f>
        <v/>
      </c>
      <c r="G611" s="5">
        <f>IF('ORDENES'!$A589="","",IF('ORDENES'!$Y589="","-",'ORDENES'!$Y589))</f>
        <v/>
      </c>
      <c r="H611" s="5">
        <f>IF('ORDENES'!$A589="","",IF('ORDENES'!$AG589="","-",'ORDENES'!$AG589))</f>
        <v/>
      </c>
      <c r="I611" s="5">
        <f>IF('ORDENES'!$A589="","",IF('ORDENES'!$AT589="","-",'ORDENES'!$AT589))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20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IF('ORDENES'!$A589="","",'ORDENES'!$AF589)</f>
        <v/>
      </c>
    </row>
    <row r="612">
      <c r="A612" s="5">
        <f>IF('ORDENES'!$A590="","",IF('ORDENES'!$O590="","-",'ORDENES'!$O590))</f>
        <v/>
      </c>
      <c r="B612" s="5">
        <f>IF('ORDENES'!$A590="","",IF('ORDENES'!$S590="","-",'ORDENES'!$S590))</f>
        <v/>
      </c>
      <c r="C612" s="5">
        <f>IF('ORDENES'!$A590="","",IF('ORDENES'!$AH590="","-",'ORDENES'!$AH590))</f>
        <v/>
      </c>
      <c r="D612" s="5">
        <f>IF('ORDENES'!$A590="","",IF('ORDENES'!$Z590="","-",'ORDENES'!$Z590))</f>
        <v/>
      </c>
      <c r="E612" s="5">
        <f>IF('ORDENES'!$A590="","",IF('ORDENES'!$X590="","-",'ORDENES'!$X590))</f>
        <v/>
      </c>
      <c r="F612" s="5">
        <f>IF('ORDENES'!$A590="","",IF('ORDENES'!$AA590="","-",'ORDENES'!$AA590))</f>
        <v/>
      </c>
      <c r="G612" s="5">
        <f>IF('ORDENES'!$A590="","",IF('ORDENES'!$Y590="","-",'ORDENES'!$Y590))</f>
        <v/>
      </c>
      <c r="H612" s="5">
        <f>IF('ORDENES'!$A590="","",IF('ORDENES'!$AG590="","-",'ORDENES'!$AG590))</f>
        <v/>
      </c>
      <c r="I612" s="5">
        <f>IF('ORDENES'!$A590="","",IF('ORDENES'!$AT590="","-",'ORDENES'!$AT590))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20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IF('ORDENES'!$A590="","",'ORDENES'!$AF590)</f>
        <v/>
      </c>
    </row>
    <row r="613">
      <c r="A613" s="5">
        <f>IF('ORDENES'!$A591="","",IF('ORDENES'!$O591="","-",'ORDENES'!$O591))</f>
        <v/>
      </c>
      <c r="B613" s="5">
        <f>IF('ORDENES'!$A591="","",IF('ORDENES'!$S591="","-",'ORDENES'!$S591))</f>
        <v/>
      </c>
      <c r="C613" s="5">
        <f>IF('ORDENES'!$A591="","",IF('ORDENES'!$AH591="","-",'ORDENES'!$AH591))</f>
        <v/>
      </c>
      <c r="D613" s="5">
        <f>IF('ORDENES'!$A591="","",IF('ORDENES'!$Z591="","-",'ORDENES'!$Z591))</f>
        <v/>
      </c>
      <c r="E613" s="5">
        <f>IF('ORDENES'!$A591="","",IF('ORDENES'!$X591="","-",'ORDENES'!$X591))</f>
        <v/>
      </c>
      <c r="F613" s="5">
        <f>IF('ORDENES'!$A591="","",IF('ORDENES'!$AA591="","-",'ORDENES'!$AA591))</f>
        <v/>
      </c>
      <c r="G613" s="5">
        <f>IF('ORDENES'!$A591="","",IF('ORDENES'!$Y591="","-",'ORDENES'!$Y591))</f>
        <v/>
      </c>
      <c r="H613" s="5">
        <f>IF('ORDENES'!$A591="","",IF('ORDENES'!$AG591="","-",'ORDENES'!$AG591))</f>
        <v/>
      </c>
      <c r="I613" s="5">
        <f>IF('ORDENES'!$A591="","",IF('ORDENES'!$AT591="","-",'ORDENES'!$AT591))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20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IF('ORDENES'!$A591="","",'ORDENES'!$AF591)</f>
        <v/>
      </c>
    </row>
    <row r="614">
      <c r="A614" s="5">
        <f>IF('ORDENES'!$A592="","",IF('ORDENES'!$O592="","-",'ORDENES'!$O592))</f>
        <v/>
      </c>
      <c r="B614" s="5">
        <f>IF('ORDENES'!$A592="","",IF('ORDENES'!$S592="","-",'ORDENES'!$S592))</f>
        <v/>
      </c>
      <c r="C614" s="5">
        <f>IF('ORDENES'!$A592="","",IF('ORDENES'!$AH592="","-",'ORDENES'!$AH592))</f>
        <v/>
      </c>
      <c r="D614" s="5">
        <f>IF('ORDENES'!$A592="","",IF('ORDENES'!$Z592="","-",'ORDENES'!$Z592))</f>
        <v/>
      </c>
      <c r="E614" s="5">
        <f>IF('ORDENES'!$A592="","",IF('ORDENES'!$X592="","-",'ORDENES'!$X592))</f>
        <v/>
      </c>
      <c r="F614" s="5">
        <f>IF('ORDENES'!$A592="","",IF('ORDENES'!$AA592="","-",'ORDENES'!$AA592))</f>
        <v/>
      </c>
      <c r="G614" s="5">
        <f>IF('ORDENES'!$A592="","",IF('ORDENES'!$Y592="","-",'ORDENES'!$Y592))</f>
        <v/>
      </c>
      <c r="H614" s="5">
        <f>IF('ORDENES'!$A592="","",IF('ORDENES'!$AG592="","-",'ORDENES'!$AG592))</f>
        <v/>
      </c>
      <c r="I614" s="5">
        <f>IF('ORDENES'!$A592="","",IF('ORDENES'!$AT592="","-",'ORDENES'!$AT592))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20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IF('ORDENES'!$A592="","",'ORDENES'!$AF592)</f>
        <v/>
      </c>
    </row>
    <row r="615">
      <c r="A615" s="5">
        <f>IF('ORDENES'!$A593="","",IF('ORDENES'!$O593="","-",'ORDENES'!$O593))</f>
        <v/>
      </c>
      <c r="B615" s="5">
        <f>IF('ORDENES'!$A593="","",IF('ORDENES'!$S593="","-",'ORDENES'!$S593))</f>
        <v/>
      </c>
      <c r="C615" s="5">
        <f>IF('ORDENES'!$A593="","",IF('ORDENES'!$AH593="","-",'ORDENES'!$AH593))</f>
        <v/>
      </c>
      <c r="D615" s="5">
        <f>IF('ORDENES'!$A593="","",IF('ORDENES'!$Z593="","-",'ORDENES'!$Z593))</f>
        <v/>
      </c>
      <c r="E615" s="5">
        <f>IF('ORDENES'!$A593="","",IF('ORDENES'!$X593="","-",'ORDENES'!$X593))</f>
        <v/>
      </c>
      <c r="F615" s="5">
        <f>IF('ORDENES'!$A593="","",IF('ORDENES'!$AA593="","-",'ORDENES'!$AA593))</f>
        <v/>
      </c>
      <c r="G615" s="5">
        <f>IF('ORDENES'!$A593="","",IF('ORDENES'!$Y593="","-",'ORDENES'!$Y593))</f>
        <v/>
      </c>
      <c r="H615" s="5">
        <f>IF('ORDENES'!$A593="","",IF('ORDENES'!$AG593="","-",'ORDENES'!$AG593))</f>
        <v/>
      </c>
      <c r="I615" s="5">
        <f>IF('ORDENES'!$A593="","",IF('ORDENES'!$AT593="","-",'ORDENES'!$AT593))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20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IF('ORDENES'!$A593="","",'ORDENES'!$AF593)</f>
        <v/>
      </c>
    </row>
    <row r="616">
      <c r="A616" s="5">
        <f>IF('ORDENES'!$A594="","",IF('ORDENES'!$O594="","-",'ORDENES'!$O594))</f>
        <v/>
      </c>
      <c r="B616" s="5">
        <f>IF('ORDENES'!$A594="","",IF('ORDENES'!$S594="","-",'ORDENES'!$S594))</f>
        <v/>
      </c>
      <c r="C616" s="5">
        <f>IF('ORDENES'!$A594="","",IF('ORDENES'!$AH594="","-",'ORDENES'!$AH594))</f>
        <v/>
      </c>
      <c r="D616" s="5">
        <f>IF('ORDENES'!$A594="","",IF('ORDENES'!$Z594="","-",'ORDENES'!$Z594))</f>
        <v/>
      </c>
      <c r="E616" s="5">
        <f>IF('ORDENES'!$A594="","",IF('ORDENES'!$X594="","-",'ORDENES'!$X594))</f>
        <v/>
      </c>
      <c r="F616" s="5">
        <f>IF('ORDENES'!$A594="","",IF('ORDENES'!$AA594="","-",'ORDENES'!$AA594))</f>
        <v/>
      </c>
      <c r="G616" s="5">
        <f>IF('ORDENES'!$A594="","",IF('ORDENES'!$Y594="","-",'ORDENES'!$Y594))</f>
        <v/>
      </c>
      <c r="H616" s="5">
        <f>IF('ORDENES'!$A594="","",IF('ORDENES'!$AG594="","-",'ORDENES'!$AG594))</f>
        <v/>
      </c>
      <c r="I616" s="5">
        <f>IF('ORDENES'!$A594="","",IF('ORDENES'!$AT594="","-",'ORDENES'!$AT594))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20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IF('ORDENES'!$A594="","",'ORDENES'!$AF594)</f>
        <v/>
      </c>
    </row>
    <row r="617">
      <c r="A617" s="5">
        <f>IF('ORDENES'!$A595="","",IF('ORDENES'!$O595="","-",'ORDENES'!$O595))</f>
        <v/>
      </c>
      <c r="B617" s="5">
        <f>IF('ORDENES'!$A595="","",IF('ORDENES'!$S595="","-",'ORDENES'!$S595))</f>
        <v/>
      </c>
      <c r="C617" s="5">
        <f>IF('ORDENES'!$A595="","",IF('ORDENES'!$AH595="","-",'ORDENES'!$AH595))</f>
        <v/>
      </c>
      <c r="D617" s="5">
        <f>IF('ORDENES'!$A595="","",IF('ORDENES'!$Z595="","-",'ORDENES'!$Z595))</f>
        <v/>
      </c>
      <c r="E617" s="5">
        <f>IF('ORDENES'!$A595="","",IF('ORDENES'!$X595="","-",'ORDENES'!$X595))</f>
        <v/>
      </c>
      <c r="F617" s="5">
        <f>IF('ORDENES'!$A595="","",IF('ORDENES'!$AA595="","-",'ORDENES'!$AA595))</f>
        <v/>
      </c>
      <c r="G617" s="5">
        <f>IF('ORDENES'!$A595="","",IF('ORDENES'!$Y595="","-",'ORDENES'!$Y595))</f>
        <v/>
      </c>
      <c r="H617" s="5">
        <f>IF('ORDENES'!$A595="","",IF('ORDENES'!$AG595="","-",'ORDENES'!$AG595))</f>
        <v/>
      </c>
      <c r="I617" s="5">
        <f>IF('ORDENES'!$A595="","",IF('ORDENES'!$AT595="","-",'ORDENES'!$AT595))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20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IF('ORDENES'!$A595="","",'ORDENES'!$AF595)</f>
        <v/>
      </c>
    </row>
    <row r="618">
      <c r="A618" s="5">
        <f>IF('ORDENES'!$A596="","",IF('ORDENES'!$O596="","-",'ORDENES'!$O596))</f>
        <v/>
      </c>
      <c r="B618" s="5">
        <f>IF('ORDENES'!$A596="","",IF('ORDENES'!$S596="","-",'ORDENES'!$S596))</f>
        <v/>
      </c>
      <c r="C618" s="5">
        <f>IF('ORDENES'!$A596="","",IF('ORDENES'!$AH596="","-",'ORDENES'!$AH596))</f>
        <v/>
      </c>
      <c r="D618" s="5">
        <f>IF('ORDENES'!$A596="","",IF('ORDENES'!$Z596="","-",'ORDENES'!$Z596))</f>
        <v/>
      </c>
      <c r="E618" s="5">
        <f>IF('ORDENES'!$A596="","",IF('ORDENES'!$X596="","-",'ORDENES'!$X596))</f>
        <v/>
      </c>
      <c r="F618" s="5">
        <f>IF('ORDENES'!$A596="","",IF('ORDENES'!$AA596="","-",'ORDENES'!$AA596))</f>
        <v/>
      </c>
      <c r="G618" s="5">
        <f>IF('ORDENES'!$A596="","",IF('ORDENES'!$Y596="","-",'ORDENES'!$Y596))</f>
        <v/>
      </c>
      <c r="H618" s="5">
        <f>IF('ORDENES'!$A596="","",IF('ORDENES'!$AG596="","-",'ORDENES'!$AG596))</f>
        <v/>
      </c>
      <c r="I618" s="5">
        <f>IF('ORDENES'!$A596="","",IF('ORDENES'!$AT596="","-",'ORDENES'!$AT596))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20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IF('ORDENES'!$A596="","",'ORDENES'!$AF596)</f>
        <v/>
      </c>
    </row>
    <row r="619">
      <c r="A619" s="5">
        <f>IF('ORDENES'!$A597="","",IF('ORDENES'!$O597="","-",'ORDENES'!$O597))</f>
        <v/>
      </c>
      <c r="B619" s="5">
        <f>IF('ORDENES'!$A597="","",IF('ORDENES'!$S597="","-",'ORDENES'!$S597))</f>
        <v/>
      </c>
      <c r="C619" s="5">
        <f>IF('ORDENES'!$A597="","",IF('ORDENES'!$AH597="","-",'ORDENES'!$AH597))</f>
        <v/>
      </c>
      <c r="D619" s="5">
        <f>IF('ORDENES'!$A597="","",IF('ORDENES'!$Z597="","-",'ORDENES'!$Z597))</f>
        <v/>
      </c>
      <c r="E619" s="5">
        <f>IF('ORDENES'!$A597="","",IF('ORDENES'!$X597="","-",'ORDENES'!$X597))</f>
        <v/>
      </c>
      <c r="F619" s="5">
        <f>IF('ORDENES'!$A597="","",IF('ORDENES'!$AA597="","-",'ORDENES'!$AA597))</f>
        <v/>
      </c>
      <c r="G619" s="5">
        <f>IF('ORDENES'!$A597="","",IF('ORDENES'!$Y597="","-",'ORDENES'!$Y597))</f>
        <v/>
      </c>
      <c r="H619" s="5">
        <f>IF('ORDENES'!$A597="","",IF('ORDENES'!$AG597="","-",'ORDENES'!$AG597))</f>
        <v/>
      </c>
      <c r="I619" s="5">
        <f>IF('ORDENES'!$A597="","",IF('ORDENES'!$AT597="","-",'ORDENES'!$AT597))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20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IF('ORDENES'!$A597="","",'ORDENES'!$AF597)</f>
        <v/>
      </c>
    </row>
    <row r="620">
      <c r="A620" s="5">
        <f>IF('ORDENES'!$A598="","",IF('ORDENES'!$O598="","-",'ORDENES'!$O598))</f>
        <v/>
      </c>
      <c r="B620" s="5">
        <f>IF('ORDENES'!$A598="","",IF('ORDENES'!$S598="","-",'ORDENES'!$S598))</f>
        <v/>
      </c>
      <c r="C620" s="5">
        <f>IF('ORDENES'!$A598="","",IF('ORDENES'!$AH598="","-",'ORDENES'!$AH598))</f>
        <v/>
      </c>
      <c r="D620" s="5">
        <f>IF('ORDENES'!$A598="","",IF('ORDENES'!$Z598="","-",'ORDENES'!$Z598))</f>
        <v/>
      </c>
      <c r="E620" s="5">
        <f>IF('ORDENES'!$A598="","",IF('ORDENES'!$X598="","-",'ORDENES'!$X598))</f>
        <v/>
      </c>
      <c r="F620" s="5">
        <f>IF('ORDENES'!$A598="","",IF('ORDENES'!$AA598="","-",'ORDENES'!$AA598))</f>
        <v/>
      </c>
      <c r="G620" s="5">
        <f>IF('ORDENES'!$A598="","",IF('ORDENES'!$Y598="","-",'ORDENES'!$Y598))</f>
        <v/>
      </c>
      <c r="H620" s="5">
        <f>IF('ORDENES'!$A598="","",IF('ORDENES'!$AG598="","-",'ORDENES'!$AG598))</f>
        <v/>
      </c>
      <c r="I620" s="5">
        <f>IF('ORDENES'!$A598="","",IF('ORDENES'!$AT598="","-",'ORDENES'!$AT598))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20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IF('ORDENES'!$A598="","",'ORDENES'!$AF598)</f>
        <v/>
      </c>
    </row>
    <row r="621">
      <c r="A621" s="5">
        <f>IF('ORDENES'!$A599="","",IF('ORDENES'!$O599="","-",'ORDENES'!$O599))</f>
        <v/>
      </c>
      <c r="B621" s="5">
        <f>IF('ORDENES'!$A599="","",IF('ORDENES'!$S599="","-",'ORDENES'!$S599))</f>
        <v/>
      </c>
      <c r="C621" s="5">
        <f>IF('ORDENES'!$A599="","",IF('ORDENES'!$AH599="","-",'ORDENES'!$AH599))</f>
        <v/>
      </c>
      <c r="D621" s="5">
        <f>IF('ORDENES'!$A599="","",IF('ORDENES'!$Z599="","-",'ORDENES'!$Z599))</f>
        <v/>
      </c>
      <c r="E621" s="5">
        <f>IF('ORDENES'!$A599="","",IF('ORDENES'!$X599="","-",'ORDENES'!$X599))</f>
        <v/>
      </c>
      <c r="F621" s="5">
        <f>IF('ORDENES'!$A599="","",IF('ORDENES'!$AA599="","-",'ORDENES'!$AA599))</f>
        <v/>
      </c>
      <c r="G621" s="5">
        <f>IF('ORDENES'!$A599="","",IF('ORDENES'!$Y599="","-",'ORDENES'!$Y599))</f>
        <v/>
      </c>
      <c r="H621" s="5">
        <f>IF('ORDENES'!$A599="","",IF('ORDENES'!$AG599="","-",'ORDENES'!$AG599))</f>
        <v/>
      </c>
      <c r="I621" s="5">
        <f>IF('ORDENES'!$A599="","",IF('ORDENES'!$AT599="","-",'ORDENES'!$AT599))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20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IF('ORDENES'!$A599="","",'ORDENES'!$AF599)</f>
        <v/>
      </c>
    </row>
    <row r="622">
      <c r="A622" s="5">
        <f>IF('ORDENES'!$A600="","",IF('ORDENES'!$O600="","-",'ORDENES'!$O600))</f>
        <v/>
      </c>
      <c r="B622" s="5">
        <f>IF('ORDENES'!$A600="","",IF('ORDENES'!$S600="","-",'ORDENES'!$S600))</f>
        <v/>
      </c>
      <c r="C622" s="5">
        <f>IF('ORDENES'!$A600="","",IF('ORDENES'!$AH600="","-",'ORDENES'!$AH600))</f>
        <v/>
      </c>
      <c r="D622" s="5">
        <f>IF('ORDENES'!$A600="","",IF('ORDENES'!$Z600="","-",'ORDENES'!$Z600))</f>
        <v/>
      </c>
      <c r="E622" s="5">
        <f>IF('ORDENES'!$A600="","",IF('ORDENES'!$X600="","-",'ORDENES'!$X600))</f>
        <v/>
      </c>
      <c r="F622" s="5">
        <f>IF('ORDENES'!$A600="","",IF('ORDENES'!$AA600="","-",'ORDENES'!$AA600))</f>
        <v/>
      </c>
      <c r="G622" s="5">
        <f>IF('ORDENES'!$A600="","",IF('ORDENES'!$Y600="","-",'ORDENES'!$Y600))</f>
        <v/>
      </c>
      <c r="H622" s="5">
        <f>IF('ORDENES'!$A600="","",IF('ORDENES'!$AG600="","-",'ORDENES'!$AG600))</f>
        <v/>
      </c>
      <c r="I622" s="5">
        <f>IF('ORDENES'!$A600="","",IF('ORDENES'!$AT600="","-",'ORDENES'!$AT600))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20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IF('ORDENES'!$A600="","",'ORDENES'!$AF600)</f>
        <v/>
      </c>
    </row>
    <row r="623">
      <c r="A623" s="5">
        <f>IF('ORDENES'!$A601="","",IF('ORDENES'!$O601="","-",'ORDENES'!$O601))</f>
        <v/>
      </c>
      <c r="B623" s="5">
        <f>IF('ORDENES'!$A601="","",IF('ORDENES'!$S601="","-",'ORDENES'!$S601))</f>
        <v/>
      </c>
      <c r="C623" s="5">
        <f>IF('ORDENES'!$A601="","",IF('ORDENES'!$AH601="","-",'ORDENES'!$AH601))</f>
        <v/>
      </c>
      <c r="D623" s="5">
        <f>IF('ORDENES'!$A601="","",IF('ORDENES'!$Z601="","-",'ORDENES'!$Z601))</f>
        <v/>
      </c>
      <c r="E623" s="5">
        <f>IF('ORDENES'!$A601="","",IF('ORDENES'!$X601="","-",'ORDENES'!$X601))</f>
        <v/>
      </c>
      <c r="F623" s="5">
        <f>IF('ORDENES'!$A601="","",IF('ORDENES'!$AA601="","-",'ORDENES'!$AA601))</f>
        <v/>
      </c>
      <c r="G623" s="5">
        <f>IF('ORDENES'!$A601="","",IF('ORDENES'!$Y601="","-",'ORDENES'!$Y601))</f>
        <v/>
      </c>
      <c r="H623" s="5">
        <f>IF('ORDENES'!$A601="","",IF('ORDENES'!$AG601="","-",'ORDENES'!$AG601))</f>
        <v/>
      </c>
      <c r="I623" s="5">
        <f>IF('ORDENES'!$A601="","",IF('ORDENES'!$AT601="","-",'ORDENES'!$AT601))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20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IF('ORDENES'!$A601="","",'ORDENES'!$AF601)</f>
        <v/>
      </c>
    </row>
    <row r="624">
      <c r="A624" s="5">
        <f>IF('ORDENES'!$A602="","",IF('ORDENES'!$O602="","-",'ORDENES'!$O602))</f>
        <v/>
      </c>
      <c r="B624" s="5">
        <f>IF('ORDENES'!$A602="","",IF('ORDENES'!$S602="","-",'ORDENES'!$S602))</f>
        <v/>
      </c>
      <c r="C624" s="5">
        <f>IF('ORDENES'!$A602="","",IF('ORDENES'!$AH602="","-",'ORDENES'!$AH602))</f>
        <v/>
      </c>
      <c r="D624" s="5">
        <f>IF('ORDENES'!$A602="","",IF('ORDENES'!$Z602="","-",'ORDENES'!$Z602))</f>
        <v/>
      </c>
      <c r="E624" s="5">
        <f>IF('ORDENES'!$A602="","",IF('ORDENES'!$X602="","-",'ORDENES'!$X602))</f>
        <v/>
      </c>
      <c r="F624" s="5">
        <f>IF('ORDENES'!$A602="","",IF('ORDENES'!$AA602="","-",'ORDENES'!$AA602))</f>
        <v/>
      </c>
      <c r="G624" s="5">
        <f>IF('ORDENES'!$A602="","",IF('ORDENES'!$Y602="","-",'ORDENES'!$Y602))</f>
        <v/>
      </c>
      <c r="H624" s="5">
        <f>IF('ORDENES'!$A602="","",IF('ORDENES'!$AG602="","-",'ORDENES'!$AG602))</f>
        <v/>
      </c>
      <c r="I624" s="5">
        <f>IF('ORDENES'!$A602="","",IF('ORDENES'!$AT602="","-",'ORDENES'!$AT602))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20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IF('ORDENES'!$A602="","",'ORDENES'!$AF602)</f>
        <v/>
      </c>
    </row>
    <row r="625">
      <c r="A625" s="5">
        <f>IF('ORDENES'!$A603="","",IF('ORDENES'!$O603="","-",'ORDENES'!$O603))</f>
        <v/>
      </c>
      <c r="B625" s="5">
        <f>IF('ORDENES'!$A603="","",IF('ORDENES'!$S603="","-",'ORDENES'!$S603))</f>
        <v/>
      </c>
      <c r="C625" s="5">
        <f>IF('ORDENES'!$A603="","",IF('ORDENES'!$AH603="","-",'ORDENES'!$AH603))</f>
        <v/>
      </c>
      <c r="D625" s="5">
        <f>IF('ORDENES'!$A603="","",IF('ORDENES'!$Z603="","-",'ORDENES'!$Z603))</f>
        <v/>
      </c>
      <c r="E625" s="5">
        <f>IF('ORDENES'!$A603="","",IF('ORDENES'!$X603="","-",'ORDENES'!$X603))</f>
        <v/>
      </c>
      <c r="F625" s="5">
        <f>IF('ORDENES'!$A603="","",IF('ORDENES'!$AA603="","-",'ORDENES'!$AA603))</f>
        <v/>
      </c>
      <c r="G625" s="5">
        <f>IF('ORDENES'!$A603="","",IF('ORDENES'!$Y603="","-",'ORDENES'!$Y603))</f>
        <v/>
      </c>
      <c r="H625" s="5">
        <f>IF('ORDENES'!$A603="","",IF('ORDENES'!$AG603="","-",'ORDENES'!$AG603))</f>
        <v/>
      </c>
      <c r="I625" s="5">
        <f>IF('ORDENES'!$A603="","",IF('ORDENES'!$AT603="","-",'ORDENES'!$AT603))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20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IF('ORDENES'!$A603="","",'ORDENES'!$AF603)</f>
        <v/>
      </c>
    </row>
    <row r="626">
      <c r="A626" s="5">
        <f>IF('ORDENES'!$A604="","",IF('ORDENES'!$O604="","-",'ORDENES'!$O604))</f>
        <v/>
      </c>
      <c r="B626" s="5">
        <f>IF('ORDENES'!$A604="","",IF('ORDENES'!$S604="","-",'ORDENES'!$S604))</f>
        <v/>
      </c>
      <c r="C626" s="5">
        <f>IF('ORDENES'!$A604="","",IF('ORDENES'!$AH604="","-",'ORDENES'!$AH604))</f>
        <v/>
      </c>
      <c r="D626" s="5">
        <f>IF('ORDENES'!$A604="","",IF('ORDENES'!$Z604="","-",'ORDENES'!$Z604))</f>
        <v/>
      </c>
      <c r="E626" s="5">
        <f>IF('ORDENES'!$A604="","",IF('ORDENES'!$X604="","-",'ORDENES'!$X604))</f>
        <v/>
      </c>
      <c r="F626" s="5">
        <f>IF('ORDENES'!$A604="","",IF('ORDENES'!$AA604="","-",'ORDENES'!$AA604))</f>
        <v/>
      </c>
      <c r="G626" s="5">
        <f>IF('ORDENES'!$A604="","",IF('ORDENES'!$Y604="","-",'ORDENES'!$Y604))</f>
        <v/>
      </c>
      <c r="H626" s="5">
        <f>IF('ORDENES'!$A604="","",IF('ORDENES'!$AG604="","-",'ORDENES'!$AG604))</f>
        <v/>
      </c>
      <c r="I626" s="5">
        <f>IF('ORDENES'!$A604="","",IF('ORDENES'!$AT604="","-",'ORDENES'!$AT604))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20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IF('ORDENES'!$A604="","",'ORDENES'!$AF604)</f>
        <v/>
      </c>
    </row>
    <row r="627">
      <c r="A627" s="5">
        <f>IF('ORDENES'!$A605="","",IF('ORDENES'!$O605="","-",'ORDENES'!$O605))</f>
        <v/>
      </c>
      <c r="B627" s="5">
        <f>IF('ORDENES'!$A605="","",IF('ORDENES'!$S605="","-",'ORDENES'!$S605))</f>
        <v/>
      </c>
      <c r="C627" s="5">
        <f>IF('ORDENES'!$A605="","",IF('ORDENES'!$AH605="","-",'ORDENES'!$AH605))</f>
        <v/>
      </c>
      <c r="D627" s="5">
        <f>IF('ORDENES'!$A605="","",IF('ORDENES'!$Z605="","-",'ORDENES'!$Z605))</f>
        <v/>
      </c>
      <c r="E627" s="5">
        <f>IF('ORDENES'!$A605="","",IF('ORDENES'!$X605="","-",'ORDENES'!$X605))</f>
        <v/>
      </c>
      <c r="F627" s="5">
        <f>IF('ORDENES'!$A605="","",IF('ORDENES'!$AA605="","-",'ORDENES'!$AA605))</f>
        <v/>
      </c>
      <c r="G627" s="5">
        <f>IF('ORDENES'!$A605="","",IF('ORDENES'!$Y605="","-",'ORDENES'!$Y605))</f>
        <v/>
      </c>
      <c r="H627" s="5">
        <f>IF('ORDENES'!$A605="","",IF('ORDENES'!$AG605="","-",'ORDENES'!$AG605))</f>
        <v/>
      </c>
      <c r="I627" s="5">
        <f>IF('ORDENES'!$A605="","",IF('ORDENES'!$AT605="","-",'ORDENES'!$AT605))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20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IF('ORDENES'!$A605="","",'ORDENES'!$AF605)</f>
        <v/>
      </c>
    </row>
    <row r="628">
      <c r="A628" s="5">
        <f>IF('ORDENES'!$A606="","",IF('ORDENES'!$O606="","-",'ORDENES'!$O606))</f>
        <v/>
      </c>
      <c r="B628" s="5">
        <f>IF('ORDENES'!$A606="","",IF('ORDENES'!$S606="","-",'ORDENES'!$S606))</f>
        <v/>
      </c>
      <c r="C628" s="5">
        <f>IF('ORDENES'!$A606="","",IF('ORDENES'!$AH606="","-",'ORDENES'!$AH606))</f>
        <v/>
      </c>
      <c r="D628" s="5">
        <f>IF('ORDENES'!$A606="","",IF('ORDENES'!$Z606="","-",'ORDENES'!$Z606))</f>
        <v/>
      </c>
      <c r="E628" s="5">
        <f>IF('ORDENES'!$A606="","",IF('ORDENES'!$X606="","-",'ORDENES'!$X606))</f>
        <v/>
      </c>
      <c r="F628" s="5">
        <f>IF('ORDENES'!$A606="","",IF('ORDENES'!$AA606="","-",'ORDENES'!$AA606))</f>
        <v/>
      </c>
      <c r="G628" s="5">
        <f>IF('ORDENES'!$A606="","",IF('ORDENES'!$Y606="","-",'ORDENES'!$Y606))</f>
        <v/>
      </c>
      <c r="H628" s="5">
        <f>IF('ORDENES'!$A606="","",IF('ORDENES'!$AG606="","-",'ORDENES'!$AG606))</f>
        <v/>
      </c>
      <c r="I628" s="5">
        <f>IF('ORDENES'!$A606="","",IF('ORDENES'!$AT606="","-",'ORDENES'!$AT606))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20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IF('ORDENES'!$A606="","",'ORDENES'!$AF606)</f>
        <v/>
      </c>
    </row>
    <row r="629">
      <c r="A629" s="5">
        <f>IF('ORDENES'!$A607="","",IF('ORDENES'!$O607="","-",'ORDENES'!$O607))</f>
        <v/>
      </c>
      <c r="B629" s="5">
        <f>IF('ORDENES'!$A607="","",IF('ORDENES'!$S607="","-",'ORDENES'!$S607))</f>
        <v/>
      </c>
      <c r="C629" s="5">
        <f>IF('ORDENES'!$A607="","",IF('ORDENES'!$AH607="","-",'ORDENES'!$AH607))</f>
        <v/>
      </c>
      <c r="D629" s="5">
        <f>IF('ORDENES'!$A607="","",IF('ORDENES'!$Z607="","-",'ORDENES'!$Z607))</f>
        <v/>
      </c>
      <c r="E629" s="5">
        <f>IF('ORDENES'!$A607="","",IF('ORDENES'!$X607="","-",'ORDENES'!$X607))</f>
        <v/>
      </c>
      <c r="F629" s="5">
        <f>IF('ORDENES'!$A607="","",IF('ORDENES'!$AA607="","-",'ORDENES'!$AA607))</f>
        <v/>
      </c>
      <c r="G629" s="5">
        <f>IF('ORDENES'!$A607="","",IF('ORDENES'!$Y607="","-",'ORDENES'!$Y607))</f>
        <v/>
      </c>
      <c r="H629" s="5">
        <f>IF('ORDENES'!$A607="","",IF('ORDENES'!$AG607="","-",'ORDENES'!$AG607))</f>
        <v/>
      </c>
      <c r="I629" s="5">
        <f>IF('ORDENES'!$A607="","",IF('ORDENES'!$AT607="","-",'ORDENES'!$AT607))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20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IF('ORDENES'!$A607="","",'ORDENES'!$AF607)</f>
        <v/>
      </c>
    </row>
    <row r="630">
      <c r="A630" s="5">
        <f>IF('ORDENES'!$A608="","",IF('ORDENES'!$O608="","-",'ORDENES'!$O608))</f>
        <v/>
      </c>
      <c r="B630" s="5">
        <f>IF('ORDENES'!$A608="","",IF('ORDENES'!$S608="","-",'ORDENES'!$S608))</f>
        <v/>
      </c>
      <c r="C630" s="5">
        <f>IF('ORDENES'!$A608="","",IF('ORDENES'!$AH608="","-",'ORDENES'!$AH608))</f>
        <v/>
      </c>
      <c r="D630" s="5">
        <f>IF('ORDENES'!$A608="","",IF('ORDENES'!$Z608="","-",'ORDENES'!$Z608))</f>
        <v/>
      </c>
      <c r="E630" s="5">
        <f>IF('ORDENES'!$A608="","",IF('ORDENES'!$X608="","-",'ORDENES'!$X608))</f>
        <v/>
      </c>
      <c r="F630" s="5">
        <f>IF('ORDENES'!$A608="","",IF('ORDENES'!$AA608="","-",'ORDENES'!$AA608))</f>
        <v/>
      </c>
      <c r="G630" s="5">
        <f>IF('ORDENES'!$A608="","",IF('ORDENES'!$Y608="","-",'ORDENES'!$Y608))</f>
        <v/>
      </c>
      <c r="H630" s="5">
        <f>IF('ORDENES'!$A608="","",IF('ORDENES'!$AG608="","-",'ORDENES'!$AG608))</f>
        <v/>
      </c>
      <c r="I630" s="5">
        <f>IF('ORDENES'!$A608="","",IF('ORDENES'!$AT608="","-",'ORDENES'!$AT608))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20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IF('ORDENES'!$A608="","",'ORDENES'!$AF608)</f>
        <v/>
      </c>
    </row>
    <row r="631">
      <c r="A631" s="5">
        <f>IF('ORDENES'!$A609="","",IF('ORDENES'!$O609="","-",'ORDENES'!$O609))</f>
        <v/>
      </c>
      <c r="B631" s="5">
        <f>IF('ORDENES'!$A609="","",IF('ORDENES'!$S609="","-",'ORDENES'!$S609))</f>
        <v/>
      </c>
      <c r="C631" s="5">
        <f>IF('ORDENES'!$A609="","",IF('ORDENES'!$AH609="","-",'ORDENES'!$AH609))</f>
        <v/>
      </c>
      <c r="D631" s="5">
        <f>IF('ORDENES'!$A609="","",IF('ORDENES'!$Z609="","-",'ORDENES'!$Z609))</f>
        <v/>
      </c>
      <c r="E631" s="5">
        <f>IF('ORDENES'!$A609="","",IF('ORDENES'!$X609="","-",'ORDENES'!$X609))</f>
        <v/>
      </c>
      <c r="F631" s="5">
        <f>IF('ORDENES'!$A609="","",IF('ORDENES'!$AA609="","-",'ORDENES'!$AA609))</f>
        <v/>
      </c>
      <c r="G631" s="5">
        <f>IF('ORDENES'!$A609="","",IF('ORDENES'!$Y609="","-",'ORDENES'!$Y609))</f>
        <v/>
      </c>
      <c r="H631" s="5">
        <f>IF('ORDENES'!$A609="","",IF('ORDENES'!$AG609="","-",'ORDENES'!$AG609))</f>
        <v/>
      </c>
      <c r="I631" s="5">
        <f>IF('ORDENES'!$A609="","",IF('ORDENES'!$AT609="","-",'ORDENES'!$AT609))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20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IF('ORDENES'!$A609="","",'ORDENES'!$AF609)</f>
        <v/>
      </c>
    </row>
    <row r="632">
      <c r="A632" s="5">
        <f>IF('ORDENES'!$A610="","",IF('ORDENES'!$O610="","-",'ORDENES'!$O610))</f>
        <v/>
      </c>
      <c r="B632" s="5">
        <f>IF('ORDENES'!$A610="","",IF('ORDENES'!$S610="","-",'ORDENES'!$S610))</f>
        <v/>
      </c>
      <c r="C632" s="5">
        <f>IF('ORDENES'!$A610="","",IF('ORDENES'!$AH610="","-",'ORDENES'!$AH610))</f>
        <v/>
      </c>
      <c r="D632" s="5">
        <f>IF('ORDENES'!$A610="","",IF('ORDENES'!$Z610="","-",'ORDENES'!$Z610))</f>
        <v/>
      </c>
      <c r="E632" s="5">
        <f>IF('ORDENES'!$A610="","",IF('ORDENES'!$X610="","-",'ORDENES'!$X610))</f>
        <v/>
      </c>
      <c r="F632" s="5">
        <f>IF('ORDENES'!$A610="","",IF('ORDENES'!$AA610="","-",'ORDENES'!$AA610))</f>
        <v/>
      </c>
      <c r="G632" s="5">
        <f>IF('ORDENES'!$A610="","",IF('ORDENES'!$Y610="","-",'ORDENES'!$Y610))</f>
        <v/>
      </c>
      <c r="H632" s="5">
        <f>IF('ORDENES'!$A610="","",IF('ORDENES'!$AG610="","-",'ORDENES'!$AG610))</f>
        <v/>
      </c>
      <c r="I632" s="5">
        <f>IF('ORDENES'!$A610="","",IF('ORDENES'!$AT610="","-",'ORDENES'!$AT610))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20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IF('ORDENES'!$A610="","",'ORDENES'!$AF610)</f>
        <v/>
      </c>
    </row>
    <row r="633">
      <c r="A633" s="5">
        <f>IF('ORDENES'!$A611="","",IF('ORDENES'!$O611="","-",'ORDENES'!$O611))</f>
        <v/>
      </c>
      <c r="B633" s="5">
        <f>IF('ORDENES'!$A611="","",IF('ORDENES'!$S611="","-",'ORDENES'!$S611))</f>
        <v/>
      </c>
      <c r="C633" s="5">
        <f>IF('ORDENES'!$A611="","",IF('ORDENES'!$AH611="","-",'ORDENES'!$AH611))</f>
        <v/>
      </c>
      <c r="D633" s="5">
        <f>IF('ORDENES'!$A611="","",IF('ORDENES'!$Z611="","-",'ORDENES'!$Z611))</f>
        <v/>
      </c>
      <c r="E633" s="5">
        <f>IF('ORDENES'!$A611="","",IF('ORDENES'!$X611="","-",'ORDENES'!$X611))</f>
        <v/>
      </c>
      <c r="F633" s="5">
        <f>IF('ORDENES'!$A611="","",IF('ORDENES'!$AA611="","-",'ORDENES'!$AA611))</f>
        <v/>
      </c>
      <c r="G633" s="5">
        <f>IF('ORDENES'!$A611="","",IF('ORDENES'!$Y611="","-",'ORDENES'!$Y611))</f>
        <v/>
      </c>
      <c r="H633" s="5">
        <f>IF('ORDENES'!$A611="","",IF('ORDENES'!$AG611="","-",'ORDENES'!$AG611))</f>
        <v/>
      </c>
      <c r="I633" s="5">
        <f>IF('ORDENES'!$A611="","",IF('ORDENES'!$AT611="","-",'ORDENES'!$AT611))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20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IF('ORDENES'!$A611="","",'ORDENES'!$AF611)</f>
        <v/>
      </c>
    </row>
    <row r="634">
      <c r="A634" s="5">
        <f>IF('ORDENES'!$A612="","",IF('ORDENES'!$O612="","-",'ORDENES'!$O612))</f>
        <v/>
      </c>
      <c r="B634" s="5">
        <f>IF('ORDENES'!$A612="","",IF('ORDENES'!$S612="","-",'ORDENES'!$S612))</f>
        <v/>
      </c>
      <c r="C634" s="5">
        <f>IF('ORDENES'!$A612="","",IF('ORDENES'!$AH612="","-",'ORDENES'!$AH612))</f>
        <v/>
      </c>
      <c r="D634" s="5">
        <f>IF('ORDENES'!$A612="","",IF('ORDENES'!$Z612="","-",'ORDENES'!$Z612))</f>
        <v/>
      </c>
      <c r="E634" s="5">
        <f>IF('ORDENES'!$A612="","",IF('ORDENES'!$X612="","-",'ORDENES'!$X612))</f>
        <v/>
      </c>
      <c r="F634" s="5">
        <f>IF('ORDENES'!$A612="","",IF('ORDENES'!$AA612="","-",'ORDENES'!$AA612))</f>
        <v/>
      </c>
      <c r="G634" s="5">
        <f>IF('ORDENES'!$A612="","",IF('ORDENES'!$Y612="","-",'ORDENES'!$Y612))</f>
        <v/>
      </c>
      <c r="H634" s="5">
        <f>IF('ORDENES'!$A612="","",IF('ORDENES'!$AG612="","-",'ORDENES'!$AG612))</f>
        <v/>
      </c>
      <c r="I634" s="5">
        <f>IF('ORDENES'!$A612="","",IF('ORDENES'!$AT612="","-",'ORDENES'!$AT612))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20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IF('ORDENES'!$A612="","",'ORDENES'!$AF612)</f>
        <v/>
      </c>
    </row>
    <row r="635">
      <c r="A635" s="5">
        <f>IF('ORDENES'!$A613="","",IF('ORDENES'!$O613="","-",'ORDENES'!$O613))</f>
        <v/>
      </c>
      <c r="B635" s="5">
        <f>IF('ORDENES'!$A613="","",IF('ORDENES'!$S613="","-",'ORDENES'!$S613))</f>
        <v/>
      </c>
      <c r="C635" s="5">
        <f>IF('ORDENES'!$A613="","",IF('ORDENES'!$AH613="","-",'ORDENES'!$AH613))</f>
        <v/>
      </c>
      <c r="D635" s="5">
        <f>IF('ORDENES'!$A613="","",IF('ORDENES'!$Z613="","-",'ORDENES'!$Z613))</f>
        <v/>
      </c>
      <c r="E635" s="5">
        <f>IF('ORDENES'!$A613="","",IF('ORDENES'!$X613="","-",'ORDENES'!$X613))</f>
        <v/>
      </c>
      <c r="F635" s="5">
        <f>IF('ORDENES'!$A613="","",IF('ORDENES'!$AA613="","-",'ORDENES'!$AA613))</f>
        <v/>
      </c>
      <c r="G635" s="5">
        <f>IF('ORDENES'!$A613="","",IF('ORDENES'!$Y613="","-",'ORDENES'!$Y613))</f>
        <v/>
      </c>
      <c r="H635" s="5">
        <f>IF('ORDENES'!$A613="","",IF('ORDENES'!$AG613="","-",'ORDENES'!$AG613))</f>
        <v/>
      </c>
      <c r="I635" s="5">
        <f>IF('ORDENES'!$A613="","",IF('ORDENES'!$AT613="","-",'ORDENES'!$AT613))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20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IF('ORDENES'!$A613="","",'ORDENES'!$AF613)</f>
        <v/>
      </c>
    </row>
    <row r="636">
      <c r="A636" s="5">
        <f>IF('ORDENES'!$A614="","",IF('ORDENES'!$O614="","-",'ORDENES'!$O614))</f>
        <v/>
      </c>
      <c r="B636" s="5">
        <f>IF('ORDENES'!$A614="","",IF('ORDENES'!$S614="","-",'ORDENES'!$S614))</f>
        <v/>
      </c>
      <c r="C636" s="5">
        <f>IF('ORDENES'!$A614="","",IF('ORDENES'!$AH614="","-",'ORDENES'!$AH614))</f>
        <v/>
      </c>
      <c r="D636" s="5">
        <f>IF('ORDENES'!$A614="","",IF('ORDENES'!$Z614="","-",'ORDENES'!$Z614))</f>
        <v/>
      </c>
      <c r="E636" s="5">
        <f>IF('ORDENES'!$A614="","",IF('ORDENES'!$X614="","-",'ORDENES'!$X614))</f>
        <v/>
      </c>
      <c r="F636" s="5">
        <f>IF('ORDENES'!$A614="","",IF('ORDENES'!$AA614="","-",'ORDENES'!$AA614))</f>
        <v/>
      </c>
      <c r="G636" s="5">
        <f>IF('ORDENES'!$A614="","",IF('ORDENES'!$Y614="","-",'ORDENES'!$Y614))</f>
        <v/>
      </c>
      <c r="H636" s="5">
        <f>IF('ORDENES'!$A614="","",IF('ORDENES'!$AG614="","-",'ORDENES'!$AG614))</f>
        <v/>
      </c>
      <c r="I636" s="5">
        <f>IF('ORDENES'!$A614="","",IF('ORDENES'!$AT614="","-",'ORDENES'!$AT614))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20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IF('ORDENES'!$A614="","",'ORDENES'!$AF614)</f>
        <v/>
      </c>
    </row>
    <row r="637">
      <c r="A637" s="5">
        <f>IF('ORDENES'!$A615="","",IF('ORDENES'!$O615="","-",'ORDENES'!$O615))</f>
        <v/>
      </c>
      <c r="B637" s="5">
        <f>IF('ORDENES'!$A615="","",IF('ORDENES'!$S615="","-",'ORDENES'!$S615))</f>
        <v/>
      </c>
      <c r="C637" s="5">
        <f>IF('ORDENES'!$A615="","",IF('ORDENES'!$AH615="","-",'ORDENES'!$AH615))</f>
        <v/>
      </c>
      <c r="D637" s="5">
        <f>IF('ORDENES'!$A615="","",IF('ORDENES'!$Z615="","-",'ORDENES'!$Z615))</f>
        <v/>
      </c>
      <c r="E637" s="5">
        <f>IF('ORDENES'!$A615="","",IF('ORDENES'!$X615="","-",'ORDENES'!$X615))</f>
        <v/>
      </c>
      <c r="F637" s="5">
        <f>IF('ORDENES'!$A615="","",IF('ORDENES'!$AA615="","-",'ORDENES'!$AA615))</f>
        <v/>
      </c>
      <c r="G637" s="5">
        <f>IF('ORDENES'!$A615="","",IF('ORDENES'!$Y615="","-",'ORDENES'!$Y615))</f>
        <v/>
      </c>
      <c r="H637" s="5">
        <f>IF('ORDENES'!$A615="","",IF('ORDENES'!$AG615="","-",'ORDENES'!$AG615))</f>
        <v/>
      </c>
      <c r="I637" s="5">
        <f>IF('ORDENES'!$A615="","",IF('ORDENES'!$AT615="","-",'ORDENES'!$AT615))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20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IF('ORDENES'!$A615="","",'ORDENES'!$AF615)</f>
        <v/>
      </c>
    </row>
    <row r="638">
      <c r="A638" s="5">
        <f>IF('ORDENES'!$A616="","",IF('ORDENES'!$O616="","-",'ORDENES'!$O616))</f>
        <v/>
      </c>
      <c r="B638" s="5">
        <f>IF('ORDENES'!$A616="","",IF('ORDENES'!$S616="","-",'ORDENES'!$S616))</f>
        <v/>
      </c>
      <c r="C638" s="5">
        <f>IF('ORDENES'!$A616="","",IF('ORDENES'!$AH616="","-",'ORDENES'!$AH616))</f>
        <v/>
      </c>
      <c r="D638" s="5">
        <f>IF('ORDENES'!$A616="","",IF('ORDENES'!$Z616="","-",'ORDENES'!$Z616))</f>
        <v/>
      </c>
      <c r="E638" s="5">
        <f>IF('ORDENES'!$A616="","",IF('ORDENES'!$X616="","-",'ORDENES'!$X616))</f>
        <v/>
      </c>
      <c r="F638" s="5">
        <f>IF('ORDENES'!$A616="","",IF('ORDENES'!$AA616="","-",'ORDENES'!$AA616))</f>
        <v/>
      </c>
      <c r="G638" s="5">
        <f>IF('ORDENES'!$A616="","",IF('ORDENES'!$Y616="","-",'ORDENES'!$Y616))</f>
        <v/>
      </c>
      <c r="H638" s="5">
        <f>IF('ORDENES'!$A616="","",IF('ORDENES'!$AG616="","-",'ORDENES'!$AG616))</f>
        <v/>
      </c>
      <c r="I638" s="5">
        <f>IF('ORDENES'!$A616="","",IF('ORDENES'!$AT616="","-",'ORDENES'!$AT616))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20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IF('ORDENES'!$A616="","",'ORDENES'!$AF616)</f>
        <v/>
      </c>
    </row>
    <row r="639">
      <c r="A639" s="5">
        <f>IF('ORDENES'!$A617="","",IF('ORDENES'!$O617="","-",'ORDENES'!$O617))</f>
        <v/>
      </c>
      <c r="B639" s="5">
        <f>IF('ORDENES'!$A617="","",IF('ORDENES'!$S617="","-",'ORDENES'!$S617))</f>
        <v/>
      </c>
      <c r="C639" s="5">
        <f>IF('ORDENES'!$A617="","",IF('ORDENES'!$AH617="","-",'ORDENES'!$AH617))</f>
        <v/>
      </c>
      <c r="D639" s="5">
        <f>IF('ORDENES'!$A617="","",IF('ORDENES'!$Z617="","-",'ORDENES'!$Z617))</f>
        <v/>
      </c>
      <c r="E639" s="5">
        <f>IF('ORDENES'!$A617="","",IF('ORDENES'!$X617="","-",'ORDENES'!$X617))</f>
        <v/>
      </c>
      <c r="F639" s="5">
        <f>IF('ORDENES'!$A617="","",IF('ORDENES'!$AA617="","-",'ORDENES'!$AA617))</f>
        <v/>
      </c>
      <c r="G639" s="5">
        <f>IF('ORDENES'!$A617="","",IF('ORDENES'!$Y617="","-",'ORDENES'!$Y617))</f>
        <v/>
      </c>
      <c r="H639" s="5">
        <f>IF('ORDENES'!$A617="","",IF('ORDENES'!$AG617="","-",'ORDENES'!$AG617))</f>
        <v/>
      </c>
      <c r="I639" s="5">
        <f>IF('ORDENES'!$A617="","",IF('ORDENES'!$AT617="","-",'ORDENES'!$AT617))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20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IF('ORDENES'!$A617="","",'ORDENES'!$AF617)</f>
        <v/>
      </c>
    </row>
    <row r="640">
      <c r="A640" s="5">
        <f>IF('ORDENES'!$A618="","",IF('ORDENES'!$O618="","-",'ORDENES'!$O618))</f>
        <v/>
      </c>
      <c r="B640" s="5">
        <f>IF('ORDENES'!$A618="","",IF('ORDENES'!$S618="","-",'ORDENES'!$S618))</f>
        <v/>
      </c>
      <c r="C640" s="5">
        <f>IF('ORDENES'!$A618="","",IF('ORDENES'!$AH618="","-",'ORDENES'!$AH618))</f>
        <v/>
      </c>
      <c r="D640" s="5">
        <f>IF('ORDENES'!$A618="","",IF('ORDENES'!$Z618="","-",'ORDENES'!$Z618))</f>
        <v/>
      </c>
      <c r="E640" s="5">
        <f>IF('ORDENES'!$A618="","",IF('ORDENES'!$X618="","-",'ORDENES'!$X618))</f>
        <v/>
      </c>
      <c r="F640" s="5">
        <f>IF('ORDENES'!$A618="","",IF('ORDENES'!$AA618="","-",'ORDENES'!$AA618))</f>
        <v/>
      </c>
      <c r="G640" s="5">
        <f>IF('ORDENES'!$A618="","",IF('ORDENES'!$Y618="","-",'ORDENES'!$Y618))</f>
        <v/>
      </c>
      <c r="H640" s="5">
        <f>IF('ORDENES'!$A618="","",IF('ORDENES'!$AG618="","-",'ORDENES'!$AG618))</f>
        <v/>
      </c>
      <c r="I640" s="5">
        <f>IF('ORDENES'!$A618="","",IF('ORDENES'!$AT618="","-",'ORDENES'!$AT618))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20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IF('ORDENES'!$A618="","",'ORDENES'!$AF618)</f>
        <v/>
      </c>
    </row>
    <row r="641">
      <c r="A641" s="5">
        <f>IF('ORDENES'!$A619="","",IF('ORDENES'!$O619="","-",'ORDENES'!$O619))</f>
        <v/>
      </c>
      <c r="B641" s="5">
        <f>IF('ORDENES'!$A619="","",IF('ORDENES'!$S619="","-",'ORDENES'!$S619))</f>
        <v/>
      </c>
      <c r="C641" s="5">
        <f>IF('ORDENES'!$A619="","",IF('ORDENES'!$AH619="","-",'ORDENES'!$AH619))</f>
        <v/>
      </c>
      <c r="D641" s="5">
        <f>IF('ORDENES'!$A619="","",IF('ORDENES'!$Z619="","-",'ORDENES'!$Z619))</f>
        <v/>
      </c>
      <c r="E641" s="5">
        <f>IF('ORDENES'!$A619="","",IF('ORDENES'!$X619="","-",'ORDENES'!$X619))</f>
        <v/>
      </c>
      <c r="F641" s="5">
        <f>IF('ORDENES'!$A619="","",IF('ORDENES'!$AA619="","-",'ORDENES'!$AA619))</f>
        <v/>
      </c>
      <c r="G641" s="5">
        <f>IF('ORDENES'!$A619="","",IF('ORDENES'!$Y619="","-",'ORDENES'!$Y619))</f>
        <v/>
      </c>
      <c r="H641" s="5">
        <f>IF('ORDENES'!$A619="","",IF('ORDENES'!$AG619="","-",'ORDENES'!$AG619))</f>
        <v/>
      </c>
      <c r="I641" s="5">
        <f>IF('ORDENES'!$A619="","",IF('ORDENES'!$AT619="","-",'ORDENES'!$AT619))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20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IF('ORDENES'!$A619="","",'ORDENES'!$AF619)</f>
        <v/>
      </c>
    </row>
    <row r="642">
      <c r="A642" s="5">
        <f>IF('ORDENES'!$A620="","",IF('ORDENES'!$O620="","-",'ORDENES'!$O620))</f>
        <v/>
      </c>
      <c r="B642" s="5">
        <f>IF('ORDENES'!$A620="","",IF('ORDENES'!$S620="","-",'ORDENES'!$S620))</f>
        <v/>
      </c>
      <c r="C642" s="5">
        <f>IF('ORDENES'!$A620="","",IF('ORDENES'!$AH620="","-",'ORDENES'!$AH620))</f>
        <v/>
      </c>
      <c r="D642" s="5">
        <f>IF('ORDENES'!$A620="","",IF('ORDENES'!$Z620="","-",'ORDENES'!$Z620))</f>
        <v/>
      </c>
      <c r="E642" s="5">
        <f>IF('ORDENES'!$A620="","",IF('ORDENES'!$X620="","-",'ORDENES'!$X620))</f>
        <v/>
      </c>
      <c r="F642" s="5">
        <f>IF('ORDENES'!$A620="","",IF('ORDENES'!$AA620="","-",'ORDENES'!$AA620))</f>
        <v/>
      </c>
      <c r="G642" s="5">
        <f>IF('ORDENES'!$A620="","",IF('ORDENES'!$Y620="","-",'ORDENES'!$Y620))</f>
        <v/>
      </c>
      <c r="H642" s="5">
        <f>IF('ORDENES'!$A620="","",IF('ORDENES'!$AG620="","-",'ORDENES'!$AG620))</f>
        <v/>
      </c>
      <c r="I642" s="5">
        <f>IF('ORDENES'!$A620="","",IF('ORDENES'!$AT620="","-",'ORDENES'!$AT620))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20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IF('ORDENES'!$A620="","",'ORDENES'!$AF620)</f>
        <v/>
      </c>
    </row>
    <row r="643">
      <c r="A643" s="5">
        <f>IF('ORDENES'!$A621="","",IF('ORDENES'!$O621="","-",'ORDENES'!$O621))</f>
        <v/>
      </c>
      <c r="B643" s="5">
        <f>IF('ORDENES'!$A621="","",IF('ORDENES'!$S621="","-",'ORDENES'!$S621))</f>
        <v/>
      </c>
      <c r="C643" s="5">
        <f>IF('ORDENES'!$A621="","",IF('ORDENES'!$AH621="","-",'ORDENES'!$AH621))</f>
        <v/>
      </c>
      <c r="D643" s="5">
        <f>IF('ORDENES'!$A621="","",IF('ORDENES'!$Z621="","-",'ORDENES'!$Z621))</f>
        <v/>
      </c>
      <c r="E643" s="5">
        <f>IF('ORDENES'!$A621="","",IF('ORDENES'!$X621="","-",'ORDENES'!$X621))</f>
        <v/>
      </c>
      <c r="F643" s="5">
        <f>IF('ORDENES'!$A621="","",IF('ORDENES'!$AA621="","-",'ORDENES'!$AA621))</f>
        <v/>
      </c>
      <c r="G643" s="5">
        <f>IF('ORDENES'!$A621="","",IF('ORDENES'!$Y621="","-",'ORDENES'!$Y621))</f>
        <v/>
      </c>
      <c r="H643" s="5">
        <f>IF('ORDENES'!$A621="","",IF('ORDENES'!$AG621="","-",'ORDENES'!$AG621))</f>
        <v/>
      </c>
      <c r="I643" s="5">
        <f>IF('ORDENES'!$A621="","",IF('ORDENES'!$AT621="","-",'ORDENES'!$AT621))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20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IF('ORDENES'!$A621="","",'ORDENES'!$AF621)</f>
        <v/>
      </c>
    </row>
    <row r="644">
      <c r="A644" s="5">
        <f>IF('ORDENES'!$A622="","",IF('ORDENES'!$O622="","-",'ORDENES'!$O622))</f>
        <v/>
      </c>
      <c r="B644" s="5">
        <f>IF('ORDENES'!$A622="","",IF('ORDENES'!$S622="","-",'ORDENES'!$S622))</f>
        <v/>
      </c>
      <c r="C644" s="5">
        <f>IF('ORDENES'!$A622="","",IF('ORDENES'!$AH622="","-",'ORDENES'!$AH622))</f>
        <v/>
      </c>
      <c r="D644" s="5">
        <f>IF('ORDENES'!$A622="","",IF('ORDENES'!$Z622="","-",'ORDENES'!$Z622))</f>
        <v/>
      </c>
      <c r="E644" s="5">
        <f>IF('ORDENES'!$A622="","",IF('ORDENES'!$X622="","-",'ORDENES'!$X622))</f>
        <v/>
      </c>
      <c r="F644" s="5">
        <f>IF('ORDENES'!$A622="","",IF('ORDENES'!$AA622="","-",'ORDENES'!$AA622))</f>
        <v/>
      </c>
      <c r="G644" s="5">
        <f>IF('ORDENES'!$A622="","",IF('ORDENES'!$Y622="","-",'ORDENES'!$Y622))</f>
        <v/>
      </c>
      <c r="H644" s="5">
        <f>IF('ORDENES'!$A622="","",IF('ORDENES'!$AG622="","-",'ORDENES'!$AG622))</f>
        <v/>
      </c>
      <c r="I644" s="5">
        <f>IF('ORDENES'!$A622="","",IF('ORDENES'!$AT622="","-",'ORDENES'!$AT622))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20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IF('ORDENES'!$A622="","",'ORDENES'!$AF622)</f>
        <v/>
      </c>
    </row>
    <row r="645">
      <c r="A645" s="5">
        <f>IF('ORDENES'!$A623="","",IF('ORDENES'!$O623="","-",'ORDENES'!$O623))</f>
        <v/>
      </c>
      <c r="B645" s="5">
        <f>IF('ORDENES'!$A623="","",IF('ORDENES'!$S623="","-",'ORDENES'!$S623))</f>
        <v/>
      </c>
      <c r="C645" s="5">
        <f>IF('ORDENES'!$A623="","",IF('ORDENES'!$AH623="","-",'ORDENES'!$AH623))</f>
        <v/>
      </c>
      <c r="D645" s="5">
        <f>IF('ORDENES'!$A623="","",IF('ORDENES'!$Z623="","-",'ORDENES'!$Z623))</f>
        <v/>
      </c>
      <c r="E645" s="5">
        <f>IF('ORDENES'!$A623="","",IF('ORDENES'!$X623="","-",'ORDENES'!$X623))</f>
        <v/>
      </c>
      <c r="F645" s="5">
        <f>IF('ORDENES'!$A623="","",IF('ORDENES'!$AA623="","-",'ORDENES'!$AA623))</f>
        <v/>
      </c>
      <c r="G645" s="5">
        <f>IF('ORDENES'!$A623="","",IF('ORDENES'!$Y623="","-",'ORDENES'!$Y623))</f>
        <v/>
      </c>
      <c r="H645" s="5">
        <f>IF('ORDENES'!$A623="","",IF('ORDENES'!$AG623="","-",'ORDENES'!$AG623))</f>
        <v/>
      </c>
      <c r="I645" s="5">
        <f>IF('ORDENES'!$A623="","",IF('ORDENES'!$AT623="","-",'ORDENES'!$AT623))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20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IF('ORDENES'!$A623="","",'ORDENES'!$AF623)</f>
        <v/>
      </c>
    </row>
    <row r="646">
      <c r="A646" s="5">
        <f>IF('ORDENES'!$A624="","",IF('ORDENES'!$O624="","-",'ORDENES'!$O624))</f>
        <v/>
      </c>
      <c r="B646" s="5">
        <f>IF('ORDENES'!$A624="","",IF('ORDENES'!$S624="","-",'ORDENES'!$S624))</f>
        <v/>
      </c>
      <c r="C646" s="5">
        <f>IF('ORDENES'!$A624="","",IF('ORDENES'!$AH624="","-",'ORDENES'!$AH624))</f>
        <v/>
      </c>
      <c r="D646" s="5">
        <f>IF('ORDENES'!$A624="","",IF('ORDENES'!$Z624="","-",'ORDENES'!$Z624))</f>
        <v/>
      </c>
      <c r="E646" s="5">
        <f>IF('ORDENES'!$A624="","",IF('ORDENES'!$X624="","-",'ORDENES'!$X624))</f>
        <v/>
      </c>
      <c r="F646" s="5">
        <f>IF('ORDENES'!$A624="","",IF('ORDENES'!$AA624="","-",'ORDENES'!$AA624))</f>
        <v/>
      </c>
      <c r="G646" s="5">
        <f>IF('ORDENES'!$A624="","",IF('ORDENES'!$Y624="","-",'ORDENES'!$Y624))</f>
        <v/>
      </c>
      <c r="H646" s="5">
        <f>IF('ORDENES'!$A624="","",IF('ORDENES'!$AG624="","-",'ORDENES'!$AG624))</f>
        <v/>
      </c>
      <c r="I646" s="5">
        <f>IF('ORDENES'!$A624="","",IF('ORDENES'!$AT624="","-",'ORDENES'!$AT624))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20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IF('ORDENES'!$A624="","",'ORDENES'!$AF624)</f>
        <v/>
      </c>
    </row>
    <row r="647">
      <c r="A647" s="5">
        <f>IF('ORDENES'!$A625="","",IF('ORDENES'!$O625="","-",'ORDENES'!$O625))</f>
        <v/>
      </c>
      <c r="B647" s="5">
        <f>IF('ORDENES'!$A625="","",IF('ORDENES'!$S625="","-",'ORDENES'!$S625))</f>
        <v/>
      </c>
      <c r="C647" s="5">
        <f>IF('ORDENES'!$A625="","",IF('ORDENES'!$AH625="","-",'ORDENES'!$AH625))</f>
        <v/>
      </c>
      <c r="D647" s="5">
        <f>IF('ORDENES'!$A625="","",IF('ORDENES'!$Z625="","-",'ORDENES'!$Z625))</f>
        <v/>
      </c>
      <c r="E647" s="5">
        <f>IF('ORDENES'!$A625="","",IF('ORDENES'!$X625="","-",'ORDENES'!$X625))</f>
        <v/>
      </c>
      <c r="F647" s="5">
        <f>IF('ORDENES'!$A625="","",IF('ORDENES'!$AA625="","-",'ORDENES'!$AA625))</f>
        <v/>
      </c>
      <c r="G647" s="5">
        <f>IF('ORDENES'!$A625="","",IF('ORDENES'!$Y625="","-",'ORDENES'!$Y625))</f>
        <v/>
      </c>
      <c r="H647" s="5">
        <f>IF('ORDENES'!$A625="","",IF('ORDENES'!$AG625="","-",'ORDENES'!$AG625))</f>
        <v/>
      </c>
      <c r="I647" s="5">
        <f>IF('ORDENES'!$A625="","",IF('ORDENES'!$AT625="","-",'ORDENES'!$AT625))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20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IF('ORDENES'!$A625="","",'ORDENES'!$AF625)</f>
        <v/>
      </c>
    </row>
    <row r="648">
      <c r="A648" s="5">
        <f>IF('ORDENES'!$A626="","",IF('ORDENES'!$O626="","-",'ORDENES'!$O626))</f>
        <v/>
      </c>
      <c r="B648" s="5">
        <f>IF('ORDENES'!$A626="","",IF('ORDENES'!$S626="","-",'ORDENES'!$S626))</f>
        <v/>
      </c>
      <c r="C648" s="5">
        <f>IF('ORDENES'!$A626="","",IF('ORDENES'!$AH626="","-",'ORDENES'!$AH626))</f>
        <v/>
      </c>
      <c r="D648" s="5">
        <f>IF('ORDENES'!$A626="","",IF('ORDENES'!$Z626="","-",'ORDENES'!$Z626))</f>
        <v/>
      </c>
      <c r="E648" s="5">
        <f>IF('ORDENES'!$A626="","",IF('ORDENES'!$X626="","-",'ORDENES'!$X626))</f>
        <v/>
      </c>
      <c r="F648" s="5">
        <f>IF('ORDENES'!$A626="","",IF('ORDENES'!$AA626="","-",'ORDENES'!$AA626))</f>
        <v/>
      </c>
      <c r="G648" s="5">
        <f>IF('ORDENES'!$A626="","",IF('ORDENES'!$Y626="","-",'ORDENES'!$Y626))</f>
        <v/>
      </c>
      <c r="H648" s="5">
        <f>IF('ORDENES'!$A626="","",IF('ORDENES'!$AG626="","-",'ORDENES'!$AG626))</f>
        <v/>
      </c>
      <c r="I648" s="5">
        <f>IF('ORDENES'!$A626="","",IF('ORDENES'!$AT626="","-",'ORDENES'!$AT626))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20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IF('ORDENES'!$A626="","",'ORDENES'!$AF626)</f>
        <v/>
      </c>
    </row>
    <row r="649">
      <c r="A649" s="5">
        <f>IF('ORDENES'!$A627="","",IF('ORDENES'!$O627="","-",'ORDENES'!$O627))</f>
        <v/>
      </c>
      <c r="B649" s="5">
        <f>IF('ORDENES'!$A627="","",IF('ORDENES'!$S627="","-",'ORDENES'!$S627))</f>
        <v/>
      </c>
      <c r="C649" s="5">
        <f>IF('ORDENES'!$A627="","",IF('ORDENES'!$AH627="","-",'ORDENES'!$AH627))</f>
        <v/>
      </c>
      <c r="D649" s="5">
        <f>IF('ORDENES'!$A627="","",IF('ORDENES'!$Z627="","-",'ORDENES'!$Z627))</f>
        <v/>
      </c>
      <c r="E649" s="5">
        <f>IF('ORDENES'!$A627="","",IF('ORDENES'!$X627="","-",'ORDENES'!$X627))</f>
        <v/>
      </c>
      <c r="F649" s="5">
        <f>IF('ORDENES'!$A627="","",IF('ORDENES'!$AA627="","-",'ORDENES'!$AA627))</f>
        <v/>
      </c>
      <c r="G649" s="5">
        <f>IF('ORDENES'!$A627="","",IF('ORDENES'!$Y627="","-",'ORDENES'!$Y627))</f>
        <v/>
      </c>
      <c r="H649" s="5">
        <f>IF('ORDENES'!$A627="","",IF('ORDENES'!$AG627="","-",'ORDENES'!$AG627))</f>
        <v/>
      </c>
      <c r="I649" s="5">
        <f>IF('ORDENES'!$A627="","",IF('ORDENES'!$AT627="","-",'ORDENES'!$AT627))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20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IF('ORDENES'!$A627="","",'ORDENES'!$AF627)</f>
        <v/>
      </c>
    </row>
    <row r="650">
      <c r="A650" s="5">
        <f>IF('ORDENES'!$A628="","",IF('ORDENES'!$O628="","-",'ORDENES'!$O628))</f>
        <v/>
      </c>
      <c r="B650" s="5">
        <f>IF('ORDENES'!$A628="","",IF('ORDENES'!$S628="","-",'ORDENES'!$S628))</f>
        <v/>
      </c>
      <c r="C650" s="5">
        <f>IF('ORDENES'!$A628="","",IF('ORDENES'!$AH628="","-",'ORDENES'!$AH628))</f>
        <v/>
      </c>
      <c r="D650" s="5">
        <f>IF('ORDENES'!$A628="","",IF('ORDENES'!$Z628="","-",'ORDENES'!$Z628))</f>
        <v/>
      </c>
      <c r="E650" s="5">
        <f>IF('ORDENES'!$A628="","",IF('ORDENES'!$X628="","-",'ORDENES'!$X628))</f>
        <v/>
      </c>
      <c r="F650" s="5">
        <f>IF('ORDENES'!$A628="","",IF('ORDENES'!$AA628="","-",'ORDENES'!$AA628))</f>
        <v/>
      </c>
      <c r="G650" s="5">
        <f>IF('ORDENES'!$A628="","",IF('ORDENES'!$Y628="","-",'ORDENES'!$Y628))</f>
        <v/>
      </c>
      <c r="H650" s="5">
        <f>IF('ORDENES'!$A628="","",IF('ORDENES'!$AG628="","-",'ORDENES'!$AG628))</f>
        <v/>
      </c>
      <c r="I650" s="5">
        <f>IF('ORDENES'!$A628="","",IF('ORDENES'!$AT628="","-",'ORDENES'!$AT628))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20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IF('ORDENES'!$A628="","",'ORDENES'!$AF628)</f>
        <v/>
      </c>
    </row>
    <row r="651">
      <c r="A651" s="5">
        <f>IF('ORDENES'!$A629="","",IF('ORDENES'!$O629="","-",'ORDENES'!$O629))</f>
        <v/>
      </c>
      <c r="B651" s="5">
        <f>IF('ORDENES'!$A629="","",IF('ORDENES'!$S629="","-",'ORDENES'!$S629))</f>
        <v/>
      </c>
      <c r="C651" s="5">
        <f>IF('ORDENES'!$A629="","",IF('ORDENES'!$AH629="","-",'ORDENES'!$AH629))</f>
        <v/>
      </c>
      <c r="D651" s="5">
        <f>IF('ORDENES'!$A629="","",IF('ORDENES'!$Z629="","-",'ORDENES'!$Z629))</f>
        <v/>
      </c>
      <c r="E651" s="5">
        <f>IF('ORDENES'!$A629="","",IF('ORDENES'!$X629="","-",'ORDENES'!$X629))</f>
        <v/>
      </c>
      <c r="F651" s="5">
        <f>IF('ORDENES'!$A629="","",IF('ORDENES'!$AA629="","-",'ORDENES'!$AA629))</f>
        <v/>
      </c>
      <c r="G651" s="5">
        <f>IF('ORDENES'!$A629="","",IF('ORDENES'!$Y629="","-",'ORDENES'!$Y629))</f>
        <v/>
      </c>
      <c r="H651" s="5">
        <f>IF('ORDENES'!$A629="","",IF('ORDENES'!$AG629="","-",'ORDENES'!$AG629))</f>
        <v/>
      </c>
      <c r="I651" s="5">
        <f>IF('ORDENES'!$A629="","",IF('ORDENES'!$AT629="","-",'ORDENES'!$AT629))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20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IF('ORDENES'!$A629="","",'ORDENES'!$AF629)</f>
        <v/>
      </c>
    </row>
    <row r="652">
      <c r="A652" s="5">
        <f>IF('ORDENES'!$A630="","",IF('ORDENES'!$O630="","-",'ORDENES'!$O630))</f>
        <v/>
      </c>
      <c r="B652" s="5">
        <f>IF('ORDENES'!$A630="","",IF('ORDENES'!$S630="","-",'ORDENES'!$S630))</f>
        <v/>
      </c>
      <c r="C652" s="5">
        <f>IF('ORDENES'!$A630="","",IF('ORDENES'!$AH630="","-",'ORDENES'!$AH630))</f>
        <v/>
      </c>
      <c r="D652" s="5">
        <f>IF('ORDENES'!$A630="","",IF('ORDENES'!$Z630="","-",'ORDENES'!$Z630))</f>
        <v/>
      </c>
      <c r="E652" s="5">
        <f>IF('ORDENES'!$A630="","",IF('ORDENES'!$X630="","-",'ORDENES'!$X630))</f>
        <v/>
      </c>
      <c r="F652" s="5">
        <f>IF('ORDENES'!$A630="","",IF('ORDENES'!$AA630="","-",'ORDENES'!$AA630))</f>
        <v/>
      </c>
      <c r="G652" s="5">
        <f>IF('ORDENES'!$A630="","",IF('ORDENES'!$Y630="","-",'ORDENES'!$Y630))</f>
        <v/>
      </c>
      <c r="H652" s="5">
        <f>IF('ORDENES'!$A630="","",IF('ORDENES'!$AG630="","-",'ORDENES'!$AG630))</f>
        <v/>
      </c>
      <c r="I652" s="5">
        <f>IF('ORDENES'!$A630="","",IF('ORDENES'!$AT630="","-",'ORDENES'!$AT630))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20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IF('ORDENES'!$A630="","",'ORDENES'!$AF630)</f>
        <v/>
      </c>
    </row>
    <row r="653">
      <c r="A653" s="5">
        <f>IF('ORDENES'!$A631="","",IF('ORDENES'!$O631="","-",'ORDENES'!$O631))</f>
        <v/>
      </c>
      <c r="B653" s="5">
        <f>IF('ORDENES'!$A631="","",IF('ORDENES'!$S631="","-",'ORDENES'!$S631))</f>
        <v/>
      </c>
      <c r="C653" s="5">
        <f>IF('ORDENES'!$A631="","",IF('ORDENES'!$AH631="","-",'ORDENES'!$AH631))</f>
        <v/>
      </c>
      <c r="D653" s="5">
        <f>IF('ORDENES'!$A631="","",IF('ORDENES'!$Z631="","-",'ORDENES'!$Z631))</f>
        <v/>
      </c>
      <c r="E653" s="5">
        <f>IF('ORDENES'!$A631="","",IF('ORDENES'!$X631="","-",'ORDENES'!$X631))</f>
        <v/>
      </c>
      <c r="F653" s="5">
        <f>IF('ORDENES'!$A631="","",IF('ORDENES'!$AA631="","-",'ORDENES'!$AA631))</f>
        <v/>
      </c>
      <c r="G653" s="5">
        <f>IF('ORDENES'!$A631="","",IF('ORDENES'!$Y631="","-",'ORDENES'!$Y631))</f>
        <v/>
      </c>
      <c r="H653" s="5">
        <f>IF('ORDENES'!$A631="","",IF('ORDENES'!$AG631="","-",'ORDENES'!$AG631))</f>
        <v/>
      </c>
      <c r="I653" s="5">
        <f>IF('ORDENES'!$A631="","",IF('ORDENES'!$AT631="","-",'ORDENES'!$AT631))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20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IF('ORDENES'!$A631="","",'ORDENES'!$AF631)</f>
        <v/>
      </c>
    </row>
    <row r="654">
      <c r="A654" s="5">
        <f>IF('ORDENES'!$A632="","",IF('ORDENES'!$O632="","-",'ORDENES'!$O632))</f>
        <v/>
      </c>
      <c r="B654" s="5">
        <f>IF('ORDENES'!$A632="","",IF('ORDENES'!$S632="","-",'ORDENES'!$S632))</f>
        <v/>
      </c>
      <c r="C654" s="5">
        <f>IF('ORDENES'!$A632="","",IF('ORDENES'!$AH632="","-",'ORDENES'!$AH632))</f>
        <v/>
      </c>
      <c r="D654" s="5">
        <f>IF('ORDENES'!$A632="","",IF('ORDENES'!$Z632="","-",'ORDENES'!$Z632))</f>
        <v/>
      </c>
      <c r="E654" s="5">
        <f>IF('ORDENES'!$A632="","",IF('ORDENES'!$X632="","-",'ORDENES'!$X632))</f>
        <v/>
      </c>
      <c r="F654" s="5">
        <f>IF('ORDENES'!$A632="","",IF('ORDENES'!$AA632="","-",'ORDENES'!$AA632))</f>
        <v/>
      </c>
      <c r="G654" s="5">
        <f>IF('ORDENES'!$A632="","",IF('ORDENES'!$Y632="","-",'ORDENES'!$Y632))</f>
        <v/>
      </c>
      <c r="H654" s="5">
        <f>IF('ORDENES'!$A632="","",IF('ORDENES'!$AG632="","-",'ORDENES'!$AG632))</f>
        <v/>
      </c>
      <c r="I654" s="5">
        <f>IF('ORDENES'!$A632="","",IF('ORDENES'!$AT632="","-",'ORDENES'!$AT632))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20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IF('ORDENES'!$A632="","",'ORDENES'!$AF632)</f>
        <v/>
      </c>
    </row>
    <row r="655">
      <c r="A655" s="5">
        <f>IF('ORDENES'!$A633="","",IF('ORDENES'!$O633="","-",'ORDENES'!$O633))</f>
        <v/>
      </c>
      <c r="B655" s="5">
        <f>IF('ORDENES'!$A633="","",IF('ORDENES'!$S633="","-",'ORDENES'!$S633))</f>
        <v/>
      </c>
      <c r="C655" s="5">
        <f>IF('ORDENES'!$A633="","",IF('ORDENES'!$AH633="","-",'ORDENES'!$AH633))</f>
        <v/>
      </c>
      <c r="D655" s="5">
        <f>IF('ORDENES'!$A633="","",IF('ORDENES'!$Z633="","-",'ORDENES'!$Z633))</f>
        <v/>
      </c>
      <c r="E655" s="5">
        <f>IF('ORDENES'!$A633="","",IF('ORDENES'!$X633="","-",'ORDENES'!$X633))</f>
        <v/>
      </c>
      <c r="F655" s="5">
        <f>IF('ORDENES'!$A633="","",IF('ORDENES'!$AA633="","-",'ORDENES'!$AA633))</f>
        <v/>
      </c>
      <c r="G655" s="5">
        <f>IF('ORDENES'!$A633="","",IF('ORDENES'!$Y633="","-",'ORDENES'!$Y633))</f>
        <v/>
      </c>
      <c r="H655" s="5">
        <f>IF('ORDENES'!$A633="","",IF('ORDENES'!$AG633="","-",'ORDENES'!$AG633))</f>
        <v/>
      </c>
      <c r="I655" s="5">
        <f>IF('ORDENES'!$A633="","",IF('ORDENES'!$AT633="","-",'ORDENES'!$AT633))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20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IF('ORDENES'!$A633="","",'ORDENES'!$AF633)</f>
        <v/>
      </c>
    </row>
    <row r="656">
      <c r="A656" s="5">
        <f>IF('ORDENES'!$A634="","",IF('ORDENES'!$O634="","-",'ORDENES'!$O634))</f>
        <v/>
      </c>
      <c r="B656" s="5">
        <f>IF('ORDENES'!$A634="","",IF('ORDENES'!$S634="","-",'ORDENES'!$S634))</f>
        <v/>
      </c>
      <c r="C656" s="5">
        <f>IF('ORDENES'!$A634="","",IF('ORDENES'!$AH634="","-",'ORDENES'!$AH634))</f>
        <v/>
      </c>
      <c r="D656" s="5">
        <f>IF('ORDENES'!$A634="","",IF('ORDENES'!$Z634="","-",'ORDENES'!$Z634))</f>
        <v/>
      </c>
      <c r="E656" s="5">
        <f>IF('ORDENES'!$A634="","",IF('ORDENES'!$X634="","-",'ORDENES'!$X634))</f>
        <v/>
      </c>
      <c r="F656" s="5">
        <f>IF('ORDENES'!$A634="","",IF('ORDENES'!$AA634="","-",'ORDENES'!$AA634))</f>
        <v/>
      </c>
      <c r="G656" s="5">
        <f>IF('ORDENES'!$A634="","",IF('ORDENES'!$Y634="","-",'ORDENES'!$Y634))</f>
        <v/>
      </c>
      <c r="H656" s="5">
        <f>IF('ORDENES'!$A634="","",IF('ORDENES'!$AG634="","-",'ORDENES'!$AG634))</f>
        <v/>
      </c>
      <c r="I656" s="5">
        <f>IF('ORDENES'!$A634="","",IF('ORDENES'!$AT634="","-",'ORDENES'!$AT634))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20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IF('ORDENES'!$A634="","",'ORDENES'!$AF634)</f>
        <v/>
      </c>
    </row>
    <row r="657">
      <c r="A657" s="5">
        <f>IF('ORDENES'!$A635="","",IF('ORDENES'!$O635="","-",'ORDENES'!$O635))</f>
        <v/>
      </c>
      <c r="B657" s="5">
        <f>IF('ORDENES'!$A635="","",IF('ORDENES'!$S635="","-",'ORDENES'!$S635))</f>
        <v/>
      </c>
      <c r="C657" s="5">
        <f>IF('ORDENES'!$A635="","",IF('ORDENES'!$AH635="","-",'ORDENES'!$AH635))</f>
        <v/>
      </c>
      <c r="D657" s="5">
        <f>IF('ORDENES'!$A635="","",IF('ORDENES'!$Z635="","-",'ORDENES'!$Z635))</f>
        <v/>
      </c>
      <c r="E657" s="5">
        <f>IF('ORDENES'!$A635="","",IF('ORDENES'!$X635="","-",'ORDENES'!$X635))</f>
        <v/>
      </c>
      <c r="F657" s="5">
        <f>IF('ORDENES'!$A635="","",IF('ORDENES'!$AA635="","-",'ORDENES'!$AA635))</f>
        <v/>
      </c>
      <c r="G657" s="5">
        <f>IF('ORDENES'!$A635="","",IF('ORDENES'!$Y635="","-",'ORDENES'!$Y635))</f>
        <v/>
      </c>
      <c r="H657" s="5">
        <f>IF('ORDENES'!$A635="","",IF('ORDENES'!$AG635="","-",'ORDENES'!$AG635))</f>
        <v/>
      </c>
      <c r="I657" s="5">
        <f>IF('ORDENES'!$A635="","",IF('ORDENES'!$AT635="","-",'ORDENES'!$AT635))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20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IF('ORDENES'!$A635="","",'ORDENES'!$AF635)</f>
        <v/>
      </c>
    </row>
    <row r="658">
      <c r="A658" s="5">
        <f>IF('ORDENES'!$A636="","",IF('ORDENES'!$O636="","-",'ORDENES'!$O636))</f>
        <v/>
      </c>
      <c r="B658" s="5">
        <f>IF('ORDENES'!$A636="","",IF('ORDENES'!$S636="","-",'ORDENES'!$S636))</f>
        <v/>
      </c>
      <c r="C658" s="5">
        <f>IF('ORDENES'!$A636="","",IF('ORDENES'!$AH636="","-",'ORDENES'!$AH636))</f>
        <v/>
      </c>
      <c r="D658" s="5">
        <f>IF('ORDENES'!$A636="","",IF('ORDENES'!$Z636="","-",'ORDENES'!$Z636))</f>
        <v/>
      </c>
      <c r="E658" s="5">
        <f>IF('ORDENES'!$A636="","",IF('ORDENES'!$X636="","-",'ORDENES'!$X636))</f>
        <v/>
      </c>
      <c r="F658" s="5">
        <f>IF('ORDENES'!$A636="","",IF('ORDENES'!$AA636="","-",'ORDENES'!$AA636))</f>
        <v/>
      </c>
      <c r="G658" s="5">
        <f>IF('ORDENES'!$A636="","",IF('ORDENES'!$Y636="","-",'ORDENES'!$Y636))</f>
        <v/>
      </c>
      <c r="H658" s="5">
        <f>IF('ORDENES'!$A636="","",IF('ORDENES'!$AG636="","-",'ORDENES'!$AG636))</f>
        <v/>
      </c>
      <c r="I658" s="5">
        <f>IF('ORDENES'!$A636="","",IF('ORDENES'!$AT636="","-",'ORDENES'!$AT636))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20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IF('ORDENES'!$A636="","",'ORDENES'!$AF636)</f>
        <v/>
      </c>
    </row>
    <row r="659">
      <c r="A659" s="5">
        <f>IF('ORDENES'!$A637="","",IF('ORDENES'!$O637="","-",'ORDENES'!$O637))</f>
        <v/>
      </c>
      <c r="B659" s="5">
        <f>IF('ORDENES'!$A637="","",IF('ORDENES'!$S637="","-",'ORDENES'!$S637))</f>
        <v/>
      </c>
      <c r="C659" s="5">
        <f>IF('ORDENES'!$A637="","",IF('ORDENES'!$AH637="","-",'ORDENES'!$AH637))</f>
        <v/>
      </c>
      <c r="D659" s="5">
        <f>IF('ORDENES'!$A637="","",IF('ORDENES'!$Z637="","-",'ORDENES'!$Z637))</f>
        <v/>
      </c>
      <c r="E659" s="5">
        <f>IF('ORDENES'!$A637="","",IF('ORDENES'!$X637="","-",'ORDENES'!$X637))</f>
        <v/>
      </c>
      <c r="F659" s="5">
        <f>IF('ORDENES'!$A637="","",IF('ORDENES'!$AA637="","-",'ORDENES'!$AA637))</f>
        <v/>
      </c>
      <c r="G659" s="5">
        <f>IF('ORDENES'!$A637="","",IF('ORDENES'!$Y637="","-",'ORDENES'!$Y637))</f>
        <v/>
      </c>
      <c r="H659" s="5">
        <f>IF('ORDENES'!$A637="","",IF('ORDENES'!$AG637="","-",'ORDENES'!$AG637))</f>
        <v/>
      </c>
      <c r="I659" s="5">
        <f>IF('ORDENES'!$A637="","",IF('ORDENES'!$AT637="","-",'ORDENES'!$AT637))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20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IF('ORDENES'!$A637="","",'ORDENES'!$AF637)</f>
        <v/>
      </c>
    </row>
    <row r="660">
      <c r="A660" s="5">
        <f>IF('ORDENES'!$A638="","",IF('ORDENES'!$O638="","-",'ORDENES'!$O638))</f>
        <v/>
      </c>
      <c r="B660" s="5">
        <f>IF('ORDENES'!$A638="","",IF('ORDENES'!$S638="","-",'ORDENES'!$S638))</f>
        <v/>
      </c>
      <c r="C660" s="5">
        <f>IF('ORDENES'!$A638="","",IF('ORDENES'!$AH638="","-",'ORDENES'!$AH638))</f>
        <v/>
      </c>
      <c r="D660" s="5">
        <f>IF('ORDENES'!$A638="","",IF('ORDENES'!$Z638="","-",'ORDENES'!$Z638))</f>
        <v/>
      </c>
      <c r="E660" s="5">
        <f>IF('ORDENES'!$A638="","",IF('ORDENES'!$X638="","-",'ORDENES'!$X638))</f>
        <v/>
      </c>
      <c r="F660" s="5">
        <f>IF('ORDENES'!$A638="","",IF('ORDENES'!$AA638="","-",'ORDENES'!$AA638))</f>
        <v/>
      </c>
      <c r="G660" s="5">
        <f>IF('ORDENES'!$A638="","",IF('ORDENES'!$Y638="","-",'ORDENES'!$Y638))</f>
        <v/>
      </c>
      <c r="H660" s="5">
        <f>IF('ORDENES'!$A638="","",IF('ORDENES'!$AG638="","-",'ORDENES'!$AG638))</f>
        <v/>
      </c>
      <c r="I660" s="5">
        <f>IF('ORDENES'!$A638="","",IF('ORDENES'!$AT638="","-",'ORDENES'!$AT638))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20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IF('ORDENES'!$A638="","",'ORDENES'!$AF638)</f>
        <v/>
      </c>
    </row>
    <row r="661">
      <c r="A661" s="5">
        <f>IF('ORDENES'!$A639="","",IF('ORDENES'!$O639="","-",'ORDENES'!$O639))</f>
        <v/>
      </c>
      <c r="B661" s="5">
        <f>IF('ORDENES'!$A639="","",IF('ORDENES'!$S639="","-",'ORDENES'!$S639))</f>
        <v/>
      </c>
      <c r="C661" s="5">
        <f>IF('ORDENES'!$A639="","",IF('ORDENES'!$AH639="","-",'ORDENES'!$AH639))</f>
        <v/>
      </c>
      <c r="D661" s="5">
        <f>IF('ORDENES'!$A639="","",IF('ORDENES'!$Z639="","-",'ORDENES'!$Z639))</f>
        <v/>
      </c>
      <c r="E661" s="5">
        <f>IF('ORDENES'!$A639="","",IF('ORDENES'!$X639="","-",'ORDENES'!$X639))</f>
        <v/>
      </c>
      <c r="F661" s="5">
        <f>IF('ORDENES'!$A639="","",IF('ORDENES'!$AA639="","-",'ORDENES'!$AA639))</f>
        <v/>
      </c>
      <c r="G661" s="5">
        <f>IF('ORDENES'!$A639="","",IF('ORDENES'!$Y639="","-",'ORDENES'!$Y639))</f>
        <v/>
      </c>
      <c r="H661" s="5">
        <f>IF('ORDENES'!$A639="","",IF('ORDENES'!$AG639="","-",'ORDENES'!$AG639))</f>
        <v/>
      </c>
      <c r="I661" s="5">
        <f>IF('ORDENES'!$A639="","",IF('ORDENES'!$AT639="","-",'ORDENES'!$AT639))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20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IF('ORDENES'!$A639="","",'ORDENES'!$AF639)</f>
        <v/>
      </c>
    </row>
    <row r="662">
      <c r="A662" s="5">
        <f>IF('ORDENES'!$A640="","",IF('ORDENES'!$O640="","-",'ORDENES'!$O640))</f>
        <v/>
      </c>
      <c r="B662" s="5">
        <f>IF('ORDENES'!$A640="","",IF('ORDENES'!$S640="","-",'ORDENES'!$S640))</f>
        <v/>
      </c>
      <c r="C662" s="5">
        <f>IF('ORDENES'!$A640="","",IF('ORDENES'!$AH640="","-",'ORDENES'!$AH640))</f>
        <v/>
      </c>
      <c r="D662" s="5">
        <f>IF('ORDENES'!$A640="","",IF('ORDENES'!$Z640="","-",'ORDENES'!$Z640))</f>
        <v/>
      </c>
      <c r="E662" s="5">
        <f>IF('ORDENES'!$A640="","",IF('ORDENES'!$X640="","-",'ORDENES'!$X640))</f>
        <v/>
      </c>
      <c r="F662" s="5">
        <f>IF('ORDENES'!$A640="","",IF('ORDENES'!$AA640="","-",'ORDENES'!$AA640))</f>
        <v/>
      </c>
      <c r="G662" s="5">
        <f>IF('ORDENES'!$A640="","",IF('ORDENES'!$Y640="","-",'ORDENES'!$Y640))</f>
        <v/>
      </c>
      <c r="H662" s="5">
        <f>IF('ORDENES'!$A640="","",IF('ORDENES'!$AG640="","-",'ORDENES'!$AG640))</f>
        <v/>
      </c>
      <c r="I662" s="5">
        <f>IF('ORDENES'!$A640="","",IF('ORDENES'!$AT640="","-",'ORDENES'!$AT640))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20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IF('ORDENES'!$A640="","",'ORDENES'!$AF640)</f>
        <v/>
      </c>
    </row>
    <row r="663">
      <c r="A663" s="5">
        <f>IF('ORDENES'!$A641="","",IF('ORDENES'!$O641="","-",'ORDENES'!$O641))</f>
        <v/>
      </c>
      <c r="B663" s="5">
        <f>IF('ORDENES'!$A641="","",IF('ORDENES'!$S641="","-",'ORDENES'!$S641))</f>
        <v/>
      </c>
      <c r="C663" s="5">
        <f>IF('ORDENES'!$A641="","",IF('ORDENES'!$AH641="","-",'ORDENES'!$AH641))</f>
        <v/>
      </c>
      <c r="D663" s="5">
        <f>IF('ORDENES'!$A641="","",IF('ORDENES'!$Z641="","-",'ORDENES'!$Z641))</f>
        <v/>
      </c>
      <c r="E663" s="5">
        <f>IF('ORDENES'!$A641="","",IF('ORDENES'!$X641="","-",'ORDENES'!$X641))</f>
        <v/>
      </c>
      <c r="F663" s="5">
        <f>IF('ORDENES'!$A641="","",IF('ORDENES'!$AA641="","-",'ORDENES'!$AA641))</f>
        <v/>
      </c>
      <c r="G663" s="5">
        <f>IF('ORDENES'!$A641="","",IF('ORDENES'!$Y641="","-",'ORDENES'!$Y641))</f>
        <v/>
      </c>
      <c r="H663" s="5">
        <f>IF('ORDENES'!$A641="","",IF('ORDENES'!$AG641="","-",'ORDENES'!$AG641))</f>
        <v/>
      </c>
      <c r="I663" s="5">
        <f>IF('ORDENES'!$A641="","",IF('ORDENES'!$AT641="","-",'ORDENES'!$AT641))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20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IF('ORDENES'!$A641="","",'ORDENES'!$AF641)</f>
        <v/>
      </c>
    </row>
    <row r="664">
      <c r="A664" s="5">
        <f>IF('ORDENES'!$A642="","",IF('ORDENES'!$O642="","-",'ORDENES'!$O642))</f>
        <v/>
      </c>
      <c r="B664" s="5">
        <f>IF('ORDENES'!$A642="","",IF('ORDENES'!$S642="","-",'ORDENES'!$S642))</f>
        <v/>
      </c>
      <c r="C664" s="5">
        <f>IF('ORDENES'!$A642="","",IF('ORDENES'!$AH642="","-",'ORDENES'!$AH642))</f>
        <v/>
      </c>
      <c r="D664" s="5">
        <f>IF('ORDENES'!$A642="","",IF('ORDENES'!$Z642="","-",'ORDENES'!$Z642))</f>
        <v/>
      </c>
      <c r="E664" s="5">
        <f>IF('ORDENES'!$A642="","",IF('ORDENES'!$X642="","-",'ORDENES'!$X642))</f>
        <v/>
      </c>
      <c r="F664" s="5">
        <f>IF('ORDENES'!$A642="","",IF('ORDENES'!$AA642="","-",'ORDENES'!$AA642))</f>
        <v/>
      </c>
      <c r="G664" s="5">
        <f>IF('ORDENES'!$A642="","",IF('ORDENES'!$Y642="","-",'ORDENES'!$Y642))</f>
        <v/>
      </c>
      <c r="H664" s="5">
        <f>IF('ORDENES'!$A642="","",IF('ORDENES'!$AG642="","-",'ORDENES'!$AG642))</f>
        <v/>
      </c>
      <c r="I664" s="5">
        <f>IF('ORDENES'!$A642="","",IF('ORDENES'!$AT642="","-",'ORDENES'!$AT642))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20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IF('ORDENES'!$A642="","",'ORDENES'!$AF642)</f>
        <v/>
      </c>
    </row>
    <row r="665">
      <c r="A665" s="5">
        <f>IF('ORDENES'!$A643="","",IF('ORDENES'!$O643="","-",'ORDENES'!$O643))</f>
        <v/>
      </c>
      <c r="B665" s="5">
        <f>IF('ORDENES'!$A643="","",IF('ORDENES'!$S643="","-",'ORDENES'!$S643))</f>
        <v/>
      </c>
      <c r="C665" s="5">
        <f>IF('ORDENES'!$A643="","",IF('ORDENES'!$AH643="","-",'ORDENES'!$AH643))</f>
        <v/>
      </c>
      <c r="D665" s="5">
        <f>IF('ORDENES'!$A643="","",IF('ORDENES'!$Z643="","-",'ORDENES'!$Z643))</f>
        <v/>
      </c>
      <c r="E665" s="5">
        <f>IF('ORDENES'!$A643="","",IF('ORDENES'!$X643="","-",'ORDENES'!$X643))</f>
        <v/>
      </c>
      <c r="F665" s="5">
        <f>IF('ORDENES'!$A643="","",IF('ORDENES'!$AA643="","-",'ORDENES'!$AA643))</f>
        <v/>
      </c>
      <c r="G665" s="5">
        <f>IF('ORDENES'!$A643="","",IF('ORDENES'!$Y643="","-",'ORDENES'!$Y643))</f>
        <v/>
      </c>
      <c r="H665" s="5">
        <f>IF('ORDENES'!$A643="","",IF('ORDENES'!$AG643="","-",'ORDENES'!$AG643))</f>
        <v/>
      </c>
      <c r="I665" s="5">
        <f>IF('ORDENES'!$A643="","",IF('ORDENES'!$AT643="","-",'ORDENES'!$AT643))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20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IF('ORDENES'!$A643="","",'ORDENES'!$AF643)</f>
        <v/>
      </c>
    </row>
    <row r="666">
      <c r="A666" s="5">
        <f>IF('ORDENES'!$A644="","",IF('ORDENES'!$O644="","-",'ORDENES'!$O644))</f>
        <v/>
      </c>
      <c r="B666" s="5">
        <f>IF('ORDENES'!$A644="","",IF('ORDENES'!$S644="","-",'ORDENES'!$S644))</f>
        <v/>
      </c>
      <c r="C666" s="5">
        <f>IF('ORDENES'!$A644="","",IF('ORDENES'!$AH644="","-",'ORDENES'!$AH644))</f>
        <v/>
      </c>
      <c r="D666" s="5">
        <f>IF('ORDENES'!$A644="","",IF('ORDENES'!$Z644="","-",'ORDENES'!$Z644))</f>
        <v/>
      </c>
      <c r="E666" s="5">
        <f>IF('ORDENES'!$A644="","",IF('ORDENES'!$X644="","-",'ORDENES'!$X644))</f>
        <v/>
      </c>
      <c r="F666" s="5">
        <f>IF('ORDENES'!$A644="","",IF('ORDENES'!$AA644="","-",'ORDENES'!$AA644))</f>
        <v/>
      </c>
      <c r="G666" s="5">
        <f>IF('ORDENES'!$A644="","",IF('ORDENES'!$Y644="","-",'ORDENES'!$Y644))</f>
        <v/>
      </c>
      <c r="H666" s="5">
        <f>IF('ORDENES'!$A644="","",IF('ORDENES'!$AG644="","-",'ORDENES'!$AG644))</f>
        <v/>
      </c>
      <c r="I666" s="5">
        <f>IF('ORDENES'!$A644="","",IF('ORDENES'!$AT644="","-",'ORDENES'!$AT644))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20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IF('ORDENES'!$A644="","",'ORDENES'!$AF644)</f>
        <v/>
      </c>
    </row>
    <row r="667">
      <c r="A667" s="5">
        <f>IF('ORDENES'!$A645="","",IF('ORDENES'!$O645="","-",'ORDENES'!$O645))</f>
        <v/>
      </c>
      <c r="B667" s="5">
        <f>IF('ORDENES'!$A645="","",IF('ORDENES'!$S645="","-",'ORDENES'!$S645))</f>
        <v/>
      </c>
      <c r="C667" s="5">
        <f>IF('ORDENES'!$A645="","",IF('ORDENES'!$AH645="","-",'ORDENES'!$AH645))</f>
        <v/>
      </c>
      <c r="D667" s="5">
        <f>IF('ORDENES'!$A645="","",IF('ORDENES'!$Z645="","-",'ORDENES'!$Z645))</f>
        <v/>
      </c>
      <c r="E667" s="5">
        <f>IF('ORDENES'!$A645="","",IF('ORDENES'!$X645="","-",'ORDENES'!$X645))</f>
        <v/>
      </c>
      <c r="F667" s="5">
        <f>IF('ORDENES'!$A645="","",IF('ORDENES'!$AA645="","-",'ORDENES'!$AA645))</f>
        <v/>
      </c>
      <c r="G667" s="5">
        <f>IF('ORDENES'!$A645="","",IF('ORDENES'!$Y645="","-",'ORDENES'!$Y645))</f>
        <v/>
      </c>
      <c r="H667" s="5">
        <f>IF('ORDENES'!$A645="","",IF('ORDENES'!$AG645="","-",'ORDENES'!$AG645))</f>
        <v/>
      </c>
      <c r="I667" s="5">
        <f>IF('ORDENES'!$A645="","",IF('ORDENES'!$AT645="","-",'ORDENES'!$AT645))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20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IF('ORDENES'!$A645="","",'ORDENES'!$AF645)</f>
        <v/>
      </c>
    </row>
    <row r="668">
      <c r="A668" s="5">
        <f>IF('ORDENES'!$A646="","",IF('ORDENES'!$O646="","-",'ORDENES'!$O646))</f>
        <v/>
      </c>
      <c r="B668" s="5">
        <f>IF('ORDENES'!$A646="","",IF('ORDENES'!$S646="","-",'ORDENES'!$S646))</f>
        <v/>
      </c>
      <c r="C668" s="5">
        <f>IF('ORDENES'!$A646="","",IF('ORDENES'!$AH646="","-",'ORDENES'!$AH646))</f>
        <v/>
      </c>
      <c r="D668" s="5">
        <f>IF('ORDENES'!$A646="","",IF('ORDENES'!$Z646="","-",'ORDENES'!$Z646))</f>
        <v/>
      </c>
      <c r="E668" s="5">
        <f>IF('ORDENES'!$A646="","",IF('ORDENES'!$X646="","-",'ORDENES'!$X646))</f>
        <v/>
      </c>
      <c r="F668" s="5">
        <f>IF('ORDENES'!$A646="","",IF('ORDENES'!$AA646="","-",'ORDENES'!$AA646))</f>
        <v/>
      </c>
      <c r="G668" s="5">
        <f>IF('ORDENES'!$A646="","",IF('ORDENES'!$Y646="","-",'ORDENES'!$Y646))</f>
        <v/>
      </c>
      <c r="H668" s="5">
        <f>IF('ORDENES'!$A646="","",IF('ORDENES'!$AG646="","-",'ORDENES'!$AG646))</f>
        <v/>
      </c>
      <c r="I668" s="5">
        <f>IF('ORDENES'!$A646="","",IF('ORDENES'!$AT646="","-",'ORDENES'!$AT646))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20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IF('ORDENES'!$A646="","",'ORDENES'!$AF646)</f>
        <v/>
      </c>
    </row>
    <row r="669">
      <c r="A669" s="5">
        <f>IF('ORDENES'!$A647="","",IF('ORDENES'!$O647="","-",'ORDENES'!$O647))</f>
        <v/>
      </c>
      <c r="B669" s="5">
        <f>IF('ORDENES'!$A647="","",IF('ORDENES'!$S647="","-",'ORDENES'!$S647))</f>
        <v/>
      </c>
      <c r="C669" s="5">
        <f>IF('ORDENES'!$A647="","",IF('ORDENES'!$AH647="","-",'ORDENES'!$AH647))</f>
        <v/>
      </c>
      <c r="D669" s="5">
        <f>IF('ORDENES'!$A647="","",IF('ORDENES'!$Z647="","-",'ORDENES'!$Z647))</f>
        <v/>
      </c>
      <c r="E669" s="5">
        <f>IF('ORDENES'!$A647="","",IF('ORDENES'!$X647="","-",'ORDENES'!$X647))</f>
        <v/>
      </c>
      <c r="F669" s="5">
        <f>IF('ORDENES'!$A647="","",IF('ORDENES'!$AA647="","-",'ORDENES'!$AA647))</f>
        <v/>
      </c>
      <c r="G669" s="5">
        <f>IF('ORDENES'!$A647="","",IF('ORDENES'!$Y647="","-",'ORDENES'!$Y647))</f>
        <v/>
      </c>
      <c r="H669" s="5">
        <f>IF('ORDENES'!$A647="","",IF('ORDENES'!$AG647="","-",'ORDENES'!$AG647))</f>
        <v/>
      </c>
      <c r="I669" s="5">
        <f>IF('ORDENES'!$A647="","",IF('ORDENES'!$AT647="","-",'ORDENES'!$AT647))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20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IF('ORDENES'!$A647="","",'ORDENES'!$AF647)</f>
        <v/>
      </c>
    </row>
    <row r="670">
      <c r="A670" s="5">
        <f>IF('ORDENES'!$A648="","",IF('ORDENES'!$O648="","-",'ORDENES'!$O648))</f>
        <v/>
      </c>
      <c r="B670" s="5">
        <f>IF('ORDENES'!$A648="","",IF('ORDENES'!$S648="","-",'ORDENES'!$S648))</f>
        <v/>
      </c>
      <c r="C670" s="5">
        <f>IF('ORDENES'!$A648="","",IF('ORDENES'!$AH648="","-",'ORDENES'!$AH648))</f>
        <v/>
      </c>
      <c r="D670" s="5">
        <f>IF('ORDENES'!$A648="","",IF('ORDENES'!$Z648="","-",'ORDENES'!$Z648))</f>
        <v/>
      </c>
      <c r="E670" s="5">
        <f>IF('ORDENES'!$A648="","",IF('ORDENES'!$X648="","-",'ORDENES'!$X648))</f>
        <v/>
      </c>
      <c r="F670" s="5">
        <f>IF('ORDENES'!$A648="","",IF('ORDENES'!$AA648="","-",'ORDENES'!$AA648))</f>
        <v/>
      </c>
      <c r="G670" s="5">
        <f>IF('ORDENES'!$A648="","",IF('ORDENES'!$Y648="","-",'ORDENES'!$Y648))</f>
        <v/>
      </c>
      <c r="H670" s="5">
        <f>IF('ORDENES'!$A648="","",IF('ORDENES'!$AG648="","-",'ORDENES'!$AG648))</f>
        <v/>
      </c>
      <c r="I670" s="5">
        <f>IF('ORDENES'!$A648="","",IF('ORDENES'!$AT648="","-",'ORDENES'!$AT648))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20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IF('ORDENES'!$A648="","",'ORDENES'!$AF648)</f>
        <v/>
      </c>
    </row>
    <row r="671">
      <c r="A671" s="5">
        <f>IF('ORDENES'!$A649="","",IF('ORDENES'!$O649="","-",'ORDENES'!$O649))</f>
        <v/>
      </c>
      <c r="B671" s="5">
        <f>IF('ORDENES'!$A649="","",IF('ORDENES'!$S649="","-",'ORDENES'!$S649))</f>
        <v/>
      </c>
      <c r="C671" s="5">
        <f>IF('ORDENES'!$A649="","",IF('ORDENES'!$AH649="","-",'ORDENES'!$AH649))</f>
        <v/>
      </c>
      <c r="D671" s="5">
        <f>IF('ORDENES'!$A649="","",IF('ORDENES'!$Z649="","-",'ORDENES'!$Z649))</f>
        <v/>
      </c>
      <c r="E671" s="5">
        <f>IF('ORDENES'!$A649="","",IF('ORDENES'!$X649="","-",'ORDENES'!$X649))</f>
        <v/>
      </c>
      <c r="F671" s="5">
        <f>IF('ORDENES'!$A649="","",IF('ORDENES'!$AA649="","-",'ORDENES'!$AA649))</f>
        <v/>
      </c>
      <c r="G671" s="5">
        <f>IF('ORDENES'!$A649="","",IF('ORDENES'!$Y649="","-",'ORDENES'!$Y649))</f>
        <v/>
      </c>
      <c r="H671" s="5">
        <f>IF('ORDENES'!$A649="","",IF('ORDENES'!$AG649="","-",'ORDENES'!$AG649))</f>
        <v/>
      </c>
      <c r="I671" s="5">
        <f>IF('ORDENES'!$A649="","",IF('ORDENES'!$AT649="","-",'ORDENES'!$AT649))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20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IF('ORDENES'!$A649="","",'ORDENES'!$AF649)</f>
        <v/>
      </c>
    </row>
    <row r="672">
      <c r="A672" s="5">
        <f>IF('ORDENES'!$A650="","",IF('ORDENES'!$O650="","-",'ORDENES'!$O650))</f>
        <v/>
      </c>
      <c r="B672" s="5">
        <f>IF('ORDENES'!$A650="","",IF('ORDENES'!$S650="","-",'ORDENES'!$S650))</f>
        <v/>
      </c>
      <c r="C672" s="5">
        <f>IF('ORDENES'!$A650="","",IF('ORDENES'!$AH650="","-",'ORDENES'!$AH650))</f>
        <v/>
      </c>
      <c r="D672" s="5">
        <f>IF('ORDENES'!$A650="","",IF('ORDENES'!$Z650="","-",'ORDENES'!$Z650))</f>
        <v/>
      </c>
      <c r="E672" s="5">
        <f>IF('ORDENES'!$A650="","",IF('ORDENES'!$X650="","-",'ORDENES'!$X650))</f>
        <v/>
      </c>
      <c r="F672" s="5">
        <f>IF('ORDENES'!$A650="","",IF('ORDENES'!$AA650="","-",'ORDENES'!$AA650))</f>
        <v/>
      </c>
      <c r="G672" s="5">
        <f>IF('ORDENES'!$A650="","",IF('ORDENES'!$Y650="","-",'ORDENES'!$Y650))</f>
        <v/>
      </c>
      <c r="H672" s="5">
        <f>IF('ORDENES'!$A650="","",IF('ORDENES'!$AG650="","-",'ORDENES'!$AG650))</f>
        <v/>
      </c>
      <c r="I672" s="5">
        <f>IF('ORDENES'!$A650="","",IF('ORDENES'!$AT650="","-",'ORDENES'!$AT650))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20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IF('ORDENES'!$A650="","",'ORDENES'!$AF650)</f>
        <v/>
      </c>
    </row>
    <row r="673">
      <c r="A673" s="5">
        <f>IF('ORDENES'!$A651="","",IF('ORDENES'!$O651="","-",'ORDENES'!$O651))</f>
        <v/>
      </c>
      <c r="B673" s="5">
        <f>IF('ORDENES'!$A651="","",IF('ORDENES'!$S651="","-",'ORDENES'!$S651))</f>
        <v/>
      </c>
      <c r="C673" s="5">
        <f>IF('ORDENES'!$A651="","",IF('ORDENES'!$AH651="","-",'ORDENES'!$AH651))</f>
        <v/>
      </c>
      <c r="D673" s="5">
        <f>IF('ORDENES'!$A651="","",IF('ORDENES'!$Z651="","-",'ORDENES'!$Z651))</f>
        <v/>
      </c>
      <c r="E673" s="5">
        <f>IF('ORDENES'!$A651="","",IF('ORDENES'!$X651="","-",'ORDENES'!$X651))</f>
        <v/>
      </c>
      <c r="F673" s="5">
        <f>IF('ORDENES'!$A651="","",IF('ORDENES'!$AA651="","-",'ORDENES'!$AA651))</f>
        <v/>
      </c>
      <c r="G673" s="5">
        <f>IF('ORDENES'!$A651="","",IF('ORDENES'!$Y651="","-",'ORDENES'!$Y651))</f>
        <v/>
      </c>
      <c r="H673" s="5">
        <f>IF('ORDENES'!$A651="","",IF('ORDENES'!$AG651="","-",'ORDENES'!$AG651))</f>
        <v/>
      </c>
      <c r="I673" s="5">
        <f>IF('ORDENES'!$A651="","",IF('ORDENES'!$AT651="","-",'ORDENES'!$AT651))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20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IF('ORDENES'!$A651="","",'ORDENES'!$AF651)</f>
        <v/>
      </c>
    </row>
    <row r="674">
      <c r="A674" s="5">
        <f>IF('ORDENES'!$A652="","",IF('ORDENES'!$O652="","-",'ORDENES'!$O652))</f>
        <v/>
      </c>
      <c r="B674" s="5">
        <f>IF('ORDENES'!$A652="","",IF('ORDENES'!$S652="","-",'ORDENES'!$S652))</f>
        <v/>
      </c>
      <c r="C674" s="5">
        <f>IF('ORDENES'!$A652="","",IF('ORDENES'!$AH652="","-",'ORDENES'!$AH652))</f>
        <v/>
      </c>
      <c r="D674" s="5">
        <f>IF('ORDENES'!$A652="","",IF('ORDENES'!$Z652="","-",'ORDENES'!$Z652))</f>
        <v/>
      </c>
      <c r="E674" s="5">
        <f>IF('ORDENES'!$A652="","",IF('ORDENES'!$X652="","-",'ORDENES'!$X652))</f>
        <v/>
      </c>
      <c r="F674" s="5">
        <f>IF('ORDENES'!$A652="","",IF('ORDENES'!$AA652="","-",'ORDENES'!$AA652))</f>
        <v/>
      </c>
      <c r="G674" s="5">
        <f>IF('ORDENES'!$A652="","",IF('ORDENES'!$Y652="","-",'ORDENES'!$Y652))</f>
        <v/>
      </c>
      <c r="H674" s="5">
        <f>IF('ORDENES'!$A652="","",IF('ORDENES'!$AG652="","-",'ORDENES'!$AG652))</f>
        <v/>
      </c>
      <c r="I674" s="5">
        <f>IF('ORDENES'!$A652="","",IF('ORDENES'!$AT652="","-",'ORDENES'!$AT652))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20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IF('ORDENES'!$A652="","",'ORDENES'!$AF652)</f>
        <v/>
      </c>
    </row>
    <row r="675">
      <c r="A675" s="5">
        <f>IF('ORDENES'!$A653="","",IF('ORDENES'!$O653="","-",'ORDENES'!$O653))</f>
        <v/>
      </c>
      <c r="B675" s="5">
        <f>IF('ORDENES'!$A653="","",IF('ORDENES'!$S653="","-",'ORDENES'!$S653))</f>
        <v/>
      </c>
      <c r="C675" s="5">
        <f>IF('ORDENES'!$A653="","",IF('ORDENES'!$AH653="","-",'ORDENES'!$AH653))</f>
        <v/>
      </c>
      <c r="D675" s="5">
        <f>IF('ORDENES'!$A653="","",IF('ORDENES'!$Z653="","-",'ORDENES'!$Z653))</f>
        <v/>
      </c>
      <c r="E675" s="5">
        <f>IF('ORDENES'!$A653="","",IF('ORDENES'!$X653="","-",'ORDENES'!$X653))</f>
        <v/>
      </c>
      <c r="F675" s="5">
        <f>IF('ORDENES'!$A653="","",IF('ORDENES'!$AA653="","-",'ORDENES'!$AA653))</f>
        <v/>
      </c>
      <c r="G675" s="5">
        <f>IF('ORDENES'!$A653="","",IF('ORDENES'!$Y653="","-",'ORDENES'!$Y653))</f>
        <v/>
      </c>
      <c r="H675" s="5">
        <f>IF('ORDENES'!$A653="","",IF('ORDENES'!$AG653="","-",'ORDENES'!$AG653))</f>
        <v/>
      </c>
      <c r="I675" s="5">
        <f>IF('ORDENES'!$A653="","",IF('ORDENES'!$AT653="","-",'ORDENES'!$AT653))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20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IF('ORDENES'!$A653="","",'ORDENES'!$AF653)</f>
        <v/>
      </c>
    </row>
    <row r="676">
      <c r="A676" s="5">
        <f>IF('ORDENES'!$A654="","",IF('ORDENES'!$O654="","-",'ORDENES'!$O654))</f>
        <v/>
      </c>
      <c r="B676" s="5">
        <f>IF('ORDENES'!$A654="","",IF('ORDENES'!$S654="","-",'ORDENES'!$S654))</f>
        <v/>
      </c>
      <c r="C676" s="5">
        <f>IF('ORDENES'!$A654="","",IF('ORDENES'!$AH654="","-",'ORDENES'!$AH654))</f>
        <v/>
      </c>
      <c r="D676" s="5">
        <f>IF('ORDENES'!$A654="","",IF('ORDENES'!$Z654="","-",'ORDENES'!$Z654))</f>
        <v/>
      </c>
      <c r="E676" s="5">
        <f>IF('ORDENES'!$A654="","",IF('ORDENES'!$X654="","-",'ORDENES'!$X654))</f>
        <v/>
      </c>
      <c r="F676" s="5">
        <f>IF('ORDENES'!$A654="","",IF('ORDENES'!$AA654="","-",'ORDENES'!$AA654))</f>
        <v/>
      </c>
      <c r="G676" s="5">
        <f>IF('ORDENES'!$A654="","",IF('ORDENES'!$Y654="","-",'ORDENES'!$Y654))</f>
        <v/>
      </c>
      <c r="H676" s="5">
        <f>IF('ORDENES'!$A654="","",IF('ORDENES'!$AG654="","-",'ORDENES'!$AG654))</f>
        <v/>
      </c>
      <c r="I676" s="5">
        <f>IF('ORDENES'!$A654="","",IF('ORDENES'!$AT654="","-",'ORDENES'!$AT654))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20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IF('ORDENES'!$A654="","",'ORDENES'!$AF654)</f>
        <v/>
      </c>
    </row>
    <row r="677">
      <c r="A677" s="5">
        <f>IF('ORDENES'!$A655="","",IF('ORDENES'!$O655="","-",'ORDENES'!$O655))</f>
        <v/>
      </c>
      <c r="B677" s="5">
        <f>IF('ORDENES'!$A655="","",IF('ORDENES'!$S655="","-",'ORDENES'!$S655))</f>
        <v/>
      </c>
      <c r="C677" s="5">
        <f>IF('ORDENES'!$A655="","",IF('ORDENES'!$AH655="","-",'ORDENES'!$AH655))</f>
        <v/>
      </c>
      <c r="D677" s="5">
        <f>IF('ORDENES'!$A655="","",IF('ORDENES'!$Z655="","-",'ORDENES'!$Z655))</f>
        <v/>
      </c>
      <c r="E677" s="5">
        <f>IF('ORDENES'!$A655="","",IF('ORDENES'!$X655="","-",'ORDENES'!$X655))</f>
        <v/>
      </c>
      <c r="F677" s="5">
        <f>IF('ORDENES'!$A655="","",IF('ORDENES'!$AA655="","-",'ORDENES'!$AA655))</f>
        <v/>
      </c>
      <c r="G677" s="5">
        <f>IF('ORDENES'!$A655="","",IF('ORDENES'!$Y655="","-",'ORDENES'!$Y655))</f>
        <v/>
      </c>
      <c r="H677" s="5">
        <f>IF('ORDENES'!$A655="","",IF('ORDENES'!$AG655="","-",'ORDENES'!$AG655))</f>
        <v/>
      </c>
      <c r="I677" s="5">
        <f>IF('ORDENES'!$A655="","",IF('ORDENES'!$AT655="","-",'ORDENES'!$AT655))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20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IF('ORDENES'!$A655="","",'ORDENES'!$AF655)</f>
        <v/>
      </c>
    </row>
    <row r="678">
      <c r="A678" s="5">
        <f>IF('ORDENES'!$A656="","",IF('ORDENES'!$O656="","-",'ORDENES'!$O656))</f>
        <v/>
      </c>
      <c r="B678" s="5">
        <f>IF('ORDENES'!$A656="","",IF('ORDENES'!$S656="","-",'ORDENES'!$S656))</f>
        <v/>
      </c>
      <c r="C678" s="5">
        <f>IF('ORDENES'!$A656="","",IF('ORDENES'!$AH656="","-",'ORDENES'!$AH656))</f>
        <v/>
      </c>
      <c r="D678" s="5">
        <f>IF('ORDENES'!$A656="","",IF('ORDENES'!$Z656="","-",'ORDENES'!$Z656))</f>
        <v/>
      </c>
      <c r="E678" s="5">
        <f>IF('ORDENES'!$A656="","",IF('ORDENES'!$X656="","-",'ORDENES'!$X656))</f>
        <v/>
      </c>
      <c r="F678" s="5">
        <f>IF('ORDENES'!$A656="","",IF('ORDENES'!$AA656="","-",'ORDENES'!$AA656))</f>
        <v/>
      </c>
      <c r="G678" s="5">
        <f>IF('ORDENES'!$A656="","",IF('ORDENES'!$Y656="","-",'ORDENES'!$Y656))</f>
        <v/>
      </c>
      <c r="H678" s="5">
        <f>IF('ORDENES'!$A656="","",IF('ORDENES'!$AG656="","-",'ORDENES'!$AG656))</f>
        <v/>
      </c>
      <c r="I678" s="5">
        <f>IF('ORDENES'!$A656="","",IF('ORDENES'!$AT656="","-",'ORDENES'!$AT656))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20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IF('ORDENES'!$A656="","",'ORDENES'!$AF656)</f>
        <v/>
      </c>
    </row>
    <row r="679">
      <c r="A679" s="5">
        <f>IF('ORDENES'!$A657="","",IF('ORDENES'!$O657="","-",'ORDENES'!$O657))</f>
        <v/>
      </c>
      <c r="B679" s="5">
        <f>IF('ORDENES'!$A657="","",IF('ORDENES'!$S657="","-",'ORDENES'!$S657))</f>
        <v/>
      </c>
      <c r="C679" s="5">
        <f>IF('ORDENES'!$A657="","",IF('ORDENES'!$AH657="","-",'ORDENES'!$AH657))</f>
        <v/>
      </c>
      <c r="D679" s="5">
        <f>IF('ORDENES'!$A657="","",IF('ORDENES'!$Z657="","-",'ORDENES'!$Z657))</f>
        <v/>
      </c>
      <c r="E679" s="5">
        <f>IF('ORDENES'!$A657="","",IF('ORDENES'!$X657="","-",'ORDENES'!$X657))</f>
        <v/>
      </c>
      <c r="F679" s="5">
        <f>IF('ORDENES'!$A657="","",IF('ORDENES'!$AA657="","-",'ORDENES'!$AA657))</f>
        <v/>
      </c>
      <c r="G679" s="5">
        <f>IF('ORDENES'!$A657="","",IF('ORDENES'!$Y657="","-",'ORDENES'!$Y657))</f>
        <v/>
      </c>
      <c r="H679" s="5">
        <f>IF('ORDENES'!$A657="","",IF('ORDENES'!$AG657="","-",'ORDENES'!$AG657))</f>
        <v/>
      </c>
      <c r="I679" s="5">
        <f>IF('ORDENES'!$A657="","",IF('ORDENES'!$AT657="","-",'ORDENES'!$AT657))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20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IF('ORDENES'!$A657="","",'ORDENES'!$AF657)</f>
        <v/>
      </c>
    </row>
    <row r="680">
      <c r="A680" s="5">
        <f>IF('ORDENES'!$A658="","",IF('ORDENES'!$O658="","-",'ORDENES'!$O658))</f>
        <v/>
      </c>
      <c r="B680" s="5">
        <f>IF('ORDENES'!$A658="","",IF('ORDENES'!$S658="","-",'ORDENES'!$S658))</f>
        <v/>
      </c>
      <c r="C680" s="5">
        <f>IF('ORDENES'!$A658="","",IF('ORDENES'!$AH658="","-",'ORDENES'!$AH658))</f>
        <v/>
      </c>
      <c r="D680" s="5">
        <f>IF('ORDENES'!$A658="","",IF('ORDENES'!$Z658="","-",'ORDENES'!$Z658))</f>
        <v/>
      </c>
      <c r="E680" s="5">
        <f>IF('ORDENES'!$A658="","",IF('ORDENES'!$X658="","-",'ORDENES'!$X658))</f>
        <v/>
      </c>
      <c r="F680" s="5">
        <f>IF('ORDENES'!$A658="","",IF('ORDENES'!$AA658="","-",'ORDENES'!$AA658))</f>
        <v/>
      </c>
      <c r="G680" s="5">
        <f>IF('ORDENES'!$A658="","",IF('ORDENES'!$Y658="","-",'ORDENES'!$Y658))</f>
        <v/>
      </c>
      <c r="H680" s="5">
        <f>IF('ORDENES'!$A658="","",IF('ORDENES'!$AG658="","-",'ORDENES'!$AG658))</f>
        <v/>
      </c>
      <c r="I680" s="5">
        <f>IF('ORDENES'!$A658="","",IF('ORDENES'!$AT658="","-",'ORDENES'!$AT658))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20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IF('ORDENES'!$A658="","",'ORDENES'!$AF658)</f>
        <v/>
      </c>
    </row>
    <row r="681">
      <c r="A681" s="5">
        <f>IF('ORDENES'!$A659="","",IF('ORDENES'!$O659="","-",'ORDENES'!$O659))</f>
        <v/>
      </c>
      <c r="B681" s="5">
        <f>IF('ORDENES'!$A659="","",IF('ORDENES'!$S659="","-",'ORDENES'!$S659))</f>
        <v/>
      </c>
      <c r="C681" s="5">
        <f>IF('ORDENES'!$A659="","",IF('ORDENES'!$AH659="","-",'ORDENES'!$AH659))</f>
        <v/>
      </c>
      <c r="D681" s="5">
        <f>IF('ORDENES'!$A659="","",IF('ORDENES'!$Z659="","-",'ORDENES'!$Z659))</f>
        <v/>
      </c>
      <c r="E681" s="5">
        <f>IF('ORDENES'!$A659="","",IF('ORDENES'!$X659="","-",'ORDENES'!$X659))</f>
        <v/>
      </c>
      <c r="F681" s="5">
        <f>IF('ORDENES'!$A659="","",IF('ORDENES'!$AA659="","-",'ORDENES'!$AA659))</f>
        <v/>
      </c>
      <c r="G681" s="5">
        <f>IF('ORDENES'!$A659="","",IF('ORDENES'!$Y659="","-",'ORDENES'!$Y659))</f>
        <v/>
      </c>
      <c r="H681" s="5">
        <f>IF('ORDENES'!$A659="","",IF('ORDENES'!$AG659="","-",'ORDENES'!$AG659))</f>
        <v/>
      </c>
      <c r="I681" s="5">
        <f>IF('ORDENES'!$A659="","",IF('ORDENES'!$AT659="","-",'ORDENES'!$AT659))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20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IF('ORDENES'!$A659="","",'ORDENES'!$AF659)</f>
        <v/>
      </c>
    </row>
    <row r="682">
      <c r="A682" s="5">
        <f>IF('ORDENES'!$A660="","",IF('ORDENES'!$O660="","-",'ORDENES'!$O660))</f>
        <v/>
      </c>
      <c r="B682" s="5">
        <f>IF('ORDENES'!$A660="","",IF('ORDENES'!$S660="","-",'ORDENES'!$S660))</f>
        <v/>
      </c>
      <c r="C682" s="5">
        <f>IF('ORDENES'!$A660="","",IF('ORDENES'!$AH660="","-",'ORDENES'!$AH660))</f>
        <v/>
      </c>
      <c r="D682" s="5">
        <f>IF('ORDENES'!$A660="","",IF('ORDENES'!$Z660="","-",'ORDENES'!$Z660))</f>
        <v/>
      </c>
      <c r="E682" s="5">
        <f>IF('ORDENES'!$A660="","",IF('ORDENES'!$X660="","-",'ORDENES'!$X660))</f>
        <v/>
      </c>
      <c r="F682" s="5">
        <f>IF('ORDENES'!$A660="","",IF('ORDENES'!$AA660="","-",'ORDENES'!$AA660))</f>
        <v/>
      </c>
      <c r="G682" s="5">
        <f>IF('ORDENES'!$A660="","",IF('ORDENES'!$Y660="","-",'ORDENES'!$Y660))</f>
        <v/>
      </c>
      <c r="H682" s="5">
        <f>IF('ORDENES'!$A660="","",IF('ORDENES'!$AG660="","-",'ORDENES'!$AG660))</f>
        <v/>
      </c>
      <c r="I682" s="5">
        <f>IF('ORDENES'!$A660="","",IF('ORDENES'!$AT660="","-",'ORDENES'!$AT660))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20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IF('ORDENES'!$A660="","",'ORDENES'!$AF660)</f>
        <v/>
      </c>
    </row>
    <row r="683">
      <c r="A683" s="5">
        <f>IF('ORDENES'!$A661="","",IF('ORDENES'!$O661="","-",'ORDENES'!$O661))</f>
        <v/>
      </c>
      <c r="B683" s="5">
        <f>IF('ORDENES'!$A661="","",IF('ORDENES'!$S661="","-",'ORDENES'!$S661))</f>
        <v/>
      </c>
      <c r="C683" s="5">
        <f>IF('ORDENES'!$A661="","",IF('ORDENES'!$AH661="","-",'ORDENES'!$AH661))</f>
        <v/>
      </c>
      <c r="D683" s="5">
        <f>IF('ORDENES'!$A661="","",IF('ORDENES'!$Z661="","-",'ORDENES'!$Z661))</f>
        <v/>
      </c>
      <c r="E683" s="5">
        <f>IF('ORDENES'!$A661="","",IF('ORDENES'!$X661="","-",'ORDENES'!$X661))</f>
        <v/>
      </c>
      <c r="F683" s="5">
        <f>IF('ORDENES'!$A661="","",IF('ORDENES'!$AA661="","-",'ORDENES'!$AA661))</f>
        <v/>
      </c>
      <c r="G683" s="5">
        <f>IF('ORDENES'!$A661="","",IF('ORDENES'!$Y661="","-",'ORDENES'!$Y661))</f>
        <v/>
      </c>
      <c r="H683" s="5">
        <f>IF('ORDENES'!$A661="","",IF('ORDENES'!$AG661="","-",'ORDENES'!$AG661))</f>
        <v/>
      </c>
      <c r="I683" s="5">
        <f>IF('ORDENES'!$A661="","",IF('ORDENES'!$AT661="","-",'ORDENES'!$AT661))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20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IF('ORDENES'!$A661="","",'ORDENES'!$AF661)</f>
        <v/>
      </c>
    </row>
    <row r="684">
      <c r="A684" s="5">
        <f>IF('ORDENES'!$A662="","",IF('ORDENES'!$O662="","-",'ORDENES'!$O662))</f>
        <v/>
      </c>
      <c r="B684" s="5">
        <f>IF('ORDENES'!$A662="","",IF('ORDENES'!$S662="","-",'ORDENES'!$S662))</f>
        <v/>
      </c>
      <c r="C684" s="5">
        <f>IF('ORDENES'!$A662="","",IF('ORDENES'!$AH662="","-",'ORDENES'!$AH662))</f>
        <v/>
      </c>
      <c r="D684" s="5">
        <f>IF('ORDENES'!$A662="","",IF('ORDENES'!$Z662="","-",'ORDENES'!$Z662))</f>
        <v/>
      </c>
      <c r="E684" s="5">
        <f>IF('ORDENES'!$A662="","",IF('ORDENES'!$X662="","-",'ORDENES'!$X662))</f>
        <v/>
      </c>
      <c r="F684" s="5">
        <f>IF('ORDENES'!$A662="","",IF('ORDENES'!$AA662="","-",'ORDENES'!$AA662))</f>
        <v/>
      </c>
      <c r="G684" s="5">
        <f>IF('ORDENES'!$A662="","",IF('ORDENES'!$Y662="","-",'ORDENES'!$Y662))</f>
        <v/>
      </c>
      <c r="H684" s="5">
        <f>IF('ORDENES'!$A662="","",IF('ORDENES'!$AG662="","-",'ORDENES'!$AG662))</f>
        <v/>
      </c>
      <c r="I684" s="5">
        <f>IF('ORDENES'!$A662="","",IF('ORDENES'!$AT662="","-",'ORDENES'!$AT662))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20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IF('ORDENES'!$A662="","",'ORDENES'!$AF662)</f>
        <v/>
      </c>
    </row>
    <row r="685">
      <c r="A685" s="5">
        <f>IF('ORDENES'!$A663="","",IF('ORDENES'!$O663="","-",'ORDENES'!$O663))</f>
        <v/>
      </c>
      <c r="B685" s="5">
        <f>IF('ORDENES'!$A663="","",IF('ORDENES'!$S663="","-",'ORDENES'!$S663))</f>
        <v/>
      </c>
      <c r="C685" s="5">
        <f>IF('ORDENES'!$A663="","",IF('ORDENES'!$AH663="","-",'ORDENES'!$AH663))</f>
        <v/>
      </c>
      <c r="D685" s="5">
        <f>IF('ORDENES'!$A663="","",IF('ORDENES'!$Z663="","-",'ORDENES'!$Z663))</f>
        <v/>
      </c>
      <c r="E685" s="5">
        <f>IF('ORDENES'!$A663="","",IF('ORDENES'!$X663="","-",'ORDENES'!$X663))</f>
        <v/>
      </c>
      <c r="F685" s="5">
        <f>IF('ORDENES'!$A663="","",IF('ORDENES'!$AA663="","-",'ORDENES'!$AA663))</f>
        <v/>
      </c>
      <c r="G685" s="5">
        <f>IF('ORDENES'!$A663="","",IF('ORDENES'!$Y663="","-",'ORDENES'!$Y663))</f>
        <v/>
      </c>
      <c r="H685" s="5">
        <f>IF('ORDENES'!$A663="","",IF('ORDENES'!$AG663="","-",'ORDENES'!$AG663))</f>
        <v/>
      </c>
      <c r="I685" s="5">
        <f>IF('ORDENES'!$A663="","",IF('ORDENES'!$AT663="","-",'ORDENES'!$AT663))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20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IF('ORDENES'!$A663="","",'ORDENES'!$AF663)</f>
        <v/>
      </c>
    </row>
    <row r="686">
      <c r="A686" s="5">
        <f>IF('ORDENES'!$A664="","",IF('ORDENES'!$O664="","-",'ORDENES'!$O664))</f>
        <v/>
      </c>
      <c r="B686" s="5">
        <f>IF('ORDENES'!$A664="","",IF('ORDENES'!$S664="","-",'ORDENES'!$S664))</f>
        <v/>
      </c>
      <c r="C686" s="5">
        <f>IF('ORDENES'!$A664="","",IF('ORDENES'!$AH664="","-",'ORDENES'!$AH664))</f>
        <v/>
      </c>
      <c r="D686" s="5">
        <f>IF('ORDENES'!$A664="","",IF('ORDENES'!$Z664="","-",'ORDENES'!$Z664))</f>
        <v/>
      </c>
      <c r="E686" s="5">
        <f>IF('ORDENES'!$A664="","",IF('ORDENES'!$X664="","-",'ORDENES'!$X664))</f>
        <v/>
      </c>
      <c r="F686" s="5">
        <f>IF('ORDENES'!$A664="","",IF('ORDENES'!$AA664="","-",'ORDENES'!$AA664))</f>
        <v/>
      </c>
      <c r="G686" s="5">
        <f>IF('ORDENES'!$A664="","",IF('ORDENES'!$Y664="","-",'ORDENES'!$Y664))</f>
        <v/>
      </c>
      <c r="H686" s="5">
        <f>IF('ORDENES'!$A664="","",IF('ORDENES'!$AG664="","-",'ORDENES'!$AG664))</f>
        <v/>
      </c>
      <c r="I686" s="5">
        <f>IF('ORDENES'!$A664="","",IF('ORDENES'!$AT664="","-",'ORDENES'!$AT664))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20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IF('ORDENES'!$A664="","",'ORDENES'!$AF664)</f>
        <v/>
      </c>
    </row>
    <row r="687">
      <c r="A687" s="5">
        <f>IF('ORDENES'!$A665="","",IF('ORDENES'!$O665="","-",'ORDENES'!$O665))</f>
        <v/>
      </c>
      <c r="B687" s="5">
        <f>IF('ORDENES'!$A665="","",IF('ORDENES'!$S665="","-",'ORDENES'!$S665))</f>
        <v/>
      </c>
      <c r="C687" s="5">
        <f>IF('ORDENES'!$A665="","",IF('ORDENES'!$AH665="","-",'ORDENES'!$AH665))</f>
        <v/>
      </c>
      <c r="D687" s="5">
        <f>IF('ORDENES'!$A665="","",IF('ORDENES'!$Z665="","-",'ORDENES'!$Z665))</f>
        <v/>
      </c>
      <c r="E687" s="5">
        <f>IF('ORDENES'!$A665="","",IF('ORDENES'!$X665="","-",'ORDENES'!$X665))</f>
        <v/>
      </c>
      <c r="F687" s="5">
        <f>IF('ORDENES'!$A665="","",IF('ORDENES'!$AA665="","-",'ORDENES'!$AA665))</f>
        <v/>
      </c>
      <c r="G687" s="5">
        <f>IF('ORDENES'!$A665="","",IF('ORDENES'!$Y665="","-",'ORDENES'!$Y665))</f>
        <v/>
      </c>
      <c r="H687" s="5">
        <f>IF('ORDENES'!$A665="","",IF('ORDENES'!$AG665="","-",'ORDENES'!$AG665))</f>
        <v/>
      </c>
      <c r="I687" s="5">
        <f>IF('ORDENES'!$A665="","",IF('ORDENES'!$AT665="","-",'ORDENES'!$AT665))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20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IF('ORDENES'!$A665="","",'ORDENES'!$AF665)</f>
        <v/>
      </c>
    </row>
    <row r="688">
      <c r="A688" s="5">
        <f>IF('ORDENES'!$A666="","",IF('ORDENES'!$O666="","-",'ORDENES'!$O666))</f>
        <v/>
      </c>
      <c r="B688" s="5">
        <f>IF('ORDENES'!$A666="","",IF('ORDENES'!$S666="","-",'ORDENES'!$S666))</f>
        <v/>
      </c>
      <c r="C688" s="5">
        <f>IF('ORDENES'!$A666="","",IF('ORDENES'!$AH666="","-",'ORDENES'!$AH666))</f>
        <v/>
      </c>
      <c r="D688" s="5">
        <f>IF('ORDENES'!$A666="","",IF('ORDENES'!$Z666="","-",'ORDENES'!$Z666))</f>
        <v/>
      </c>
      <c r="E688" s="5">
        <f>IF('ORDENES'!$A666="","",IF('ORDENES'!$X666="","-",'ORDENES'!$X666))</f>
        <v/>
      </c>
      <c r="F688" s="5">
        <f>IF('ORDENES'!$A666="","",IF('ORDENES'!$AA666="","-",'ORDENES'!$AA666))</f>
        <v/>
      </c>
      <c r="G688" s="5">
        <f>IF('ORDENES'!$A666="","",IF('ORDENES'!$Y666="","-",'ORDENES'!$Y666))</f>
        <v/>
      </c>
      <c r="H688" s="5">
        <f>IF('ORDENES'!$A666="","",IF('ORDENES'!$AG666="","-",'ORDENES'!$AG666))</f>
        <v/>
      </c>
      <c r="I688" s="5">
        <f>IF('ORDENES'!$A666="","",IF('ORDENES'!$AT666="","-",'ORDENES'!$AT666))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20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IF('ORDENES'!$A666="","",'ORDENES'!$AF666)</f>
        <v/>
      </c>
    </row>
    <row r="689">
      <c r="A689" s="5">
        <f>IF('ORDENES'!$A667="","",IF('ORDENES'!$O667="","-",'ORDENES'!$O667))</f>
        <v/>
      </c>
      <c r="B689" s="5">
        <f>IF('ORDENES'!$A667="","",IF('ORDENES'!$S667="","-",'ORDENES'!$S667))</f>
        <v/>
      </c>
      <c r="C689" s="5">
        <f>IF('ORDENES'!$A667="","",IF('ORDENES'!$AH667="","-",'ORDENES'!$AH667))</f>
        <v/>
      </c>
      <c r="D689" s="5">
        <f>IF('ORDENES'!$A667="","",IF('ORDENES'!$Z667="","-",'ORDENES'!$Z667))</f>
        <v/>
      </c>
      <c r="E689" s="5">
        <f>IF('ORDENES'!$A667="","",IF('ORDENES'!$X667="","-",'ORDENES'!$X667))</f>
        <v/>
      </c>
      <c r="F689" s="5">
        <f>IF('ORDENES'!$A667="","",IF('ORDENES'!$AA667="","-",'ORDENES'!$AA667))</f>
        <v/>
      </c>
      <c r="G689" s="5">
        <f>IF('ORDENES'!$A667="","",IF('ORDENES'!$Y667="","-",'ORDENES'!$Y667))</f>
        <v/>
      </c>
      <c r="H689" s="5">
        <f>IF('ORDENES'!$A667="","",IF('ORDENES'!$AG667="","-",'ORDENES'!$AG667))</f>
        <v/>
      </c>
      <c r="I689" s="5">
        <f>IF('ORDENES'!$A667="","",IF('ORDENES'!$AT667="","-",'ORDENES'!$AT667))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20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IF('ORDENES'!$A667="","",'ORDENES'!$AF667)</f>
        <v/>
      </c>
    </row>
    <row r="690">
      <c r="A690" s="5">
        <f>IF('ORDENES'!$A668="","",IF('ORDENES'!$O668="","-",'ORDENES'!$O668))</f>
        <v/>
      </c>
      <c r="B690" s="5">
        <f>IF('ORDENES'!$A668="","",IF('ORDENES'!$S668="","-",'ORDENES'!$S668))</f>
        <v/>
      </c>
      <c r="C690" s="5">
        <f>IF('ORDENES'!$A668="","",IF('ORDENES'!$AH668="","-",'ORDENES'!$AH668))</f>
        <v/>
      </c>
      <c r="D690" s="5">
        <f>IF('ORDENES'!$A668="","",IF('ORDENES'!$Z668="","-",'ORDENES'!$Z668))</f>
        <v/>
      </c>
      <c r="E690" s="5">
        <f>IF('ORDENES'!$A668="","",IF('ORDENES'!$X668="","-",'ORDENES'!$X668))</f>
        <v/>
      </c>
      <c r="F690" s="5">
        <f>IF('ORDENES'!$A668="","",IF('ORDENES'!$AA668="","-",'ORDENES'!$AA668))</f>
        <v/>
      </c>
      <c r="G690" s="5">
        <f>IF('ORDENES'!$A668="","",IF('ORDENES'!$Y668="","-",'ORDENES'!$Y668))</f>
        <v/>
      </c>
      <c r="H690" s="5">
        <f>IF('ORDENES'!$A668="","",IF('ORDENES'!$AG668="","-",'ORDENES'!$AG668))</f>
        <v/>
      </c>
      <c r="I690" s="5">
        <f>IF('ORDENES'!$A668="","",IF('ORDENES'!$AT668="","-",'ORDENES'!$AT668))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20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IF('ORDENES'!$A668="","",'ORDENES'!$AF668)</f>
        <v/>
      </c>
    </row>
    <row r="691">
      <c r="A691" s="5">
        <f>IF('ORDENES'!$A669="","",IF('ORDENES'!$O669="","-",'ORDENES'!$O669))</f>
        <v/>
      </c>
      <c r="B691" s="5">
        <f>IF('ORDENES'!$A669="","",IF('ORDENES'!$S669="","-",'ORDENES'!$S669))</f>
        <v/>
      </c>
      <c r="C691" s="5">
        <f>IF('ORDENES'!$A669="","",IF('ORDENES'!$AH669="","-",'ORDENES'!$AH669))</f>
        <v/>
      </c>
      <c r="D691" s="5">
        <f>IF('ORDENES'!$A669="","",IF('ORDENES'!$Z669="","-",'ORDENES'!$Z669))</f>
        <v/>
      </c>
      <c r="E691" s="5">
        <f>IF('ORDENES'!$A669="","",IF('ORDENES'!$X669="","-",'ORDENES'!$X669))</f>
        <v/>
      </c>
      <c r="F691" s="5">
        <f>IF('ORDENES'!$A669="","",IF('ORDENES'!$AA669="","-",'ORDENES'!$AA669))</f>
        <v/>
      </c>
      <c r="G691" s="5">
        <f>IF('ORDENES'!$A669="","",IF('ORDENES'!$Y669="","-",'ORDENES'!$Y669))</f>
        <v/>
      </c>
      <c r="H691" s="5">
        <f>IF('ORDENES'!$A669="","",IF('ORDENES'!$AG669="","-",'ORDENES'!$AG669))</f>
        <v/>
      </c>
      <c r="I691" s="5">
        <f>IF('ORDENES'!$A669="","",IF('ORDENES'!$AT669="","-",'ORDENES'!$AT669))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20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IF('ORDENES'!$A669="","",'ORDENES'!$AF669)</f>
        <v/>
      </c>
    </row>
    <row r="692">
      <c r="A692" s="5">
        <f>IF('ORDENES'!$A670="","",IF('ORDENES'!$O670="","-",'ORDENES'!$O670))</f>
        <v/>
      </c>
      <c r="B692" s="5">
        <f>IF('ORDENES'!$A670="","",IF('ORDENES'!$S670="","-",'ORDENES'!$S670))</f>
        <v/>
      </c>
      <c r="C692" s="5">
        <f>IF('ORDENES'!$A670="","",IF('ORDENES'!$AH670="","-",'ORDENES'!$AH670))</f>
        <v/>
      </c>
      <c r="D692" s="5">
        <f>IF('ORDENES'!$A670="","",IF('ORDENES'!$Z670="","-",'ORDENES'!$Z670))</f>
        <v/>
      </c>
      <c r="E692" s="5">
        <f>IF('ORDENES'!$A670="","",IF('ORDENES'!$X670="","-",'ORDENES'!$X670))</f>
        <v/>
      </c>
      <c r="F692" s="5">
        <f>IF('ORDENES'!$A670="","",IF('ORDENES'!$AA670="","-",'ORDENES'!$AA670))</f>
        <v/>
      </c>
      <c r="G692" s="5">
        <f>IF('ORDENES'!$A670="","",IF('ORDENES'!$Y670="","-",'ORDENES'!$Y670))</f>
        <v/>
      </c>
      <c r="H692" s="5">
        <f>IF('ORDENES'!$A670="","",IF('ORDENES'!$AG670="","-",'ORDENES'!$AG670))</f>
        <v/>
      </c>
      <c r="I692" s="5">
        <f>IF('ORDENES'!$A670="","",IF('ORDENES'!$AT670="","-",'ORDENES'!$AT670))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20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IF('ORDENES'!$A670="","",'ORDENES'!$AF670)</f>
        <v/>
      </c>
    </row>
    <row r="693">
      <c r="A693" s="5">
        <f>IF('ORDENES'!$A671="","",IF('ORDENES'!$O671="","-",'ORDENES'!$O671))</f>
        <v/>
      </c>
      <c r="B693" s="5">
        <f>IF('ORDENES'!$A671="","",IF('ORDENES'!$S671="","-",'ORDENES'!$S671))</f>
        <v/>
      </c>
      <c r="C693" s="5">
        <f>IF('ORDENES'!$A671="","",IF('ORDENES'!$AH671="","-",'ORDENES'!$AH671))</f>
        <v/>
      </c>
      <c r="D693" s="5">
        <f>IF('ORDENES'!$A671="","",IF('ORDENES'!$Z671="","-",'ORDENES'!$Z671))</f>
        <v/>
      </c>
      <c r="E693" s="5">
        <f>IF('ORDENES'!$A671="","",IF('ORDENES'!$X671="","-",'ORDENES'!$X671))</f>
        <v/>
      </c>
      <c r="F693" s="5">
        <f>IF('ORDENES'!$A671="","",IF('ORDENES'!$AA671="","-",'ORDENES'!$AA671))</f>
        <v/>
      </c>
      <c r="G693" s="5">
        <f>IF('ORDENES'!$A671="","",IF('ORDENES'!$Y671="","-",'ORDENES'!$Y671))</f>
        <v/>
      </c>
      <c r="H693" s="5">
        <f>IF('ORDENES'!$A671="","",IF('ORDENES'!$AG671="","-",'ORDENES'!$AG671))</f>
        <v/>
      </c>
      <c r="I693" s="5">
        <f>IF('ORDENES'!$A671="","",IF('ORDENES'!$AT671="","-",'ORDENES'!$AT671))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20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IF('ORDENES'!$A671="","",'ORDENES'!$AF671)</f>
        <v/>
      </c>
    </row>
    <row r="694">
      <c r="A694" s="5">
        <f>IF('ORDENES'!$A672="","",IF('ORDENES'!$O672="","-",'ORDENES'!$O672))</f>
        <v/>
      </c>
      <c r="B694" s="5">
        <f>IF('ORDENES'!$A672="","",IF('ORDENES'!$S672="","-",'ORDENES'!$S672))</f>
        <v/>
      </c>
      <c r="C694" s="5">
        <f>IF('ORDENES'!$A672="","",IF('ORDENES'!$AH672="","-",'ORDENES'!$AH672))</f>
        <v/>
      </c>
      <c r="D694" s="5">
        <f>IF('ORDENES'!$A672="","",IF('ORDENES'!$Z672="","-",'ORDENES'!$Z672))</f>
        <v/>
      </c>
      <c r="E694" s="5">
        <f>IF('ORDENES'!$A672="","",IF('ORDENES'!$X672="","-",'ORDENES'!$X672))</f>
        <v/>
      </c>
      <c r="F694" s="5">
        <f>IF('ORDENES'!$A672="","",IF('ORDENES'!$AA672="","-",'ORDENES'!$AA672))</f>
        <v/>
      </c>
      <c r="G694" s="5">
        <f>IF('ORDENES'!$A672="","",IF('ORDENES'!$Y672="","-",'ORDENES'!$Y672))</f>
        <v/>
      </c>
      <c r="H694" s="5">
        <f>IF('ORDENES'!$A672="","",IF('ORDENES'!$AG672="","-",'ORDENES'!$AG672))</f>
        <v/>
      </c>
      <c r="I694" s="5">
        <f>IF('ORDENES'!$A672="","",IF('ORDENES'!$AT672="","-",'ORDENES'!$AT672))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20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IF('ORDENES'!$A672="","",'ORDENES'!$AF672)</f>
        <v/>
      </c>
    </row>
    <row r="695">
      <c r="A695" s="5">
        <f>IF('ORDENES'!$A673="","",IF('ORDENES'!$O673="","-",'ORDENES'!$O673))</f>
        <v/>
      </c>
      <c r="B695" s="5">
        <f>IF('ORDENES'!$A673="","",IF('ORDENES'!$S673="","-",'ORDENES'!$S673))</f>
        <v/>
      </c>
      <c r="C695" s="5">
        <f>IF('ORDENES'!$A673="","",IF('ORDENES'!$AH673="","-",'ORDENES'!$AH673))</f>
        <v/>
      </c>
      <c r="D695" s="5">
        <f>IF('ORDENES'!$A673="","",IF('ORDENES'!$Z673="","-",'ORDENES'!$Z673))</f>
        <v/>
      </c>
      <c r="E695" s="5">
        <f>IF('ORDENES'!$A673="","",IF('ORDENES'!$X673="","-",'ORDENES'!$X673))</f>
        <v/>
      </c>
      <c r="F695" s="5">
        <f>IF('ORDENES'!$A673="","",IF('ORDENES'!$AA673="","-",'ORDENES'!$AA673))</f>
        <v/>
      </c>
      <c r="G695" s="5">
        <f>IF('ORDENES'!$A673="","",IF('ORDENES'!$Y673="","-",'ORDENES'!$Y673))</f>
        <v/>
      </c>
      <c r="H695" s="5">
        <f>IF('ORDENES'!$A673="","",IF('ORDENES'!$AG673="","-",'ORDENES'!$AG673))</f>
        <v/>
      </c>
      <c r="I695" s="5">
        <f>IF('ORDENES'!$A673="","",IF('ORDENES'!$AT673="","-",'ORDENES'!$AT673))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20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IF('ORDENES'!$A673="","",'ORDENES'!$AF673)</f>
        <v/>
      </c>
    </row>
    <row r="696">
      <c r="A696" s="5">
        <f>IF('ORDENES'!$A674="","",IF('ORDENES'!$O674="","-",'ORDENES'!$O674))</f>
        <v/>
      </c>
      <c r="B696" s="5">
        <f>IF('ORDENES'!$A674="","",IF('ORDENES'!$S674="","-",'ORDENES'!$S674))</f>
        <v/>
      </c>
      <c r="C696" s="5">
        <f>IF('ORDENES'!$A674="","",IF('ORDENES'!$AH674="","-",'ORDENES'!$AH674))</f>
        <v/>
      </c>
      <c r="D696" s="5">
        <f>IF('ORDENES'!$A674="","",IF('ORDENES'!$Z674="","-",'ORDENES'!$Z674))</f>
        <v/>
      </c>
      <c r="E696" s="5">
        <f>IF('ORDENES'!$A674="","",IF('ORDENES'!$X674="","-",'ORDENES'!$X674))</f>
        <v/>
      </c>
      <c r="F696" s="5">
        <f>IF('ORDENES'!$A674="","",IF('ORDENES'!$AA674="","-",'ORDENES'!$AA674))</f>
        <v/>
      </c>
      <c r="G696" s="5">
        <f>IF('ORDENES'!$A674="","",IF('ORDENES'!$Y674="","-",'ORDENES'!$Y674))</f>
        <v/>
      </c>
      <c r="H696" s="5">
        <f>IF('ORDENES'!$A674="","",IF('ORDENES'!$AG674="","-",'ORDENES'!$AG674))</f>
        <v/>
      </c>
      <c r="I696" s="5">
        <f>IF('ORDENES'!$A674="","",IF('ORDENES'!$AT674="","-",'ORDENES'!$AT674))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20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IF('ORDENES'!$A674="","",'ORDENES'!$AF674)</f>
        <v/>
      </c>
    </row>
    <row r="697">
      <c r="A697" s="5">
        <f>IF('ORDENES'!$A675="","",IF('ORDENES'!$O675="","-",'ORDENES'!$O675))</f>
        <v/>
      </c>
      <c r="B697" s="5">
        <f>IF('ORDENES'!$A675="","",IF('ORDENES'!$S675="","-",'ORDENES'!$S675))</f>
        <v/>
      </c>
      <c r="C697" s="5">
        <f>IF('ORDENES'!$A675="","",IF('ORDENES'!$AH675="","-",'ORDENES'!$AH675))</f>
        <v/>
      </c>
      <c r="D697" s="5">
        <f>IF('ORDENES'!$A675="","",IF('ORDENES'!$Z675="","-",'ORDENES'!$Z675))</f>
        <v/>
      </c>
      <c r="E697" s="5">
        <f>IF('ORDENES'!$A675="","",IF('ORDENES'!$X675="","-",'ORDENES'!$X675))</f>
        <v/>
      </c>
      <c r="F697" s="5">
        <f>IF('ORDENES'!$A675="","",IF('ORDENES'!$AA675="","-",'ORDENES'!$AA675))</f>
        <v/>
      </c>
      <c r="G697" s="5">
        <f>IF('ORDENES'!$A675="","",IF('ORDENES'!$Y675="","-",'ORDENES'!$Y675))</f>
        <v/>
      </c>
      <c r="H697" s="5">
        <f>IF('ORDENES'!$A675="","",IF('ORDENES'!$AG675="","-",'ORDENES'!$AG675))</f>
        <v/>
      </c>
      <c r="I697" s="5">
        <f>IF('ORDENES'!$A675="","",IF('ORDENES'!$AT675="","-",'ORDENES'!$AT675))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20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IF('ORDENES'!$A675="","",'ORDENES'!$AF675)</f>
        <v/>
      </c>
    </row>
    <row r="698">
      <c r="A698" s="5">
        <f>IF('ORDENES'!$A676="","",IF('ORDENES'!$O676="","-",'ORDENES'!$O676))</f>
        <v/>
      </c>
      <c r="B698" s="5">
        <f>IF('ORDENES'!$A676="","",IF('ORDENES'!$S676="","-",'ORDENES'!$S676))</f>
        <v/>
      </c>
      <c r="C698" s="5">
        <f>IF('ORDENES'!$A676="","",IF('ORDENES'!$AH676="","-",'ORDENES'!$AH676))</f>
        <v/>
      </c>
      <c r="D698" s="5">
        <f>IF('ORDENES'!$A676="","",IF('ORDENES'!$Z676="","-",'ORDENES'!$Z676))</f>
        <v/>
      </c>
      <c r="E698" s="5">
        <f>IF('ORDENES'!$A676="","",IF('ORDENES'!$X676="","-",'ORDENES'!$X676))</f>
        <v/>
      </c>
      <c r="F698" s="5">
        <f>IF('ORDENES'!$A676="","",IF('ORDENES'!$AA676="","-",'ORDENES'!$AA676))</f>
        <v/>
      </c>
      <c r="G698" s="5">
        <f>IF('ORDENES'!$A676="","",IF('ORDENES'!$Y676="","-",'ORDENES'!$Y676))</f>
        <v/>
      </c>
      <c r="H698" s="5">
        <f>IF('ORDENES'!$A676="","",IF('ORDENES'!$AG676="","-",'ORDENES'!$AG676))</f>
        <v/>
      </c>
      <c r="I698" s="5">
        <f>IF('ORDENES'!$A676="","",IF('ORDENES'!$AT676="","-",'ORDENES'!$AT676))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20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IF('ORDENES'!$A676="","",'ORDENES'!$AF676)</f>
        <v/>
      </c>
    </row>
    <row r="699">
      <c r="A699" s="5">
        <f>IF('ORDENES'!$A677="","",IF('ORDENES'!$O677="","-",'ORDENES'!$O677))</f>
        <v/>
      </c>
      <c r="B699" s="5">
        <f>IF('ORDENES'!$A677="","",IF('ORDENES'!$S677="","-",'ORDENES'!$S677))</f>
        <v/>
      </c>
      <c r="C699" s="5">
        <f>IF('ORDENES'!$A677="","",IF('ORDENES'!$AH677="","-",'ORDENES'!$AH677))</f>
        <v/>
      </c>
      <c r="D699" s="5">
        <f>IF('ORDENES'!$A677="","",IF('ORDENES'!$Z677="","-",'ORDENES'!$Z677))</f>
        <v/>
      </c>
      <c r="E699" s="5">
        <f>IF('ORDENES'!$A677="","",IF('ORDENES'!$X677="","-",'ORDENES'!$X677))</f>
        <v/>
      </c>
      <c r="F699" s="5">
        <f>IF('ORDENES'!$A677="","",IF('ORDENES'!$AA677="","-",'ORDENES'!$AA677))</f>
        <v/>
      </c>
      <c r="G699" s="5">
        <f>IF('ORDENES'!$A677="","",IF('ORDENES'!$Y677="","-",'ORDENES'!$Y677))</f>
        <v/>
      </c>
      <c r="H699" s="5">
        <f>IF('ORDENES'!$A677="","",IF('ORDENES'!$AG677="","-",'ORDENES'!$AG677))</f>
        <v/>
      </c>
      <c r="I699" s="5">
        <f>IF('ORDENES'!$A677="","",IF('ORDENES'!$AT677="","-",'ORDENES'!$AT677))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20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IF('ORDENES'!$A677="","",'ORDENES'!$AF677)</f>
        <v/>
      </c>
    </row>
    <row r="700">
      <c r="A700" s="5">
        <f>IF('ORDENES'!$A678="","",IF('ORDENES'!$O678="","-",'ORDENES'!$O678))</f>
        <v/>
      </c>
      <c r="B700" s="5">
        <f>IF('ORDENES'!$A678="","",IF('ORDENES'!$S678="","-",'ORDENES'!$S678))</f>
        <v/>
      </c>
      <c r="C700" s="5">
        <f>IF('ORDENES'!$A678="","",IF('ORDENES'!$AH678="","-",'ORDENES'!$AH678))</f>
        <v/>
      </c>
      <c r="D700" s="5">
        <f>IF('ORDENES'!$A678="","",IF('ORDENES'!$Z678="","-",'ORDENES'!$Z678))</f>
        <v/>
      </c>
      <c r="E700" s="5">
        <f>IF('ORDENES'!$A678="","",IF('ORDENES'!$X678="","-",'ORDENES'!$X678))</f>
        <v/>
      </c>
      <c r="F700" s="5">
        <f>IF('ORDENES'!$A678="","",IF('ORDENES'!$AA678="","-",'ORDENES'!$AA678))</f>
        <v/>
      </c>
      <c r="G700" s="5">
        <f>IF('ORDENES'!$A678="","",IF('ORDENES'!$Y678="","-",'ORDENES'!$Y678))</f>
        <v/>
      </c>
      <c r="H700" s="5">
        <f>IF('ORDENES'!$A678="","",IF('ORDENES'!$AG678="","-",'ORDENES'!$AG678))</f>
        <v/>
      </c>
      <c r="I700" s="5">
        <f>IF('ORDENES'!$A678="","",IF('ORDENES'!$AT678="","-",'ORDENES'!$AT678))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20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IF('ORDENES'!$A678="","",'ORDENES'!$AF678)</f>
        <v/>
      </c>
    </row>
    <row r="701">
      <c r="A701" s="5">
        <f>IF('ORDENES'!$A679="","",IF('ORDENES'!$O679="","-",'ORDENES'!$O679))</f>
        <v/>
      </c>
      <c r="B701" s="5">
        <f>IF('ORDENES'!$A679="","",IF('ORDENES'!$S679="","-",'ORDENES'!$S679))</f>
        <v/>
      </c>
      <c r="C701" s="5">
        <f>IF('ORDENES'!$A679="","",IF('ORDENES'!$AH679="","-",'ORDENES'!$AH679))</f>
        <v/>
      </c>
      <c r="D701" s="5">
        <f>IF('ORDENES'!$A679="","",IF('ORDENES'!$Z679="","-",'ORDENES'!$Z679))</f>
        <v/>
      </c>
      <c r="E701" s="5">
        <f>IF('ORDENES'!$A679="","",IF('ORDENES'!$X679="","-",'ORDENES'!$X679))</f>
        <v/>
      </c>
      <c r="F701" s="5">
        <f>IF('ORDENES'!$A679="","",IF('ORDENES'!$AA679="","-",'ORDENES'!$AA679))</f>
        <v/>
      </c>
      <c r="G701" s="5">
        <f>IF('ORDENES'!$A679="","",IF('ORDENES'!$Y679="","-",'ORDENES'!$Y679))</f>
        <v/>
      </c>
      <c r="H701" s="5">
        <f>IF('ORDENES'!$A679="","",IF('ORDENES'!$AG679="","-",'ORDENES'!$AG679))</f>
        <v/>
      </c>
      <c r="I701" s="5">
        <f>IF('ORDENES'!$A679="","",IF('ORDENES'!$AT679="","-",'ORDENES'!$AT679))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20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IF('ORDENES'!$A679="","",'ORDENES'!$AF679)</f>
        <v/>
      </c>
    </row>
    <row r="702">
      <c r="A702" s="5">
        <f>IF('ORDENES'!$A680="","",IF('ORDENES'!$O680="","-",'ORDENES'!$O680))</f>
        <v/>
      </c>
      <c r="B702" s="5">
        <f>IF('ORDENES'!$A680="","",IF('ORDENES'!$S680="","-",'ORDENES'!$S680))</f>
        <v/>
      </c>
      <c r="C702" s="5">
        <f>IF('ORDENES'!$A680="","",IF('ORDENES'!$AH680="","-",'ORDENES'!$AH680))</f>
        <v/>
      </c>
      <c r="D702" s="5">
        <f>IF('ORDENES'!$A680="","",IF('ORDENES'!$Z680="","-",'ORDENES'!$Z680))</f>
        <v/>
      </c>
      <c r="E702" s="5">
        <f>IF('ORDENES'!$A680="","",IF('ORDENES'!$X680="","-",'ORDENES'!$X680))</f>
        <v/>
      </c>
      <c r="F702" s="5">
        <f>IF('ORDENES'!$A680="","",IF('ORDENES'!$AA680="","-",'ORDENES'!$AA680))</f>
        <v/>
      </c>
      <c r="G702" s="5">
        <f>IF('ORDENES'!$A680="","",IF('ORDENES'!$Y680="","-",'ORDENES'!$Y680))</f>
        <v/>
      </c>
      <c r="H702" s="5">
        <f>IF('ORDENES'!$A680="","",IF('ORDENES'!$AG680="","-",'ORDENES'!$AG680))</f>
        <v/>
      </c>
      <c r="I702" s="5">
        <f>IF('ORDENES'!$A680="","",IF('ORDENES'!$AT680="","-",'ORDENES'!$AT680))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20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IF('ORDENES'!$A680="","",'ORDENES'!$AF680)</f>
        <v/>
      </c>
    </row>
    <row r="703">
      <c r="A703" s="5">
        <f>IF('ORDENES'!$A681="","",IF('ORDENES'!$O681="","-",'ORDENES'!$O681))</f>
        <v/>
      </c>
      <c r="B703" s="5">
        <f>IF('ORDENES'!$A681="","",IF('ORDENES'!$S681="","-",'ORDENES'!$S681))</f>
        <v/>
      </c>
      <c r="C703" s="5">
        <f>IF('ORDENES'!$A681="","",IF('ORDENES'!$AH681="","-",'ORDENES'!$AH681))</f>
        <v/>
      </c>
      <c r="D703" s="5">
        <f>IF('ORDENES'!$A681="","",IF('ORDENES'!$Z681="","-",'ORDENES'!$Z681))</f>
        <v/>
      </c>
      <c r="E703" s="5">
        <f>IF('ORDENES'!$A681="","",IF('ORDENES'!$X681="","-",'ORDENES'!$X681))</f>
        <v/>
      </c>
      <c r="F703" s="5">
        <f>IF('ORDENES'!$A681="","",IF('ORDENES'!$AA681="","-",'ORDENES'!$AA681))</f>
        <v/>
      </c>
      <c r="G703" s="5">
        <f>IF('ORDENES'!$A681="","",IF('ORDENES'!$Y681="","-",'ORDENES'!$Y681))</f>
        <v/>
      </c>
      <c r="H703" s="5">
        <f>IF('ORDENES'!$A681="","",IF('ORDENES'!$AG681="","-",'ORDENES'!$AG681))</f>
        <v/>
      </c>
      <c r="I703" s="5">
        <f>IF('ORDENES'!$A681="","",IF('ORDENES'!$AT681="","-",'ORDENES'!$AT681))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20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IF('ORDENES'!$A681="","",'ORDENES'!$AF681)</f>
        <v/>
      </c>
    </row>
    <row r="704">
      <c r="A704" s="5">
        <f>IF('ORDENES'!$A682="","",IF('ORDENES'!$O682="","-",'ORDENES'!$O682))</f>
        <v/>
      </c>
      <c r="B704" s="5">
        <f>IF('ORDENES'!$A682="","",IF('ORDENES'!$S682="","-",'ORDENES'!$S682))</f>
        <v/>
      </c>
      <c r="C704" s="5">
        <f>IF('ORDENES'!$A682="","",IF('ORDENES'!$AH682="","-",'ORDENES'!$AH682))</f>
        <v/>
      </c>
      <c r="D704" s="5">
        <f>IF('ORDENES'!$A682="","",IF('ORDENES'!$Z682="","-",'ORDENES'!$Z682))</f>
        <v/>
      </c>
      <c r="E704" s="5">
        <f>IF('ORDENES'!$A682="","",IF('ORDENES'!$X682="","-",'ORDENES'!$X682))</f>
        <v/>
      </c>
      <c r="F704" s="5">
        <f>IF('ORDENES'!$A682="","",IF('ORDENES'!$AA682="","-",'ORDENES'!$AA682))</f>
        <v/>
      </c>
      <c r="G704" s="5">
        <f>IF('ORDENES'!$A682="","",IF('ORDENES'!$Y682="","-",'ORDENES'!$Y682))</f>
        <v/>
      </c>
      <c r="H704" s="5">
        <f>IF('ORDENES'!$A682="","",IF('ORDENES'!$AG682="","-",'ORDENES'!$AG682))</f>
        <v/>
      </c>
      <c r="I704" s="5">
        <f>IF('ORDENES'!$A682="","",IF('ORDENES'!$AT682="","-",'ORDENES'!$AT682))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20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IF('ORDENES'!$A682="","",'ORDENES'!$AF682)</f>
        <v/>
      </c>
    </row>
    <row r="705">
      <c r="A705" s="5">
        <f>IF('ORDENES'!$A683="","",IF('ORDENES'!$O683="","-",'ORDENES'!$O683))</f>
        <v/>
      </c>
      <c r="B705" s="5">
        <f>IF('ORDENES'!$A683="","",IF('ORDENES'!$S683="","-",'ORDENES'!$S683))</f>
        <v/>
      </c>
      <c r="C705" s="5">
        <f>IF('ORDENES'!$A683="","",IF('ORDENES'!$AH683="","-",'ORDENES'!$AH683))</f>
        <v/>
      </c>
      <c r="D705" s="5">
        <f>IF('ORDENES'!$A683="","",IF('ORDENES'!$Z683="","-",'ORDENES'!$Z683))</f>
        <v/>
      </c>
      <c r="E705" s="5">
        <f>IF('ORDENES'!$A683="","",IF('ORDENES'!$X683="","-",'ORDENES'!$X683))</f>
        <v/>
      </c>
      <c r="F705" s="5">
        <f>IF('ORDENES'!$A683="","",IF('ORDENES'!$AA683="","-",'ORDENES'!$AA683))</f>
        <v/>
      </c>
      <c r="G705" s="5">
        <f>IF('ORDENES'!$A683="","",IF('ORDENES'!$Y683="","-",'ORDENES'!$Y683))</f>
        <v/>
      </c>
      <c r="H705" s="5">
        <f>IF('ORDENES'!$A683="","",IF('ORDENES'!$AG683="","-",'ORDENES'!$AG683))</f>
        <v/>
      </c>
      <c r="I705" s="5">
        <f>IF('ORDENES'!$A683="","",IF('ORDENES'!$AT683="","-",'ORDENES'!$AT683))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20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IF('ORDENES'!$A683="","",'ORDENES'!$AF683)</f>
        <v/>
      </c>
    </row>
    <row r="706">
      <c r="A706" s="5">
        <f>IF('ORDENES'!$A684="","",IF('ORDENES'!$O684="","-",'ORDENES'!$O684))</f>
        <v/>
      </c>
      <c r="B706" s="5">
        <f>IF('ORDENES'!$A684="","",IF('ORDENES'!$S684="","-",'ORDENES'!$S684))</f>
        <v/>
      </c>
      <c r="C706" s="5">
        <f>IF('ORDENES'!$A684="","",IF('ORDENES'!$AH684="","-",'ORDENES'!$AH684))</f>
        <v/>
      </c>
      <c r="D706" s="5">
        <f>IF('ORDENES'!$A684="","",IF('ORDENES'!$Z684="","-",'ORDENES'!$Z684))</f>
        <v/>
      </c>
      <c r="E706" s="5">
        <f>IF('ORDENES'!$A684="","",IF('ORDENES'!$X684="","-",'ORDENES'!$X684))</f>
        <v/>
      </c>
      <c r="F706" s="5">
        <f>IF('ORDENES'!$A684="","",IF('ORDENES'!$AA684="","-",'ORDENES'!$AA684))</f>
        <v/>
      </c>
      <c r="G706" s="5">
        <f>IF('ORDENES'!$A684="","",IF('ORDENES'!$Y684="","-",'ORDENES'!$Y684))</f>
        <v/>
      </c>
      <c r="H706" s="5">
        <f>IF('ORDENES'!$A684="","",IF('ORDENES'!$AG684="","-",'ORDENES'!$AG684))</f>
        <v/>
      </c>
      <c r="I706" s="5">
        <f>IF('ORDENES'!$A684="","",IF('ORDENES'!$AT684="","-",'ORDENES'!$AT684))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20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IF('ORDENES'!$A684="","",'ORDENES'!$AF684)</f>
        <v/>
      </c>
    </row>
    <row r="707">
      <c r="A707" s="5">
        <f>IF('ORDENES'!$A685="","",IF('ORDENES'!$O685="","-",'ORDENES'!$O685))</f>
        <v/>
      </c>
      <c r="B707" s="5">
        <f>IF('ORDENES'!$A685="","",IF('ORDENES'!$S685="","-",'ORDENES'!$S685))</f>
        <v/>
      </c>
      <c r="C707" s="5">
        <f>IF('ORDENES'!$A685="","",IF('ORDENES'!$AH685="","-",'ORDENES'!$AH685))</f>
        <v/>
      </c>
      <c r="D707" s="5">
        <f>IF('ORDENES'!$A685="","",IF('ORDENES'!$Z685="","-",'ORDENES'!$Z685))</f>
        <v/>
      </c>
      <c r="E707" s="5">
        <f>IF('ORDENES'!$A685="","",IF('ORDENES'!$X685="","-",'ORDENES'!$X685))</f>
        <v/>
      </c>
      <c r="F707" s="5">
        <f>IF('ORDENES'!$A685="","",IF('ORDENES'!$AA685="","-",'ORDENES'!$AA685))</f>
        <v/>
      </c>
      <c r="G707" s="5">
        <f>IF('ORDENES'!$A685="","",IF('ORDENES'!$Y685="","-",'ORDENES'!$Y685))</f>
        <v/>
      </c>
      <c r="H707" s="5">
        <f>IF('ORDENES'!$A685="","",IF('ORDENES'!$AG685="","-",'ORDENES'!$AG685))</f>
        <v/>
      </c>
      <c r="I707" s="5">
        <f>IF('ORDENES'!$A685="","",IF('ORDENES'!$AT685="","-",'ORDENES'!$AT685))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20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IF('ORDENES'!$A685="","",'ORDENES'!$AF685)</f>
        <v/>
      </c>
    </row>
    <row r="708">
      <c r="A708" s="5">
        <f>IF('ORDENES'!$A686="","",IF('ORDENES'!$O686="","-",'ORDENES'!$O686))</f>
        <v/>
      </c>
      <c r="B708" s="5">
        <f>IF('ORDENES'!$A686="","",IF('ORDENES'!$S686="","-",'ORDENES'!$S686))</f>
        <v/>
      </c>
      <c r="C708" s="5">
        <f>IF('ORDENES'!$A686="","",IF('ORDENES'!$AH686="","-",'ORDENES'!$AH686))</f>
        <v/>
      </c>
      <c r="D708" s="5">
        <f>IF('ORDENES'!$A686="","",IF('ORDENES'!$Z686="","-",'ORDENES'!$Z686))</f>
        <v/>
      </c>
      <c r="E708" s="5">
        <f>IF('ORDENES'!$A686="","",IF('ORDENES'!$X686="","-",'ORDENES'!$X686))</f>
        <v/>
      </c>
      <c r="F708" s="5">
        <f>IF('ORDENES'!$A686="","",IF('ORDENES'!$AA686="","-",'ORDENES'!$AA686))</f>
        <v/>
      </c>
      <c r="G708" s="5">
        <f>IF('ORDENES'!$A686="","",IF('ORDENES'!$Y686="","-",'ORDENES'!$Y686))</f>
        <v/>
      </c>
      <c r="H708" s="5">
        <f>IF('ORDENES'!$A686="","",IF('ORDENES'!$AG686="","-",'ORDENES'!$AG686))</f>
        <v/>
      </c>
      <c r="I708" s="5">
        <f>IF('ORDENES'!$A686="","",IF('ORDENES'!$AT686="","-",'ORDENES'!$AT686))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20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IF('ORDENES'!$A686="","",'ORDENES'!$AF686)</f>
        <v/>
      </c>
    </row>
    <row r="709">
      <c r="A709" s="5">
        <f>IF('ORDENES'!$A687="","",IF('ORDENES'!$O687="","-",'ORDENES'!$O687))</f>
        <v/>
      </c>
      <c r="B709" s="5">
        <f>IF('ORDENES'!$A687="","",IF('ORDENES'!$S687="","-",'ORDENES'!$S687))</f>
        <v/>
      </c>
      <c r="C709" s="5">
        <f>IF('ORDENES'!$A687="","",IF('ORDENES'!$AH687="","-",'ORDENES'!$AH687))</f>
        <v/>
      </c>
      <c r="D709" s="5">
        <f>IF('ORDENES'!$A687="","",IF('ORDENES'!$Z687="","-",'ORDENES'!$Z687))</f>
        <v/>
      </c>
      <c r="E709" s="5">
        <f>IF('ORDENES'!$A687="","",IF('ORDENES'!$X687="","-",'ORDENES'!$X687))</f>
        <v/>
      </c>
      <c r="F709" s="5">
        <f>IF('ORDENES'!$A687="","",IF('ORDENES'!$AA687="","-",'ORDENES'!$AA687))</f>
        <v/>
      </c>
      <c r="G709" s="5">
        <f>IF('ORDENES'!$A687="","",IF('ORDENES'!$Y687="","-",'ORDENES'!$Y687))</f>
        <v/>
      </c>
      <c r="H709" s="5">
        <f>IF('ORDENES'!$A687="","",IF('ORDENES'!$AG687="","-",'ORDENES'!$AG687))</f>
        <v/>
      </c>
      <c r="I709" s="5">
        <f>IF('ORDENES'!$A687="","",IF('ORDENES'!$AT687="","-",'ORDENES'!$AT687))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20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IF('ORDENES'!$A687="","",'ORDENES'!$AF687)</f>
        <v/>
      </c>
    </row>
    <row r="710">
      <c r="A710" s="5">
        <f>IF('ORDENES'!$A688="","",IF('ORDENES'!$O688="","-",'ORDENES'!$O688))</f>
        <v/>
      </c>
      <c r="B710" s="5">
        <f>IF('ORDENES'!$A688="","",IF('ORDENES'!$S688="","-",'ORDENES'!$S688))</f>
        <v/>
      </c>
      <c r="C710" s="5">
        <f>IF('ORDENES'!$A688="","",IF('ORDENES'!$AH688="","-",'ORDENES'!$AH688))</f>
        <v/>
      </c>
      <c r="D710" s="5">
        <f>IF('ORDENES'!$A688="","",IF('ORDENES'!$Z688="","-",'ORDENES'!$Z688))</f>
        <v/>
      </c>
      <c r="E710" s="5">
        <f>IF('ORDENES'!$A688="","",IF('ORDENES'!$X688="","-",'ORDENES'!$X688))</f>
        <v/>
      </c>
      <c r="F710" s="5">
        <f>IF('ORDENES'!$A688="","",IF('ORDENES'!$AA688="","-",'ORDENES'!$AA688))</f>
        <v/>
      </c>
      <c r="G710" s="5">
        <f>IF('ORDENES'!$A688="","",IF('ORDENES'!$Y688="","-",'ORDENES'!$Y688))</f>
        <v/>
      </c>
      <c r="H710" s="5">
        <f>IF('ORDENES'!$A688="","",IF('ORDENES'!$AG688="","-",'ORDENES'!$AG688))</f>
        <v/>
      </c>
      <c r="I710" s="5">
        <f>IF('ORDENES'!$A688="","",IF('ORDENES'!$AT688="","-",'ORDENES'!$AT688))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20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IF('ORDENES'!$A688="","",'ORDENES'!$AF688)</f>
        <v/>
      </c>
    </row>
    <row r="711">
      <c r="A711" s="5">
        <f>IF('ORDENES'!$A689="","",IF('ORDENES'!$O689="","-",'ORDENES'!$O689))</f>
        <v/>
      </c>
      <c r="B711" s="5">
        <f>IF('ORDENES'!$A689="","",IF('ORDENES'!$S689="","-",'ORDENES'!$S689))</f>
        <v/>
      </c>
      <c r="C711" s="5">
        <f>IF('ORDENES'!$A689="","",IF('ORDENES'!$AH689="","-",'ORDENES'!$AH689))</f>
        <v/>
      </c>
      <c r="D711" s="5">
        <f>IF('ORDENES'!$A689="","",IF('ORDENES'!$Z689="","-",'ORDENES'!$Z689))</f>
        <v/>
      </c>
      <c r="E711" s="5">
        <f>IF('ORDENES'!$A689="","",IF('ORDENES'!$X689="","-",'ORDENES'!$X689))</f>
        <v/>
      </c>
      <c r="F711" s="5">
        <f>IF('ORDENES'!$A689="","",IF('ORDENES'!$AA689="","-",'ORDENES'!$AA689))</f>
        <v/>
      </c>
      <c r="G711" s="5">
        <f>IF('ORDENES'!$A689="","",IF('ORDENES'!$Y689="","-",'ORDENES'!$Y689))</f>
        <v/>
      </c>
      <c r="H711" s="5">
        <f>IF('ORDENES'!$A689="","",IF('ORDENES'!$AG689="","-",'ORDENES'!$AG689))</f>
        <v/>
      </c>
      <c r="I711" s="5">
        <f>IF('ORDENES'!$A689="","",IF('ORDENES'!$AT689="","-",'ORDENES'!$AT689))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20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IF('ORDENES'!$A689="","",'ORDENES'!$AF689)</f>
        <v/>
      </c>
    </row>
    <row r="712">
      <c r="A712" s="5">
        <f>IF('ORDENES'!$A690="","",IF('ORDENES'!$O690="","-",'ORDENES'!$O690))</f>
        <v/>
      </c>
      <c r="B712" s="5">
        <f>IF('ORDENES'!$A690="","",IF('ORDENES'!$S690="","-",'ORDENES'!$S690))</f>
        <v/>
      </c>
      <c r="C712" s="5">
        <f>IF('ORDENES'!$A690="","",IF('ORDENES'!$AH690="","-",'ORDENES'!$AH690))</f>
        <v/>
      </c>
      <c r="D712" s="5">
        <f>IF('ORDENES'!$A690="","",IF('ORDENES'!$Z690="","-",'ORDENES'!$Z690))</f>
        <v/>
      </c>
      <c r="E712" s="5">
        <f>IF('ORDENES'!$A690="","",IF('ORDENES'!$X690="","-",'ORDENES'!$X690))</f>
        <v/>
      </c>
      <c r="F712" s="5">
        <f>IF('ORDENES'!$A690="","",IF('ORDENES'!$AA690="","-",'ORDENES'!$AA690))</f>
        <v/>
      </c>
      <c r="G712" s="5">
        <f>IF('ORDENES'!$A690="","",IF('ORDENES'!$Y690="","-",'ORDENES'!$Y690))</f>
        <v/>
      </c>
      <c r="H712" s="5">
        <f>IF('ORDENES'!$A690="","",IF('ORDENES'!$AG690="","-",'ORDENES'!$AG690))</f>
        <v/>
      </c>
      <c r="I712" s="5">
        <f>IF('ORDENES'!$A690="","",IF('ORDENES'!$AT690="","-",'ORDENES'!$AT690))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20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IF('ORDENES'!$A690="","",'ORDENES'!$AF690)</f>
        <v/>
      </c>
    </row>
    <row r="713">
      <c r="A713" s="5">
        <f>IF('ORDENES'!$A691="","",IF('ORDENES'!$O691="","-",'ORDENES'!$O691))</f>
        <v/>
      </c>
      <c r="B713" s="5">
        <f>IF('ORDENES'!$A691="","",IF('ORDENES'!$S691="","-",'ORDENES'!$S691))</f>
        <v/>
      </c>
      <c r="C713" s="5">
        <f>IF('ORDENES'!$A691="","",IF('ORDENES'!$AH691="","-",'ORDENES'!$AH691))</f>
        <v/>
      </c>
      <c r="D713" s="5">
        <f>IF('ORDENES'!$A691="","",IF('ORDENES'!$Z691="","-",'ORDENES'!$Z691))</f>
        <v/>
      </c>
      <c r="E713" s="5">
        <f>IF('ORDENES'!$A691="","",IF('ORDENES'!$X691="","-",'ORDENES'!$X691))</f>
        <v/>
      </c>
      <c r="F713" s="5">
        <f>IF('ORDENES'!$A691="","",IF('ORDENES'!$AA691="","-",'ORDENES'!$AA691))</f>
        <v/>
      </c>
      <c r="G713" s="5">
        <f>IF('ORDENES'!$A691="","",IF('ORDENES'!$Y691="","-",'ORDENES'!$Y691))</f>
        <v/>
      </c>
      <c r="H713" s="5">
        <f>IF('ORDENES'!$A691="","",IF('ORDENES'!$AG691="","-",'ORDENES'!$AG691))</f>
        <v/>
      </c>
      <c r="I713" s="5">
        <f>IF('ORDENES'!$A691="","",IF('ORDENES'!$AT691="","-",'ORDENES'!$AT691))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20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IF('ORDENES'!$A691="","",'ORDENES'!$AF691)</f>
        <v/>
      </c>
    </row>
    <row r="714">
      <c r="A714" s="5">
        <f>IF('ORDENES'!$A692="","",IF('ORDENES'!$O692="","-",'ORDENES'!$O692))</f>
        <v/>
      </c>
      <c r="B714" s="5">
        <f>IF('ORDENES'!$A692="","",IF('ORDENES'!$S692="","-",'ORDENES'!$S692))</f>
        <v/>
      </c>
      <c r="C714" s="5">
        <f>IF('ORDENES'!$A692="","",IF('ORDENES'!$AH692="","-",'ORDENES'!$AH692))</f>
        <v/>
      </c>
      <c r="D714" s="5">
        <f>IF('ORDENES'!$A692="","",IF('ORDENES'!$Z692="","-",'ORDENES'!$Z692))</f>
        <v/>
      </c>
      <c r="E714" s="5">
        <f>IF('ORDENES'!$A692="","",IF('ORDENES'!$X692="","-",'ORDENES'!$X692))</f>
        <v/>
      </c>
      <c r="F714" s="5">
        <f>IF('ORDENES'!$A692="","",IF('ORDENES'!$AA692="","-",'ORDENES'!$AA692))</f>
        <v/>
      </c>
      <c r="G714" s="5">
        <f>IF('ORDENES'!$A692="","",IF('ORDENES'!$Y692="","-",'ORDENES'!$Y692))</f>
        <v/>
      </c>
      <c r="H714" s="5">
        <f>IF('ORDENES'!$A692="","",IF('ORDENES'!$AG692="","-",'ORDENES'!$AG692))</f>
        <v/>
      </c>
      <c r="I714" s="5">
        <f>IF('ORDENES'!$A692="","",IF('ORDENES'!$AT692="","-",'ORDENES'!$AT692))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20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IF('ORDENES'!$A692="","",'ORDENES'!$AF692)</f>
        <v/>
      </c>
    </row>
    <row r="715">
      <c r="A715" s="5">
        <f>IF('ORDENES'!$A693="","",IF('ORDENES'!$O693="","-",'ORDENES'!$O693))</f>
        <v/>
      </c>
      <c r="B715" s="5">
        <f>IF('ORDENES'!$A693="","",IF('ORDENES'!$S693="","-",'ORDENES'!$S693))</f>
        <v/>
      </c>
      <c r="C715" s="5">
        <f>IF('ORDENES'!$A693="","",IF('ORDENES'!$AH693="","-",'ORDENES'!$AH693))</f>
        <v/>
      </c>
      <c r="D715" s="5">
        <f>IF('ORDENES'!$A693="","",IF('ORDENES'!$Z693="","-",'ORDENES'!$Z693))</f>
        <v/>
      </c>
      <c r="E715" s="5">
        <f>IF('ORDENES'!$A693="","",IF('ORDENES'!$X693="","-",'ORDENES'!$X693))</f>
        <v/>
      </c>
      <c r="F715" s="5">
        <f>IF('ORDENES'!$A693="","",IF('ORDENES'!$AA693="","-",'ORDENES'!$AA693))</f>
        <v/>
      </c>
      <c r="G715" s="5">
        <f>IF('ORDENES'!$A693="","",IF('ORDENES'!$Y693="","-",'ORDENES'!$Y693))</f>
        <v/>
      </c>
      <c r="H715" s="5">
        <f>IF('ORDENES'!$A693="","",IF('ORDENES'!$AG693="","-",'ORDENES'!$AG693))</f>
        <v/>
      </c>
      <c r="I715" s="5">
        <f>IF('ORDENES'!$A693="","",IF('ORDENES'!$AT693="","-",'ORDENES'!$AT693))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20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IF('ORDENES'!$A693="","",'ORDENES'!$AF693)</f>
        <v/>
      </c>
    </row>
    <row r="716">
      <c r="A716" s="5">
        <f>IF('ORDENES'!$A694="","",IF('ORDENES'!$O694="","-",'ORDENES'!$O694))</f>
        <v/>
      </c>
      <c r="B716" s="5">
        <f>IF('ORDENES'!$A694="","",IF('ORDENES'!$S694="","-",'ORDENES'!$S694))</f>
        <v/>
      </c>
      <c r="C716" s="5">
        <f>IF('ORDENES'!$A694="","",IF('ORDENES'!$AH694="","-",'ORDENES'!$AH694))</f>
        <v/>
      </c>
      <c r="D716" s="5">
        <f>IF('ORDENES'!$A694="","",IF('ORDENES'!$Z694="","-",'ORDENES'!$Z694))</f>
        <v/>
      </c>
      <c r="E716" s="5">
        <f>IF('ORDENES'!$A694="","",IF('ORDENES'!$X694="","-",'ORDENES'!$X694))</f>
        <v/>
      </c>
      <c r="F716" s="5">
        <f>IF('ORDENES'!$A694="","",IF('ORDENES'!$AA694="","-",'ORDENES'!$AA694))</f>
        <v/>
      </c>
      <c r="G716" s="5">
        <f>IF('ORDENES'!$A694="","",IF('ORDENES'!$Y694="","-",'ORDENES'!$Y694))</f>
        <v/>
      </c>
      <c r="H716" s="5">
        <f>IF('ORDENES'!$A694="","",IF('ORDENES'!$AG694="","-",'ORDENES'!$AG694))</f>
        <v/>
      </c>
      <c r="I716" s="5">
        <f>IF('ORDENES'!$A694="","",IF('ORDENES'!$AT694="","-",'ORDENES'!$AT694))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20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IF('ORDENES'!$A694="","",'ORDENES'!$AF694)</f>
        <v/>
      </c>
    </row>
    <row r="717">
      <c r="A717" s="5">
        <f>IF('ORDENES'!$A695="","",IF('ORDENES'!$O695="","-",'ORDENES'!$O695))</f>
        <v/>
      </c>
      <c r="B717" s="5">
        <f>IF('ORDENES'!$A695="","",IF('ORDENES'!$S695="","-",'ORDENES'!$S695))</f>
        <v/>
      </c>
      <c r="C717" s="5">
        <f>IF('ORDENES'!$A695="","",IF('ORDENES'!$AH695="","-",'ORDENES'!$AH695))</f>
        <v/>
      </c>
      <c r="D717" s="5">
        <f>IF('ORDENES'!$A695="","",IF('ORDENES'!$Z695="","-",'ORDENES'!$Z695))</f>
        <v/>
      </c>
      <c r="E717" s="5">
        <f>IF('ORDENES'!$A695="","",IF('ORDENES'!$X695="","-",'ORDENES'!$X695))</f>
        <v/>
      </c>
      <c r="F717" s="5">
        <f>IF('ORDENES'!$A695="","",IF('ORDENES'!$AA695="","-",'ORDENES'!$AA695))</f>
        <v/>
      </c>
      <c r="G717" s="5">
        <f>IF('ORDENES'!$A695="","",IF('ORDENES'!$Y695="","-",'ORDENES'!$Y695))</f>
        <v/>
      </c>
      <c r="H717" s="5">
        <f>IF('ORDENES'!$A695="","",IF('ORDENES'!$AG695="","-",'ORDENES'!$AG695))</f>
        <v/>
      </c>
      <c r="I717" s="5">
        <f>IF('ORDENES'!$A695="","",IF('ORDENES'!$AT695="","-",'ORDENES'!$AT695))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20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IF('ORDENES'!$A695="","",'ORDENES'!$AF695)</f>
        <v/>
      </c>
    </row>
    <row r="718">
      <c r="A718" s="5">
        <f>IF('ORDENES'!$A696="","",IF('ORDENES'!$O696="","-",'ORDENES'!$O696))</f>
        <v/>
      </c>
      <c r="B718" s="5">
        <f>IF('ORDENES'!$A696="","",IF('ORDENES'!$S696="","-",'ORDENES'!$S696))</f>
        <v/>
      </c>
      <c r="C718" s="5">
        <f>IF('ORDENES'!$A696="","",IF('ORDENES'!$AH696="","-",'ORDENES'!$AH696))</f>
        <v/>
      </c>
      <c r="D718" s="5">
        <f>IF('ORDENES'!$A696="","",IF('ORDENES'!$Z696="","-",'ORDENES'!$Z696))</f>
        <v/>
      </c>
      <c r="E718" s="5">
        <f>IF('ORDENES'!$A696="","",IF('ORDENES'!$X696="","-",'ORDENES'!$X696))</f>
        <v/>
      </c>
      <c r="F718" s="5">
        <f>IF('ORDENES'!$A696="","",IF('ORDENES'!$AA696="","-",'ORDENES'!$AA696))</f>
        <v/>
      </c>
      <c r="G718" s="5">
        <f>IF('ORDENES'!$A696="","",IF('ORDENES'!$Y696="","-",'ORDENES'!$Y696))</f>
        <v/>
      </c>
      <c r="H718" s="5">
        <f>IF('ORDENES'!$A696="","",IF('ORDENES'!$AG696="","-",'ORDENES'!$AG696))</f>
        <v/>
      </c>
      <c r="I718" s="5">
        <f>IF('ORDENES'!$A696="","",IF('ORDENES'!$AT696="","-",'ORDENES'!$AT696))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20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IF('ORDENES'!$A696="","",'ORDENES'!$AF696)</f>
        <v/>
      </c>
    </row>
    <row r="719">
      <c r="A719" s="5">
        <f>IF('ORDENES'!$A697="","",IF('ORDENES'!$O697="","-",'ORDENES'!$O697))</f>
        <v/>
      </c>
      <c r="B719" s="5">
        <f>IF('ORDENES'!$A697="","",IF('ORDENES'!$S697="","-",'ORDENES'!$S697))</f>
        <v/>
      </c>
      <c r="C719" s="5">
        <f>IF('ORDENES'!$A697="","",IF('ORDENES'!$AH697="","-",'ORDENES'!$AH697))</f>
        <v/>
      </c>
      <c r="D719" s="5">
        <f>IF('ORDENES'!$A697="","",IF('ORDENES'!$Z697="","-",'ORDENES'!$Z697))</f>
        <v/>
      </c>
      <c r="E719" s="5">
        <f>IF('ORDENES'!$A697="","",IF('ORDENES'!$X697="","-",'ORDENES'!$X697))</f>
        <v/>
      </c>
      <c r="F719" s="5">
        <f>IF('ORDENES'!$A697="","",IF('ORDENES'!$AA697="","-",'ORDENES'!$AA697))</f>
        <v/>
      </c>
      <c r="G719" s="5">
        <f>IF('ORDENES'!$A697="","",IF('ORDENES'!$Y697="","-",'ORDENES'!$Y697))</f>
        <v/>
      </c>
      <c r="H719" s="5">
        <f>IF('ORDENES'!$A697="","",IF('ORDENES'!$AG697="","-",'ORDENES'!$AG697))</f>
        <v/>
      </c>
      <c r="I719" s="5">
        <f>IF('ORDENES'!$A697="","",IF('ORDENES'!$AT697="","-",'ORDENES'!$AT697))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20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IF('ORDENES'!$A697="","",'ORDENES'!$AF697)</f>
        <v/>
      </c>
    </row>
    <row r="720">
      <c r="A720" s="5">
        <f>IF('ORDENES'!$A698="","",IF('ORDENES'!$O698="","-",'ORDENES'!$O698))</f>
        <v/>
      </c>
      <c r="B720" s="5">
        <f>IF('ORDENES'!$A698="","",IF('ORDENES'!$S698="","-",'ORDENES'!$S698))</f>
        <v/>
      </c>
      <c r="C720" s="5">
        <f>IF('ORDENES'!$A698="","",IF('ORDENES'!$AH698="","-",'ORDENES'!$AH698))</f>
        <v/>
      </c>
      <c r="D720" s="5">
        <f>IF('ORDENES'!$A698="","",IF('ORDENES'!$Z698="","-",'ORDENES'!$Z698))</f>
        <v/>
      </c>
      <c r="E720" s="5">
        <f>IF('ORDENES'!$A698="","",IF('ORDENES'!$X698="","-",'ORDENES'!$X698))</f>
        <v/>
      </c>
      <c r="F720" s="5">
        <f>IF('ORDENES'!$A698="","",IF('ORDENES'!$AA698="","-",'ORDENES'!$AA698))</f>
        <v/>
      </c>
      <c r="G720" s="5">
        <f>IF('ORDENES'!$A698="","",IF('ORDENES'!$Y698="","-",'ORDENES'!$Y698))</f>
        <v/>
      </c>
      <c r="H720" s="5">
        <f>IF('ORDENES'!$A698="","",IF('ORDENES'!$AG698="","-",'ORDENES'!$AG698))</f>
        <v/>
      </c>
      <c r="I720" s="5">
        <f>IF('ORDENES'!$A698="","",IF('ORDENES'!$AT698="","-",'ORDENES'!$AT698))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20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IF('ORDENES'!$A698="","",'ORDENES'!$AF698)</f>
        <v/>
      </c>
    </row>
    <row r="721">
      <c r="A721" s="5">
        <f>IF('ORDENES'!$A699="","",IF('ORDENES'!$O699="","-",'ORDENES'!$O699))</f>
        <v/>
      </c>
      <c r="B721" s="5">
        <f>IF('ORDENES'!$A699="","",IF('ORDENES'!$S699="","-",'ORDENES'!$S699))</f>
        <v/>
      </c>
      <c r="C721" s="5">
        <f>IF('ORDENES'!$A699="","",IF('ORDENES'!$AH699="","-",'ORDENES'!$AH699))</f>
        <v/>
      </c>
      <c r="D721" s="5">
        <f>IF('ORDENES'!$A699="","",IF('ORDENES'!$Z699="","-",'ORDENES'!$Z699))</f>
        <v/>
      </c>
      <c r="E721" s="5">
        <f>IF('ORDENES'!$A699="","",IF('ORDENES'!$X699="","-",'ORDENES'!$X699))</f>
        <v/>
      </c>
      <c r="F721" s="5">
        <f>IF('ORDENES'!$A699="","",IF('ORDENES'!$AA699="","-",'ORDENES'!$AA699))</f>
        <v/>
      </c>
      <c r="G721" s="5">
        <f>IF('ORDENES'!$A699="","",IF('ORDENES'!$Y699="","-",'ORDENES'!$Y699))</f>
        <v/>
      </c>
      <c r="H721" s="5">
        <f>IF('ORDENES'!$A699="","",IF('ORDENES'!$AG699="","-",'ORDENES'!$AG699))</f>
        <v/>
      </c>
      <c r="I721" s="5">
        <f>IF('ORDENES'!$A699="","",IF('ORDENES'!$AT699="","-",'ORDENES'!$AT699))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20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IF('ORDENES'!$A699="","",'ORDENES'!$AF699)</f>
        <v/>
      </c>
    </row>
    <row r="722">
      <c r="A722" s="5">
        <f>IF('ORDENES'!$A700="","",IF('ORDENES'!$O700="","-",'ORDENES'!$O700))</f>
        <v/>
      </c>
      <c r="B722" s="5">
        <f>IF('ORDENES'!$A700="","",IF('ORDENES'!$S700="","-",'ORDENES'!$S700))</f>
        <v/>
      </c>
      <c r="C722" s="5">
        <f>IF('ORDENES'!$A700="","",IF('ORDENES'!$AH700="","-",'ORDENES'!$AH700))</f>
        <v/>
      </c>
      <c r="D722" s="5">
        <f>IF('ORDENES'!$A700="","",IF('ORDENES'!$Z700="","-",'ORDENES'!$Z700))</f>
        <v/>
      </c>
      <c r="E722" s="5">
        <f>IF('ORDENES'!$A700="","",IF('ORDENES'!$X700="","-",'ORDENES'!$X700))</f>
        <v/>
      </c>
      <c r="F722" s="5">
        <f>IF('ORDENES'!$A700="","",IF('ORDENES'!$AA700="","-",'ORDENES'!$AA700))</f>
        <v/>
      </c>
      <c r="G722" s="5">
        <f>IF('ORDENES'!$A700="","",IF('ORDENES'!$Y700="","-",'ORDENES'!$Y700))</f>
        <v/>
      </c>
      <c r="H722" s="5">
        <f>IF('ORDENES'!$A700="","",IF('ORDENES'!$AG700="","-",'ORDENES'!$AG700))</f>
        <v/>
      </c>
      <c r="I722" s="5">
        <f>IF('ORDENES'!$A700="","",IF('ORDENES'!$AT700="","-",'ORDENES'!$AT700))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20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IF('ORDENES'!$A700="","",'ORDENES'!$AF700)</f>
        <v/>
      </c>
    </row>
    <row r="723">
      <c r="A723" s="5">
        <f>IF('ORDENES'!$A701="","",IF('ORDENES'!$O701="","-",'ORDENES'!$O701))</f>
        <v/>
      </c>
      <c r="B723" s="5">
        <f>IF('ORDENES'!$A701="","",IF('ORDENES'!$S701="","-",'ORDENES'!$S701))</f>
        <v/>
      </c>
      <c r="C723" s="5">
        <f>IF('ORDENES'!$A701="","",IF('ORDENES'!$AH701="","-",'ORDENES'!$AH701))</f>
        <v/>
      </c>
      <c r="D723" s="5">
        <f>IF('ORDENES'!$A701="","",IF('ORDENES'!$Z701="","-",'ORDENES'!$Z701))</f>
        <v/>
      </c>
      <c r="E723" s="5">
        <f>IF('ORDENES'!$A701="","",IF('ORDENES'!$X701="","-",'ORDENES'!$X701))</f>
        <v/>
      </c>
      <c r="F723" s="5">
        <f>IF('ORDENES'!$A701="","",IF('ORDENES'!$AA701="","-",'ORDENES'!$AA701))</f>
        <v/>
      </c>
      <c r="G723" s="5">
        <f>IF('ORDENES'!$A701="","",IF('ORDENES'!$Y701="","-",'ORDENES'!$Y701))</f>
        <v/>
      </c>
      <c r="H723" s="5">
        <f>IF('ORDENES'!$A701="","",IF('ORDENES'!$AG701="","-",'ORDENES'!$AG701))</f>
        <v/>
      </c>
      <c r="I723" s="5">
        <f>IF('ORDENES'!$A701="","",IF('ORDENES'!$AT701="","-",'ORDENES'!$AT701))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20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IF('ORDENES'!$A701="","",'ORDENES'!$AF701)</f>
        <v/>
      </c>
    </row>
    <row r="724">
      <c r="A724" s="5">
        <f>IF('ORDENES'!$A702="","",IF('ORDENES'!$O702="","-",'ORDENES'!$O702))</f>
        <v/>
      </c>
      <c r="B724" s="5">
        <f>IF('ORDENES'!$A702="","",IF('ORDENES'!$S702="","-",'ORDENES'!$S702))</f>
        <v/>
      </c>
      <c r="C724" s="5">
        <f>IF('ORDENES'!$A702="","",IF('ORDENES'!$AH702="","-",'ORDENES'!$AH702))</f>
        <v/>
      </c>
      <c r="D724" s="5">
        <f>IF('ORDENES'!$A702="","",IF('ORDENES'!$Z702="","-",'ORDENES'!$Z702))</f>
        <v/>
      </c>
      <c r="E724" s="5">
        <f>IF('ORDENES'!$A702="","",IF('ORDENES'!$X702="","-",'ORDENES'!$X702))</f>
        <v/>
      </c>
      <c r="F724" s="5">
        <f>IF('ORDENES'!$A702="","",IF('ORDENES'!$AA702="","-",'ORDENES'!$AA702))</f>
        <v/>
      </c>
      <c r="G724" s="5">
        <f>IF('ORDENES'!$A702="","",IF('ORDENES'!$Y702="","-",'ORDENES'!$Y702))</f>
        <v/>
      </c>
      <c r="H724" s="5">
        <f>IF('ORDENES'!$A702="","",IF('ORDENES'!$AG702="","-",'ORDENES'!$AG702))</f>
        <v/>
      </c>
      <c r="I724" s="5">
        <f>IF('ORDENES'!$A702="","",IF('ORDENES'!$AT702="","-",'ORDENES'!$AT702))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20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IF('ORDENES'!$A702="","",'ORDENES'!$AF702)</f>
        <v/>
      </c>
    </row>
    <row r="725">
      <c r="A725" s="5">
        <f>IF('ORDENES'!$A703="","",IF('ORDENES'!$O703="","-",'ORDENES'!$O703))</f>
        <v/>
      </c>
      <c r="B725" s="5">
        <f>IF('ORDENES'!$A703="","",IF('ORDENES'!$S703="","-",'ORDENES'!$S703))</f>
        <v/>
      </c>
      <c r="C725" s="5">
        <f>IF('ORDENES'!$A703="","",IF('ORDENES'!$AH703="","-",'ORDENES'!$AH703))</f>
        <v/>
      </c>
      <c r="D725" s="5">
        <f>IF('ORDENES'!$A703="","",IF('ORDENES'!$Z703="","-",'ORDENES'!$Z703))</f>
        <v/>
      </c>
      <c r="E725" s="5">
        <f>IF('ORDENES'!$A703="","",IF('ORDENES'!$X703="","-",'ORDENES'!$X703))</f>
        <v/>
      </c>
      <c r="F725" s="5">
        <f>IF('ORDENES'!$A703="","",IF('ORDENES'!$AA703="","-",'ORDENES'!$AA703))</f>
        <v/>
      </c>
      <c r="G725" s="5">
        <f>IF('ORDENES'!$A703="","",IF('ORDENES'!$Y703="","-",'ORDENES'!$Y703))</f>
        <v/>
      </c>
      <c r="H725" s="5">
        <f>IF('ORDENES'!$A703="","",IF('ORDENES'!$AG703="","-",'ORDENES'!$AG703))</f>
        <v/>
      </c>
      <c r="I725" s="5">
        <f>IF('ORDENES'!$A703="","",IF('ORDENES'!$AT703="","-",'ORDENES'!$AT703))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20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IF('ORDENES'!$A703="","",'ORDENES'!$AF703)</f>
        <v/>
      </c>
    </row>
    <row r="726">
      <c r="A726" s="5">
        <f>IF('ORDENES'!$A704="","",IF('ORDENES'!$O704="","-",'ORDENES'!$O704))</f>
        <v/>
      </c>
      <c r="B726" s="5">
        <f>IF('ORDENES'!$A704="","",IF('ORDENES'!$S704="","-",'ORDENES'!$S704))</f>
        <v/>
      </c>
      <c r="C726" s="5">
        <f>IF('ORDENES'!$A704="","",IF('ORDENES'!$AH704="","-",'ORDENES'!$AH704))</f>
        <v/>
      </c>
      <c r="D726" s="5">
        <f>IF('ORDENES'!$A704="","",IF('ORDENES'!$Z704="","-",'ORDENES'!$Z704))</f>
        <v/>
      </c>
      <c r="E726" s="5">
        <f>IF('ORDENES'!$A704="","",IF('ORDENES'!$X704="","-",'ORDENES'!$X704))</f>
        <v/>
      </c>
      <c r="F726" s="5">
        <f>IF('ORDENES'!$A704="","",IF('ORDENES'!$AA704="","-",'ORDENES'!$AA704))</f>
        <v/>
      </c>
      <c r="G726" s="5">
        <f>IF('ORDENES'!$A704="","",IF('ORDENES'!$Y704="","-",'ORDENES'!$Y704))</f>
        <v/>
      </c>
      <c r="H726" s="5">
        <f>IF('ORDENES'!$A704="","",IF('ORDENES'!$AG704="","-",'ORDENES'!$AG704))</f>
        <v/>
      </c>
      <c r="I726" s="5">
        <f>IF('ORDENES'!$A704="","",IF('ORDENES'!$AT704="","-",'ORDENES'!$AT704))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20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IF('ORDENES'!$A704="","",'ORDENES'!$AF704)</f>
        <v/>
      </c>
    </row>
    <row r="727">
      <c r="A727" s="5">
        <f>IF('ORDENES'!$A705="","",IF('ORDENES'!$O705="","-",'ORDENES'!$O705))</f>
        <v/>
      </c>
      <c r="B727" s="5">
        <f>IF('ORDENES'!$A705="","",IF('ORDENES'!$S705="","-",'ORDENES'!$S705))</f>
        <v/>
      </c>
      <c r="C727" s="5">
        <f>IF('ORDENES'!$A705="","",IF('ORDENES'!$AH705="","-",'ORDENES'!$AH705))</f>
        <v/>
      </c>
      <c r="D727" s="5">
        <f>IF('ORDENES'!$A705="","",IF('ORDENES'!$Z705="","-",'ORDENES'!$Z705))</f>
        <v/>
      </c>
      <c r="E727" s="5">
        <f>IF('ORDENES'!$A705="","",IF('ORDENES'!$X705="","-",'ORDENES'!$X705))</f>
        <v/>
      </c>
      <c r="F727" s="5">
        <f>IF('ORDENES'!$A705="","",IF('ORDENES'!$AA705="","-",'ORDENES'!$AA705))</f>
        <v/>
      </c>
      <c r="G727" s="5">
        <f>IF('ORDENES'!$A705="","",IF('ORDENES'!$Y705="","-",'ORDENES'!$Y705))</f>
        <v/>
      </c>
      <c r="H727" s="5">
        <f>IF('ORDENES'!$A705="","",IF('ORDENES'!$AG705="","-",'ORDENES'!$AG705))</f>
        <v/>
      </c>
      <c r="I727" s="5">
        <f>IF('ORDENES'!$A705="","",IF('ORDENES'!$AT705="","-",'ORDENES'!$AT705))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20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IF('ORDENES'!$A705="","",'ORDENES'!$AF705)</f>
        <v/>
      </c>
    </row>
    <row r="728">
      <c r="A728" s="5">
        <f>IF('ORDENES'!$A706="","",IF('ORDENES'!$O706="","-",'ORDENES'!$O706))</f>
        <v/>
      </c>
      <c r="B728" s="5">
        <f>IF('ORDENES'!$A706="","",IF('ORDENES'!$S706="","-",'ORDENES'!$S706))</f>
        <v/>
      </c>
      <c r="C728" s="5">
        <f>IF('ORDENES'!$A706="","",IF('ORDENES'!$AH706="","-",'ORDENES'!$AH706))</f>
        <v/>
      </c>
      <c r="D728" s="5">
        <f>IF('ORDENES'!$A706="","",IF('ORDENES'!$Z706="","-",'ORDENES'!$Z706))</f>
        <v/>
      </c>
      <c r="E728" s="5">
        <f>IF('ORDENES'!$A706="","",IF('ORDENES'!$X706="","-",'ORDENES'!$X706))</f>
        <v/>
      </c>
      <c r="F728" s="5">
        <f>IF('ORDENES'!$A706="","",IF('ORDENES'!$AA706="","-",'ORDENES'!$AA706))</f>
        <v/>
      </c>
      <c r="G728" s="5">
        <f>IF('ORDENES'!$A706="","",IF('ORDENES'!$Y706="","-",'ORDENES'!$Y706))</f>
        <v/>
      </c>
      <c r="H728" s="5">
        <f>IF('ORDENES'!$A706="","",IF('ORDENES'!$AG706="","-",'ORDENES'!$AG706))</f>
        <v/>
      </c>
      <c r="I728" s="5">
        <f>IF('ORDENES'!$A706="","",IF('ORDENES'!$AT706="","-",'ORDENES'!$AT706))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20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IF('ORDENES'!$A706="","",'ORDENES'!$AF706)</f>
        <v/>
      </c>
    </row>
    <row r="729">
      <c r="A729" s="5">
        <f>IF('ORDENES'!$A707="","",IF('ORDENES'!$O707="","-",'ORDENES'!$O707))</f>
        <v/>
      </c>
      <c r="B729" s="5">
        <f>IF('ORDENES'!$A707="","",IF('ORDENES'!$S707="","-",'ORDENES'!$S707))</f>
        <v/>
      </c>
      <c r="C729" s="5">
        <f>IF('ORDENES'!$A707="","",IF('ORDENES'!$AH707="","-",'ORDENES'!$AH707))</f>
        <v/>
      </c>
      <c r="D729" s="5">
        <f>IF('ORDENES'!$A707="","",IF('ORDENES'!$Z707="","-",'ORDENES'!$Z707))</f>
        <v/>
      </c>
      <c r="E729" s="5">
        <f>IF('ORDENES'!$A707="","",IF('ORDENES'!$X707="","-",'ORDENES'!$X707))</f>
        <v/>
      </c>
      <c r="F729" s="5">
        <f>IF('ORDENES'!$A707="","",IF('ORDENES'!$AA707="","-",'ORDENES'!$AA707))</f>
        <v/>
      </c>
      <c r="G729" s="5">
        <f>IF('ORDENES'!$A707="","",IF('ORDENES'!$Y707="","-",'ORDENES'!$Y707))</f>
        <v/>
      </c>
      <c r="H729" s="5">
        <f>IF('ORDENES'!$A707="","",IF('ORDENES'!$AG707="","-",'ORDENES'!$AG707))</f>
        <v/>
      </c>
      <c r="I729" s="5">
        <f>IF('ORDENES'!$A707="","",IF('ORDENES'!$AT707="","-",'ORDENES'!$AT707))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20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IF('ORDENES'!$A707="","",'ORDENES'!$AF707)</f>
        <v/>
      </c>
    </row>
    <row r="730">
      <c r="A730" s="5">
        <f>IF('ORDENES'!$A708="","",IF('ORDENES'!$O708="","-",'ORDENES'!$O708))</f>
        <v/>
      </c>
      <c r="B730" s="5">
        <f>IF('ORDENES'!$A708="","",IF('ORDENES'!$S708="","-",'ORDENES'!$S708))</f>
        <v/>
      </c>
      <c r="C730" s="5">
        <f>IF('ORDENES'!$A708="","",IF('ORDENES'!$AH708="","-",'ORDENES'!$AH708))</f>
        <v/>
      </c>
      <c r="D730" s="5">
        <f>IF('ORDENES'!$A708="","",IF('ORDENES'!$Z708="","-",'ORDENES'!$Z708))</f>
        <v/>
      </c>
      <c r="E730" s="5">
        <f>IF('ORDENES'!$A708="","",IF('ORDENES'!$X708="","-",'ORDENES'!$X708))</f>
        <v/>
      </c>
      <c r="F730" s="5">
        <f>IF('ORDENES'!$A708="","",IF('ORDENES'!$AA708="","-",'ORDENES'!$AA708))</f>
        <v/>
      </c>
      <c r="G730" s="5">
        <f>IF('ORDENES'!$A708="","",IF('ORDENES'!$Y708="","-",'ORDENES'!$Y708))</f>
        <v/>
      </c>
      <c r="H730" s="5">
        <f>IF('ORDENES'!$A708="","",IF('ORDENES'!$AG708="","-",'ORDENES'!$AG708))</f>
        <v/>
      </c>
      <c r="I730" s="5">
        <f>IF('ORDENES'!$A708="","",IF('ORDENES'!$AT708="","-",'ORDENES'!$AT708))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20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IF('ORDENES'!$A708="","",'ORDENES'!$AF708)</f>
        <v/>
      </c>
    </row>
    <row r="731">
      <c r="A731" s="5">
        <f>IF('ORDENES'!$A709="","",IF('ORDENES'!$O709="","-",'ORDENES'!$O709))</f>
        <v/>
      </c>
      <c r="B731" s="5">
        <f>IF('ORDENES'!$A709="","",IF('ORDENES'!$S709="","-",'ORDENES'!$S709))</f>
        <v/>
      </c>
      <c r="C731" s="5">
        <f>IF('ORDENES'!$A709="","",IF('ORDENES'!$AH709="","-",'ORDENES'!$AH709))</f>
        <v/>
      </c>
      <c r="D731" s="5">
        <f>IF('ORDENES'!$A709="","",IF('ORDENES'!$Z709="","-",'ORDENES'!$Z709))</f>
        <v/>
      </c>
      <c r="E731" s="5">
        <f>IF('ORDENES'!$A709="","",IF('ORDENES'!$X709="","-",'ORDENES'!$X709))</f>
        <v/>
      </c>
      <c r="F731" s="5">
        <f>IF('ORDENES'!$A709="","",IF('ORDENES'!$AA709="","-",'ORDENES'!$AA709))</f>
        <v/>
      </c>
      <c r="G731" s="5">
        <f>IF('ORDENES'!$A709="","",IF('ORDENES'!$Y709="","-",'ORDENES'!$Y709))</f>
        <v/>
      </c>
      <c r="H731" s="5">
        <f>IF('ORDENES'!$A709="","",IF('ORDENES'!$AG709="","-",'ORDENES'!$AG709))</f>
        <v/>
      </c>
      <c r="I731" s="5">
        <f>IF('ORDENES'!$A709="","",IF('ORDENES'!$AT709="","-",'ORDENES'!$AT709))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20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IF('ORDENES'!$A709="","",'ORDENES'!$AF709)</f>
        <v/>
      </c>
    </row>
    <row r="732">
      <c r="A732" s="5">
        <f>IF('ORDENES'!$A710="","",IF('ORDENES'!$O710="","-",'ORDENES'!$O710))</f>
        <v/>
      </c>
      <c r="B732" s="5">
        <f>IF('ORDENES'!$A710="","",IF('ORDENES'!$S710="","-",'ORDENES'!$S710))</f>
        <v/>
      </c>
      <c r="C732" s="5">
        <f>IF('ORDENES'!$A710="","",IF('ORDENES'!$AH710="","-",'ORDENES'!$AH710))</f>
        <v/>
      </c>
      <c r="D732" s="5">
        <f>IF('ORDENES'!$A710="","",IF('ORDENES'!$Z710="","-",'ORDENES'!$Z710))</f>
        <v/>
      </c>
      <c r="E732" s="5">
        <f>IF('ORDENES'!$A710="","",IF('ORDENES'!$X710="","-",'ORDENES'!$X710))</f>
        <v/>
      </c>
      <c r="F732" s="5">
        <f>IF('ORDENES'!$A710="","",IF('ORDENES'!$AA710="","-",'ORDENES'!$AA710))</f>
        <v/>
      </c>
      <c r="G732" s="5">
        <f>IF('ORDENES'!$A710="","",IF('ORDENES'!$Y710="","-",'ORDENES'!$Y710))</f>
        <v/>
      </c>
      <c r="H732" s="5">
        <f>IF('ORDENES'!$A710="","",IF('ORDENES'!$AG710="","-",'ORDENES'!$AG710))</f>
        <v/>
      </c>
      <c r="I732" s="5">
        <f>IF('ORDENES'!$A710="","",IF('ORDENES'!$AT710="","-",'ORDENES'!$AT710))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20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IF('ORDENES'!$A710="","",'ORDENES'!$AF710)</f>
        <v/>
      </c>
    </row>
    <row r="733">
      <c r="A733" s="5">
        <f>IF('ORDENES'!$A711="","",IF('ORDENES'!$O711="","-",'ORDENES'!$O711))</f>
        <v/>
      </c>
      <c r="B733" s="5">
        <f>IF('ORDENES'!$A711="","",IF('ORDENES'!$S711="","-",'ORDENES'!$S711))</f>
        <v/>
      </c>
      <c r="C733" s="5">
        <f>IF('ORDENES'!$A711="","",IF('ORDENES'!$AH711="","-",'ORDENES'!$AH711))</f>
        <v/>
      </c>
      <c r="D733" s="5">
        <f>IF('ORDENES'!$A711="","",IF('ORDENES'!$Z711="","-",'ORDENES'!$Z711))</f>
        <v/>
      </c>
      <c r="E733" s="5">
        <f>IF('ORDENES'!$A711="","",IF('ORDENES'!$X711="","-",'ORDENES'!$X711))</f>
        <v/>
      </c>
      <c r="F733" s="5">
        <f>IF('ORDENES'!$A711="","",IF('ORDENES'!$AA711="","-",'ORDENES'!$AA711))</f>
        <v/>
      </c>
      <c r="G733" s="5">
        <f>IF('ORDENES'!$A711="","",IF('ORDENES'!$Y711="","-",'ORDENES'!$Y711))</f>
        <v/>
      </c>
      <c r="H733" s="5">
        <f>IF('ORDENES'!$A711="","",IF('ORDENES'!$AG711="","-",'ORDENES'!$AG711))</f>
        <v/>
      </c>
      <c r="I733" s="5">
        <f>IF('ORDENES'!$A711="","",IF('ORDENES'!$AT711="","-",'ORDENES'!$AT711))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20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IF('ORDENES'!$A711="","",'ORDENES'!$AF711)</f>
        <v/>
      </c>
    </row>
    <row r="734">
      <c r="A734" s="5">
        <f>IF('ORDENES'!$A712="","",IF('ORDENES'!$O712="","-",'ORDENES'!$O712))</f>
        <v/>
      </c>
      <c r="B734" s="5">
        <f>IF('ORDENES'!$A712="","",IF('ORDENES'!$S712="","-",'ORDENES'!$S712))</f>
        <v/>
      </c>
      <c r="C734" s="5">
        <f>IF('ORDENES'!$A712="","",IF('ORDENES'!$AH712="","-",'ORDENES'!$AH712))</f>
        <v/>
      </c>
      <c r="D734" s="5">
        <f>IF('ORDENES'!$A712="","",IF('ORDENES'!$Z712="","-",'ORDENES'!$Z712))</f>
        <v/>
      </c>
      <c r="E734" s="5">
        <f>IF('ORDENES'!$A712="","",IF('ORDENES'!$X712="","-",'ORDENES'!$X712))</f>
        <v/>
      </c>
      <c r="F734" s="5">
        <f>IF('ORDENES'!$A712="","",IF('ORDENES'!$AA712="","-",'ORDENES'!$AA712))</f>
        <v/>
      </c>
      <c r="G734" s="5">
        <f>IF('ORDENES'!$A712="","",IF('ORDENES'!$Y712="","-",'ORDENES'!$Y712))</f>
        <v/>
      </c>
      <c r="H734" s="5">
        <f>IF('ORDENES'!$A712="","",IF('ORDENES'!$AG712="","-",'ORDENES'!$AG712))</f>
        <v/>
      </c>
      <c r="I734" s="5">
        <f>IF('ORDENES'!$A712="","",IF('ORDENES'!$AT712="","-",'ORDENES'!$AT712))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20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IF('ORDENES'!$A712="","",'ORDENES'!$AF712)</f>
        <v/>
      </c>
    </row>
    <row r="735">
      <c r="A735" s="5">
        <f>IF('ORDENES'!$A713="","",IF('ORDENES'!$O713="","-",'ORDENES'!$O713))</f>
        <v/>
      </c>
      <c r="B735" s="5">
        <f>IF('ORDENES'!$A713="","",IF('ORDENES'!$S713="","-",'ORDENES'!$S713))</f>
        <v/>
      </c>
      <c r="C735" s="5">
        <f>IF('ORDENES'!$A713="","",IF('ORDENES'!$AH713="","-",'ORDENES'!$AH713))</f>
        <v/>
      </c>
      <c r="D735" s="5">
        <f>IF('ORDENES'!$A713="","",IF('ORDENES'!$Z713="","-",'ORDENES'!$Z713))</f>
        <v/>
      </c>
      <c r="E735" s="5">
        <f>IF('ORDENES'!$A713="","",IF('ORDENES'!$X713="","-",'ORDENES'!$X713))</f>
        <v/>
      </c>
      <c r="F735" s="5">
        <f>IF('ORDENES'!$A713="","",IF('ORDENES'!$AA713="","-",'ORDENES'!$AA713))</f>
        <v/>
      </c>
      <c r="G735" s="5">
        <f>IF('ORDENES'!$A713="","",IF('ORDENES'!$Y713="","-",'ORDENES'!$Y713))</f>
        <v/>
      </c>
      <c r="H735" s="5">
        <f>IF('ORDENES'!$A713="","",IF('ORDENES'!$AG713="","-",'ORDENES'!$AG713))</f>
        <v/>
      </c>
      <c r="I735" s="5">
        <f>IF('ORDENES'!$A713="","",IF('ORDENES'!$AT713="","-",'ORDENES'!$AT713))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20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IF('ORDENES'!$A713="","",'ORDENES'!$AF713)</f>
        <v/>
      </c>
    </row>
    <row r="736">
      <c r="A736" s="5">
        <f>IF('ORDENES'!$A714="","",IF('ORDENES'!$O714="","-",'ORDENES'!$O714))</f>
        <v/>
      </c>
      <c r="B736" s="5">
        <f>IF('ORDENES'!$A714="","",IF('ORDENES'!$S714="","-",'ORDENES'!$S714))</f>
        <v/>
      </c>
      <c r="C736" s="5">
        <f>IF('ORDENES'!$A714="","",IF('ORDENES'!$AH714="","-",'ORDENES'!$AH714))</f>
        <v/>
      </c>
      <c r="D736" s="5">
        <f>IF('ORDENES'!$A714="","",IF('ORDENES'!$Z714="","-",'ORDENES'!$Z714))</f>
        <v/>
      </c>
      <c r="E736" s="5">
        <f>IF('ORDENES'!$A714="","",IF('ORDENES'!$X714="","-",'ORDENES'!$X714))</f>
        <v/>
      </c>
      <c r="F736" s="5">
        <f>IF('ORDENES'!$A714="","",IF('ORDENES'!$AA714="","-",'ORDENES'!$AA714))</f>
        <v/>
      </c>
      <c r="G736" s="5">
        <f>IF('ORDENES'!$A714="","",IF('ORDENES'!$Y714="","-",'ORDENES'!$Y714))</f>
        <v/>
      </c>
      <c r="H736" s="5">
        <f>IF('ORDENES'!$A714="","",IF('ORDENES'!$AG714="","-",'ORDENES'!$AG714))</f>
        <v/>
      </c>
      <c r="I736" s="5">
        <f>IF('ORDENES'!$A714="","",IF('ORDENES'!$AT714="","-",'ORDENES'!$AT714))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20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IF('ORDENES'!$A714="","",'ORDENES'!$AF714)</f>
        <v/>
      </c>
    </row>
    <row r="737">
      <c r="A737" s="5">
        <f>IF('ORDENES'!$A715="","",IF('ORDENES'!$O715="","-",'ORDENES'!$O715))</f>
        <v/>
      </c>
      <c r="B737" s="5">
        <f>IF('ORDENES'!$A715="","",IF('ORDENES'!$S715="","-",'ORDENES'!$S715))</f>
        <v/>
      </c>
      <c r="C737" s="5">
        <f>IF('ORDENES'!$A715="","",IF('ORDENES'!$AH715="","-",'ORDENES'!$AH715))</f>
        <v/>
      </c>
      <c r="D737" s="5">
        <f>IF('ORDENES'!$A715="","",IF('ORDENES'!$Z715="","-",'ORDENES'!$Z715))</f>
        <v/>
      </c>
      <c r="E737" s="5">
        <f>IF('ORDENES'!$A715="","",IF('ORDENES'!$X715="","-",'ORDENES'!$X715))</f>
        <v/>
      </c>
      <c r="F737" s="5">
        <f>IF('ORDENES'!$A715="","",IF('ORDENES'!$AA715="","-",'ORDENES'!$AA715))</f>
        <v/>
      </c>
      <c r="G737" s="5">
        <f>IF('ORDENES'!$A715="","",IF('ORDENES'!$Y715="","-",'ORDENES'!$Y715))</f>
        <v/>
      </c>
      <c r="H737" s="5">
        <f>IF('ORDENES'!$A715="","",IF('ORDENES'!$AG715="","-",'ORDENES'!$AG715))</f>
        <v/>
      </c>
      <c r="I737" s="5">
        <f>IF('ORDENES'!$A715="","",IF('ORDENES'!$AT715="","-",'ORDENES'!$AT715))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20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IF('ORDENES'!$A715="","",'ORDENES'!$AF715)</f>
        <v/>
      </c>
    </row>
    <row r="738">
      <c r="A738" s="5">
        <f>IF('ORDENES'!$A716="","",IF('ORDENES'!$O716="","-",'ORDENES'!$O716))</f>
        <v/>
      </c>
      <c r="B738" s="5">
        <f>IF('ORDENES'!$A716="","",IF('ORDENES'!$S716="","-",'ORDENES'!$S716))</f>
        <v/>
      </c>
      <c r="C738" s="5">
        <f>IF('ORDENES'!$A716="","",IF('ORDENES'!$AH716="","-",'ORDENES'!$AH716))</f>
        <v/>
      </c>
      <c r="D738" s="5">
        <f>IF('ORDENES'!$A716="","",IF('ORDENES'!$Z716="","-",'ORDENES'!$Z716))</f>
        <v/>
      </c>
      <c r="E738" s="5">
        <f>IF('ORDENES'!$A716="","",IF('ORDENES'!$X716="","-",'ORDENES'!$X716))</f>
        <v/>
      </c>
      <c r="F738" s="5">
        <f>IF('ORDENES'!$A716="","",IF('ORDENES'!$AA716="","-",'ORDENES'!$AA716))</f>
        <v/>
      </c>
      <c r="G738" s="5">
        <f>IF('ORDENES'!$A716="","",IF('ORDENES'!$Y716="","-",'ORDENES'!$Y716))</f>
        <v/>
      </c>
      <c r="H738" s="5">
        <f>IF('ORDENES'!$A716="","",IF('ORDENES'!$AG716="","-",'ORDENES'!$AG716))</f>
        <v/>
      </c>
      <c r="I738" s="5">
        <f>IF('ORDENES'!$A716="","",IF('ORDENES'!$AT716="","-",'ORDENES'!$AT716))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20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IF('ORDENES'!$A716="","",'ORDENES'!$AF716)</f>
        <v/>
      </c>
    </row>
    <row r="739">
      <c r="A739" s="5">
        <f>IF('ORDENES'!$A717="","",IF('ORDENES'!$O717="","-",'ORDENES'!$O717))</f>
        <v/>
      </c>
      <c r="B739" s="5">
        <f>IF('ORDENES'!$A717="","",IF('ORDENES'!$S717="","-",'ORDENES'!$S717))</f>
        <v/>
      </c>
      <c r="C739" s="5">
        <f>IF('ORDENES'!$A717="","",IF('ORDENES'!$AH717="","-",'ORDENES'!$AH717))</f>
        <v/>
      </c>
      <c r="D739" s="5">
        <f>IF('ORDENES'!$A717="","",IF('ORDENES'!$Z717="","-",'ORDENES'!$Z717))</f>
        <v/>
      </c>
      <c r="E739" s="5">
        <f>IF('ORDENES'!$A717="","",IF('ORDENES'!$X717="","-",'ORDENES'!$X717))</f>
        <v/>
      </c>
      <c r="F739" s="5">
        <f>IF('ORDENES'!$A717="","",IF('ORDENES'!$AA717="","-",'ORDENES'!$AA717))</f>
        <v/>
      </c>
      <c r="G739" s="5">
        <f>IF('ORDENES'!$A717="","",IF('ORDENES'!$Y717="","-",'ORDENES'!$Y717))</f>
        <v/>
      </c>
      <c r="H739" s="5">
        <f>IF('ORDENES'!$A717="","",IF('ORDENES'!$AG717="","-",'ORDENES'!$AG717))</f>
        <v/>
      </c>
      <c r="I739" s="5">
        <f>IF('ORDENES'!$A717="","",IF('ORDENES'!$AT717="","-",'ORDENES'!$AT717))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20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IF('ORDENES'!$A717="","",'ORDENES'!$AF717)</f>
        <v/>
      </c>
    </row>
    <row r="740">
      <c r="A740" s="5">
        <f>IF('ORDENES'!$A718="","",IF('ORDENES'!$O718="","-",'ORDENES'!$O718))</f>
        <v/>
      </c>
      <c r="B740" s="5">
        <f>IF('ORDENES'!$A718="","",IF('ORDENES'!$S718="","-",'ORDENES'!$S718))</f>
        <v/>
      </c>
      <c r="C740" s="5">
        <f>IF('ORDENES'!$A718="","",IF('ORDENES'!$AH718="","-",'ORDENES'!$AH718))</f>
        <v/>
      </c>
      <c r="D740" s="5">
        <f>IF('ORDENES'!$A718="","",IF('ORDENES'!$Z718="","-",'ORDENES'!$Z718))</f>
        <v/>
      </c>
      <c r="E740" s="5">
        <f>IF('ORDENES'!$A718="","",IF('ORDENES'!$X718="","-",'ORDENES'!$X718))</f>
        <v/>
      </c>
      <c r="F740" s="5">
        <f>IF('ORDENES'!$A718="","",IF('ORDENES'!$AA718="","-",'ORDENES'!$AA718))</f>
        <v/>
      </c>
      <c r="G740" s="5">
        <f>IF('ORDENES'!$A718="","",IF('ORDENES'!$Y718="","-",'ORDENES'!$Y718))</f>
        <v/>
      </c>
      <c r="H740" s="5">
        <f>IF('ORDENES'!$A718="","",IF('ORDENES'!$AG718="","-",'ORDENES'!$AG718))</f>
        <v/>
      </c>
      <c r="I740" s="5">
        <f>IF('ORDENES'!$A718="","",IF('ORDENES'!$AT718="","-",'ORDENES'!$AT718))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20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IF('ORDENES'!$A718="","",'ORDENES'!$AF718)</f>
        <v/>
      </c>
    </row>
    <row r="741">
      <c r="A741" s="5">
        <f>IF('ORDENES'!$A719="","",IF('ORDENES'!$O719="","-",'ORDENES'!$O719))</f>
        <v/>
      </c>
      <c r="B741" s="5">
        <f>IF('ORDENES'!$A719="","",IF('ORDENES'!$S719="","-",'ORDENES'!$S719))</f>
        <v/>
      </c>
      <c r="C741" s="5">
        <f>IF('ORDENES'!$A719="","",IF('ORDENES'!$AH719="","-",'ORDENES'!$AH719))</f>
        <v/>
      </c>
      <c r="D741" s="5">
        <f>IF('ORDENES'!$A719="","",IF('ORDENES'!$Z719="","-",'ORDENES'!$Z719))</f>
        <v/>
      </c>
      <c r="E741" s="5">
        <f>IF('ORDENES'!$A719="","",IF('ORDENES'!$X719="","-",'ORDENES'!$X719))</f>
        <v/>
      </c>
      <c r="F741" s="5">
        <f>IF('ORDENES'!$A719="","",IF('ORDENES'!$AA719="","-",'ORDENES'!$AA719))</f>
        <v/>
      </c>
      <c r="G741" s="5">
        <f>IF('ORDENES'!$A719="","",IF('ORDENES'!$Y719="","-",'ORDENES'!$Y719))</f>
        <v/>
      </c>
      <c r="H741" s="5">
        <f>IF('ORDENES'!$A719="","",IF('ORDENES'!$AG719="","-",'ORDENES'!$AG719))</f>
        <v/>
      </c>
      <c r="I741" s="5">
        <f>IF('ORDENES'!$A719="","",IF('ORDENES'!$AT719="","-",'ORDENES'!$AT719))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20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IF('ORDENES'!$A719="","",'ORDENES'!$AF719)</f>
        <v/>
      </c>
    </row>
    <row r="742">
      <c r="A742" s="5">
        <f>IF('ORDENES'!$A720="","",IF('ORDENES'!$O720="","-",'ORDENES'!$O720))</f>
        <v/>
      </c>
      <c r="B742" s="5">
        <f>IF('ORDENES'!$A720="","",IF('ORDENES'!$S720="","-",'ORDENES'!$S720))</f>
        <v/>
      </c>
      <c r="C742" s="5">
        <f>IF('ORDENES'!$A720="","",IF('ORDENES'!$AH720="","-",'ORDENES'!$AH720))</f>
        <v/>
      </c>
      <c r="D742" s="5">
        <f>IF('ORDENES'!$A720="","",IF('ORDENES'!$Z720="","-",'ORDENES'!$Z720))</f>
        <v/>
      </c>
      <c r="E742" s="5">
        <f>IF('ORDENES'!$A720="","",IF('ORDENES'!$X720="","-",'ORDENES'!$X720))</f>
        <v/>
      </c>
      <c r="F742" s="5">
        <f>IF('ORDENES'!$A720="","",IF('ORDENES'!$AA720="","-",'ORDENES'!$AA720))</f>
        <v/>
      </c>
      <c r="G742" s="5">
        <f>IF('ORDENES'!$A720="","",IF('ORDENES'!$Y720="","-",'ORDENES'!$Y720))</f>
        <v/>
      </c>
      <c r="H742" s="5">
        <f>IF('ORDENES'!$A720="","",IF('ORDENES'!$AG720="","-",'ORDENES'!$AG720))</f>
        <v/>
      </c>
      <c r="I742" s="5">
        <f>IF('ORDENES'!$A720="","",IF('ORDENES'!$AT720="","-",'ORDENES'!$AT720))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20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IF('ORDENES'!$A720="","",'ORDENES'!$AF720)</f>
        <v/>
      </c>
    </row>
    <row r="743">
      <c r="A743" s="5">
        <f>IF('ORDENES'!$A721="","",IF('ORDENES'!$O721="","-",'ORDENES'!$O721))</f>
        <v/>
      </c>
      <c r="B743" s="5">
        <f>IF('ORDENES'!$A721="","",IF('ORDENES'!$S721="","-",'ORDENES'!$S721))</f>
        <v/>
      </c>
      <c r="C743" s="5">
        <f>IF('ORDENES'!$A721="","",IF('ORDENES'!$AH721="","-",'ORDENES'!$AH721))</f>
        <v/>
      </c>
      <c r="D743" s="5">
        <f>IF('ORDENES'!$A721="","",IF('ORDENES'!$Z721="","-",'ORDENES'!$Z721))</f>
        <v/>
      </c>
      <c r="E743" s="5">
        <f>IF('ORDENES'!$A721="","",IF('ORDENES'!$X721="","-",'ORDENES'!$X721))</f>
        <v/>
      </c>
      <c r="F743" s="5">
        <f>IF('ORDENES'!$A721="","",IF('ORDENES'!$AA721="","-",'ORDENES'!$AA721))</f>
        <v/>
      </c>
      <c r="G743" s="5">
        <f>IF('ORDENES'!$A721="","",IF('ORDENES'!$Y721="","-",'ORDENES'!$Y721))</f>
        <v/>
      </c>
      <c r="H743" s="5">
        <f>IF('ORDENES'!$A721="","",IF('ORDENES'!$AG721="","-",'ORDENES'!$AG721))</f>
        <v/>
      </c>
      <c r="I743" s="5">
        <f>IF('ORDENES'!$A721="","",IF('ORDENES'!$AT721="","-",'ORDENES'!$AT721))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20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IF('ORDENES'!$A721="","",'ORDENES'!$AF721)</f>
        <v/>
      </c>
    </row>
    <row r="744">
      <c r="A744" s="5">
        <f>IF('ORDENES'!$A722="","",IF('ORDENES'!$O722="","-",'ORDENES'!$O722))</f>
        <v/>
      </c>
      <c r="B744" s="5">
        <f>IF('ORDENES'!$A722="","",IF('ORDENES'!$S722="","-",'ORDENES'!$S722))</f>
        <v/>
      </c>
      <c r="C744" s="5">
        <f>IF('ORDENES'!$A722="","",IF('ORDENES'!$AH722="","-",'ORDENES'!$AH722))</f>
        <v/>
      </c>
      <c r="D744" s="5">
        <f>IF('ORDENES'!$A722="","",IF('ORDENES'!$Z722="","-",'ORDENES'!$Z722))</f>
        <v/>
      </c>
      <c r="E744" s="5">
        <f>IF('ORDENES'!$A722="","",IF('ORDENES'!$X722="","-",'ORDENES'!$X722))</f>
        <v/>
      </c>
      <c r="F744" s="5">
        <f>IF('ORDENES'!$A722="","",IF('ORDENES'!$AA722="","-",'ORDENES'!$AA722))</f>
        <v/>
      </c>
      <c r="G744" s="5">
        <f>IF('ORDENES'!$A722="","",IF('ORDENES'!$Y722="","-",'ORDENES'!$Y722))</f>
        <v/>
      </c>
      <c r="H744" s="5">
        <f>IF('ORDENES'!$A722="","",IF('ORDENES'!$AG722="","-",'ORDENES'!$AG722))</f>
        <v/>
      </c>
      <c r="I744" s="5">
        <f>IF('ORDENES'!$A722="","",IF('ORDENES'!$AT722="","-",'ORDENES'!$AT722))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20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IF('ORDENES'!$A722="","",'ORDENES'!$AF722)</f>
        <v/>
      </c>
    </row>
    <row r="745">
      <c r="A745" s="5">
        <f>IF('ORDENES'!$A723="","",IF('ORDENES'!$O723="","-",'ORDENES'!$O723))</f>
        <v/>
      </c>
      <c r="B745" s="5">
        <f>IF('ORDENES'!$A723="","",IF('ORDENES'!$S723="","-",'ORDENES'!$S723))</f>
        <v/>
      </c>
      <c r="C745" s="5">
        <f>IF('ORDENES'!$A723="","",IF('ORDENES'!$AH723="","-",'ORDENES'!$AH723))</f>
        <v/>
      </c>
      <c r="D745" s="5">
        <f>IF('ORDENES'!$A723="","",IF('ORDENES'!$Z723="","-",'ORDENES'!$Z723))</f>
        <v/>
      </c>
      <c r="E745" s="5">
        <f>IF('ORDENES'!$A723="","",IF('ORDENES'!$X723="","-",'ORDENES'!$X723))</f>
        <v/>
      </c>
      <c r="F745" s="5">
        <f>IF('ORDENES'!$A723="","",IF('ORDENES'!$AA723="","-",'ORDENES'!$AA723))</f>
        <v/>
      </c>
      <c r="G745" s="5">
        <f>IF('ORDENES'!$A723="","",IF('ORDENES'!$Y723="","-",'ORDENES'!$Y723))</f>
        <v/>
      </c>
      <c r="H745" s="5">
        <f>IF('ORDENES'!$A723="","",IF('ORDENES'!$AG723="","-",'ORDENES'!$AG723))</f>
        <v/>
      </c>
      <c r="I745" s="5">
        <f>IF('ORDENES'!$A723="","",IF('ORDENES'!$AT723="","-",'ORDENES'!$AT723))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20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IF('ORDENES'!$A723="","",'ORDENES'!$AF723)</f>
        <v/>
      </c>
    </row>
    <row r="746">
      <c r="A746" s="5">
        <f>IF('ORDENES'!$A724="","",IF('ORDENES'!$O724="","-",'ORDENES'!$O724))</f>
        <v/>
      </c>
      <c r="B746" s="5">
        <f>IF('ORDENES'!$A724="","",IF('ORDENES'!$S724="","-",'ORDENES'!$S724))</f>
        <v/>
      </c>
      <c r="C746" s="5">
        <f>IF('ORDENES'!$A724="","",IF('ORDENES'!$AH724="","-",'ORDENES'!$AH724))</f>
        <v/>
      </c>
      <c r="D746" s="5">
        <f>IF('ORDENES'!$A724="","",IF('ORDENES'!$Z724="","-",'ORDENES'!$Z724))</f>
        <v/>
      </c>
      <c r="E746" s="5">
        <f>IF('ORDENES'!$A724="","",IF('ORDENES'!$X724="","-",'ORDENES'!$X724))</f>
        <v/>
      </c>
      <c r="F746" s="5">
        <f>IF('ORDENES'!$A724="","",IF('ORDENES'!$AA724="","-",'ORDENES'!$AA724))</f>
        <v/>
      </c>
      <c r="G746" s="5">
        <f>IF('ORDENES'!$A724="","",IF('ORDENES'!$Y724="","-",'ORDENES'!$Y724))</f>
        <v/>
      </c>
      <c r="H746" s="5">
        <f>IF('ORDENES'!$A724="","",IF('ORDENES'!$AG724="","-",'ORDENES'!$AG724))</f>
        <v/>
      </c>
      <c r="I746" s="5">
        <f>IF('ORDENES'!$A724="","",IF('ORDENES'!$AT724="","-",'ORDENES'!$AT724))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20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IF('ORDENES'!$A724="","",'ORDENES'!$AF724)</f>
        <v/>
      </c>
    </row>
    <row r="747">
      <c r="A747" s="5">
        <f>IF('ORDENES'!$A725="","",IF('ORDENES'!$O725="","-",'ORDENES'!$O725))</f>
        <v/>
      </c>
      <c r="B747" s="5">
        <f>IF('ORDENES'!$A725="","",IF('ORDENES'!$S725="","-",'ORDENES'!$S725))</f>
        <v/>
      </c>
      <c r="C747" s="5">
        <f>IF('ORDENES'!$A725="","",IF('ORDENES'!$AH725="","-",'ORDENES'!$AH725))</f>
        <v/>
      </c>
      <c r="D747" s="5">
        <f>IF('ORDENES'!$A725="","",IF('ORDENES'!$Z725="","-",'ORDENES'!$Z725))</f>
        <v/>
      </c>
      <c r="E747" s="5">
        <f>IF('ORDENES'!$A725="","",IF('ORDENES'!$X725="","-",'ORDENES'!$X725))</f>
        <v/>
      </c>
      <c r="F747" s="5">
        <f>IF('ORDENES'!$A725="","",IF('ORDENES'!$AA725="","-",'ORDENES'!$AA725))</f>
        <v/>
      </c>
      <c r="G747" s="5">
        <f>IF('ORDENES'!$A725="","",IF('ORDENES'!$Y725="","-",'ORDENES'!$Y725))</f>
        <v/>
      </c>
      <c r="H747" s="5">
        <f>IF('ORDENES'!$A725="","",IF('ORDENES'!$AG725="","-",'ORDENES'!$AG725))</f>
        <v/>
      </c>
      <c r="I747" s="5">
        <f>IF('ORDENES'!$A725="","",IF('ORDENES'!$AT725="","-",'ORDENES'!$AT725))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20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IF('ORDENES'!$A725="","",'ORDENES'!$AF725)</f>
        <v/>
      </c>
    </row>
    <row r="748">
      <c r="A748" s="5">
        <f>IF('ORDENES'!$A726="","",IF('ORDENES'!$O726="","-",'ORDENES'!$O726))</f>
        <v/>
      </c>
      <c r="B748" s="5">
        <f>IF('ORDENES'!$A726="","",IF('ORDENES'!$S726="","-",'ORDENES'!$S726))</f>
        <v/>
      </c>
      <c r="C748" s="5">
        <f>IF('ORDENES'!$A726="","",IF('ORDENES'!$AH726="","-",'ORDENES'!$AH726))</f>
        <v/>
      </c>
      <c r="D748" s="5">
        <f>IF('ORDENES'!$A726="","",IF('ORDENES'!$Z726="","-",'ORDENES'!$Z726))</f>
        <v/>
      </c>
      <c r="E748" s="5">
        <f>IF('ORDENES'!$A726="","",IF('ORDENES'!$X726="","-",'ORDENES'!$X726))</f>
        <v/>
      </c>
      <c r="F748" s="5">
        <f>IF('ORDENES'!$A726="","",IF('ORDENES'!$AA726="","-",'ORDENES'!$AA726))</f>
        <v/>
      </c>
      <c r="G748" s="5">
        <f>IF('ORDENES'!$A726="","",IF('ORDENES'!$Y726="","-",'ORDENES'!$Y726))</f>
        <v/>
      </c>
      <c r="H748" s="5">
        <f>IF('ORDENES'!$A726="","",IF('ORDENES'!$AG726="","-",'ORDENES'!$AG726))</f>
        <v/>
      </c>
      <c r="I748" s="5">
        <f>IF('ORDENES'!$A726="","",IF('ORDENES'!$AT726="","-",'ORDENES'!$AT726))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20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IF('ORDENES'!$A726="","",'ORDENES'!$AF726)</f>
        <v/>
      </c>
    </row>
    <row r="749">
      <c r="A749" s="5">
        <f>IF('ORDENES'!$A727="","",IF('ORDENES'!$O727="","-",'ORDENES'!$O727))</f>
        <v/>
      </c>
      <c r="B749" s="5">
        <f>IF('ORDENES'!$A727="","",IF('ORDENES'!$S727="","-",'ORDENES'!$S727))</f>
        <v/>
      </c>
      <c r="C749" s="5">
        <f>IF('ORDENES'!$A727="","",IF('ORDENES'!$AH727="","-",'ORDENES'!$AH727))</f>
        <v/>
      </c>
      <c r="D749" s="5">
        <f>IF('ORDENES'!$A727="","",IF('ORDENES'!$Z727="","-",'ORDENES'!$Z727))</f>
        <v/>
      </c>
      <c r="E749" s="5">
        <f>IF('ORDENES'!$A727="","",IF('ORDENES'!$X727="","-",'ORDENES'!$X727))</f>
        <v/>
      </c>
      <c r="F749" s="5">
        <f>IF('ORDENES'!$A727="","",IF('ORDENES'!$AA727="","-",'ORDENES'!$AA727))</f>
        <v/>
      </c>
      <c r="G749" s="5">
        <f>IF('ORDENES'!$A727="","",IF('ORDENES'!$Y727="","-",'ORDENES'!$Y727))</f>
        <v/>
      </c>
      <c r="H749" s="5">
        <f>IF('ORDENES'!$A727="","",IF('ORDENES'!$AG727="","-",'ORDENES'!$AG727))</f>
        <v/>
      </c>
      <c r="I749" s="5">
        <f>IF('ORDENES'!$A727="","",IF('ORDENES'!$AT727="","-",'ORDENES'!$AT727))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20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IF('ORDENES'!$A727="","",'ORDENES'!$AF727)</f>
        <v/>
      </c>
    </row>
    <row r="750">
      <c r="A750" s="5">
        <f>IF('ORDENES'!$A728="","",IF('ORDENES'!$O728="","-",'ORDENES'!$O728))</f>
        <v/>
      </c>
      <c r="B750" s="5">
        <f>IF('ORDENES'!$A728="","",IF('ORDENES'!$S728="","-",'ORDENES'!$S728))</f>
        <v/>
      </c>
      <c r="C750" s="5">
        <f>IF('ORDENES'!$A728="","",IF('ORDENES'!$AH728="","-",'ORDENES'!$AH728))</f>
        <v/>
      </c>
      <c r="D750" s="5">
        <f>IF('ORDENES'!$A728="","",IF('ORDENES'!$Z728="","-",'ORDENES'!$Z728))</f>
        <v/>
      </c>
      <c r="E750" s="5">
        <f>IF('ORDENES'!$A728="","",IF('ORDENES'!$X728="","-",'ORDENES'!$X728))</f>
        <v/>
      </c>
      <c r="F750" s="5">
        <f>IF('ORDENES'!$A728="","",IF('ORDENES'!$AA728="","-",'ORDENES'!$AA728))</f>
        <v/>
      </c>
      <c r="G750" s="5">
        <f>IF('ORDENES'!$A728="","",IF('ORDENES'!$Y728="","-",'ORDENES'!$Y728))</f>
        <v/>
      </c>
      <c r="H750" s="5">
        <f>IF('ORDENES'!$A728="","",IF('ORDENES'!$AG728="","-",'ORDENES'!$AG728))</f>
        <v/>
      </c>
      <c r="I750" s="5">
        <f>IF('ORDENES'!$A728="","",IF('ORDENES'!$AT728="","-",'ORDENES'!$AT728))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20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IF('ORDENES'!$A728="","",'ORDENES'!$AF728)</f>
        <v/>
      </c>
    </row>
    <row r="751">
      <c r="A751" s="5">
        <f>IF('ORDENES'!$A729="","",IF('ORDENES'!$O729="","-",'ORDENES'!$O729))</f>
        <v/>
      </c>
      <c r="B751" s="5">
        <f>IF('ORDENES'!$A729="","",IF('ORDENES'!$S729="","-",'ORDENES'!$S729))</f>
        <v/>
      </c>
      <c r="C751" s="5">
        <f>IF('ORDENES'!$A729="","",IF('ORDENES'!$AH729="","-",'ORDENES'!$AH729))</f>
        <v/>
      </c>
      <c r="D751" s="5">
        <f>IF('ORDENES'!$A729="","",IF('ORDENES'!$Z729="","-",'ORDENES'!$Z729))</f>
        <v/>
      </c>
      <c r="E751" s="5">
        <f>IF('ORDENES'!$A729="","",IF('ORDENES'!$X729="","-",'ORDENES'!$X729))</f>
        <v/>
      </c>
      <c r="F751" s="5">
        <f>IF('ORDENES'!$A729="","",IF('ORDENES'!$AA729="","-",'ORDENES'!$AA729))</f>
        <v/>
      </c>
      <c r="G751" s="5">
        <f>IF('ORDENES'!$A729="","",IF('ORDENES'!$Y729="","-",'ORDENES'!$Y729))</f>
        <v/>
      </c>
      <c r="H751" s="5">
        <f>IF('ORDENES'!$A729="","",IF('ORDENES'!$AG729="","-",'ORDENES'!$AG729))</f>
        <v/>
      </c>
      <c r="I751" s="5">
        <f>IF('ORDENES'!$A729="","",IF('ORDENES'!$AT729="","-",'ORDENES'!$AT729))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20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IF('ORDENES'!$A729="","",'ORDENES'!$AF729)</f>
        <v/>
      </c>
    </row>
    <row r="752">
      <c r="A752" s="5">
        <f>IF('ORDENES'!$A730="","",IF('ORDENES'!$O730="","-",'ORDENES'!$O730))</f>
        <v/>
      </c>
      <c r="B752" s="5">
        <f>IF('ORDENES'!$A730="","",IF('ORDENES'!$S730="","-",'ORDENES'!$S730))</f>
        <v/>
      </c>
      <c r="C752" s="5">
        <f>IF('ORDENES'!$A730="","",IF('ORDENES'!$AH730="","-",'ORDENES'!$AH730))</f>
        <v/>
      </c>
      <c r="D752" s="5">
        <f>IF('ORDENES'!$A730="","",IF('ORDENES'!$Z730="","-",'ORDENES'!$Z730))</f>
        <v/>
      </c>
      <c r="E752" s="5">
        <f>IF('ORDENES'!$A730="","",IF('ORDENES'!$X730="","-",'ORDENES'!$X730))</f>
        <v/>
      </c>
      <c r="F752" s="5">
        <f>IF('ORDENES'!$A730="","",IF('ORDENES'!$AA730="","-",'ORDENES'!$AA730))</f>
        <v/>
      </c>
      <c r="G752" s="5">
        <f>IF('ORDENES'!$A730="","",IF('ORDENES'!$Y730="","-",'ORDENES'!$Y730))</f>
        <v/>
      </c>
      <c r="H752" s="5">
        <f>IF('ORDENES'!$A730="","",IF('ORDENES'!$AG730="","-",'ORDENES'!$AG730))</f>
        <v/>
      </c>
      <c r="I752" s="5">
        <f>IF('ORDENES'!$A730="","",IF('ORDENES'!$AT730="","-",'ORDENES'!$AT730))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20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IF('ORDENES'!$A730="","",'ORDENES'!$AF730)</f>
        <v/>
      </c>
    </row>
    <row r="753">
      <c r="A753" s="5">
        <f>IF('ORDENES'!$A731="","",IF('ORDENES'!$O731="","-",'ORDENES'!$O731))</f>
        <v/>
      </c>
      <c r="B753" s="5">
        <f>IF('ORDENES'!$A731="","",IF('ORDENES'!$S731="","-",'ORDENES'!$S731))</f>
        <v/>
      </c>
      <c r="C753" s="5">
        <f>IF('ORDENES'!$A731="","",IF('ORDENES'!$AH731="","-",'ORDENES'!$AH731))</f>
        <v/>
      </c>
      <c r="D753" s="5">
        <f>IF('ORDENES'!$A731="","",IF('ORDENES'!$Z731="","-",'ORDENES'!$Z731))</f>
        <v/>
      </c>
      <c r="E753" s="5">
        <f>IF('ORDENES'!$A731="","",IF('ORDENES'!$X731="","-",'ORDENES'!$X731))</f>
        <v/>
      </c>
      <c r="F753" s="5">
        <f>IF('ORDENES'!$A731="","",IF('ORDENES'!$AA731="","-",'ORDENES'!$AA731))</f>
        <v/>
      </c>
      <c r="G753" s="5">
        <f>IF('ORDENES'!$A731="","",IF('ORDENES'!$Y731="","-",'ORDENES'!$Y731))</f>
        <v/>
      </c>
      <c r="H753" s="5">
        <f>IF('ORDENES'!$A731="","",IF('ORDENES'!$AG731="","-",'ORDENES'!$AG731))</f>
        <v/>
      </c>
      <c r="I753" s="5">
        <f>IF('ORDENES'!$A731="","",IF('ORDENES'!$AT731="","-",'ORDENES'!$AT731))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20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IF('ORDENES'!$A731="","",'ORDENES'!$AF731)</f>
        <v/>
      </c>
    </row>
    <row r="754">
      <c r="A754" s="5">
        <f>IF('ORDENES'!$A732="","",IF('ORDENES'!$O732="","-",'ORDENES'!$O732))</f>
        <v/>
      </c>
      <c r="B754" s="5">
        <f>IF('ORDENES'!$A732="","",IF('ORDENES'!$S732="","-",'ORDENES'!$S732))</f>
        <v/>
      </c>
      <c r="C754" s="5">
        <f>IF('ORDENES'!$A732="","",IF('ORDENES'!$AH732="","-",'ORDENES'!$AH732))</f>
        <v/>
      </c>
      <c r="D754" s="5">
        <f>IF('ORDENES'!$A732="","",IF('ORDENES'!$Z732="","-",'ORDENES'!$Z732))</f>
        <v/>
      </c>
      <c r="E754" s="5">
        <f>IF('ORDENES'!$A732="","",IF('ORDENES'!$X732="","-",'ORDENES'!$X732))</f>
        <v/>
      </c>
      <c r="F754" s="5">
        <f>IF('ORDENES'!$A732="","",IF('ORDENES'!$AA732="","-",'ORDENES'!$AA732))</f>
        <v/>
      </c>
      <c r="G754" s="5">
        <f>IF('ORDENES'!$A732="","",IF('ORDENES'!$Y732="","-",'ORDENES'!$Y732))</f>
        <v/>
      </c>
      <c r="H754" s="5">
        <f>IF('ORDENES'!$A732="","",IF('ORDENES'!$AG732="","-",'ORDENES'!$AG732))</f>
        <v/>
      </c>
      <c r="I754" s="5">
        <f>IF('ORDENES'!$A732="","",IF('ORDENES'!$AT732="","-",'ORDENES'!$AT732))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20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IF('ORDENES'!$A732="","",'ORDENES'!$AF732)</f>
        <v/>
      </c>
    </row>
    <row r="755">
      <c r="A755" s="5">
        <f>IF('ORDENES'!$A733="","",IF('ORDENES'!$O733="","-",'ORDENES'!$O733))</f>
        <v/>
      </c>
      <c r="B755" s="5">
        <f>IF('ORDENES'!$A733="","",IF('ORDENES'!$S733="","-",'ORDENES'!$S733))</f>
        <v/>
      </c>
      <c r="C755" s="5">
        <f>IF('ORDENES'!$A733="","",IF('ORDENES'!$AH733="","-",'ORDENES'!$AH733))</f>
        <v/>
      </c>
      <c r="D755" s="5">
        <f>IF('ORDENES'!$A733="","",IF('ORDENES'!$Z733="","-",'ORDENES'!$Z733))</f>
        <v/>
      </c>
      <c r="E755" s="5">
        <f>IF('ORDENES'!$A733="","",IF('ORDENES'!$X733="","-",'ORDENES'!$X733))</f>
        <v/>
      </c>
      <c r="F755" s="5">
        <f>IF('ORDENES'!$A733="","",IF('ORDENES'!$AA733="","-",'ORDENES'!$AA733))</f>
        <v/>
      </c>
      <c r="G755" s="5">
        <f>IF('ORDENES'!$A733="","",IF('ORDENES'!$Y733="","-",'ORDENES'!$Y733))</f>
        <v/>
      </c>
      <c r="H755" s="5">
        <f>IF('ORDENES'!$A733="","",IF('ORDENES'!$AG733="","-",'ORDENES'!$AG733))</f>
        <v/>
      </c>
      <c r="I755" s="5">
        <f>IF('ORDENES'!$A733="","",IF('ORDENES'!$AT733="","-",'ORDENES'!$AT733))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20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IF('ORDENES'!$A733="","",'ORDENES'!$AF733)</f>
        <v/>
      </c>
    </row>
    <row r="756">
      <c r="A756" s="5">
        <f>IF('ORDENES'!$A734="","",IF('ORDENES'!$O734="","-",'ORDENES'!$O734))</f>
        <v/>
      </c>
      <c r="B756" s="5">
        <f>IF('ORDENES'!$A734="","",IF('ORDENES'!$S734="","-",'ORDENES'!$S734))</f>
        <v/>
      </c>
      <c r="C756" s="5">
        <f>IF('ORDENES'!$A734="","",IF('ORDENES'!$AH734="","-",'ORDENES'!$AH734))</f>
        <v/>
      </c>
      <c r="D756" s="5">
        <f>IF('ORDENES'!$A734="","",IF('ORDENES'!$Z734="","-",'ORDENES'!$Z734))</f>
        <v/>
      </c>
      <c r="E756" s="5">
        <f>IF('ORDENES'!$A734="","",IF('ORDENES'!$X734="","-",'ORDENES'!$X734))</f>
        <v/>
      </c>
      <c r="F756" s="5">
        <f>IF('ORDENES'!$A734="","",IF('ORDENES'!$AA734="","-",'ORDENES'!$AA734))</f>
        <v/>
      </c>
      <c r="G756" s="5">
        <f>IF('ORDENES'!$A734="","",IF('ORDENES'!$Y734="","-",'ORDENES'!$Y734))</f>
        <v/>
      </c>
      <c r="H756" s="5">
        <f>IF('ORDENES'!$A734="","",IF('ORDENES'!$AG734="","-",'ORDENES'!$AG734))</f>
        <v/>
      </c>
      <c r="I756" s="5">
        <f>IF('ORDENES'!$A734="","",IF('ORDENES'!$AT734="","-",'ORDENES'!$AT734))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20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IF('ORDENES'!$A734="","",'ORDENES'!$AF734)</f>
        <v/>
      </c>
    </row>
    <row r="757">
      <c r="A757" s="5">
        <f>IF('ORDENES'!$A735="","",IF('ORDENES'!$O735="","-",'ORDENES'!$O735))</f>
        <v/>
      </c>
      <c r="B757" s="5">
        <f>IF('ORDENES'!$A735="","",IF('ORDENES'!$S735="","-",'ORDENES'!$S735))</f>
        <v/>
      </c>
      <c r="C757" s="5">
        <f>IF('ORDENES'!$A735="","",IF('ORDENES'!$AH735="","-",'ORDENES'!$AH735))</f>
        <v/>
      </c>
      <c r="D757" s="5">
        <f>IF('ORDENES'!$A735="","",IF('ORDENES'!$Z735="","-",'ORDENES'!$Z735))</f>
        <v/>
      </c>
      <c r="E757" s="5">
        <f>IF('ORDENES'!$A735="","",IF('ORDENES'!$X735="","-",'ORDENES'!$X735))</f>
        <v/>
      </c>
      <c r="F757" s="5">
        <f>IF('ORDENES'!$A735="","",IF('ORDENES'!$AA735="","-",'ORDENES'!$AA735))</f>
        <v/>
      </c>
      <c r="G757" s="5">
        <f>IF('ORDENES'!$A735="","",IF('ORDENES'!$Y735="","-",'ORDENES'!$Y735))</f>
        <v/>
      </c>
      <c r="H757" s="5">
        <f>IF('ORDENES'!$A735="","",IF('ORDENES'!$AG735="","-",'ORDENES'!$AG735))</f>
        <v/>
      </c>
      <c r="I757" s="5">
        <f>IF('ORDENES'!$A735="","",IF('ORDENES'!$AT735="","-",'ORDENES'!$AT735))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20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IF('ORDENES'!$A735="","",'ORDENES'!$AF735)</f>
        <v/>
      </c>
    </row>
    <row r="758">
      <c r="A758" s="5">
        <f>IF('ORDENES'!$A736="","",IF('ORDENES'!$O736="","-",'ORDENES'!$O736))</f>
        <v/>
      </c>
      <c r="B758" s="5">
        <f>IF('ORDENES'!$A736="","",IF('ORDENES'!$S736="","-",'ORDENES'!$S736))</f>
        <v/>
      </c>
      <c r="C758" s="5">
        <f>IF('ORDENES'!$A736="","",IF('ORDENES'!$AH736="","-",'ORDENES'!$AH736))</f>
        <v/>
      </c>
      <c r="D758" s="5">
        <f>IF('ORDENES'!$A736="","",IF('ORDENES'!$Z736="","-",'ORDENES'!$Z736))</f>
        <v/>
      </c>
      <c r="E758" s="5">
        <f>IF('ORDENES'!$A736="","",IF('ORDENES'!$X736="","-",'ORDENES'!$X736))</f>
        <v/>
      </c>
      <c r="F758" s="5">
        <f>IF('ORDENES'!$A736="","",IF('ORDENES'!$AA736="","-",'ORDENES'!$AA736))</f>
        <v/>
      </c>
      <c r="G758" s="5">
        <f>IF('ORDENES'!$A736="","",IF('ORDENES'!$Y736="","-",'ORDENES'!$Y736))</f>
        <v/>
      </c>
      <c r="H758" s="5">
        <f>IF('ORDENES'!$A736="","",IF('ORDENES'!$AG736="","-",'ORDENES'!$AG736))</f>
        <v/>
      </c>
      <c r="I758" s="5">
        <f>IF('ORDENES'!$A736="","",IF('ORDENES'!$AT736="","-",'ORDENES'!$AT736))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20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IF('ORDENES'!$A736="","",'ORDENES'!$AF736)</f>
        <v/>
      </c>
    </row>
    <row r="759">
      <c r="A759" s="5">
        <f>IF('ORDENES'!$A737="","",IF('ORDENES'!$O737="","-",'ORDENES'!$O737))</f>
        <v/>
      </c>
      <c r="B759" s="5">
        <f>IF('ORDENES'!$A737="","",IF('ORDENES'!$S737="","-",'ORDENES'!$S737))</f>
        <v/>
      </c>
      <c r="C759" s="5">
        <f>IF('ORDENES'!$A737="","",IF('ORDENES'!$AH737="","-",'ORDENES'!$AH737))</f>
        <v/>
      </c>
      <c r="D759" s="5">
        <f>IF('ORDENES'!$A737="","",IF('ORDENES'!$Z737="","-",'ORDENES'!$Z737))</f>
        <v/>
      </c>
      <c r="E759" s="5">
        <f>IF('ORDENES'!$A737="","",IF('ORDENES'!$X737="","-",'ORDENES'!$X737))</f>
        <v/>
      </c>
      <c r="F759" s="5">
        <f>IF('ORDENES'!$A737="","",IF('ORDENES'!$AA737="","-",'ORDENES'!$AA737))</f>
        <v/>
      </c>
      <c r="G759" s="5">
        <f>IF('ORDENES'!$A737="","",IF('ORDENES'!$Y737="","-",'ORDENES'!$Y737))</f>
        <v/>
      </c>
      <c r="H759" s="5">
        <f>IF('ORDENES'!$A737="","",IF('ORDENES'!$AG737="","-",'ORDENES'!$AG737))</f>
        <v/>
      </c>
      <c r="I759" s="5">
        <f>IF('ORDENES'!$A737="","",IF('ORDENES'!$AT737="","-",'ORDENES'!$AT737))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20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IF('ORDENES'!$A737="","",'ORDENES'!$AF737)</f>
        <v/>
      </c>
    </row>
    <row r="760">
      <c r="A760" s="5">
        <f>IF('ORDENES'!$A738="","",IF('ORDENES'!$O738="","-",'ORDENES'!$O738))</f>
        <v/>
      </c>
      <c r="B760" s="5">
        <f>IF('ORDENES'!$A738="","",IF('ORDENES'!$S738="","-",'ORDENES'!$S738))</f>
        <v/>
      </c>
      <c r="C760" s="5">
        <f>IF('ORDENES'!$A738="","",IF('ORDENES'!$AH738="","-",'ORDENES'!$AH738))</f>
        <v/>
      </c>
      <c r="D760" s="5">
        <f>IF('ORDENES'!$A738="","",IF('ORDENES'!$Z738="","-",'ORDENES'!$Z738))</f>
        <v/>
      </c>
      <c r="E760" s="5">
        <f>IF('ORDENES'!$A738="","",IF('ORDENES'!$X738="","-",'ORDENES'!$X738))</f>
        <v/>
      </c>
      <c r="F760" s="5">
        <f>IF('ORDENES'!$A738="","",IF('ORDENES'!$AA738="","-",'ORDENES'!$AA738))</f>
        <v/>
      </c>
      <c r="G760" s="5">
        <f>IF('ORDENES'!$A738="","",IF('ORDENES'!$Y738="","-",'ORDENES'!$Y738))</f>
        <v/>
      </c>
      <c r="H760" s="5">
        <f>IF('ORDENES'!$A738="","",IF('ORDENES'!$AG738="","-",'ORDENES'!$AG738))</f>
        <v/>
      </c>
      <c r="I760" s="5">
        <f>IF('ORDENES'!$A738="","",IF('ORDENES'!$AT738="","-",'ORDENES'!$AT738))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20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IF('ORDENES'!$A738="","",'ORDENES'!$AF738)</f>
        <v/>
      </c>
    </row>
    <row r="761">
      <c r="A761" s="5">
        <f>IF('ORDENES'!$A739="","",IF('ORDENES'!$O739="","-",'ORDENES'!$O739))</f>
        <v/>
      </c>
      <c r="B761" s="5">
        <f>IF('ORDENES'!$A739="","",IF('ORDENES'!$S739="","-",'ORDENES'!$S739))</f>
        <v/>
      </c>
      <c r="C761" s="5">
        <f>IF('ORDENES'!$A739="","",IF('ORDENES'!$AH739="","-",'ORDENES'!$AH739))</f>
        <v/>
      </c>
      <c r="D761" s="5">
        <f>IF('ORDENES'!$A739="","",IF('ORDENES'!$Z739="","-",'ORDENES'!$Z739))</f>
        <v/>
      </c>
      <c r="E761" s="5">
        <f>IF('ORDENES'!$A739="","",IF('ORDENES'!$X739="","-",'ORDENES'!$X739))</f>
        <v/>
      </c>
      <c r="F761" s="5">
        <f>IF('ORDENES'!$A739="","",IF('ORDENES'!$AA739="","-",'ORDENES'!$AA739))</f>
        <v/>
      </c>
      <c r="G761" s="5">
        <f>IF('ORDENES'!$A739="","",IF('ORDENES'!$Y739="","-",'ORDENES'!$Y739))</f>
        <v/>
      </c>
      <c r="H761" s="5">
        <f>IF('ORDENES'!$A739="","",IF('ORDENES'!$AG739="","-",'ORDENES'!$AG739))</f>
        <v/>
      </c>
      <c r="I761" s="5">
        <f>IF('ORDENES'!$A739="","",IF('ORDENES'!$AT739="","-",'ORDENES'!$AT739))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20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IF('ORDENES'!$A739="","",'ORDENES'!$AF739)</f>
        <v/>
      </c>
    </row>
    <row r="762">
      <c r="A762" s="5">
        <f>IF('ORDENES'!$A740="","",IF('ORDENES'!$O740="","-",'ORDENES'!$O740))</f>
        <v/>
      </c>
      <c r="B762" s="5">
        <f>IF('ORDENES'!$A740="","",IF('ORDENES'!$S740="","-",'ORDENES'!$S740))</f>
        <v/>
      </c>
      <c r="C762" s="5">
        <f>IF('ORDENES'!$A740="","",IF('ORDENES'!$AH740="","-",'ORDENES'!$AH740))</f>
        <v/>
      </c>
      <c r="D762" s="5">
        <f>IF('ORDENES'!$A740="","",IF('ORDENES'!$Z740="","-",'ORDENES'!$Z740))</f>
        <v/>
      </c>
      <c r="E762" s="5">
        <f>IF('ORDENES'!$A740="","",IF('ORDENES'!$X740="","-",'ORDENES'!$X740))</f>
        <v/>
      </c>
      <c r="F762" s="5">
        <f>IF('ORDENES'!$A740="","",IF('ORDENES'!$AA740="","-",'ORDENES'!$AA740))</f>
        <v/>
      </c>
      <c r="G762" s="5">
        <f>IF('ORDENES'!$A740="","",IF('ORDENES'!$Y740="","-",'ORDENES'!$Y740))</f>
        <v/>
      </c>
      <c r="H762" s="5">
        <f>IF('ORDENES'!$A740="","",IF('ORDENES'!$AG740="","-",'ORDENES'!$AG740))</f>
        <v/>
      </c>
      <c r="I762" s="5">
        <f>IF('ORDENES'!$A740="","",IF('ORDENES'!$AT740="","-",'ORDENES'!$AT740))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20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IF('ORDENES'!$A740="","",'ORDENES'!$AF740)</f>
        <v/>
      </c>
    </row>
    <row r="763">
      <c r="A763" s="5">
        <f>IF('ORDENES'!$A741="","",IF('ORDENES'!$O741="","-",'ORDENES'!$O741))</f>
        <v/>
      </c>
      <c r="B763" s="5">
        <f>IF('ORDENES'!$A741="","",IF('ORDENES'!$S741="","-",'ORDENES'!$S741))</f>
        <v/>
      </c>
      <c r="C763" s="5">
        <f>IF('ORDENES'!$A741="","",IF('ORDENES'!$AH741="","-",'ORDENES'!$AH741))</f>
        <v/>
      </c>
      <c r="D763" s="5">
        <f>IF('ORDENES'!$A741="","",IF('ORDENES'!$Z741="","-",'ORDENES'!$Z741))</f>
        <v/>
      </c>
      <c r="E763" s="5">
        <f>IF('ORDENES'!$A741="","",IF('ORDENES'!$X741="","-",'ORDENES'!$X741))</f>
        <v/>
      </c>
      <c r="F763" s="5">
        <f>IF('ORDENES'!$A741="","",IF('ORDENES'!$AA741="","-",'ORDENES'!$AA741))</f>
        <v/>
      </c>
      <c r="G763" s="5">
        <f>IF('ORDENES'!$A741="","",IF('ORDENES'!$Y741="","-",'ORDENES'!$Y741))</f>
        <v/>
      </c>
      <c r="H763" s="5">
        <f>IF('ORDENES'!$A741="","",IF('ORDENES'!$AG741="","-",'ORDENES'!$AG741))</f>
        <v/>
      </c>
      <c r="I763" s="5">
        <f>IF('ORDENES'!$A741="","",IF('ORDENES'!$AT741="","-",'ORDENES'!$AT741))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20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IF('ORDENES'!$A741="","",'ORDENES'!$AF741)</f>
        <v/>
      </c>
    </row>
    <row r="764">
      <c r="A764" s="5">
        <f>IF('ORDENES'!$A742="","",IF('ORDENES'!$O742="","-",'ORDENES'!$O742))</f>
        <v/>
      </c>
      <c r="B764" s="5">
        <f>IF('ORDENES'!$A742="","",IF('ORDENES'!$S742="","-",'ORDENES'!$S742))</f>
        <v/>
      </c>
      <c r="C764" s="5">
        <f>IF('ORDENES'!$A742="","",IF('ORDENES'!$AH742="","-",'ORDENES'!$AH742))</f>
        <v/>
      </c>
      <c r="D764" s="5">
        <f>IF('ORDENES'!$A742="","",IF('ORDENES'!$Z742="","-",'ORDENES'!$Z742))</f>
        <v/>
      </c>
      <c r="E764" s="5">
        <f>IF('ORDENES'!$A742="","",IF('ORDENES'!$X742="","-",'ORDENES'!$X742))</f>
        <v/>
      </c>
      <c r="F764" s="5">
        <f>IF('ORDENES'!$A742="","",IF('ORDENES'!$AA742="","-",'ORDENES'!$AA742))</f>
        <v/>
      </c>
      <c r="G764" s="5">
        <f>IF('ORDENES'!$A742="","",IF('ORDENES'!$Y742="","-",'ORDENES'!$Y742))</f>
        <v/>
      </c>
      <c r="H764" s="5">
        <f>IF('ORDENES'!$A742="","",IF('ORDENES'!$AG742="","-",'ORDENES'!$AG742))</f>
        <v/>
      </c>
      <c r="I764" s="5">
        <f>IF('ORDENES'!$A742="","",IF('ORDENES'!$AT742="","-",'ORDENES'!$AT742))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20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IF('ORDENES'!$A742="","",'ORDENES'!$AF742)</f>
        <v/>
      </c>
    </row>
    <row r="765">
      <c r="A765" s="5">
        <f>IF('ORDENES'!$A743="","",IF('ORDENES'!$O743="","-",'ORDENES'!$O743))</f>
        <v/>
      </c>
      <c r="B765" s="5">
        <f>IF('ORDENES'!$A743="","",IF('ORDENES'!$S743="","-",'ORDENES'!$S743))</f>
        <v/>
      </c>
      <c r="C765" s="5">
        <f>IF('ORDENES'!$A743="","",IF('ORDENES'!$AH743="","-",'ORDENES'!$AH743))</f>
        <v/>
      </c>
      <c r="D765" s="5">
        <f>IF('ORDENES'!$A743="","",IF('ORDENES'!$Z743="","-",'ORDENES'!$Z743))</f>
        <v/>
      </c>
      <c r="E765" s="5">
        <f>IF('ORDENES'!$A743="","",IF('ORDENES'!$X743="","-",'ORDENES'!$X743))</f>
        <v/>
      </c>
      <c r="F765" s="5">
        <f>IF('ORDENES'!$A743="","",IF('ORDENES'!$AA743="","-",'ORDENES'!$AA743))</f>
        <v/>
      </c>
      <c r="G765" s="5">
        <f>IF('ORDENES'!$A743="","",IF('ORDENES'!$Y743="","-",'ORDENES'!$Y743))</f>
        <v/>
      </c>
      <c r="H765" s="5">
        <f>IF('ORDENES'!$A743="","",IF('ORDENES'!$AG743="","-",'ORDENES'!$AG743))</f>
        <v/>
      </c>
      <c r="I765" s="5">
        <f>IF('ORDENES'!$A743="","",IF('ORDENES'!$AT743="","-",'ORDENES'!$AT743))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20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IF('ORDENES'!$A743="","",'ORDENES'!$AF743)</f>
        <v/>
      </c>
    </row>
    <row r="766">
      <c r="A766" s="5">
        <f>IF('ORDENES'!$A744="","",IF('ORDENES'!$O744="","-",'ORDENES'!$O744))</f>
        <v/>
      </c>
      <c r="B766" s="5">
        <f>IF('ORDENES'!$A744="","",IF('ORDENES'!$S744="","-",'ORDENES'!$S744))</f>
        <v/>
      </c>
      <c r="C766" s="5">
        <f>IF('ORDENES'!$A744="","",IF('ORDENES'!$AH744="","-",'ORDENES'!$AH744))</f>
        <v/>
      </c>
      <c r="D766" s="5">
        <f>IF('ORDENES'!$A744="","",IF('ORDENES'!$Z744="","-",'ORDENES'!$Z744))</f>
        <v/>
      </c>
      <c r="E766" s="5">
        <f>IF('ORDENES'!$A744="","",IF('ORDENES'!$X744="","-",'ORDENES'!$X744))</f>
        <v/>
      </c>
      <c r="F766" s="5">
        <f>IF('ORDENES'!$A744="","",IF('ORDENES'!$AA744="","-",'ORDENES'!$AA744))</f>
        <v/>
      </c>
      <c r="G766" s="5">
        <f>IF('ORDENES'!$A744="","",IF('ORDENES'!$Y744="","-",'ORDENES'!$Y744))</f>
        <v/>
      </c>
      <c r="H766" s="5">
        <f>IF('ORDENES'!$A744="","",IF('ORDENES'!$AG744="","-",'ORDENES'!$AG744))</f>
        <v/>
      </c>
      <c r="I766" s="5">
        <f>IF('ORDENES'!$A744="","",IF('ORDENES'!$AT744="","-",'ORDENES'!$AT744))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20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IF('ORDENES'!$A744="","",'ORDENES'!$AF744)</f>
        <v/>
      </c>
    </row>
    <row r="767">
      <c r="A767" s="5">
        <f>IF('ORDENES'!$A745="","",IF('ORDENES'!$O745="","-",'ORDENES'!$O745))</f>
        <v/>
      </c>
      <c r="B767" s="5">
        <f>IF('ORDENES'!$A745="","",IF('ORDENES'!$S745="","-",'ORDENES'!$S745))</f>
        <v/>
      </c>
      <c r="C767" s="5">
        <f>IF('ORDENES'!$A745="","",IF('ORDENES'!$AH745="","-",'ORDENES'!$AH745))</f>
        <v/>
      </c>
      <c r="D767" s="5">
        <f>IF('ORDENES'!$A745="","",IF('ORDENES'!$Z745="","-",'ORDENES'!$Z745))</f>
        <v/>
      </c>
      <c r="E767" s="5">
        <f>IF('ORDENES'!$A745="","",IF('ORDENES'!$X745="","-",'ORDENES'!$X745))</f>
        <v/>
      </c>
      <c r="F767" s="5">
        <f>IF('ORDENES'!$A745="","",IF('ORDENES'!$AA745="","-",'ORDENES'!$AA745))</f>
        <v/>
      </c>
      <c r="G767" s="5">
        <f>IF('ORDENES'!$A745="","",IF('ORDENES'!$Y745="","-",'ORDENES'!$Y745))</f>
        <v/>
      </c>
      <c r="H767" s="5">
        <f>IF('ORDENES'!$A745="","",IF('ORDENES'!$AG745="","-",'ORDENES'!$AG745))</f>
        <v/>
      </c>
      <c r="I767" s="5">
        <f>IF('ORDENES'!$A745="","",IF('ORDENES'!$AT745="","-",'ORDENES'!$AT745))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20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IF('ORDENES'!$A745="","",'ORDENES'!$AF745)</f>
        <v/>
      </c>
    </row>
    <row r="768">
      <c r="A768" s="5">
        <f>IF('ORDENES'!$A746="","",IF('ORDENES'!$O746="","-",'ORDENES'!$O746))</f>
        <v/>
      </c>
      <c r="B768" s="5">
        <f>IF('ORDENES'!$A746="","",IF('ORDENES'!$S746="","-",'ORDENES'!$S746))</f>
        <v/>
      </c>
      <c r="C768" s="5">
        <f>IF('ORDENES'!$A746="","",IF('ORDENES'!$AH746="","-",'ORDENES'!$AH746))</f>
        <v/>
      </c>
      <c r="D768" s="5">
        <f>IF('ORDENES'!$A746="","",IF('ORDENES'!$Z746="","-",'ORDENES'!$Z746))</f>
        <v/>
      </c>
      <c r="E768" s="5">
        <f>IF('ORDENES'!$A746="","",IF('ORDENES'!$X746="","-",'ORDENES'!$X746))</f>
        <v/>
      </c>
      <c r="F768" s="5">
        <f>IF('ORDENES'!$A746="","",IF('ORDENES'!$AA746="","-",'ORDENES'!$AA746))</f>
        <v/>
      </c>
      <c r="G768" s="5">
        <f>IF('ORDENES'!$A746="","",IF('ORDENES'!$Y746="","-",'ORDENES'!$Y746))</f>
        <v/>
      </c>
      <c r="H768" s="5">
        <f>IF('ORDENES'!$A746="","",IF('ORDENES'!$AG746="","-",'ORDENES'!$AG746))</f>
        <v/>
      </c>
      <c r="I768" s="5">
        <f>IF('ORDENES'!$A746="","",IF('ORDENES'!$AT746="","-",'ORDENES'!$AT746))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20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IF('ORDENES'!$A746="","",'ORDENES'!$AF746)</f>
        <v/>
      </c>
    </row>
    <row r="769">
      <c r="A769" s="5">
        <f>IF('ORDENES'!$A747="","",IF('ORDENES'!$O747="","-",'ORDENES'!$O747))</f>
        <v/>
      </c>
      <c r="B769" s="5">
        <f>IF('ORDENES'!$A747="","",IF('ORDENES'!$S747="","-",'ORDENES'!$S747))</f>
        <v/>
      </c>
      <c r="C769" s="5">
        <f>IF('ORDENES'!$A747="","",IF('ORDENES'!$AH747="","-",'ORDENES'!$AH747))</f>
        <v/>
      </c>
      <c r="D769" s="5">
        <f>IF('ORDENES'!$A747="","",IF('ORDENES'!$Z747="","-",'ORDENES'!$Z747))</f>
        <v/>
      </c>
      <c r="E769" s="5">
        <f>IF('ORDENES'!$A747="","",IF('ORDENES'!$X747="","-",'ORDENES'!$X747))</f>
        <v/>
      </c>
      <c r="F769" s="5">
        <f>IF('ORDENES'!$A747="","",IF('ORDENES'!$AA747="","-",'ORDENES'!$AA747))</f>
        <v/>
      </c>
      <c r="G769" s="5">
        <f>IF('ORDENES'!$A747="","",IF('ORDENES'!$Y747="","-",'ORDENES'!$Y747))</f>
        <v/>
      </c>
      <c r="H769" s="5">
        <f>IF('ORDENES'!$A747="","",IF('ORDENES'!$AG747="","-",'ORDENES'!$AG747))</f>
        <v/>
      </c>
      <c r="I769" s="5">
        <f>IF('ORDENES'!$A747="","",IF('ORDENES'!$AT747="","-",'ORDENES'!$AT747))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20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IF('ORDENES'!$A747="","",'ORDENES'!$AF747)</f>
        <v/>
      </c>
    </row>
    <row r="770">
      <c r="A770" s="5">
        <f>IF('ORDENES'!$A748="","",IF('ORDENES'!$O748="","-",'ORDENES'!$O748))</f>
        <v/>
      </c>
      <c r="B770" s="5">
        <f>IF('ORDENES'!$A748="","",IF('ORDENES'!$S748="","-",'ORDENES'!$S748))</f>
        <v/>
      </c>
      <c r="C770" s="5">
        <f>IF('ORDENES'!$A748="","",IF('ORDENES'!$AH748="","-",'ORDENES'!$AH748))</f>
        <v/>
      </c>
      <c r="D770" s="5">
        <f>IF('ORDENES'!$A748="","",IF('ORDENES'!$Z748="","-",'ORDENES'!$Z748))</f>
        <v/>
      </c>
      <c r="E770" s="5">
        <f>IF('ORDENES'!$A748="","",IF('ORDENES'!$X748="","-",'ORDENES'!$X748))</f>
        <v/>
      </c>
      <c r="F770" s="5">
        <f>IF('ORDENES'!$A748="","",IF('ORDENES'!$AA748="","-",'ORDENES'!$AA748))</f>
        <v/>
      </c>
      <c r="G770" s="5">
        <f>IF('ORDENES'!$A748="","",IF('ORDENES'!$Y748="","-",'ORDENES'!$Y748))</f>
        <v/>
      </c>
      <c r="H770" s="5">
        <f>IF('ORDENES'!$A748="","",IF('ORDENES'!$AG748="","-",'ORDENES'!$AG748))</f>
        <v/>
      </c>
      <c r="I770" s="5">
        <f>IF('ORDENES'!$A748="","",IF('ORDENES'!$AT748="","-",'ORDENES'!$AT748))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20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IF('ORDENES'!$A748="","",'ORDENES'!$AF748)</f>
        <v/>
      </c>
    </row>
    <row r="771">
      <c r="A771" s="5">
        <f>IF('ORDENES'!$A749="","",IF('ORDENES'!$O749="","-",'ORDENES'!$O749))</f>
        <v/>
      </c>
      <c r="B771" s="5">
        <f>IF('ORDENES'!$A749="","",IF('ORDENES'!$S749="","-",'ORDENES'!$S749))</f>
        <v/>
      </c>
      <c r="C771" s="5">
        <f>IF('ORDENES'!$A749="","",IF('ORDENES'!$AH749="","-",'ORDENES'!$AH749))</f>
        <v/>
      </c>
      <c r="D771" s="5">
        <f>IF('ORDENES'!$A749="","",IF('ORDENES'!$Z749="","-",'ORDENES'!$Z749))</f>
        <v/>
      </c>
      <c r="E771" s="5">
        <f>IF('ORDENES'!$A749="","",IF('ORDENES'!$X749="","-",'ORDENES'!$X749))</f>
        <v/>
      </c>
      <c r="F771" s="5">
        <f>IF('ORDENES'!$A749="","",IF('ORDENES'!$AA749="","-",'ORDENES'!$AA749))</f>
        <v/>
      </c>
      <c r="G771" s="5">
        <f>IF('ORDENES'!$A749="","",IF('ORDENES'!$Y749="","-",'ORDENES'!$Y749))</f>
        <v/>
      </c>
      <c r="H771" s="5">
        <f>IF('ORDENES'!$A749="","",IF('ORDENES'!$AG749="","-",'ORDENES'!$AG749))</f>
        <v/>
      </c>
      <c r="I771" s="5">
        <f>IF('ORDENES'!$A749="","",IF('ORDENES'!$AT749="","-",'ORDENES'!$AT749))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20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IF('ORDENES'!$A749="","",'ORDENES'!$AF749)</f>
        <v/>
      </c>
    </row>
    <row r="772">
      <c r="A772" s="5">
        <f>IF('ORDENES'!$A750="","",IF('ORDENES'!$O750="","-",'ORDENES'!$O750))</f>
        <v/>
      </c>
      <c r="B772" s="5">
        <f>IF('ORDENES'!$A750="","",IF('ORDENES'!$S750="","-",'ORDENES'!$S750))</f>
        <v/>
      </c>
      <c r="C772" s="5">
        <f>IF('ORDENES'!$A750="","",IF('ORDENES'!$AH750="","-",'ORDENES'!$AH750))</f>
        <v/>
      </c>
      <c r="D772" s="5">
        <f>IF('ORDENES'!$A750="","",IF('ORDENES'!$Z750="","-",'ORDENES'!$Z750))</f>
        <v/>
      </c>
      <c r="E772" s="5">
        <f>IF('ORDENES'!$A750="","",IF('ORDENES'!$X750="","-",'ORDENES'!$X750))</f>
        <v/>
      </c>
      <c r="F772" s="5">
        <f>IF('ORDENES'!$A750="","",IF('ORDENES'!$AA750="","-",'ORDENES'!$AA750))</f>
        <v/>
      </c>
      <c r="G772" s="5">
        <f>IF('ORDENES'!$A750="","",IF('ORDENES'!$Y750="","-",'ORDENES'!$Y750))</f>
        <v/>
      </c>
      <c r="H772" s="5">
        <f>IF('ORDENES'!$A750="","",IF('ORDENES'!$AG750="","-",'ORDENES'!$AG750))</f>
        <v/>
      </c>
      <c r="I772" s="5">
        <f>IF('ORDENES'!$A750="","",IF('ORDENES'!$AT750="","-",'ORDENES'!$AT750))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20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IF('ORDENES'!$A750="","",'ORDENES'!$AF750)</f>
        <v/>
      </c>
    </row>
    <row r="773">
      <c r="A773" s="5">
        <f>IF('ORDENES'!$A751="","",IF('ORDENES'!$O751="","-",'ORDENES'!$O751))</f>
        <v/>
      </c>
      <c r="B773" s="5">
        <f>IF('ORDENES'!$A751="","",IF('ORDENES'!$S751="","-",'ORDENES'!$S751))</f>
        <v/>
      </c>
      <c r="C773" s="5">
        <f>IF('ORDENES'!$A751="","",IF('ORDENES'!$AH751="","-",'ORDENES'!$AH751))</f>
        <v/>
      </c>
      <c r="D773" s="5">
        <f>IF('ORDENES'!$A751="","",IF('ORDENES'!$Z751="","-",'ORDENES'!$Z751))</f>
        <v/>
      </c>
      <c r="E773" s="5">
        <f>IF('ORDENES'!$A751="","",IF('ORDENES'!$X751="","-",'ORDENES'!$X751))</f>
        <v/>
      </c>
      <c r="F773" s="5">
        <f>IF('ORDENES'!$A751="","",IF('ORDENES'!$AA751="","-",'ORDENES'!$AA751))</f>
        <v/>
      </c>
      <c r="G773" s="5">
        <f>IF('ORDENES'!$A751="","",IF('ORDENES'!$Y751="","-",'ORDENES'!$Y751))</f>
        <v/>
      </c>
      <c r="H773" s="5">
        <f>IF('ORDENES'!$A751="","",IF('ORDENES'!$AG751="","-",'ORDENES'!$AG751))</f>
        <v/>
      </c>
      <c r="I773" s="5">
        <f>IF('ORDENES'!$A751="","",IF('ORDENES'!$AT751="","-",'ORDENES'!$AT751))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20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IF('ORDENES'!$A751="","",'ORDENES'!$AF751)</f>
        <v/>
      </c>
    </row>
    <row r="774">
      <c r="A774" s="5">
        <f>IF('ORDENES'!$A752="","",IF('ORDENES'!$O752="","-",'ORDENES'!$O752))</f>
        <v/>
      </c>
      <c r="B774" s="5">
        <f>IF('ORDENES'!$A752="","",IF('ORDENES'!$S752="","-",'ORDENES'!$S752))</f>
        <v/>
      </c>
      <c r="C774" s="5">
        <f>IF('ORDENES'!$A752="","",IF('ORDENES'!$AH752="","-",'ORDENES'!$AH752))</f>
        <v/>
      </c>
      <c r="D774" s="5">
        <f>IF('ORDENES'!$A752="","",IF('ORDENES'!$Z752="","-",'ORDENES'!$Z752))</f>
        <v/>
      </c>
      <c r="E774" s="5">
        <f>IF('ORDENES'!$A752="","",IF('ORDENES'!$X752="","-",'ORDENES'!$X752))</f>
        <v/>
      </c>
      <c r="F774" s="5">
        <f>IF('ORDENES'!$A752="","",IF('ORDENES'!$AA752="","-",'ORDENES'!$AA752))</f>
        <v/>
      </c>
      <c r="G774" s="5">
        <f>IF('ORDENES'!$A752="","",IF('ORDENES'!$Y752="","-",'ORDENES'!$Y752))</f>
        <v/>
      </c>
      <c r="H774" s="5">
        <f>IF('ORDENES'!$A752="","",IF('ORDENES'!$AG752="","-",'ORDENES'!$AG752))</f>
        <v/>
      </c>
      <c r="I774" s="5">
        <f>IF('ORDENES'!$A752="","",IF('ORDENES'!$AT752="","-",'ORDENES'!$AT752))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20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IF('ORDENES'!$A752="","",'ORDENES'!$AF752)</f>
        <v/>
      </c>
    </row>
    <row r="775">
      <c r="A775" s="5">
        <f>IF('ORDENES'!$A753="","",IF('ORDENES'!$O753="","-",'ORDENES'!$O753))</f>
        <v/>
      </c>
      <c r="B775" s="5">
        <f>IF('ORDENES'!$A753="","",IF('ORDENES'!$S753="","-",'ORDENES'!$S753))</f>
        <v/>
      </c>
      <c r="C775" s="5">
        <f>IF('ORDENES'!$A753="","",IF('ORDENES'!$AH753="","-",'ORDENES'!$AH753))</f>
        <v/>
      </c>
      <c r="D775" s="5">
        <f>IF('ORDENES'!$A753="","",IF('ORDENES'!$Z753="","-",'ORDENES'!$Z753))</f>
        <v/>
      </c>
      <c r="E775" s="5">
        <f>IF('ORDENES'!$A753="","",IF('ORDENES'!$X753="","-",'ORDENES'!$X753))</f>
        <v/>
      </c>
      <c r="F775" s="5">
        <f>IF('ORDENES'!$A753="","",IF('ORDENES'!$AA753="","-",'ORDENES'!$AA753))</f>
        <v/>
      </c>
      <c r="G775" s="5">
        <f>IF('ORDENES'!$A753="","",IF('ORDENES'!$Y753="","-",'ORDENES'!$Y753))</f>
        <v/>
      </c>
      <c r="H775" s="5">
        <f>IF('ORDENES'!$A753="","",IF('ORDENES'!$AG753="","-",'ORDENES'!$AG753))</f>
        <v/>
      </c>
      <c r="I775" s="5">
        <f>IF('ORDENES'!$A753="","",IF('ORDENES'!$AT753="","-",'ORDENES'!$AT753))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20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IF('ORDENES'!$A753="","",'ORDENES'!$AF753)</f>
        <v/>
      </c>
    </row>
    <row r="776">
      <c r="A776" s="5">
        <f>IF('ORDENES'!$A754="","",IF('ORDENES'!$O754="","-",'ORDENES'!$O754))</f>
        <v/>
      </c>
      <c r="B776" s="5">
        <f>IF('ORDENES'!$A754="","",IF('ORDENES'!$S754="","-",'ORDENES'!$S754))</f>
        <v/>
      </c>
      <c r="C776" s="5">
        <f>IF('ORDENES'!$A754="","",IF('ORDENES'!$AH754="","-",'ORDENES'!$AH754))</f>
        <v/>
      </c>
      <c r="D776" s="5">
        <f>IF('ORDENES'!$A754="","",IF('ORDENES'!$Z754="","-",'ORDENES'!$Z754))</f>
        <v/>
      </c>
      <c r="E776" s="5">
        <f>IF('ORDENES'!$A754="","",IF('ORDENES'!$X754="","-",'ORDENES'!$X754))</f>
        <v/>
      </c>
      <c r="F776" s="5">
        <f>IF('ORDENES'!$A754="","",IF('ORDENES'!$AA754="","-",'ORDENES'!$AA754))</f>
        <v/>
      </c>
      <c r="G776" s="5">
        <f>IF('ORDENES'!$A754="","",IF('ORDENES'!$Y754="","-",'ORDENES'!$Y754))</f>
        <v/>
      </c>
      <c r="H776" s="5">
        <f>IF('ORDENES'!$A754="","",IF('ORDENES'!$AG754="","-",'ORDENES'!$AG754))</f>
        <v/>
      </c>
      <c r="I776" s="5">
        <f>IF('ORDENES'!$A754="","",IF('ORDENES'!$AT754="","-",'ORDENES'!$AT754))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20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IF('ORDENES'!$A754="","",'ORDENES'!$AF754)</f>
        <v/>
      </c>
    </row>
    <row r="777">
      <c r="A777" s="5">
        <f>IF('ORDENES'!$A755="","",IF('ORDENES'!$O755="","-",'ORDENES'!$O755))</f>
        <v/>
      </c>
      <c r="B777" s="5">
        <f>IF('ORDENES'!$A755="","",IF('ORDENES'!$S755="","-",'ORDENES'!$S755))</f>
        <v/>
      </c>
      <c r="C777" s="5">
        <f>IF('ORDENES'!$A755="","",IF('ORDENES'!$AH755="","-",'ORDENES'!$AH755))</f>
        <v/>
      </c>
      <c r="D777" s="5">
        <f>IF('ORDENES'!$A755="","",IF('ORDENES'!$Z755="","-",'ORDENES'!$Z755))</f>
        <v/>
      </c>
      <c r="E777" s="5">
        <f>IF('ORDENES'!$A755="","",IF('ORDENES'!$X755="","-",'ORDENES'!$X755))</f>
        <v/>
      </c>
      <c r="F777" s="5">
        <f>IF('ORDENES'!$A755="","",IF('ORDENES'!$AA755="","-",'ORDENES'!$AA755))</f>
        <v/>
      </c>
      <c r="G777" s="5">
        <f>IF('ORDENES'!$A755="","",IF('ORDENES'!$Y755="","-",'ORDENES'!$Y755))</f>
        <v/>
      </c>
      <c r="H777" s="5">
        <f>IF('ORDENES'!$A755="","",IF('ORDENES'!$AG755="","-",'ORDENES'!$AG755))</f>
        <v/>
      </c>
      <c r="I777" s="5">
        <f>IF('ORDENES'!$A755="","",IF('ORDENES'!$AT755="","-",'ORDENES'!$AT755))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20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IF('ORDENES'!$A755="","",'ORDENES'!$AF755)</f>
        <v/>
      </c>
    </row>
    <row r="778">
      <c r="A778" s="5">
        <f>IF('ORDENES'!$A756="","",IF('ORDENES'!$O756="","-",'ORDENES'!$O756))</f>
        <v/>
      </c>
      <c r="B778" s="5">
        <f>IF('ORDENES'!$A756="","",IF('ORDENES'!$S756="","-",'ORDENES'!$S756))</f>
        <v/>
      </c>
      <c r="C778" s="5">
        <f>IF('ORDENES'!$A756="","",IF('ORDENES'!$AH756="","-",'ORDENES'!$AH756))</f>
        <v/>
      </c>
      <c r="D778" s="5">
        <f>IF('ORDENES'!$A756="","",IF('ORDENES'!$Z756="","-",'ORDENES'!$Z756))</f>
        <v/>
      </c>
      <c r="E778" s="5">
        <f>IF('ORDENES'!$A756="","",IF('ORDENES'!$X756="","-",'ORDENES'!$X756))</f>
        <v/>
      </c>
      <c r="F778" s="5">
        <f>IF('ORDENES'!$A756="","",IF('ORDENES'!$AA756="","-",'ORDENES'!$AA756))</f>
        <v/>
      </c>
      <c r="G778" s="5">
        <f>IF('ORDENES'!$A756="","",IF('ORDENES'!$Y756="","-",'ORDENES'!$Y756))</f>
        <v/>
      </c>
      <c r="H778" s="5">
        <f>IF('ORDENES'!$A756="","",IF('ORDENES'!$AG756="","-",'ORDENES'!$AG756))</f>
        <v/>
      </c>
      <c r="I778" s="5">
        <f>IF('ORDENES'!$A756="","",IF('ORDENES'!$AT756="","-",'ORDENES'!$AT756))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20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IF('ORDENES'!$A756="","",'ORDENES'!$AF756)</f>
        <v/>
      </c>
    </row>
    <row r="779">
      <c r="A779" s="5">
        <f>IF('ORDENES'!$A757="","",IF('ORDENES'!$O757="","-",'ORDENES'!$O757))</f>
        <v/>
      </c>
      <c r="B779" s="5">
        <f>IF('ORDENES'!$A757="","",IF('ORDENES'!$S757="","-",'ORDENES'!$S757))</f>
        <v/>
      </c>
      <c r="C779" s="5">
        <f>IF('ORDENES'!$A757="","",IF('ORDENES'!$AH757="","-",'ORDENES'!$AH757))</f>
        <v/>
      </c>
      <c r="D779" s="5">
        <f>IF('ORDENES'!$A757="","",IF('ORDENES'!$Z757="","-",'ORDENES'!$Z757))</f>
        <v/>
      </c>
      <c r="E779" s="5">
        <f>IF('ORDENES'!$A757="","",IF('ORDENES'!$X757="","-",'ORDENES'!$X757))</f>
        <v/>
      </c>
      <c r="F779" s="5">
        <f>IF('ORDENES'!$A757="","",IF('ORDENES'!$AA757="","-",'ORDENES'!$AA757))</f>
        <v/>
      </c>
      <c r="G779" s="5">
        <f>IF('ORDENES'!$A757="","",IF('ORDENES'!$Y757="","-",'ORDENES'!$Y757))</f>
        <v/>
      </c>
      <c r="H779" s="5">
        <f>IF('ORDENES'!$A757="","",IF('ORDENES'!$AG757="","-",'ORDENES'!$AG757))</f>
        <v/>
      </c>
      <c r="I779" s="5">
        <f>IF('ORDENES'!$A757="","",IF('ORDENES'!$AT757="","-",'ORDENES'!$AT757))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20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IF('ORDENES'!$A757="","",'ORDENES'!$AF757)</f>
        <v/>
      </c>
    </row>
    <row r="780">
      <c r="A780" s="5">
        <f>IF('ORDENES'!$A758="","",IF('ORDENES'!$O758="","-",'ORDENES'!$O758))</f>
        <v/>
      </c>
      <c r="B780" s="5">
        <f>IF('ORDENES'!$A758="","",IF('ORDENES'!$S758="","-",'ORDENES'!$S758))</f>
        <v/>
      </c>
      <c r="C780" s="5">
        <f>IF('ORDENES'!$A758="","",IF('ORDENES'!$AH758="","-",'ORDENES'!$AH758))</f>
        <v/>
      </c>
      <c r="D780" s="5">
        <f>IF('ORDENES'!$A758="","",IF('ORDENES'!$Z758="","-",'ORDENES'!$Z758))</f>
        <v/>
      </c>
      <c r="E780" s="5">
        <f>IF('ORDENES'!$A758="","",IF('ORDENES'!$X758="","-",'ORDENES'!$X758))</f>
        <v/>
      </c>
      <c r="F780" s="5">
        <f>IF('ORDENES'!$A758="","",IF('ORDENES'!$AA758="","-",'ORDENES'!$AA758))</f>
        <v/>
      </c>
      <c r="G780" s="5">
        <f>IF('ORDENES'!$A758="","",IF('ORDENES'!$Y758="","-",'ORDENES'!$Y758))</f>
        <v/>
      </c>
      <c r="H780" s="5">
        <f>IF('ORDENES'!$A758="","",IF('ORDENES'!$AG758="","-",'ORDENES'!$AG758))</f>
        <v/>
      </c>
      <c r="I780" s="5">
        <f>IF('ORDENES'!$A758="","",IF('ORDENES'!$AT758="","-",'ORDENES'!$AT758))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20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IF('ORDENES'!$A758="","",'ORDENES'!$AF758)</f>
        <v/>
      </c>
    </row>
    <row r="781">
      <c r="A781" s="5">
        <f>IF('ORDENES'!$A759="","",IF('ORDENES'!$O759="","-",'ORDENES'!$O759))</f>
        <v/>
      </c>
      <c r="B781" s="5">
        <f>IF('ORDENES'!$A759="","",IF('ORDENES'!$S759="","-",'ORDENES'!$S759))</f>
        <v/>
      </c>
      <c r="C781" s="5">
        <f>IF('ORDENES'!$A759="","",IF('ORDENES'!$AH759="","-",'ORDENES'!$AH759))</f>
        <v/>
      </c>
      <c r="D781" s="5">
        <f>IF('ORDENES'!$A759="","",IF('ORDENES'!$Z759="","-",'ORDENES'!$Z759))</f>
        <v/>
      </c>
      <c r="E781" s="5">
        <f>IF('ORDENES'!$A759="","",IF('ORDENES'!$X759="","-",'ORDENES'!$X759))</f>
        <v/>
      </c>
      <c r="F781" s="5">
        <f>IF('ORDENES'!$A759="","",IF('ORDENES'!$AA759="","-",'ORDENES'!$AA759))</f>
        <v/>
      </c>
      <c r="G781" s="5">
        <f>IF('ORDENES'!$A759="","",IF('ORDENES'!$Y759="","-",'ORDENES'!$Y759))</f>
        <v/>
      </c>
      <c r="H781" s="5">
        <f>IF('ORDENES'!$A759="","",IF('ORDENES'!$AG759="","-",'ORDENES'!$AG759))</f>
        <v/>
      </c>
      <c r="I781" s="5">
        <f>IF('ORDENES'!$A759="","",IF('ORDENES'!$AT759="","-",'ORDENES'!$AT759))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20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IF('ORDENES'!$A759="","",'ORDENES'!$AF759)</f>
        <v/>
      </c>
    </row>
    <row r="782">
      <c r="A782" s="5">
        <f>IF('ORDENES'!$A760="","",IF('ORDENES'!$O760="","-",'ORDENES'!$O760))</f>
        <v/>
      </c>
      <c r="B782" s="5">
        <f>IF('ORDENES'!$A760="","",IF('ORDENES'!$S760="","-",'ORDENES'!$S760))</f>
        <v/>
      </c>
      <c r="C782" s="5">
        <f>IF('ORDENES'!$A760="","",IF('ORDENES'!$AH760="","-",'ORDENES'!$AH760))</f>
        <v/>
      </c>
      <c r="D782" s="5">
        <f>IF('ORDENES'!$A760="","",IF('ORDENES'!$Z760="","-",'ORDENES'!$Z760))</f>
        <v/>
      </c>
      <c r="E782" s="5">
        <f>IF('ORDENES'!$A760="","",IF('ORDENES'!$X760="","-",'ORDENES'!$X760))</f>
        <v/>
      </c>
      <c r="F782" s="5">
        <f>IF('ORDENES'!$A760="","",IF('ORDENES'!$AA760="","-",'ORDENES'!$AA760))</f>
        <v/>
      </c>
      <c r="G782" s="5">
        <f>IF('ORDENES'!$A760="","",IF('ORDENES'!$Y760="","-",'ORDENES'!$Y760))</f>
        <v/>
      </c>
      <c r="H782" s="5">
        <f>IF('ORDENES'!$A760="","",IF('ORDENES'!$AG760="","-",'ORDENES'!$AG760))</f>
        <v/>
      </c>
      <c r="I782" s="5">
        <f>IF('ORDENES'!$A760="","",IF('ORDENES'!$AT760="","-",'ORDENES'!$AT760))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20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IF('ORDENES'!$A760="","",'ORDENES'!$AF760)</f>
        <v/>
      </c>
    </row>
    <row r="783">
      <c r="A783" s="5">
        <f>IF('ORDENES'!$A761="","",IF('ORDENES'!$O761="","-",'ORDENES'!$O761))</f>
        <v/>
      </c>
      <c r="B783" s="5">
        <f>IF('ORDENES'!$A761="","",IF('ORDENES'!$S761="","-",'ORDENES'!$S761))</f>
        <v/>
      </c>
      <c r="C783" s="5">
        <f>IF('ORDENES'!$A761="","",IF('ORDENES'!$AH761="","-",'ORDENES'!$AH761))</f>
        <v/>
      </c>
      <c r="D783" s="5">
        <f>IF('ORDENES'!$A761="","",IF('ORDENES'!$Z761="","-",'ORDENES'!$Z761))</f>
        <v/>
      </c>
      <c r="E783" s="5">
        <f>IF('ORDENES'!$A761="","",IF('ORDENES'!$X761="","-",'ORDENES'!$X761))</f>
        <v/>
      </c>
      <c r="F783" s="5">
        <f>IF('ORDENES'!$A761="","",IF('ORDENES'!$AA761="","-",'ORDENES'!$AA761))</f>
        <v/>
      </c>
      <c r="G783" s="5">
        <f>IF('ORDENES'!$A761="","",IF('ORDENES'!$Y761="","-",'ORDENES'!$Y761))</f>
        <v/>
      </c>
      <c r="H783" s="5">
        <f>IF('ORDENES'!$A761="","",IF('ORDENES'!$AG761="","-",'ORDENES'!$AG761))</f>
        <v/>
      </c>
      <c r="I783" s="5">
        <f>IF('ORDENES'!$A761="","",IF('ORDENES'!$AT761="","-",'ORDENES'!$AT761))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20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IF('ORDENES'!$A761="","",'ORDENES'!$AF761)</f>
        <v/>
      </c>
    </row>
    <row r="784">
      <c r="A784" s="5">
        <f>IF('ORDENES'!$A762="","",IF('ORDENES'!$O762="","-",'ORDENES'!$O762))</f>
        <v/>
      </c>
      <c r="B784" s="5">
        <f>IF('ORDENES'!$A762="","",IF('ORDENES'!$S762="","-",'ORDENES'!$S762))</f>
        <v/>
      </c>
      <c r="C784" s="5">
        <f>IF('ORDENES'!$A762="","",IF('ORDENES'!$AH762="","-",'ORDENES'!$AH762))</f>
        <v/>
      </c>
      <c r="D784" s="5">
        <f>IF('ORDENES'!$A762="","",IF('ORDENES'!$Z762="","-",'ORDENES'!$Z762))</f>
        <v/>
      </c>
      <c r="E784" s="5">
        <f>IF('ORDENES'!$A762="","",IF('ORDENES'!$X762="","-",'ORDENES'!$X762))</f>
        <v/>
      </c>
      <c r="F784" s="5">
        <f>IF('ORDENES'!$A762="","",IF('ORDENES'!$AA762="","-",'ORDENES'!$AA762))</f>
        <v/>
      </c>
      <c r="G784" s="5">
        <f>IF('ORDENES'!$A762="","",IF('ORDENES'!$Y762="","-",'ORDENES'!$Y762))</f>
        <v/>
      </c>
      <c r="H784" s="5">
        <f>IF('ORDENES'!$A762="","",IF('ORDENES'!$AG762="","-",'ORDENES'!$AG762))</f>
        <v/>
      </c>
      <c r="I784" s="5">
        <f>IF('ORDENES'!$A762="","",IF('ORDENES'!$AT762="","-",'ORDENES'!$AT762))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20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IF('ORDENES'!$A762="","",'ORDENES'!$AF762)</f>
        <v/>
      </c>
    </row>
    <row r="785">
      <c r="A785" s="5">
        <f>IF('ORDENES'!$A763="","",IF('ORDENES'!$O763="","-",'ORDENES'!$O763))</f>
        <v/>
      </c>
      <c r="B785" s="5">
        <f>IF('ORDENES'!$A763="","",IF('ORDENES'!$S763="","-",'ORDENES'!$S763))</f>
        <v/>
      </c>
      <c r="C785" s="5">
        <f>IF('ORDENES'!$A763="","",IF('ORDENES'!$AH763="","-",'ORDENES'!$AH763))</f>
        <v/>
      </c>
      <c r="D785" s="5">
        <f>IF('ORDENES'!$A763="","",IF('ORDENES'!$Z763="","-",'ORDENES'!$Z763))</f>
        <v/>
      </c>
      <c r="E785" s="5">
        <f>IF('ORDENES'!$A763="","",IF('ORDENES'!$X763="","-",'ORDENES'!$X763))</f>
        <v/>
      </c>
      <c r="F785" s="5">
        <f>IF('ORDENES'!$A763="","",IF('ORDENES'!$AA763="","-",'ORDENES'!$AA763))</f>
        <v/>
      </c>
      <c r="G785" s="5">
        <f>IF('ORDENES'!$A763="","",IF('ORDENES'!$Y763="","-",'ORDENES'!$Y763))</f>
        <v/>
      </c>
      <c r="H785" s="5">
        <f>IF('ORDENES'!$A763="","",IF('ORDENES'!$AG763="","-",'ORDENES'!$AG763))</f>
        <v/>
      </c>
      <c r="I785" s="5">
        <f>IF('ORDENES'!$A763="","",IF('ORDENES'!$AT763="","-",'ORDENES'!$AT763))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20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IF('ORDENES'!$A763="","",'ORDENES'!$AF763)</f>
        <v/>
      </c>
    </row>
    <row r="786">
      <c r="A786" s="5">
        <f>IF('ORDENES'!$A764="","",IF('ORDENES'!$O764="","-",'ORDENES'!$O764))</f>
        <v/>
      </c>
      <c r="B786" s="5">
        <f>IF('ORDENES'!$A764="","",IF('ORDENES'!$S764="","-",'ORDENES'!$S764))</f>
        <v/>
      </c>
      <c r="C786" s="5">
        <f>IF('ORDENES'!$A764="","",IF('ORDENES'!$AH764="","-",'ORDENES'!$AH764))</f>
        <v/>
      </c>
      <c r="D786" s="5">
        <f>IF('ORDENES'!$A764="","",IF('ORDENES'!$Z764="","-",'ORDENES'!$Z764))</f>
        <v/>
      </c>
      <c r="E786" s="5">
        <f>IF('ORDENES'!$A764="","",IF('ORDENES'!$X764="","-",'ORDENES'!$X764))</f>
        <v/>
      </c>
      <c r="F786" s="5">
        <f>IF('ORDENES'!$A764="","",IF('ORDENES'!$AA764="","-",'ORDENES'!$AA764))</f>
        <v/>
      </c>
      <c r="G786" s="5">
        <f>IF('ORDENES'!$A764="","",IF('ORDENES'!$Y764="","-",'ORDENES'!$Y764))</f>
        <v/>
      </c>
      <c r="H786" s="5">
        <f>IF('ORDENES'!$A764="","",IF('ORDENES'!$AG764="","-",'ORDENES'!$AG764))</f>
        <v/>
      </c>
      <c r="I786" s="5">
        <f>IF('ORDENES'!$A764="","",IF('ORDENES'!$AT764="","-",'ORDENES'!$AT764))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20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IF('ORDENES'!$A764="","",'ORDENES'!$AF764)</f>
        <v/>
      </c>
    </row>
    <row r="787">
      <c r="A787" s="5">
        <f>IF('ORDENES'!$A765="","",IF('ORDENES'!$O765="","-",'ORDENES'!$O765))</f>
        <v/>
      </c>
      <c r="B787" s="5">
        <f>IF('ORDENES'!$A765="","",IF('ORDENES'!$S765="","-",'ORDENES'!$S765))</f>
        <v/>
      </c>
      <c r="C787" s="5">
        <f>IF('ORDENES'!$A765="","",IF('ORDENES'!$AH765="","-",'ORDENES'!$AH765))</f>
        <v/>
      </c>
      <c r="D787" s="5">
        <f>IF('ORDENES'!$A765="","",IF('ORDENES'!$Z765="","-",'ORDENES'!$Z765))</f>
        <v/>
      </c>
      <c r="E787" s="5">
        <f>IF('ORDENES'!$A765="","",IF('ORDENES'!$X765="","-",'ORDENES'!$X765))</f>
        <v/>
      </c>
      <c r="F787" s="5">
        <f>IF('ORDENES'!$A765="","",IF('ORDENES'!$AA765="","-",'ORDENES'!$AA765))</f>
        <v/>
      </c>
      <c r="G787" s="5">
        <f>IF('ORDENES'!$A765="","",IF('ORDENES'!$Y765="","-",'ORDENES'!$Y765))</f>
        <v/>
      </c>
      <c r="H787" s="5">
        <f>IF('ORDENES'!$A765="","",IF('ORDENES'!$AG765="","-",'ORDENES'!$AG765))</f>
        <v/>
      </c>
      <c r="I787" s="5">
        <f>IF('ORDENES'!$A765="","",IF('ORDENES'!$AT765="","-",'ORDENES'!$AT765))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20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IF('ORDENES'!$A765="","",'ORDENES'!$AF765)</f>
        <v/>
      </c>
    </row>
    <row r="788">
      <c r="A788" s="5">
        <f>IF('ORDENES'!$A766="","",IF('ORDENES'!$O766="","-",'ORDENES'!$O766))</f>
        <v/>
      </c>
      <c r="B788" s="5">
        <f>IF('ORDENES'!$A766="","",IF('ORDENES'!$S766="","-",'ORDENES'!$S766))</f>
        <v/>
      </c>
      <c r="C788" s="5">
        <f>IF('ORDENES'!$A766="","",IF('ORDENES'!$AH766="","-",'ORDENES'!$AH766))</f>
        <v/>
      </c>
      <c r="D788" s="5">
        <f>IF('ORDENES'!$A766="","",IF('ORDENES'!$Z766="","-",'ORDENES'!$Z766))</f>
        <v/>
      </c>
      <c r="E788" s="5">
        <f>IF('ORDENES'!$A766="","",IF('ORDENES'!$X766="","-",'ORDENES'!$X766))</f>
        <v/>
      </c>
      <c r="F788" s="5">
        <f>IF('ORDENES'!$A766="","",IF('ORDENES'!$AA766="","-",'ORDENES'!$AA766))</f>
        <v/>
      </c>
      <c r="G788" s="5">
        <f>IF('ORDENES'!$A766="","",IF('ORDENES'!$Y766="","-",'ORDENES'!$Y766))</f>
        <v/>
      </c>
      <c r="H788" s="5">
        <f>IF('ORDENES'!$A766="","",IF('ORDENES'!$AG766="","-",'ORDENES'!$AG766))</f>
        <v/>
      </c>
      <c r="I788" s="5">
        <f>IF('ORDENES'!$A766="","",IF('ORDENES'!$AT766="","-",'ORDENES'!$AT766))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20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IF('ORDENES'!$A766="","",'ORDENES'!$AF766)</f>
        <v/>
      </c>
    </row>
    <row r="789">
      <c r="A789" s="5">
        <f>IF('ORDENES'!$A767="","",IF('ORDENES'!$O767="","-",'ORDENES'!$O767))</f>
        <v/>
      </c>
      <c r="B789" s="5">
        <f>IF('ORDENES'!$A767="","",IF('ORDENES'!$S767="","-",'ORDENES'!$S767))</f>
        <v/>
      </c>
      <c r="C789" s="5">
        <f>IF('ORDENES'!$A767="","",IF('ORDENES'!$AH767="","-",'ORDENES'!$AH767))</f>
        <v/>
      </c>
      <c r="D789" s="5">
        <f>IF('ORDENES'!$A767="","",IF('ORDENES'!$Z767="","-",'ORDENES'!$Z767))</f>
        <v/>
      </c>
      <c r="E789" s="5">
        <f>IF('ORDENES'!$A767="","",IF('ORDENES'!$X767="","-",'ORDENES'!$X767))</f>
        <v/>
      </c>
      <c r="F789" s="5">
        <f>IF('ORDENES'!$A767="","",IF('ORDENES'!$AA767="","-",'ORDENES'!$AA767))</f>
        <v/>
      </c>
      <c r="G789" s="5">
        <f>IF('ORDENES'!$A767="","",IF('ORDENES'!$Y767="","-",'ORDENES'!$Y767))</f>
        <v/>
      </c>
      <c r="H789" s="5">
        <f>IF('ORDENES'!$A767="","",IF('ORDENES'!$AG767="","-",'ORDENES'!$AG767))</f>
        <v/>
      </c>
      <c r="I789" s="5">
        <f>IF('ORDENES'!$A767="","",IF('ORDENES'!$AT767="","-",'ORDENES'!$AT767))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20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IF('ORDENES'!$A767="","",'ORDENES'!$AF767)</f>
        <v/>
      </c>
    </row>
    <row r="790">
      <c r="A790" s="5">
        <f>IF('ORDENES'!$A768="","",IF('ORDENES'!$O768="","-",'ORDENES'!$O768))</f>
        <v/>
      </c>
      <c r="B790" s="5">
        <f>IF('ORDENES'!$A768="","",IF('ORDENES'!$S768="","-",'ORDENES'!$S768))</f>
        <v/>
      </c>
      <c r="C790" s="5">
        <f>IF('ORDENES'!$A768="","",IF('ORDENES'!$AH768="","-",'ORDENES'!$AH768))</f>
        <v/>
      </c>
      <c r="D790" s="5">
        <f>IF('ORDENES'!$A768="","",IF('ORDENES'!$Z768="","-",'ORDENES'!$Z768))</f>
        <v/>
      </c>
      <c r="E790" s="5">
        <f>IF('ORDENES'!$A768="","",IF('ORDENES'!$X768="","-",'ORDENES'!$X768))</f>
        <v/>
      </c>
      <c r="F790" s="5">
        <f>IF('ORDENES'!$A768="","",IF('ORDENES'!$AA768="","-",'ORDENES'!$AA768))</f>
        <v/>
      </c>
      <c r="G790" s="5">
        <f>IF('ORDENES'!$A768="","",IF('ORDENES'!$Y768="","-",'ORDENES'!$Y768))</f>
        <v/>
      </c>
      <c r="H790" s="5">
        <f>IF('ORDENES'!$A768="","",IF('ORDENES'!$AG768="","-",'ORDENES'!$AG768))</f>
        <v/>
      </c>
      <c r="I790" s="5">
        <f>IF('ORDENES'!$A768="","",IF('ORDENES'!$AT768="","-",'ORDENES'!$AT768))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20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IF('ORDENES'!$A768="","",'ORDENES'!$AF768)</f>
        <v/>
      </c>
    </row>
    <row r="791">
      <c r="A791" s="5">
        <f>IF('ORDENES'!$A769="","",IF('ORDENES'!$O769="","-",'ORDENES'!$O769))</f>
        <v/>
      </c>
      <c r="B791" s="5">
        <f>IF('ORDENES'!$A769="","",IF('ORDENES'!$S769="","-",'ORDENES'!$S769))</f>
        <v/>
      </c>
      <c r="C791" s="5">
        <f>IF('ORDENES'!$A769="","",IF('ORDENES'!$AH769="","-",'ORDENES'!$AH769))</f>
        <v/>
      </c>
      <c r="D791" s="5">
        <f>IF('ORDENES'!$A769="","",IF('ORDENES'!$Z769="","-",'ORDENES'!$Z769))</f>
        <v/>
      </c>
      <c r="E791" s="5">
        <f>IF('ORDENES'!$A769="","",IF('ORDENES'!$X769="","-",'ORDENES'!$X769))</f>
        <v/>
      </c>
      <c r="F791" s="5">
        <f>IF('ORDENES'!$A769="","",IF('ORDENES'!$AA769="","-",'ORDENES'!$AA769))</f>
        <v/>
      </c>
      <c r="G791" s="5">
        <f>IF('ORDENES'!$A769="","",IF('ORDENES'!$Y769="","-",'ORDENES'!$Y769))</f>
        <v/>
      </c>
      <c r="H791" s="5">
        <f>IF('ORDENES'!$A769="","",IF('ORDENES'!$AG769="","-",'ORDENES'!$AG769))</f>
        <v/>
      </c>
      <c r="I791" s="5">
        <f>IF('ORDENES'!$A769="","",IF('ORDENES'!$AT769="","-",'ORDENES'!$AT769))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20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IF('ORDENES'!$A769="","",'ORDENES'!$AF769)</f>
        <v/>
      </c>
    </row>
    <row r="792">
      <c r="A792" s="5">
        <f>IF('ORDENES'!$A770="","",IF('ORDENES'!$O770="","-",'ORDENES'!$O770))</f>
        <v/>
      </c>
      <c r="B792" s="5">
        <f>IF('ORDENES'!$A770="","",IF('ORDENES'!$S770="","-",'ORDENES'!$S770))</f>
        <v/>
      </c>
      <c r="C792" s="5">
        <f>IF('ORDENES'!$A770="","",IF('ORDENES'!$AH770="","-",'ORDENES'!$AH770))</f>
        <v/>
      </c>
      <c r="D792" s="5">
        <f>IF('ORDENES'!$A770="","",IF('ORDENES'!$Z770="","-",'ORDENES'!$Z770))</f>
        <v/>
      </c>
      <c r="E792" s="5">
        <f>IF('ORDENES'!$A770="","",IF('ORDENES'!$X770="","-",'ORDENES'!$X770))</f>
        <v/>
      </c>
      <c r="F792" s="5">
        <f>IF('ORDENES'!$A770="","",IF('ORDENES'!$AA770="","-",'ORDENES'!$AA770))</f>
        <v/>
      </c>
      <c r="G792" s="5">
        <f>IF('ORDENES'!$A770="","",IF('ORDENES'!$Y770="","-",'ORDENES'!$Y770))</f>
        <v/>
      </c>
      <c r="H792" s="5">
        <f>IF('ORDENES'!$A770="","",IF('ORDENES'!$AG770="","-",'ORDENES'!$AG770))</f>
        <v/>
      </c>
      <c r="I792" s="5">
        <f>IF('ORDENES'!$A770="","",IF('ORDENES'!$AT770="","-",'ORDENES'!$AT770))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20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IF('ORDENES'!$A770="","",'ORDENES'!$AF770)</f>
        <v/>
      </c>
    </row>
    <row r="793">
      <c r="A793" s="5">
        <f>IF('ORDENES'!$A771="","",IF('ORDENES'!$O771="","-",'ORDENES'!$O771))</f>
        <v/>
      </c>
      <c r="B793" s="5">
        <f>IF('ORDENES'!$A771="","",IF('ORDENES'!$S771="","-",'ORDENES'!$S771))</f>
        <v/>
      </c>
      <c r="C793" s="5">
        <f>IF('ORDENES'!$A771="","",IF('ORDENES'!$AH771="","-",'ORDENES'!$AH771))</f>
        <v/>
      </c>
      <c r="D793" s="5">
        <f>IF('ORDENES'!$A771="","",IF('ORDENES'!$Z771="","-",'ORDENES'!$Z771))</f>
        <v/>
      </c>
      <c r="E793" s="5">
        <f>IF('ORDENES'!$A771="","",IF('ORDENES'!$X771="","-",'ORDENES'!$X771))</f>
        <v/>
      </c>
      <c r="F793" s="5">
        <f>IF('ORDENES'!$A771="","",IF('ORDENES'!$AA771="","-",'ORDENES'!$AA771))</f>
        <v/>
      </c>
      <c r="G793" s="5">
        <f>IF('ORDENES'!$A771="","",IF('ORDENES'!$Y771="","-",'ORDENES'!$Y771))</f>
        <v/>
      </c>
      <c r="H793" s="5">
        <f>IF('ORDENES'!$A771="","",IF('ORDENES'!$AG771="","-",'ORDENES'!$AG771))</f>
        <v/>
      </c>
      <c r="I793" s="5">
        <f>IF('ORDENES'!$A771="","",IF('ORDENES'!$AT771="","-",'ORDENES'!$AT771))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20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IF('ORDENES'!$A771="","",'ORDENES'!$AF771)</f>
        <v/>
      </c>
    </row>
    <row r="794">
      <c r="A794" s="5">
        <f>IF('ORDENES'!$A772="","",IF('ORDENES'!$O772="","-",'ORDENES'!$O772))</f>
        <v/>
      </c>
      <c r="B794" s="5">
        <f>IF('ORDENES'!$A772="","",IF('ORDENES'!$S772="","-",'ORDENES'!$S772))</f>
        <v/>
      </c>
      <c r="C794" s="5">
        <f>IF('ORDENES'!$A772="","",IF('ORDENES'!$AH772="","-",'ORDENES'!$AH772))</f>
        <v/>
      </c>
      <c r="D794" s="5">
        <f>IF('ORDENES'!$A772="","",IF('ORDENES'!$Z772="","-",'ORDENES'!$Z772))</f>
        <v/>
      </c>
      <c r="E794" s="5">
        <f>IF('ORDENES'!$A772="","",IF('ORDENES'!$X772="","-",'ORDENES'!$X772))</f>
        <v/>
      </c>
      <c r="F794" s="5">
        <f>IF('ORDENES'!$A772="","",IF('ORDENES'!$AA772="","-",'ORDENES'!$AA772))</f>
        <v/>
      </c>
      <c r="G794" s="5">
        <f>IF('ORDENES'!$A772="","",IF('ORDENES'!$Y772="","-",'ORDENES'!$Y772))</f>
        <v/>
      </c>
      <c r="H794" s="5">
        <f>IF('ORDENES'!$A772="","",IF('ORDENES'!$AG772="","-",'ORDENES'!$AG772))</f>
        <v/>
      </c>
      <c r="I794" s="5">
        <f>IF('ORDENES'!$A772="","",IF('ORDENES'!$AT772="","-",'ORDENES'!$AT772))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20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IF('ORDENES'!$A772="","",'ORDENES'!$AF772)</f>
        <v/>
      </c>
    </row>
    <row r="795">
      <c r="A795" s="5">
        <f>IF('ORDENES'!$A773="","",IF('ORDENES'!$O773="","-",'ORDENES'!$O773))</f>
        <v/>
      </c>
      <c r="B795" s="5">
        <f>IF('ORDENES'!$A773="","",IF('ORDENES'!$S773="","-",'ORDENES'!$S773))</f>
        <v/>
      </c>
      <c r="C795" s="5">
        <f>IF('ORDENES'!$A773="","",IF('ORDENES'!$AH773="","-",'ORDENES'!$AH773))</f>
        <v/>
      </c>
      <c r="D795" s="5">
        <f>IF('ORDENES'!$A773="","",IF('ORDENES'!$Z773="","-",'ORDENES'!$Z773))</f>
        <v/>
      </c>
      <c r="E795" s="5">
        <f>IF('ORDENES'!$A773="","",IF('ORDENES'!$X773="","-",'ORDENES'!$X773))</f>
        <v/>
      </c>
      <c r="F795" s="5">
        <f>IF('ORDENES'!$A773="","",IF('ORDENES'!$AA773="","-",'ORDENES'!$AA773))</f>
        <v/>
      </c>
      <c r="G795" s="5">
        <f>IF('ORDENES'!$A773="","",IF('ORDENES'!$Y773="","-",'ORDENES'!$Y773))</f>
        <v/>
      </c>
      <c r="H795" s="5">
        <f>IF('ORDENES'!$A773="","",IF('ORDENES'!$AG773="","-",'ORDENES'!$AG773))</f>
        <v/>
      </c>
      <c r="I795" s="5">
        <f>IF('ORDENES'!$A773="","",IF('ORDENES'!$AT773="","-",'ORDENES'!$AT773))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20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IF('ORDENES'!$A773="","",'ORDENES'!$AF773)</f>
        <v/>
      </c>
    </row>
    <row r="796">
      <c r="A796" s="5">
        <f>IF('ORDENES'!$A774="","",IF('ORDENES'!$O774="","-",'ORDENES'!$O774))</f>
        <v/>
      </c>
      <c r="B796" s="5">
        <f>IF('ORDENES'!$A774="","",IF('ORDENES'!$S774="","-",'ORDENES'!$S774))</f>
        <v/>
      </c>
      <c r="C796" s="5">
        <f>IF('ORDENES'!$A774="","",IF('ORDENES'!$AH774="","-",'ORDENES'!$AH774))</f>
        <v/>
      </c>
      <c r="D796" s="5">
        <f>IF('ORDENES'!$A774="","",IF('ORDENES'!$Z774="","-",'ORDENES'!$Z774))</f>
        <v/>
      </c>
      <c r="E796" s="5">
        <f>IF('ORDENES'!$A774="","",IF('ORDENES'!$X774="","-",'ORDENES'!$X774))</f>
        <v/>
      </c>
      <c r="F796" s="5">
        <f>IF('ORDENES'!$A774="","",IF('ORDENES'!$AA774="","-",'ORDENES'!$AA774))</f>
        <v/>
      </c>
      <c r="G796" s="5">
        <f>IF('ORDENES'!$A774="","",IF('ORDENES'!$Y774="","-",'ORDENES'!$Y774))</f>
        <v/>
      </c>
      <c r="H796" s="5">
        <f>IF('ORDENES'!$A774="","",IF('ORDENES'!$AG774="","-",'ORDENES'!$AG774))</f>
        <v/>
      </c>
      <c r="I796" s="5">
        <f>IF('ORDENES'!$A774="","",IF('ORDENES'!$AT774="","-",'ORDENES'!$AT774))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20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IF('ORDENES'!$A774="","",'ORDENES'!$AF774)</f>
        <v/>
      </c>
    </row>
    <row r="797">
      <c r="A797" s="5">
        <f>IF('ORDENES'!$A775="","",IF('ORDENES'!$O775="","-",'ORDENES'!$O775))</f>
        <v/>
      </c>
      <c r="B797" s="5">
        <f>IF('ORDENES'!$A775="","",IF('ORDENES'!$S775="","-",'ORDENES'!$S775))</f>
        <v/>
      </c>
      <c r="C797" s="5">
        <f>IF('ORDENES'!$A775="","",IF('ORDENES'!$AH775="","-",'ORDENES'!$AH775))</f>
        <v/>
      </c>
      <c r="D797" s="5">
        <f>IF('ORDENES'!$A775="","",IF('ORDENES'!$Z775="","-",'ORDENES'!$Z775))</f>
        <v/>
      </c>
      <c r="E797" s="5">
        <f>IF('ORDENES'!$A775="","",IF('ORDENES'!$X775="","-",'ORDENES'!$X775))</f>
        <v/>
      </c>
      <c r="F797" s="5">
        <f>IF('ORDENES'!$A775="","",IF('ORDENES'!$AA775="","-",'ORDENES'!$AA775))</f>
        <v/>
      </c>
      <c r="G797" s="5">
        <f>IF('ORDENES'!$A775="","",IF('ORDENES'!$Y775="","-",'ORDENES'!$Y775))</f>
        <v/>
      </c>
      <c r="H797" s="5">
        <f>IF('ORDENES'!$A775="","",IF('ORDENES'!$AG775="","-",'ORDENES'!$AG775))</f>
        <v/>
      </c>
      <c r="I797" s="5">
        <f>IF('ORDENES'!$A775="","",IF('ORDENES'!$AT775="","-",'ORDENES'!$AT775))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20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IF('ORDENES'!$A775="","",'ORDENES'!$AF775)</f>
        <v/>
      </c>
    </row>
    <row r="798">
      <c r="A798" s="5">
        <f>IF('ORDENES'!$A776="","",IF('ORDENES'!$O776="","-",'ORDENES'!$O776))</f>
        <v/>
      </c>
      <c r="B798" s="5">
        <f>IF('ORDENES'!$A776="","",IF('ORDENES'!$S776="","-",'ORDENES'!$S776))</f>
        <v/>
      </c>
      <c r="C798" s="5">
        <f>IF('ORDENES'!$A776="","",IF('ORDENES'!$AH776="","-",'ORDENES'!$AH776))</f>
        <v/>
      </c>
      <c r="D798" s="5">
        <f>IF('ORDENES'!$A776="","",IF('ORDENES'!$Z776="","-",'ORDENES'!$Z776))</f>
        <v/>
      </c>
      <c r="E798" s="5">
        <f>IF('ORDENES'!$A776="","",IF('ORDENES'!$X776="","-",'ORDENES'!$X776))</f>
        <v/>
      </c>
      <c r="F798" s="5">
        <f>IF('ORDENES'!$A776="","",IF('ORDENES'!$AA776="","-",'ORDENES'!$AA776))</f>
        <v/>
      </c>
      <c r="G798" s="5">
        <f>IF('ORDENES'!$A776="","",IF('ORDENES'!$Y776="","-",'ORDENES'!$Y776))</f>
        <v/>
      </c>
      <c r="H798" s="5">
        <f>IF('ORDENES'!$A776="","",IF('ORDENES'!$AG776="","-",'ORDENES'!$AG776))</f>
        <v/>
      </c>
      <c r="I798" s="5">
        <f>IF('ORDENES'!$A776="","",IF('ORDENES'!$AT776="","-",'ORDENES'!$AT776))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20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IF('ORDENES'!$A776="","",'ORDENES'!$AF776)</f>
        <v/>
      </c>
    </row>
    <row r="799">
      <c r="A799" s="5">
        <f>IF('ORDENES'!$A777="","",IF('ORDENES'!$O777="","-",'ORDENES'!$O777))</f>
        <v/>
      </c>
      <c r="B799" s="5">
        <f>IF('ORDENES'!$A777="","",IF('ORDENES'!$S777="","-",'ORDENES'!$S777))</f>
        <v/>
      </c>
      <c r="C799" s="5">
        <f>IF('ORDENES'!$A777="","",IF('ORDENES'!$AH777="","-",'ORDENES'!$AH777))</f>
        <v/>
      </c>
      <c r="D799" s="5">
        <f>IF('ORDENES'!$A777="","",IF('ORDENES'!$Z777="","-",'ORDENES'!$Z777))</f>
        <v/>
      </c>
      <c r="E799" s="5">
        <f>IF('ORDENES'!$A777="","",IF('ORDENES'!$X777="","-",'ORDENES'!$X777))</f>
        <v/>
      </c>
      <c r="F799" s="5">
        <f>IF('ORDENES'!$A777="","",IF('ORDENES'!$AA777="","-",'ORDENES'!$AA777))</f>
        <v/>
      </c>
      <c r="G799" s="5">
        <f>IF('ORDENES'!$A777="","",IF('ORDENES'!$Y777="","-",'ORDENES'!$Y777))</f>
        <v/>
      </c>
      <c r="H799" s="5">
        <f>IF('ORDENES'!$A777="","",IF('ORDENES'!$AG777="","-",'ORDENES'!$AG777))</f>
        <v/>
      </c>
      <c r="I799" s="5">
        <f>IF('ORDENES'!$A777="","",IF('ORDENES'!$AT777="","-",'ORDENES'!$AT777))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20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IF('ORDENES'!$A777="","",'ORDENES'!$AF777)</f>
        <v/>
      </c>
    </row>
    <row r="800">
      <c r="A800" s="5">
        <f>IF('ORDENES'!$A778="","",IF('ORDENES'!$O778="","-",'ORDENES'!$O778))</f>
        <v/>
      </c>
      <c r="B800" s="5">
        <f>IF('ORDENES'!$A778="","",IF('ORDENES'!$S778="","-",'ORDENES'!$S778))</f>
        <v/>
      </c>
      <c r="C800" s="5">
        <f>IF('ORDENES'!$A778="","",IF('ORDENES'!$AH778="","-",'ORDENES'!$AH778))</f>
        <v/>
      </c>
      <c r="D800" s="5">
        <f>IF('ORDENES'!$A778="","",IF('ORDENES'!$Z778="","-",'ORDENES'!$Z778))</f>
        <v/>
      </c>
      <c r="E800" s="5">
        <f>IF('ORDENES'!$A778="","",IF('ORDENES'!$X778="","-",'ORDENES'!$X778))</f>
        <v/>
      </c>
      <c r="F800" s="5">
        <f>IF('ORDENES'!$A778="","",IF('ORDENES'!$AA778="","-",'ORDENES'!$AA778))</f>
        <v/>
      </c>
      <c r="G800" s="5">
        <f>IF('ORDENES'!$A778="","",IF('ORDENES'!$Y778="","-",'ORDENES'!$Y778))</f>
        <v/>
      </c>
      <c r="H800" s="5">
        <f>IF('ORDENES'!$A778="","",IF('ORDENES'!$AG778="","-",'ORDENES'!$AG778))</f>
        <v/>
      </c>
      <c r="I800" s="5">
        <f>IF('ORDENES'!$A778="","",IF('ORDENES'!$AT778="","-",'ORDENES'!$AT778))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20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IF('ORDENES'!$A778="","",'ORDENES'!$AF778)</f>
        <v/>
      </c>
    </row>
    <row r="801">
      <c r="A801" s="5">
        <f>IF('ORDENES'!$A779="","",IF('ORDENES'!$O779="","-",'ORDENES'!$O779))</f>
        <v/>
      </c>
      <c r="B801" s="5">
        <f>IF('ORDENES'!$A779="","",IF('ORDENES'!$S779="","-",'ORDENES'!$S779))</f>
        <v/>
      </c>
      <c r="C801" s="5">
        <f>IF('ORDENES'!$A779="","",IF('ORDENES'!$AH779="","-",'ORDENES'!$AH779))</f>
        <v/>
      </c>
      <c r="D801" s="5">
        <f>IF('ORDENES'!$A779="","",IF('ORDENES'!$Z779="","-",'ORDENES'!$Z779))</f>
        <v/>
      </c>
      <c r="E801" s="5">
        <f>IF('ORDENES'!$A779="","",IF('ORDENES'!$X779="","-",'ORDENES'!$X779))</f>
        <v/>
      </c>
      <c r="F801" s="5">
        <f>IF('ORDENES'!$A779="","",IF('ORDENES'!$AA779="","-",'ORDENES'!$AA779))</f>
        <v/>
      </c>
      <c r="G801" s="5">
        <f>IF('ORDENES'!$A779="","",IF('ORDENES'!$Y779="","-",'ORDENES'!$Y779))</f>
        <v/>
      </c>
      <c r="H801" s="5">
        <f>IF('ORDENES'!$A779="","",IF('ORDENES'!$AG779="","-",'ORDENES'!$AG779))</f>
        <v/>
      </c>
      <c r="I801" s="5">
        <f>IF('ORDENES'!$A779="","",IF('ORDENES'!$AT779="","-",'ORDENES'!$AT779))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20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IF('ORDENES'!$A779="","",'ORDENES'!$AF779)</f>
        <v/>
      </c>
    </row>
    <row r="802">
      <c r="A802" s="5">
        <f>IF('ORDENES'!$A780="","",IF('ORDENES'!$O780="","-",'ORDENES'!$O780))</f>
        <v/>
      </c>
      <c r="B802" s="5">
        <f>IF('ORDENES'!$A780="","",IF('ORDENES'!$S780="","-",'ORDENES'!$S780))</f>
        <v/>
      </c>
      <c r="C802" s="5">
        <f>IF('ORDENES'!$A780="","",IF('ORDENES'!$AH780="","-",'ORDENES'!$AH780))</f>
        <v/>
      </c>
      <c r="D802" s="5">
        <f>IF('ORDENES'!$A780="","",IF('ORDENES'!$Z780="","-",'ORDENES'!$Z780))</f>
        <v/>
      </c>
      <c r="E802" s="5">
        <f>IF('ORDENES'!$A780="","",IF('ORDENES'!$X780="","-",'ORDENES'!$X780))</f>
        <v/>
      </c>
      <c r="F802" s="5">
        <f>IF('ORDENES'!$A780="","",IF('ORDENES'!$AA780="","-",'ORDENES'!$AA780))</f>
        <v/>
      </c>
      <c r="G802" s="5">
        <f>IF('ORDENES'!$A780="","",IF('ORDENES'!$Y780="","-",'ORDENES'!$Y780))</f>
        <v/>
      </c>
      <c r="H802" s="5">
        <f>IF('ORDENES'!$A780="","",IF('ORDENES'!$AG780="","-",'ORDENES'!$AG780))</f>
        <v/>
      </c>
      <c r="I802" s="5">
        <f>IF('ORDENES'!$A780="","",IF('ORDENES'!$AT780="","-",'ORDENES'!$AT780))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20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IF('ORDENES'!$A780="","",'ORDENES'!$AF780)</f>
        <v/>
      </c>
    </row>
    <row r="803">
      <c r="A803" s="5">
        <f>IF('ORDENES'!$A781="","",IF('ORDENES'!$O781="","-",'ORDENES'!$O781))</f>
        <v/>
      </c>
      <c r="B803" s="5">
        <f>IF('ORDENES'!$A781="","",IF('ORDENES'!$S781="","-",'ORDENES'!$S781))</f>
        <v/>
      </c>
      <c r="C803" s="5">
        <f>IF('ORDENES'!$A781="","",IF('ORDENES'!$AH781="","-",'ORDENES'!$AH781))</f>
        <v/>
      </c>
      <c r="D803" s="5">
        <f>IF('ORDENES'!$A781="","",IF('ORDENES'!$Z781="","-",'ORDENES'!$Z781))</f>
        <v/>
      </c>
      <c r="E803" s="5">
        <f>IF('ORDENES'!$A781="","",IF('ORDENES'!$X781="","-",'ORDENES'!$X781))</f>
        <v/>
      </c>
      <c r="F803" s="5">
        <f>IF('ORDENES'!$A781="","",IF('ORDENES'!$AA781="","-",'ORDENES'!$AA781))</f>
        <v/>
      </c>
      <c r="G803" s="5">
        <f>IF('ORDENES'!$A781="","",IF('ORDENES'!$Y781="","-",'ORDENES'!$Y781))</f>
        <v/>
      </c>
      <c r="H803" s="5">
        <f>IF('ORDENES'!$A781="","",IF('ORDENES'!$AG781="","-",'ORDENES'!$AG781))</f>
        <v/>
      </c>
      <c r="I803" s="5">
        <f>IF('ORDENES'!$A781="","",IF('ORDENES'!$AT781="","-",'ORDENES'!$AT781))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20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IF('ORDENES'!$A781="","",'ORDENES'!$AF781)</f>
        <v/>
      </c>
    </row>
    <row r="804">
      <c r="A804" s="5">
        <f>IF('ORDENES'!$A782="","",IF('ORDENES'!$O782="","-",'ORDENES'!$O782))</f>
        <v/>
      </c>
      <c r="B804" s="5">
        <f>IF('ORDENES'!$A782="","",IF('ORDENES'!$S782="","-",'ORDENES'!$S782))</f>
        <v/>
      </c>
      <c r="C804" s="5">
        <f>IF('ORDENES'!$A782="","",IF('ORDENES'!$AH782="","-",'ORDENES'!$AH782))</f>
        <v/>
      </c>
      <c r="D804" s="5">
        <f>IF('ORDENES'!$A782="","",IF('ORDENES'!$Z782="","-",'ORDENES'!$Z782))</f>
        <v/>
      </c>
      <c r="E804" s="5">
        <f>IF('ORDENES'!$A782="","",IF('ORDENES'!$X782="","-",'ORDENES'!$X782))</f>
        <v/>
      </c>
      <c r="F804" s="5">
        <f>IF('ORDENES'!$A782="","",IF('ORDENES'!$AA782="","-",'ORDENES'!$AA782))</f>
        <v/>
      </c>
      <c r="G804" s="5">
        <f>IF('ORDENES'!$A782="","",IF('ORDENES'!$Y782="","-",'ORDENES'!$Y782))</f>
        <v/>
      </c>
      <c r="H804" s="5">
        <f>IF('ORDENES'!$A782="","",IF('ORDENES'!$AG782="","-",'ORDENES'!$AG782))</f>
        <v/>
      </c>
      <c r="I804" s="5">
        <f>IF('ORDENES'!$A782="","",IF('ORDENES'!$AT782="","-",'ORDENES'!$AT782))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20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IF('ORDENES'!$A782="","",'ORDENES'!$AF782)</f>
        <v/>
      </c>
    </row>
    <row r="805">
      <c r="A805" s="5">
        <f>IF('ORDENES'!$A783="","",IF('ORDENES'!$O783="","-",'ORDENES'!$O783))</f>
        <v/>
      </c>
      <c r="B805" s="5">
        <f>IF('ORDENES'!$A783="","",IF('ORDENES'!$S783="","-",'ORDENES'!$S783))</f>
        <v/>
      </c>
      <c r="C805" s="5">
        <f>IF('ORDENES'!$A783="","",IF('ORDENES'!$AH783="","-",'ORDENES'!$AH783))</f>
        <v/>
      </c>
      <c r="D805" s="5">
        <f>IF('ORDENES'!$A783="","",IF('ORDENES'!$Z783="","-",'ORDENES'!$Z783))</f>
        <v/>
      </c>
      <c r="E805" s="5">
        <f>IF('ORDENES'!$A783="","",IF('ORDENES'!$X783="","-",'ORDENES'!$X783))</f>
        <v/>
      </c>
      <c r="F805" s="5">
        <f>IF('ORDENES'!$A783="","",IF('ORDENES'!$AA783="","-",'ORDENES'!$AA783))</f>
        <v/>
      </c>
      <c r="G805" s="5">
        <f>IF('ORDENES'!$A783="","",IF('ORDENES'!$Y783="","-",'ORDENES'!$Y783))</f>
        <v/>
      </c>
      <c r="H805" s="5">
        <f>IF('ORDENES'!$A783="","",IF('ORDENES'!$AG783="","-",'ORDENES'!$AG783))</f>
        <v/>
      </c>
      <c r="I805" s="5">
        <f>IF('ORDENES'!$A783="","",IF('ORDENES'!$AT783="","-",'ORDENES'!$AT783))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20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IF('ORDENES'!$A783="","",'ORDENES'!$AF783)</f>
        <v/>
      </c>
    </row>
    <row r="806">
      <c r="A806" s="5">
        <f>IF('ORDENES'!$A784="","",IF('ORDENES'!$O784="","-",'ORDENES'!$O784))</f>
        <v/>
      </c>
      <c r="B806" s="5">
        <f>IF('ORDENES'!$A784="","",IF('ORDENES'!$S784="","-",'ORDENES'!$S784))</f>
        <v/>
      </c>
      <c r="C806" s="5">
        <f>IF('ORDENES'!$A784="","",IF('ORDENES'!$AH784="","-",'ORDENES'!$AH784))</f>
        <v/>
      </c>
      <c r="D806" s="5">
        <f>IF('ORDENES'!$A784="","",IF('ORDENES'!$Z784="","-",'ORDENES'!$Z784))</f>
        <v/>
      </c>
      <c r="E806" s="5">
        <f>IF('ORDENES'!$A784="","",IF('ORDENES'!$X784="","-",'ORDENES'!$X784))</f>
        <v/>
      </c>
      <c r="F806" s="5">
        <f>IF('ORDENES'!$A784="","",IF('ORDENES'!$AA784="","-",'ORDENES'!$AA784))</f>
        <v/>
      </c>
      <c r="G806" s="5">
        <f>IF('ORDENES'!$A784="","",IF('ORDENES'!$Y784="","-",'ORDENES'!$Y784))</f>
        <v/>
      </c>
      <c r="H806" s="5">
        <f>IF('ORDENES'!$A784="","",IF('ORDENES'!$AG784="","-",'ORDENES'!$AG784))</f>
        <v/>
      </c>
      <c r="I806" s="5">
        <f>IF('ORDENES'!$A784="","",IF('ORDENES'!$AT784="","-",'ORDENES'!$AT784))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20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IF('ORDENES'!$A784="","",'ORDENES'!$AF784)</f>
        <v/>
      </c>
    </row>
    <row r="807">
      <c r="A807" s="5">
        <f>IF('ORDENES'!$A785="","",IF('ORDENES'!$O785="","-",'ORDENES'!$O785))</f>
        <v/>
      </c>
      <c r="B807" s="5">
        <f>IF('ORDENES'!$A785="","",IF('ORDENES'!$S785="","-",'ORDENES'!$S785))</f>
        <v/>
      </c>
      <c r="C807" s="5">
        <f>IF('ORDENES'!$A785="","",IF('ORDENES'!$AH785="","-",'ORDENES'!$AH785))</f>
        <v/>
      </c>
      <c r="D807" s="5">
        <f>IF('ORDENES'!$A785="","",IF('ORDENES'!$Z785="","-",'ORDENES'!$Z785))</f>
        <v/>
      </c>
      <c r="E807" s="5">
        <f>IF('ORDENES'!$A785="","",IF('ORDENES'!$X785="","-",'ORDENES'!$X785))</f>
        <v/>
      </c>
      <c r="F807" s="5">
        <f>IF('ORDENES'!$A785="","",IF('ORDENES'!$AA785="","-",'ORDENES'!$AA785))</f>
        <v/>
      </c>
      <c r="G807" s="5">
        <f>IF('ORDENES'!$A785="","",IF('ORDENES'!$Y785="","-",'ORDENES'!$Y785))</f>
        <v/>
      </c>
      <c r="H807" s="5">
        <f>IF('ORDENES'!$A785="","",IF('ORDENES'!$AG785="","-",'ORDENES'!$AG785))</f>
        <v/>
      </c>
      <c r="I807" s="5">
        <f>IF('ORDENES'!$A785="","",IF('ORDENES'!$AT785="","-",'ORDENES'!$AT785))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20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IF('ORDENES'!$A785="","",'ORDENES'!$AF785)</f>
        <v/>
      </c>
    </row>
    <row r="808">
      <c r="A808" s="5">
        <f>IF('ORDENES'!$A786="","",IF('ORDENES'!$O786="","-",'ORDENES'!$O786))</f>
        <v/>
      </c>
      <c r="B808" s="5">
        <f>IF('ORDENES'!$A786="","",IF('ORDENES'!$S786="","-",'ORDENES'!$S786))</f>
        <v/>
      </c>
      <c r="C808" s="5">
        <f>IF('ORDENES'!$A786="","",IF('ORDENES'!$AH786="","-",'ORDENES'!$AH786))</f>
        <v/>
      </c>
      <c r="D808" s="5">
        <f>IF('ORDENES'!$A786="","",IF('ORDENES'!$Z786="","-",'ORDENES'!$Z786))</f>
        <v/>
      </c>
      <c r="E808" s="5">
        <f>IF('ORDENES'!$A786="","",IF('ORDENES'!$X786="","-",'ORDENES'!$X786))</f>
        <v/>
      </c>
      <c r="F808" s="5">
        <f>IF('ORDENES'!$A786="","",IF('ORDENES'!$AA786="","-",'ORDENES'!$AA786))</f>
        <v/>
      </c>
      <c r="G808" s="5">
        <f>IF('ORDENES'!$A786="","",IF('ORDENES'!$Y786="","-",'ORDENES'!$Y786))</f>
        <v/>
      </c>
      <c r="H808" s="5">
        <f>IF('ORDENES'!$A786="","",IF('ORDENES'!$AG786="","-",'ORDENES'!$AG786))</f>
        <v/>
      </c>
      <c r="I808" s="5">
        <f>IF('ORDENES'!$A786="","",IF('ORDENES'!$AT786="","-",'ORDENES'!$AT786))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20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IF('ORDENES'!$A786="","",'ORDENES'!$AF786)</f>
        <v/>
      </c>
    </row>
    <row r="809">
      <c r="A809" s="5">
        <f>IF('ORDENES'!$A787="","",IF('ORDENES'!$O787="","-",'ORDENES'!$O787))</f>
        <v/>
      </c>
      <c r="B809" s="5">
        <f>IF('ORDENES'!$A787="","",IF('ORDENES'!$S787="","-",'ORDENES'!$S787))</f>
        <v/>
      </c>
      <c r="C809" s="5">
        <f>IF('ORDENES'!$A787="","",IF('ORDENES'!$AH787="","-",'ORDENES'!$AH787))</f>
        <v/>
      </c>
      <c r="D809" s="5">
        <f>IF('ORDENES'!$A787="","",IF('ORDENES'!$Z787="","-",'ORDENES'!$Z787))</f>
        <v/>
      </c>
      <c r="E809" s="5">
        <f>IF('ORDENES'!$A787="","",IF('ORDENES'!$X787="","-",'ORDENES'!$X787))</f>
        <v/>
      </c>
      <c r="F809" s="5">
        <f>IF('ORDENES'!$A787="","",IF('ORDENES'!$AA787="","-",'ORDENES'!$AA787))</f>
        <v/>
      </c>
      <c r="G809" s="5">
        <f>IF('ORDENES'!$A787="","",IF('ORDENES'!$Y787="","-",'ORDENES'!$Y787))</f>
        <v/>
      </c>
      <c r="H809" s="5">
        <f>IF('ORDENES'!$A787="","",IF('ORDENES'!$AG787="","-",'ORDENES'!$AG787))</f>
        <v/>
      </c>
      <c r="I809" s="5">
        <f>IF('ORDENES'!$A787="","",IF('ORDENES'!$AT787="","-",'ORDENES'!$AT787))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20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IF('ORDENES'!$A787="","",'ORDENES'!$AF787)</f>
        <v/>
      </c>
    </row>
    <row r="810">
      <c r="A810" s="5">
        <f>IF('ORDENES'!$A788="","",IF('ORDENES'!$O788="","-",'ORDENES'!$O788))</f>
        <v/>
      </c>
      <c r="B810" s="5">
        <f>IF('ORDENES'!$A788="","",IF('ORDENES'!$S788="","-",'ORDENES'!$S788))</f>
        <v/>
      </c>
      <c r="C810" s="5">
        <f>IF('ORDENES'!$A788="","",IF('ORDENES'!$AH788="","-",'ORDENES'!$AH788))</f>
        <v/>
      </c>
      <c r="D810" s="5">
        <f>IF('ORDENES'!$A788="","",IF('ORDENES'!$Z788="","-",'ORDENES'!$Z788))</f>
        <v/>
      </c>
      <c r="E810" s="5">
        <f>IF('ORDENES'!$A788="","",IF('ORDENES'!$X788="","-",'ORDENES'!$X788))</f>
        <v/>
      </c>
      <c r="F810" s="5">
        <f>IF('ORDENES'!$A788="","",IF('ORDENES'!$AA788="","-",'ORDENES'!$AA788))</f>
        <v/>
      </c>
      <c r="G810" s="5">
        <f>IF('ORDENES'!$A788="","",IF('ORDENES'!$Y788="","-",'ORDENES'!$Y788))</f>
        <v/>
      </c>
      <c r="H810" s="5">
        <f>IF('ORDENES'!$A788="","",IF('ORDENES'!$AG788="","-",'ORDENES'!$AG788))</f>
        <v/>
      </c>
      <c r="I810" s="5">
        <f>IF('ORDENES'!$A788="","",IF('ORDENES'!$AT788="","-",'ORDENES'!$AT788))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20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IF('ORDENES'!$A788="","",'ORDENES'!$AF788)</f>
        <v/>
      </c>
    </row>
    <row r="811">
      <c r="A811" s="5">
        <f>IF('ORDENES'!$A789="","",IF('ORDENES'!$O789="","-",'ORDENES'!$O789))</f>
        <v/>
      </c>
      <c r="B811" s="5">
        <f>IF('ORDENES'!$A789="","",IF('ORDENES'!$S789="","-",'ORDENES'!$S789))</f>
        <v/>
      </c>
      <c r="C811" s="5">
        <f>IF('ORDENES'!$A789="","",IF('ORDENES'!$AH789="","-",'ORDENES'!$AH789))</f>
        <v/>
      </c>
      <c r="D811" s="5">
        <f>IF('ORDENES'!$A789="","",IF('ORDENES'!$Z789="","-",'ORDENES'!$Z789))</f>
        <v/>
      </c>
      <c r="E811" s="5">
        <f>IF('ORDENES'!$A789="","",IF('ORDENES'!$X789="","-",'ORDENES'!$X789))</f>
        <v/>
      </c>
      <c r="F811" s="5">
        <f>IF('ORDENES'!$A789="","",IF('ORDENES'!$AA789="","-",'ORDENES'!$AA789))</f>
        <v/>
      </c>
      <c r="G811" s="5">
        <f>IF('ORDENES'!$A789="","",IF('ORDENES'!$Y789="","-",'ORDENES'!$Y789))</f>
        <v/>
      </c>
      <c r="H811" s="5">
        <f>IF('ORDENES'!$A789="","",IF('ORDENES'!$AG789="","-",'ORDENES'!$AG789))</f>
        <v/>
      </c>
      <c r="I811" s="5">
        <f>IF('ORDENES'!$A789="","",IF('ORDENES'!$AT789="","-",'ORDENES'!$AT789))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20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IF('ORDENES'!$A789="","",'ORDENES'!$AF789)</f>
        <v/>
      </c>
    </row>
    <row r="812">
      <c r="A812" s="5">
        <f>IF('ORDENES'!$A790="","",IF('ORDENES'!$O790="","-",'ORDENES'!$O790))</f>
        <v/>
      </c>
      <c r="B812" s="5">
        <f>IF('ORDENES'!$A790="","",IF('ORDENES'!$S790="","-",'ORDENES'!$S790))</f>
        <v/>
      </c>
      <c r="C812" s="5">
        <f>IF('ORDENES'!$A790="","",IF('ORDENES'!$AH790="","-",'ORDENES'!$AH790))</f>
        <v/>
      </c>
      <c r="D812" s="5">
        <f>IF('ORDENES'!$A790="","",IF('ORDENES'!$Z790="","-",'ORDENES'!$Z790))</f>
        <v/>
      </c>
      <c r="E812" s="5">
        <f>IF('ORDENES'!$A790="","",IF('ORDENES'!$X790="","-",'ORDENES'!$X790))</f>
        <v/>
      </c>
      <c r="F812" s="5">
        <f>IF('ORDENES'!$A790="","",IF('ORDENES'!$AA790="","-",'ORDENES'!$AA790))</f>
        <v/>
      </c>
      <c r="G812" s="5">
        <f>IF('ORDENES'!$A790="","",IF('ORDENES'!$Y790="","-",'ORDENES'!$Y790))</f>
        <v/>
      </c>
      <c r="H812" s="5">
        <f>IF('ORDENES'!$A790="","",IF('ORDENES'!$AG790="","-",'ORDENES'!$AG790))</f>
        <v/>
      </c>
      <c r="I812" s="5">
        <f>IF('ORDENES'!$A790="","",IF('ORDENES'!$AT790="","-",'ORDENES'!$AT790))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20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IF('ORDENES'!$A790="","",'ORDENES'!$AF790)</f>
        <v/>
      </c>
    </row>
    <row r="813">
      <c r="A813" s="5">
        <f>IF('ORDENES'!$A791="","",IF('ORDENES'!$O791="","-",'ORDENES'!$O791))</f>
        <v/>
      </c>
      <c r="B813" s="5">
        <f>IF('ORDENES'!$A791="","",IF('ORDENES'!$S791="","-",'ORDENES'!$S791))</f>
        <v/>
      </c>
      <c r="C813" s="5">
        <f>IF('ORDENES'!$A791="","",IF('ORDENES'!$AH791="","-",'ORDENES'!$AH791))</f>
        <v/>
      </c>
      <c r="D813" s="5">
        <f>IF('ORDENES'!$A791="","",IF('ORDENES'!$Z791="","-",'ORDENES'!$Z791))</f>
        <v/>
      </c>
      <c r="E813" s="5">
        <f>IF('ORDENES'!$A791="","",IF('ORDENES'!$X791="","-",'ORDENES'!$X791))</f>
        <v/>
      </c>
      <c r="F813" s="5">
        <f>IF('ORDENES'!$A791="","",IF('ORDENES'!$AA791="","-",'ORDENES'!$AA791))</f>
        <v/>
      </c>
      <c r="G813" s="5">
        <f>IF('ORDENES'!$A791="","",IF('ORDENES'!$Y791="","-",'ORDENES'!$Y791))</f>
        <v/>
      </c>
      <c r="H813" s="5">
        <f>IF('ORDENES'!$A791="","",IF('ORDENES'!$AG791="","-",'ORDENES'!$AG791))</f>
        <v/>
      </c>
      <c r="I813" s="5">
        <f>IF('ORDENES'!$A791="","",IF('ORDENES'!$AT791="","-",'ORDENES'!$AT791))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20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IF('ORDENES'!$A791="","",'ORDENES'!$AF791)</f>
        <v/>
      </c>
    </row>
    <row r="814">
      <c r="A814" s="5">
        <f>IF('ORDENES'!$A792="","",IF('ORDENES'!$O792="","-",'ORDENES'!$O792))</f>
        <v/>
      </c>
      <c r="B814" s="5">
        <f>IF('ORDENES'!$A792="","",IF('ORDENES'!$S792="","-",'ORDENES'!$S792))</f>
        <v/>
      </c>
      <c r="C814" s="5">
        <f>IF('ORDENES'!$A792="","",IF('ORDENES'!$AH792="","-",'ORDENES'!$AH792))</f>
        <v/>
      </c>
      <c r="D814" s="5">
        <f>IF('ORDENES'!$A792="","",IF('ORDENES'!$Z792="","-",'ORDENES'!$Z792))</f>
        <v/>
      </c>
      <c r="E814" s="5">
        <f>IF('ORDENES'!$A792="","",IF('ORDENES'!$X792="","-",'ORDENES'!$X792))</f>
        <v/>
      </c>
      <c r="F814" s="5">
        <f>IF('ORDENES'!$A792="","",IF('ORDENES'!$AA792="","-",'ORDENES'!$AA792))</f>
        <v/>
      </c>
      <c r="G814" s="5">
        <f>IF('ORDENES'!$A792="","",IF('ORDENES'!$Y792="","-",'ORDENES'!$Y792))</f>
        <v/>
      </c>
      <c r="H814" s="5">
        <f>IF('ORDENES'!$A792="","",IF('ORDENES'!$AG792="","-",'ORDENES'!$AG792))</f>
        <v/>
      </c>
      <c r="I814" s="5">
        <f>IF('ORDENES'!$A792="","",IF('ORDENES'!$AT792="","-",'ORDENES'!$AT792))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20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IF('ORDENES'!$A792="","",'ORDENES'!$AF792)</f>
        <v/>
      </c>
    </row>
    <row r="815">
      <c r="A815" s="5">
        <f>IF('ORDENES'!$A793="","",IF('ORDENES'!$O793="","-",'ORDENES'!$O793))</f>
        <v/>
      </c>
      <c r="B815" s="5">
        <f>IF('ORDENES'!$A793="","",IF('ORDENES'!$S793="","-",'ORDENES'!$S793))</f>
        <v/>
      </c>
      <c r="C815" s="5">
        <f>IF('ORDENES'!$A793="","",IF('ORDENES'!$AH793="","-",'ORDENES'!$AH793))</f>
        <v/>
      </c>
      <c r="D815" s="5">
        <f>IF('ORDENES'!$A793="","",IF('ORDENES'!$Z793="","-",'ORDENES'!$Z793))</f>
        <v/>
      </c>
      <c r="E815" s="5">
        <f>IF('ORDENES'!$A793="","",IF('ORDENES'!$X793="","-",'ORDENES'!$X793))</f>
        <v/>
      </c>
      <c r="F815" s="5">
        <f>IF('ORDENES'!$A793="","",IF('ORDENES'!$AA793="","-",'ORDENES'!$AA793))</f>
        <v/>
      </c>
      <c r="G815" s="5">
        <f>IF('ORDENES'!$A793="","",IF('ORDENES'!$Y793="","-",'ORDENES'!$Y793))</f>
        <v/>
      </c>
      <c r="H815" s="5">
        <f>IF('ORDENES'!$A793="","",IF('ORDENES'!$AG793="","-",'ORDENES'!$AG793))</f>
        <v/>
      </c>
      <c r="I815" s="5">
        <f>IF('ORDENES'!$A793="","",IF('ORDENES'!$AT793="","-",'ORDENES'!$AT793))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20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IF('ORDENES'!$A793="","",'ORDENES'!$AF793)</f>
        <v/>
      </c>
    </row>
    <row r="816">
      <c r="A816" s="5">
        <f>IF('ORDENES'!$A794="","",IF('ORDENES'!$O794="","-",'ORDENES'!$O794))</f>
        <v/>
      </c>
      <c r="B816" s="5">
        <f>IF('ORDENES'!$A794="","",IF('ORDENES'!$S794="","-",'ORDENES'!$S794))</f>
        <v/>
      </c>
      <c r="C816" s="5">
        <f>IF('ORDENES'!$A794="","",IF('ORDENES'!$AH794="","-",'ORDENES'!$AH794))</f>
        <v/>
      </c>
      <c r="D816" s="5">
        <f>IF('ORDENES'!$A794="","",IF('ORDENES'!$Z794="","-",'ORDENES'!$Z794))</f>
        <v/>
      </c>
      <c r="E816" s="5">
        <f>IF('ORDENES'!$A794="","",IF('ORDENES'!$X794="","-",'ORDENES'!$X794))</f>
        <v/>
      </c>
      <c r="F816" s="5">
        <f>IF('ORDENES'!$A794="","",IF('ORDENES'!$AA794="","-",'ORDENES'!$AA794))</f>
        <v/>
      </c>
      <c r="G816" s="5">
        <f>IF('ORDENES'!$A794="","",IF('ORDENES'!$Y794="","-",'ORDENES'!$Y794))</f>
        <v/>
      </c>
      <c r="H816" s="5">
        <f>IF('ORDENES'!$A794="","",IF('ORDENES'!$AG794="","-",'ORDENES'!$AG794))</f>
        <v/>
      </c>
      <c r="I816" s="5">
        <f>IF('ORDENES'!$A794="","",IF('ORDENES'!$AT794="","-",'ORDENES'!$AT794))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20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IF('ORDENES'!$A794="","",'ORDENES'!$AF794)</f>
        <v/>
      </c>
    </row>
    <row r="817">
      <c r="A817" s="5">
        <f>IF('ORDENES'!$A795="","",IF('ORDENES'!$O795="","-",'ORDENES'!$O795))</f>
        <v/>
      </c>
      <c r="B817" s="5">
        <f>IF('ORDENES'!$A795="","",IF('ORDENES'!$S795="","-",'ORDENES'!$S795))</f>
        <v/>
      </c>
      <c r="C817" s="5">
        <f>IF('ORDENES'!$A795="","",IF('ORDENES'!$AH795="","-",'ORDENES'!$AH795))</f>
        <v/>
      </c>
      <c r="D817" s="5">
        <f>IF('ORDENES'!$A795="","",IF('ORDENES'!$Z795="","-",'ORDENES'!$Z795))</f>
        <v/>
      </c>
      <c r="E817" s="5">
        <f>IF('ORDENES'!$A795="","",IF('ORDENES'!$X795="","-",'ORDENES'!$X795))</f>
        <v/>
      </c>
      <c r="F817" s="5">
        <f>IF('ORDENES'!$A795="","",IF('ORDENES'!$AA795="","-",'ORDENES'!$AA795))</f>
        <v/>
      </c>
      <c r="G817" s="5">
        <f>IF('ORDENES'!$A795="","",IF('ORDENES'!$Y795="","-",'ORDENES'!$Y795))</f>
        <v/>
      </c>
      <c r="H817" s="5">
        <f>IF('ORDENES'!$A795="","",IF('ORDENES'!$AG795="","-",'ORDENES'!$AG795))</f>
        <v/>
      </c>
      <c r="I817" s="5">
        <f>IF('ORDENES'!$A795="","",IF('ORDENES'!$AT795="","-",'ORDENES'!$AT795))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20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IF('ORDENES'!$A795="","",'ORDENES'!$AF795)</f>
        <v/>
      </c>
    </row>
    <row r="818">
      <c r="A818" s="5">
        <f>IF('ORDENES'!$A796="","",IF('ORDENES'!$O796="","-",'ORDENES'!$O796))</f>
        <v/>
      </c>
      <c r="B818" s="5">
        <f>IF('ORDENES'!$A796="","",IF('ORDENES'!$S796="","-",'ORDENES'!$S796))</f>
        <v/>
      </c>
      <c r="C818" s="5">
        <f>IF('ORDENES'!$A796="","",IF('ORDENES'!$AH796="","-",'ORDENES'!$AH796))</f>
        <v/>
      </c>
      <c r="D818" s="5">
        <f>IF('ORDENES'!$A796="","",IF('ORDENES'!$Z796="","-",'ORDENES'!$Z796))</f>
        <v/>
      </c>
      <c r="E818" s="5">
        <f>IF('ORDENES'!$A796="","",IF('ORDENES'!$X796="","-",'ORDENES'!$X796))</f>
        <v/>
      </c>
      <c r="F818" s="5">
        <f>IF('ORDENES'!$A796="","",IF('ORDENES'!$AA796="","-",'ORDENES'!$AA796))</f>
        <v/>
      </c>
      <c r="G818" s="5">
        <f>IF('ORDENES'!$A796="","",IF('ORDENES'!$Y796="","-",'ORDENES'!$Y796))</f>
        <v/>
      </c>
      <c r="H818" s="5">
        <f>IF('ORDENES'!$A796="","",IF('ORDENES'!$AG796="","-",'ORDENES'!$AG796))</f>
        <v/>
      </c>
      <c r="I818" s="5">
        <f>IF('ORDENES'!$A796="","",IF('ORDENES'!$AT796="","-",'ORDENES'!$AT796))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20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IF('ORDENES'!$A796="","",'ORDENES'!$AF796)</f>
        <v/>
      </c>
    </row>
    <row r="819">
      <c r="A819" s="5">
        <f>IF('ORDENES'!$A797="","",IF('ORDENES'!$O797="","-",'ORDENES'!$O797))</f>
        <v/>
      </c>
      <c r="B819" s="5">
        <f>IF('ORDENES'!$A797="","",IF('ORDENES'!$S797="","-",'ORDENES'!$S797))</f>
        <v/>
      </c>
      <c r="C819" s="5">
        <f>IF('ORDENES'!$A797="","",IF('ORDENES'!$AH797="","-",'ORDENES'!$AH797))</f>
        <v/>
      </c>
      <c r="D819" s="5">
        <f>IF('ORDENES'!$A797="","",IF('ORDENES'!$Z797="","-",'ORDENES'!$Z797))</f>
        <v/>
      </c>
      <c r="E819" s="5">
        <f>IF('ORDENES'!$A797="","",IF('ORDENES'!$X797="","-",'ORDENES'!$X797))</f>
        <v/>
      </c>
      <c r="F819" s="5">
        <f>IF('ORDENES'!$A797="","",IF('ORDENES'!$AA797="","-",'ORDENES'!$AA797))</f>
        <v/>
      </c>
      <c r="G819" s="5">
        <f>IF('ORDENES'!$A797="","",IF('ORDENES'!$Y797="","-",'ORDENES'!$Y797))</f>
        <v/>
      </c>
      <c r="H819" s="5">
        <f>IF('ORDENES'!$A797="","",IF('ORDENES'!$AG797="","-",'ORDENES'!$AG797))</f>
        <v/>
      </c>
      <c r="I819" s="5">
        <f>IF('ORDENES'!$A797="","",IF('ORDENES'!$AT797="","-",'ORDENES'!$AT797))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20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IF('ORDENES'!$A797="","",'ORDENES'!$AF797)</f>
        <v/>
      </c>
    </row>
    <row r="820">
      <c r="A820" s="5">
        <f>IF('ORDENES'!$A798="","",IF('ORDENES'!$O798="","-",'ORDENES'!$O798))</f>
        <v/>
      </c>
      <c r="B820" s="5">
        <f>IF('ORDENES'!$A798="","",IF('ORDENES'!$S798="","-",'ORDENES'!$S798))</f>
        <v/>
      </c>
      <c r="C820" s="5">
        <f>IF('ORDENES'!$A798="","",IF('ORDENES'!$AH798="","-",'ORDENES'!$AH798))</f>
        <v/>
      </c>
      <c r="D820" s="5">
        <f>IF('ORDENES'!$A798="","",IF('ORDENES'!$Z798="","-",'ORDENES'!$Z798))</f>
        <v/>
      </c>
      <c r="E820" s="5">
        <f>IF('ORDENES'!$A798="","",IF('ORDENES'!$X798="","-",'ORDENES'!$X798))</f>
        <v/>
      </c>
      <c r="F820" s="5">
        <f>IF('ORDENES'!$A798="","",IF('ORDENES'!$AA798="","-",'ORDENES'!$AA798))</f>
        <v/>
      </c>
      <c r="G820" s="5">
        <f>IF('ORDENES'!$A798="","",IF('ORDENES'!$Y798="","-",'ORDENES'!$Y798))</f>
        <v/>
      </c>
      <c r="H820" s="5">
        <f>IF('ORDENES'!$A798="","",IF('ORDENES'!$AG798="","-",'ORDENES'!$AG798))</f>
        <v/>
      </c>
      <c r="I820" s="5">
        <f>IF('ORDENES'!$A798="","",IF('ORDENES'!$AT798="","-",'ORDENES'!$AT798))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20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IF('ORDENES'!$A798="","",'ORDENES'!$AF798)</f>
        <v/>
      </c>
    </row>
    <row r="821">
      <c r="A821" s="5">
        <f>IF('ORDENES'!$A799="","",IF('ORDENES'!$O799="","-",'ORDENES'!$O799))</f>
        <v/>
      </c>
      <c r="B821" s="5">
        <f>IF('ORDENES'!$A799="","",IF('ORDENES'!$S799="","-",'ORDENES'!$S799))</f>
        <v/>
      </c>
      <c r="C821" s="5">
        <f>IF('ORDENES'!$A799="","",IF('ORDENES'!$AH799="","-",'ORDENES'!$AH799))</f>
        <v/>
      </c>
      <c r="D821" s="5">
        <f>IF('ORDENES'!$A799="","",IF('ORDENES'!$Z799="","-",'ORDENES'!$Z799))</f>
        <v/>
      </c>
      <c r="E821" s="5">
        <f>IF('ORDENES'!$A799="","",IF('ORDENES'!$X799="","-",'ORDENES'!$X799))</f>
        <v/>
      </c>
      <c r="F821" s="5">
        <f>IF('ORDENES'!$A799="","",IF('ORDENES'!$AA799="","-",'ORDENES'!$AA799))</f>
        <v/>
      </c>
      <c r="G821" s="5">
        <f>IF('ORDENES'!$A799="","",IF('ORDENES'!$Y799="","-",'ORDENES'!$Y799))</f>
        <v/>
      </c>
      <c r="H821" s="5">
        <f>IF('ORDENES'!$A799="","",IF('ORDENES'!$AG799="","-",'ORDENES'!$AG799))</f>
        <v/>
      </c>
      <c r="I821" s="5">
        <f>IF('ORDENES'!$A799="","",IF('ORDENES'!$AT799="","-",'ORDENES'!$AT799))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20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IF('ORDENES'!$A799="","",'ORDENES'!$AF799)</f>
        <v/>
      </c>
    </row>
    <row r="822">
      <c r="A822" s="5">
        <f>IF('ORDENES'!$A800="","",IF('ORDENES'!$O800="","-",'ORDENES'!$O800))</f>
        <v/>
      </c>
      <c r="B822" s="5">
        <f>IF('ORDENES'!$A800="","",IF('ORDENES'!$S800="","-",'ORDENES'!$S800))</f>
        <v/>
      </c>
      <c r="C822" s="5">
        <f>IF('ORDENES'!$A800="","",IF('ORDENES'!$AH800="","-",'ORDENES'!$AH800))</f>
        <v/>
      </c>
      <c r="D822" s="5">
        <f>IF('ORDENES'!$A800="","",IF('ORDENES'!$Z800="","-",'ORDENES'!$Z800))</f>
        <v/>
      </c>
      <c r="E822" s="5">
        <f>IF('ORDENES'!$A800="","",IF('ORDENES'!$X800="","-",'ORDENES'!$X800))</f>
        <v/>
      </c>
      <c r="F822" s="5">
        <f>IF('ORDENES'!$A800="","",IF('ORDENES'!$AA800="","-",'ORDENES'!$AA800))</f>
        <v/>
      </c>
      <c r="G822" s="5">
        <f>IF('ORDENES'!$A800="","",IF('ORDENES'!$Y800="","-",'ORDENES'!$Y800))</f>
        <v/>
      </c>
      <c r="H822" s="5">
        <f>IF('ORDENES'!$A800="","",IF('ORDENES'!$AG800="","-",'ORDENES'!$AG800))</f>
        <v/>
      </c>
      <c r="I822" s="5">
        <f>IF('ORDENES'!$A800="","",IF('ORDENES'!$AT800="","-",'ORDENES'!$AT800))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20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IF('ORDENES'!$A800="","",'ORDENES'!$AF800)</f>
        <v/>
      </c>
    </row>
    <row r="823">
      <c r="A823" s="5">
        <f>IF('ORDENES'!$A801="","",IF('ORDENES'!$O801="","-",'ORDENES'!$O801))</f>
        <v/>
      </c>
      <c r="B823" s="5">
        <f>IF('ORDENES'!$A801="","",IF('ORDENES'!$S801="","-",'ORDENES'!$S801))</f>
        <v/>
      </c>
      <c r="C823" s="5">
        <f>IF('ORDENES'!$A801="","",IF('ORDENES'!$AH801="","-",'ORDENES'!$AH801))</f>
        <v/>
      </c>
      <c r="D823" s="5">
        <f>IF('ORDENES'!$A801="","",IF('ORDENES'!$Z801="","-",'ORDENES'!$Z801))</f>
        <v/>
      </c>
      <c r="E823" s="5">
        <f>IF('ORDENES'!$A801="","",IF('ORDENES'!$X801="","-",'ORDENES'!$X801))</f>
        <v/>
      </c>
      <c r="F823" s="5">
        <f>IF('ORDENES'!$A801="","",IF('ORDENES'!$AA801="","-",'ORDENES'!$AA801))</f>
        <v/>
      </c>
      <c r="G823" s="5">
        <f>IF('ORDENES'!$A801="","",IF('ORDENES'!$Y801="","-",'ORDENES'!$Y801))</f>
        <v/>
      </c>
      <c r="H823" s="5">
        <f>IF('ORDENES'!$A801="","",IF('ORDENES'!$AG801="","-",'ORDENES'!$AG801))</f>
        <v/>
      </c>
      <c r="I823" s="5">
        <f>IF('ORDENES'!$A801="","",IF('ORDENES'!$AT801="","-",'ORDENES'!$AT801))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20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IF('ORDENES'!$A801="","",'ORDENES'!$AF801)</f>
        <v/>
      </c>
    </row>
    <row r="824">
      <c r="A824" s="5">
        <f>IF('ORDENES'!$A802="","",IF('ORDENES'!$O802="","-",'ORDENES'!$O802))</f>
        <v/>
      </c>
      <c r="B824" s="5">
        <f>IF('ORDENES'!$A802="","",IF('ORDENES'!$S802="","-",'ORDENES'!$S802))</f>
        <v/>
      </c>
      <c r="C824" s="5">
        <f>IF('ORDENES'!$A802="","",IF('ORDENES'!$AH802="","-",'ORDENES'!$AH802))</f>
        <v/>
      </c>
      <c r="D824" s="5">
        <f>IF('ORDENES'!$A802="","",IF('ORDENES'!$Z802="","-",'ORDENES'!$Z802))</f>
        <v/>
      </c>
      <c r="E824" s="5">
        <f>IF('ORDENES'!$A802="","",IF('ORDENES'!$X802="","-",'ORDENES'!$X802))</f>
        <v/>
      </c>
      <c r="F824" s="5">
        <f>IF('ORDENES'!$A802="","",IF('ORDENES'!$AA802="","-",'ORDENES'!$AA802))</f>
        <v/>
      </c>
      <c r="G824" s="5">
        <f>IF('ORDENES'!$A802="","",IF('ORDENES'!$Y802="","-",'ORDENES'!$Y802))</f>
        <v/>
      </c>
      <c r="H824" s="5">
        <f>IF('ORDENES'!$A802="","",IF('ORDENES'!$AG802="","-",'ORDENES'!$AG802))</f>
        <v/>
      </c>
      <c r="I824" s="5">
        <f>IF('ORDENES'!$A802="","",IF('ORDENES'!$AT802="","-",'ORDENES'!$AT802))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20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IF('ORDENES'!$A802="","",'ORDENES'!$AF802)</f>
        <v/>
      </c>
    </row>
    <row r="825">
      <c r="A825" s="5">
        <f>IF('ORDENES'!$A803="","",IF('ORDENES'!$O803="","-",'ORDENES'!$O803))</f>
        <v/>
      </c>
      <c r="B825" s="5">
        <f>IF('ORDENES'!$A803="","",IF('ORDENES'!$S803="","-",'ORDENES'!$S803))</f>
        <v/>
      </c>
      <c r="C825" s="5">
        <f>IF('ORDENES'!$A803="","",IF('ORDENES'!$AH803="","-",'ORDENES'!$AH803))</f>
        <v/>
      </c>
      <c r="D825" s="5">
        <f>IF('ORDENES'!$A803="","",IF('ORDENES'!$Z803="","-",'ORDENES'!$Z803))</f>
        <v/>
      </c>
      <c r="E825" s="5">
        <f>IF('ORDENES'!$A803="","",IF('ORDENES'!$X803="","-",'ORDENES'!$X803))</f>
        <v/>
      </c>
      <c r="F825" s="5">
        <f>IF('ORDENES'!$A803="","",IF('ORDENES'!$AA803="","-",'ORDENES'!$AA803))</f>
        <v/>
      </c>
      <c r="G825" s="5">
        <f>IF('ORDENES'!$A803="","",IF('ORDENES'!$Y803="","-",'ORDENES'!$Y803))</f>
        <v/>
      </c>
      <c r="H825" s="5">
        <f>IF('ORDENES'!$A803="","",IF('ORDENES'!$AG803="","-",'ORDENES'!$AG803))</f>
        <v/>
      </c>
      <c r="I825" s="5">
        <f>IF('ORDENES'!$A803="","",IF('ORDENES'!$AT803="","-",'ORDENES'!$AT803))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20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IF('ORDENES'!$A803="","",'ORDENES'!$AF803)</f>
        <v/>
      </c>
    </row>
    <row r="826">
      <c r="A826" s="5">
        <f>IF('ORDENES'!$A804="","",IF('ORDENES'!$O804="","-",'ORDENES'!$O804))</f>
        <v/>
      </c>
      <c r="B826" s="5">
        <f>IF('ORDENES'!$A804="","",IF('ORDENES'!$S804="","-",'ORDENES'!$S804))</f>
        <v/>
      </c>
      <c r="C826" s="5">
        <f>IF('ORDENES'!$A804="","",IF('ORDENES'!$AH804="","-",'ORDENES'!$AH804))</f>
        <v/>
      </c>
      <c r="D826" s="5">
        <f>IF('ORDENES'!$A804="","",IF('ORDENES'!$Z804="","-",'ORDENES'!$Z804))</f>
        <v/>
      </c>
      <c r="E826" s="5">
        <f>IF('ORDENES'!$A804="","",IF('ORDENES'!$X804="","-",'ORDENES'!$X804))</f>
        <v/>
      </c>
      <c r="F826" s="5">
        <f>IF('ORDENES'!$A804="","",IF('ORDENES'!$AA804="","-",'ORDENES'!$AA804))</f>
        <v/>
      </c>
      <c r="G826" s="5">
        <f>IF('ORDENES'!$A804="","",IF('ORDENES'!$Y804="","-",'ORDENES'!$Y804))</f>
        <v/>
      </c>
      <c r="H826" s="5">
        <f>IF('ORDENES'!$A804="","",IF('ORDENES'!$AG804="","-",'ORDENES'!$AG804))</f>
        <v/>
      </c>
      <c r="I826" s="5">
        <f>IF('ORDENES'!$A804="","",IF('ORDENES'!$AT804="","-",'ORDENES'!$AT804))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20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IF('ORDENES'!$A804="","",'ORDENES'!$AF804)</f>
        <v/>
      </c>
    </row>
    <row r="827">
      <c r="A827" s="5">
        <f>IF('ORDENES'!$A805="","",IF('ORDENES'!$O805="","-",'ORDENES'!$O805))</f>
        <v/>
      </c>
      <c r="B827" s="5">
        <f>IF('ORDENES'!$A805="","",IF('ORDENES'!$S805="","-",'ORDENES'!$S805))</f>
        <v/>
      </c>
      <c r="C827" s="5">
        <f>IF('ORDENES'!$A805="","",IF('ORDENES'!$AH805="","-",'ORDENES'!$AH805))</f>
        <v/>
      </c>
      <c r="D827" s="5">
        <f>IF('ORDENES'!$A805="","",IF('ORDENES'!$Z805="","-",'ORDENES'!$Z805))</f>
        <v/>
      </c>
      <c r="E827" s="5">
        <f>IF('ORDENES'!$A805="","",IF('ORDENES'!$X805="","-",'ORDENES'!$X805))</f>
        <v/>
      </c>
      <c r="F827" s="5">
        <f>IF('ORDENES'!$A805="","",IF('ORDENES'!$AA805="","-",'ORDENES'!$AA805))</f>
        <v/>
      </c>
      <c r="G827" s="5">
        <f>IF('ORDENES'!$A805="","",IF('ORDENES'!$Y805="","-",'ORDENES'!$Y805))</f>
        <v/>
      </c>
      <c r="H827" s="5">
        <f>IF('ORDENES'!$A805="","",IF('ORDENES'!$AG805="","-",'ORDENES'!$AG805))</f>
        <v/>
      </c>
      <c r="I827" s="5">
        <f>IF('ORDENES'!$A805="","",IF('ORDENES'!$AT805="","-",'ORDENES'!$AT805))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20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IF('ORDENES'!$A805="","",'ORDENES'!$AF805)</f>
        <v/>
      </c>
    </row>
    <row r="828">
      <c r="A828" s="5">
        <f>IF('ORDENES'!$A806="","",IF('ORDENES'!$O806="","-",'ORDENES'!$O806))</f>
        <v/>
      </c>
      <c r="B828" s="5">
        <f>IF('ORDENES'!$A806="","",IF('ORDENES'!$S806="","-",'ORDENES'!$S806))</f>
        <v/>
      </c>
      <c r="C828" s="5">
        <f>IF('ORDENES'!$A806="","",IF('ORDENES'!$AH806="","-",'ORDENES'!$AH806))</f>
        <v/>
      </c>
      <c r="D828" s="5">
        <f>IF('ORDENES'!$A806="","",IF('ORDENES'!$Z806="","-",'ORDENES'!$Z806))</f>
        <v/>
      </c>
      <c r="E828" s="5">
        <f>IF('ORDENES'!$A806="","",IF('ORDENES'!$X806="","-",'ORDENES'!$X806))</f>
        <v/>
      </c>
      <c r="F828" s="5">
        <f>IF('ORDENES'!$A806="","",IF('ORDENES'!$AA806="","-",'ORDENES'!$AA806))</f>
        <v/>
      </c>
      <c r="G828" s="5">
        <f>IF('ORDENES'!$A806="","",IF('ORDENES'!$Y806="","-",'ORDENES'!$Y806))</f>
        <v/>
      </c>
      <c r="H828" s="5">
        <f>IF('ORDENES'!$A806="","",IF('ORDENES'!$AG806="","-",'ORDENES'!$AG806))</f>
        <v/>
      </c>
      <c r="I828" s="5">
        <f>IF('ORDENES'!$A806="","",IF('ORDENES'!$AT806="","-",'ORDENES'!$AT806))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20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IF('ORDENES'!$A806="","",'ORDENES'!$AF806)</f>
        <v/>
      </c>
    </row>
    <row r="829">
      <c r="A829" s="5">
        <f>IF('ORDENES'!$A807="","",IF('ORDENES'!$O807="","-",'ORDENES'!$O807))</f>
        <v/>
      </c>
      <c r="B829" s="5">
        <f>IF('ORDENES'!$A807="","",IF('ORDENES'!$S807="","-",'ORDENES'!$S807))</f>
        <v/>
      </c>
      <c r="C829" s="5">
        <f>IF('ORDENES'!$A807="","",IF('ORDENES'!$AH807="","-",'ORDENES'!$AH807))</f>
        <v/>
      </c>
      <c r="D829" s="5">
        <f>IF('ORDENES'!$A807="","",IF('ORDENES'!$Z807="","-",'ORDENES'!$Z807))</f>
        <v/>
      </c>
      <c r="E829" s="5">
        <f>IF('ORDENES'!$A807="","",IF('ORDENES'!$X807="","-",'ORDENES'!$X807))</f>
        <v/>
      </c>
      <c r="F829" s="5">
        <f>IF('ORDENES'!$A807="","",IF('ORDENES'!$AA807="","-",'ORDENES'!$AA807))</f>
        <v/>
      </c>
      <c r="G829" s="5">
        <f>IF('ORDENES'!$A807="","",IF('ORDENES'!$Y807="","-",'ORDENES'!$Y807))</f>
        <v/>
      </c>
      <c r="H829" s="5">
        <f>IF('ORDENES'!$A807="","",IF('ORDENES'!$AG807="","-",'ORDENES'!$AG807))</f>
        <v/>
      </c>
      <c r="I829" s="5">
        <f>IF('ORDENES'!$A807="","",IF('ORDENES'!$AT807="","-",'ORDENES'!$AT807))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20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IF('ORDENES'!$A807="","",'ORDENES'!$AF807)</f>
        <v/>
      </c>
    </row>
    <row r="830">
      <c r="A830" s="5">
        <f>IF('ORDENES'!$A808="","",IF('ORDENES'!$O808="","-",'ORDENES'!$O808))</f>
        <v/>
      </c>
      <c r="B830" s="5">
        <f>IF('ORDENES'!$A808="","",IF('ORDENES'!$S808="","-",'ORDENES'!$S808))</f>
        <v/>
      </c>
      <c r="C830" s="5">
        <f>IF('ORDENES'!$A808="","",IF('ORDENES'!$AH808="","-",'ORDENES'!$AH808))</f>
        <v/>
      </c>
      <c r="D830" s="5">
        <f>IF('ORDENES'!$A808="","",IF('ORDENES'!$Z808="","-",'ORDENES'!$Z808))</f>
        <v/>
      </c>
      <c r="E830" s="5">
        <f>IF('ORDENES'!$A808="","",IF('ORDENES'!$X808="","-",'ORDENES'!$X808))</f>
        <v/>
      </c>
      <c r="F830" s="5">
        <f>IF('ORDENES'!$A808="","",IF('ORDENES'!$AA808="","-",'ORDENES'!$AA808))</f>
        <v/>
      </c>
      <c r="G830" s="5">
        <f>IF('ORDENES'!$A808="","",IF('ORDENES'!$Y808="","-",'ORDENES'!$Y808))</f>
        <v/>
      </c>
      <c r="H830" s="5">
        <f>IF('ORDENES'!$A808="","",IF('ORDENES'!$AG808="","-",'ORDENES'!$AG808))</f>
        <v/>
      </c>
      <c r="I830" s="5">
        <f>IF('ORDENES'!$A808="","",IF('ORDENES'!$AT808="","-",'ORDENES'!$AT808))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20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IF('ORDENES'!$A808="","",'ORDENES'!$AF808)</f>
        <v/>
      </c>
    </row>
    <row r="831">
      <c r="A831" s="5">
        <f>IF('ORDENES'!$A809="","",IF('ORDENES'!$O809="","-",'ORDENES'!$O809))</f>
        <v/>
      </c>
      <c r="B831" s="5">
        <f>IF('ORDENES'!$A809="","",IF('ORDENES'!$S809="","-",'ORDENES'!$S809))</f>
        <v/>
      </c>
      <c r="C831" s="5">
        <f>IF('ORDENES'!$A809="","",IF('ORDENES'!$AH809="","-",'ORDENES'!$AH809))</f>
        <v/>
      </c>
      <c r="D831" s="5">
        <f>IF('ORDENES'!$A809="","",IF('ORDENES'!$Z809="","-",'ORDENES'!$Z809))</f>
        <v/>
      </c>
      <c r="E831" s="5">
        <f>IF('ORDENES'!$A809="","",IF('ORDENES'!$X809="","-",'ORDENES'!$X809))</f>
        <v/>
      </c>
      <c r="F831" s="5">
        <f>IF('ORDENES'!$A809="","",IF('ORDENES'!$AA809="","-",'ORDENES'!$AA809))</f>
        <v/>
      </c>
      <c r="G831" s="5">
        <f>IF('ORDENES'!$A809="","",IF('ORDENES'!$Y809="","-",'ORDENES'!$Y809))</f>
        <v/>
      </c>
      <c r="H831" s="5">
        <f>IF('ORDENES'!$A809="","",IF('ORDENES'!$AG809="","-",'ORDENES'!$AG809))</f>
        <v/>
      </c>
      <c r="I831" s="5">
        <f>IF('ORDENES'!$A809="","",IF('ORDENES'!$AT809="","-",'ORDENES'!$AT809))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20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IF('ORDENES'!$A809="","",'ORDENES'!$AF809)</f>
        <v/>
      </c>
    </row>
    <row r="832">
      <c r="A832" s="5">
        <f>IF('ORDENES'!$A810="","",IF('ORDENES'!$O810="","-",'ORDENES'!$O810))</f>
        <v/>
      </c>
      <c r="B832" s="5">
        <f>IF('ORDENES'!$A810="","",IF('ORDENES'!$S810="","-",'ORDENES'!$S810))</f>
        <v/>
      </c>
      <c r="C832" s="5">
        <f>IF('ORDENES'!$A810="","",IF('ORDENES'!$AH810="","-",'ORDENES'!$AH810))</f>
        <v/>
      </c>
      <c r="D832" s="5">
        <f>IF('ORDENES'!$A810="","",IF('ORDENES'!$Z810="","-",'ORDENES'!$Z810))</f>
        <v/>
      </c>
      <c r="E832" s="5">
        <f>IF('ORDENES'!$A810="","",IF('ORDENES'!$X810="","-",'ORDENES'!$X810))</f>
        <v/>
      </c>
      <c r="F832" s="5">
        <f>IF('ORDENES'!$A810="","",IF('ORDENES'!$AA810="","-",'ORDENES'!$AA810))</f>
        <v/>
      </c>
      <c r="G832" s="5">
        <f>IF('ORDENES'!$A810="","",IF('ORDENES'!$Y810="","-",'ORDENES'!$Y810))</f>
        <v/>
      </c>
      <c r="H832" s="5">
        <f>IF('ORDENES'!$A810="","",IF('ORDENES'!$AG810="","-",'ORDENES'!$AG810))</f>
        <v/>
      </c>
      <c r="I832" s="5">
        <f>IF('ORDENES'!$A810="","",IF('ORDENES'!$AT810="","-",'ORDENES'!$AT810))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20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IF('ORDENES'!$A810="","",'ORDENES'!$AF810)</f>
        <v/>
      </c>
    </row>
    <row r="833">
      <c r="A833" s="5">
        <f>IF('ORDENES'!$A811="","",IF('ORDENES'!$O811="","-",'ORDENES'!$O811))</f>
        <v/>
      </c>
      <c r="B833" s="5">
        <f>IF('ORDENES'!$A811="","",IF('ORDENES'!$S811="","-",'ORDENES'!$S811))</f>
        <v/>
      </c>
      <c r="C833" s="5">
        <f>IF('ORDENES'!$A811="","",IF('ORDENES'!$AH811="","-",'ORDENES'!$AH811))</f>
        <v/>
      </c>
      <c r="D833" s="5">
        <f>IF('ORDENES'!$A811="","",IF('ORDENES'!$Z811="","-",'ORDENES'!$Z811))</f>
        <v/>
      </c>
      <c r="E833" s="5">
        <f>IF('ORDENES'!$A811="","",IF('ORDENES'!$X811="","-",'ORDENES'!$X811))</f>
        <v/>
      </c>
      <c r="F833" s="5">
        <f>IF('ORDENES'!$A811="","",IF('ORDENES'!$AA811="","-",'ORDENES'!$AA811))</f>
        <v/>
      </c>
      <c r="G833" s="5">
        <f>IF('ORDENES'!$A811="","",IF('ORDENES'!$Y811="","-",'ORDENES'!$Y811))</f>
        <v/>
      </c>
      <c r="H833" s="5">
        <f>IF('ORDENES'!$A811="","",IF('ORDENES'!$AG811="","-",'ORDENES'!$AG811))</f>
        <v/>
      </c>
      <c r="I833" s="5">
        <f>IF('ORDENES'!$A811="","",IF('ORDENES'!$AT811="","-",'ORDENES'!$AT811))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20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IF('ORDENES'!$A811="","",'ORDENES'!$AF811)</f>
        <v/>
      </c>
    </row>
    <row r="834">
      <c r="A834" s="5">
        <f>IF('ORDENES'!$A812="","",IF('ORDENES'!$O812="","-",'ORDENES'!$O812))</f>
        <v/>
      </c>
      <c r="B834" s="5">
        <f>IF('ORDENES'!$A812="","",IF('ORDENES'!$S812="","-",'ORDENES'!$S812))</f>
        <v/>
      </c>
      <c r="C834" s="5">
        <f>IF('ORDENES'!$A812="","",IF('ORDENES'!$AH812="","-",'ORDENES'!$AH812))</f>
        <v/>
      </c>
      <c r="D834" s="5">
        <f>IF('ORDENES'!$A812="","",IF('ORDENES'!$Z812="","-",'ORDENES'!$Z812))</f>
        <v/>
      </c>
      <c r="E834" s="5">
        <f>IF('ORDENES'!$A812="","",IF('ORDENES'!$X812="","-",'ORDENES'!$X812))</f>
        <v/>
      </c>
      <c r="F834" s="5">
        <f>IF('ORDENES'!$A812="","",IF('ORDENES'!$AA812="","-",'ORDENES'!$AA812))</f>
        <v/>
      </c>
      <c r="G834" s="5">
        <f>IF('ORDENES'!$A812="","",IF('ORDENES'!$Y812="","-",'ORDENES'!$Y812))</f>
        <v/>
      </c>
      <c r="H834" s="5">
        <f>IF('ORDENES'!$A812="","",IF('ORDENES'!$AG812="","-",'ORDENES'!$AG812))</f>
        <v/>
      </c>
      <c r="I834" s="5">
        <f>IF('ORDENES'!$A812="","",IF('ORDENES'!$AT812="","-",'ORDENES'!$AT812))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20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IF('ORDENES'!$A812="","",'ORDENES'!$AF812)</f>
        <v/>
      </c>
    </row>
    <row r="835">
      <c r="A835" s="5">
        <f>IF('ORDENES'!$A813="","",IF('ORDENES'!$O813="","-",'ORDENES'!$O813))</f>
        <v/>
      </c>
      <c r="B835" s="5">
        <f>IF('ORDENES'!$A813="","",IF('ORDENES'!$S813="","-",'ORDENES'!$S813))</f>
        <v/>
      </c>
      <c r="C835" s="5">
        <f>IF('ORDENES'!$A813="","",IF('ORDENES'!$AH813="","-",'ORDENES'!$AH813))</f>
        <v/>
      </c>
      <c r="D835" s="5">
        <f>IF('ORDENES'!$A813="","",IF('ORDENES'!$Z813="","-",'ORDENES'!$Z813))</f>
        <v/>
      </c>
      <c r="E835" s="5">
        <f>IF('ORDENES'!$A813="","",IF('ORDENES'!$X813="","-",'ORDENES'!$X813))</f>
        <v/>
      </c>
      <c r="F835" s="5">
        <f>IF('ORDENES'!$A813="","",IF('ORDENES'!$AA813="","-",'ORDENES'!$AA813))</f>
        <v/>
      </c>
      <c r="G835" s="5">
        <f>IF('ORDENES'!$A813="","",IF('ORDENES'!$Y813="","-",'ORDENES'!$Y813))</f>
        <v/>
      </c>
      <c r="H835" s="5">
        <f>IF('ORDENES'!$A813="","",IF('ORDENES'!$AG813="","-",'ORDENES'!$AG813))</f>
        <v/>
      </c>
      <c r="I835" s="5">
        <f>IF('ORDENES'!$A813="","",IF('ORDENES'!$AT813="","-",'ORDENES'!$AT813))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20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IF('ORDENES'!$A813="","",'ORDENES'!$AF813)</f>
        <v/>
      </c>
    </row>
    <row r="836">
      <c r="A836" s="5">
        <f>IF('ORDENES'!$A814="","",IF('ORDENES'!$O814="","-",'ORDENES'!$O814))</f>
        <v/>
      </c>
      <c r="B836" s="5">
        <f>IF('ORDENES'!$A814="","",IF('ORDENES'!$S814="","-",'ORDENES'!$S814))</f>
        <v/>
      </c>
      <c r="C836" s="5">
        <f>IF('ORDENES'!$A814="","",IF('ORDENES'!$AH814="","-",'ORDENES'!$AH814))</f>
        <v/>
      </c>
      <c r="D836" s="5">
        <f>IF('ORDENES'!$A814="","",IF('ORDENES'!$Z814="","-",'ORDENES'!$Z814))</f>
        <v/>
      </c>
      <c r="E836" s="5">
        <f>IF('ORDENES'!$A814="","",IF('ORDENES'!$X814="","-",'ORDENES'!$X814))</f>
        <v/>
      </c>
      <c r="F836" s="5">
        <f>IF('ORDENES'!$A814="","",IF('ORDENES'!$AA814="","-",'ORDENES'!$AA814))</f>
        <v/>
      </c>
      <c r="G836" s="5">
        <f>IF('ORDENES'!$A814="","",IF('ORDENES'!$Y814="","-",'ORDENES'!$Y814))</f>
        <v/>
      </c>
      <c r="H836" s="5">
        <f>IF('ORDENES'!$A814="","",IF('ORDENES'!$AG814="","-",'ORDENES'!$AG814))</f>
        <v/>
      </c>
      <c r="I836" s="5">
        <f>IF('ORDENES'!$A814="","",IF('ORDENES'!$AT814="","-",'ORDENES'!$AT814))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20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IF('ORDENES'!$A814="","",'ORDENES'!$AF814)</f>
        <v/>
      </c>
    </row>
    <row r="837">
      <c r="A837" s="5">
        <f>IF('ORDENES'!$A815="","",IF('ORDENES'!$O815="","-",'ORDENES'!$O815))</f>
        <v/>
      </c>
      <c r="B837" s="5">
        <f>IF('ORDENES'!$A815="","",IF('ORDENES'!$S815="","-",'ORDENES'!$S815))</f>
        <v/>
      </c>
      <c r="C837" s="5">
        <f>IF('ORDENES'!$A815="","",IF('ORDENES'!$AH815="","-",'ORDENES'!$AH815))</f>
        <v/>
      </c>
      <c r="D837" s="5">
        <f>IF('ORDENES'!$A815="","",IF('ORDENES'!$Z815="","-",'ORDENES'!$Z815))</f>
        <v/>
      </c>
      <c r="E837" s="5">
        <f>IF('ORDENES'!$A815="","",IF('ORDENES'!$X815="","-",'ORDENES'!$X815))</f>
        <v/>
      </c>
      <c r="F837" s="5">
        <f>IF('ORDENES'!$A815="","",IF('ORDENES'!$AA815="","-",'ORDENES'!$AA815))</f>
        <v/>
      </c>
      <c r="G837" s="5">
        <f>IF('ORDENES'!$A815="","",IF('ORDENES'!$Y815="","-",'ORDENES'!$Y815))</f>
        <v/>
      </c>
      <c r="H837" s="5">
        <f>IF('ORDENES'!$A815="","",IF('ORDENES'!$AG815="","-",'ORDENES'!$AG815))</f>
        <v/>
      </c>
      <c r="I837" s="5">
        <f>IF('ORDENES'!$A815="","",IF('ORDENES'!$AT815="","-",'ORDENES'!$AT815))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20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IF('ORDENES'!$A815="","",'ORDENES'!$AF815)</f>
        <v/>
      </c>
    </row>
    <row r="838">
      <c r="A838" s="5">
        <f>IF('ORDENES'!$A816="","",IF('ORDENES'!$O816="","-",'ORDENES'!$O816))</f>
        <v/>
      </c>
      <c r="B838" s="5">
        <f>IF('ORDENES'!$A816="","",IF('ORDENES'!$S816="","-",'ORDENES'!$S816))</f>
        <v/>
      </c>
      <c r="C838" s="5">
        <f>IF('ORDENES'!$A816="","",IF('ORDENES'!$AH816="","-",'ORDENES'!$AH816))</f>
        <v/>
      </c>
      <c r="D838" s="5">
        <f>IF('ORDENES'!$A816="","",IF('ORDENES'!$Z816="","-",'ORDENES'!$Z816))</f>
        <v/>
      </c>
      <c r="E838" s="5">
        <f>IF('ORDENES'!$A816="","",IF('ORDENES'!$X816="","-",'ORDENES'!$X816))</f>
        <v/>
      </c>
      <c r="F838" s="5">
        <f>IF('ORDENES'!$A816="","",IF('ORDENES'!$AA816="","-",'ORDENES'!$AA816))</f>
        <v/>
      </c>
      <c r="G838" s="5">
        <f>IF('ORDENES'!$A816="","",IF('ORDENES'!$Y816="","-",'ORDENES'!$Y816))</f>
        <v/>
      </c>
      <c r="H838" s="5">
        <f>IF('ORDENES'!$A816="","",IF('ORDENES'!$AG816="","-",'ORDENES'!$AG816))</f>
        <v/>
      </c>
      <c r="I838" s="5">
        <f>IF('ORDENES'!$A816="","",IF('ORDENES'!$AT816="","-",'ORDENES'!$AT816))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20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IF('ORDENES'!$A816="","",'ORDENES'!$AF816)</f>
        <v/>
      </c>
    </row>
    <row r="839">
      <c r="A839" s="5">
        <f>IF('ORDENES'!$A817="","",IF('ORDENES'!$O817="","-",'ORDENES'!$O817))</f>
        <v/>
      </c>
      <c r="B839" s="5">
        <f>IF('ORDENES'!$A817="","",IF('ORDENES'!$S817="","-",'ORDENES'!$S817))</f>
        <v/>
      </c>
      <c r="C839" s="5">
        <f>IF('ORDENES'!$A817="","",IF('ORDENES'!$AH817="","-",'ORDENES'!$AH817))</f>
        <v/>
      </c>
      <c r="D839" s="5">
        <f>IF('ORDENES'!$A817="","",IF('ORDENES'!$Z817="","-",'ORDENES'!$Z817))</f>
        <v/>
      </c>
      <c r="E839" s="5">
        <f>IF('ORDENES'!$A817="","",IF('ORDENES'!$X817="","-",'ORDENES'!$X817))</f>
        <v/>
      </c>
      <c r="F839" s="5">
        <f>IF('ORDENES'!$A817="","",IF('ORDENES'!$AA817="","-",'ORDENES'!$AA817))</f>
        <v/>
      </c>
      <c r="G839" s="5">
        <f>IF('ORDENES'!$A817="","",IF('ORDENES'!$Y817="","-",'ORDENES'!$Y817))</f>
        <v/>
      </c>
      <c r="H839" s="5">
        <f>IF('ORDENES'!$A817="","",IF('ORDENES'!$AG817="","-",'ORDENES'!$AG817))</f>
        <v/>
      </c>
      <c r="I839" s="5">
        <f>IF('ORDENES'!$A817="","",IF('ORDENES'!$AT817="","-",'ORDENES'!$AT817))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20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IF('ORDENES'!$A817="","",'ORDENES'!$AF817)</f>
        <v/>
      </c>
    </row>
    <row r="840">
      <c r="A840" s="5">
        <f>IF('ORDENES'!$A818="","",IF('ORDENES'!$O818="","-",'ORDENES'!$O818))</f>
        <v/>
      </c>
      <c r="B840" s="5">
        <f>IF('ORDENES'!$A818="","",IF('ORDENES'!$S818="","-",'ORDENES'!$S818))</f>
        <v/>
      </c>
      <c r="C840" s="5">
        <f>IF('ORDENES'!$A818="","",IF('ORDENES'!$AH818="","-",'ORDENES'!$AH818))</f>
        <v/>
      </c>
      <c r="D840" s="5">
        <f>IF('ORDENES'!$A818="","",IF('ORDENES'!$Z818="","-",'ORDENES'!$Z818))</f>
        <v/>
      </c>
      <c r="E840" s="5">
        <f>IF('ORDENES'!$A818="","",IF('ORDENES'!$X818="","-",'ORDENES'!$X818))</f>
        <v/>
      </c>
      <c r="F840" s="5">
        <f>IF('ORDENES'!$A818="","",IF('ORDENES'!$AA818="","-",'ORDENES'!$AA818))</f>
        <v/>
      </c>
      <c r="G840" s="5">
        <f>IF('ORDENES'!$A818="","",IF('ORDENES'!$Y818="","-",'ORDENES'!$Y818))</f>
        <v/>
      </c>
      <c r="H840" s="5">
        <f>IF('ORDENES'!$A818="","",IF('ORDENES'!$AG818="","-",'ORDENES'!$AG818))</f>
        <v/>
      </c>
      <c r="I840" s="5">
        <f>IF('ORDENES'!$A818="","",IF('ORDENES'!$AT818="","-",'ORDENES'!$AT818))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20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IF('ORDENES'!$A818="","",'ORDENES'!$AF818)</f>
        <v/>
      </c>
    </row>
    <row r="841">
      <c r="A841" s="5">
        <f>IF('ORDENES'!$A819="","",IF('ORDENES'!$O819="","-",'ORDENES'!$O819))</f>
        <v/>
      </c>
      <c r="B841" s="5">
        <f>IF('ORDENES'!$A819="","",IF('ORDENES'!$S819="","-",'ORDENES'!$S819))</f>
        <v/>
      </c>
      <c r="C841" s="5">
        <f>IF('ORDENES'!$A819="","",IF('ORDENES'!$AH819="","-",'ORDENES'!$AH819))</f>
        <v/>
      </c>
      <c r="D841" s="5">
        <f>IF('ORDENES'!$A819="","",IF('ORDENES'!$Z819="","-",'ORDENES'!$Z819))</f>
        <v/>
      </c>
      <c r="E841" s="5">
        <f>IF('ORDENES'!$A819="","",IF('ORDENES'!$X819="","-",'ORDENES'!$X819))</f>
        <v/>
      </c>
      <c r="F841" s="5">
        <f>IF('ORDENES'!$A819="","",IF('ORDENES'!$AA819="","-",'ORDENES'!$AA819))</f>
        <v/>
      </c>
      <c r="G841" s="5">
        <f>IF('ORDENES'!$A819="","",IF('ORDENES'!$Y819="","-",'ORDENES'!$Y819))</f>
        <v/>
      </c>
      <c r="H841" s="5">
        <f>IF('ORDENES'!$A819="","",IF('ORDENES'!$AG819="","-",'ORDENES'!$AG819))</f>
        <v/>
      </c>
      <c r="I841" s="5">
        <f>IF('ORDENES'!$A819="","",IF('ORDENES'!$AT819="","-",'ORDENES'!$AT819))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20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IF('ORDENES'!$A819="","",'ORDENES'!$AF819)</f>
        <v/>
      </c>
    </row>
    <row r="842">
      <c r="A842" s="5">
        <f>IF('ORDENES'!$A820="","",IF('ORDENES'!$O820="","-",'ORDENES'!$O820))</f>
        <v/>
      </c>
      <c r="B842" s="5">
        <f>IF('ORDENES'!$A820="","",IF('ORDENES'!$S820="","-",'ORDENES'!$S820))</f>
        <v/>
      </c>
      <c r="C842" s="5">
        <f>IF('ORDENES'!$A820="","",IF('ORDENES'!$AH820="","-",'ORDENES'!$AH820))</f>
        <v/>
      </c>
      <c r="D842" s="5">
        <f>IF('ORDENES'!$A820="","",IF('ORDENES'!$Z820="","-",'ORDENES'!$Z820))</f>
        <v/>
      </c>
      <c r="E842" s="5">
        <f>IF('ORDENES'!$A820="","",IF('ORDENES'!$X820="","-",'ORDENES'!$X820))</f>
        <v/>
      </c>
      <c r="F842" s="5">
        <f>IF('ORDENES'!$A820="","",IF('ORDENES'!$AA820="","-",'ORDENES'!$AA820))</f>
        <v/>
      </c>
      <c r="G842" s="5">
        <f>IF('ORDENES'!$A820="","",IF('ORDENES'!$Y820="","-",'ORDENES'!$Y820))</f>
        <v/>
      </c>
      <c r="H842" s="5">
        <f>IF('ORDENES'!$A820="","",IF('ORDENES'!$AG820="","-",'ORDENES'!$AG820))</f>
        <v/>
      </c>
      <c r="I842" s="5">
        <f>IF('ORDENES'!$A820="","",IF('ORDENES'!$AT820="","-",'ORDENES'!$AT820))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20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IF('ORDENES'!$A820="","",'ORDENES'!$AF820)</f>
        <v/>
      </c>
    </row>
    <row r="843">
      <c r="A843" s="5">
        <f>IF('ORDENES'!$A821="","",IF('ORDENES'!$O821="","-",'ORDENES'!$O821))</f>
        <v/>
      </c>
      <c r="B843" s="5">
        <f>IF('ORDENES'!$A821="","",IF('ORDENES'!$S821="","-",'ORDENES'!$S821))</f>
        <v/>
      </c>
      <c r="C843" s="5">
        <f>IF('ORDENES'!$A821="","",IF('ORDENES'!$AH821="","-",'ORDENES'!$AH821))</f>
        <v/>
      </c>
      <c r="D843" s="5">
        <f>IF('ORDENES'!$A821="","",IF('ORDENES'!$Z821="","-",'ORDENES'!$Z821))</f>
        <v/>
      </c>
      <c r="E843" s="5">
        <f>IF('ORDENES'!$A821="","",IF('ORDENES'!$X821="","-",'ORDENES'!$X821))</f>
        <v/>
      </c>
      <c r="F843" s="5">
        <f>IF('ORDENES'!$A821="","",IF('ORDENES'!$AA821="","-",'ORDENES'!$AA821))</f>
        <v/>
      </c>
      <c r="G843" s="5">
        <f>IF('ORDENES'!$A821="","",IF('ORDENES'!$Y821="","-",'ORDENES'!$Y821))</f>
        <v/>
      </c>
      <c r="H843" s="5">
        <f>IF('ORDENES'!$A821="","",IF('ORDENES'!$AG821="","-",'ORDENES'!$AG821))</f>
        <v/>
      </c>
      <c r="I843" s="5">
        <f>IF('ORDENES'!$A821="","",IF('ORDENES'!$AT821="","-",'ORDENES'!$AT821))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20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IF('ORDENES'!$A821="","",'ORDENES'!$AF821)</f>
        <v/>
      </c>
    </row>
    <row r="844">
      <c r="A844" s="5">
        <f>IF('ORDENES'!$A822="","",IF('ORDENES'!$O822="","-",'ORDENES'!$O822))</f>
        <v/>
      </c>
      <c r="B844" s="5">
        <f>IF('ORDENES'!$A822="","",IF('ORDENES'!$S822="","-",'ORDENES'!$S822))</f>
        <v/>
      </c>
      <c r="C844" s="5">
        <f>IF('ORDENES'!$A822="","",IF('ORDENES'!$AH822="","-",'ORDENES'!$AH822))</f>
        <v/>
      </c>
      <c r="D844" s="5">
        <f>IF('ORDENES'!$A822="","",IF('ORDENES'!$Z822="","-",'ORDENES'!$Z822))</f>
        <v/>
      </c>
      <c r="E844" s="5">
        <f>IF('ORDENES'!$A822="","",IF('ORDENES'!$X822="","-",'ORDENES'!$X822))</f>
        <v/>
      </c>
      <c r="F844" s="5">
        <f>IF('ORDENES'!$A822="","",IF('ORDENES'!$AA822="","-",'ORDENES'!$AA822))</f>
        <v/>
      </c>
      <c r="G844" s="5">
        <f>IF('ORDENES'!$A822="","",IF('ORDENES'!$Y822="","-",'ORDENES'!$Y822))</f>
        <v/>
      </c>
      <c r="H844" s="5">
        <f>IF('ORDENES'!$A822="","",IF('ORDENES'!$AG822="","-",'ORDENES'!$AG822))</f>
        <v/>
      </c>
      <c r="I844" s="5">
        <f>IF('ORDENES'!$A822="","",IF('ORDENES'!$AT822="","-",'ORDENES'!$AT822))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20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IF('ORDENES'!$A822="","",'ORDENES'!$AF822)</f>
        <v/>
      </c>
    </row>
    <row r="845">
      <c r="A845" s="5">
        <f>IF('ORDENES'!$A823="","",IF('ORDENES'!$O823="","-",'ORDENES'!$O823))</f>
        <v/>
      </c>
      <c r="B845" s="5">
        <f>IF('ORDENES'!$A823="","",IF('ORDENES'!$S823="","-",'ORDENES'!$S823))</f>
        <v/>
      </c>
      <c r="C845" s="5">
        <f>IF('ORDENES'!$A823="","",IF('ORDENES'!$AH823="","-",'ORDENES'!$AH823))</f>
        <v/>
      </c>
      <c r="D845" s="5">
        <f>IF('ORDENES'!$A823="","",IF('ORDENES'!$Z823="","-",'ORDENES'!$Z823))</f>
        <v/>
      </c>
      <c r="E845" s="5">
        <f>IF('ORDENES'!$A823="","",IF('ORDENES'!$X823="","-",'ORDENES'!$X823))</f>
        <v/>
      </c>
      <c r="F845" s="5">
        <f>IF('ORDENES'!$A823="","",IF('ORDENES'!$AA823="","-",'ORDENES'!$AA823))</f>
        <v/>
      </c>
      <c r="G845" s="5">
        <f>IF('ORDENES'!$A823="","",IF('ORDENES'!$Y823="","-",'ORDENES'!$Y823))</f>
        <v/>
      </c>
      <c r="H845" s="5">
        <f>IF('ORDENES'!$A823="","",IF('ORDENES'!$AG823="","-",'ORDENES'!$AG823))</f>
        <v/>
      </c>
      <c r="I845" s="5">
        <f>IF('ORDENES'!$A823="","",IF('ORDENES'!$AT823="","-",'ORDENES'!$AT823))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20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IF('ORDENES'!$A823="","",'ORDENES'!$AF823)</f>
        <v/>
      </c>
    </row>
    <row r="846">
      <c r="A846" s="5">
        <f>IF('ORDENES'!$A824="","",IF('ORDENES'!$O824="","-",'ORDENES'!$O824))</f>
        <v/>
      </c>
      <c r="B846" s="5">
        <f>IF('ORDENES'!$A824="","",IF('ORDENES'!$S824="","-",'ORDENES'!$S824))</f>
        <v/>
      </c>
      <c r="C846" s="5">
        <f>IF('ORDENES'!$A824="","",IF('ORDENES'!$AH824="","-",'ORDENES'!$AH824))</f>
        <v/>
      </c>
      <c r="D846" s="5">
        <f>IF('ORDENES'!$A824="","",IF('ORDENES'!$Z824="","-",'ORDENES'!$Z824))</f>
        <v/>
      </c>
      <c r="E846" s="5">
        <f>IF('ORDENES'!$A824="","",IF('ORDENES'!$X824="","-",'ORDENES'!$X824))</f>
        <v/>
      </c>
      <c r="F846" s="5">
        <f>IF('ORDENES'!$A824="","",IF('ORDENES'!$AA824="","-",'ORDENES'!$AA824))</f>
        <v/>
      </c>
      <c r="G846" s="5">
        <f>IF('ORDENES'!$A824="","",IF('ORDENES'!$Y824="","-",'ORDENES'!$Y824))</f>
        <v/>
      </c>
      <c r="H846" s="5">
        <f>IF('ORDENES'!$A824="","",IF('ORDENES'!$AG824="","-",'ORDENES'!$AG824))</f>
        <v/>
      </c>
      <c r="I846" s="5">
        <f>IF('ORDENES'!$A824="","",IF('ORDENES'!$AT824="","-",'ORDENES'!$AT824))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20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IF('ORDENES'!$A824="","",'ORDENES'!$AF824)</f>
        <v/>
      </c>
    </row>
    <row r="847">
      <c r="A847" s="5">
        <f>IF('ORDENES'!$A825="","",IF('ORDENES'!$O825="","-",'ORDENES'!$O825))</f>
        <v/>
      </c>
      <c r="B847" s="5">
        <f>IF('ORDENES'!$A825="","",IF('ORDENES'!$S825="","-",'ORDENES'!$S825))</f>
        <v/>
      </c>
      <c r="C847" s="5">
        <f>IF('ORDENES'!$A825="","",IF('ORDENES'!$AH825="","-",'ORDENES'!$AH825))</f>
        <v/>
      </c>
      <c r="D847" s="5">
        <f>IF('ORDENES'!$A825="","",IF('ORDENES'!$Z825="","-",'ORDENES'!$Z825))</f>
        <v/>
      </c>
      <c r="E847" s="5">
        <f>IF('ORDENES'!$A825="","",IF('ORDENES'!$X825="","-",'ORDENES'!$X825))</f>
        <v/>
      </c>
      <c r="F847" s="5">
        <f>IF('ORDENES'!$A825="","",IF('ORDENES'!$AA825="","-",'ORDENES'!$AA825))</f>
        <v/>
      </c>
      <c r="G847" s="5">
        <f>IF('ORDENES'!$A825="","",IF('ORDENES'!$Y825="","-",'ORDENES'!$Y825))</f>
        <v/>
      </c>
      <c r="H847" s="5">
        <f>IF('ORDENES'!$A825="","",IF('ORDENES'!$AG825="","-",'ORDENES'!$AG825))</f>
        <v/>
      </c>
      <c r="I847" s="5">
        <f>IF('ORDENES'!$A825="","",IF('ORDENES'!$AT825="","-",'ORDENES'!$AT825))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20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IF('ORDENES'!$A825="","",'ORDENES'!$AF825)</f>
        <v/>
      </c>
    </row>
    <row r="848">
      <c r="A848" s="5">
        <f>IF('ORDENES'!$A826="","",IF('ORDENES'!$O826="","-",'ORDENES'!$O826))</f>
        <v/>
      </c>
      <c r="B848" s="5">
        <f>IF('ORDENES'!$A826="","",IF('ORDENES'!$S826="","-",'ORDENES'!$S826))</f>
        <v/>
      </c>
      <c r="C848" s="5">
        <f>IF('ORDENES'!$A826="","",IF('ORDENES'!$AH826="","-",'ORDENES'!$AH826))</f>
        <v/>
      </c>
      <c r="D848" s="5">
        <f>IF('ORDENES'!$A826="","",IF('ORDENES'!$Z826="","-",'ORDENES'!$Z826))</f>
        <v/>
      </c>
      <c r="E848" s="5">
        <f>IF('ORDENES'!$A826="","",IF('ORDENES'!$X826="","-",'ORDENES'!$X826))</f>
        <v/>
      </c>
      <c r="F848" s="5">
        <f>IF('ORDENES'!$A826="","",IF('ORDENES'!$AA826="","-",'ORDENES'!$AA826))</f>
        <v/>
      </c>
      <c r="G848" s="5">
        <f>IF('ORDENES'!$A826="","",IF('ORDENES'!$Y826="","-",'ORDENES'!$Y826))</f>
        <v/>
      </c>
      <c r="H848" s="5">
        <f>IF('ORDENES'!$A826="","",IF('ORDENES'!$AG826="","-",'ORDENES'!$AG826))</f>
        <v/>
      </c>
      <c r="I848" s="5">
        <f>IF('ORDENES'!$A826="","",IF('ORDENES'!$AT826="","-",'ORDENES'!$AT826))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20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IF('ORDENES'!$A826="","",'ORDENES'!$AF826)</f>
        <v/>
      </c>
    </row>
    <row r="849">
      <c r="A849" s="5">
        <f>IF('ORDENES'!$A827="","",IF('ORDENES'!$O827="","-",'ORDENES'!$O827))</f>
        <v/>
      </c>
      <c r="B849" s="5">
        <f>IF('ORDENES'!$A827="","",IF('ORDENES'!$S827="","-",'ORDENES'!$S827))</f>
        <v/>
      </c>
      <c r="C849" s="5">
        <f>IF('ORDENES'!$A827="","",IF('ORDENES'!$AH827="","-",'ORDENES'!$AH827))</f>
        <v/>
      </c>
      <c r="D849" s="5">
        <f>IF('ORDENES'!$A827="","",IF('ORDENES'!$Z827="","-",'ORDENES'!$Z827))</f>
        <v/>
      </c>
      <c r="E849" s="5">
        <f>IF('ORDENES'!$A827="","",IF('ORDENES'!$X827="","-",'ORDENES'!$X827))</f>
        <v/>
      </c>
      <c r="F849" s="5">
        <f>IF('ORDENES'!$A827="","",IF('ORDENES'!$AA827="","-",'ORDENES'!$AA827))</f>
        <v/>
      </c>
      <c r="G849" s="5">
        <f>IF('ORDENES'!$A827="","",IF('ORDENES'!$Y827="","-",'ORDENES'!$Y827))</f>
        <v/>
      </c>
      <c r="H849" s="5">
        <f>IF('ORDENES'!$A827="","",IF('ORDENES'!$AG827="","-",'ORDENES'!$AG827))</f>
        <v/>
      </c>
      <c r="I849" s="5">
        <f>IF('ORDENES'!$A827="","",IF('ORDENES'!$AT827="","-",'ORDENES'!$AT827))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20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IF('ORDENES'!$A827="","",'ORDENES'!$AF827)</f>
        <v/>
      </c>
    </row>
    <row r="850">
      <c r="A850" s="5">
        <f>IF('ORDENES'!$A828="","",IF('ORDENES'!$O828="","-",'ORDENES'!$O828))</f>
        <v/>
      </c>
      <c r="B850" s="5">
        <f>IF('ORDENES'!$A828="","",IF('ORDENES'!$S828="","-",'ORDENES'!$S828))</f>
        <v/>
      </c>
      <c r="C850" s="5">
        <f>IF('ORDENES'!$A828="","",IF('ORDENES'!$AH828="","-",'ORDENES'!$AH828))</f>
        <v/>
      </c>
      <c r="D850" s="5">
        <f>IF('ORDENES'!$A828="","",IF('ORDENES'!$Z828="","-",'ORDENES'!$Z828))</f>
        <v/>
      </c>
      <c r="E850" s="5">
        <f>IF('ORDENES'!$A828="","",IF('ORDENES'!$X828="","-",'ORDENES'!$X828))</f>
        <v/>
      </c>
      <c r="F850" s="5">
        <f>IF('ORDENES'!$A828="","",IF('ORDENES'!$AA828="","-",'ORDENES'!$AA828))</f>
        <v/>
      </c>
      <c r="G850" s="5">
        <f>IF('ORDENES'!$A828="","",IF('ORDENES'!$Y828="","-",'ORDENES'!$Y828))</f>
        <v/>
      </c>
      <c r="H850" s="5">
        <f>IF('ORDENES'!$A828="","",IF('ORDENES'!$AG828="","-",'ORDENES'!$AG828))</f>
        <v/>
      </c>
      <c r="I850" s="5">
        <f>IF('ORDENES'!$A828="","",IF('ORDENES'!$AT828="","-",'ORDENES'!$AT828))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20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IF('ORDENES'!$A828="","",'ORDENES'!$AF828)</f>
        <v/>
      </c>
    </row>
    <row r="851">
      <c r="A851" s="5">
        <f>IF('ORDENES'!$A829="","",IF('ORDENES'!$O829="","-",'ORDENES'!$O829))</f>
        <v/>
      </c>
      <c r="B851" s="5">
        <f>IF('ORDENES'!$A829="","",IF('ORDENES'!$S829="","-",'ORDENES'!$S829))</f>
        <v/>
      </c>
      <c r="C851" s="5">
        <f>IF('ORDENES'!$A829="","",IF('ORDENES'!$AH829="","-",'ORDENES'!$AH829))</f>
        <v/>
      </c>
      <c r="D851" s="5">
        <f>IF('ORDENES'!$A829="","",IF('ORDENES'!$Z829="","-",'ORDENES'!$Z829))</f>
        <v/>
      </c>
      <c r="E851" s="5">
        <f>IF('ORDENES'!$A829="","",IF('ORDENES'!$X829="","-",'ORDENES'!$X829))</f>
        <v/>
      </c>
      <c r="F851" s="5">
        <f>IF('ORDENES'!$A829="","",IF('ORDENES'!$AA829="","-",'ORDENES'!$AA829))</f>
        <v/>
      </c>
      <c r="G851" s="5">
        <f>IF('ORDENES'!$A829="","",IF('ORDENES'!$Y829="","-",'ORDENES'!$Y829))</f>
        <v/>
      </c>
      <c r="H851" s="5">
        <f>IF('ORDENES'!$A829="","",IF('ORDENES'!$AG829="","-",'ORDENES'!$AG829))</f>
        <v/>
      </c>
      <c r="I851" s="5">
        <f>IF('ORDENES'!$A829="","",IF('ORDENES'!$AT829="","-",'ORDENES'!$AT829))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20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IF('ORDENES'!$A829="","",'ORDENES'!$AF829)</f>
        <v/>
      </c>
    </row>
    <row r="852">
      <c r="A852" s="5">
        <f>IF('ORDENES'!$A830="","",IF('ORDENES'!$O830="","-",'ORDENES'!$O830))</f>
        <v/>
      </c>
      <c r="B852" s="5">
        <f>IF('ORDENES'!$A830="","",IF('ORDENES'!$S830="","-",'ORDENES'!$S830))</f>
        <v/>
      </c>
      <c r="C852" s="5">
        <f>IF('ORDENES'!$A830="","",IF('ORDENES'!$AH830="","-",'ORDENES'!$AH830))</f>
        <v/>
      </c>
      <c r="D852" s="5">
        <f>IF('ORDENES'!$A830="","",IF('ORDENES'!$Z830="","-",'ORDENES'!$Z830))</f>
        <v/>
      </c>
      <c r="E852" s="5">
        <f>IF('ORDENES'!$A830="","",IF('ORDENES'!$X830="","-",'ORDENES'!$X830))</f>
        <v/>
      </c>
      <c r="F852" s="5">
        <f>IF('ORDENES'!$A830="","",IF('ORDENES'!$AA830="","-",'ORDENES'!$AA830))</f>
        <v/>
      </c>
      <c r="G852" s="5">
        <f>IF('ORDENES'!$A830="","",IF('ORDENES'!$Y830="","-",'ORDENES'!$Y830))</f>
        <v/>
      </c>
      <c r="H852" s="5">
        <f>IF('ORDENES'!$A830="","",IF('ORDENES'!$AG830="","-",'ORDENES'!$AG830))</f>
        <v/>
      </c>
      <c r="I852" s="5">
        <f>IF('ORDENES'!$A830="","",IF('ORDENES'!$AT830="","-",'ORDENES'!$AT830))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20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IF('ORDENES'!$A830="","",'ORDENES'!$AF830)</f>
        <v/>
      </c>
    </row>
    <row r="853">
      <c r="A853" s="5">
        <f>IF('ORDENES'!$A831="","",IF('ORDENES'!$O831="","-",'ORDENES'!$O831))</f>
        <v/>
      </c>
      <c r="B853" s="5">
        <f>IF('ORDENES'!$A831="","",IF('ORDENES'!$S831="","-",'ORDENES'!$S831))</f>
        <v/>
      </c>
      <c r="C853" s="5">
        <f>IF('ORDENES'!$A831="","",IF('ORDENES'!$AH831="","-",'ORDENES'!$AH831))</f>
        <v/>
      </c>
      <c r="D853" s="5">
        <f>IF('ORDENES'!$A831="","",IF('ORDENES'!$Z831="","-",'ORDENES'!$Z831))</f>
        <v/>
      </c>
      <c r="E853" s="5">
        <f>IF('ORDENES'!$A831="","",IF('ORDENES'!$X831="","-",'ORDENES'!$X831))</f>
        <v/>
      </c>
      <c r="F853" s="5">
        <f>IF('ORDENES'!$A831="","",IF('ORDENES'!$AA831="","-",'ORDENES'!$AA831))</f>
        <v/>
      </c>
      <c r="G853" s="5">
        <f>IF('ORDENES'!$A831="","",IF('ORDENES'!$Y831="","-",'ORDENES'!$Y831))</f>
        <v/>
      </c>
      <c r="H853" s="5">
        <f>IF('ORDENES'!$A831="","",IF('ORDENES'!$AG831="","-",'ORDENES'!$AG831))</f>
        <v/>
      </c>
      <c r="I853" s="5">
        <f>IF('ORDENES'!$A831="","",IF('ORDENES'!$AT831="","-",'ORDENES'!$AT831))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20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IF('ORDENES'!$A831="","",'ORDENES'!$AF831)</f>
        <v/>
      </c>
    </row>
    <row r="854">
      <c r="A854" s="5">
        <f>IF('ORDENES'!$A832="","",IF('ORDENES'!$O832="","-",'ORDENES'!$O832))</f>
        <v/>
      </c>
      <c r="B854" s="5">
        <f>IF('ORDENES'!$A832="","",IF('ORDENES'!$S832="","-",'ORDENES'!$S832))</f>
        <v/>
      </c>
      <c r="C854" s="5">
        <f>IF('ORDENES'!$A832="","",IF('ORDENES'!$AH832="","-",'ORDENES'!$AH832))</f>
        <v/>
      </c>
      <c r="D854" s="5">
        <f>IF('ORDENES'!$A832="","",IF('ORDENES'!$Z832="","-",'ORDENES'!$Z832))</f>
        <v/>
      </c>
      <c r="E854" s="5">
        <f>IF('ORDENES'!$A832="","",IF('ORDENES'!$X832="","-",'ORDENES'!$X832))</f>
        <v/>
      </c>
      <c r="F854" s="5">
        <f>IF('ORDENES'!$A832="","",IF('ORDENES'!$AA832="","-",'ORDENES'!$AA832))</f>
        <v/>
      </c>
      <c r="G854" s="5">
        <f>IF('ORDENES'!$A832="","",IF('ORDENES'!$Y832="","-",'ORDENES'!$Y832))</f>
        <v/>
      </c>
      <c r="H854" s="5">
        <f>IF('ORDENES'!$A832="","",IF('ORDENES'!$AG832="","-",'ORDENES'!$AG832))</f>
        <v/>
      </c>
      <c r="I854" s="5">
        <f>IF('ORDENES'!$A832="","",IF('ORDENES'!$AT832="","-",'ORDENES'!$AT832))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20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IF('ORDENES'!$A832="","",'ORDENES'!$AF832)</f>
        <v/>
      </c>
    </row>
    <row r="855">
      <c r="A855" s="5">
        <f>IF('ORDENES'!$A833="","",IF('ORDENES'!$O833="","-",'ORDENES'!$O833))</f>
        <v/>
      </c>
      <c r="B855" s="5">
        <f>IF('ORDENES'!$A833="","",IF('ORDENES'!$S833="","-",'ORDENES'!$S833))</f>
        <v/>
      </c>
      <c r="C855" s="5">
        <f>IF('ORDENES'!$A833="","",IF('ORDENES'!$AH833="","-",'ORDENES'!$AH833))</f>
        <v/>
      </c>
      <c r="D855" s="5">
        <f>IF('ORDENES'!$A833="","",IF('ORDENES'!$Z833="","-",'ORDENES'!$Z833))</f>
        <v/>
      </c>
      <c r="E855" s="5">
        <f>IF('ORDENES'!$A833="","",IF('ORDENES'!$X833="","-",'ORDENES'!$X833))</f>
        <v/>
      </c>
      <c r="F855" s="5">
        <f>IF('ORDENES'!$A833="","",IF('ORDENES'!$AA833="","-",'ORDENES'!$AA833))</f>
        <v/>
      </c>
      <c r="G855" s="5">
        <f>IF('ORDENES'!$A833="","",IF('ORDENES'!$Y833="","-",'ORDENES'!$Y833))</f>
        <v/>
      </c>
      <c r="H855" s="5">
        <f>IF('ORDENES'!$A833="","",IF('ORDENES'!$AG833="","-",'ORDENES'!$AG833))</f>
        <v/>
      </c>
      <c r="I855" s="5">
        <f>IF('ORDENES'!$A833="","",IF('ORDENES'!$AT833="","-",'ORDENES'!$AT833))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20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IF('ORDENES'!$A833="","",'ORDENES'!$AF833)</f>
        <v/>
      </c>
    </row>
    <row r="856">
      <c r="A856" s="5">
        <f>IF('ORDENES'!$A834="","",IF('ORDENES'!$O834="","-",'ORDENES'!$O834))</f>
        <v/>
      </c>
      <c r="B856" s="5">
        <f>IF('ORDENES'!$A834="","",IF('ORDENES'!$S834="","-",'ORDENES'!$S834))</f>
        <v/>
      </c>
      <c r="C856" s="5">
        <f>IF('ORDENES'!$A834="","",IF('ORDENES'!$AH834="","-",'ORDENES'!$AH834))</f>
        <v/>
      </c>
      <c r="D856" s="5">
        <f>IF('ORDENES'!$A834="","",IF('ORDENES'!$Z834="","-",'ORDENES'!$Z834))</f>
        <v/>
      </c>
      <c r="E856" s="5">
        <f>IF('ORDENES'!$A834="","",IF('ORDENES'!$X834="","-",'ORDENES'!$X834))</f>
        <v/>
      </c>
      <c r="F856" s="5">
        <f>IF('ORDENES'!$A834="","",IF('ORDENES'!$AA834="","-",'ORDENES'!$AA834))</f>
        <v/>
      </c>
      <c r="G856" s="5">
        <f>IF('ORDENES'!$A834="","",IF('ORDENES'!$Y834="","-",'ORDENES'!$Y834))</f>
        <v/>
      </c>
      <c r="H856" s="5">
        <f>IF('ORDENES'!$A834="","",IF('ORDENES'!$AG834="","-",'ORDENES'!$AG834))</f>
        <v/>
      </c>
      <c r="I856" s="5">
        <f>IF('ORDENES'!$A834="","",IF('ORDENES'!$AT834="","-",'ORDENES'!$AT834))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20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IF('ORDENES'!$A834="","",'ORDENES'!$AF834)</f>
        <v/>
      </c>
    </row>
    <row r="857">
      <c r="A857" s="5">
        <f>IF('ORDENES'!$A835="","",IF('ORDENES'!$O835="","-",'ORDENES'!$O835))</f>
        <v/>
      </c>
      <c r="B857" s="5">
        <f>IF('ORDENES'!$A835="","",IF('ORDENES'!$S835="","-",'ORDENES'!$S835))</f>
        <v/>
      </c>
      <c r="C857" s="5">
        <f>IF('ORDENES'!$A835="","",IF('ORDENES'!$AH835="","-",'ORDENES'!$AH835))</f>
        <v/>
      </c>
      <c r="D857" s="5">
        <f>IF('ORDENES'!$A835="","",IF('ORDENES'!$Z835="","-",'ORDENES'!$Z835))</f>
        <v/>
      </c>
      <c r="E857" s="5">
        <f>IF('ORDENES'!$A835="","",IF('ORDENES'!$X835="","-",'ORDENES'!$X835))</f>
        <v/>
      </c>
      <c r="F857" s="5">
        <f>IF('ORDENES'!$A835="","",IF('ORDENES'!$AA835="","-",'ORDENES'!$AA835))</f>
        <v/>
      </c>
      <c r="G857" s="5">
        <f>IF('ORDENES'!$A835="","",IF('ORDENES'!$Y835="","-",'ORDENES'!$Y835))</f>
        <v/>
      </c>
      <c r="H857" s="5">
        <f>IF('ORDENES'!$A835="","",IF('ORDENES'!$AG835="","-",'ORDENES'!$AG835))</f>
        <v/>
      </c>
      <c r="I857" s="5">
        <f>IF('ORDENES'!$A835="","",IF('ORDENES'!$AT835="","-",'ORDENES'!$AT835))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20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IF('ORDENES'!$A835="","",'ORDENES'!$AF835)</f>
        <v/>
      </c>
    </row>
    <row r="858">
      <c r="A858" s="5">
        <f>IF('ORDENES'!$A836="","",IF('ORDENES'!$O836="","-",'ORDENES'!$O836))</f>
        <v/>
      </c>
      <c r="B858" s="5">
        <f>IF('ORDENES'!$A836="","",IF('ORDENES'!$S836="","-",'ORDENES'!$S836))</f>
        <v/>
      </c>
      <c r="C858" s="5">
        <f>IF('ORDENES'!$A836="","",IF('ORDENES'!$AH836="","-",'ORDENES'!$AH836))</f>
        <v/>
      </c>
      <c r="D858" s="5">
        <f>IF('ORDENES'!$A836="","",IF('ORDENES'!$Z836="","-",'ORDENES'!$Z836))</f>
        <v/>
      </c>
      <c r="E858" s="5">
        <f>IF('ORDENES'!$A836="","",IF('ORDENES'!$X836="","-",'ORDENES'!$X836))</f>
        <v/>
      </c>
      <c r="F858" s="5">
        <f>IF('ORDENES'!$A836="","",IF('ORDENES'!$AA836="","-",'ORDENES'!$AA836))</f>
        <v/>
      </c>
      <c r="G858" s="5">
        <f>IF('ORDENES'!$A836="","",IF('ORDENES'!$Y836="","-",'ORDENES'!$Y836))</f>
        <v/>
      </c>
      <c r="H858" s="5">
        <f>IF('ORDENES'!$A836="","",IF('ORDENES'!$AG836="","-",'ORDENES'!$AG836))</f>
        <v/>
      </c>
      <c r="I858" s="5">
        <f>IF('ORDENES'!$A836="","",IF('ORDENES'!$AT836="","-",'ORDENES'!$AT836))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20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IF('ORDENES'!$A836="","",'ORDENES'!$AF836)</f>
        <v/>
      </c>
    </row>
    <row r="859">
      <c r="A859" s="5">
        <f>IF('ORDENES'!$A837="","",IF('ORDENES'!$O837="","-",'ORDENES'!$O837))</f>
        <v/>
      </c>
      <c r="B859" s="5">
        <f>IF('ORDENES'!$A837="","",IF('ORDENES'!$S837="","-",'ORDENES'!$S837))</f>
        <v/>
      </c>
      <c r="C859" s="5">
        <f>IF('ORDENES'!$A837="","",IF('ORDENES'!$AH837="","-",'ORDENES'!$AH837))</f>
        <v/>
      </c>
      <c r="D859" s="5">
        <f>IF('ORDENES'!$A837="","",IF('ORDENES'!$Z837="","-",'ORDENES'!$Z837))</f>
        <v/>
      </c>
      <c r="E859" s="5">
        <f>IF('ORDENES'!$A837="","",IF('ORDENES'!$X837="","-",'ORDENES'!$X837))</f>
        <v/>
      </c>
      <c r="F859" s="5">
        <f>IF('ORDENES'!$A837="","",IF('ORDENES'!$AA837="","-",'ORDENES'!$AA837))</f>
        <v/>
      </c>
      <c r="G859" s="5">
        <f>IF('ORDENES'!$A837="","",IF('ORDENES'!$Y837="","-",'ORDENES'!$Y837))</f>
        <v/>
      </c>
      <c r="H859" s="5">
        <f>IF('ORDENES'!$A837="","",IF('ORDENES'!$AG837="","-",'ORDENES'!$AG837))</f>
        <v/>
      </c>
      <c r="I859" s="5">
        <f>IF('ORDENES'!$A837="","",IF('ORDENES'!$AT837="","-",'ORDENES'!$AT837))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20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IF('ORDENES'!$A837="","",'ORDENES'!$AF837)</f>
        <v/>
      </c>
    </row>
    <row r="860">
      <c r="A860" s="5">
        <f>IF('ORDENES'!$A838="","",IF('ORDENES'!$O838="","-",'ORDENES'!$O838))</f>
        <v/>
      </c>
      <c r="B860" s="5">
        <f>IF('ORDENES'!$A838="","",IF('ORDENES'!$S838="","-",'ORDENES'!$S838))</f>
        <v/>
      </c>
      <c r="C860" s="5">
        <f>IF('ORDENES'!$A838="","",IF('ORDENES'!$AH838="","-",'ORDENES'!$AH838))</f>
        <v/>
      </c>
      <c r="D860" s="5">
        <f>IF('ORDENES'!$A838="","",IF('ORDENES'!$Z838="","-",'ORDENES'!$Z838))</f>
        <v/>
      </c>
      <c r="E860" s="5">
        <f>IF('ORDENES'!$A838="","",IF('ORDENES'!$X838="","-",'ORDENES'!$X838))</f>
        <v/>
      </c>
      <c r="F860" s="5">
        <f>IF('ORDENES'!$A838="","",IF('ORDENES'!$AA838="","-",'ORDENES'!$AA838))</f>
        <v/>
      </c>
      <c r="G860" s="5">
        <f>IF('ORDENES'!$A838="","",IF('ORDENES'!$Y838="","-",'ORDENES'!$Y838))</f>
        <v/>
      </c>
      <c r="H860" s="5">
        <f>IF('ORDENES'!$A838="","",IF('ORDENES'!$AG838="","-",'ORDENES'!$AG838))</f>
        <v/>
      </c>
      <c r="I860" s="5">
        <f>IF('ORDENES'!$A838="","",IF('ORDENES'!$AT838="","-",'ORDENES'!$AT838))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20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IF('ORDENES'!$A838="","",'ORDENES'!$AF838)</f>
        <v/>
      </c>
    </row>
    <row r="861">
      <c r="A861" s="5">
        <f>IF('ORDENES'!$A839="","",IF('ORDENES'!$O839="","-",'ORDENES'!$O839))</f>
        <v/>
      </c>
      <c r="B861" s="5">
        <f>IF('ORDENES'!$A839="","",IF('ORDENES'!$S839="","-",'ORDENES'!$S839))</f>
        <v/>
      </c>
      <c r="C861" s="5">
        <f>IF('ORDENES'!$A839="","",IF('ORDENES'!$AH839="","-",'ORDENES'!$AH839))</f>
        <v/>
      </c>
      <c r="D861" s="5">
        <f>IF('ORDENES'!$A839="","",IF('ORDENES'!$Z839="","-",'ORDENES'!$Z839))</f>
        <v/>
      </c>
      <c r="E861" s="5">
        <f>IF('ORDENES'!$A839="","",IF('ORDENES'!$X839="","-",'ORDENES'!$X839))</f>
        <v/>
      </c>
      <c r="F861" s="5">
        <f>IF('ORDENES'!$A839="","",IF('ORDENES'!$AA839="","-",'ORDENES'!$AA839))</f>
        <v/>
      </c>
      <c r="G861" s="5">
        <f>IF('ORDENES'!$A839="","",IF('ORDENES'!$Y839="","-",'ORDENES'!$Y839))</f>
        <v/>
      </c>
      <c r="H861" s="5">
        <f>IF('ORDENES'!$A839="","",IF('ORDENES'!$AG839="","-",'ORDENES'!$AG839))</f>
        <v/>
      </c>
      <c r="I861" s="5">
        <f>IF('ORDENES'!$A839="","",IF('ORDENES'!$AT839="","-",'ORDENES'!$AT839))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20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IF('ORDENES'!$A839="","",'ORDENES'!$AF839)</f>
        <v/>
      </c>
    </row>
    <row r="862">
      <c r="A862" s="5">
        <f>IF('ORDENES'!$A840="","",IF('ORDENES'!$O840="","-",'ORDENES'!$O840))</f>
        <v/>
      </c>
      <c r="B862" s="5">
        <f>IF('ORDENES'!$A840="","",IF('ORDENES'!$S840="","-",'ORDENES'!$S840))</f>
        <v/>
      </c>
      <c r="C862" s="5">
        <f>IF('ORDENES'!$A840="","",IF('ORDENES'!$AH840="","-",'ORDENES'!$AH840))</f>
        <v/>
      </c>
      <c r="D862" s="5">
        <f>IF('ORDENES'!$A840="","",IF('ORDENES'!$Z840="","-",'ORDENES'!$Z840))</f>
        <v/>
      </c>
      <c r="E862" s="5">
        <f>IF('ORDENES'!$A840="","",IF('ORDENES'!$X840="","-",'ORDENES'!$X840))</f>
        <v/>
      </c>
      <c r="F862" s="5">
        <f>IF('ORDENES'!$A840="","",IF('ORDENES'!$AA840="","-",'ORDENES'!$AA840))</f>
        <v/>
      </c>
      <c r="G862" s="5">
        <f>IF('ORDENES'!$A840="","",IF('ORDENES'!$Y840="","-",'ORDENES'!$Y840))</f>
        <v/>
      </c>
      <c r="H862" s="5">
        <f>IF('ORDENES'!$A840="","",IF('ORDENES'!$AG840="","-",'ORDENES'!$AG840))</f>
        <v/>
      </c>
      <c r="I862" s="5">
        <f>IF('ORDENES'!$A840="","",IF('ORDENES'!$AT840="","-",'ORDENES'!$AT840))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20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IF('ORDENES'!$A840="","",'ORDENES'!$AF840)</f>
        <v/>
      </c>
    </row>
    <row r="863">
      <c r="A863" s="5">
        <f>IF('ORDENES'!$A841="","",IF('ORDENES'!$O841="","-",'ORDENES'!$O841))</f>
        <v/>
      </c>
      <c r="B863" s="5">
        <f>IF('ORDENES'!$A841="","",IF('ORDENES'!$S841="","-",'ORDENES'!$S841))</f>
        <v/>
      </c>
      <c r="C863" s="5">
        <f>IF('ORDENES'!$A841="","",IF('ORDENES'!$AH841="","-",'ORDENES'!$AH841))</f>
        <v/>
      </c>
      <c r="D863" s="5">
        <f>IF('ORDENES'!$A841="","",IF('ORDENES'!$Z841="","-",'ORDENES'!$Z841))</f>
        <v/>
      </c>
      <c r="E863" s="5">
        <f>IF('ORDENES'!$A841="","",IF('ORDENES'!$X841="","-",'ORDENES'!$X841))</f>
        <v/>
      </c>
      <c r="F863" s="5">
        <f>IF('ORDENES'!$A841="","",IF('ORDENES'!$AA841="","-",'ORDENES'!$AA841))</f>
        <v/>
      </c>
      <c r="G863" s="5">
        <f>IF('ORDENES'!$A841="","",IF('ORDENES'!$Y841="","-",'ORDENES'!$Y841))</f>
        <v/>
      </c>
      <c r="H863" s="5">
        <f>IF('ORDENES'!$A841="","",IF('ORDENES'!$AG841="","-",'ORDENES'!$AG841))</f>
        <v/>
      </c>
      <c r="I863" s="5">
        <f>IF('ORDENES'!$A841="","",IF('ORDENES'!$AT841="","-",'ORDENES'!$AT841))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20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IF('ORDENES'!$A841="","",'ORDENES'!$AF841)</f>
        <v/>
      </c>
    </row>
    <row r="864">
      <c r="A864" s="5">
        <f>IF('ORDENES'!$A842="","",IF('ORDENES'!$O842="","-",'ORDENES'!$O842))</f>
        <v/>
      </c>
      <c r="B864" s="5">
        <f>IF('ORDENES'!$A842="","",IF('ORDENES'!$S842="","-",'ORDENES'!$S842))</f>
        <v/>
      </c>
      <c r="C864" s="5">
        <f>IF('ORDENES'!$A842="","",IF('ORDENES'!$AH842="","-",'ORDENES'!$AH842))</f>
        <v/>
      </c>
      <c r="D864" s="5">
        <f>IF('ORDENES'!$A842="","",IF('ORDENES'!$Z842="","-",'ORDENES'!$Z842))</f>
        <v/>
      </c>
      <c r="E864" s="5">
        <f>IF('ORDENES'!$A842="","",IF('ORDENES'!$X842="","-",'ORDENES'!$X842))</f>
        <v/>
      </c>
      <c r="F864" s="5">
        <f>IF('ORDENES'!$A842="","",IF('ORDENES'!$AA842="","-",'ORDENES'!$AA842))</f>
        <v/>
      </c>
      <c r="G864" s="5">
        <f>IF('ORDENES'!$A842="","",IF('ORDENES'!$Y842="","-",'ORDENES'!$Y842))</f>
        <v/>
      </c>
      <c r="H864" s="5">
        <f>IF('ORDENES'!$A842="","",IF('ORDENES'!$AG842="","-",'ORDENES'!$AG842))</f>
        <v/>
      </c>
      <c r="I864" s="5">
        <f>IF('ORDENES'!$A842="","",IF('ORDENES'!$AT842="","-",'ORDENES'!$AT842))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20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IF('ORDENES'!$A842="","",'ORDENES'!$AF842)</f>
        <v/>
      </c>
    </row>
    <row r="865">
      <c r="A865" s="5">
        <f>IF('ORDENES'!$A843="","",IF('ORDENES'!$O843="","-",'ORDENES'!$O843))</f>
        <v/>
      </c>
      <c r="B865" s="5">
        <f>IF('ORDENES'!$A843="","",IF('ORDENES'!$S843="","-",'ORDENES'!$S843))</f>
        <v/>
      </c>
      <c r="C865" s="5">
        <f>IF('ORDENES'!$A843="","",IF('ORDENES'!$AH843="","-",'ORDENES'!$AH843))</f>
        <v/>
      </c>
      <c r="D865" s="5">
        <f>IF('ORDENES'!$A843="","",IF('ORDENES'!$Z843="","-",'ORDENES'!$Z843))</f>
        <v/>
      </c>
      <c r="E865" s="5">
        <f>IF('ORDENES'!$A843="","",IF('ORDENES'!$X843="","-",'ORDENES'!$X843))</f>
        <v/>
      </c>
      <c r="F865" s="5">
        <f>IF('ORDENES'!$A843="","",IF('ORDENES'!$AA843="","-",'ORDENES'!$AA843))</f>
        <v/>
      </c>
      <c r="G865" s="5">
        <f>IF('ORDENES'!$A843="","",IF('ORDENES'!$Y843="","-",'ORDENES'!$Y843))</f>
        <v/>
      </c>
      <c r="H865" s="5">
        <f>IF('ORDENES'!$A843="","",IF('ORDENES'!$AG843="","-",'ORDENES'!$AG843))</f>
        <v/>
      </c>
      <c r="I865" s="5">
        <f>IF('ORDENES'!$A843="","",IF('ORDENES'!$AT843="","-",'ORDENES'!$AT843))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20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IF('ORDENES'!$A843="","",'ORDENES'!$AF843)</f>
        <v/>
      </c>
    </row>
    <row r="866">
      <c r="A866" s="5">
        <f>IF('ORDENES'!$A844="","",IF('ORDENES'!$O844="","-",'ORDENES'!$O844))</f>
        <v/>
      </c>
      <c r="B866" s="5">
        <f>IF('ORDENES'!$A844="","",IF('ORDENES'!$S844="","-",'ORDENES'!$S844))</f>
        <v/>
      </c>
      <c r="C866" s="5">
        <f>IF('ORDENES'!$A844="","",IF('ORDENES'!$AH844="","-",'ORDENES'!$AH844))</f>
        <v/>
      </c>
      <c r="D866" s="5">
        <f>IF('ORDENES'!$A844="","",IF('ORDENES'!$Z844="","-",'ORDENES'!$Z844))</f>
        <v/>
      </c>
      <c r="E866" s="5">
        <f>IF('ORDENES'!$A844="","",IF('ORDENES'!$X844="","-",'ORDENES'!$X844))</f>
        <v/>
      </c>
      <c r="F866" s="5">
        <f>IF('ORDENES'!$A844="","",IF('ORDENES'!$AA844="","-",'ORDENES'!$AA844))</f>
        <v/>
      </c>
      <c r="G866" s="5">
        <f>IF('ORDENES'!$A844="","",IF('ORDENES'!$Y844="","-",'ORDENES'!$Y844))</f>
        <v/>
      </c>
      <c r="H866" s="5">
        <f>IF('ORDENES'!$A844="","",IF('ORDENES'!$AG844="","-",'ORDENES'!$AG844))</f>
        <v/>
      </c>
      <c r="I866" s="5">
        <f>IF('ORDENES'!$A844="","",IF('ORDENES'!$AT844="","-",'ORDENES'!$AT844))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20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IF('ORDENES'!$A844="","",'ORDENES'!$AF844)</f>
        <v/>
      </c>
    </row>
    <row r="867">
      <c r="A867" s="5">
        <f>IF('ORDENES'!$A845="","",IF('ORDENES'!$O845="","-",'ORDENES'!$O845))</f>
        <v/>
      </c>
      <c r="B867" s="5">
        <f>IF('ORDENES'!$A845="","",IF('ORDENES'!$S845="","-",'ORDENES'!$S845))</f>
        <v/>
      </c>
      <c r="C867" s="5">
        <f>IF('ORDENES'!$A845="","",IF('ORDENES'!$AH845="","-",'ORDENES'!$AH845))</f>
        <v/>
      </c>
      <c r="D867" s="5">
        <f>IF('ORDENES'!$A845="","",IF('ORDENES'!$Z845="","-",'ORDENES'!$Z845))</f>
        <v/>
      </c>
      <c r="E867" s="5">
        <f>IF('ORDENES'!$A845="","",IF('ORDENES'!$X845="","-",'ORDENES'!$X845))</f>
        <v/>
      </c>
      <c r="F867" s="5">
        <f>IF('ORDENES'!$A845="","",IF('ORDENES'!$AA845="","-",'ORDENES'!$AA845))</f>
        <v/>
      </c>
      <c r="G867" s="5">
        <f>IF('ORDENES'!$A845="","",IF('ORDENES'!$Y845="","-",'ORDENES'!$Y845))</f>
        <v/>
      </c>
      <c r="H867" s="5">
        <f>IF('ORDENES'!$A845="","",IF('ORDENES'!$AG845="","-",'ORDENES'!$AG845))</f>
        <v/>
      </c>
      <c r="I867" s="5">
        <f>IF('ORDENES'!$A845="","",IF('ORDENES'!$AT845="","-",'ORDENES'!$AT845))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20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IF('ORDENES'!$A845="","",'ORDENES'!$AF845)</f>
        <v/>
      </c>
    </row>
    <row r="868">
      <c r="A868" s="5">
        <f>IF('ORDENES'!$A846="","",IF('ORDENES'!$O846="","-",'ORDENES'!$O846))</f>
        <v/>
      </c>
      <c r="B868" s="5">
        <f>IF('ORDENES'!$A846="","",IF('ORDENES'!$S846="","-",'ORDENES'!$S846))</f>
        <v/>
      </c>
      <c r="C868" s="5">
        <f>IF('ORDENES'!$A846="","",IF('ORDENES'!$AH846="","-",'ORDENES'!$AH846))</f>
        <v/>
      </c>
      <c r="D868" s="5">
        <f>IF('ORDENES'!$A846="","",IF('ORDENES'!$Z846="","-",'ORDENES'!$Z846))</f>
        <v/>
      </c>
      <c r="E868" s="5">
        <f>IF('ORDENES'!$A846="","",IF('ORDENES'!$X846="","-",'ORDENES'!$X846))</f>
        <v/>
      </c>
      <c r="F868" s="5">
        <f>IF('ORDENES'!$A846="","",IF('ORDENES'!$AA846="","-",'ORDENES'!$AA846))</f>
        <v/>
      </c>
      <c r="G868" s="5">
        <f>IF('ORDENES'!$A846="","",IF('ORDENES'!$Y846="","-",'ORDENES'!$Y846))</f>
        <v/>
      </c>
      <c r="H868" s="5">
        <f>IF('ORDENES'!$A846="","",IF('ORDENES'!$AG846="","-",'ORDENES'!$AG846))</f>
        <v/>
      </c>
      <c r="I868" s="5">
        <f>IF('ORDENES'!$A846="","",IF('ORDENES'!$AT846="","-",'ORDENES'!$AT846))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20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IF('ORDENES'!$A846="","",'ORDENES'!$AF846)</f>
        <v/>
      </c>
    </row>
    <row r="869">
      <c r="A869" s="5">
        <f>IF('ORDENES'!$A847="","",IF('ORDENES'!$O847="","-",'ORDENES'!$O847))</f>
        <v/>
      </c>
      <c r="B869" s="5">
        <f>IF('ORDENES'!$A847="","",IF('ORDENES'!$S847="","-",'ORDENES'!$S847))</f>
        <v/>
      </c>
      <c r="C869" s="5">
        <f>IF('ORDENES'!$A847="","",IF('ORDENES'!$AH847="","-",'ORDENES'!$AH847))</f>
        <v/>
      </c>
      <c r="D869" s="5">
        <f>IF('ORDENES'!$A847="","",IF('ORDENES'!$Z847="","-",'ORDENES'!$Z847))</f>
        <v/>
      </c>
      <c r="E869" s="5">
        <f>IF('ORDENES'!$A847="","",IF('ORDENES'!$X847="","-",'ORDENES'!$X847))</f>
        <v/>
      </c>
      <c r="F869" s="5">
        <f>IF('ORDENES'!$A847="","",IF('ORDENES'!$AA847="","-",'ORDENES'!$AA847))</f>
        <v/>
      </c>
      <c r="G869" s="5">
        <f>IF('ORDENES'!$A847="","",IF('ORDENES'!$Y847="","-",'ORDENES'!$Y847))</f>
        <v/>
      </c>
      <c r="H869" s="5">
        <f>IF('ORDENES'!$A847="","",IF('ORDENES'!$AG847="","-",'ORDENES'!$AG847))</f>
        <v/>
      </c>
      <c r="I869" s="5">
        <f>IF('ORDENES'!$A847="","",IF('ORDENES'!$AT847="","-",'ORDENES'!$AT847))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20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IF('ORDENES'!$A847="","",'ORDENES'!$AF847)</f>
        <v/>
      </c>
    </row>
    <row r="870">
      <c r="A870" s="5">
        <f>IF('ORDENES'!$A848="","",IF('ORDENES'!$O848="","-",'ORDENES'!$O848))</f>
        <v/>
      </c>
      <c r="B870" s="5">
        <f>IF('ORDENES'!$A848="","",IF('ORDENES'!$S848="","-",'ORDENES'!$S848))</f>
        <v/>
      </c>
      <c r="C870" s="5">
        <f>IF('ORDENES'!$A848="","",IF('ORDENES'!$AH848="","-",'ORDENES'!$AH848))</f>
        <v/>
      </c>
      <c r="D870" s="5">
        <f>IF('ORDENES'!$A848="","",IF('ORDENES'!$Z848="","-",'ORDENES'!$Z848))</f>
        <v/>
      </c>
      <c r="E870" s="5">
        <f>IF('ORDENES'!$A848="","",IF('ORDENES'!$X848="","-",'ORDENES'!$X848))</f>
        <v/>
      </c>
      <c r="F870" s="5">
        <f>IF('ORDENES'!$A848="","",IF('ORDENES'!$AA848="","-",'ORDENES'!$AA848))</f>
        <v/>
      </c>
      <c r="G870" s="5">
        <f>IF('ORDENES'!$A848="","",IF('ORDENES'!$Y848="","-",'ORDENES'!$Y848))</f>
        <v/>
      </c>
      <c r="H870" s="5">
        <f>IF('ORDENES'!$A848="","",IF('ORDENES'!$AG848="","-",'ORDENES'!$AG848))</f>
        <v/>
      </c>
      <c r="I870" s="5">
        <f>IF('ORDENES'!$A848="","",IF('ORDENES'!$AT848="","-",'ORDENES'!$AT848))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20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IF('ORDENES'!$A848="","",'ORDENES'!$AF848)</f>
        <v/>
      </c>
    </row>
    <row r="871">
      <c r="A871" s="5">
        <f>IF('ORDENES'!$A849="","",IF('ORDENES'!$O849="","-",'ORDENES'!$O849))</f>
        <v/>
      </c>
      <c r="B871" s="5">
        <f>IF('ORDENES'!$A849="","",IF('ORDENES'!$S849="","-",'ORDENES'!$S849))</f>
        <v/>
      </c>
      <c r="C871" s="5">
        <f>IF('ORDENES'!$A849="","",IF('ORDENES'!$AH849="","-",'ORDENES'!$AH849))</f>
        <v/>
      </c>
      <c r="D871" s="5">
        <f>IF('ORDENES'!$A849="","",IF('ORDENES'!$Z849="","-",'ORDENES'!$Z849))</f>
        <v/>
      </c>
      <c r="E871" s="5">
        <f>IF('ORDENES'!$A849="","",IF('ORDENES'!$X849="","-",'ORDENES'!$X849))</f>
        <v/>
      </c>
      <c r="F871" s="5">
        <f>IF('ORDENES'!$A849="","",IF('ORDENES'!$AA849="","-",'ORDENES'!$AA849))</f>
        <v/>
      </c>
      <c r="G871" s="5">
        <f>IF('ORDENES'!$A849="","",IF('ORDENES'!$Y849="","-",'ORDENES'!$Y849))</f>
        <v/>
      </c>
      <c r="H871" s="5">
        <f>IF('ORDENES'!$A849="","",IF('ORDENES'!$AG849="","-",'ORDENES'!$AG849))</f>
        <v/>
      </c>
      <c r="I871" s="5">
        <f>IF('ORDENES'!$A849="","",IF('ORDENES'!$AT849="","-",'ORDENES'!$AT849))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20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IF('ORDENES'!$A849="","",'ORDENES'!$AF849)</f>
        <v/>
      </c>
    </row>
    <row r="872">
      <c r="A872" s="5">
        <f>IF('ORDENES'!$A850="","",IF('ORDENES'!$O850="","-",'ORDENES'!$O850))</f>
        <v/>
      </c>
      <c r="B872" s="5">
        <f>IF('ORDENES'!$A850="","",IF('ORDENES'!$S850="","-",'ORDENES'!$S850))</f>
        <v/>
      </c>
      <c r="C872" s="5">
        <f>IF('ORDENES'!$A850="","",IF('ORDENES'!$AH850="","-",'ORDENES'!$AH850))</f>
        <v/>
      </c>
      <c r="D872" s="5">
        <f>IF('ORDENES'!$A850="","",IF('ORDENES'!$Z850="","-",'ORDENES'!$Z850))</f>
        <v/>
      </c>
      <c r="E872" s="5">
        <f>IF('ORDENES'!$A850="","",IF('ORDENES'!$X850="","-",'ORDENES'!$X850))</f>
        <v/>
      </c>
      <c r="F872" s="5">
        <f>IF('ORDENES'!$A850="","",IF('ORDENES'!$AA850="","-",'ORDENES'!$AA850))</f>
        <v/>
      </c>
      <c r="G872" s="5">
        <f>IF('ORDENES'!$A850="","",IF('ORDENES'!$Y850="","-",'ORDENES'!$Y850))</f>
        <v/>
      </c>
      <c r="H872" s="5">
        <f>IF('ORDENES'!$A850="","",IF('ORDENES'!$AG850="","-",'ORDENES'!$AG850))</f>
        <v/>
      </c>
      <c r="I872" s="5">
        <f>IF('ORDENES'!$A850="","",IF('ORDENES'!$AT850="","-",'ORDENES'!$AT850))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20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IF('ORDENES'!$A850="","",'ORDENES'!$AF850)</f>
        <v/>
      </c>
    </row>
    <row r="873">
      <c r="A873" s="5">
        <f>IF('ORDENES'!$A851="","",IF('ORDENES'!$O851="","-",'ORDENES'!$O851))</f>
        <v/>
      </c>
      <c r="B873" s="5">
        <f>IF('ORDENES'!$A851="","",IF('ORDENES'!$S851="","-",'ORDENES'!$S851))</f>
        <v/>
      </c>
      <c r="C873" s="5">
        <f>IF('ORDENES'!$A851="","",IF('ORDENES'!$AH851="","-",'ORDENES'!$AH851))</f>
        <v/>
      </c>
      <c r="D873" s="5">
        <f>IF('ORDENES'!$A851="","",IF('ORDENES'!$Z851="","-",'ORDENES'!$Z851))</f>
        <v/>
      </c>
      <c r="E873" s="5">
        <f>IF('ORDENES'!$A851="","",IF('ORDENES'!$X851="","-",'ORDENES'!$X851))</f>
        <v/>
      </c>
      <c r="F873" s="5">
        <f>IF('ORDENES'!$A851="","",IF('ORDENES'!$AA851="","-",'ORDENES'!$AA851))</f>
        <v/>
      </c>
      <c r="G873" s="5">
        <f>IF('ORDENES'!$A851="","",IF('ORDENES'!$Y851="","-",'ORDENES'!$Y851))</f>
        <v/>
      </c>
      <c r="H873" s="5">
        <f>IF('ORDENES'!$A851="","",IF('ORDENES'!$AG851="","-",'ORDENES'!$AG851))</f>
        <v/>
      </c>
      <c r="I873" s="5">
        <f>IF('ORDENES'!$A851="","",IF('ORDENES'!$AT851="","-",'ORDENES'!$AT851))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20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IF('ORDENES'!$A851="","",'ORDENES'!$AF851)</f>
        <v/>
      </c>
    </row>
    <row r="874">
      <c r="A874" s="5">
        <f>IF('ORDENES'!$A852="","",IF('ORDENES'!$O852="","-",'ORDENES'!$O852))</f>
        <v/>
      </c>
      <c r="B874" s="5">
        <f>IF('ORDENES'!$A852="","",IF('ORDENES'!$S852="","-",'ORDENES'!$S852))</f>
        <v/>
      </c>
      <c r="C874" s="5">
        <f>IF('ORDENES'!$A852="","",IF('ORDENES'!$AH852="","-",'ORDENES'!$AH852))</f>
        <v/>
      </c>
      <c r="D874" s="5">
        <f>IF('ORDENES'!$A852="","",IF('ORDENES'!$Z852="","-",'ORDENES'!$Z852))</f>
        <v/>
      </c>
      <c r="E874" s="5">
        <f>IF('ORDENES'!$A852="","",IF('ORDENES'!$X852="","-",'ORDENES'!$X852))</f>
        <v/>
      </c>
      <c r="F874" s="5">
        <f>IF('ORDENES'!$A852="","",IF('ORDENES'!$AA852="","-",'ORDENES'!$AA852))</f>
        <v/>
      </c>
      <c r="G874" s="5">
        <f>IF('ORDENES'!$A852="","",IF('ORDENES'!$Y852="","-",'ORDENES'!$Y852))</f>
        <v/>
      </c>
      <c r="H874" s="5">
        <f>IF('ORDENES'!$A852="","",IF('ORDENES'!$AG852="","-",'ORDENES'!$AG852))</f>
        <v/>
      </c>
      <c r="I874" s="5">
        <f>IF('ORDENES'!$A852="","",IF('ORDENES'!$AT852="","-",'ORDENES'!$AT852))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20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IF('ORDENES'!$A852="","",'ORDENES'!$AF852)</f>
        <v/>
      </c>
    </row>
    <row r="875">
      <c r="A875" s="5">
        <f>IF('ORDENES'!$A853="","",IF('ORDENES'!$O853="","-",'ORDENES'!$O853))</f>
        <v/>
      </c>
      <c r="B875" s="5">
        <f>IF('ORDENES'!$A853="","",IF('ORDENES'!$S853="","-",'ORDENES'!$S853))</f>
        <v/>
      </c>
      <c r="C875" s="5">
        <f>IF('ORDENES'!$A853="","",IF('ORDENES'!$AH853="","-",'ORDENES'!$AH853))</f>
        <v/>
      </c>
      <c r="D875" s="5">
        <f>IF('ORDENES'!$A853="","",IF('ORDENES'!$Z853="","-",'ORDENES'!$Z853))</f>
        <v/>
      </c>
      <c r="E875" s="5">
        <f>IF('ORDENES'!$A853="","",IF('ORDENES'!$X853="","-",'ORDENES'!$X853))</f>
        <v/>
      </c>
      <c r="F875" s="5">
        <f>IF('ORDENES'!$A853="","",IF('ORDENES'!$AA853="","-",'ORDENES'!$AA853))</f>
        <v/>
      </c>
      <c r="G875" s="5">
        <f>IF('ORDENES'!$A853="","",IF('ORDENES'!$Y853="","-",'ORDENES'!$Y853))</f>
        <v/>
      </c>
      <c r="H875" s="5">
        <f>IF('ORDENES'!$A853="","",IF('ORDENES'!$AG853="","-",'ORDENES'!$AG853))</f>
        <v/>
      </c>
      <c r="I875" s="5">
        <f>IF('ORDENES'!$A853="","",IF('ORDENES'!$AT853="","-",'ORDENES'!$AT853))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20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IF('ORDENES'!$A853="","",'ORDENES'!$AF853)</f>
        <v/>
      </c>
    </row>
    <row r="876">
      <c r="A876" s="5">
        <f>IF('ORDENES'!$A854="","",IF('ORDENES'!$O854="","-",'ORDENES'!$O854))</f>
        <v/>
      </c>
      <c r="B876" s="5">
        <f>IF('ORDENES'!$A854="","",IF('ORDENES'!$S854="","-",'ORDENES'!$S854))</f>
        <v/>
      </c>
      <c r="C876" s="5">
        <f>IF('ORDENES'!$A854="","",IF('ORDENES'!$AH854="","-",'ORDENES'!$AH854))</f>
        <v/>
      </c>
      <c r="D876" s="5">
        <f>IF('ORDENES'!$A854="","",IF('ORDENES'!$Z854="","-",'ORDENES'!$Z854))</f>
        <v/>
      </c>
      <c r="E876" s="5">
        <f>IF('ORDENES'!$A854="","",IF('ORDENES'!$X854="","-",'ORDENES'!$X854))</f>
        <v/>
      </c>
      <c r="F876" s="5">
        <f>IF('ORDENES'!$A854="","",IF('ORDENES'!$AA854="","-",'ORDENES'!$AA854))</f>
        <v/>
      </c>
      <c r="G876" s="5">
        <f>IF('ORDENES'!$A854="","",IF('ORDENES'!$Y854="","-",'ORDENES'!$Y854))</f>
        <v/>
      </c>
      <c r="H876" s="5">
        <f>IF('ORDENES'!$A854="","",IF('ORDENES'!$AG854="","-",'ORDENES'!$AG854))</f>
        <v/>
      </c>
      <c r="I876" s="5">
        <f>IF('ORDENES'!$A854="","",IF('ORDENES'!$AT854="","-",'ORDENES'!$AT854))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20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IF('ORDENES'!$A854="","",'ORDENES'!$AF854)</f>
        <v/>
      </c>
    </row>
    <row r="877">
      <c r="A877" s="5">
        <f>IF('ORDENES'!$A855="","",IF('ORDENES'!$O855="","-",'ORDENES'!$O855))</f>
        <v/>
      </c>
      <c r="B877" s="5">
        <f>IF('ORDENES'!$A855="","",IF('ORDENES'!$S855="","-",'ORDENES'!$S855))</f>
        <v/>
      </c>
      <c r="C877" s="5">
        <f>IF('ORDENES'!$A855="","",IF('ORDENES'!$AH855="","-",'ORDENES'!$AH855))</f>
        <v/>
      </c>
      <c r="D877" s="5">
        <f>IF('ORDENES'!$A855="","",IF('ORDENES'!$Z855="","-",'ORDENES'!$Z855))</f>
        <v/>
      </c>
      <c r="E877" s="5">
        <f>IF('ORDENES'!$A855="","",IF('ORDENES'!$X855="","-",'ORDENES'!$X855))</f>
        <v/>
      </c>
      <c r="F877" s="5">
        <f>IF('ORDENES'!$A855="","",IF('ORDENES'!$AA855="","-",'ORDENES'!$AA855))</f>
        <v/>
      </c>
      <c r="G877" s="5">
        <f>IF('ORDENES'!$A855="","",IF('ORDENES'!$Y855="","-",'ORDENES'!$Y855))</f>
        <v/>
      </c>
      <c r="H877" s="5">
        <f>IF('ORDENES'!$A855="","",IF('ORDENES'!$AG855="","-",'ORDENES'!$AG855))</f>
        <v/>
      </c>
      <c r="I877" s="5">
        <f>IF('ORDENES'!$A855="","",IF('ORDENES'!$AT855="","-",'ORDENES'!$AT855))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20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IF('ORDENES'!$A855="","",'ORDENES'!$AF855)</f>
        <v/>
      </c>
    </row>
    <row r="878">
      <c r="A878" s="5">
        <f>IF('ORDENES'!$A856="","",IF('ORDENES'!$O856="","-",'ORDENES'!$O856))</f>
        <v/>
      </c>
      <c r="B878" s="5">
        <f>IF('ORDENES'!$A856="","",IF('ORDENES'!$S856="","-",'ORDENES'!$S856))</f>
        <v/>
      </c>
      <c r="C878" s="5">
        <f>IF('ORDENES'!$A856="","",IF('ORDENES'!$AH856="","-",'ORDENES'!$AH856))</f>
        <v/>
      </c>
      <c r="D878" s="5">
        <f>IF('ORDENES'!$A856="","",IF('ORDENES'!$Z856="","-",'ORDENES'!$Z856))</f>
        <v/>
      </c>
      <c r="E878" s="5">
        <f>IF('ORDENES'!$A856="","",IF('ORDENES'!$X856="","-",'ORDENES'!$X856))</f>
        <v/>
      </c>
      <c r="F878" s="5">
        <f>IF('ORDENES'!$A856="","",IF('ORDENES'!$AA856="","-",'ORDENES'!$AA856))</f>
        <v/>
      </c>
      <c r="G878" s="5">
        <f>IF('ORDENES'!$A856="","",IF('ORDENES'!$Y856="","-",'ORDENES'!$Y856))</f>
        <v/>
      </c>
      <c r="H878" s="5">
        <f>IF('ORDENES'!$A856="","",IF('ORDENES'!$AG856="","-",'ORDENES'!$AG856))</f>
        <v/>
      </c>
      <c r="I878" s="5">
        <f>IF('ORDENES'!$A856="","",IF('ORDENES'!$AT856="","-",'ORDENES'!$AT856))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20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IF('ORDENES'!$A856="","",'ORDENES'!$AF856)</f>
        <v/>
      </c>
    </row>
    <row r="879">
      <c r="A879" s="5">
        <f>IF('ORDENES'!$A857="","",IF('ORDENES'!$O857="","-",'ORDENES'!$O857))</f>
        <v/>
      </c>
      <c r="B879" s="5">
        <f>IF('ORDENES'!$A857="","",IF('ORDENES'!$S857="","-",'ORDENES'!$S857))</f>
        <v/>
      </c>
      <c r="C879" s="5">
        <f>IF('ORDENES'!$A857="","",IF('ORDENES'!$AH857="","-",'ORDENES'!$AH857))</f>
        <v/>
      </c>
      <c r="D879" s="5">
        <f>IF('ORDENES'!$A857="","",IF('ORDENES'!$Z857="","-",'ORDENES'!$Z857))</f>
        <v/>
      </c>
      <c r="E879" s="5">
        <f>IF('ORDENES'!$A857="","",IF('ORDENES'!$X857="","-",'ORDENES'!$X857))</f>
        <v/>
      </c>
      <c r="F879" s="5">
        <f>IF('ORDENES'!$A857="","",IF('ORDENES'!$AA857="","-",'ORDENES'!$AA857))</f>
        <v/>
      </c>
      <c r="G879" s="5">
        <f>IF('ORDENES'!$A857="","",IF('ORDENES'!$Y857="","-",'ORDENES'!$Y857))</f>
        <v/>
      </c>
      <c r="H879" s="5">
        <f>IF('ORDENES'!$A857="","",IF('ORDENES'!$AG857="","-",'ORDENES'!$AG857))</f>
        <v/>
      </c>
      <c r="I879" s="5">
        <f>IF('ORDENES'!$A857="","",IF('ORDENES'!$AT857="","-",'ORDENES'!$AT857))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20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IF('ORDENES'!$A857="","",'ORDENES'!$AF857)</f>
        <v/>
      </c>
    </row>
    <row r="880">
      <c r="A880" s="5">
        <f>IF('ORDENES'!$A858="","",IF('ORDENES'!$O858="","-",'ORDENES'!$O858))</f>
        <v/>
      </c>
      <c r="B880" s="5">
        <f>IF('ORDENES'!$A858="","",IF('ORDENES'!$S858="","-",'ORDENES'!$S858))</f>
        <v/>
      </c>
      <c r="C880" s="5">
        <f>IF('ORDENES'!$A858="","",IF('ORDENES'!$AH858="","-",'ORDENES'!$AH858))</f>
        <v/>
      </c>
      <c r="D880" s="5">
        <f>IF('ORDENES'!$A858="","",IF('ORDENES'!$Z858="","-",'ORDENES'!$Z858))</f>
        <v/>
      </c>
      <c r="E880" s="5">
        <f>IF('ORDENES'!$A858="","",IF('ORDENES'!$X858="","-",'ORDENES'!$X858))</f>
        <v/>
      </c>
      <c r="F880" s="5">
        <f>IF('ORDENES'!$A858="","",IF('ORDENES'!$AA858="","-",'ORDENES'!$AA858))</f>
        <v/>
      </c>
      <c r="G880" s="5">
        <f>IF('ORDENES'!$A858="","",IF('ORDENES'!$Y858="","-",'ORDENES'!$Y858))</f>
        <v/>
      </c>
      <c r="H880" s="5">
        <f>IF('ORDENES'!$A858="","",IF('ORDENES'!$AG858="","-",'ORDENES'!$AG858))</f>
        <v/>
      </c>
      <c r="I880" s="5">
        <f>IF('ORDENES'!$A858="","",IF('ORDENES'!$AT858="","-",'ORDENES'!$AT858))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20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IF('ORDENES'!$A858="","",'ORDENES'!$AF858)</f>
        <v/>
      </c>
    </row>
    <row r="881">
      <c r="A881" s="5">
        <f>IF('ORDENES'!$A859="","",IF('ORDENES'!$O859="","-",'ORDENES'!$O859))</f>
        <v/>
      </c>
      <c r="B881" s="5">
        <f>IF('ORDENES'!$A859="","",IF('ORDENES'!$S859="","-",'ORDENES'!$S859))</f>
        <v/>
      </c>
      <c r="C881" s="5">
        <f>IF('ORDENES'!$A859="","",IF('ORDENES'!$AH859="","-",'ORDENES'!$AH859))</f>
        <v/>
      </c>
      <c r="D881" s="5">
        <f>IF('ORDENES'!$A859="","",IF('ORDENES'!$Z859="","-",'ORDENES'!$Z859))</f>
        <v/>
      </c>
      <c r="E881" s="5">
        <f>IF('ORDENES'!$A859="","",IF('ORDENES'!$X859="","-",'ORDENES'!$X859))</f>
        <v/>
      </c>
      <c r="F881" s="5">
        <f>IF('ORDENES'!$A859="","",IF('ORDENES'!$AA859="","-",'ORDENES'!$AA859))</f>
        <v/>
      </c>
      <c r="G881" s="5">
        <f>IF('ORDENES'!$A859="","",IF('ORDENES'!$Y859="","-",'ORDENES'!$Y859))</f>
        <v/>
      </c>
      <c r="H881" s="5">
        <f>IF('ORDENES'!$A859="","",IF('ORDENES'!$AG859="","-",'ORDENES'!$AG859))</f>
        <v/>
      </c>
      <c r="I881" s="5">
        <f>IF('ORDENES'!$A859="","",IF('ORDENES'!$AT859="","-",'ORDENES'!$AT859))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20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IF('ORDENES'!$A859="","",'ORDENES'!$AF859)</f>
        <v/>
      </c>
    </row>
    <row r="882">
      <c r="A882" s="5">
        <f>IF('ORDENES'!$A860="","",IF('ORDENES'!$O860="","-",'ORDENES'!$O860))</f>
        <v/>
      </c>
      <c r="B882" s="5">
        <f>IF('ORDENES'!$A860="","",IF('ORDENES'!$S860="","-",'ORDENES'!$S860))</f>
        <v/>
      </c>
      <c r="C882" s="5">
        <f>IF('ORDENES'!$A860="","",IF('ORDENES'!$AH860="","-",'ORDENES'!$AH860))</f>
        <v/>
      </c>
      <c r="D882" s="5">
        <f>IF('ORDENES'!$A860="","",IF('ORDENES'!$Z860="","-",'ORDENES'!$Z860))</f>
        <v/>
      </c>
      <c r="E882" s="5">
        <f>IF('ORDENES'!$A860="","",IF('ORDENES'!$X860="","-",'ORDENES'!$X860))</f>
        <v/>
      </c>
      <c r="F882" s="5">
        <f>IF('ORDENES'!$A860="","",IF('ORDENES'!$AA860="","-",'ORDENES'!$AA860))</f>
        <v/>
      </c>
      <c r="G882" s="5">
        <f>IF('ORDENES'!$A860="","",IF('ORDENES'!$Y860="","-",'ORDENES'!$Y860))</f>
        <v/>
      </c>
      <c r="H882" s="5">
        <f>IF('ORDENES'!$A860="","",IF('ORDENES'!$AG860="","-",'ORDENES'!$AG860))</f>
        <v/>
      </c>
      <c r="I882" s="5">
        <f>IF('ORDENES'!$A860="","",IF('ORDENES'!$AT860="","-",'ORDENES'!$AT860))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20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IF('ORDENES'!$A860="","",'ORDENES'!$AF860)</f>
        <v/>
      </c>
    </row>
    <row r="883">
      <c r="A883" s="5">
        <f>IF('ORDENES'!$A861="","",IF('ORDENES'!$O861="","-",'ORDENES'!$O861))</f>
        <v/>
      </c>
      <c r="B883" s="5">
        <f>IF('ORDENES'!$A861="","",IF('ORDENES'!$S861="","-",'ORDENES'!$S861))</f>
        <v/>
      </c>
      <c r="C883" s="5">
        <f>IF('ORDENES'!$A861="","",IF('ORDENES'!$AH861="","-",'ORDENES'!$AH861))</f>
        <v/>
      </c>
      <c r="D883" s="5">
        <f>IF('ORDENES'!$A861="","",IF('ORDENES'!$Z861="","-",'ORDENES'!$Z861))</f>
        <v/>
      </c>
      <c r="E883" s="5">
        <f>IF('ORDENES'!$A861="","",IF('ORDENES'!$X861="","-",'ORDENES'!$X861))</f>
        <v/>
      </c>
      <c r="F883" s="5">
        <f>IF('ORDENES'!$A861="","",IF('ORDENES'!$AA861="","-",'ORDENES'!$AA861))</f>
        <v/>
      </c>
      <c r="G883" s="5">
        <f>IF('ORDENES'!$A861="","",IF('ORDENES'!$Y861="","-",'ORDENES'!$Y861))</f>
        <v/>
      </c>
      <c r="H883" s="5">
        <f>IF('ORDENES'!$A861="","",IF('ORDENES'!$AG861="","-",'ORDENES'!$AG861))</f>
        <v/>
      </c>
      <c r="I883" s="5">
        <f>IF('ORDENES'!$A861="","",IF('ORDENES'!$AT861="","-",'ORDENES'!$AT861))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20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IF('ORDENES'!$A861="","",'ORDENES'!$AF861)</f>
        <v/>
      </c>
    </row>
    <row r="884">
      <c r="A884" s="5">
        <f>IF('ORDENES'!$A862="","",IF('ORDENES'!$O862="","-",'ORDENES'!$O862))</f>
        <v/>
      </c>
      <c r="B884" s="5">
        <f>IF('ORDENES'!$A862="","",IF('ORDENES'!$S862="","-",'ORDENES'!$S862))</f>
        <v/>
      </c>
      <c r="C884" s="5">
        <f>IF('ORDENES'!$A862="","",IF('ORDENES'!$AH862="","-",'ORDENES'!$AH862))</f>
        <v/>
      </c>
      <c r="D884" s="5">
        <f>IF('ORDENES'!$A862="","",IF('ORDENES'!$Z862="","-",'ORDENES'!$Z862))</f>
        <v/>
      </c>
      <c r="E884" s="5">
        <f>IF('ORDENES'!$A862="","",IF('ORDENES'!$X862="","-",'ORDENES'!$X862))</f>
        <v/>
      </c>
      <c r="F884" s="5">
        <f>IF('ORDENES'!$A862="","",IF('ORDENES'!$AA862="","-",'ORDENES'!$AA862))</f>
        <v/>
      </c>
      <c r="G884" s="5">
        <f>IF('ORDENES'!$A862="","",IF('ORDENES'!$Y862="","-",'ORDENES'!$Y862))</f>
        <v/>
      </c>
      <c r="H884" s="5">
        <f>IF('ORDENES'!$A862="","",IF('ORDENES'!$AG862="","-",'ORDENES'!$AG862))</f>
        <v/>
      </c>
      <c r="I884" s="5">
        <f>IF('ORDENES'!$A862="","",IF('ORDENES'!$AT862="","-",'ORDENES'!$AT862))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20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IF('ORDENES'!$A862="","",'ORDENES'!$AF862)</f>
        <v/>
      </c>
    </row>
    <row r="885">
      <c r="A885" s="5">
        <f>IF('ORDENES'!$A863="","",IF('ORDENES'!$O863="","-",'ORDENES'!$O863))</f>
        <v/>
      </c>
      <c r="B885" s="5">
        <f>IF('ORDENES'!$A863="","",IF('ORDENES'!$S863="","-",'ORDENES'!$S863))</f>
        <v/>
      </c>
      <c r="C885" s="5">
        <f>IF('ORDENES'!$A863="","",IF('ORDENES'!$AH863="","-",'ORDENES'!$AH863))</f>
        <v/>
      </c>
      <c r="D885" s="5">
        <f>IF('ORDENES'!$A863="","",IF('ORDENES'!$Z863="","-",'ORDENES'!$Z863))</f>
        <v/>
      </c>
      <c r="E885" s="5">
        <f>IF('ORDENES'!$A863="","",IF('ORDENES'!$X863="","-",'ORDENES'!$X863))</f>
        <v/>
      </c>
      <c r="F885" s="5">
        <f>IF('ORDENES'!$A863="","",IF('ORDENES'!$AA863="","-",'ORDENES'!$AA863))</f>
        <v/>
      </c>
      <c r="G885" s="5">
        <f>IF('ORDENES'!$A863="","",IF('ORDENES'!$Y863="","-",'ORDENES'!$Y863))</f>
        <v/>
      </c>
      <c r="H885" s="5">
        <f>IF('ORDENES'!$A863="","",IF('ORDENES'!$AG863="","-",'ORDENES'!$AG863))</f>
        <v/>
      </c>
      <c r="I885" s="5">
        <f>IF('ORDENES'!$A863="","",IF('ORDENES'!$AT863="","-",'ORDENES'!$AT863))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20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IF('ORDENES'!$A863="","",'ORDENES'!$AF863)</f>
        <v/>
      </c>
    </row>
    <row r="886">
      <c r="A886" s="5">
        <f>IF('ORDENES'!$A864="","",IF('ORDENES'!$O864="","-",'ORDENES'!$O864))</f>
        <v/>
      </c>
      <c r="B886" s="5">
        <f>IF('ORDENES'!$A864="","",IF('ORDENES'!$S864="","-",'ORDENES'!$S864))</f>
        <v/>
      </c>
      <c r="C886" s="5">
        <f>IF('ORDENES'!$A864="","",IF('ORDENES'!$AH864="","-",'ORDENES'!$AH864))</f>
        <v/>
      </c>
      <c r="D886" s="5">
        <f>IF('ORDENES'!$A864="","",IF('ORDENES'!$Z864="","-",'ORDENES'!$Z864))</f>
        <v/>
      </c>
      <c r="E886" s="5">
        <f>IF('ORDENES'!$A864="","",IF('ORDENES'!$X864="","-",'ORDENES'!$X864))</f>
        <v/>
      </c>
      <c r="F886" s="5">
        <f>IF('ORDENES'!$A864="","",IF('ORDENES'!$AA864="","-",'ORDENES'!$AA864))</f>
        <v/>
      </c>
      <c r="G886" s="5">
        <f>IF('ORDENES'!$A864="","",IF('ORDENES'!$Y864="","-",'ORDENES'!$Y864))</f>
        <v/>
      </c>
      <c r="H886" s="5">
        <f>IF('ORDENES'!$A864="","",IF('ORDENES'!$AG864="","-",'ORDENES'!$AG864))</f>
        <v/>
      </c>
      <c r="I886" s="5">
        <f>IF('ORDENES'!$A864="","",IF('ORDENES'!$AT864="","-",'ORDENES'!$AT864))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20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IF('ORDENES'!$A864="","",'ORDENES'!$AF864)</f>
        <v/>
      </c>
    </row>
    <row r="887">
      <c r="A887" s="5">
        <f>IF('ORDENES'!$A865="","",IF('ORDENES'!$O865="","-",'ORDENES'!$O865))</f>
        <v/>
      </c>
      <c r="B887" s="5">
        <f>IF('ORDENES'!$A865="","",IF('ORDENES'!$S865="","-",'ORDENES'!$S865))</f>
        <v/>
      </c>
      <c r="C887" s="5">
        <f>IF('ORDENES'!$A865="","",IF('ORDENES'!$AH865="","-",'ORDENES'!$AH865))</f>
        <v/>
      </c>
      <c r="D887" s="5">
        <f>IF('ORDENES'!$A865="","",IF('ORDENES'!$Z865="","-",'ORDENES'!$Z865))</f>
        <v/>
      </c>
      <c r="E887" s="5">
        <f>IF('ORDENES'!$A865="","",IF('ORDENES'!$X865="","-",'ORDENES'!$X865))</f>
        <v/>
      </c>
      <c r="F887" s="5">
        <f>IF('ORDENES'!$A865="","",IF('ORDENES'!$AA865="","-",'ORDENES'!$AA865))</f>
        <v/>
      </c>
      <c r="G887" s="5">
        <f>IF('ORDENES'!$A865="","",IF('ORDENES'!$Y865="","-",'ORDENES'!$Y865))</f>
        <v/>
      </c>
      <c r="H887" s="5">
        <f>IF('ORDENES'!$A865="","",IF('ORDENES'!$AG865="","-",'ORDENES'!$AG865))</f>
        <v/>
      </c>
      <c r="I887" s="5">
        <f>IF('ORDENES'!$A865="","",IF('ORDENES'!$AT865="","-",'ORDENES'!$AT865))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20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IF('ORDENES'!$A865="","",'ORDENES'!$AF865)</f>
        <v/>
      </c>
    </row>
    <row r="888">
      <c r="A888" s="5">
        <f>IF('ORDENES'!$A866="","",IF('ORDENES'!$O866="","-",'ORDENES'!$O866))</f>
        <v/>
      </c>
      <c r="B888" s="5">
        <f>IF('ORDENES'!$A866="","",IF('ORDENES'!$S866="","-",'ORDENES'!$S866))</f>
        <v/>
      </c>
      <c r="C888" s="5">
        <f>IF('ORDENES'!$A866="","",IF('ORDENES'!$AH866="","-",'ORDENES'!$AH866))</f>
        <v/>
      </c>
      <c r="D888" s="5">
        <f>IF('ORDENES'!$A866="","",IF('ORDENES'!$Z866="","-",'ORDENES'!$Z866))</f>
        <v/>
      </c>
      <c r="E888" s="5">
        <f>IF('ORDENES'!$A866="","",IF('ORDENES'!$X866="","-",'ORDENES'!$X866))</f>
        <v/>
      </c>
      <c r="F888" s="5">
        <f>IF('ORDENES'!$A866="","",IF('ORDENES'!$AA866="","-",'ORDENES'!$AA866))</f>
        <v/>
      </c>
      <c r="G888" s="5">
        <f>IF('ORDENES'!$A866="","",IF('ORDENES'!$Y866="","-",'ORDENES'!$Y866))</f>
        <v/>
      </c>
      <c r="H888" s="5">
        <f>IF('ORDENES'!$A866="","",IF('ORDENES'!$AG866="","-",'ORDENES'!$AG866))</f>
        <v/>
      </c>
      <c r="I888" s="5">
        <f>IF('ORDENES'!$A866="","",IF('ORDENES'!$AT866="","-",'ORDENES'!$AT866))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20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IF('ORDENES'!$A866="","",'ORDENES'!$AF866)</f>
        <v/>
      </c>
    </row>
    <row r="889">
      <c r="A889" s="5">
        <f>IF('ORDENES'!$A867="","",IF('ORDENES'!$O867="","-",'ORDENES'!$O867))</f>
        <v/>
      </c>
      <c r="B889" s="5">
        <f>IF('ORDENES'!$A867="","",IF('ORDENES'!$S867="","-",'ORDENES'!$S867))</f>
        <v/>
      </c>
      <c r="C889" s="5">
        <f>IF('ORDENES'!$A867="","",IF('ORDENES'!$AH867="","-",'ORDENES'!$AH867))</f>
        <v/>
      </c>
      <c r="D889" s="5">
        <f>IF('ORDENES'!$A867="","",IF('ORDENES'!$Z867="","-",'ORDENES'!$Z867))</f>
        <v/>
      </c>
      <c r="E889" s="5">
        <f>IF('ORDENES'!$A867="","",IF('ORDENES'!$X867="","-",'ORDENES'!$X867))</f>
        <v/>
      </c>
      <c r="F889" s="5">
        <f>IF('ORDENES'!$A867="","",IF('ORDENES'!$AA867="","-",'ORDENES'!$AA867))</f>
        <v/>
      </c>
      <c r="G889" s="5">
        <f>IF('ORDENES'!$A867="","",IF('ORDENES'!$Y867="","-",'ORDENES'!$Y867))</f>
        <v/>
      </c>
      <c r="H889" s="5">
        <f>IF('ORDENES'!$A867="","",IF('ORDENES'!$AG867="","-",'ORDENES'!$AG867))</f>
        <v/>
      </c>
      <c r="I889" s="5">
        <f>IF('ORDENES'!$A867="","",IF('ORDENES'!$AT867="","-",'ORDENES'!$AT867))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20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IF('ORDENES'!$A867="","",'ORDENES'!$AF867)</f>
        <v/>
      </c>
    </row>
    <row r="890">
      <c r="A890" s="5">
        <f>IF('ORDENES'!$A868="","",IF('ORDENES'!$O868="","-",'ORDENES'!$O868))</f>
        <v/>
      </c>
      <c r="B890" s="5">
        <f>IF('ORDENES'!$A868="","",IF('ORDENES'!$S868="","-",'ORDENES'!$S868))</f>
        <v/>
      </c>
      <c r="C890" s="5">
        <f>IF('ORDENES'!$A868="","",IF('ORDENES'!$AH868="","-",'ORDENES'!$AH868))</f>
        <v/>
      </c>
      <c r="D890" s="5">
        <f>IF('ORDENES'!$A868="","",IF('ORDENES'!$Z868="","-",'ORDENES'!$Z868))</f>
        <v/>
      </c>
      <c r="E890" s="5">
        <f>IF('ORDENES'!$A868="","",IF('ORDENES'!$X868="","-",'ORDENES'!$X868))</f>
        <v/>
      </c>
      <c r="F890" s="5">
        <f>IF('ORDENES'!$A868="","",IF('ORDENES'!$AA868="","-",'ORDENES'!$AA868))</f>
        <v/>
      </c>
      <c r="G890" s="5">
        <f>IF('ORDENES'!$A868="","",IF('ORDENES'!$Y868="","-",'ORDENES'!$Y868))</f>
        <v/>
      </c>
      <c r="H890" s="5">
        <f>IF('ORDENES'!$A868="","",IF('ORDENES'!$AG868="","-",'ORDENES'!$AG868))</f>
        <v/>
      </c>
      <c r="I890" s="5">
        <f>IF('ORDENES'!$A868="","",IF('ORDENES'!$AT868="","-",'ORDENES'!$AT868))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20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IF('ORDENES'!$A868="","",'ORDENES'!$AF868)</f>
        <v/>
      </c>
    </row>
    <row r="891">
      <c r="A891" s="5">
        <f>IF('ORDENES'!$A869="","",IF('ORDENES'!$O869="","-",'ORDENES'!$O869))</f>
        <v/>
      </c>
      <c r="B891" s="5">
        <f>IF('ORDENES'!$A869="","",IF('ORDENES'!$S869="","-",'ORDENES'!$S869))</f>
        <v/>
      </c>
      <c r="C891" s="5">
        <f>IF('ORDENES'!$A869="","",IF('ORDENES'!$AH869="","-",'ORDENES'!$AH869))</f>
        <v/>
      </c>
      <c r="D891" s="5">
        <f>IF('ORDENES'!$A869="","",IF('ORDENES'!$Z869="","-",'ORDENES'!$Z869))</f>
        <v/>
      </c>
      <c r="E891" s="5">
        <f>IF('ORDENES'!$A869="","",IF('ORDENES'!$X869="","-",'ORDENES'!$X869))</f>
        <v/>
      </c>
      <c r="F891" s="5">
        <f>IF('ORDENES'!$A869="","",IF('ORDENES'!$AA869="","-",'ORDENES'!$AA869))</f>
        <v/>
      </c>
      <c r="G891" s="5">
        <f>IF('ORDENES'!$A869="","",IF('ORDENES'!$Y869="","-",'ORDENES'!$Y869))</f>
        <v/>
      </c>
      <c r="H891" s="5">
        <f>IF('ORDENES'!$A869="","",IF('ORDENES'!$AG869="","-",'ORDENES'!$AG869))</f>
        <v/>
      </c>
      <c r="I891" s="5">
        <f>IF('ORDENES'!$A869="","",IF('ORDENES'!$AT869="","-",'ORDENES'!$AT869))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20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IF('ORDENES'!$A869="","",'ORDENES'!$AF869)</f>
        <v/>
      </c>
    </row>
    <row r="892">
      <c r="A892" s="5">
        <f>IF('ORDENES'!$A870="","",IF('ORDENES'!$O870="","-",'ORDENES'!$O870))</f>
        <v/>
      </c>
      <c r="B892" s="5">
        <f>IF('ORDENES'!$A870="","",IF('ORDENES'!$S870="","-",'ORDENES'!$S870))</f>
        <v/>
      </c>
      <c r="C892" s="5">
        <f>IF('ORDENES'!$A870="","",IF('ORDENES'!$AH870="","-",'ORDENES'!$AH870))</f>
        <v/>
      </c>
      <c r="D892" s="5">
        <f>IF('ORDENES'!$A870="","",IF('ORDENES'!$Z870="","-",'ORDENES'!$Z870))</f>
        <v/>
      </c>
      <c r="E892" s="5">
        <f>IF('ORDENES'!$A870="","",IF('ORDENES'!$X870="","-",'ORDENES'!$X870))</f>
        <v/>
      </c>
      <c r="F892" s="5">
        <f>IF('ORDENES'!$A870="","",IF('ORDENES'!$AA870="","-",'ORDENES'!$AA870))</f>
        <v/>
      </c>
      <c r="G892" s="5">
        <f>IF('ORDENES'!$A870="","",IF('ORDENES'!$Y870="","-",'ORDENES'!$Y870))</f>
        <v/>
      </c>
      <c r="H892" s="5">
        <f>IF('ORDENES'!$A870="","",IF('ORDENES'!$AG870="","-",'ORDENES'!$AG870))</f>
        <v/>
      </c>
      <c r="I892" s="5">
        <f>IF('ORDENES'!$A870="","",IF('ORDENES'!$AT870="","-",'ORDENES'!$AT870))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20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IF('ORDENES'!$A870="","",'ORDENES'!$AF870)</f>
        <v/>
      </c>
    </row>
    <row r="893">
      <c r="A893" s="5">
        <f>IF('ORDENES'!$A871="","",IF('ORDENES'!$O871="","-",'ORDENES'!$O871))</f>
        <v/>
      </c>
      <c r="B893" s="5">
        <f>IF('ORDENES'!$A871="","",IF('ORDENES'!$S871="","-",'ORDENES'!$S871))</f>
        <v/>
      </c>
      <c r="C893" s="5">
        <f>IF('ORDENES'!$A871="","",IF('ORDENES'!$AH871="","-",'ORDENES'!$AH871))</f>
        <v/>
      </c>
      <c r="D893" s="5">
        <f>IF('ORDENES'!$A871="","",IF('ORDENES'!$Z871="","-",'ORDENES'!$Z871))</f>
        <v/>
      </c>
      <c r="E893" s="5">
        <f>IF('ORDENES'!$A871="","",IF('ORDENES'!$X871="","-",'ORDENES'!$X871))</f>
        <v/>
      </c>
      <c r="F893" s="5">
        <f>IF('ORDENES'!$A871="","",IF('ORDENES'!$AA871="","-",'ORDENES'!$AA871))</f>
        <v/>
      </c>
      <c r="G893" s="5">
        <f>IF('ORDENES'!$A871="","",IF('ORDENES'!$Y871="","-",'ORDENES'!$Y871))</f>
        <v/>
      </c>
      <c r="H893" s="5">
        <f>IF('ORDENES'!$A871="","",IF('ORDENES'!$AG871="","-",'ORDENES'!$AG871))</f>
        <v/>
      </c>
      <c r="I893" s="5">
        <f>IF('ORDENES'!$A871="","",IF('ORDENES'!$AT871="","-",'ORDENES'!$AT871))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20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IF('ORDENES'!$A871="","",'ORDENES'!$AF871)</f>
        <v/>
      </c>
    </row>
    <row r="894">
      <c r="A894" s="5">
        <f>IF('ORDENES'!$A872="","",IF('ORDENES'!$O872="","-",'ORDENES'!$O872))</f>
        <v/>
      </c>
      <c r="B894" s="5">
        <f>IF('ORDENES'!$A872="","",IF('ORDENES'!$S872="","-",'ORDENES'!$S872))</f>
        <v/>
      </c>
      <c r="C894" s="5">
        <f>IF('ORDENES'!$A872="","",IF('ORDENES'!$AH872="","-",'ORDENES'!$AH872))</f>
        <v/>
      </c>
      <c r="D894" s="5">
        <f>IF('ORDENES'!$A872="","",IF('ORDENES'!$Z872="","-",'ORDENES'!$Z872))</f>
        <v/>
      </c>
      <c r="E894" s="5">
        <f>IF('ORDENES'!$A872="","",IF('ORDENES'!$X872="","-",'ORDENES'!$X872))</f>
        <v/>
      </c>
      <c r="F894" s="5">
        <f>IF('ORDENES'!$A872="","",IF('ORDENES'!$AA872="","-",'ORDENES'!$AA872))</f>
        <v/>
      </c>
      <c r="G894" s="5">
        <f>IF('ORDENES'!$A872="","",IF('ORDENES'!$Y872="","-",'ORDENES'!$Y872))</f>
        <v/>
      </c>
      <c r="H894" s="5">
        <f>IF('ORDENES'!$A872="","",IF('ORDENES'!$AG872="","-",'ORDENES'!$AG872))</f>
        <v/>
      </c>
      <c r="I894" s="5">
        <f>IF('ORDENES'!$A872="","",IF('ORDENES'!$AT872="","-",'ORDENES'!$AT872))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20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IF('ORDENES'!$A872="","",'ORDENES'!$AF872)</f>
        <v/>
      </c>
    </row>
    <row r="895">
      <c r="A895" s="5">
        <f>IF('ORDENES'!$A873="","",IF('ORDENES'!$O873="","-",'ORDENES'!$O873))</f>
        <v/>
      </c>
      <c r="B895" s="5">
        <f>IF('ORDENES'!$A873="","",IF('ORDENES'!$S873="","-",'ORDENES'!$S873))</f>
        <v/>
      </c>
      <c r="C895" s="5">
        <f>IF('ORDENES'!$A873="","",IF('ORDENES'!$AH873="","-",'ORDENES'!$AH873))</f>
        <v/>
      </c>
      <c r="D895" s="5">
        <f>IF('ORDENES'!$A873="","",IF('ORDENES'!$Z873="","-",'ORDENES'!$Z873))</f>
        <v/>
      </c>
      <c r="E895" s="5">
        <f>IF('ORDENES'!$A873="","",IF('ORDENES'!$X873="","-",'ORDENES'!$X873))</f>
        <v/>
      </c>
      <c r="F895" s="5">
        <f>IF('ORDENES'!$A873="","",IF('ORDENES'!$AA873="","-",'ORDENES'!$AA873))</f>
        <v/>
      </c>
      <c r="G895" s="5">
        <f>IF('ORDENES'!$A873="","",IF('ORDENES'!$Y873="","-",'ORDENES'!$Y873))</f>
        <v/>
      </c>
      <c r="H895" s="5">
        <f>IF('ORDENES'!$A873="","",IF('ORDENES'!$AG873="","-",'ORDENES'!$AG873))</f>
        <v/>
      </c>
      <c r="I895" s="5">
        <f>IF('ORDENES'!$A873="","",IF('ORDENES'!$AT873="","-",'ORDENES'!$AT873))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20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IF('ORDENES'!$A873="","",'ORDENES'!$AF873)</f>
        <v/>
      </c>
    </row>
    <row r="896">
      <c r="A896" s="5">
        <f>IF('ORDENES'!$A874="","",IF('ORDENES'!$O874="","-",'ORDENES'!$O874))</f>
        <v/>
      </c>
      <c r="B896" s="5">
        <f>IF('ORDENES'!$A874="","",IF('ORDENES'!$S874="","-",'ORDENES'!$S874))</f>
        <v/>
      </c>
      <c r="C896" s="5">
        <f>IF('ORDENES'!$A874="","",IF('ORDENES'!$AH874="","-",'ORDENES'!$AH874))</f>
        <v/>
      </c>
      <c r="D896" s="5">
        <f>IF('ORDENES'!$A874="","",IF('ORDENES'!$Z874="","-",'ORDENES'!$Z874))</f>
        <v/>
      </c>
      <c r="E896" s="5">
        <f>IF('ORDENES'!$A874="","",IF('ORDENES'!$X874="","-",'ORDENES'!$X874))</f>
        <v/>
      </c>
      <c r="F896" s="5">
        <f>IF('ORDENES'!$A874="","",IF('ORDENES'!$AA874="","-",'ORDENES'!$AA874))</f>
        <v/>
      </c>
      <c r="G896" s="5">
        <f>IF('ORDENES'!$A874="","",IF('ORDENES'!$Y874="","-",'ORDENES'!$Y874))</f>
        <v/>
      </c>
      <c r="H896" s="5">
        <f>IF('ORDENES'!$A874="","",IF('ORDENES'!$AG874="","-",'ORDENES'!$AG874))</f>
        <v/>
      </c>
      <c r="I896" s="5">
        <f>IF('ORDENES'!$A874="","",IF('ORDENES'!$AT874="","-",'ORDENES'!$AT874))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20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IF('ORDENES'!$A874="","",'ORDENES'!$AF874)</f>
        <v/>
      </c>
    </row>
    <row r="897">
      <c r="A897" s="5">
        <f>IF('ORDENES'!$A875="","",IF('ORDENES'!$O875="","-",'ORDENES'!$O875))</f>
        <v/>
      </c>
      <c r="B897" s="5">
        <f>IF('ORDENES'!$A875="","",IF('ORDENES'!$S875="","-",'ORDENES'!$S875))</f>
        <v/>
      </c>
      <c r="C897" s="5">
        <f>IF('ORDENES'!$A875="","",IF('ORDENES'!$AH875="","-",'ORDENES'!$AH875))</f>
        <v/>
      </c>
      <c r="D897" s="5">
        <f>IF('ORDENES'!$A875="","",IF('ORDENES'!$Z875="","-",'ORDENES'!$Z875))</f>
        <v/>
      </c>
      <c r="E897" s="5">
        <f>IF('ORDENES'!$A875="","",IF('ORDENES'!$X875="","-",'ORDENES'!$X875))</f>
        <v/>
      </c>
      <c r="F897" s="5">
        <f>IF('ORDENES'!$A875="","",IF('ORDENES'!$AA875="","-",'ORDENES'!$AA875))</f>
        <v/>
      </c>
      <c r="G897" s="5">
        <f>IF('ORDENES'!$A875="","",IF('ORDENES'!$Y875="","-",'ORDENES'!$Y875))</f>
        <v/>
      </c>
      <c r="H897" s="5">
        <f>IF('ORDENES'!$A875="","",IF('ORDENES'!$AG875="","-",'ORDENES'!$AG875))</f>
        <v/>
      </c>
      <c r="I897" s="5">
        <f>IF('ORDENES'!$A875="","",IF('ORDENES'!$AT875="","-",'ORDENES'!$AT875))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20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IF('ORDENES'!$A875="","",'ORDENES'!$AF875)</f>
        <v/>
      </c>
    </row>
    <row r="898">
      <c r="A898" s="5">
        <f>IF('ORDENES'!$A876="","",IF('ORDENES'!$O876="","-",'ORDENES'!$O876))</f>
        <v/>
      </c>
      <c r="B898" s="5">
        <f>IF('ORDENES'!$A876="","",IF('ORDENES'!$S876="","-",'ORDENES'!$S876))</f>
        <v/>
      </c>
      <c r="C898" s="5">
        <f>IF('ORDENES'!$A876="","",IF('ORDENES'!$AH876="","-",'ORDENES'!$AH876))</f>
        <v/>
      </c>
      <c r="D898" s="5">
        <f>IF('ORDENES'!$A876="","",IF('ORDENES'!$Z876="","-",'ORDENES'!$Z876))</f>
        <v/>
      </c>
      <c r="E898" s="5">
        <f>IF('ORDENES'!$A876="","",IF('ORDENES'!$X876="","-",'ORDENES'!$X876))</f>
        <v/>
      </c>
      <c r="F898" s="5">
        <f>IF('ORDENES'!$A876="","",IF('ORDENES'!$AA876="","-",'ORDENES'!$AA876))</f>
        <v/>
      </c>
      <c r="G898" s="5">
        <f>IF('ORDENES'!$A876="","",IF('ORDENES'!$Y876="","-",'ORDENES'!$Y876))</f>
        <v/>
      </c>
      <c r="H898" s="5">
        <f>IF('ORDENES'!$A876="","",IF('ORDENES'!$AG876="","-",'ORDENES'!$AG876))</f>
        <v/>
      </c>
      <c r="I898" s="5">
        <f>IF('ORDENES'!$A876="","",IF('ORDENES'!$AT876="","-",'ORDENES'!$AT876))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20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IF('ORDENES'!$A876="","",'ORDENES'!$AF876)</f>
        <v/>
      </c>
    </row>
    <row r="899">
      <c r="A899" s="5">
        <f>IF('ORDENES'!$A877="","",IF('ORDENES'!$O877="","-",'ORDENES'!$O877))</f>
        <v/>
      </c>
      <c r="B899" s="5">
        <f>IF('ORDENES'!$A877="","",IF('ORDENES'!$S877="","-",'ORDENES'!$S877))</f>
        <v/>
      </c>
      <c r="C899" s="5">
        <f>IF('ORDENES'!$A877="","",IF('ORDENES'!$AH877="","-",'ORDENES'!$AH877))</f>
        <v/>
      </c>
      <c r="D899" s="5">
        <f>IF('ORDENES'!$A877="","",IF('ORDENES'!$Z877="","-",'ORDENES'!$Z877))</f>
        <v/>
      </c>
      <c r="E899" s="5">
        <f>IF('ORDENES'!$A877="","",IF('ORDENES'!$X877="","-",'ORDENES'!$X877))</f>
        <v/>
      </c>
      <c r="F899" s="5">
        <f>IF('ORDENES'!$A877="","",IF('ORDENES'!$AA877="","-",'ORDENES'!$AA877))</f>
        <v/>
      </c>
      <c r="G899" s="5">
        <f>IF('ORDENES'!$A877="","",IF('ORDENES'!$Y877="","-",'ORDENES'!$Y877))</f>
        <v/>
      </c>
      <c r="H899" s="5">
        <f>IF('ORDENES'!$A877="","",IF('ORDENES'!$AG877="","-",'ORDENES'!$AG877))</f>
        <v/>
      </c>
      <c r="I899" s="5">
        <f>IF('ORDENES'!$A877="","",IF('ORDENES'!$AT877="","-",'ORDENES'!$AT877))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20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IF('ORDENES'!$A877="","",'ORDENES'!$AF877)</f>
        <v/>
      </c>
    </row>
    <row r="900">
      <c r="A900" s="5">
        <f>IF('ORDENES'!$A878="","",IF('ORDENES'!$O878="","-",'ORDENES'!$O878))</f>
        <v/>
      </c>
      <c r="B900" s="5">
        <f>IF('ORDENES'!$A878="","",IF('ORDENES'!$S878="","-",'ORDENES'!$S878))</f>
        <v/>
      </c>
      <c r="C900" s="5">
        <f>IF('ORDENES'!$A878="","",IF('ORDENES'!$AH878="","-",'ORDENES'!$AH878))</f>
        <v/>
      </c>
      <c r="D900" s="5">
        <f>IF('ORDENES'!$A878="","",IF('ORDENES'!$Z878="","-",'ORDENES'!$Z878))</f>
        <v/>
      </c>
      <c r="E900" s="5">
        <f>IF('ORDENES'!$A878="","",IF('ORDENES'!$X878="","-",'ORDENES'!$X878))</f>
        <v/>
      </c>
      <c r="F900" s="5">
        <f>IF('ORDENES'!$A878="","",IF('ORDENES'!$AA878="","-",'ORDENES'!$AA878))</f>
        <v/>
      </c>
      <c r="G900" s="5">
        <f>IF('ORDENES'!$A878="","",IF('ORDENES'!$Y878="","-",'ORDENES'!$Y878))</f>
        <v/>
      </c>
      <c r="H900" s="5">
        <f>IF('ORDENES'!$A878="","",IF('ORDENES'!$AG878="","-",'ORDENES'!$AG878))</f>
        <v/>
      </c>
      <c r="I900" s="5">
        <f>IF('ORDENES'!$A878="","",IF('ORDENES'!$AT878="","-",'ORDENES'!$AT878))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20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IF('ORDENES'!$A878="","",'ORDENES'!$AF878)</f>
        <v/>
      </c>
    </row>
    <row r="901">
      <c r="A901" s="5">
        <f>IF('ORDENES'!$A879="","",IF('ORDENES'!$O879="","-",'ORDENES'!$O879))</f>
        <v/>
      </c>
      <c r="B901" s="5">
        <f>IF('ORDENES'!$A879="","",IF('ORDENES'!$S879="","-",'ORDENES'!$S879))</f>
        <v/>
      </c>
      <c r="C901" s="5">
        <f>IF('ORDENES'!$A879="","",IF('ORDENES'!$AH879="","-",'ORDENES'!$AH879))</f>
        <v/>
      </c>
      <c r="D901" s="5">
        <f>IF('ORDENES'!$A879="","",IF('ORDENES'!$Z879="","-",'ORDENES'!$Z879))</f>
        <v/>
      </c>
      <c r="E901" s="5">
        <f>IF('ORDENES'!$A879="","",IF('ORDENES'!$X879="","-",'ORDENES'!$X879))</f>
        <v/>
      </c>
      <c r="F901" s="5">
        <f>IF('ORDENES'!$A879="","",IF('ORDENES'!$AA879="","-",'ORDENES'!$AA879))</f>
        <v/>
      </c>
      <c r="G901" s="5">
        <f>IF('ORDENES'!$A879="","",IF('ORDENES'!$Y879="","-",'ORDENES'!$Y879))</f>
        <v/>
      </c>
      <c r="H901" s="5">
        <f>IF('ORDENES'!$A879="","",IF('ORDENES'!$AG879="","-",'ORDENES'!$AG879))</f>
        <v/>
      </c>
      <c r="I901" s="5">
        <f>IF('ORDENES'!$A879="","",IF('ORDENES'!$AT879="","-",'ORDENES'!$AT879))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20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IF('ORDENES'!$A879="","",'ORDENES'!$AF879)</f>
        <v/>
      </c>
    </row>
    <row r="902">
      <c r="A902" s="5">
        <f>IF('ORDENES'!$A880="","",IF('ORDENES'!$O880="","-",'ORDENES'!$O880))</f>
        <v/>
      </c>
      <c r="B902" s="5">
        <f>IF('ORDENES'!$A880="","",IF('ORDENES'!$S880="","-",'ORDENES'!$S880))</f>
        <v/>
      </c>
      <c r="C902" s="5">
        <f>IF('ORDENES'!$A880="","",IF('ORDENES'!$AH880="","-",'ORDENES'!$AH880))</f>
        <v/>
      </c>
      <c r="D902" s="5">
        <f>IF('ORDENES'!$A880="","",IF('ORDENES'!$Z880="","-",'ORDENES'!$Z880))</f>
        <v/>
      </c>
      <c r="E902" s="5">
        <f>IF('ORDENES'!$A880="","",IF('ORDENES'!$X880="","-",'ORDENES'!$X880))</f>
        <v/>
      </c>
      <c r="F902" s="5">
        <f>IF('ORDENES'!$A880="","",IF('ORDENES'!$AA880="","-",'ORDENES'!$AA880))</f>
        <v/>
      </c>
      <c r="G902" s="5">
        <f>IF('ORDENES'!$A880="","",IF('ORDENES'!$Y880="","-",'ORDENES'!$Y880))</f>
        <v/>
      </c>
      <c r="H902" s="5">
        <f>IF('ORDENES'!$A880="","",IF('ORDENES'!$AG880="","-",'ORDENES'!$AG880))</f>
        <v/>
      </c>
      <c r="I902" s="5">
        <f>IF('ORDENES'!$A880="","",IF('ORDENES'!$AT880="","-",'ORDENES'!$AT880))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20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IF('ORDENES'!$A880="","",'ORDENES'!$AF880)</f>
        <v/>
      </c>
    </row>
    <row r="903">
      <c r="A903" s="5">
        <f>IF('ORDENES'!$A881="","",IF('ORDENES'!$O881="","-",'ORDENES'!$O881))</f>
        <v/>
      </c>
      <c r="B903" s="5">
        <f>IF('ORDENES'!$A881="","",IF('ORDENES'!$S881="","-",'ORDENES'!$S881))</f>
        <v/>
      </c>
      <c r="C903" s="5">
        <f>IF('ORDENES'!$A881="","",IF('ORDENES'!$AH881="","-",'ORDENES'!$AH881))</f>
        <v/>
      </c>
      <c r="D903" s="5">
        <f>IF('ORDENES'!$A881="","",IF('ORDENES'!$Z881="","-",'ORDENES'!$Z881))</f>
        <v/>
      </c>
      <c r="E903" s="5">
        <f>IF('ORDENES'!$A881="","",IF('ORDENES'!$X881="","-",'ORDENES'!$X881))</f>
        <v/>
      </c>
      <c r="F903" s="5">
        <f>IF('ORDENES'!$A881="","",IF('ORDENES'!$AA881="","-",'ORDENES'!$AA881))</f>
        <v/>
      </c>
      <c r="G903" s="5">
        <f>IF('ORDENES'!$A881="","",IF('ORDENES'!$Y881="","-",'ORDENES'!$Y881))</f>
        <v/>
      </c>
      <c r="H903" s="5">
        <f>IF('ORDENES'!$A881="","",IF('ORDENES'!$AG881="","-",'ORDENES'!$AG881))</f>
        <v/>
      </c>
      <c r="I903" s="5">
        <f>IF('ORDENES'!$A881="","",IF('ORDENES'!$AT881="","-",'ORDENES'!$AT881))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20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IF('ORDENES'!$A881="","",'ORDENES'!$AF881)</f>
        <v/>
      </c>
    </row>
    <row r="904">
      <c r="A904" s="5">
        <f>IF('ORDENES'!$A882="","",IF('ORDENES'!$O882="","-",'ORDENES'!$O882))</f>
        <v/>
      </c>
      <c r="B904" s="5">
        <f>IF('ORDENES'!$A882="","",IF('ORDENES'!$S882="","-",'ORDENES'!$S882))</f>
        <v/>
      </c>
      <c r="C904" s="5">
        <f>IF('ORDENES'!$A882="","",IF('ORDENES'!$AH882="","-",'ORDENES'!$AH882))</f>
        <v/>
      </c>
      <c r="D904" s="5">
        <f>IF('ORDENES'!$A882="","",IF('ORDENES'!$Z882="","-",'ORDENES'!$Z882))</f>
        <v/>
      </c>
      <c r="E904" s="5">
        <f>IF('ORDENES'!$A882="","",IF('ORDENES'!$X882="","-",'ORDENES'!$X882))</f>
        <v/>
      </c>
      <c r="F904" s="5">
        <f>IF('ORDENES'!$A882="","",IF('ORDENES'!$AA882="","-",'ORDENES'!$AA882))</f>
        <v/>
      </c>
      <c r="G904" s="5">
        <f>IF('ORDENES'!$A882="","",IF('ORDENES'!$Y882="","-",'ORDENES'!$Y882))</f>
        <v/>
      </c>
      <c r="H904" s="5">
        <f>IF('ORDENES'!$A882="","",IF('ORDENES'!$AG882="","-",'ORDENES'!$AG882))</f>
        <v/>
      </c>
      <c r="I904" s="5">
        <f>IF('ORDENES'!$A882="","",IF('ORDENES'!$AT882="","-",'ORDENES'!$AT882))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20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IF('ORDENES'!$A882="","",'ORDENES'!$AF882)</f>
        <v/>
      </c>
    </row>
    <row r="905">
      <c r="A905" s="5">
        <f>IF('ORDENES'!$A883="","",IF('ORDENES'!$O883="","-",'ORDENES'!$O883))</f>
        <v/>
      </c>
      <c r="B905" s="5">
        <f>IF('ORDENES'!$A883="","",IF('ORDENES'!$S883="","-",'ORDENES'!$S883))</f>
        <v/>
      </c>
      <c r="C905" s="5">
        <f>IF('ORDENES'!$A883="","",IF('ORDENES'!$AH883="","-",'ORDENES'!$AH883))</f>
        <v/>
      </c>
      <c r="D905" s="5">
        <f>IF('ORDENES'!$A883="","",IF('ORDENES'!$Z883="","-",'ORDENES'!$Z883))</f>
        <v/>
      </c>
      <c r="E905" s="5">
        <f>IF('ORDENES'!$A883="","",IF('ORDENES'!$X883="","-",'ORDENES'!$X883))</f>
        <v/>
      </c>
      <c r="F905" s="5">
        <f>IF('ORDENES'!$A883="","",IF('ORDENES'!$AA883="","-",'ORDENES'!$AA883))</f>
        <v/>
      </c>
      <c r="G905" s="5">
        <f>IF('ORDENES'!$A883="","",IF('ORDENES'!$Y883="","-",'ORDENES'!$Y883))</f>
        <v/>
      </c>
      <c r="H905" s="5">
        <f>IF('ORDENES'!$A883="","",IF('ORDENES'!$AG883="","-",'ORDENES'!$AG883))</f>
        <v/>
      </c>
      <c r="I905" s="5">
        <f>IF('ORDENES'!$A883="","",IF('ORDENES'!$AT883="","-",'ORDENES'!$AT883))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20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IF('ORDENES'!$A883="","",'ORDENES'!$AF883)</f>
        <v/>
      </c>
    </row>
    <row r="906">
      <c r="A906" s="5">
        <f>IF('ORDENES'!$A884="","",IF('ORDENES'!$O884="","-",'ORDENES'!$O884))</f>
        <v/>
      </c>
      <c r="B906" s="5">
        <f>IF('ORDENES'!$A884="","",IF('ORDENES'!$S884="","-",'ORDENES'!$S884))</f>
        <v/>
      </c>
      <c r="C906" s="5">
        <f>IF('ORDENES'!$A884="","",IF('ORDENES'!$AH884="","-",'ORDENES'!$AH884))</f>
        <v/>
      </c>
      <c r="D906" s="5">
        <f>IF('ORDENES'!$A884="","",IF('ORDENES'!$Z884="","-",'ORDENES'!$Z884))</f>
        <v/>
      </c>
      <c r="E906" s="5">
        <f>IF('ORDENES'!$A884="","",IF('ORDENES'!$X884="","-",'ORDENES'!$X884))</f>
        <v/>
      </c>
      <c r="F906" s="5">
        <f>IF('ORDENES'!$A884="","",IF('ORDENES'!$AA884="","-",'ORDENES'!$AA884))</f>
        <v/>
      </c>
      <c r="G906" s="5">
        <f>IF('ORDENES'!$A884="","",IF('ORDENES'!$Y884="","-",'ORDENES'!$Y884))</f>
        <v/>
      </c>
      <c r="H906" s="5">
        <f>IF('ORDENES'!$A884="","",IF('ORDENES'!$AG884="","-",'ORDENES'!$AG884))</f>
        <v/>
      </c>
      <c r="I906" s="5">
        <f>IF('ORDENES'!$A884="","",IF('ORDENES'!$AT884="","-",'ORDENES'!$AT884))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20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IF('ORDENES'!$A884="","",'ORDENES'!$AF884)</f>
        <v/>
      </c>
    </row>
    <row r="907">
      <c r="A907" s="5">
        <f>IF('ORDENES'!$A885="","",IF('ORDENES'!$O885="","-",'ORDENES'!$O885))</f>
        <v/>
      </c>
      <c r="B907" s="5">
        <f>IF('ORDENES'!$A885="","",IF('ORDENES'!$S885="","-",'ORDENES'!$S885))</f>
        <v/>
      </c>
      <c r="C907" s="5">
        <f>IF('ORDENES'!$A885="","",IF('ORDENES'!$AH885="","-",'ORDENES'!$AH885))</f>
        <v/>
      </c>
      <c r="D907" s="5">
        <f>IF('ORDENES'!$A885="","",IF('ORDENES'!$Z885="","-",'ORDENES'!$Z885))</f>
        <v/>
      </c>
      <c r="E907" s="5">
        <f>IF('ORDENES'!$A885="","",IF('ORDENES'!$X885="","-",'ORDENES'!$X885))</f>
        <v/>
      </c>
      <c r="F907" s="5">
        <f>IF('ORDENES'!$A885="","",IF('ORDENES'!$AA885="","-",'ORDENES'!$AA885))</f>
        <v/>
      </c>
      <c r="G907" s="5">
        <f>IF('ORDENES'!$A885="","",IF('ORDENES'!$Y885="","-",'ORDENES'!$Y885))</f>
        <v/>
      </c>
      <c r="H907" s="5">
        <f>IF('ORDENES'!$A885="","",IF('ORDENES'!$AG885="","-",'ORDENES'!$AG885))</f>
        <v/>
      </c>
      <c r="I907" s="5">
        <f>IF('ORDENES'!$A885="","",IF('ORDENES'!$AT885="","-",'ORDENES'!$AT885))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20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IF('ORDENES'!$A885="","",'ORDENES'!$AF885)</f>
        <v/>
      </c>
    </row>
    <row r="908">
      <c r="A908" s="5">
        <f>IF('ORDENES'!$A886="","",IF('ORDENES'!$O886="","-",'ORDENES'!$O886))</f>
        <v/>
      </c>
      <c r="B908" s="5">
        <f>IF('ORDENES'!$A886="","",IF('ORDENES'!$S886="","-",'ORDENES'!$S886))</f>
        <v/>
      </c>
      <c r="C908" s="5">
        <f>IF('ORDENES'!$A886="","",IF('ORDENES'!$AH886="","-",'ORDENES'!$AH886))</f>
        <v/>
      </c>
      <c r="D908" s="5">
        <f>IF('ORDENES'!$A886="","",IF('ORDENES'!$Z886="","-",'ORDENES'!$Z886))</f>
        <v/>
      </c>
      <c r="E908" s="5">
        <f>IF('ORDENES'!$A886="","",IF('ORDENES'!$X886="","-",'ORDENES'!$X886))</f>
        <v/>
      </c>
      <c r="F908" s="5">
        <f>IF('ORDENES'!$A886="","",IF('ORDENES'!$AA886="","-",'ORDENES'!$AA886))</f>
        <v/>
      </c>
      <c r="G908" s="5">
        <f>IF('ORDENES'!$A886="","",IF('ORDENES'!$Y886="","-",'ORDENES'!$Y886))</f>
        <v/>
      </c>
      <c r="H908" s="5">
        <f>IF('ORDENES'!$A886="","",IF('ORDENES'!$AG886="","-",'ORDENES'!$AG886))</f>
        <v/>
      </c>
      <c r="I908" s="5">
        <f>IF('ORDENES'!$A886="","",IF('ORDENES'!$AT886="","-",'ORDENES'!$AT886))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20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IF('ORDENES'!$A886="","",'ORDENES'!$AF886)</f>
        <v/>
      </c>
    </row>
    <row r="909">
      <c r="A909" s="5">
        <f>IF('ORDENES'!$A887="","",IF('ORDENES'!$O887="","-",'ORDENES'!$O887))</f>
        <v/>
      </c>
      <c r="B909" s="5">
        <f>IF('ORDENES'!$A887="","",IF('ORDENES'!$S887="","-",'ORDENES'!$S887))</f>
        <v/>
      </c>
      <c r="C909" s="5">
        <f>IF('ORDENES'!$A887="","",IF('ORDENES'!$AH887="","-",'ORDENES'!$AH887))</f>
        <v/>
      </c>
      <c r="D909" s="5">
        <f>IF('ORDENES'!$A887="","",IF('ORDENES'!$Z887="","-",'ORDENES'!$Z887))</f>
        <v/>
      </c>
      <c r="E909" s="5">
        <f>IF('ORDENES'!$A887="","",IF('ORDENES'!$X887="","-",'ORDENES'!$X887))</f>
        <v/>
      </c>
      <c r="F909" s="5">
        <f>IF('ORDENES'!$A887="","",IF('ORDENES'!$AA887="","-",'ORDENES'!$AA887))</f>
        <v/>
      </c>
      <c r="G909" s="5">
        <f>IF('ORDENES'!$A887="","",IF('ORDENES'!$Y887="","-",'ORDENES'!$Y887))</f>
        <v/>
      </c>
      <c r="H909" s="5">
        <f>IF('ORDENES'!$A887="","",IF('ORDENES'!$AG887="","-",'ORDENES'!$AG887))</f>
        <v/>
      </c>
      <c r="I909" s="5">
        <f>IF('ORDENES'!$A887="","",IF('ORDENES'!$AT887="","-",'ORDENES'!$AT887))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20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IF('ORDENES'!$A887="","",'ORDENES'!$AF887)</f>
        <v/>
      </c>
    </row>
    <row r="910">
      <c r="A910" s="5">
        <f>IF('ORDENES'!$A888="","",IF('ORDENES'!$O888="","-",'ORDENES'!$O888))</f>
        <v/>
      </c>
      <c r="B910" s="5">
        <f>IF('ORDENES'!$A888="","",IF('ORDENES'!$S888="","-",'ORDENES'!$S888))</f>
        <v/>
      </c>
      <c r="C910" s="5">
        <f>IF('ORDENES'!$A888="","",IF('ORDENES'!$AH888="","-",'ORDENES'!$AH888))</f>
        <v/>
      </c>
      <c r="D910" s="5">
        <f>IF('ORDENES'!$A888="","",IF('ORDENES'!$Z888="","-",'ORDENES'!$Z888))</f>
        <v/>
      </c>
      <c r="E910" s="5">
        <f>IF('ORDENES'!$A888="","",IF('ORDENES'!$X888="","-",'ORDENES'!$X888))</f>
        <v/>
      </c>
      <c r="F910" s="5">
        <f>IF('ORDENES'!$A888="","",IF('ORDENES'!$AA888="","-",'ORDENES'!$AA888))</f>
        <v/>
      </c>
      <c r="G910" s="5">
        <f>IF('ORDENES'!$A888="","",IF('ORDENES'!$Y888="","-",'ORDENES'!$Y888))</f>
        <v/>
      </c>
      <c r="H910" s="5">
        <f>IF('ORDENES'!$A888="","",IF('ORDENES'!$AG888="","-",'ORDENES'!$AG888))</f>
        <v/>
      </c>
      <c r="I910" s="5">
        <f>IF('ORDENES'!$A888="","",IF('ORDENES'!$AT888="","-",'ORDENES'!$AT888))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20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IF('ORDENES'!$A888="","",'ORDENES'!$AF888)</f>
        <v/>
      </c>
    </row>
    <row r="911">
      <c r="A911" s="5">
        <f>IF('ORDENES'!$A889="","",IF('ORDENES'!$O889="","-",'ORDENES'!$O889))</f>
        <v/>
      </c>
      <c r="B911" s="5">
        <f>IF('ORDENES'!$A889="","",IF('ORDENES'!$S889="","-",'ORDENES'!$S889))</f>
        <v/>
      </c>
      <c r="C911" s="5">
        <f>IF('ORDENES'!$A889="","",IF('ORDENES'!$AH889="","-",'ORDENES'!$AH889))</f>
        <v/>
      </c>
      <c r="D911" s="5">
        <f>IF('ORDENES'!$A889="","",IF('ORDENES'!$Z889="","-",'ORDENES'!$Z889))</f>
        <v/>
      </c>
      <c r="E911" s="5">
        <f>IF('ORDENES'!$A889="","",IF('ORDENES'!$X889="","-",'ORDENES'!$X889))</f>
        <v/>
      </c>
      <c r="F911" s="5">
        <f>IF('ORDENES'!$A889="","",IF('ORDENES'!$AA889="","-",'ORDENES'!$AA889))</f>
        <v/>
      </c>
      <c r="G911" s="5">
        <f>IF('ORDENES'!$A889="","",IF('ORDENES'!$Y889="","-",'ORDENES'!$Y889))</f>
        <v/>
      </c>
      <c r="H911" s="5">
        <f>IF('ORDENES'!$A889="","",IF('ORDENES'!$AG889="","-",'ORDENES'!$AG889))</f>
        <v/>
      </c>
      <c r="I911" s="5">
        <f>IF('ORDENES'!$A889="","",IF('ORDENES'!$AT889="","-",'ORDENES'!$AT889))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20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IF('ORDENES'!$A889="","",'ORDENES'!$AF889)</f>
        <v/>
      </c>
    </row>
    <row r="912">
      <c r="A912" s="5">
        <f>IF('ORDENES'!$A890="","",IF('ORDENES'!$O890="","-",'ORDENES'!$O890))</f>
        <v/>
      </c>
      <c r="B912" s="5">
        <f>IF('ORDENES'!$A890="","",IF('ORDENES'!$S890="","-",'ORDENES'!$S890))</f>
        <v/>
      </c>
      <c r="C912" s="5">
        <f>IF('ORDENES'!$A890="","",IF('ORDENES'!$AH890="","-",'ORDENES'!$AH890))</f>
        <v/>
      </c>
      <c r="D912" s="5">
        <f>IF('ORDENES'!$A890="","",IF('ORDENES'!$Z890="","-",'ORDENES'!$Z890))</f>
        <v/>
      </c>
      <c r="E912" s="5">
        <f>IF('ORDENES'!$A890="","",IF('ORDENES'!$X890="","-",'ORDENES'!$X890))</f>
        <v/>
      </c>
      <c r="F912" s="5">
        <f>IF('ORDENES'!$A890="","",IF('ORDENES'!$AA890="","-",'ORDENES'!$AA890))</f>
        <v/>
      </c>
      <c r="G912" s="5">
        <f>IF('ORDENES'!$A890="","",IF('ORDENES'!$Y890="","-",'ORDENES'!$Y890))</f>
        <v/>
      </c>
      <c r="H912" s="5">
        <f>IF('ORDENES'!$A890="","",IF('ORDENES'!$AG890="","-",'ORDENES'!$AG890))</f>
        <v/>
      </c>
      <c r="I912" s="5">
        <f>IF('ORDENES'!$A890="","",IF('ORDENES'!$AT890="","-",'ORDENES'!$AT890))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20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IF('ORDENES'!$A890="","",'ORDENES'!$AF890)</f>
        <v/>
      </c>
    </row>
    <row r="913">
      <c r="A913" s="5">
        <f>IF('ORDENES'!$A891="","",IF('ORDENES'!$O891="","-",'ORDENES'!$O891))</f>
        <v/>
      </c>
      <c r="B913" s="5">
        <f>IF('ORDENES'!$A891="","",IF('ORDENES'!$S891="","-",'ORDENES'!$S891))</f>
        <v/>
      </c>
      <c r="C913" s="5">
        <f>IF('ORDENES'!$A891="","",IF('ORDENES'!$AH891="","-",'ORDENES'!$AH891))</f>
        <v/>
      </c>
      <c r="D913" s="5">
        <f>IF('ORDENES'!$A891="","",IF('ORDENES'!$Z891="","-",'ORDENES'!$Z891))</f>
        <v/>
      </c>
      <c r="E913" s="5">
        <f>IF('ORDENES'!$A891="","",IF('ORDENES'!$X891="","-",'ORDENES'!$X891))</f>
        <v/>
      </c>
      <c r="F913" s="5">
        <f>IF('ORDENES'!$A891="","",IF('ORDENES'!$AA891="","-",'ORDENES'!$AA891))</f>
        <v/>
      </c>
      <c r="G913" s="5">
        <f>IF('ORDENES'!$A891="","",IF('ORDENES'!$Y891="","-",'ORDENES'!$Y891))</f>
        <v/>
      </c>
      <c r="H913" s="5">
        <f>IF('ORDENES'!$A891="","",IF('ORDENES'!$AG891="","-",'ORDENES'!$AG891))</f>
        <v/>
      </c>
      <c r="I913" s="5">
        <f>IF('ORDENES'!$A891="","",IF('ORDENES'!$AT891="","-",'ORDENES'!$AT891))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20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IF('ORDENES'!$A891="","",'ORDENES'!$AF891)</f>
        <v/>
      </c>
    </row>
    <row r="914">
      <c r="A914" s="5">
        <f>IF('ORDENES'!$A892="","",IF('ORDENES'!$O892="","-",'ORDENES'!$O892))</f>
        <v/>
      </c>
      <c r="B914" s="5">
        <f>IF('ORDENES'!$A892="","",IF('ORDENES'!$S892="","-",'ORDENES'!$S892))</f>
        <v/>
      </c>
      <c r="C914" s="5">
        <f>IF('ORDENES'!$A892="","",IF('ORDENES'!$AH892="","-",'ORDENES'!$AH892))</f>
        <v/>
      </c>
      <c r="D914" s="5">
        <f>IF('ORDENES'!$A892="","",IF('ORDENES'!$Z892="","-",'ORDENES'!$Z892))</f>
        <v/>
      </c>
      <c r="E914" s="5">
        <f>IF('ORDENES'!$A892="","",IF('ORDENES'!$X892="","-",'ORDENES'!$X892))</f>
        <v/>
      </c>
      <c r="F914" s="5">
        <f>IF('ORDENES'!$A892="","",IF('ORDENES'!$AA892="","-",'ORDENES'!$AA892))</f>
        <v/>
      </c>
      <c r="G914" s="5">
        <f>IF('ORDENES'!$A892="","",IF('ORDENES'!$Y892="","-",'ORDENES'!$Y892))</f>
        <v/>
      </c>
      <c r="H914" s="5">
        <f>IF('ORDENES'!$A892="","",IF('ORDENES'!$AG892="","-",'ORDENES'!$AG892))</f>
        <v/>
      </c>
      <c r="I914" s="5">
        <f>IF('ORDENES'!$A892="","",IF('ORDENES'!$AT892="","-",'ORDENES'!$AT892))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20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IF('ORDENES'!$A892="","",'ORDENES'!$AF892)</f>
        <v/>
      </c>
    </row>
    <row r="915">
      <c r="A915" s="5">
        <f>IF('ORDENES'!$A893="","",IF('ORDENES'!$O893="","-",'ORDENES'!$O893))</f>
        <v/>
      </c>
      <c r="B915" s="5">
        <f>IF('ORDENES'!$A893="","",IF('ORDENES'!$S893="","-",'ORDENES'!$S893))</f>
        <v/>
      </c>
      <c r="C915" s="5">
        <f>IF('ORDENES'!$A893="","",IF('ORDENES'!$AH893="","-",'ORDENES'!$AH893))</f>
        <v/>
      </c>
      <c r="D915" s="5">
        <f>IF('ORDENES'!$A893="","",IF('ORDENES'!$Z893="","-",'ORDENES'!$Z893))</f>
        <v/>
      </c>
      <c r="E915" s="5">
        <f>IF('ORDENES'!$A893="","",IF('ORDENES'!$X893="","-",'ORDENES'!$X893))</f>
        <v/>
      </c>
      <c r="F915" s="5">
        <f>IF('ORDENES'!$A893="","",IF('ORDENES'!$AA893="","-",'ORDENES'!$AA893))</f>
        <v/>
      </c>
      <c r="G915" s="5">
        <f>IF('ORDENES'!$A893="","",IF('ORDENES'!$Y893="","-",'ORDENES'!$Y893))</f>
        <v/>
      </c>
      <c r="H915" s="5">
        <f>IF('ORDENES'!$A893="","",IF('ORDENES'!$AG893="","-",'ORDENES'!$AG893))</f>
        <v/>
      </c>
      <c r="I915" s="5">
        <f>IF('ORDENES'!$A893="","",IF('ORDENES'!$AT893="","-",'ORDENES'!$AT893))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20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IF('ORDENES'!$A893="","",'ORDENES'!$AF893)</f>
        <v/>
      </c>
    </row>
    <row r="916">
      <c r="A916" s="5">
        <f>IF('ORDENES'!$A894="","",IF('ORDENES'!$O894="","-",'ORDENES'!$O894))</f>
        <v/>
      </c>
      <c r="B916" s="5">
        <f>IF('ORDENES'!$A894="","",IF('ORDENES'!$S894="","-",'ORDENES'!$S894))</f>
        <v/>
      </c>
      <c r="C916" s="5">
        <f>IF('ORDENES'!$A894="","",IF('ORDENES'!$AH894="","-",'ORDENES'!$AH894))</f>
        <v/>
      </c>
      <c r="D916" s="5">
        <f>IF('ORDENES'!$A894="","",IF('ORDENES'!$Z894="","-",'ORDENES'!$Z894))</f>
        <v/>
      </c>
      <c r="E916" s="5">
        <f>IF('ORDENES'!$A894="","",IF('ORDENES'!$X894="","-",'ORDENES'!$X894))</f>
        <v/>
      </c>
      <c r="F916" s="5">
        <f>IF('ORDENES'!$A894="","",IF('ORDENES'!$AA894="","-",'ORDENES'!$AA894))</f>
        <v/>
      </c>
      <c r="G916" s="5">
        <f>IF('ORDENES'!$A894="","",IF('ORDENES'!$Y894="","-",'ORDENES'!$Y894))</f>
        <v/>
      </c>
      <c r="H916" s="5">
        <f>IF('ORDENES'!$A894="","",IF('ORDENES'!$AG894="","-",'ORDENES'!$AG894))</f>
        <v/>
      </c>
      <c r="I916" s="5">
        <f>IF('ORDENES'!$A894="","",IF('ORDENES'!$AT894="","-",'ORDENES'!$AT894))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20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IF('ORDENES'!$A894="","",'ORDENES'!$AF894)</f>
        <v/>
      </c>
    </row>
    <row r="917">
      <c r="A917" s="5">
        <f>IF('ORDENES'!$A895="","",IF('ORDENES'!$O895="","-",'ORDENES'!$O895))</f>
        <v/>
      </c>
      <c r="B917" s="5">
        <f>IF('ORDENES'!$A895="","",IF('ORDENES'!$S895="","-",'ORDENES'!$S895))</f>
        <v/>
      </c>
      <c r="C917" s="5">
        <f>IF('ORDENES'!$A895="","",IF('ORDENES'!$AH895="","-",'ORDENES'!$AH895))</f>
        <v/>
      </c>
      <c r="D917" s="5">
        <f>IF('ORDENES'!$A895="","",IF('ORDENES'!$Z895="","-",'ORDENES'!$Z895))</f>
        <v/>
      </c>
      <c r="E917" s="5">
        <f>IF('ORDENES'!$A895="","",IF('ORDENES'!$X895="","-",'ORDENES'!$X895))</f>
        <v/>
      </c>
      <c r="F917" s="5">
        <f>IF('ORDENES'!$A895="","",IF('ORDENES'!$AA895="","-",'ORDENES'!$AA895))</f>
        <v/>
      </c>
      <c r="G917" s="5">
        <f>IF('ORDENES'!$A895="","",IF('ORDENES'!$Y895="","-",'ORDENES'!$Y895))</f>
        <v/>
      </c>
      <c r="H917" s="5">
        <f>IF('ORDENES'!$A895="","",IF('ORDENES'!$AG895="","-",'ORDENES'!$AG895))</f>
        <v/>
      </c>
      <c r="I917" s="5">
        <f>IF('ORDENES'!$A895="","",IF('ORDENES'!$AT895="","-",'ORDENES'!$AT895))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20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IF('ORDENES'!$A895="","",'ORDENES'!$AF895)</f>
        <v/>
      </c>
    </row>
    <row r="918">
      <c r="A918" s="5">
        <f>IF('ORDENES'!$A896="","",IF('ORDENES'!$O896="","-",'ORDENES'!$O896))</f>
        <v/>
      </c>
      <c r="B918" s="5">
        <f>IF('ORDENES'!$A896="","",IF('ORDENES'!$S896="","-",'ORDENES'!$S896))</f>
        <v/>
      </c>
      <c r="C918" s="5">
        <f>IF('ORDENES'!$A896="","",IF('ORDENES'!$AH896="","-",'ORDENES'!$AH896))</f>
        <v/>
      </c>
      <c r="D918" s="5">
        <f>IF('ORDENES'!$A896="","",IF('ORDENES'!$Z896="","-",'ORDENES'!$Z896))</f>
        <v/>
      </c>
      <c r="E918" s="5">
        <f>IF('ORDENES'!$A896="","",IF('ORDENES'!$X896="","-",'ORDENES'!$X896))</f>
        <v/>
      </c>
      <c r="F918" s="5">
        <f>IF('ORDENES'!$A896="","",IF('ORDENES'!$AA896="","-",'ORDENES'!$AA896))</f>
        <v/>
      </c>
      <c r="G918" s="5">
        <f>IF('ORDENES'!$A896="","",IF('ORDENES'!$Y896="","-",'ORDENES'!$Y896))</f>
        <v/>
      </c>
      <c r="H918" s="5">
        <f>IF('ORDENES'!$A896="","",IF('ORDENES'!$AG896="","-",'ORDENES'!$AG896))</f>
        <v/>
      </c>
      <c r="I918" s="5">
        <f>IF('ORDENES'!$A896="","",IF('ORDENES'!$AT896="","-",'ORDENES'!$AT896))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20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IF('ORDENES'!$A896="","",'ORDENES'!$AF896)</f>
        <v/>
      </c>
    </row>
    <row r="919">
      <c r="A919" s="5">
        <f>IF('ORDENES'!$A897="","",IF('ORDENES'!$O897="","-",'ORDENES'!$O897))</f>
        <v/>
      </c>
      <c r="B919" s="5">
        <f>IF('ORDENES'!$A897="","",IF('ORDENES'!$S897="","-",'ORDENES'!$S897))</f>
        <v/>
      </c>
      <c r="C919" s="5">
        <f>IF('ORDENES'!$A897="","",IF('ORDENES'!$AH897="","-",'ORDENES'!$AH897))</f>
        <v/>
      </c>
      <c r="D919" s="5">
        <f>IF('ORDENES'!$A897="","",IF('ORDENES'!$Z897="","-",'ORDENES'!$Z897))</f>
        <v/>
      </c>
      <c r="E919" s="5">
        <f>IF('ORDENES'!$A897="","",IF('ORDENES'!$X897="","-",'ORDENES'!$X897))</f>
        <v/>
      </c>
      <c r="F919" s="5">
        <f>IF('ORDENES'!$A897="","",IF('ORDENES'!$AA897="","-",'ORDENES'!$AA897))</f>
        <v/>
      </c>
      <c r="G919" s="5">
        <f>IF('ORDENES'!$A897="","",IF('ORDENES'!$Y897="","-",'ORDENES'!$Y897))</f>
        <v/>
      </c>
      <c r="H919" s="5">
        <f>IF('ORDENES'!$A897="","",IF('ORDENES'!$AG897="","-",'ORDENES'!$AG897))</f>
        <v/>
      </c>
      <c r="I919" s="5">
        <f>IF('ORDENES'!$A897="","",IF('ORDENES'!$AT897="","-",'ORDENES'!$AT897))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20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IF('ORDENES'!$A897="","",'ORDENES'!$AF897)</f>
        <v/>
      </c>
    </row>
    <row r="920">
      <c r="A920" s="5">
        <f>IF('ORDENES'!$A898="","",IF('ORDENES'!$O898="","-",'ORDENES'!$O898))</f>
        <v/>
      </c>
      <c r="B920" s="5">
        <f>IF('ORDENES'!$A898="","",IF('ORDENES'!$S898="","-",'ORDENES'!$S898))</f>
        <v/>
      </c>
      <c r="C920" s="5">
        <f>IF('ORDENES'!$A898="","",IF('ORDENES'!$AH898="","-",'ORDENES'!$AH898))</f>
        <v/>
      </c>
      <c r="D920" s="5">
        <f>IF('ORDENES'!$A898="","",IF('ORDENES'!$Z898="","-",'ORDENES'!$Z898))</f>
        <v/>
      </c>
      <c r="E920" s="5">
        <f>IF('ORDENES'!$A898="","",IF('ORDENES'!$X898="","-",'ORDENES'!$X898))</f>
        <v/>
      </c>
      <c r="F920" s="5">
        <f>IF('ORDENES'!$A898="","",IF('ORDENES'!$AA898="","-",'ORDENES'!$AA898))</f>
        <v/>
      </c>
      <c r="G920" s="5">
        <f>IF('ORDENES'!$A898="","",IF('ORDENES'!$Y898="","-",'ORDENES'!$Y898))</f>
        <v/>
      </c>
      <c r="H920" s="5">
        <f>IF('ORDENES'!$A898="","",IF('ORDENES'!$AG898="","-",'ORDENES'!$AG898))</f>
        <v/>
      </c>
      <c r="I920" s="5">
        <f>IF('ORDENES'!$A898="","",IF('ORDENES'!$AT898="","-",'ORDENES'!$AT898))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20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IF('ORDENES'!$A898="","",'ORDENES'!$AF898)</f>
        <v/>
      </c>
    </row>
    <row r="921">
      <c r="A921" s="5">
        <f>IF('ORDENES'!$A899="","",IF('ORDENES'!$O899="","-",'ORDENES'!$O899))</f>
        <v/>
      </c>
      <c r="B921" s="5">
        <f>IF('ORDENES'!$A899="","",IF('ORDENES'!$S899="","-",'ORDENES'!$S899))</f>
        <v/>
      </c>
      <c r="C921" s="5">
        <f>IF('ORDENES'!$A899="","",IF('ORDENES'!$AH899="","-",'ORDENES'!$AH899))</f>
        <v/>
      </c>
      <c r="D921" s="5">
        <f>IF('ORDENES'!$A899="","",IF('ORDENES'!$Z899="","-",'ORDENES'!$Z899))</f>
        <v/>
      </c>
      <c r="E921" s="5">
        <f>IF('ORDENES'!$A899="","",IF('ORDENES'!$X899="","-",'ORDENES'!$X899))</f>
        <v/>
      </c>
      <c r="F921" s="5">
        <f>IF('ORDENES'!$A899="","",IF('ORDENES'!$AA899="","-",'ORDENES'!$AA899))</f>
        <v/>
      </c>
      <c r="G921" s="5">
        <f>IF('ORDENES'!$A899="","",IF('ORDENES'!$Y899="","-",'ORDENES'!$Y899))</f>
        <v/>
      </c>
      <c r="H921" s="5">
        <f>IF('ORDENES'!$A899="","",IF('ORDENES'!$AG899="","-",'ORDENES'!$AG899))</f>
        <v/>
      </c>
      <c r="I921" s="5">
        <f>IF('ORDENES'!$A899="","",IF('ORDENES'!$AT899="","-",'ORDENES'!$AT899))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20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IF('ORDENES'!$A899="","",'ORDENES'!$AF899)</f>
        <v/>
      </c>
    </row>
    <row r="922">
      <c r="A922" s="5">
        <f>IF('ORDENES'!$A900="","",IF('ORDENES'!$O900="","-",'ORDENES'!$O900))</f>
        <v/>
      </c>
      <c r="B922" s="5">
        <f>IF('ORDENES'!$A900="","",IF('ORDENES'!$S900="","-",'ORDENES'!$S900))</f>
        <v/>
      </c>
      <c r="C922" s="5">
        <f>IF('ORDENES'!$A900="","",IF('ORDENES'!$AH900="","-",'ORDENES'!$AH900))</f>
        <v/>
      </c>
      <c r="D922" s="5">
        <f>IF('ORDENES'!$A900="","",IF('ORDENES'!$Z900="","-",'ORDENES'!$Z900))</f>
        <v/>
      </c>
      <c r="E922" s="5">
        <f>IF('ORDENES'!$A900="","",IF('ORDENES'!$X900="","-",'ORDENES'!$X900))</f>
        <v/>
      </c>
      <c r="F922" s="5">
        <f>IF('ORDENES'!$A900="","",IF('ORDENES'!$AA900="","-",'ORDENES'!$AA900))</f>
        <v/>
      </c>
      <c r="G922" s="5">
        <f>IF('ORDENES'!$A900="","",IF('ORDENES'!$Y900="","-",'ORDENES'!$Y900))</f>
        <v/>
      </c>
      <c r="H922" s="5">
        <f>IF('ORDENES'!$A900="","",IF('ORDENES'!$AG900="","-",'ORDENES'!$AG900))</f>
        <v/>
      </c>
      <c r="I922" s="5">
        <f>IF('ORDENES'!$A900="","",IF('ORDENES'!$AT900="","-",'ORDENES'!$AT900))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20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IF('ORDENES'!$A900="","",'ORDENES'!$AF900)</f>
        <v/>
      </c>
    </row>
    <row r="923">
      <c r="A923" s="5">
        <f>IF('ORDENES'!$A901="","",IF('ORDENES'!$O901="","-",'ORDENES'!$O901))</f>
        <v/>
      </c>
      <c r="B923" s="5">
        <f>IF('ORDENES'!$A901="","",IF('ORDENES'!$S901="","-",'ORDENES'!$S901))</f>
        <v/>
      </c>
      <c r="C923" s="5">
        <f>IF('ORDENES'!$A901="","",IF('ORDENES'!$AH901="","-",'ORDENES'!$AH901))</f>
        <v/>
      </c>
      <c r="D923" s="5">
        <f>IF('ORDENES'!$A901="","",IF('ORDENES'!$Z901="","-",'ORDENES'!$Z901))</f>
        <v/>
      </c>
      <c r="E923" s="5">
        <f>IF('ORDENES'!$A901="","",IF('ORDENES'!$X901="","-",'ORDENES'!$X901))</f>
        <v/>
      </c>
      <c r="F923" s="5">
        <f>IF('ORDENES'!$A901="","",IF('ORDENES'!$AA901="","-",'ORDENES'!$AA901))</f>
        <v/>
      </c>
      <c r="G923" s="5">
        <f>IF('ORDENES'!$A901="","",IF('ORDENES'!$Y901="","-",'ORDENES'!$Y901))</f>
        <v/>
      </c>
      <c r="H923" s="5">
        <f>IF('ORDENES'!$A901="","",IF('ORDENES'!$AG901="","-",'ORDENES'!$AG901))</f>
        <v/>
      </c>
      <c r="I923" s="5">
        <f>IF('ORDENES'!$A901="","",IF('ORDENES'!$AT901="","-",'ORDENES'!$AT901))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20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IF('ORDENES'!$A901="","",'ORDENES'!$AF901)</f>
        <v/>
      </c>
    </row>
    <row r="924">
      <c r="A924" s="5">
        <f>IF('ORDENES'!$A902="","",IF('ORDENES'!$O902="","-",'ORDENES'!$O902))</f>
        <v/>
      </c>
      <c r="B924" s="5">
        <f>IF('ORDENES'!$A902="","",IF('ORDENES'!$S902="","-",'ORDENES'!$S902))</f>
        <v/>
      </c>
      <c r="C924" s="5">
        <f>IF('ORDENES'!$A902="","",IF('ORDENES'!$AH902="","-",'ORDENES'!$AH902))</f>
        <v/>
      </c>
      <c r="D924" s="5">
        <f>IF('ORDENES'!$A902="","",IF('ORDENES'!$Z902="","-",'ORDENES'!$Z902))</f>
        <v/>
      </c>
      <c r="E924" s="5">
        <f>IF('ORDENES'!$A902="","",IF('ORDENES'!$X902="","-",'ORDENES'!$X902))</f>
        <v/>
      </c>
      <c r="F924" s="5">
        <f>IF('ORDENES'!$A902="","",IF('ORDENES'!$AA902="","-",'ORDENES'!$AA902))</f>
        <v/>
      </c>
      <c r="G924" s="5">
        <f>IF('ORDENES'!$A902="","",IF('ORDENES'!$Y902="","-",'ORDENES'!$Y902))</f>
        <v/>
      </c>
      <c r="H924" s="5">
        <f>IF('ORDENES'!$A902="","",IF('ORDENES'!$AG902="","-",'ORDENES'!$AG902))</f>
        <v/>
      </c>
      <c r="I924" s="5">
        <f>IF('ORDENES'!$A902="","",IF('ORDENES'!$AT902="","-",'ORDENES'!$AT902))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20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IF('ORDENES'!$A902="","",'ORDENES'!$AF902)</f>
        <v/>
      </c>
    </row>
    <row r="925">
      <c r="A925" s="5">
        <f>IF('ORDENES'!$A903="","",IF('ORDENES'!$O903="","-",'ORDENES'!$O903))</f>
        <v/>
      </c>
      <c r="B925" s="5">
        <f>IF('ORDENES'!$A903="","",IF('ORDENES'!$S903="","-",'ORDENES'!$S903))</f>
        <v/>
      </c>
      <c r="C925" s="5">
        <f>IF('ORDENES'!$A903="","",IF('ORDENES'!$AH903="","-",'ORDENES'!$AH903))</f>
        <v/>
      </c>
      <c r="D925" s="5">
        <f>IF('ORDENES'!$A903="","",IF('ORDENES'!$Z903="","-",'ORDENES'!$Z903))</f>
        <v/>
      </c>
      <c r="E925" s="5">
        <f>IF('ORDENES'!$A903="","",IF('ORDENES'!$X903="","-",'ORDENES'!$X903))</f>
        <v/>
      </c>
      <c r="F925" s="5">
        <f>IF('ORDENES'!$A903="","",IF('ORDENES'!$AA903="","-",'ORDENES'!$AA903))</f>
        <v/>
      </c>
      <c r="G925" s="5">
        <f>IF('ORDENES'!$A903="","",IF('ORDENES'!$Y903="","-",'ORDENES'!$Y903))</f>
        <v/>
      </c>
      <c r="H925" s="5">
        <f>IF('ORDENES'!$A903="","",IF('ORDENES'!$AG903="","-",'ORDENES'!$AG903))</f>
        <v/>
      </c>
      <c r="I925" s="5">
        <f>IF('ORDENES'!$A903="","",IF('ORDENES'!$AT903="","-",'ORDENES'!$AT903))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20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IF('ORDENES'!$A903="","",'ORDENES'!$AF903)</f>
        <v/>
      </c>
    </row>
    <row r="926">
      <c r="A926" s="5">
        <f>IF('ORDENES'!$A904="","",IF('ORDENES'!$O904="","-",'ORDENES'!$O904))</f>
        <v/>
      </c>
      <c r="B926" s="5">
        <f>IF('ORDENES'!$A904="","",IF('ORDENES'!$S904="","-",'ORDENES'!$S904))</f>
        <v/>
      </c>
      <c r="C926" s="5">
        <f>IF('ORDENES'!$A904="","",IF('ORDENES'!$AH904="","-",'ORDENES'!$AH904))</f>
        <v/>
      </c>
      <c r="D926" s="5">
        <f>IF('ORDENES'!$A904="","",IF('ORDENES'!$Z904="","-",'ORDENES'!$Z904))</f>
        <v/>
      </c>
      <c r="E926" s="5">
        <f>IF('ORDENES'!$A904="","",IF('ORDENES'!$X904="","-",'ORDENES'!$X904))</f>
        <v/>
      </c>
      <c r="F926" s="5">
        <f>IF('ORDENES'!$A904="","",IF('ORDENES'!$AA904="","-",'ORDENES'!$AA904))</f>
        <v/>
      </c>
      <c r="G926" s="5">
        <f>IF('ORDENES'!$A904="","",IF('ORDENES'!$Y904="","-",'ORDENES'!$Y904))</f>
        <v/>
      </c>
      <c r="H926" s="5">
        <f>IF('ORDENES'!$A904="","",IF('ORDENES'!$AG904="","-",'ORDENES'!$AG904))</f>
        <v/>
      </c>
      <c r="I926" s="5">
        <f>IF('ORDENES'!$A904="","",IF('ORDENES'!$AT904="","-",'ORDENES'!$AT904))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20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IF('ORDENES'!$A904="","",'ORDENES'!$AF904)</f>
        <v/>
      </c>
    </row>
    <row r="927">
      <c r="A927" s="5">
        <f>IF('ORDENES'!$A905="","",IF('ORDENES'!$O905="","-",'ORDENES'!$O905))</f>
        <v/>
      </c>
      <c r="B927" s="5">
        <f>IF('ORDENES'!$A905="","",IF('ORDENES'!$S905="","-",'ORDENES'!$S905))</f>
        <v/>
      </c>
      <c r="C927" s="5">
        <f>IF('ORDENES'!$A905="","",IF('ORDENES'!$AH905="","-",'ORDENES'!$AH905))</f>
        <v/>
      </c>
      <c r="D927" s="5">
        <f>IF('ORDENES'!$A905="","",IF('ORDENES'!$Z905="","-",'ORDENES'!$Z905))</f>
        <v/>
      </c>
      <c r="E927" s="5">
        <f>IF('ORDENES'!$A905="","",IF('ORDENES'!$X905="","-",'ORDENES'!$X905))</f>
        <v/>
      </c>
      <c r="F927" s="5">
        <f>IF('ORDENES'!$A905="","",IF('ORDENES'!$AA905="","-",'ORDENES'!$AA905))</f>
        <v/>
      </c>
      <c r="G927" s="5">
        <f>IF('ORDENES'!$A905="","",IF('ORDENES'!$Y905="","-",'ORDENES'!$Y905))</f>
        <v/>
      </c>
      <c r="H927" s="5">
        <f>IF('ORDENES'!$A905="","",IF('ORDENES'!$AG905="","-",'ORDENES'!$AG905))</f>
        <v/>
      </c>
      <c r="I927" s="5">
        <f>IF('ORDENES'!$A905="","",IF('ORDENES'!$AT905="","-",'ORDENES'!$AT905))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20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IF('ORDENES'!$A905="","",'ORDENES'!$AF905)</f>
        <v/>
      </c>
    </row>
    <row r="928">
      <c r="A928" s="5">
        <f>IF('ORDENES'!$A906="","",IF('ORDENES'!$O906="","-",'ORDENES'!$O906))</f>
        <v/>
      </c>
      <c r="B928" s="5">
        <f>IF('ORDENES'!$A906="","",IF('ORDENES'!$S906="","-",'ORDENES'!$S906))</f>
        <v/>
      </c>
      <c r="C928" s="5">
        <f>IF('ORDENES'!$A906="","",IF('ORDENES'!$AH906="","-",'ORDENES'!$AH906))</f>
        <v/>
      </c>
      <c r="D928" s="5">
        <f>IF('ORDENES'!$A906="","",IF('ORDENES'!$Z906="","-",'ORDENES'!$Z906))</f>
        <v/>
      </c>
      <c r="E928" s="5">
        <f>IF('ORDENES'!$A906="","",IF('ORDENES'!$X906="","-",'ORDENES'!$X906))</f>
        <v/>
      </c>
      <c r="F928" s="5">
        <f>IF('ORDENES'!$A906="","",IF('ORDENES'!$AA906="","-",'ORDENES'!$AA906))</f>
        <v/>
      </c>
      <c r="G928" s="5">
        <f>IF('ORDENES'!$A906="","",IF('ORDENES'!$Y906="","-",'ORDENES'!$Y906))</f>
        <v/>
      </c>
      <c r="H928" s="5">
        <f>IF('ORDENES'!$A906="","",IF('ORDENES'!$AG906="","-",'ORDENES'!$AG906))</f>
        <v/>
      </c>
      <c r="I928" s="5">
        <f>IF('ORDENES'!$A906="","",IF('ORDENES'!$AT906="","-",'ORDENES'!$AT906))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20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IF('ORDENES'!$A906="","",'ORDENES'!$AF906)</f>
        <v/>
      </c>
    </row>
    <row r="929">
      <c r="A929" s="5">
        <f>IF('ORDENES'!$A907="","",IF('ORDENES'!$O907="","-",'ORDENES'!$O907))</f>
        <v/>
      </c>
      <c r="B929" s="5">
        <f>IF('ORDENES'!$A907="","",IF('ORDENES'!$S907="","-",'ORDENES'!$S907))</f>
        <v/>
      </c>
      <c r="C929" s="5">
        <f>IF('ORDENES'!$A907="","",IF('ORDENES'!$AH907="","-",'ORDENES'!$AH907))</f>
        <v/>
      </c>
      <c r="D929" s="5">
        <f>IF('ORDENES'!$A907="","",IF('ORDENES'!$Z907="","-",'ORDENES'!$Z907))</f>
        <v/>
      </c>
      <c r="E929" s="5">
        <f>IF('ORDENES'!$A907="","",IF('ORDENES'!$X907="","-",'ORDENES'!$X907))</f>
        <v/>
      </c>
      <c r="F929" s="5">
        <f>IF('ORDENES'!$A907="","",IF('ORDENES'!$AA907="","-",'ORDENES'!$AA907))</f>
        <v/>
      </c>
      <c r="G929" s="5">
        <f>IF('ORDENES'!$A907="","",IF('ORDENES'!$Y907="","-",'ORDENES'!$Y907))</f>
        <v/>
      </c>
      <c r="H929" s="5">
        <f>IF('ORDENES'!$A907="","",IF('ORDENES'!$AG907="","-",'ORDENES'!$AG907))</f>
        <v/>
      </c>
      <c r="I929" s="5">
        <f>IF('ORDENES'!$A907="","",IF('ORDENES'!$AT907="","-",'ORDENES'!$AT907))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20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IF('ORDENES'!$A907="","",'ORDENES'!$AF907)</f>
        <v/>
      </c>
    </row>
    <row r="930">
      <c r="A930" s="5">
        <f>IF('ORDENES'!$A908="","",IF('ORDENES'!$O908="","-",'ORDENES'!$O908))</f>
        <v/>
      </c>
      <c r="B930" s="5">
        <f>IF('ORDENES'!$A908="","",IF('ORDENES'!$S908="","-",'ORDENES'!$S908))</f>
        <v/>
      </c>
      <c r="C930" s="5">
        <f>IF('ORDENES'!$A908="","",IF('ORDENES'!$AH908="","-",'ORDENES'!$AH908))</f>
        <v/>
      </c>
      <c r="D930" s="5">
        <f>IF('ORDENES'!$A908="","",IF('ORDENES'!$Z908="","-",'ORDENES'!$Z908))</f>
        <v/>
      </c>
      <c r="E930" s="5">
        <f>IF('ORDENES'!$A908="","",IF('ORDENES'!$X908="","-",'ORDENES'!$X908))</f>
        <v/>
      </c>
      <c r="F930" s="5">
        <f>IF('ORDENES'!$A908="","",IF('ORDENES'!$AA908="","-",'ORDENES'!$AA908))</f>
        <v/>
      </c>
      <c r="G930" s="5">
        <f>IF('ORDENES'!$A908="","",IF('ORDENES'!$Y908="","-",'ORDENES'!$Y908))</f>
        <v/>
      </c>
      <c r="H930" s="5">
        <f>IF('ORDENES'!$A908="","",IF('ORDENES'!$AG908="","-",'ORDENES'!$AG908))</f>
        <v/>
      </c>
      <c r="I930" s="5">
        <f>IF('ORDENES'!$A908="","",IF('ORDENES'!$AT908="","-",'ORDENES'!$AT908))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20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IF('ORDENES'!$A908="","",'ORDENES'!$AF908)</f>
        <v/>
      </c>
    </row>
    <row r="931">
      <c r="A931" s="5">
        <f>IF('ORDENES'!$A909="","",IF('ORDENES'!$O909="","-",'ORDENES'!$O909))</f>
        <v/>
      </c>
      <c r="B931" s="5">
        <f>IF('ORDENES'!$A909="","",IF('ORDENES'!$S909="","-",'ORDENES'!$S909))</f>
        <v/>
      </c>
      <c r="C931" s="5">
        <f>IF('ORDENES'!$A909="","",IF('ORDENES'!$AH909="","-",'ORDENES'!$AH909))</f>
        <v/>
      </c>
      <c r="D931" s="5">
        <f>IF('ORDENES'!$A909="","",IF('ORDENES'!$Z909="","-",'ORDENES'!$Z909))</f>
        <v/>
      </c>
      <c r="E931" s="5">
        <f>IF('ORDENES'!$A909="","",IF('ORDENES'!$X909="","-",'ORDENES'!$X909))</f>
        <v/>
      </c>
      <c r="F931" s="5">
        <f>IF('ORDENES'!$A909="","",IF('ORDENES'!$AA909="","-",'ORDENES'!$AA909))</f>
        <v/>
      </c>
      <c r="G931" s="5">
        <f>IF('ORDENES'!$A909="","",IF('ORDENES'!$Y909="","-",'ORDENES'!$Y909))</f>
        <v/>
      </c>
      <c r="H931" s="5">
        <f>IF('ORDENES'!$A909="","",IF('ORDENES'!$AG909="","-",'ORDENES'!$AG909))</f>
        <v/>
      </c>
      <c r="I931" s="5">
        <f>IF('ORDENES'!$A909="","",IF('ORDENES'!$AT909="","-",'ORDENES'!$AT909))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20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IF('ORDENES'!$A909="","",'ORDENES'!$AF909)</f>
        <v/>
      </c>
    </row>
    <row r="932">
      <c r="A932" s="5">
        <f>IF('ORDENES'!$A910="","",IF('ORDENES'!$O910="","-",'ORDENES'!$O910))</f>
        <v/>
      </c>
      <c r="B932" s="5">
        <f>IF('ORDENES'!$A910="","",IF('ORDENES'!$S910="","-",'ORDENES'!$S910))</f>
        <v/>
      </c>
      <c r="C932" s="5">
        <f>IF('ORDENES'!$A910="","",IF('ORDENES'!$AH910="","-",'ORDENES'!$AH910))</f>
        <v/>
      </c>
      <c r="D932" s="5">
        <f>IF('ORDENES'!$A910="","",IF('ORDENES'!$Z910="","-",'ORDENES'!$Z910))</f>
        <v/>
      </c>
      <c r="E932" s="5">
        <f>IF('ORDENES'!$A910="","",IF('ORDENES'!$X910="","-",'ORDENES'!$X910))</f>
        <v/>
      </c>
      <c r="F932" s="5">
        <f>IF('ORDENES'!$A910="","",IF('ORDENES'!$AA910="","-",'ORDENES'!$AA910))</f>
        <v/>
      </c>
      <c r="G932" s="5">
        <f>IF('ORDENES'!$A910="","",IF('ORDENES'!$Y910="","-",'ORDENES'!$Y910))</f>
        <v/>
      </c>
      <c r="H932" s="5">
        <f>IF('ORDENES'!$A910="","",IF('ORDENES'!$AG910="","-",'ORDENES'!$AG910))</f>
        <v/>
      </c>
      <c r="I932" s="5">
        <f>IF('ORDENES'!$A910="","",IF('ORDENES'!$AT910="","-",'ORDENES'!$AT910))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20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IF('ORDENES'!$A910="","",'ORDENES'!$AF910)</f>
        <v/>
      </c>
    </row>
    <row r="933">
      <c r="A933" s="5">
        <f>IF('ORDENES'!$A911="","",IF('ORDENES'!$O911="","-",'ORDENES'!$O911))</f>
        <v/>
      </c>
      <c r="B933" s="5">
        <f>IF('ORDENES'!$A911="","",IF('ORDENES'!$S911="","-",'ORDENES'!$S911))</f>
        <v/>
      </c>
      <c r="C933" s="5">
        <f>IF('ORDENES'!$A911="","",IF('ORDENES'!$AH911="","-",'ORDENES'!$AH911))</f>
        <v/>
      </c>
      <c r="D933" s="5">
        <f>IF('ORDENES'!$A911="","",IF('ORDENES'!$Z911="","-",'ORDENES'!$Z911))</f>
        <v/>
      </c>
      <c r="E933" s="5">
        <f>IF('ORDENES'!$A911="","",IF('ORDENES'!$X911="","-",'ORDENES'!$X911))</f>
        <v/>
      </c>
      <c r="F933" s="5">
        <f>IF('ORDENES'!$A911="","",IF('ORDENES'!$AA911="","-",'ORDENES'!$AA911))</f>
        <v/>
      </c>
      <c r="G933" s="5">
        <f>IF('ORDENES'!$A911="","",IF('ORDENES'!$Y911="","-",'ORDENES'!$Y911))</f>
        <v/>
      </c>
      <c r="H933" s="5">
        <f>IF('ORDENES'!$A911="","",IF('ORDENES'!$AG911="","-",'ORDENES'!$AG911))</f>
        <v/>
      </c>
      <c r="I933" s="5">
        <f>IF('ORDENES'!$A911="","",IF('ORDENES'!$AT911="","-",'ORDENES'!$AT911))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20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IF('ORDENES'!$A911="","",'ORDENES'!$AF911)</f>
        <v/>
      </c>
    </row>
    <row r="934">
      <c r="A934" s="5">
        <f>IF('ORDENES'!$A912="","",IF('ORDENES'!$O912="","-",'ORDENES'!$O912))</f>
        <v/>
      </c>
      <c r="B934" s="5">
        <f>IF('ORDENES'!$A912="","",IF('ORDENES'!$S912="","-",'ORDENES'!$S912))</f>
        <v/>
      </c>
      <c r="C934" s="5">
        <f>IF('ORDENES'!$A912="","",IF('ORDENES'!$AH912="","-",'ORDENES'!$AH912))</f>
        <v/>
      </c>
      <c r="D934" s="5">
        <f>IF('ORDENES'!$A912="","",IF('ORDENES'!$Z912="","-",'ORDENES'!$Z912))</f>
        <v/>
      </c>
      <c r="E934" s="5">
        <f>IF('ORDENES'!$A912="","",IF('ORDENES'!$X912="","-",'ORDENES'!$X912))</f>
        <v/>
      </c>
      <c r="F934" s="5">
        <f>IF('ORDENES'!$A912="","",IF('ORDENES'!$AA912="","-",'ORDENES'!$AA912))</f>
        <v/>
      </c>
      <c r="G934" s="5">
        <f>IF('ORDENES'!$A912="","",IF('ORDENES'!$Y912="","-",'ORDENES'!$Y912))</f>
        <v/>
      </c>
      <c r="H934" s="5">
        <f>IF('ORDENES'!$A912="","",IF('ORDENES'!$AG912="","-",'ORDENES'!$AG912))</f>
        <v/>
      </c>
      <c r="I934" s="5">
        <f>IF('ORDENES'!$A912="","",IF('ORDENES'!$AT912="","-",'ORDENES'!$AT912))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20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IF('ORDENES'!$A912="","",'ORDENES'!$AF912)</f>
        <v/>
      </c>
    </row>
    <row r="935">
      <c r="A935" s="5">
        <f>IF('ORDENES'!$A913="","",IF('ORDENES'!$O913="","-",'ORDENES'!$O913))</f>
        <v/>
      </c>
      <c r="B935" s="5">
        <f>IF('ORDENES'!$A913="","",IF('ORDENES'!$S913="","-",'ORDENES'!$S913))</f>
        <v/>
      </c>
      <c r="C935" s="5">
        <f>IF('ORDENES'!$A913="","",IF('ORDENES'!$AH913="","-",'ORDENES'!$AH913))</f>
        <v/>
      </c>
      <c r="D935" s="5">
        <f>IF('ORDENES'!$A913="","",IF('ORDENES'!$Z913="","-",'ORDENES'!$Z913))</f>
        <v/>
      </c>
      <c r="E935" s="5">
        <f>IF('ORDENES'!$A913="","",IF('ORDENES'!$X913="","-",'ORDENES'!$X913))</f>
        <v/>
      </c>
      <c r="F935" s="5">
        <f>IF('ORDENES'!$A913="","",IF('ORDENES'!$AA913="","-",'ORDENES'!$AA913))</f>
        <v/>
      </c>
      <c r="G935" s="5">
        <f>IF('ORDENES'!$A913="","",IF('ORDENES'!$Y913="","-",'ORDENES'!$Y913))</f>
        <v/>
      </c>
      <c r="H935" s="5">
        <f>IF('ORDENES'!$A913="","",IF('ORDENES'!$AG913="","-",'ORDENES'!$AG913))</f>
        <v/>
      </c>
      <c r="I935" s="5">
        <f>IF('ORDENES'!$A913="","",IF('ORDENES'!$AT913="","-",'ORDENES'!$AT913))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20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IF('ORDENES'!$A913="","",'ORDENES'!$AF913)</f>
        <v/>
      </c>
    </row>
    <row r="936">
      <c r="A936" s="5">
        <f>IF('ORDENES'!$A914="","",IF('ORDENES'!$O914="","-",'ORDENES'!$O914))</f>
        <v/>
      </c>
      <c r="B936" s="5">
        <f>IF('ORDENES'!$A914="","",IF('ORDENES'!$S914="","-",'ORDENES'!$S914))</f>
        <v/>
      </c>
      <c r="C936" s="5">
        <f>IF('ORDENES'!$A914="","",IF('ORDENES'!$AH914="","-",'ORDENES'!$AH914))</f>
        <v/>
      </c>
      <c r="D936" s="5">
        <f>IF('ORDENES'!$A914="","",IF('ORDENES'!$Z914="","-",'ORDENES'!$Z914))</f>
        <v/>
      </c>
      <c r="E936" s="5">
        <f>IF('ORDENES'!$A914="","",IF('ORDENES'!$X914="","-",'ORDENES'!$X914))</f>
        <v/>
      </c>
      <c r="F936" s="5">
        <f>IF('ORDENES'!$A914="","",IF('ORDENES'!$AA914="","-",'ORDENES'!$AA914))</f>
        <v/>
      </c>
      <c r="G936" s="5">
        <f>IF('ORDENES'!$A914="","",IF('ORDENES'!$Y914="","-",'ORDENES'!$Y914))</f>
        <v/>
      </c>
      <c r="H936" s="5">
        <f>IF('ORDENES'!$A914="","",IF('ORDENES'!$AG914="","-",'ORDENES'!$AG914))</f>
        <v/>
      </c>
      <c r="I936" s="5">
        <f>IF('ORDENES'!$A914="","",IF('ORDENES'!$AT914="","-",'ORDENES'!$AT914))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20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IF('ORDENES'!$A914="","",'ORDENES'!$AF914)</f>
        <v/>
      </c>
    </row>
    <row r="937">
      <c r="A937" s="5">
        <f>IF('ORDENES'!$A915="","",IF('ORDENES'!$O915="","-",'ORDENES'!$O915))</f>
        <v/>
      </c>
      <c r="B937" s="5">
        <f>IF('ORDENES'!$A915="","",IF('ORDENES'!$S915="","-",'ORDENES'!$S915))</f>
        <v/>
      </c>
      <c r="C937" s="5">
        <f>IF('ORDENES'!$A915="","",IF('ORDENES'!$AH915="","-",'ORDENES'!$AH915))</f>
        <v/>
      </c>
      <c r="D937" s="5">
        <f>IF('ORDENES'!$A915="","",IF('ORDENES'!$Z915="","-",'ORDENES'!$Z915))</f>
        <v/>
      </c>
      <c r="E937" s="5">
        <f>IF('ORDENES'!$A915="","",IF('ORDENES'!$X915="","-",'ORDENES'!$X915))</f>
        <v/>
      </c>
      <c r="F937" s="5">
        <f>IF('ORDENES'!$A915="","",IF('ORDENES'!$AA915="","-",'ORDENES'!$AA915))</f>
        <v/>
      </c>
      <c r="G937" s="5">
        <f>IF('ORDENES'!$A915="","",IF('ORDENES'!$Y915="","-",'ORDENES'!$Y915))</f>
        <v/>
      </c>
      <c r="H937" s="5">
        <f>IF('ORDENES'!$A915="","",IF('ORDENES'!$AG915="","-",'ORDENES'!$AG915))</f>
        <v/>
      </c>
      <c r="I937" s="5">
        <f>IF('ORDENES'!$A915="","",IF('ORDENES'!$AT915="","-",'ORDENES'!$AT915))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20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IF('ORDENES'!$A915="","",'ORDENES'!$AF915)</f>
        <v/>
      </c>
    </row>
    <row r="938">
      <c r="A938" s="5">
        <f>IF('ORDENES'!$A916="","",IF('ORDENES'!$O916="","-",'ORDENES'!$O916))</f>
        <v/>
      </c>
      <c r="B938" s="5">
        <f>IF('ORDENES'!$A916="","",IF('ORDENES'!$S916="","-",'ORDENES'!$S916))</f>
        <v/>
      </c>
      <c r="C938" s="5">
        <f>IF('ORDENES'!$A916="","",IF('ORDENES'!$AH916="","-",'ORDENES'!$AH916))</f>
        <v/>
      </c>
      <c r="D938" s="5">
        <f>IF('ORDENES'!$A916="","",IF('ORDENES'!$Z916="","-",'ORDENES'!$Z916))</f>
        <v/>
      </c>
      <c r="E938" s="5">
        <f>IF('ORDENES'!$A916="","",IF('ORDENES'!$X916="","-",'ORDENES'!$X916))</f>
        <v/>
      </c>
      <c r="F938" s="5">
        <f>IF('ORDENES'!$A916="","",IF('ORDENES'!$AA916="","-",'ORDENES'!$AA916))</f>
        <v/>
      </c>
      <c r="G938" s="5">
        <f>IF('ORDENES'!$A916="","",IF('ORDENES'!$Y916="","-",'ORDENES'!$Y916))</f>
        <v/>
      </c>
      <c r="H938" s="5">
        <f>IF('ORDENES'!$A916="","",IF('ORDENES'!$AG916="","-",'ORDENES'!$AG916))</f>
        <v/>
      </c>
      <c r="I938" s="5">
        <f>IF('ORDENES'!$A916="","",IF('ORDENES'!$AT916="","-",'ORDENES'!$AT916))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20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IF('ORDENES'!$A916="","",'ORDENES'!$AF916)</f>
        <v/>
      </c>
    </row>
    <row r="939">
      <c r="A939" s="5">
        <f>IF('ORDENES'!$A917="","",IF('ORDENES'!$O917="","-",'ORDENES'!$O917))</f>
        <v/>
      </c>
      <c r="B939" s="5">
        <f>IF('ORDENES'!$A917="","",IF('ORDENES'!$S917="","-",'ORDENES'!$S917))</f>
        <v/>
      </c>
      <c r="C939" s="5">
        <f>IF('ORDENES'!$A917="","",IF('ORDENES'!$AH917="","-",'ORDENES'!$AH917))</f>
        <v/>
      </c>
      <c r="D939" s="5">
        <f>IF('ORDENES'!$A917="","",IF('ORDENES'!$Z917="","-",'ORDENES'!$Z917))</f>
        <v/>
      </c>
      <c r="E939" s="5">
        <f>IF('ORDENES'!$A917="","",IF('ORDENES'!$X917="","-",'ORDENES'!$X917))</f>
        <v/>
      </c>
      <c r="F939" s="5">
        <f>IF('ORDENES'!$A917="","",IF('ORDENES'!$AA917="","-",'ORDENES'!$AA917))</f>
        <v/>
      </c>
      <c r="G939" s="5">
        <f>IF('ORDENES'!$A917="","",IF('ORDENES'!$Y917="","-",'ORDENES'!$Y917))</f>
        <v/>
      </c>
      <c r="H939" s="5">
        <f>IF('ORDENES'!$A917="","",IF('ORDENES'!$AG917="","-",'ORDENES'!$AG917))</f>
        <v/>
      </c>
      <c r="I939" s="5">
        <f>IF('ORDENES'!$A917="","",IF('ORDENES'!$AT917="","-",'ORDENES'!$AT917))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20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IF('ORDENES'!$A917="","",'ORDENES'!$AF917)</f>
        <v/>
      </c>
    </row>
    <row r="940">
      <c r="A940" s="5">
        <f>IF('ORDENES'!$A918="","",IF('ORDENES'!$O918="","-",'ORDENES'!$O918))</f>
        <v/>
      </c>
      <c r="B940" s="5">
        <f>IF('ORDENES'!$A918="","",IF('ORDENES'!$S918="","-",'ORDENES'!$S918))</f>
        <v/>
      </c>
      <c r="C940" s="5">
        <f>IF('ORDENES'!$A918="","",IF('ORDENES'!$AH918="","-",'ORDENES'!$AH918))</f>
        <v/>
      </c>
      <c r="D940" s="5">
        <f>IF('ORDENES'!$A918="","",IF('ORDENES'!$Z918="","-",'ORDENES'!$Z918))</f>
        <v/>
      </c>
      <c r="E940" s="5">
        <f>IF('ORDENES'!$A918="","",IF('ORDENES'!$X918="","-",'ORDENES'!$X918))</f>
        <v/>
      </c>
      <c r="F940" s="5">
        <f>IF('ORDENES'!$A918="","",IF('ORDENES'!$AA918="","-",'ORDENES'!$AA918))</f>
        <v/>
      </c>
      <c r="G940" s="5">
        <f>IF('ORDENES'!$A918="","",IF('ORDENES'!$Y918="","-",'ORDENES'!$Y918))</f>
        <v/>
      </c>
      <c r="H940" s="5">
        <f>IF('ORDENES'!$A918="","",IF('ORDENES'!$AG918="","-",'ORDENES'!$AG918))</f>
        <v/>
      </c>
      <c r="I940" s="5">
        <f>IF('ORDENES'!$A918="","",IF('ORDENES'!$AT918="","-",'ORDENES'!$AT918))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20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IF('ORDENES'!$A918="","",'ORDENES'!$AF918)</f>
        <v/>
      </c>
    </row>
    <row r="941">
      <c r="A941" s="5">
        <f>IF('ORDENES'!$A919="","",IF('ORDENES'!$O919="","-",'ORDENES'!$O919))</f>
        <v/>
      </c>
      <c r="B941" s="5">
        <f>IF('ORDENES'!$A919="","",IF('ORDENES'!$S919="","-",'ORDENES'!$S919))</f>
        <v/>
      </c>
      <c r="C941" s="5">
        <f>IF('ORDENES'!$A919="","",IF('ORDENES'!$AH919="","-",'ORDENES'!$AH919))</f>
        <v/>
      </c>
      <c r="D941" s="5">
        <f>IF('ORDENES'!$A919="","",IF('ORDENES'!$Z919="","-",'ORDENES'!$Z919))</f>
        <v/>
      </c>
      <c r="E941" s="5">
        <f>IF('ORDENES'!$A919="","",IF('ORDENES'!$X919="","-",'ORDENES'!$X919))</f>
        <v/>
      </c>
      <c r="F941" s="5">
        <f>IF('ORDENES'!$A919="","",IF('ORDENES'!$AA919="","-",'ORDENES'!$AA919))</f>
        <v/>
      </c>
      <c r="G941" s="5">
        <f>IF('ORDENES'!$A919="","",IF('ORDENES'!$Y919="","-",'ORDENES'!$Y919))</f>
        <v/>
      </c>
      <c r="H941" s="5">
        <f>IF('ORDENES'!$A919="","",IF('ORDENES'!$AG919="","-",'ORDENES'!$AG919))</f>
        <v/>
      </c>
      <c r="I941" s="5">
        <f>IF('ORDENES'!$A919="","",IF('ORDENES'!$AT919="","-",'ORDENES'!$AT919))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20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IF('ORDENES'!$A919="","",'ORDENES'!$AF919)</f>
        <v/>
      </c>
    </row>
    <row r="942">
      <c r="A942" s="5">
        <f>IF('ORDENES'!$A920="","",IF('ORDENES'!$O920="","-",'ORDENES'!$O920))</f>
        <v/>
      </c>
      <c r="B942" s="5">
        <f>IF('ORDENES'!$A920="","",IF('ORDENES'!$S920="","-",'ORDENES'!$S920))</f>
        <v/>
      </c>
      <c r="C942" s="5">
        <f>IF('ORDENES'!$A920="","",IF('ORDENES'!$AH920="","-",'ORDENES'!$AH920))</f>
        <v/>
      </c>
      <c r="D942" s="5">
        <f>IF('ORDENES'!$A920="","",IF('ORDENES'!$Z920="","-",'ORDENES'!$Z920))</f>
        <v/>
      </c>
      <c r="E942" s="5">
        <f>IF('ORDENES'!$A920="","",IF('ORDENES'!$X920="","-",'ORDENES'!$X920))</f>
        <v/>
      </c>
      <c r="F942" s="5">
        <f>IF('ORDENES'!$A920="","",IF('ORDENES'!$AA920="","-",'ORDENES'!$AA920))</f>
        <v/>
      </c>
      <c r="G942" s="5">
        <f>IF('ORDENES'!$A920="","",IF('ORDENES'!$Y920="","-",'ORDENES'!$Y920))</f>
        <v/>
      </c>
      <c r="H942" s="5">
        <f>IF('ORDENES'!$A920="","",IF('ORDENES'!$AG920="","-",'ORDENES'!$AG920))</f>
        <v/>
      </c>
      <c r="I942" s="5">
        <f>IF('ORDENES'!$A920="","",IF('ORDENES'!$AT920="","-",'ORDENES'!$AT920))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20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IF('ORDENES'!$A920="","",'ORDENES'!$AF920)</f>
        <v/>
      </c>
    </row>
    <row r="943">
      <c r="A943" s="5">
        <f>IF('ORDENES'!$A921="","",IF('ORDENES'!$O921="","-",'ORDENES'!$O921))</f>
        <v/>
      </c>
      <c r="B943" s="5">
        <f>IF('ORDENES'!$A921="","",IF('ORDENES'!$S921="","-",'ORDENES'!$S921))</f>
        <v/>
      </c>
      <c r="C943" s="5">
        <f>IF('ORDENES'!$A921="","",IF('ORDENES'!$AH921="","-",'ORDENES'!$AH921))</f>
        <v/>
      </c>
      <c r="D943" s="5">
        <f>IF('ORDENES'!$A921="","",IF('ORDENES'!$Z921="","-",'ORDENES'!$Z921))</f>
        <v/>
      </c>
      <c r="E943" s="5">
        <f>IF('ORDENES'!$A921="","",IF('ORDENES'!$X921="","-",'ORDENES'!$X921))</f>
        <v/>
      </c>
      <c r="F943" s="5">
        <f>IF('ORDENES'!$A921="","",IF('ORDENES'!$AA921="","-",'ORDENES'!$AA921))</f>
        <v/>
      </c>
      <c r="G943" s="5">
        <f>IF('ORDENES'!$A921="","",IF('ORDENES'!$Y921="","-",'ORDENES'!$Y921))</f>
        <v/>
      </c>
      <c r="H943" s="5">
        <f>IF('ORDENES'!$A921="","",IF('ORDENES'!$AG921="","-",'ORDENES'!$AG921))</f>
        <v/>
      </c>
      <c r="I943" s="5">
        <f>IF('ORDENES'!$A921="","",IF('ORDENES'!$AT921="","-",'ORDENES'!$AT921))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20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IF('ORDENES'!$A921="","",'ORDENES'!$AF921)</f>
        <v/>
      </c>
    </row>
    <row r="944">
      <c r="A944" s="5">
        <f>IF('ORDENES'!$A922="","",IF('ORDENES'!$O922="","-",'ORDENES'!$O922))</f>
        <v/>
      </c>
      <c r="B944" s="5">
        <f>IF('ORDENES'!$A922="","",IF('ORDENES'!$S922="","-",'ORDENES'!$S922))</f>
        <v/>
      </c>
      <c r="C944" s="5">
        <f>IF('ORDENES'!$A922="","",IF('ORDENES'!$AH922="","-",'ORDENES'!$AH922))</f>
        <v/>
      </c>
      <c r="D944" s="5">
        <f>IF('ORDENES'!$A922="","",IF('ORDENES'!$Z922="","-",'ORDENES'!$Z922))</f>
        <v/>
      </c>
      <c r="E944" s="5">
        <f>IF('ORDENES'!$A922="","",IF('ORDENES'!$X922="","-",'ORDENES'!$X922))</f>
        <v/>
      </c>
      <c r="F944" s="5">
        <f>IF('ORDENES'!$A922="","",IF('ORDENES'!$AA922="","-",'ORDENES'!$AA922))</f>
        <v/>
      </c>
      <c r="G944" s="5">
        <f>IF('ORDENES'!$A922="","",IF('ORDENES'!$Y922="","-",'ORDENES'!$Y922))</f>
        <v/>
      </c>
      <c r="H944" s="5">
        <f>IF('ORDENES'!$A922="","",IF('ORDENES'!$AG922="","-",'ORDENES'!$AG922))</f>
        <v/>
      </c>
      <c r="I944" s="5">
        <f>IF('ORDENES'!$A922="","",IF('ORDENES'!$AT922="","-",'ORDENES'!$AT922))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20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IF('ORDENES'!$A922="","",'ORDENES'!$AF922)</f>
        <v/>
      </c>
    </row>
    <row r="945">
      <c r="A945" s="5">
        <f>IF('ORDENES'!$A923="","",IF('ORDENES'!$O923="","-",'ORDENES'!$O923))</f>
        <v/>
      </c>
      <c r="B945" s="5">
        <f>IF('ORDENES'!$A923="","",IF('ORDENES'!$S923="","-",'ORDENES'!$S923))</f>
        <v/>
      </c>
      <c r="C945" s="5">
        <f>IF('ORDENES'!$A923="","",IF('ORDENES'!$AH923="","-",'ORDENES'!$AH923))</f>
        <v/>
      </c>
      <c r="D945" s="5">
        <f>IF('ORDENES'!$A923="","",IF('ORDENES'!$Z923="","-",'ORDENES'!$Z923))</f>
        <v/>
      </c>
      <c r="E945" s="5">
        <f>IF('ORDENES'!$A923="","",IF('ORDENES'!$X923="","-",'ORDENES'!$X923))</f>
        <v/>
      </c>
      <c r="F945" s="5">
        <f>IF('ORDENES'!$A923="","",IF('ORDENES'!$AA923="","-",'ORDENES'!$AA923))</f>
        <v/>
      </c>
      <c r="G945" s="5">
        <f>IF('ORDENES'!$A923="","",IF('ORDENES'!$Y923="","-",'ORDENES'!$Y923))</f>
        <v/>
      </c>
      <c r="H945" s="5">
        <f>IF('ORDENES'!$A923="","",IF('ORDENES'!$AG923="","-",'ORDENES'!$AG923))</f>
        <v/>
      </c>
      <c r="I945" s="5">
        <f>IF('ORDENES'!$A923="","",IF('ORDENES'!$AT923="","-",'ORDENES'!$AT923))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20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IF('ORDENES'!$A923="","",'ORDENES'!$AF923)</f>
        <v/>
      </c>
    </row>
    <row r="946">
      <c r="A946" s="5">
        <f>IF('ORDENES'!$A924="","",IF('ORDENES'!$O924="","-",'ORDENES'!$O924))</f>
        <v/>
      </c>
      <c r="B946" s="5">
        <f>IF('ORDENES'!$A924="","",IF('ORDENES'!$S924="","-",'ORDENES'!$S924))</f>
        <v/>
      </c>
      <c r="C946" s="5">
        <f>IF('ORDENES'!$A924="","",IF('ORDENES'!$AH924="","-",'ORDENES'!$AH924))</f>
        <v/>
      </c>
      <c r="D946" s="5">
        <f>IF('ORDENES'!$A924="","",IF('ORDENES'!$Z924="","-",'ORDENES'!$Z924))</f>
        <v/>
      </c>
      <c r="E946" s="5">
        <f>IF('ORDENES'!$A924="","",IF('ORDENES'!$X924="","-",'ORDENES'!$X924))</f>
        <v/>
      </c>
      <c r="F946" s="5">
        <f>IF('ORDENES'!$A924="","",IF('ORDENES'!$AA924="","-",'ORDENES'!$AA924))</f>
        <v/>
      </c>
      <c r="G946" s="5">
        <f>IF('ORDENES'!$A924="","",IF('ORDENES'!$Y924="","-",'ORDENES'!$Y924))</f>
        <v/>
      </c>
      <c r="H946" s="5">
        <f>IF('ORDENES'!$A924="","",IF('ORDENES'!$AG924="","-",'ORDENES'!$AG924))</f>
        <v/>
      </c>
      <c r="I946" s="5">
        <f>IF('ORDENES'!$A924="","",IF('ORDENES'!$AT924="","-",'ORDENES'!$AT924))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20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IF('ORDENES'!$A924="","",'ORDENES'!$AF924)</f>
        <v/>
      </c>
    </row>
    <row r="947">
      <c r="A947" s="5">
        <f>IF('ORDENES'!$A925="","",IF('ORDENES'!$O925="","-",'ORDENES'!$O925))</f>
        <v/>
      </c>
      <c r="B947" s="5">
        <f>IF('ORDENES'!$A925="","",IF('ORDENES'!$S925="","-",'ORDENES'!$S925))</f>
        <v/>
      </c>
      <c r="C947" s="5">
        <f>IF('ORDENES'!$A925="","",IF('ORDENES'!$AH925="","-",'ORDENES'!$AH925))</f>
        <v/>
      </c>
      <c r="D947" s="5">
        <f>IF('ORDENES'!$A925="","",IF('ORDENES'!$Z925="","-",'ORDENES'!$Z925))</f>
        <v/>
      </c>
      <c r="E947" s="5">
        <f>IF('ORDENES'!$A925="","",IF('ORDENES'!$X925="","-",'ORDENES'!$X925))</f>
        <v/>
      </c>
      <c r="F947" s="5">
        <f>IF('ORDENES'!$A925="","",IF('ORDENES'!$AA925="","-",'ORDENES'!$AA925))</f>
        <v/>
      </c>
      <c r="G947" s="5">
        <f>IF('ORDENES'!$A925="","",IF('ORDENES'!$Y925="","-",'ORDENES'!$Y925))</f>
        <v/>
      </c>
      <c r="H947" s="5">
        <f>IF('ORDENES'!$A925="","",IF('ORDENES'!$AG925="","-",'ORDENES'!$AG925))</f>
        <v/>
      </c>
      <c r="I947" s="5">
        <f>IF('ORDENES'!$A925="","",IF('ORDENES'!$AT925="","-",'ORDENES'!$AT925))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20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IF('ORDENES'!$A925="","",'ORDENES'!$AF925)</f>
        <v/>
      </c>
    </row>
    <row r="948">
      <c r="A948" s="5">
        <f>IF('ORDENES'!$A926="","",IF('ORDENES'!$O926="","-",'ORDENES'!$O926))</f>
        <v/>
      </c>
      <c r="B948" s="5">
        <f>IF('ORDENES'!$A926="","",IF('ORDENES'!$S926="","-",'ORDENES'!$S926))</f>
        <v/>
      </c>
      <c r="C948" s="5">
        <f>IF('ORDENES'!$A926="","",IF('ORDENES'!$AH926="","-",'ORDENES'!$AH926))</f>
        <v/>
      </c>
      <c r="D948" s="5">
        <f>IF('ORDENES'!$A926="","",IF('ORDENES'!$Z926="","-",'ORDENES'!$Z926))</f>
        <v/>
      </c>
      <c r="E948" s="5">
        <f>IF('ORDENES'!$A926="","",IF('ORDENES'!$X926="","-",'ORDENES'!$X926))</f>
        <v/>
      </c>
      <c r="F948" s="5">
        <f>IF('ORDENES'!$A926="","",IF('ORDENES'!$AA926="","-",'ORDENES'!$AA926))</f>
        <v/>
      </c>
      <c r="G948" s="5">
        <f>IF('ORDENES'!$A926="","",IF('ORDENES'!$Y926="","-",'ORDENES'!$Y926))</f>
        <v/>
      </c>
      <c r="H948" s="5">
        <f>IF('ORDENES'!$A926="","",IF('ORDENES'!$AG926="","-",'ORDENES'!$AG926))</f>
        <v/>
      </c>
      <c r="I948" s="5">
        <f>IF('ORDENES'!$A926="","",IF('ORDENES'!$AT926="","-",'ORDENES'!$AT926))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20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IF('ORDENES'!$A926="","",'ORDENES'!$AF926)</f>
        <v/>
      </c>
    </row>
    <row r="949">
      <c r="A949" s="5">
        <f>IF('ORDENES'!$A927="","",IF('ORDENES'!$O927="","-",'ORDENES'!$O927))</f>
        <v/>
      </c>
      <c r="B949" s="5">
        <f>IF('ORDENES'!$A927="","",IF('ORDENES'!$S927="","-",'ORDENES'!$S927))</f>
        <v/>
      </c>
      <c r="C949" s="5">
        <f>IF('ORDENES'!$A927="","",IF('ORDENES'!$AH927="","-",'ORDENES'!$AH927))</f>
        <v/>
      </c>
      <c r="D949" s="5">
        <f>IF('ORDENES'!$A927="","",IF('ORDENES'!$Z927="","-",'ORDENES'!$Z927))</f>
        <v/>
      </c>
      <c r="E949" s="5">
        <f>IF('ORDENES'!$A927="","",IF('ORDENES'!$X927="","-",'ORDENES'!$X927))</f>
        <v/>
      </c>
      <c r="F949" s="5">
        <f>IF('ORDENES'!$A927="","",IF('ORDENES'!$AA927="","-",'ORDENES'!$AA927))</f>
        <v/>
      </c>
      <c r="G949" s="5">
        <f>IF('ORDENES'!$A927="","",IF('ORDENES'!$Y927="","-",'ORDENES'!$Y927))</f>
        <v/>
      </c>
      <c r="H949" s="5">
        <f>IF('ORDENES'!$A927="","",IF('ORDENES'!$AG927="","-",'ORDENES'!$AG927))</f>
        <v/>
      </c>
      <c r="I949" s="5">
        <f>IF('ORDENES'!$A927="","",IF('ORDENES'!$AT927="","-",'ORDENES'!$AT927))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20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IF('ORDENES'!$A927="","",'ORDENES'!$AF927)</f>
        <v/>
      </c>
    </row>
    <row r="950">
      <c r="A950" s="5">
        <f>IF('ORDENES'!$A928="","",IF('ORDENES'!$O928="","-",'ORDENES'!$O928))</f>
        <v/>
      </c>
      <c r="B950" s="5">
        <f>IF('ORDENES'!$A928="","",IF('ORDENES'!$S928="","-",'ORDENES'!$S928))</f>
        <v/>
      </c>
      <c r="C950" s="5">
        <f>IF('ORDENES'!$A928="","",IF('ORDENES'!$AH928="","-",'ORDENES'!$AH928))</f>
        <v/>
      </c>
      <c r="D950" s="5">
        <f>IF('ORDENES'!$A928="","",IF('ORDENES'!$Z928="","-",'ORDENES'!$Z928))</f>
        <v/>
      </c>
      <c r="E950" s="5">
        <f>IF('ORDENES'!$A928="","",IF('ORDENES'!$X928="","-",'ORDENES'!$X928))</f>
        <v/>
      </c>
      <c r="F950" s="5">
        <f>IF('ORDENES'!$A928="","",IF('ORDENES'!$AA928="","-",'ORDENES'!$AA928))</f>
        <v/>
      </c>
      <c r="G950" s="5">
        <f>IF('ORDENES'!$A928="","",IF('ORDENES'!$Y928="","-",'ORDENES'!$Y928))</f>
        <v/>
      </c>
      <c r="H950" s="5">
        <f>IF('ORDENES'!$A928="","",IF('ORDENES'!$AG928="","-",'ORDENES'!$AG928))</f>
        <v/>
      </c>
      <c r="I950" s="5">
        <f>IF('ORDENES'!$A928="","",IF('ORDENES'!$AT928="","-",'ORDENES'!$AT928))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20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IF('ORDENES'!$A928="","",'ORDENES'!$AF928)</f>
        <v/>
      </c>
    </row>
    <row r="951">
      <c r="A951" s="5">
        <f>IF('ORDENES'!$A929="","",IF('ORDENES'!$O929="","-",'ORDENES'!$O929))</f>
        <v/>
      </c>
      <c r="B951" s="5">
        <f>IF('ORDENES'!$A929="","",IF('ORDENES'!$S929="","-",'ORDENES'!$S929))</f>
        <v/>
      </c>
      <c r="C951" s="5">
        <f>IF('ORDENES'!$A929="","",IF('ORDENES'!$AH929="","-",'ORDENES'!$AH929))</f>
        <v/>
      </c>
      <c r="D951" s="5">
        <f>IF('ORDENES'!$A929="","",IF('ORDENES'!$Z929="","-",'ORDENES'!$Z929))</f>
        <v/>
      </c>
      <c r="E951" s="5">
        <f>IF('ORDENES'!$A929="","",IF('ORDENES'!$X929="","-",'ORDENES'!$X929))</f>
        <v/>
      </c>
      <c r="F951" s="5">
        <f>IF('ORDENES'!$A929="","",IF('ORDENES'!$AA929="","-",'ORDENES'!$AA929))</f>
        <v/>
      </c>
      <c r="G951" s="5">
        <f>IF('ORDENES'!$A929="","",IF('ORDENES'!$Y929="","-",'ORDENES'!$Y929))</f>
        <v/>
      </c>
      <c r="H951" s="5">
        <f>IF('ORDENES'!$A929="","",IF('ORDENES'!$AG929="","-",'ORDENES'!$AG929))</f>
        <v/>
      </c>
      <c r="I951" s="5">
        <f>IF('ORDENES'!$A929="","",IF('ORDENES'!$AT929="","-",'ORDENES'!$AT929))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20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IF('ORDENES'!$A929="","",'ORDENES'!$AF929)</f>
        <v/>
      </c>
    </row>
    <row r="952">
      <c r="A952" s="5">
        <f>IF('ORDENES'!$A930="","",IF('ORDENES'!$O930="","-",'ORDENES'!$O930))</f>
        <v/>
      </c>
      <c r="B952" s="5">
        <f>IF('ORDENES'!$A930="","",IF('ORDENES'!$S930="","-",'ORDENES'!$S930))</f>
        <v/>
      </c>
      <c r="C952" s="5">
        <f>IF('ORDENES'!$A930="","",IF('ORDENES'!$AH930="","-",'ORDENES'!$AH930))</f>
        <v/>
      </c>
      <c r="D952" s="5">
        <f>IF('ORDENES'!$A930="","",IF('ORDENES'!$Z930="","-",'ORDENES'!$Z930))</f>
        <v/>
      </c>
      <c r="E952" s="5">
        <f>IF('ORDENES'!$A930="","",IF('ORDENES'!$X930="","-",'ORDENES'!$X930))</f>
        <v/>
      </c>
      <c r="F952" s="5">
        <f>IF('ORDENES'!$A930="","",IF('ORDENES'!$AA930="","-",'ORDENES'!$AA930))</f>
        <v/>
      </c>
      <c r="G952" s="5">
        <f>IF('ORDENES'!$A930="","",IF('ORDENES'!$Y930="","-",'ORDENES'!$Y930))</f>
        <v/>
      </c>
      <c r="H952" s="5">
        <f>IF('ORDENES'!$A930="","",IF('ORDENES'!$AG930="","-",'ORDENES'!$AG930))</f>
        <v/>
      </c>
      <c r="I952" s="5">
        <f>IF('ORDENES'!$A930="","",IF('ORDENES'!$AT930="","-",'ORDENES'!$AT930))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20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IF('ORDENES'!$A930="","",'ORDENES'!$AF930)</f>
        <v/>
      </c>
    </row>
    <row r="953">
      <c r="A953" s="5">
        <f>IF('ORDENES'!$A931="","",IF('ORDENES'!$O931="","-",'ORDENES'!$O931))</f>
        <v/>
      </c>
      <c r="B953" s="5">
        <f>IF('ORDENES'!$A931="","",IF('ORDENES'!$S931="","-",'ORDENES'!$S931))</f>
        <v/>
      </c>
      <c r="C953" s="5">
        <f>IF('ORDENES'!$A931="","",IF('ORDENES'!$AH931="","-",'ORDENES'!$AH931))</f>
        <v/>
      </c>
      <c r="D953" s="5">
        <f>IF('ORDENES'!$A931="","",IF('ORDENES'!$Z931="","-",'ORDENES'!$Z931))</f>
        <v/>
      </c>
      <c r="E953" s="5">
        <f>IF('ORDENES'!$A931="","",IF('ORDENES'!$X931="","-",'ORDENES'!$X931))</f>
        <v/>
      </c>
      <c r="F953" s="5">
        <f>IF('ORDENES'!$A931="","",IF('ORDENES'!$AA931="","-",'ORDENES'!$AA931))</f>
        <v/>
      </c>
      <c r="G953" s="5">
        <f>IF('ORDENES'!$A931="","",IF('ORDENES'!$Y931="","-",'ORDENES'!$Y931))</f>
        <v/>
      </c>
      <c r="H953" s="5">
        <f>IF('ORDENES'!$A931="","",IF('ORDENES'!$AG931="","-",'ORDENES'!$AG931))</f>
        <v/>
      </c>
      <c r="I953" s="5">
        <f>IF('ORDENES'!$A931="","",IF('ORDENES'!$AT931="","-",'ORDENES'!$AT931))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20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IF('ORDENES'!$A931="","",'ORDENES'!$AF931)</f>
        <v/>
      </c>
    </row>
    <row r="954">
      <c r="A954" s="5">
        <f>IF('ORDENES'!$A932="","",IF('ORDENES'!$O932="","-",'ORDENES'!$O932))</f>
        <v/>
      </c>
      <c r="B954" s="5">
        <f>IF('ORDENES'!$A932="","",IF('ORDENES'!$S932="","-",'ORDENES'!$S932))</f>
        <v/>
      </c>
      <c r="C954" s="5">
        <f>IF('ORDENES'!$A932="","",IF('ORDENES'!$AH932="","-",'ORDENES'!$AH932))</f>
        <v/>
      </c>
      <c r="D954" s="5">
        <f>IF('ORDENES'!$A932="","",IF('ORDENES'!$Z932="","-",'ORDENES'!$Z932))</f>
        <v/>
      </c>
      <c r="E954" s="5">
        <f>IF('ORDENES'!$A932="","",IF('ORDENES'!$X932="","-",'ORDENES'!$X932))</f>
        <v/>
      </c>
      <c r="F954" s="5">
        <f>IF('ORDENES'!$A932="","",IF('ORDENES'!$AA932="","-",'ORDENES'!$AA932))</f>
        <v/>
      </c>
      <c r="G954" s="5">
        <f>IF('ORDENES'!$A932="","",IF('ORDENES'!$Y932="","-",'ORDENES'!$Y932))</f>
        <v/>
      </c>
      <c r="H954" s="5">
        <f>IF('ORDENES'!$A932="","",IF('ORDENES'!$AG932="","-",'ORDENES'!$AG932))</f>
        <v/>
      </c>
      <c r="I954" s="5">
        <f>IF('ORDENES'!$A932="","",IF('ORDENES'!$AT932="","-",'ORDENES'!$AT932))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20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IF('ORDENES'!$A932="","",'ORDENES'!$AF932)</f>
        <v/>
      </c>
    </row>
    <row r="955">
      <c r="A955" s="5">
        <f>IF('ORDENES'!$A933="","",IF('ORDENES'!$O933="","-",'ORDENES'!$O933))</f>
        <v/>
      </c>
      <c r="B955" s="5">
        <f>IF('ORDENES'!$A933="","",IF('ORDENES'!$S933="","-",'ORDENES'!$S933))</f>
        <v/>
      </c>
      <c r="C955" s="5">
        <f>IF('ORDENES'!$A933="","",IF('ORDENES'!$AH933="","-",'ORDENES'!$AH933))</f>
        <v/>
      </c>
      <c r="D955" s="5">
        <f>IF('ORDENES'!$A933="","",IF('ORDENES'!$Z933="","-",'ORDENES'!$Z933))</f>
        <v/>
      </c>
      <c r="E955" s="5">
        <f>IF('ORDENES'!$A933="","",IF('ORDENES'!$X933="","-",'ORDENES'!$X933))</f>
        <v/>
      </c>
      <c r="F955" s="5">
        <f>IF('ORDENES'!$A933="","",IF('ORDENES'!$AA933="","-",'ORDENES'!$AA933))</f>
        <v/>
      </c>
      <c r="G955" s="5">
        <f>IF('ORDENES'!$A933="","",IF('ORDENES'!$Y933="","-",'ORDENES'!$Y933))</f>
        <v/>
      </c>
      <c r="H955" s="5">
        <f>IF('ORDENES'!$A933="","",IF('ORDENES'!$AG933="","-",'ORDENES'!$AG933))</f>
        <v/>
      </c>
      <c r="I955" s="5">
        <f>IF('ORDENES'!$A933="","",IF('ORDENES'!$AT933="","-",'ORDENES'!$AT933))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20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IF('ORDENES'!$A933="","",'ORDENES'!$AF933)</f>
        <v/>
      </c>
    </row>
    <row r="956">
      <c r="A956" s="5">
        <f>IF('ORDENES'!$A934="","",IF('ORDENES'!$O934="","-",'ORDENES'!$O934))</f>
        <v/>
      </c>
      <c r="B956" s="5">
        <f>IF('ORDENES'!$A934="","",IF('ORDENES'!$S934="","-",'ORDENES'!$S934))</f>
        <v/>
      </c>
      <c r="C956" s="5">
        <f>IF('ORDENES'!$A934="","",IF('ORDENES'!$AH934="","-",'ORDENES'!$AH934))</f>
        <v/>
      </c>
      <c r="D956" s="5">
        <f>IF('ORDENES'!$A934="","",IF('ORDENES'!$Z934="","-",'ORDENES'!$Z934))</f>
        <v/>
      </c>
      <c r="E956" s="5">
        <f>IF('ORDENES'!$A934="","",IF('ORDENES'!$X934="","-",'ORDENES'!$X934))</f>
        <v/>
      </c>
      <c r="F956" s="5">
        <f>IF('ORDENES'!$A934="","",IF('ORDENES'!$AA934="","-",'ORDENES'!$AA934))</f>
        <v/>
      </c>
      <c r="G956" s="5">
        <f>IF('ORDENES'!$A934="","",IF('ORDENES'!$Y934="","-",'ORDENES'!$Y934))</f>
        <v/>
      </c>
      <c r="H956" s="5">
        <f>IF('ORDENES'!$A934="","",IF('ORDENES'!$AG934="","-",'ORDENES'!$AG934))</f>
        <v/>
      </c>
      <c r="I956" s="5">
        <f>IF('ORDENES'!$A934="","",IF('ORDENES'!$AT934="","-",'ORDENES'!$AT934))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20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IF('ORDENES'!$A934="","",'ORDENES'!$AF934)</f>
        <v/>
      </c>
    </row>
    <row r="957">
      <c r="A957" s="5">
        <f>IF('ORDENES'!$A935="","",IF('ORDENES'!$O935="","-",'ORDENES'!$O935))</f>
        <v/>
      </c>
      <c r="B957" s="5">
        <f>IF('ORDENES'!$A935="","",IF('ORDENES'!$S935="","-",'ORDENES'!$S935))</f>
        <v/>
      </c>
      <c r="C957" s="5">
        <f>IF('ORDENES'!$A935="","",IF('ORDENES'!$AH935="","-",'ORDENES'!$AH935))</f>
        <v/>
      </c>
      <c r="D957" s="5">
        <f>IF('ORDENES'!$A935="","",IF('ORDENES'!$Z935="","-",'ORDENES'!$Z935))</f>
        <v/>
      </c>
      <c r="E957" s="5">
        <f>IF('ORDENES'!$A935="","",IF('ORDENES'!$X935="","-",'ORDENES'!$X935))</f>
        <v/>
      </c>
      <c r="F957" s="5">
        <f>IF('ORDENES'!$A935="","",IF('ORDENES'!$AA935="","-",'ORDENES'!$AA935))</f>
        <v/>
      </c>
      <c r="G957" s="5">
        <f>IF('ORDENES'!$A935="","",IF('ORDENES'!$Y935="","-",'ORDENES'!$Y935))</f>
        <v/>
      </c>
      <c r="H957" s="5">
        <f>IF('ORDENES'!$A935="","",IF('ORDENES'!$AG935="","-",'ORDENES'!$AG935))</f>
        <v/>
      </c>
      <c r="I957" s="5">
        <f>IF('ORDENES'!$A935="","",IF('ORDENES'!$AT935="","-",'ORDENES'!$AT935))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20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IF('ORDENES'!$A935="","",'ORDENES'!$AF935)</f>
        <v/>
      </c>
    </row>
    <row r="958">
      <c r="A958" s="5">
        <f>IF('ORDENES'!$A936="","",IF('ORDENES'!$O936="","-",'ORDENES'!$O936))</f>
        <v/>
      </c>
      <c r="B958" s="5">
        <f>IF('ORDENES'!$A936="","",IF('ORDENES'!$S936="","-",'ORDENES'!$S936))</f>
        <v/>
      </c>
      <c r="C958" s="5">
        <f>IF('ORDENES'!$A936="","",IF('ORDENES'!$AH936="","-",'ORDENES'!$AH936))</f>
        <v/>
      </c>
      <c r="D958" s="5">
        <f>IF('ORDENES'!$A936="","",IF('ORDENES'!$Z936="","-",'ORDENES'!$Z936))</f>
        <v/>
      </c>
      <c r="E958" s="5">
        <f>IF('ORDENES'!$A936="","",IF('ORDENES'!$X936="","-",'ORDENES'!$X936))</f>
        <v/>
      </c>
      <c r="F958" s="5">
        <f>IF('ORDENES'!$A936="","",IF('ORDENES'!$AA936="","-",'ORDENES'!$AA936))</f>
        <v/>
      </c>
      <c r="G958" s="5">
        <f>IF('ORDENES'!$A936="","",IF('ORDENES'!$Y936="","-",'ORDENES'!$Y936))</f>
        <v/>
      </c>
      <c r="H958" s="5">
        <f>IF('ORDENES'!$A936="","",IF('ORDENES'!$AG936="","-",'ORDENES'!$AG936))</f>
        <v/>
      </c>
      <c r="I958" s="5">
        <f>IF('ORDENES'!$A936="","",IF('ORDENES'!$AT936="","-",'ORDENES'!$AT936))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20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IF('ORDENES'!$A936="","",'ORDENES'!$AF936)</f>
        <v/>
      </c>
    </row>
    <row r="959">
      <c r="A959" s="5">
        <f>IF('ORDENES'!$A937="","",IF('ORDENES'!$O937="","-",'ORDENES'!$O937))</f>
        <v/>
      </c>
      <c r="B959" s="5">
        <f>IF('ORDENES'!$A937="","",IF('ORDENES'!$S937="","-",'ORDENES'!$S937))</f>
        <v/>
      </c>
      <c r="C959" s="5">
        <f>IF('ORDENES'!$A937="","",IF('ORDENES'!$AH937="","-",'ORDENES'!$AH937))</f>
        <v/>
      </c>
      <c r="D959" s="5">
        <f>IF('ORDENES'!$A937="","",IF('ORDENES'!$Z937="","-",'ORDENES'!$Z937))</f>
        <v/>
      </c>
      <c r="E959" s="5">
        <f>IF('ORDENES'!$A937="","",IF('ORDENES'!$X937="","-",'ORDENES'!$X937))</f>
        <v/>
      </c>
      <c r="F959" s="5">
        <f>IF('ORDENES'!$A937="","",IF('ORDENES'!$AA937="","-",'ORDENES'!$AA937))</f>
        <v/>
      </c>
      <c r="G959" s="5">
        <f>IF('ORDENES'!$A937="","",IF('ORDENES'!$Y937="","-",'ORDENES'!$Y937))</f>
        <v/>
      </c>
      <c r="H959" s="5">
        <f>IF('ORDENES'!$A937="","",IF('ORDENES'!$AG937="","-",'ORDENES'!$AG937))</f>
        <v/>
      </c>
      <c r="I959" s="5">
        <f>IF('ORDENES'!$A937="","",IF('ORDENES'!$AT937="","-",'ORDENES'!$AT937))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20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IF('ORDENES'!$A937="","",'ORDENES'!$AF937)</f>
        <v/>
      </c>
    </row>
    <row r="960">
      <c r="A960" s="5">
        <f>IF('ORDENES'!$A938="","",IF('ORDENES'!$O938="","-",'ORDENES'!$O938))</f>
        <v/>
      </c>
      <c r="B960" s="5">
        <f>IF('ORDENES'!$A938="","",IF('ORDENES'!$S938="","-",'ORDENES'!$S938))</f>
        <v/>
      </c>
      <c r="C960" s="5">
        <f>IF('ORDENES'!$A938="","",IF('ORDENES'!$AH938="","-",'ORDENES'!$AH938))</f>
        <v/>
      </c>
      <c r="D960" s="5">
        <f>IF('ORDENES'!$A938="","",IF('ORDENES'!$Z938="","-",'ORDENES'!$Z938))</f>
        <v/>
      </c>
      <c r="E960" s="5">
        <f>IF('ORDENES'!$A938="","",IF('ORDENES'!$X938="","-",'ORDENES'!$X938))</f>
        <v/>
      </c>
      <c r="F960" s="5">
        <f>IF('ORDENES'!$A938="","",IF('ORDENES'!$AA938="","-",'ORDENES'!$AA938))</f>
        <v/>
      </c>
      <c r="G960" s="5">
        <f>IF('ORDENES'!$A938="","",IF('ORDENES'!$Y938="","-",'ORDENES'!$Y938))</f>
        <v/>
      </c>
      <c r="H960" s="5">
        <f>IF('ORDENES'!$A938="","",IF('ORDENES'!$AG938="","-",'ORDENES'!$AG938))</f>
        <v/>
      </c>
      <c r="I960" s="5">
        <f>IF('ORDENES'!$A938="","",IF('ORDENES'!$AT938="","-",'ORDENES'!$AT938))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20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IF('ORDENES'!$A938="","",'ORDENES'!$AF938)</f>
        <v/>
      </c>
    </row>
    <row r="961">
      <c r="A961" s="5">
        <f>IF('ORDENES'!$A939="","",IF('ORDENES'!$O939="","-",'ORDENES'!$O939))</f>
        <v/>
      </c>
      <c r="B961" s="5">
        <f>IF('ORDENES'!$A939="","",IF('ORDENES'!$S939="","-",'ORDENES'!$S939))</f>
        <v/>
      </c>
      <c r="C961" s="5">
        <f>IF('ORDENES'!$A939="","",IF('ORDENES'!$AH939="","-",'ORDENES'!$AH939))</f>
        <v/>
      </c>
      <c r="D961" s="5">
        <f>IF('ORDENES'!$A939="","",IF('ORDENES'!$Z939="","-",'ORDENES'!$Z939))</f>
        <v/>
      </c>
      <c r="E961" s="5">
        <f>IF('ORDENES'!$A939="","",IF('ORDENES'!$X939="","-",'ORDENES'!$X939))</f>
        <v/>
      </c>
      <c r="F961" s="5">
        <f>IF('ORDENES'!$A939="","",IF('ORDENES'!$AA939="","-",'ORDENES'!$AA939))</f>
        <v/>
      </c>
      <c r="G961" s="5">
        <f>IF('ORDENES'!$A939="","",IF('ORDENES'!$Y939="","-",'ORDENES'!$Y939))</f>
        <v/>
      </c>
      <c r="H961" s="5">
        <f>IF('ORDENES'!$A939="","",IF('ORDENES'!$AG939="","-",'ORDENES'!$AG939))</f>
        <v/>
      </c>
      <c r="I961" s="5">
        <f>IF('ORDENES'!$A939="","",IF('ORDENES'!$AT939="","-",'ORDENES'!$AT939))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20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IF('ORDENES'!$A939="","",'ORDENES'!$AF939)</f>
        <v/>
      </c>
    </row>
    <row r="962">
      <c r="A962" s="5">
        <f>IF('ORDENES'!$A940="","",IF('ORDENES'!$O940="","-",'ORDENES'!$O940))</f>
        <v/>
      </c>
      <c r="B962" s="5">
        <f>IF('ORDENES'!$A940="","",IF('ORDENES'!$S940="","-",'ORDENES'!$S940))</f>
        <v/>
      </c>
      <c r="C962" s="5">
        <f>IF('ORDENES'!$A940="","",IF('ORDENES'!$AH940="","-",'ORDENES'!$AH940))</f>
        <v/>
      </c>
      <c r="D962" s="5">
        <f>IF('ORDENES'!$A940="","",IF('ORDENES'!$Z940="","-",'ORDENES'!$Z940))</f>
        <v/>
      </c>
      <c r="E962" s="5">
        <f>IF('ORDENES'!$A940="","",IF('ORDENES'!$X940="","-",'ORDENES'!$X940))</f>
        <v/>
      </c>
      <c r="F962" s="5">
        <f>IF('ORDENES'!$A940="","",IF('ORDENES'!$AA940="","-",'ORDENES'!$AA940))</f>
        <v/>
      </c>
      <c r="G962" s="5">
        <f>IF('ORDENES'!$A940="","",IF('ORDENES'!$Y940="","-",'ORDENES'!$Y940))</f>
        <v/>
      </c>
      <c r="H962" s="5">
        <f>IF('ORDENES'!$A940="","",IF('ORDENES'!$AG940="","-",'ORDENES'!$AG940))</f>
        <v/>
      </c>
      <c r="I962" s="5">
        <f>IF('ORDENES'!$A940="","",IF('ORDENES'!$AT940="","-",'ORDENES'!$AT940))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20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IF('ORDENES'!$A940="","",'ORDENES'!$AF940)</f>
        <v/>
      </c>
    </row>
    <row r="963">
      <c r="A963" s="5">
        <f>IF('ORDENES'!$A941="","",IF('ORDENES'!$O941="","-",'ORDENES'!$O941))</f>
        <v/>
      </c>
      <c r="B963" s="5">
        <f>IF('ORDENES'!$A941="","",IF('ORDENES'!$S941="","-",'ORDENES'!$S941))</f>
        <v/>
      </c>
      <c r="C963" s="5">
        <f>IF('ORDENES'!$A941="","",IF('ORDENES'!$AH941="","-",'ORDENES'!$AH941))</f>
        <v/>
      </c>
      <c r="D963" s="5">
        <f>IF('ORDENES'!$A941="","",IF('ORDENES'!$Z941="","-",'ORDENES'!$Z941))</f>
        <v/>
      </c>
      <c r="E963" s="5">
        <f>IF('ORDENES'!$A941="","",IF('ORDENES'!$X941="","-",'ORDENES'!$X941))</f>
        <v/>
      </c>
      <c r="F963" s="5">
        <f>IF('ORDENES'!$A941="","",IF('ORDENES'!$AA941="","-",'ORDENES'!$AA941))</f>
        <v/>
      </c>
      <c r="G963" s="5">
        <f>IF('ORDENES'!$A941="","",IF('ORDENES'!$Y941="","-",'ORDENES'!$Y941))</f>
        <v/>
      </c>
      <c r="H963" s="5">
        <f>IF('ORDENES'!$A941="","",IF('ORDENES'!$AG941="","-",'ORDENES'!$AG941))</f>
        <v/>
      </c>
      <c r="I963" s="5">
        <f>IF('ORDENES'!$A941="","",IF('ORDENES'!$AT941="","-",'ORDENES'!$AT941))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20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IF('ORDENES'!$A941="","",'ORDENES'!$AF941)</f>
        <v/>
      </c>
    </row>
    <row r="964">
      <c r="A964" s="5">
        <f>IF('ORDENES'!$A942="","",IF('ORDENES'!$O942="","-",'ORDENES'!$O942))</f>
        <v/>
      </c>
      <c r="B964" s="5">
        <f>IF('ORDENES'!$A942="","",IF('ORDENES'!$S942="","-",'ORDENES'!$S942))</f>
        <v/>
      </c>
      <c r="C964" s="5">
        <f>IF('ORDENES'!$A942="","",IF('ORDENES'!$AH942="","-",'ORDENES'!$AH942))</f>
        <v/>
      </c>
      <c r="D964" s="5">
        <f>IF('ORDENES'!$A942="","",IF('ORDENES'!$Z942="","-",'ORDENES'!$Z942))</f>
        <v/>
      </c>
      <c r="E964" s="5">
        <f>IF('ORDENES'!$A942="","",IF('ORDENES'!$X942="","-",'ORDENES'!$X942))</f>
        <v/>
      </c>
      <c r="F964" s="5">
        <f>IF('ORDENES'!$A942="","",IF('ORDENES'!$AA942="","-",'ORDENES'!$AA942))</f>
        <v/>
      </c>
      <c r="G964" s="5">
        <f>IF('ORDENES'!$A942="","",IF('ORDENES'!$Y942="","-",'ORDENES'!$Y942))</f>
        <v/>
      </c>
      <c r="H964" s="5">
        <f>IF('ORDENES'!$A942="","",IF('ORDENES'!$AG942="","-",'ORDENES'!$AG942))</f>
        <v/>
      </c>
      <c r="I964" s="5">
        <f>IF('ORDENES'!$A942="","",IF('ORDENES'!$AT942="","-",'ORDENES'!$AT942))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20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IF('ORDENES'!$A942="","",'ORDENES'!$AF942)</f>
        <v/>
      </c>
    </row>
    <row r="965">
      <c r="A965" s="5">
        <f>IF('ORDENES'!$A943="","",IF('ORDENES'!$O943="","-",'ORDENES'!$O943))</f>
        <v/>
      </c>
      <c r="B965" s="5">
        <f>IF('ORDENES'!$A943="","",IF('ORDENES'!$S943="","-",'ORDENES'!$S943))</f>
        <v/>
      </c>
      <c r="C965" s="5">
        <f>IF('ORDENES'!$A943="","",IF('ORDENES'!$AH943="","-",'ORDENES'!$AH943))</f>
        <v/>
      </c>
      <c r="D965" s="5">
        <f>IF('ORDENES'!$A943="","",IF('ORDENES'!$Z943="","-",'ORDENES'!$Z943))</f>
        <v/>
      </c>
      <c r="E965" s="5">
        <f>IF('ORDENES'!$A943="","",IF('ORDENES'!$X943="","-",'ORDENES'!$X943))</f>
        <v/>
      </c>
      <c r="F965" s="5">
        <f>IF('ORDENES'!$A943="","",IF('ORDENES'!$AA943="","-",'ORDENES'!$AA943))</f>
        <v/>
      </c>
      <c r="G965" s="5">
        <f>IF('ORDENES'!$A943="","",IF('ORDENES'!$Y943="","-",'ORDENES'!$Y943))</f>
        <v/>
      </c>
      <c r="H965" s="5">
        <f>IF('ORDENES'!$A943="","",IF('ORDENES'!$AG943="","-",'ORDENES'!$AG943))</f>
        <v/>
      </c>
      <c r="I965" s="5">
        <f>IF('ORDENES'!$A943="","",IF('ORDENES'!$AT943="","-",'ORDENES'!$AT943))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20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IF('ORDENES'!$A943="","",'ORDENES'!$AF943)</f>
        <v/>
      </c>
    </row>
    <row r="966">
      <c r="A966" s="5">
        <f>IF('ORDENES'!$A944="","",IF('ORDENES'!$O944="","-",'ORDENES'!$O944))</f>
        <v/>
      </c>
      <c r="B966" s="5">
        <f>IF('ORDENES'!$A944="","",IF('ORDENES'!$S944="","-",'ORDENES'!$S944))</f>
        <v/>
      </c>
      <c r="C966" s="5">
        <f>IF('ORDENES'!$A944="","",IF('ORDENES'!$AH944="","-",'ORDENES'!$AH944))</f>
        <v/>
      </c>
      <c r="D966" s="5">
        <f>IF('ORDENES'!$A944="","",IF('ORDENES'!$Z944="","-",'ORDENES'!$Z944))</f>
        <v/>
      </c>
      <c r="E966" s="5">
        <f>IF('ORDENES'!$A944="","",IF('ORDENES'!$X944="","-",'ORDENES'!$X944))</f>
        <v/>
      </c>
      <c r="F966" s="5">
        <f>IF('ORDENES'!$A944="","",IF('ORDENES'!$AA944="","-",'ORDENES'!$AA944))</f>
        <v/>
      </c>
      <c r="G966" s="5">
        <f>IF('ORDENES'!$A944="","",IF('ORDENES'!$Y944="","-",'ORDENES'!$Y944))</f>
        <v/>
      </c>
      <c r="H966" s="5">
        <f>IF('ORDENES'!$A944="","",IF('ORDENES'!$AG944="","-",'ORDENES'!$AG944))</f>
        <v/>
      </c>
      <c r="I966" s="5">
        <f>IF('ORDENES'!$A944="","",IF('ORDENES'!$AT944="","-",'ORDENES'!$AT944))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20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IF('ORDENES'!$A944="","",'ORDENES'!$AF944)</f>
        <v/>
      </c>
    </row>
    <row r="967">
      <c r="A967" s="5">
        <f>IF('ORDENES'!$A945="","",IF('ORDENES'!$O945="","-",'ORDENES'!$O945))</f>
        <v/>
      </c>
      <c r="B967" s="5">
        <f>IF('ORDENES'!$A945="","",IF('ORDENES'!$S945="","-",'ORDENES'!$S945))</f>
        <v/>
      </c>
      <c r="C967" s="5">
        <f>IF('ORDENES'!$A945="","",IF('ORDENES'!$AH945="","-",'ORDENES'!$AH945))</f>
        <v/>
      </c>
      <c r="D967" s="5">
        <f>IF('ORDENES'!$A945="","",IF('ORDENES'!$Z945="","-",'ORDENES'!$Z945))</f>
        <v/>
      </c>
      <c r="E967" s="5">
        <f>IF('ORDENES'!$A945="","",IF('ORDENES'!$X945="","-",'ORDENES'!$X945))</f>
        <v/>
      </c>
      <c r="F967" s="5">
        <f>IF('ORDENES'!$A945="","",IF('ORDENES'!$AA945="","-",'ORDENES'!$AA945))</f>
        <v/>
      </c>
      <c r="G967" s="5">
        <f>IF('ORDENES'!$A945="","",IF('ORDENES'!$Y945="","-",'ORDENES'!$Y945))</f>
        <v/>
      </c>
      <c r="H967" s="5">
        <f>IF('ORDENES'!$A945="","",IF('ORDENES'!$AG945="","-",'ORDENES'!$AG945))</f>
        <v/>
      </c>
      <c r="I967" s="5">
        <f>IF('ORDENES'!$A945="","",IF('ORDENES'!$AT945="","-",'ORDENES'!$AT945))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20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IF('ORDENES'!$A945="","",'ORDENES'!$AF945)</f>
        <v/>
      </c>
    </row>
    <row r="968">
      <c r="A968" s="5">
        <f>IF('ORDENES'!$A946="","",IF('ORDENES'!$O946="","-",'ORDENES'!$O946))</f>
        <v/>
      </c>
      <c r="B968" s="5">
        <f>IF('ORDENES'!$A946="","",IF('ORDENES'!$S946="","-",'ORDENES'!$S946))</f>
        <v/>
      </c>
      <c r="C968" s="5">
        <f>IF('ORDENES'!$A946="","",IF('ORDENES'!$AH946="","-",'ORDENES'!$AH946))</f>
        <v/>
      </c>
      <c r="D968" s="5">
        <f>IF('ORDENES'!$A946="","",IF('ORDENES'!$Z946="","-",'ORDENES'!$Z946))</f>
        <v/>
      </c>
      <c r="E968" s="5">
        <f>IF('ORDENES'!$A946="","",IF('ORDENES'!$X946="","-",'ORDENES'!$X946))</f>
        <v/>
      </c>
      <c r="F968" s="5">
        <f>IF('ORDENES'!$A946="","",IF('ORDENES'!$AA946="","-",'ORDENES'!$AA946))</f>
        <v/>
      </c>
      <c r="G968" s="5">
        <f>IF('ORDENES'!$A946="","",IF('ORDENES'!$Y946="","-",'ORDENES'!$Y946))</f>
        <v/>
      </c>
      <c r="H968" s="5">
        <f>IF('ORDENES'!$A946="","",IF('ORDENES'!$AG946="","-",'ORDENES'!$AG946))</f>
        <v/>
      </c>
      <c r="I968" s="5">
        <f>IF('ORDENES'!$A946="","",IF('ORDENES'!$AT946="","-",'ORDENES'!$AT946))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20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IF('ORDENES'!$A946="","",'ORDENES'!$AF946)</f>
        <v/>
      </c>
    </row>
    <row r="969">
      <c r="A969" s="5">
        <f>IF('ORDENES'!$A947="","",IF('ORDENES'!$O947="","-",'ORDENES'!$O947))</f>
        <v/>
      </c>
      <c r="B969" s="5">
        <f>IF('ORDENES'!$A947="","",IF('ORDENES'!$S947="","-",'ORDENES'!$S947))</f>
        <v/>
      </c>
      <c r="C969" s="5">
        <f>IF('ORDENES'!$A947="","",IF('ORDENES'!$AH947="","-",'ORDENES'!$AH947))</f>
        <v/>
      </c>
      <c r="D969" s="5">
        <f>IF('ORDENES'!$A947="","",IF('ORDENES'!$Z947="","-",'ORDENES'!$Z947))</f>
        <v/>
      </c>
      <c r="E969" s="5">
        <f>IF('ORDENES'!$A947="","",IF('ORDENES'!$X947="","-",'ORDENES'!$X947))</f>
        <v/>
      </c>
      <c r="F969" s="5">
        <f>IF('ORDENES'!$A947="","",IF('ORDENES'!$AA947="","-",'ORDENES'!$AA947))</f>
        <v/>
      </c>
      <c r="G969" s="5">
        <f>IF('ORDENES'!$A947="","",IF('ORDENES'!$Y947="","-",'ORDENES'!$Y947))</f>
        <v/>
      </c>
      <c r="H969" s="5">
        <f>IF('ORDENES'!$A947="","",IF('ORDENES'!$AG947="","-",'ORDENES'!$AG947))</f>
        <v/>
      </c>
      <c r="I969" s="5">
        <f>IF('ORDENES'!$A947="","",IF('ORDENES'!$AT947="","-",'ORDENES'!$AT947))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20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IF('ORDENES'!$A947="","",'ORDENES'!$AF947)</f>
        <v/>
      </c>
    </row>
    <row r="970">
      <c r="A970" s="5">
        <f>IF('ORDENES'!$A948="","",IF('ORDENES'!$O948="","-",'ORDENES'!$O948))</f>
        <v/>
      </c>
      <c r="B970" s="5">
        <f>IF('ORDENES'!$A948="","",IF('ORDENES'!$S948="","-",'ORDENES'!$S948))</f>
        <v/>
      </c>
      <c r="C970" s="5">
        <f>IF('ORDENES'!$A948="","",IF('ORDENES'!$AH948="","-",'ORDENES'!$AH948))</f>
        <v/>
      </c>
      <c r="D970" s="5">
        <f>IF('ORDENES'!$A948="","",IF('ORDENES'!$Z948="","-",'ORDENES'!$Z948))</f>
        <v/>
      </c>
      <c r="E970" s="5">
        <f>IF('ORDENES'!$A948="","",IF('ORDENES'!$X948="","-",'ORDENES'!$X948))</f>
        <v/>
      </c>
      <c r="F970" s="5">
        <f>IF('ORDENES'!$A948="","",IF('ORDENES'!$AA948="","-",'ORDENES'!$AA948))</f>
        <v/>
      </c>
      <c r="G970" s="5">
        <f>IF('ORDENES'!$A948="","",IF('ORDENES'!$Y948="","-",'ORDENES'!$Y948))</f>
        <v/>
      </c>
      <c r="H970" s="5">
        <f>IF('ORDENES'!$A948="","",IF('ORDENES'!$AG948="","-",'ORDENES'!$AG948))</f>
        <v/>
      </c>
      <c r="I970" s="5">
        <f>IF('ORDENES'!$A948="","",IF('ORDENES'!$AT948="","-",'ORDENES'!$AT948))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20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IF('ORDENES'!$A948="","",'ORDENES'!$AF948)</f>
        <v/>
      </c>
    </row>
    <row r="971">
      <c r="A971" s="5">
        <f>IF('ORDENES'!$A949="","",IF('ORDENES'!$O949="","-",'ORDENES'!$O949))</f>
        <v/>
      </c>
      <c r="B971" s="5">
        <f>IF('ORDENES'!$A949="","",IF('ORDENES'!$S949="","-",'ORDENES'!$S949))</f>
        <v/>
      </c>
      <c r="C971" s="5">
        <f>IF('ORDENES'!$A949="","",IF('ORDENES'!$AH949="","-",'ORDENES'!$AH949))</f>
        <v/>
      </c>
      <c r="D971" s="5">
        <f>IF('ORDENES'!$A949="","",IF('ORDENES'!$Z949="","-",'ORDENES'!$Z949))</f>
        <v/>
      </c>
      <c r="E971" s="5">
        <f>IF('ORDENES'!$A949="","",IF('ORDENES'!$X949="","-",'ORDENES'!$X949))</f>
        <v/>
      </c>
      <c r="F971" s="5">
        <f>IF('ORDENES'!$A949="","",IF('ORDENES'!$AA949="","-",'ORDENES'!$AA949))</f>
        <v/>
      </c>
      <c r="G971" s="5">
        <f>IF('ORDENES'!$A949="","",IF('ORDENES'!$Y949="","-",'ORDENES'!$Y949))</f>
        <v/>
      </c>
      <c r="H971" s="5">
        <f>IF('ORDENES'!$A949="","",IF('ORDENES'!$AG949="","-",'ORDENES'!$AG949))</f>
        <v/>
      </c>
      <c r="I971" s="5">
        <f>IF('ORDENES'!$A949="","",IF('ORDENES'!$AT949="","-",'ORDENES'!$AT949))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20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IF('ORDENES'!$A949="","",'ORDENES'!$AF949)</f>
        <v/>
      </c>
    </row>
    <row r="972">
      <c r="A972" s="5">
        <f>IF('ORDENES'!$A950="","",IF('ORDENES'!$O950="","-",'ORDENES'!$O950))</f>
        <v/>
      </c>
      <c r="B972" s="5">
        <f>IF('ORDENES'!$A950="","",IF('ORDENES'!$S950="","-",'ORDENES'!$S950))</f>
        <v/>
      </c>
      <c r="C972" s="5">
        <f>IF('ORDENES'!$A950="","",IF('ORDENES'!$AH950="","-",'ORDENES'!$AH950))</f>
        <v/>
      </c>
      <c r="D972" s="5">
        <f>IF('ORDENES'!$A950="","",IF('ORDENES'!$Z950="","-",'ORDENES'!$Z950))</f>
        <v/>
      </c>
      <c r="E972" s="5">
        <f>IF('ORDENES'!$A950="","",IF('ORDENES'!$X950="","-",'ORDENES'!$X950))</f>
        <v/>
      </c>
      <c r="F972" s="5">
        <f>IF('ORDENES'!$A950="","",IF('ORDENES'!$AA950="","-",'ORDENES'!$AA950))</f>
        <v/>
      </c>
      <c r="G972" s="5">
        <f>IF('ORDENES'!$A950="","",IF('ORDENES'!$Y950="","-",'ORDENES'!$Y950))</f>
        <v/>
      </c>
      <c r="H972" s="5">
        <f>IF('ORDENES'!$A950="","",IF('ORDENES'!$AG950="","-",'ORDENES'!$AG950))</f>
        <v/>
      </c>
      <c r="I972" s="5">
        <f>IF('ORDENES'!$A950="","",IF('ORDENES'!$AT950="","-",'ORDENES'!$AT950))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20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IF('ORDENES'!$A950="","",'ORDENES'!$AF950)</f>
        <v/>
      </c>
    </row>
    <row r="973">
      <c r="A973" s="5">
        <f>IF('ORDENES'!$A951="","",IF('ORDENES'!$O951="","-",'ORDENES'!$O951))</f>
        <v/>
      </c>
      <c r="B973" s="5">
        <f>IF('ORDENES'!$A951="","",IF('ORDENES'!$S951="","-",'ORDENES'!$S951))</f>
        <v/>
      </c>
      <c r="C973" s="5">
        <f>IF('ORDENES'!$A951="","",IF('ORDENES'!$AH951="","-",'ORDENES'!$AH951))</f>
        <v/>
      </c>
      <c r="D973" s="5">
        <f>IF('ORDENES'!$A951="","",IF('ORDENES'!$Z951="","-",'ORDENES'!$Z951))</f>
        <v/>
      </c>
      <c r="E973" s="5">
        <f>IF('ORDENES'!$A951="","",IF('ORDENES'!$X951="","-",'ORDENES'!$X951))</f>
        <v/>
      </c>
      <c r="F973" s="5">
        <f>IF('ORDENES'!$A951="","",IF('ORDENES'!$AA951="","-",'ORDENES'!$AA951))</f>
        <v/>
      </c>
      <c r="G973" s="5">
        <f>IF('ORDENES'!$A951="","",IF('ORDENES'!$Y951="","-",'ORDENES'!$Y951))</f>
        <v/>
      </c>
      <c r="H973" s="5">
        <f>IF('ORDENES'!$A951="","",IF('ORDENES'!$AG951="","-",'ORDENES'!$AG951))</f>
        <v/>
      </c>
      <c r="I973" s="5">
        <f>IF('ORDENES'!$A951="","",IF('ORDENES'!$AT951="","-",'ORDENES'!$AT951))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20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IF('ORDENES'!$A951="","",'ORDENES'!$AF951)</f>
        <v/>
      </c>
    </row>
    <row r="974">
      <c r="A974" s="5">
        <f>IF('ORDENES'!$A952="","",IF('ORDENES'!$O952="","-",'ORDENES'!$O952))</f>
        <v/>
      </c>
      <c r="B974" s="5">
        <f>IF('ORDENES'!$A952="","",IF('ORDENES'!$S952="","-",'ORDENES'!$S952))</f>
        <v/>
      </c>
      <c r="C974" s="5">
        <f>IF('ORDENES'!$A952="","",IF('ORDENES'!$AH952="","-",'ORDENES'!$AH952))</f>
        <v/>
      </c>
      <c r="D974" s="5">
        <f>IF('ORDENES'!$A952="","",IF('ORDENES'!$Z952="","-",'ORDENES'!$Z952))</f>
        <v/>
      </c>
      <c r="E974" s="5">
        <f>IF('ORDENES'!$A952="","",IF('ORDENES'!$X952="","-",'ORDENES'!$X952))</f>
        <v/>
      </c>
      <c r="F974" s="5">
        <f>IF('ORDENES'!$A952="","",IF('ORDENES'!$AA952="","-",'ORDENES'!$AA952))</f>
        <v/>
      </c>
      <c r="G974" s="5">
        <f>IF('ORDENES'!$A952="","",IF('ORDENES'!$Y952="","-",'ORDENES'!$Y952))</f>
        <v/>
      </c>
      <c r="H974" s="5">
        <f>IF('ORDENES'!$A952="","",IF('ORDENES'!$AG952="","-",'ORDENES'!$AG952))</f>
        <v/>
      </c>
      <c r="I974" s="5">
        <f>IF('ORDENES'!$A952="","",IF('ORDENES'!$AT952="","-",'ORDENES'!$AT952))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20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IF('ORDENES'!$A952="","",'ORDENES'!$AF952)</f>
        <v/>
      </c>
    </row>
    <row r="975">
      <c r="A975" s="5">
        <f>IF('ORDENES'!$A953="","",IF('ORDENES'!$O953="","-",'ORDENES'!$O953))</f>
        <v/>
      </c>
      <c r="B975" s="5">
        <f>IF('ORDENES'!$A953="","",IF('ORDENES'!$S953="","-",'ORDENES'!$S953))</f>
        <v/>
      </c>
      <c r="C975" s="5">
        <f>IF('ORDENES'!$A953="","",IF('ORDENES'!$AH953="","-",'ORDENES'!$AH953))</f>
        <v/>
      </c>
      <c r="D975" s="5">
        <f>IF('ORDENES'!$A953="","",IF('ORDENES'!$Z953="","-",'ORDENES'!$Z953))</f>
        <v/>
      </c>
      <c r="E975" s="5">
        <f>IF('ORDENES'!$A953="","",IF('ORDENES'!$X953="","-",'ORDENES'!$X953))</f>
        <v/>
      </c>
      <c r="F975" s="5">
        <f>IF('ORDENES'!$A953="","",IF('ORDENES'!$AA953="","-",'ORDENES'!$AA953))</f>
        <v/>
      </c>
      <c r="G975" s="5">
        <f>IF('ORDENES'!$A953="","",IF('ORDENES'!$Y953="","-",'ORDENES'!$Y953))</f>
        <v/>
      </c>
      <c r="H975" s="5">
        <f>IF('ORDENES'!$A953="","",IF('ORDENES'!$AG953="","-",'ORDENES'!$AG953))</f>
        <v/>
      </c>
      <c r="I975" s="5">
        <f>IF('ORDENES'!$A953="","",IF('ORDENES'!$AT953="","-",'ORDENES'!$AT953))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20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IF('ORDENES'!$A953="","",'ORDENES'!$AF953)</f>
        <v/>
      </c>
    </row>
    <row r="976">
      <c r="A976" s="5">
        <f>IF('ORDENES'!$A954="","",IF('ORDENES'!$O954="","-",'ORDENES'!$O954))</f>
        <v/>
      </c>
      <c r="B976" s="5">
        <f>IF('ORDENES'!$A954="","",IF('ORDENES'!$S954="","-",'ORDENES'!$S954))</f>
        <v/>
      </c>
      <c r="C976" s="5">
        <f>IF('ORDENES'!$A954="","",IF('ORDENES'!$AH954="","-",'ORDENES'!$AH954))</f>
        <v/>
      </c>
      <c r="D976" s="5">
        <f>IF('ORDENES'!$A954="","",IF('ORDENES'!$Z954="","-",'ORDENES'!$Z954))</f>
        <v/>
      </c>
      <c r="E976" s="5">
        <f>IF('ORDENES'!$A954="","",IF('ORDENES'!$X954="","-",'ORDENES'!$X954))</f>
        <v/>
      </c>
      <c r="F976" s="5">
        <f>IF('ORDENES'!$A954="","",IF('ORDENES'!$AA954="","-",'ORDENES'!$AA954))</f>
        <v/>
      </c>
      <c r="G976" s="5">
        <f>IF('ORDENES'!$A954="","",IF('ORDENES'!$Y954="","-",'ORDENES'!$Y954))</f>
        <v/>
      </c>
      <c r="H976" s="5">
        <f>IF('ORDENES'!$A954="","",IF('ORDENES'!$AG954="","-",'ORDENES'!$AG954))</f>
        <v/>
      </c>
      <c r="I976" s="5">
        <f>IF('ORDENES'!$A954="","",IF('ORDENES'!$AT954="","-",'ORDENES'!$AT954))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20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IF('ORDENES'!$A954="","",'ORDENES'!$AF954)</f>
        <v/>
      </c>
    </row>
    <row r="977">
      <c r="A977" s="5">
        <f>IF('ORDENES'!$A955="","",IF('ORDENES'!$O955="","-",'ORDENES'!$O955))</f>
        <v/>
      </c>
      <c r="B977" s="5">
        <f>IF('ORDENES'!$A955="","",IF('ORDENES'!$S955="","-",'ORDENES'!$S955))</f>
        <v/>
      </c>
      <c r="C977" s="5">
        <f>IF('ORDENES'!$A955="","",IF('ORDENES'!$AH955="","-",'ORDENES'!$AH955))</f>
        <v/>
      </c>
      <c r="D977" s="5">
        <f>IF('ORDENES'!$A955="","",IF('ORDENES'!$Z955="","-",'ORDENES'!$Z955))</f>
        <v/>
      </c>
      <c r="E977" s="5">
        <f>IF('ORDENES'!$A955="","",IF('ORDENES'!$X955="","-",'ORDENES'!$X955))</f>
        <v/>
      </c>
      <c r="F977" s="5">
        <f>IF('ORDENES'!$A955="","",IF('ORDENES'!$AA955="","-",'ORDENES'!$AA955))</f>
        <v/>
      </c>
      <c r="G977" s="5">
        <f>IF('ORDENES'!$A955="","",IF('ORDENES'!$Y955="","-",'ORDENES'!$Y955))</f>
        <v/>
      </c>
      <c r="H977" s="5">
        <f>IF('ORDENES'!$A955="","",IF('ORDENES'!$AG955="","-",'ORDENES'!$AG955))</f>
        <v/>
      </c>
      <c r="I977" s="5">
        <f>IF('ORDENES'!$A955="","",IF('ORDENES'!$AT955="","-",'ORDENES'!$AT955))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20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IF('ORDENES'!$A955="","",'ORDENES'!$AF955)</f>
        <v/>
      </c>
    </row>
    <row r="978">
      <c r="A978" s="5">
        <f>IF('ORDENES'!$A956="","",IF('ORDENES'!$O956="","-",'ORDENES'!$O956))</f>
        <v/>
      </c>
      <c r="B978" s="5">
        <f>IF('ORDENES'!$A956="","",IF('ORDENES'!$S956="","-",'ORDENES'!$S956))</f>
        <v/>
      </c>
      <c r="C978" s="5">
        <f>IF('ORDENES'!$A956="","",IF('ORDENES'!$AH956="","-",'ORDENES'!$AH956))</f>
        <v/>
      </c>
      <c r="D978" s="5">
        <f>IF('ORDENES'!$A956="","",IF('ORDENES'!$Z956="","-",'ORDENES'!$Z956))</f>
        <v/>
      </c>
      <c r="E978" s="5">
        <f>IF('ORDENES'!$A956="","",IF('ORDENES'!$X956="","-",'ORDENES'!$X956))</f>
        <v/>
      </c>
      <c r="F978" s="5">
        <f>IF('ORDENES'!$A956="","",IF('ORDENES'!$AA956="","-",'ORDENES'!$AA956))</f>
        <v/>
      </c>
      <c r="G978" s="5">
        <f>IF('ORDENES'!$A956="","",IF('ORDENES'!$Y956="","-",'ORDENES'!$Y956))</f>
        <v/>
      </c>
      <c r="H978" s="5">
        <f>IF('ORDENES'!$A956="","",IF('ORDENES'!$AG956="","-",'ORDENES'!$AG956))</f>
        <v/>
      </c>
      <c r="I978" s="5">
        <f>IF('ORDENES'!$A956="","",IF('ORDENES'!$AT956="","-",'ORDENES'!$AT956))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20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IF('ORDENES'!$A956="","",'ORDENES'!$AF956)</f>
        <v/>
      </c>
    </row>
    <row r="979">
      <c r="A979" s="5">
        <f>IF('ORDENES'!$A957="","",IF('ORDENES'!$O957="","-",'ORDENES'!$O957))</f>
        <v/>
      </c>
      <c r="B979" s="5">
        <f>IF('ORDENES'!$A957="","",IF('ORDENES'!$S957="","-",'ORDENES'!$S957))</f>
        <v/>
      </c>
      <c r="C979" s="5">
        <f>IF('ORDENES'!$A957="","",IF('ORDENES'!$AH957="","-",'ORDENES'!$AH957))</f>
        <v/>
      </c>
      <c r="D979" s="5">
        <f>IF('ORDENES'!$A957="","",IF('ORDENES'!$Z957="","-",'ORDENES'!$Z957))</f>
        <v/>
      </c>
      <c r="E979" s="5">
        <f>IF('ORDENES'!$A957="","",IF('ORDENES'!$X957="","-",'ORDENES'!$X957))</f>
        <v/>
      </c>
      <c r="F979" s="5">
        <f>IF('ORDENES'!$A957="","",IF('ORDENES'!$AA957="","-",'ORDENES'!$AA957))</f>
        <v/>
      </c>
      <c r="G979" s="5">
        <f>IF('ORDENES'!$A957="","",IF('ORDENES'!$Y957="","-",'ORDENES'!$Y957))</f>
        <v/>
      </c>
      <c r="H979" s="5">
        <f>IF('ORDENES'!$A957="","",IF('ORDENES'!$AG957="","-",'ORDENES'!$AG957))</f>
        <v/>
      </c>
      <c r="I979" s="5">
        <f>IF('ORDENES'!$A957="","",IF('ORDENES'!$AT957="","-",'ORDENES'!$AT957))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20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IF('ORDENES'!$A957="","",'ORDENES'!$AF957)</f>
        <v/>
      </c>
    </row>
    <row r="980">
      <c r="A980" s="5">
        <f>IF('ORDENES'!$A958="","",IF('ORDENES'!$O958="","-",'ORDENES'!$O958))</f>
        <v/>
      </c>
      <c r="B980" s="5">
        <f>IF('ORDENES'!$A958="","",IF('ORDENES'!$S958="","-",'ORDENES'!$S958))</f>
        <v/>
      </c>
      <c r="C980" s="5">
        <f>IF('ORDENES'!$A958="","",IF('ORDENES'!$AH958="","-",'ORDENES'!$AH958))</f>
        <v/>
      </c>
      <c r="D980" s="5">
        <f>IF('ORDENES'!$A958="","",IF('ORDENES'!$Z958="","-",'ORDENES'!$Z958))</f>
        <v/>
      </c>
      <c r="E980" s="5">
        <f>IF('ORDENES'!$A958="","",IF('ORDENES'!$X958="","-",'ORDENES'!$X958))</f>
        <v/>
      </c>
      <c r="F980" s="5">
        <f>IF('ORDENES'!$A958="","",IF('ORDENES'!$AA958="","-",'ORDENES'!$AA958))</f>
        <v/>
      </c>
      <c r="G980" s="5">
        <f>IF('ORDENES'!$A958="","",IF('ORDENES'!$Y958="","-",'ORDENES'!$Y958))</f>
        <v/>
      </c>
      <c r="H980" s="5">
        <f>IF('ORDENES'!$A958="","",IF('ORDENES'!$AG958="","-",'ORDENES'!$AG958))</f>
        <v/>
      </c>
      <c r="I980" s="5">
        <f>IF('ORDENES'!$A958="","",IF('ORDENES'!$AT958="","-",'ORDENES'!$AT958))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20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IF('ORDENES'!$A958="","",'ORDENES'!$AF958)</f>
        <v/>
      </c>
    </row>
    <row r="981">
      <c r="A981" s="5">
        <f>IF('ORDENES'!$A959="","",IF('ORDENES'!$O959="","-",'ORDENES'!$O959))</f>
        <v/>
      </c>
      <c r="B981" s="5">
        <f>IF('ORDENES'!$A959="","",IF('ORDENES'!$S959="","-",'ORDENES'!$S959))</f>
        <v/>
      </c>
      <c r="C981" s="5">
        <f>IF('ORDENES'!$A959="","",IF('ORDENES'!$AH959="","-",'ORDENES'!$AH959))</f>
        <v/>
      </c>
      <c r="D981" s="5">
        <f>IF('ORDENES'!$A959="","",IF('ORDENES'!$Z959="","-",'ORDENES'!$Z959))</f>
        <v/>
      </c>
      <c r="E981" s="5">
        <f>IF('ORDENES'!$A959="","",IF('ORDENES'!$X959="","-",'ORDENES'!$X959))</f>
        <v/>
      </c>
      <c r="F981" s="5">
        <f>IF('ORDENES'!$A959="","",IF('ORDENES'!$AA959="","-",'ORDENES'!$AA959))</f>
        <v/>
      </c>
      <c r="G981" s="5">
        <f>IF('ORDENES'!$A959="","",IF('ORDENES'!$Y959="","-",'ORDENES'!$Y959))</f>
        <v/>
      </c>
      <c r="H981" s="5">
        <f>IF('ORDENES'!$A959="","",IF('ORDENES'!$AG959="","-",'ORDENES'!$AG959))</f>
        <v/>
      </c>
      <c r="I981" s="5">
        <f>IF('ORDENES'!$A959="","",IF('ORDENES'!$AT959="","-",'ORDENES'!$AT959))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20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IF('ORDENES'!$A959="","",'ORDENES'!$AF959)</f>
        <v/>
      </c>
    </row>
    <row r="982">
      <c r="A982" s="5">
        <f>IF('ORDENES'!$A960="","",IF('ORDENES'!$O960="","-",'ORDENES'!$O960))</f>
        <v/>
      </c>
      <c r="B982" s="5">
        <f>IF('ORDENES'!$A960="","",IF('ORDENES'!$S960="","-",'ORDENES'!$S960))</f>
        <v/>
      </c>
      <c r="C982" s="5">
        <f>IF('ORDENES'!$A960="","",IF('ORDENES'!$AH960="","-",'ORDENES'!$AH960))</f>
        <v/>
      </c>
      <c r="D982" s="5">
        <f>IF('ORDENES'!$A960="","",IF('ORDENES'!$Z960="","-",'ORDENES'!$Z960))</f>
        <v/>
      </c>
      <c r="E982" s="5">
        <f>IF('ORDENES'!$A960="","",IF('ORDENES'!$X960="","-",'ORDENES'!$X960))</f>
        <v/>
      </c>
      <c r="F982" s="5">
        <f>IF('ORDENES'!$A960="","",IF('ORDENES'!$AA960="","-",'ORDENES'!$AA960))</f>
        <v/>
      </c>
      <c r="G982" s="5">
        <f>IF('ORDENES'!$A960="","",IF('ORDENES'!$Y960="","-",'ORDENES'!$Y960))</f>
        <v/>
      </c>
      <c r="H982" s="5">
        <f>IF('ORDENES'!$A960="","",IF('ORDENES'!$AG960="","-",'ORDENES'!$AG960))</f>
        <v/>
      </c>
      <c r="I982" s="5">
        <f>IF('ORDENES'!$A960="","",IF('ORDENES'!$AT960="","-",'ORDENES'!$AT960))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20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IF('ORDENES'!$A960="","",'ORDENES'!$AF960)</f>
        <v/>
      </c>
    </row>
    <row r="983">
      <c r="A983" s="5">
        <f>IF('ORDENES'!$A961="","",IF('ORDENES'!$O961="","-",'ORDENES'!$O961))</f>
        <v/>
      </c>
      <c r="B983" s="5">
        <f>IF('ORDENES'!$A961="","",IF('ORDENES'!$S961="","-",'ORDENES'!$S961))</f>
        <v/>
      </c>
      <c r="C983" s="5">
        <f>IF('ORDENES'!$A961="","",IF('ORDENES'!$AH961="","-",'ORDENES'!$AH961))</f>
        <v/>
      </c>
      <c r="D983" s="5">
        <f>IF('ORDENES'!$A961="","",IF('ORDENES'!$Z961="","-",'ORDENES'!$Z961))</f>
        <v/>
      </c>
      <c r="E983" s="5">
        <f>IF('ORDENES'!$A961="","",IF('ORDENES'!$X961="","-",'ORDENES'!$X961))</f>
        <v/>
      </c>
      <c r="F983" s="5">
        <f>IF('ORDENES'!$A961="","",IF('ORDENES'!$AA961="","-",'ORDENES'!$AA961))</f>
        <v/>
      </c>
      <c r="G983" s="5">
        <f>IF('ORDENES'!$A961="","",IF('ORDENES'!$Y961="","-",'ORDENES'!$Y961))</f>
        <v/>
      </c>
      <c r="H983" s="5">
        <f>IF('ORDENES'!$A961="","",IF('ORDENES'!$AG961="","-",'ORDENES'!$AG961))</f>
        <v/>
      </c>
      <c r="I983" s="5">
        <f>IF('ORDENES'!$A961="","",IF('ORDENES'!$AT961="","-",'ORDENES'!$AT961))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20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IF('ORDENES'!$A961="","",'ORDENES'!$AF961)</f>
        <v/>
      </c>
    </row>
    <row r="984">
      <c r="A984" s="5">
        <f>IF('ORDENES'!$A962="","",IF('ORDENES'!$O962="","-",'ORDENES'!$O962))</f>
        <v/>
      </c>
      <c r="B984" s="5">
        <f>IF('ORDENES'!$A962="","",IF('ORDENES'!$S962="","-",'ORDENES'!$S962))</f>
        <v/>
      </c>
      <c r="C984" s="5">
        <f>IF('ORDENES'!$A962="","",IF('ORDENES'!$AH962="","-",'ORDENES'!$AH962))</f>
        <v/>
      </c>
      <c r="D984" s="5">
        <f>IF('ORDENES'!$A962="","",IF('ORDENES'!$Z962="","-",'ORDENES'!$Z962))</f>
        <v/>
      </c>
      <c r="E984" s="5">
        <f>IF('ORDENES'!$A962="","",IF('ORDENES'!$X962="","-",'ORDENES'!$X962))</f>
        <v/>
      </c>
      <c r="F984" s="5">
        <f>IF('ORDENES'!$A962="","",IF('ORDENES'!$AA962="","-",'ORDENES'!$AA962))</f>
        <v/>
      </c>
      <c r="G984" s="5">
        <f>IF('ORDENES'!$A962="","",IF('ORDENES'!$Y962="","-",'ORDENES'!$Y962))</f>
        <v/>
      </c>
      <c r="H984" s="5">
        <f>IF('ORDENES'!$A962="","",IF('ORDENES'!$AG962="","-",'ORDENES'!$AG962))</f>
        <v/>
      </c>
      <c r="I984" s="5">
        <f>IF('ORDENES'!$A962="","",IF('ORDENES'!$AT962="","-",'ORDENES'!$AT962))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20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IF('ORDENES'!$A962="","",'ORDENES'!$AF962)</f>
        <v/>
      </c>
    </row>
    <row r="985">
      <c r="A985" s="5">
        <f>IF('ORDENES'!$A963="","",IF('ORDENES'!$O963="","-",'ORDENES'!$O963))</f>
        <v/>
      </c>
      <c r="B985" s="5">
        <f>IF('ORDENES'!$A963="","",IF('ORDENES'!$S963="","-",'ORDENES'!$S963))</f>
        <v/>
      </c>
      <c r="C985" s="5">
        <f>IF('ORDENES'!$A963="","",IF('ORDENES'!$AH963="","-",'ORDENES'!$AH963))</f>
        <v/>
      </c>
      <c r="D985" s="5">
        <f>IF('ORDENES'!$A963="","",IF('ORDENES'!$Z963="","-",'ORDENES'!$Z963))</f>
        <v/>
      </c>
      <c r="E985" s="5">
        <f>IF('ORDENES'!$A963="","",IF('ORDENES'!$X963="","-",'ORDENES'!$X963))</f>
        <v/>
      </c>
      <c r="F985" s="5">
        <f>IF('ORDENES'!$A963="","",IF('ORDENES'!$AA963="","-",'ORDENES'!$AA963))</f>
        <v/>
      </c>
      <c r="G985" s="5">
        <f>IF('ORDENES'!$A963="","",IF('ORDENES'!$Y963="","-",'ORDENES'!$Y963))</f>
        <v/>
      </c>
      <c r="H985" s="5">
        <f>IF('ORDENES'!$A963="","",IF('ORDENES'!$AG963="","-",'ORDENES'!$AG963))</f>
        <v/>
      </c>
      <c r="I985" s="5">
        <f>IF('ORDENES'!$A963="","",IF('ORDENES'!$AT963="","-",'ORDENES'!$AT963))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20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IF('ORDENES'!$A963="","",'ORDENES'!$AF963)</f>
        <v/>
      </c>
    </row>
    <row r="986">
      <c r="A986" s="5">
        <f>IF('ORDENES'!$A964="","",IF('ORDENES'!$O964="","-",'ORDENES'!$O964))</f>
        <v/>
      </c>
      <c r="B986" s="5">
        <f>IF('ORDENES'!$A964="","",IF('ORDENES'!$S964="","-",'ORDENES'!$S964))</f>
        <v/>
      </c>
      <c r="C986" s="5">
        <f>IF('ORDENES'!$A964="","",IF('ORDENES'!$AH964="","-",'ORDENES'!$AH964))</f>
        <v/>
      </c>
      <c r="D986" s="5">
        <f>IF('ORDENES'!$A964="","",IF('ORDENES'!$Z964="","-",'ORDENES'!$Z964))</f>
        <v/>
      </c>
      <c r="E986" s="5">
        <f>IF('ORDENES'!$A964="","",IF('ORDENES'!$X964="","-",'ORDENES'!$X964))</f>
        <v/>
      </c>
      <c r="F986" s="5">
        <f>IF('ORDENES'!$A964="","",IF('ORDENES'!$AA964="","-",'ORDENES'!$AA964))</f>
        <v/>
      </c>
      <c r="G986" s="5">
        <f>IF('ORDENES'!$A964="","",IF('ORDENES'!$Y964="","-",'ORDENES'!$Y964))</f>
        <v/>
      </c>
      <c r="H986" s="5">
        <f>IF('ORDENES'!$A964="","",IF('ORDENES'!$AG964="","-",'ORDENES'!$AG964))</f>
        <v/>
      </c>
      <c r="I986" s="5">
        <f>IF('ORDENES'!$A964="","",IF('ORDENES'!$AT964="","-",'ORDENES'!$AT964))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20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IF('ORDENES'!$A964="","",'ORDENES'!$AF964)</f>
        <v/>
      </c>
    </row>
    <row r="987">
      <c r="A987" s="5">
        <f>IF('ORDENES'!$A965="","",IF('ORDENES'!$O965="","-",'ORDENES'!$O965))</f>
        <v/>
      </c>
      <c r="B987" s="5">
        <f>IF('ORDENES'!$A965="","",IF('ORDENES'!$S965="","-",'ORDENES'!$S965))</f>
        <v/>
      </c>
      <c r="C987" s="5">
        <f>IF('ORDENES'!$A965="","",IF('ORDENES'!$AH965="","-",'ORDENES'!$AH965))</f>
        <v/>
      </c>
      <c r="D987" s="5">
        <f>IF('ORDENES'!$A965="","",IF('ORDENES'!$Z965="","-",'ORDENES'!$Z965))</f>
        <v/>
      </c>
      <c r="E987" s="5">
        <f>IF('ORDENES'!$A965="","",IF('ORDENES'!$X965="","-",'ORDENES'!$X965))</f>
        <v/>
      </c>
      <c r="F987" s="5">
        <f>IF('ORDENES'!$A965="","",IF('ORDENES'!$AA965="","-",'ORDENES'!$AA965))</f>
        <v/>
      </c>
      <c r="G987" s="5">
        <f>IF('ORDENES'!$A965="","",IF('ORDENES'!$Y965="","-",'ORDENES'!$Y965))</f>
        <v/>
      </c>
      <c r="H987" s="5">
        <f>IF('ORDENES'!$A965="","",IF('ORDENES'!$AG965="","-",'ORDENES'!$AG965))</f>
        <v/>
      </c>
      <c r="I987" s="5">
        <f>IF('ORDENES'!$A965="","",IF('ORDENES'!$AT965="","-",'ORDENES'!$AT965))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20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IF('ORDENES'!$A965="","",'ORDENES'!$AF965)</f>
        <v/>
      </c>
    </row>
    <row r="988">
      <c r="A988" s="5">
        <f>IF('ORDENES'!$A966="","",IF('ORDENES'!$O966="","-",'ORDENES'!$O966))</f>
        <v/>
      </c>
      <c r="B988" s="5">
        <f>IF('ORDENES'!$A966="","",IF('ORDENES'!$S966="","-",'ORDENES'!$S966))</f>
        <v/>
      </c>
      <c r="C988" s="5">
        <f>IF('ORDENES'!$A966="","",IF('ORDENES'!$AH966="","-",'ORDENES'!$AH966))</f>
        <v/>
      </c>
      <c r="D988" s="5">
        <f>IF('ORDENES'!$A966="","",IF('ORDENES'!$Z966="","-",'ORDENES'!$Z966))</f>
        <v/>
      </c>
      <c r="E988" s="5">
        <f>IF('ORDENES'!$A966="","",IF('ORDENES'!$X966="","-",'ORDENES'!$X966))</f>
        <v/>
      </c>
      <c r="F988" s="5">
        <f>IF('ORDENES'!$A966="","",IF('ORDENES'!$AA966="","-",'ORDENES'!$AA966))</f>
        <v/>
      </c>
      <c r="G988" s="5">
        <f>IF('ORDENES'!$A966="","",IF('ORDENES'!$Y966="","-",'ORDENES'!$Y966))</f>
        <v/>
      </c>
      <c r="H988" s="5">
        <f>IF('ORDENES'!$A966="","",IF('ORDENES'!$AG966="","-",'ORDENES'!$AG966))</f>
        <v/>
      </c>
      <c r="I988" s="5">
        <f>IF('ORDENES'!$A966="","",IF('ORDENES'!$AT966="","-",'ORDENES'!$AT966))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20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IF('ORDENES'!$A966="","",'ORDENES'!$AF966)</f>
        <v/>
      </c>
    </row>
    <row r="989">
      <c r="A989" s="5">
        <f>IF('ORDENES'!$A967="","",IF('ORDENES'!$O967="","-",'ORDENES'!$O967))</f>
        <v/>
      </c>
      <c r="B989" s="5">
        <f>IF('ORDENES'!$A967="","",IF('ORDENES'!$S967="","-",'ORDENES'!$S967))</f>
        <v/>
      </c>
      <c r="C989" s="5">
        <f>IF('ORDENES'!$A967="","",IF('ORDENES'!$AH967="","-",'ORDENES'!$AH967))</f>
        <v/>
      </c>
      <c r="D989" s="5">
        <f>IF('ORDENES'!$A967="","",IF('ORDENES'!$Z967="","-",'ORDENES'!$Z967))</f>
        <v/>
      </c>
      <c r="E989" s="5">
        <f>IF('ORDENES'!$A967="","",IF('ORDENES'!$X967="","-",'ORDENES'!$X967))</f>
        <v/>
      </c>
      <c r="F989" s="5">
        <f>IF('ORDENES'!$A967="","",IF('ORDENES'!$AA967="","-",'ORDENES'!$AA967))</f>
        <v/>
      </c>
      <c r="G989" s="5">
        <f>IF('ORDENES'!$A967="","",IF('ORDENES'!$Y967="","-",'ORDENES'!$Y967))</f>
        <v/>
      </c>
      <c r="H989" s="5">
        <f>IF('ORDENES'!$A967="","",IF('ORDENES'!$AG967="","-",'ORDENES'!$AG967))</f>
        <v/>
      </c>
      <c r="I989" s="5">
        <f>IF('ORDENES'!$A967="","",IF('ORDENES'!$AT967="","-",'ORDENES'!$AT967))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20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IF('ORDENES'!$A967="","",'ORDENES'!$AF967)</f>
        <v/>
      </c>
    </row>
    <row r="990">
      <c r="A990" s="5">
        <f>IF('ORDENES'!$A968="","",IF('ORDENES'!$O968="","-",'ORDENES'!$O968))</f>
        <v/>
      </c>
      <c r="B990" s="5">
        <f>IF('ORDENES'!$A968="","",IF('ORDENES'!$S968="","-",'ORDENES'!$S968))</f>
        <v/>
      </c>
      <c r="C990" s="5">
        <f>IF('ORDENES'!$A968="","",IF('ORDENES'!$AH968="","-",'ORDENES'!$AH968))</f>
        <v/>
      </c>
      <c r="D990" s="5">
        <f>IF('ORDENES'!$A968="","",IF('ORDENES'!$Z968="","-",'ORDENES'!$Z968))</f>
        <v/>
      </c>
      <c r="E990" s="5">
        <f>IF('ORDENES'!$A968="","",IF('ORDENES'!$X968="","-",'ORDENES'!$X968))</f>
        <v/>
      </c>
      <c r="F990" s="5">
        <f>IF('ORDENES'!$A968="","",IF('ORDENES'!$AA968="","-",'ORDENES'!$AA968))</f>
        <v/>
      </c>
      <c r="G990" s="5">
        <f>IF('ORDENES'!$A968="","",IF('ORDENES'!$Y968="","-",'ORDENES'!$Y968))</f>
        <v/>
      </c>
      <c r="H990" s="5">
        <f>IF('ORDENES'!$A968="","",IF('ORDENES'!$AG968="","-",'ORDENES'!$AG968))</f>
        <v/>
      </c>
      <c r="I990" s="5">
        <f>IF('ORDENES'!$A968="","",IF('ORDENES'!$AT968="","-",'ORDENES'!$AT968))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20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IF('ORDENES'!$A968="","",'ORDENES'!$AF968)</f>
        <v/>
      </c>
    </row>
    <row r="991">
      <c r="A991" s="5">
        <f>IF('ORDENES'!$A969="","",IF('ORDENES'!$O969="","-",'ORDENES'!$O969))</f>
        <v/>
      </c>
      <c r="B991" s="5">
        <f>IF('ORDENES'!$A969="","",IF('ORDENES'!$S969="","-",'ORDENES'!$S969))</f>
        <v/>
      </c>
      <c r="C991" s="5">
        <f>IF('ORDENES'!$A969="","",IF('ORDENES'!$AH969="","-",'ORDENES'!$AH969))</f>
        <v/>
      </c>
      <c r="D991" s="5">
        <f>IF('ORDENES'!$A969="","",IF('ORDENES'!$Z969="","-",'ORDENES'!$Z969))</f>
        <v/>
      </c>
      <c r="E991" s="5">
        <f>IF('ORDENES'!$A969="","",IF('ORDENES'!$X969="","-",'ORDENES'!$X969))</f>
        <v/>
      </c>
      <c r="F991" s="5">
        <f>IF('ORDENES'!$A969="","",IF('ORDENES'!$AA969="","-",'ORDENES'!$AA969))</f>
        <v/>
      </c>
      <c r="G991" s="5">
        <f>IF('ORDENES'!$A969="","",IF('ORDENES'!$Y969="","-",'ORDENES'!$Y969))</f>
        <v/>
      </c>
      <c r="H991" s="5">
        <f>IF('ORDENES'!$A969="","",IF('ORDENES'!$AG969="","-",'ORDENES'!$AG969))</f>
        <v/>
      </c>
      <c r="I991" s="5">
        <f>IF('ORDENES'!$A969="","",IF('ORDENES'!$AT969="","-",'ORDENES'!$AT969))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20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IF('ORDENES'!$A969="","",'ORDENES'!$AF969)</f>
        <v/>
      </c>
    </row>
    <row r="992">
      <c r="A992" s="5">
        <f>IF('ORDENES'!$A970="","",IF('ORDENES'!$O970="","-",'ORDENES'!$O970))</f>
        <v/>
      </c>
      <c r="B992" s="5">
        <f>IF('ORDENES'!$A970="","",IF('ORDENES'!$S970="","-",'ORDENES'!$S970))</f>
        <v/>
      </c>
      <c r="C992" s="5">
        <f>IF('ORDENES'!$A970="","",IF('ORDENES'!$AH970="","-",'ORDENES'!$AH970))</f>
        <v/>
      </c>
      <c r="D992" s="5">
        <f>IF('ORDENES'!$A970="","",IF('ORDENES'!$Z970="","-",'ORDENES'!$Z970))</f>
        <v/>
      </c>
      <c r="E992" s="5">
        <f>IF('ORDENES'!$A970="","",IF('ORDENES'!$X970="","-",'ORDENES'!$X970))</f>
        <v/>
      </c>
      <c r="F992" s="5">
        <f>IF('ORDENES'!$A970="","",IF('ORDENES'!$AA970="","-",'ORDENES'!$AA970))</f>
        <v/>
      </c>
      <c r="G992" s="5">
        <f>IF('ORDENES'!$A970="","",IF('ORDENES'!$Y970="","-",'ORDENES'!$Y970))</f>
        <v/>
      </c>
      <c r="H992" s="5">
        <f>IF('ORDENES'!$A970="","",IF('ORDENES'!$AG970="","-",'ORDENES'!$AG970))</f>
        <v/>
      </c>
      <c r="I992" s="5">
        <f>IF('ORDENES'!$A970="","",IF('ORDENES'!$AT970="","-",'ORDENES'!$AT970))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20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IF('ORDENES'!$A970="","",'ORDENES'!$AF970)</f>
        <v/>
      </c>
    </row>
    <row r="993">
      <c r="A993" s="5">
        <f>IF('ORDENES'!$A971="","",IF('ORDENES'!$O971="","-",'ORDENES'!$O971))</f>
        <v/>
      </c>
      <c r="B993" s="5">
        <f>IF('ORDENES'!$A971="","",IF('ORDENES'!$S971="","-",'ORDENES'!$S971))</f>
        <v/>
      </c>
      <c r="C993" s="5">
        <f>IF('ORDENES'!$A971="","",IF('ORDENES'!$AH971="","-",'ORDENES'!$AH971))</f>
        <v/>
      </c>
      <c r="D993" s="5">
        <f>IF('ORDENES'!$A971="","",IF('ORDENES'!$Z971="","-",'ORDENES'!$Z971))</f>
        <v/>
      </c>
      <c r="E993" s="5">
        <f>IF('ORDENES'!$A971="","",IF('ORDENES'!$X971="","-",'ORDENES'!$X971))</f>
        <v/>
      </c>
      <c r="F993" s="5">
        <f>IF('ORDENES'!$A971="","",IF('ORDENES'!$AA971="","-",'ORDENES'!$AA971))</f>
        <v/>
      </c>
      <c r="G993" s="5">
        <f>IF('ORDENES'!$A971="","",IF('ORDENES'!$Y971="","-",'ORDENES'!$Y971))</f>
        <v/>
      </c>
      <c r="H993" s="5">
        <f>IF('ORDENES'!$A971="","",IF('ORDENES'!$AG971="","-",'ORDENES'!$AG971))</f>
        <v/>
      </c>
      <c r="I993" s="5">
        <f>IF('ORDENES'!$A971="","",IF('ORDENES'!$AT971="","-",'ORDENES'!$AT971))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20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IF('ORDENES'!$A971="","",'ORDENES'!$AF971)</f>
        <v/>
      </c>
    </row>
    <row r="994">
      <c r="A994" s="5">
        <f>IF('ORDENES'!$A972="","",IF('ORDENES'!$O972="","-",'ORDENES'!$O972))</f>
        <v/>
      </c>
      <c r="B994" s="5">
        <f>IF('ORDENES'!$A972="","",IF('ORDENES'!$S972="","-",'ORDENES'!$S972))</f>
        <v/>
      </c>
      <c r="C994" s="5">
        <f>IF('ORDENES'!$A972="","",IF('ORDENES'!$AH972="","-",'ORDENES'!$AH972))</f>
        <v/>
      </c>
      <c r="D994" s="5">
        <f>IF('ORDENES'!$A972="","",IF('ORDENES'!$Z972="","-",'ORDENES'!$Z972))</f>
        <v/>
      </c>
      <c r="E994" s="5">
        <f>IF('ORDENES'!$A972="","",IF('ORDENES'!$X972="","-",'ORDENES'!$X972))</f>
        <v/>
      </c>
      <c r="F994" s="5">
        <f>IF('ORDENES'!$A972="","",IF('ORDENES'!$AA972="","-",'ORDENES'!$AA972))</f>
        <v/>
      </c>
      <c r="G994" s="5">
        <f>IF('ORDENES'!$A972="","",IF('ORDENES'!$Y972="","-",'ORDENES'!$Y972))</f>
        <v/>
      </c>
      <c r="H994" s="5">
        <f>IF('ORDENES'!$A972="","",IF('ORDENES'!$AG972="","-",'ORDENES'!$AG972))</f>
        <v/>
      </c>
      <c r="I994" s="5">
        <f>IF('ORDENES'!$A972="","",IF('ORDENES'!$AT972="","-",'ORDENES'!$AT972))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20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IF('ORDENES'!$A972="","",'ORDENES'!$AF972)</f>
        <v/>
      </c>
    </row>
    <row r="995">
      <c r="A995" s="5">
        <f>IF('ORDENES'!$A973="","",IF('ORDENES'!$O973="","-",'ORDENES'!$O973))</f>
        <v/>
      </c>
      <c r="B995" s="5">
        <f>IF('ORDENES'!$A973="","",IF('ORDENES'!$S973="","-",'ORDENES'!$S973))</f>
        <v/>
      </c>
      <c r="C995" s="5">
        <f>IF('ORDENES'!$A973="","",IF('ORDENES'!$AH973="","-",'ORDENES'!$AH973))</f>
        <v/>
      </c>
      <c r="D995" s="5">
        <f>IF('ORDENES'!$A973="","",IF('ORDENES'!$Z973="","-",'ORDENES'!$Z973))</f>
        <v/>
      </c>
      <c r="E995" s="5">
        <f>IF('ORDENES'!$A973="","",IF('ORDENES'!$X973="","-",'ORDENES'!$X973))</f>
        <v/>
      </c>
      <c r="F995" s="5">
        <f>IF('ORDENES'!$A973="","",IF('ORDENES'!$AA973="","-",'ORDENES'!$AA973))</f>
        <v/>
      </c>
      <c r="G995" s="5">
        <f>IF('ORDENES'!$A973="","",IF('ORDENES'!$Y973="","-",'ORDENES'!$Y973))</f>
        <v/>
      </c>
      <c r="H995" s="5">
        <f>IF('ORDENES'!$A973="","",IF('ORDENES'!$AG973="","-",'ORDENES'!$AG973))</f>
        <v/>
      </c>
      <c r="I995" s="5">
        <f>IF('ORDENES'!$A973="","",IF('ORDENES'!$AT973="","-",'ORDENES'!$AT973))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20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IF('ORDENES'!$A973="","",'ORDENES'!$AF973)</f>
        <v/>
      </c>
    </row>
    <row r="996">
      <c r="A996" s="5">
        <f>IF('ORDENES'!$A974="","",IF('ORDENES'!$O974="","-",'ORDENES'!$O974))</f>
        <v/>
      </c>
      <c r="B996" s="5">
        <f>IF('ORDENES'!$A974="","",IF('ORDENES'!$S974="","-",'ORDENES'!$S974))</f>
        <v/>
      </c>
      <c r="C996" s="5">
        <f>IF('ORDENES'!$A974="","",IF('ORDENES'!$AH974="","-",'ORDENES'!$AH974))</f>
        <v/>
      </c>
      <c r="D996" s="5">
        <f>IF('ORDENES'!$A974="","",IF('ORDENES'!$Z974="","-",'ORDENES'!$Z974))</f>
        <v/>
      </c>
      <c r="E996" s="5">
        <f>IF('ORDENES'!$A974="","",IF('ORDENES'!$X974="","-",'ORDENES'!$X974))</f>
        <v/>
      </c>
      <c r="F996" s="5">
        <f>IF('ORDENES'!$A974="","",IF('ORDENES'!$AA974="","-",'ORDENES'!$AA974))</f>
        <v/>
      </c>
      <c r="G996" s="5">
        <f>IF('ORDENES'!$A974="","",IF('ORDENES'!$Y974="","-",'ORDENES'!$Y974))</f>
        <v/>
      </c>
      <c r="H996" s="5">
        <f>IF('ORDENES'!$A974="","",IF('ORDENES'!$AG974="","-",'ORDENES'!$AG974))</f>
        <v/>
      </c>
      <c r="I996" s="5">
        <f>IF('ORDENES'!$A974="","",IF('ORDENES'!$AT974="","-",'ORDENES'!$AT974))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20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IF('ORDENES'!$A974="","",'ORDENES'!$AF974)</f>
        <v/>
      </c>
    </row>
    <row r="997">
      <c r="A997" s="5">
        <f>IF('ORDENES'!$A975="","",IF('ORDENES'!$O975="","-",'ORDENES'!$O975))</f>
        <v/>
      </c>
      <c r="B997" s="5">
        <f>IF('ORDENES'!$A975="","",IF('ORDENES'!$S975="","-",'ORDENES'!$S975))</f>
        <v/>
      </c>
      <c r="C997" s="5">
        <f>IF('ORDENES'!$A975="","",IF('ORDENES'!$AH975="","-",'ORDENES'!$AH975))</f>
        <v/>
      </c>
      <c r="D997" s="5">
        <f>IF('ORDENES'!$A975="","",IF('ORDENES'!$Z975="","-",'ORDENES'!$Z975))</f>
        <v/>
      </c>
      <c r="E997" s="5">
        <f>IF('ORDENES'!$A975="","",IF('ORDENES'!$X975="","-",'ORDENES'!$X975))</f>
        <v/>
      </c>
      <c r="F997" s="5">
        <f>IF('ORDENES'!$A975="","",IF('ORDENES'!$AA975="","-",'ORDENES'!$AA975))</f>
        <v/>
      </c>
      <c r="G997" s="5">
        <f>IF('ORDENES'!$A975="","",IF('ORDENES'!$Y975="","-",'ORDENES'!$Y975))</f>
        <v/>
      </c>
      <c r="H997" s="5">
        <f>IF('ORDENES'!$A975="","",IF('ORDENES'!$AG975="","-",'ORDENES'!$AG975))</f>
        <v/>
      </c>
      <c r="I997" s="5">
        <f>IF('ORDENES'!$A975="","",IF('ORDENES'!$AT975="","-",'ORDENES'!$AT975))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20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IF('ORDENES'!$A975="","",'ORDENES'!$AF975)</f>
        <v/>
      </c>
    </row>
    <row r="998">
      <c r="A998" s="5">
        <f>IF('ORDENES'!$A976="","",IF('ORDENES'!$O976="","-",'ORDENES'!$O976))</f>
        <v/>
      </c>
      <c r="B998" s="5">
        <f>IF('ORDENES'!$A976="","",IF('ORDENES'!$S976="","-",'ORDENES'!$S976))</f>
        <v/>
      </c>
      <c r="C998" s="5">
        <f>IF('ORDENES'!$A976="","",IF('ORDENES'!$AH976="","-",'ORDENES'!$AH976))</f>
        <v/>
      </c>
      <c r="D998" s="5">
        <f>IF('ORDENES'!$A976="","",IF('ORDENES'!$Z976="","-",'ORDENES'!$Z976))</f>
        <v/>
      </c>
      <c r="E998" s="5">
        <f>IF('ORDENES'!$A976="","",IF('ORDENES'!$X976="","-",'ORDENES'!$X976))</f>
        <v/>
      </c>
      <c r="F998" s="5">
        <f>IF('ORDENES'!$A976="","",IF('ORDENES'!$AA976="","-",'ORDENES'!$AA976))</f>
        <v/>
      </c>
      <c r="G998" s="5">
        <f>IF('ORDENES'!$A976="","",IF('ORDENES'!$Y976="","-",'ORDENES'!$Y976))</f>
        <v/>
      </c>
      <c r="H998" s="5">
        <f>IF('ORDENES'!$A976="","",IF('ORDENES'!$AG976="","-",'ORDENES'!$AG976))</f>
        <v/>
      </c>
      <c r="I998" s="5">
        <f>IF('ORDENES'!$A976="","",IF('ORDENES'!$AT976="","-",'ORDENES'!$AT976))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20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IF('ORDENES'!$A976="","",'ORDENES'!$AF976)</f>
        <v/>
      </c>
    </row>
    <row r="999">
      <c r="A999" s="5">
        <f>IF('ORDENES'!$A977="","",IF('ORDENES'!$O977="","-",'ORDENES'!$O977))</f>
        <v/>
      </c>
      <c r="B999" s="5">
        <f>IF('ORDENES'!$A977="","",IF('ORDENES'!$S977="","-",'ORDENES'!$S977))</f>
        <v/>
      </c>
      <c r="C999" s="5">
        <f>IF('ORDENES'!$A977="","",IF('ORDENES'!$AH977="","-",'ORDENES'!$AH977))</f>
        <v/>
      </c>
      <c r="D999" s="5">
        <f>IF('ORDENES'!$A977="","",IF('ORDENES'!$Z977="","-",'ORDENES'!$Z977))</f>
        <v/>
      </c>
      <c r="E999" s="5">
        <f>IF('ORDENES'!$A977="","",IF('ORDENES'!$X977="","-",'ORDENES'!$X977))</f>
        <v/>
      </c>
      <c r="F999" s="5">
        <f>IF('ORDENES'!$A977="","",IF('ORDENES'!$AA977="","-",'ORDENES'!$AA977))</f>
        <v/>
      </c>
      <c r="G999" s="5">
        <f>IF('ORDENES'!$A977="","",IF('ORDENES'!$Y977="","-",'ORDENES'!$Y977))</f>
        <v/>
      </c>
      <c r="H999" s="5">
        <f>IF('ORDENES'!$A977="","",IF('ORDENES'!$AG977="","-",'ORDENES'!$AG977))</f>
        <v/>
      </c>
      <c r="I999" s="5">
        <f>IF('ORDENES'!$A977="","",IF('ORDENES'!$AT977="","-",'ORDENES'!$AT977))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20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IF('ORDENES'!$A977="","",'ORDENES'!$AF977)</f>
        <v/>
      </c>
    </row>
    <row r="1000">
      <c r="A1000" s="5">
        <f>IF('ORDENES'!$A978="","",IF('ORDENES'!$O978="","-",'ORDENES'!$O978))</f>
        <v/>
      </c>
      <c r="B1000" s="5">
        <f>IF('ORDENES'!$A978="","",IF('ORDENES'!$S978="","-",'ORDENES'!$S978))</f>
        <v/>
      </c>
      <c r="C1000" s="5">
        <f>IF('ORDENES'!$A978="","",IF('ORDENES'!$AH978="","-",'ORDENES'!$AH978))</f>
        <v/>
      </c>
      <c r="D1000" s="5">
        <f>IF('ORDENES'!$A978="","",IF('ORDENES'!$Z978="","-",'ORDENES'!$Z978))</f>
        <v/>
      </c>
      <c r="E1000" s="5">
        <f>IF('ORDENES'!$A978="","",IF('ORDENES'!$X978="","-",'ORDENES'!$X978))</f>
        <v/>
      </c>
      <c r="F1000" s="5">
        <f>IF('ORDENES'!$A978="","",IF('ORDENES'!$AA978="","-",'ORDENES'!$AA978))</f>
        <v/>
      </c>
      <c r="G1000" s="5">
        <f>IF('ORDENES'!$A978="","",IF('ORDENES'!$Y978="","-",'ORDENES'!$Y978))</f>
        <v/>
      </c>
      <c r="H1000" s="5">
        <f>IF('ORDENES'!$A978="","",IF('ORDENES'!$AG978="","-",'ORDENES'!$AG978))</f>
        <v/>
      </c>
      <c r="I1000" s="5">
        <f>IF('ORDENES'!$A978="","",IF('ORDENES'!$AT978="","-",'ORDENES'!$AT978))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20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IF('ORDENES'!$A978="","",'ORDENES'!$AF978)</f>
        <v/>
      </c>
    </row>
    <row r="1001">
      <c r="A1001" s="5">
        <f>IF('ORDENES'!$A979="","",IF('ORDENES'!$O979="","-",'ORDENES'!$O979))</f>
        <v/>
      </c>
      <c r="B1001" s="5">
        <f>IF('ORDENES'!$A979="","",IF('ORDENES'!$S979="","-",'ORDENES'!$S979))</f>
        <v/>
      </c>
      <c r="C1001" s="5">
        <f>IF('ORDENES'!$A979="","",IF('ORDENES'!$AH979="","-",'ORDENES'!$AH979))</f>
        <v/>
      </c>
      <c r="D1001" s="5">
        <f>IF('ORDENES'!$A979="","",IF('ORDENES'!$Z979="","-",'ORDENES'!$Z979))</f>
        <v/>
      </c>
      <c r="E1001" s="5">
        <f>IF('ORDENES'!$A979="","",IF('ORDENES'!$X979="","-",'ORDENES'!$X979))</f>
        <v/>
      </c>
      <c r="F1001" s="5">
        <f>IF('ORDENES'!$A979="","",IF('ORDENES'!$AA979="","-",'ORDENES'!$AA979))</f>
        <v/>
      </c>
      <c r="G1001" s="5">
        <f>IF('ORDENES'!$A979="","",IF('ORDENES'!$Y979="","-",'ORDENES'!$Y979))</f>
        <v/>
      </c>
      <c r="H1001" s="5">
        <f>IF('ORDENES'!$A979="","",IF('ORDENES'!$AG979="","-",'ORDENES'!$AG979))</f>
        <v/>
      </c>
      <c r="I1001" s="5">
        <f>IF('ORDENES'!$A979="","",IF('ORDENES'!$AT979="","-",'ORDENES'!$AT979))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20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IF('ORDENES'!$A979="","",'ORDENES'!$AF979)</f>
        <v/>
      </c>
    </row>
    <row r="1002">
      <c r="A1002" s="5">
        <f>IF('ORDENES'!$A980="","",IF('ORDENES'!$O980="","-",'ORDENES'!$O980))</f>
        <v/>
      </c>
      <c r="B1002" s="5">
        <f>IF('ORDENES'!$A980="","",IF('ORDENES'!$S980="","-",'ORDENES'!$S980))</f>
        <v/>
      </c>
      <c r="C1002" s="5">
        <f>IF('ORDENES'!$A980="","",IF('ORDENES'!$AH980="","-",'ORDENES'!$AH980))</f>
        <v/>
      </c>
      <c r="D1002" s="5">
        <f>IF('ORDENES'!$A980="","",IF('ORDENES'!$Z980="","-",'ORDENES'!$Z980))</f>
        <v/>
      </c>
      <c r="E1002" s="5">
        <f>IF('ORDENES'!$A980="","",IF('ORDENES'!$X980="","-",'ORDENES'!$X980))</f>
        <v/>
      </c>
      <c r="F1002" s="5">
        <f>IF('ORDENES'!$A980="","",IF('ORDENES'!$AA980="","-",'ORDENES'!$AA980))</f>
        <v/>
      </c>
      <c r="G1002" s="5">
        <f>IF('ORDENES'!$A980="","",IF('ORDENES'!$Y980="","-",'ORDENES'!$Y980))</f>
        <v/>
      </c>
      <c r="H1002" s="5">
        <f>IF('ORDENES'!$A980="","",IF('ORDENES'!$AG980="","-",'ORDENES'!$AG980))</f>
        <v/>
      </c>
      <c r="I1002" s="5">
        <f>IF('ORDENES'!$A980="","",IF('ORDENES'!$AT980="","-",'ORDENES'!$AT980))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20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IF('ORDENES'!$A980="","",'ORDENES'!$AF980)</f>
        <v/>
      </c>
    </row>
    <row r="1003">
      <c r="A1003" s="5">
        <f>IF('ORDENES'!$A981="","",IF('ORDENES'!$O981="","-",'ORDENES'!$O981))</f>
        <v/>
      </c>
      <c r="B1003" s="5">
        <f>IF('ORDENES'!$A981="","",IF('ORDENES'!$S981="","-",'ORDENES'!$S981))</f>
        <v/>
      </c>
      <c r="C1003" s="5">
        <f>IF('ORDENES'!$A981="","",IF('ORDENES'!$AH981="","-",'ORDENES'!$AH981))</f>
        <v/>
      </c>
      <c r="D1003" s="5">
        <f>IF('ORDENES'!$A981="","",IF('ORDENES'!$Z981="","-",'ORDENES'!$Z981))</f>
        <v/>
      </c>
      <c r="E1003" s="5">
        <f>IF('ORDENES'!$A981="","",IF('ORDENES'!$X981="","-",'ORDENES'!$X981))</f>
        <v/>
      </c>
      <c r="F1003" s="5">
        <f>IF('ORDENES'!$A981="","",IF('ORDENES'!$AA981="","-",'ORDENES'!$AA981))</f>
        <v/>
      </c>
      <c r="G1003" s="5">
        <f>IF('ORDENES'!$A981="","",IF('ORDENES'!$Y981="","-",'ORDENES'!$Y981))</f>
        <v/>
      </c>
      <c r="H1003" s="5">
        <f>IF('ORDENES'!$A981="","",IF('ORDENES'!$AG981="","-",'ORDENES'!$AG981))</f>
        <v/>
      </c>
      <c r="I1003" s="5">
        <f>IF('ORDENES'!$A981="","",IF('ORDENES'!$AT981="","-",'ORDENES'!$AT981))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20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IF('ORDENES'!$A981="","",'ORDENES'!$AF981)</f>
        <v/>
      </c>
    </row>
    <row r="1004">
      <c r="A1004" s="5">
        <f>IF('ORDENES'!$A982="","",IF('ORDENES'!$O982="","-",'ORDENES'!$O982))</f>
        <v/>
      </c>
      <c r="B1004" s="5">
        <f>IF('ORDENES'!$A982="","",IF('ORDENES'!$S982="","-",'ORDENES'!$S982))</f>
        <v/>
      </c>
      <c r="C1004" s="5">
        <f>IF('ORDENES'!$A982="","",IF('ORDENES'!$AH982="","-",'ORDENES'!$AH982))</f>
        <v/>
      </c>
      <c r="D1004" s="5">
        <f>IF('ORDENES'!$A982="","",IF('ORDENES'!$Z982="","-",'ORDENES'!$Z982))</f>
        <v/>
      </c>
      <c r="E1004" s="5">
        <f>IF('ORDENES'!$A982="","",IF('ORDENES'!$X982="","-",'ORDENES'!$X982))</f>
        <v/>
      </c>
      <c r="F1004" s="5">
        <f>IF('ORDENES'!$A982="","",IF('ORDENES'!$AA982="","-",'ORDENES'!$AA982))</f>
        <v/>
      </c>
      <c r="G1004" s="5">
        <f>IF('ORDENES'!$A982="","",IF('ORDENES'!$Y982="","-",'ORDENES'!$Y982))</f>
        <v/>
      </c>
      <c r="H1004" s="5">
        <f>IF('ORDENES'!$A982="","",IF('ORDENES'!$AG982="","-",'ORDENES'!$AG982))</f>
        <v/>
      </c>
      <c r="I1004" s="5">
        <f>IF('ORDENES'!$A982="","",IF('ORDENES'!$AT982="","-",'ORDENES'!$AT982))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20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IF('ORDENES'!$A982="","",'ORDENES'!$AF982)</f>
        <v/>
      </c>
    </row>
    <row r="1005">
      <c r="A1005" s="5">
        <f>IF('ORDENES'!$A983="","",IF('ORDENES'!$O983="","-",'ORDENES'!$O983))</f>
        <v/>
      </c>
      <c r="B1005" s="5">
        <f>IF('ORDENES'!$A983="","",IF('ORDENES'!$S983="","-",'ORDENES'!$S983))</f>
        <v/>
      </c>
      <c r="C1005" s="5">
        <f>IF('ORDENES'!$A983="","",IF('ORDENES'!$AH983="","-",'ORDENES'!$AH983))</f>
        <v/>
      </c>
      <c r="D1005" s="5">
        <f>IF('ORDENES'!$A983="","",IF('ORDENES'!$Z983="","-",'ORDENES'!$Z983))</f>
        <v/>
      </c>
      <c r="E1005" s="5">
        <f>IF('ORDENES'!$A983="","",IF('ORDENES'!$X983="","-",'ORDENES'!$X983))</f>
        <v/>
      </c>
      <c r="F1005" s="5">
        <f>IF('ORDENES'!$A983="","",IF('ORDENES'!$AA983="","-",'ORDENES'!$AA983))</f>
        <v/>
      </c>
      <c r="G1005" s="5">
        <f>IF('ORDENES'!$A983="","",IF('ORDENES'!$Y983="","-",'ORDENES'!$Y983))</f>
        <v/>
      </c>
      <c r="H1005" s="5">
        <f>IF('ORDENES'!$A983="","",IF('ORDENES'!$AG983="","-",'ORDENES'!$AG983))</f>
        <v/>
      </c>
      <c r="I1005" s="5">
        <f>IF('ORDENES'!$A983="","",IF('ORDENES'!$AT983="","-",'ORDENES'!$AT983))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20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IF('ORDENES'!$A983="","",'ORDENES'!$AF983)</f>
        <v/>
      </c>
    </row>
    <row r="1006">
      <c r="A1006" s="5">
        <f>IF('ORDENES'!$A984="","",IF('ORDENES'!$O984="","-",'ORDENES'!$O984))</f>
        <v/>
      </c>
      <c r="B1006" s="5">
        <f>IF('ORDENES'!$A984="","",IF('ORDENES'!$S984="","-",'ORDENES'!$S984))</f>
        <v/>
      </c>
      <c r="C1006" s="5">
        <f>IF('ORDENES'!$A984="","",IF('ORDENES'!$AH984="","-",'ORDENES'!$AH984))</f>
        <v/>
      </c>
      <c r="D1006" s="5">
        <f>IF('ORDENES'!$A984="","",IF('ORDENES'!$Z984="","-",'ORDENES'!$Z984))</f>
        <v/>
      </c>
      <c r="E1006" s="5">
        <f>IF('ORDENES'!$A984="","",IF('ORDENES'!$X984="","-",'ORDENES'!$X984))</f>
        <v/>
      </c>
      <c r="F1006" s="5">
        <f>IF('ORDENES'!$A984="","",IF('ORDENES'!$AA984="","-",'ORDENES'!$AA984))</f>
        <v/>
      </c>
      <c r="G1006" s="5">
        <f>IF('ORDENES'!$A984="","",IF('ORDENES'!$Y984="","-",'ORDENES'!$Y984))</f>
        <v/>
      </c>
      <c r="H1006" s="5">
        <f>IF('ORDENES'!$A984="","",IF('ORDENES'!$AG984="","-",'ORDENES'!$AG984))</f>
        <v/>
      </c>
      <c r="I1006" s="5">
        <f>IF('ORDENES'!$A984="","",IF('ORDENES'!$AT984="","-",'ORDENES'!$AT984))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20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IF('ORDENES'!$A984="","",'ORDENES'!$AF984)</f>
        <v/>
      </c>
    </row>
    <row r="1007">
      <c r="A1007" s="5">
        <f>IF('ORDENES'!$A985="","",IF('ORDENES'!$O985="","-",'ORDENES'!$O985))</f>
        <v/>
      </c>
      <c r="B1007" s="5">
        <f>IF('ORDENES'!$A985="","",IF('ORDENES'!$S985="","-",'ORDENES'!$S985))</f>
        <v/>
      </c>
      <c r="C1007" s="5">
        <f>IF('ORDENES'!$A985="","",IF('ORDENES'!$AH985="","-",'ORDENES'!$AH985))</f>
        <v/>
      </c>
      <c r="D1007" s="5">
        <f>IF('ORDENES'!$A985="","",IF('ORDENES'!$Z985="","-",'ORDENES'!$Z985))</f>
        <v/>
      </c>
      <c r="E1007" s="5">
        <f>IF('ORDENES'!$A985="","",IF('ORDENES'!$X985="","-",'ORDENES'!$X985))</f>
        <v/>
      </c>
      <c r="F1007" s="5">
        <f>IF('ORDENES'!$A985="","",IF('ORDENES'!$AA985="","-",'ORDENES'!$AA985))</f>
        <v/>
      </c>
      <c r="G1007" s="5">
        <f>IF('ORDENES'!$A985="","",IF('ORDENES'!$Y985="","-",'ORDENES'!$Y985))</f>
        <v/>
      </c>
      <c r="H1007" s="5">
        <f>IF('ORDENES'!$A985="","",IF('ORDENES'!$AG985="","-",'ORDENES'!$AG985))</f>
        <v/>
      </c>
      <c r="I1007" s="5">
        <f>IF('ORDENES'!$A985="","",IF('ORDENES'!$AT985="","-",'ORDENES'!$AT985))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20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IF('ORDENES'!$A985="","",'ORDENES'!$AF985)</f>
        <v/>
      </c>
    </row>
    <row r="1008">
      <c r="A1008" s="5">
        <f>IF('ORDENES'!$A986="","",IF('ORDENES'!$O986="","-",'ORDENES'!$O986))</f>
        <v/>
      </c>
      <c r="B1008" s="5">
        <f>IF('ORDENES'!$A986="","",IF('ORDENES'!$S986="","-",'ORDENES'!$S986))</f>
        <v/>
      </c>
      <c r="C1008" s="5">
        <f>IF('ORDENES'!$A986="","",IF('ORDENES'!$AH986="","-",'ORDENES'!$AH986))</f>
        <v/>
      </c>
      <c r="D1008" s="5">
        <f>IF('ORDENES'!$A986="","",IF('ORDENES'!$Z986="","-",'ORDENES'!$Z986))</f>
        <v/>
      </c>
      <c r="E1008" s="5">
        <f>IF('ORDENES'!$A986="","",IF('ORDENES'!$X986="","-",'ORDENES'!$X986))</f>
        <v/>
      </c>
      <c r="F1008" s="5">
        <f>IF('ORDENES'!$A986="","",IF('ORDENES'!$AA986="","-",'ORDENES'!$AA986))</f>
        <v/>
      </c>
      <c r="G1008" s="5">
        <f>IF('ORDENES'!$A986="","",IF('ORDENES'!$Y986="","-",'ORDENES'!$Y986))</f>
        <v/>
      </c>
      <c r="H1008" s="5">
        <f>IF('ORDENES'!$A986="","",IF('ORDENES'!$AG986="","-",'ORDENES'!$AG986))</f>
        <v/>
      </c>
      <c r="I1008" s="5">
        <f>IF('ORDENES'!$A986="","",IF('ORDENES'!$AT986="","-",'ORDENES'!$AT986))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20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IF('ORDENES'!$A986="","",'ORDENES'!$AF986)</f>
        <v/>
      </c>
    </row>
    <row r="1009">
      <c r="A1009" s="5">
        <f>IF('ORDENES'!$A987="","",IF('ORDENES'!$O987="","-",'ORDENES'!$O987))</f>
        <v/>
      </c>
      <c r="B1009" s="5">
        <f>IF('ORDENES'!$A987="","",IF('ORDENES'!$S987="","-",'ORDENES'!$S987))</f>
        <v/>
      </c>
      <c r="C1009" s="5">
        <f>IF('ORDENES'!$A987="","",IF('ORDENES'!$AH987="","-",'ORDENES'!$AH987))</f>
        <v/>
      </c>
      <c r="D1009" s="5">
        <f>IF('ORDENES'!$A987="","",IF('ORDENES'!$Z987="","-",'ORDENES'!$Z987))</f>
        <v/>
      </c>
      <c r="E1009" s="5">
        <f>IF('ORDENES'!$A987="","",IF('ORDENES'!$X987="","-",'ORDENES'!$X987))</f>
        <v/>
      </c>
      <c r="F1009" s="5">
        <f>IF('ORDENES'!$A987="","",IF('ORDENES'!$AA987="","-",'ORDENES'!$AA987))</f>
        <v/>
      </c>
      <c r="G1009" s="5">
        <f>IF('ORDENES'!$A987="","",IF('ORDENES'!$Y987="","-",'ORDENES'!$Y987))</f>
        <v/>
      </c>
      <c r="H1009" s="5">
        <f>IF('ORDENES'!$A987="","",IF('ORDENES'!$AG987="","-",'ORDENES'!$AG987))</f>
        <v/>
      </c>
      <c r="I1009" s="5">
        <f>IF('ORDENES'!$A987="","",IF('ORDENES'!$AT987="","-",'ORDENES'!$AT987))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20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IF('ORDENES'!$A987="","",'ORDENES'!$AF987)</f>
        <v/>
      </c>
    </row>
    <row r="1010">
      <c r="A1010" s="5">
        <f>IF('ORDENES'!$A988="","",IF('ORDENES'!$O988="","-",'ORDENES'!$O988))</f>
        <v/>
      </c>
      <c r="B1010" s="5">
        <f>IF('ORDENES'!$A988="","",IF('ORDENES'!$S988="","-",'ORDENES'!$S988))</f>
        <v/>
      </c>
      <c r="C1010" s="5">
        <f>IF('ORDENES'!$A988="","",IF('ORDENES'!$AH988="","-",'ORDENES'!$AH988))</f>
        <v/>
      </c>
      <c r="D1010" s="5">
        <f>IF('ORDENES'!$A988="","",IF('ORDENES'!$Z988="","-",'ORDENES'!$Z988))</f>
        <v/>
      </c>
      <c r="E1010" s="5">
        <f>IF('ORDENES'!$A988="","",IF('ORDENES'!$X988="","-",'ORDENES'!$X988))</f>
        <v/>
      </c>
      <c r="F1010" s="5">
        <f>IF('ORDENES'!$A988="","",IF('ORDENES'!$AA988="","-",'ORDENES'!$AA988))</f>
        <v/>
      </c>
      <c r="G1010" s="5">
        <f>IF('ORDENES'!$A988="","",IF('ORDENES'!$Y988="","-",'ORDENES'!$Y988))</f>
        <v/>
      </c>
      <c r="H1010" s="5">
        <f>IF('ORDENES'!$A988="","",IF('ORDENES'!$AG988="","-",'ORDENES'!$AG988))</f>
        <v/>
      </c>
      <c r="I1010" s="5">
        <f>IF('ORDENES'!$A988="","",IF('ORDENES'!$AT988="","-",'ORDENES'!$AT988))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20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IF('ORDENES'!$A988="","",'ORDENES'!$AF988)</f>
        <v/>
      </c>
    </row>
    <row r="1011">
      <c r="A1011" s="5">
        <f>IF('ORDENES'!$A989="","",IF('ORDENES'!$O989="","-",'ORDENES'!$O989))</f>
        <v/>
      </c>
      <c r="B1011" s="5">
        <f>IF('ORDENES'!$A989="","",IF('ORDENES'!$S989="","-",'ORDENES'!$S989))</f>
        <v/>
      </c>
      <c r="C1011" s="5">
        <f>IF('ORDENES'!$A989="","",IF('ORDENES'!$AH989="","-",'ORDENES'!$AH989))</f>
        <v/>
      </c>
      <c r="D1011" s="5">
        <f>IF('ORDENES'!$A989="","",IF('ORDENES'!$Z989="","-",'ORDENES'!$Z989))</f>
        <v/>
      </c>
      <c r="E1011" s="5">
        <f>IF('ORDENES'!$A989="","",IF('ORDENES'!$X989="","-",'ORDENES'!$X989))</f>
        <v/>
      </c>
      <c r="F1011" s="5">
        <f>IF('ORDENES'!$A989="","",IF('ORDENES'!$AA989="","-",'ORDENES'!$AA989))</f>
        <v/>
      </c>
      <c r="G1011" s="5">
        <f>IF('ORDENES'!$A989="","",IF('ORDENES'!$Y989="","-",'ORDENES'!$Y989))</f>
        <v/>
      </c>
      <c r="H1011" s="5">
        <f>IF('ORDENES'!$A989="","",IF('ORDENES'!$AG989="","-",'ORDENES'!$AG989))</f>
        <v/>
      </c>
      <c r="I1011" s="5">
        <f>IF('ORDENES'!$A989="","",IF('ORDENES'!$AT989="","-",'ORDENES'!$AT989))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20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IF('ORDENES'!$A989="","",'ORDENES'!$AF989)</f>
        <v/>
      </c>
    </row>
    <row r="1012">
      <c r="A1012" s="5">
        <f>IF('ORDENES'!$A990="","",IF('ORDENES'!$O990="","-",'ORDENES'!$O990))</f>
        <v/>
      </c>
      <c r="B1012" s="5">
        <f>IF('ORDENES'!$A990="","",IF('ORDENES'!$S990="","-",'ORDENES'!$S990))</f>
        <v/>
      </c>
      <c r="C1012" s="5">
        <f>IF('ORDENES'!$A990="","",IF('ORDENES'!$AH990="","-",'ORDENES'!$AH990))</f>
        <v/>
      </c>
      <c r="D1012" s="5">
        <f>IF('ORDENES'!$A990="","",IF('ORDENES'!$Z990="","-",'ORDENES'!$Z990))</f>
        <v/>
      </c>
      <c r="E1012" s="5">
        <f>IF('ORDENES'!$A990="","",IF('ORDENES'!$X990="","-",'ORDENES'!$X990))</f>
        <v/>
      </c>
      <c r="F1012" s="5">
        <f>IF('ORDENES'!$A990="","",IF('ORDENES'!$AA990="","-",'ORDENES'!$AA990))</f>
        <v/>
      </c>
      <c r="G1012" s="5">
        <f>IF('ORDENES'!$A990="","",IF('ORDENES'!$Y990="","-",'ORDENES'!$Y990))</f>
        <v/>
      </c>
      <c r="H1012" s="5">
        <f>IF('ORDENES'!$A990="","",IF('ORDENES'!$AG990="","-",'ORDENES'!$AG990))</f>
        <v/>
      </c>
      <c r="I1012" s="5">
        <f>IF('ORDENES'!$A990="","",IF('ORDENES'!$AT990="","-",'ORDENES'!$AT990))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20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IF('ORDENES'!$A990="","",'ORDENES'!$AF990)</f>
        <v/>
      </c>
    </row>
    <row r="1013">
      <c r="A1013" s="5">
        <f>IF('ORDENES'!$A991="","",IF('ORDENES'!$O991="","-",'ORDENES'!$O991))</f>
        <v/>
      </c>
      <c r="B1013" s="5">
        <f>IF('ORDENES'!$A991="","",IF('ORDENES'!$S991="","-",'ORDENES'!$S991))</f>
        <v/>
      </c>
      <c r="C1013" s="5">
        <f>IF('ORDENES'!$A991="","",IF('ORDENES'!$AH991="","-",'ORDENES'!$AH991))</f>
        <v/>
      </c>
      <c r="D1013" s="5">
        <f>IF('ORDENES'!$A991="","",IF('ORDENES'!$Z991="","-",'ORDENES'!$Z991))</f>
        <v/>
      </c>
      <c r="E1013" s="5">
        <f>IF('ORDENES'!$A991="","",IF('ORDENES'!$X991="","-",'ORDENES'!$X991))</f>
        <v/>
      </c>
      <c r="F1013" s="5">
        <f>IF('ORDENES'!$A991="","",IF('ORDENES'!$AA991="","-",'ORDENES'!$AA991))</f>
        <v/>
      </c>
      <c r="G1013" s="5">
        <f>IF('ORDENES'!$A991="","",IF('ORDENES'!$Y991="","-",'ORDENES'!$Y991))</f>
        <v/>
      </c>
      <c r="H1013" s="5">
        <f>IF('ORDENES'!$A991="","",IF('ORDENES'!$AG991="","-",'ORDENES'!$AG991))</f>
        <v/>
      </c>
      <c r="I1013" s="5">
        <f>IF('ORDENES'!$A991="","",IF('ORDENES'!$AT991="","-",'ORDENES'!$AT991))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20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IF('ORDENES'!$A991="","",'ORDENES'!$AF991)</f>
        <v/>
      </c>
    </row>
    <row r="1014">
      <c r="A1014" s="5">
        <f>IF('ORDENES'!$A992="","",IF('ORDENES'!$O992="","-",'ORDENES'!$O992))</f>
        <v/>
      </c>
      <c r="B1014" s="5">
        <f>IF('ORDENES'!$A992="","",IF('ORDENES'!$S992="","-",'ORDENES'!$S992))</f>
        <v/>
      </c>
      <c r="C1014" s="5">
        <f>IF('ORDENES'!$A992="","",IF('ORDENES'!$AH992="","-",'ORDENES'!$AH992))</f>
        <v/>
      </c>
      <c r="D1014" s="5">
        <f>IF('ORDENES'!$A992="","",IF('ORDENES'!$Z992="","-",'ORDENES'!$Z992))</f>
        <v/>
      </c>
      <c r="E1014" s="5">
        <f>IF('ORDENES'!$A992="","",IF('ORDENES'!$X992="","-",'ORDENES'!$X992))</f>
        <v/>
      </c>
      <c r="F1014" s="5">
        <f>IF('ORDENES'!$A992="","",IF('ORDENES'!$AA992="","-",'ORDENES'!$AA992))</f>
        <v/>
      </c>
      <c r="G1014" s="5">
        <f>IF('ORDENES'!$A992="","",IF('ORDENES'!$Y992="","-",'ORDENES'!$Y992))</f>
        <v/>
      </c>
      <c r="H1014" s="5">
        <f>IF('ORDENES'!$A992="","",IF('ORDENES'!$AG992="","-",'ORDENES'!$AG992))</f>
        <v/>
      </c>
      <c r="I1014" s="5">
        <f>IF('ORDENES'!$A992="","",IF('ORDENES'!$AT992="","-",'ORDENES'!$AT992))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20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IF('ORDENES'!$A992="","",'ORDENES'!$AF992)</f>
        <v/>
      </c>
    </row>
    <row r="1015">
      <c r="A1015" s="5">
        <f>IF('ORDENES'!$A993="","",IF('ORDENES'!$O993="","-",'ORDENES'!$O993))</f>
        <v/>
      </c>
      <c r="B1015" s="5">
        <f>IF('ORDENES'!$A993="","",IF('ORDENES'!$S993="","-",'ORDENES'!$S993))</f>
        <v/>
      </c>
      <c r="C1015" s="5">
        <f>IF('ORDENES'!$A993="","",IF('ORDENES'!$AH993="","-",'ORDENES'!$AH993))</f>
        <v/>
      </c>
      <c r="D1015" s="5">
        <f>IF('ORDENES'!$A993="","",IF('ORDENES'!$Z993="","-",'ORDENES'!$Z993))</f>
        <v/>
      </c>
      <c r="E1015" s="5">
        <f>IF('ORDENES'!$A993="","",IF('ORDENES'!$X993="","-",'ORDENES'!$X993))</f>
        <v/>
      </c>
      <c r="F1015" s="5">
        <f>IF('ORDENES'!$A993="","",IF('ORDENES'!$AA993="","-",'ORDENES'!$AA993))</f>
        <v/>
      </c>
      <c r="G1015" s="5">
        <f>IF('ORDENES'!$A993="","",IF('ORDENES'!$Y993="","-",'ORDENES'!$Y993))</f>
        <v/>
      </c>
      <c r="H1015" s="5">
        <f>IF('ORDENES'!$A993="","",IF('ORDENES'!$AG993="","-",'ORDENES'!$AG993))</f>
        <v/>
      </c>
      <c r="I1015" s="5">
        <f>IF('ORDENES'!$A993="","",IF('ORDENES'!$AT993="","-",'ORDENES'!$AT993))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20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IF('ORDENES'!$A993="","",'ORDENES'!$AF993)</f>
        <v/>
      </c>
    </row>
    <row r="1016">
      <c r="A1016" s="5">
        <f>IF('ORDENES'!$A994="","",IF('ORDENES'!$O994="","-",'ORDENES'!$O994))</f>
        <v/>
      </c>
      <c r="B1016" s="5">
        <f>IF('ORDENES'!$A994="","",IF('ORDENES'!$S994="","-",'ORDENES'!$S994))</f>
        <v/>
      </c>
      <c r="C1016" s="5">
        <f>IF('ORDENES'!$A994="","",IF('ORDENES'!$AH994="","-",'ORDENES'!$AH994))</f>
        <v/>
      </c>
      <c r="D1016" s="5">
        <f>IF('ORDENES'!$A994="","",IF('ORDENES'!$Z994="","-",'ORDENES'!$Z994))</f>
        <v/>
      </c>
      <c r="E1016" s="5">
        <f>IF('ORDENES'!$A994="","",IF('ORDENES'!$X994="","-",'ORDENES'!$X994))</f>
        <v/>
      </c>
      <c r="F1016" s="5">
        <f>IF('ORDENES'!$A994="","",IF('ORDENES'!$AA994="","-",'ORDENES'!$AA994))</f>
        <v/>
      </c>
      <c r="G1016" s="5">
        <f>IF('ORDENES'!$A994="","",IF('ORDENES'!$Y994="","-",'ORDENES'!$Y994))</f>
        <v/>
      </c>
      <c r="H1016" s="5">
        <f>IF('ORDENES'!$A994="","",IF('ORDENES'!$AG994="","-",'ORDENES'!$AG994))</f>
        <v/>
      </c>
      <c r="I1016" s="5">
        <f>IF('ORDENES'!$A994="","",IF('ORDENES'!$AT994="","-",'ORDENES'!$AT994))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20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IF('ORDENES'!$A994="","",'ORDENES'!$AF994)</f>
        <v/>
      </c>
    </row>
    <row r="1017">
      <c r="A1017" s="5">
        <f>IF('ORDENES'!$A995="","",IF('ORDENES'!$O995="","-",'ORDENES'!$O995))</f>
        <v/>
      </c>
      <c r="B1017" s="5">
        <f>IF('ORDENES'!$A995="","",IF('ORDENES'!$S995="","-",'ORDENES'!$S995))</f>
        <v/>
      </c>
      <c r="C1017" s="5">
        <f>IF('ORDENES'!$A995="","",IF('ORDENES'!$AH995="","-",'ORDENES'!$AH995))</f>
        <v/>
      </c>
      <c r="D1017" s="5">
        <f>IF('ORDENES'!$A995="","",IF('ORDENES'!$Z995="","-",'ORDENES'!$Z995))</f>
        <v/>
      </c>
      <c r="E1017" s="5">
        <f>IF('ORDENES'!$A995="","",IF('ORDENES'!$X995="","-",'ORDENES'!$X995))</f>
        <v/>
      </c>
      <c r="F1017" s="5">
        <f>IF('ORDENES'!$A995="","",IF('ORDENES'!$AA995="","-",'ORDENES'!$AA995))</f>
        <v/>
      </c>
      <c r="G1017" s="5">
        <f>IF('ORDENES'!$A995="","",IF('ORDENES'!$Y995="","-",'ORDENES'!$Y995))</f>
        <v/>
      </c>
      <c r="H1017" s="5">
        <f>IF('ORDENES'!$A995="","",IF('ORDENES'!$AG995="","-",'ORDENES'!$AG995))</f>
        <v/>
      </c>
      <c r="I1017" s="5">
        <f>IF('ORDENES'!$A995="","",IF('ORDENES'!$AT995="","-",'ORDENES'!$AT995))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20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IF('ORDENES'!$A995="","",'ORDENES'!$AF995)</f>
        <v/>
      </c>
    </row>
    <row r="1018">
      <c r="A1018" s="5">
        <f>IF('ORDENES'!$A996="","",IF('ORDENES'!$O996="","-",'ORDENES'!$O996))</f>
        <v/>
      </c>
      <c r="B1018" s="5">
        <f>IF('ORDENES'!$A996="","",IF('ORDENES'!$S996="","-",'ORDENES'!$S996))</f>
        <v/>
      </c>
      <c r="C1018" s="5">
        <f>IF('ORDENES'!$A996="","",IF('ORDENES'!$AH996="","-",'ORDENES'!$AH996))</f>
        <v/>
      </c>
      <c r="D1018" s="5">
        <f>IF('ORDENES'!$A996="","",IF('ORDENES'!$Z996="","-",'ORDENES'!$Z996))</f>
        <v/>
      </c>
      <c r="E1018" s="5">
        <f>IF('ORDENES'!$A996="","",IF('ORDENES'!$X996="","-",'ORDENES'!$X996))</f>
        <v/>
      </c>
      <c r="F1018" s="5">
        <f>IF('ORDENES'!$A996="","",IF('ORDENES'!$AA996="","-",'ORDENES'!$AA996))</f>
        <v/>
      </c>
      <c r="G1018" s="5">
        <f>IF('ORDENES'!$A996="","",IF('ORDENES'!$Y996="","-",'ORDENES'!$Y996))</f>
        <v/>
      </c>
      <c r="H1018" s="5">
        <f>IF('ORDENES'!$A996="","",IF('ORDENES'!$AG996="","-",'ORDENES'!$AG996))</f>
        <v/>
      </c>
      <c r="I1018" s="5">
        <f>IF('ORDENES'!$A996="","",IF('ORDENES'!$AT996="","-",'ORDENES'!$AT996))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20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IF('ORDENES'!$A996="","",'ORDENES'!$AF996)</f>
        <v/>
      </c>
    </row>
    <row r="1019">
      <c r="A1019" s="5">
        <f>IF('ORDENES'!$A997="","",IF('ORDENES'!$O997="","-",'ORDENES'!$O997))</f>
        <v/>
      </c>
      <c r="B1019" s="5">
        <f>IF('ORDENES'!$A997="","",IF('ORDENES'!$S997="","-",'ORDENES'!$S997))</f>
        <v/>
      </c>
      <c r="C1019" s="5">
        <f>IF('ORDENES'!$A997="","",IF('ORDENES'!$AH997="","-",'ORDENES'!$AH997))</f>
        <v/>
      </c>
      <c r="D1019" s="5">
        <f>IF('ORDENES'!$A997="","",IF('ORDENES'!$Z997="","-",'ORDENES'!$Z997))</f>
        <v/>
      </c>
      <c r="E1019" s="5">
        <f>IF('ORDENES'!$A997="","",IF('ORDENES'!$X997="","-",'ORDENES'!$X997))</f>
        <v/>
      </c>
      <c r="F1019" s="5">
        <f>IF('ORDENES'!$A997="","",IF('ORDENES'!$AA997="","-",'ORDENES'!$AA997))</f>
        <v/>
      </c>
      <c r="G1019" s="5">
        <f>IF('ORDENES'!$A997="","",IF('ORDENES'!$Y997="","-",'ORDENES'!$Y997))</f>
        <v/>
      </c>
      <c r="H1019" s="5">
        <f>IF('ORDENES'!$A997="","",IF('ORDENES'!$AG997="","-",'ORDENES'!$AG997))</f>
        <v/>
      </c>
      <c r="I1019" s="5">
        <f>IF('ORDENES'!$A997="","",IF('ORDENES'!$AT997="","-",'ORDENES'!$AT997))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20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IF('ORDENES'!$A997="","",'ORDENES'!$AF997)</f>
        <v/>
      </c>
    </row>
    <row r="1020">
      <c r="A1020" s="5">
        <f>IF('ORDENES'!$A998="","",IF('ORDENES'!$O998="","-",'ORDENES'!$O998))</f>
        <v/>
      </c>
      <c r="B1020" s="5">
        <f>IF('ORDENES'!$A998="","",IF('ORDENES'!$S998="","-",'ORDENES'!$S998))</f>
        <v/>
      </c>
      <c r="C1020" s="5">
        <f>IF('ORDENES'!$A998="","",IF('ORDENES'!$AH998="","-",'ORDENES'!$AH998))</f>
        <v/>
      </c>
      <c r="D1020" s="5">
        <f>IF('ORDENES'!$A998="","",IF('ORDENES'!$Z998="","-",'ORDENES'!$Z998))</f>
        <v/>
      </c>
      <c r="E1020" s="5">
        <f>IF('ORDENES'!$A998="","",IF('ORDENES'!$X998="","-",'ORDENES'!$X998))</f>
        <v/>
      </c>
      <c r="F1020" s="5">
        <f>IF('ORDENES'!$A998="","",IF('ORDENES'!$AA998="","-",'ORDENES'!$AA998))</f>
        <v/>
      </c>
      <c r="G1020" s="5">
        <f>IF('ORDENES'!$A998="","",IF('ORDENES'!$Y998="","-",'ORDENES'!$Y998))</f>
        <v/>
      </c>
      <c r="H1020" s="5">
        <f>IF('ORDENES'!$A998="","",IF('ORDENES'!$AG998="","-",'ORDENES'!$AG998))</f>
        <v/>
      </c>
      <c r="I1020" s="5">
        <f>IF('ORDENES'!$A998="","",IF('ORDENES'!$AT998="","-",'ORDENES'!$AT998))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20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IF('ORDENES'!$A998="","",'ORDENES'!$AF998)</f>
        <v/>
      </c>
    </row>
    <row r="1021">
      <c r="A1021" s="5">
        <f>IF('ORDENES'!$A999="","",IF('ORDENES'!$O999="","-",'ORDENES'!$O999))</f>
        <v/>
      </c>
      <c r="B1021" s="5">
        <f>IF('ORDENES'!$A999="","",IF('ORDENES'!$S999="","-",'ORDENES'!$S999))</f>
        <v/>
      </c>
      <c r="C1021" s="5">
        <f>IF('ORDENES'!$A999="","",IF('ORDENES'!$AH999="","-",'ORDENES'!$AH999))</f>
        <v/>
      </c>
      <c r="D1021" s="5">
        <f>IF('ORDENES'!$A999="","",IF('ORDENES'!$Z999="","-",'ORDENES'!$Z999))</f>
        <v/>
      </c>
      <c r="E1021" s="5">
        <f>IF('ORDENES'!$A999="","",IF('ORDENES'!$X999="","-",'ORDENES'!$X999))</f>
        <v/>
      </c>
      <c r="F1021" s="5">
        <f>IF('ORDENES'!$A999="","",IF('ORDENES'!$AA999="","-",'ORDENES'!$AA999))</f>
        <v/>
      </c>
      <c r="G1021" s="5">
        <f>IF('ORDENES'!$A999="","",IF('ORDENES'!$Y999="","-",'ORDENES'!$Y999))</f>
        <v/>
      </c>
      <c r="H1021" s="5">
        <f>IF('ORDENES'!$A999="","",IF('ORDENES'!$AG999="","-",'ORDENES'!$AG999))</f>
        <v/>
      </c>
      <c r="I1021" s="5">
        <f>IF('ORDENES'!$A999="","",IF('ORDENES'!$AT999="","-",'ORDENES'!$AT999))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20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IF('ORDENES'!$A999="","",'ORDENES'!$AF999)</f>
        <v/>
      </c>
    </row>
    <row r="1022">
      <c r="A1022" s="5">
        <f>IF('ORDENES'!$A1000="","",IF('ORDENES'!$O1000="","-",'ORDENES'!$O1000))</f>
        <v/>
      </c>
      <c r="B1022" s="5">
        <f>IF('ORDENES'!$A1000="","",IF('ORDENES'!$S1000="","-",'ORDENES'!$S1000))</f>
        <v/>
      </c>
      <c r="C1022" s="5">
        <f>IF('ORDENES'!$A1000="","",IF('ORDENES'!$AH1000="","-",'ORDENES'!$AH1000))</f>
        <v/>
      </c>
      <c r="D1022" s="5">
        <f>IF('ORDENES'!$A1000="","",IF('ORDENES'!$Z1000="","-",'ORDENES'!$Z1000))</f>
        <v/>
      </c>
      <c r="E1022" s="5">
        <f>IF('ORDENES'!$A1000="","",IF('ORDENES'!$X1000="","-",'ORDENES'!$X1000))</f>
        <v/>
      </c>
      <c r="F1022" s="5">
        <f>IF('ORDENES'!$A1000="","",IF('ORDENES'!$AA1000="","-",'ORDENES'!$AA1000))</f>
        <v/>
      </c>
      <c r="G1022" s="5">
        <f>IF('ORDENES'!$A1000="","",IF('ORDENES'!$Y1000="","-",'ORDENES'!$Y1000))</f>
        <v/>
      </c>
      <c r="H1022" s="5">
        <f>IF('ORDENES'!$A1000="","",IF('ORDENES'!$AG1000="","-",'ORDENES'!$AG1000))</f>
        <v/>
      </c>
      <c r="I1022" s="5">
        <f>IF('ORDENES'!$A1000="","",IF('ORDENES'!$AT1000="","-",'ORDENES'!$AT1000))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20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IF('ORDENES'!$A1000="","",'ORDENES'!$AF1000)</f>
        <v/>
      </c>
    </row>
    <row r="1023">
      <c r="A1023" s="5">
        <f>IF('ORDENES'!$A1001="","",IF('ORDENES'!$O1001="","-",'ORDENES'!$O1001))</f>
        <v/>
      </c>
      <c r="B1023" s="5">
        <f>IF('ORDENES'!$A1001="","",IF('ORDENES'!$S1001="","-",'ORDENES'!$S1001))</f>
        <v/>
      </c>
      <c r="C1023" s="5">
        <f>IF('ORDENES'!$A1001="","",IF('ORDENES'!$AH1001="","-",'ORDENES'!$AH1001))</f>
        <v/>
      </c>
      <c r="D1023" s="5">
        <f>IF('ORDENES'!$A1001="","",IF('ORDENES'!$Z1001="","-",'ORDENES'!$Z1001))</f>
        <v/>
      </c>
      <c r="E1023" s="5">
        <f>IF('ORDENES'!$A1001="","",IF('ORDENES'!$X1001="","-",'ORDENES'!$X1001))</f>
        <v/>
      </c>
      <c r="F1023" s="5">
        <f>IF('ORDENES'!$A1001="","",IF('ORDENES'!$AA1001="","-",'ORDENES'!$AA1001))</f>
        <v/>
      </c>
      <c r="G1023" s="5">
        <f>IF('ORDENES'!$A1001="","",IF('ORDENES'!$Y1001="","-",'ORDENES'!$Y1001))</f>
        <v/>
      </c>
      <c r="H1023" s="5">
        <f>IF('ORDENES'!$A1001="","",IF('ORDENES'!$AG1001="","-",'ORDENES'!$AG1001))</f>
        <v/>
      </c>
      <c r="I1023" s="5">
        <f>IF('ORDENES'!$A1001="","",IF('ORDENES'!$AT1001="","-",'ORDENES'!$AT1001))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20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IF('ORDENES'!$A1001="","",'ORDENES'!$AF1001)</f>
        <v/>
      </c>
    </row>
    <row r="1024">
      <c r="A1024" s="5">
        <f>IF('ORDENES'!$A1002="","",IF('ORDENES'!$O1002="","-",'ORDENES'!$O1002))</f>
        <v/>
      </c>
      <c r="B1024" s="5">
        <f>IF('ORDENES'!$A1002="","",IF('ORDENES'!$S1002="","-",'ORDENES'!$S1002))</f>
        <v/>
      </c>
      <c r="C1024" s="5">
        <f>IF('ORDENES'!$A1002="","",IF('ORDENES'!$AH1002="","-",'ORDENES'!$AH1002))</f>
        <v/>
      </c>
      <c r="D1024" s="5">
        <f>IF('ORDENES'!$A1002="","",IF('ORDENES'!$Z1002="","-",'ORDENES'!$Z1002))</f>
        <v/>
      </c>
      <c r="E1024" s="5">
        <f>IF('ORDENES'!$A1002="","",IF('ORDENES'!$X1002="","-",'ORDENES'!$X1002))</f>
        <v/>
      </c>
      <c r="F1024" s="5">
        <f>IF('ORDENES'!$A1002="","",IF('ORDENES'!$AA1002="","-",'ORDENES'!$AA1002))</f>
        <v/>
      </c>
      <c r="G1024" s="5">
        <f>IF('ORDENES'!$A1002="","",IF('ORDENES'!$Y1002="","-",'ORDENES'!$Y1002))</f>
        <v/>
      </c>
      <c r="H1024" s="5">
        <f>IF('ORDENES'!$A1002="","",IF('ORDENES'!$AG1002="","-",'ORDENES'!$AG1002))</f>
        <v/>
      </c>
      <c r="I1024" s="5">
        <f>IF('ORDENES'!$A1002="","",IF('ORDENES'!$AT1002="","-",'ORDENES'!$AT1002))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20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IF('ORDENES'!$A1002="","",'ORDENES'!$AF1002)</f>
        <v/>
      </c>
    </row>
    <row r="1025">
      <c r="A1025" s="5">
        <f>IF('ORDENES'!$A1003="","",IF('ORDENES'!$O1003="","-",'ORDENES'!$O1003))</f>
        <v/>
      </c>
      <c r="B1025" s="5">
        <f>IF('ORDENES'!$A1003="","",IF('ORDENES'!$S1003="","-",'ORDENES'!$S1003))</f>
        <v/>
      </c>
      <c r="C1025" s="5">
        <f>IF('ORDENES'!$A1003="","",IF('ORDENES'!$AH1003="","-",'ORDENES'!$AH1003))</f>
        <v/>
      </c>
      <c r="D1025" s="5">
        <f>IF('ORDENES'!$A1003="","",IF('ORDENES'!$Z1003="","-",'ORDENES'!$Z1003))</f>
        <v/>
      </c>
      <c r="E1025" s="5">
        <f>IF('ORDENES'!$A1003="","",IF('ORDENES'!$X1003="","-",'ORDENES'!$X1003))</f>
        <v/>
      </c>
      <c r="F1025" s="5">
        <f>IF('ORDENES'!$A1003="","",IF('ORDENES'!$AA1003="","-",'ORDENES'!$AA1003))</f>
        <v/>
      </c>
      <c r="G1025" s="5">
        <f>IF('ORDENES'!$A1003="","",IF('ORDENES'!$Y1003="","-",'ORDENES'!$Y1003))</f>
        <v/>
      </c>
      <c r="H1025" s="5">
        <f>IF('ORDENES'!$A1003="","",IF('ORDENES'!$AG1003="","-",'ORDENES'!$AG1003))</f>
        <v/>
      </c>
      <c r="I1025" s="5">
        <f>IF('ORDENES'!$A1003="","",IF('ORDENES'!$AT1003="","-",'ORDENES'!$AT1003))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20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IF('ORDENES'!$A1003="","",'ORDENES'!$AF1003)</f>
        <v/>
      </c>
    </row>
    <row r="1026">
      <c r="A1026" s="5">
        <f>IF('ORDENES'!$A1004="","",IF('ORDENES'!$O1004="","-",'ORDENES'!$O1004))</f>
        <v/>
      </c>
      <c r="B1026" s="5">
        <f>IF('ORDENES'!$A1004="","",IF('ORDENES'!$S1004="","-",'ORDENES'!$S1004))</f>
        <v/>
      </c>
      <c r="C1026" s="5">
        <f>IF('ORDENES'!$A1004="","",IF('ORDENES'!$AH1004="","-",'ORDENES'!$AH1004))</f>
        <v/>
      </c>
      <c r="D1026" s="5">
        <f>IF('ORDENES'!$A1004="","",IF('ORDENES'!$Z1004="","-",'ORDENES'!$Z1004))</f>
        <v/>
      </c>
      <c r="E1026" s="5">
        <f>IF('ORDENES'!$A1004="","",IF('ORDENES'!$X1004="","-",'ORDENES'!$X1004))</f>
        <v/>
      </c>
      <c r="F1026" s="5">
        <f>IF('ORDENES'!$A1004="","",IF('ORDENES'!$AA1004="","-",'ORDENES'!$AA1004))</f>
        <v/>
      </c>
      <c r="G1026" s="5">
        <f>IF('ORDENES'!$A1004="","",IF('ORDENES'!$Y1004="","-",'ORDENES'!$Y1004))</f>
        <v/>
      </c>
      <c r="H1026" s="5">
        <f>IF('ORDENES'!$A1004="","",IF('ORDENES'!$AG1004="","-",'ORDENES'!$AG1004))</f>
        <v/>
      </c>
      <c r="I1026" s="5">
        <f>IF('ORDENES'!$A1004="","",IF('ORDENES'!$AT1004="","-",'ORDENES'!$AT1004))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20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IF('ORDENES'!$A1004="","",'ORDENES'!$AF1004)</f>
        <v/>
      </c>
    </row>
    <row r="1027">
      <c r="A1027" s="5">
        <f>IF('ORDENES'!$A1005="","",IF('ORDENES'!$O1005="","-",'ORDENES'!$O1005))</f>
        <v/>
      </c>
      <c r="B1027" s="5">
        <f>IF('ORDENES'!$A1005="","",IF('ORDENES'!$S1005="","-",'ORDENES'!$S1005))</f>
        <v/>
      </c>
      <c r="C1027" s="5">
        <f>IF('ORDENES'!$A1005="","",IF('ORDENES'!$AH1005="","-",'ORDENES'!$AH1005))</f>
        <v/>
      </c>
      <c r="D1027" s="5">
        <f>IF('ORDENES'!$A1005="","",IF('ORDENES'!$Z1005="","-",'ORDENES'!$Z1005))</f>
        <v/>
      </c>
      <c r="E1027" s="5">
        <f>IF('ORDENES'!$A1005="","",IF('ORDENES'!$X1005="","-",'ORDENES'!$X1005))</f>
        <v/>
      </c>
      <c r="F1027" s="5">
        <f>IF('ORDENES'!$A1005="","",IF('ORDENES'!$AA1005="","-",'ORDENES'!$AA1005))</f>
        <v/>
      </c>
      <c r="G1027" s="5">
        <f>IF('ORDENES'!$A1005="","",IF('ORDENES'!$Y1005="","-",'ORDENES'!$Y1005))</f>
        <v/>
      </c>
      <c r="H1027" s="5">
        <f>IF('ORDENES'!$A1005="","",IF('ORDENES'!$AG1005="","-",'ORDENES'!$AG1005))</f>
        <v/>
      </c>
      <c r="I1027" s="5">
        <f>IF('ORDENES'!$A1005="","",IF('ORDENES'!$AT1005="","-",'ORDENES'!$AT1005))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20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IF('ORDENES'!$A1005="","",'ORDENES'!$AF1005)</f>
        <v/>
      </c>
    </row>
    <row r="1028">
      <c r="A1028" s="5">
        <f>IF('ORDENES'!$A1006="","",IF('ORDENES'!$O1006="","-",'ORDENES'!$O1006))</f>
        <v/>
      </c>
      <c r="B1028" s="5">
        <f>IF('ORDENES'!$A1006="","",IF('ORDENES'!$S1006="","-",'ORDENES'!$S1006))</f>
        <v/>
      </c>
      <c r="C1028" s="5">
        <f>IF('ORDENES'!$A1006="","",IF('ORDENES'!$AH1006="","-",'ORDENES'!$AH1006))</f>
        <v/>
      </c>
      <c r="D1028" s="5">
        <f>IF('ORDENES'!$A1006="","",IF('ORDENES'!$Z1006="","-",'ORDENES'!$Z1006))</f>
        <v/>
      </c>
      <c r="E1028" s="5">
        <f>IF('ORDENES'!$A1006="","",IF('ORDENES'!$X1006="","-",'ORDENES'!$X1006))</f>
        <v/>
      </c>
      <c r="F1028" s="5">
        <f>IF('ORDENES'!$A1006="","",IF('ORDENES'!$AA1006="","-",'ORDENES'!$AA1006))</f>
        <v/>
      </c>
      <c r="G1028" s="5">
        <f>IF('ORDENES'!$A1006="","",IF('ORDENES'!$Y1006="","-",'ORDENES'!$Y1006))</f>
        <v/>
      </c>
      <c r="H1028" s="5">
        <f>IF('ORDENES'!$A1006="","",IF('ORDENES'!$AG1006="","-",'ORDENES'!$AG1006))</f>
        <v/>
      </c>
      <c r="I1028" s="5">
        <f>IF('ORDENES'!$A1006="","",IF('ORDENES'!$AT1006="","-",'ORDENES'!$AT1006))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20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IF('ORDENES'!$A1006="","",'ORDENES'!$AF1006)</f>
        <v/>
      </c>
    </row>
    <row r="1029">
      <c r="A1029" s="5">
        <f>IF('ORDENES'!$A1007="","",IF('ORDENES'!$O1007="","-",'ORDENES'!$O1007))</f>
        <v/>
      </c>
      <c r="B1029" s="5">
        <f>IF('ORDENES'!$A1007="","",IF('ORDENES'!$S1007="","-",'ORDENES'!$S1007))</f>
        <v/>
      </c>
      <c r="C1029" s="5">
        <f>IF('ORDENES'!$A1007="","",IF('ORDENES'!$AH1007="","-",'ORDENES'!$AH1007))</f>
        <v/>
      </c>
      <c r="D1029" s="5">
        <f>IF('ORDENES'!$A1007="","",IF('ORDENES'!$Z1007="","-",'ORDENES'!$Z1007))</f>
        <v/>
      </c>
      <c r="E1029" s="5">
        <f>IF('ORDENES'!$A1007="","",IF('ORDENES'!$X1007="","-",'ORDENES'!$X1007))</f>
        <v/>
      </c>
      <c r="F1029" s="5">
        <f>IF('ORDENES'!$A1007="","",IF('ORDENES'!$AA1007="","-",'ORDENES'!$AA1007))</f>
        <v/>
      </c>
      <c r="G1029" s="5">
        <f>IF('ORDENES'!$A1007="","",IF('ORDENES'!$Y1007="","-",'ORDENES'!$Y1007))</f>
        <v/>
      </c>
      <c r="H1029" s="5">
        <f>IF('ORDENES'!$A1007="","",IF('ORDENES'!$AG1007="","-",'ORDENES'!$AG1007))</f>
        <v/>
      </c>
      <c r="I1029" s="5">
        <f>IF('ORDENES'!$A1007="","",IF('ORDENES'!$AT1007="","-",'ORDENES'!$AT1007))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20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IF('ORDENES'!$A1007="","",'ORDENES'!$AF1007)</f>
        <v/>
      </c>
    </row>
    <row r="1030">
      <c r="A1030" s="5">
        <f>IF('ORDENES'!$A1008="","",IF('ORDENES'!$O1008="","-",'ORDENES'!$O1008))</f>
        <v/>
      </c>
      <c r="B1030" s="5">
        <f>IF('ORDENES'!$A1008="","",IF('ORDENES'!$S1008="","-",'ORDENES'!$S1008))</f>
        <v/>
      </c>
      <c r="C1030" s="5">
        <f>IF('ORDENES'!$A1008="","",IF('ORDENES'!$AH1008="","-",'ORDENES'!$AH1008))</f>
        <v/>
      </c>
      <c r="D1030" s="5">
        <f>IF('ORDENES'!$A1008="","",IF('ORDENES'!$Z1008="","-",'ORDENES'!$Z1008))</f>
        <v/>
      </c>
      <c r="E1030" s="5">
        <f>IF('ORDENES'!$A1008="","",IF('ORDENES'!$X1008="","-",'ORDENES'!$X1008))</f>
        <v/>
      </c>
      <c r="F1030" s="5">
        <f>IF('ORDENES'!$A1008="","",IF('ORDENES'!$AA1008="","-",'ORDENES'!$AA1008))</f>
        <v/>
      </c>
      <c r="G1030" s="5">
        <f>IF('ORDENES'!$A1008="","",IF('ORDENES'!$Y1008="","-",'ORDENES'!$Y1008))</f>
        <v/>
      </c>
      <c r="H1030" s="5">
        <f>IF('ORDENES'!$A1008="","",IF('ORDENES'!$AG1008="","-",'ORDENES'!$AG1008))</f>
        <v/>
      </c>
      <c r="I1030" s="5">
        <f>IF('ORDENES'!$A1008="","",IF('ORDENES'!$AT1008="","-",'ORDENES'!$AT1008))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20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IF('ORDENES'!$A1008="","",'ORDENES'!$AF1008)</f>
        <v/>
      </c>
    </row>
    <row r="1031">
      <c r="A1031" s="5">
        <f>IF('ORDENES'!$A1009="","",IF('ORDENES'!$O1009="","-",'ORDENES'!$O1009))</f>
        <v/>
      </c>
      <c r="B1031" s="5">
        <f>IF('ORDENES'!$A1009="","",IF('ORDENES'!$S1009="","-",'ORDENES'!$S1009))</f>
        <v/>
      </c>
      <c r="C1031" s="5">
        <f>IF('ORDENES'!$A1009="","",IF('ORDENES'!$AH1009="","-",'ORDENES'!$AH1009))</f>
        <v/>
      </c>
      <c r="D1031" s="5">
        <f>IF('ORDENES'!$A1009="","",IF('ORDENES'!$Z1009="","-",'ORDENES'!$Z1009))</f>
        <v/>
      </c>
      <c r="E1031" s="5">
        <f>IF('ORDENES'!$A1009="","",IF('ORDENES'!$X1009="","-",'ORDENES'!$X1009))</f>
        <v/>
      </c>
      <c r="F1031" s="5">
        <f>IF('ORDENES'!$A1009="","",IF('ORDENES'!$AA1009="","-",'ORDENES'!$AA1009))</f>
        <v/>
      </c>
      <c r="G1031" s="5">
        <f>IF('ORDENES'!$A1009="","",IF('ORDENES'!$Y1009="","-",'ORDENES'!$Y1009))</f>
        <v/>
      </c>
      <c r="H1031" s="5">
        <f>IF('ORDENES'!$A1009="","",IF('ORDENES'!$AG1009="","-",'ORDENES'!$AG1009))</f>
        <v/>
      </c>
      <c r="I1031" s="5">
        <f>IF('ORDENES'!$A1009="","",IF('ORDENES'!$AT1009="","-",'ORDENES'!$AT1009))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20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IF('ORDENES'!$A1009="","",'ORDENES'!$AF1009)</f>
        <v/>
      </c>
    </row>
    <row r="1032">
      <c r="A1032" s="5">
        <f>IF('ORDENES'!$A1010="","",IF('ORDENES'!$O1010="","-",'ORDENES'!$O1010))</f>
        <v/>
      </c>
      <c r="B1032" s="5">
        <f>IF('ORDENES'!$A1010="","",IF('ORDENES'!$S1010="","-",'ORDENES'!$S1010))</f>
        <v/>
      </c>
      <c r="C1032" s="5">
        <f>IF('ORDENES'!$A1010="","",IF('ORDENES'!$AH1010="","-",'ORDENES'!$AH1010))</f>
        <v/>
      </c>
      <c r="D1032" s="5">
        <f>IF('ORDENES'!$A1010="","",IF('ORDENES'!$Z1010="","-",'ORDENES'!$Z1010))</f>
        <v/>
      </c>
      <c r="E1032" s="5">
        <f>IF('ORDENES'!$A1010="","",IF('ORDENES'!$X1010="","-",'ORDENES'!$X1010))</f>
        <v/>
      </c>
      <c r="F1032" s="5">
        <f>IF('ORDENES'!$A1010="","",IF('ORDENES'!$AA1010="","-",'ORDENES'!$AA1010))</f>
        <v/>
      </c>
      <c r="G1032" s="5">
        <f>IF('ORDENES'!$A1010="","",IF('ORDENES'!$Y1010="","-",'ORDENES'!$Y1010))</f>
        <v/>
      </c>
      <c r="H1032" s="5">
        <f>IF('ORDENES'!$A1010="","",IF('ORDENES'!$AG1010="","-",'ORDENES'!$AG1010))</f>
        <v/>
      </c>
      <c r="I1032" s="5">
        <f>IF('ORDENES'!$A1010="","",IF('ORDENES'!$AT1010="","-",'ORDENES'!$AT1010))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20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IF('ORDENES'!$A1010="","",'ORDENES'!$AF1010)</f>
        <v/>
      </c>
    </row>
    <row r="1033">
      <c r="A1033" s="5">
        <f>IF('ORDENES'!$A1011="","",IF('ORDENES'!$O1011="","-",'ORDENES'!$O1011))</f>
        <v/>
      </c>
      <c r="B1033" s="5">
        <f>IF('ORDENES'!$A1011="","",IF('ORDENES'!$S1011="","-",'ORDENES'!$S1011))</f>
        <v/>
      </c>
      <c r="C1033" s="5">
        <f>IF('ORDENES'!$A1011="","",IF('ORDENES'!$AH1011="","-",'ORDENES'!$AH1011))</f>
        <v/>
      </c>
      <c r="D1033" s="5">
        <f>IF('ORDENES'!$A1011="","",IF('ORDENES'!$Z1011="","-",'ORDENES'!$Z1011))</f>
        <v/>
      </c>
      <c r="E1033" s="5">
        <f>IF('ORDENES'!$A1011="","",IF('ORDENES'!$X1011="","-",'ORDENES'!$X1011))</f>
        <v/>
      </c>
      <c r="F1033" s="5">
        <f>IF('ORDENES'!$A1011="","",IF('ORDENES'!$AA1011="","-",'ORDENES'!$AA1011))</f>
        <v/>
      </c>
      <c r="G1033" s="5">
        <f>IF('ORDENES'!$A1011="","",IF('ORDENES'!$Y1011="","-",'ORDENES'!$Y1011))</f>
        <v/>
      </c>
      <c r="H1033" s="5">
        <f>IF('ORDENES'!$A1011="","",IF('ORDENES'!$AG1011="","-",'ORDENES'!$AG1011))</f>
        <v/>
      </c>
      <c r="I1033" s="5">
        <f>IF('ORDENES'!$A1011="","",IF('ORDENES'!$AT1011="","-",'ORDENES'!$AT1011))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20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IF('ORDENES'!$A1011="","",'ORDENES'!$AF1011)</f>
        <v/>
      </c>
    </row>
    <row r="1034">
      <c r="A1034" s="5">
        <f>IF('ORDENES'!$A1012="","",IF('ORDENES'!$O1012="","-",'ORDENES'!$O1012))</f>
        <v/>
      </c>
      <c r="B1034" s="5">
        <f>IF('ORDENES'!$A1012="","",IF('ORDENES'!$S1012="","-",'ORDENES'!$S1012))</f>
        <v/>
      </c>
      <c r="C1034" s="5">
        <f>IF('ORDENES'!$A1012="","",IF('ORDENES'!$AH1012="","-",'ORDENES'!$AH1012))</f>
        <v/>
      </c>
      <c r="D1034" s="5">
        <f>IF('ORDENES'!$A1012="","",IF('ORDENES'!$Z1012="","-",'ORDENES'!$Z1012))</f>
        <v/>
      </c>
      <c r="E1034" s="5">
        <f>IF('ORDENES'!$A1012="","",IF('ORDENES'!$X1012="","-",'ORDENES'!$X1012))</f>
        <v/>
      </c>
      <c r="F1034" s="5">
        <f>IF('ORDENES'!$A1012="","",IF('ORDENES'!$AA1012="","-",'ORDENES'!$AA1012))</f>
        <v/>
      </c>
      <c r="G1034" s="5">
        <f>IF('ORDENES'!$A1012="","",IF('ORDENES'!$Y1012="","-",'ORDENES'!$Y1012))</f>
        <v/>
      </c>
      <c r="H1034" s="5">
        <f>IF('ORDENES'!$A1012="","",IF('ORDENES'!$AG1012="","-",'ORDENES'!$AG1012))</f>
        <v/>
      </c>
      <c r="I1034" s="5">
        <f>IF('ORDENES'!$A1012="","",IF('ORDENES'!$AT1012="","-",'ORDENES'!$AT1012))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20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IF('ORDENES'!$A1012="","",'ORDENES'!$AF1012)</f>
        <v/>
      </c>
    </row>
    <row r="1035">
      <c r="A1035" s="5">
        <f>IF('ORDENES'!$A1013="","",IF('ORDENES'!$O1013="","-",'ORDENES'!$O1013))</f>
        <v/>
      </c>
      <c r="B1035" s="5">
        <f>IF('ORDENES'!$A1013="","",IF('ORDENES'!$S1013="","-",'ORDENES'!$S1013))</f>
        <v/>
      </c>
      <c r="C1035" s="5">
        <f>IF('ORDENES'!$A1013="","",IF('ORDENES'!$AH1013="","-",'ORDENES'!$AH1013))</f>
        <v/>
      </c>
      <c r="D1035" s="5">
        <f>IF('ORDENES'!$A1013="","",IF('ORDENES'!$Z1013="","-",'ORDENES'!$Z1013))</f>
        <v/>
      </c>
      <c r="E1035" s="5">
        <f>IF('ORDENES'!$A1013="","",IF('ORDENES'!$X1013="","-",'ORDENES'!$X1013))</f>
        <v/>
      </c>
      <c r="F1035" s="5">
        <f>IF('ORDENES'!$A1013="","",IF('ORDENES'!$AA1013="","-",'ORDENES'!$AA1013))</f>
        <v/>
      </c>
      <c r="G1035" s="5">
        <f>IF('ORDENES'!$A1013="","",IF('ORDENES'!$Y1013="","-",'ORDENES'!$Y1013))</f>
        <v/>
      </c>
      <c r="H1035" s="5">
        <f>IF('ORDENES'!$A1013="","",IF('ORDENES'!$AG1013="","-",'ORDENES'!$AG1013))</f>
        <v/>
      </c>
      <c r="I1035" s="5">
        <f>IF('ORDENES'!$A1013="","",IF('ORDENES'!$AT1013="","-",'ORDENES'!$AT1013))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20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IF('ORDENES'!$A1013="","",'ORDENES'!$AF1013)</f>
        <v/>
      </c>
    </row>
    <row r="1036">
      <c r="A1036" s="5">
        <f>IF('ORDENES'!$A1014="","",IF('ORDENES'!$O1014="","-",'ORDENES'!$O1014))</f>
        <v/>
      </c>
      <c r="B1036" s="5">
        <f>IF('ORDENES'!$A1014="","",IF('ORDENES'!$S1014="","-",'ORDENES'!$S1014))</f>
        <v/>
      </c>
      <c r="C1036" s="5">
        <f>IF('ORDENES'!$A1014="","",IF('ORDENES'!$AH1014="","-",'ORDENES'!$AH1014))</f>
        <v/>
      </c>
      <c r="D1036" s="5">
        <f>IF('ORDENES'!$A1014="","",IF('ORDENES'!$Z1014="","-",'ORDENES'!$Z1014))</f>
        <v/>
      </c>
      <c r="E1036" s="5">
        <f>IF('ORDENES'!$A1014="","",IF('ORDENES'!$X1014="","-",'ORDENES'!$X1014))</f>
        <v/>
      </c>
      <c r="F1036" s="5">
        <f>IF('ORDENES'!$A1014="","",IF('ORDENES'!$AA1014="","-",'ORDENES'!$AA1014))</f>
        <v/>
      </c>
      <c r="G1036" s="5">
        <f>IF('ORDENES'!$A1014="","",IF('ORDENES'!$Y1014="","-",'ORDENES'!$Y1014))</f>
        <v/>
      </c>
      <c r="H1036" s="5">
        <f>IF('ORDENES'!$A1014="","",IF('ORDENES'!$AG1014="","-",'ORDENES'!$AG1014))</f>
        <v/>
      </c>
      <c r="I1036" s="5">
        <f>IF('ORDENES'!$A1014="","",IF('ORDENES'!$AT1014="","-",'ORDENES'!$AT1014))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20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IF('ORDENES'!$A1014="","",'ORDENES'!$AF1014)</f>
        <v/>
      </c>
    </row>
    <row r="1037">
      <c r="A1037" s="5">
        <f>IF('ORDENES'!$A1015="","",IF('ORDENES'!$O1015="","-",'ORDENES'!$O1015))</f>
        <v/>
      </c>
      <c r="B1037" s="5">
        <f>IF('ORDENES'!$A1015="","",IF('ORDENES'!$S1015="","-",'ORDENES'!$S1015))</f>
        <v/>
      </c>
      <c r="C1037" s="5">
        <f>IF('ORDENES'!$A1015="","",IF('ORDENES'!$AH1015="","-",'ORDENES'!$AH1015))</f>
        <v/>
      </c>
      <c r="D1037" s="5">
        <f>IF('ORDENES'!$A1015="","",IF('ORDENES'!$Z1015="","-",'ORDENES'!$Z1015))</f>
        <v/>
      </c>
      <c r="E1037" s="5">
        <f>IF('ORDENES'!$A1015="","",IF('ORDENES'!$X1015="","-",'ORDENES'!$X1015))</f>
        <v/>
      </c>
      <c r="F1037" s="5">
        <f>IF('ORDENES'!$A1015="","",IF('ORDENES'!$AA1015="","-",'ORDENES'!$AA1015))</f>
        <v/>
      </c>
      <c r="G1037" s="5">
        <f>IF('ORDENES'!$A1015="","",IF('ORDENES'!$Y1015="","-",'ORDENES'!$Y1015))</f>
        <v/>
      </c>
      <c r="H1037" s="5">
        <f>IF('ORDENES'!$A1015="","",IF('ORDENES'!$AG1015="","-",'ORDENES'!$AG1015))</f>
        <v/>
      </c>
      <c r="I1037" s="5">
        <f>IF('ORDENES'!$A1015="","",IF('ORDENES'!$AT1015="","-",'ORDENES'!$AT1015))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20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IF('ORDENES'!$A1015="","",'ORDENES'!$AF1015)</f>
        <v/>
      </c>
    </row>
    <row r="1038">
      <c r="A1038" s="5">
        <f>IF('ORDENES'!$A1016="","",IF('ORDENES'!$O1016="","-",'ORDENES'!$O1016))</f>
        <v/>
      </c>
      <c r="B1038" s="5">
        <f>IF('ORDENES'!$A1016="","",IF('ORDENES'!$S1016="","-",'ORDENES'!$S1016))</f>
        <v/>
      </c>
      <c r="C1038" s="5">
        <f>IF('ORDENES'!$A1016="","",IF('ORDENES'!$AH1016="","-",'ORDENES'!$AH1016))</f>
        <v/>
      </c>
      <c r="D1038" s="5">
        <f>IF('ORDENES'!$A1016="","",IF('ORDENES'!$Z1016="","-",'ORDENES'!$Z1016))</f>
        <v/>
      </c>
      <c r="E1038" s="5">
        <f>IF('ORDENES'!$A1016="","",IF('ORDENES'!$X1016="","-",'ORDENES'!$X1016))</f>
        <v/>
      </c>
      <c r="F1038" s="5">
        <f>IF('ORDENES'!$A1016="","",IF('ORDENES'!$AA1016="","-",'ORDENES'!$AA1016))</f>
        <v/>
      </c>
      <c r="G1038" s="5">
        <f>IF('ORDENES'!$A1016="","",IF('ORDENES'!$Y1016="","-",'ORDENES'!$Y1016))</f>
        <v/>
      </c>
      <c r="H1038" s="5">
        <f>IF('ORDENES'!$A1016="","",IF('ORDENES'!$AG1016="","-",'ORDENES'!$AG1016))</f>
        <v/>
      </c>
      <c r="I1038" s="5">
        <f>IF('ORDENES'!$A1016="","",IF('ORDENES'!$AT1016="","-",'ORDENES'!$AT1016))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20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IF('ORDENES'!$A1016="","",'ORDENES'!$AF1016)</f>
        <v/>
      </c>
    </row>
    <row r="1039">
      <c r="A1039" s="5">
        <f>IF('ORDENES'!$A1017="","",IF('ORDENES'!$O1017="","-",'ORDENES'!$O1017))</f>
        <v/>
      </c>
      <c r="B1039" s="5">
        <f>IF('ORDENES'!$A1017="","",IF('ORDENES'!$S1017="","-",'ORDENES'!$S1017))</f>
        <v/>
      </c>
      <c r="C1039" s="5">
        <f>IF('ORDENES'!$A1017="","",IF('ORDENES'!$AH1017="","-",'ORDENES'!$AH1017))</f>
        <v/>
      </c>
      <c r="D1039" s="5">
        <f>IF('ORDENES'!$A1017="","",IF('ORDENES'!$Z1017="","-",'ORDENES'!$Z1017))</f>
        <v/>
      </c>
      <c r="E1039" s="5">
        <f>IF('ORDENES'!$A1017="","",IF('ORDENES'!$X1017="","-",'ORDENES'!$X1017))</f>
        <v/>
      </c>
      <c r="F1039" s="5">
        <f>IF('ORDENES'!$A1017="","",IF('ORDENES'!$AA1017="","-",'ORDENES'!$AA1017))</f>
        <v/>
      </c>
      <c r="G1039" s="5">
        <f>IF('ORDENES'!$A1017="","",IF('ORDENES'!$Y1017="","-",'ORDENES'!$Y1017))</f>
        <v/>
      </c>
      <c r="H1039" s="5">
        <f>IF('ORDENES'!$A1017="","",IF('ORDENES'!$AG1017="","-",'ORDENES'!$AG1017))</f>
        <v/>
      </c>
      <c r="I1039" s="5">
        <f>IF('ORDENES'!$A1017="","",IF('ORDENES'!$AT1017="","-",'ORDENES'!$AT1017))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20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IF('ORDENES'!$A1017="","",'ORDENES'!$AF1017)</f>
        <v/>
      </c>
    </row>
    <row r="1040">
      <c r="A1040" s="5">
        <f>IF('ORDENES'!$A1018="","",IF('ORDENES'!$O1018="","-",'ORDENES'!$O1018))</f>
        <v/>
      </c>
      <c r="B1040" s="5">
        <f>IF('ORDENES'!$A1018="","",IF('ORDENES'!$S1018="","-",'ORDENES'!$S1018))</f>
        <v/>
      </c>
      <c r="C1040" s="5">
        <f>IF('ORDENES'!$A1018="","",IF('ORDENES'!$AH1018="","-",'ORDENES'!$AH1018))</f>
        <v/>
      </c>
      <c r="D1040" s="5">
        <f>IF('ORDENES'!$A1018="","",IF('ORDENES'!$Z1018="","-",'ORDENES'!$Z1018))</f>
        <v/>
      </c>
      <c r="E1040" s="5">
        <f>IF('ORDENES'!$A1018="","",IF('ORDENES'!$X1018="","-",'ORDENES'!$X1018))</f>
        <v/>
      </c>
      <c r="F1040" s="5">
        <f>IF('ORDENES'!$A1018="","",IF('ORDENES'!$AA1018="","-",'ORDENES'!$AA1018))</f>
        <v/>
      </c>
      <c r="G1040" s="5">
        <f>IF('ORDENES'!$A1018="","",IF('ORDENES'!$Y1018="","-",'ORDENES'!$Y1018))</f>
        <v/>
      </c>
      <c r="H1040" s="5">
        <f>IF('ORDENES'!$A1018="","",IF('ORDENES'!$AG1018="","-",'ORDENES'!$AG1018))</f>
        <v/>
      </c>
      <c r="I1040" s="5">
        <f>IF('ORDENES'!$A1018="","",IF('ORDENES'!$AT1018="","-",'ORDENES'!$AT1018))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20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IF('ORDENES'!$A1018="","",'ORDENES'!$AF1018)</f>
        <v/>
      </c>
    </row>
    <row r="1041">
      <c r="A1041" s="5">
        <f>IF('ORDENES'!$A1019="","",IF('ORDENES'!$O1019="","-",'ORDENES'!$O1019))</f>
        <v/>
      </c>
      <c r="B1041" s="5">
        <f>IF('ORDENES'!$A1019="","",IF('ORDENES'!$S1019="","-",'ORDENES'!$S1019))</f>
        <v/>
      </c>
      <c r="C1041" s="5">
        <f>IF('ORDENES'!$A1019="","",IF('ORDENES'!$AH1019="","-",'ORDENES'!$AH1019))</f>
        <v/>
      </c>
      <c r="D1041" s="5">
        <f>IF('ORDENES'!$A1019="","",IF('ORDENES'!$Z1019="","-",'ORDENES'!$Z1019))</f>
        <v/>
      </c>
      <c r="E1041" s="5">
        <f>IF('ORDENES'!$A1019="","",IF('ORDENES'!$X1019="","-",'ORDENES'!$X1019))</f>
        <v/>
      </c>
      <c r="F1041" s="5">
        <f>IF('ORDENES'!$A1019="","",IF('ORDENES'!$AA1019="","-",'ORDENES'!$AA1019))</f>
        <v/>
      </c>
      <c r="G1041" s="5">
        <f>IF('ORDENES'!$A1019="","",IF('ORDENES'!$Y1019="","-",'ORDENES'!$Y1019))</f>
        <v/>
      </c>
      <c r="H1041" s="5">
        <f>IF('ORDENES'!$A1019="","",IF('ORDENES'!$AG1019="","-",'ORDENES'!$AG1019))</f>
        <v/>
      </c>
      <c r="I1041" s="5">
        <f>IF('ORDENES'!$A1019="","",IF('ORDENES'!$AT1019="","-",'ORDENES'!$AT1019))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20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IF('ORDENES'!$A1019="","",'ORDENES'!$AF1019)</f>
        <v/>
      </c>
    </row>
    <row r="1042">
      <c r="A1042" s="5">
        <f>IF('ORDENES'!$A1020="","",IF('ORDENES'!$O1020="","-",'ORDENES'!$O1020))</f>
        <v/>
      </c>
      <c r="B1042" s="5">
        <f>IF('ORDENES'!$A1020="","",IF('ORDENES'!$S1020="","-",'ORDENES'!$S1020))</f>
        <v/>
      </c>
      <c r="C1042" s="5">
        <f>IF('ORDENES'!$A1020="","",IF('ORDENES'!$AH1020="","-",'ORDENES'!$AH1020))</f>
        <v/>
      </c>
      <c r="D1042" s="5">
        <f>IF('ORDENES'!$A1020="","",IF('ORDENES'!$Z1020="","-",'ORDENES'!$Z1020))</f>
        <v/>
      </c>
      <c r="E1042" s="5">
        <f>IF('ORDENES'!$A1020="","",IF('ORDENES'!$X1020="","-",'ORDENES'!$X1020))</f>
        <v/>
      </c>
      <c r="F1042" s="5">
        <f>IF('ORDENES'!$A1020="","",IF('ORDENES'!$AA1020="","-",'ORDENES'!$AA1020))</f>
        <v/>
      </c>
      <c r="G1042" s="5">
        <f>IF('ORDENES'!$A1020="","",IF('ORDENES'!$Y1020="","-",'ORDENES'!$Y1020))</f>
        <v/>
      </c>
      <c r="H1042" s="5">
        <f>IF('ORDENES'!$A1020="","",IF('ORDENES'!$AG1020="","-",'ORDENES'!$AG1020))</f>
        <v/>
      </c>
      <c r="I1042" s="5">
        <f>IF('ORDENES'!$A1020="","",IF('ORDENES'!$AT1020="","-",'ORDENES'!$AT1020))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20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IF('ORDENES'!$A1020="","",'ORDENES'!$AF1020)</f>
        <v/>
      </c>
    </row>
    <row r="1043">
      <c r="A1043" s="5">
        <f>IF('ORDENES'!$A1021="","",IF('ORDENES'!$O1021="","-",'ORDENES'!$O1021))</f>
        <v/>
      </c>
      <c r="B1043" s="5">
        <f>IF('ORDENES'!$A1021="","",IF('ORDENES'!$S1021="","-",'ORDENES'!$S1021))</f>
        <v/>
      </c>
      <c r="C1043" s="5">
        <f>IF('ORDENES'!$A1021="","",IF('ORDENES'!$AH1021="","-",'ORDENES'!$AH1021))</f>
        <v/>
      </c>
      <c r="D1043" s="5">
        <f>IF('ORDENES'!$A1021="","",IF('ORDENES'!$Z1021="","-",'ORDENES'!$Z1021))</f>
        <v/>
      </c>
      <c r="E1043" s="5">
        <f>IF('ORDENES'!$A1021="","",IF('ORDENES'!$X1021="","-",'ORDENES'!$X1021))</f>
        <v/>
      </c>
      <c r="F1043" s="5">
        <f>IF('ORDENES'!$A1021="","",IF('ORDENES'!$AA1021="","-",'ORDENES'!$AA1021))</f>
        <v/>
      </c>
      <c r="G1043" s="5">
        <f>IF('ORDENES'!$A1021="","",IF('ORDENES'!$Y1021="","-",'ORDENES'!$Y1021))</f>
        <v/>
      </c>
      <c r="H1043" s="5">
        <f>IF('ORDENES'!$A1021="","",IF('ORDENES'!$AG1021="","-",'ORDENES'!$AG1021))</f>
        <v/>
      </c>
      <c r="I1043" s="5">
        <f>IF('ORDENES'!$A1021="","",IF('ORDENES'!$AT1021="","-",'ORDENES'!$AT1021))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20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IF('ORDENES'!$A1021="","",'ORDENES'!$AF1021)</f>
        <v/>
      </c>
    </row>
    <row r="1044">
      <c r="A1044" s="5">
        <f>IF('ORDENES'!$A1022="","",IF('ORDENES'!$O1022="","-",'ORDENES'!$O1022))</f>
        <v/>
      </c>
      <c r="B1044" s="5">
        <f>IF('ORDENES'!$A1022="","",IF('ORDENES'!$S1022="","-",'ORDENES'!$S1022))</f>
        <v/>
      </c>
      <c r="C1044" s="5">
        <f>IF('ORDENES'!$A1022="","",IF('ORDENES'!$AH1022="","-",'ORDENES'!$AH1022))</f>
        <v/>
      </c>
      <c r="D1044" s="5">
        <f>IF('ORDENES'!$A1022="","",IF('ORDENES'!$Z1022="","-",'ORDENES'!$Z1022))</f>
        <v/>
      </c>
      <c r="E1044" s="5">
        <f>IF('ORDENES'!$A1022="","",IF('ORDENES'!$X1022="","-",'ORDENES'!$X1022))</f>
        <v/>
      </c>
      <c r="F1044" s="5">
        <f>IF('ORDENES'!$A1022="","",IF('ORDENES'!$AA1022="","-",'ORDENES'!$AA1022))</f>
        <v/>
      </c>
      <c r="G1044" s="5">
        <f>IF('ORDENES'!$A1022="","",IF('ORDENES'!$Y1022="","-",'ORDENES'!$Y1022))</f>
        <v/>
      </c>
      <c r="H1044" s="5">
        <f>IF('ORDENES'!$A1022="","",IF('ORDENES'!$AG1022="","-",'ORDENES'!$AG1022))</f>
        <v/>
      </c>
      <c r="I1044" s="5">
        <f>IF('ORDENES'!$A1022="","",IF('ORDENES'!$AT1022="","-",'ORDENES'!$AT1022))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20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IF('ORDENES'!$A1022="","",'ORDENES'!$AF1022)</f>
        <v/>
      </c>
    </row>
    <row r="1045">
      <c r="A1045" s="5">
        <f>IF('ORDENES'!$A1023="","",IF('ORDENES'!$O1023="","-",'ORDENES'!$O1023))</f>
        <v/>
      </c>
      <c r="B1045" s="5">
        <f>IF('ORDENES'!$A1023="","",IF('ORDENES'!$S1023="","-",'ORDENES'!$S1023))</f>
        <v/>
      </c>
      <c r="C1045" s="5">
        <f>IF('ORDENES'!$A1023="","",IF('ORDENES'!$AH1023="","-",'ORDENES'!$AH1023))</f>
        <v/>
      </c>
      <c r="D1045" s="5">
        <f>IF('ORDENES'!$A1023="","",IF('ORDENES'!$Z1023="","-",'ORDENES'!$Z1023))</f>
        <v/>
      </c>
      <c r="E1045" s="5">
        <f>IF('ORDENES'!$A1023="","",IF('ORDENES'!$X1023="","-",'ORDENES'!$X1023))</f>
        <v/>
      </c>
      <c r="F1045" s="5">
        <f>IF('ORDENES'!$A1023="","",IF('ORDENES'!$AA1023="","-",'ORDENES'!$AA1023))</f>
        <v/>
      </c>
      <c r="G1045" s="5">
        <f>IF('ORDENES'!$A1023="","",IF('ORDENES'!$Y1023="","-",'ORDENES'!$Y1023))</f>
        <v/>
      </c>
      <c r="H1045" s="5">
        <f>IF('ORDENES'!$A1023="","",IF('ORDENES'!$AG1023="","-",'ORDENES'!$AG1023))</f>
        <v/>
      </c>
      <c r="I1045" s="5">
        <f>IF('ORDENES'!$A1023="","",IF('ORDENES'!$AT1023="","-",'ORDENES'!$AT1023))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20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IF('ORDENES'!$A1023="","",'ORDENES'!$AF1023)</f>
        <v/>
      </c>
    </row>
    <row r="1046">
      <c r="A1046" s="5">
        <f>IF('ORDENES'!$A1024="","",IF('ORDENES'!$O1024="","-",'ORDENES'!$O1024))</f>
        <v/>
      </c>
      <c r="B1046" s="5">
        <f>IF('ORDENES'!$A1024="","",IF('ORDENES'!$S1024="","-",'ORDENES'!$S1024))</f>
        <v/>
      </c>
      <c r="C1046" s="5">
        <f>IF('ORDENES'!$A1024="","",IF('ORDENES'!$AH1024="","-",'ORDENES'!$AH1024))</f>
        <v/>
      </c>
      <c r="D1046" s="5">
        <f>IF('ORDENES'!$A1024="","",IF('ORDENES'!$Z1024="","-",'ORDENES'!$Z1024))</f>
        <v/>
      </c>
      <c r="E1046" s="5">
        <f>IF('ORDENES'!$A1024="","",IF('ORDENES'!$X1024="","-",'ORDENES'!$X1024))</f>
        <v/>
      </c>
      <c r="F1046" s="5">
        <f>IF('ORDENES'!$A1024="","",IF('ORDENES'!$AA1024="","-",'ORDENES'!$AA1024))</f>
        <v/>
      </c>
      <c r="G1046" s="5">
        <f>IF('ORDENES'!$A1024="","",IF('ORDENES'!$Y1024="","-",'ORDENES'!$Y1024))</f>
        <v/>
      </c>
      <c r="H1046" s="5">
        <f>IF('ORDENES'!$A1024="","",IF('ORDENES'!$AG1024="","-",'ORDENES'!$AG1024))</f>
        <v/>
      </c>
      <c r="I1046" s="5">
        <f>IF('ORDENES'!$A1024="","",IF('ORDENES'!$AT1024="","-",'ORDENES'!$AT1024))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20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IF('ORDENES'!$A1024="","",'ORDENES'!$AF1024)</f>
        <v/>
      </c>
    </row>
    <row r="1047">
      <c r="A1047" s="5">
        <f>IF('ORDENES'!$A1025="","",IF('ORDENES'!$O1025="","-",'ORDENES'!$O1025))</f>
        <v/>
      </c>
      <c r="B1047" s="5">
        <f>IF('ORDENES'!$A1025="","",IF('ORDENES'!$S1025="","-",'ORDENES'!$S1025))</f>
        <v/>
      </c>
      <c r="C1047" s="5">
        <f>IF('ORDENES'!$A1025="","",IF('ORDENES'!$AH1025="","-",'ORDENES'!$AH1025))</f>
        <v/>
      </c>
      <c r="D1047" s="5">
        <f>IF('ORDENES'!$A1025="","",IF('ORDENES'!$Z1025="","-",'ORDENES'!$Z1025))</f>
        <v/>
      </c>
      <c r="E1047" s="5">
        <f>IF('ORDENES'!$A1025="","",IF('ORDENES'!$X1025="","-",'ORDENES'!$X1025))</f>
        <v/>
      </c>
      <c r="F1047" s="5">
        <f>IF('ORDENES'!$A1025="","",IF('ORDENES'!$AA1025="","-",'ORDENES'!$AA1025))</f>
        <v/>
      </c>
      <c r="G1047" s="5">
        <f>IF('ORDENES'!$A1025="","",IF('ORDENES'!$Y1025="","-",'ORDENES'!$Y1025))</f>
        <v/>
      </c>
      <c r="H1047" s="5">
        <f>IF('ORDENES'!$A1025="","",IF('ORDENES'!$AG1025="","-",'ORDENES'!$AG1025))</f>
        <v/>
      </c>
      <c r="I1047" s="5">
        <f>IF('ORDENES'!$A1025="","",IF('ORDENES'!$AT1025="","-",'ORDENES'!$AT1025))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20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IF('ORDENES'!$A1025="","",'ORDENES'!$AF1025)</f>
        <v/>
      </c>
    </row>
    <row r="1048">
      <c r="A1048" s="5">
        <f>IF('ORDENES'!$A1026="","",IF('ORDENES'!$O1026="","-",'ORDENES'!$O1026))</f>
        <v/>
      </c>
      <c r="B1048" s="5">
        <f>IF('ORDENES'!$A1026="","",IF('ORDENES'!$S1026="","-",'ORDENES'!$S1026))</f>
        <v/>
      </c>
      <c r="C1048" s="5">
        <f>IF('ORDENES'!$A1026="","",IF('ORDENES'!$AH1026="","-",'ORDENES'!$AH1026))</f>
        <v/>
      </c>
      <c r="D1048" s="5">
        <f>IF('ORDENES'!$A1026="","",IF('ORDENES'!$Z1026="","-",'ORDENES'!$Z1026))</f>
        <v/>
      </c>
      <c r="E1048" s="5">
        <f>IF('ORDENES'!$A1026="","",IF('ORDENES'!$X1026="","-",'ORDENES'!$X1026))</f>
        <v/>
      </c>
      <c r="F1048" s="5">
        <f>IF('ORDENES'!$A1026="","",IF('ORDENES'!$AA1026="","-",'ORDENES'!$AA1026))</f>
        <v/>
      </c>
      <c r="G1048" s="5">
        <f>IF('ORDENES'!$A1026="","",IF('ORDENES'!$Y1026="","-",'ORDENES'!$Y1026))</f>
        <v/>
      </c>
      <c r="H1048" s="5">
        <f>IF('ORDENES'!$A1026="","",IF('ORDENES'!$AG1026="","-",'ORDENES'!$AG1026))</f>
        <v/>
      </c>
      <c r="I1048" s="5">
        <f>IF('ORDENES'!$A1026="","",IF('ORDENES'!$AT1026="","-",'ORDENES'!$AT1026))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20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IF('ORDENES'!$A1026="","",'ORDENES'!$AF1026)</f>
        <v/>
      </c>
    </row>
    <row r="1049">
      <c r="A1049" s="5">
        <f>IF('ORDENES'!$A1027="","",IF('ORDENES'!$O1027="","-",'ORDENES'!$O1027))</f>
        <v/>
      </c>
      <c r="B1049" s="5">
        <f>IF('ORDENES'!$A1027="","",IF('ORDENES'!$S1027="","-",'ORDENES'!$S1027))</f>
        <v/>
      </c>
      <c r="C1049" s="5">
        <f>IF('ORDENES'!$A1027="","",IF('ORDENES'!$AH1027="","-",'ORDENES'!$AH1027))</f>
        <v/>
      </c>
      <c r="D1049" s="5">
        <f>IF('ORDENES'!$A1027="","",IF('ORDENES'!$Z1027="","-",'ORDENES'!$Z1027))</f>
        <v/>
      </c>
      <c r="E1049" s="5">
        <f>IF('ORDENES'!$A1027="","",IF('ORDENES'!$X1027="","-",'ORDENES'!$X1027))</f>
        <v/>
      </c>
      <c r="F1049" s="5">
        <f>IF('ORDENES'!$A1027="","",IF('ORDENES'!$AA1027="","-",'ORDENES'!$AA1027))</f>
        <v/>
      </c>
      <c r="G1049" s="5">
        <f>IF('ORDENES'!$A1027="","",IF('ORDENES'!$Y1027="","-",'ORDENES'!$Y1027))</f>
        <v/>
      </c>
      <c r="H1049" s="5">
        <f>IF('ORDENES'!$A1027="","",IF('ORDENES'!$AG1027="","-",'ORDENES'!$AG1027))</f>
        <v/>
      </c>
      <c r="I1049" s="5">
        <f>IF('ORDENES'!$A1027="","",IF('ORDENES'!$AT1027="","-",'ORDENES'!$AT1027))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20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IF('ORDENES'!$A1027="","",'ORDENES'!$AF1027)</f>
        <v/>
      </c>
    </row>
    <row r="1050">
      <c r="A1050" s="5">
        <f>IF('ORDENES'!$A1028="","",IF('ORDENES'!$O1028="","-",'ORDENES'!$O1028))</f>
        <v/>
      </c>
      <c r="B1050" s="5">
        <f>IF('ORDENES'!$A1028="","",IF('ORDENES'!$S1028="","-",'ORDENES'!$S1028))</f>
        <v/>
      </c>
      <c r="C1050" s="5">
        <f>IF('ORDENES'!$A1028="","",IF('ORDENES'!$AH1028="","-",'ORDENES'!$AH1028))</f>
        <v/>
      </c>
      <c r="D1050" s="5">
        <f>IF('ORDENES'!$A1028="","",IF('ORDENES'!$Z1028="","-",'ORDENES'!$Z1028))</f>
        <v/>
      </c>
      <c r="E1050" s="5">
        <f>IF('ORDENES'!$A1028="","",IF('ORDENES'!$X1028="","-",'ORDENES'!$X1028))</f>
        <v/>
      </c>
      <c r="F1050" s="5">
        <f>IF('ORDENES'!$A1028="","",IF('ORDENES'!$AA1028="","-",'ORDENES'!$AA1028))</f>
        <v/>
      </c>
      <c r="G1050" s="5">
        <f>IF('ORDENES'!$A1028="","",IF('ORDENES'!$Y1028="","-",'ORDENES'!$Y1028))</f>
        <v/>
      </c>
      <c r="H1050" s="5">
        <f>IF('ORDENES'!$A1028="","",IF('ORDENES'!$AG1028="","-",'ORDENES'!$AG1028))</f>
        <v/>
      </c>
      <c r="I1050" s="5">
        <f>IF('ORDENES'!$A1028="","",IF('ORDENES'!$AT1028="","-",'ORDENES'!$AT1028))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20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IF('ORDENES'!$A1028="","",'ORDENES'!$AF1028)</f>
        <v/>
      </c>
    </row>
    <row r="1051">
      <c r="A1051" s="5">
        <f>IF('ORDENES'!$A1029="","",IF('ORDENES'!$O1029="","-",'ORDENES'!$O1029))</f>
        <v/>
      </c>
      <c r="B1051" s="5">
        <f>IF('ORDENES'!$A1029="","",IF('ORDENES'!$S1029="","-",'ORDENES'!$S1029))</f>
        <v/>
      </c>
      <c r="C1051" s="5">
        <f>IF('ORDENES'!$A1029="","",IF('ORDENES'!$AH1029="","-",'ORDENES'!$AH1029))</f>
        <v/>
      </c>
      <c r="D1051" s="5">
        <f>IF('ORDENES'!$A1029="","",IF('ORDENES'!$Z1029="","-",'ORDENES'!$Z1029))</f>
        <v/>
      </c>
      <c r="E1051" s="5">
        <f>IF('ORDENES'!$A1029="","",IF('ORDENES'!$X1029="","-",'ORDENES'!$X1029))</f>
        <v/>
      </c>
      <c r="F1051" s="5">
        <f>IF('ORDENES'!$A1029="","",IF('ORDENES'!$AA1029="","-",'ORDENES'!$AA1029))</f>
        <v/>
      </c>
      <c r="G1051" s="5">
        <f>IF('ORDENES'!$A1029="","",IF('ORDENES'!$Y1029="","-",'ORDENES'!$Y1029))</f>
        <v/>
      </c>
      <c r="H1051" s="5">
        <f>IF('ORDENES'!$A1029="","",IF('ORDENES'!$AG1029="","-",'ORDENES'!$AG1029))</f>
        <v/>
      </c>
      <c r="I1051" s="5">
        <f>IF('ORDENES'!$A1029="","",IF('ORDENES'!$AT1029="","-",'ORDENES'!$AT1029))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20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IF('ORDENES'!$A1029="","",'ORDENES'!$AF1029)</f>
        <v/>
      </c>
    </row>
    <row r="1052">
      <c r="A1052" s="5">
        <f>IF('ORDENES'!$A1030="","",IF('ORDENES'!$O1030="","-",'ORDENES'!$O1030))</f>
        <v/>
      </c>
      <c r="B1052" s="5">
        <f>IF('ORDENES'!$A1030="","",IF('ORDENES'!$S1030="","-",'ORDENES'!$S1030))</f>
        <v/>
      </c>
      <c r="C1052" s="5">
        <f>IF('ORDENES'!$A1030="","",IF('ORDENES'!$AH1030="","-",'ORDENES'!$AH1030))</f>
        <v/>
      </c>
      <c r="D1052" s="5">
        <f>IF('ORDENES'!$A1030="","",IF('ORDENES'!$Z1030="","-",'ORDENES'!$Z1030))</f>
        <v/>
      </c>
      <c r="E1052" s="5">
        <f>IF('ORDENES'!$A1030="","",IF('ORDENES'!$X1030="","-",'ORDENES'!$X1030))</f>
        <v/>
      </c>
      <c r="F1052" s="5">
        <f>IF('ORDENES'!$A1030="","",IF('ORDENES'!$AA1030="","-",'ORDENES'!$AA1030))</f>
        <v/>
      </c>
      <c r="G1052" s="5">
        <f>IF('ORDENES'!$A1030="","",IF('ORDENES'!$Y1030="","-",'ORDENES'!$Y1030))</f>
        <v/>
      </c>
      <c r="H1052" s="5">
        <f>IF('ORDENES'!$A1030="","",IF('ORDENES'!$AG1030="","-",'ORDENES'!$AG1030))</f>
        <v/>
      </c>
      <c r="I1052" s="5">
        <f>IF('ORDENES'!$A1030="","",IF('ORDENES'!$AT1030="","-",'ORDENES'!$AT1030))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20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IF('ORDENES'!$A1030="","",'ORDENES'!$AF1030)</f>
        <v/>
      </c>
    </row>
    <row r="1053">
      <c r="A1053" s="5">
        <f>IF('ORDENES'!$A1031="","",IF('ORDENES'!$O1031="","-",'ORDENES'!$O1031))</f>
        <v/>
      </c>
      <c r="B1053" s="5">
        <f>IF('ORDENES'!$A1031="","",IF('ORDENES'!$S1031="","-",'ORDENES'!$S1031))</f>
        <v/>
      </c>
      <c r="C1053" s="5">
        <f>IF('ORDENES'!$A1031="","",IF('ORDENES'!$AH1031="","-",'ORDENES'!$AH1031))</f>
        <v/>
      </c>
      <c r="D1053" s="5">
        <f>IF('ORDENES'!$A1031="","",IF('ORDENES'!$Z1031="","-",'ORDENES'!$Z1031))</f>
        <v/>
      </c>
      <c r="E1053" s="5">
        <f>IF('ORDENES'!$A1031="","",IF('ORDENES'!$X1031="","-",'ORDENES'!$X1031))</f>
        <v/>
      </c>
      <c r="F1053" s="5">
        <f>IF('ORDENES'!$A1031="","",IF('ORDENES'!$AA1031="","-",'ORDENES'!$AA1031))</f>
        <v/>
      </c>
      <c r="G1053" s="5">
        <f>IF('ORDENES'!$A1031="","",IF('ORDENES'!$Y1031="","-",'ORDENES'!$Y1031))</f>
        <v/>
      </c>
      <c r="H1053" s="5">
        <f>IF('ORDENES'!$A1031="","",IF('ORDENES'!$AG1031="","-",'ORDENES'!$AG1031))</f>
        <v/>
      </c>
      <c r="I1053" s="5">
        <f>IF('ORDENES'!$A1031="","",IF('ORDENES'!$AT1031="","-",'ORDENES'!$AT1031))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20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IF('ORDENES'!$A1031="","",'ORDENES'!$AF1031)</f>
        <v/>
      </c>
    </row>
    <row r="1054">
      <c r="A1054" s="5">
        <f>IF('ORDENES'!$A1032="","",IF('ORDENES'!$O1032="","-",'ORDENES'!$O1032))</f>
        <v/>
      </c>
      <c r="B1054" s="5">
        <f>IF('ORDENES'!$A1032="","",IF('ORDENES'!$S1032="","-",'ORDENES'!$S1032))</f>
        <v/>
      </c>
      <c r="C1054" s="5">
        <f>IF('ORDENES'!$A1032="","",IF('ORDENES'!$AH1032="","-",'ORDENES'!$AH1032))</f>
        <v/>
      </c>
      <c r="D1054" s="5">
        <f>IF('ORDENES'!$A1032="","",IF('ORDENES'!$Z1032="","-",'ORDENES'!$Z1032))</f>
        <v/>
      </c>
      <c r="E1054" s="5">
        <f>IF('ORDENES'!$A1032="","",IF('ORDENES'!$X1032="","-",'ORDENES'!$X1032))</f>
        <v/>
      </c>
      <c r="F1054" s="5">
        <f>IF('ORDENES'!$A1032="","",IF('ORDENES'!$AA1032="","-",'ORDENES'!$AA1032))</f>
        <v/>
      </c>
      <c r="G1054" s="5">
        <f>IF('ORDENES'!$A1032="","",IF('ORDENES'!$Y1032="","-",'ORDENES'!$Y1032))</f>
        <v/>
      </c>
      <c r="H1054" s="5">
        <f>IF('ORDENES'!$A1032="","",IF('ORDENES'!$AG1032="","-",'ORDENES'!$AG1032))</f>
        <v/>
      </c>
      <c r="I1054" s="5">
        <f>IF('ORDENES'!$A1032="","",IF('ORDENES'!$AT1032="","-",'ORDENES'!$AT1032))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20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IF('ORDENES'!$A1032="","",'ORDENES'!$AF1032)</f>
        <v/>
      </c>
    </row>
    <row r="1055">
      <c r="A1055" s="5">
        <f>IF('ORDENES'!$A1033="","",IF('ORDENES'!$O1033="","-",'ORDENES'!$O1033))</f>
        <v/>
      </c>
      <c r="B1055" s="5">
        <f>IF('ORDENES'!$A1033="","",IF('ORDENES'!$S1033="","-",'ORDENES'!$S1033))</f>
        <v/>
      </c>
      <c r="C1055" s="5">
        <f>IF('ORDENES'!$A1033="","",IF('ORDENES'!$AH1033="","-",'ORDENES'!$AH1033))</f>
        <v/>
      </c>
      <c r="D1055" s="5">
        <f>IF('ORDENES'!$A1033="","",IF('ORDENES'!$Z1033="","-",'ORDENES'!$Z1033))</f>
        <v/>
      </c>
      <c r="E1055" s="5">
        <f>IF('ORDENES'!$A1033="","",IF('ORDENES'!$X1033="","-",'ORDENES'!$X1033))</f>
        <v/>
      </c>
      <c r="F1055" s="5">
        <f>IF('ORDENES'!$A1033="","",IF('ORDENES'!$AA1033="","-",'ORDENES'!$AA1033))</f>
        <v/>
      </c>
      <c r="G1055" s="5">
        <f>IF('ORDENES'!$A1033="","",IF('ORDENES'!$Y1033="","-",'ORDENES'!$Y1033))</f>
        <v/>
      </c>
      <c r="H1055" s="5">
        <f>IF('ORDENES'!$A1033="","",IF('ORDENES'!$AG1033="","-",'ORDENES'!$AG1033))</f>
        <v/>
      </c>
      <c r="I1055" s="5">
        <f>IF('ORDENES'!$A1033="","",IF('ORDENES'!$AT1033="","-",'ORDENES'!$AT1033))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20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IF('ORDENES'!$A1033="","",'ORDENES'!$AF1033)</f>
        <v/>
      </c>
    </row>
    <row r="1056">
      <c r="A1056" s="5">
        <f>IF('ORDENES'!$A1034="","",IF('ORDENES'!$O1034="","-",'ORDENES'!$O1034))</f>
        <v/>
      </c>
      <c r="B1056" s="5">
        <f>IF('ORDENES'!$A1034="","",IF('ORDENES'!$S1034="","-",'ORDENES'!$S1034))</f>
        <v/>
      </c>
      <c r="C1056" s="5">
        <f>IF('ORDENES'!$A1034="","",IF('ORDENES'!$AH1034="","-",'ORDENES'!$AH1034))</f>
        <v/>
      </c>
      <c r="D1056" s="5">
        <f>IF('ORDENES'!$A1034="","",IF('ORDENES'!$Z1034="","-",'ORDENES'!$Z1034))</f>
        <v/>
      </c>
      <c r="E1056" s="5">
        <f>IF('ORDENES'!$A1034="","",IF('ORDENES'!$X1034="","-",'ORDENES'!$X1034))</f>
        <v/>
      </c>
      <c r="F1056" s="5">
        <f>IF('ORDENES'!$A1034="","",IF('ORDENES'!$AA1034="","-",'ORDENES'!$AA1034))</f>
        <v/>
      </c>
      <c r="G1056" s="5">
        <f>IF('ORDENES'!$A1034="","",IF('ORDENES'!$Y1034="","-",'ORDENES'!$Y1034))</f>
        <v/>
      </c>
      <c r="H1056" s="5">
        <f>IF('ORDENES'!$A1034="","",IF('ORDENES'!$AG1034="","-",'ORDENES'!$AG1034))</f>
        <v/>
      </c>
      <c r="I1056" s="5">
        <f>IF('ORDENES'!$A1034="","",IF('ORDENES'!$AT1034="","-",'ORDENES'!$AT1034))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20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IF('ORDENES'!$A1034="","",'ORDENES'!$AF1034)</f>
        <v/>
      </c>
    </row>
    <row r="1057">
      <c r="A1057" s="5">
        <f>IF('ORDENES'!$A1035="","",IF('ORDENES'!$O1035="","-",'ORDENES'!$O1035))</f>
        <v/>
      </c>
      <c r="B1057" s="5">
        <f>IF('ORDENES'!$A1035="","",IF('ORDENES'!$S1035="","-",'ORDENES'!$S1035))</f>
        <v/>
      </c>
      <c r="C1057" s="5">
        <f>IF('ORDENES'!$A1035="","",IF('ORDENES'!$AH1035="","-",'ORDENES'!$AH1035))</f>
        <v/>
      </c>
      <c r="D1057" s="5">
        <f>IF('ORDENES'!$A1035="","",IF('ORDENES'!$Z1035="","-",'ORDENES'!$Z1035))</f>
        <v/>
      </c>
      <c r="E1057" s="5">
        <f>IF('ORDENES'!$A1035="","",IF('ORDENES'!$X1035="","-",'ORDENES'!$X1035))</f>
        <v/>
      </c>
      <c r="F1057" s="5">
        <f>IF('ORDENES'!$A1035="","",IF('ORDENES'!$AA1035="","-",'ORDENES'!$AA1035))</f>
        <v/>
      </c>
      <c r="G1057" s="5">
        <f>IF('ORDENES'!$A1035="","",IF('ORDENES'!$Y1035="","-",'ORDENES'!$Y1035))</f>
        <v/>
      </c>
      <c r="H1057" s="5">
        <f>IF('ORDENES'!$A1035="","",IF('ORDENES'!$AG1035="","-",'ORDENES'!$AG1035))</f>
        <v/>
      </c>
      <c r="I1057" s="5">
        <f>IF('ORDENES'!$A1035="","",IF('ORDENES'!$AT1035="","-",'ORDENES'!$AT1035))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20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IF('ORDENES'!$A1035="","",'ORDENES'!$AF1035)</f>
        <v/>
      </c>
    </row>
    <row r="1058">
      <c r="A1058" s="5">
        <f>IF('ORDENES'!$A1036="","",IF('ORDENES'!$O1036="","-",'ORDENES'!$O1036))</f>
        <v/>
      </c>
      <c r="B1058" s="5">
        <f>IF('ORDENES'!$A1036="","",IF('ORDENES'!$S1036="","-",'ORDENES'!$S1036))</f>
        <v/>
      </c>
      <c r="C1058" s="5">
        <f>IF('ORDENES'!$A1036="","",IF('ORDENES'!$AH1036="","-",'ORDENES'!$AH1036))</f>
        <v/>
      </c>
      <c r="D1058" s="5">
        <f>IF('ORDENES'!$A1036="","",IF('ORDENES'!$Z1036="","-",'ORDENES'!$Z1036))</f>
        <v/>
      </c>
      <c r="E1058" s="5">
        <f>IF('ORDENES'!$A1036="","",IF('ORDENES'!$X1036="","-",'ORDENES'!$X1036))</f>
        <v/>
      </c>
      <c r="F1058" s="5">
        <f>IF('ORDENES'!$A1036="","",IF('ORDENES'!$AA1036="","-",'ORDENES'!$AA1036))</f>
        <v/>
      </c>
      <c r="G1058" s="5">
        <f>IF('ORDENES'!$A1036="","",IF('ORDENES'!$Y1036="","-",'ORDENES'!$Y1036))</f>
        <v/>
      </c>
      <c r="H1058" s="5">
        <f>IF('ORDENES'!$A1036="","",IF('ORDENES'!$AG1036="","-",'ORDENES'!$AG1036))</f>
        <v/>
      </c>
      <c r="I1058" s="5">
        <f>IF('ORDENES'!$A1036="","",IF('ORDENES'!$AT1036="","-",'ORDENES'!$AT1036))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20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IF('ORDENES'!$A1036="","",'ORDENES'!$AF1036)</f>
        <v/>
      </c>
    </row>
    <row r="1059">
      <c r="A1059" s="5">
        <f>IF('ORDENES'!$A1037="","",IF('ORDENES'!$O1037="","-",'ORDENES'!$O1037))</f>
        <v/>
      </c>
      <c r="B1059" s="5">
        <f>IF('ORDENES'!$A1037="","",IF('ORDENES'!$S1037="","-",'ORDENES'!$S1037))</f>
        <v/>
      </c>
      <c r="C1059" s="5">
        <f>IF('ORDENES'!$A1037="","",IF('ORDENES'!$AH1037="","-",'ORDENES'!$AH1037))</f>
        <v/>
      </c>
      <c r="D1059" s="5">
        <f>IF('ORDENES'!$A1037="","",IF('ORDENES'!$Z1037="","-",'ORDENES'!$Z1037))</f>
        <v/>
      </c>
      <c r="E1059" s="5">
        <f>IF('ORDENES'!$A1037="","",IF('ORDENES'!$X1037="","-",'ORDENES'!$X1037))</f>
        <v/>
      </c>
      <c r="F1059" s="5">
        <f>IF('ORDENES'!$A1037="","",IF('ORDENES'!$AA1037="","-",'ORDENES'!$AA1037))</f>
        <v/>
      </c>
      <c r="G1059" s="5">
        <f>IF('ORDENES'!$A1037="","",IF('ORDENES'!$Y1037="","-",'ORDENES'!$Y1037))</f>
        <v/>
      </c>
      <c r="H1059" s="5">
        <f>IF('ORDENES'!$A1037="","",IF('ORDENES'!$AG1037="","-",'ORDENES'!$AG1037))</f>
        <v/>
      </c>
      <c r="I1059" s="5">
        <f>IF('ORDENES'!$A1037="","",IF('ORDENES'!$AT1037="","-",'ORDENES'!$AT1037))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20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IF('ORDENES'!$A1037="","",'ORDENES'!$AF1037)</f>
        <v/>
      </c>
    </row>
    <row r="1060">
      <c r="A1060" s="5">
        <f>IF('ORDENES'!$A1038="","",IF('ORDENES'!$O1038="","-",'ORDENES'!$O1038))</f>
        <v/>
      </c>
      <c r="B1060" s="5">
        <f>IF('ORDENES'!$A1038="","",IF('ORDENES'!$S1038="","-",'ORDENES'!$S1038))</f>
        <v/>
      </c>
      <c r="C1060" s="5">
        <f>IF('ORDENES'!$A1038="","",IF('ORDENES'!$AH1038="","-",'ORDENES'!$AH1038))</f>
        <v/>
      </c>
      <c r="D1060" s="5">
        <f>IF('ORDENES'!$A1038="","",IF('ORDENES'!$Z1038="","-",'ORDENES'!$Z1038))</f>
        <v/>
      </c>
      <c r="E1060" s="5">
        <f>IF('ORDENES'!$A1038="","",IF('ORDENES'!$X1038="","-",'ORDENES'!$X1038))</f>
        <v/>
      </c>
      <c r="F1060" s="5">
        <f>IF('ORDENES'!$A1038="","",IF('ORDENES'!$AA1038="","-",'ORDENES'!$AA1038))</f>
        <v/>
      </c>
      <c r="G1060" s="5">
        <f>IF('ORDENES'!$A1038="","",IF('ORDENES'!$Y1038="","-",'ORDENES'!$Y1038))</f>
        <v/>
      </c>
      <c r="H1060" s="5">
        <f>IF('ORDENES'!$A1038="","",IF('ORDENES'!$AG1038="","-",'ORDENES'!$AG1038))</f>
        <v/>
      </c>
      <c r="I1060" s="5">
        <f>IF('ORDENES'!$A1038="","",IF('ORDENES'!$AT1038="","-",'ORDENES'!$AT1038))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20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IF('ORDENES'!$A1038="","",'ORDENES'!$AF1038)</f>
        <v/>
      </c>
    </row>
    <row r="1061">
      <c r="A1061" s="5">
        <f>IF('ORDENES'!$A1039="","",IF('ORDENES'!$O1039="","-",'ORDENES'!$O1039))</f>
        <v/>
      </c>
      <c r="B1061" s="5">
        <f>IF('ORDENES'!$A1039="","",IF('ORDENES'!$S1039="","-",'ORDENES'!$S1039))</f>
        <v/>
      </c>
      <c r="C1061" s="5">
        <f>IF('ORDENES'!$A1039="","",IF('ORDENES'!$AH1039="","-",'ORDENES'!$AH1039))</f>
        <v/>
      </c>
      <c r="D1061" s="5">
        <f>IF('ORDENES'!$A1039="","",IF('ORDENES'!$Z1039="","-",'ORDENES'!$Z1039))</f>
        <v/>
      </c>
      <c r="E1061" s="5">
        <f>IF('ORDENES'!$A1039="","",IF('ORDENES'!$X1039="","-",'ORDENES'!$X1039))</f>
        <v/>
      </c>
      <c r="F1061" s="5">
        <f>IF('ORDENES'!$A1039="","",IF('ORDENES'!$AA1039="","-",'ORDENES'!$AA1039))</f>
        <v/>
      </c>
      <c r="G1061" s="5">
        <f>IF('ORDENES'!$A1039="","",IF('ORDENES'!$Y1039="","-",'ORDENES'!$Y1039))</f>
        <v/>
      </c>
      <c r="H1061" s="5">
        <f>IF('ORDENES'!$A1039="","",IF('ORDENES'!$AG1039="","-",'ORDENES'!$AG1039))</f>
        <v/>
      </c>
      <c r="I1061" s="5">
        <f>IF('ORDENES'!$A1039="","",IF('ORDENES'!$AT1039="","-",'ORDENES'!$AT1039))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20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IF('ORDENES'!$A1039="","",'ORDENES'!$AF1039)</f>
        <v/>
      </c>
    </row>
    <row r="1062">
      <c r="A1062" s="5">
        <f>IF('ORDENES'!$A1040="","",IF('ORDENES'!$O1040="","-",'ORDENES'!$O1040))</f>
        <v/>
      </c>
      <c r="B1062" s="5">
        <f>IF('ORDENES'!$A1040="","",IF('ORDENES'!$S1040="","-",'ORDENES'!$S1040))</f>
        <v/>
      </c>
      <c r="C1062" s="5">
        <f>IF('ORDENES'!$A1040="","",IF('ORDENES'!$AH1040="","-",'ORDENES'!$AH1040))</f>
        <v/>
      </c>
      <c r="D1062" s="5">
        <f>IF('ORDENES'!$A1040="","",IF('ORDENES'!$Z1040="","-",'ORDENES'!$Z1040))</f>
        <v/>
      </c>
      <c r="E1062" s="5">
        <f>IF('ORDENES'!$A1040="","",IF('ORDENES'!$X1040="","-",'ORDENES'!$X1040))</f>
        <v/>
      </c>
      <c r="F1062" s="5">
        <f>IF('ORDENES'!$A1040="","",IF('ORDENES'!$AA1040="","-",'ORDENES'!$AA1040))</f>
        <v/>
      </c>
      <c r="G1062" s="5">
        <f>IF('ORDENES'!$A1040="","",IF('ORDENES'!$Y1040="","-",'ORDENES'!$Y1040))</f>
        <v/>
      </c>
      <c r="H1062" s="5">
        <f>IF('ORDENES'!$A1040="","",IF('ORDENES'!$AG1040="","-",'ORDENES'!$AG1040))</f>
        <v/>
      </c>
      <c r="I1062" s="5">
        <f>IF('ORDENES'!$A1040="","",IF('ORDENES'!$AT1040="","-",'ORDENES'!$AT1040))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20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IF('ORDENES'!$A1040="","",'ORDENES'!$AF1040)</f>
        <v/>
      </c>
    </row>
    <row r="1063">
      <c r="A1063" s="5">
        <f>IF('ORDENES'!$A1041="","",IF('ORDENES'!$O1041="","-",'ORDENES'!$O1041))</f>
        <v/>
      </c>
      <c r="B1063" s="5">
        <f>IF('ORDENES'!$A1041="","",IF('ORDENES'!$S1041="","-",'ORDENES'!$S1041))</f>
        <v/>
      </c>
      <c r="C1063" s="5">
        <f>IF('ORDENES'!$A1041="","",IF('ORDENES'!$AH1041="","-",'ORDENES'!$AH1041))</f>
        <v/>
      </c>
      <c r="D1063" s="5">
        <f>IF('ORDENES'!$A1041="","",IF('ORDENES'!$Z1041="","-",'ORDENES'!$Z1041))</f>
        <v/>
      </c>
      <c r="E1063" s="5">
        <f>IF('ORDENES'!$A1041="","",IF('ORDENES'!$X1041="","-",'ORDENES'!$X1041))</f>
        <v/>
      </c>
      <c r="F1063" s="5">
        <f>IF('ORDENES'!$A1041="","",IF('ORDENES'!$AA1041="","-",'ORDENES'!$AA1041))</f>
        <v/>
      </c>
      <c r="G1063" s="5">
        <f>IF('ORDENES'!$A1041="","",IF('ORDENES'!$Y1041="","-",'ORDENES'!$Y1041))</f>
        <v/>
      </c>
      <c r="H1063" s="5">
        <f>IF('ORDENES'!$A1041="","",IF('ORDENES'!$AG1041="","-",'ORDENES'!$AG1041))</f>
        <v/>
      </c>
      <c r="I1063" s="5">
        <f>IF('ORDENES'!$A1041="","",IF('ORDENES'!$AT1041="","-",'ORDENES'!$AT1041))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20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IF('ORDENES'!$A1041="","",'ORDENES'!$AF1041)</f>
        <v/>
      </c>
    </row>
    <row r="1064">
      <c r="A1064" s="5">
        <f>IF('ORDENES'!$A1042="","",IF('ORDENES'!$O1042="","-",'ORDENES'!$O1042))</f>
        <v/>
      </c>
      <c r="B1064" s="5">
        <f>IF('ORDENES'!$A1042="","",IF('ORDENES'!$S1042="","-",'ORDENES'!$S1042))</f>
        <v/>
      </c>
      <c r="C1064" s="5">
        <f>IF('ORDENES'!$A1042="","",IF('ORDENES'!$AH1042="","-",'ORDENES'!$AH1042))</f>
        <v/>
      </c>
      <c r="D1064" s="5">
        <f>IF('ORDENES'!$A1042="","",IF('ORDENES'!$Z1042="","-",'ORDENES'!$Z1042))</f>
        <v/>
      </c>
      <c r="E1064" s="5">
        <f>IF('ORDENES'!$A1042="","",IF('ORDENES'!$X1042="","-",'ORDENES'!$X1042))</f>
        <v/>
      </c>
      <c r="F1064" s="5">
        <f>IF('ORDENES'!$A1042="","",IF('ORDENES'!$AA1042="","-",'ORDENES'!$AA1042))</f>
        <v/>
      </c>
      <c r="G1064" s="5">
        <f>IF('ORDENES'!$A1042="","",IF('ORDENES'!$Y1042="","-",'ORDENES'!$Y1042))</f>
        <v/>
      </c>
      <c r="H1064" s="5">
        <f>IF('ORDENES'!$A1042="","",IF('ORDENES'!$AG1042="","-",'ORDENES'!$AG1042))</f>
        <v/>
      </c>
      <c r="I1064" s="5">
        <f>IF('ORDENES'!$A1042="","",IF('ORDENES'!$AT1042="","-",'ORDENES'!$AT1042))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20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IF('ORDENES'!$A1042="","",'ORDENES'!$AF1042)</f>
        <v/>
      </c>
    </row>
    <row r="1065">
      <c r="A1065" s="5">
        <f>IF('ORDENES'!$A1043="","",IF('ORDENES'!$O1043="","-",'ORDENES'!$O1043))</f>
        <v/>
      </c>
      <c r="B1065" s="5">
        <f>IF('ORDENES'!$A1043="","",IF('ORDENES'!$S1043="","-",'ORDENES'!$S1043))</f>
        <v/>
      </c>
      <c r="C1065" s="5">
        <f>IF('ORDENES'!$A1043="","",IF('ORDENES'!$AH1043="","-",'ORDENES'!$AH1043))</f>
        <v/>
      </c>
      <c r="D1065" s="5">
        <f>IF('ORDENES'!$A1043="","",IF('ORDENES'!$Z1043="","-",'ORDENES'!$Z1043))</f>
        <v/>
      </c>
      <c r="E1065" s="5">
        <f>IF('ORDENES'!$A1043="","",IF('ORDENES'!$X1043="","-",'ORDENES'!$X1043))</f>
        <v/>
      </c>
      <c r="F1065" s="5">
        <f>IF('ORDENES'!$A1043="","",IF('ORDENES'!$AA1043="","-",'ORDENES'!$AA1043))</f>
        <v/>
      </c>
      <c r="G1065" s="5">
        <f>IF('ORDENES'!$A1043="","",IF('ORDENES'!$Y1043="","-",'ORDENES'!$Y1043))</f>
        <v/>
      </c>
      <c r="H1065" s="5">
        <f>IF('ORDENES'!$A1043="","",IF('ORDENES'!$AG1043="","-",'ORDENES'!$AG1043))</f>
        <v/>
      </c>
      <c r="I1065" s="5">
        <f>IF('ORDENES'!$A1043="","",IF('ORDENES'!$AT1043="","-",'ORDENES'!$AT1043))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20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IF('ORDENES'!$A1043="","",'ORDENES'!$AF1043)</f>
        <v/>
      </c>
    </row>
    <row r="1066">
      <c r="A1066" s="5">
        <f>IF('ORDENES'!$A1044="","",IF('ORDENES'!$O1044="","-",'ORDENES'!$O1044))</f>
        <v/>
      </c>
      <c r="B1066" s="5">
        <f>IF('ORDENES'!$A1044="","",IF('ORDENES'!$S1044="","-",'ORDENES'!$S1044))</f>
        <v/>
      </c>
      <c r="C1066" s="5">
        <f>IF('ORDENES'!$A1044="","",IF('ORDENES'!$AH1044="","-",'ORDENES'!$AH1044))</f>
        <v/>
      </c>
      <c r="D1066" s="5">
        <f>IF('ORDENES'!$A1044="","",IF('ORDENES'!$Z1044="","-",'ORDENES'!$Z1044))</f>
        <v/>
      </c>
      <c r="E1066" s="5">
        <f>IF('ORDENES'!$A1044="","",IF('ORDENES'!$X1044="","-",'ORDENES'!$X1044))</f>
        <v/>
      </c>
      <c r="F1066" s="5">
        <f>IF('ORDENES'!$A1044="","",IF('ORDENES'!$AA1044="","-",'ORDENES'!$AA1044))</f>
        <v/>
      </c>
      <c r="G1066" s="5">
        <f>IF('ORDENES'!$A1044="","",IF('ORDENES'!$Y1044="","-",'ORDENES'!$Y1044))</f>
        <v/>
      </c>
      <c r="H1066" s="5">
        <f>IF('ORDENES'!$A1044="","",IF('ORDENES'!$AG1044="","-",'ORDENES'!$AG1044))</f>
        <v/>
      </c>
      <c r="I1066" s="5">
        <f>IF('ORDENES'!$A1044="","",IF('ORDENES'!$AT1044="","-",'ORDENES'!$AT1044))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20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IF('ORDENES'!$A1044="","",'ORDENES'!$AF1044)</f>
        <v/>
      </c>
    </row>
    <row r="1067">
      <c r="A1067" s="5">
        <f>IF('ORDENES'!$A1045="","",IF('ORDENES'!$O1045="","-",'ORDENES'!$O1045))</f>
        <v/>
      </c>
      <c r="B1067" s="5">
        <f>IF('ORDENES'!$A1045="","",IF('ORDENES'!$S1045="","-",'ORDENES'!$S1045))</f>
        <v/>
      </c>
      <c r="C1067" s="5">
        <f>IF('ORDENES'!$A1045="","",IF('ORDENES'!$AH1045="","-",'ORDENES'!$AH1045))</f>
        <v/>
      </c>
      <c r="D1067" s="5">
        <f>IF('ORDENES'!$A1045="","",IF('ORDENES'!$Z1045="","-",'ORDENES'!$Z1045))</f>
        <v/>
      </c>
      <c r="E1067" s="5">
        <f>IF('ORDENES'!$A1045="","",IF('ORDENES'!$X1045="","-",'ORDENES'!$X1045))</f>
        <v/>
      </c>
      <c r="F1067" s="5">
        <f>IF('ORDENES'!$A1045="","",IF('ORDENES'!$AA1045="","-",'ORDENES'!$AA1045))</f>
        <v/>
      </c>
      <c r="G1067" s="5">
        <f>IF('ORDENES'!$A1045="","",IF('ORDENES'!$Y1045="","-",'ORDENES'!$Y1045))</f>
        <v/>
      </c>
      <c r="H1067" s="5">
        <f>IF('ORDENES'!$A1045="","",IF('ORDENES'!$AG1045="","-",'ORDENES'!$AG1045))</f>
        <v/>
      </c>
      <c r="I1067" s="5">
        <f>IF('ORDENES'!$A1045="","",IF('ORDENES'!$AT1045="","-",'ORDENES'!$AT1045))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20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IF('ORDENES'!$A1045="","",'ORDENES'!$AF1045)</f>
        <v/>
      </c>
    </row>
    <row r="1068">
      <c r="A1068" s="5">
        <f>IF('ORDENES'!$A1046="","",IF('ORDENES'!$O1046="","-",'ORDENES'!$O1046))</f>
        <v/>
      </c>
      <c r="B1068" s="5">
        <f>IF('ORDENES'!$A1046="","",IF('ORDENES'!$S1046="","-",'ORDENES'!$S1046))</f>
        <v/>
      </c>
      <c r="C1068" s="5">
        <f>IF('ORDENES'!$A1046="","",IF('ORDENES'!$AH1046="","-",'ORDENES'!$AH1046))</f>
        <v/>
      </c>
      <c r="D1068" s="5">
        <f>IF('ORDENES'!$A1046="","",IF('ORDENES'!$Z1046="","-",'ORDENES'!$Z1046))</f>
        <v/>
      </c>
      <c r="E1068" s="5">
        <f>IF('ORDENES'!$A1046="","",IF('ORDENES'!$X1046="","-",'ORDENES'!$X1046))</f>
        <v/>
      </c>
      <c r="F1068" s="5">
        <f>IF('ORDENES'!$A1046="","",IF('ORDENES'!$AA1046="","-",'ORDENES'!$AA1046))</f>
        <v/>
      </c>
      <c r="G1068" s="5">
        <f>IF('ORDENES'!$A1046="","",IF('ORDENES'!$Y1046="","-",'ORDENES'!$Y1046))</f>
        <v/>
      </c>
      <c r="H1068" s="5">
        <f>IF('ORDENES'!$A1046="","",IF('ORDENES'!$AG1046="","-",'ORDENES'!$AG1046))</f>
        <v/>
      </c>
      <c r="I1068" s="5">
        <f>IF('ORDENES'!$A1046="","",IF('ORDENES'!$AT1046="","-",'ORDENES'!$AT1046))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20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IF('ORDENES'!$A1046="","",'ORDENES'!$AF1046)</f>
        <v/>
      </c>
    </row>
    <row r="1069">
      <c r="A1069" s="5">
        <f>IF('ORDENES'!$A1047="","",IF('ORDENES'!$O1047="","-",'ORDENES'!$O1047))</f>
        <v/>
      </c>
      <c r="B1069" s="5">
        <f>IF('ORDENES'!$A1047="","",IF('ORDENES'!$S1047="","-",'ORDENES'!$S1047))</f>
        <v/>
      </c>
      <c r="C1069" s="5">
        <f>IF('ORDENES'!$A1047="","",IF('ORDENES'!$AH1047="","-",'ORDENES'!$AH1047))</f>
        <v/>
      </c>
      <c r="D1069" s="5">
        <f>IF('ORDENES'!$A1047="","",IF('ORDENES'!$Z1047="","-",'ORDENES'!$Z1047))</f>
        <v/>
      </c>
      <c r="E1069" s="5">
        <f>IF('ORDENES'!$A1047="","",IF('ORDENES'!$X1047="","-",'ORDENES'!$X1047))</f>
        <v/>
      </c>
      <c r="F1069" s="5">
        <f>IF('ORDENES'!$A1047="","",IF('ORDENES'!$AA1047="","-",'ORDENES'!$AA1047))</f>
        <v/>
      </c>
      <c r="G1069" s="5">
        <f>IF('ORDENES'!$A1047="","",IF('ORDENES'!$Y1047="","-",'ORDENES'!$Y1047))</f>
        <v/>
      </c>
      <c r="H1069" s="5">
        <f>IF('ORDENES'!$A1047="","",IF('ORDENES'!$AG1047="","-",'ORDENES'!$AG1047))</f>
        <v/>
      </c>
      <c r="I1069" s="5">
        <f>IF('ORDENES'!$A1047="","",IF('ORDENES'!$AT1047="","-",'ORDENES'!$AT1047))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20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IF('ORDENES'!$A1047="","",'ORDENES'!$AF1047)</f>
        <v/>
      </c>
    </row>
    <row r="1070">
      <c r="A1070" s="5">
        <f>IF('ORDENES'!$A1048="","",IF('ORDENES'!$O1048="","-",'ORDENES'!$O1048))</f>
        <v/>
      </c>
      <c r="B1070" s="5">
        <f>IF('ORDENES'!$A1048="","",IF('ORDENES'!$S1048="","-",'ORDENES'!$S1048))</f>
        <v/>
      </c>
      <c r="C1070" s="5">
        <f>IF('ORDENES'!$A1048="","",IF('ORDENES'!$AH1048="","-",'ORDENES'!$AH1048))</f>
        <v/>
      </c>
      <c r="D1070" s="5">
        <f>IF('ORDENES'!$A1048="","",IF('ORDENES'!$Z1048="","-",'ORDENES'!$Z1048))</f>
        <v/>
      </c>
      <c r="E1070" s="5">
        <f>IF('ORDENES'!$A1048="","",IF('ORDENES'!$X1048="","-",'ORDENES'!$X1048))</f>
        <v/>
      </c>
      <c r="F1070" s="5">
        <f>IF('ORDENES'!$A1048="","",IF('ORDENES'!$AA1048="","-",'ORDENES'!$AA1048))</f>
        <v/>
      </c>
      <c r="G1070" s="5">
        <f>IF('ORDENES'!$A1048="","",IF('ORDENES'!$Y1048="","-",'ORDENES'!$Y1048))</f>
        <v/>
      </c>
      <c r="H1070" s="5">
        <f>IF('ORDENES'!$A1048="","",IF('ORDENES'!$AG1048="","-",'ORDENES'!$AG1048))</f>
        <v/>
      </c>
      <c r="I1070" s="5">
        <f>IF('ORDENES'!$A1048="","",IF('ORDENES'!$AT1048="","-",'ORDENES'!$AT1048))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20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IF('ORDENES'!$A1048="","",'ORDENES'!$AF1048)</f>
        <v/>
      </c>
    </row>
    <row r="1071">
      <c r="A1071" s="5">
        <f>IF('ORDENES'!$A1049="","",IF('ORDENES'!$O1049="","-",'ORDENES'!$O1049))</f>
        <v/>
      </c>
      <c r="B1071" s="5">
        <f>IF('ORDENES'!$A1049="","",IF('ORDENES'!$S1049="","-",'ORDENES'!$S1049))</f>
        <v/>
      </c>
      <c r="C1071" s="5">
        <f>IF('ORDENES'!$A1049="","",IF('ORDENES'!$AH1049="","-",'ORDENES'!$AH1049))</f>
        <v/>
      </c>
      <c r="D1071" s="5">
        <f>IF('ORDENES'!$A1049="","",IF('ORDENES'!$Z1049="","-",'ORDENES'!$Z1049))</f>
        <v/>
      </c>
      <c r="E1071" s="5">
        <f>IF('ORDENES'!$A1049="","",IF('ORDENES'!$X1049="","-",'ORDENES'!$X1049))</f>
        <v/>
      </c>
      <c r="F1071" s="5">
        <f>IF('ORDENES'!$A1049="","",IF('ORDENES'!$AA1049="","-",'ORDENES'!$AA1049))</f>
        <v/>
      </c>
      <c r="G1071" s="5">
        <f>IF('ORDENES'!$A1049="","",IF('ORDENES'!$Y1049="","-",'ORDENES'!$Y1049))</f>
        <v/>
      </c>
      <c r="H1071" s="5">
        <f>IF('ORDENES'!$A1049="","",IF('ORDENES'!$AG1049="","-",'ORDENES'!$AG1049))</f>
        <v/>
      </c>
      <c r="I1071" s="5">
        <f>IF('ORDENES'!$A1049="","",IF('ORDENES'!$AT1049="","-",'ORDENES'!$AT1049))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20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IF('ORDENES'!$A1049="","",'ORDENES'!$AF1049)</f>
        <v/>
      </c>
    </row>
    <row r="1072">
      <c r="A1072" s="5">
        <f>IF('ORDENES'!$A1050="","",IF('ORDENES'!$O1050="","-",'ORDENES'!$O1050))</f>
        <v/>
      </c>
      <c r="B1072" s="5">
        <f>IF('ORDENES'!$A1050="","",IF('ORDENES'!$S1050="","-",'ORDENES'!$S1050))</f>
        <v/>
      </c>
      <c r="C1072" s="5">
        <f>IF('ORDENES'!$A1050="","",IF('ORDENES'!$AH1050="","-",'ORDENES'!$AH1050))</f>
        <v/>
      </c>
      <c r="D1072" s="5">
        <f>IF('ORDENES'!$A1050="","",IF('ORDENES'!$Z1050="","-",'ORDENES'!$Z1050))</f>
        <v/>
      </c>
      <c r="E1072" s="5">
        <f>IF('ORDENES'!$A1050="","",IF('ORDENES'!$X1050="","-",'ORDENES'!$X1050))</f>
        <v/>
      </c>
      <c r="F1072" s="5">
        <f>IF('ORDENES'!$A1050="","",IF('ORDENES'!$AA1050="","-",'ORDENES'!$AA1050))</f>
        <v/>
      </c>
      <c r="G1072" s="5">
        <f>IF('ORDENES'!$A1050="","",IF('ORDENES'!$Y1050="","-",'ORDENES'!$Y1050))</f>
        <v/>
      </c>
      <c r="H1072" s="5">
        <f>IF('ORDENES'!$A1050="","",IF('ORDENES'!$AG1050="","-",'ORDENES'!$AG1050))</f>
        <v/>
      </c>
      <c r="I1072" s="5">
        <f>IF('ORDENES'!$A1050="","",IF('ORDENES'!$AT1050="","-",'ORDENES'!$AT1050))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20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IF('ORDENES'!$A1050="","",'ORDENES'!$AF1050)</f>
        <v/>
      </c>
    </row>
    <row r="1073">
      <c r="A1073" s="5">
        <f>IF('ORDENES'!$A1051="","",IF('ORDENES'!$O1051="","-",'ORDENES'!$O1051))</f>
        <v/>
      </c>
      <c r="B1073" s="5">
        <f>IF('ORDENES'!$A1051="","",IF('ORDENES'!$S1051="","-",'ORDENES'!$S1051))</f>
        <v/>
      </c>
      <c r="C1073" s="5">
        <f>IF('ORDENES'!$A1051="","",IF('ORDENES'!$AH1051="","-",'ORDENES'!$AH1051))</f>
        <v/>
      </c>
      <c r="D1073" s="5">
        <f>IF('ORDENES'!$A1051="","",IF('ORDENES'!$Z1051="","-",'ORDENES'!$Z1051))</f>
        <v/>
      </c>
      <c r="E1073" s="5">
        <f>IF('ORDENES'!$A1051="","",IF('ORDENES'!$X1051="","-",'ORDENES'!$X1051))</f>
        <v/>
      </c>
      <c r="F1073" s="5">
        <f>IF('ORDENES'!$A1051="","",IF('ORDENES'!$AA1051="","-",'ORDENES'!$AA1051))</f>
        <v/>
      </c>
      <c r="G1073" s="5">
        <f>IF('ORDENES'!$A1051="","",IF('ORDENES'!$Y1051="","-",'ORDENES'!$Y1051))</f>
        <v/>
      </c>
      <c r="H1073" s="5">
        <f>IF('ORDENES'!$A1051="","",IF('ORDENES'!$AG1051="","-",'ORDENES'!$AG1051))</f>
        <v/>
      </c>
      <c r="I1073" s="5">
        <f>IF('ORDENES'!$A1051="","",IF('ORDENES'!$AT1051="","-",'ORDENES'!$AT1051))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20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IF('ORDENES'!$A1051="","",'ORDENES'!$AF1051)</f>
        <v/>
      </c>
    </row>
    <row r="1074">
      <c r="A1074" s="5">
        <f>IF('ORDENES'!$A1052="","",IF('ORDENES'!$O1052="","-",'ORDENES'!$O1052))</f>
        <v/>
      </c>
      <c r="B1074" s="5">
        <f>IF('ORDENES'!$A1052="","",IF('ORDENES'!$S1052="","-",'ORDENES'!$S1052))</f>
        <v/>
      </c>
      <c r="C1074" s="5">
        <f>IF('ORDENES'!$A1052="","",IF('ORDENES'!$AH1052="","-",'ORDENES'!$AH1052))</f>
        <v/>
      </c>
      <c r="D1074" s="5">
        <f>IF('ORDENES'!$A1052="","",IF('ORDENES'!$Z1052="","-",'ORDENES'!$Z1052))</f>
        <v/>
      </c>
      <c r="E1074" s="5">
        <f>IF('ORDENES'!$A1052="","",IF('ORDENES'!$X1052="","-",'ORDENES'!$X1052))</f>
        <v/>
      </c>
      <c r="F1074" s="5">
        <f>IF('ORDENES'!$A1052="","",IF('ORDENES'!$AA1052="","-",'ORDENES'!$AA1052))</f>
        <v/>
      </c>
      <c r="G1074" s="5">
        <f>IF('ORDENES'!$A1052="","",IF('ORDENES'!$Y1052="","-",'ORDENES'!$Y1052))</f>
        <v/>
      </c>
      <c r="H1074" s="5">
        <f>IF('ORDENES'!$A1052="","",IF('ORDENES'!$AG1052="","-",'ORDENES'!$AG1052))</f>
        <v/>
      </c>
      <c r="I1074" s="5">
        <f>IF('ORDENES'!$A1052="","",IF('ORDENES'!$AT1052="","-",'ORDENES'!$AT1052))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20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IF('ORDENES'!$A1052="","",'ORDENES'!$AF1052)</f>
        <v/>
      </c>
    </row>
    <row r="1075">
      <c r="A1075" s="5">
        <f>IF('ORDENES'!$A1053="","",IF('ORDENES'!$O1053="","-",'ORDENES'!$O1053))</f>
        <v/>
      </c>
      <c r="B1075" s="5">
        <f>IF('ORDENES'!$A1053="","",IF('ORDENES'!$S1053="","-",'ORDENES'!$S1053))</f>
        <v/>
      </c>
      <c r="C1075" s="5">
        <f>IF('ORDENES'!$A1053="","",IF('ORDENES'!$AH1053="","-",'ORDENES'!$AH1053))</f>
        <v/>
      </c>
      <c r="D1075" s="5">
        <f>IF('ORDENES'!$A1053="","",IF('ORDENES'!$Z1053="","-",'ORDENES'!$Z1053))</f>
        <v/>
      </c>
      <c r="E1075" s="5">
        <f>IF('ORDENES'!$A1053="","",IF('ORDENES'!$X1053="","-",'ORDENES'!$X1053))</f>
        <v/>
      </c>
      <c r="F1075" s="5">
        <f>IF('ORDENES'!$A1053="","",IF('ORDENES'!$AA1053="","-",'ORDENES'!$AA1053))</f>
        <v/>
      </c>
      <c r="G1075" s="5">
        <f>IF('ORDENES'!$A1053="","",IF('ORDENES'!$Y1053="","-",'ORDENES'!$Y1053))</f>
        <v/>
      </c>
      <c r="H1075" s="5">
        <f>IF('ORDENES'!$A1053="","",IF('ORDENES'!$AG1053="","-",'ORDENES'!$AG1053))</f>
        <v/>
      </c>
      <c r="I1075" s="5">
        <f>IF('ORDENES'!$A1053="","",IF('ORDENES'!$AT1053="","-",'ORDENES'!$AT1053))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20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IF('ORDENES'!$A1053="","",'ORDENES'!$AF1053)</f>
        <v/>
      </c>
    </row>
    <row r="1076">
      <c r="A1076" s="5">
        <f>IF('ORDENES'!$A1054="","",IF('ORDENES'!$O1054="","-",'ORDENES'!$O1054))</f>
        <v/>
      </c>
      <c r="B1076" s="5">
        <f>IF('ORDENES'!$A1054="","",IF('ORDENES'!$S1054="","-",'ORDENES'!$S1054))</f>
        <v/>
      </c>
      <c r="C1076" s="5">
        <f>IF('ORDENES'!$A1054="","",IF('ORDENES'!$AH1054="","-",'ORDENES'!$AH1054))</f>
        <v/>
      </c>
      <c r="D1076" s="5">
        <f>IF('ORDENES'!$A1054="","",IF('ORDENES'!$Z1054="","-",'ORDENES'!$Z1054))</f>
        <v/>
      </c>
      <c r="E1076" s="5">
        <f>IF('ORDENES'!$A1054="","",IF('ORDENES'!$X1054="","-",'ORDENES'!$X1054))</f>
        <v/>
      </c>
      <c r="F1076" s="5">
        <f>IF('ORDENES'!$A1054="","",IF('ORDENES'!$AA1054="","-",'ORDENES'!$AA1054))</f>
        <v/>
      </c>
      <c r="G1076" s="5">
        <f>IF('ORDENES'!$A1054="","",IF('ORDENES'!$Y1054="","-",'ORDENES'!$Y1054))</f>
        <v/>
      </c>
      <c r="H1076" s="5">
        <f>IF('ORDENES'!$A1054="","",IF('ORDENES'!$AG1054="","-",'ORDENES'!$AG1054))</f>
        <v/>
      </c>
      <c r="I1076" s="5">
        <f>IF('ORDENES'!$A1054="","",IF('ORDENES'!$AT1054="","-",'ORDENES'!$AT1054))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20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IF('ORDENES'!$A1054="","",'ORDENES'!$AF1054)</f>
        <v/>
      </c>
    </row>
    <row r="1077">
      <c r="A1077" s="5">
        <f>IF('ORDENES'!$A1055="","",IF('ORDENES'!$O1055="","-",'ORDENES'!$O1055))</f>
        <v/>
      </c>
      <c r="B1077" s="5">
        <f>IF('ORDENES'!$A1055="","",IF('ORDENES'!$S1055="","-",'ORDENES'!$S1055))</f>
        <v/>
      </c>
      <c r="C1077" s="5">
        <f>IF('ORDENES'!$A1055="","",IF('ORDENES'!$AH1055="","-",'ORDENES'!$AH1055))</f>
        <v/>
      </c>
      <c r="D1077" s="5">
        <f>IF('ORDENES'!$A1055="","",IF('ORDENES'!$Z1055="","-",'ORDENES'!$Z1055))</f>
        <v/>
      </c>
      <c r="E1077" s="5">
        <f>IF('ORDENES'!$A1055="","",IF('ORDENES'!$X1055="","-",'ORDENES'!$X1055))</f>
        <v/>
      </c>
      <c r="F1077" s="5">
        <f>IF('ORDENES'!$A1055="","",IF('ORDENES'!$AA1055="","-",'ORDENES'!$AA1055))</f>
        <v/>
      </c>
      <c r="G1077" s="5">
        <f>IF('ORDENES'!$A1055="","",IF('ORDENES'!$Y1055="","-",'ORDENES'!$Y1055))</f>
        <v/>
      </c>
      <c r="H1077" s="5">
        <f>IF('ORDENES'!$A1055="","",IF('ORDENES'!$AG1055="","-",'ORDENES'!$AG1055))</f>
        <v/>
      </c>
      <c r="I1077" s="5">
        <f>IF('ORDENES'!$A1055="","",IF('ORDENES'!$AT1055="","-",'ORDENES'!$AT1055))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20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IF('ORDENES'!$A1055="","",'ORDENES'!$AF1055)</f>
        <v/>
      </c>
    </row>
    <row r="1078">
      <c r="A1078" s="5">
        <f>IF('ORDENES'!$A1056="","",IF('ORDENES'!$O1056="","-",'ORDENES'!$O1056))</f>
        <v/>
      </c>
      <c r="B1078" s="5">
        <f>IF('ORDENES'!$A1056="","",IF('ORDENES'!$S1056="","-",'ORDENES'!$S1056))</f>
        <v/>
      </c>
      <c r="C1078" s="5">
        <f>IF('ORDENES'!$A1056="","",IF('ORDENES'!$AH1056="","-",'ORDENES'!$AH1056))</f>
        <v/>
      </c>
      <c r="D1078" s="5">
        <f>IF('ORDENES'!$A1056="","",IF('ORDENES'!$Z1056="","-",'ORDENES'!$Z1056))</f>
        <v/>
      </c>
      <c r="E1078" s="5">
        <f>IF('ORDENES'!$A1056="","",IF('ORDENES'!$X1056="","-",'ORDENES'!$X1056))</f>
        <v/>
      </c>
      <c r="F1078" s="5">
        <f>IF('ORDENES'!$A1056="","",IF('ORDENES'!$AA1056="","-",'ORDENES'!$AA1056))</f>
        <v/>
      </c>
      <c r="G1078" s="5">
        <f>IF('ORDENES'!$A1056="","",IF('ORDENES'!$Y1056="","-",'ORDENES'!$Y1056))</f>
        <v/>
      </c>
      <c r="H1078" s="5">
        <f>IF('ORDENES'!$A1056="","",IF('ORDENES'!$AG1056="","-",'ORDENES'!$AG1056))</f>
        <v/>
      </c>
      <c r="I1078" s="5">
        <f>IF('ORDENES'!$A1056="","",IF('ORDENES'!$AT1056="","-",'ORDENES'!$AT1056))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20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IF('ORDENES'!$A1056="","",'ORDENES'!$AF1056)</f>
        <v/>
      </c>
    </row>
    <row r="1079">
      <c r="A1079" s="5">
        <f>IF('ORDENES'!$A1057="","",IF('ORDENES'!$O1057="","-",'ORDENES'!$O1057))</f>
        <v/>
      </c>
      <c r="B1079" s="5">
        <f>IF('ORDENES'!$A1057="","",IF('ORDENES'!$S1057="","-",'ORDENES'!$S1057))</f>
        <v/>
      </c>
      <c r="C1079" s="5">
        <f>IF('ORDENES'!$A1057="","",IF('ORDENES'!$AH1057="","-",'ORDENES'!$AH1057))</f>
        <v/>
      </c>
      <c r="D1079" s="5">
        <f>IF('ORDENES'!$A1057="","",IF('ORDENES'!$Z1057="","-",'ORDENES'!$Z1057))</f>
        <v/>
      </c>
      <c r="E1079" s="5">
        <f>IF('ORDENES'!$A1057="","",IF('ORDENES'!$X1057="","-",'ORDENES'!$X1057))</f>
        <v/>
      </c>
      <c r="F1079" s="5">
        <f>IF('ORDENES'!$A1057="","",IF('ORDENES'!$AA1057="","-",'ORDENES'!$AA1057))</f>
        <v/>
      </c>
      <c r="G1079" s="5">
        <f>IF('ORDENES'!$A1057="","",IF('ORDENES'!$Y1057="","-",'ORDENES'!$Y1057))</f>
        <v/>
      </c>
      <c r="H1079" s="5">
        <f>IF('ORDENES'!$A1057="","",IF('ORDENES'!$AG1057="","-",'ORDENES'!$AG1057))</f>
        <v/>
      </c>
      <c r="I1079" s="5">
        <f>IF('ORDENES'!$A1057="","",IF('ORDENES'!$AT1057="","-",'ORDENES'!$AT1057))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20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IF('ORDENES'!$A1057="","",'ORDENES'!$AF1057)</f>
        <v/>
      </c>
    </row>
    <row r="1080">
      <c r="A1080" s="5">
        <f>IF('ORDENES'!$A1058="","",IF('ORDENES'!$O1058="","-",'ORDENES'!$O1058))</f>
        <v/>
      </c>
      <c r="B1080" s="5">
        <f>IF('ORDENES'!$A1058="","",IF('ORDENES'!$S1058="","-",'ORDENES'!$S1058))</f>
        <v/>
      </c>
      <c r="C1080" s="5">
        <f>IF('ORDENES'!$A1058="","",IF('ORDENES'!$AH1058="","-",'ORDENES'!$AH1058))</f>
        <v/>
      </c>
      <c r="D1080" s="5">
        <f>IF('ORDENES'!$A1058="","",IF('ORDENES'!$Z1058="","-",'ORDENES'!$Z1058))</f>
        <v/>
      </c>
      <c r="E1080" s="5">
        <f>IF('ORDENES'!$A1058="","",IF('ORDENES'!$X1058="","-",'ORDENES'!$X1058))</f>
        <v/>
      </c>
      <c r="F1080" s="5">
        <f>IF('ORDENES'!$A1058="","",IF('ORDENES'!$AA1058="","-",'ORDENES'!$AA1058))</f>
        <v/>
      </c>
      <c r="G1080" s="5">
        <f>IF('ORDENES'!$A1058="","",IF('ORDENES'!$Y1058="","-",'ORDENES'!$Y1058))</f>
        <v/>
      </c>
      <c r="H1080" s="5">
        <f>IF('ORDENES'!$A1058="","",IF('ORDENES'!$AG1058="","-",'ORDENES'!$AG1058))</f>
        <v/>
      </c>
      <c r="I1080" s="5">
        <f>IF('ORDENES'!$A1058="","",IF('ORDENES'!$AT1058="","-",'ORDENES'!$AT1058))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20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IF('ORDENES'!$A1058="","",'ORDENES'!$AF1058)</f>
        <v/>
      </c>
    </row>
    <row r="1081">
      <c r="A1081" s="5">
        <f>IF('ORDENES'!$A1059="","",IF('ORDENES'!$O1059="","-",'ORDENES'!$O1059))</f>
        <v/>
      </c>
      <c r="B1081" s="5">
        <f>IF('ORDENES'!$A1059="","",IF('ORDENES'!$S1059="","-",'ORDENES'!$S1059))</f>
        <v/>
      </c>
      <c r="C1081" s="5">
        <f>IF('ORDENES'!$A1059="","",IF('ORDENES'!$AH1059="","-",'ORDENES'!$AH1059))</f>
        <v/>
      </c>
      <c r="D1081" s="5">
        <f>IF('ORDENES'!$A1059="","",IF('ORDENES'!$Z1059="","-",'ORDENES'!$Z1059))</f>
        <v/>
      </c>
      <c r="E1081" s="5">
        <f>IF('ORDENES'!$A1059="","",IF('ORDENES'!$X1059="","-",'ORDENES'!$X1059))</f>
        <v/>
      </c>
      <c r="F1081" s="5">
        <f>IF('ORDENES'!$A1059="","",IF('ORDENES'!$AA1059="","-",'ORDENES'!$AA1059))</f>
        <v/>
      </c>
      <c r="G1081" s="5">
        <f>IF('ORDENES'!$A1059="","",IF('ORDENES'!$Y1059="","-",'ORDENES'!$Y1059))</f>
        <v/>
      </c>
      <c r="H1081" s="5">
        <f>IF('ORDENES'!$A1059="","",IF('ORDENES'!$AG1059="","-",'ORDENES'!$AG1059))</f>
        <v/>
      </c>
      <c r="I1081" s="5">
        <f>IF('ORDENES'!$A1059="","",IF('ORDENES'!$AT1059="","-",'ORDENES'!$AT1059))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20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IF('ORDENES'!$A1059="","",'ORDENES'!$AF1059)</f>
        <v/>
      </c>
    </row>
    <row r="1082">
      <c r="A1082" s="5">
        <f>IF('ORDENES'!$A1060="","",IF('ORDENES'!$O1060="","-",'ORDENES'!$O1060))</f>
        <v/>
      </c>
      <c r="B1082" s="5">
        <f>IF('ORDENES'!$A1060="","",IF('ORDENES'!$S1060="","-",'ORDENES'!$S1060))</f>
        <v/>
      </c>
      <c r="C1082" s="5">
        <f>IF('ORDENES'!$A1060="","",IF('ORDENES'!$AH1060="","-",'ORDENES'!$AH1060))</f>
        <v/>
      </c>
      <c r="D1082" s="5">
        <f>IF('ORDENES'!$A1060="","",IF('ORDENES'!$Z1060="","-",'ORDENES'!$Z1060))</f>
        <v/>
      </c>
      <c r="E1082" s="5">
        <f>IF('ORDENES'!$A1060="","",IF('ORDENES'!$X1060="","-",'ORDENES'!$X1060))</f>
        <v/>
      </c>
      <c r="F1082" s="5">
        <f>IF('ORDENES'!$A1060="","",IF('ORDENES'!$AA1060="","-",'ORDENES'!$AA1060))</f>
        <v/>
      </c>
      <c r="G1082" s="5">
        <f>IF('ORDENES'!$A1060="","",IF('ORDENES'!$Y1060="","-",'ORDENES'!$Y1060))</f>
        <v/>
      </c>
      <c r="H1082" s="5">
        <f>IF('ORDENES'!$A1060="","",IF('ORDENES'!$AG1060="","-",'ORDENES'!$AG1060))</f>
        <v/>
      </c>
      <c r="I1082" s="5">
        <f>IF('ORDENES'!$A1060="","",IF('ORDENES'!$AT1060="","-",'ORDENES'!$AT1060))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20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IF('ORDENES'!$A1060="","",'ORDENES'!$AF1060)</f>
        <v/>
      </c>
    </row>
    <row r="1083">
      <c r="A1083" s="5">
        <f>IF('ORDENES'!$A1061="","",IF('ORDENES'!$O1061="","-",'ORDENES'!$O1061))</f>
        <v/>
      </c>
      <c r="B1083" s="5">
        <f>IF('ORDENES'!$A1061="","",IF('ORDENES'!$S1061="","-",'ORDENES'!$S1061))</f>
        <v/>
      </c>
      <c r="C1083" s="5">
        <f>IF('ORDENES'!$A1061="","",IF('ORDENES'!$AH1061="","-",'ORDENES'!$AH1061))</f>
        <v/>
      </c>
      <c r="D1083" s="5">
        <f>IF('ORDENES'!$A1061="","",IF('ORDENES'!$Z1061="","-",'ORDENES'!$Z1061))</f>
        <v/>
      </c>
      <c r="E1083" s="5">
        <f>IF('ORDENES'!$A1061="","",IF('ORDENES'!$X1061="","-",'ORDENES'!$X1061))</f>
        <v/>
      </c>
      <c r="F1083" s="5">
        <f>IF('ORDENES'!$A1061="","",IF('ORDENES'!$AA1061="","-",'ORDENES'!$AA1061))</f>
        <v/>
      </c>
      <c r="G1083" s="5">
        <f>IF('ORDENES'!$A1061="","",IF('ORDENES'!$Y1061="","-",'ORDENES'!$Y1061))</f>
        <v/>
      </c>
      <c r="H1083" s="5">
        <f>IF('ORDENES'!$A1061="","",IF('ORDENES'!$AG1061="","-",'ORDENES'!$AG1061))</f>
        <v/>
      </c>
      <c r="I1083" s="5">
        <f>IF('ORDENES'!$A1061="","",IF('ORDENES'!$AT1061="","-",'ORDENES'!$AT1061))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20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IF('ORDENES'!$A1061="","",'ORDENES'!$AF1061)</f>
        <v/>
      </c>
    </row>
    <row r="1084">
      <c r="A1084" s="5">
        <f>IF('ORDENES'!$A1062="","",IF('ORDENES'!$O1062="","-",'ORDENES'!$O1062))</f>
        <v/>
      </c>
      <c r="B1084" s="5">
        <f>IF('ORDENES'!$A1062="","",IF('ORDENES'!$S1062="","-",'ORDENES'!$S1062))</f>
        <v/>
      </c>
      <c r="C1084" s="5">
        <f>IF('ORDENES'!$A1062="","",IF('ORDENES'!$AH1062="","-",'ORDENES'!$AH1062))</f>
        <v/>
      </c>
      <c r="D1084" s="5">
        <f>IF('ORDENES'!$A1062="","",IF('ORDENES'!$Z1062="","-",'ORDENES'!$Z1062))</f>
        <v/>
      </c>
      <c r="E1084" s="5">
        <f>IF('ORDENES'!$A1062="","",IF('ORDENES'!$X1062="","-",'ORDENES'!$X1062))</f>
        <v/>
      </c>
      <c r="F1084" s="5">
        <f>IF('ORDENES'!$A1062="","",IF('ORDENES'!$AA1062="","-",'ORDENES'!$AA1062))</f>
        <v/>
      </c>
      <c r="G1084" s="5">
        <f>IF('ORDENES'!$A1062="","",IF('ORDENES'!$Y1062="","-",'ORDENES'!$Y1062))</f>
        <v/>
      </c>
      <c r="H1084" s="5">
        <f>IF('ORDENES'!$A1062="","",IF('ORDENES'!$AG1062="","-",'ORDENES'!$AG1062))</f>
        <v/>
      </c>
      <c r="I1084" s="5">
        <f>IF('ORDENES'!$A1062="","",IF('ORDENES'!$AT1062="","-",'ORDENES'!$AT1062))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20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IF('ORDENES'!$A1062="","",'ORDENES'!$AF1062)</f>
        <v/>
      </c>
    </row>
    <row r="1085">
      <c r="A1085" s="5">
        <f>IF('ORDENES'!$A1063="","",IF('ORDENES'!$O1063="","-",'ORDENES'!$O1063))</f>
        <v/>
      </c>
      <c r="B1085" s="5">
        <f>IF('ORDENES'!$A1063="","",IF('ORDENES'!$S1063="","-",'ORDENES'!$S1063))</f>
        <v/>
      </c>
      <c r="C1085" s="5">
        <f>IF('ORDENES'!$A1063="","",IF('ORDENES'!$AH1063="","-",'ORDENES'!$AH1063))</f>
        <v/>
      </c>
      <c r="D1085" s="5">
        <f>IF('ORDENES'!$A1063="","",IF('ORDENES'!$Z1063="","-",'ORDENES'!$Z1063))</f>
        <v/>
      </c>
      <c r="E1085" s="5">
        <f>IF('ORDENES'!$A1063="","",IF('ORDENES'!$X1063="","-",'ORDENES'!$X1063))</f>
        <v/>
      </c>
      <c r="F1085" s="5">
        <f>IF('ORDENES'!$A1063="","",IF('ORDENES'!$AA1063="","-",'ORDENES'!$AA1063))</f>
        <v/>
      </c>
      <c r="G1085" s="5">
        <f>IF('ORDENES'!$A1063="","",IF('ORDENES'!$Y1063="","-",'ORDENES'!$Y1063))</f>
        <v/>
      </c>
      <c r="H1085" s="5">
        <f>IF('ORDENES'!$A1063="","",IF('ORDENES'!$AG1063="","-",'ORDENES'!$AG1063))</f>
        <v/>
      </c>
      <c r="I1085" s="5">
        <f>IF('ORDENES'!$A1063="","",IF('ORDENES'!$AT1063="","-",'ORDENES'!$AT1063))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20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IF('ORDENES'!$A1063="","",'ORDENES'!$AF1063)</f>
        <v/>
      </c>
    </row>
    <row r="1086">
      <c r="A1086" s="5">
        <f>IF('ORDENES'!$A1064="","",IF('ORDENES'!$O1064="","-",'ORDENES'!$O1064))</f>
        <v/>
      </c>
      <c r="B1086" s="5">
        <f>IF('ORDENES'!$A1064="","",IF('ORDENES'!$S1064="","-",'ORDENES'!$S1064))</f>
        <v/>
      </c>
      <c r="C1086" s="5">
        <f>IF('ORDENES'!$A1064="","",IF('ORDENES'!$AH1064="","-",'ORDENES'!$AH1064))</f>
        <v/>
      </c>
      <c r="D1086" s="5">
        <f>IF('ORDENES'!$A1064="","",IF('ORDENES'!$Z1064="","-",'ORDENES'!$Z1064))</f>
        <v/>
      </c>
      <c r="E1086" s="5">
        <f>IF('ORDENES'!$A1064="","",IF('ORDENES'!$X1064="","-",'ORDENES'!$X1064))</f>
        <v/>
      </c>
      <c r="F1086" s="5">
        <f>IF('ORDENES'!$A1064="","",IF('ORDENES'!$AA1064="","-",'ORDENES'!$AA1064))</f>
        <v/>
      </c>
      <c r="G1086" s="5">
        <f>IF('ORDENES'!$A1064="","",IF('ORDENES'!$Y1064="","-",'ORDENES'!$Y1064))</f>
        <v/>
      </c>
      <c r="H1086" s="5">
        <f>IF('ORDENES'!$A1064="","",IF('ORDENES'!$AG1064="","-",'ORDENES'!$AG1064))</f>
        <v/>
      </c>
      <c r="I1086" s="5">
        <f>IF('ORDENES'!$A1064="","",IF('ORDENES'!$AT1064="","-",'ORDENES'!$AT1064))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20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IF('ORDENES'!$A1064="","",'ORDENES'!$AF1064)</f>
        <v/>
      </c>
    </row>
    <row r="1087">
      <c r="A1087" s="5">
        <f>IF('ORDENES'!$A1065="","",IF('ORDENES'!$O1065="","-",'ORDENES'!$O1065))</f>
        <v/>
      </c>
      <c r="B1087" s="5">
        <f>IF('ORDENES'!$A1065="","",IF('ORDENES'!$S1065="","-",'ORDENES'!$S1065))</f>
        <v/>
      </c>
      <c r="C1087" s="5">
        <f>IF('ORDENES'!$A1065="","",IF('ORDENES'!$AH1065="","-",'ORDENES'!$AH1065))</f>
        <v/>
      </c>
      <c r="D1087" s="5">
        <f>IF('ORDENES'!$A1065="","",IF('ORDENES'!$Z1065="","-",'ORDENES'!$Z1065))</f>
        <v/>
      </c>
      <c r="E1087" s="5">
        <f>IF('ORDENES'!$A1065="","",IF('ORDENES'!$X1065="","-",'ORDENES'!$X1065))</f>
        <v/>
      </c>
      <c r="F1087" s="5">
        <f>IF('ORDENES'!$A1065="","",IF('ORDENES'!$AA1065="","-",'ORDENES'!$AA1065))</f>
        <v/>
      </c>
      <c r="G1087" s="5">
        <f>IF('ORDENES'!$A1065="","",IF('ORDENES'!$Y1065="","-",'ORDENES'!$Y1065))</f>
        <v/>
      </c>
      <c r="H1087" s="5">
        <f>IF('ORDENES'!$A1065="","",IF('ORDENES'!$AG1065="","-",'ORDENES'!$AG1065))</f>
        <v/>
      </c>
      <c r="I1087" s="5">
        <f>IF('ORDENES'!$A1065="","",IF('ORDENES'!$AT1065="","-",'ORDENES'!$AT1065))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20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IF('ORDENES'!$A1065="","",'ORDENES'!$AF1065)</f>
        <v/>
      </c>
    </row>
    <row r="1088">
      <c r="A1088" s="5">
        <f>IF('ORDENES'!$A1066="","",IF('ORDENES'!$O1066="","-",'ORDENES'!$O1066))</f>
        <v/>
      </c>
      <c r="B1088" s="5">
        <f>IF('ORDENES'!$A1066="","",IF('ORDENES'!$S1066="","-",'ORDENES'!$S1066))</f>
        <v/>
      </c>
      <c r="C1088" s="5">
        <f>IF('ORDENES'!$A1066="","",IF('ORDENES'!$AH1066="","-",'ORDENES'!$AH1066))</f>
        <v/>
      </c>
      <c r="D1088" s="5">
        <f>IF('ORDENES'!$A1066="","",IF('ORDENES'!$Z1066="","-",'ORDENES'!$Z1066))</f>
        <v/>
      </c>
      <c r="E1088" s="5">
        <f>IF('ORDENES'!$A1066="","",IF('ORDENES'!$X1066="","-",'ORDENES'!$X1066))</f>
        <v/>
      </c>
      <c r="F1088" s="5">
        <f>IF('ORDENES'!$A1066="","",IF('ORDENES'!$AA1066="","-",'ORDENES'!$AA1066))</f>
        <v/>
      </c>
      <c r="G1088" s="5">
        <f>IF('ORDENES'!$A1066="","",IF('ORDENES'!$Y1066="","-",'ORDENES'!$Y1066))</f>
        <v/>
      </c>
      <c r="H1088" s="5">
        <f>IF('ORDENES'!$A1066="","",IF('ORDENES'!$AG1066="","-",'ORDENES'!$AG1066))</f>
        <v/>
      </c>
      <c r="I1088" s="5">
        <f>IF('ORDENES'!$A1066="","",IF('ORDENES'!$AT1066="","-",'ORDENES'!$AT1066))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20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IF('ORDENES'!$A1066="","",'ORDENES'!$AF1066)</f>
        <v/>
      </c>
    </row>
    <row r="1089">
      <c r="A1089" s="5">
        <f>IF('ORDENES'!$A1067="","",IF('ORDENES'!$O1067="","-",'ORDENES'!$O1067))</f>
        <v/>
      </c>
      <c r="B1089" s="5">
        <f>IF('ORDENES'!$A1067="","",IF('ORDENES'!$S1067="","-",'ORDENES'!$S1067))</f>
        <v/>
      </c>
      <c r="C1089" s="5">
        <f>IF('ORDENES'!$A1067="","",IF('ORDENES'!$AH1067="","-",'ORDENES'!$AH1067))</f>
        <v/>
      </c>
      <c r="D1089" s="5">
        <f>IF('ORDENES'!$A1067="","",IF('ORDENES'!$Z1067="","-",'ORDENES'!$Z1067))</f>
        <v/>
      </c>
      <c r="E1089" s="5">
        <f>IF('ORDENES'!$A1067="","",IF('ORDENES'!$X1067="","-",'ORDENES'!$X1067))</f>
        <v/>
      </c>
      <c r="F1089" s="5">
        <f>IF('ORDENES'!$A1067="","",IF('ORDENES'!$AA1067="","-",'ORDENES'!$AA1067))</f>
        <v/>
      </c>
      <c r="G1089" s="5">
        <f>IF('ORDENES'!$A1067="","",IF('ORDENES'!$Y1067="","-",'ORDENES'!$Y1067))</f>
        <v/>
      </c>
      <c r="H1089" s="5">
        <f>IF('ORDENES'!$A1067="","",IF('ORDENES'!$AG1067="","-",'ORDENES'!$AG1067))</f>
        <v/>
      </c>
      <c r="I1089" s="5">
        <f>IF('ORDENES'!$A1067="","",IF('ORDENES'!$AT1067="","-",'ORDENES'!$AT1067))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20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IF('ORDENES'!$A1067="","",'ORDENES'!$AF1067)</f>
        <v/>
      </c>
    </row>
    <row r="1090">
      <c r="A1090" s="5">
        <f>IF('ORDENES'!$A1068="","",IF('ORDENES'!$O1068="","-",'ORDENES'!$O1068))</f>
        <v/>
      </c>
      <c r="B1090" s="5">
        <f>IF('ORDENES'!$A1068="","",IF('ORDENES'!$S1068="","-",'ORDENES'!$S1068))</f>
        <v/>
      </c>
      <c r="C1090" s="5">
        <f>IF('ORDENES'!$A1068="","",IF('ORDENES'!$AH1068="","-",'ORDENES'!$AH1068))</f>
        <v/>
      </c>
      <c r="D1090" s="5">
        <f>IF('ORDENES'!$A1068="","",IF('ORDENES'!$Z1068="","-",'ORDENES'!$Z1068))</f>
        <v/>
      </c>
      <c r="E1090" s="5">
        <f>IF('ORDENES'!$A1068="","",IF('ORDENES'!$X1068="","-",'ORDENES'!$X1068))</f>
        <v/>
      </c>
      <c r="F1090" s="5">
        <f>IF('ORDENES'!$A1068="","",IF('ORDENES'!$AA1068="","-",'ORDENES'!$AA1068))</f>
        <v/>
      </c>
      <c r="G1090" s="5">
        <f>IF('ORDENES'!$A1068="","",IF('ORDENES'!$Y1068="","-",'ORDENES'!$Y1068))</f>
        <v/>
      </c>
      <c r="H1090" s="5">
        <f>IF('ORDENES'!$A1068="","",IF('ORDENES'!$AG1068="","-",'ORDENES'!$AG1068))</f>
        <v/>
      </c>
      <c r="I1090" s="5">
        <f>IF('ORDENES'!$A1068="","",IF('ORDENES'!$AT1068="","-",'ORDENES'!$AT1068))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20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IF('ORDENES'!$A1068="","",'ORDENES'!$AF1068)</f>
        <v/>
      </c>
    </row>
    <row r="1091">
      <c r="A1091" s="5">
        <f>IF('ORDENES'!$A1069="","",IF('ORDENES'!$O1069="","-",'ORDENES'!$O1069))</f>
        <v/>
      </c>
      <c r="B1091" s="5">
        <f>IF('ORDENES'!$A1069="","",IF('ORDENES'!$S1069="","-",'ORDENES'!$S1069))</f>
        <v/>
      </c>
      <c r="C1091" s="5">
        <f>IF('ORDENES'!$A1069="","",IF('ORDENES'!$AH1069="","-",'ORDENES'!$AH1069))</f>
        <v/>
      </c>
      <c r="D1091" s="5">
        <f>IF('ORDENES'!$A1069="","",IF('ORDENES'!$Z1069="","-",'ORDENES'!$Z1069))</f>
        <v/>
      </c>
      <c r="E1091" s="5">
        <f>IF('ORDENES'!$A1069="","",IF('ORDENES'!$X1069="","-",'ORDENES'!$X1069))</f>
        <v/>
      </c>
      <c r="F1091" s="5">
        <f>IF('ORDENES'!$A1069="","",IF('ORDENES'!$AA1069="","-",'ORDENES'!$AA1069))</f>
        <v/>
      </c>
      <c r="G1091" s="5">
        <f>IF('ORDENES'!$A1069="","",IF('ORDENES'!$Y1069="","-",'ORDENES'!$Y1069))</f>
        <v/>
      </c>
      <c r="H1091" s="5">
        <f>IF('ORDENES'!$A1069="","",IF('ORDENES'!$AG1069="","-",'ORDENES'!$AG1069))</f>
        <v/>
      </c>
      <c r="I1091" s="5">
        <f>IF('ORDENES'!$A1069="","",IF('ORDENES'!$AT1069="","-",'ORDENES'!$AT1069))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20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IF('ORDENES'!$A1069="","",'ORDENES'!$AF1069)</f>
        <v/>
      </c>
    </row>
    <row r="1092">
      <c r="A1092" s="5">
        <f>IF('ORDENES'!$A1070="","",IF('ORDENES'!$O1070="","-",'ORDENES'!$O1070))</f>
        <v/>
      </c>
      <c r="B1092" s="5">
        <f>IF('ORDENES'!$A1070="","",IF('ORDENES'!$S1070="","-",'ORDENES'!$S1070))</f>
        <v/>
      </c>
      <c r="C1092" s="5">
        <f>IF('ORDENES'!$A1070="","",IF('ORDENES'!$AH1070="","-",'ORDENES'!$AH1070))</f>
        <v/>
      </c>
      <c r="D1092" s="5">
        <f>IF('ORDENES'!$A1070="","",IF('ORDENES'!$Z1070="","-",'ORDENES'!$Z1070))</f>
        <v/>
      </c>
      <c r="E1092" s="5">
        <f>IF('ORDENES'!$A1070="","",IF('ORDENES'!$X1070="","-",'ORDENES'!$X1070))</f>
        <v/>
      </c>
      <c r="F1092" s="5">
        <f>IF('ORDENES'!$A1070="","",IF('ORDENES'!$AA1070="","-",'ORDENES'!$AA1070))</f>
        <v/>
      </c>
      <c r="G1092" s="5">
        <f>IF('ORDENES'!$A1070="","",IF('ORDENES'!$Y1070="","-",'ORDENES'!$Y1070))</f>
        <v/>
      </c>
      <c r="H1092" s="5">
        <f>IF('ORDENES'!$A1070="","",IF('ORDENES'!$AG1070="","-",'ORDENES'!$AG1070))</f>
        <v/>
      </c>
      <c r="I1092" s="5">
        <f>IF('ORDENES'!$A1070="","",IF('ORDENES'!$AT1070="","-",'ORDENES'!$AT1070))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20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IF('ORDENES'!$A1070="","",'ORDENES'!$AF1070)</f>
        <v/>
      </c>
    </row>
    <row r="1093">
      <c r="A1093" s="5">
        <f>IF('ORDENES'!$A1071="","",IF('ORDENES'!$O1071="","-",'ORDENES'!$O1071))</f>
        <v/>
      </c>
      <c r="B1093" s="5">
        <f>IF('ORDENES'!$A1071="","",IF('ORDENES'!$S1071="","-",'ORDENES'!$S1071))</f>
        <v/>
      </c>
      <c r="C1093" s="5">
        <f>IF('ORDENES'!$A1071="","",IF('ORDENES'!$AH1071="","-",'ORDENES'!$AH1071))</f>
        <v/>
      </c>
      <c r="D1093" s="5">
        <f>IF('ORDENES'!$A1071="","",IF('ORDENES'!$Z1071="","-",'ORDENES'!$Z1071))</f>
        <v/>
      </c>
      <c r="E1093" s="5">
        <f>IF('ORDENES'!$A1071="","",IF('ORDENES'!$X1071="","-",'ORDENES'!$X1071))</f>
        <v/>
      </c>
      <c r="F1093" s="5">
        <f>IF('ORDENES'!$A1071="","",IF('ORDENES'!$AA1071="","-",'ORDENES'!$AA1071))</f>
        <v/>
      </c>
      <c r="G1093" s="5">
        <f>IF('ORDENES'!$A1071="","",IF('ORDENES'!$Y1071="","-",'ORDENES'!$Y1071))</f>
        <v/>
      </c>
      <c r="H1093" s="5">
        <f>IF('ORDENES'!$A1071="","",IF('ORDENES'!$AG1071="","-",'ORDENES'!$AG1071))</f>
        <v/>
      </c>
      <c r="I1093" s="5">
        <f>IF('ORDENES'!$A1071="","",IF('ORDENES'!$AT1071="","-",'ORDENES'!$AT1071))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20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IF('ORDENES'!$A1071="","",'ORDENES'!$AF1071)</f>
        <v/>
      </c>
    </row>
    <row r="1094">
      <c r="A1094" s="5">
        <f>IF('ORDENES'!$A1072="","",IF('ORDENES'!$O1072="","-",'ORDENES'!$O1072))</f>
        <v/>
      </c>
      <c r="B1094" s="5">
        <f>IF('ORDENES'!$A1072="","",IF('ORDENES'!$S1072="","-",'ORDENES'!$S1072))</f>
        <v/>
      </c>
      <c r="C1094" s="5">
        <f>IF('ORDENES'!$A1072="","",IF('ORDENES'!$AH1072="","-",'ORDENES'!$AH1072))</f>
        <v/>
      </c>
      <c r="D1094" s="5">
        <f>IF('ORDENES'!$A1072="","",IF('ORDENES'!$Z1072="","-",'ORDENES'!$Z1072))</f>
        <v/>
      </c>
      <c r="E1094" s="5">
        <f>IF('ORDENES'!$A1072="","",IF('ORDENES'!$X1072="","-",'ORDENES'!$X1072))</f>
        <v/>
      </c>
      <c r="F1094" s="5">
        <f>IF('ORDENES'!$A1072="","",IF('ORDENES'!$AA1072="","-",'ORDENES'!$AA1072))</f>
        <v/>
      </c>
      <c r="G1094" s="5">
        <f>IF('ORDENES'!$A1072="","",IF('ORDENES'!$Y1072="","-",'ORDENES'!$Y1072))</f>
        <v/>
      </c>
      <c r="H1094" s="5">
        <f>IF('ORDENES'!$A1072="","",IF('ORDENES'!$AG1072="","-",'ORDENES'!$AG1072))</f>
        <v/>
      </c>
      <c r="I1094" s="5">
        <f>IF('ORDENES'!$A1072="","",IF('ORDENES'!$AT1072="","-",'ORDENES'!$AT1072))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20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IF('ORDENES'!$A1072="","",'ORDENES'!$AF1072)</f>
        <v/>
      </c>
    </row>
    <row r="1095">
      <c r="A1095" s="5">
        <f>IF('ORDENES'!$A1073="","",IF('ORDENES'!$O1073="","-",'ORDENES'!$O1073))</f>
        <v/>
      </c>
      <c r="B1095" s="5">
        <f>IF('ORDENES'!$A1073="","",IF('ORDENES'!$S1073="","-",'ORDENES'!$S1073))</f>
        <v/>
      </c>
      <c r="C1095" s="5">
        <f>IF('ORDENES'!$A1073="","",IF('ORDENES'!$AH1073="","-",'ORDENES'!$AH1073))</f>
        <v/>
      </c>
      <c r="D1095" s="5">
        <f>IF('ORDENES'!$A1073="","",IF('ORDENES'!$Z1073="","-",'ORDENES'!$Z1073))</f>
        <v/>
      </c>
      <c r="E1095" s="5">
        <f>IF('ORDENES'!$A1073="","",IF('ORDENES'!$X1073="","-",'ORDENES'!$X1073))</f>
        <v/>
      </c>
      <c r="F1095" s="5">
        <f>IF('ORDENES'!$A1073="","",IF('ORDENES'!$AA1073="","-",'ORDENES'!$AA1073))</f>
        <v/>
      </c>
      <c r="G1095" s="5">
        <f>IF('ORDENES'!$A1073="","",IF('ORDENES'!$Y1073="","-",'ORDENES'!$Y1073))</f>
        <v/>
      </c>
      <c r="H1095" s="5">
        <f>IF('ORDENES'!$A1073="","",IF('ORDENES'!$AG1073="","-",'ORDENES'!$AG1073))</f>
        <v/>
      </c>
      <c r="I1095" s="5">
        <f>IF('ORDENES'!$A1073="","",IF('ORDENES'!$AT1073="","-",'ORDENES'!$AT1073))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20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IF('ORDENES'!$A1073="","",'ORDENES'!$AF1073)</f>
        <v/>
      </c>
    </row>
    <row r="1096">
      <c r="A1096" s="5">
        <f>IF('ORDENES'!$A1074="","",IF('ORDENES'!$O1074="","-",'ORDENES'!$O1074))</f>
        <v/>
      </c>
      <c r="B1096" s="5">
        <f>IF('ORDENES'!$A1074="","",IF('ORDENES'!$S1074="","-",'ORDENES'!$S1074))</f>
        <v/>
      </c>
      <c r="C1096" s="5">
        <f>IF('ORDENES'!$A1074="","",IF('ORDENES'!$AH1074="","-",'ORDENES'!$AH1074))</f>
        <v/>
      </c>
      <c r="D1096" s="5">
        <f>IF('ORDENES'!$A1074="","",IF('ORDENES'!$Z1074="","-",'ORDENES'!$Z1074))</f>
        <v/>
      </c>
      <c r="E1096" s="5">
        <f>IF('ORDENES'!$A1074="","",IF('ORDENES'!$X1074="","-",'ORDENES'!$X1074))</f>
        <v/>
      </c>
      <c r="F1096" s="5">
        <f>IF('ORDENES'!$A1074="","",IF('ORDENES'!$AA1074="","-",'ORDENES'!$AA1074))</f>
        <v/>
      </c>
      <c r="G1096" s="5">
        <f>IF('ORDENES'!$A1074="","",IF('ORDENES'!$Y1074="","-",'ORDENES'!$Y1074))</f>
        <v/>
      </c>
      <c r="H1096" s="5">
        <f>IF('ORDENES'!$A1074="","",IF('ORDENES'!$AG1074="","-",'ORDENES'!$AG1074))</f>
        <v/>
      </c>
      <c r="I1096" s="5">
        <f>IF('ORDENES'!$A1074="","",IF('ORDENES'!$AT1074="","-",'ORDENES'!$AT1074))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20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IF('ORDENES'!$A1074="","",'ORDENES'!$AF1074)</f>
        <v/>
      </c>
    </row>
    <row r="1097">
      <c r="A1097" s="5">
        <f>IF('ORDENES'!$A1075="","",IF('ORDENES'!$O1075="","-",'ORDENES'!$O1075))</f>
        <v/>
      </c>
      <c r="B1097" s="5">
        <f>IF('ORDENES'!$A1075="","",IF('ORDENES'!$S1075="","-",'ORDENES'!$S1075))</f>
        <v/>
      </c>
      <c r="C1097" s="5">
        <f>IF('ORDENES'!$A1075="","",IF('ORDENES'!$AH1075="","-",'ORDENES'!$AH1075))</f>
        <v/>
      </c>
      <c r="D1097" s="5">
        <f>IF('ORDENES'!$A1075="","",IF('ORDENES'!$Z1075="","-",'ORDENES'!$Z1075))</f>
        <v/>
      </c>
      <c r="E1097" s="5">
        <f>IF('ORDENES'!$A1075="","",IF('ORDENES'!$X1075="","-",'ORDENES'!$X1075))</f>
        <v/>
      </c>
      <c r="F1097" s="5">
        <f>IF('ORDENES'!$A1075="","",IF('ORDENES'!$AA1075="","-",'ORDENES'!$AA1075))</f>
        <v/>
      </c>
      <c r="G1097" s="5">
        <f>IF('ORDENES'!$A1075="","",IF('ORDENES'!$Y1075="","-",'ORDENES'!$Y1075))</f>
        <v/>
      </c>
      <c r="H1097" s="5">
        <f>IF('ORDENES'!$A1075="","",IF('ORDENES'!$AG1075="","-",'ORDENES'!$AG1075))</f>
        <v/>
      </c>
      <c r="I1097" s="5">
        <f>IF('ORDENES'!$A1075="","",IF('ORDENES'!$AT1075="","-",'ORDENES'!$AT1075))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20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IF('ORDENES'!$A1075="","",'ORDENES'!$AF1075)</f>
        <v/>
      </c>
    </row>
    <row r="1098">
      <c r="A1098" s="5">
        <f>IF('ORDENES'!$A1076="","",IF('ORDENES'!$O1076="","-",'ORDENES'!$O1076))</f>
        <v/>
      </c>
      <c r="B1098" s="5">
        <f>IF('ORDENES'!$A1076="","",IF('ORDENES'!$S1076="","-",'ORDENES'!$S1076))</f>
        <v/>
      </c>
      <c r="C1098" s="5">
        <f>IF('ORDENES'!$A1076="","",IF('ORDENES'!$AH1076="","-",'ORDENES'!$AH1076))</f>
        <v/>
      </c>
      <c r="D1098" s="5">
        <f>IF('ORDENES'!$A1076="","",IF('ORDENES'!$Z1076="","-",'ORDENES'!$Z1076))</f>
        <v/>
      </c>
      <c r="E1098" s="5">
        <f>IF('ORDENES'!$A1076="","",IF('ORDENES'!$X1076="","-",'ORDENES'!$X1076))</f>
        <v/>
      </c>
      <c r="F1098" s="5">
        <f>IF('ORDENES'!$A1076="","",IF('ORDENES'!$AA1076="","-",'ORDENES'!$AA1076))</f>
        <v/>
      </c>
      <c r="G1098" s="5">
        <f>IF('ORDENES'!$A1076="","",IF('ORDENES'!$Y1076="","-",'ORDENES'!$Y1076))</f>
        <v/>
      </c>
      <c r="H1098" s="5">
        <f>IF('ORDENES'!$A1076="","",IF('ORDENES'!$AG1076="","-",'ORDENES'!$AG1076))</f>
        <v/>
      </c>
      <c r="I1098" s="5">
        <f>IF('ORDENES'!$A1076="","",IF('ORDENES'!$AT1076="","-",'ORDENES'!$AT1076))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20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IF('ORDENES'!$A1076="","",'ORDENES'!$AF1076)</f>
        <v/>
      </c>
    </row>
    <row r="1099">
      <c r="A1099" s="5">
        <f>IF('ORDENES'!$A1077="","",IF('ORDENES'!$O1077="","-",'ORDENES'!$O1077))</f>
        <v/>
      </c>
      <c r="B1099" s="5">
        <f>IF('ORDENES'!$A1077="","",IF('ORDENES'!$S1077="","-",'ORDENES'!$S1077))</f>
        <v/>
      </c>
      <c r="C1099" s="5">
        <f>IF('ORDENES'!$A1077="","",IF('ORDENES'!$AH1077="","-",'ORDENES'!$AH1077))</f>
        <v/>
      </c>
      <c r="D1099" s="5">
        <f>IF('ORDENES'!$A1077="","",IF('ORDENES'!$Z1077="","-",'ORDENES'!$Z1077))</f>
        <v/>
      </c>
      <c r="E1099" s="5">
        <f>IF('ORDENES'!$A1077="","",IF('ORDENES'!$X1077="","-",'ORDENES'!$X1077))</f>
        <v/>
      </c>
      <c r="F1099" s="5">
        <f>IF('ORDENES'!$A1077="","",IF('ORDENES'!$AA1077="","-",'ORDENES'!$AA1077))</f>
        <v/>
      </c>
      <c r="G1099" s="5">
        <f>IF('ORDENES'!$A1077="","",IF('ORDENES'!$Y1077="","-",'ORDENES'!$Y1077))</f>
        <v/>
      </c>
      <c r="H1099" s="5">
        <f>IF('ORDENES'!$A1077="","",IF('ORDENES'!$AG1077="","-",'ORDENES'!$AG1077))</f>
        <v/>
      </c>
      <c r="I1099" s="5">
        <f>IF('ORDENES'!$A1077="","",IF('ORDENES'!$AT1077="","-",'ORDENES'!$AT1077))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20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IF('ORDENES'!$A1077="","",'ORDENES'!$AF1077)</f>
        <v/>
      </c>
    </row>
    <row r="1100">
      <c r="A1100" s="5">
        <f>IF('ORDENES'!$A1078="","",IF('ORDENES'!$O1078="","-",'ORDENES'!$O1078))</f>
        <v/>
      </c>
      <c r="B1100" s="5">
        <f>IF('ORDENES'!$A1078="","",IF('ORDENES'!$S1078="","-",'ORDENES'!$S1078))</f>
        <v/>
      </c>
      <c r="C1100" s="5">
        <f>IF('ORDENES'!$A1078="","",IF('ORDENES'!$AH1078="","-",'ORDENES'!$AH1078))</f>
        <v/>
      </c>
      <c r="D1100" s="5">
        <f>IF('ORDENES'!$A1078="","",IF('ORDENES'!$Z1078="","-",'ORDENES'!$Z1078))</f>
        <v/>
      </c>
      <c r="E1100" s="5">
        <f>IF('ORDENES'!$A1078="","",IF('ORDENES'!$X1078="","-",'ORDENES'!$X1078))</f>
        <v/>
      </c>
      <c r="F1100" s="5">
        <f>IF('ORDENES'!$A1078="","",IF('ORDENES'!$AA1078="","-",'ORDENES'!$AA1078))</f>
        <v/>
      </c>
      <c r="G1100" s="5">
        <f>IF('ORDENES'!$A1078="","",IF('ORDENES'!$Y1078="","-",'ORDENES'!$Y1078))</f>
        <v/>
      </c>
      <c r="H1100" s="5">
        <f>IF('ORDENES'!$A1078="","",IF('ORDENES'!$AG1078="","-",'ORDENES'!$AG1078))</f>
        <v/>
      </c>
      <c r="I1100" s="5">
        <f>IF('ORDENES'!$A1078="","",IF('ORDENES'!$AT1078="","-",'ORDENES'!$AT1078))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20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IF('ORDENES'!$A1078="","",'ORDENES'!$AF1078)</f>
        <v/>
      </c>
    </row>
    <row r="1101">
      <c r="A1101" s="5">
        <f>IF('ORDENES'!$A1079="","",IF('ORDENES'!$O1079="","-",'ORDENES'!$O1079))</f>
        <v/>
      </c>
      <c r="B1101" s="5">
        <f>IF('ORDENES'!$A1079="","",IF('ORDENES'!$S1079="","-",'ORDENES'!$S1079))</f>
        <v/>
      </c>
      <c r="C1101" s="5">
        <f>IF('ORDENES'!$A1079="","",IF('ORDENES'!$AH1079="","-",'ORDENES'!$AH1079))</f>
        <v/>
      </c>
      <c r="D1101" s="5">
        <f>IF('ORDENES'!$A1079="","",IF('ORDENES'!$Z1079="","-",'ORDENES'!$Z1079))</f>
        <v/>
      </c>
      <c r="E1101" s="5">
        <f>IF('ORDENES'!$A1079="","",IF('ORDENES'!$X1079="","-",'ORDENES'!$X1079))</f>
        <v/>
      </c>
      <c r="F1101" s="5">
        <f>IF('ORDENES'!$A1079="","",IF('ORDENES'!$AA1079="","-",'ORDENES'!$AA1079))</f>
        <v/>
      </c>
      <c r="G1101" s="5">
        <f>IF('ORDENES'!$A1079="","",IF('ORDENES'!$Y1079="","-",'ORDENES'!$Y1079))</f>
        <v/>
      </c>
      <c r="H1101" s="5">
        <f>IF('ORDENES'!$A1079="","",IF('ORDENES'!$AG1079="","-",'ORDENES'!$AG1079))</f>
        <v/>
      </c>
      <c r="I1101" s="5">
        <f>IF('ORDENES'!$A1079="","",IF('ORDENES'!$AT1079="","-",'ORDENES'!$AT1079))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20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IF('ORDENES'!$A1079="","",'ORDENES'!$AF1079)</f>
        <v/>
      </c>
    </row>
    <row r="1102">
      <c r="A1102" s="5">
        <f>IF('ORDENES'!$A1080="","",IF('ORDENES'!$O1080="","-",'ORDENES'!$O1080))</f>
        <v/>
      </c>
      <c r="B1102" s="5">
        <f>IF('ORDENES'!$A1080="","",IF('ORDENES'!$S1080="","-",'ORDENES'!$S1080))</f>
        <v/>
      </c>
      <c r="C1102" s="5">
        <f>IF('ORDENES'!$A1080="","",IF('ORDENES'!$AH1080="","-",'ORDENES'!$AH1080))</f>
        <v/>
      </c>
      <c r="D1102" s="5">
        <f>IF('ORDENES'!$A1080="","",IF('ORDENES'!$Z1080="","-",'ORDENES'!$Z1080))</f>
        <v/>
      </c>
      <c r="E1102" s="5">
        <f>IF('ORDENES'!$A1080="","",IF('ORDENES'!$X1080="","-",'ORDENES'!$X1080))</f>
        <v/>
      </c>
      <c r="F1102" s="5">
        <f>IF('ORDENES'!$A1080="","",IF('ORDENES'!$AA1080="","-",'ORDENES'!$AA1080))</f>
        <v/>
      </c>
      <c r="G1102" s="5">
        <f>IF('ORDENES'!$A1080="","",IF('ORDENES'!$Y1080="","-",'ORDENES'!$Y1080))</f>
        <v/>
      </c>
      <c r="H1102" s="5">
        <f>IF('ORDENES'!$A1080="","",IF('ORDENES'!$AG1080="","-",'ORDENES'!$AG1080))</f>
        <v/>
      </c>
      <c r="I1102" s="5">
        <f>IF('ORDENES'!$A1080="","",IF('ORDENES'!$AT1080="","-",'ORDENES'!$AT1080))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20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IF('ORDENES'!$A1080="","",'ORDENES'!$AF1080)</f>
        <v/>
      </c>
    </row>
    <row r="1103">
      <c r="A1103" s="5">
        <f>IF('ORDENES'!$A1081="","",IF('ORDENES'!$O1081="","-",'ORDENES'!$O1081))</f>
        <v/>
      </c>
      <c r="B1103" s="5">
        <f>IF('ORDENES'!$A1081="","",IF('ORDENES'!$S1081="","-",'ORDENES'!$S1081))</f>
        <v/>
      </c>
      <c r="C1103" s="5">
        <f>IF('ORDENES'!$A1081="","",IF('ORDENES'!$AH1081="","-",'ORDENES'!$AH1081))</f>
        <v/>
      </c>
      <c r="D1103" s="5">
        <f>IF('ORDENES'!$A1081="","",IF('ORDENES'!$Z1081="","-",'ORDENES'!$Z1081))</f>
        <v/>
      </c>
      <c r="E1103" s="5">
        <f>IF('ORDENES'!$A1081="","",IF('ORDENES'!$X1081="","-",'ORDENES'!$X1081))</f>
        <v/>
      </c>
      <c r="F1103" s="5">
        <f>IF('ORDENES'!$A1081="","",IF('ORDENES'!$AA1081="","-",'ORDENES'!$AA1081))</f>
        <v/>
      </c>
      <c r="G1103" s="5">
        <f>IF('ORDENES'!$A1081="","",IF('ORDENES'!$Y1081="","-",'ORDENES'!$Y1081))</f>
        <v/>
      </c>
      <c r="H1103" s="5">
        <f>IF('ORDENES'!$A1081="","",IF('ORDENES'!$AG1081="","-",'ORDENES'!$AG1081))</f>
        <v/>
      </c>
      <c r="I1103" s="5">
        <f>IF('ORDENES'!$A1081="","",IF('ORDENES'!$AT1081="","-",'ORDENES'!$AT1081))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20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IF('ORDENES'!$A1081="","",'ORDENES'!$AF1081)</f>
        <v/>
      </c>
    </row>
    <row r="1104">
      <c r="A1104" s="5">
        <f>IF('ORDENES'!$A1082="","",IF('ORDENES'!$O1082="","-",'ORDENES'!$O1082))</f>
        <v/>
      </c>
      <c r="B1104" s="5">
        <f>IF('ORDENES'!$A1082="","",IF('ORDENES'!$S1082="","-",'ORDENES'!$S1082))</f>
        <v/>
      </c>
      <c r="C1104" s="5">
        <f>IF('ORDENES'!$A1082="","",IF('ORDENES'!$AH1082="","-",'ORDENES'!$AH1082))</f>
        <v/>
      </c>
      <c r="D1104" s="5">
        <f>IF('ORDENES'!$A1082="","",IF('ORDENES'!$Z1082="","-",'ORDENES'!$Z1082))</f>
        <v/>
      </c>
      <c r="E1104" s="5">
        <f>IF('ORDENES'!$A1082="","",IF('ORDENES'!$X1082="","-",'ORDENES'!$X1082))</f>
        <v/>
      </c>
      <c r="F1104" s="5">
        <f>IF('ORDENES'!$A1082="","",IF('ORDENES'!$AA1082="","-",'ORDENES'!$AA1082))</f>
        <v/>
      </c>
      <c r="G1104" s="5">
        <f>IF('ORDENES'!$A1082="","",IF('ORDENES'!$Y1082="","-",'ORDENES'!$Y1082))</f>
        <v/>
      </c>
      <c r="H1104" s="5">
        <f>IF('ORDENES'!$A1082="","",IF('ORDENES'!$AG1082="","-",'ORDENES'!$AG1082))</f>
        <v/>
      </c>
      <c r="I1104" s="5">
        <f>IF('ORDENES'!$A1082="","",IF('ORDENES'!$AT1082="","-",'ORDENES'!$AT1082))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20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IF('ORDENES'!$A1082="","",'ORDENES'!$AF1082)</f>
        <v/>
      </c>
    </row>
    <row r="1105">
      <c r="A1105" s="5">
        <f>IF('ORDENES'!$A1083="","",IF('ORDENES'!$O1083="","-",'ORDENES'!$O1083))</f>
        <v/>
      </c>
      <c r="B1105" s="5">
        <f>IF('ORDENES'!$A1083="","",IF('ORDENES'!$S1083="","-",'ORDENES'!$S1083))</f>
        <v/>
      </c>
      <c r="C1105" s="5">
        <f>IF('ORDENES'!$A1083="","",IF('ORDENES'!$AH1083="","-",'ORDENES'!$AH1083))</f>
        <v/>
      </c>
      <c r="D1105" s="5">
        <f>IF('ORDENES'!$A1083="","",IF('ORDENES'!$Z1083="","-",'ORDENES'!$Z1083))</f>
        <v/>
      </c>
      <c r="E1105" s="5">
        <f>IF('ORDENES'!$A1083="","",IF('ORDENES'!$X1083="","-",'ORDENES'!$X1083))</f>
        <v/>
      </c>
      <c r="F1105" s="5">
        <f>IF('ORDENES'!$A1083="","",IF('ORDENES'!$AA1083="","-",'ORDENES'!$AA1083))</f>
        <v/>
      </c>
      <c r="G1105" s="5">
        <f>IF('ORDENES'!$A1083="","",IF('ORDENES'!$Y1083="","-",'ORDENES'!$Y1083))</f>
        <v/>
      </c>
      <c r="H1105" s="5">
        <f>IF('ORDENES'!$A1083="","",IF('ORDENES'!$AG1083="","-",'ORDENES'!$AG1083))</f>
        <v/>
      </c>
      <c r="I1105" s="5">
        <f>IF('ORDENES'!$A1083="","",IF('ORDENES'!$AT1083="","-",'ORDENES'!$AT1083))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20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IF('ORDENES'!$A1083="","",'ORDENES'!$AF1083)</f>
        <v/>
      </c>
    </row>
    <row r="1106">
      <c r="A1106" s="5">
        <f>IF('ORDENES'!$A1084="","",IF('ORDENES'!$O1084="","-",'ORDENES'!$O1084))</f>
        <v/>
      </c>
      <c r="B1106" s="5">
        <f>IF('ORDENES'!$A1084="","",IF('ORDENES'!$S1084="","-",'ORDENES'!$S1084))</f>
        <v/>
      </c>
      <c r="C1106" s="5">
        <f>IF('ORDENES'!$A1084="","",IF('ORDENES'!$AH1084="","-",'ORDENES'!$AH1084))</f>
        <v/>
      </c>
      <c r="D1106" s="5">
        <f>IF('ORDENES'!$A1084="","",IF('ORDENES'!$Z1084="","-",'ORDENES'!$Z1084))</f>
        <v/>
      </c>
      <c r="E1106" s="5">
        <f>IF('ORDENES'!$A1084="","",IF('ORDENES'!$X1084="","-",'ORDENES'!$X1084))</f>
        <v/>
      </c>
      <c r="F1106" s="5">
        <f>IF('ORDENES'!$A1084="","",IF('ORDENES'!$AA1084="","-",'ORDENES'!$AA1084))</f>
        <v/>
      </c>
      <c r="G1106" s="5">
        <f>IF('ORDENES'!$A1084="","",IF('ORDENES'!$Y1084="","-",'ORDENES'!$Y1084))</f>
        <v/>
      </c>
      <c r="H1106" s="5">
        <f>IF('ORDENES'!$A1084="","",IF('ORDENES'!$AG1084="","-",'ORDENES'!$AG1084))</f>
        <v/>
      </c>
      <c r="I1106" s="5">
        <f>IF('ORDENES'!$A1084="","",IF('ORDENES'!$AT1084="","-",'ORDENES'!$AT1084))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20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IF('ORDENES'!$A1084="","",'ORDENES'!$AF1084)</f>
        <v/>
      </c>
    </row>
    <row r="1107">
      <c r="A1107" s="5">
        <f>IF('ORDENES'!$A1085="","",IF('ORDENES'!$O1085="","-",'ORDENES'!$O1085))</f>
        <v/>
      </c>
      <c r="B1107" s="5">
        <f>IF('ORDENES'!$A1085="","",IF('ORDENES'!$S1085="","-",'ORDENES'!$S1085))</f>
        <v/>
      </c>
      <c r="C1107" s="5">
        <f>IF('ORDENES'!$A1085="","",IF('ORDENES'!$AH1085="","-",'ORDENES'!$AH1085))</f>
        <v/>
      </c>
      <c r="D1107" s="5">
        <f>IF('ORDENES'!$A1085="","",IF('ORDENES'!$Z1085="","-",'ORDENES'!$Z1085))</f>
        <v/>
      </c>
      <c r="E1107" s="5">
        <f>IF('ORDENES'!$A1085="","",IF('ORDENES'!$X1085="","-",'ORDENES'!$X1085))</f>
        <v/>
      </c>
      <c r="F1107" s="5">
        <f>IF('ORDENES'!$A1085="","",IF('ORDENES'!$AA1085="","-",'ORDENES'!$AA1085))</f>
        <v/>
      </c>
      <c r="G1107" s="5">
        <f>IF('ORDENES'!$A1085="","",IF('ORDENES'!$Y1085="","-",'ORDENES'!$Y1085))</f>
        <v/>
      </c>
      <c r="H1107" s="5">
        <f>IF('ORDENES'!$A1085="","",IF('ORDENES'!$AG1085="","-",'ORDENES'!$AG1085))</f>
        <v/>
      </c>
      <c r="I1107" s="5">
        <f>IF('ORDENES'!$A1085="","",IF('ORDENES'!$AT1085="","-",'ORDENES'!$AT1085))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20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IF('ORDENES'!$A1085="","",'ORDENES'!$AF1085)</f>
        <v/>
      </c>
    </row>
    <row r="1108">
      <c r="A1108" s="5">
        <f>IF('ORDENES'!$A1086="","",IF('ORDENES'!$O1086="","-",'ORDENES'!$O1086))</f>
        <v/>
      </c>
      <c r="B1108" s="5">
        <f>IF('ORDENES'!$A1086="","",IF('ORDENES'!$S1086="","-",'ORDENES'!$S1086))</f>
        <v/>
      </c>
      <c r="C1108" s="5">
        <f>IF('ORDENES'!$A1086="","",IF('ORDENES'!$AH1086="","-",'ORDENES'!$AH1086))</f>
        <v/>
      </c>
      <c r="D1108" s="5">
        <f>IF('ORDENES'!$A1086="","",IF('ORDENES'!$Z1086="","-",'ORDENES'!$Z1086))</f>
        <v/>
      </c>
      <c r="E1108" s="5">
        <f>IF('ORDENES'!$A1086="","",IF('ORDENES'!$X1086="","-",'ORDENES'!$X1086))</f>
        <v/>
      </c>
      <c r="F1108" s="5">
        <f>IF('ORDENES'!$A1086="","",IF('ORDENES'!$AA1086="","-",'ORDENES'!$AA1086))</f>
        <v/>
      </c>
      <c r="G1108" s="5">
        <f>IF('ORDENES'!$A1086="","",IF('ORDENES'!$Y1086="","-",'ORDENES'!$Y1086))</f>
        <v/>
      </c>
      <c r="H1108" s="5">
        <f>IF('ORDENES'!$A1086="","",IF('ORDENES'!$AG1086="","-",'ORDENES'!$AG1086))</f>
        <v/>
      </c>
      <c r="I1108" s="5">
        <f>IF('ORDENES'!$A1086="","",IF('ORDENES'!$AT1086="","-",'ORDENES'!$AT1086))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20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IF('ORDENES'!$A1086="","",'ORDENES'!$AF1086)</f>
        <v/>
      </c>
    </row>
    <row r="1109">
      <c r="A1109" s="5">
        <f>IF('ORDENES'!$A1087="","",IF('ORDENES'!$O1087="","-",'ORDENES'!$O1087))</f>
        <v/>
      </c>
      <c r="B1109" s="5">
        <f>IF('ORDENES'!$A1087="","",IF('ORDENES'!$S1087="","-",'ORDENES'!$S1087))</f>
        <v/>
      </c>
      <c r="C1109" s="5">
        <f>IF('ORDENES'!$A1087="","",IF('ORDENES'!$AH1087="","-",'ORDENES'!$AH1087))</f>
        <v/>
      </c>
      <c r="D1109" s="5">
        <f>IF('ORDENES'!$A1087="","",IF('ORDENES'!$Z1087="","-",'ORDENES'!$Z1087))</f>
        <v/>
      </c>
      <c r="E1109" s="5">
        <f>IF('ORDENES'!$A1087="","",IF('ORDENES'!$X1087="","-",'ORDENES'!$X1087))</f>
        <v/>
      </c>
      <c r="F1109" s="5">
        <f>IF('ORDENES'!$A1087="","",IF('ORDENES'!$AA1087="","-",'ORDENES'!$AA1087))</f>
        <v/>
      </c>
      <c r="G1109" s="5">
        <f>IF('ORDENES'!$A1087="","",IF('ORDENES'!$Y1087="","-",'ORDENES'!$Y1087))</f>
        <v/>
      </c>
      <c r="H1109" s="5">
        <f>IF('ORDENES'!$A1087="","",IF('ORDENES'!$AG1087="","-",'ORDENES'!$AG1087))</f>
        <v/>
      </c>
      <c r="I1109" s="5">
        <f>IF('ORDENES'!$A1087="","",IF('ORDENES'!$AT1087="","-",'ORDENES'!$AT1087))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20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IF('ORDENES'!$A1087="","",'ORDENES'!$AF1087)</f>
        <v/>
      </c>
    </row>
    <row r="1110">
      <c r="A1110" s="5">
        <f>IF('ORDENES'!$A1088="","",IF('ORDENES'!$O1088="","-",'ORDENES'!$O1088))</f>
        <v/>
      </c>
      <c r="B1110" s="5">
        <f>IF('ORDENES'!$A1088="","",IF('ORDENES'!$S1088="","-",'ORDENES'!$S1088))</f>
        <v/>
      </c>
      <c r="C1110" s="5">
        <f>IF('ORDENES'!$A1088="","",IF('ORDENES'!$AH1088="","-",'ORDENES'!$AH1088))</f>
        <v/>
      </c>
      <c r="D1110" s="5">
        <f>IF('ORDENES'!$A1088="","",IF('ORDENES'!$Z1088="","-",'ORDENES'!$Z1088))</f>
        <v/>
      </c>
      <c r="E1110" s="5">
        <f>IF('ORDENES'!$A1088="","",IF('ORDENES'!$X1088="","-",'ORDENES'!$X1088))</f>
        <v/>
      </c>
      <c r="F1110" s="5">
        <f>IF('ORDENES'!$A1088="","",IF('ORDENES'!$AA1088="","-",'ORDENES'!$AA1088))</f>
        <v/>
      </c>
      <c r="G1110" s="5">
        <f>IF('ORDENES'!$A1088="","",IF('ORDENES'!$Y1088="","-",'ORDENES'!$Y1088))</f>
        <v/>
      </c>
      <c r="H1110" s="5">
        <f>IF('ORDENES'!$A1088="","",IF('ORDENES'!$AG1088="","-",'ORDENES'!$AG1088))</f>
        <v/>
      </c>
      <c r="I1110" s="5">
        <f>IF('ORDENES'!$A1088="","",IF('ORDENES'!$AT1088="","-",'ORDENES'!$AT1088))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20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IF('ORDENES'!$A1088="","",'ORDENES'!$AF1088)</f>
        <v/>
      </c>
    </row>
    <row r="1111">
      <c r="A1111" s="5">
        <f>IF('ORDENES'!$A1089="","",IF('ORDENES'!$O1089="","-",'ORDENES'!$O1089))</f>
        <v/>
      </c>
      <c r="B1111" s="5">
        <f>IF('ORDENES'!$A1089="","",IF('ORDENES'!$S1089="","-",'ORDENES'!$S1089))</f>
        <v/>
      </c>
      <c r="C1111" s="5">
        <f>IF('ORDENES'!$A1089="","",IF('ORDENES'!$AH1089="","-",'ORDENES'!$AH1089))</f>
        <v/>
      </c>
      <c r="D1111" s="5">
        <f>IF('ORDENES'!$A1089="","",IF('ORDENES'!$Z1089="","-",'ORDENES'!$Z1089))</f>
        <v/>
      </c>
      <c r="E1111" s="5">
        <f>IF('ORDENES'!$A1089="","",IF('ORDENES'!$X1089="","-",'ORDENES'!$X1089))</f>
        <v/>
      </c>
      <c r="F1111" s="5">
        <f>IF('ORDENES'!$A1089="","",IF('ORDENES'!$AA1089="","-",'ORDENES'!$AA1089))</f>
        <v/>
      </c>
      <c r="G1111" s="5">
        <f>IF('ORDENES'!$A1089="","",IF('ORDENES'!$Y1089="","-",'ORDENES'!$Y1089))</f>
        <v/>
      </c>
      <c r="H1111" s="5">
        <f>IF('ORDENES'!$A1089="","",IF('ORDENES'!$AG1089="","-",'ORDENES'!$AG1089))</f>
        <v/>
      </c>
      <c r="I1111" s="5">
        <f>IF('ORDENES'!$A1089="","",IF('ORDENES'!$AT1089="","-",'ORDENES'!$AT1089))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20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IF('ORDENES'!$A1089="","",'ORDENES'!$AF1089)</f>
        <v/>
      </c>
    </row>
    <row r="1112">
      <c r="A1112" s="5">
        <f>IF('ORDENES'!$A1090="","",IF('ORDENES'!$O1090="","-",'ORDENES'!$O1090))</f>
        <v/>
      </c>
      <c r="B1112" s="5">
        <f>IF('ORDENES'!$A1090="","",IF('ORDENES'!$S1090="","-",'ORDENES'!$S1090))</f>
        <v/>
      </c>
      <c r="C1112" s="5">
        <f>IF('ORDENES'!$A1090="","",IF('ORDENES'!$AH1090="","-",'ORDENES'!$AH1090))</f>
        <v/>
      </c>
      <c r="D1112" s="5">
        <f>IF('ORDENES'!$A1090="","",IF('ORDENES'!$Z1090="","-",'ORDENES'!$Z1090))</f>
        <v/>
      </c>
      <c r="E1112" s="5">
        <f>IF('ORDENES'!$A1090="","",IF('ORDENES'!$X1090="","-",'ORDENES'!$X1090))</f>
        <v/>
      </c>
      <c r="F1112" s="5">
        <f>IF('ORDENES'!$A1090="","",IF('ORDENES'!$AA1090="","-",'ORDENES'!$AA1090))</f>
        <v/>
      </c>
      <c r="G1112" s="5">
        <f>IF('ORDENES'!$A1090="","",IF('ORDENES'!$Y1090="","-",'ORDENES'!$Y1090))</f>
        <v/>
      </c>
      <c r="H1112" s="5">
        <f>IF('ORDENES'!$A1090="","",IF('ORDENES'!$AG1090="","-",'ORDENES'!$AG1090))</f>
        <v/>
      </c>
      <c r="I1112" s="5">
        <f>IF('ORDENES'!$A1090="","",IF('ORDENES'!$AT1090="","-",'ORDENES'!$AT1090))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20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IF('ORDENES'!$A1090="","",'ORDENES'!$AF1090)</f>
        <v/>
      </c>
    </row>
    <row r="1113">
      <c r="A1113" s="5">
        <f>IF('ORDENES'!$A1091="","",IF('ORDENES'!$O1091="","-",'ORDENES'!$O1091))</f>
        <v/>
      </c>
      <c r="B1113" s="5">
        <f>IF('ORDENES'!$A1091="","",IF('ORDENES'!$S1091="","-",'ORDENES'!$S1091))</f>
        <v/>
      </c>
      <c r="C1113" s="5">
        <f>IF('ORDENES'!$A1091="","",IF('ORDENES'!$AH1091="","-",'ORDENES'!$AH1091))</f>
        <v/>
      </c>
      <c r="D1113" s="5">
        <f>IF('ORDENES'!$A1091="","",IF('ORDENES'!$Z1091="","-",'ORDENES'!$Z1091))</f>
        <v/>
      </c>
      <c r="E1113" s="5">
        <f>IF('ORDENES'!$A1091="","",IF('ORDENES'!$X1091="","-",'ORDENES'!$X1091))</f>
        <v/>
      </c>
      <c r="F1113" s="5">
        <f>IF('ORDENES'!$A1091="","",IF('ORDENES'!$AA1091="","-",'ORDENES'!$AA1091))</f>
        <v/>
      </c>
      <c r="G1113" s="5">
        <f>IF('ORDENES'!$A1091="","",IF('ORDENES'!$Y1091="","-",'ORDENES'!$Y1091))</f>
        <v/>
      </c>
      <c r="H1113" s="5">
        <f>IF('ORDENES'!$A1091="","",IF('ORDENES'!$AG1091="","-",'ORDENES'!$AG1091))</f>
        <v/>
      </c>
      <c r="I1113" s="5">
        <f>IF('ORDENES'!$A1091="","",IF('ORDENES'!$AT1091="","-",'ORDENES'!$AT1091))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20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IF('ORDENES'!$A1091="","",'ORDENES'!$AF1091)</f>
        <v/>
      </c>
    </row>
    <row r="1114">
      <c r="A1114" s="5">
        <f>IF('ORDENES'!$A1092="","",IF('ORDENES'!$O1092="","-",'ORDENES'!$O1092))</f>
        <v/>
      </c>
      <c r="B1114" s="5">
        <f>IF('ORDENES'!$A1092="","",IF('ORDENES'!$S1092="","-",'ORDENES'!$S1092))</f>
        <v/>
      </c>
      <c r="C1114" s="5">
        <f>IF('ORDENES'!$A1092="","",IF('ORDENES'!$AH1092="","-",'ORDENES'!$AH1092))</f>
        <v/>
      </c>
      <c r="D1114" s="5">
        <f>IF('ORDENES'!$A1092="","",IF('ORDENES'!$Z1092="","-",'ORDENES'!$Z1092))</f>
        <v/>
      </c>
      <c r="E1114" s="5">
        <f>IF('ORDENES'!$A1092="","",IF('ORDENES'!$X1092="","-",'ORDENES'!$X1092))</f>
        <v/>
      </c>
      <c r="F1114" s="5">
        <f>IF('ORDENES'!$A1092="","",IF('ORDENES'!$AA1092="","-",'ORDENES'!$AA1092))</f>
        <v/>
      </c>
      <c r="G1114" s="5">
        <f>IF('ORDENES'!$A1092="","",IF('ORDENES'!$Y1092="","-",'ORDENES'!$Y1092))</f>
        <v/>
      </c>
      <c r="H1114" s="5">
        <f>IF('ORDENES'!$A1092="","",IF('ORDENES'!$AG1092="","-",'ORDENES'!$AG1092))</f>
        <v/>
      </c>
      <c r="I1114" s="5">
        <f>IF('ORDENES'!$A1092="","",IF('ORDENES'!$AT1092="","-",'ORDENES'!$AT1092))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20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IF('ORDENES'!$A1092="","",'ORDENES'!$AF1092)</f>
        <v/>
      </c>
    </row>
    <row r="1115">
      <c r="A1115" s="5">
        <f>IF('ORDENES'!$A1093="","",IF('ORDENES'!$O1093="","-",'ORDENES'!$O1093))</f>
        <v/>
      </c>
      <c r="B1115" s="5">
        <f>IF('ORDENES'!$A1093="","",IF('ORDENES'!$S1093="","-",'ORDENES'!$S1093))</f>
        <v/>
      </c>
      <c r="C1115" s="5">
        <f>IF('ORDENES'!$A1093="","",IF('ORDENES'!$AH1093="","-",'ORDENES'!$AH1093))</f>
        <v/>
      </c>
      <c r="D1115" s="5">
        <f>IF('ORDENES'!$A1093="","",IF('ORDENES'!$Z1093="","-",'ORDENES'!$Z1093))</f>
        <v/>
      </c>
      <c r="E1115" s="5">
        <f>IF('ORDENES'!$A1093="","",IF('ORDENES'!$X1093="","-",'ORDENES'!$X1093))</f>
        <v/>
      </c>
      <c r="F1115" s="5">
        <f>IF('ORDENES'!$A1093="","",IF('ORDENES'!$AA1093="","-",'ORDENES'!$AA1093))</f>
        <v/>
      </c>
      <c r="G1115" s="5">
        <f>IF('ORDENES'!$A1093="","",IF('ORDENES'!$Y1093="","-",'ORDENES'!$Y1093))</f>
        <v/>
      </c>
      <c r="H1115" s="5">
        <f>IF('ORDENES'!$A1093="","",IF('ORDENES'!$AG1093="","-",'ORDENES'!$AG1093))</f>
        <v/>
      </c>
      <c r="I1115" s="5">
        <f>IF('ORDENES'!$A1093="","",IF('ORDENES'!$AT1093="","-",'ORDENES'!$AT1093))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20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IF('ORDENES'!$A1093="","",'ORDENES'!$AF1093)</f>
        <v/>
      </c>
    </row>
    <row r="1116">
      <c r="A1116" s="5">
        <f>IF('ORDENES'!$A1094="","",IF('ORDENES'!$O1094="","-",'ORDENES'!$O1094))</f>
        <v/>
      </c>
      <c r="B1116" s="5">
        <f>IF('ORDENES'!$A1094="","",IF('ORDENES'!$S1094="","-",'ORDENES'!$S1094))</f>
        <v/>
      </c>
      <c r="C1116" s="5">
        <f>IF('ORDENES'!$A1094="","",IF('ORDENES'!$AH1094="","-",'ORDENES'!$AH1094))</f>
        <v/>
      </c>
      <c r="D1116" s="5">
        <f>IF('ORDENES'!$A1094="","",IF('ORDENES'!$Z1094="","-",'ORDENES'!$Z1094))</f>
        <v/>
      </c>
      <c r="E1116" s="5">
        <f>IF('ORDENES'!$A1094="","",IF('ORDENES'!$X1094="","-",'ORDENES'!$X1094))</f>
        <v/>
      </c>
      <c r="F1116" s="5">
        <f>IF('ORDENES'!$A1094="","",IF('ORDENES'!$AA1094="","-",'ORDENES'!$AA1094))</f>
        <v/>
      </c>
      <c r="G1116" s="5">
        <f>IF('ORDENES'!$A1094="","",IF('ORDENES'!$Y1094="","-",'ORDENES'!$Y1094))</f>
        <v/>
      </c>
      <c r="H1116" s="5">
        <f>IF('ORDENES'!$A1094="","",IF('ORDENES'!$AG1094="","-",'ORDENES'!$AG1094))</f>
        <v/>
      </c>
      <c r="I1116" s="5">
        <f>IF('ORDENES'!$A1094="","",IF('ORDENES'!$AT1094="","-",'ORDENES'!$AT1094))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20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IF('ORDENES'!$A1094="","",'ORDENES'!$AF1094)</f>
        <v/>
      </c>
    </row>
    <row r="1117">
      <c r="A1117" s="5">
        <f>IF('ORDENES'!$A1095="","",IF('ORDENES'!$O1095="","-",'ORDENES'!$O1095))</f>
        <v/>
      </c>
      <c r="B1117" s="5">
        <f>IF('ORDENES'!$A1095="","",IF('ORDENES'!$S1095="","-",'ORDENES'!$S1095))</f>
        <v/>
      </c>
      <c r="C1117" s="5">
        <f>IF('ORDENES'!$A1095="","",IF('ORDENES'!$AH1095="","-",'ORDENES'!$AH1095))</f>
        <v/>
      </c>
      <c r="D1117" s="5">
        <f>IF('ORDENES'!$A1095="","",IF('ORDENES'!$Z1095="","-",'ORDENES'!$Z1095))</f>
        <v/>
      </c>
      <c r="E1117" s="5">
        <f>IF('ORDENES'!$A1095="","",IF('ORDENES'!$X1095="","-",'ORDENES'!$X1095))</f>
        <v/>
      </c>
      <c r="F1117" s="5">
        <f>IF('ORDENES'!$A1095="","",IF('ORDENES'!$AA1095="","-",'ORDENES'!$AA1095))</f>
        <v/>
      </c>
      <c r="G1117" s="5">
        <f>IF('ORDENES'!$A1095="","",IF('ORDENES'!$Y1095="","-",'ORDENES'!$Y1095))</f>
        <v/>
      </c>
      <c r="H1117" s="5">
        <f>IF('ORDENES'!$A1095="","",IF('ORDENES'!$AG1095="","-",'ORDENES'!$AG1095))</f>
        <v/>
      </c>
      <c r="I1117" s="5">
        <f>IF('ORDENES'!$A1095="","",IF('ORDENES'!$AT1095="","-",'ORDENES'!$AT1095))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20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IF('ORDENES'!$A1095="","",'ORDENES'!$AF1095)</f>
        <v/>
      </c>
    </row>
    <row r="1118">
      <c r="A1118" s="5">
        <f>IF('ORDENES'!$A1096="","",IF('ORDENES'!$O1096="","-",'ORDENES'!$O1096))</f>
        <v/>
      </c>
      <c r="B1118" s="5">
        <f>IF('ORDENES'!$A1096="","",IF('ORDENES'!$S1096="","-",'ORDENES'!$S1096))</f>
        <v/>
      </c>
      <c r="C1118" s="5">
        <f>IF('ORDENES'!$A1096="","",IF('ORDENES'!$AH1096="","-",'ORDENES'!$AH1096))</f>
        <v/>
      </c>
      <c r="D1118" s="5">
        <f>IF('ORDENES'!$A1096="","",IF('ORDENES'!$Z1096="","-",'ORDENES'!$Z1096))</f>
        <v/>
      </c>
      <c r="E1118" s="5">
        <f>IF('ORDENES'!$A1096="","",IF('ORDENES'!$X1096="","-",'ORDENES'!$X1096))</f>
        <v/>
      </c>
      <c r="F1118" s="5">
        <f>IF('ORDENES'!$A1096="","",IF('ORDENES'!$AA1096="","-",'ORDENES'!$AA1096))</f>
        <v/>
      </c>
      <c r="G1118" s="5">
        <f>IF('ORDENES'!$A1096="","",IF('ORDENES'!$Y1096="","-",'ORDENES'!$Y1096))</f>
        <v/>
      </c>
      <c r="H1118" s="5">
        <f>IF('ORDENES'!$A1096="","",IF('ORDENES'!$AG1096="","-",'ORDENES'!$AG1096))</f>
        <v/>
      </c>
      <c r="I1118" s="5">
        <f>IF('ORDENES'!$A1096="","",IF('ORDENES'!$AT1096="","-",'ORDENES'!$AT1096))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20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IF('ORDENES'!$A1096="","",'ORDENES'!$AF1096)</f>
        <v/>
      </c>
    </row>
    <row r="1119">
      <c r="A1119" s="5">
        <f>IF('ORDENES'!$A1097="","",IF('ORDENES'!$O1097="","-",'ORDENES'!$O1097))</f>
        <v/>
      </c>
      <c r="B1119" s="5">
        <f>IF('ORDENES'!$A1097="","",IF('ORDENES'!$S1097="","-",'ORDENES'!$S1097))</f>
        <v/>
      </c>
      <c r="C1119" s="5">
        <f>IF('ORDENES'!$A1097="","",IF('ORDENES'!$AH1097="","-",'ORDENES'!$AH1097))</f>
        <v/>
      </c>
      <c r="D1119" s="5">
        <f>IF('ORDENES'!$A1097="","",IF('ORDENES'!$Z1097="","-",'ORDENES'!$Z1097))</f>
        <v/>
      </c>
      <c r="E1119" s="5">
        <f>IF('ORDENES'!$A1097="","",IF('ORDENES'!$X1097="","-",'ORDENES'!$X1097))</f>
        <v/>
      </c>
      <c r="F1119" s="5">
        <f>IF('ORDENES'!$A1097="","",IF('ORDENES'!$AA1097="","-",'ORDENES'!$AA1097))</f>
        <v/>
      </c>
      <c r="G1119" s="5">
        <f>IF('ORDENES'!$A1097="","",IF('ORDENES'!$Y1097="","-",'ORDENES'!$Y1097))</f>
        <v/>
      </c>
      <c r="H1119" s="5">
        <f>IF('ORDENES'!$A1097="","",IF('ORDENES'!$AG1097="","-",'ORDENES'!$AG1097))</f>
        <v/>
      </c>
      <c r="I1119" s="5">
        <f>IF('ORDENES'!$A1097="","",IF('ORDENES'!$AT1097="","-",'ORDENES'!$AT1097))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20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IF('ORDENES'!$A1097="","",'ORDENES'!$AF1097)</f>
        <v/>
      </c>
    </row>
    <row r="1120">
      <c r="A1120" s="5">
        <f>IF('ORDENES'!$A1098="","",IF('ORDENES'!$O1098="","-",'ORDENES'!$O1098))</f>
        <v/>
      </c>
      <c r="B1120" s="5">
        <f>IF('ORDENES'!$A1098="","",IF('ORDENES'!$S1098="","-",'ORDENES'!$S1098))</f>
        <v/>
      </c>
      <c r="C1120" s="5">
        <f>IF('ORDENES'!$A1098="","",IF('ORDENES'!$AH1098="","-",'ORDENES'!$AH1098))</f>
        <v/>
      </c>
      <c r="D1120" s="5">
        <f>IF('ORDENES'!$A1098="","",IF('ORDENES'!$Z1098="","-",'ORDENES'!$Z1098))</f>
        <v/>
      </c>
      <c r="E1120" s="5">
        <f>IF('ORDENES'!$A1098="","",IF('ORDENES'!$X1098="","-",'ORDENES'!$X1098))</f>
        <v/>
      </c>
      <c r="F1120" s="5">
        <f>IF('ORDENES'!$A1098="","",IF('ORDENES'!$AA1098="","-",'ORDENES'!$AA1098))</f>
        <v/>
      </c>
      <c r="G1120" s="5">
        <f>IF('ORDENES'!$A1098="","",IF('ORDENES'!$Y1098="","-",'ORDENES'!$Y1098))</f>
        <v/>
      </c>
      <c r="H1120" s="5">
        <f>IF('ORDENES'!$A1098="","",IF('ORDENES'!$AG1098="","-",'ORDENES'!$AG1098))</f>
        <v/>
      </c>
      <c r="I1120" s="5">
        <f>IF('ORDENES'!$A1098="","",IF('ORDENES'!$AT1098="","-",'ORDENES'!$AT1098))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20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IF('ORDENES'!$A1098="","",'ORDENES'!$AF1098)</f>
        <v/>
      </c>
    </row>
    <row r="1121">
      <c r="A1121" s="5">
        <f>IF('ORDENES'!$A1099="","",IF('ORDENES'!$O1099="","-",'ORDENES'!$O1099))</f>
        <v/>
      </c>
      <c r="B1121" s="5">
        <f>IF('ORDENES'!$A1099="","",IF('ORDENES'!$S1099="","-",'ORDENES'!$S1099))</f>
        <v/>
      </c>
      <c r="C1121" s="5">
        <f>IF('ORDENES'!$A1099="","",IF('ORDENES'!$AH1099="","-",'ORDENES'!$AH1099))</f>
        <v/>
      </c>
      <c r="D1121" s="5">
        <f>IF('ORDENES'!$A1099="","",IF('ORDENES'!$Z1099="","-",'ORDENES'!$Z1099))</f>
        <v/>
      </c>
      <c r="E1121" s="5">
        <f>IF('ORDENES'!$A1099="","",IF('ORDENES'!$X1099="","-",'ORDENES'!$X1099))</f>
        <v/>
      </c>
      <c r="F1121" s="5">
        <f>IF('ORDENES'!$A1099="","",IF('ORDENES'!$AA1099="","-",'ORDENES'!$AA1099))</f>
        <v/>
      </c>
      <c r="G1121" s="5">
        <f>IF('ORDENES'!$A1099="","",IF('ORDENES'!$Y1099="","-",'ORDENES'!$Y1099))</f>
        <v/>
      </c>
      <c r="H1121" s="5">
        <f>IF('ORDENES'!$A1099="","",IF('ORDENES'!$AG1099="","-",'ORDENES'!$AG1099))</f>
        <v/>
      </c>
      <c r="I1121" s="5">
        <f>IF('ORDENES'!$A1099="","",IF('ORDENES'!$AT1099="","-",'ORDENES'!$AT1099))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20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IF('ORDENES'!$A1099="","",'ORDENES'!$AF1099)</f>
        <v/>
      </c>
    </row>
    <row r="1122">
      <c r="A1122" s="5">
        <f>IF('ORDENES'!$A1100="","",IF('ORDENES'!$O1100="","-",'ORDENES'!$O1100))</f>
        <v/>
      </c>
      <c r="B1122" s="5">
        <f>IF('ORDENES'!$A1100="","",IF('ORDENES'!$S1100="","-",'ORDENES'!$S1100))</f>
        <v/>
      </c>
      <c r="C1122" s="5">
        <f>IF('ORDENES'!$A1100="","",IF('ORDENES'!$AH1100="","-",'ORDENES'!$AH1100))</f>
        <v/>
      </c>
      <c r="D1122" s="5">
        <f>IF('ORDENES'!$A1100="","",IF('ORDENES'!$Z1100="","-",'ORDENES'!$Z1100))</f>
        <v/>
      </c>
      <c r="E1122" s="5">
        <f>IF('ORDENES'!$A1100="","",IF('ORDENES'!$X1100="","-",'ORDENES'!$X1100))</f>
        <v/>
      </c>
      <c r="F1122" s="5">
        <f>IF('ORDENES'!$A1100="","",IF('ORDENES'!$AA1100="","-",'ORDENES'!$AA1100))</f>
        <v/>
      </c>
      <c r="G1122" s="5">
        <f>IF('ORDENES'!$A1100="","",IF('ORDENES'!$Y1100="","-",'ORDENES'!$Y1100))</f>
        <v/>
      </c>
      <c r="H1122" s="5">
        <f>IF('ORDENES'!$A1100="","",IF('ORDENES'!$AG1100="","-",'ORDENES'!$AG1100))</f>
        <v/>
      </c>
      <c r="I1122" s="5">
        <f>IF('ORDENES'!$A1100="","",IF('ORDENES'!$AT1100="","-",'ORDENES'!$AT1100))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20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IF('ORDENES'!$A1100="","",'ORDENES'!$AF1100)</f>
        <v/>
      </c>
    </row>
    <row r="1123">
      <c r="A1123" s="5">
        <f>IF('ORDENES'!$A1101="","",IF('ORDENES'!$O1101="","-",'ORDENES'!$O1101))</f>
        <v/>
      </c>
      <c r="B1123" s="5">
        <f>IF('ORDENES'!$A1101="","",IF('ORDENES'!$S1101="","-",'ORDENES'!$S1101))</f>
        <v/>
      </c>
      <c r="C1123" s="5">
        <f>IF('ORDENES'!$A1101="","",IF('ORDENES'!$AH1101="","-",'ORDENES'!$AH1101))</f>
        <v/>
      </c>
      <c r="D1123" s="5">
        <f>IF('ORDENES'!$A1101="","",IF('ORDENES'!$Z1101="","-",'ORDENES'!$Z1101))</f>
        <v/>
      </c>
      <c r="E1123" s="5">
        <f>IF('ORDENES'!$A1101="","",IF('ORDENES'!$X1101="","-",'ORDENES'!$X1101))</f>
        <v/>
      </c>
      <c r="F1123" s="5">
        <f>IF('ORDENES'!$A1101="","",IF('ORDENES'!$AA1101="","-",'ORDENES'!$AA1101))</f>
        <v/>
      </c>
      <c r="G1123" s="5">
        <f>IF('ORDENES'!$A1101="","",IF('ORDENES'!$Y1101="","-",'ORDENES'!$Y1101))</f>
        <v/>
      </c>
      <c r="H1123" s="5">
        <f>IF('ORDENES'!$A1101="","",IF('ORDENES'!$AG1101="","-",'ORDENES'!$AG1101))</f>
        <v/>
      </c>
      <c r="I1123" s="5">
        <f>IF('ORDENES'!$A1101="","",IF('ORDENES'!$AT1101="","-",'ORDENES'!$AT1101))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20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IF('ORDENES'!$A1101="","",'ORDENES'!$AF1101)</f>
        <v/>
      </c>
    </row>
    <row r="1124">
      <c r="A1124" s="5">
        <f>IF('ORDENES'!$A1102="","",IF('ORDENES'!$O1102="","-",'ORDENES'!$O1102))</f>
        <v/>
      </c>
      <c r="B1124" s="5">
        <f>IF('ORDENES'!$A1102="","",IF('ORDENES'!$S1102="","-",'ORDENES'!$S1102))</f>
        <v/>
      </c>
      <c r="C1124" s="5">
        <f>IF('ORDENES'!$A1102="","",IF('ORDENES'!$AH1102="","-",'ORDENES'!$AH1102))</f>
        <v/>
      </c>
      <c r="D1124" s="5">
        <f>IF('ORDENES'!$A1102="","",IF('ORDENES'!$Z1102="","-",'ORDENES'!$Z1102))</f>
        <v/>
      </c>
      <c r="E1124" s="5">
        <f>IF('ORDENES'!$A1102="","",IF('ORDENES'!$X1102="","-",'ORDENES'!$X1102))</f>
        <v/>
      </c>
      <c r="F1124" s="5">
        <f>IF('ORDENES'!$A1102="","",IF('ORDENES'!$AA1102="","-",'ORDENES'!$AA1102))</f>
        <v/>
      </c>
      <c r="G1124" s="5">
        <f>IF('ORDENES'!$A1102="","",IF('ORDENES'!$Y1102="","-",'ORDENES'!$Y1102))</f>
        <v/>
      </c>
      <c r="H1124" s="5">
        <f>IF('ORDENES'!$A1102="","",IF('ORDENES'!$AG1102="","-",'ORDENES'!$AG1102))</f>
        <v/>
      </c>
      <c r="I1124" s="5">
        <f>IF('ORDENES'!$A1102="","",IF('ORDENES'!$AT1102="","-",'ORDENES'!$AT1102))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20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IF('ORDENES'!$A1102="","",'ORDENES'!$AF1102)</f>
        <v/>
      </c>
    </row>
    <row r="1125">
      <c r="A1125" s="5">
        <f>IF('ORDENES'!$A1103="","",IF('ORDENES'!$O1103="","-",'ORDENES'!$O1103))</f>
        <v/>
      </c>
      <c r="B1125" s="5">
        <f>IF('ORDENES'!$A1103="","",IF('ORDENES'!$S1103="","-",'ORDENES'!$S1103))</f>
        <v/>
      </c>
      <c r="C1125" s="5">
        <f>IF('ORDENES'!$A1103="","",IF('ORDENES'!$AH1103="","-",'ORDENES'!$AH1103))</f>
        <v/>
      </c>
      <c r="D1125" s="5">
        <f>IF('ORDENES'!$A1103="","",IF('ORDENES'!$Z1103="","-",'ORDENES'!$Z1103))</f>
        <v/>
      </c>
      <c r="E1125" s="5">
        <f>IF('ORDENES'!$A1103="","",IF('ORDENES'!$X1103="","-",'ORDENES'!$X1103))</f>
        <v/>
      </c>
      <c r="F1125" s="5">
        <f>IF('ORDENES'!$A1103="","",IF('ORDENES'!$AA1103="","-",'ORDENES'!$AA1103))</f>
        <v/>
      </c>
      <c r="G1125" s="5">
        <f>IF('ORDENES'!$A1103="","",IF('ORDENES'!$Y1103="","-",'ORDENES'!$Y1103))</f>
        <v/>
      </c>
      <c r="H1125" s="5">
        <f>IF('ORDENES'!$A1103="","",IF('ORDENES'!$AG1103="","-",'ORDENES'!$AG1103))</f>
        <v/>
      </c>
      <c r="I1125" s="5">
        <f>IF('ORDENES'!$A1103="","",IF('ORDENES'!$AT1103="","-",'ORDENES'!$AT1103))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20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IF('ORDENES'!$A1103="","",'ORDENES'!$AF1103)</f>
        <v/>
      </c>
    </row>
    <row r="1126">
      <c r="A1126" s="5">
        <f>IF('ORDENES'!$A1104="","",IF('ORDENES'!$O1104="","-",'ORDENES'!$O1104))</f>
        <v/>
      </c>
      <c r="B1126" s="5">
        <f>IF('ORDENES'!$A1104="","",IF('ORDENES'!$S1104="","-",'ORDENES'!$S1104))</f>
        <v/>
      </c>
      <c r="C1126" s="5">
        <f>IF('ORDENES'!$A1104="","",IF('ORDENES'!$AH1104="","-",'ORDENES'!$AH1104))</f>
        <v/>
      </c>
      <c r="D1126" s="5">
        <f>IF('ORDENES'!$A1104="","",IF('ORDENES'!$Z1104="","-",'ORDENES'!$Z1104))</f>
        <v/>
      </c>
      <c r="E1126" s="5">
        <f>IF('ORDENES'!$A1104="","",IF('ORDENES'!$X1104="","-",'ORDENES'!$X1104))</f>
        <v/>
      </c>
      <c r="F1126" s="5">
        <f>IF('ORDENES'!$A1104="","",IF('ORDENES'!$AA1104="","-",'ORDENES'!$AA1104))</f>
        <v/>
      </c>
      <c r="G1126" s="5">
        <f>IF('ORDENES'!$A1104="","",IF('ORDENES'!$Y1104="","-",'ORDENES'!$Y1104))</f>
        <v/>
      </c>
      <c r="H1126" s="5">
        <f>IF('ORDENES'!$A1104="","",IF('ORDENES'!$AG1104="","-",'ORDENES'!$AG1104))</f>
        <v/>
      </c>
      <c r="I1126" s="5">
        <f>IF('ORDENES'!$A1104="","",IF('ORDENES'!$AT1104="","-",'ORDENES'!$AT1104))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20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IF('ORDENES'!$A1104="","",'ORDENES'!$AF1104)</f>
        <v/>
      </c>
    </row>
    <row r="1127">
      <c r="A1127" s="5">
        <f>IF('ORDENES'!$A1105="","",IF('ORDENES'!$O1105="","-",'ORDENES'!$O1105))</f>
        <v/>
      </c>
      <c r="B1127" s="5">
        <f>IF('ORDENES'!$A1105="","",IF('ORDENES'!$S1105="","-",'ORDENES'!$S1105))</f>
        <v/>
      </c>
      <c r="C1127" s="5">
        <f>IF('ORDENES'!$A1105="","",IF('ORDENES'!$AH1105="","-",'ORDENES'!$AH1105))</f>
        <v/>
      </c>
      <c r="D1127" s="5">
        <f>IF('ORDENES'!$A1105="","",IF('ORDENES'!$Z1105="","-",'ORDENES'!$Z1105))</f>
        <v/>
      </c>
      <c r="E1127" s="5">
        <f>IF('ORDENES'!$A1105="","",IF('ORDENES'!$X1105="","-",'ORDENES'!$X1105))</f>
        <v/>
      </c>
      <c r="F1127" s="5">
        <f>IF('ORDENES'!$A1105="","",IF('ORDENES'!$AA1105="","-",'ORDENES'!$AA1105))</f>
        <v/>
      </c>
      <c r="G1127" s="5">
        <f>IF('ORDENES'!$A1105="","",IF('ORDENES'!$Y1105="","-",'ORDENES'!$Y1105))</f>
        <v/>
      </c>
      <c r="H1127" s="5">
        <f>IF('ORDENES'!$A1105="","",IF('ORDENES'!$AG1105="","-",'ORDENES'!$AG1105))</f>
        <v/>
      </c>
      <c r="I1127" s="5">
        <f>IF('ORDENES'!$A1105="","",IF('ORDENES'!$AT1105="","-",'ORDENES'!$AT1105))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20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IF('ORDENES'!$A1105="","",'ORDENES'!$AF1105)</f>
        <v/>
      </c>
    </row>
    <row r="1128">
      <c r="A1128" s="5">
        <f>IF('ORDENES'!$A1106="","",IF('ORDENES'!$O1106="","-",'ORDENES'!$O1106))</f>
        <v/>
      </c>
      <c r="B1128" s="5">
        <f>IF('ORDENES'!$A1106="","",IF('ORDENES'!$S1106="","-",'ORDENES'!$S1106))</f>
        <v/>
      </c>
      <c r="C1128" s="5">
        <f>IF('ORDENES'!$A1106="","",IF('ORDENES'!$AH1106="","-",'ORDENES'!$AH1106))</f>
        <v/>
      </c>
      <c r="D1128" s="5">
        <f>IF('ORDENES'!$A1106="","",IF('ORDENES'!$Z1106="","-",'ORDENES'!$Z1106))</f>
        <v/>
      </c>
      <c r="E1128" s="5">
        <f>IF('ORDENES'!$A1106="","",IF('ORDENES'!$X1106="","-",'ORDENES'!$X1106))</f>
        <v/>
      </c>
      <c r="F1128" s="5">
        <f>IF('ORDENES'!$A1106="","",IF('ORDENES'!$AA1106="","-",'ORDENES'!$AA1106))</f>
        <v/>
      </c>
      <c r="G1128" s="5">
        <f>IF('ORDENES'!$A1106="","",IF('ORDENES'!$Y1106="","-",'ORDENES'!$Y1106))</f>
        <v/>
      </c>
      <c r="H1128" s="5">
        <f>IF('ORDENES'!$A1106="","",IF('ORDENES'!$AG1106="","-",'ORDENES'!$AG1106))</f>
        <v/>
      </c>
      <c r="I1128" s="5">
        <f>IF('ORDENES'!$A1106="","",IF('ORDENES'!$AT1106="","-",'ORDENES'!$AT1106))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20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IF('ORDENES'!$A1106="","",'ORDENES'!$AF1106)</f>
        <v/>
      </c>
    </row>
    <row r="1129">
      <c r="A1129" s="5">
        <f>IF('ORDENES'!$A1107="","",IF('ORDENES'!$O1107="","-",'ORDENES'!$O1107))</f>
        <v/>
      </c>
      <c r="B1129" s="5">
        <f>IF('ORDENES'!$A1107="","",IF('ORDENES'!$S1107="","-",'ORDENES'!$S1107))</f>
        <v/>
      </c>
      <c r="C1129" s="5">
        <f>IF('ORDENES'!$A1107="","",IF('ORDENES'!$AH1107="","-",'ORDENES'!$AH1107))</f>
        <v/>
      </c>
      <c r="D1129" s="5">
        <f>IF('ORDENES'!$A1107="","",IF('ORDENES'!$Z1107="","-",'ORDENES'!$Z1107))</f>
        <v/>
      </c>
      <c r="E1129" s="5">
        <f>IF('ORDENES'!$A1107="","",IF('ORDENES'!$X1107="","-",'ORDENES'!$X1107))</f>
        <v/>
      </c>
      <c r="F1129" s="5">
        <f>IF('ORDENES'!$A1107="","",IF('ORDENES'!$AA1107="","-",'ORDENES'!$AA1107))</f>
        <v/>
      </c>
      <c r="G1129" s="5">
        <f>IF('ORDENES'!$A1107="","",IF('ORDENES'!$Y1107="","-",'ORDENES'!$Y1107))</f>
        <v/>
      </c>
      <c r="H1129" s="5">
        <f>IF('ORDENES'!$A1107="","",IF('ORDENES'!$AG1107="","-",'ORDENES'!$AG1107))</f>
        <v/>
      </c>
      <c r="I1129" s="5">
        <f>IF('ORDENES'!$A1107="","",IF('ORDENES'!$AT1107="","-",'ORDENES'!$AT1107))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20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IF('ORDENES'!$A1107="","",'ORDENES'!$AF1107)</f>
        <v/>
      </c>
    </row>
    <row r="1130">
      <c r="A1130" s="5">
        <f>IF('ORDENES'!$A1108="","",IF('ORDENES'!$O1108="","-",'ORDENES'!$O1108))</f>
        <v/>
      </c>
      <c r="B1130" s="5">
        <f>IF('ORDENES'!$A1108="","",IF('ORDENES'!$S1108="","-",'ORDENES'!$S1108))</f>
        <v/>
      </c>
      <c r="C1130" s="5">
        <f>IF('ORDENES'!$A1108="","",IF('ORDENES'!$AH1108="","-",'ORDENES'!$AH1108))</f>
        <v/>
      </c>
      <c r="D1130" s="5">
        <f>IF('ORDENES'!$A1108="","",IF('ORDENES'!$Z1108="","-",'ORDENES'!$Z1108))</f>
        <v/>
      </c>
      <c r="E1130" s="5">
        <f>IF('ORDENES'!$A1108="","",IF('ORDENES'!$X1108="","-",'ORDENES'!$X1108))</f>
        <v/>
      </c>
      <c r="F1130" s="5">
        <f>IF('ORDENES'!$A1108="","",IF('ORDENES'!$AA1108="","-",'ORDENES'!$AA1108))</f>
        <v/>
      </c>
      <c r="G1130" s="5">
        <f>IF('ORDENES'!$A1108="","",IF('ORDENES'!$Y1108="","-",'ORDENES'!$Y1108))</f>
        <v/>
      </c>
      <c r="H1130" s="5">
        <f>IF('ORDENES'!$A1108="","",IF('ORDENES'!$AG1108="","-",'ORDENES'!$AG1108))</f>
        <v/>
      </c>
      <c r="I1130" s="5">
        <f>IF('ORDENES'!$A1108="","",IF('ORDENES'!$AT1108="","-",'ORDENES'!$AT1108))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20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IF('ORDENES'!$A1108="","",'ORDENES'!$AF1108)</f>
        <v/>
      </c>
    </row>
    <row r="1131">
      <c r="A1131" s="5">
        <f>IF('ORDENES'!$A1109="","",IF('ORDENES'!$O1109="","-",'ORDENES'!$O1109))</f>
        <v/>
      </c>
      <c r="B1131" s="5">
        <f>IF('ORDENES'!$A1109="","",IF('ORDENES'!$S1109="","-",'ORDENES'!$S1109))</f>
        <v/>
      </c>
      <c r="C1131" s="5">
        <f>IF('ORDENES'!$A1109="","",IF('ORDENES'!$AH1109="","-",'ORDENES'!$AH1109))</f>
        <v/>
      </c>
      <c r="D1131" s="5">
        <f>IF('ORDENES'!$A1109="","",IF('ORDENES'!$Z1109="","-",'ORDENES'!$Z1109))</f>
        <v/>
      </c>
      <c r="E1131" s="5">
        <f>IF('ORDENES'!$A1109="","",IF('ORDENES'!$X1109="","-",'ORDENES'!$X1109))</f>
        <v/>
      </c>
      <c r="F1131" s="5">
        <f>IF('ORDENES'!$A1109="","",IF('ORDENES'!$AA1109="","-",'ORDENES'!$AA1109))</f>
        <v/>
      </c>
      <c r="G1131" s="5">
        <f>IF('ORDENES'!$A1109="","",IF('ORDENES'!$Y1109="","-",'ORDENES'!$Y1109))</f>
        <v/>
      </c>
      <c r="H1131" s="5">
        <f>IF('ORDENES'!$A1109="","",IF('ORDENES'!$AG1109="","-",'ORDENES'!$AG1109))</f>
        <v/>
      </c>
      <c r="I1131" s="5">
        <f>IF('ORDENES'!$A1109="","",IF('ORDENES'!$AT1109="","-",'ORDENES'!$AT1109))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20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IF('ORDENES'!$A1109="","",'ORDENES'!$AF1109)</f>
        <v/>
      </c>
    </row>
    <row r="1132">
      <c r="A1132" s="5">
        <f>IF('ORDENES'!$A1110="","",IF('ORDENES'!$O1110="","-",'ORDENES'!$O1110))</f>
        <v/>
      </c>
      <c r="B1132" s="5">
        <f>IF('ORDENES'!$A1110="","",IF('ORDENES'!$S1110="","-",'ORDENES'!$S1110))</f>
        <v/>
      </c>
      <c r="C1132" s="5">
        <f>IF('ORDENES'!$A1110="","",IF('ORDENES'!$AH1110="","-",'ORDENES'!$AH1110))</f>
        <v/>
      </c>
      <c r="D1132" s="5">
        <f>IF('ORDENES'!$A1110="","",IF('ORDENES'!$Z1110="","-",'ORDENES'!$Z1110))</f>
        <v/>
      </c>
      <c r="E1132" s="5">
        <f>IF('ORDENES'!$A1110="","",IF('ORDENES'!$X1110="","-",'ORDENES'!$X1110))</f>
        <v/>
      </c>
      <c r="F1132" s="5">
        <f>IF('ORDENES'!$A1110="","",IF('ORDENES'!$AA1110="","-",'ORDENES'!$AA1110))</f>
        <v/>
      </c>
      <c r="G1132" s="5">
        <f>IF('ORDENES'!$A1110="","",IF('ORDENES'!$Y1110="","-",'ORDENES'!$Y1110))</f>
        <v/>
      </c>
      <c r="H1132" s="5">
        <f>IF('ORDENES'!$A1110="","",IF('ORDENES'!$AG1110="","-",'ORDENES'!$AG1110))</f>
        <v/>
      </c>
      <c r="I1132" s="5">
        <f>IF('ORDENES'!$A1110="","",IF('ORDENES'!$AT1110="","-",'ORDENES'!$AT1110))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20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IF('ORDENES'!$A1110="","",'ORDENES'!$AF1110)</f>
        <v/>
      </c>
    </row>
    <row r="1133">
      <c r="A1133" s="5">
        <f>IF('ORDENES'!$A1111="","",IF('ORDENES'!$O1111="","-",'ORDENES'!$O1111))</f>
        <v/>
      </c>
      <c r="B1133" s="5">
        <f>IF('ORDENES'!$A1111="","",IF('ORDENES'!$S1111="","-",'ORDENES'!$S1111))</f>
        <v/>
      </c>
      <c r="C1133" s="5">
        <f>IF('ORDENES'!$A1111="","",IF('ORDENES'!$AH1111="","-",'ORDENES'!$AH1111))</f>
        <v/>
      </c>
      <c r="D1133" s="5">
        <f>IF('ORDENES'!$A1111="","",IF('ORDENES'!$Z1111="","-",'ORDENES'!$Z1111))</f>
        <v/>
      </c>
      <c r="E1133" s="5">
        <f>IF('ORDENES'!$A1111="","",IF('ORDENES'!$X1111="","-",'ORDENES'!$X1111))</f>
        <v/>
      </c>
      <c r="F1133" s="5">
        <f>IF('ORDENES'!$A1111="","",IF('ORDENES'!$AA1111="","-",'ORDENES'!$AA1111))</f>
        <v/>
      </c>
      <c r="G1133" s="5">
        <f>IF('ORDENES'!$A1111="","",IF('ORDENES'!$Y1111="","-",'ORDENES'!$Y1111))</f>
        <v/>
      </c>
      <c r="H1133" s="5">
        <f>IF('ORDENES'!$A1111="","",IF('ORDENES'!$AG1111="","-",'ORDENES'!$AG1111))</f>
        <v/>
      </c>
      <c r="I1133" s="5">
        <f>IF('ORDENES'!$A1111="","",IF('ORDENES'!$AT1111="","-",'ORDENES'!$AT1111))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20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IF('ORDENES'!$A1111="","",'ORDENES'!$AF1111)</f>
        <v/>
      </c>
    </row>
    <row r="1134">
      <c r="A1134" s="5">
        <f>IF('ORDENES'!$A1112="","",IF('ORDENES'!$O1112="","-",'ORDENES'!$O1112))</f>
        <v/>
      </c>
      <c r="B1134" s="5">
        <f>IF('ORDENES'!$A1112="","",IF('ORDENES'!$S1112="","-",'ORDENES'!$S1112))</f>
        <v/>
      </c>
      <c r="C1134" s="5">
        <f>IF('ORDENES'!$A1112="","",IF('ORDENES'!$AH1112="","-",'ORDENES'!$AH1112))</f>
        <v/>
      </c>
      <c r="D1134" s="5">
        <f>IF('ORDENES'!$A1112="","",IF('ORDENES'!$Z1112="","-",'ORDENES'!$Z1112))</f>
        <v/>
      </c>
      <c r="E1134" s="5">
        <f>IF('ORDENES'!$A1112="","",IF('ORDENES'!$X1112="","-",'ORDENES'!$X1112))</f>
        <v/>
      </c>
      <c r="F1134" s="5">
        <f>IF('ORDENES'!$A1112="","",IF('ORDENES'!$AA1112="","-",'ORDENES'!$AA1112))</f>
        <v/>
      </c>
      <c r="G1134" s="5">
        <f>IF('ORDENES'!$A1112="","",IF('ORDENES'!$Y1112="","-",'ORDENES'!$Y1112))</f>
        <v/>
      </c>
      <c r="H1134" s="5">
        <f>IF('ORDENES'!$A1112="","",IF('ORDENES'!$AG1112="","-",'ORDENES'!$AG1112))</f>
        <v/>
      </c>
      <c r="I1134" s="5">
        <f>IF('ORDENES'!$A1112="","",IF('ORDENES'!$AT1112="","-",'ORDENES'!$AT1112))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20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IF('ORDENES'!$A1112="","",'ORDENES'!$AF1112)</f>
        <v/>
      </c>
    </row>
    <row r="1135">
      <c r="A1135" s="5">
        <f>IF('ORDENES'!$A1113="","",IF('ORDENES'!$O1113="","-",'ORDENES'!$O1113))</f>
        <v/>
      </c>
      <c r="B1135" s="5">
        <f>IF('ORDENES'!$A1113="","",IF('ORDENES'!$S1113="","-",'ORDENES'!$S1113))</f>
        <v/>
      </c>
      <c r="C1135" s="5">
        <f>IF('ORDENES'!$A1113="","",IF('ORDENES'!$AH1113="","-",'ORDENES'!$AH1113))</f>
        <v/>
      </c>
      <c r="D1135" s="5">
        <f>IF('ORDENES'!$A1113="","",IF('ORDENES'!$Z1113="","-",'ORDENES'!$Z1113))</f>
        <v/>
      </c>
      <c r="E1135" s="5">
        <f>IF('ORDENES'!$A1113="","",IF('ORDENES'!$X1113="","-",'ORDENES'!$X1113))</f>
        <v/>
      </c>
      <c r="F1135" s="5">
        <f>IF('ORDENES'!$A1113="","",IF('ORDENES'!$AA1113="","-",'ORDENES'!$AA1113))</f>
        <v/>
      </c>
      <c r="G1135" s="5">
        <f>IF('ORDENES'!$A1113="","",IF('ORDENES'!$Y1113="","-",'ORDENES'!$Y1113))</f>
        <v/>
      </c>
      <c r="H1135" s="5">
        <f>IF('ORDENES'!$A1113="","",IF('ORDENES'!$AG1113="","-",'ORDENES'!$AG1113))</f>
        <v/>
      </c>
      <c r="I1135" s="5">
        <f>IF('ORDENES'!$A1113="","",IF('ORDENES'!$AT1113="","-",'ORDENES'!$AT1113))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20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IF('ORDENES'!$A1113="","",'ORDENES'!$AF1113)</f>
        <v/>
      </c>
    </row>
    <row r="1136">
      <c r="A1136" s="5">
        <f>IF('ORDENES'!$A1114="","",IF('ORDENES'!$O1114="","-",'ORDENES'!$O1114))</f>
        <v/>
      </c>
      <c r="B1136" s="5">
        <f>IF('ORDENES'!$A1114="","",IF('ORDENES'!$S1114="","-",'ORDENES'!$S1114))</f>
        <v/>
      </c>
      <c r="C1136" s="5">
        <f>IF('ORDENES'!$A1114="","",IF('ORDENES'!$AH1114="","-",'ORDENES'!$AH1114))</f>
        <v/>
      </c>
      <c r="D1136" s="5">
        <f>IF('ORDENES'!$A1114="","",IF('ORDENES'!$Z1114="","-",'ORDENES'!$Z1114))</f>
        <v/>
      </c>
      <c r="E1136" s="5">
        <f>IF('ORDENES'!$A1114="","",IF('ORDENES'!$X1114="","-",'ORDENES'!$X1114))</f>
        <v/>
      </c>
      <c r="F1136" s="5">
        <f>IF('ORDENES'!$A1114="","",IF('ORDENES'!$AA1114="","-",'ORDENES'!$AA1114))</f>
        <v/>
      </c>
      <c r="G1136" s="5">
        <f>IF('ORDENES'!$A1114="","",IF('ORDENES'!$Y1114="","-",'ORDENES'!$Y1114))</f>
        <v/>
      </c>
      <c r="H1136" s="5">
        <f>IF('ORDENES'!$A1114="","",IF('ORDENES'!$AG1114="","-",'ORDENES'!$AG1114))</f>
        <v/>
      </c>
      <c r="I1136" s="5">
        <f>IF('ORDENES'!$A1114="","",IF('ORDENES'!$AT1114="","-",'ORDENES'!$AT1114))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20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IF('ORDENES'!$A1114="","",'ORDENES'!$AF1114)</f>
        <v/>
      </c>
    </row>
    <row r="1137">
      <c r="A1137" s="5">
        <f>IF('ORDENES'!$A1115="","",IF('ORDENES'!$O1115="","-",'ORDENES'!$O1115))</f>
        <v/>
      </c>
      <c r="B1137" s="5">
        <f>IF('ORDENES'!$A1115="","",IF('ORDENES'!$S1115="","-",'ORDENES'!$S1115))</f>
        <v/>
      </c>
      <c r="C1137" s="5">
        <f>IF('ORDENES'!$A1115="","",IF('ORDENES'!$AH1115="","-",'ORDENES'!$AH1115))</f>
        <v/>
      </c>
      <c r="D1137" s="5">
        <f>IF('ORDENES'!$A1115="","",IF('ORDENES'!$Z1115="","-",'ORDENES'!$Z1115))</f>
        <v/>
      </c>
      <c r="E1137" s="5">
        <f>IF('ORDENES'!$A1115="","",IF('ORDENES'!$X1115="","-",'ORDENES'!$X1115))</f>
        <v/>
      </c>
      <c r="F1137" s="5">
        <f>IF('ORDENES'!$A1115="","",IF('ORDENES'!$AA1115="","-",'ORDENES'!$AA1115))</f>
        <v/>
      </c>
      <c r="G1137" s="5">
        <f>IF('ORDENES'!$A1115="","",IF('ORDENES'!$Y1115="","-",'ORDENES'!$Y1115))</f>
        <v/>
      </c>
      <c r="H1137" s="5">
        <f>IF('ORDENES'!$A1115="","",IF('ORDENES'!$AG1115="","-",'ORDENES'!$AG1115))</f>
        <v/>
      </c>
      <c r="I1137" s="5">
        <f>IF('ORDENES'!$A1115="","",IF('ORDENES'!$AT1115="","-",'ORDENES'!$AT1115))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20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IF('ORDENES'!$A1115="","",'ORDENES'!$AF1115)</f>
        <v/>
      </c>
    </row>
    <row r="1138">
      <c r="A1138" s="5">
        <f>IF('ORDENES'!$A1116="","",IF('ORDENES'!$O1116="","-",'ORDENES'!$O1116))</f>
        <v/>
      </c>
      <c r="B1138" s="5">
        <f>IF('ORDENES'!$A1116="","",IF('ORDENES'!$S1116="","-",'ORDENES'!$S1116))</f>
        <v/>
      </c>
      <c r="C1138" s="5">
        <f>IF('ORDENES'!$A1116="","",IF('ORDENES'!$AH1116="","-",'ORDENES'!$AH1116))</f>
        <v/>
      </c>
      <c r="D1138" s="5">
        <f>IF('ORDENES'!$A1116="","",IF('ORDENES'!$Z1116="","-",'ORDENES'!$Z1116))</f>
        <v/>
      </c>
      <c r="E1138" s="5">
        <f>IF('ORDENES'!$A1116="","",IF('ORDENES'!$X1116="","-",'ORDENES'!$X1116))</f>
        <v/>
      </c>
      <c r="F1138" s="5">
        <f>IF('ORDENES'!$A1116="","",IF('ORDENES'!$AA1116="","-",'ORDENES'!$AA1116))</f>
        <v/>
      </c>
      <c r="G1138" s="5">
        <f>IF('ORDENES'!$A1116="","",IF('ORDENES'!$Y1116="","-",'ORDENES'!$Y1116))</f>
        <v/>
      </c>
      <c r="H1138" s="5">
        <f>IF('ORDENES'!$A1116="","",IF('ORDENES'!$AG1116="","-",'ORDENES'!$AG1116))</f>
        <v/>
      </c>
      <c r="I1138" s="5">
        <f>IF('ORDENES'!$A1116="","",IF('ORDENES'!$AT1116="","-",'ORDENES'!$AT1116))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20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IF('ORDENES'!$A1116="","",'ORDENES'!$AF1116)</f>
        <v/>
      </c>
    </row>
    <row r="1139">
      <c r="A1139" s="5">
        <f>IF('ORDENES'!$A1117="","",IF('ORDENES'!$O1117="","-",'ORDENES'!$O1117))</f>
        <v/>
      </c>
      <c r="B1139" s="5">
        <f>IF('ORDENES'!$A1117="","",IF('ORDENES'!$S1117="","-",'ORDENES'!$S1117))</f>
        <v/>
      </c>
      <c r="C1139" s="5">
        <f>IF('ORDENES'!$A1117="","",IF('ORDENES'!$AH1117="","-",'ORDENES'!$AH1117))</f>
        <v/>
      </c>
      <c r="D1139" s="5">
        <f>IF('ORDENES'!$A1117="","",IF('ORDENES'!$Z1117="","-",'ORDENES'!$Z1117))</f>
        <v/>
      </c>
      <c r="E1139" s="5">
        <f>IF('ORDENES'!$A1117="","",IF('ORDENES'!$X1117="","-",'ORDENES'!$X1117))</f>
        <v/>
      </c>
      <c r="F1139" s="5">
        <f>IF('ORDENES'!$A1117="","",IF('ORDENES'!$AA1117="","-",'ORDENES'!$AA1117))</f>
        <v/>
      </c>
      <c r="G1139" s="5">
        <f>IF('ORDENES'!$A1117="","",IF('ORDENES'!$Y1117="","-",'ORDENES'!$Y1117))</f>
        <v/>
      </c>
      <c r="H1139" s="5">
        <f>IF('ORDENES'!$A1117="","",IF('ORDENES'!$AG1117="","-",'ORDENES'!$AG1117))</f>
        <v/>
      </c>
      <c r="I1139" s="5">
        <f>IF('ORDENES'!$A1117="","",IF('ORDENES'!$AT1117="","-",'ORDENES'!$AT1117))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20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IF('ORDENES'!$A1117="","",'ORDENES'!$AF1117)</f>
        <v/>
      </c>
    </row>
    <row r="1140">
      <c r="A1140" s="5">
        <f>IF('ORDENES'!$A1118="","",IF('ORDENES'!$O1118="","-",'ORDENES'!$O1118))</f>
        <v/>
      </c>
      <c r="B1140" s="5">
        <f>IF('ORDENES'!$A1118="","",IF('ORDENES'!$S1118="","-",'ORDENES'!$S1118))</f>
        <v/>
      </c>
      <c r="C1140" s="5">
        <f>IF('ORDENES'!$A1118="","",IF('ORDENES'!$AH1118="","-",'ORDENES'!$AH1118))</f>
        <v/>
      </c>
      <c r="D1140" s="5">
        <f>IF('ORDENES'!$A1118="","",IF('ORDENES'!$Z1118="","-",'ORDENES'!$Z1118))</f>
        <v/>
      </c>
      <c r="E1140" s="5">
        <f>IF('ORDENES'!$A1118="","",IF('ORDENES'!$X1118="","-",'ORDENES'!$X1118))</f>
        <v/>
      </c>
      <c r="F1140" s="5">
        <f>IF('ORDENES'!$A1118="","",IF('ORDENES'!$AA1118="","-",'ORDENES'!$AA1118))</f>
        <v/>
      </c>
      <c r="G1140" s="5">
        <f>IF('ORDENES'!$A1118="","",IF('ORDENES'!$Y1118="","-",'ORDENES'!$Y1118))</f>
        <v/>
      </c>
      <c r="H1140" s="5">
        <f>IF('ORDENES'!$A1118="","",IF('ORDENES'!$AG1118="","-",'ORDENES'!$AG1118))</f>
        <v/>
      </c>
      <c r="I1140" s="5">
        <f>IF('ORDENES'!$A1118="","",IF('ORDENES'!$AT1118="","-",'ORDENES'!$AT1118))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20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IF('ORDENES'!$A1118="","",'ORDENES'!$AF1118)</f>
        <v/>
      </c>
    </row>
    <row r="1141">
      <c r="A1141" s="5">
        <f>IF('ORDENES'!$A1119="","",IF('ORDENES'!$O1119="","-",'ORDENES'!$O1119))</f>
        <v/>
      </c>
      <c r="B1141" s="5">
        <f>IF('ORDENES'!$A1119="","",IF('ORDENES'!$S1119="","-",'ORDENES'!$S1119))</f>
        <v/>
      </c>
      <c r="C1141" s="5">
        <f>IF('ORDENES'!$A1119="","",IF('ORDENES'!$AH1119="","-",'ORDENES'!$AH1119))</f>
        <v/>
      </c>
      <c r="D1141" s="5">
        <f>IF('ORDENES'!$A1119="","",IF('ORDENES'!$Z1119="","-",'ORDENES'!$Z1119))</f>
        <v/>
      </c>
      <c r="E1141" s="5">
        <f>IF('ORDENES'!$A1119="","",IF('ORDENES'!$X1119="","-",'ORDENES'!$X1119))</f>
        <v/>
      </c>
      <c r="F1141" s="5">
        <f>IF('ORDENES'!$A1119="","",IF('ORDENES'!$AA1119="","-",'ORDENES'!$AA1119))</f>
        <v/>
      </c>
      <c r="G1141" s="5">
        <f>IF('ORDENES'!$A1119="","",IF('ORDENES'!$Y1119="","-",'ORDENES'!$Y1119))</f>
        <v/>
      </c>
      <c r="H1141" s="5">
        <f>IF('ORDENES'!$A1119="","",IF('ORDENES'!$AG1119="","-",'ORDENES'!$AG1119))</f>
        <v/>
      </c>
      <c r="I1141" s="5">
        <f>IF('ORDENES'!$A1119="","",IF('ORDENES'!$AT1119="","-",'ORDENES'!$AT1119))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20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IF('ORDENES'!$A1119="","",'ORDENES'!$AF1119)</f>
        <v/>
      </c>
    </row>
    <row r="1142">
      <c r="A1142" s="5">
        <f>IF('ORDENES'!$A1120="","",IF('ORDENES'!$O1120="","-",'ORDENES'!$O1120))</f>
        <v/>
      </c>
      <c r="B1142" s="5">
        <f>IF('ORDENES'!$A1120="","",IF('ORDENES'!$S1120="","-",'ORDENES'!$S1120))</f>
        <v/>
      </c>
      <c r="C1142" s="5">
        <f>IF('ORDENES'!$A1120="","",IF('ORDENES'!$AH1120="","-",'ORDENES'!$AH1120))</f>
        <v/>
      </c>
      <c r="D1142" s="5">
        <f>IF('ORDENES'!$A1120="","",IF('ORDENES'!$Z1120="","-",'ORDENES'!$Z1120))</f>
        <v/>
      </c>
      <c r="E1142" s="5">
        <f>IF('ORDENES'!$A1120="","",IF('ORDENES'!$X1120="","-",'ORDENES'!$X1120))</f>
        <v/>
      </c>
      <c r="F1142" s="5">
        <f>IF('ORDENES'!$A1120="","",IF('ORDENES'!$AA1120="","-",'ORDENES'!$AA1120))</f>
        <v/>
      </c>
      <c r="G1142" s="5">
        <f>IF('ORDENES'!$A1120="","",IF('ORDENES'!$Y1120="","-",'ORDENES'!$Y1120))</f>
        <v/>
      </c>
      <c r="H1142" s="5">
        <f>IF('ORDENES'!$A1120="","",IF('ORDENES'!$AG1120="","-",'ORDENES'!$AG1120))</f>
        <v/>
      </c>
      <c r="I1142" s="5">
        <f>IF('ORDENES'!$A1120="","",IF('ORDENES'!$AT1120="","-",'ORDENES'!$AT1120))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20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IF('ORDENES'!$A1120="","",'ORDENES'!$AF1120)</f>
        <v/>
      </c>
    </row>
    <row r="1143">
      <c r="A1143" s="5">
        <f>IF('ORDENES'!$A1121="","",IF('ORDENES'!$O1121="","-",'ORDENES'!$O1121))</f>
        <v/>
      </c>
      <c r="B1143" s="5">
        <f>IF('ORDENES'!$A1121="","",IF('ORDENES'!$S1121="","-",'ORDENES'!$S1121))</f>
        <v/>
      </c>
      <c r="C1143" s="5">
        <f>IF('ORDENES'!$A1121="","",IF('ORDENES'!$AH1121="","-",'ORDENES'!$AH1121))</f>
        <v/>
      </c>
      <c r="D1143" s="5">
        <f>IF('ORDENES'!$A1121="","",IF('ORDENES'!$Z1121="","-",'ORDENES'!$Z1121))</f>
        <v/>
      </c>
      <c r="E1143" s="5">
        <f>IF('ORDENES'!$A1121="","",IF('ORDENES'!$X1121="","-",'ORDENES'!$X1121))</f>
        <v/>
      </c>
      <c r="F1143" s="5">
        <f>IF('ORDENES'!$A1121="","",IF('ORDENES'!$AA1121="","-",'ORDENES'!$AA1121))</f>
        <v/>
      </c>
      <c r="G1143" s="5">
        <f>IF('ORDENES'!$A1121="","",IF('ORDENES'!$Y1121="","-",'ORDENES'!$Y1121))</f>
        <v/>
      </c>
      <c r="H1143" s="5">
        <f>IF('ORDENES'!$A1121="","",IF('ORDENES'!$AG1121="","-",'ORDENES'!$AG1121))</f>
        <v/>
      </c>
      <c r="I1143" s="5">
        <f>IF('ORDENES'!$A1121="","",IF('ORDENES'!$AT1121="","-",'ORDENES'!$AT1121))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20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IF('ORDENES'!$A1121="","",'ORDENES'!$AF1121)</f>
        <v/>
      </c>
    </row>
    <row r="1144">
      <c r="A1144" s="5">
        <f>IF('ORDENES'!$A1122="","",IF('ORDENES'!$O1122="","-",'ORDENES'!$O1122))</f>
        <v/>
      </c>
      <c r="B1144" s="5">
        <f>IF('ORDENES'!$A1122="","",IF('ORDENES'!$S1122="","-",'ORDENES'!$S1122))</f>
        <v/>
      </c>
      <c r="C1144" s="5">
        <f>IF('ORDENES'!$A1122="","",IF('ORDENES'!$AH1122="","-",'ORDENES'!$AH1122))</f>
        <v/>
      </c>
      <c r="D1144" s="5">
        <f>IF('ORDENES'!$A1122="","",IF('ORDENES'!$Z1122="","-",'ORDENES'!$Z1122))</f>
        <v/>
      </c>
      <c r="E1144" s="5">
        <f>IF('ORDENES'!$A1122="","",IF('ORDENES'!$X1122="","-",'ORDENES'!$X1122))</f>
        <v/>
      </c>
      <c r="F1144" s="5">
        <f>IF('ORDENES'!$A1122="","",IF('ORDENES'!$AA1122="","-",'ORDENES'!$AA1122))</f>
        <v/>
      </c>
      <c r="G1144" s="5">
        <f>IF('ORDENES'!$A1122="","",IF('ORDENES'!$Y1122="","-",'ORDENES'!$Y1122))</f>
        <v/>
      </c>
      <c r="H1144" s="5">
        <f>IF('ORDENES'!$A1122="","",IF('ORDENES'!$AG1122="","-",'ORDENES'!$AG1122))</f>
        <v/>
      </c>
      <c r="I1144" s="5">
        <f>IF('ORDENES'!$A1122="","",IF('ORDENES'!$AT1122="","-",'ORDENES'!$AT1122))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20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IF('ORDENES'!$A1122="","",'ORDENES'!$AF1122)</f>
        <v/>
      </c>
    </row>
    <row r="1145">
      <c r="A1145" s="5">
        <f>IF('ORDENES'!$A1123="","",IF('ORDENES'!$O1123="","-",'ORDENES'!$O1123))</f>
        <v/>
      </c>
      <c r="B1145" s="5">
        <f>IF('ORDENES'!$A1123="","",IF('ORDENES'!$S1123="","-",'ORDENES'!$S1123))</f>
        <v/>
      </c>
      <c r="C1145" s="5">
        <f>IF('ORDENES'!$A1123="","",IF('ORDENES'!$AH1123="","-",'ORDENES'!$AH1123))</f>
        <v/>
      </c>
      <c r="D1145" s="5">
        <f>IF('ORDENES'!$A1123="","",IF('ORDENES'!$Z1123="","-",'ORDENES'!$Z1123))</f>
        <v/>
      </c>
      <c r="E1145" s="5">
        <f>IF('ORDENES'!$A1123="","",IF('ORDENES'!$X1123="","-",'ORDENES'!$X1123))</f>
        <v/>
      </c>
      <c r="F1145" s="5">
        <f>IF('ORDENES'!$A1123="","",IF('ORDENES'!$AA1123="","-",'ORDENES'!$AA1123))</f>
        <v/>
      </c>
      <c r="G1145" s="5">
        <f>IF('ORDENES'!$A1123="","",IF('ORDENES'!$Y1123="","-",'ORDENES'!$Y1123))</f>
        <v/>
      </c>
      <c r="H1145" s="5">
        <f>IF('ORDENES'!$A1123="","",IF('ORDENES'!$AG1123="","-",'ORDENES'!$AG1123))</f>
        <v/>
      </c>
      <c r="I1145" s="5">
        <f>IF('ORDENES'!$A1123="","",IF('ORDENES'!$AT1123="","-",'ORDENES'!$AT1123))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20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IF('ORDENES'!$A1123="","",'ORDENES'!$AF1123)</f>
        <v/>
      </c>
    </row>
    <row r="1146">
      <c r="A1146" s="5">
        <f>IF('ORDENES'!$A1124="","",IF('ORDENES'!$O1124="","-",'ORDENES'!$O1124))</f>
        <v/>
      </c>
      <c r="B1146" s="5">
        <f>IF('ORDENES'!$A1124="","",IF('ORDENES'!$S1124="","-",'ORDENES'!$S1124))</f>
        <v/>
      </c>
      <c r="C1146" s="5">
        <f>IF('ORDENES'!$A1124="","",IF('ORDENES'!$AH1124="","-",'ORDENES'!$AH1124))</f>
        <v/>
      </c>
      <c r="D1146" s="5">
        <f>IF('ORDENES'!$A1124="","",IF('ORDENES'!$Z1124="","-",'ORDENES'!$Z1124))</f>
        <v/>
      </c>
      <c r="E1146" s="5">
        <f>IF('ORDENES'!$A1124="","",IF('ORDENES'!$X1124="","-",'ORDENES'!$X1124))</f>
        <v/>
      </c>
      <c r="F1146" s="5">
        <f>IF('ORDENES'!$A1124="","",IF('ORDENES'!$AA1124="","-",'ORDENES'!$AA1124))</f>
        <v/>
      </c>
      <c r="G1146" s="5">
        <f>IF('ORDENES'!$A1124="","",IF('ORDENES'!$Y1124="","-",'ORDENES'!$Y1124))</f>
        <v/>
      </c>
      <c r="H1146" s="5">
        <f>IF('ORDENES'!$A1124="","",IF('ORDENES'!$AG1124="","-",'ORDENES'!$AG1124))</f>
        <v/>
      </c>
      <c r="I1146" s="5">
        <f>IF('ORDENES'!$A1124="","",IF('ORDENES'!$AT1124="","-",'ORDENES'!$AT1124))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20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IF('ORDENES'!$A1124="","",'ORDENES'!$AF1124)</f>
        <v/>
      </c>
    </row>
    <row r="1147">
      <c r="A1147" s="5">
        <f>IF('ORDENES'!$A1125="","",IF('ORDENES'!$O1125="","-",'ORDENES'!$O1125))</f>
        <v/>
      </c>
      <c r="B1147" s="5">
        <f>IF('ORDENES'!$A1125="","",IF('ORDENES'!$S1125="","-",'ORDENES'!$S1125))</f>
        <v/>
      </c>
      <c r="C1147" s="5">
        <f>IF('ORDENES'!$A1125="","",IF('ORDENES'!$AH1125="","-",'ORDENES'!$AH1125))</f>
        <v/>
      </c>
      <c r="D1147" s="5">
        <f>IF('ORDENES'!$A1125="","",IF('ORDENES'!$Z1125="","-",'ORDENES'!$Z1125))</f>
        <v/>
      </c>
      <c r="E1147" s="5">
        <f>IF('ORDENES'!$A1125="","",IF('ORDENES'!$X1125="","-",'ORDENES'!$X1125))</f>
        <v/>
      </c>
      <c r="F1147" s="5">
        <f>IF('ORDENES'!$A1125="","",IF('ORDENES'!$AA1125="","-",'ORDENES'!$AA1125))</f>
        <v/>
      </c>
      <c r="G1147" s="5">
        <f>IF('ORDENES'!$A1125="","",IF('ORDENES'!$Y1125="","-",'ORDENES'!$Y1125))</f>
        <v/>
      </c>
      <c r="H1147" s="5">
        <f>IF('ORDENES'!$A1125="","",IF('ORDENES'!$AG1125="","-",'ORDENES'!$AG1125))</f>
        <v/>
      </c>
      <c r="I1147" s="5">
        <f>IF('ORDENES'!$A1125="","",IF('ORDENES'!$AT1125="","-",'ORDENES'!$AT1125))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20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IF('ORDENES'!$A1125="","",'ORDENES'!$AF1125)</f>
        <v/>
      </c>
    </row>
    <row r="1148">
      <c r="A1148" s="5">
        <f>IF('ORDENES'!$A1126="","",IF('ORDENES'!$O1126="","-",'ORDENES'!$O1126))</f>
        <v/>
      </c>
      <c r="B1148" s="5">
        <f>IF('ORDENES'!$A1126="","",IF('ORDENES'!$S1126="","-",'ORDENES'!$S1126))</f>
        <v/>
      </c>
      <c r="C1148" s="5">
        <f>IF('ORDENES'!$A1126="","",IF('ORDENES'!$AH1126="","-",'ORDENES'!$AH1126))</f>
        <v/>
      </c>
      <c r="D1148" s="5">
        <f>IF('ORDENES'!$A1126="","",IF('ORDENES'!$Z1126="","-",'ORDENES'!$Z1126))</f>
        <v/>
      </c>
      <c r="E1148" s="5">
        <f>IF('ORDENES'!$A1126="","",IF('ORDENES'!$X1126="","-",'ORDENES'!$X1126))</f>
        <v/>
      </c>
      <c r="F1148" s="5">
        <f>IF('ORDENES'!$A1126="","",IF('ORDENES'!$AA1126="","-",'ORDENES'!$AA1126))</f>
        <v/>
      </c>
      <c r="G1148" s="5">
        <f>IF('ORDENES'!$A1126="","",IF('ORDENES'!$Y1126="","-",'ORDENES'!$Y1126))</f>
        <v/>
      </c>
      <c r="H1148" s="5">
        <f>IF('ORDENES'!$A1126="","",IF('ORDENES'!$AG1126="","-",'ORDENES'!$AG1126))</f>
        <v/>
      </c>
      <c r="I1148" s="5">
        <f>IF('ORDENES'!$A1126="","",IF('ORDENES'!$AT1126="","-",'ORDENES'!$AT1126))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20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IF('ORDENES'!$A1126="","",'ORDENES'!$AF1126)</f>
        <v/>
      </c>
    </row>
    <row r="1149">
      <c r="A1149" s="5">
        <f>IF('ORDENES'!$A1127="","",IF('ORDENES'!$O1127="","-",'ORDENES'!$O1127))</f>
        <v/>
      </c>
      <c r="B1149" s="5">
        <f>IF('ORDENES'!$A1127="","",IF('ORDENES'!$S1127="","-",'ORDENES'!$S1127))</f>
        <v/>
      </c>
      <c r="C1149" s="5">
        <f>IF('ORDENES'!$A1127="","",IF('ORDENES'!$AH1127="","-",'ORDENES'!$AH1127))</f>
        <v/>
      </c>
      <c r="D1149" s="5">
        <f>IF('ORDENES'!$A1127="","",IF('ORDENES'!$Z1127="","-",'ORDENES'!$Z1127))</f>
        <v/>
      </c>
      <c r="E1149" s="5">
        <f>IF('ORDENES'!$A1127="","",IF('ORDENES'!$X1127="","-",'ORDENES'!$X1127))</f>
        <v/>
      </c>
      <c r="F1149" s="5">
        <f>IF('ORDENES'!$A1127="","",IF('ORDENES'!$AA1127="","-",'ORDENES'!$AA1127))</f>
        <v/>
      </c>
      <c r="G1149" s="5">
        <f>IF('ORDENES'!$A1127="","",IF('ORDENES'!$Y1127="","-",'ORDENES'!$Y1127))</f>
        <v/>
      </c>
      <c r="H1149" s="5">
        <f>IF('ORDENES'!$A1127="","",IF('ORDENES'!$AG1127="","-",'ORDENES'!$AG1127))</f>
        <v/>
      </c>
      <c r="I1149" s="5">
        <f>IF('ORDENES'!$A1127="","",IF('ORDENES'!$AT1127="","-",'ORDENES'!$AT1127))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20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IF('ORDENES'!$A1127="","",'ORDENES'!$AF1127)</f>
        <v/>
      </c>
    </row>
    <row r="1150">
      <c r="A1150" s="5">
        <f>IF('ORDENES'!$A1128="","",IF('ORDENES'!$O1128="","-",'ORDENES'!$O1128))</f>
        <v/>
      </c>
      <c r="B1150" s="5">
        <f>IF('ORDENES'!$A1128="","",IF('ORDENES'!$S1128="","-",'ORDENES'!$S1128))</f>
        <v/>
      </c>
      <c r="C1150" s="5">
        <f>IF('ORDENES'!$A1128="","",IF('ORDENES'!$AH1128="","-",'ORDENES'!$AH1128))</f>
        <v/>
      </c>
      <c r="D1150" s="5">
        <f>IF('ORDENES'!$A1128="","",IF('ORDENES'!$Z1128="","-",'ORDENES'!$Z1128))</f>
        <v/>
      </c>
      <c r="E1150" s="5">
        <f>IF('ORDENES'!$A1128="","",IF('ORDENES'!$X1128="","-",'ORDENES'!$X1128))</f>
        <v/>
      </c>
      <c r="F1150" s="5">
        <f>IF('ORDENES'!$A1128="","",IF('ORDENES'!$AA1128="","-",'ORDENES'!$AA1128))</f>
        <v/>
      </c>
      <c r="G1150" s="5">
        <f>IF('ORDENES'!$A1128="","",IF('ORDENES'!$Y1128="","-",'ORDENES'!$Y1128))</f>
        <v/>
      </c>
      <c r="H1150" s="5">
        <f>IF('ORDENES'!$A1128="","",IF('ORDENES'!$AG1128="","-",'ORDENES'!$AG1128))</f>
        <v/>
      </c>
      <c r="I1150" s="5">
        <f>IF('ORDENES'!$A1128="","",IF('ORDENES'!$AT1128="","-",'ORDENES'!$AT1128))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20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IF('ORDENES'!$A1128="","",'ORDENES'!$AF1128)</f>
        <v/>
      </c>
    </row>
    <row r="1151">
      <c r="A1151" s="5">
        <f>IF('ORDENES'!$A1129="","",IF('ORDENES'!$O1129="","-",'ORDENES'!$O1129))</f>
        <v/>
      </c>
      <c r="B1151" s="5">
        <f>IF('ORDENES'!$A1129="","",IF('ORDENES'!$S1129="","-",'ORDENES'!$S1129))</f>
        <v/>
      </c>
      <c r="C1151" s="5">
        <f>IF('ORDENES'!$A1129="","",IF('ORDENES'!$AH1129="","-",'ORDENES'!$AH1129))</f>
        <v/>
      </c>
      <c r="D1151" s="5">
        <f>IF('ORDENES'!$A1129="","",IF('ORDENES'!$Z1129="","-",'ORDENES'!$Z1129))</f>
        <v/>
      </c>
      <c r="E1151" s="5">
        <f>IF('ORDENES'!$A1129="","",IF('ORDENES'!$X1129="","-",'ORDENES'!$X1129))</f>
        <v/>
      </c>
      <c r="F1151" s="5">
        <f>IF('ORDENES'!$A1129="","",IF('ORDENES'!$AA1129="","-",'ORDENES'!$AA1129))</f>
        <v/>
      </c>
      <c r="G1151" s="5">
        <f>IF('ORDENES'!$A1129="","",IF('ORDENES'!$Y1129="","-",'ORDENES'!$Y1129))</f>
        <v/>
      </c>
      <c r="H1151" s="5">
        <f>IF('ORDENES'!$A1129="","",IF('ORDENES'!$AG1129="","-",'ORDENES'!$AG1129))</f>
        <v/>
      </c>
      <c r="I1151" s="5">
        <f>IF('ORDENES'!$A1129="","",IF('ORDENES'!$AT1129="","-",'ORDENES'!$AT1129))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20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IF('ORDENES'!$A1129="","",'ORDENES'!$AF1129)</f>
        <v/>
      </c>
    </row>
    <row r="1152">
      <c r="A1152" s="5">
        <f>IF('ORDENES'!$A1130="","",IF('ORDENES'!$O1130="","-",'ORDENES'!$O1130))</f>
        <v/>
      </c>
      <c r="B1152" s="5">
        <f>IF('ORDENES'!$A1130="","",IF('ORDENES'!$S1130="","-",'ORDENES'!$S1130))</f>
        <v/>
      </c>
      <c r="C1152" s="5">
        <f>IF('ORDENES'!$A1130="","",IF('ORDENES'!$AH1130="","-",'ORDENES'!$AH1130))</f>
        <v/>
      </c>
      <c r="D1152" s="5">
        <f>IF('ORDENES'!$A1130="","",IF('ORDENES'!$Z1130="","-",'ORDENES'!$Z1130))</f>
        <v/>
      </c>
      <c r="E1152" s="5">
        <f>IF('ORDENES'!$A1130="","",IF('ORDENES'!$X1130="","-",'ORDENES'!$X1130))</f>
        <v/>
      </c>
      <c r="F1152" s="5">
        <f>IF('ORDENES'!$A1130="","",IF('ORDENES'!$AA1130="","-",'ORDENES'!$AA1130))</f>
        <v/>
      </c>
      <c r="G1152" s="5">
        <f>IF('ORDENES'!$A1130="","",IF('ORDENES'!$Y1130="","-",'ORDENES'!$Y1130))</f>
        <v/>
      </c>
      <c r="H1152" s="5">
        <f>IF('ORDENES'!$A1130="","",IF('ORDENES'!$AG1130="","-",'ORDENES'!$AG1130))</f>
        <v/>
      </c>
      <c r="I1152" s="5">
        <f>IF('ORDENES'!$A1130="","",IF('ORDENES'!$AT1130="","-",'ORDENES'!$AT1130))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20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IF('ORDENES'!$A1130="","",'ORDENES'!$AF1130)</f>
        <v/>
      </c>
    </row>
    <row r="1153">
      <c r="A1153" s="5">
        <f>IF('ORDENES'!$A1131="","",IF('ORDENES'!$O1131="","-",'ORDENES'!$O1131))</f>
        <v/>
      </c>
      <c r="B1153" s="5">
        <f>IF('ORDENES'!$A1131="","",IF('ORDENES'!$S1131="","-",'ORDENES'!$S1131))</f>
        <v/>
      </c>
      <c r="C1153" s="5">
        <f>IF('ORDENES'!$A1131="","",IF('ORDENES'!$AH1131="","-",'ORDENES'!$AH1131))</f>
        <v/>
      </c>
      <c r="D1153" s="5">
        <f>IF('ORDENES'!$A1131="","",IF('ORDENES'!$Z1131="","-",'ORDENES'!$Z1131))</f>
        <v/>
      </c>
      <c r="E1153" s="5">
        <f>IF('ORDENES'!$A1131="","",IF('ORDENES'!$X1131="","-",'ORDENES'!$X1131))</f>
        <v/>
      </c>
      <c r="F1153" s="5">
        <f>IF('ORDENES'!$A1131="","",IF('ORDENES'!$AA1131="","-",'ORDENES'!$AA1131))</f>
        <v/>
      </c>
      <c r="G1153" s="5">
        <f>IF('ORDENES'!$A1131="","",IF('ORDENES'!$Y1131="","-",'ORDENES'!$Y1131))</f>
        <v/>
      </c>
      <c r="H1153" s="5">
        <f>IF('ORDENES'!$A1131="","",IF('ORDENES'!$AG1131="","-",'ORDENES'!$AG1131))</f>
        <v/>
      </c>
      <c r="I1153" s="5">
        <f>IF('ORDENES'!$A1131="","",IF('ORDENES'!$AT1131="","-",'ORDENES'!$AT1131))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20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IF('ORDENES'!$A1131="","",'ORDENES'!$AF1131)</f>
        <v/>
      </c>
    </row>
    <row r="1154">
      <c r="A1154" s="5">
        <f>IF('ORDENES'!$A1132="","",IF('ORDENES'!$O1132="","-",'ORDENES'!$O1132))</f>
        <v/>
      </c>
      <c r="B1154" s="5">
        <f>IF('ORDENES'!$A1132="","",IF('ORDENES'!$S1132="","-",'ORDENES'!$S1132))</f>
        <v/>
      </c>
      <c r="C1154" s="5">
        <f>IF('ORDENES'!$A1132="","",IF('ORDENES'!$AH1132="","-",'ORDENES'!$AH1132))</f>
        <v/>
      </c>
      <c r="D1154" s="5">
        <f>IF('ORDENES'!$A1132="","",IF('ORDENES'!$Z1132="","-",'ORDENES'!$Z1132))</f>
        <v/>
      </c>
      <c r="E1154" s="5">
        <f>IF('ORDENES'!$A1132="","",IF('ORDENES'!$X1132="","-",'ORDENES'!$X1132))</f>
        <v/>
      </c>
      <c r="F1154" s="5">
        <f>IF('ORDENES'!$A1132="","",IF('ORDENES'!$AA1132="","-",'ORDENES'!$AA1132))</f>
        <v/>
      </c>
      <c r="G1154" s="5">
        <f>IF('ORDENES'!$A1132="","",IF('ORDENES'!$Y1132="","-",'ORDENES'!$Y1132))</f>
        <v/>
      </c>
      <c r="H1154" s="5">
        <f>IF('ORDENES'!$A1132="","",IF('ORDENES'!$AG1132="","-",'ORDENES'!$AG1132))</f>
        <v/>
      </c>
      <c r="I1154" s="5">
        <f>IF('ORDENES'!$A1132="","",IF('ORDENES'!$AT1132="","-",'ORDENES'!$AT1132))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20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IF('ORDENES'!$A1132="","",'ORDENES'!$AF1132)</f>
        <v/>
      </c>
    </row>
    <row r="1155">
      <c r="A1155" s="5">
        <f>IF('ORDENES'!$A1133="","",IF('ORDENES'!$O1133="","-",'ORDENES'!$O1133))</f>
        <v/>
      </c>
      <c r="B1155" s="5">
        <f>IF('ORDENES'!$A1133="","",IF('ORDENES'!$S1133="","-",'ORDENES'!$S1133))</f>
        <v/>
      </c>
      <c r="C1155" s="5">
        <f>IF('ORDENES'!$A1133="","",IF('ORDENES'!$AH1133="","-",'ORDENES'!$AH1133))</f>
        <v/>
      </c>
      <c r="D1155" s="5">
        <f>IF('ORDENES'!$A1133="","",IF('ORDENES'!$Z1133="","-",'ORDENES'!$Z1133))</f>
        <v/>
      </c>
      <c r="E1155" s="5">
        <f>IF('ORDENES'!$A1133="","",IF('ORDENES'!$X1133="","-",'ORDENES'!$X1133))</f>
        <v/>
      </c>
      <c r="F1155" s="5">
        <f>IF('ORDENES'!$A1133="","",IF('ORDENES'!$AA1133="","-",'ORDENES'!$AA1133))</f>
        <v/>
      </c>
      <c r="G1155" s="5">
        <f>IF('ORDENES'!$A1133="","",IF('ORDENES'!$Y1133="","-",'ORDENES'!$Y1133))</f>
        <v/>
      </c>
      <c r="H1155" s="5">
        <f>IF('ORDENES'!$A1133="","",IF('ORDENES'!$AG1133="","-",'ORDENES'!$AG1133))</f>
        <v/>
      </c>
      <c r="I1155" s="5">
        <f>IF('ORDENES'!$A1133="","",IF('ORDENES'!$AT1133="","-",'ORDENES'!$AT1133))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20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IF('ORDENES'!$A1133="","",'ORDENES'!$AF1133)</f>
        <v/>
      </c>
    </row>
    <row r="1156">
      <c r="A1156" s="5">
        <f>IF('ORDENES'!$A1134="","",IF('ORDENES'!$O1134="","-",'ORDENES'!$O1134))</f>
        <v/>
      </c>
      <c r="B1156" s="5">
        <f>IF('ORDENES'!$A1134="","",IF('ORDENES'!$S1134="","-",'ORDENES'!$S1134))</f>
        <v/>
      </c>
      <c r="C1156" s="5">
        <f>IF('ORDENES'!$A1134="","",IF('ORDENES'!$AH1134="","-",'ORDENES'!$AH1134))</f>
        <v/>
      </c>
      <c r="D1156" s="5">
        <f>IF('ORDENES'!$A1134="","",IF('ORDENES'!$Z1134="","-",'ORDENES'!$Z1134))</f>
        <v/>
      </c>
      <c r="E1156" s="5">
        <f>IF('ORDENES'!$A1134="","",IF('ORDENES'!$X1134="","-",'ORDENES'!$X1134))</f>
        <v/>
      </c>
      <c r="F1156" s="5">
        <f>IF('ORDENES'!$A1134="","",IF('ORDENES'!$AA1134="","-",'ORDENES'!$AA1134))</f>
        <v/>
      </c>
      <c r="G1156" s="5">
        <f>IF('ORDENES'!$A1134="","",IF('ORDENES'!$Y1134="","-",'ORDENES'!$Y1134))</f>
        <v/>
      </c>
      <c r="H1156" s="5">
        <f>IF('ORDENES'!$A1134="","",IF('ORDENES'!$AG1134="","-",'ORDENES'!$AG1134))</f>
        <v/>
      </c>
      <c r="I1156" s="5">
        <f>IF('ORDENES'!$A1134="","",IF('ORDENES'!$AT1134="","-",'ORDENES'!$AT1134))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20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IF('ORDENES'!$A1134="","",'ORDENES'!$AF1134)</f>
        <v/>
      </c>
    </row>
    <row r="1157">
      <c r="A1157" s="5">
        <f>IF('ORDENES'!$A1135="","",IF('ORDENES'!$O1135="","-",'ORDENES'!$O1135))</f>
        <v/>
      </c>
      <c r="B1157" s="5">
        <f>IF('ORDENES'!$A1135="","",IF('ORDENES'!$S1135="","-",'ORDENES'!$S1135))</f>
        <v/>
      </c>
      <c r="C1157" s="5">
        <f>IF('ORDENES'!$A1135="","",IF('ORDENES'!$AH1135="","-",'ORDENES'!$AH1135))</f>
        <v/>
      </c>
      <c r="D1157" s="5">
        <f>IF('ORDENES'!$A1135="","",IF('ORDENES'!$Z1135="","-",'ORDENES'!$Z1135))</f>
        <v/>
      </c>
      <c r="E1157" s="5">
        <f>IF('ORDENES'!$A1135="","",IF('ORDENES'!$X1135="","-",'ORDENES'!$X1135))</f>
        <v/>
      </c>
      <c r="F1157" s="5">
        <f>IF('ORDENES'!$A1135="","",IF('ORDENES'!$AA1135="","-",'ORDENES'!$AA1135))</f>
        <v/>
      </c>
      <c r="G1157" s="5">
        <f>IF('ORDENES'!$A1135="","",IF('ORDENES'!$Y1135="","-",'ORDENES'!$Y1135))</f>
        <v/>
      </c>
      <c r="H1157" s="5">
        <f>IF('ORDENES'!$A1135="","",IF('ORDENES'!$AG1135="","-",'ORDENES'!$AG1135))</f>
        <v/>
      </c>
      <c r="I1157" s="5">
        <f>IF('ORDENES'!$A1135="","",IF('ORDENES'!$AT1135="","-",'ORDENES'!$AT1135))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20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IF('ORDENES'!$A1135="","",'ORDENES'!$AF1135)</f>
        <v/>
      </c>
    </row>
    <row r="1158">
      <c r="A1158" s="5">
        <f>IF('ORDENES'!$A1136="","",IF('ORDENES'!$O1136="","-",'ORDENES'!$O1136))</f>
        <v/>
      </c>
      <c r="B1158" s="5">
        <f>IF('ORDENES'!$A1136="","",IF('ORDENES'!$S1136="","-",'ORDENES'!$S1136))</f>
        <v/>
      </c>
      <c r="C1158" s="5">
        <f>IF('ORDENES'!$A1136="","",IF('ORDENES'!$AH1136="","-",'ORDENES'!$AH1136))</f>
        <v/>
      </c>
      <c r="D1158" s="5">
        <f>IF('ORDENES'!$A1136="","",IF('ORDENES'!$Z1136="","-",'ORDENES'!$Z1136))</f>
        <v/>
      </c>
      <c r="E1158" s="5">
        <f>IF('ORDENES'!$A1136="","",IF('ORDENES'!$X1136="","-",'ORDENES'!$X1136))</f>
        <v/>
      </c>
      <c r="F1158" s="5">
        <f>IF('ORDENES'!$A1136="","",IF('ORDENES'!$AA1136="","-",'ORDENES'!$AA1136))</f>
        <v/>
      </c>
      <c r="G1158" s="5">
        <f>IF('ORDENES'!$A1136="","",IF('ORDENES'!$Y1136="","-",'ORDENES'!$Y1136))</f>
        <v/>
      </c>
      <c r="H1158" s="5">
        <f>IF('ORDENES'!$A1136="","",IF('ORDENES'!$AG1136="","-",'ORDENES'!$AG1136))</f>
        <v/>
      </c>
      <c r="I1158" s="5">
        <f>IF('ORDENES'!$A1136="","",IF('ORDENES'!$AT1136="","-",'ORDENES'!$AT1136))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20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IF('ORDENES'!$A1136="","",'ORDENES'!$AF1136)</f>
        <v/>
      </c>
    </row>
    <row r="1159">
      <c r="A1159" s="5">
        <f>IF('ORDENES'!$A1137="","",IF('ORDENES'!$O1137="","-",'ORDENES'!$O1137))</f>
        <v/>
      </c>
      <c r="B1159" s="5">
        <f>IF('ORDENES'!$A1137="","",IF('ORDENES'!$S1137="","-",'ORDENES'!$S1137))</f>
        <v/>
      </c>
      <c r="C1159" s="5">
        <f>IF('ORDENES'!$A1137="","",IF('ORDENES'!$AH1137="","-",'ORDENES'!$AH1137))</f>
        <v/>
      </c>
      <c r="D1159" s="5">
        <f>IF('ORDENES'!$A1137="","",IF('ORDENES'!$Z1137="","-",'ORDENES'!$Z1137))</f>
        <v/>
      </c>
      <c r="E1159" s="5">
        <f>IF('ORDENES'!$A1137="","",IF('ORDENES'!$X1137="","-",'ORDENES'!$X1137))</f>
        <v/>
      </c>
      <c r="F1159" s="5">
        <f>IF('ORDENES'!$A1137="","",IF('ORDENES'!$AA1137="","-",'ORDENES'!$AA1137))</f>
        <v/>
      </c>
      <c r="G1159" s="5">
        <f>IF('ORDENES'!$A1137="","",IF('ORDENES'!$Y1137="","-",'ORDENES'!$Y1137))</f>
        <v/>
      </c>
      <c r="H1159" s="5">
        <f>IF('ORDENES'!$A1137="","",IF('ORDENES'!$AG1137="","-",'ORDENES'!$AG1137))</f>
        <v/>
      </c>
      <c r="I1159" s="5">
        <f>IF('ORDENES'!$A1137="","",IF('ORDENES'!$AT1137="","-",'ORDENES'!$AT1137))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20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IF('ORDENES'!$A1137="","",'ORDENES'!$AF1137)</f>
        <v/>
      </c>
    </row>
    <row r="1160">
      <c r="A1160" s="5">
        <f>IF('ORDENES'!$A1138="","",IF('ORDENES'!$O1138="","-",'ORDENES'!$O1138))</f>
        <v/>
      </c>
      <c r="B1160" s="5">
        <f>IF('ORDENES'!$A1138="","",IF('ORDENES'!$S1138="","-",'ORDENES'!$S1138))</f>
        <v/>
      </c>
      <c r="C1160" s="5">
        <f>IF('ORDENES'!$A1138="","",IF('ORDENES'!$AH1138="","-",'ORDENES'!$AH1138))</f>
        <v/>
      </c>
      <c r="D1160" s="5">
        <f>IF('ORDENES'!$A1138="","",IF('ORDENES'!$Z1138="","-",'ORDENES'!$Z1138))</f>
        <v/>
      </c>
      <c r="E1160" s="5">
        <f>IF('ORDENES'!$A1138="","",IF('ORDENES'!$X1138="","-",'ORDENES'!$X1138))</f>
        <v/>
      </c>
      <c r="F1160" s="5">
        <f>IF('ORDENES'!$A1138="","",IF('ORDENES'!$AA1138="","-",'ORDENES'!$AA1138))</f>
        <v/>
      </c>
      <c r="G1160" s="5">
        <f>IF('ORDENES'!$A1138="","",IF('ORDENES'!$Y1138="","-",'ORDENES'!$Y1138))</f>
        <v/>
      </c>
      <c r="H1160" s="5">
        <f>IF('ORDENES'!$A1138="","",IF('ORDENES'!$AG1138="","-",'ORDENES'!$AG1138))</f>
        <v/>
      </c>
      <c r="I1160" s="5">
        <f>IF('ORDENES'!$A1138="","",IF('ORDENES'!$AT1138="","-",'ORDENES'!$AT1138))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20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IF('ORDENES'!$A1138="","",'ORDENES'!$AF1138)</f>
        <v/>
      </c>
    </row>
    <row r="1161">
      <c r="A1161" s="5">
        <f>IF('ORDENES'!$A1139="","",IF('ORDENES'!$O1139="","-",'ORDENES'!$O1139))</f>
        <v/>
      </c>
      <c r="B1161" s="5">
        <f>IF('ORDENES'!$A1139="","",IF('ORDENES'!$S1139="","-",'ORDENES'!$S1139))</f>
        <v/>
      </c>
      <c r="C1161" s="5">
        <f>IF('ORDENES'!$A1139="","",IF('ORDENES'!$AH1139="","-",'ORDENES'!$AH1139))</f>
        <v/>
      </c>
      <c r="D1161" s="5">
        <f>IF('ORDENES'!$A1139="","",IF('ORDENES'!$Z1139="","-",'ORDENES'!$Z1139))</f>
        <v/>
      </c>
      <c r="E1161" s="5">
        <f>IF('ORDENES'!$A1139="","",IF('ORDENES'!$X1139="","-",'ORDENES'!$X1139))</f>
        <v/>
      </c>
      <c r="F1161" s="5">
        <f>IF('ORDENES'!$A1139="","",IF('ORDENES'!$AA1139="","-",'ORDENES'!$AA1139))</f>
        <v/>
      </c>
      <c r="G1161" s="5">
        <f>IF('ORDENES'!$A1139="","",IF('ORDENES'!$Y1139="","-",'ORDENES'!$Y1139))</f>
        <v/>
      </c>
      <c r="H1161" s="5">
        <f>IF('ORDENES'!$A1139="","",IF('ORDENES'!$AG1139="","-",'ORDENES'!$AG1139))</f>
        <v/>
      </c>
      <c r="I1161" s="5">
        <f>IF('ORDENES'!$A1139="","",IF('ORDENES'!$AT1139="","-",'ORDENES'!$AT1139))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20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IF('ORDENES'!$A1139="","",'ORDENES'!$AF1139)</f>
        <v/>
      </c>
    </row>
    <row r="1162">
      <c r="A1162" s="5">
        <f>IF('ORDENES'!$A1140="","",IF('ORDENES'!$O1140="","-",'ORDENES'!$O1140))</f>
        <v/>
      </c>
      <c r="B1162" s="5">
        <f>IF('ORDENES'!$A1140="","",IF('ORDENES'!$S1140="","-",'ORDENES'!$S1140))</f>
        <v/>
      </c>
      <c r="C1162" s="5">
        <f>IF('ORDENES'!$A1140="","",IF('ORDENES'!$AH1140="","-",'ORDENES'!$AH1140))</f>
        <v/>
      </c>
      <c r="D1162" s="5">
        <f>IF('ORDENES'!$A1140="","",IF('ORDENES'!$Z1140="","-",'ORDENES'!$Z1140))</f>
        <v/>
      </c>
      <c r="E1162" s="5">
        <f>IF('ORDENES'!$A1140="","",IF('ORDENES'!$X1140="","-",'ORDENES'!$X1140))</f>
        <v/>
      </c>
      <c r="F1162" s="5">
        <f>IF('ORDENES'!$A1140="","",IF('ORDENES'!$AA1140="","-",'ORDENES'!$AA1140))</f>
        <v/>
      </c>
      <c r="G1162" s="5">
        <f>IF('ORDENES'!$A1140="","",IF('ORDENES'!$Y1140="","-",'ORDENES'!$Y1140))</f>
        <v/>
      </c>
      <c r="H1162" s="5">
        <f>IF('ORDENES'!$A1140="","",IF('ORDENES'!$AG1140="","-",'ORDENES'!$AG1140))</f>
        <v/>
      </c>
      <c r="I1162" s="5">
        <f>IF('ORDENES'!$A1140="","",IF('ORDENES'!$AT1140="","-",'ORDENES'!$AT1140))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20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IF('ORDENES'!$A1140="","",'ORDENES'!$AF1140)</f>
        <v/>
      </c>
    </row>
    <row r="1163">
      <c r="A1163" s="5">
        <f>IF('ORDENES'!$A1141="","",IF('ORDENES'!$O1141="","-",'ORDENES'!$O1141))</f>
        <v/>
      </c>
      <c r="B1163" s="5">
        <f>IF('ORDENES'!$A1141="","",IF('ORDENES'!$S1141="","-",'ORDENES'!$S1141))</f>
        <v/>
      </c>
      <c r="C1163" s="5">
        <f>IF('ORDENES'!$A1141="","",IF('ORDENES'!$AH1141="","-",'ORDENES'!$AH1141))</f>
        <v/>
      </c>
      <c r="D1163" s="5">
        <f>IF('ORDENES'!$A1141="","",IF('ORDENES'!$Z1141="","-",'ORDENES'!$Z1141))</f>
        <v/>
      </c>
      <c r="E1163" s="5">
        <f>IF('ORDENES'!$A1141="","",IF('ORDENES'!$X1141="","-",'ORDENES'!$X1141))</f>
        <v/>
      </c>
      <c r="F1163" s="5">
        <f>IF('ORDENES'!$A1141="","",IF('ORDENES'!$AA1141="","-",'ORDENES'!$AA1141))</f>
        <v/>
      </c>
      <c r="G1163" s="5">
        <f>IF('ORDENES'!$A1141="","",IF('ORDENES'!$Y1141="","-",'ORDENES'!$Y1141))</f>
        <v/>
      </c>
      <c r="H1163" s="5">
        <f>IF('ORDENES'!$A1141="","",IF('ORDENES'!$AG1141="","-",'ORDENES'!$AG1141))</f>
        <v/>
      </c>
      <c r="I1163" s="5">
        <f>IF('ORDENES'!$A1141="","",IF('ORDENES'!$AT1141="","-",'ORDENES'!$AT1141))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20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IF('ORDENES'!$A1141="","",'ORDENES'!$AF1141)</f>
        <v/>
      </c>
    </row>
    <row r="1164">
      <c r="A1164" s="5">
        <f>IF('ORDENES'!$A1142="","",IF('ORDENES'!$O1142="","-",'ORDENES'!$O1142))</f>
        <v/>
      </c>
      <c r="B1164" s="5">
        <f>IF('ORDENES'!$A1142="","",IF('ORDENES'!$S1142="","-",'ORDENES'!$S1142))</f>
        <v/>
      </c>
      <c r="C1164" s="5">
        <f>IF('ORDENES'!$A1142="","",IF('ORDENES'!$AH1142="","-",'ORDENES'!$AH1142))</f>
        <v/>
      </c>
      <c r="D1164" s="5">
        <f>IF('ORDENES'!$A1142="","",IF('ORDENES'!$Z1142="","-",'ORDENES'!$Z1142))</f>
        <v/>
      </c>
      <c r="E1164" s="5">
        <f>IF('ORDENES'!$A1142="","",IF('ORDENES'!$X1142="","-",'ORDENES'!$X1142))</f>
        <v/>
      </c>
      <c r="F1164" s="5">
        <f>IF('ORDENES'!$A1142="","",IF('ORDENES'!$AA1142="","-",'ORDENES'!$AA1142))</f>
        <v/>
      </c>
      <c r="G1164" s="5">
        <f>IF('ORDENES'!$A1142="","",IF('ORDENES'!$Y1142="","-",'ORDENES'!$Y1142))</f>
        <v/>
      </c>
      <c r="H1164" s="5">
        <f>IF('ORDENES'!$A1142="","",IF('ORDENES'!$AG1142="","-",'ORDENES'!$AG1142))</f>
        <v/>
      </c>
      <c r="I1164" s="5">
        <f>IF('ORDENES'!$A1142="","",IF('ORDENES'!$AT1142="","-",'ORDENES'!$AT1142))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20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IF('ORDENES'!$A1142="","",'ORDENES'!$AF1142)</f>
        <v/>
      </c>
    </row>
    <row r="1165">
      <c r="A1165" s="5">
        <f>IF('ORDENES'!$A1143="","",IF('ORDENES'!$O1143="","-",'ORDENES'!$O1143))</f>
        <v/>
      </c>
      <c r="B1165" s="5">
        <f>IF('ORDENES'!$A1143="","",IF('ORDENES'!$S1143="","-",'ORDENES'!$S1143))</f>
        <v/>
      </c>
      <c r="C1165" s="5">
        <f>IF('ORDENES'!$A1143="","",IF('ORDENES'!$AH1143="","-",'ORDENES'!$AH1143))</f>
        <v/>
      </c>
      <c r="D1165" s="5">
        <f>IF('ORDENES'!$A1143="","",IF('ORDENES'!$Z1143="","-",'ORDENES'!$Z1143))</f>
        <v/>
      </c>
      <c r="E1165" s="5">
        <f>IF('ORDENES'!$A1143="","",IF('ORDENES'!$X1143="","-",'ORDENES'!$X1143))</f>
        <v/>
      </c>
      <c r="F1165" s="5">
        <f>IF('ORDENES'!$A1143="","",IF('ORDENES'!$AA1143="","-",'ORDENES'!$AA1143))</f>
        <v/>
      </c>
      <c r="G1165" s="5">
        <f>IF('ORDENES'!$A1143="","",IF('ORDENES'!$Y1143="","-",'ORDENES'!$Y1143))</f>
        <v/>
      </c>
      <c r="H1165" s="5">
        <f>IF('ORDENES'!$A1143="","",IF('ORDENES'!$AG1143="","-",'ORDENES'!$AG1143))</f>
        <v/>
      </c>
      <c r="I1165" s="5">
        <f>IF('ORDENES'!$A1143="","",IF('ORDENES'!$AT1143="","-",'ORDENES'!$AT1143))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20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IF('ORDENES'!$A1143="","",'ORDENES'!$AF1143)</f>
        <v/>
      </c>
    </row>
    <row r="1166">
      <c r="A1166" s="5">
        <f>IF('ORDENES'!$A1144="","",IF('ORDENES'!$O1144="","-",'ORDENES'!$O1144))</f>
        <v/>
      </c>
      <c r="B1166" s="5">
        <f>IF('ORDENES'!$A1144="","",IF('ORDENES'!$S1144="","-",'ORDENES'!$S1144))</f>
        <v/>
      </c>
      <c r="C1166" s="5">
        <f>IF('ORDENES'!$A1144="","",IF('ORDENES'!$AH1144="","-",'ORDENES'!$AH1144))</f>
        <v/>
      </c>
      <c r="D1166" s="5">
        <f>IF('ORDENES'!$A1144="","",IF('ORDENES'!$Z1144="","-",'ORDENES'!$Z1144))</f>
        <v/>
      </c>
      <c r="E1166" s="5">
        <f>IF('ORDENES'!$A1144="","",IF('ORDENES'!$X1144="","-",'ORDENES'!$X1144))</f>
        <v/>
      </c>
      <c r="F1166" s="5">
        <f>IF('ORDENES'!$A1144="","",IF('ORDENES'!$AA1144="","-",'ORDENES'!$AA1144))</f>
        <v/>
      </c>
      <c r="G1166" s="5">
        <f>IF('ORDENES'!$A1144="","",IF('ORDENES'!$Y1144="","-",'ORDENES'!$Y1144))</f>
        <v/>
      </c>
      <c r="H1166" s="5">
        <f>IF('ORDENES'!$A1144="","",IF('ORDENES'!$AG1144="","-",'ORDENES'!$AG1144))</f>
        <v/>
      </c>
      <c r="I1166" s="5">
        <f>IF('ORDENES'!$A1144="","",IF('ORDENES'!$AT1144="","-",'ORDENES'!$AT1144))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20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IF('ORDENES'!$A1144="","",'ORDENES'!$AF1144)</f>
        <v/>
      </c>
    </row>
    <row r="1167">
      <c r="A1167" s="5">
        <f>IF('ORDENES'!$A1145="","",IF('ORDENES'!$O1145="","-",'ORDENES'!$O1145))</f>
        <v/>
      </c>
      <c r="B1167" s="5">
        <f>IF('ORDENES'!$A1145="","",IF('ORDENES'!$S1145="","-",'ORDENES'!$S1145))</f>
        <v/>
      </c>
      <c r="C1167" s="5">
        <f>IF('ORDENES'!$A1145="","",IF('ORDENES'!$AH1145="","-",'ORDENES'!$AH1145))</f>
        <v/>
      </c>
      <c r="D1167" s="5">
        <f>IF('ORDENES'!$A1145="","",IF('ORDENES'!$Z1145="","-",'ORDENES'!$Z1145))</f>
        <v/>
      </c>
      <c r="E1167" s="5">
        <f>IF('ORDENES'!$A1145="","",IF('ORDENES'!$X1145="","-",'ORDENES'!$X1145))</f>
        <v/>
      </c>
      <c r="F1167" s="5">
        <f>IF('ORDENES'!$A1145="","",IF('ORDENES'!$AA1145="","-",'ORDENES'!$AA1145))</f>
        <v/>
      </c>
      <c r="G1167" s="5">
        <f>IF('ORDENES'!$A1145="","",IF('ORDENES'!$Y1145="","-",'ORDENES'!$Y1145))</f>
        <v/>
      </c>
      <c r="H1167" s="5">
        <f>IF('ORDENES'!$A1145="","",IF('ORDENES'!$AG1145="","-",'ORDENES'!$AG1145))</f>
        <v/>
      </c>
      <c r="I1167" s="5">
        <f>IF('ORDENES'!$A1145="","",IF('ORDENES'!$AT1145="","-",'ORDENES'!$AT1145))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20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IF('ORDENES'!$A1145="","",'ORDENES'!$AF1145)</f>
        <v/>
      </c>
    </row>
    <row r="1168">
      <c r="A1168" s="5">
        <f>IF('ORDENES'!$A1146="","",IF('ORDENES'!$O1146="","-",'ORDENES'!$O1146))</f>
        <v/>
      </c>
      <c r="B1168" s="5">
        <f>IF('ORDENES'!$A1146="","",IF('ORDENES'!$S1146="","-",'ORDENES'!$S1146))</f>
        <v/>
      </c>
      <c r="C1168" s="5">
        <f>IF('ORDENES'!$A1146="","",IF('ORDENES'!$AH1146="","-",'ORDENES'!$AH1146))</f>
        <v/>
      </c>
      <c r="D1168" s="5">
        <f>IF('ORDENES'!$A1146="","",IF('ORDENES'!$Z1146="","-",'ORDENES'!$Z1146))</f>
        <v/>
      </c>
      <c r="E1168" s="5">
        <f>IF('ORDENES'!$A1146="","",IF('ORDENES'!$X1146="","-",'ORDENES'!$X1146))</f>
        <v/>
      </c>
      <c r="F1168" s="5">
        <f>IF('ORDENES'!$A1146="","",IF('ORDENES'!$AA1146="","-",'ORDENES'!$AA1146))</f>
        <v/>
      </c>
      <c r="G1168" s="5">
        <f>IF('ORDENES'!$A1146="","",IF('ORDENES'!$Y1146="","-",'ORDENES'!$Y1146))</f>
        <v/>
      </c>
      <c r="H1168" s="5">
        <f>IF('ORDENES'!$A1146="","",IF('ORDENES'!$AG1146="","-",'ORDENES'!$AG1146))</f>
        <v/>
      </c>
      <c r="I1168" s="5">
        <f>IF('ORDENES'!$A1146="","",IF('ORDENES'!$AT1146="","-",'ORDENES'!$AT1146))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20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IF('ORDENES'!$A1146="","",'ORDENES'!$AF1146)</f>
        <v/>
      </c>
    </row>
    <row r="1169">
      <c r="A1169" s="5">
        <f>IF('ORDENES'!$A1147="","",IF('ORDENES'!$O1147="","-",'ORDENES'!$O1147))</f>
        <v/>
      </c>
      <c r="B1169" s="5">
        <f>IF('ORDENES'!$A1147="","",IF('ORDENES'!$S1147="","-",'ORDENES'!$S1147))</f>
        <v/>
      </c>
      <c r="C1169" s="5">
        <f>IF('ORDENES'!$A1147="","",IF('ORDENES'!$AH1147="","-",'ORDENES'!$AH1147))</f>
        <v/>
      </c>
      <c r="D1169" s="5">
        <f>IF('ORDENES'!$A1147="","",IF('ORDENES'!$Z1147="","-",'ORDENES'!$Z1147))</f>
        <v/>
      </c>
      <c r="E1169" s="5">
        <f>IF('ORDENES'!$A1147="","",IF('ORDENES'!$X1147="","-",'ORDENES'!$X1147))</f>
        <v/>
      </c>
      <c r="F1169" s="5">
        <f>IF('ORDENES'!$A1147="","",IF('ORDENES'!$AA1147="","-",'ORDENES'!$AA1147))</f>
        <v/>
      </c>
      <c r="G1169" s="5">
        <f>IF('ORDENES'!$A1147="","",IF('ORDENES'!$Y1147="","-",'ORDENES'!$Y1147))</f>
        <v/>
      </c>
      <c r="H1169" s="5">
        <f>IF('ORDENES'!$A1147="","",IF('ORDENES'!$AG1147="","-",'ORDENES'!$AG1147))</f>
        <v/>
      </c>
      <c r="I1169" s="5">
        <f>IF('ORDENES'!$A1147="","",IF('ORDENES'!$AT1147="","-",'ORDENES'!$AT1147))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20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IF('ORDENES'!$A1147="","",'ORDENES'!$AF1147)</f>
        <v/>
      </c>
    </row>
    <row r="1170">
      <c r="A1170" s="5">
        <f>IF('ORDENES'!$A1148="","",IF('ORDENES'!$O1148="","-",'ORDENES'!$O1148))</f>
        <v/>
      </c>
      <c r="B1170" s="5">
        <f>IF('ORDENES'!$A1148="","",IF('ORDENES'!$S1148="","-",'ORDENES'!$S1148))</f>
        <v/>
      </c>
      <c r="C1170" s="5">
        <f>IF('ORDENES'!$A1148="","",IF('ORDENES'!$AH1148="","-",'ORDENES'!$AH1148))</f>
        <v/>
      </c>
      <c r="D1170" s="5">
        <f>IF('ORDENES'!$A1148="","",IF('ORDENES'!$Z1148="","-",'ORDENES'!$Z1148))</f>
        <v/>
      </c>
      <c r="E1170" s="5">
        <f>IF('ORDENES'!$A1148="","",IF('ORDENES'!$X1148="","-",'ORDENES'!$X1148))</f>
        <v/>
      </c>
      <c r="F1170" s="5">
        <f>IF('ORDENES'!$A1148="","",IF('ORDENES'!$AA1148="","-",'ORDENES'!$AA1148))</f>
        <v/>
      </c>
      <c r="G1170" s="5">
        <f>IF('ORDENES'!$A1148="","",IF('ORDENES'!$Y1148="","-",'ORDENES'!$Y1148))</f>
        <v/>
      </c>
      <c r="H1170" s="5">
        <f>IF('ORDENES'!$A1148="","",IF('ORDENES'!$AG1148="","-",'ORDENES'!$AG1148))</f>
        <v/>
      </c>
      <c r="I1170" s="5">
        <f>IF('ORDENES'!$A1148="","",IF('ORDENES'!$AT1148="","-",'ORDENES'!$AT1148))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20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IF('ORDENES'!$A1148="","",'ORDENES'!$AF1148)</f>
        <v/>
      </c>
    </row>
    <row r="1171">
      <c r="A1171" s="5">
        <f>IF('ORDENES'!$A1149="","",IF('ORDENES'!$O1149="","-",'ORDENES'!$O1149))</f>
        <v/>
      </c>
      <c r="B1171" s="5">
        <f>IF('ORDENES'!$A1149="","",IF('ORDENES'!$S1149="","-",'ORDENES'!$S1149))</f>
        <v/>
      </c>
      <c r="C1171" s="5">
        <f>IF('ORDENES'!$A1149="","",IF('ORDENES'!$AH1149="","-",'ORDENES'!$AH1149))</f>
        <v/>
      </c>
      <c r="D1171" s="5">
        <f>IF('ORDENES'!$A1149="","",IF('ORDENES'!$Z1149="","-",'ORDENES'!$Z1149))</f>
        <v/>
      </c>
      <c r="E1171" s="5">
        <f>IF('ORDENES'!$A1149="","",IF('ORDENES'!$X1149="","-",'ORDENES'!$X1149))</f>
        <v/>
      </c>
      <c r="F1171" s="5">
        <f>IF('ORDENES'!$A1149="","",IF('ORDENES'!$AA1149="","-",'ORDENES'!$AA1149))</f>
        <v/>
      </c>
      <c r="G1171" s="5">
        <f>IF('ORDENES'!$A1149="","",IF('ORDENES'!$Y1149="","-",'ORDENES'!$Y1149))</f>
        <v/>
      </c>
      <c r="H1171" s="5">
        <f>IF('ORDENES'!$A1149="","",IF('ORDENES'!$AG1149="","-",'ORDENES'!$AG1149))</f>
        <v/>
      </c>
      <c r="I1171" s="5">
        <f>IF('ORDENES'!$A1149="","",IF('ORDENES'!$AT1149="","-",'ORDENES'!$AT1149))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20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IF('ORDENES'!$A1149="","",'ORDENES'!$AF1149)</f>
        <v/>
      </c>
    </row>
    <row r="1172">
      <c r="A1172" s="5">
        <f>IF('ORDENES'!$A1150="","",IF('ORDENES'!$O1150="","-",'ORDENES'!$O1150))</f>
        <v/>
      </c>
      <c r="B1172" s="5">
        <f>IF('ORDENES'!$A1150="","",IF('ORDENES'!$S1150="","-",'ORDENES'!$S1150))</f>
        <v/>
      </c>
      <c r="C1172" s="5">
        <f>IF('ORDENES'!$A1150="","",IF('ORDENES'!$AH1150="","-",'ORDENES'!$AH1150))</f>
        <v/>
      </c>
      <c r="D1172" s="5">
        <f>IF('ORDENES'!$A1150="","",IF('ORDENES'!$Z1150="","-",'ORDENES'!$Z1150))</f>
        <v/>
      </c>
      <c r="E1172" s="5">
        <f>IF('ORDENES'!$A1150="","",IF('ORDENES'!$X1150="","-",'ORDENES'!$X1150))</f>
        <v/>
      </c>
      <c r="F1172" s="5">
        <f>IF('ORDENES'!$A1150="","",IF('ORDENES'!$AA1150="","-",'ORDENES'!$AA1150))</f>
        <v/>
      </c>
      <c r="G1172" s="5">
        <f>IF('ORDENES'!$A1150="","",IF('ORDENES'!$Y1150="","-",'ORDENES'!$Y1150))</f>
        <v/>
      </c>
      <c r="H1172" s="5">
        <f>IF('ORDENES'!$A1150="","",IF('ORDENES'!$AG1150="","-",'ORDENES'!$AG1150))</f>
        <v/>
      </c>
      <c r="I1172" s="5">
        <f>IF('ORDENES'!$A1150="","",IF('ORDENES'!$AT1150="","-",'ORDENES'!$AT1150))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20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IF('ORDENES'!$A1150="","",'ORDENES'!$AF1150)</f>
        <v/>
      </c>
    </row>
    <row r="1173">
      <c r="A1173" s="5">
        <f>IF('ORDENES'!$A1151="","",IF('ORDENES'!$O1151="","-",'ORDENES'!$O1151))</f>
        <v/>
      </c>
      <c r="B1173" s="5">
        <f>IF('ORDENES'!$A1151="","",IF('ORDENES'!$S1151="","-",'ORDENES'!$S1151))</f>
        <v/>
      </c>
      <c r="C1173" s="5">
        <f>IF('ORDENES'!$A1151="","",IF('ORDENES'!$AH1151="","-",'ORDENES'!$AH1151))</f>
        <v/>
      </c>
      <c r="D1173" s="5">
        <f>IF('ORDENES'!$A1151="","",IF('ORDENES'!$Z1151="","-",'ORDENES'!$Z1151))</f>
        <v/>
      </c>
      <c r="E1173" s="5">
        <f>IF('ORDENES'!$A1151="","",IF('ORDENES'!$X1151="","-",'ORDENES'!$X1151))</f>
        <v/>
      </c>
      <c r="F1173" s="5">
        <f>IF('ORDENES'!$A1151="","",IF('ORDENES'!$AA1151="","-",'ORDENES'!$AA1151))</f>
        <v/>
      </c>
      <c r="G1173" s="5">
        <f>IF('ORDENES'!$A1151="","",IF('ORDENES'!$Y1151="","-",'ORDENES'!$Y1151))</f>
        <v/>
      </c>
      <c r="H1173" s="5">
        <f>IF('ORDENES'!$A1151="","",IF('ORDENES'!$AG1151="","-",'ORDENES'!$AG1151))</f>
        <v/>
      </c>
      <c r="I1173" s="5">
        <f>IF('ORDENES'!$A1151="","",IF('ORDENES'!$AT1151="","-",'ORDENES'!$AT1151))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20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IF('ORDENES'!$A1151="","",'ORDENES'!$AF1151)</f>
        <v/>
      </c>
    </row>
    <row r="1174">
      <c r="A1174" s="5">
        <f>IF('ORDENES'!$A1152="","",IF('ORDENES'!$O1152="","-",'ORDENES'!$O1152))</f>
        <v/>
      </c>
      <c r="B1174" s="5">
        <f>IF('ORDENES'!$A1152="","",IF('ORDENES'!$S1152="","-",'ORDENES'!$S1152))</f>
        <v/>
      </c>
      <c r="C1174" s="5">
        <f>IF('ORDENES'!$A1152="","",IF('ORDENES'!$AH1152="","-",'ORDENES'!$AH1152))</f>
        <v/>
      </c>
      <c r="D1174" s="5">
        <f>IF('ORDENES'!$A1152="","",IF('ORDENES'!$Z1152="","-",'ORDENES'!$Z1152))</f>
        <v/>
      </c>
      <c r="E1174" s="5">
        <f>IF('ORDENES'!$A1152="","",IF('ORDENES'!$X1152="","-",'ORDENES'!$X1152))</f>
        <v/>
      </c>
      <c r="F1174" s="5">
        <f>IF('ORDENES'!$A1152="","",IF('ORDENES'!$AA1152="","-",'ORDENES'!$AA1152))</f>
        <v/>
      </c>
      <c r="G1174" s="5">
        <f>IF('ORDENES'!$A1152="","",IF('ORDENES'!$Y1152="","-",'ORDENES'!$Y1152))</f>
        <v/>
      </c>
      <c r="H1174" s="5">
        <f>IF('ORDENES'!$A1152="","",IF('ORDENES'!$AG1152="","-",'ORDENES'!$AG1152))</f>
        <v/>
      </c>
      <c r="I1174" s="5">
        <f>IF('ORDENES'!$A1152="","",IF('ORDENES'!$AT1152="","-",'ORDENES'!$AT1152))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20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IF('ORDENES'!$A1152="","",'ORDENES'!$AF1152)</f>
        <v/>
      </c>
    </row>
    <row r="1175">
      <c r="A1175" s="5">
        <f>IF('ORDENES'!$A1153="","",IF('ORDENES'!$O1153="","-",'ORDENES'!$O1153))</f>
        <v/>
      </c>
      <c r="B1175" s="5">
        <f>IF('ORDENES'!$A1153="","",IF('ORDENES'!$S1153="","-",'ORDENES'!$S1153))</f>
        <v/>
      </c>
      <c r="C1175" s="5">
        <f>IF('ORDENES'!$A1153="","",IF('ORDENES'!$AH1153="","-",'ORDENES'!$AH1153))</f>
        <v/>
      </c>
      <c r="D1175" s="5">
        <f>IF('ORDENES'!$A1153="","",IF('ORDENES'!$Z1153="","-",'ORDENES'!$Z1153))</f>
        <v/>
      </c>
      <c r="E1175" s="5">
        <f>IF('ORDENES'!$A1153="","",IF('ORDENES'!$X1153="","-",'ORDENES'!$X1153))</f>
        <v/>
      </c>
      <c r="F1175" s="5">
        <f>IF('ORDENES'!$A1153="","",IF('ORDENES'!$AA1153="","-",'ORDENES'!$AA1153))</f>
        <v/>
      </c>
      <c r="G1175" s="5">
        <f>IF('ORDENES'!$A1153="","",IF('ORDENES'!$Y1153="","-",'ORDENES'!$Y1153))</f>
        <v/>
      </c>
      <c r="H1175" s="5">
        <f>IF('ORDENES'!$A1153="","",IF('ORDENES'!$AG1153="","-",'ORDENES'!$AG1153))</f>
        <v/>
      </c>
      <c r="I1175" s="5">
        <f>IF('ORDENES'!$A1153="","",IF('ORDENES'!$AT1153="","-",'ORDENES'!$AT1153))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20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IF('ORDENES'!$A1153="","",'ORDENES'!$AF1153)</f>
        <v/>
      </c>
    </row>
    <row r="1176">
      <c r="A1176" s="5">
        <f>IF('ORDENES'!$A1154="","",IF('ORDENES'!$O1154="","-",'ORDENES'!$O1154))</f>
        <v/>
      </c>
      <c r="B1176" s="5">
        <f>IF('ORDENES'!$A1154="","",IF('ORDENES'!$S1154="","-",'ORDENES'!$S1154))</f>
        <v/>
      </c>
      <c r="C1176" s="5">
        <f>IF('ORDENES'!$A1154="","",IF('ORDENES'!$AH1154="","-",'ORDENES'!$AH1154))</f>
        <v/>
      </c>
      <c r="D1176" s="5">
        <f>IF('ORDENES'!$A1154="","",IF('ORDENES'!$Z1154="","-",'ORDENES'!$Z1154))</f>
        <v/>
      </c>
      <c r="E1176" s="5">
        <f>IF('ORDENES'!$A1154="","",IF('ORDENES'!$X1154="","-",'ORDENES'!$X1154))</f>
        <v/>
      </c>
      <c r="F1176" s="5">
        <f>IF('ORDENES'!$A1154="","",IF('ORDENES'!$AA1154="","-",'ORDENES'!$AA1154))</f>
        <v/>
      </c>
      <c r="G1176" s="5">
        <f>IF('ORDENES'!$A1154="","",IF('ORDENES'!$Y1154="","-",'ORDENES'!$Y1154))</f>
        <v/>
      </c>
      <c r="H1176" s="5">
        <f>IF('ORDENES'!$A1154="","",IF('ORDENES'!$AG1154="","-",'ORDENES'!$AG1154))</f>
        <v/>
      </c>
      <c r="I1176" s="5">
        <f>IF('ORDENES'!$A1154="","",IF('ORDENES'!$AT1154="","-",'ORDENES'!$AT1154))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20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IF('ORDENES'!$A1154="","",'ORDENES'!$AF1154)</f>
        <v/>
      </c>
    </row>
    <row r="1177">
      <c r="A1177" s="5">
        <f>IF('ORDENES'!$A1155="","",IF('ORDENES'!$O1155="","-",'ORDENES'!$O1155))</f>
        <v/>
      </c>
      <c r="B1177" s="5">
        <f>IF('ORDENES'!$A1155="","",IF('ORDENES'!$S1155="","-",'ORDENES'!$S1155))</f>
        <v/>
      </c>
      <c r="C1177" s="5">
        <f>IF('ORDENES'!$A1155="","",IF('ORDENES'!$AH1155="","-",'ORDENES'!$AH1155))</f>
        <v/>
      </c>
      <c r="D1177" s="5">
        <f>IF('ORDENES'!$A1155="","",IF('ORDENES'!$Z1155="","-",'ORDENES'!$Z1155))</f>
        <v/>
      </c>
      <c r="E1177" s="5">
        <f>IF('ORDENES'!$A1155="","",IF('ORDENES'!$X1155="","-",'ORDENES'!$X1155))</f>
        <v/>
      </c>
      <c r="F1177" s="5">
        <f>IF('ORDENES'!$A1155="","",IF('ORDENES'!$AA1155="","-",'ORDENES'!$AA1155))</f>
        <v/>
      </c>
      <c r="G1177" s="5">
        <f>IF('ORDENES'!$A1155="","",IF('ORDENES'!$Y1155="","-",'ORDENES'!$Y1155))</f>
        <v/>
      </c>
      <c r="H1177" s="5">
        <f>IF('ORDENES'!$A1155="","",IF('ORDENES'!$AG1155="","-",'ORDENES'!$AG1155))</f>
        <v/>
      </c>
      <c r="I1177" s="5">
        <f>IF('ORDENES'!$A1155="","",IF('ORDENES'!$AT1155="","-",'ORDENES'!$AT1155))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20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IF('ORDENES'!$A1155="","",'ORDENES'!$AF1155)</f>
        <v/>
      </c>
    </row>
    <row r="1178">
      <c r="A1178" s="5">
        <f>IF('ORDENES'!$A1156="","",IF('ORDENES'!$O1156="","-",'ORDENES'!$O1156))</f>
        <v/>
      </c>
      <c r="B1178" s="5">
        <f>IF('ORDENES'!$A1156="","",IF('ORDENES'!$S1156="","-",'ORDENES'!$S1156))</f>
        <v/>
      </c>
      <c r="C1178" s="5">
        <f>IF('ORDENES'!$A1156="","",IF('ORDENES'!$AH1156="","-",'ORDENES'!$AH1156))</f>
        <v/>
      </c>
      <c r="D1178" s="5">
        <f>IF('ORDENES'!$A1156="","",IF('ORDENES'!$Z1156="","-",'ORDENES'!$Z1156))</f>
        <v/>
      </c>
      <c r="E1178" s="5">
        <f>IF('ORDENES'!$A1156="","",IF('ORDENES'!$X1156="","-",'ORDENES'!$X1156))</f>
        <v/>
      </c>
      <c r="F1178" s="5">
        <f>IF('ORDENES'!$A1156="","",IF('ORDENES'!$AA1156="","-",'ORDENES'!$AA1156))</f>
        <v/>
      </c>
      <c r="G1178" s="5">
        <f>IF('ORDENES'!$A1156="","",IF('ORDENES'!$Y1156="","-",'ORDENES'!$Y1156))</f>
        <v/>
      </c>
      <c r="H1178" s="5">
        <f>IF('ORDENES'!$A1156="","",IF('ORDENES'!$AG1156="","-",'ORDENES'!$AG1156))</f>
        <v/>
      </c>
      <c r="I1178" s="5">
        <f>IF('ORDENES'!$A1156="","",IF('ORDENES'!$AT1156="","-",'ORDENES'!$AT1156))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20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IF('ORDENES'!$A1156="","",'ORDENES'!$AF1156)</f>
        <v/>
      </c>
    </row>
    <row r="1179">
      <c r="A1179" s="5">
        <f>IF('ORDENES'!$A1157="","",IF('ORDENES'!$O1157="","-",'ORDENES'!$O1157))</f>
        <v/>
      </c>
      <c r="B1179" s="5">
        <f>IF('ORDENES'!$A1157="","",IF('ORDENES'!$S1157="","-",'ORDENES'!$S1157))</f>
        <v/>
      </c>
      <c r="C1179" s="5">
        <f>IF('ORDENES'!$A1157="","",IF('ORDENES'!$AH1157="","-",'ORDENES'!$AH1157))</f>
        <v/>
      </c>
      <c r="D1179" s="5">
        <f>IF('ORDENES'!$A1157="","",IF('ORDENES'!$Z1157="","-",'ORDENES'!$Z1157))</f>
        <v/>
      </c>
      <c r="E1179" s="5">
        <f>IF('ORDENES'!$A1157="","",IF('ORDENES'!$X1157="","-",'ORDENES'!$X1157))</f>
        <v/>
      </c>
      <c r="F1179" s="5">
        <f>IF('ORDENES'!$A1157="","",IF('ORDENES'!$AA1157="","-",'ORDENES'!$AA1157))</f>
        <v/>
      </c>
      <c r="G1179" s="5">
        <f>IF('ORDENES'!$A1157="","",IF('ORDENES'!$Y1157="","-",'ORDENES'!$Y1157))</f>
        <v/>
      </c>
      <c r="H1179" s="5">
        <f>IF('ORDENES'!$A1157="","",IF('ORDENES'!$AG1157="","-",'ORDENES'!$AG1157))</f>
        <v/>
      </c>
      <c r="I1179" s="5">
        <f>IF('ORDENES'!$A1157="","",IF('ORDENES'!$AT1157="","-",'ORDENES'!$AT1157))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20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IF('ORDENES'!$A1157="","",'ORDENES'!$AF1157)</f>
        <v/>
      </c>
    </row>
    <row r="1180">
      <c r="A1180" s="5">
        <f>IF('ORDENES'!$A1158="","",IF('ORDENES'!$O1158="","-",'ORDENES'!$O1158))</f>
        <v/>
      </c>
      <c r="B1180" s="5">
        <f>IF('ORDENES'!$A1158="","",IF('ORDENES'!$S1158="","-",'ORDENES'!$S1158))</f>
        <v/>
      </c>
      <c r="C1180" s="5">
        <f>IF('ORDENES'!$A1158="","",IF('ORDENES'!$AH1158="","-",'ORDENES'!$AH1158))</f>
        <v/>
      </c>
      <c r="D1180" s="5">
        <f>IF('ORDENES'!$A1158="","",IF('ORDENES'!$Z1158="","-",'ORDENES'!$Z1158))</f>
        <v/>
      </c>
      <c r="E1180" s="5">
        <f>IF('ORDENES'!$A1158="","",IF('ORDENES'!$X1158="","-",'ORDENES'!$X1158))</f>
        <v/>
      </c>
      <c r="F1180" s="5">
        <f>IF('ORDENES'!$A1158="","",IF('ORDENES'!$AA1158="","-",'ORDENES'!$AA1158))</f>
        <v/>
      </c>
      <c r="G1180" s="5">
        <f>IF('ORDENES'!$A1158="","",IF('ORDENES'!$Y1158="","-",'ORDENES'!$Y1158))</f>
        <v/>
      </c>
      <c r="H1180" s="5">
        <f>IF('ORDENES'!$A1158="","",IF('ORDENES'!$AG1158="","-",'ORDENES'!$AG1158))</f>
        <v/>
      </c>
      <c r="I1180" s="5">
        <f>IF('ORDENES'!$A1158="","",IF('ORDENES'!$AT1158="","-",'ORDENES'!$AT1158))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20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IF('ORDENES'!$A1158="","",'ORDENES'!$AF1158)</f>
        <v/>
      </c>
    </row>
    <row r="1181">
      <c r="A1181" s="5">
        <f>IF('ORDENES'!$A1159="","",IF('ORDENES'!$O1159="","-",'ORDENES'!$O1159))</f>
        <v/>
      </c>
      <c r="B1181" s="5">
        <f>IF('ORDENES'!$A1159="","",IF('ORDENES'!$S1159="","-",'ORDENES'!$S1159))</f>
        <v/>
      </c>
      <c r="C1181" s="5">
        <f>IF('ORDENES'!$A1159="","",IF('ORDENES'!$AH1159="","-",'ORDENES'!$AH1159))</f>
        <v/>
      </c>
      <c r="D1181" s="5">
        <f>IF('ORDENES'!$A1159="","",IF('ORDENES'!$Z1159="","-",'ORDENES'!$Z1159))</f>
        <v/>
      </c>
      <c r="E1181" s="5">
        <f>IF('ORDENES'!$A1159="","",IF('ORDENES'!$X1159="","-",'ORDENES'!$X1159))</f>
        <v/>
      </c>
      <c r="F1181" s="5">
        <f>IF('ORDENES'!$A1159="","",IF('ORDENES'!$AA1159="","-",'ORDENES'!$AA1159))</f>
        <v/>
      </c>
      <c r="G1181" s="5">
        <f>IF('ORDENES'!$A1159="","",IF('ORDENES'!$Y1159="","-",'ORDENES'!$Y1159))</f>
        <v/>
      </c>
      <c r="H1181" s="5">
        <f>IF('ORDENES'!$A1159="","",IF('ORDENES'!$AG1159="","-",'ORDENES'!$AG1159))</f>
        <v/>
      </c>
      <c r="I1181" s="5">
        <f>IF('ORDENES'!$A1159="","",IF('ORDENES'!$AT1159="","-",'ORDENES'!$AT1159))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20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IF('ORDENES'!$A1159="","",'ORDENES'!$AF1159)</f>
        <v/>
      </c>
    </row>
    <row r="1182">
      <c r="A1182" s="5">
        <f>IF('ORDENES'!$A1160="","",IF('ORDENES'!$O1160="","-",'ORDENES'!$O1160))</f>
        <v/>
      </c>
      <c r="B1182" s="5">
        <f>IF('ORDENES'!$A1160="","",IF('ORDENES'!$S1160="","-",'ORDENES'!$S1160))</f>
        <v/>
      </c>
      <c r="C1182" s="5">
        <f>IF('ORDENES'!$A1160="","",IF('ORDENES'!$AH1160="","-",'ORDENES'!$AH1160))</f>
        <v/>
      </c>
      <c r="D1182" s="5">
        <f>IF('ORDENES'!$A1160="","",IF('ORDENES'!$Z1160="","-",'ORDENES'!$Z1160))</f>
        <v/>
      </c>
      <c r="E1182" s="5">
        <f>IF('ORDENES'!$A1160="","",IF('ORDENES'!$X1160="","-",'ORDENES'!$X1160))</f>
        <v/>
      </c>
      <c r="F1182" s="5">
        <f>IF('ORDENES'!$A1160="","",IF('ORDENES'!$AA1160="","-",'ORDENES'!$AA1160))</f>
        <v/>
      </c>
      <c r="G1182" s="5">
        <f>IF('ORDENES'!$A1160="","",IF('ORDENES'!$Y1160="","-",'ORDENES'!$Y1160))</f>
        <v/>
      </c>
      <c r="H1182" s="5">
        <f>IF('ORDENES'!$A1160="","",IF('ORDENES'!$AG1160="","-",'ORDENES'!$AG1160))</f>
        <v/>
      </c>
      <c r="I1182" s="5">
        <f>IF('ORDENES'!$A1160="","",IF('ORDENES'!$AT1160="","-",'ORDENES'!$AT1160))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20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IF('ORDENES'!$A1160="","",'ORDENES'!$AF1160)</f>
        <v/>
      </c>
    </row>
    <row r="1183">
      <c r="A1183" s="5">
        <f>IF('ORDENES'!$A1161="","",IF('ORDENES'!$O1161="","-",'ORDENES'!$O1161))</f>
        <v/>
      </c>
      <c r="B1183" s="5">
        <f>IF('ORDENES'!$A1161="","",IF('ORDENES'!$S1161="","-",'ORDENES'!$S1161))</f>
        <v/>
      </c>
      <c r="C1183" s="5">
        <f>IF('ORDENES'!$A1161="","",IF('ORDENES'!$AH1161="","-",'ORDENES'!$AH1161))</f>
        <v/>
      </c>
      <c r="D1183" s="5">
        <f>IF('ORDENES'!$A1161="","",IF('ORDENES'!$Z1161="","-",'ORDENES'!$Z1161))</f>
        <v/>
      </c>
      <c r="E1183" s="5">
        <f>IF('ORDENES'!$A1161="","",IF('ORDENES'!$X1161="","-",'ORDENES'!$X1161))</f>
        <v/>
      </c>
      <c r="F1183" s="5">
        <f>IF('ORDENES'!$A1161="","",IF('ORDENES'!$AA1161="","-",'ORDENES'!$AA1161))</f>
        <v/>
      </c>
      <c r="G1183" s="5">
        <f>IF('ORDENES'!$A1161="","",IF('ORDENES'!$Y1161="","-",'ORDENES'!$Y1161))</f>
        <v/>
      </c>
      <c r="H1183" s="5">
        <f>IF('ORDENES'!$A1161="","",IF('ORDENES'!$AG1161="","-",'ORDENES'!$AG1161))</f>
        <v/>
      </c>
      <c r="I1183" s="5">
        <f>IF('ORDENES'!$A1161="","",IF('ORDENES'!$AT1161="","-",'ORDENES'!$AT1161))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20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IF('ORDENES'!$A1161="","",'ORDENES'!$AF1161)</f>
        <v/>
      </c>
    </row>
    <row r="1184">
      <c r="A1184" s="5">
        <f>IF('ORDENES'!$A1162="","",IF('ORDENES'!$O1162="","-",'ORDENES'!$O1162))</f>
        <v/>
      </c>
      <c r="B1184" s="5">
        <f>IF('ORDENES'!$A1162="","",IF('ORDENES'!$S1162="","-",'ORDENES'!$S1162))</f>
        <v/>
      </c>
      <c r="C1184" s="5">
        <f>IF('ORDENES'!$A1162="","",IF('ORDENES'!$AH1162="","-",'ORDENES'!$AH1162))</f>
        <v/>
      </c>
      <c r="D1184" s="5">
        <f>IF('ORDENES'!$A1162="","",IF('ORDENES'!$Z1162="","-",'ORDENES'!$Z1162))</f>
        <v/>
      </c>
      <c r="E1184" s="5">
        <f>IF('ORDENES'!$A1162="","",IF('ORDENES'!$X1162="","-",'ORDENES'!$X1162))</f>
        <v/>
      </c>
      <c r="F1184" s="5">
        <f>IF('ORDENES'!$A1162="","",IF('ORDENES'!$AA1162="","-",'ORDENES'!$AA1162))</f>
        <v/>
      </c>
      <c r="G1184" s="5">
        <f>IF('ORDENES'!$A1162="","",IF('ORDENES'!$Y1162="","-",'ORDENES'!$Y1162))</f>
        <v/>
      </c>
      <c r="H1184" s="5">
        <f>IF('ORDENES'!$A1162="","",IF('ORDENES'!$AG1162="","-",'ORDENES'!$AG1162))</f>
        <v/>
      </c>
      <c r="I1184" s="5">
        <f>IF('ORDENES'!$A1162="","",IF('ORDENES'!$AT1162="","-",'ORDENES'!$AT1162))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20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IF('ORDENES'!$A1162="","",'ORDENES'!$AF1162)</f>
        <v/>
      </c>
    </row>
    <row r="1185">
      <c r="A1185" s="5">
        <f>IF('ORDENES'!$A1163="","",IF('ORDENES'!$O1163="","-",'ORDENES'!$O1163))</f>
        <v/>
      </c>
      <c r="B1185" s="5">
        <f>IF('ORDENES'!$A1163="","",IF('ORDENES'!$S1163="","-",'ORDENES'!$S1163))</f>
        <v/>
      </c>
      <c r="C1185" s="5">
        <f>IF('ORDENES'!$A1163="","",IF('ORDENES'!$AH1163="","-",'ORDENES'!$AH1163))</f>
        <v/>
      </c>
      <c r="D1185" s="5">
        <f>IF('ORDENES'!$A1163="","",IF('ORDENES'!$Z1163="","-",'ORDENES'!$Z1163))</f>
        <v/>
      </c>
      <c r="E1185" s="5">
        <f>IF('ORDENES'!$A1163="","",IF('ORDENES'!$X1163="","-",'ORDENES'!$X1163))</f>
        <v/>
      </c>
      <c r="F1185" s="5">
        <f>IF('ORDENES'!$A1163="","",IF('ORDENES'!$AA1163="","-",'ORDENES'!$AA1163))</f>
        <v/>
      </c>
      <c r="G1185" s="5">
        <f>IF('ORDENES'!$A1163="","",IF('ORDENES'!$Y1163="","-",'ORDENES'!$Y1163))</f>
        <v/>
      </c>
      <c r="H1185" s="5">
        <f>IF('ORDENES'!$A1163="","",IF('ORDENES'!$AG1163="","-",'ORDENES'!$AG1163))</f>
        <v/>
      </c>
      <c r="I1185" s="5">
        <f>IF('ORDENES'!$A1163="","",IF('ORDENES'!$AT1163="","-",'ORDENES'!$AT1163))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20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IF('ORDENES'!$A1163="","",'ORDENES'!$AF1163)</f>
        <v/>
      </c>
    </row>
    <row r="1186">
      <c r="A1186" s="5">
        <f>IF('ORDENES'!$A1164="","",IF('ORDENES'!$O1164="","-",'ORDENES'!$O1164))</f>
        <v/>
      </c>
      <c r="B1186" s="5">
        <f>IF('ORDENES'!$A1164="","",IF('ORDENES'!$S1164="","-",'ORDENES'!$S1164))</f>
        <v/>
      </c>
      <c r="C1186" s="5">
        <f>IF('ORDENES'!$A1164="","",IF('ORDENES'!$AH1164="","-",'ORDENES'!$AH1164))</f>
        <v/>
      </c>
      <c r="D1186" s="5">
        <f>IF('ORDENES'!$A1164="","",IF('ORDENES'!$Z1164="","-",'ORDENES'!$Z1164))</f>
        <v/>
      </c>
      <c r="E1186" s="5">
        <f>IF('ORDENES'!$A1164="","",IF('ORDENES'!$X1164="","-",'ORDENES'!$X1164))</f>
        <v/>
      </c>
      <c r="F1186" s="5">
        <f>IF('ORDENES'!$A1164="","",IF('ORDENES'!$AA1164="","-",'ORDENES'!$AA1164))</f>
        <v/>
      </c>
      <c r="G1186" s="5">
        <f>IF('ORDENES'!$A1164="","",IF('ORDENES'!$Y1164="","-",'ORDENES'!$Y1164))</f>
        <v/>
      </c>
      <c r="H1186" s="5">
        <f>IF('ORDENES'!$A1164="","",IF('ORDENES'!$AG1164="","-",'ORDENES'!$AG1164))</f>
        <v/>
      </c>
      <c r="I1186" s="5">
        <f>IF('ORDENES'!$A1164="","",IF('ORDENES'!$AT1164="","-",'ORDENES'!$AT1164))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20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IF('ORDENES'!$A1164="","",'ORDENES'!$AF1164)</f>
        <v/>
      </c>
    </row>
    <row r="1187">
      <c r="A1187" s="5">
        <f>IF('ORDENES'!$A1165="","",IF('ORDENES'!$O1165="","-",'ORDENES'!$O1165))</f>
        <v/>
      </c>
      <c r="B1187" s="5">
        <f>IF('ORDENES'!$A1165="","",IF('ORDENES'!$S1165="","-",'ORDENES'!$S1165))</f>
        <v/>
      </c>
      <c r="C1187" s="5">
        <f>IF('ORDENES'!$A1165="","",IF('ORDENES'!$AH1165="","-",'ORDENES'!$AH1165))</f>
        <v/>
      </c>
      <c r="D1187" s="5">
        <f>IF('ORDENES'!$A1165="","",IF('ORDENES'!$Z1165="","-",'ORDENES'!$Z1165))</f>
        <v/>
      </c>
      <c r="E1187" s="5">
        <f>IF('ORDENES'!$A1165="","",IF('ORDENES'!$X1165="","-",'ORDENES'!$X1165))</f>
        <v/>
      </c>
      <c r="F1187" s="5">
        <f>IF('ORDENES'!$A1165="","",IF('ORDENES'!$AA1165="","-",'ORDENES'!$AA1165))</f>
        <v/>
      </c>
      <c r="G1187" s="5">
        <f>IF('ORDENES'!$A1165="","",IF('ORDENES'!$Y1165="","-",'ORDENES'!$Y1165))</f>
        <v/>
      </c>
      <c r="H1187" s="5">
        <f>IF('ORDENES'!$A1165="","",IF('ORDENES'!$AG1165="","-",'ORDENES'!$AG1165))</f>
        <v/>
      </c>
      <c r="I1187" s="5">
        <f>IF('ORDENES'!$A1165="","",IF('ORDENES'!$AT1165="","-",'ORDENES'!$AT1165))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20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IF('ORDENES'!$A1165="","",'ORDENES'!$AF1165)</f>
        <v/>
      </c>
    </row>
    <row r="1188">
      <c r="A1188" s="5">
        <f>IF('ORDENES'!$A1166="","",IF('ORDENES'!$O1166="","-",'ORDENES'!$O1166))</f>
        <v/>
      </c>
      <c r="B1188" s="5">
        <f>IF('ORDENES'!$A1166="","",IF('ORDENES'!$S1166="","-",'ORDENES'!$S1166))</f>
        <v/>
      </c>
      <c r="C1188" s="5">
        <f>IF('ORDENES'!$A1166="","",IF('ORDENES'!$AH1166="","-",'ORDENES'!$AH1166))</f>
        <v/>
      </c>
      <c r="D1188" s="5">
        <f>IF('ORDENES'!$A1166="","",IF('ORDENES'!$Z1166="","-",'ORDENES'!$Z1166))</f>
        <v/>
      </c>
      <c r="E1188" s="5">
        <f>IF('ORDENES'!$A1166="","",IF('ORDENES'!$X1166="","-",'ORDENES'!$X1166))</f>
        <v/>
      </c>
      <c r="F1188" s="5">
        <f>IF('ORDENES'!$A1166="","",IF('ORDENES'!$AA1166="","-",'ORDENES'!$AA1166))</f>
        <v/>
      </c>
      <c r="G1188" s="5">
        <f>IF('ORDENES'!$A1166="","",IF('ORDENES'!$Y1166="","-",'ORDENES'!$Y1166))</f>
        <v/>
      </c>
      <c r="H1188" s="5">
        <f>IF('ORDENES'!$A1166="","",IF('ORDENES'!$AG1166="","-",'ORDENES'!$AG1166))</f>
        <v/>
      </c>
      <c r="I1188" s="5">
        <f>IF('ORDENES'!$A1166="","",IF('ORDENES'!$AT1166="","-",'ORDENES'!$AT1166))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20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IF('ORDENES'!$A1166="","",'ORDENES'!$AF1166)</f>
        <v/>
      </c>
    </row>
    <row r="1189">
      <c r="A1189" s="5">
        <f>IF('ORDENES'!$A1167="","",IF('ORDENES'!$O1167="","-",'ORDENES'!$O1167))</f>
        <v/>
      </c>
      <c r="B1189" s="5">
        <f>IF('ORDENES'!$A1167="","",IF('ORDENES'!$S1167="","-",'ORDENES'!$S1167))</f>
        <v/>
      </c>
      <c r="C1189" s="5">
        <f>IF('ORDENES'!$A1167="","",IF('ORDENES'!$AH1167="","-",'ORDENES'!$AH1167))</f>
        <v/>
      </c>
      <c r="D1189" s="5">
        <f>IF('ORDENES'!$A1167="","",IF('ORDENES'!$Z1167="","-",'ORDENES'!$Z1167))</f>
        <v/>
      </c>
      <c r="E1189" s="5">
        <f>IF('ORDENES'!$A1167="","",IF('ORDENES'!$X1167="","-",'ORDENES'!$X1167))</f>
        <v/>
      </c>
      <c r="F1189" s="5">
        <f>IF('ORDENES'!$A1167="","",IF('ORDENES'!$AA1167="","-",'ORDENES'!$AA1167))</f>
        <v/>
      </c>
      <c r="G1189" s="5">
        <f>IF('ORDENES'!$A1167="","",IF('ORDENES'!$Y1167="","-",'ORDENES'!$Y1167))</f>
        <v/>
      </c>
      <c r="H1189" s="5">
        <f>IF('ORDENES'!$A1167="","",IF('ORDENES'!$AG1167="","-",'ORDENES'!$AG1167))</f>
        <v/>
      </c>
      <c r="I1189" s="5">
        <f>IF('ORDENES'!$A1167="","",IF('ORDENES'!$AT1167="","-",'ORDENES'!$AT1167))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20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IF('ORDENES'!$A1167="","",'ORDENES'!$AF1167)</f>
        <v/>
      </c>
    </row>
    <row r="1190">
      <c r="A1190" s="5">
        <f>IF('ORDENES'!$A1168="","",IF('ORDENES'!$O1168="","-",'ORDENES'!$O1168))</f>
        <v/>
      </c>
      <c r="B1190" s="5">
        <f>IF('ORDENES'!$A1168="","",IF('ORDENES'!$S1168="","-",'ORDENES'!$S1168))</f>
        <v/>
      </c>
      <c r="C1190" s="5">
        <f>IF('ORDENES'!$A1168="","",IF('ORDENES'!$AH1168="","-",'ORDENES'!$AH1168))</f>
        <v/>
      </c>
      <c r="D1190" s="5">
        <f>IF('ORDENES'!$A1168="","",IF('ORDENES'!$Z1168="","-",'ORDENES'!$Z1168))</f>
        <v/>
      </c>
      <c r="E1190" s="5">
        <f>IF('ORDENES'!$A1168="","",IF('ORDENES'!$X1168="","-",'ORDENES'!$X1168))</f>
        <v/>
      </c>
      <c r="F1190" s="5">
        <f>IF('ORDENES'!$A1168="","",IF('ORDENES'!$AA1168="","-",'ORDENES'!$AA1168))</f>
        <v/>
      </c>
      <c r="G1190" s="5">
        <f>IF('ORDENES'!$A1168="","",IF('ORDENES'!$Y1168="","-",'ORDENES'!$Y1168))</f>
        <v/>
      </c>
      <c r="H1190" s="5">
        <f>IF('ORDENES'!$A1168="","",IF('ORDENES'!$AG1168="","-",'ORDENES'!$AG1168))</f>
        <v/>
      </c>
      <c r="I1190" s="5">
        <f>IF('ORDENES'!$A1168="","",IF('ORDENES'!$AT1168="","-",'ORDENES'!$AT1168))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20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IF('ORDENES'!$A1168="","",'ORDENES'!$AF1168)</f>
        <v/>
      </c>
    </row>
    <row r="1191">
      <c r="A1191" s="5">
        <f>IF('ORDENES'!$A1169="","",IF('ORDENES'!$O1169="","-",'ORDENES'!$O1169))</f>
        <v/>
      </c>
      <c r="B1191" s="5">
        <f>IF('ORDENES'!$A1169="","",IF('ORDENES'!$S1169="","-",'ORDENES'!$S1169))</f>
        <v/>
      </c>
      <c r="C1191" s="5">
        <f>IF('ORDENES'!$A1169="","",IF('ORDENES'!$AH1169="","-",'ORDENES'!$AH1169))</f>
        <v/>
      </c>
      <c r="D1191" s="5">
        <f>IF('ORDENES'!$A1169="","",IF('ORDENES'!$Z1169="","-",'ORDENES'!$Z1169))</f>
        <v/>
      </c>
      <c r="E1191" s="5">
        <f>IF('ORDENES'!$A1169="","",IF('ORDENES'!$X1169="","-",'ORDENES'!$X1169))</f>
        <v/>
      </c>
      <c r="F1191" s="5">
        <f>IF('ORDENES'!$A1169="","",IF('ORDENES'!$AA1169="","-",'ORDENES'!$AA1169))</f>
        <v/>
      </c>
      <c r="G1191" s="5">
        <f>IF('ORDENES'!$A1169="","",IF('ORDENES'!$Y1169="","-",'ORDENES'!$Y1169))</f>
        <v/>
      </c>
      <c r="H1191" s="5">
        <f>IF('ORDENES'!$A1169="","",IF('ORDENES'!$AG1169="","-",'ORDENES'!$AG1169))</f>
        <v/>
      </c>
      <c r="I1191" s="5">
        <f>IF('ORDENES'!$A1169="","",IF('ORDENES'!$AT1169="","-",'ORDENES'!$AT1169))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20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IF('ORDENES'!$A1169="","",'ORDENES'!$AF1169)</f>
        <v/>
      </c>
    </row>
    <row r="1192">
      <c r="A1192" s="5">
        <f>IF('ORDENES'!$A1170="","",IF('ORDENES'!$O1170="","-",'ORDENES'!$O1170))</f>
        <v/>
      </c>
      <c r="B1192" s="5">
        <f>IF('ORDENES'!$A1170="","",IF('ORDENES'!$S1170="","-",'ORDENES'!$S1170))</f>
        <v/>
      </c>
      <c r="C1192" s="5">
        <f>IF('ORDENES'!$A1170="","",IF('ORDENES'!$AH1170="","-",'ORDENES'!$AH1170))</f>
        <v/>
      </c>
      <c r="D1192" s="5">
        <f>IF('ORDENES'!$A1170="","",IF('ORDENES'!$Z1170="","-",'ORDENES'!$Z1170))</f>
        <v/>
      </c>
      <c r="E1192" s="5">
        <f>IF('ORDENES'!$A1170="","",IF('ORDENES'!$X1170="","-",'ORDENES'!$X1170))</f>
        <v/>
      </c>
      <c r="F1192" s="5">
        <f>IF('ORDENES'!$A1170="","",IF('ORDENES'!$AA1170="","-",'ORDENES'!$AA1170))</f>
        <v/>
      </c>
      <c r="G1192" s="5">
        <f>IF('ORDENES'!$A1170="","",IF('ORDENES'!$Y1170="","-",'ORDENES'!$Y1170))</f>
        <v/>
      </c>
      <c r="H1192" s="5">
        <f>IF('ORDENES'!$A1170="","",IF('ORDENES'!$AG1170="","-",'ORDENES'!$AG1170))</f>
        <v/>
      </c>
      <c r="I1192" s="5">
        <f>IF('ORDENES'!$A1170="","",IF('ORDENES'!$AT1170="","-",'ORDENES'!$AT1170))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20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IF('ORDENES'!$A1170="","",'ORDENES'!$AF1170)</f>
        <v/>
      </c>
    </row>
    <row r="1193">
      <c r="A1193" s="5">
        <f>IF('ORDENES'!$A1171="","",IF('ORDENES'!$O1171="","-",'ORDENES'!$O1171))</f>
        <v/>
      </c>
      <c r="B1193" s="5">
        <f>IF('ORDENES'!$A1171="","",IF('ORDENES'!$S1171="","-",'ORDENES'!$S1171))</f>
        <v/>
      </c>
      <c r="C1193" s="5">
        <f>IF('ORDENES'!$A1171="","",IF('ORDENES'!$AH1171="","-",'ORDENES'!$AH1171))</f>
        <v/>
      </c>
      <c r="D1193" s="5">
        <f>IF('ORDENES'!$A1171="","",IF('ORDENES'!$Z1171="","-",'ORDENES'!$Z1171))</f>
        <v/>
      </c>
      <c r="E1193" s="5">
        <f>IF('ORDENES'!$A1171="","",IF('ORDENES'!$X1171="","-",'ORDENES'!$X1171))</f>
        <v/>
      </c>
      <c r="F1193" s="5">
        <f>IF('ORDENES'!$A1171="","",IF('ORDENES'!$AA1171="","-",'ORDENES'!$AA1171))</f>
        <v/>
      </c>
      <c r="G1193" s="5">
        <f>IF('ORDENES'!$A1171="","",IF('ORDENES'!$Y1171="","-",'ORDENES'!$Y1171))</f>
        <v/>
      </c>
      <c r="H1193" s="5">
        <f>IF('ORDENES'!$A1171="","",IF('ORDENES'!$AG1171="","-",'ORDENES'!$AG1171))</f>
        <v/>
      </c>
      <c r="I1193" s="5">
        <f>IF('ORDENES'!$A1171="","",IF('ORDENES'!$AT1171="","-",'ORDENES'!$AT1171))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20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IF('ORDENES'!$A1171="","",'ORDENES'!$AF1171)</f>
        <v/>
      </c>
    </row>
    <row r="1194">
      <c r="A1194" s="5">
        <f>IF('ORDENES'!$A1172="","",IF('ORDENES'!$O1172="","-",'ORDENES'!$O1172))</f>
        <v/>
      </c>
      <c r="B1194" s="5">
        <f>IF('ORDENES'!$A1172="","",IF('ORDENES'!$S1172="","-",'ORDENES'!$S1172))</f>
        <v/>
      </c>
      <c r="C1194" s="5">
        <f>IF('ORDENES'!$A1172="","",IF('ORDENES'!$AH1172="","-",'ORDENES'!$AH1172))</f>
        <v/>
      </c>
      <c r="D1194" s="5">
        <f>IF('ORDENES'!$A1172="","",IF('ORDENES'!$Z1172="","-",'ORDENES'!$Z1172))</f>
        <v/>
      </c>
      <c r="E1194" s="5">
        <f>IF('ORDENES'!$A1172="","",IF('ORDENES'!$X1172="","-",'ORDENES'!$X1172))</f>
        <v/>
      </c>
      <c r="F1194" s="5">
        <f>IF('ORDENES'!$A1172="","",IF('ORDENES'!$AA1172="","-",'ORDENES'!$AA1172))</f>
        <v/>
      </c>
      <c r="G1194" s="5">
        <f>IF('ORDENES'!$A1172="","",IF('ORDENES'!$Y1172="","-",'ORDENES'!$Y1172))</f>
        <v/>
      </c>
      <c r="H1194" s="5">
        <f>IF('ORDENES'!$A1172="","",IF('ORDENES'!$AG1172="","-",'ORDENES'!$AG1172))</f>
        <v/>
      </c>
      <c r="I1194" s="5">
        <f>IF('ORDENES'!$A1172="","",IF('ORDENES'!$AT1172="","-",'ORDENES'!$AT1172))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20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IF('ORDENES'!$A1172="","",'ORDENES'!$AF1172)</f>
        <v/>
      </c>
    </row>
    <row r="1195">
      <c r="A1195" s="5">
        <f>IF('ORDENES'!$A1173="","",IF('ORDENES'!$O1173="","-",'ORDENES'!$O1173))</f>
        <v/>
      </c>
      <c r="B1195" s="5">
        <f>IF('ORDENES'!$A1173="","",IF('ORDENES'!$S1173="","-",'ORDENES'!$S1173))</f>
        <v/>
      </c>
      <c r="C1195" s="5">
        <f>IF('ORDENES'!$A1173="","",IF('ORDENES'!$AH1173="","-",'ORDENES'!$AH1173))</f>
        <v/>
      </c>
      <c r="D1195" s="5">
        <f>IF('ORDENES'!$A1173="","",IF('ORDENES'!$Z1173="","-",'ORDENES'!$Z1173))</f>
        <v/>
      </c>
      <c r="E1195" s="5">
        <f>IF('ORDENES'!$A1173="","",IF('ORDENES'!$X1173="","-",'ORDENES'!$X1173))</f>
        <v/>
      </c>
      <c r="F1195" s="5">
        <f>IF('ORDENES'!$A1173="","",IF('ORDENES'!$AA1173="","-",'ORDENES'!$AA1173))</f>
        <v/>
      </c>
      <c r="G1195" s="5">
        <f>IF('ORDENES'!$A1173="","",IF('ORDENES'!$Y1173="","-",'ORDENES'!$Y1173))</f>
        <v/>
      </c>
      <c r="H1195" s="5">
        <f>IF('ORDENES'!$A1173="","",IF('ORDENES'!$AG1173="","-",'ORDENES'!$AG1173))</f>
        <v/>
      </c>
      <c r="I1195" s="5">
        <f>IF('ORDENES'!$A1173="","",IF('ORDENES'!$AT1173="","-",'ORDENES'!$AT1173))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20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IF('ORDENES'!$A1173="","",'ORDENES'!$AF1173)</f>
        <v/>
      </c>
    </row>
    <row r="1196">
      <c r="A1196" s="5">
        <f>IF('ORDENES'!$A1174="","",IF('ORDENES'!$O1174="","-",'ORDENES'!$O1174))</f>
        <v/>
      </c>
      <c r="B1196" s="5">
        <f>IF('ORDENES'!$A1174="","",IF('ORDENES'!$S1174="","-",'ORDENES'!$S1174))</f>
        <v/>
      </c>
      <c r="C1196" s="5">
        <f>IF('ORDENES'!$A1174="","",IF('ORDENES'!$AH1174="","-",'ORDENES'!$AH1174))</f>
        <v/>
      </c>
      <c r="D1196" s="5">
        <f>IF('ORDENES'!$A1174="","",IF('ORDENES'!$Z1174="","-",'ORDENES'!$Z1174))</f>
        <v/>
      </c>
      <c r="E1196" s="5">
        <f>IF('ORDENES'!$A1174="","",IF('ORDENES'!$X1174="","-",'ORDENES'!$X1174))</f>
        <v/>
      </c>
      <c r="F1196" s="5">
        <f>IF('ORDENES'!$A1174="","",IF('ORDENES'!$AA1174="","-",'ORDENES'!$AA1174))</f>
        <v/>
      </c>
      <c r="G1196" s="5">
        <f>IF('ORDENES'!$A1174="","",IF('ORDENES'!$Y1174="","-",'ORDENES'!$Y1174))</f>
        <v/>
      </c>
      <c r="H1196" s="5">
        <f>IF('ORDENES'!$A1174="","",IF('ORDENES'!$AG1174="","-",'ORDENES'!$AG1174))</f>
        <v/>
      </c>
      <c r="I1196" s="5">
        <f>IF('ORDENES'!$A1174="","",IF('ORDENES'!$AT1174="","-",'ORDENES'!$AT1174))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20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IF('ORDENES'!$A1174="","",'ORDENES'!$AF1174)</f>
        <v/>
      </c>
    </row>
    <row r="1197">
      <c r="A1197" s="5">
        <f>IF('ORDENES'!$A1175="","",IF('ORDENES'!$O1175="","-",'ORDENES'!$O1175))</f>
        <v/>
      </c>
      <c r="B1197" s="5">
        <f>IF('ORDENES'!$A1175="","",IF('ORDENES'!$S1175="","-",'ORDENES'!$S1175))</f>
        <v/>
      </c>
      <c r="C1197" s="5">
        <f>IF('ORDENES'!$A1175="","",IF('ORDENES'!$AH1175="","-",'ORDENES'!$AH1175))</f>
        <v/>
      </c>
      <c r="D1197" s="5">
        <f>IF('ORDENES'!$A1175="","",IF('ORDENES'!$Z1175="","-",'ORDENES'!$Z1175))</f>
        <v/>
      </c>
      <c r="E1197" s="5">
        <f>IF('ORDENES'!$A1175="","",IF('ORDENES'!$X1175="","-",'ORDENES'!$X1175))</f>
        <v/>
      </c>
      <c r="F1197" s="5">
        <f>IF('ORDENES'!$A1175="","",IF('ORDENES'!$AA1175="","-",'ORDENES'!$AA1175))</f>
        <v/>
      </c>
      <c r="G1197" s="5">
        <f>IF('ORDENES'!$A1175="","",IF('ORDENES'!$Y1175="","-",'ORDENES'!$Y1175))</f>
        <v/>
      </c>
      <c r="H1197" s="5">
        <f>IF('ORDENES'!$A1175="","",IF('ORDENES'!$AG1175="","-",'ORDENES'!$AG1175))</f>
        <v/>
      </c>
      <c r="I1197" s="5">
        <f>IF('ORDENES'!$A1175="","",IF('ORDENES'!$AT1175="","-",'ORDENES'!$AT1175))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20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IF('ORDENES'!$A1175="","",'ORDENES'!$AF1175)</f>
        <v/>
      </c>
    </row>
    <row r="1198">
      <c r="A1198" s="5">
        <f>IF('ORDENES'!$A1176="","",IF('ORDENES'!$O1176="","-",'ORDENES'!$O1176))</f>
        <v/>
      </c>
      <c r="B1198" s="5">
        <f>IF('ORDENES'!$A1176="","",IF('ORDENES'!$S1176="","-",'ORDENES'!$S1176))</f>
        <v/>
      </c>
      <c r="C1198" s="5">
        <f>IF('ORDENES'!$A1176="","",IF('ORDENES'!$AH1176="","-",'ORDENES'!$AH1176))</f>
        <v/>
      </c>
      <c r="D1198" s="5">
        <f>IF('ORDENES'!$A1176="","",IF('ORDENES'!$Z1176="","-",'ORDENES'!$Z1176))</f>
        <v/>
      </c>
      <c r="E1198" s="5">
        <f>IF('ORDENES'!$A1176="","",IF('ORDENES'!$X1176="","-",'ORDENES'!$X1176))</f>
        <v/>
      </c>
      <c r="F1198" s="5">
        <f>IF('ORDENES'!$A1176="","",IF('ORDENES'!$AA1176="","-",'ORDENES'!$AA1176))</f>
        <v/>
      </c>
      <c r="G1198" s="5">
        <f>IF('ORDENES'!$A1176="","",IF('ORDENES'!$Y1176="","-",'ORDENES'!$Y1176))</f>
        <v/>
      </c>
      <c r="H1198" s="5">
        <f>IF('ORDENES'!$A1176="","",IF('ORDENES'!$AG1176="","-",'ORDENES'!$AG1176))</f>
        <v/>
      </c>
      <c r="I1198" s="5">
        <f>IF('ORDENES'!$A1176="","",IF('ORDENES'!$AT1176="","-",'ORDENES'!$AT1176))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20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IF('ORDENES'!$A1176="","",'ORDENES'!$AF1176)</f>
        <v/>
      </c>
    </row>
    <row r="1199">
      <c r="A1199" s="5">
        <f>IF('ORDENES'!$A1177="","",IF('ORDENES'!$O1177="","-",'ORDENES'!$O1177))</f>
        <v/>
      </c>
      <c r="B1199" s="5">
        <f>IF('ORDENES'!$A1177="","",IF('ORDENES'!$S1177="","-",'ORDENES'!$S1177))</f>
        <v/>
      </c>
      <c r="C1199" s="5">
        <f>IF('ORDENES'!$A1177="","",IF('ORDENES'!$AH1177="","-",'ORDENES'!$AH1177))</f>
        <v/>
      </c>
      <c r="D1199" s="5">
        <f>IF('ORDENES'!$A1177="","",IF('ORDENES'!$Z1177="","-",'ORDENES'!$Z1177))</f>
        <v/>
      </c>
      <c r="E1199" s="5">
        <f>IF('ORDENES'!$A1177="","",IF('ORDENES'!$X1177="","-",'ORDENES'!$X1177))</f>
        <v/>
      </c>
      <c r="F1199" s="5">
        <f>IF('ORDENES'!$A1177="","",IF('ORDENES'!$AA1177="","-",'ORDENES'!$AA1177))</f>
        <v/>
      </c>
      <c r="G1199" s="5">
        <f>IF('ORDENES'!$A1177="","",IF('ORDENES'!$Y1177="","-",'ORDENES'!$Y1177))</f>
        <v/>
      </c>
      <c r="H1199" s="5">
        <f>IF('ORDENES'!$A1177="","",IF('ORDENES'!$AG1177="","-",'ORDENES'!$AG1177))</f>
        <v/>
      </c>
      <c r="I1199" s="5">
        <f>IF('ORDENES'!$A1177="","",IF('ORDENES'!$AT1177="","-",'ORDENES'!$AT1177))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20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IF('ORDENES'!$A1177="","",'ORDENES'!$AF1177)</f>
        <v/>
      </c>
    </row>
    <row r="1200">
      <c r="A1200" s="5">
        <f>IF('ORDENES'!$A1178="","",IF('ORDENES'!$O1178="","-",'ORDENES'!$O1178))</f>
        <v/>
      </c>
      <c r="B1200" s="5">
        <f>IF('ORDENES'!$A1178="","",IF('ORDENES'!$S1178="","-",'ORDENES'!$S1178))</f>
        <v/>
      </c>
      <c r="C1200" s="5">
        <f>IF('ORDENES'!$A1178="","",IF('ORDENES'!$AH1178="","-",'ORDENES'!$AH1178))</f>
        <v/>
      </c>
      <c r="D1200" s="5">
        <f>IF('ORDENES'!$A1178="","",IF('ORDENES'!$Z1178="","-",'ORDENES'!$Z1178))</f>
        <v/>
      </c>
      <c r="E1200" s="5">
        <f>IF('ORDENES'!$A1178="","",IF('ORDENES'!$X1178="","-",'ORDENES'!$X1178))</f>
        <v/>
      </c>
      <c r="F1200" s="5">
        <f>IF('ORDENES'!$A1178="","",IF('ORDENES'!$AA1178="","-",'ORDENES'!$AA1178))</f>
        <v/>
      </c>
      <c r="G1200" s="5">
        <f>IF('ORDENES'!$A1178="","",IF('ORDENES'!$Y1178="","-",'ORDENES'!$Y1178))</f>
        <v/>
      </c>
      <c r="H1200" s="5">
        <f>IF('ORDENES'!$A1178="","",IF('ORDENES'!$AG1178="","-",'ORDENES'!$AG1178))</f>
        <v/>
      </c>
      <c r="I1200" s="5">
        <f>IF('ORDENES'!$A1178="","",IF('ORDENES'!$AT1178="","-",'ORDENES'!$AT1178))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20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IF('ORDENES'!$A1178="","",'ORDENES'!$AF1178)</f>
        <v/>
      </c>
    </row>
    <row r="1201">
      <c r="A1201" s="5">
        <f>IF('ORDENES'!$A1179="","",IF('ORDENES'!$O1179="","-",'ORDENES'!$O1179))</f>
        <v/>
      </c>
      <c r="B1201" s="5">
        <f>IF('ORDENES'!$A1179="","",IF('ORDENES'!$S1179="","-",'ORDENES'!$S1179))</f>
        <v/>
      </c>
      <c r="C1201" s="5">
        <f>IF('ORDENES'!$A1179="","",IF('ORDENES'!$AH1179="","-",'ORDENES'!$AH1179))</f>
        <v/>
      </c>
      <c r="D1201" s="5">
        <f>IF('ORDENES'!$A1179="","",IF('ORDENES'!$Z1179="","-",'ORDENES'!$Z1179))</f>
        <v/>
      </c>
      <c r="E1201" s="5">
        <f>IF('ORDENES'!$A1179="","",IF('ORDENES'!$X1179="","-",'ORDENES'!$X1179))</f>
        <v/>
      </c>
      <c r="F1201" s="5">
        <f>IF('ORDENES'!$A1179="","",IF('ORDENES'!$AA1179="","-",'ORDENES'!$AA1179))</f>
        <v/>
      </c>
      <c r="G1201" s="5">
        <f>IF('ORDENES'!$A1179="","",IF('ORDENES'!$Y1179="","-",'ORDENES'!$Y1179))</f>
        <v/>
      </c>
      <c r="H1201" s="5">
        <f>IF('ORDENES'!$A1179="","",IF('ORDENES'!$AG1179="","-",'ORDENES'!$AG1179))</f>
        <v/>
      </c>
      <c r="I1201" s="5">
        <f>IF('ORDENES'!$A1179="","",IF('ORDENES'!$AT1179="","-",'ORDENES'!$AT1179))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20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IF('ORDENES'!$A1179="","",'ORDENES'!$AF1179)</f>
        <v/>
      </c>
    </row>
    <row r="1202">
      <c r="A1202" s="5">
        <f>IF('ORDENES'!$A1180="","",IF('ORDENES'!$O1180="","-",'ORDENES'!$O1180))</f>
        <v/>
      </c>
      <c r="B1202" s="5">
        <f>IF('ORDENES'!$A1180="","",IF('ORDENES'!$S1180="","-",'ORDENES'!$S1180))</f>
        <v/>
      </c>
      <c r="C1202" s="5">
        <f>IF('ORDENES'!$A1180="","",IF('ORDENES'!$AH1180="","-",'ORDENES'!$AH1180))</f>
        <v/>
      </c>
      <c r="D1202" s="5">
        <f>IF('ORDENES'!$A1180="","",IF('ORDENES'!$Z1180="","-",'ORDENES'!$Z1180))</f>
        <v/>
      </c>
      <c r="E1202" s="5">
        <f>IF('ORDENES'!$A1180="","",IF('ORDENES'!$X1180="","-",'ORDENES'!$X1180))</f>
        <v/>
      </c>
      <c r="F1202" s="5">
        <f>IF('ORDENES'!$A1180="","",IF('ORDENES'!$AA1180="","-",'ORDENES'!$AA1180))</f>
        <v/>
      </c>
      <c r="G1202" s="5">
        <f>IF('ORDENES'!$A1180="","",IF('ORDENES'!$Y1180="","-",'ORDENES'!$Y1180))</f>
        <v/>
      </c>
      <c r="H1202" s="5">
        <f>IF('ORDENES'!$A1180="","",IF('ORDENES'!$AG1180="","-",'ORDENES'!$AG1180))</f>
        <v/>
      </c>
      <c r="I1202" s="5">
        <f>IF('ORDENES'!$A1180="","",IF('ORDENES'!$AT1180="","-",'ORDENES'!$AT1180))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20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IF('ORDENES'!$A1180="","",'ORDENES'!$AF1180)</f>
        <v/>
      </c>
    </row>
    <row r="1203">
      <c r="A1203" s="5">
        <f>IF('ORDENES'!$A1181="","",IF('ORDENES'!$O1181="","-",'ORDENES'!$O1181))</f>
        <v/>
      </c>
      <c r="B1203" s="5">
        <f>IF('ORDENES'!$A1181="","",IF('ORDENES'!$S1181="","-",'ORDENES'!$S1181))</f>
        <v/>
      </c>
      <c r="C1203" s="5">
        <f>IF('ORDENES'!$A1181="","",IF('ORDENES'!$AH1181="","-",'ORDENES'!$AH1181))</f>
        <v/>
      </c>
      <c r="D1203" s="5">
        <f>IF('ORDENES'!$A1181="","",IF('ORDENES'!$Z1181="","-",'ORDENES'!$Z1181))</f>
        <v/>
      </c>
      <c r="E1203" s="5">
        <f>IF('ORDENES'!$A1181="","",IF('ORDENES'!$X1181="","-",'ORDENES'!$X1181))</f>
        <v/>
      </c>
      <c r="F1203" s="5">
        <f>IF('ORDENES'!$A1181="","",IF('ORDENES'!$AA1181="","-",'ORDENES'!$AA1181))</f>
        <v/>
      </c>
      <c r="G1203" s="5">
        <f>IF('ORDENES'!$A1181="","",IF('ORDENES'!$Y1181="","-",'ORDENES'!$Y1181))</f>
        <v/>
      </c>
      <c r="H1203" s="5">
        <f>IF('ORDENES'!$A1181="","",IF('ORDENES'!$AG1181="","-",'ORDENES'!$AG1181))</f>
        <v/>
      </c>
      <c r="I1203" s="5">
        <f>IF('ORDENES'!$A1181="","",IF('ORDENES'!$AT1181="","-",'ORDENES'!$AT1181))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20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IF('ORDENES'!$A1181="","",'ORDENES'!$AF1181)</f>
        <v/>
      </c>
    </row>
    <row r="1204">
      <c r="A1204" s="5">
        <f>IF('ORDENES'!$A1182="","",IF('ORDENES'!$O1182="","-",'ORDENES'!$O1182))</f>
        <v/>
      </c>
      <c r="B1204" s="5">
        <f>IF('ORDENES'!$A1182="","",IF('ORDENES'!$S1182="","-",'ORDENES'!$S1182))</f>
        <v/>
      </c>
      <c r="C1204" s="5">
        <f>IF('ORDENES'!$A1182="","",IF('ORDENES'!$AH1182="","-",'ORDENES'!$AH1182))</f>
        <v/>
      </c>
      <c r="D1204" s="5">
        <f>IF('ORDENES'!$A1182="","",IF('ORDENES'!$Z1182="","-",'ORDENES'!$Z1182))</f>
        <v/>
      </c>
      <c r="E1204" s="5">
        <f>IF('ORDENES'!$A1182="","",IF('ORDENES'!$X1182="","-",'ORDENES'!$X1182))</f>
        <v/>
      </c>
      <c r="F1204" s="5">
        <f>IF('ORDENES'!$A1182="","",IF('ORDENES'!$AA1182="","-",'ORDENES'!$AA1182))</f>
        <v/>
      </c>
      <c r="G1204" s="5">
        <f>IF('ORDENES'!$A1182="","",IF('ORDENES'!$Y1182="","-",'ORDENES'!$Y1182))</f>
        <v/>
      </c>
      <c r="H1204" s="5">
        <f>IF('ORDENES'!$A1182="","",IF('ORDENES'!$AG1182="","-",'ORDENES'!$AG1182))</f>
        <v/>
      </c>
      <c r="I1204" s="5">
        <f>IF('ORDENES'!$A1182="","",IF('ORDENES'!$AT1182="","-",'ORDENES'!$AT1182))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20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IF('ORDENES'!$A1182="","",'ORDENES'!$AF1182)</f>
        <v/>
      </c>
    </row>
    <row r="1205">
      <c r="A1205" s="5">
        <f>IF('ORDENES'!$A1183="","",IF('ORDENES'!$O1183="","-",'ORDENES'!$O1183))</f>
        <v/>
      </c>
      <c r="B1205" s="5">
        <f>IF('ORDENES'!$A1183="","",IF('ORDENES'!$S1183="","-",'ORDENES'!$S1183))</f>
        <v/>
      </c>
      <c r="C1205" s="5">
        <f>IF('ORDENES'!$A1183="","",IF('ORDENES'!$AH1183="","-",'ORDENES'!$AH1183))</f>
        <v/>
      </c>
      <c r="D1205" s="5">
        <f>IF('ORDENES'!$A1183="","",IF('ORDENES'!$Z1183="","-",'ORDENES'!$Z1183))</f>
        <v/>
      </c>
      <c r="E1205" s="5">
        <f>IF('ORDENES'!$A1183="","",IF('ORDENES'!$X1183="","-",'ORDENES'!$X1183))</f>
        <v/>
      </c>
      <c r="F1205" s="5">
        <f>IF('ORDENES'!$A1183="","",IF('ORDENES'!$AA1183="","-",'ORDENES'!$AA1183))</f>
        <v/>
      </c>
      <c r="G1205" s="5">
        <f>IF('ORDENES'!$A1183="","",IF('ORDENES'!$Y1183="","-",'ORDENES'!$Y1183))</f>
        <v/>
      </c>
      <c r="H1205" s="5">
        <f>IF('ORDENES'!$A1183="","",IF('ORDENES'!$AG1183="","-",'ORDENES'!$AG1183))</f>
        <v/>
      </c>
      <c r="I1205" s="5">
        <f>IF('ORDENES'!$A1183="","",IF('ORDENES'!$AT1183="","-",'ORDENES'!$AT1183))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20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IF('ORDENES'!$A1183="","",'ORDENES'!$AF1183)</f>
        <v/>
      </c>
    </row>
    <row r="1206">
      <c r="A1206" s="5">
        <f>IF('ORDENES'!$A1184="","",IF('ORDENES'!$O1184="","-",'ORDENES'!$O1184))</f>
        <v/>
      </c>
      <c r="B1206" s="5">
        <f>IF('ORDENES'!$A1184="","",IF('ORDENES'!$S1184="","-",'ORDENES'!$S1184))</f>
        <v/>
      </c>
      <c r="C1206" s="5">
        <f>IF('ORDENES'!$A1184="","",IF('ORDENES'!$AH1184="","-",'ORDENES'!$AH1184))</f>
        <v/>
      </c>
      <c r="D1206" s="5">
        <f>IF('ORDENES'!$A1184="","",IF('ORDENES'!$Z1184="","-",'ORDENES'!$Z1184))</f>
        <v/>
      </c>
      <c r="E1206" s="5">
        <f>IF('ORDENES'!$A1184="","",IF('ORDENES'!$X1184="","-",'ORDENES'!$X1184))</f>
        <v/>
      </c>
      <c r="F1206" s="5">
        <f>IF('ORDENES'!$A1184="","",IF('ORDENES'!$AA1184="","-",'ORDENES'!$AA1184))</f>
        <v/>
      </c>
      <c r="G1206" s="5">
        <f>IF('ORDENES'!$A1184="","",IF('ORDENES'!$Y1184="","-",'ORDENES'!$Y1184))</f>
        <v/>
      </c>
      <c r="H1206" s="5">
        <f>IF('ORDENES'!$A1184="","",IF('ORDENES'!$AG1184="","-",'ORDENES'!$AG1184))</f>
        <v/>
      </c>
      <c r="I1206" s="5">
        <f>IF('ORDENES'!$A1184="","",IF('ORDENES'!$AT1184="","-",'ORDENES'!$AT1184))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20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IF('ORDENES'!$A1184="","",'ORDENES'!$AF1184)</f>
        <v/>
      </c>
    </row>
    <row r="1207">
      <c r="A1207" s="5">
        <f>IF('ORDENES'!$A1185="","",IF('ORDENES'!$O1185="","-",'ORDENES'!$O1185))</f>
        <v/>
      </c>
      <c r="B1207" s="5">
        <f>IF('ORDENES'!$A1185="","",IF('ORDENES'!$S1185="","-",'ORDENES'!$S1185))</f>
        <v/>
      </c>
      <c r="C1207" s="5">
        <f>IF('ORDENES'!$A1185="","",IF('ORDENES'!$AH1185="","-",'ORDENES'!$AH1185))</f>
        <v/>
      </c>
      <c r="D1207" s="5">
        <f>IF('ORDENES'!$A1185="","",IF('ORDENES'!$Z1185="","-",'ORDENES'!$Z1185))</f>
        <v/>
      </c>
      <c r="E1207" s="5">
        <f>IF('ORDENES'!$A1185="","",IF('ORDENES'!$X1185="","-",'ORDENES'!$X1185))</f>
        <v/>
      </c>
      <c r="F1207" s="5">
        <f>IF('ORDENES'!$A1185="","",IF('ORDENES'!$AA1185="","-",'ORDENES'!$AA1185))</f>
        <v/>
      </c>
      <c r="G1207" s="5">
        <f>IF('ORDENES'!$A1185="","",IF('ORDENES'!$Y1185="","-",'ORDENES'!$Y1185))</f>
        <v/>
      </c>
      <c r="H1207" s="5">
        <f>IF('ORDENES'!$A1185="","",IF('ORDENES'!$AG1185="","-",'ORDENES'!$AG1185))</f>
        <v/>
      </c>
      <c r="I1207" s="5">
        <f>IF('ORDENES'!$A1185="","",IF('ORDENES'!$AT1185="","-",'ORDENES'!$AT1185))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20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IF('ORDENES'!$A1185="","",'ORDENES'!$AF1185)</f>
        <v/>
      </c>
    </row>
    <row r="1208">
      <c r="A1208" s="5">
        <f>IF('ORDENES'!$A1186="","",IF('ORDENES'!$O1186="","-",'ORDENES'!$O1186))</f>
        <v/>
      </c>
      <c r="B1208" s="5">
        <f>IF('ORDENES'!$A1186="","",IF('ORDENES'!$S1186="","-",'ORDENES'!$S1186))</f>
        <v/>
      </c>
      <c r="C1208" s="5">
        <f>IF('ORDENES'!$A1186="","",IF('ORDENES'!$AH1186="","-",'ORDENES'!$AH1186))</f>
        <v/>
      </c>
      <c r="D1208" s="5">
        <f>IF('ORDENES'!$A1186="","",IF('ORDENES'!$Z1186="","-",'ORDENES'!$Z1186))</f>
        <v/>
      </c>
      <c r="E1208" s="5">
        <f>IF('ORDENES'!$A1186="","",IF('ORDENES'!$X1186="","-",'ORDENES'!$X1186))</f>
        <v/>
      </c>
      <c r="F1208" s="5">
        <f>IF('ORDENES'!$A1186="","",IF('ORDENES'!$AA1186="","-",'ORDENES'!$AA1186))</f>
        <v/>
      </c>
      <c r="G1208" s="5">
        <f>IF('ORDENES'!$A1186="","",IF('ORDENES'!$Y1186="","-",'ORDENES'!$Y1186))</f>
        <v/>
      </c>
      <c r="H1208" s="5">
        <f>IF('ORDENES'!$A1186="","",IF('ORDENES'!$AG1186="","-",'ORDENES'!$AG1186))</f>
        <v/>
      </c>
      <c r="I1208" s="5">
        <f>IF('ORDENES'!$A1186="","",IF('ORDENES'!$AT1186="","-",'ORDENES'!$AT1186))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20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IF('ORDENES'!$A1186="","",'ORDENES'!$AF1186)</f>
        <v/>
      </c>
    </row>
    <row r="1209">
      <c r="A1209" s="5">
        <f>IF('ORDENES'!$A1187="","",IF('ORDENES'!$O1187="","-",'ORDENES'!$O1187))</f>
        <v/>
      </c>
      <c r="B1209" s="5">
        <f>IF('ORDENES'!$A1187="","",IF('ORDENES'!$S1187="","-",'ORDENES'!$S1187))</f>
        <v/>
      </c>
      <c r="C1209" s="5">
        <f>IF('ORDENES'!$A1187="","",IF('ORDENES'!$AH1187="","-",'ORDENES'!$AH1187))</f>
        <v/>
      </c>
      <c r="D1209" s="5">
        <f>IF('ORDENES'!$A1187="","",IF('ORDENES'!$Z1187="","-",'ORDENES'!$Z1187))</f>
        <v/>
      </c>
      <c r="E1209" s="5">
        <f>IF('ORDENES'!$A1187="","",IF('ORDENES'!$X1187="","-",'ORDENES'!$X1187))</f>
        <v/>
      </c>
      <c r="F1209" s="5">
        <f>IF('ORDENES'!$A1187="","",IF('ORDENES'!$AA1187="","-",'ORDENES'!$AA1187))</f>
        <v/>
      </c>
      <c r="G1209" s="5">
        <f>IF('ORDENES'!$A1187="","",IF('ORDENES'!$Y1187="","-",'ORDENES'!$Y1187))</f>
        <v/>
      </c>
      <c r="H1209" s="5">
        <f>IF('ORDENES'!$A1187="","",IF('ORDENES'!$AG1187="","-",'ORDENES'!$AG1187))</f>
        <v/>
      </c>
      <c r="I1209" s="5">
        <f>IF('ORDENES'!$A1187="","",IF('ORDENES'!$AT1187="","-",'ORDENES'!$AT1187))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20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IF('ORDENES'!$A1187="","",'ORDENES'!$AF1187)</f>
        <v/>
      </c>
    </row>
    <row r="1210">
      <c r="A1210" s="5">
        <f>IF('ORDENES'!$A1188="","",IF('ORDENES'!$O1188="","-",'ORDENES'!$O1188))</f>
        <v/>
      </c>
      <c r="B1210" s="5">
        <f>IF('ORDENES'!$A1188="","",IF('ORDENES'!$S1188="","-",'ORDENES'!$S1188))</f>
        <v/>
      </c>
      <c r="C1210" s="5">
        <f>IF('ORDENES'!$A1188="","",IF('ORDENES'!$AH1188="","-",'ORDENES'!$AH1188))</f>
        <v/>
      </c>
      <c r="D1210" s="5">
        <f>IF('ORDENES'!$A1188="","",IF('ORDENES'!$Z1188="","-",'ORDENES'!$Z1188))</f>
        <v/>
      </c>
      <c r="E1210" s="5">
        <f>IF('ORDENES'!$A1188="","",IF('ORDENES'!$X1188="","-",'ORDENES'!$X1188))</f>
        <v/>
      </c>
      <c r="F1210" s="5">
        <f>IF('ORDENES'!$A1188="","",IF('ORDENES'!$AA1188="","-",'ORDENES'!$AA1188))</f>
        <v/>
      </c>
      <c r="G1210" s="5">
        <f>IF('ORDENES'!$A1188="","",IF('ORDENES'!$Y1188="","-",'ORDENES'!$Y1188))</f>
        <v/>
      </c>
      <c r="H1210" s="5">
        <f>IF('ORDENES'!$A1188="","",IF('ORDENES'!$AG1188="","-",'ORDENES'!$AG1188))</f>
        <v/>
      </c>
      <c r="I1210" s="5">
        <f>IF('ORDENES'!$A1188="","",IF('ORDENES'!$AT1188="","-",'ORDENES'!$AT1188))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20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IF('ORDENES'!$A1188="","",'ORDENES'!$AF1188)</f>
        <v/>
      </c>
    </row>
    <row r="1211">
      <c r="A1211" s="5">
        <f>IF('ORDENES'!$A1189="","",IF('ORDENES'!$O1189="","-",'ORDENES'!$O1189))</f>
        <v/>
      </c>
      <c r="B1211" s="5">
        <f>IF('ORDENES'!$A1189="","",IF('ORDENES'!$S1189="","-",'ORDENES'!$S1189))</f>
        <v/>
      </c>
      <c r="C1211" s="5">
        <f>IF('ORDENES'!$A1189="","",IF('ORDENES'!$AH1189="","-",'ORDENES'!$AH1189))</f>
        <v/>
      </c>
      <c r="D1211" s="5">
        <f>IF('ORDENES'!$A1189="","",IF('ORDENES'!$Z1189="","-",'ORDENES'!$Z1189))</f>
        <v/>
      </c>
      <c r="E1211" s="5">
        <f>IF('ORDENES'!$A1189="","",IF('ORDENES'!$X1189="","-",'ORDENES'!$X1189))</f>
        <v/>
      </c>
      <c r="F1211" s="5">
        <f>IF('ORDENES'!$A1189="","",IF('ORDENES'!$AA1189="","-",'ORDENES'!$AA1189))</f>
        <v/>
      </c>
      <c r="G1211" s="5">
        <f>IF('ORDENES'!$A1189="","",IF('ORDENES'!$Y1189="","-",'ORDENES'!$Y1189))</f>
        <v/>
      </c>
      <c r="H1211" s="5">
        <f>IF('ORDENES'!$A1189="","",IF('ORDENES'!$AG1189="","-",'ORDENES'!$AG1189))</f>
        <v/>
      </c>
      <c r="I1211" s="5">
        <f>IF('ORDENES'!$A1189="","",IF('ORDENES'!$AT1189="","-",'ORDENES'!$AT1189))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20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IF('ORDENES'!$A1189="","",'ORDENES'!$AF1189)</f>
        <v/>
      </c>
    </row>
    <row r="1212">
      <c r="A1212" s="5">
        <f>IF('ORDENES'!$A1190="","",IF('ORDENES'!$O1190="","-",'ORDENES'!$O1190))</f>
        <v/>
      </c>
      <c r="B1212" s="5">
        <f>IF('ORDENES'!$A1190="","",IF('ORDENES'!$S1190="","-",'ORDENES'!$S1190))</f>
        <v/>
      </c>
      <c r="C1212" s="5">
        <f>IF('ORDENES'!$A1190="","",IF('ORDENES'!$AH1190="","-",'ORDENES'!$AH1190))</f>
        <v/>
      </c>
      <c r="D1212" s="5">
        <f>IF('ORDENES'!$A1190="","",IF('ORDENES'!$Z1190="","-",'ORDENES'!$Z1190))</f>
        <v/>
      </c>
      <c r="E1212" s="5">
        <f>IF('ORDENES'!$A1190="","",IF('ORDENES'!$X1190="","-",'ORDENES'!$X1190))</f>
        <v/>
      </c>
      <c r="F1212" s="5">
        <f>IF('ORDENES'!$A1190="","",IF('ORDENES'!$AA1190="","-",'ORDENES'!$AA1190))</f>
        <v/>
      </c>
      <c r="G1212" s="5">
        <f>IF('ORDENES'!$A1190="","",IF('ORDENES'!$Y1190="","-",'ORDENES'!$Y1190))</f>
        <v/>
      </c>
      <c r="H1212" s="5">
        <f>IF('ORDENES'!$A1190="","",IF('ORDENES'!$AG1190="","-",'ORDENES'!$AG1190))</f>
        <v/>
      </c>
      <c r="I1212" s="5">
        <f>IF('ORDENES'!$A1190="","",IF('ORDENES'!$AT1190="","-",'ORDENES'!$AT1190))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20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IF('ORDENES'!$A1190="","",'ORDENES'!$AF1190)</f>
        <v/>
      </c>
    </row>
    <row r="1213">
      <c r="A1213" s="5">
        <f>IF('ORDENES'!$A1191="","",IF('ORDENES'!$O1191="","-",'ORDENES'!$O1191))</f>
        <v/>
      </c>
      <c r="B1213" s="5">
        <f>IF('ORDENES'!$A1191="","",IF('ORDENES'!$S1191="","-",'ORDENES'!$S1191))</f>
        <v/>
      </c>
      <c r="C1213" s="5">
        <f>IF('ORDENES'!$A1191="","",IF('ORDENES'!$AH1191="","-",'ORDENES'!$AH1191))</f>
        <v/>
      </c>
      <c r="D1213" s="5">
        <f>IF('ORDENES'!$A1191="","",IF('ORDENES'!$Z1191="","-",'ORDENES'!$Z1191))</f>
        <v/>
      </c>
      <c r="E1213" s="5">
        <f>IF('ORDENES'!$A1191="","",IF('ORDENES'!$X1191="","-",'ORDENES'!$X1191))</f>
        <v/>
      </c>
      <c r="F1213" s="5">
        <f>IF('ORDENES'!$A1191="","",IF('ORDENES'!$AA1191="","-",'ORDENES'!$AA1191))</f>
        <v/>
      </c>
      <c r="G1213" s="5">
        <f>IF('ORDENES'!$A1191="","",IF('ORDENES'!$Y1191="","-",'ORDENES'!$Y1191))</f>
        <v/>
      </c>
      <c r="H1213" s="5">
        <f>IF('ORDENES'!$A1191="","",IF('ORDENES'!$AG1191="","-",'ORDENES'!$AG1191))</f>
        <v/>
      </c>
      <c r="I1213" s="5">
        <f>IF('ORDENES'!$A1191="","",IF('ORDENES'!$AT1191="","-",'ORDENES'!$AT1191))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20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IF('ORDENES'!$A1191="","",'ORDENES'!$AF1191)</f>
        <v/>
      </c>
    </row>
    <row r="1214">
      <c r="A1214" s="5">
        <f>IF('ORDENES'!$A1192="","",IF('ORDENES'!$O1192="","-",'ORDENES'!$O1192))</f>
        <v/>
      </c>
      <c r="B1214" s="5">
        <f>IF('ORDENES'!$A1192="","",IF('ORDENES'!$S1192="","-",'ORDENES'!$S1192))</f>
        <v/>
      </c>
      <c r="C1214" s="5">
        <f>IF('ORDENES'!$A1192="","",IF('ORDENES'!$AH1192="","-",'ORDENES'!$AH1192))</f>
        <v/>
      </c>
      <c r="D1214" s="5">
        <f>IF('ORDENES'!$A1192="","",IF('ORDENES'!$Z1192="","-",'ORDENES'!$Z1192))</f>
        <v/>
      </c>
      <c r="E1214" s="5">
        <f>IF('ORDENES'!$A1192="","",IF('ORDENES'!$X1192="","-",'ORDENES'!$X1192))</f>
        <v/>
      </c>
      <c r="F1214" s="5">
        <f>IF('ORDENES'!$A1192="","",IF('ORDENES'!$AA1192="","-",'ORDENES'!$AA1192))</f>
        <v/>
      </c>
      <c r="G1214" s="5">
        <f>IF('ORDENES'!$A1192="","",IF('ORDENES'!$Y1192="","-",'ORDENES'!$Y1192))</f>
        <v/>
      </c>
      <c r="H1214" s="5">
        <f>IF('ORDENES'!$A1192="","",IF('ORDENES'!$AG1192="","-",'ORDENES'!$AG1192))</f>
        <v/>
      </c>
      <c r="I1214" s="5">
        <f>IF('ORDENES'!$A1192="","",IF('ORDENES'!$AT1192="","-",'ORDENES'!$AT1192))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20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IF('ORDENES'!$A1192="","",'ORDENES'!$AF1192)</f>
        <v/>
      </c>
    </row>
    <row r="1215">
      <c r="A1215" s="5">
        <f>IF('ORDENES'!$A1193="","",IF('ORDENES'!$O1193="","-",'ORDENES'!$O1193))</f>
        <v/>
      </c>
      <c r="B1215" s="5">
        <f>IF('ORDENES'!$A1193="","",IF('ORDENES'!$S1193="","-",'ORDENES'!$S1193))</f>
        <v/>
      </c>
      <c r="C1215" s="5">
        <f>IF('ORDENES'!$A1193="","",IF('ORDENES'!$AH1193="","-",'ORDENES'!$AH1193))</f>
        <v/>
      </c>
      <c r="D1215" s="5">
        <f>IF('ORDENES'!$A1193="","",IF('ORDENES'!$Z1193="","-",'ORDENES'!$Z1193))</f>
        <v/>
      </c>
      <c r="E1215" s="5">
        <f>IF('ORDENES'!$A1193="","",IF('ORDENES'!$X1193="","-",'ORDENES'!$X1193))</f>
        <v/>
      </c>
      <c r="F1215" s="5">
        <f>IF('ORDENES'!$A1193="","",IF('ORDENES'!$AA1193="","-",'ORDENES'!$AA1193))</f>
        <v/>
      </c>
      <c r="G1215" s="5">
        <f>IF('ORDENES'!$A1193="","",IF('ORDENES'!$Y1193="","-",'ORDENES'!$Y1193))</f>
        <v/>
      </c>
      <c r="H1215" s="5">
        <f>IF('ORDENES'!$A1193="","",IF('ORDENES'!$AG1193="","-",'ORDENES'!$AG1193))</f>
        <v/>
      </c>
      <c r="I1215" s="5">
        <f>IF('ORDENES'!$A1193="","",IF('ORDENES'!$AT1193="","-",'ORDENES'!$AT1193))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20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IF('ORDENES'!$A1193="","",'ORDENES'!$AF1193)</f>
        <v/>
      </c>
    </row>
    <row r="1216">
      <c r="A1216" s="5">
        <f>IF('ORDENES'!$A1194="","",IF('ORDENES'!$O1194="","-",'ORDENES'!$O1194))</f>
        <v/>
      </c>
      <c r="B1216" s="5">
        <f>IF('ORDENES'!$A1194="","",IF('ORDENES'!$S1194="","-",'ORDENES'!$S1194))</f>
        <v/>
      </c>
      <c r="C1216" s="5">
        <f>IF('ORDENES'!$A1194="","",IF('ORDENES'!$AH1194="","-",'ORDENES'!$AH1194))</f>
        <v/>
      </c>
      <c r="D1216" s="5">
        <f>IF('ORDENES'!$A1194="","",IF('ORDENES'!$Z1194="","-",'ORDENES'!$Z1194))</f>
        <v/>
      </c>
      <c r="E1216" s="5">
        <f>IF('ORDENES'!$A1194="","",IF('ORDENES'!$X1194="","-",'ORDENES'!$X1194))</f>
        <v/>
      </c>
      <c r="F1216" s="5">
        <f>IF('ORDENES'!$A1194="","",IF('ORDENES'!$AA1194="","-",'ORDENES'!$AA1194))</f>
        <v/>
      </c>
      <c r="G1216" s="5">
        <f>IF('ORDENES'!$A1194="","",IF('ORDENES'!$Y1194="","-",'ORDENES'!$Y1194))</f>
        <v/>
      </c>
      <c r="H1216" s="5">
        <f>IF('ORDENES'!$A1194="","",IF('ORDENES'!$AG1194="","-",'ORDENES'!$AG1194))</f>
        <v/>
      </c>
      <c r="I1216" s="5">
        <f>IF('ORDENES'!$A1194="","",IF('ORDENES'!$AT1194="","-",'ORDENES'!$AT1194))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20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IF('ORDENES'!$A1194="","",'ORDENES'!$AF1194)</f>
        <v/>
      </c>
    </row>
    <row r="1217">
      <c r="A1217" s="5">
        <f>IF('ORDENES'!$A1195="","",IF('ORDENES'!$O1195="","-",'ORDENES'!$O1195))</f>
        <v/>
      </c>
      <c r="B1217" s="5">
        <f>IF('ORDENES'!$A1195="","",IF('ORDENES'!$S1195="","-",'ORDENES'!$S1195))</f>
        <v/>
      </c>
      <c r="C1217" s="5">
        <f>IF('ORDENES'!$A1195="","",IF('ORDENES'!$AH1195="","-",'ORDENES'!$AH1195))</f>
        <v/>
      </c>
      <c r="D1217" s="5">
        <f>IF('ORDENES'!$A1195="","",IF('ORDENES'!$Z1195="","-",'ORDENES'!$Z1195))</f>
        <v/>
      </c>
      <c r="E1217" s="5">
        <f>IF('ORDENES'!$A1195="","",IF('ORDENES'!$X1195="","-",'ORDENES'!$X1195))</f>
        <v/>
      </c>
      <c r="F1217" s="5">
        <f>IF('ORDENES'!$A1195="","",IF('ORDENES'!$AA1195="","-",'ORDENES'!$AA1195))</f>
        <v/>
      </c>
      <c r="G1217" s="5">
        <f>IF('ORDENES'!$A1195="","",IF('ORDENES'!$Y1195="","-",'ORDENES'!$Y1195))</f>
        <v/>
      </c>
      <c r="H1217" s="5">
        <f>IF('ORDENES'!$A1195="","",IF('ORDENES'!$AG1195="","-",'ORDENES'!$AG1195))</f>
        <v/>
      </c>
      <c r="I1217" s="5">
        <f>IF('ORDENES'!$A1195="","",IF('ORDENES'!$AT1195="","-",'ORDENES'!$AT1195))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20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IF('ORDENES'!$A1195="","",'ORDENES'!$AF1195)</f>
        <v/>
      </c>
    </row>
    <row r="1218">
      <c r="A1218" s="5">
        <f>IF('ORDENES'!$A1196="","",IF('ORDENES'!$O1196="","-",'ORDENES'!$O1196))</f>
        <v/>
      </c>
      <c r="B1218" s="5">
        <f>IF('ORDENES'!$A1196="","",IF('ORDENES'!$S1196="","-",'ORDENES'!$S1196))</f>
        <v/>
      </c>
      <c r="C1218" s="5">
        <f>IF('ORDENES'!$A1196="","",IF('ORDENES'!$AH1196="","-",'ORDENES'!$AH1196))</f>
        <v/>
      </c>
      <c r="D1218" s="5">
        <f>IF('ORDENES'!$A1196="","",IF('ORDENES'!$Z1196="","-",'ORDENES'!$Z1196))</f>
        <v/>
      </c>
      <c r="E1218" s="5">
        <f>IF('ORDENES'!$A1196="","",IF('ORDENES'!$X1196="","-",'ORDENES'!$X1196))</f>
        <v/>
      </c>
      <c r="F1218" s="5">
        <f>IF('ORDENES'!$A1196="","",IF('ORDENES'!$AA1196="","-",'ORDENES'!$AA1196))</f>
        <v/>
      </c>
      <c r="G1218" s="5">
        <f>IF('ORDENES'!$A1196="","",IF('ORDENES'!$Y1196="","-",'ORDENES'!$Y1196))</f>
        <v/>
      </c>
      <c r="H1218" s="5">
        <f>IF('ORDENES'!$A1196="","",IF('ORDENES'!$AG1196="","-",'ORDENES'!$AG1196))</f>
        <v/>
      </c>
      <c r="I1218" s="5">
        <f>IF('ORDENES'!$A1196="","",IF('ORDENES'!$AT1196="","-",'ORDENES'!$AT1196))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20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IF('ORDENES'!$A1196="","",'ORDENES'!$AF1196)</f>
        <v/>
      </c>
    </row>
    <row r="1219">
      <c r="A1219" s="5">
        <f>IF('ORDENES'!$A1197="","",IF('ORDENES'!$O1197="","-",'ORDENES'!$O1197))</f>
        <v/>
      </c>
      <c r="B1219" s="5">
        <f>IF('ORDENES'!$A1197="","",IF('ORDENES'!$S1197="","-",'ORDENES'!$S1197))</f>
        <v/>
      </c>
      <c r="C1219" s="5">
        <f>IF('ORDENES'!$A1197="","",IF('ORDENES'!$AH1197="","-",'ORDENES'!$AH1197))</f>
        <v/>
      </c>
      <c r="D1219" s="5">
        <f>IF('ORDENES'!$A1197="","",IF('ORDENES'!$Z1197="","-",'ORDENES'!$Z1197))</f>
        <v/>
      </c>
      <c r="E1219" s="5">
        <f>IF('ORDENES'!$A1197="","",IF('ORDENES'!$X1197="","-",'ORDENES'!$X1197))</f>
        <v/>
      </c>
      <c r="F1219" s="5">
        <f>IF('ORDENES'!$A1197="","",IF('ORDENES'!$AA1197="","-",'ORDENES'!$AA1197))</f>
        <v/>
      </c>
      <c r="G1219" s="5">
        <f>IF('ORDENES'!$A1197="","",IF('ORDENES'!$Y1197="","-",'ORDENES'!$Y1197))</f>
        <v/>
      </c>
      <c r="H1219" s="5">
        <f>IF('ORDENES'!$A1197="","",IF('ORDENES'!$AG1197="","-",'ORDENES'!$AG1197))</f>
        <v/>
      </c>
      <c r="I1219" s="5">
        <f>IF('ORDENES'!$A1197="","",IF('ORDENES'!$AT1197="","-",'ORDENES'!$AT1197))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20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IF('ORDENES'!$A1197="","",'ORDENES'!$AF1197)</f>
        <v/>
      </c>
    </row>
    <row r="1220">
      <c r="A1220" s="5">
        <f>IF('ORDENES'!$A1198="","",IF('ORDENES'!$O1198="","-",'ORDENES'!$O1198))</f>
        <v/>
      </c>
      <c r="B1220" s="5">
        <f>IF('ORDENES'!$A1198="","",IF('ORDENES'!$S1198="","-",'ORDENES'!$S1198))</f>
        <v/>
      </c>
      <c r="C1220" s="5">
        <f>IF('ORDENES'!$A1198="","",IF('ORDENES'!$AH1198="","-",'ORDENES'!$AH1198))</f>
        <v/>
      </c>
      <c r="D1220" s="5">
        <f>IF('ORDENES'!$A1198="","",IF('ORDENES'!$Z1198="","-",'ORDENES'!$Z1198))</f>
        <v/>
      </c>
      <c r="E1220" s="5">
        <f>IF('ORDENES'!$A1198="","",IF('ORDENES'!$X1198="","-",'ORDENES'!$X1198))</f>
        <v/>
      </c>
      <c r="F1220" s="5">
        <f>IF('ORDENES'!$A1198="","",IF('ORDENES'!$AA1198="","-",'ORDENES'!$AA1198))</f>
        <v/>
      </c>
      <c r="G1220" s="5">
        <f>IF('ORDENES'!$A1198="","",IF('ORDENES'!$Y1198="","-",'ORDENES'!$Y1198))</f>
        <v/>
      </c>
      <c r="H1220" s="5">
        <f>IF('ORDENES'!$A1198="","",IF('ORDENES'!$AG1198="","-",'ORDENES'!$AG1198))</f>
        <v/>
      </c>
      <c r="I1220" s="5">
        <f>IF('ORDENES'!$A1198="","",IF('ORDENES'!$AT1198="","-",'ORDENES'!$AT1198))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20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IF('ORDENES'!$A1198="","",'ORDENES'!$AF1198)</f>
        <v/>
      </c>
    </row>
    <row r="1221">
      <c r="A1221" s="5">
        <f>IF('ORDENES'!$A1199="","",IF('ORDENES'!$O1199="","-",'ORDENES'!$O1199))</f>
        <v/>
      </c>
      <c r="B1221" s="5">
        <f>IF('ORDENES'!$A1199="","",IF('ORDENES'!$S1199="","-",'ORDENES'!$S1199))</f>
        <v/>
      </c>
      <c r="C1221" s="5">
        <f>IF('ORDENES'!$A1199="","",IF('ORDENES'!$AH1199="","-",'ORDENES'!$AH1199))</f>
        <v/>
      </c>
      <c r="D1221" s="5">
        <f>IF('ORDENES'!$A1199="","",IF('ORDENES'!$Z1199="","-",'ORDENES'!$Z1199))</f>
        <v/>
      </c>
      <c r="E1221" s="5">
        <f>IF('ORDENES'!$A1199="","",IF('ORDENES'!$X1199="","-",'ORDENES'!$X1199))</f>
        <v/>
      </c>
      <c r="F1221" s="5">
        <f>IF('ORDENES'!$A1199="","",IF('ORDENES'!$AA1199="","-",'ORDENES'!$AA1199))</f>
        <v/>
      </c>
      <c r="G1221" s="5">
        <f>IF('ORDENES'!$A1199="","",IF('ORDENES'!$Y1199="","-",'ORDENES'!$Y1199))</f>
        <v/>
      </c>
      <c r="H1221" s="5">
        <f>IF('ORDENES'!$A1199="","",IF('ORDENES'!$AG1199="","-",'ORDENES'!$AG1199))</f>
        <v/>
      </c>
      <c r="I1221" s="5">
        <f>IF('ORDENES'!$A1199="","",IF('ORDENES'!$AT1199="","-",'ORDENES'!$AT1199))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20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IF('ORDENES'!$A1199="","",'ORDENES'!$AF1199)</f>
        <v/>
      </c>
    </row>
    <row r="1222">
      <c r="A1222" s="5">
        <f>IF('ORDENES'!$A1200="","",IF('ORDENES'!$O1200="","-",'ORDENES'!$O1200))</f>
        <v/>
      </c>
      <c r="B1222" s="5">
        <f>IF('ORDENES'!$A1200="","",IF('ORDENES'!$S1200="","-",'ORDENES'!$S1200))</f>
        <v/>
      </c>
      <c r="C1222" s="5">
        <f>IF('ORDENES'!$A1200="","",IF('ORDENES'!$AH1200="","-",'ORDENES'!$AH1200))</f>
        <v/>
      </c>
      <c r="D1222" s="5">
        <f>IF('ORDENES'!$A1200="","",IF('ORDENES'!$Z1200="","-",'ORDENES'!$Z1200))</f>
        <v/>
      </c>
      <c r="E1222" s="5">
        <f>IF('ORDENES'!$A1200="","",IF('ORDENES'!$X1200="","-",'ORDENES'!$X1200))</f>
        <v/>
      </c>
      <c r="F1222" s="5">
        <f>IF('ORDENES'!$A1200="","",IF('ORDENES'!$AA1200="","-",'ORDENES'!$AA1200))</f>
        <v/>
      </c>
      <c r="G1222" s="5">
        <f>IF('ORDENES'!$A1200="","",IF('ORDENES'!$Y1200="","-",'ORDENES'!$Y1200))</f>
        <v/>
      </c>
      <c r="H1222" s="5">
        <f>IF('ORDENES'!$A1200="","",IF('ORDENES'!$AG1200="","-",'ORDENES'!$AG1200))</f>
        <v/>
      </c>
      <c r="I1222" s="5">
        <f>IF('ORDENES'!$A1200="","",IF('ORDENES'!$AT1200="","-",'ORDENES'!$AT1200))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20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IF('ORDENES'!$A1200="","",'ORDENES'!$AF1200)</f>
        <v/>
      </c>
    </row>
    <row r="1223">
      <c r="A1223" s="5">
        <f>IF('ORDENES'!$A1201="","",IF('ORDENES'!$O1201="","-",'ORDENES'!$O1201))</f>
        <v/>
      </c>
      <c r="B1223" s="5">
        <f>IF('ORDENES'!$A1201="","",IF('ORDENES'!$S1201="","-",'ORDENES'!$S1201))</f>
        <v/>
      </c>
      <c r="C1223" s="5">
        <f>IF('ORDENES'!$A1201="","",IF('ORDENES'!$AH1201="","-",'ORDENES'!$AH1201))</f>
        <v/>
      </c>
      <c r="D1223" s="5">
        <f>IF('ORDENES'!$A1201="","",IF('ORDENES'!$Z1201="","-",'ORDENES'!$Z1201))</f>
        <v/>
      </c>
      <c r="E1223" s="5">
        <f>IF('ORDENES'!$A1201="","",IF('ORDENES'!$X1201="","-",'ORDENES'!$X1201))</f>
        <v/>
      </c>
      <c r="F1223" s="5">
        <f>IF('ORDENES'!$A1201="","",IF('ORDENES'!$AA1201="","-",'ORDENES'!$AA1201))</f>
        <v/>
      </c>
      <c r="G1223" s="5">
        <f>IF('ORDENES'!$A1201="","",IF('ORDENES'!$Y1201="","-",'ORDENES'!$Y1201))</f>
        <v/>
      </c>
      <c r="H1223" s="5">
        <f>IF('ORDENES'!$A1201="","",IF('ORDENES'!$AG1201="","-",'ORDENES'!$AG1201))</f>
        <v/>
      </c>
      <c r="I1223" s="5">
        <f>IF('ORDENES'!$A1201="","",IF('ORDENES'!$AT1201="","-",'ORDENES'!$AT1201))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20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IF('ORDENES'!$A1201="","",'ORDENES'!$AF1201)</f>
        <v/>
      </c>
    </row>
    <row r="1224">
      <c r="A1224" s="5">
        <f>IF('ORDENES'!$A1202="","",IF('ORDENES'!$O1202="","-",'ORDENES'!$O1202))</f>
        <v/>
      </c>
      <c r="B1224" s="5">
        <f>IF('ORDENES'!$A1202="","",IF('ORDENES'!$S1202="","-",'ORDENES'!$S1202))</f>
        <v/>
      </c>
      <c r="C1224" s="5">
        <f>IF('ORDENES'!$A1202="","",IF('ORDENES'!$AH1202="","-",'ORDENES'!$AH1202))</f>
        <v/>
      </c>
      <c r="D1224" s="5">
        <f>IF('ORDENES'!$A1202="","",IF('ORDENES'!$Z1202="","-",'ORDENES'!$Z1202))</f>
        <v/>
      </c>
      <c r="E1224" s="5">
        <f>IF('ORDENES'!$A1202="","",IF('ORDENES'!$X1202="","-",'ORDENES'!$X1202))</f>
        <v/>
      </c>
      <c r="F1224" s="5">
        <f>IF('ORDENES'!$A1202="","",IF('ORDENES'!$AA1202="","-",'ORDENES'!$AA1202))</f>
        <v/>
      </c>
      <c r="G1224" s="5">
        <f>IF('ORDENES'!$A1202="","",IF('ORDENES'!$Y1202="","-",'ORDENES'!$Y1202))</f>
        <v/>
      </c>
      <c r="H1224" s="5">
        <f>IF('ORDENES'!$A1202="","",IF('ORDENES'!$AG1202="","-",'ORDENES'!$AG1202))</f>
        <v/>
      </c>
      <c r="I1224" s="5">
        <f>IF('ORDENES'!$A1202="","",IF('ORDENES'!$AT1202="","-",'ORDENES'!$AT1202))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20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IF('ORDENES'!$A1202="","",'ORDENES'!$AF1202)</f>
        <v/>
      </c>
    </row>
    <row r="1225">
      <c r="A1225" s="5">
        <f>IF('ORDENES'!$A1203="","",IF('ORDENES'!$O1203="","-",'ORDENES'!$O1203))</f>
        <v/>
      </c>
      <c r="B1225" s="5">
        <f>IF('ORDENES'!$A1203="","",IF('ORDENES'!$S1203="","-",'ORDENES'!$S1203))</f>
        <v/>
      </c>
      <c r="C1225" s="5">
        <f>IF('ORDENES'!$A1203="","",IF('ORDENES'!$AH1203="","-",'ORDENES'!$AH1203))</f>
        <v/>
      </c>
      <c r="D1225" s="5">
        <f>IF('ORDENES'!$A1203="","",IF('ORDENES'!$Z1203="","-",'ORDENES'!$Z1203))</f>
        <v/>
      </c>
      <c r="E1225" s="5">
        <f>IF('ORDENES'!$A1203="","",IF('ORDENES'!$X1203="","-",'ORDENES'!$X1203))</f>
        <v/>
      </c>
      <c r="F1225" s="5">
        <f>IF('ORDENES'!$A1203="","",IF('ORDENES'!$AA1203="","-",'ORDENES'!$AA1203))</f>
        <v/>
      </c>
      <c r="G1225" s="5">
        <f>IF('ORDENES'!$A1203="","",IF('ORDENES'!$Y1203="","-",'ORDENES'!$Y1203))</f>
        <v/>
      </c>
      <c r="H1225" s="5">
        <f>IF('ORDENES'!$A1203="","",IF('ORDENES'!$AG1203="","-",'ORDENES'!$AG1203))</f>
        <v/>
      </c>
      <c r="I1225" s="5">
        <f>IF('ORDENES'!$A1203="","",IF('ORDENES'!$AT1203="","-",'ORDENES'!$AT1203))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20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IF('ORDENES'!$A1203="","",'ORDENES'!$AF1203)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R140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3" t="inlineStr">
        <is>
          <t>POR SEMANA (serie derivada de los datos, hasta 60)</t>
        </is>
      </c>
    </row>
    <row r="4">
      <c r="A4" s="15" t="inlineStr">
        <is>
          <t>valor</t>
        </is>
      </c>
      <c r="B4" s="15" t="inlineStr">
        <is>
          <t>total_ot</t>
        </is>
      </c>
      <c r="C4" s="15" t="inlineStr">
        <is>
          <t>cerradas</t>
        </is>
      </c>
      <c r="D4" s="15" t="inlineStr">
        <is>
          <t>adherencia_conteo</t>
        </is>
      </c>
      <c r="E4" s="15" t="inlineStr">
        <is>
          <t>hh_total</t>
        </is>
      </c>
      <c r="F4" s="15" t="inlineStr">
        <is>
          <t>hh_cerradas</t>
        </is>
      </c>
      <c r="G4" s="15" t="inlineStr">
        <is>
          <t>adherencia_horas</t>
        </is>
      </c>
      <c r="H4" s="15" t="inlineStr">
        <is>
          <t>meta</t>
        </is>
      </c>
    </row>
    <row r="5">
      <c r="A5" s="5">
        <f>'PERFIL_HH'!$O$4</f>
        <v/>
      </c>
      <c r="B5" s="5">
        <f>COUNTIFS(tblOrdenes[semana],$A5,tblOrdenes[es_habil],"sí")</f>
        <v/>
      </c>
      <c r="C5" s="5">
        <f>COUNTIFS(tblOrdenes[semana],$A5,tblOrdenes[estado],"Cerrada",tblOrdenes[es_habil],"sí")</f>
        <v/>
      </c>
      <c r="D5" s="16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6">
        <f>IF(E5=0,"",F5/E5)</f>
        <v/>
      </c>
      <c r="H5" s="21">
        <f>p_meta_adherencia</f>
        <v/>
      </c>
    </row>
    <row r="6" hidden="1">
      <c r="A6" s="5">
        <f>'PERFIL_HH'!$O$5</f>
        <v/>
      </c>
      <c r="B6" s="5">
        <f>COUNTIFS(tblOrdenes[semana],$A6,tblOrdenes[es_habil],"sí")</f>
        <v/>
      </c>
      <c r="C6" s="5">
        <f>COUNTIFS(tblOrdenes[semana],$A6,tblOrdenes[estado],"Cerrada",tblOrdenes[es_habil],"sí")</f>
        <v/>
      </c>
      <c r="D6" s="16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6">
        <f>IF(E6=0,"",F6/E6)</f>
        <v/>
      </c>
      <c r="H6" s="21">
        <f>p_meta_adherencia</f>
        <v/>
      </c>
    </row>
    <row r="7">
      <c r="A7" s="5">
        <f>'PERFIL_HH'!$O$6</f>
        <v/>
      </c>
      <c r="B7" s="5">
        <f>COUNTIFS(tblOrdenes[semana],$A7,tblOrdenes[es_habil],"sí")</f>
        <v/>
      </c>
      <c r="C7" s="5">
        <f>COUNTIFS(tblOrdenes[semana],$A7,tblOrdenes[estado],"Cerrada",tblOrdenes[es_habil],"sí")</f>
        <v/>
      </c>
      <c r="D7" s="16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6">
        <f>IF(E7=0,"",F7/E7)</f>
        <v/>
      </c>
      <c r="H7" s="21">
        <f>p_meta_adherencia</f>
        <v/>
      </c>
    </row>
    <row r="8">
      <c r="A8" s="5">
        <f>'PERFIL_HH'!$O$7</f>
        <v/>
      </c>
      <c r="B8" s="5">
        <f>COUNTIFS(tblOrdenes[semana],$A8,tblOrdenes[es_habil],"sí")</f>
        <v/>
      </c>
      <c r="C8" s="5">
        <f>COUNTIFS(tblOrdenes[semana],$A8,tblOrdenes[estado],"Cerrada",tblOrdenes[es_habil],"sí")</f>
        <v/>
      </c>
      <c r="D8" s="16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6">
        <f>IF(E8=0,"",F8/E8)</f>
        <v/>
      </c>
      <c r="H8" s="21">
        <f>p_meta_adherencia</f>
        <v/>
      </c>
    </row>
    <row r="9">
      <c r="A9" s="5">
        <f>'PERFIL_HH'!$O$8</f>
        <v/>
      </c>
      <c r="B9" s="5">
        <f>COUNTIFS(tblOrdenes[semana],$A9,tblOrdenes[es_habil],"sí")</f>
        <v/>
      </c>
      <c r="C9" s="5">
        <f>COUNTIFS(tblOrdenes[semana],$A9,tblOrdenes[estado],"Cerrada",tblOrdenes[es_habil],"sí")</f>
        <v/>
      </c>
      <c r="D9" s="16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6">
        <f>IF(E9=0,"",F9/E9)</f>
        <v/>
      </c>
      <c r="H9" s="21">
        <f>p_meta_adherencia</f>
        <v/>
      </c>
    </row>
    <row r="10">
      <c r="A10" s="5">
        <f>'PERFIL_HH'!$O$9</f>
        <v/>
      </c>
      <c r="B10" s="5">
        <f>COUNTIFS(tblOrdenes[semana],$A10,tblOrdenes[es_habil],"sí")</f>
        <v/>
      </c>
      <c r="C10" s="5">
        <f>COUNTIFS(tblOrdenes[semana],$A10,tblOrdenes[estado],"Cerrada",tblOrdenes[es_habil],"sí")</f>
        <v/>
      </c>
      <c r="D10" s="16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6">
        <f>IF(E10=0,"",F10/E10)</f>
        <v/>
      </c>
      <c r="H10" s="21">
        <f>p_meta_adherencia</f>
        <v/>
      </c>
    </row>
    <row r="11">
      <c r="A11" s="5">
        <f>'PERFIL_HH'!$O$10</f>
        <v/>
      </c>
      <c r="B11" s="5">
        <f>COUNTIFS(tblOrdenes[semana],$A11,tblOrdenes[es_habil],"sí")</f>
        <v/>
      </c>
      <c r="C11" s="5">
        <f>COUNTIFS(tblOrdenes[semana],$A11,tblOrdenes[estado],"Cerrada",tblOrdenes[es_habil],"sí")</f>
        <v/>
      </c>
      <c r="D11" s="16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6">
        <f>IF(E11=0,"",F11/E11)</f>
        <v/>
      </c>
      <c r="H11" s="21">
        <f>p_meta_adherencia</f>
        <v/>
      </c>
    </row>
    <row r="12">
      <c r="A12" s="5">
        <f>'PERFIL_HH'!$O$11</f>
        <v/>
      </c>
      <c r="B12" s="5">
        <f>COUNTIFS(tblOrdenes[semana],$A12,tblOrdenes[es_habil],"sí")</f>
        <v/>
      </c>
      <c r="C12" s="5">
        <f>COUNTIFS(tblOrdenes[semana],$A12,tblOrdenes[estado],"Cerrada",tblOrdenes[es_habil],"sí")</f>
        <v/>
      </c>
      <c r="D12" s="16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6">
        <f>IF(E12=0,"",F12/E12)</f>
        <v/>
      </c>
      <c r="H12" s="21">
        <f>p_meta_adherencia</f>
        <v/>
      </c>
    </row>
    <row r="13">
      <c r="A13" s="5">
        <f>'PERFIL_HH'!$O$12</f>
        <v/>
      </c>
      <c r="B13" s="5">
        <f>COUNTIFS(tblOrdenes[semana],$A13,tblOrdenes[es_habil],"sí")</f>
        <v/>
      </c>
      <c r="C13" s="5">
        <f>COUNTIFS(tblOrdenes[semana],$A13,tblOrdenes[estado],"Cerrada",tblOrdenes[es_habil],"sí")</f>
        <v/>
      </c>
      <c r="D13" s="16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6">
        <f>IF(E13=0,"",F13/E13)</f>
        <v/>
      </c>
      <c r="H13" s="21">
        <f>p_meta_adherencia</f>
        <v/>
      </c>
    </row>
    <row r="14">
      <c r="A14" s="5">
        <f>'PERFIL_HH'!$O$13</f>
        <v/>
      </c>
      <c r="B14" s="5">
        <f>COUNTIFS(tblOrdenes[semana],$A14,tblOrdenes[es_habil],"sí")</f>
        <v/>
      </c>
      <c r="C14" s="5">
        <f>COUNTIFS(tblOrdenes[semana],$A14,tblOrdenes[estado],"Cerrada",tblOrdenes[es_habil],"sí")</f>
        <v/>
      </c>
      <c r="D14" s="16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6">
        <f>IF(E14=0,"",F14/E14)</f>
        <v/>
      </c>
      <c r="H14" s="21">
        <f>p_meta_adherencia</f>
        <v/>
      </c>
    </row>
    <row r="15">
      <c r="A15" s="5">
        <f>'PERFIL_HH'!$O$14</f>
        <v/>
      </c>
      <c r="B15" s="5">
        <f>COUNTIFS(tblOrdenes[semana],$A15,tblOrdenes[es_habil],"sí")</f>
        <v/>
      </c>
      <c r="C15" s="5">
        <f>COUNTIFS(tblOrdenes[semana],$A15,tblOrdenes[estado],"Cerrada",tblOrdenes[es_habil],"sí")</f>
        <v/>
      </c>
      <c r="D15" s="16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6">
        <f>IF(E15=0,"",F15/E15)</f>
        <v/>
      </c>
      <c r="H15" s="21">
        <f>p_meta_adherencia</f>
        <v/>
      </c>
    </row>
    <row r="16">
      <c r="A16" s="5">
        <f>'PERFIL_HH'!$O$15</f>
        <v/>
      </c>
      <c r="B16" s="5">
        <f>COUNTIFS(tblOrdenes[semana],$A16,tblOrdenes[es_habil],"sí")</f>
        <v/>
      </c>
      <c r="C16" s="5">
        <f>COUNTIFS(tblOrdenes[semana],$A16,tblOrdenes[estado],"Cerrada",tblOrdenes[es_habil],"sí")</f>
        <v/>
      </c>
      <c r="D16" s="16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6">
        <f>IF(E16=0,"",F16/E16)</f>
        <v/>
      </c>
      <c r="H16" s="21">
        <f>p_meta_adherencia</f>
        <v/>
      </c>
    </row>
    <row r="17">
      <c r="A17" s="5">
        <f>'PERFIL_HH'!$O$16</f>
        <v/>
      </c>
      <c r="B17" s="5">
        <f>COUNTIFS(tblOrdenes[semana],$A17,tblOrdenes[es_habil],"sí")</f>
        <v/>
      </c>
      <c r="C17" s="5">
        <f>COUNTIFS(tblOrdenes[semana],$A17,tblOrdenes[estado],"Cerrada",tblOrdenes[es_habil],"sí")</f>
        <v/>
      </c>
      <c r="D17" s="16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6">
        <f>IF(E17=0,"",F17/E17)</f>
        <v/>
      </c>
      <c r="H17" s="21">
        <f>p_meta_adherencia</f>
        <v/>
      </c>
    </row>
    <row r="18">
      <c r="A18" s="5">
        <f>'PERFIL_HH'!$O$17</f>
        <v/>
      </c>
      <c r="B18" s="5">
        <f>COUNTIFS(tblOrdenes[semana],$A18,tblOrdenes[es_habil],"sí")</f>
        <v/>
      </c>
      <c r="C18" s="5">
        <f>COUNTIFS(tblOrdenes[semana],$A18,tblOrdenes[estado],"Cerrada",tblOrdenes[es_habil],"sí")</f>
        <v/>
      </c>
      <c r="D18" s="16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6">
        <f>IF(E18=0,"",F18/E18)</f>
        <v/>
      </c>
      <c r="H18" s="21">
        <f>p_meta_adherencia</f>
        <v/>
      </c>
    </row>
    <row r="19">
      <c r="A19" s="5">
        <f>'PERFIL_HH'!$O$18</f>
        <v/>
      </c>
      <c r="B19" s="5">
        <f>COUNTIFS(tblOrdenes[semana],$A19,tblOrdenes[es_habil],"sí")</f>
        <v/>
      </c>
      <c r="C19" s="5">
        <f>COUNTIFS(tblOrdenes[semana],$A19,tblOrdenes[estado],"Cerrada",tblOrdenes[es_habil],"sí")</f>
        <v/>
      </c>
      <c r="D19" s="16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6">
        <f>IF(E19=0,"",F19/E19)</f>
        <v/>
      </c>
      <c r="H19" s="21">
        <f>p_meta_adherencia</f>
        <v/>
      </c>
    </row>
    <row r="20">
      <c r="A20" s="5">
        <f>'PERFIL_HH'!$O$19</f>
        <v/>
      </c>
      <c r="B20" s="5">
        <f>COUNTIFS(tblOrdenes[semana],$A20,tblOrdenes[es_habil],"sí")</f>
        <v/>
      </c>
      <c r="C20" s="5">
        <f>COUNTIFS(tblOrdenes[semana],$A20,tblOrdenes[estado],"Cerrada",tblOrdenes[es_habil],"sí")</f>
        <v/>
      </c>
      <c r="D20" s="16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6">
        <f>IF(E20=0,"",F20/E20)</f>
        <v/>
      </c>
      <c r="H20" s="21">
        <f>p_meta_adherencia</f>
        <v/>
      </c>
    </row>
    <row r="21">
      <c r="A21" s="5">
        <f>'PERFIL_HH'!$O$20</f>
        <v/>
      </c>
      <c r="B21" s="5">
        <f>COUNTIFS(tblOrdenes[semana],$A21,tblOrdenes[es_habil],"sí")</f>
        <v/>
      </c>
      <c r="C21" s="5">
        <f>COUNTIFS(tblOrdenes[semana],$A21,tblOrdenes[estado],"Cerrada",tblOrdenes[es_habil],"sí")</f>
        <v/>
      </c>
      <c r="D21" s="16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6">
        <f>IF(E21=0,"",F21/E21)</f>
        <v/>
      </c>
      <c r="H21" s="21">
        <f>p_meta_adherencia</f>
        <v/>
      </c>
    </row>
    <row r="22">
      <c r="A22" s="5">
        <f>'PERFIL_HH'!$O$21</f>
        <v/>
      </c>
      <c r="B22" s="5">
        <f>COUNTIFS(tblOrdenes[semana],$A22,tblOrdenes[es_habil],"sí")</f>
        <v/>
      </c>
      <c r="C22" s="5">
        <f>COUNTIFS(tblOrdenes[semana],$A22,tblOrdenes[estado],"Cerrada",tblOrdenes[es_habil],"sí")</f>
        <v/>
      </c>
      <c r="D22" s="16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6">
        <f>IF(E22=0,"",F22/E22)</f>
        <v/>
      </c>
      <c r="H22" s="21">
        <f>p_meta_adherencia</f>
        <v/>
      </c>
    </row>
    <row r="23" hidden="1">
      <c r="A23" s="5">
        <f>'PERFIL_HH'!$O$22</f>
        <v/>
      </c>
      <c r="B23" s="5">
        <f>COUNTIFS(tblOrdenes[semana],$A23,tblOrdenes[es_habil],"sí")</f>
        <v/>
      </c>
      <c r="C23" s="5">
        <f>COUNTIFS(tblOrdenes[semana],$A23,tblOrdenes[estado],"Cerrada",tblOrdenes[es_habil],"sí")</f>
        <v/>
      </c>
      <c r="D23" s="16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6">
        <f>IF(E23=0,"",F23/E23)</f>
        <v/>
      </c>
      <c r="H23" s="21">
        <f>p_meta_adherencia</f>
        <v/>
      </c>
    </row>
    <row r="24" hidden="1">
      <c r="A24" s="5">
        <f>'PERFIL_HH'!$O$23</f>
        <v/>
      </c>
      <c r="B24" s="5">
        <f>COUNTIFS(tblOrdenes[semana],$A24,tblOrdenes[es_habil],"sí")</f>
        <v/>
      </c>
      <c r="C24" s="5">
        <f>COUNTIFS(tblOrdenes[semana],$A24,tblOrdenes[estado],"Cerrada",tblOrdenes[es_habil],"sí")</f>
        <v/>
      </c>
      <c r="D24" s="16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6">
        <f>IF(E24=0,"",F24/E24)</f>
        <v/>
      </c>
      <c r="H24" s="21">
        <f>p_meta_adherencia</f>
        <v/>
      </c>
    </row>
    <row r="25" hidden="1">
      <c r="A25" s="5">
        <f>'PERFIL_HH'!$O$24</f>
        <v/>
      </c>
      <c r="B25" s="5">
        <f>COUNTIFS(tblOrdenes[semana],$A25,tblOrdenes[es_habil],"sí")</f>
        <v/>
      </c>
      <c r="C25" s="5">
        <f>COUNTIFS(tblOrdenes[semana],$A25,tblOrdenes[estado],"Cerrada",tblOrdenes[es_habil],"sí")</f>
        <v/>
      </c>
      <c r="D25" s="16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6">
        <f>IF(E25=0,"",F25/E25)</f>
        <v/>
      </c>
      <c r="H25" s="21">
        <f>p_meta_adherencia</f>
        <v/>
      </c>
    </row>
    <row r="26">
      <c r="A26" s="5">
        <f>'PERFIL_HH'!$O$25</f>
        <v/>
      </c>
      <c r="B26" s="5">
        <f>COUNTIFS(tblOrdenes[semana],$A26,tblOrdenes[es_habil],"sí")</f>
        <v/>
      </c>
      <c r="C26" s="5">
        <f>COUNTIFS(tblOrdenes[semana],$A26,tblOrdenes[estado],"Cerrada",tblOrdenes[es_habil],"sí")</f>
        <v/>
      </c>
      <c r="D26" s="16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6">
        <f>IF(E26=0,"",F26/E26)</f>
        <v/>
      </c>
      <c r="H26" s="21">
        <f>p_meta_adherencia</f>
        <v/>
      </c>
    </row>
    <row r="27">
      <c r="A27" s="5">
        <f>'PERFIL_HH'!$O$26</f>
        <v/>
      </c>
      <c r="B27" s="5">
        <f>COUNTIFS(tblOrdenes[semana],$A27,tblOrdenes[es_habil],"sí")</f>
        <v/>
      </c>
      <c r="C27" s="5">
        <f>COUNTIFS(tblOrdenes[semana],$A27,tblOrdenes[estado],"Cerrada",tblOrdenes[es_habil],"sí")</f>
        <v/>
      </c>
      <c r="D27" s="16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6">
        <f>IF(E27=0,"",F27/E27)</f>
        <v/>
      </c>
      <c r="H27" s="21">
        <f>p_meta_adherencia</f>
        <v/>
      </c>
    </row>
    <row r="28">
      <c r="A28" s="5">
        <f>'PERFIL_HH'!$O$27</f>
        <v/>
      </c>
      <c r="B28" s="5">
        <f>COUNTIFS(tblOrdenes[semana],$A28,tblOrdenes[es_habil],"sí")</f>
        <v/>
      </c>
      <c r="C28" s="5">
        <f>COUNTIFS(tblOrdenes[semana],$A28,tblOrdenes[estado],"Cerrada",tblOrdenes[es_habil],"sí")</f>
        <v/>
      </c>
      <c r="D28" s="16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6">
        <f>IF(E28=0,"",F28/E28)</f>
        <v/>
      </c>
      <c r="H28" s="21">
        <f>p_meta_adherencia</f>
        <v/>
      </c>
    </row>
    <row r="29">
      <c r="A29" s="5">
        <f>'PERFIL_HH'!$O$28</f>
        <v/>
      </c>
      <c r="B29" s="5">
        <f>COUNTIFS(tblOrdenes[semana],$A29,tblOrdenes[es_habil],"sí")</f>
        <v/>
      </c>
      <c r="C29" s="5">
        <f>COUNTIFS(tblOrdenes[semana],$A29,tblOrdenes[estado],"Cerrada",tblOrdenes[es_habil],"sí")</f>
        <v/>
      </c>
      <c r="D29" s="16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6">
        <f>IF(E29=0,"",F29/E29)</f>
        <v/>
      </c>
      <c r="H29" s="21">
        <f>p_meta_adherencia</f>
        <v/>
      </c>
    </row>
    <row r="30" hidden="1">
      <c r="A30" s="5">
        <f>'PERFIL_HH'!$O$29</f>
        <v/>
      </c>
      <c r="B30" s="5">
        <f>COUNTIFS(tblOrdenes[semana],$A30,tblOrdenes[es_habil],"sí")</f>
        <v/>
      </c>
      <c r="C30" s="5">
        <f>COUNTIFS(tblOrdenes[semana],$A30,tblOrdenes[estado],"Cerrada",tblOrdenes[es_habil],"sí")</f>
        <v/>
      </c>
      <c r="D30" s="16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6">
        <f>IF(E30=0,"",F30/E30)</f>
        <v/>
      </c>
      <c r="H30" s="21">
        <f>p_meta_adherencia</f>
        <v/>
      </c>
    </row>
    <row r="31" hidden="1">
      <c r="A31" s="5">
        <f>'PERFIL_HH'!$O$30</f>
        <v/>
      </c>
      <c r="B31" s="5">
        <f>COUNTIFS(tblOrdenes[semana],$A31,tblOrdenes[es_habil],"sí")</f>
        <v/>
      </c>
      <c r="C31" s="5">
        <f>COUNTIFS(tblOrdenes[semana],$A31,tblOrdenes[estado],"Cerrada",tblOrdenes[es_habil],"sí")</f>
        <v/>
      </c>
      <c r="D31" s="16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6">
        <f>IF(E31=0,"",F31/E31)</f>
        <v/>
      </c>
      <c r="H31" s="21">
        <f>p_meta_adherencia</f>
        <v/>
      </c>
    </row>
    <row r="32">
      <c r="A32" s="5">
        <f>'PERFIL_HH'!$O$31</f>
        <v/>
      </c>
      <c r="B32" s="5">
        <f>COUNTIFS(tblOrdenes[semana],$A32,tblOrdenes[es_habil],"sí")</f>
        <v/>
      </c>
      <c r="C32" s="5">
        <f>COUNTIFS(tblOrdenes[semana],$A32,tblOrdenes[estado],"Cerrada",tblOrdenes[es_habil],"sí")</f>
        <v/>
      </c>
      <c r="D32" s="16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6">
        <f>IF(E32=0,"",F32/E32)</f>
        <v/>
      </c>
      <c r="H32" s="21">
        <f>p_meta_adherencia</f>
        <v/>
      </c>
    </row>
    <row r="33" hidden="1">
      <c r="A33" s="5">
        <f>'PERFIL_HH'!$O$32</f>
        <v/>
      </c>
      <c r="B33" s="5">
        <f>COUNTIFS(tblOrdenes[semana],$A33,tblOrdenes[es_habil],"sí")</f>
        <v/>
      </c>
      <c r="C33" s="5">
        <f>COUNTIFS(tblOrdenes[semana],$A33,tblOrdenes[estado],"Cerrada",tblOrdenes[es_habil],"sí")</f>
        <v/>
      </c>
      <c r="D33" s="16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6">
        <f>IF(E33=0,"",F33/E33)</f>
        <v/>
      </c>
      <c r="H33" s="21">
        <f>p_meta_adherencia</f>
        <v/>
      </c>
    </row>
    <row r="34" hidden="1">
      <c r="A34" s="5">
        <f>'PERFIL_HH'!$O$33</f>
        <v/>
      </c>
      <c r="B34" s="5">
        <f>COUNTIFS(tblOrdenes[semana],$A34,tblOrdenes[es_habil],"sí")</f>
        <v/>
      </c>
      <c r="C34" s="5">
        <f>COUNTIFS(tblOrdenes[semana],$A34,tblOrdenes[estado],"Cerrada",tblOrdenes[es_habil],"sí")</f>
        <v/>
      </c>
      <c r="D34" s="16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6">
        <f>IF(E34=0,"",F34/E34)</f>
        <v/>
      </c>
      <c r="H34" s="21">
        <f>p_meta_adherencia</f>
        <v/>
      </c>
    </row>
    <row r="35" hidden="1">
      <c r="A35" s="5">
        <f>'PERFIL_HH'!$O$34</f>
        <v/>
      </c>
      <c r="B35" s="5">
        <f>COUNTIFS(tblOrdenes[semana],$A35,tblOrdenes[es_habil],"sí")</f>
        <v/>
      </c>
      <c r="C35" s="5">
        <f>COUNTIFS(tblOrdenes[semana],$A35,tblOrdenes[estado],"Cerrada",tblOrdenes[es_habil],"sí")</f>
        <v/>
      </c>
      <c r="D35" s="16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6">
        <f>IF(E35=0,"",F35/E35)</f>
        <v/>
      </c>
      <c r="H35" s="21">
        <f>p_meta_adherencia</f>
        <v/>
      </c>
    </row>
    <row r="36" hidden="1">
      <c r="A36" s="5">
        <f>'PERFIL_HH'!$O$35</f>
        <v/>
      </c>
      <c r="B36" s="5">
        <f>COUNTIFS(tblOrdenes[semana],$A36,tblOrdenes[es_habil],"sí")</f>
        <v/>
      </c>
      <c r="C36" s="5">
        <f>COUNTIFS(tblOrdenes[semana],$A36,tblOrdenes[estado],"Cerrada",tblOrdenes[es_habil],"sí")</f>
        <v/>
      </c>
      <c r="D36" s="16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6">
        <f>IF(E36=0,"",F36/E36)</f>
        <v/>
      </c>
      <c r="H36" s="21">
        <f>p_meta_adherencia</f>
        <v/>
      </c>
    </row>
    <row r="37" hidden="1">
      <c r="A37" s="5">
        <f>'PERFIL_HH'!$O$36</f>
        <v/>
      </c>
      <c r="B37" s="5">
        <f>COUNTIFS(tblOrdenes[semana],$A37,tblOrdenes[es_habil],"sí")</f>
        <v/>
      </c>
      <c r="C37" s="5">
        <f>COUNTIFS(tblOrdenes[semana],$A37,tblOrdenes[estado],"Cerrada",tblOrdenes[es_habil],"sí")</f>
        <v/>
      </c>
      <c r="D37" s="16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6">
        <f>IF(E37=0,"",F37/E37)</f>
        <v/>
      </c>
      <c r="H37" s="21">
        <f>p_meta_adherencia</f>
        <v/>
      </c>
    </row>
    <row r="38" hidden="1">
      <c r="A38" s="5">
        <f>'PERFIL_HH'!$O$37</f>
        <v/>
      </c>
      <c r="B38" s="5">
        <f>COUNTIFS(tblOrdenes[semana],$A38,tblOrdenes[es_habil],"sí")</f>
        <v/>
      </c>
      <c r="C38" s="5">
        <f>COUNTIFS(tblOrdenes[semana],$A38,tblOrdenes[estado],"Cerrada",tblOrdenes[es_habil],"sí")</f>
        <v/>
      </c>
      <c r="D38" s="16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6">
        <f>IF(E38=0,"",F38/E38)</f>
        <v/>
      </c>
      <c r="H38" s="21">
        <f>p_meta_adherencia</f>
        <v/>
      </c>
    </row>
    <row r="39" hidden="1">
      <c r="A39" s="5">
        <f>'PERFIL_HH'!$O$38</f>
        <v/>
      </c>
      <c r="B39" s="5">
        <f>COUNTIFS(tblOrdenes[semana],$A39,tblOrdenes[es_habil],"sí")</f>
        <v/>
      </c>
      <c r="C39" s="5">
        <f>COUNTIFS(tblOrdenes[semana],$A39,tblOrdenes[estado],"Cerrada",tblOrdenes[es_habil],"sí")</f>
        <v/>
      </c>
      <c r="D39" s="16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6">
        <f>IF(E39=0,"",F39/E39)</f>
        <v/>
      </c>
      <c r="H39" s="21">
        <f>p_meta_adherencia</f>
        <v/>
      </c>
    </row>
    <row r="40" hidden="1">
      <c r="A40" s="5">
        <f>'PERFIL_HH'!$O$39</f>
        <v/>
      </c>
      <c r="B40" s="5">
        <f>COUNTIFS(tblOrdenes[semana],$A40,tblOrdenes[es_habil],"sí")</f>
        <v/>
      </c>
      <c r="C40" s="5">
        <f>COUNTIFS(tblOrdenes[semana],$A40,tblOrdenes[estado],"Cerrada",tblOrdenes[es_habil],"sí")</f>
        <v/>
      </c>
      <c r="D40" s="16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6">
        <f>IF(E40=0,"",F40/E40)</f>
        <v/>
      </c>
      <c r="H40" s="21">
        <f>p_meta_adherencia</f>
        <v/>
      </c>
    </row>
    <row r="41">
      <c r="A41" s="5">
        <f>'PERFIL_HH'!$O$40</f>
        <v/>
      </c>
      <c r="B41" s="5">
        <f>COUNTIFS(tblOrdenes[semana],$A41,tblOrdenes[es_habil],"sí")</f>
        <v/>
      </c>
      <c r="C41" s="5">
        <f>COUNTIFS(tblOrdenes[semana],$A41,tblOrdenes[estado],"Cerrada",tblOrdenes[es_habil],"sí")</f>
        <v/>
      </c>
      <c r="D41" s="16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6">
        <f>IF(E41=0,"",F41/E41)</f>
        <v/>
      </c>
      <c r="H41" s="21">
        <f>p_meta_adherencia</f>
        <v/>
      </c>
    </row>
    <row r="42" hidden="1">
      <c r="A42" s="5">
        <f>'PERFIL_HH'!$O$41</f>
        <v/>
      </c>
      <c r="B42" s="5">
        <f>COUNTIFS(tblOrdenes[semana],$A42,tblOrdenes[es_habil],"sí")</f>
        <v/>
      </c>
      <c r="C42" s="5">
        <f>COUNTIFS(tblOrdenes[semana],$A42,tblOrdenes[estado],"Cerrada",tblOrdenes[es_habil],"sí")</f>
        <v/>
      </c>
      <c r="D42" s="16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6">
        <f>IF(E42=0,"",F42/E42)</f>
        <v/>
      </c>
      <c r="H42" s="21">
        <f>p_meta_adherencia</f>
        <v/>
      </c>
    </row>
    <row r="43" hidden="1">
      <c r="A43" s="5">
        <f>'PERFIL_HH'!$O$42</f>
        <v/>
      </c>
      <c r="B43" s="5">
        <f>COUNTIFS(tblOrdenes[semana],$A43,tblOrdenes[es_habil],"sí")</f>
        <v/>
      </c>
      <c r="C43" s="5">
        <f>COUNTIFS(tblOrdenes[semana],$A43,tblOrdenes[estado],"Cerrada",tblOrdenes[es_habil],"sí")</f>
        <v/>
      </c>
      <c r="D43" s="16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6">
        <f>IF(E43=0,"",F43/E43)</f>
        <v/>
      </c>
      <c r="H43" s="21">
        <f>p_meta_adherencia</f>
        <v/>
      </c>
    </row>
    <row r="44" hidden="1">
      <c r="A44" s="5">
        <f>'PERFIL_HH'!$O$43</f>
        <v/>
      </c>
      <c r="B44" s="5">
        <f>COUNTIFS(tblOrdenes[semana],$A44,tblOrdenes[es_habil],"sí")</f>
        <v/>
      </c>
      <c r="C44" s="5">
        <f>COUNTIFS(tblOrdenes[semana],$A44,tblOrdenes[estado],"Cerrada",tblOrdenes[es_habil],"sí")</f>
        <v/>
      </c>
      <c r="D44" s="16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6">
        <f>IF(E44=0,"",F44/E44)</f>
        <v/>
      </c>
      <c r="H44" s="21">
        <f>p_meta_adherencia</f>
        <v/>
      </c>
    </row>
    <row r="45" hidden="1">
      <c r="A45" s="5">
        <f>'PERFIL_HH'!$O$44</f>
        <v/>
      </c>
      <c r="B45" s="5">
        <f>COUNTIFS(tblOrdenes[semana],$A45,tblOrdenes[es_habil],"sí")</f>
        <v/>
      </c>
      <c r="C45" s="5">
        <f>COUNTIFS(tblOrdenes[semana],$A45,tblOrdenes[estado],"Cerrada",tblOrdenes[es_habil],"sí")</f>
        <v/>
      </c>
      <c r="D45" s="16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6">
        <f>IF(E45=0,"",F45/E45)</f>
        <v/>
      </c>
      <c r="H45" s="21">
        <f>p_meta_adherencia</f>
        <v/>
      </c>
    </row>
    <row r="46" hidden="1">
      <c r="A46" s="5">
        <f>'PERFIL_HH'!$O$45</f>
        <v/>
      </c>
      <c r="B46" s="5">
        <f>COUNTIFS(tblOrdenes[semana],$A46,tblOrdenes[es_habil],"sí")</f>
        <v/>
      </c>
      <c r="C46" s="5">
        <f>COUNTIFS(tblOrdenes[semana],$A46,tblOrdenes[estado],"Cerrada",tblOrdenes[es_habil],"sí")</f>
        <v/>
      </c>
      <c r="D46" s="16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6">
        <f>IF(E46=0,"",F46/E46)</f>
        <v/>
      </c>
      <c r="H46" s="21">
        <f>p_meta_adherencia</f>
        <v/>
      </c>
    </row>
    <row r="47" hidden="1">
      <c r="A47" s="5">
        <f>'PERFIL_HH'!$O$46</f>
        <v/>
      </c>
      <c r="B47" s="5">
        <f>COUNTIFS(tblOrdenes[semana],$A47,tblOrdenes[es_habil],"sí")</f>
        <v/>
      </c>
      <c r="C47" s="5">
        <f>COUNTIFS(tblOrdenes[semana],$A47,tblOrdenes[estado],"Cerrada",tblOrdenes[es_habil],"sí")</f>
        <v/>
      </c>
      <c r="D47" s="16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6">
        <f>IF(E47=0,"",F47/E47)</f>
        <v/>
      </c>
      <c r="H47" s="21">
        <f>p_meta_adherencia</f>
        <v/>
      </c>
    </row>
    <row r="48" hidden="1">
      <c r="A48" s="5">
        <f>'PERFIL_HH'!$O$47</f>
        <v/>
      </c>
      <c r="B48" s="5">
        <f>COUNTIFS(tblOrdenes[semana],$A48,tblOrdenes[es_habil],"sí")</f>
        <v/>
      </c>
      <c r="C48" s="5">
        <f>COUNTIFS(tblOrdenes[semana],$A48,tblOrdenes[estado],"Cerrada",tblOrdenes[es_habil],"sí")</f>
        <v/>
      </c>
      <c r="D48" s="16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6">
        <f>IF(E48=0,"",F48/E48)</f>
        <v/>
      </c>
      <c r="H48" s="21">
        <f>p_meta_adherencia</f>
        <v/>
      </c>
    </row>
    <row r="49">
      <c r="A49" s="5">
        <f>'PERFIL_HH'!$O$48</f>
        <v/>
      </c>
      <c r="B49" s="5">
        <f>COUNTIFS(tblOrdenes[semana],$A49,tblOrdenes[es_habil],"sí")</f>
        <v/>
      </c>
      <c r="C49" s="5">
        <f>COUNTIFS(tblOrdenes[semana],$A49,tblOrdenes[estado],"Cerrada",tblOrdenes[es_habil],"sí")</f>
        <v/>
      </c>
      <c r="D49" s="16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6">
        <f>IF(E49=0,"",F49/E49)</f>
        <v/>
      </c>
      <c r="H49" s="21">
        <f>p_meta_adherencia</f>
        <v/>
      </c>
    </row>
    <row r="50">
      <c r="A50" s="5">
        <f>'PERFIL_HH'!$O$49</f>
        <v/>
      </c>
      <c r="B50" s="5">
        <f>COUNTIFS(tblOrdenes[semana],$A50,tblOrdenes[es_habil],"sí")</f>
        <v/>
      </c>
      <c r="C50" s="5">
        <f>COUNTIFS(tblOrdenes[semana],$A50,tblOrdenes[estado],"Cerrada",tblOrdenes[es_habil],"sí")</f>
        <v/>
      </c>
      <c r="D50" s="16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6">
        <f>IF(E50=0,"",F50/E50)</f>
        <v/>
      </c>
      <c r="H50" s="21">
        <f>p_meta_adherencia</f>
        <v/>
      </c>
    </row>
    <row r="51" hidden="1">
      <c r="A51" s="5">
        <f>'PERFIL_HH'!$O$50</f>
        <v/>
      </c>
      <c r="B51" s="5">
        <f>COUNTIFS(tblOrdenes[semana],$A51,tblOrdenes[es_habil],"sí")</f>
        <v/>
      </c>
      <c r="C51" s="5">
        <f>COUNTIFS(tblOrdenes[semana],$A51,tblOrdenes[estado],"Cerrada",tblOrdenes[es_habil],"sí")</f>
        <v/>
      </c>
      <c r="D51" s="16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6">
        <f>IF(E51=0,"",F51/E51)</f>
        <v/>
      </c>
      <c r="H51" s="21">
        <f>p_meta_adherencia</f>
        <v/>
      </c>
    </row>
    <row r="52" hidden="1">
      <c r="A52" s="5">
        <f>'PERFIL_HH'!$O$51</f>
        <v/>
      </c>
      <c r="B52" s="5">
        <f>COUNTIFS(tblOrdenes[semana],$A52,tblOrdenes[es_habil],"sí")</f>
        <v/>
      </c>
      <c r="C52" s="5">
        <f>COUNTIFS(tblOrdenes[semana],$A52,tblOrdenes[estado],"Cerrada",tblOrdenes[es_habil],"sí")</f>
        <v/>
      </c>
      <c r="D52" s="16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6">
        <f>IF(E52=0,"",F52/E52)</f>
        <v/>
      </c>
      <c r="H52" s="21">
        <f>p_meta_adherencia</f>
        <v/>
      </c>
    </row>
    <row r="53" hidden="1">
      <c r="A53" s="5">
        <f>'PERFIL_HH'!$O$52</f>
        <v/>
      </c>
      <c r="B53" s="5">
        <f>COUNTIFS(tblOrdenes[semana],$A53,tblOrdenes[es_habil],"sí")</f>
        <v/>
      </c>
      <c r="C53" s="5">
        <f>COUNTIFS(tblOrdenes[semana],$A53,tblOrdenes[estado],"Cerrada",tblOrdenes[es_habil],"sí")</f>
        <v/>
      </c>
      <c r="D53" s="16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6">
        <f>IF(E53=0,"",F53/E53)</f>
        <v/>
      </c>
      <c r="H53" s="21">
        <f>p_meta_adherencia</f>
        <v/>
      </c>
    </row>
    <row r="54" hidden="1">
      <c r="A54" s="5">
        <f>'PERFIL_HH'!$O$53</f>
        <v/>
      </c>
      <c r="B54" s="5">
        <f>COUNTIFS(tblOrdenes[semana],$A54,tblOrdenes[es_habil],"sí")</f>
        <v/>
      </c>
      <c r="C54" s="5">
        <f>COUNTIFS(tblOrdenes[semana],$A54,tblOrdenes[estado],"Cerrada",tblOrdenes[es_habil],"sí")</f>
        <v/>
      </c>
      <c r="D54" s="16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6">
        <f>IF(E54=0,"",F54/E54)</f>
        <v/>
      </c>
      <c r="H54" s="21">
        <f>p_meta_adherencia</f>
        <v/>
      </c>
    </row>
    <row r="55" hidden="1">
      <c r="A55" s="5">
        <f>'PERFIL_HH'!$O$54</f>
        <v/>
      </c>
      <c r="B55" s="5">
        <f>COUNTIFS(tblOrdenes[semana],$A55,tblOrdenes[es_habil],"sí")</f>
        <v/>
      </c>
      <c r="C55" s="5">
        <f>COUNTIFS(tblOrdenes[semana],$A55,tblOrdenes[estado],"Cerrada",tblOrdenes[es_habil],"sí")</f>
        <v/>
      </c>
      <c r="D55" s="16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6">
        <f>IF(E55=0,"",F55/E55)</f>
        <v/>
      </c>
      <c r="H55" s="21">
        <f>p_meta_adherencia</f>
        <v/>
      </c>
    </row>
    <row r="56" hidden="1">
      <c r="A56" s="5">
        <f>'PERFIL_HH'!$O$55</f>
        <v/>
      </c>
      <c r="B56" s="5">
        <f>COUNTIFS(tblOrdenes[semana],$A56,tblOrdenes[es_habil],"sí")</f>
        <v/>
      </c>
      <c r="C56" s="5">
        <f>COUNTIFS(tblOrdenes[semana],$A56,tblOrdenes[estado],"Cerrada",tblOrdenes[es_habil],"sí")</f>
        <v/>
      </c>
      <c r="D56" s="16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6">
        <f>IF(E56=0,"",F56/E56)</f>
        <v/>
      </c>
      <c r="H56" s="21">
        <f>p_meta_adherencia</f>
        <v/>
      </c>
    </row>
    <row r="57" hidden="1">
      <c r="A57" s="5">
        <f>'PERFIL_HH'!$O$56</f>
        <v/>
      </c>
      <c r="B57" s="5">
        <f>COUNTIFS(tblOrdenes[semana],$A57,tblOrdenes[es_habil],"sí")</f>
        <v/>
      </c>
      <c r="C57" s="5">
        <f>COUNTIFS(tblOrdenes[semana],$A57,tblOrdenes[estado],"Cerrada",tblOrdenes[es_habil],"sí")</f>
        <v/>
      </c>
      <c r="D57" s="16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6">
        <f>IF(E57=0,"",F57/E57)</f>
        <v/>
      </c>
      <c r="H57" s="21">
        <f>p_meta_adherencia</f>
        <v/>
      </c>
    </row>
    <row r="58" hidden="1">
      <c r="A58" s="5">
        <f>'PERFIL_HH'!$O$57</f>
        <v/>
      </c>
      <c r="B58" s="5">
        <f>COUNTIFS(tblOrdenes[semana],$A58,tblOrdenes[es_habil],"sí")</f>
        <v/>
      </c>
      <c r="C58" s="5">
        <f>COUNTIFS(tblOrdenes[semana],$A58,tblOrdenes[estado],"Cerrada",tblOrdenes[es_habil],"sí")</f>
        <v/>
      </c>
      <c r="D58" s="16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6">
        <f>IF(E58=0,"",F58/E58)</f>
        <v/>
      </c>
      <c r="H58" s="21">
        <f>p_meta_adherencia</f>
        <v/>
      </c>
    </row>
    <row r="59" hidden="1">
      <c r="A59" s="5">
        <f>'PERFIL_HH'!$O$58</f>
        <v/>
      </c>
      <c r="B59" s="5">
        <f>COUNTIFS(tblOrdenes[semana],$A59,tblOrdenes[es_habil],"sí")</f>
        <v/>
      </c>
      <c r="C59" s="5">
        <f>COUNTIFS(tblOrdenes[semana],$A59,tblOrdenes[estado],"Cerrada",tblOrdenes[es_habil],"sí")</f>
        <v/>
      </c>
      <c r="D59" s="16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6">
        <f>IF(E59=0,"",F59/E59)</f>
        <v/>
      </c>
      <c r="H59" s="21">
        <f>p_meta_adherencia</f>
        <v/>
      </c>
    </row>
    <row r="60" hidden="1">
      <c r="A60" s="5">
        <f>'PERFIL_HH'!$O$59</f>
        <v/>
      </c>
      <c r="B60" s="5">
        <f>COUNTIFS(tblOrdenes[semana],$A60,tblOrdenes[es_habil],"sí")</f>
        <v/>
      </c>
      <c r="C60" s="5">
        <f>COUNTIFS(tblOrdenes[semana],$A60,tblOrdenes[estado],"Cerrada",tblOrdenes[es_habil],"sí")</f>
        <v/>
      </c>
      <c r="D60" s="16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6">
        <f>IF(E60=0,"",F60/E60)</f>
        <v/>
      </c>
      <c r="H60" s="21">
        <f>p_meta_adherencia</f>
        <v/>
      </c>
    </row>
    <row r="61" hidden="1">
      <c r="A61" s="5">
        <f>'PERFIL_HH'!$O$60</f>
        <v/>
      </c>
      <c r="B61" s="5">
        <f>COUNTIFS(tblOrdenes[semana],$A61,tblOrdenes[es_habil],"sí")</f>
        <v/>
      </c>
      <c r="C61" s="5">
        <f>COUNTIFS(tblOrdenes[semana],$A61,tblOrdenes[estado],"Cerrada",tblOrdenes[es_habil],"sí")</f>
        <v/>
      </c>
      <c r="D61" s="16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6">
        <f>IF(E61=0,"",F61/E61)</f>
        <v/>
      </c>
      <c r="H61" s="21">
        <f>p_meta_adherencia</f>
        <v/>
      </c>
    </row>
    <row r="62" hidden="1">
      <c r="A62" s="5">
        <f>'PERFIL_HH'!$O$61</f>
        <v/>
      </c>
      <c r="B62" s="5">
        <f>COUNTIFS(tblOrdenes[semana],$A62,tblOrdenes[es_habil],"sí")</f>
        <v/>
      </c>
      <c r="C62" s="5">
        <f>COUNTIFS(tblOrdenes[semana],$A62,tblOrdenes[estado],"Cerrada",tblOrdenes[es_habil],"sí")</f>
        <v/>
      </c>
      <c r="D62" s="16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6">
        <f>IF(E62=0,"",F62/E62)</f>
        <v/>
      </c>
      <c r="H62" s="21">
        <f>p_meta_adherencia</f>
        <v/>
      </c>
    </row>
    <row r="63" hidden="1">
      <c r="A63" s="5">
        <f>'PERFIL_HH'!$O$62</f>
        <v/>
      </c>
      <c r="B63" s="5">
        <f>COUNTIFS(tblOrdenes[semana],$A63,tblOrdenes[es_habil],"sí")</f>
        <v/>
      </c>
      <c r="C63" s="5">
        <f>COUNTIFS(tblOrdenes[semana],$A63,tblOrdenes[estado],"Cerrada",tblOrdenes[es_habil],"sí")</f>
        <v/>
      </c>
      <c r="D63" s="16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6">
        <f>IF(E63=0,"",F63/E63)</f>
        <v/>
      </c>
      <c r="H63" s="21">
        <f>p_meta_adherencia</f>
        <v/>
      </c>
    </row>
    <row r="64" hidden="1">
      <c r="A64" s="5">
        <f>'PERFIL_HH'!$O$63</f>
        <v/>
      </c>
      <c r="B64" s="5">
        <f>COUNTIFS(tblOrdenes[semana],$A64,tblOrdenes[es_habil],"sí")</f>
        <v/>
      </c>
      <c r="C64" s="5">
        <f>COUNTIFS(tblOrdenes[semana],$A64,tblOrdenes[estado],"Cerrada",tblOrdenes[es_habil],"sí")</f>
        <v/>
      </c>
      <c r="D64" s="16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6">
        <f>IF(E64=0,"",F64/E64)</f>
        <v/>
      </c>
      <c r="H64" s="21">
        <f>p_meta_adherencia</f>
        <v/>
      </c>
    </row>
    <row r="66">
      <c r="A66" s="3" t="inlineStr">
        <is>
          <t>POR ÁREA</t>
        </is>
      </c>
    </row>
    <row r="67">
      <c r="A67" s="15" t="inlineStr">
        <is>
          <t>valor</t>
        </is>
      </c>
      <c r="B67" s="15" t="inlineStr">
        <is>
          <t>total_ot</t>
        </is>
      </c>
      <c r="C67" s="15" t="inlineStr">
        <is>
          <t>cerradas</t>
        </is>
      </c>
      <c r="D67" s="15" t="inlineStr">
        <is>
          <t>adherencia_conteo</t>
        </is>
      </c>
      <c r="E67" s="15" t="inlineStr">
        <is>
          <t>hh_total</t>
        </is>
      </c>
      <c r="F67" s="15" t="inlineStr">
        <is>
          <t>hh_cerradas</t>
        </is>
      </c>
      <c r="G67" s="15" t="inlineStr">
        <is>
          <t>adherencia_horas</t>
        </is>
      </c>
    </row>
    <row r="68">
      <c r="A68" s="5" t="inlineStr">
        <is>
          <t>PRODUCCION</t>
        </is>
      </c>
      <c r="B68" s="5">
        <f>COUNTIFS(tblOrdenes[area],$A68,tblOrdenes[es_habil],"sí")</f>
        <v/>
      </c>
      <c r="C68" s="5">
        <f>COUNTIFS(tblOrdenes[area],$A68,tblOrdenes[estado],"Cerrada",tblOrdenes[es_habil],"sí")</f>
        <v/>
      </c>
      <c r="D68" s="16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6">
        <f>IF(E68=0,"",F68/E68)</f>
        <v/>
      </c>
    </row>
    <row r="69">
      <c r="A69" s="5" t="inlineStr">
        <is>
          <t>EMPAQUE</t>
        </is>
      </c>
      <c r="B69" s="5">
        <f>COUNTIFS(tblOrdenes[area],$A69,tblOrdenes[es_habil],"sí")</f>
        <v/>
      </c>
      <c r="C69" s="5">
        <f>COUNTIFS(tblOrdenes[area],$A69,tblOrdenes[estado],"Cerrada",tblOrdenes[es_habil],"sí")</f>
        <v/>
      </c>
      <c r="D69" s="16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6">
        <f>IF(E69=0,"",F69/E69)</f>
        <v/>
      </c>
    </row>
    <row r="70">
      <c r="A70" s="5" t="inlineStr">
        <is>
          <t>SERVICIOS</t>
        </is>
      </c>
      <c r="B70" s="5">
        <f>COUNTIFS(tblOrdenes[area],$A70,tblOrdenes[es_habil],"sí")</f>
        <v/>
      </c>
      <c r="C70" s="5">
        <f>COUNTIFS(tblOrdenes[area],$A70,tblOrdenes[estado],"Cerrada",tblOrdenes[es_habil],"sí")</f>
        <v/>
      </c>
      <c r="D70" s="16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6">
        <f>IF(E70=0,"",F70/E70)</f>
        <v/>
      </c>
    </row>
    <row r="72">
      <c r="A72" s="3" t="inlineStr">
        <is>
          <t>POR SUB-ÁREA (agrupada bajo su área madre — col. I)</t>
        </is>
      </c>
    </row>
    <row r="73">
      <c r="A73" s="15" t="inlineStr">
        <is>
          <t>valor</t>
        </is>
      </c>
      <c r="B73" s="15" t="inlineStr">
        <is>
          <t>total_ot</t>
        </is>
      </c>
      <c r="C73" s="15" t="inlineStr">
        <is>
          <t>cerradas</t>
        </is>
      </c>
      <c r="D73" s="15" t="inlineStr">
        <is>
          <t>adherencia_conteo</t>
        </is>
      </c>
      <c r="E73" s="15" t="inlineStr">
        <is>
          <t>hh_total</t>
        </is>
      </c>
      <c r="F73" s="15" t="inlineStr">
        <is>
          <t>hh_cerradas</t>
        </is>
      </c>
      <c r="G73" s="15" t="inlineStr">
        <is>
          <t>adherencia_horas</t>
        </is>
      </c>
      <c r="I73" s="15" t="inlineStr">
        <is>
          <t>área madre</t>
        </is>
      </c>
    </row>
    <row r="74">
      <c r="A74" s="5" t="inlineStr">
        <is>
          <t>PRODUCCION</t>
        </is>
      </c>
      <c r="B74" s="5">
        <f>COUNTIFS(tblOrdenes[sub_area],$A74,tblOrdenes[es_habil],"sí")</f>
        <v/>
      </c>
      <c r="C74" s="5">
        <f>COUNTIFS(tblOrdenes[sub_area],$A74,tblOrdenes[estado],"Cerrada",tblOrdenes[es_habil],"sí")</f>
        <v/>
      </c>
      <c r="D74" s="16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6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COUNTIFS(tblOrdenes[sub_area],$A75,tblOrdenes[es_habil],"sí")</f>
        <v/>
      </c>
      <c r="C75" s="5">
        <f>COUNTIFS(tblOrdenes[sub_area],$A75,tblOrdenes[estado],"Cerrada",tblOrdenes[es_habil],"sí")</f>
        <v/>
      </c>
      <c r="D75" s="16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6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COUNTIFS(tblOrdenes[sub_area],$A76,tblOrdenes[es_habil],"sí")</f>
        <v/>
      </c>
      <c r="C76" s="5">
        <f>COUNTIFS(tblOrdenes[sub_area],$A76,tblOrdenes[estado],"Cerrada",tblOrdenes[es_habil],"sí")</f>
        <v/>
      </c>
      <c r="D76" s="16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6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COUNTIFS(tblOrdenes[sub_area],$A77,tblOrdenes[es_habil],"sí")</f>
        <v/>
      </c>
      <c r="C77" s="5">
        <f>COUNTIFS(tblOrdenes[sub_area],$A77,tblOrdenes[estado],"Cerrada",tblOrdenes[es_habil],"sí")</f>
        <v/>
      </c>
      <c r="D77" s="16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6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COUNTIFS(tblOrdenes[sub_area],$A78,tblOrdenes[es_habil],"sí")</f>
        <v/>
      </c>
      <c r="C78" s="5">
        <f>COUNTIFS(tblOrdenes[sub_area],$A78,tblOrdenes[estado],"Cerrada",tblOrdenes[es_habil],"sí")</f>
        <v/>
      </c>
      <c r="D78" s="16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6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COUNTIFS(tblOrdenes[sub_area],$A79,tblOrdenes[es_habil],"sí")</f>
        <v/>
      </c>
      <c r="C79" s="5">
        <f>COUNTIFS(tblOrdenes[sub_area],$A79,tblOrdenes[estado],"Cerrada",tblOrdenes[es_habil],"sí")</f>
        <v/>
      </c>
      <c r="D79" s="16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6">
        <f>IF(E79=0,"",F79/E79)</f>
        <v/>
      </c>
      <c r="I79" s="2" t="inlineStr">
        <is>
          <t>SERVICIOS</t>
        </is>
      </c>
    </row>
    <row r="81">
      <c r="A81" s="3" t="inlineStr">
        <is>
          <t>POR ESPECIALIDAD</t>
        </is>
      </c>
    </row>
    <row r="82">
      <c r="A82" s="15" t="inlineStr">
        <is>
          <t>valor</t>
        </is>
      </c>
      <c r="B82" s="15" t="inlineStr">
        <is>
          <t>total_ot</t>
        </is>
      </c>
      <c r="C82" s="15" t="inlineStr">
        <is>
          <t>cerradas</t>
        </is>
      </c>
      <c r="D82" s="15" t="inlineStr">
        <is>
          <t>adherencia_conteo</t>
        </is>
      </c>
      <c r="E82" s="15" t="inlineStr">
        <is>
          <t>hh_total</t>
        </is>
      </c>
      <c r="F82" s="15" t="inlineStr">
        <is>
          <t>hh_cerradas</t>
        </is>
      </c>
      <c r="G82" s="15" t="inlineStr">
        <is>
          <t>adherencia_horas</t>
        </is>
      </c>
    </row>
    <row r="83">
      <c r="A83" s="5" t="inlineStr">
        <is>
          <t>MEC</t>
        </is>
      </c>
      <c r="B83" s="5">
        <f>COUNTIFS(tblOrdenes[especialidad],$A83,tblOrdenes[es_habil],"sí")</f>
        <v/>
      </c>
      <c r="C83" s="5">
        <f>COUNTIFS(tblOrdenes[especialidad],$A83,tblOrdenes[estado],"Cerrada",tblOrdenes[es_habil],"sí")</f>
        <v/>
      </c>
      <c r="D83" s="16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6">
        <f>IF(E83=0,"",F83/E83)</f>
        <v/>
      </c>
    </row>
    <row r="84">
      <c r="A84" s="5" t="inlineStr">
        <is>
          <t>ELE</t>
        </is>
      </c>
      <c r="B84" s="5">
        <f>COUNTIFS(tblOrdenes[especialidad],$A84,tblOrdenes[es_habil],"sí")</f>
        <v/>
      </c>
      <c r="C84" s="5">
        <f>COUNTIFS(tblOrdenes[especialidad],$A84,tblOrdenes[estado],"Cerrada",tblOrdenes[es_habil],"sí")</f>
        <v/>
      </c>
      <c r="D84" s="16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6">
        <f>IF(E84=0,"",F84/E84)</f>
        <v/>
      </c>
    </row>
    <row r="85">
      <c r="A85" s="5" t="inlineStr">
        <is>
          <t>AUT</t>
        </is>
      </c>
      <c r="B85" s="5">
        <f>COUNTIFS(tblOrdenes[especialidad],$A85,tblOrdenes[es_habil],"sí")</f>
        <v/>
      </c>
      <c r="C85" s="5">
        <f>COUNTIFS(tblOrdenes[especialidad],$A85,tblOrdenes[estado],"Cerrada",tblOrdenes[es_habil],"sí")</f>
        <v/>
      </c>
      <c r="D85" s="16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6">
        <f>IF(E85=0,"",F85/E85)</f>
        <v/>
      </c>
    </row>
    <row r="86">
      <c r="A86" s="5" t="inlineStr">
        <is>
          <t>TERCERO</t>
        </is>
      </c>
      <c r="B86" s="5">
        <f>COUNTIFS(tblOrdenes[especialidad],$A86,tblOrdenes[es_habil],"sí")</f>
        <v/>
      </c>
      <c r="C86" s="5">
        <f>COUNTIFS(tblOrdenes[especialidad],$A86,tblOrdenes[estado],"Cerrada",tblOrdenes[es_habil],"sí")</f>
        <v/>
      </c>
      <c r="D86" s="16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6">
        <f>IF(E86=0,"",F86/E86)</f>
        <v/>
      </c>
    </row>
    <row r="88">
      <c r="A88" s="3" t="inlineStr">
        <is>
          <t>POR COORDINADOR</t>
        </is>
      </c>
    </row>
    <row r="89">
      <c r="A89" s="15" t="inlineStr">
        <is>
          <t>valor</t>
        </is>
      </c>
      <c r="B89" s="15" t="inlineStr">
        <is>
          <t>total_ot</t>
        </is>
      </c>
      <c r="C89" s="15" t="inlineStr">
        <is>
          <t>cerradas</t>
        </is>
      </c>
      <c r="D89" s="15" t="inlineStr">
        <is>
          <t>adherencia_conteo</t>
        </is>
      </c>
      <c r="E89" s="15" t="inlineStr">
        <is>
          <t>hh_total</t>
        </is>
      </c>
      <c r="F89" s="15" t="inlineStr">
        <is>
          <t>hh_cerradas</t>
        </is>
      </c>
      <c r="G89" s="15" t="inlineStr">
        <is>
          <t>adherencia_horas</t>
        </is>
      </c>
    </row>
    <row r="90">
      <c r="A90" s="5" t="inlineStr">
        <is>
          <t>Coordinador A</t>
        </is>
      </c>
      <c r="B90" s="5">
        <f>COUNTIFS(tblOrdenes[coordinador],$A90,tblOrdenes[es_habil],"sí")</f>
        <v/>
      </c>
      <c r="C90" s="5">
        <f>COUNTIFS(tblOrdenes[coordinador],$A90,tblOrdenes[estado],"Cerrada",tblOrdenes[es_habil],"sí")</f>
        <v/>
      </c>
      <c r="D90" s="16">
        <f>IF(B90=0,"",C90/B90)</f>
        <v/>
      </c>
      <c r="E90" s="17">
        <f>SUMIFS(tblOrdenes[horas_efectivas],tblOrdenes[coordinador],$A90,tblOrdenes[es_habil],"sí")</f>
        <v/>
      </c>
      <c r="F90" s="17">
        <f>SUMIFS(tblOrdenes[horas_efectivas],tblOrdenes[coordinador],$A90,tblOrdenes[estado],"Cerrada",tblOrdenes[es_habil],"sí")</f>
        <v/>
      </c>
      <c r="G90" s="16">
        <f>IF(E90=0,"",F90/E90)</f>
        <v/>
      </c>
    </row>
    <row r="91">
      <c r="A91" s="5" t="inlineStr">
        <is>
          <t>Coordinador B</t>
        </is>
      </c>
      <c r="B91" s="5">
        <f>COUNTIFS(tblOrdenes[coordinador],$A91,tblOrdenes[es_habil],"sí")</f>
        <v/>
      </c>
      <c r="C91" s="5">
        <f>COUNTIFS(tblOrdenes[coordinador],$A91,tblOrdenes[estado],"Cerrada",tblOrdenes[es_habil],"sí")</f>
        <v/>
      </c>
      <c r="D91" s="16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6">
        <f>IF(E91=0,"",F91/E91)</f>
        <v/>
      </c>
    </row>
    <row r="92">
      <c r="A92" s="5" t="inlineStr">
        <is>
          <t>Coordinador C</t>
        </is>
      </c>
      <c r="B92" s="5">
        <f>COUNTIFS(tblOrdenes[coordinador],$A92,tblOrdenes[es_habil],"sí")</f>
        <v/>
      </c>
      <c r="C92" s="5">
        <f>COUNTIFS(tblOrdenes[coordinador],$A92,tblOrdenes[estado],"Cerrada",tblOrdenes[es_habil],"sí")</f>
        <v/>
      </c>
      <c r="D92" s="16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6">
        <f>IF(E92=0,"",F92/E92)</f>
        <v/>
      </c>
    </row>
    <row r="94">
      <c r="A94" s="3" t="inlineStr">
        <is>
          <t>POR CLASIFICACIÓN</t>
        </is>
      </c>
    </row>
    <row r="95">
      <c r="A95" s="15" t="inlineStr">
        <is>
          <t>valor</t>
        </is>
      </c>
      <c r="B95" s="15" t="inlineStr">
        <is>
          <t>total_ot</t>
        </is>
      </c>
      <c r="C95" s="15" t="inlineStr">
        <is>
          <t>cerradas</t>
        </is>
      </c>
      <c r="D95" s="15" t="inlineStr">
        <is>
          <t>adherencia_conteo</t>
        </is>
      </c>
      <c r="E95" s="15" t="inlineStr">
        <is>
          <t>hh_total</t>
        </is>
      </c>
      <c r="F95" s="15" t="inlineStr">
        <is>
          <t>hh_cerradas</t>
        </is>
      </c>
      <c r="G95" s="15" t="inlineStr">
        <is>
          <t>adherencia_horas</t>
        </is>
      </c>
    </row>
    <row r="96">
      <c r="A96" s="5" t="inlineStr">
        <is>
          <t>preventiva</t>
        </is>
      </c>
      <c r="B96" s="5">
        <f>COUNTIFS(tblOrdenes[clasificacion],$A96,tblOrdenes[es_habil],"sí")</f>
        <v/>
      </c>
      <c r="C96" s="5">
        <f>COUNTIFS(tblOrdenes[clasificacion],$A96,tblOrdenes[estado],"Cerrada",tblOrdenes[es_habil],"sí")</f>
        <v/>
      </c>
      <c r="D96" s="16">
        <f>IF(B96=0,"",C96/B96)</f>
        <v/>
      </c>
      <c r="E96" s="17">
        <f>SUMIFS(tblOrdenes[horas_efectivas],tblOrdenes[clasificacion],$A96,tblOrdenes[es_habil],"sí")</f>
        <v/>
      </c>
      <c r="F96" s="17">
        <f>SUMIFS(tblOrdenes[horas_efectivas],tblOrdenes[clasificacion],$A96,tblOrdenes[estado],"Cerrada",tblOrdenes[es_habil],"sí")</f>
        <v/>
      </c>
      <c r="G96" s="16">
        <f>IF(E96=0,"",F96/E96)</f>
        <v/>
      </c>
    </row>
    <row r="97">
      <c r="A97" s="5" t="inlineStr">
        <is>
          <t>correctiva</t>
        </is>
      </c>
      <c r="B97" s="5">
        <f>COUNTIFS(tblOrdenes[clasificacion],$A97,tblOrdenes[es_habil],"sí")</f>
        <v/>
      </c>
      <c r="C97" s="5">
        <f>COUNTIFS(tblOrdenes[clasificacion],$A97,tblOrdenes[estado],"Cerrada",tblOrdenes[es_habil],"sí")</f>
        <v/>
      </c>
      <c r="D97" s="16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6">
        <f>IF(E97=0,"",F97/E97)</f>
        <v/>
      </c>
    </row>
    <row r="98">
      <c r="A98" s="5" t="inlineStr">
        <is>
          <t>sin_clasificar</t>
        </is>
      </c>
      <c r="B98" s="5">
        <f>COUNTIFS(tblOrdenes[clasificacion],$A98,tblOrdenes[es_habil],"sí")</f>
        <v/>
      </c>
      <c r="C98" s="5">
        <f>COUNTIFS(tblOrdenes[clasificacion],$A98,tblOrdenes[estado],"Cerrada",tblOrdenes[es_habil],"sí")</f>
        <v/>
      </c>
      <c r="D98" s="16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6">
        <f>IF(E98=0,"",F98/E98)</f>
        <v/>
      </c>
    </row>
    <row r="100">
      <c r="A100" s="3" t="inlineStr">
        <is>
          <t>POR CLASE DE MANTENIMIENTO (mix; la clase la hereda la orden de CAT_TIPOS_OT)</t>
        </is>
      </c>
    </row>
    <row r="101">
      <c r="A101" s="15" t="inlineStr">
        <is>
          <t>valor</t>
        </is>
      </c>
      <c r="B101" s="15" t="inlineStr">
        <is>
          <t>total_ot</t>
        </is>
      </c>
      <c r="C101" s="15" t="inlineStr">
        <is>
          <t>cerradas</t>
        </is>
      </c>
      <c r="D101" s="15" t="inlineStr">
        <is>
          <t>adherencia_conteo</t>
        </is>
      </c>
      <c r="E101" s="15" t="inlineStr">
        <is>
          <t>hh_total</t>
        </is>
      </c>
      <c r="F101" s="15" t="inlineStr">
        <is>
          <t>hh_cerradas</t>
        </is>
      </c>
      <c r="G101" s="15" t="inlineStr">
        <is>
          <t>adherencia_horas</t>
        </is>
      </c>
    </row>
    <row r="102">
      <c r="A102" s="5" t="inlineStr">
        <is>
          <t>predictivo</t>
        </is>
      </c>
      <c r="B102" s="5">
        <f>COUNTIFS(tblOrdenes[clase_mantenimiento],$A102,tblOrdenes[es_habil],"sí")</f>
        <v/>
      </c>
      <c r="C102" s="5">
        <f>COUNTIFS(tblOrdenes[clase_mantenimiento],$A102,tblOrdenes[estado],"Cerrada",tblOrdenes[es_habil],"sí")</f>
        <v/>
      </c>
      <c r="D102" s="16">
        <f>IF(B102=0,"",C102/B102)</f>
        <v/>
      </c>
      <c r="E102" s="17">
        <f>SUMIFS(tblOrdenes[horas_efectivas],tblOrdenes[clase_mantenimiento],$A102,tblOrdenes[es_habil],"sí")</f>
        <v/>
      </c>
      <c r="F102" s="17">
        <f>SUMIFS(tblOrdenes[horas_efectivas],tblOrdenes[clase_mantenimiento],$A102,tblOrdenes[estado],"Cerrada",tblOrdenes[es_habil],"sí")</f>
        <v/>
      </c>
      <c r="G102" s="16">
        <f>IF(E102=0,"",F102/E102)</f>
        <v/>
      </c>
    </row>
    <row r="103">
      <c r="A103" s="5" t="inlineStr">
        <is>
          <t>preventivo</t>
        </is>
      </c>
      <c r="B103" s="5">
        <f>COUNTIFS(tblOrdenes[clase_mantenimiento],$A103,tblOrdenes[es_habil],"sí")</f>
        <v/>
      </c>
      <c r="C103" s="5">
        <f>COUNTIFS(tblOrdenes[clase_mantenimiento],$A103,tblOrdenes[estado],"Cerrada",tblOrdenes[es_habil],"sí")</f>
        <v/>
      </c>
      <c r="D103" s="16">
        <f>IF(B103=0,"",C103/B103)</f>
        <v/>
      </c>
      <c r="E103" s="17">
        <f>SUMIFS(tblOrdenes[horas_efectivas],tblOrdenes[clase_mantenimiento],$A103,tblOrdenes[es_habil],"sí")</f>
        <v/>
      </c>
      <c r="F103" s="17">
        <f>SUMIFS(tblOrdenes[horas_efectivas],tblOrdenes[clase_mantenimiento],$A103,tblOrdenes[estado],"Cerrada",tblOrdenes[es_habil],"sí")</f>
        <v/>
      </c>
      <c r="G103" s="16">
        <f>IF(E103=0,"",F103/E103)</f>
        <v/>
      </c>
    </row>
    <row r="104">
      <c r="A104" s="5" t="inlineStr">
        <is>
          <t>correctivo_programado</t>
        </is>
      </c>
      <c r="B104" s="5">
        <f>COUNTIFS(tblOrdenes[clase_mantenimiento],$A104,tblOrdenes[es_habil],"sí")</f>
        <v/>
      </c>
      <c r="C104" s="5">
        <f>COUNTIFS(tblOrdenes[clase_mantenimiento],$A104,tblOrdenes[estado],"Cerrada",tblOrdenes[es_habil],"sí")</f>
        <v/>
      </c>
      <c r="D104" s="16">
        <f>IF(B104=0,"",C104/B104)</f>
        <v/>
      </c>
      <c r="E104" s="17">
        <f>SUMIFS(tblOrdenes[horas_efectivas],tblOrdenes[clase_mantenimiento],$A104,tblOrdenes[es_habil],"sí")</f>
        <v/>
      </c>
      <c r="F104" s="17">
        <f>SUMIFS(tblOrdenes[horas_efectivas],tblOrdenes[clase_mantenimiento],$A104,tblOrdenes[estado],"Cerrada",tblOrdenes[es_habil],"sí")</f>
        <v/>
      </c>
      <c r="G104" s="16">
        <f>IF(E104=0,"",F104/E104)</f>
        <v/>
      </c>
    </row>
    <row r="105">
      <c r="A105" s="5" t="inlineStr">
        <is>
          <t>emergencia</t>
        </is>
      </c>
      <c r="B105" s="5">
        <f>COUNTIFS(tblOrdenes[clase_mantenimiento],$A105,tblOrdenes[es_habil],"sí")</f>
        <v/>
      </c>
      <c r="C105" s="5">
        <f>COUNTIFS(tblOrdenes[clase_mantenimiento],$A105,tblOrdenes[estado],"Cerrada",tblOrdenes[es_habil],"sí")</f>
        <v/>
      </c>
      <c r="D105" s="16">
        <f>IF(B105=0,"",C105/B105)</f>
        <v/>
      </c>
      <c r="E105" s="17">
        <f>SUMIFS(tblOrdenes[horas_efectivas],tblOrdenes[clase_mantenimiento],$A105,tblOrdenes[es_habil],"sí")</f>
        <v/>
      </c>
      <c r="F105" s="17">
        <f>SUMIFS(tblOrdenes[horas_efectivas],tblOrdenes[clase_mantenimiento],$A105,tblOrdenes[estado],"Cerrada",tblOrdenes[es_habil],"sí")</f>
        <v/>
      </c>
      <c r="G105" s="16">
        <f>IF(E105=0,"",F105/E105)</f>
        <v/>
      </c>
    </row>
    <row r="106">
      <c r="A106" s="5" t="inlineStr">
        <is>
          <t>legal</t>
        </is>
      </c>
      <c r="B106" s="5">
        <f>COUNTIFS(tblOrdenes[clase_mantenimiento],$A106,tblOrdenes[es_habil],"sí")</f>
        <v/>
      </c>
      <c r="C106" s="5">
        <f>COUNTIFS(tblOrdenes[clase_mantenimiento],$A106,tblOrdenes[estado],"Cerrada",tblOrdenes[es_habil],"sí")</f>
        <v/>
      </c>
      <c r="D106" s="16">
        <f>IF(B106=0,"",C106/B106)</f>
        <v/>
      </c>
      <c r="E106" s="17">
        <f>SUMIFS(tblOrdenes[horas_efectivas],tblOrdenes[clase_mantenimiento],$A106,tblOrdenes[es_habil],"sí")</f>
        <v/>
      </c>
      <c r="F106" s="17">
        <f>SUMIFS(tblOrdenes[horas_efectivas],tblOrdenes[clase_mantenimiento],$A106,tblOrdenes[estado],"Cerrada",tblOrdenes[es_habil],"sí")</f>
        <v/>
      </c>
      <c r="G106" s="16">
        <f>IF(E106=0,"",F106/E106)</f>
        <v/>
      </c>
    </row>
    <row r="107">
      <c r="A107" s="5" t="inlineStr">
        <is>
          <t>SIN CLASIFICAR</t>
        </is>
      </c>
      <c r="B107" s="5">
        <f>COUNTIFS(tblOrdenes[clase_mantenimiento],$A107,tblOrdenes[es_habil],"sí")</f>
        <v/>
      </c>
      <c r="C107" s="5">
        <f>COUNTIFS(tblOrdenes[clase_mantenimiento],$A107,tblOrdenes[estado],"Cerrada",tblOrdenes[es_habil],"sí")</f>
        <v/>
      </c>
      <c r="D107" s="16">
        <f>IF(B107=0,"",C107/B107)</f>
        <v/>
      </c>
      <c r="E107" s="17">
        <f>SUMIFS(tblOrdenes[horas_efectivas],tblOrdenes[clase_mantenimiento],$A107,tblOrdenes[es_habil],"sí")</f>
        <v/>
      </c>
      <c r="F107" s="17">
        <f>SUMIFS(tblOrdenes[horas_efectivas],tblOrdenes[clase_mantenimiento],$A107,tblOrdenes[estado],"Cerrada",tblOrdenes[es_habil],"sí")</f>
        <v/>
      </c>
      <c r="G107" s="16">
        <f>IF(E107=0,"",F107/E107)</f>
        <v/>
      </c>
    </row>
    <row r="109">
      <c r="A109" s="3" t="inlineStr">
        <is>
          <t>POR TÉCNICO</t>
        </is>
      </c>
    </row>
    <row r="110">
      <c r="A110" s="15" t="inlineStr">
        <is>
          <t>valor</t>
        </is>
      </c>
      <c r="B110" s="15" t="inlineStr">
        <is>
          <t>total_ot</t>
        </is>
      </c>
      <c r="C110" s="15" t="inlineStr">
        <is>
          <t>cerradas</t>
        </is>
      </c>
      <c r="D110" s="15" t="inlineStr">
        <is>
          <t>adherencia_conteo</t>
        </is>
      </c>
      <c r="E110" s="15" t="inlineStr">
        <is>
          <t>hh_total</t>
        </is>
      </c>
      <c r="F110" s="15" t="inlineStr">
        <is>
          <t>hh_cerradas</t>
        </is>
      </c>
      <c r="G110" s="15" t="inlineStr">
        <is>
          <t>adherencia_horas</t>
        </is>
      </c>
    </row>
    <row r="111">
      <c r="A111" s="5" t="inlineStr">
        <is>
          <t>Carlos Pérez</t>
        </is>
      </c>
      <c r="B111" s="5">
        <f>COUNTIFS(tblOrdenes[tecnico_asignado],$A111,tblOrdenes[es_habil],"sí")</f>
        <v/>
      </c>
      <c r="C111" s="5">
        <f>COUNTIFS(tblOrdenes[tecnico_asignado],$A111,tblOrdenes[estado],"Cerrada",tblOrdenes[es_habil],"sí")</f>
        <v/>
      </c>
      <c r="D111" s="16">
        <f>IF(B111=0,"",C111/B111)</f>
        <v/>
      </c>
      <c r="E111" s="17">
        <f>SUMIFS(tblOrdenes[horas_efectivas],tblOrdenes[tecnico_asignado],$A111,tblOrdenes[es_habil],"sí")</f>
        <v/>
      </c>
      <c r="F111" s="17">
        <f>SUMIFS(tblOrdenes[horas_efectivas],tblOrdenes[tecnico_asignado],$A111,tblOrdenes[estado],"Cerrada",tblOrdenes[es_habil],"sí")</f>
        <v/>
      </c>
      <c r="G111" s="16">
        <f>IF(E111=0,"",F111/E111)</f>
        <v/>
      </c>
    </row>
    <row r="112">
      <c r="A112" s="5" t="inlineStr">
        <is>
          <t>María Gómez</t>
        </is>
      </c>
      <c r="B112" s="5">
        <f>COUNTIFS(tblOrdenes[tecnico_asignado],$A112,tblOrdenes[es_habil],"sí")</f>
        <v/>
      </c>
      <c r="C112" s="5">
        <f>COUNTIFS(tblOrdenes[tecnico_asignado],$A112,tblOrdenes[estado],"Cerrada",tblOrdenes[es_habil],"sí")</f>
        <v/>
      </c>
      <c r="D112" s="16">
        <f>IF(B112=0,"",C112/B112)</f>
        <v/>
      </c>
      <c r="E112" s="17">
        <f>SUMIFS(tblOrdenes[horas_efectivas],tblOrdenes[tecnico_asignado],$A112,tblOrdenes[es_habil],"sí")</f>
        <v/>
      </c>
      <c r="F112" s="17">
        <f>SUMIFS(tblOrdenes[horas_efectivas],tblOrdenes[tecnico_asignado],$A112,tblOrdenes[estado],"Cerrada",tblOrdenes[es_habil],"sí")</f>
        <v/>
      </c>
      <c r="G112" s="16">
        <f>IF(E112=0,"",F112/E112)</f>
        <v/>
      </c>
    </row>
    <row r="113">
      <c r="A113" s="5" t="inlineStr">
        <is>
          <t>Luis Rodríguez</t>
        </is>
      </c>
      <c r="B113" s="5">
        <f>COUNTIFS(tblOrdenes[tecnico_asignado],$A113,tblOrdenes[es_habil],"sí")</f>
        <v/>
      </c>
      <c r="C113" s="5">
        <f>COUNTIFS(tblOrdenes[tecnico_asignado],$A113,tblOrdenes[estado],"Cerrada",tblOrdenes[es_habil],"sí")</f>
        <v/>
      </c>
      <c r="D113" s="16">
        <f>IF(B113=0,"",C113/B113)</f>
        <v/>
      </c>
      <c r="E113" s="17">
        <f>SUMIFS(tblOrdenes[horas_efectivas],tblOrdenes[tecnico_asignado],$A113,tblOrdenes[es_habil],"sí")</f>
        <v/>
      </c>
      <c r="F113" s="17">
        <f>SUMIFS(tblOrdenes[horas_efectivas],tblOrdenes[tecnico_asignado],$A113,tblOrdenes[estado],"Cerrada",tblOrdenes[es_habil],"sí")</f>
        <v/>
      </c>
      <c r="G113" s="16">
        <f>IF(E113=0,"",F113/E113)</f>
        <v/>
      </c>
    </row>
    <row r="114">
      <c r="A114" s="5" t="inlineStr">
        <is>
          <t>Miguel Martínez</t>
        </is>
      </c>
      <c r="B114" s="5">
        <f>COUNTIFS(tblOrdenes[tecnico_asignado],$A114,tblOrdenes[es_habil],"sí")</f>
        <v/>
      </c>
      <c r="C114" s="5">
        <f>COUNTIFS(tblOrdenes[tecnico_asignado],$A114,tblOrdenes[estado],"Cerrada",tblOrdenes[es_habil],"sí")</f>
        <v/>
      </c>
      <c r="D114" s="16">
        <f>IF(B114=0,"",C114/B114)</f>
        <v/>
      </c>
      <c r="E114" s="17">
        <f>SUMIFS(tblOrdenes[horas_efectivas],tblOrdenes[tecnico_asignado],$A114,tblOrdenes[es_habil],"sí")</f>
        <v/>
      </c>
      <c r="F114" s="17">
        <f>SUMIFS(tblOrdenes[horas_efectivas],tblOrdenes[tecnico_asignado],$A114,tblOrdenes[estado],"Cerrada",tblOrdenes[es_habil],"sí")</f>
        <v/>
      </c>
      <c r="G114" s="16">
        <f>IF(E114=0,"",F114/E114)</f>
        <v/>
      </c>
    </row>
    <row r="115">
      <c r="A115" s="5" t="inlineStr">
        <is>
          <t>Ana Sánchez</t>
        </is>
      </c>
      <c r="B115" s="5">
        <f>COUNTIFS(tblOrdenes[tecnico_asignado],$A115,tblOrdenes[es_habil],"sí")</f>
        <v/>
      </c>
      <c r="C115" s="5">
        <f>COUNTIFS(tblOrdenes[tecnico_asignado],$A115,tblOrdenes[estado],"Cerrada",tblOrdenes[es_habil],"sí")</f>
        <v/>
      </c>
      <c r="D115" s="16">
        <f>IF(B115=0,"",C115/B115)</f>
        <v/>
      </c>
      <c r="E115" s="17">
        <f>SUMIFS(tblOrdenes[horas_efectivas],tblOrdenes[tecnico_asignado],$A115,tblOrdenes[es_habil],"sí")</f>
        <v/>
      </c>
      <c r="F115" s="17">
        <f>SUMIFS(tblOrdenes[horas_efectivas],tblOrdenes[tecnico_asignado],$A115,tblOrdenes[estado],"Cerrada",tblOrdenes[es_habil],"sí")</f>
        <v/>
      </c>
      <c r="G115" s="16">
        <f>IF(E115=0,"",F115/E115)</f>
        <v/>
      </c>
    </row>
    <row r="116">
      <c r="A116" s="5" t="inlineStr">
        <is>
          <t>David Torres</t>
        </is>
      </c>
      <c r="B116" s="5">
        <f>COUNTIFS(tblOrdenes[tecnico_asignado],$A116,tblOrdenes[es_habil],"sí")</f>
        <v/>
      </c>
      <c r="C116" s="5">
        <f>COUNTIFS(tblOrdenes[tecnico_asignado],$A116,tblOrdenes[estado],"Cerrada",tblOrdenes[es_habil],"sí")</f>
        <v/>
      </c>
      <c r="D116" s="16">
        <f>IF(B116=0,"",C116/B116)</f>
        <v/>
      </c>
      <c r="E116" s="17">
        <f>SUMIFS(tblOrdenes[horas_efectivas],tblOrdenes[tecnico_asignado],$A116,tblOrdenes[es_habil],"sí")</f>
        <v/>
      </c>
      <c r="F116" s="17">
        <f>SUMIFS(tblOrdenes[horas_efectivas],tblOrdenes[tecnico_asignado],$A116,tblOrdenes[estado],"Cerrada",tblOrdenes[es_habil],"sí")</f>
        <v/>
      </c>
      <c r="G116" s="16">
        <f>IF(E116=0,"",F116/E116)</f>
        <v/>
      </c>
    </row>
    <row r="117">
      <c r="A117" s="5" t="inlineStr">
        <is>
          <t>Francisco Ramírez</t>
        </is>
      </c>
      <c r="B117" s="5">
        <f>COUNTIFS(tblOrdenes[tecnico_asignado],$A117,tblOrdenes[es_habil],"sí")</f>
        <v/>
      </c>
      <c r="C117" s="5">
        <f>COUNTIFS(tblOrdenes[tecnico_asignado],$A117,tblOrdenes[estado],"Cerrada",tblOrdenes[es_habil],"sí")</f>
        <v/>
      </c>
      <c r="D117" s="16">
        <f>IF(B117=0,"",C117/B117)</f>
        <v/>
      </c>
      <c r="E117" s="17">
        <f>SUMIFS(tblOrdenes[horas_efectivas],tblOrdenes[tecnico_asignado],$A117,tblOrdenes[es_habil],"sí")</f>
        <v/>
      </c>
      <c r="F117" s="17">
        <f>SUMIFS(tblOrdenes[horas_efectivas],tblOrdenes[tecnico_asignado],$A117,tblOrdenes[estado],"Cerrada",tblOrdenes[es_habil],"sí")</f>
        <v/>
      </c>
      <c r="G117" s="16">
        <f>IF(E117=0,"",F117/E117)</f>
        <v/>
      </c>
    </row>
    <row r="118">
      <c r="A118" s="5" t="inlineStr">
        <is>
          <t>Jorge Díaz</t>
        </is>
      </c>
      <c r="B118" s="5">
        <f>COUNTIFS(tblOrdenes[tecnico_asignado],$A118,tblOrdenes[es_habil],"sí")</f>
        <v/>
      </c>
      <c r="C118" s="5">
        <f>COUNTIFS(tblOrdenes[tecnico_asignado],$A118,tblOrdenes[estado],"Cerrada",tblOrdenes[es_habil],"sí")</f>
        <v/>
      </c>
      <c r="D118" s="16">
        <f>IF(B118=0,"",C118/B118)</f>
        <v/>
      </c>
      <c r="E118" s="17">
        <f>SUMIFS(tblOrdenes[horas_efectivas],tblOrdenes[tecnico_asignado],$A118,tblOrdenes[es_habil],"sí")</f>
        <v/>
      </c>
      <c r="F118" s="17">
        <f>SUMIFS(tblOrdenes[horas_efectivas],tblOrdenes[tecnico_asignado],$A118,tblOrdenes[estado],"Cerrada",tblOrdenes[es_habil],"sí")</f>
        <v/>
      </c>
      <c r="G118" s="16">
        <f>IF(E118=0,"",F118/E118)</f>
        <v/>
      </c>
    </row>
    <row r="119">
      <c r="A119" s="5" t="inlineStr">
        <is>
          <t>Roberto Castro</t>
        </is>
      </c>
      <c r="B119" s="5">
        <f>COUNTIFS(tblOrdenes[tecnico_asignado],$A119,tblOrdenes[es_habil],"sí")</f>
        <v/>
      </c>
      <c r="C119" s="5">
        <f>COUNTIFS(tblOrdenes[tecnico_asignado],$A119,tblOrdenes[estado],"Cerrada",tblOrdenes[es_habil],"sí")</f>
        <v/>
      </c>
      <c r="D119" s="16">
        <f>IF(B119=0,"",C119/B119)</f>
        <v/>
      </c>
      <c r="E119" s="17">
        <f>SUMIFS(tblOrdenes[horas_efectivas],tblOrdenes[tecnico_asignado],$A119,tblOrdenes[es_habil],"sí")</f>
        <v/>
      </c>
      <c r="F119" s="17">
        <f>SUMIFS(tblOrdenes[horas_efectivas],tblOrdenes[tecnico_asignado],$A119,tblOrdenes[estado],"Cerrada",tblOrdenes[es_habil],"sí")</f>
        <v/>
      </c>
      <c r="G119" s="16">
        <f>IF(E119=0,"",F119/E119)</f>
        <v/>
      </c>
    </row>
    <row r="120">
      <c r="A120" s="5" t="inlineStr">
        <is>
          <t>Laura Morales</t>
        </is>
      </c>
      <c r="B120" s="5">
        <f>COUNTIFS(tblOrdenes[tecnico_asignado],$A120,tblOrdenes[es_habil],"sí")</f>
        <v/>
      </c>
      <c r="C120" s="5">
        <f>COUNTIFS(tblOrdenes[tecnico_asignado],$A120,tblOrdenes[estado],"Cerrada",tblOrdenes[es_habil],"sí")</f>
        <v/>
      </c>
      <c r="D120" s="16">
        <f>IF(B120=0,"",C120/B120)</f>
        <v/>
      </c>
      <c r="E120" s="17">
        <f>SUMIFS(tblOrdenes[horas_efectivas],tblOrdenes[tecnico_asignado],$A120,tblOrdenes[es_habil],"sí")</f>
        <v/>
      </c>
      <c r="F120" s="17">
        <f>SUMIFS(tblOrdenes[horas_efectivas],tblOrdenes[tecnico_asignado],$A120,tblOrdenes[estado],"Cerrada",tblOrdenes[es_habil],"sí")</f>
        <v/>
      </c>
      <c r="G120" s="16">
        <f>IF(E120=0,"",F120/E120)</f>
        <v/>
      </c>
    </row>
    <row r="121">
      <c r="A121" s="5" t="inlineStr">
        <is>
          <t>Ricardo Ortiz</t>
        </is>
      </c>
      <c r="B121" s="5">
        <f>COUNTIFS(tblOrdenes[tecnico_asignado],$A121,tblOrdenes[es_habil],"sí")</f>
        <v/>
      </c>
      <c r="C121" s="5">
        <f>COUNTIFS(tblOrdenes[tecnico_asignado],$A121,tblOrdenes[estado],"Cerrada",tblOrdenes[es_habil],"sí")</f>
        <v/>
      </c>
      <c r="D121" s="16">
        <f>IF(B121=0,"",C121/B121)</f>
        <v/>
      </c>
      <c r="E121" s="17">
        <f>SUMIFS(tblOrdenes[horas_efectivas],tblOrdenes[tecnico_asignado],$A121,tblOrdenes[es_habil],"sí")</f>
        <v/>
      </c>
      <c r="F121" s="17">
        <f>SUMIFS(tblOrdenes[horas_efectivas],tblOrdenes[tecnico_asignado],$A121,tblOrdenes[estado],"Cerrada",tblOrdenes[es_habil],"sí")</f>
        <v/>
      </c>
      <c r="G121" s="16">
        <f>IF(E121=0,"",F121/E121)</f>
        <v/>
      </c>
    </row>
    <row r="122">
      <c r="A122" s="5" t="inlineStr">
        <is>
          <t>Eduardo Silva</t>
        </is>
      </c>
      <c r="B122" s="5">
        <f>COUNTIFS(tblOrdenes[tecnico_asignado],$A122,tblOrdenes[es_habil],"sí")</f>
        <v/>
      </c>
      <c r="C122" s="5">
        <f>COUNTIFS(tblOrdenes[tecnico_asignado],$A122,tblOrdenes[estado],"Cerrada",tblOrdenes[es_habil],"sí")</f>
        <v/>
      </c>
      <c r="D122" s="16">
        <f>IF(B122=0,"",C122/B122)</f>
        <v/>
      </c>
      <c r="E122" s="17">
        <f>SUMIFS(tblOrdenes[horas_efectivas],tblOrdenes[tecnico_asignado],$A122,tblOrdenes[es_habil],"sí")</f>
        <v/>
      </c>
      <c r="F122" s="17">
        <f>SUMIFS(tblOrdenes[horas_efectivas],tblOrdenes[tecnico_asignado],$A122,tblOrdenes[estado],"Cerrada",tblOrdenes[es_habil],"sí")</f>
        <v/>
      </c>
      <c r="G122" s="16">
        <f>IF(E122=0,"",F122/E122)</f>
        <v/>
      </c>
    </row>
    <row r="123">
      <c r="A123" s="5" t="inlineStr">
        <is>
          <t>Gabriela Rojas</t>
        </is>
      </c>
      <c r="B123" s="5">
        <f>COUNTIFS(tblOrdenes[tecnico_asignado],$A123,tblOrdenes[es_habil],"sí")</f>
        <v/>
      </c>
      <c r="C123" s="5">
        <f>COUNTIFS(tblOrdenes[tecnico_asignado],$A123,tblOrdenes[estado],"Cerrada",tblOrdenes[es_habil],"sí")</f>
        <v/>
      </c>
      <c r="D123" s="16">
        <f>IF(B123=0,"",C123/B123)</f>
        <v/>
      </c>
      <c r="E123" s="17">
        <f>SUMIFS(tblOrdenes[horas_efectivas],tblOrdenes[tecnico_asignado],$A123,tblOrdenes[es_habil],"sí")</f>
        <v/>
      </c>
      <c r="F123" s="17">
        <f>SUMIFS(tblOrdenes[horas_efectivas],tblOrdenes[tecnico_asignado],$A123,tblOrdenes[estado],"Cerrada",tblOrdenes[es_habil],"sí")</f>
        <v/>
      </c>
      <c r="G123" s="16">
        <f>IF(E123=0,"",F123/E123)</f>
        <v/>
      </c>
    </row>
    <row r="124">
      <c r="A124" s="5" t="inlineStr">
        <is>
          <t>Fernando Mendoza</t>
        </is>
      </c>
      <c r="B124" s="5">
        <f>COUNTIFS(tblOrdenes[tecnico_asignado],$A124,tblOrdenes[es_habil],"sí")</f>
        <v/>
      </c>
      <c r="C124" s="5">
        <f>COUNTIFS(tblOrdenes[tecnico_asignado],$A124,tblOrdenes[estado],"Cerrada",tblOrdenes[es_habil],"sí")</f>
        <v/>
      </c>
      <c r="D124" s="16">
        <f>IF(B124=0,"",C124/B124)</f>
        <v/>
      </c>
      <c r="E124" s="17">
        <f>SUMIFS(tblOrdenes[horas_efectivas],tblOrdenes[tecnico_asignado],$A124,tblOrdenes[es_habil],"sí")</f>
        <v/>
      </c>
      <c r="F124" s="17">
        <f>SUMIFS(tblOrdenes[horas_efectivas],tblOrdenes[tecnico_asignado],$A124,tblOrdenes[estado],"Cerrada",tblOrdenes[es_habil],"sí")</f>
        <v/>
      </c>
      <c r="G124" s="16">
        <f>IF(E124=0,"",F124/E124)</f>
        <v/>
      </c>
    </row>
    <row r="125">
      <c r="A125" s="5" t="inlineStr">
        <is>
          <t>Alberto Vargas</t>
        </is>
      </c>
      <c r="B125" s="5">
        <f>COUNTIFS(tblOrdenes[tecnico_asignado],$A125,tblOrdenes[es_habil],"sí")</f>
        <v/>
      </c>
      <c r="C125" s="5">
        <f>COUNTIFS(tblOrdenes[tecnico_asignado],$A125,tblOrdenes[estado],"Cerrada",tblOrdenes[es_habil],"sí")</f>
        <v/>
      </c>
      <c r="D125" s="16">
        <f>IF(B125=0,"",C125/B125)</f>
        <v/>
      </c>
      <c r="E125" s="17">
        <f>SUMIFS(tblOrdenes[horas_efectivas],tblOrdenes[tecnico_asignado],$A125,tblOrdenes[es_habil],"sí")</f>
        <v/>
      </c>
      <c r="F125" s="17">
        <f>SUMIFS(tblOrdenes[horas_efectivas],tblOrdenes[tecnico_asignado],$A125,tblOrdenes[estado],"Cerrada",tblOrdenes[es_habil],"sí")</f>
        <v/>
      </c>
      <c r="G125" s="16">
        <f>IF(E125=0,"",F125/E125)</f>
        <v/>
      </c>
    </row>
    <row r="126">
      <c r="A126" s="5" t="inlineStr">
        <is>
          <t>Daniela Medina</t>
        </is>
      </c>
      <c r="B126" s="5">
        <f>COUNTIFS(tblOrdenes[tecnico_asignado],$A126,tblOrdenes[es_habil],"sí")</f>
        <v/>
      </c>
      <c r="C126" s="5">
        <f>COUNTIFS(tblOrdenes[tecnico_asignado],$A126,tblOrdenes[estado],"Cerrada",tblOrdenes[es_habil],"sí")</f>
        <v/>
      </c>
      <c r="D126" s="16">
        <f>IF(B126=0,"",C126/B126)</f>
        <v/>
      </c>
      <c r="E126" s="17">
        <f>SUMIFS(tblOrdenes[horas_efectivas],tblOrdenes[tecnico_asignado],$A126,tblOrdenes[es_habil],"sí")</f>
        <v/>
      </c>
      <c r="F126" s="17">
        <f>SUMIFS(tblOrdenes[horas_efectivas],tblOrdenes[tecnico_asignado],$A126,tblOrdenes[estado],"Cerrada",tblOrdenes[es_habil],"sí")</f>
        <v/>
      </c>
      <c r="G126" s="16">
        <f>IF(E126=0,"",F126/E126)</f>
        <v/>
      </c>
    </row>
    <row r="128">
      <c r="A128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</t>
        </is>
      </c>
    </row>
    <row r="129">
      <c r="A129" s="15" t="inlineStr">
        <is>
          <t>mes</t>
        </is>
      </c>
      <c r="B129" s="15" t="inlineStr">
        <is>
          <t>corte</t>
        </is>
      </c>
      <c r="C129" s="15" t="inlineStr">
        <is>
          <t>total_ot</t>
        </is>
      </c>
      <c r="D129" s="15" t="inlineStr">
        <is>
          <t>cerradas</t>
        </is>
      </c>
      <c r="E129" s="15" t="inlineStr">
        <is>
          <t>adherencia</t>
        </is>
      </c>
      <c r="F129" s="15" t="inlineStr">
        <is>
          <t>meta</t>
        </is>
      </c>
      <c r="G129" s="15" t="inlineStr">
        <is>
          <t>legal_programadas</t>
        </is>
      </c>
      <c r="H129" s="15" t="inlineStr">
        <is>
          <t>legal_cerradas</t>
        </is>
      </c>
      <c r="I129" s="15" t="inlineStr">
        <is>
          <t>legal_adherencia</t>
        </is>
      </c>
      <c r="J129" s="15" t="inlineStr">
        <is>
          <t>legal_vencidas</t>
        </is>
      </c>
      <c r="K129" s="15" t="inlineStr">
        <is>
          <t>predictivo</t>
        </is>
      </c>
      <c r="L129" s="15" t="inlineStr">
        <is>
          <t>preventivo</t>
        </is>
      </c>
      <c r="M129" s="15" t="inlineStr">
        <is>
          <t>correctivo_programado</t>
        </is>
      </c>
      <c r="N129" s="15" t="inlineStr">
        <is>
          <t>emergencia</t>
        </is>
      </c>
      <c r="O129" s="15" t="inlineStr">
        <is>
          <t>legal</t>
        </is>
      </c>
      <c r="P129" s="15" t="inlineStr">
        <is>
          <t>SIN CLASIFICAR</t>
        </is>
      </c>
      <c r="Q129" s="15" t="inlineStr">
        <is>
          <t>CONTROL — órdenes del mes</t>
        </is>
      </c>
      <c r="R129" s="15" t="inlineStr">
        <is>
          <t>DIFERENCIA (debe ser 0)</t>
        </is>
      </c>
    </row>
    <row r="130">
      <c r="A130" s="5" t="inlineStr">
        <is>
          <t>2026-02</t>
        </is>
      </c>
      <c r="B130" s="22">
        <f>IF($A130="","",IF($A130=YEAR(p_fecha_datos)&amp;"-"&amp;TEXT(MONTH(p_fecha_datos),"00"),p_fecha_datos-1,DATE(VALUE(LEFT($A130,4)),VALUE(RIGHT($A130,2))+1,0)))</f>
        <v/>
      </c>
      <c r="C130" s="5">
        <f>COUNTIFS(tblOrdenes[mes_clave],$A130,tblOrdenes[fecha_inicio],"&lt;="&amp;$B130,tblOrdenes[es_habil],"sí")</f>
        <v/>
      </c>
      <c r="D130" s="5">
        <f>COUNTIFS(tblOrdenes[mes_clave],$A130,tblOrdenes[fecha_inicio],"&lt;="&amp;$B130,tblOrdenes[es_habil],"sí",tblOrdenes[estado],"Cerrada")</f>
        <v/>
      </c>
      <c r="E130" s="16">
        <f>IF($C130=0,"",$D130/$C130)</f>
        <v/>
      </c>
      <c r="F130" s="21">
        <f>p_meta_adherencia</f>
        <v/>
      </c>
      <c r="G130" s="5">
        <f>COUNTIFS(tblOrdenes[mes_clave],$A130,tblOrdenes[fecha_inicio],"&lt;="&amp;$B130,tblOrdenes[clase_mantenimiento],"legal")</f>
        <v/>
      </c>
      <c r="H130" s="5">
        <f>COUNTIFS(tblOrdenes[mes_clave],$A130,tblOrdenes[fecha_inicio],"&lt;="&amp;$B130,tblOrdenes[clase_mantenimiento],"legal",tblOrdenes[estado],"Cerrada")</f>
        <v/>
      </c>
      <c r="I130" s="16">
        <f>IF($G130=0,"",$H130/$G130)</f>
        <v/>
      </c>
      <c r="J130" s="5">
        <f>COUNTIFS(tblOrdenes[mes_clave],$A130,tblOrdenes[fecha_inicio],"&lt;="&amp;$B130,tblOrdenes[clase_mantenimiento],"legal",tblOrdenes[estado],"Pendiente")</f>
        <v/>
      </c>
      <c r="K130" s="5">
        <f>COUNTIFS(tblOrdenes[mes_clave],$A130,tblOrdenes[fecha_inicio],"&lt;="&amp;$B130,tblOrdenes[clase_mantenimiento],"predictivo")</f>
        <v/>
      </c>
      <c r="L130" s="5">
        <f>COUNTIFS(tblOrdenes[mes_clave],$A130,tblOrdenes[fecha_inicio],"&lt;="&amp;$B130,tblOrdenes[clase_mantenimiento],"preventivo")</f>
        <v/>
      </c>
      <c r="M130" s="5">
        <f>COUNTIFS(tblOrdenes[mes_clave],$A130,tblOrdenes[fecha_inicio],"&lt;="&amp;$B130,tblOrdenes[clase_mantenimiento],"correctivo_programado")</f>
        <v/>
      </c>
      <c r="N130" s="5">
        <f>COUNTIFS(tblOrdenes[mes_clave],$A130,tblOrdenes[fecha_inicio],"&lt;="&amp;$B130,tblOrdenes[clase_mantenimiento],"emergencia")</f>
        <v/>
      </c>
      <c r="O130" s="5">
        <f>COUNTIFS(tblOrdenes[mes_clave],$A130,tblOrdenes[fecha_inicio],"&lt;="&amp;$B130,tblOrdenes[clase_mantenimiento],"legal")</f>
        <v/>
      </c>
      <c r="P130" s="5">
        <f>COUNTIFS(tblOrdenes[mes_clave],$A130,tblOrdenes[fecha_inicio],"&lt;="&amp;$B130,tblOrdenes[clase_mantenimiento],"SIN CLASIFICAR")</f>
        <v/>
      </c>
      <c r="Q130" s="5">
        <f>COUNTIFS(tblOrdenes[mes_clave],$A130,tblOrdenes[fecha_inicio],"&lt;="&amp;$B130)</f>
        <v/>
      </c>
      <c r="R130" s="5">
        <f>SUM(K130:P130)-Q130</f>
        <v/>
      </c>
    </row>
    <row r="131">
      <c r="A131" s="5" t="inlineStr">
        <is>
          <t>2026-03</t>
        </is>
      </c>
      <c r="B131" s="22">
        <f>IF($A131="","",IF($A131=YEAR(p_fecha_datos)&amp;"-"&amp;TEXT(MONTH(p_fecha_datos),"00"),p_fecha_datos-1,DATE(VALUE(LEFT($A131,4)),VALUE(RIGHT($A131,2))+1,0)))</f>
        <v/>
      </c>
      <c r="C131" s="5">
        <f>COUNTIFS(tblOrdenes[mes_clave],$A131,tblOrdenes[fecha_inicio],"&lt;="&amp;$B131,tblOrdenes[es_habil],"sí")</f>
        <v/>
      </c>
      <c r="D131" s="5">
        <f>COUNTIFS(tblOrdenes[mes_clave],$A131,tblOrdenes[fecha_inicio],"&lt;="&amp;$B131,tblOrdenes[es_habil],"sí",tblOrdenes[estado],"Cerrada")</f>
        <v/>
      </c>
      <c r="E131" s="16">
        <f>IF($C131=0,"",$D131/$C131)</f>
        <v/>
      </c>
      <c r="F131" s="21">
        <f>p_meta_adherencia</f>
        <v/>
      </c>
      <c r="G131" s="5">
        <f>COUNTIFS(tblOrdenes[mes_clave],$A131,tblOrdenes[fecha_inicio],"&lt;="&amp;$B131,tblOrdenes[clase_mantenimiento],"legal")</f>
        <v/>
      </c>
      <c r="H131" s="5">
        <f>COUNTIFS(tblOrdenes[mes_clave],$A131,tblOrdenes[fecha_inicio],"&lt;="&amp;$B131,tblOrdenes[clase_mantenimiento],"legal",tblOrdenes[estado],"Cerrada")</f>
        <v/>
      </c>
      <c r="I131" s="16">
        <f>IF($G131=0,"",$H131/$G131)</f>
        <v/>
      </c>
      <c r="J131" s="5">
        <f>COUNTIFS(tblOrdenes[mes_clave],$A131,tblOrdenes[fecha_inicio],"&lt;="&amp;$B131,tblOrdenes[clase_mantenimiento],"legal",tblOrdenes[estado],"Pendiente")</f>
        <v/>
      </c>
      <c r="K131" s="5">
        <f>COUNTIFS(tblOrdenes[mes_clave],$A131,tblOrdenes[fecha_inicio],"&lt;="&amp;$B131,tblOrdenes[clase_mantenimiento],"predictivo")</f>
        <v/>
      </c>
      <c r="L131" s="5">
        <f>COUNTIFS(tblOrdenes[mes_clave],$A131,tblOrdenes[fecha_inicio],"&lt;="&amp;$B131,tblOrdenes[clase_mantenimiento],"preventivo")</f>
        <v/>
      </c>
      <c r="M131" s="5">
        <f>COUNTIFS(tblOrdenes[mes_clave],$A131,tblOrdenes[fecha_inicio],"&lt;="&amp;$B131,tblOrdenes[clase_mantenimiento],"correctivo_programado")</f>
        <v/>
      </c>
      <c r="N131" s="5">
        <f>COUNTIFS(tblOrdenes[mes_clave],$A131,tblOrdenes[fecha_inicio],"&lt;="&amp;$B131,tblOrdenes[clase_mantenimiento],"emergencia")</f>
        <v/>
      </c>
      <c r="O131" s="5">
        <f>COUNTIFS(tblOrdenes[mes_clave],$A131,tblOrdenes[fecha_inicio],"&lt;="&amp;$B131,tblOrdenes[clase_mantenimiento],"legal")</f>
        <v/>
      </c>
      <c r="P131" s="5">
        <f>COUNTIFS(tblOrdenes[mes_clave],$A131,tblOrdenes[fecha_inicio],"&lt;="&amp;$B131,tblOrdenes[clase_mantenimiento],"SIN CLASIFICAR")</f>
        <v/>
      </c>
      <c r="Q131" s="5">
        <f>COUNTIFS(tblOrdenes[mes_clave],$A131,tblOrdenes[fecha_inicio],"&lt;="&amp;$B131)</f>
        <v/>
      </c>
      <c r="R131" s="5">
        <f>SUM(K131:P131)-Q131</f>
        <v/>
      </c>
    </row>
    <row r="132">
      <c r="A132" s="5" t="inlineStr">
        <is>
          <t>2026-04</t>
        </is>
      </c>
      <c r="B132" s="22">
        <f>IF($A132="","",IF($A132=YEAR(p_fecha_datos)&amp;"-"&amp;TEXT(MONTH(p_fecha_datos),"00"),p_fecha_datos-1,DATE(VALUE(LEFT($A132,4)),VALUE(RIGHT($A132,2))+1,0)))</f>
        <v/>
      </c>
      <c r="C132" s="5">
        <f>COUNTIFS(tblOrdenes[mes_clave],$A132,tblOrdenes[fecha_inicio],"&lt;="&amp;$B132,tblOrdenes[es_habil],"sí")</f>
        <v/>
      </c>
      <c r="D132" s="5">
        <f>COUNTIFS(tblOrdenes[mes_clave],$A132,tblOrdenes[fecha_inicio],"&lt;="&amp;$B132,tblOrdenes[es_habil],"sí",tblOrdenes[estado],"Cerrada")</f>
        <v/>
      </c>
      <c r="E132" s="16">
        <f>IF($C132=0,"",$D132/$C132)</f>
        <v/>
      </c>
      <c r="F132" s="21">
        <f>p_meta_adherencia</f>
        <v/>
      </c>
      <c r="G132" s="5">
        <f>COUNTIFS(tblOrdenes[mes_clave],$A132,tblOrdenes[fecha_inicio],"&lt;="&amp;$B132,tblOrdenes[clase_mantenimiento],"legal")</f>
        <v/>
      </c>
      <c r="H132" s="5">
        <f>COUNTIFS(tblOrdenes[mes_clave],$A132,tblOrdenes[fecha_inicio],"&lt;="&amp;$B132,tblOrdenes[clase_mantenimiento],"legal",tblOrdenes[estado],"Cerrada")</f>
        <v/>
      </c>
      <c r="I132" s="16">
        <f>IF($G132=0,"",$H132/$G132)</f>
        <v/>
      </c>
      <c r="J132" s="5">
        <f>COUNTIFS(tblOrdenes[mes_clave],$A132,tblOrdenes[fecha_inicio],"&lt;="&amp;$B132,tblOrdenes[clase_mantenimiento],"legal",tblOrdenes[estado],"Pendiente")</f>
        <v/>
      </c>
      <c r="K132" s="5">
        <f>COUNTIFS(tblOrdenes[mes_clave],$A132,tblOrdenes[fecha_inicio],"&lt;="&amp;$B132,tblOrdenes[clase_mantenimiento],"predictivo")</f>
        <v/>
      </c>
      <c r="L132" s="5">
        <f>COUNTIFS(tblOrdenes[mes_clave],$A132,tblOrdenes[fecha_inicio],"&lt;="&amp;$B132,tblOrdenes[clase_mantenimiento],"preventivo")</f>
        <v/>
      </c>
      <c r="M132" s="5">
        <f>COUNTIFS(tblOrdenes[mes_clave],$A132,tblOrdenes[fecha_inicio],"&lt;="&amp;$B132,tblOrdenes[clase_mantenimiento],"correctivo_programado")</f>
        <v/>
      </c>
      <c r="N132" s="5">
        <f>COUNTIFS(tblOrdenes[mes_clave],$A132,tblOrdenes[fecha_inicio],"&lt;="&amp;$B132,tblOrdenes[clase_mantenimiento],"emergencia")</f>
        <v/>
      </c>
      <c r="O132" s="5">
        <f>COUNTIFS(tblOrdenes[mes_clave],$A132,tblOrdenes[fecha_inicio],"&lt;="&amp;$B132,tblOrdenes[clase_mantenimiento],"legal")</f>
        <v/>
      </c>
      <c r="P132" s="5">
        <f>COUNTIFS(tblOrdenes[mes_clave],$A132,tblOrdenes[fecha_inicio],"&lt;="&amp;$B132,tblOrdenes[clase_mantenimiento],"SIN CLASIFICAR")</f>
        <v/>
      </c>
      <c r="Q132" s="5">
        <f>COUNTIFS(tblOrdenes[mes_clave],$A132,tblOrdenes[fecha_inicio],"&lt;="&amp;$B132)</f>
        <v/>
      </c>
      <c r="R132" s="5">
        <f>SUM(K132:P132)-Q132</f>
        <v/>
      </c>
    </row>
    <row r="133">
      <c r="A133" s="5" t="inlineStr">
        <is>
          <t>2026-05</t>
        </is>
      </c>
      <c r="B133" s="22">
        <f>IF($A133="","",IF($A133=YEAR(p_fecha_datos)&amp;"-"&amp;TEXT(MONTH(p_fecha_datos),"00"),p_fecha_datos-1,DATE(VALUE(LEFT($A133,4)),VALUE(RIGHT($A133,2))+1,0)))</f>
        <v/>
      </c>
      <c r="C133" s="5">
        <f>COUNTIFS(tblOrdenes[mes_clave],$A133,tblOrdenes[fecha_inicio],"&lt;="&amp;$B133,tblOrdenes[es_habil],"sí")</f>
        <v/>
      </c>
      <c r="D133" s="5">
        <f>COUNTIFS(tblOrdenes[mes_clave],$A133,tblOrdenes[fecha_inicio],"&lt;="&amp;$B133,tblOrdenes[es_habil],"sí",tblOrdenes[estado],"Cerrada")</f>
        <v/>
      </c>
      <c r="E133" s="16">
        <f>IF($C133=0,"",$D133/$C133)</f>
        <v/>
      </c>
      <c r="F133" s="21">
        <f>p_meta_adherencia</f>
        <v/>
      </c>
      <c r="G133" s="5">
        <f>COUNTIFS(tblOrdenes[mes_clave],$A133,tblOrdenes[fecha_inicio],"&lt;="&amp;$B133,tblOrdenes[clase_mantenimiento],"legal")</f>
        <v/>
      </c>
      <c r="H133" s="5">
        <f>COUNTIFS(tblOrdenes[mes_clave],$A133,tblOrdenes[fecha_inicio],"&lt;="&amp;$B133,tblOrdenes[clase_mantenimiento],"legal",tblOrdenes[estado],"Cerrada")</f>
        <v/>
      </c>
      <c r="I133" s="16">
        <f>IF($G133=0,"",$H133/$G133)</f>
        <v/>
      </c>
      <c r="J133" s="5">
        <f>COUNTIFS(tblOrdenes[mes_clave],$A133,tblOrdenes[fecha_inicio],"&lt;="&amp;$B133,tblOrdenes[clase_mantenimiento],"legal",tblOrdenes[estado],"Pendiente")</f>
        <v/>
      </c>
      <c r="K133" s="5">
        <f>COUNTIFS(tblOrdenes[mes_clave],$A133,tblOrdenes[fecha_inicio],"&lt;="&amp;$B133,tblOrdenes[clase_mantenimiento],"predictivo")</f>
        <v/>
      </c>
      <c r="L133" s="5">
        <f>COUNTIFS(tblOrdenes[mes_clave],$A133,tblOrdenes[fecha_inicio],"&lt;="&amp;$B133,tblOrdenes[clase_mantenimiento],"preventivo")</f>
        <v/>
      </c>
      <c r="M133" s="5">
        <f>COUNTIFS(tblOrdenes[mes_clave],$A133,tblOrdenes[fecha_inicio],"&lt;="&amp;$B133,tblOrdenes[clase_mantenimiento],"correctivo_programado")</f>
        <v/>
      </c>
      <c r="N133" s="5">
        <f>COUNTIFS(tblOrdenes[mes_clave],$A133,tblOrdenes[fecha_inicio],"&lt;="&amp;$B133,tblOrdenes[clase_mantenimiento],"emergencia")</f>
        <v/>
      </c>
      <c r="O133" s="5">
        <f>COUNTIFS(tblOrdenes[mes_clave],$A133,tblOrdenes[fecha_inicio],"&lt;="&amp;$B133,tblOrdenes[clase_mantenimiento],"legal")</f>
        <v/>
      </c>
      <c r="P133" s="5">
        <f>COUNTIFS(tblOrdenes[mes_clave],$A133,tblOrdenes[fecha_inicio],"&lt;="&amp;$B133,tblOrdenes[clase_mantenimiento],"SIN CLASIFICAR")</f>
        <v/>
      </c>
      <c r="Q133" s="5">
        <f>COUNTIFS(tblOrdenes[mes_clave],$A133,tblOrdenes[fecha_inicio],"&lt;="&amp;$B133)</f>
        <v/>
      </c>
      <c r="R133" s="5">
        <f>SUM(K133:P133)-Q133</f>
        <v/>
      </c>
    </row>
    <row r="134">
      <c r="A134" s="5" t="inlineStr">
        <is>
          <t>2026-06</t>
        </is>
      </c>
      <c r="B134" s="22">
        <f>IF($A134="","",IF($A134=YEAR(p_fecha_datos)&amp;"-"&amp;TEXT(MONTH(p_fecha_datos),"00"),p_fecha_datos-1,DATE(VALUE(LEFT($A134,4)),VALUE(RIGHT($A134,2))+1,0)))</f>
        <v/>
      </c>
      <c r="C134" s="5">
        <f>COUNTIFS(tblOrdenes[mes_clave],$A134,tblOrdenes[fecha_inicio],"&lt;="&amp;$B134,tblOrdenes[es_habil],"sí")</f>
        <v/>
      </c>
      <c r="D134" s="5">
        <f>COUNTIFS(tblOrdenes[mes_clave],$A134,tblOrdenes[fecha_inicio],"&lt;="&amp;$B134,tblOrdenes[es_habil],"sí",tblOrdenes[estado],"Cerrada")</f>
        <v/>
      </c>
      <c r="E134" s="16">
        <f>IF($C134=0,"",$D134/$C134)</f>
        <v/>
      </c>
      <c r="F134" s="21">
        <f>p_meta_adherencia</f>
        <v/>
      </c>
      <c r="G134" s="5">
        <f>COUNTIFS(tblOrdenes[mes_clave],$A134,tblOrdenes[fecha_inicio],"&lt;="&amp;$B134,tblOrdenes[clase_mantenimiento],"legal")</f>
        <v/>
      </c>
      <c r="H134" s="5">
        <f>COUNTIFS(tblOrdenes[mes_clave],$A134,tblOrdenes[fecha_inicio],"&lt;="&amp;$B134,tblOrdenes[clase_mantenimiento],"legal",tblOrdenes[estado],"Cerrada")</f>
        <v/>
      </c>
      <c r="I134" s="16">
        <f>IF($G134=0,"",$H134/$G134)</f>
        <v/>
      </c>
      <c r="J134" s="5">
        <f>COUNTIFS(tblOrdenes[mes_clave],$A134,tblOrdenes[fecha_inicio],"&lt;="&amp;$B134,tblOrdenes[clase_mantenimiento],"legal",tblOrdenes[estado],"Pendiente")</f>
        <v/>
      </c>
      <c r="K134" s="5">
        <f>COUNTIFS(tblOrdenes[mes_clave],$A134,tblOrdenes[fecha_inicio],"&lt;="&amp;$B134,tblOrdenes[clase_mantenimiento],"predictivo")</f>
        <v/>
      </c>
      <c r="L134" s="5">
        <f>COUNTIFS(tblOrdenes[mes_clave],$A134,tblOrdenes[fecha_inicio],"&lt;="&amp;$B134,tblOrdenes[clase_mantenimiento],"preventivo")</f>
        <v/>
      </c>
      <c r="M134" s="5">
        <f>COUNTIFS(tblOrdenes[mes_clave],$A134,tblOrdenes[fecha_inicio],"&lt;="&amp;$B134,tblOrdenes[clase_mantenimiento],"correctivo_programado")</f>
        <v/>
      </c>
      <c r="N134" s="5">
        <f>COUNTIFS(tblOrdenes[mes_clave],$A134,tblOrdenes[fecha_inicio],"&lt;="&amp;$B134,tblOrdenes[clase_mantenimiento],"emergencia")</f>
        <v/>
      </c>
      <c r="O134" s="5">
        <f>COUNTIFS(tblOrdenes[mes_clave],$A134,tblOrdenes[fecha_inicio],"&lt;="&amp;$B134,tblOrdenes[clase_mantenimiento],"legal")</f>
        <v/>
      </c>
      <c r="P134" s="5">
        <f>COUNTIFS(tblOrdenes[mes_clave],$A134,tblOrdenes[fecha_inicio],"&lt;="&amp;$B134,tblOrdenes[clase_mantenimiento],"SIN CLASIFICAR")</f>
        <v/>
      </c>
      <c r="Q134" s="5">
        <f>COUNTIFS(tblOrdenes[mes_clave],$A134,tblOrdenes[fecha_inicio],"&lt;="&amp;$B134)</f>
        <v/>
      </c>
      <c r="R134" s="5">
        <f>SUM(K134:P134)-Q134</f>
        <v/>
      </c>
    </row>
    <row r="135">
      <c r="A135" s="5" t="inlineStr">
        <is>
          <t>2026-07</t>
        </is>
      </c>
      <c r="B135" s="22">
        <f>IF($A135="","",IF($A135=YEAR(p_fecha_datos)&amp;"-"&amp;TEXT(MONTH(p_fecha_datos),"00"),p_fecha_datos-1,DATE(VALUE(LEFT($A135,4)),VALUE(RIGHT($A135,2))+1,0)))</f>
        <v/>
      </c>
      <c r="C135" s="5">
        <f>COUNTIFS(tblOrdenes[mes_clave],$A135,tblOrdenes[fecha_inicio],"&lt;="&amp;$B135,tblOrdenes[es_habil],"sí")</f>
        <v/>
      </c>
      <c r="D135" s="5">
        <f>COUNTIFS(tblOrdenes[mes_clave],$A135,tblOrdenes[fecha_inicio],"&lt;="&amp;$B135,tblOrdenes[es_habil],"sí",tblOrdenes[estado],"Cerrada")</f>
        <v/>
      </c>
      <c r="E135" s="16">
        <f>IF($C135=0,"",$D135/$C135)</f>
        <v/>
      </c>
      <c r="F135" s="21">
        <f>p_meta_adherencia</f>
        <v/>
      </c>
      <c r="G135" s="5">
        <f>COUNTIFS(tblOrdenes[mes_clave],$A135,tblOrdenes[fecha_inicio],"&lt;="&amp;$B135,tblOrdenes[clase_mantenimiento],"legal")</f>
        <v/>
      </c>
      <c r="H135" s="5">
        <f>COUNTIFS(tblOrdenes[mes_clave],$A135,tblOrdenes[fecha_inicio],"&lt;="&amp;$B135,tblOrdenes[clase_mantenimiento],"legal",tblOrdenes[estado],"Cerrada")</f>
        <v/>
      </c>
      <c r="I135" s="16">
        <f>IF($G135=0,"",$H135/$G135)</f>
        <v/>
      </c>
      <c r="J135" s="5">
        <f>COUNTIFS(tblOrdenes[mes_clave],$A135,tblOrdenes[fecha_inicio],"&lt;="&amp;$B135,tblOrdenes[clase_mantenimiento],"legal",tblOrdenes[estado],"Pendiente")</f>
        <v/>
      </c>
      <c r="K135" s="5">
        <f>COUNTIFS(tblOrdenes[mes_clave],$A135,tblOrdenes[fecha_inicio],"&lt;="&amp;$B135,tblOrdenes[clase_mantenimiento],"predictivo")</f>
        <v/>
      </c>
      <c r="L135" s="5">
        <f>COUNTIFS(tblOrdenes[mes_clave],$A135,tblOrdenes[fecha_inicio],"&lt;="&amp;$B135,tblOrdenes[clase_mantenimiento],"preventivo")</f>
        <v/>
      </c>
      <c r="M135" s="5">
        <f>COUNTIFS(tblOrdenes[mes_clave],$A135,tblOrdenes[fecha_inicio],"&lt;="&amp;$B135,tblOrdenes[clase_mantenimiento],"correctivo_programado")</f>
        <v/>
      </c>
      <c r="N135" s="5">
        <f>COUNTIFS(tblOrdenes[mes_clave],$A135,tblOrdenes[fecha_inicio],"&lt;="&amp;$B135,tblOrdenes[clase_mantenimiento],"emergencia")</f>
        <v/>
      </c>
      <c r="O135" s="5">
        <f>COUNTIFS(tblOrdenes[mes_clave],$A135,tblOrdenes[fecha_inicio],"&lt;="&amp;$B135,tblOrdenes[clase_mantenimiento],"legal")</f>
        <v/>
      </c>
      <c r="P135" s="5">
        <f>COUNTIFS(tblOrdenes[mes_clave],$A135,tblOrdenes[fecha_inicio],"&lt;="&amp;$B135,tblOrdenes[clase_mantenimiento],"SIN CLASIFICAR")</f>
        <v/>
      </c>
      <c r="Q135" s="5">
        <f>COUNTIFS(tblOrdenes[mes_clave],$A135,tblOrdenes[fecha_inicio],"&lt;="&amp;$B135)</f>
        <v/>
      </c>
      <c r="R135" s="5">
        <f>SUM(K135:P135)-Q135</f>
        <v/>
      </c>
    </row>
    <row r="136">
      <c r="A136" s="5" t="inlineStr">
        <is>
          <t>2026-08</t>
        </is>
      </c>
      <c r="B136" s="22">
        <f>IF($A136="","",IF($A136=YEAR(p_fecha_datos)&amp;"-"&amp;TEXT(MONTH(p_fecha_datos),"00"),p_fecha_datos-1,DATE(VALUE(LEFT($A136,4)),VALUE(RIGHT($A136,2))+1,0)))</f>
        <v/>
      </c>
      <c r="C136" s="5">
        <f>COUNTIFS(tblOrdenes[mes_clave],$A136,tblOrdenes[fecha_inicio],"&lt;="&amp;$B136,tblOrdenes[es_habil],"sí")</f>
        <v/>
      </c>
      <c r="D136" s="5">
        <f>COUNTIFS(tblOrdenes[mes_clave],$A136,tblOrdenes[fecha_inicio],"&lt;="&amp;$B136,tblOrdenes[es_habil],"sí",tblOrdenes[estado],"Cerrada")</f>
        <v/>
      </c>
      <c r="E136" s="16">
        <f>IF($C136=0,"",$D136/$C136)</f>
        <v/>
      </c>
      <c r="F136" s="21">
        <f>p_meta_adherencia</f>
        <v/>
      </c>
      <c r="G136" s="5">
        <f>COUNTIFS(tblOrdenes[mes_clave],$A136,tblOrdenes[fecha_inicio],"&lt;="&amp;$B136,tblOrdenes[clase_mantenimiento],"legal")</f>
        <v/>
      </c>
      <c r="H136" s="5">
        <f>COUNTIFS(tblOrdenes[mes_clave],$A136,tblOrdenes[fecha_inicio],"&lt;="&amp;$B136,tblOrdenes[clase_mantenimiento],"legal",tblOrdenes[estado],"Cerrada")</f>
        <v/>
      </c>
      <c r="I136" s="16">
        <f>IF($G136=0,"",$H136/$G136)</f>
        <v/>
      </c>
      <c r="J136" s="5">
        <f>COUNTIFS(tblOrdenes[mes_clave],$A136,tblOrdenes[fecha_inicio],"&lt;="&amp;$B136,tblOrdenes[clase_mantenimiento],"legal",tblOrdenes[estado],"Pendiente")</f>
        <v/>
      </c>
      <c r="K136" s="5">
        <f>COUNTIFS(tblOrdenes[mes_clave],$A136,tblOrdenes[fecha_inicio],"&lt;="&amp;$B136,tblOrdenes[clase_mantenimiento],"predictivo")</f>
        <v/>
      </c>
      <c r="L136" s="5">
        <f>COUNTIFS(tblOrdenes[mes_clave],$A136,tblOrdenes[fecha_inicio],"&lt;="&amp;$B136,tblOrdenes[clase_mantenimiento],"preventivo")</f>
        <v/>
      </c>
      <c r="M136" s="5">
        <f>COUNTIFS(tblOrdenes[mes_clave],$A136,tblOrdenes[fecha_inicio],"&lt;="&amp;$B136,tblOrdenes[clase_mantenimiento],"correctivo_programado")</f>
        <v/>
      </c>
      <c r="N136" s="5">
        <f>COUNTIFS(tblOrdenes[mes_clave],$A136,tblOrdenes[fecha_inicio],"&lt;="&amp;$B136,tblOrdenes[clase_mantenimiento],"emergencia")</f>
        <v/>
      </c>
      <c r="O136" s="5">
        <f>COUNTIFS(tblOrdenes[mes_clave],$A136,tblOrdenes[fecha_inicio],"&lt;="&amp;$B136,tblOrdenes[clase_mantenimiento],"legal")</f>
        <v/>
      </c>
      <c r="P136" s="5">
        <f>COUNTIFS(tblOrdenes[mes_clave],$A136,tblOrdenes[fecha_inicio],"&lt;="&amp;$B136,tblOrdenes[clase_mantenimiento],"SIN CLASIFICAR")</f>
        <v/>
      </c>
      <c r="Q136" s="5">
        <f>COUNTIFS(tblOrdenes[mes_clave],$A136,tblOrdenes[fecha_inicio],"&lt;="&amp;$B136)</f>
        <v/>
      </c>
      <c r="R136" s="5">
        <f>SUM(K136:P136)-Q136</f>
        <v/>
      </c>
    </row>
    <row r="137">
      <c r="A137" s="5" t="inlineStr">
        <is>
          <t>2026-09</t>
        </is>
      </c>
      <c r="B137" s="22">
        <f>IF($A137="","",IF($A137=YEAR(p_fecha_datos)&amp;"-"&amp;TEXT(MONTH(p_fecha_datos),"00"),p_fecha_datos-1,DATE(VALUE(LEFT($A137,4)),VALUE(RIGHT($A137,2))+1,0)))</f>
        <v/>
      </c>
      <c r="C137" s="5">
        <f>COUNTIFS(tblOrdenes[mes_clave],$A137,tblOrdenes[fecha_inicio],"&lt;="&amp;$B137,tblOrdenes[es_habil],"sí")</f>
        <v/>
      </c>
      <c r="D137" s="5">
        <f>COUNTIFS(tblOrdenes[mes_clave],$A137,tblOrdenes[fecha_inicio],"&lt;="&amp;$B137,tblOrdenes[es_habil],"sí",tblOrdenes[estado],"Cerrada")</f>
        <v/>
      </c>
      <c r="E137" s="16">
        <f>IF($C137=0,"",$D137/$C137)</f>
        <v/>
      </c>
      <c r="F137" s="21">
        <f>p_meta_adherencia</f>
        <v/>
      </c>
      <c r="G137" s="5">
        <f>COUNTIFS(tblOrdenes[mes_clave],$A137,tblOrdenes[fecha_inicio],"&lt;="&amp;$B137,tblOrdenes[clase_mantenimiento],"legal")</f>
        <v/>
      </c>
      <c r="H137" s="5">
        <f>COUNTIFS(tblOrdenes[mes_clave],$A137,tblOrdenes[fecha_inicio],"&lt;="&amp;$B137,tblOrdenes[clase_mantenimiento],"legal",tblOrdenes[estado],"Cerrada")</f>
        <v/>
      </c>
      <c r="I137" s="16">
        <f>IF($G137=0,"",$H137/$G137)</f>
        <v/>
      </c>
      <c r="J137" s="5">
        <f>COUNTIFS(tblOrdenes[mes_clave],$A137,tblOrdenes[fecha_inicio],"&lt;="&amp;$B137,tblOrdenes[clase_mantenimiento],"legal",tblOrdenes[estado],"Pendiente")</f>
        <v/>
      </c>
      <c r="K137" s="5">
        <f>COUNTIFS(tblOrdenes[mes_clave],$A137,tblOrdenes[fecha_inicio],"&lt;="&amp;$B137,tblOrdenes[clase_mantenimiento],"predictivo")</f>
        <v/>
      </c>
      <c r="L137" s="5">
        <f>COUNTIFS(tblOrdenes[mes_clave],$A137,tblOrdenes[fecha_inicio],"&lt;="&amp;$B137,tblOrdenes[clase_mantenimiento],"preventivo")</f>
        <v/>
      </c>
      <c r="M137" s="5">
        <f>COUNTIFS(tblOrdenes[mes_clave],$A137,tblOrdenes[fecha_inicio],"&lt;="&amp;$B137,tblOrdenes[clase_mantenimiento],"correctivo_programado")</f>
        <v/>
      </c>
      <c r="N137" s="5">
        <f>COUNTIFS(tblOrdenes[mes_clave],$A137,tblOrdenes[fecha_inicio],"&lt;="&amp;$B137,tblOrdenes[clase_mantenimiento],"emergencia")</f>
        <v/>
      </c>
      <c r="O137" s="5">
        <f>COUNTIFS(tblOrdenes[mes_clave],$A137,tblOrdenes[fecha_inicio],"&lt;="&amp;$B137,tblOrdenes[clase_mantenimiento],"legal")</f>
        <v/>
      </c>
      <c r="P137" s="5">
        <f>COUNTIFS(tblOrdenes[mes_clave],$A137,tblOrdenes[fecha_inicio],"&lt;="&amp;$B137,tblOrdenes[clase_mantenimiento],"SIN CLASIFICAR")</f>
        <v/>
      </c>
      <c r="Q137" s="5">
        <f>COUNTIFS(tblOrdenes[mes_clave],$A137,tblOrdenes[fecha_inicio],"&lt;="&amp;$B137)</f>
        <v/>
      </c>
      <c r="R137" s="5">
        <f>SUM(K137:P137)-Q137</f>
        <v/>
      </c>
    </row>
    <row r="138">
      <c r="A138" s="5" t="inlineStr">
        <is>
          <t>2026-11</t>
        </is>
      </c>
      <c r="B138" s="22">
        <f>IF($A138="","",IF($A138=YEAR(p_fecha_datos)&amp;"-"&amp;TEXT(MONTH(p_fecha_datos),"00"),p_fecha_datos-1,DATE(VALUE(LEFT($A138,4)),VALUE(RIGHT($A138,2))+1,0)))</f>
        <v/>
      </c>
      <c r="C138" s="5">
        <f>COUNTIFS(tblOrdenes[mes_clave],$A138,tblOrdenes[fecha_inicio],"&lt;="&amp;$B138,tblOrdenes[es_habil],"sí")</f>
        <v/>
      </c>
      <c r="D138" s="5">
        <f>COUNTIFS(tblOrdenes[mes_clave],$A138,tblOrdenes[fecha_inicio],"&lt;="&amp;$B138,tblOrdenes[es_habil],"sí",tblOrdenes[estado],"Cerrada")</f>
        <v/>
      </c>
      <c r="E138" s="16">
        <f>IF($C138=0,"",$D138/$C138)</f>
        <v/>
      </c>
      <c r="F138" s="21">
        <f>p_meta_adherencia</f>
        <v/>
      </c>
      <c r="G138" s="5">
        <f>COUNTIFS(tblOrdenes[mes_clave],$A138,tblOrdenes[fecha_inicio],"&lt;="&amp;$B138,tblOrdenes[clase_mantenimiento],"legal")</f>
        <v/>
      </c>
      <c r="H138" s="5">
        <f>COUNTIFS(tblOrdenes[mes_clave],$A138,tblOrdenes[fecha_inicio],"&lt;="&amp;$B138,tblOrdenes[clase_mantenimiento],"legal",tblOrdenes[estado],"Cerrada")</f>
        <v/>
      </c>
      <c r="I138" s="16">
        <f>IF($G138=0,"",$H138/$G138)</f>
        <v/>
      </c>
      <c r="J138" s="5">
        <f>COUNTIFS(tblOrdenes[mes_clave],$A138,tblOrdenes[fecha_inicio],"&lt;="&amp;$B138,tblOrdenes[clase_mantenimiento],"legal",tblOrdenes[estado],"Pendiente")</f>
        <v/>
      </c>
      <c r="K138" s="5">
        <f>COUNTIFS(tblOrdenes[mes_clave],$A138,tblOrdenes[fecha_inicio],"&lt;="&amp;$B138,tblOrdenes[clase_mantenimiento],"predictivo")</f>
        <v/>
      </c>
      <c r="L138" s="5">
        <f>COUNTIFS(tblOrdenes[mes_clave],$A138,tblOrdenes[fecha_inicio],"&lt;="&amp;$B138,tblOrdenes[clase_mantenimiento],"preventivo")</f>
        <v/>
      </c>
      <c r="M138" s="5">
        <f>COUNTIFS(tblOrdenes[mes_clave],$A138,tblOrdenes[fecha_inicio],"&lt;="&amp;$B138,tblOrdenes[clase_mantenimiento],"correctivo_programado")</f>
        <v/>
      </c>
      <c r="N138" s="5">
        <f>COUNTIFS(tblOrdenes[mes_clave],$A138,tblOrdenes[fecha_inicio],"&lt;="&amp;$B138,tblOrdenes[clase_mantenimiento],"emergencia")</f>
        <v/>
      </c>
      <c r="O138" s="5">
        <f>COUNTIFS(tblOrdenes[mes_clave],$A138,tblOrdenes[fecha_inicio],"&lt;="&amp;$B138,tblOrdenes[clase_mantenimiento],"legal")</f>
        <v/>
      </c>
      <c r="P138" s="5">
        <f>COUNTIFS(tblOrdenes[mes_clave],$A138,tblOrdenes[fecha_inicio],"&lt;="&amp;$B138,tblOrdenes[clase_mantenimiento],"SIN CLASIFICAR")</f>
        <v/>
      </c>
      <c r="Q138" s="5">
        <f>COUNTIFS(tblOrdenes[mes_clave],$A138,tblOrdenes[fecha_inicio],"&lt;="&amp;$B138)</f>
        <v/>
      </c>
      <c r="R138" s="5">
        <f>SUM(K138:P138)-Q138</f>
        <v/>
      </c>
    </row>
    <row r="139">
      <c r="A139" s="5" t="inlineStr">
        <is>
          <t>2026-12</t>
        </is>
      </c>
      <c r="B139" s="22">
        <f>IF($A139="","",IF($A139=YEAR(p_fecha_datos)&amp;"-"&amp;TEXT(MONTH(p_fecha_datos),"00"),p_fecha_datos-1,DATE(VALUE(LEFT($A139,4)),VALUE(RIGHT($A139,2))+1,0)))</f>
        <v/>
      </c>
      <c r="C139" s="5">
        <f>COUNTIFS(tblOrdenes[mes_clave],$A139,tblOrdenes[fecha_inicio],"&lt;="&amp;$B139,tblOrdenes[es_habil],"sí")</f>
        <v/>
      </c>
      <c r="D139" s="5">
        <f>COUNTIFS(tblOrdenes[mes_clave],$A139,tblOrdenes[fecha_inicio],"&lt;="&amp;$B139,tblOrdenes[es_habil],"sí",tblOrdenes[estado],"Cerrada")</f>
        <v/>
      </c>
      <c r="E139" s="16">
        <f>IF($C139=0,"",$D139/$C139)</f>
        <v/>
      </c>
      <c r="F139" s="21">
        <f>p_meta_adherencia</f>
        <v/>
      </c>
      <c r="G139" s="5">
        <f>COUNTIFS(tblOrdenes[mes_clave],$A139,tblOrdenes[fecha_inicio],"&lt;="&amp;$B139,tblOrdenes[clase_mantenimiento],"legal")</f>
        <v/>
      </c>
      <c r="H139" s="5">
        <f>COUNTIFS(tblOrdenes[mes_clave],$A139,tblOrdenes[fecha_inicio],"&lt;="&amp;$B139,tblOrdenes[clase_mantenimiento],"legal",tblOrdenes[estado],"Cerrada")</f>
        <v/>
      </c>
      <c r="I139" s="16">
        <f>IF($G139=0,"",$H139/$G139)</f>
        <v/>
      </c>
      <c r="J139" s="5">
        <f>COUNTIFS(tblOrdenes[mes_clave],$A139,tblOrdenes[fecha_inicio],"&lt;="&amp;$B139,tblOrdenes[clase_mantenimiento],"legal",tblOrdenes[estado],"Pendiente")</f>
        <v/>
      </c>
      <c r="K139" s="5">
        <f>COUNTIFS(tblOrdenes[mes_clave],$A139,tblOrdenes[fecha_inicio],"&lt;="&amp;$B139,tblOrdenes[clase_mantenimiento],"predictivo")</f>
        <v/>
      </c>
      <c r="L139" s="5">
        <f>COUNTIFS(tblOrdenes[mes_clave],$A139,tblOrdenes[fecha_inicio],"&lt;="&amp;$B139,tblOrdenes[clase_mantenimiento],"preventivo")</f>
        <v/>
      </c>
      <c r="M139" s="5">
        <f>COUNTIFS(tblOrdenes[mes_clave],$A139,tblOrdenes[fecha_inicio],"&lt;="&amp;$B139,tblOrdenes[clase_mantenimiento],"correctivo_programado")</f>
        <v/>
      </c>
      <c r="N139" s="5">
        <f>COUNTIFS(tblOrdenes[mes_clave],$A139,tblOrdenes[fecha_inicio],"&lt;="&amp;$B139,tblOrdenes[clase_mantenimiento],"emergencia")</f>
        <v/>
      </c>
      <c r="O139" s="5">
        <f>COUNTIFS(tblOrdenes[mes_clave],$A139,tblOrdenes[fecha_inicio],"&lt;="&amp;$B139,tblOrdenes[clase_mantenimiento],"legal")</f>
        <v/>
      </c>
      <c r="P139" s="5">
        <f>COUNTIFS(tblOrdenes[mes_clave],$A139,tblOrdenes[fecha_inicio],"&lt;="&amp;$B139,tblOrdenes[clase_mantenimiento],"SIN CLASIFICAR")</f>
        <v/>
      </c>
      <c r="Q139" s="5">
        <f>COUNTIFS(tblOrdenes[mes_clave],$A139,tblOrdenes[fecha_inicio],"&lt;="&amp;$B139)</f>
        <v/>
      </c>
      <c r="R139" s="5">
        <f>SUM(K139:P139)-Q139</f>
        <v/>
      </c>
    </row>
    <row r="140">
      <c r="A140" s="5" t="inlineStr">
        <is>
          <t>2027-01</t>
        </is>
      </c>
      <c r="B140" s="22">
        <f>IF($A140="","",IF($A140=YEAR(p_fecha_datos)&amp;"-"&amp;TEXT(MONTH(p_fecha_datos),"00"),p_fecha_datos-1,DATE(VALUE(LEFT($A140,4)),VALUE(RIGHT($A140,2))+1,0)))</f>
        <v/>
      </c>
      <c r="C140" s="5">
        <f>COUNTIFS(tblOrdenes[mes_clave],$A140,tblOrdenes[fecha_inicio],"&lt;="&amp;$B140,tblOrdenes[es_habil],"sí")</f>
        <v/>
      </c>
      <c r="D140" s="5">
        <f>COUNTIFS(tblOrdenes[mes_clave],$A140,tblOrdenes[fecha_inicio],"&lt;="&amp;$B140,tblOrdenes[es_habil],"sí",tblOrdenes[estado],"Cerrada")</f>
        <v/>
      </c>
      <c r="E140" s="16">
        <f>IF($C140=0,"",$D140/$C140)</f>
        <v/>
      </c>
      <c r="F140" s="21">
        <f>p_meta_adherencia</f>
        <v/>
      </c>
      <c r="G140" s="5">
        <f>COUNTIFS(tblOrdenes[mes_clave],$A140,tblOrdenes[fecha_inicio],"&lt;="&amp;$B140,tblOrdenes[clase_mantenimiento],"legal")</f>
        <v/>
      </c>
      <c r="H140" s="5">
        <f>COUNTIFS(tblOrdenes[mes_clave],$A140,tblOrdenes[fecha_inicio],"&lt;="&amp;$B140,tblOrdenes[clase_mantenimiento],"legal",tblOrdenes[estado],"Cerrada")</f>
        <v/>
      </c>
      <c r="I140" s="16">
        <f>IF($G140=0,"",$H140/$G140)</f>
        <v/>
      </c>
      <c r="J140" s="5">
        <f>COUNTIFS(tblOrdenes[mes_clave],$A140,tblOrdenes[fecha_inicio],"&lt;="&amp;$B140,tblOrdenes[clase_mantenimiento],"legal",tblOrdenes[estado],"Pendiente")</f>
        <v/>
      </c>
      <c r="K140" s="5">
        <f>COUNTIFS(tblOrdenes[mes_clave],$A140,tblOrdenes[fecha_inicio],"&lt;="&amp;$B140,tblOrdenes[clase_mantenimiento],"predictivo")</f>
        <v/>
      </c>
      <c r="L140" s="5">
        <f>COUNTIFS(tblOrdenes[mes_clave],$A140,tblOrdenes[fecha_inicio],"&lt;="&amp;$B140,tblOrdenes[clase_mantenimiento],"preventivo")</f>
        <v/>
      </c>
      <c r="M140" s="5">
        <f>COUNTIFS(tblOrdenes[mes_clave],$A140,tblOrdenes[fecha_inicio],"&lt;="&amp;$B140,tblOrdenes[clase_mantenimiento],"correctivo_programado")</f>
        <v/>
      </c>
      <c r="N140" s="5">
        <f>COUNTIFS(tblOrdenes[mes_clave],$A140,tblOrdenes[fecha_inicio],"&lt;="&amp;$B140,tblOrdenes[clase_mantenimiento],"emergencia")</f>
        <v/>
      </c>
      <c r="O140" s="5">
        <f>COUNTIFS(tblOrdenes[mes_clave],$A140,tblOrdenes[fecha_inicio],"&lt;="&amp;$B140,tblOrdenes[clase_mantenimiento],"legal")</f>
        <v/>
      </c>
      <c r="P140" s="5">
        <f>COUNTIFS(tblOrdenes[mes_clave],$A140,tblOrdenes[fecha_inicio],"&lt;="&amp;$B140,tblOrdenes[clase_mantenimiento],"SIN CLASIFICAR")</f>
        <v/>
      </c>
      <c r="Q140" s="5">
        <f>COUNTIFS(tblOrdenes[mes_clave],$A140,tblOrdenes[fecha_inicio],"&lt;="&amp;$B140)</f>
        <v/>
      </c>
      <c r="R140" s="5">
        <f>SUM(K140:P140)-Q140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1:D126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1:G126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E130:E14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I130:I14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J130:J140">
    <cfRule type="cellIs" priority="55" operator="greaterThan" dxfId="0">
      <formula>0</formula>
    </cfRule>
  </conditionalFormatting>
  <conditionalFormatting sqref="R130:R140">
    <cfRule type="cellIs" priority="56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O38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15" t="inlineStr">
        <is>
          <t>especialidad</t>
        </is>
      </c>
      <c r="B3" s="15" t="inlineStr">
        <is>
          <t>semana</t>
        </is>
      </c>
      <c r="C3" s="15" t="inlineStr">
        <is>
          <t>hh_disponible</t>
        </is>
      </c>
      <c r="D3" s="15" t="inlineStr">
        <is>
          <t>hh_productiva</t>
        </is>
      </c>
      <c r="E3" s="15" t="inlineStr">
        <is>
          <t>hh_preventiva</t>
        </is>
      </c>
      <c r="F3" s="15" t="inlineStr">
        <is>
          <t>hh_correctiva</t>
        </is>
      </c>
      <c r="G3" s="15" t="inlineStr">
        <is>
          <t>hh_planificada</t>
        </is>
      </c>
      <c r="H3" s="15" t="inlineStr">
        <is>
          <t>holgura</t>
        </is>
      </c>
      <c r="I3" s="15" t="inlineStr">
        <is>
          <t>pct_carga</t>
        </is>
      </c>
      <c r="N3" s="15" t="inlineStr">
        <is>
          <t>lunes_semana</t>
        </is>
      </c>
      <c r="O3" s="15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6">
        <f>IF(D4=0,"",G4/D4)</f>
        <v/>
      </c>
      <c r="N4" s="22">
        <f>IF(COUNT(tblOrdenes[fecha_inicio])=0,"",MIN(tblOrdenes[fecha_inicio])-WEEKDAY(MIN(tblOrdenes[fecha_inicio]),2)+1)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6">
        <f>IF(D5=0,"",G5/D5)</f>
        <v/>
      </c>
      <c r="N5" s="22">
        <f>IF(N4="","",IF(N4+7&gt;MAX(tblOrdenes[fecha_inicio]),"",N4+7))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6">
        <f>IF(D6=0,"",G6/D6)</f>
        <v/>
      </c>
      <c r="N6" s="22">
        <f>IF(N5="","",IF(N5+7&gt;MAX(tblOrdenes[fecha_inicio]),"",N5+7))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6">
        <f>IF(D7=0,"",G7/D7)</f>
        <v/>
      </c>
      <c r="N7" s="22">
        <f>IF(N6="","",IF(N6+7&gt;MAX(tblOrdenes[fecha_inicio]),"",N6+7))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6">
        <f>IF(D8=0,"",G8/D8)</f>
        <v/>
      </c>
      <c r="N8" s="22">
        <f>IF(N7="","",IF(N7+7&gt;MAX(tblOrdenes[fecha_inicio]),"",N7+7))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6">
        <f>IF(D9=0,"",G9/D9)</f>
        <v/>
      </c>
      <c r="N9" s="22">
        <f>IF(N8="","",IF(N8+7&gt;MAX(tblOrdenes[fecha_inicio]),"",N8+7))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6">
        <f>IF(D10=0,"",G10/D10)</f>
        <v/>
      </c>
      <c r="N10" s="22">
        <f>IF(N9="","",IF(N9+7&gt;MAX(tblOrdenes[fecha_inicio]),"",N9+7))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6">
        <f>IF(D11=0,"",G11/D11)</f>
        <v/>
      </c>
      <c r="N11" s="22">
        <f>IF(N10="","",IF(N10+7&gt;MAX(tblOrdenes[fecha_inicio]),"",N10+7))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6">
        <f>IF(D12=0,"",G12/D12)</f>
        <v/>
      </c>
      <c r="N12" s="22">
        <f>IF(N11="","",IF(N11+7&gt;MAX(tblOrdenes[fecha_inicio]),"",N11+7))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6">
        <f>IF(D13=0,"",G13/D13)</f>
        <v/>
      </c>
      <c r="N13" s="22">
        <f>IF(N12="","",IF(N12+7&gt;MAX(tblOrdenes[fecha_inicio]),"",N12+7))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6">
        <f>IF(D14=0,"",G14/D14)</f>
        <v/>
      </c>
      <c r="N14" s="22">
        <f>IF(N13="","",IF(N13+7&gt;MAX(tblOrdenes[fecha_inicio]),"",N13+7))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6">
        <f>IF(D15=0,"",G15/D15)</f>
        <v/>
      </c>
      <c r="N15" s="22">
        <f>IF(N14="","",IF(N14+7&gt;MAX(tblOrdenes[fecha_inicio]),"",N14+7))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6">
        <f>IF(D16=0,"",G16/D16)</f>
        <v/>
      </c>
      <c r="N16" s="22">
        <f>IF(N15="","",IF(N15+7&gt;MAX(tblOrdenes[fecha_inicio]),"",N15+7))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6">
        <f>IF(D17=0,"",G17/D17)</f>
        <v/>
      </c>
      <c r="N17" s="22">
        <f>IF(N16="","",IF(N16+7&gt;MAX(tblOrdenes[fecha_inicio]),"",N16+7))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6">
        <f>IF(D18=0,"",G18/D18)</f>
        <v/>
      </c>
      <c r="N18" s="22">
        <f>IF(N17="","",IF(N17+7&gt;MAX(tblOrdenes[fecha_inicio]),"",N17+7))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6">
        <f>IF(D19=0,"",G19/D19)</f>
        <v/>
      </c>
      <c r="N19" s="22">
        <f>IF(N18="","",IF(N18+7&gt;MAX(tblOrdenes[fecha_inicio]),"",N18+7))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6">
        <f>IF(D20=0,"",G20/D20)</f>
        <v/>
      </c>
      <c r="N20" s="22">
        <f>IF(N19="","",IF(N19+7&gt;MAX(tblOrdenes[fecha_inicio]),"",N19+7))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6">
        <f>IF(D21=0,"",G21/D21)</f>
        <v/>
      </c>
      <c r="N21" s="22">
        <f>IF(N20="","",IF(N20+7&gt;MAX(tblOrdenes[fecha_inicio]),"",N20+7))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6">
        <f>IF(D22=0,"",G22/D22)</f>
        <v/>
      </c>
      <c r="N22" s="22">
        <f>IF(N21="","",IF(N21+7&gt;MAX(tblOrdenes[fecha_inicio]),"",N21+7))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6">
        <f>IF(D23=0,"",G23/D23)</f>
        <v/>
      </c>
      <c r="N23" s="22">
        <f>IF(N22="","",IF(N22+7&gt;MAX(tblOrdenes[fecha_inicio]),"",N22+7))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6">
        <f>IF(D24=0,"",G24/D24)</f>
        <v/>
      </c>
      <c r="N24" s="22">
        <f>IF(N23="","",IF(N23+7&gt;MAX(tblOrdenes[fecha_inicio]),"",N23+7))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6">
        <f>IF(D25=0,"",G25/D25)</f>
        <v/>
      </c>
      <c r="N25" s="22">
        <f>IF(N24="","",IF(N24+7&gt;MAX(tblOrdenes[fecha_inicio]),"",N24+7))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6">
        <f>IF(D26=0,"",G26/D26)</f>
        <v/>
      </c>
      <c r="N26" s="22">
        <f>IF(N25="","",IF(N25+7&gt;MAX(tblOrdenes[fecha_inicio]),"",N25+7))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6">
        <f>IF(D27=0,"",G27/D27)</f>
        <v/>
      </c>
      <c r="N27" s="22">
        <f>IF(N26="","",IF(N26+7&gt;MAX(tblOrdenes[fecha_inicio]),"",N26+7))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6">
        <f>IF(D28=0,"",G28/D28)</f>
        <v/>
      </c>
      <c r="N28" s="22">
        <f>IF(N27="","",IF(N27+7&gt;MAX(tblOrdenes[fecha_inicio]),"",N27+7))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6">
        <f>IF(D29=0,"",G29/D29)</f>
        <v/>
      </c>
      <c r="N29" s="22">
        <f>IF(N28="","",IF(N28+7&gt;MAX(tblOrdenes[fecha_inicio]),"",N28+7))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6">
        <f>IF(D30=0,"",G30/D30)</f>
        <v/>
      </c>
      <c r="N30" s="22">
        <f>IF(N29="","",IF(N29+7&gt;MAX(tblOrdenes[fecha_inicio]),"",N29+7))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6">
        <f>IF(D31=0,"",G31/D31)</f>
        <v/>
      </c>
      <c r="N31" s="22">
        <f>IF(N30="","",IF(N30+7&gt;MAX(tblOrdenes[fecha_inicio]),"",N30+7))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6">
        <f>IF(D32=0,"",G32/D32)</f>
        <v/>
      </c>
      <c r="N32" s="22">
        <f>IF(N31="","",IF(N31+7&gt;MAX(tblOrdenes[fecha_inicio]),"",N31+7))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6">
        <f>IF(D33=0,"",G33/D33)</f>
        <v/>
      </c>
      <c r="N33" s="22">
        <f>IF(N32="","",IF(N32+7&gt;MAX(tblOrdenes[fecha_inicio]),"",N32+7))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6">
        <f>IF(D34=0,"",G34/D34)</f>
        <v/>
      </c>
      <c r="N34" s="22">
        <f>IF(N33="","",IF(N33+7&gt;MAX(tblOrdenes[fecha_inicio]),"",N33+7))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6">
        <f>IF(D35=0,"",G35/D35)</f>
        <v/>
      </c>
      <c r="N35" s="22">
        <f>IF(N34="","",IF(N34+7&gt;MAX(tblOrdenes[fecha_inicio]),"",N34+7))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6">
        <f>IF(D36=0,"",G36/D36)</f>
        <v/>
      </c>
      <c r="N36" s="22">
        <f>IF(N35="","",IF(N35+7&gt;MAX(tblOrdenes[fecha_inicio]),"",N35+7))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6">
        <f>IF(D37=0,"",G37/D37)</f>
        <v/>
      </c>
      <c r="N37" s="22">
        <f>IF(N36="","",IF(N36+7&gt;MAX(tblOrdenes[fecha_inicio]),"",N36+7))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6">
        <f>IF(D38=0,"",G38/D38)</f>
        <v/>
      </c>
      <c r="N38" s="22">
        <f>IF(N37="","",IF(N37+7&gt;MAX(tblOrdenes[fecha_inicio]),"",N37+7))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6">
        <f>IF(D39=0,"",G39/D39)</f>
        <v/>
      </c>
      <c r="N39" s="22">
        <f>IF(N38="","",IF(N38+7&gt;MAX(tblOrdenes[fecha_inicio]),"",N38+7))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6">
        <f>IF(D40=0,"",G40/D40)</f>
        <v/>
      </c>
      <c r="N40" s="22">
        <f>IF(N39="","",IF(N39+7&gt;MAX(tblOrdenes[fecha_inicio]),"",N39+7))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6">
        <f>IF(D41=0,"",G41/D41)</f>
        <v/>
      </c>
      <c r="N41" s="22">
        <f>IF(N40="","",IF(N40+7&gt;MAX(tblOrdenes[fecha_inicio]),"",N40+7))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6">
        <f>IF(D42=0,"",G42/D42)</f>
        <v/>
      </c>
      <c r="N42" s="22">
        <f>IF(N41="","",IF(N41+7&gt;MAX(tblOrdenes[fecha_inicio]),"",N41+7))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6">
        <f>IF(D43=0,"",G43/D43)</f>
        <v/>
      </c>
      <c r="N43" s="22">
        <f>IF(N42="","",IF(N42+7&gt;MAX(tblOrdenes[fecha_inicio]),"",N42+7))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6">
        <f>IF(D44=0,"",G44/D44)</f>
        <v/>
      </c>
      <c r="N44" s="22">
        <f>IF(N43="","",IF(N43+7&gt;MAX(tblOrdenes[fecha_inicio]),"",N43+7))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6">
        <f>IF(D45=0,"",G45/D45)</f>
        <v/>
      </c>
      <c r="N45" s="22">
        <f>IF(N44="","",IF(N44+7&gt;MAX(tblOrdenes[fecha_inicio]),"",N44+7))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6">
        <f>IF(D46=0,"",G46/D46)</f>
        <v/>
      </c>
      <c r="N46" s="22">
        <f>IF(N45="","",IF(N45+7&gt;MAX(tblOrdenes[fecha_inicio]),"",N45+7))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6">
        <f>IF(D47=0,"",G47/D47)</f>
        <v/>
      </c>
      <c r="N47" s="22">
        <f>IF(N46="","",IF(N46+7&gt;MAX(tblOrdenes[fecha_inicio]),"",N46+7))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6">
        <f>IF(D48=0,"",G48/D48)</f>
        <v/>
      </c>
      <c r="N48" s="22">
        <f>IF(N47="","",IF(N47+7&gt;MAX(tblOrdenes[fecha_inicio]),"",N47+7))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6">
        <f>IF(D49=0,"",G49/D49)</f>
        <v/>
      </c>
      <c r="N49" s="22">
        <f>IF(N48="","",IF(N48+7&gt;MAX(tblOrdenes[fecha_inicio]),"",N48+7))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6">
        <f>IF(D50=0,"",G50/D50)</f>
        <v/>
      </c>
      <c r="N50" s="22">
        <f>IF(N49="","",IF(N49+7&gt;MAX(tblOrdenes[fecha_inicio]),"",N49+7))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6">
        <f>IF(D51=0,"",G51/D51)</f>
        <v/>
      </c>
      <c r="N51" s="22">
        <f>IF(N50="","",IF(N50+7&gt;MAX(tblOrdenes[fecha_inicio]),"",N50+7))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6">
        <f>IF(D52=0,"",G52/D52)</f>
        <v/>
      </c>
      <c r="N52" s="22">
        <f>IF(N51="","",IF(N51+7&gt;MAX(tblOrdenes[fecha_inicio]),"",N51+7))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6">
        <f>IF(D53=0,"",G53/D53)</f>
        <v/>
      </c>
      <c r="N53" s="22">
        <f>IF(N52="","",IF(N52+7&gt;MAX(tblOrdenes[fecha_inicio]),"",N52+7))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6">
        <f>IF(D54=0,"",G54/D54)</f>
        <v/>
      </c>
      <c r="N54" s="22">
        <f>IF(N53="","",IF(N53+7&gt;MAX(tblOrdenes[fecha_inicio]),"",N53+7))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6">
        <f>IF(D55=0,"",G55/D55)</f>
        <v/>
      </c>
      <c r="N55" s="22">
        <f>IF(N54="","",IF(N54+7&gt;MAX(tblOrdenes[fecha_inicio]),"",N54+7))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6">
        <f>IF(D56=0,"",G56/D56)</f>
        <v/>
      </c>
      <c r="N56" s="22">
        <f>IF(N55="","",IF(N55+7&gt;MAX(tblOrdenes[fecha_inicio]),"",N55+7))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6">
        <f>IF(D57=0,"",G57/D57)</f>
        <v/>
      </c>
      <c r="N57" s="22">
        <f>IF(N56="","",IF(N56+7&gt;MAX(tblOrdenes[fecha_inicio]),"",N56+7))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6">
        <f>IF(D58=0,"",G58/D58)</f>
        <v/>
      </c>
      <c r="N58" s="22">
        <f>IF(N57="","",IF(N57+7&gt;MAX(tblOrdenes[fecha_inicio]),"",N57+7))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6">
        <f>IF(D59=0,"",G59/D59)</f>
        <v/>
      </c>
      <c r="N59" s="22">
        <f>IF(N58="","",IF(N58+7&gt;MAX(tblOrdenes[fecha_inicio]),"",N58+7))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6">
        <f>IF(D60=0,"",G60/D60)</f>
        <v/>
      </c>
      <c r="N60" s="22">
        <f>IF(N59="","",IF(N59+7&gt;MAX(tblOrdenes[fecha_inicio]),"",N59+7))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6">
        <f>IF(D61=0,"",G61/D61)</f>
        <v/>
      </c>
      <c r="N61" s="22">
        <f>IF(N60="","",IF(N60+7&gt;MAX(tblOrdenes[fecha_inicio]),"",N60+7))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6">
        <f>IF(D62=0,"",G62/D62)</f>
        <v/>
      </c>
      <c r="N62" s="22">
        <f>IF(N61="","",IF(N61+7&gt;MAX(tblOrdenes[fecha_inicio]),"",N61+7))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6">
        <f>IF(D63=0,"",G63/D63)</f>
        <v/>
      </c>
      <c r="N63" s="22">
        <f>IF(N62="","",IF(N62+7&gt;MAX(tblOrdenes[fecha_inicio]),"",N62+7))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6">
        <f>IF(D64=0,"",G64/D64)</f>
        <v/>
      </c>
    </row>
    <row r="65">
      <c r="A65" s="5" t="inlineStr">
        <is>
          <t>ELE</t>
        </is>
      </c>
      <c r="B65" s="5">
        <f>$O$19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6">
        <f>IF(D65=0,"",G65/D65)</f>
        <v/>
      </c>
    </row>
    <row r="66">
      <c r="A66" s="5" t="inlineStr">
        <is>
          <t>AUT</t>
        </is>
      </c>
      <c r="B66" s="5">
        <f>$O$19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6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6">
        <f>IF(D67=0,"",G67/D67)</f>
        <v/>
      </c>
    </row>
    <row r="68">
      <c r="A68" s="5" t="inlineStr">
        <is>
          <t>MEC</t>
        </is>
      </c>
      <c r="B68" s="5">
        <f>$O$20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6">
        <f>IF(D68=0,"",G68/D68)</f>
        <v/>
      </c>
    </row>
    <row r="69">
      <c r="A69" s="5" t="inlineStr">
        <is>
          <t>ELE</t>
        </is>
      </c>
      <c r="B69" s="5">
        <f>$O$20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6">
        <f>IF(D69=0,"",G69/D69)</f>
        <v/>
      </c>
    </row>
    <row r="70">
      <c r="A70" s="5" t="inlineStr">
        <is>
          <t>AUT</t>
        </is>
      </c>
      <c r="B70" s="5">
        <f>$O$20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6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6">
        <f>IF(D71=0,"",G71/D71)</f>
        <v/>
      </c>
    </row>
    <row r="72">
      <c r="A72" s="5" t="inlineStr">
        <is>
          <t>MEC</t>
        </is>
      </c>
      <c r="B72" s="5">
        <f>$O$21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6">
        <f>IF(D72=0,"",G72/D72)</f>
        <v/>
      </c>
    </row>
    <row r="73">
      <c r="A73" s="5" t="inlineStr">
        <is>
          <t>ELE</t>
        </is>
      </c>
      <c r="B73" s="5">
        <f>$O$21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6">
        <f>IF(D73=0,"",G73/D73)</f>
        <v/>
      </c>
    </row>
    <row r="74">
      <c r="A74" s="5" t="inlineStr">
        <is>
          <t>AUT</t>
        </is>
      </c>
      <c r="B74" s="5">
        <f>$O$21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6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6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6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6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6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6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6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6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6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6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6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6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6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6">
        <f>IF(D87=0,"",G87/D87)</f>
        <v/>
      </c>
    </row>
    <row r="88">
      <c r="A88" s="5" t="inlineStr">
        <is>
          <t>MEC</t>
        </is>
      </c>
      <c r="B88" s="5">
        <f>$O$25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6">
        <f>IF(D88=0,"",G88/D88)</f>
        <v/>
      </c>
    </row>
    <row r="89">
      <c r="A89" s="5" t="inlineStr">
        <is>
          <t>ELE</t>
        </is>
      </c>
      <c r="B89" s="5">
        <f>$O$25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6">
        <f>IF(D89=0,"",G89/D89)</f>
        <v/>
      </c>
    </row>
    <row r="90">
      <c r="A90" s="5" t="inlineStr">
        <is>
          <t>AUT</t>
        </is>
      </c>
      <c r="B90" s="5">
        <f>$O$25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6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6">
        <f>IF(D91=0,"",G91/D91)</f>
        <v/>
      </c>
    </row>
    <row r="92">
      <c r="A92" s="5" t="inlineStr">
        <is>
          <t>MEC</t>
        </is>
      </c>
      <c r="B92" s="5">
        <f>$O$26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6">
        <f>IF(D92=0,"",G92/D92)</f>
        <v/>
      </c>
    </row>
    <row r="93">
      <c r="A93" s="5" t="inlineStr">
        <is>
          <t>ELE</t>
        </is>
      </c>
      <c r="B93" s="5">
        <f>$O$26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6">
        <f>IF(D93=0,"",G93/D93)</f>
        <v/>
      </c>
    </row>
    <row r="94">
      <c r="A94" s="5" t="inlineStr">
        <is>
          <t>AUT</t>
        </is>
      </c>
      <c r="B94" s="5">
        <f>$O$26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6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6">
        <f>IF(D95=0,"",G95/D95)</f>
        <v/>
      </c>
    </row>
    <row r="96">
      <c r="A96" s="5" t="inlineStr">
        <is>
          <t>MEC</t>
        </is>
      </c>
      <c r="B96" s="5">
        <f>$O$27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6">
        <f>IF(D96=0,"",G96/D96)</f>
        <v/>
      </c>
    </row>
    <row r="97">
      <c r="A97" s="5" t="inlineStr">
        <is>
          <t>ELE</t>
        </is>
      </c>
      <c r="B97" s="5">
        <f>$O$27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6">
        <f>IF(D97=0,"",G97/D97)</f>
        <v/>
      </c>
    </row>
    <row r="98">
      <c r="A98" s="5" t="inlineStr">
        <is>
          <t>AUT</t>
        </is>
      </c>
      <c r="B98" s="5">
        <f>$O$27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6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6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6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6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6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6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6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6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6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6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6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6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6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6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6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6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6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6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6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6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6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6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6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6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6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6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6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6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6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6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6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6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6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6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6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6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6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6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6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6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6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6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6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6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6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6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6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6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6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6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6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6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6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6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6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6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6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6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6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6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6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6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6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6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6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6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6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6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6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6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6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6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6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6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6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6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6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6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6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6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6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6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6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6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6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6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6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6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6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6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6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6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6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6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6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6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6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6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6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6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6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6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6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6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6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6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6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6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6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6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6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6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6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6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6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6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6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6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6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6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6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6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6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6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6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6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6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6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6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6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6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6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6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6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6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6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6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6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6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6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6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6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6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6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6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6">
        <f>IF(D243=0,"",G243/D243)</f>
        <v/>
      </c>
    </row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5" t="inlineStr">
        <is>
          <t>semana</t>
        </is>
      </c>
      <c r="B246" s="15" t="inlineStr">
        <is>
          <t>MEC</t>
        </is>
      </c>
      <c r="C246" s="15" t="inlineStr">
        <is>
          <t>ELE</t>
        </is>
      </c>
      <c r="D246" s="15" t="inlineStr">
        <is>
          <t>AUT</t>
        </is>
      </c>
      <c r="E246" s="15" t="inlineStr">
        <is>
          <t>TERCERO</t>
        </is>
      </c>
    </row>
    <row r="247">
      <c r="A247" s="5">
        <f>$O$4</f>
        <v/>
      </c>
      <c r="B247" s="16">
        <f>$I$4</f>
        <v/>
      </c>
      <c r="C247" s="16">
        <f>$I$5</f>
        <v/>
      </c>
      <c r="D247" s="16">
        <f>$I$6</f>
        <v/>
      </c>
      <c r="E247" s="16">
        <f>$I$7</f>
        <v/>
      </c>
    </row>
    <row r="248" hidden="1">
      <c r="A248" s="5">
        <f>$O$5</f>
        <v/>
      </c>
      <c r="B248" s="16">
        <f>$I$8</f>
        <v/>
      </c>
      <c r="C248" s="16">
        <f>$I$9</f>
        <v/>
      </c>
      <c r="D248" s="16">
        <f>$I$10</f>
        <v/>
      </c>
      <c r="E248" s="16">
        <f>$I$11</f>
        <v/>
      </c>
    </row>
    <row r="249">
      <c r="A249" s="5">
        <f>$O$6</f>
        <v/>
      </c>
      <c r="B249" s="16">
        <f>$I$12</f>
        <v/>
      </c>
      <c r="C249" s="16">
        <f>$I$13</f>
        <v/>
      </c>
      <c r="D249" s="16">
        <f>$I$14</f>
        <v/>
      </c>
      <c r="E249" s="16">
        <f>$I$15</f>
        <v/>
      </c>
    </row>
    <row r="250">
      <c r="A250" s="5">
        <f>$O$7</f>
        <v/>
      </c>
      <c r="B250" s="16">
        <f>$I$16</f>
        <v/>
      </c>
      <c r="C250" s="16">
        <f>$I$17</f>
        <v/>
      </c>
      <c r="D250" s="16">
        <f>$I$18</f>
        <v/>
      </c>
      <c r="E250" s="16">
        <f>$I$19</f>
        <v/>
      </c>
    </row>
    <row r="251">
      <c r="A251" s="5">
        <f>$O$8</f>
        <v/>
      </c>
      <c r="B251" s="16">
        <f>$I$20</f>
        <v/>
      </c>
      <c r="C251" s="16">
        <f>$I$21</f>
        <v/>
      </c>
      <c r="D251" s="16">
        <f>$I$22</f>
        <v/>
      </c>
      <c r="E251" s="16">
        <f>$I$23</f>
        <v/>
      </c>
    </row>
    <row r="252">
      <c r="A252" s="5">
        <f>$O$9</f>
        <v/>
      </c>
      <c r="B252" s="16">
        <f>$I$24</f>
        <v/>
      </c>
      <c r="C252" s="16">
        <f>$I$25</f>
        <v/>
      </c>
      <c r="D252" s="16">
        <f>$I$26</f>
        <v/>
      </c>
      <c r="E252" s="16">
        <f>$I$27</f>
        <v/>
      </c>
    </row>
    <row r="253">
      <c r="A253" s="5">
        <f>$O$10</f>
        <v/>
      </c>
      <c r="B253" s="16">
        <f>$I$28</f>
        <v/>
      </c>
      <c r="C253" s="16">
        <f>$I$29</f>
        <v/>
      </c>
      <c r="D253" s="16">
        <f>$I$30</f>
        <v/>
      </c>
      <c r="E253" s="16">
        <f>$I$31</f>
        <v/>
      </c>
    </row>
    <row r="254">
      <c r="A254" s="5">
        <f>$O$11</f>
        <v/>
      </c>
      <c r="B254" s="16">
        <f>$I$32</f>
        <v/>
      </c>
      <c r="C254" s="16">
        <f>$I$33</f>
        <v/>
      </c>
      <c r="D254" s="16">
        <f>$I$34</f>
        <v/>
      </c>
      <c r="E254" s="16">
        <f>$I$35</f>
        <v/>
      </c>
    </row>
    <row r="255">
      <c r="A255" s="5">
        <f>$O$12</f>
        <v/>
      </c>
      <c r="B255" s="16">
        <f>$I$36</f>
        <v/>
      </c>
      <c r="C255" s="16">
        <f>$I$37</f>
        <v/>
      </c>
      <c r="D255" s="16">
        <f>$I$38</f>
        <v/>
      </c>
      <c r="E255" s="16">
        <f>$I$39</f>
        <v/>
      </c>
    </row>
    <row r="256">
      <c r="A256" s="5">
        <f>$O$13</f>
        <v/>
      </c>
      <c r="B256" s="16">
        <f>$I$40</f>
        <v/>
      </c>
      <c r="C256" s="16">
        <f>$I$41</f>
        <v/>
      </c>
      <c r="D256" s="16">
        <f>$I$42</f>
        <v/>
      </c>
      <c r="E256" s="16">
        <f>$I$43</f>
        <v/>
      </c>
    </row>
    <row r="257">
      <c r="A257" s="5">
        <f>$O$14</f>
        <v/>
      </c>
      <c r="B257" s="16">
        <f>$I$44</f>
        <v/>
      </c>
      <c r="C257" s="16">
        <f>$I$45</f>
        <v/>
      </c>
      <c r="D257" s="16">
        <f>$I$46</f>
        <v/>
      </c>
      <c r="E257" s="16">
        <f>$I$47</f>
        <v/>
      </c>
    </row>
    <row r="258">
      <c r="A258" s="5">
        <f>$O$15</f>
        <v/>
      </c>
      <c r="B258" s="16">
        <f>$I$48</f>
        <v/>
      </c>
      <c r="C258" s="16">
        <f>$I$49</f>
        <v/>
      </c>
      <c r="D258" s="16">
        <f>$I$50</f>
        <v/>
      </c>
      <c r="E258" s="16">
        <f>$I$51</f>
        <v/>
      </c>
    </row>
    <row r="259">
      <c r="A259" s="5">
        <f>$O$16</f>
        <v/>
      </c>
      <c r="B259" s="16">
        <f>$I$52</f>
        <v/>
      </c>
      <c r="C259" s="16">
        <f>$I$53</f>
        <v/>
      </c>
      <c r="D259" s="16">
        <f>$I$54</f>
        <v/>
      </c>
      <c r="E259" s="16">
        <f>$I$55</f>
        <v/>
      </c>
    </row>
    <row r="260">
      <c r="A260" s="5">
        <f>$O$17</f>
        <v/>
      </c>
      <c r="B260" s="16">
        <f>$I$56</f>
        <v/>
      </c>
      <c r="C260" s="16">
        <f>$I$57</f>
        <v/>
      </c>
      <c r="D260" s="16">
        <f>$I$58</f>
        <v/>
      </c>
      <c r="E260" s="16">
        <f>$I$59</f>
        <v/>
      </c>
    </row>
    <row r="261">
      <c r="A261" s="5">
        <f>$O$18</f>
        <v/>
      </c>
      <c r="B261" s="16">
        <f>$I$60</f>
        <v/>
      </c>
      <c r="C261" s="16">
        <f>$I$61</f>
        <v/>
      </c>
      <c r="D261" s="16">
        <f>$I$62</f>
        <v/>
      </c>
      <c r="E261" s="16">
        <f>$I$63</f>
        <v/>
      </c>
    </row>
    <row r="262">
      <c r="A262" s="5">
        <f>$O$19</f>
        <v/>
      </c>
      <c r="B262" s="16">
        <f>$I$64</f>
        <v/>
      </c>
      <c r="C262" s="16">
        <f>$I$65</f>
        <v/>
      </c>
      <c r="D262" s="16">
        <f>$I$66</f>
        <v/>
      </c>
      <c r="E262" s="16">
        <f>$I$67</f>
        <v/>
      </c>
    </row>
    <row r="263">
      <c r="A263" s="5">
        <f>$O$20</f>
        <v/>
      </c>
      <c r="B263" s="16">
        <f>$I$68</f>
        <v/>
      </c>
      <c r="C263" s="16">
        <f>$I$69</f>
        <v/>
      </c>
      <c r="D263" s="16">
        <f>$I$70</f>
        <v/>
      </c>
      <c r="E263" s="16">
        <f>$I$71</f>
        <v/>
      </c>
    </row>
    <row r="264">
      <c r="A264" s="5">
        <f>$O$21</f>
        <v/>
      </c>
      <c r="B264" s="16">
        <f>$I$72</f>
        <v/>
      </c>
      <c r="C264" s="16">
        <f>$I$73</f>
        <v/>
      </c>
      <c r="D264" s="16">
        <f>$I$74</f>
        <v/>
      </c>
      <c r="E264" s="16">
        <f>$I$75</f>
        <v/>
      </c>
    </row>
    <row r="265" hidden="1">
      <c r="A265" s="5">
        <f>$O$22</f>
        <v/>
      </c>
      <c r="B265" s="16">
        <f>$I$76</f>
        <v/>
      </c>
      <c r="C265" s="16">
        <f>$I$77</f>
        <v/>
      </c>
      <c r="D265" s="16">
        <f>$I$78</f>
        <v/>
      </c>
      <c r="E265" s="16">
        <f>$I$79</f>
        <v/>
      </c>
    </row>
    <row r="266" hidden="1">
      <c r="A266" s="5">
        <f>$O$23</f>
        <v/>
      </c>
      <c r="B266" s="16">
        <f>$I$80</f>
        <v/>
      </c>
      <c r="C266" s="16">
        <f>$I$81</f>
        <v/>
      </c>
      <c r="D266" s="16">
        <f>$I$82</f>
        <v/>
      </c>
      <c r="E266" s="16">
        <f>$I$83</f>
        <v/>
      </c>
    </row>
    <row r="267" hidden="1">
      <c r="A267" s="5">
        <f>$O$24</f>
        <v/>
      </c>
      <c r="B267" s="16">
        <f>$I$84</f>
        <v/>
      </c>
      <c r="C267" s="16">
        <f>$I$85</f>
        <v/>
      </c>
      <c r="D267" s="16">
        <f>$I$86</f>
        <v/>
      </c>
      <c r="E267" s="16">
        <f>$I$87</f>
        <v/>
      </c>
    </row>
    <row r="268">
      <c r="A268" s="5">
        <f>$O$25</f>
        <v/>
      </c>
      <c r="B268" s="16">
        <f>$I$88</f>
        <v/>
      </c>
      <c r="C268" s="16">
        <f>$I$89</f>
        <v/>
      </c>
      <c r="D268" s="16">
        <f>$I$90</f>
        <v/>
      </c>
      <c r="E268" s="16">
        <f>$I$91</f>
        <v/>
      </c>
    </row>
    <row r="269">
      <c r="A269" s="5">
        <f>$O$26</f>
        <v/>
      </c>
      <c r="B269" s="16">
        <f>$I$92</f>
        <v/>
      </c>
      <c r="C269" s="16">
        <f>$I$93</f>
        <v/>
      </c>
      <c r="D269" s="16">
        <f>$I$94</f>
        <v/>
      </c>
      <c r="E269" s="16">
        <f>$I$95</f>
        <v/>
      </c>
    </row>
    <row r="270">
      <c r="A270" s="5">
        <f>$O$27</f>
        <v/>
      </c>
      <c r="B270" s="16">
        <f>$I$96</f>
        <v/>
      </c>
      <c r="C270" s="16">
        <f>$I$97</f>
        <v/>
      </c>
      <c r="D270" s="16">
        <f>$I$98</f>
        <v/>
      </c>
      <c r="E270" s="16">
        <f>$I$99</f>
        <v/>
      </c>
    </row>
    <row r="271">
      <c r="A271" s="5">
        <f>$O$28</f>
        <v/>
      </c>
      <c r="B271" s="16">
        <f>$I$100</f>
        <v/>
      </c>
      <c r="C271" s="16">
        <f>$I$101</f>
        <v/>
      </c>
      <c r="D271" s="16">
        <f>$I$102</f>
        <v/>
      </c>
      <c r="E271" s="16">
        <f>$I$103</f>
        <v/>
      </c>
    </row>
    <row r="272" hidden="1">
      <c r="A272" s="5">
        <f>$O$29</f>
        <v/>
      </c>
      <c r="B272" s="16">
        <f>$I$104</f>
        <v/>
      </c>
      <c r="C272" s="16">
        <f>$I$105</f>
        <v/>
      </c>
      <c r="D272" s="16">
        <f>$I$106</f>
        <v/>
      </c>
      <c r="E272" s="16">
        <f>$I$107</f>
        <v/>
      </c>
    </row>
    <row r="273" hidden="1">
      <c r="A273" s="5">
        <f>$O$30</f>
        <v/>
      </c>
      <c r="B273" s="16">
        <f>$I$108</f>
        <v/>
      </c>
      <c r="C273" s="16">
        <f>$I$109</f>
        <v/>
      </c>
      <c r="D273" s="16">
        <f>$I$110</f>
        <v/>
      </c>
      <c r="E273" s="16">
        <f>$I$111</f>
        <v/>
      </c>
    </row>
    <row r="274">
      <c r="A274" s="5">
        <f>$O$31</f>
        <v/>
      </c>
      <c r="B274" s="16">
        <f>$I$112</f>
        <v/>
      </c>
      <c r="C274" s="16">
        <f>$I$113</f>
        <v/>
      </c>
      <c r="D274" s="16">
        <f>$I$114</f>
        <v/>
      </c>
      <c r="E274" s="16">
        <f>$I$115</f>
        <v/>
      </c>
    </row>
    <row r="275" hidden="1">
      <c r="A275" s="5">
        <f>$O$32</f>
        <v/>
      </c>
      <c r="B275" s="16">
        <f>$I$116</f>
        <v/>
      </c>
      <c r="C275" s="16">
        <f>$I$117</f>
        <v/>
      </c>
      <c r="D275" s="16">
        <f>$I$118</f>
        <v/>
      </c>
      <c r="E275" s="16">
        <f>$I$119</f>
        <v/>
      </c>
    </row>
    <row r="276" hidden="1">
      <c r="A276" s="5">
        <f>$O$33</f>
        <v/>
      </c>
      <c r="B276" s="16">
        <f>$I$120</f>
        <v/>
      </c>
      <c r="C276" s="16">
        <f>$I$121</f>
        <v/>
      </c>
      <c r="D276" s="16">
        <f>$I$122</f>
        <v/>
      </c>
      <c r="E276" s="16">
        <f>$I$123</f>
        <v/>
      </c>
    </row>
    <row r="277" hidden="1">
      <c r="A277" s="5">
        <f>$O$34</f>
        <v/>
      </c>
      <c r="B277" s="16">
        <f>$I$124</f>
        <v/>
      </c>
      <c r="C277" s="16">
        <f>$I$125</f>
        <v/>
      </c>
      <c r="D277" s="16">
        <f>$I$126</f>
        <v/>
      </c>
      <c r="E277" s="16">
        <f>$I$127</f>
        <v/>
      </c>
    </row>
    <row r="278" hidden="1">
      <c r="A278" s="5">
        <f>$O$35</f>
        <v/>
      </c>
      <c r="B278" s="16">
        <f>$I$128</f>
        <v/>
      </c>
      <c r="C278" s="16">
        <f>$I$129</f>
        <v/>
      </c>
      <c r="D278" s="16">
        <f>$I$130</f>
        <v/>
      </c>
      <c r="E278" s="16">
        <f>$I$131</f>
        <v/>
      </c>
    </row>
    <row r="279" hidden="1">
      <c r="A279" s="5">
        <f>$O$36</f>
        <v/>
      </c>
      <c r="B279" s="16">
        <f>$I$132</f>
        <v/>
      </c>
      <c r="C279" s="16">
        <f>$I$133</f>
        <v/>
      </c>
      <c r="D279" s="16">
        <f>$I$134</f>
        <v/>
      </c>
      <c r="E279" s="16">
        <f>$I$135</f>
        <v/>
      </c>
    </row>
    <row r="280" hidden="1">
      <c r="A280" s="5">
        <f>$O$37</f>
        <v/>
      </c>
      <c r="B280" s="16">
        <f>$I$136</f>
        <v/>
      </c>
      <c r="C280" s="16">
        <f>$I$137</f>
        <v/>
      </c>
      <c r="D280" s="16">
        <f>$I$138</f>
        <v/>
      </c>
      <c r="E280" s="16">
        <f>$I$139</f>
        <v/>
      </c>
    </row>
    <row r="281" hidden="1">
      <c r="A281" s="5">
        <f>$O$38</f>
        <v/>
      </c>
      <c r="B281" s="16">
        <f>$I$140</f>
        <v/>
      </c>
      <c r="C281" s="16">
        <f>$I$141</f>
        <v/>
      </c>
      <c r="D281" s="16">
        <f>$I$142</f>
        <v/>
      </c>
      <c r="E281" s="16">
        <f>$I$143</f>
        <v/>
      </c>
    </row>
    <row r="282" hidden="1">
      <c r="A282" s="5">
        <f>$O$39</f>
        <v/>
      </c>
      <c r="B282" s="16">
        <f>$I$144</f>
        <v/>
      </c>
      <c r="C282" s="16">
        <f>$I$145</f>
        <v/>
      </c>
      <c r="D282" s="16">
        <f>$I$146</f>
        <v/>
      </c>
      <c r="E282" s="16">
        <f>$I$147</f>
        <v/>
      </c>
    </row>
    <row r="283">
      <c r="A283" s="5">
        <f>$O$40</f>
        <v/>
      </c>
      <c r="B283" s="16">
        <f>$I$148</f>
        <v/>
      </c>
      <c r="C283" s="16">
        <f>$I$149</f>
        <v/>
      </c>
      <c r="D283" s="16">
        <f>$I$150</f>
        <v/>
      </c>
      <c r="E283" s="16">
        <f>$I$151</f>
        <v/>
      </c>
    </row>
    <row r="284" hidden="1">
      <c r="A284" s="5">
        <f>$O$41</f>
        <v/>
      </c>
      <c r="B284" s="16">
        <f>$I$152</f>
        <v/>
      </c>
      <c r="C284" s="16">
        <f>$I$153</f>
        <v/>
      </c>
      <c r="D284" s="16">
        <f>$I$154</f>
        <v/>
      </c>
      <c r="E284" s="16">
        <f>$I$155</f>
        <v/>
      </c>
    </row>
    <row r="285" hidden="1">
      <c r="A285" s="5">
        <f>$O$42</f>
        <v/>
      </c>
      <c r="B285" s="16">
        <f>$I$156</f>
        <v/>
      </c>
      <c r="C285" s="16">
        <f>$I$157</f>
        <v/>
      </c>
      <c r="D285" s="16">
        <f>$I$158</f>
        <v/>
      </c>
      <c r="E285" s="16">
        <f>$I$159</f>
        <v/>
      </c>
    </row>
    <row r="286" hidden="1">
      <c r="A286" s="5">
        <f>$O$43</f>
        <v/>
      </c>
      <c r="B286" s="16">
        <f>$I$160</f>
        <v/>
      </c>
      <c r="C286" s="16">
        <f>$I$161</f>
        <v/>
      </c>
      <c r="D286" s="16">
        <f>$I$162</f>
        <v/>
      </c>
      <c r="E286" s="16">
        <f>$I$163</f>
        <v/>
      </c>
    </row>
    <row r="287" hidden="1">
      <c r="A287" s="5">
        <f>$O$44</f>
        <v/>
      </c>
      <c r="B287" s="16">
        <f>$I$164</f>
        <v/>
      </c>
      <c r="C287" s="16">
        <f>$I$165</f>
        <v/>
      </c>
      <c r="D287" s="16">
        <f>$I$166</f>
        <v/>
      </c>
      <c r="E287" s="16">
        <f>$I$167</f>
        <v/>
      </c>
    </row>
    <row r="288" hidden="1">
      <c r="A288" s="5">
        <f>$O$45</f>
        <v/>
      </c>
      <c r="B288" s="16">
        <f>$I$168</f>
        <v/>
      </c>
      <c r="C288" s="16">
        <f>$I$169</f>
        <v/>
      </c>
      <c r="D288" s="16">
        <f>$I$170</f>
        <v/>
      </c>
      <c r="E288" s="16">
        <f>$I$171</f>
        <v/>
      </c>
    </row>
    <row r="289" hidden="1">
      <c r="A289" s="5">
        <f>$O$46</f>
        <v/>
      </c>
      <c r="B289" s="16">
        <f>$I$172</f>
        <v/>
      </c>
      <c r="C289" s="16">
        <f>$I$173</f>
        <v/>
      </c>
      <c r="D289" s="16">
        <f>$I$174</f>
        <v/>
      </c>
      <c r="E289" s="16">
        <f>$I$175</f>
        <v/>
      </c>
    </row>
    <row r="290" hidden="1">
      <c r="A290" s="5">
        <f>$O$47</f>
        <v/>
      </c>
      <c r="B290" s="16">
        <f>$I$176</f>
        <v/>
      </c>
      <c r="C290" s="16">
        <f>$I$177</f>
        <v/>
      </c>
      <c r="D290" s="16">
        <f>$I$178</f>
        <v/>
      </c>
      <c r="E290" s="16">
        <f>$I$179</f>
        <v/>
      </c>
    </row>
    <row r="291">
      <c r="A291" s="5">
        <f>$O$48</f>
        <v/>
      </c>
      <c r="B291" s="16">
        <f>$I$180</f>
        <v/>
      </c>
      <c r="C291" s="16">
        <f>$I$181</f>
        <v/>
      </c>
      <c r="D291" s="16">
        <f>$I$182</f>
        <v/>
      </c>
      <c r="E291" s="16">
        <f>$I$183</f>
        <v/>
      </c>
    </row>
    <row r="292">
      <c r="A292" s="5">
        <f>$O$49</f>
        <v/>
      </c>
      <c r="B292" s="16">
        <f>$I$184</f>
        <v/>
      </c>
      <c r="C292" s="16">
        <f>$I$185</f>
        <v/>
      </c>
      <c r="D292" s="16">
        <f>$I$186</f>
        <v/>
      </c>
      <c r="E292" s="16">
        <f>$I$187</f>
        <v/>
      </c>
    </row>
    <row r="293" hidden="1">
      <c r="A293" s="5">
        <f>$O$50</f>
        <v/>
      </c>
      <c r="B293" s="16">
        <f>$I$188</f>
        <v/>
      </c>
      <c r="C293" s="16">
        <f>$I$189</f>
        <v/>
      </c>
      <c r="D293" s="16">
        <f>$I$190</f>
        <v/>
      </c>
      <c r="E293" s="16">
        <f>$I$191</f>
        <v/>
      </c>
    </row>
    <row r="294" hidden="1">
      <c r="A294" s="5">
        <f>$O$51</f>
        <v/>
      </c>
      <c r="B294" s="16">
        <f>$I$192</f>
        <v/>
      </c>
      <c r="C294" s="16">
        <f>$I$193</f>
        <v/>
      </c>
      <c r="D294" s="16">
        <f>$I$194</f>
        <v/>
      </c>
      <c r="E294" s="16">
        <f>$I$195</f>
        <v/>
      </c>
    </row>
    <row r="295" hidden="1">
      <c r="A295" s="5">
        <f>$O$52</f>
        <v/>
      </c>
      <c r="B295" s="16">
        <f>$I$196</f>
        <v/>
      </c>
      <c r="C295" s="16">
        <f>$I$197</f>
        <v/>
      </c>
      <c r="D295" s="16">
        <f>$I$198</f>
        <v/>
      </c>
      <c r="E295" s="16">
        <f>$I$199</f>
        <v/>
      </c>
    </row>
    <row r="296" hidden="1">
      <c r="A296" s="5">
        <f>$O$53</f>
        <v/>
      </c>
      <c r="B296" s="16">
        <f>$I$200</f>
        <v/>
      </c>
      <c r="C296" s="16">
        <f>$I$201</f>
        <v/>
      </c>
      <c r="D296" s="16">
        <f>$I$202</f>
        <v/>
      </c>
      <c r="E296" s="16">
        <f>$I$203</f>
        <v/>
      </c>
    </row>
    <row r="297" hidden="1">
      <c r="A297" s="5">
        <f>$O$54</f>
        <v/>
      </c>
      <c r="B297" s="16">
        <f>$I$204</f>
        <v/>
      </c>
      <c r="C297" s="16">
        <f>$I$205</f>
        <v/>
      </c>
      <c r="D297" s="16">
        <f>$I$206</f>
        <v/>
      </c>
      <c r="E297" s="16">
        <f>$I$207</f>
        <v/>
      </c>
    </row>
    <row r="298" hidden="1">
      <c r="A298" s="5">
        <f>$O$55</f>
        <v/>
      </c>
      <c r="B298" s="16">
        <f>$I$208</f>
        <v/>
      </c>
      <c r="C298" s="16">
        <f>$I$209</f>
        <v/>
      </c>
      <c r="D298" s="16">
        <f>$I$210</f>
        <v/>
      </c>
      <c r="E298" s="16">
        <f>$I$211</f>
        <v/>
      </c>
    </row>
    <row r="299" hidden="1">
      <c r="A299" s="5">
        <f>$O$56</f>
        <v/>
      </c>
      <c r="B299" s="16">
        <f>$I$212</f>
        <v/>
      </c>
      <c r="C299" s="16">
        <f>$I$213</f>
        <v/>
      </c>
      <c r="D299" s="16">
        <f>$I$214</f>
        <v/>
      </c>
      <c r="E299" s="16">
        <f>$I$215</f>
        <v/>
      </c>
    </row>
    <row r="300" hidden="1">
      <c r="A300" s="5">
        <f>$O$57</f>
        <v/>
      </c>
      <c r="B300" s="16">
        <f>$I$216</f>
        <v/>
      </c>
      <c r="C300" s="16">
        <f>$I$217</f>
        <v/>
      </c>
      <c r="D300" s="16">
        <f>$I$218</f>
        <v/>
      </c>
      <c r="E300" s="16">
        <f>$I$219</f>
        <v/>
      </c>
    </row>
    <row r="301" hidden="1">
      <c r="A301" s="5">
        <f>$O$58</f>
        <v/>
      </c>
      <c r="B301" s="16">
        <f>$I$220</f>
        <v/>
      </c>
      <c r="C301" s="16">
        <f>$I$221</f>
        <v/>
      </c>
      <c r="D301" s="16">
        <f>$I$222</f>
        <v/>
      </c>
      <c r="E301" s="16">
        <f>$I$223</f>
        <v/>
      </c>
    </row>
    <row r="302" hidden="1">
      <c r="A302" s="5">
        <f>$O$59</f>
        <v/>
      </c>
      <c r="B302" s="16">
        <f>$I$224</f>
        <v/>
      </c>
      <c r="C302" s="16">
        <f>$I$225</f>
        <v/>
      </c>
      <c r="D302" s="16">
        <f>$I$226</f>
        <v/>
      </c>
      <c r="E302" s="16">
        <f>$I$227</f>
        <v/>
      </c>
    </row>
    <row r="303" hidden="1">
      <c r="A303" s="5">
        <f>$O$60</f>
        <v/>
      </c>
      <c r="B303" s="16">
        <f>$I$228</f>
        <v/>
      </c>
      <c r="C303" s="16">
        <f>$I$229</f>
        <v/>
      </c>
      <c r="D303" s="16">
        <f>$I$230</f>
        <v/>
      </c>
      <c r="E303" s="16">
        <f>$I$231</f>
        <v/>
      </c>
    </row>
    <row r="304" hidden="1">
      <c r="A304" s="5">
        <f>$O$61</f>
        <v/>
      </c>
      <c r="B304" s="16">
        <f>$I$232</f>
        <v/>
      </c>
      <c r="C304" s="16">
        <f>$I$233</f>
        <v/>
      </c>
      <c r="D304" s="16">
        <f>$I$234</f>
        <v/>
      </c>
      <c r="E304" s="16">
        <f>$I$235</f>
        <v/>
      </c>
    </row>
    <row r="305" hidden="1">
      <c r="A305" s="5">
        <f>$O$62</f>
        <v/>
      </c>
      <c r="B305" s="16">
        <f>$I$236</f>
        <v/>
      </c>
      <c r="C305" s="16">
        <f>$I$237</f>
        <v/>
      </c>
      <c r="D305" s="16">
        <f>$I$238</f>
        <v/>
      </c>
      <c r="E305" s="16">
        <f>$I$239</f>
        <v/>
      </c>
    </row>
    <row r="306" hidden="1">
      <c r="A306" s="5">
        <f>$O$63</f>
        <v/>
      </c>
      <c r="B306" s="16">
        <f>$I$240</f>
        <v/>
      </c>
      <c r="C306" s="16">
        <f>$I$241</f>
        <v/>
      </c>
      <c r="D306" s="16">
        <f>$I$242</f>
        <v/>
      </c>
      <c r="E306" s="16">
        <f>$I$243</f>
        <v/>
      </c>
    </row>
    <row r="308">
      <c r="A308" s="3" t="inlineStr">
        <is>
          <t>RATIO CORRECTIVO/PREVENTIVO POR SEMANA (REGLA-9) — meta: correctivo ≤ 20 % de las HH</t>
        </is>
      </c>
    </row>
    <row r="309">
      <c r="A309" s="15" t="inlineStr">
        <is>
          <t>semana</t>
        </is>
      </c>
      <c r="B309" s="15" t="inlineStr">
        <is>
          <t>hh_preventiva</t>
        </is>
      </c>
      <c r="C309" s="15" t="inlineStr">
        <is>
          <t>hh_correctiva</t>
        </is>
      </c>
      <c r="D309" s="15" t="inlineStr">
        <is>
          <t>ratio_corr_prev</t>
        </is>
      </c>
      <c r="E309" s="15" t="inlineStr">
        <is>
          <t>pct_correctivo</t>
        </is>
      </c>
      <c r="F309" s="15" t="inlineStr">
        <is>
          <t>cumple_meta</t>
        </is>
      </c>
    </row>
    <row r="310">
      <c r="A310" s="5">
        <f>$O$4</f>
        <v/>
      </c>
      <c r="B310" s="17">
        <f>SUMIFS(tblOrdenes[horas_efectivas],tblOrdenes[semana],$A310,tblOrdenes[clasificacion],"preventiva")</f>
        <v/>
      </c>
      <c r="C310" s="17">
        <f>SUMIFS(tblOrdenes[horas_efectivas],tblOrdenes[semana],$A310,tblOrdenes[clasificacion],"correctiva")</f>
        <v/>
      </c>
      <c r="D310" s="16">
        <f>IF(B310=0,"",C310/B310)</f>
        <v/>
      </c>
      <c r="E310" s="16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17">
        <f>SUMIFS(tblOrdenes[horas_efectivas],tblOrdenes[semana],$A311,tblOrdenes[clasificacion],"preventiva")</f>
        <v/>
      </c>
      <c r="C311" s="17">
        <f>SUMIFS(tblOrdenes[horas_efectivas],tblOrdenes[semana],$A311,tblOrdenes[clasificacion],"correctiva")</f>
        <v/>
      </c>
      <c r="D311" s="16">
        <f>IF(B311=0,"",C311/B311)</f>
        <v/>
      </c>
      <c r="E311" s="16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17">
        <f>SUMIFS(tblOrdenes[horas_efectivas],tblOrdenes[semana],$A312,tblOrdenes[clasificacion],"preventiva")</f>
        <v/>
      </c>
      <c r="C312" s="17">
        <f>SUMIFS(tblOrdenes[horas_efectivas],tblOrdenes[semana],$A312,tblOrdenes[clasificacion],"correctiva")</f>
        <v/>
      </c>
      <c r="D312" s="16">
        <f>IF(B312=0,"",C312/B312)</f>
        <v/>
      </c>
      <c r="E312" s="16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17">
        <f>SUMIFS(tblOrdenes[horas_efectivas],tblOrdenes[semana],$A313,tblOrdenes[clasificacion],"preventiva")</f>
        <v/>
      </c>
      <c r="C313" s="17">
        <f>SUMIFS(tblOrdenes[horas_efectivas],tblOrdenes[semana],$A313,tblOrdenes[clasificacion],"correctiva")</f>
        <v/>
      </c>
      <c r="D313" s="16">
        <f>IF(B313=0,"",C313/B313)</f>
        <v/>
      </c>
      <c r="E313" s="16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17">
        <f>SUMIFS(tblOrdenes[horas_efectivas],tblOrdenes[semana],$A314,tblOrdenes[clasificacion],"preventiva")</f>
        <v/>
      </c>
      <c r="C314" s="17">
        <f>SUMIFS(tblOrdenes[horas_efectivas],tblOrdenes[semana],$A314,tblOrdenes[clasificacion],"correctiva")</f>
        <v/>
      </c>
      <c r="D314" s="16">
        <f>IF(B314=0,"",C314/B314)</f>
        <v/>
      </c>
      <c r="E314" s="16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17">
        <f>SUMIFS(tblOrdenes[horas_efectivas],tblOrdenes[semana],$A315,tblOrdenes[clasificacion],"preventiva")</f>
        <v/>
      </c>
      <c r="C315" s="17">
        <f>SUMIFS(tblOrdenes[horas_efectivas],tblOrdenes[semana],$A315,tblOrdenes[clasificacion],"correctiva")</f>
        <v/>
      </c>
      <c r="D315" s="16">
        <f>IF(B315=0,"",C315/B315)</f>
        <v/>
      </c>
      <c r="E315" s="16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17">
        <f>SUMIFS(tblOrdenes[horas_efectivas],tblOrdenes[semana],$A316,tblOrdenes[clasificacion],"preventiva")</f>
        <v/>
      </c>
      <c r="C316" s="17">
        <f>SUMIFS(tblOrdenes[horas_efectivas],tblOrdenes[semana],$A316,tblOrdenes[clasificacion],"correctiva")</f>
        <v/>
      </c>
      <c r="D316" s="16">
        <f>IF(B316=0,"",C316/B316)</f>
        <v/>
      </c>
      <c r="E316" s="16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17">
        <f>SUMIFS(tblOrdenes[horas_efectivas],tblOrdenes[semana],$A317,tblOrdenes[clasificacion],"preventiva")</f>
        <v/>
      </c>
      <c r="C317" s="17">
        <f>SUMIFS(tblOrdenes[horas_efectivas],tblOrdenes[semana],$A317,tblOrdenes[clasificacion],"correctiva")</f>
        <v/>
      </c>
      <c r="D317" s="16">
        <f>IF(B317=0,"",C317/B317)</f>
        <v/>
      </c>
      <c r="E317" s="16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17">
        <f>SUMIFS(tblOrdenes[horas_efectivas],tblOrdenes[semana],$A318,tblOrdenes[clasificacion],"preventiva")</f>
        <v/>
      </c>
      <c r="C318" s="17">
        <f>SUMIFS(tblOrdenes[horas_efectivas],tblOrdenes[semana],$A318,tblOrdenes[clasificacion],"correctiva")</f>
        <v/>
      </c>
      <c r="D318" s="16">
        <f>IF(B318=0,"",C318/B318)</f>
        <v/>
      </c>
      <c r="E318" s="16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17">
        <f>SUMIFS(tblOrdenes[horas_efectivas],tblOrdenes[semana],$A319,tblOrdenes[clasificacion],"preventiva")</f>
        <v/>
      </c>
      <c r="C319" s="17">
        <f>SUMIFS(tblOrdenes[horas_efectivas],tblOrdenes[semana],$A319,tblOrdenes[clasificacion],"correctiva")</f>
        <v/>
      </c>
      <c r="D319" s="16">
        <f>IF(B319=0,"",C319/B319)</f>
        <v/>
      </c>
      <c r="E319" s="16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17">
        <f>SUMIFS(tblOrdenes[horas_efectivas],tblOrdenes[semana],$A320,tblOrdenes[clasificacion],"preventiva")</f>
        <v/>
      </c>
      <c r="C320" s="17">
        <f>SUMIFS(tblOrdenes[horas_efectivas],tblOrdenes[semana],$A320,tblOrdenes[clasificacion],"correctiva")</f>
        <v/>
      </c>
      <c r="D320" s="16">
        <f>IF(B320=0,"",C320/B320)</f>
        <v/>
      </c>
      <c r="E320" s="16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17">
        <f>SUMIFS(tblOrdenes[horas_efectivas],tblOrdenes[semana],$A321,tblOrdenes[clasificacion],"preventiva")</f>
        <v/>
      </c>
      <c r="C321" s="17">
        <f>SUMIFS(tblOrdenes[horas_efectivas],tblOrdenes[semana],$A321,tblOrdenes[clasificacion],"correctiva")</f>
        <v/>
      </c>
      <c r="D321" s="16">
        <f>IF(B321=0,"",C321/B321)</f>
        <v/>
      </c>
      <c r="E321" s="16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17">
        <f>SUMIFS(tblOrdenes[horas_efectivas],tblOrdenes[semana],$A322,tblOrdenes[clasificacion],"preventiva")</f>
        <v/>
      </c>
      <c r="C322" s="17">
        <f>SUMIFS(tblOrdenes[horas_efectivas],tblOrdenes[semana],$A322,tblOrdenes[clasificacion],"correctiva")</f>
        <v/>
      </c>
      <c r="D322" s="16">
        <f>IF(B322=0,"",C322/B322)</f>
        <v/>
      </c>
      <c r="E322" s="16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17">
        <f>SUMIFS(tblOrdenes[horas_efectivas],tblOrdenes[semana],$A323,tblOrdenes[clasificacion],"preventiva")</f>
        <v/>
      </c>
      <c r="C323" s="17">
        <f>SUMIFS(tblOrdenes[horas_efectivas],tblOrdenes[semana],$A323,tblOrdenes[clasificacion],"correctiva")</f>
        <v/>
      </c>
      <c r="D323" s="16">
        <f>IF(B323=0,"",C323/B323)</f>
        <v/>
      </c>
      <c r="E323" s="16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17">
        <f>SUMIFS(tblOrdenes[horas_efectivas],tblOrdenes[semana],$A324,tblOrdenes[clasificacion],"preventiva")</f>
        <v/>
      </c>
      <c r="C324" s="17">
        <f>SUMIFS(tblOrdenes[horas_efectivas],tblOrdenes[semana],$A324,tblOrdenes[clasificacion],"correctiva")</f>
        <v/>
      </c>
      <c r="D324" s="16">
        <f>IF(B324=0,"",C324/B324)</f>
        <v/>
      </c>
      <c r="E324" s="16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17">
        <f>SUMIFS(tblOrdenes[horas_efectivas],tblOrdenes[semana],$A325,tblOrdenes[clasificacion],"preventiva")</f>
        <v/>
      </c>
      <c r="C325" s="17">
        <f>SUMIFS(tblOrdenes[horas_efectivas],tblOrdenes[semana],$A325,tblOrdenes[clasificacion],"correctiva")</f>
        <v/>
      </c>
      <c r="D325" s="16">
        <f>IF(B325=0,"",C325/B325)</f>
        <v/>
      </c>
      <c r="E325" s="16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17">
        <f>SUMIFS(tblOrdenes[horas_efectivas],tblOrdenes[semana],$A326,tblOrdenes[clasificacion],"preventiva")</f>
        <v/>
      </c>
      <c r="C326" s="17">
        <f>SUMIFS(tblOrdenes[horas_efectivas],tblOrdenes[semana],$A326,tblOrdenes[clasificacion],"correctiva")</f>
        <v/>
      </c>
      <c r="D326" s="16">
        <f>IF(B326=0,"",C326/B326)</f>
        <v/>
      </c>
      <c r="E326" s="16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17">
        <f>SUMIFS(tblOrdenes[horas_efectivas],tblOrdenes[semana],$A327,tblOrdenes[clasificacion],"preventiva")</f>
        <v/>
      </c>
      <c r="C327" s="17">
        <f>SUMIFS(tblOrdenes[horas_efectivas],tblOrdenes[semana],$A327,tblOrdenes[clasificacion],"correctiva")</f>
        <v/>
      </c>
      <c r="D327" s="16">
        <f>IF(B327=0,"",C327/B327)</f>
        <v/>
      </c>
      <c r="E327" s="16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17">
        <f>SUMIFS(tblOrdenes[horas_efectivas],tblOrdenes[semana],$A328,tblOrdenes[clasificacion],"preventiva")</f>
        <v/>
      </c>
      <c r="C328" s="17">
        <f>SUMIFS(tblOrdenes[horas_efectivas],tblOrdenes[semana],$A328,tblOrdenes[clasificacion],"correctiva")</f>
        <v/>
      </c>
      <c r="D328" s="16">
        <f>IF(B328=0,"",C328/B328)</f>
        <v/>
      </c>
      <c r="E328" s="16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17">
        <f>SUMIFS(tblOrdenes[horas_efectivas],tblOrdenes[semana],$A329,tblOrdenes[clasificacion],"preventiva")</f>
        <v/>
      </c>
      <c r="C329" s="17">
        <f>SUMIFS(tblOrdenes[horas_efectivas],tblOrdenes[semana],$A329,tblOrdenes[clasificacion],"correctiva")</f>
        <v/>
      </c>
      <c r="D329" s="16">
        <f>IF(B329=0,"",C329/B329)</f>
        <v/>
      </c>
      <c r="E329" s="16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17">
        <f>SUMIFS(tblOrdenes[horas_efectivas],tblOrdenes[semana],$A330,tblOrdenes[clasificacion],"preventiva")</f>
        <v/>
      </c>
      <c r="C330" s="17">
        <f>SUMIFS(tblOrdenes[horas_efectivas],tblOrdenes[semana],$A330,tblOrdenes[clasificacion],"correctiva")</f>
        <v/>
      </c>
      <c r="D330" s="16">
        <f>IF(B330=0,"",C330/B330)</f>
        <v/>
      </c>
      <c r="E330" s="16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17">
        <f>SUMIFS(tblOrdenes[horas_efectivas],tblOrdenes[semana],$A331,tblOrdenes[clasificacion],"preventiva")</f>
        <v/>
      </c>
      <c r="C331" s="17">
        <f>SUMIFS(tblOrdenes[horas_efectivas],tblOrdenes[semana],$A331,tblOrdenes[clasificacion],"correctiva")</f>
        <v/>
      </c>
      <c r="D331" s="16">
        <f>IF(B331=0,"",C331/B331)</f>
        <v/>
      </c>
      <c r="E331" s="16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17">
        <f>SUMIFS(tblOrdenes[horas_efectivas],tblOrdenes[semana],$A332,tblOrdenes[clasificacion],"preventiva")</f>
        <v/>
      </c>
      <c r="C332" s="17">
        <f>SUMIFS(tblOrdenes[horas_efectivas],tblOrdenes[semana],$A332,tblOrdenes[clasificacion],"correctiva")</f>
        <v/>
      </c>
      <c r="D332" s="16">
        <f>IF(B332=0,"",C332/B332)</f>
        <v/>
      </c>
      <c r="E332" s="16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17">
        <f>SUMIFS(tblOrdenes[horas_efectivas],tblOrdenes[semana],$A333,tblOrdenes[clasificacion],"preventiva")</f>
        <v/>
      </c>
      <c r="C333" s="17">
        <f>SUMIFS(tblOrdenes[horas_efectivas],tblOrdenes[semana],$A333,tblOrdenes[clasificacion],"correctiva")</f>
        <v/>
      </c>
      <c r="D333" s="16">
        <f>IF(B333=0,"",C333/B333)</f>
        <v/>
      </c>
      <c r="E333" s="16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17">
        <f>SUMIFS(tblOrdenes[horas_efectivas],tblOrdenes[semana],$A334,tblOrdenes[clasificacion],"preventiva")</f>
        <v/>
      </c>
      <c r="C334" s="17">
        <f>SUMIFS(tblOrdenes[horas_efectivas],tblOrdenes[semana],$A334,tblOrdenes[clasificacion],"correctiva")</f>
        <v/>
      </c>
      <c r="D334" s="16">
        <f>IF(B334=0,"",C334/B334)</f>
        <v/>
      </c>
      <c r="E334" s="16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17">
        <f>SUMIFS(tblOrdenes[horas_efectivas],tblOrdenes[semana],$A335,tblOrdenes[clasificacion],"preventiva")</f>
        <v/>
      </c>
      <c r="C335" s="17">
        <f>SUMIFS(tblOrdenes[horas_efectivas],tblOrdenes[semana],$A335,tblOrdenes[clasificacion],"correctiva")</f>
        <v/>
      </c>
      <c r="D335" s="16">
        <f>IF(B335=0,"",C335/B335)</f>
        <v/>
      </c>
      <c r="E335" s="16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17">
        <f>SUMIFS(tblOrdenes[horas_efectivas],tblOrdenes[semana],$A336,tblOrdenes[clasificacion],"preventiva")</f>
        <v/>
      </c>
      <c r="C336" s="17">
        <f>SUMIFS(tblOrdenes[horas_efectivas],tblOrdenes[semana],$A336,tblOrdenes[clasificacion],"correctiva")</f>
        <v/>
      </c>
      <c r="D336" s="16">
        <f>IF(B336=0,"",C336/B336)</f>
        <v/>
      </c>
      <c r="E336" s="16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17">
        <f>SUMIFS(tblOrdenes[horas_efectivas],tblOrdenes[semana],$A337,tblOrdenes[clasificacion],"preventiva")</f>
        <v/>
      </c>
      <c r="C337" s="17">
        <f>SUMIFS(tblOrdenes[horas_efectivas],tblOrdenes[semana],$A337,tblOrdenes[clasificacion],"correctiva")</f>
        <v/>
      </c>
      <c r="D337" s="16">
        <f>IF(B337=0,"",C337/B337)</f>
        <v/>
      </c>
      <c r="E337" s="16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17">
        <f>SUMIFS(tblOrdenes[horas_efectivas],tblOrdenes[semana],$A338,tblOrdenes[clasificacion],"preventiva")</f>
        <v/>
      </c>
      <c r="C338" s="17">
        <f>SUMIFS(tblOrdenes[horas_efectivas],tblOrdenes[semana],$A338,tblOrdenes[clasificacion],"correctiva")</f>
        <v/>
      </c>
      <c r="D338" s="16">
        <f>IF(B338=0,"",C338/B338)</f>
        <v/>
      </c>
      <c r="E338" s="16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17">
        <f>SUMIFS(tblOrdenes[horas_efectivas],tblOrdenes[semana],$A339,tblOrdenes[clasificacion],"preventiva")</f>
        <v/>
      </c>
      <c r="C339" s="17">
        <f>SUMIFS(tblOrdenes[horas_efectivas],tblOrdenes[semana],$A339,tblOrdenes[clasificacion],"correctiva")</f>
        <v/>
      </c>
      <c r="D339" s="16">
        <f>IF(B339=0,"",C339/B339)</f>
        <v/>
      </c>
      <c r="E339" s="16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17">
        <f>SUMIFS(tblOrdenes[horas_efectivas],tblOrdenes[semana],$A340,tblOrdenes[clasificacion],"preventiva")</f>
        <v/>
      </c>
      <c r="C340" s="17">
        <f>SUMIFS(tblOrdenes[horas_efectivas],tblOrdenes[semana],$A340,tblOrdenes[clasificacion],"correctiva")</f>
        <v/>
      </c>
      <c r="D340" s="16">
        <f>IF(B340=0,"",C340/B340)</f>
        <v/>
      </c>
      <c r="E340" s="16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17">
        <f>SUMIFS(tblOrdenes[horas_efectivas],tblOrdenes[semana],$A341,tblOrdenes[clasificacion],"preventiva")</f>
        <v/>
      </c>
      <c r="C341" s="17">
        <f>SUMIFS(tblOrdenes[horas_efectivas],tblOrdenes[semana],$A341,tblOrdenes[clasificacion],"correctiva")</f>
        <v/>
      </c>
      <c r="D341" s="16">
        <f>IF(B341=0,"",C341/B341)</f>
        <v/>
      </c>
      <c r="E341" s="16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17">
        <f>SUMIFS(tblOrdenes[horas_efectivas],tblOrdenes[semana],$A342,tblOrdenes[clasificacion],"preventiva")</f>
        <v/>
      </c>
      <c r="C342" s="17">
        <f>SUMIFS(tblOrdenes[horas_efectivas],tblOrdenes[semana],$A342,tblOrdenes[clasificacion],"correctiva")</f>
        <v/>
      </c>
      <c r="D342" s="16">
        <f>IF(B342=0,"",C342/B342)</f>
        <v/>
      </c>
      <c r="E342" s="16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17">
        <f>SUMIFS(tblOrdenes[horas_efectivas],tblOrdenes[semana],$A343,tblOrdenes[clasificacion],"preventiva")</f>
        <v/>
      </c>
      <c r="C343" s="17">
        <f>SUMIFS(tblOrdenes[horas_efectivas],tblOrdenes[semana],$A343,tblOrdenes[clasificacion],"correctiva")</f>
        <v/>
      </c>
      <c r="D343" s="16">
        <f>IF(B343=0,"",C343/B343)</f>
        <v/>
      </c>
      <c r="E343" s="16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17">
        <f>SUMIFS(tblOrdenes[horas_efectivas],tblOrdenes[semana],$A344,tblOrdenes[clasificacion],"preventiva")</f>
        <v/>
      </c>
      <c r="C344" s="17">
        <f>SUMIFS(tblOrdenes[horas_efectivas],tblOrdenes[semana],$A344,tblOrdenes[clasificacion],"correctiva")</f>
        <v/>
      </c>
      <c r="D344" s="16">
        <f>IF(B344=0,"",C344/B344)</f>
        <v/>
      </c>
      <c r="E344" s="16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17">
        <f>SUMIFS(tblOrdenes[horas_efectivas],tblOrdenes[semana],$A345,tblOrdenes[clasificacion],"preventiva")</f>
        <v/>
      </c>
      <c r="C345" s="17">
        <f>SUMIFS(tblOrdenes[horas_efectivas],tblOrdenes[semana],$A345,tblOrdenes[clasificacion],"correctiva")</f>
        <v/>
      </c>
      <c r="D345" s="16">
        <f>IF(B345=0,"",C345/B345)</f>
        <v/>
      </c>
      <c r="E345" s="16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17">
        <f>SUMIFS(tblOrdenes[horas_efectivas],tblOrdenes[semana],$A346,tblOrdenes[clasificacion],"preventiva")</f>
        <v/>
      </c>
      <c r="C346" s="17">
        <f>SUMIFS(tblOrdenes[horas_efectivas],tblOrdenes[semana],$A346,tblOrdenes[clasificacion],"correctiva")</f>
        <v/>
      </c>
      <c r="D346" s="16">
        <f>IF(B346=0,"",C346/B346)</f>
        <v/>
      </c>
      <c r="E346" s="16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17">
        <f>SUMIFS(tblOrdenes[horas_efectivas],tblOrdenes[semana],$A347,tblOrdenes[clasificacion],"preventiva")</f>
        <v/>
      </c>
      <c r="C347" s="17">
        <f>SUMIFS(tblOrdenes[horas_efectivas],tblOrdenes[semana],$A347,tblOrdenes[clasificacion],"correctiva")</f>
        <v/>
      </c>
      <c r="D347" s="16">
        <f>IF(B347=0,"",C347/B347)</f>
        <v/>
      </c>
      <c r="E347" s="16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17">
        <f>SUMIFS(tblOrdenes[horas_efectivas],tblOrdenes[semana],$A348,tblOrdenes[clasificacion],"preventiva")</f>
        <v/>
      </c>
      <c r="C348" s="17">
        <f>SUMIFS(tblOrdenes[horas_efectivas],tblOrdenes[semana],$A348,tblOrdenes[clasificacion],"correctiva")</f>
        <v/>
      </c>
      <c r="D348" s="16">
        <f>IF(B348=0,"",C348/B348)</f>
        <v/>
      </c>
      <c r="E348" s="16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17">
        <f>SUMIFS(tblOrdenes[horas_efectivas],tblOrdenes[semana],$A349,tblOrdenes[clasificacion],"preventiva")</f>
        <v/>
      </c>
      <c r="C349" s="17">
        <f>SUMIFS(tblOrdenes[horas_efectivas],tblOrdenes[semana],$A349,tblOrdenes[clasificacion],"correctiva")</f>
        <v/>
      </c>
      <c r="D349" s="16">
        <f>IF(B349=0,"",C349/B349)</f>
        <v/>
      </c>
      <c r="E349" s="16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17">
        <f>SUMIFS(tblOrdenes[horas_efectivas],tblOrdenes[semana],$A350,tblOrdenes[clasificacion],"preventiva")</f>
        <v/>
      </c>
      <c r="C350" s="17">
        <f>SUMIFS(tblOrdenes[horas_efectivas],tblOrdenes[semana],$A350,tblOrdenes[clasificacion],"correctiva")</f>
        <v/>
      </c>
      <c r="D350" s="16">
        <f>IF(B350=0,"",C350/B350)</f>
        <v/>
      </c>
      <c r="E350" s="16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17">
        <f>SUMIFS(tblOrdenes[horas_efectivas],tblOrdenes[semana],$A351,tblOrdenes[clasificacion],"preventiva")</f>
        <v/>
      </c>
      <c r="C351" s="17">
        <f>SUMIFS(tblOrdenes[horas_efectivas],tblOrdenes[semana],$A351,tblOrdenes[clasificacion],"correctiva")</f>
        <v/>
      </c>
      <c r="D351" s="16">
        <f>IF(B351=0,"",C351/B351)</f>
        <v/>
      </c>
      <c r="E351" s="16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17">
        <f>SUMIFS(tblOrdenes[horas_efectivas],tblOrdenes[semana],$A352,tblOrdenes[clasificacion],"preventiva")</f>
        <v/>
      </c>
      <c r="C352" s="17">
        <f>SUMIFS(tblOrdenes[horas_efectivas],tblOrdenes[semana],$A352,tblOrdenes[clasificacion],"correctiva")</f>
        <v/>
      </c>
      <c r="D352" s="16">
        <f>IF(B352=0,"",C352/B352)</f>
        <v/>
      </c>
      <c r="E352" s="16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17">
        <f>SUMIFS(tblOrdenes[horas_efectivas],tblOrdenes[semana],$A353,tblOrdenes[clasificacion],"preventiva")</f>
        <v/>
      </c>
      <c r="C353" s="17">
        <f>SUMIFS(tblOrdenes[horas_efectivas],tblOrdenes[semana],$A353,tblOrdenes[clasificacion],"correctiva")</f>
        <v/>
      </c>
      <c r="D353" s="16">
        <f>IF(B353=0,"",C353/B353)</f>
        <v/>
      </c>
      <c r="E353" s="16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17">
        <f>SUMIFS(tblOrdenes[horas_efectivas],tblOrdenes[semana],$A354,tblOrdenes[clasificacion],"preventiva")</f>
        <v/>
      </c>
      <c r="C354" s="17">
        <f>SUMIFS(tblOrdenes[horas_efectivas],tblOrdenes[semana],$A354,tblOrdenes[clasificacion],"correctiva")</f>
        <v/>
      </c>
      <c r="D354" s="16">
        <f>IF(B354=0,"",C354/B354)</f>
        <v/>
      </c>
      <c r="E354" s="16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17">
        <f>SUMIFS(tblOrdenes[horas_efectivas],tblOrdenes[semana],$A355,tblOrdenes[clasificacion],"preventiva")</f>
        <v/>
      </c>
      <c r="C355" s="17">
        <f>SUMIFS(tblOrdenes[horas_efectivas],tblOrdenes[semana],$A355,tblOrdenes[clasificacion],"correctiva")</f>
        <v/>
      </c>
      <c r="D355" s="16">
        <f>IF(B355=0,"",C355/B355)</f>
        <v/>
      </c>
      <c r="E355" s="16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17">
        <f>SUMIFS(tblOrdenes[horas_efectivas],tblOrdenes[semana],$A356,tblOrdenes[clasificacion],"preventiva")</f>
        <v/>
      </c>
      <c r="C356" s="17">
        <f>SUMIFS(tblOrdenes[horas_efectivas],tblOrdenes[semana],$A356,tblOrdenes[clasificacion],"correctiva")</f>
        <v/>
      </c>
      <c r="D356" s="16">
        <f>IF(B356=0,"",C356/B356)</f>
        <v/>
      </c>
      <c r="E356" s="16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17">
        <f>SUMIFS(tblOrdenes[horas_efectivas],tblOrdenes[semana],$A357,tblOrdenes[clasificacion],"preventiva")</f>
        <v/>
      </c>
      <c r="C357" s="17">
        <f>SUMIFS(tblOrdenes[horas_efectivas],tblOrdenes[semana],$A357,tblOrdenes[clasificacion],"correctiva")</f>
        <v/>
      </c>
      <c r="D357" s="16">
        <f>IF(B357=0,"",C357/B357)</f>
        <v/>
      </c>
      <c r="E357" s="16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17">
        <f>SUMIFS(tblOrdenes[horas_efectivas],tblOrdenes[semana],$A358,tblOrdenes[clasificacion],"preventiva")</f>
        <v/>
      </c>
      <c r="C358" s="17">
        <f>SUMIFS(tblOrdenes[horas_efectivas],tblOrdenes[semana],$A358,tblOrdenes[clasificacion],"correctiva")</f>
        <v/>
      </c>
      <c r="D358" s="16">
        <f>IF(B358=0,"",C358/B358)</f>
        <v/>
      </c>
      <c r="E358" s="16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17">
        <f>SUMIFS(tblOrdenes[horas_efectivas],tblOrdenes[semana],$A359,tblOrdenes[clasificacion],"preventiva")</f>
        <v/>
      </c>
      <c r="C359" s="17">
        <f>SUMIFS(tblOrdenes[horas_efectivas],tblOrdenes[semana],$A359,tblOrdenes[clasificacion],"correctiva")</f>
        <v/>
      </c>
      <c r="D359" s="16">
        <f>IF(B359=0,"",C359/B359)</f>
        <v/>
      </c>
      <c r="E359" s="16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17">
        <f>SUMIFS(tblOrdenes[horas_efectivas],tblOrdenes[semana],$A360,tblOrdenes[clasificacion],"preventiva")</f>
        <v/>
      </c>
      <c r="C360" s="17">
        <f>SUMIFS(tblOrdenes[horas_efectivas],tblOrdenes[semana],$A360,tblOrdenes[clasificacion],"correctiva")</f>
        <v/>
      </c>
      <c r="D360" s="16">
        <f>IF(B360=0,"",C360/B360)</f>
        <v/>
      </c>
      <c r="E360" s="16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17">
        <f>SUMIFS(tblOrdenes[horas_efectivas],tblOrdenes[semana],$A361,tblOrdenes[clasificacion],"preventiva")</f>
        <v/>
      </c>
      <c r="C361" s="17">
        <f>SUMIFS(tblOrdenes[horas_efectivas],tblOrdenes[semana],$A361,tblOrdenes[clasificacion],"correctiva")</f>
        <v/>
      </c>
      <c r="D361" s="16">
        <f>IF(B361=0,"",C361/B361)</f>
        <v/>
      </c>
      <c r="E361" s="16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17">
        <f>SUMIFS(tblOrdenes[horas_efectivas],tblOrdenes[semana],$A362,tblOrdenes[clasificacion],"preventiva")</f>
        <v/>
      </c>
      <c r="C362" s="17">
        <f>SUMIFS(tblOrdenes[horas_efectivas],tblOrdenes[semana],$A362,tblOrdenes[clasificacion],"correctiva")</f>
        <v/>
      </c>
      <c r="D362" s="16">
        <f>IF(B362=0,"",C362/B362)</f>
        <v/>
      </c>
      <c r="E362" s="16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17">
        <f>SUMIFS(tblOrdenes[horas_efectivas],tblOrdenes[semana],$A363,tblOrdenes[clasificacion],"preventiva")</f>
        <v/>
      </c>
      <c r="C363" s="17">
        <f>SUMIFS(tblOrdenes[horas_efectivas],tblOrdenes[semana],$A363,tblOrdenes[clasificacion],"correctiva")</f>
        <v/>
      </c>
      <c r="D363" s="16">
        <f>IF(B363=0,"",C363/B363)</f>
        <v/>
      </c>
      <c r="E363" s="16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17">
        <f>SUMIFS(tblOrdenes[horas_efectivas],tblOrdenes[semana],$A364,tblOrdenes[clasificacion],"preventiva")</f>
        <v/>
      </c>
      <c r="C364" s="17">
        <f>SUMIFS(tblOrdenes[horas_efectivas],tblOrdenes[semana],$A364,tblOrdenes[clasificacion],"correctiva")</f>
        <v/>
      </c>
      <c r="D364" s="16">
        <f>IF(B364=0,"",C364/B364)</f>
        <v/>
      </c>
      <c r="E364" s="16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17">
        <f>SUMIFS(tblOrdenes[horas_efectivas],tblOrdenes[semana],$A365,tblOrdenes[clasificacion],"preventiva")</f>
        <v/>
      </c>
      <c r="C365" s="17">
        <f>SUMIFS(tblOrdenes[horas_efectivas],tblOrdenes[semana],$A365,tblOrdenes[clasificacion],"correctiva")</f>
        <v/>
      </c>
      <c r="D365" s="16">
        <f>IF(B365=0,"",C365/B365)</f>
        <v/>
      </c>
      <c r="E365" s="16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17">
        <f>SUMIFS(tblOrdenes[horas_efectivas],tblOrdenes[semana],$A366,tblOrdenes[clasificacion],"preventiva")</f>
        <v/>
      </c>
      <c r="C366" s="17">
        <f>SUMIFS(tblOrdenes[horas_efectivas],tblOrdenes[semana],$A366,tblOrdenes[clasificacion],"correctiva")</f>
        <v/>
      </c>
      <c r="D366" s="16">
        <f>IF(B366=0,"",C366/B366)</f>
        <v/>
      </c>
      <c r="E366" s="16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17">
        <f>SUMIFS(tblOrdenes[horas_efectivas],tblOrdenes[semana],$A367,tblOrdenes[clasificacion],"preventiva")</f>
        <v/>
      </c>
      <c r="C367" s="17">
        <f>SUMIFS(tblOrdenes[horas_efectivas],tblOrdenes[semana],$A367,tblOrdenes[clasificacion],"correctiva")</f>
        <v/>
      </c>
      <c r="D367" s="16">
        <f>IF(B367=0,"",C367/B367)</f>
        <v/>
      </c>
      <c r="E367" s="16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17">
        <f>SUMIFS(tblOrdenes[horas_efectivas],tblOrdenes[semana],$A368,tblOrdenes[clasificacion],"preventiva")</f>
        <v/>
      </c>
      <c r="C368" s="17">
        <f>SUMIFS(tblOrdenes[horas_efectivas],tblOrdenes[semana],$A368,tblOrdenes[clasificacion],"correctiva")</f>
        <v/>
      </c>
      <c r="D368" s="16">
        <f>IF(B368=0,"",C368/B368)</f>
        <v/>
      </c>
      <c r="E368" s="16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17">
        <f>SUMIFS(tblOrdenes[horas_efectivas],tblOrdenes[semana],$A369,tblOrdenes[clasificacion],"preventiva")</f>
        <v/>
      </c>
      <c r="C369" s="17">
        <f>SUMIFS(tblOrdenes[horas_efectivas],tblOrdenes[semana],$A369,tblOrdenes[clasificacion],"correctiva")</f>
        <v/>
      </c>
      <c r="D369" s="16">
        <f>IF(B369=0,"",C369/B369)</f>
        <v/>
      </c>
      <c r="E369" s="16">
        <f>IF(B369+C369=0,"",C369/(B369+C369))</f>
        <v/>
      </c>
      <c r="F369" s="5">
        <f>IF(E369="","",IF(E369&lt;=1-p_meta_ratio_prev_corr,"SI","NO"))</f>
        <v/>
      </c>
    </row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5" t="inlineStr">
        <is>
          <t>mes</t>
        </is>
      </c>
      <c r="B372" s="15" t="inlineStr">
        <is>
          <t>corte</t>
        </is>
      </c>
      <c r="C372" s="15" t="inlineStr">
        <is>
          <t>inicio_mes</t>
        </is>
      </c>
      <c r="D372" s="15" t="inlineStr">
        <is>
          <t>planificada_MEC</t>
        </is>
      </c>
      <c r="E372" s="15" t="inlineStr">
        <is>
          <t>productiva_MEC</t>
        </is>
      </c>
      <c r="F372" s="15" t="inlineStr">
        <is>
          <t>planificada_ELE</t>
        </is>
      </c>
      <c r="G372" s="15" t="inlineStr">
        <is>
          <t>productiva_ELE</t>
        </is>
      </c>
      <c r="H372" s="15" t="inlineStr">
        <is>
          <t>planificada_AUT</t>
        </is>
      </c>
      <c r="I372" s="15" t="inlineStr">
        <is>
          <t>productiva_AUT</t>
        </is>
      </c>
      <c r="J372" s="15" t="inlineStr">
        <is>
          <t>planificada_TOTAL</t>
        </is>
      </c>
      <c r="K372" s="15" t="inlineStr">
        <is>
          <t>productiva_TOTAL</t>
        </is>
      </c>
      <c r="L372" s="15" t="inlineStr">
        <is>
          <t>pct_carga</t>
        </is>
      </c>
    </row>
    <row r="373">
      <c r="A373" s="5" t="inlineStr">
        <is>
          <t>2026-02</t>
        </is>
      </c>
      <c r="B373" s="22">
        <f>IF($A373="","",IF($A373=YEAR(p_fecha_datos)&amp;"-"&amp;TEXT(MONTH(p_fecha_datos),"00"),p_fecha_datos-1,DATE(VALUE(LEFT($A373,4)),VALUE(RIGHT($A373,2))+1,0)))</f>
        <v/>
      </c>
      <c r="C373" s="22">
        <f>DATE(VALUE(LEFT($A373,4)),VALUE(RIGHT($A373,2)),1)</f>
        <v/>
      </c>
      <c r="D373" s="17">
        <f>SUMIFS(tblOrdenes[horas_efectivas],tblOrdenes[especialidad],"MEC",tblOrdenes[mes_clave],$A373,tblOrdenes[fecha_inicio],"&lt;="&amp;$B373)</f>
        <v/>
      </c>
      <c r="E373" s="17">
        <f>SUMIFS(tblAsignaciones[horas_disponibles],tblAsignaciones[especialidad],"MEC",tblAsignaciones[fecha],"&gt;="&amp;$C373,tblAsignaciones[fecha],"&lt;="&amp;$B373)*p_factor_productividad</f>
        <v/>
      </c>
      <c r="F373" s="17">
        <f>SUMIFS(tblOrdenes[horas_efectivas],tblOrdenes[especialidad],"ELE",tblOrdenes[mes_clave],$A373,tblOrdenes[fecha_inicio],"&lt;="&amp;$B373)</f>
        <v/>
      </c>
      <c r="G373" s="17">
        <f>SUMIFS(tblAsignaciones[horas_disponibles],tblAsignaciones[especialidad],"ELE",tblAsignaciones[fecha],"&gt;="&amp;$C373,tblAsignaciones[fecha],"&lt;="&amp;$B373)*p_factor_productividad</f>
        <v/>
      </c>
      <c r="H373" s="17">
        <f>SUMIFS(tblOrdenes[horas_efectivas],tblOrdenes[especialidad],"AUT",tblOrdenes[mes_clave],$A373,tblOrdenes[fecha_inicio],"&lt;="&amp;$B373)</f>
        <v/>
      </c>
      <c r="I373" s="17">
        <f>SUMIFS(tblAsignaciones[horas_disponibles],tblAsignaciones[especialidad],"AUT",tblAsignaciones[fecha],"&gt;="&amp;$C373,tblAsignaciones[fecha],"&lt;="&amp;$B373)*p_factor_productividad</f>
        <v/>
      </c>
      <c r="J373" s="17">
        <f>D373+F373+H373</f>
        <v/>
      </c>
      <c r="K373" s="17">
        <f>E373+G373+I373</f>
        <v/>
      </c>
      <c r="L373" s="16">
        <f>IF(K373=0,"",J373/K373)</f>
        <v/>
      </c>
    </row>
    <row r="374">
      <c r="A374" s="5" t="inlineStr">
        <is>
          <t>2026-03</t>
        </is>
      </c>
      <c r="B374" s="22">
        <f>IF($A374="","",IF($A374=YEAR(p_fecha_datos)&amp;"-"&amp;TEXT(MONTH(p_fecha_datos),"00"),p_fecha_datos-1,DATE(VALUE(LEFT($A374,4)),VALUE(RIGHT($A374,2))+1,0)))</f>
        <v/>
      </c>
      <c r="C374" s="22">
        <f>DATE(VALUE(LEFT($A374,4)),VALUE(RIGHT($A374,2)),1)</f>
        <v/>
      </c>
      <c r="D374" s="17">
        <f>SUMIFS(tblOrdenes[horas_efectivas],tblOrdenes[especialidad],"MEC",tblOrdenes[mes_clave],$A374,tblOrdenes[fecha_inicio],"&lt;="&amp;$B374)</f>
        <v/>
      </c>
      <c r="E374" s="17">
        <f>SUMIFS(tblAsignaciones[horas_disponibles],tblAsignaciones[especialidad],"MEC",tblAsignaciones[fecha],"&gt;="&amp;$C374,tblAsignaciones[fecha],"&lt;="&amp;$B374)*p_factor_productividad</f>
        <v/>
      </c>
      <c r="F374" s="17">
        <f>SUMIFS(tblOrdenes[horas_efectivas],tblOrdenes[especialidad],"ELE",tblOrdenes[mes_clave],$A374,tblOrdenes[fecha_inicio],"&lt;="&amp;$B374)</f>
        <v/>
      </c>
      <c r="G374" s="17">
        <f>SUMIFS(tblAsignaciones[horas_disponibles],tblAsignaciones[especialidad],"ELE",tblAsignaciones[fecha],"&gt;="&amp;$C374,tblAsignaciones[fecha],"&lt;="&amp;$B374)*p_factor_productividad</f>
        <v/>
      </c>
      <c r="H374" s="17">
        <f>SUMIFS(tblOrdenes[horas_efectivas],tblOrdenes[especialidad],"AUT",tblOrdenes[mes_clave],$A374,tblOrdenes[fecha_inicio],"&lt;="&amp;$B374)</f>
        <v/>
      </c>
      <c r="I374" s="17">
        <f>SUMIFS(tblAsignaciones[horas_disponibles],tblAsignaciones[especialidad],"AUT",tblAsignaciones[fecha],"&gt;="&amp;$C374,tblAsignaciones[fecha],"&lt;="&amp;$B374)*p_factor_productividad</f>
        <v/>
      </c>
      <c r="J374" s="17">
        <f>D374+F374+H374</f>
        <v/>
      </c>
      <c r="K374" s="17">
        <f>E374+G374+I374</f>
        <v/>
      </c>
      <c r="L374" s="16">
        <f>IF(K374=0,"",J374/K374)</f>
        <v/>
      </c>
    </row>
    <row r="375">
      <c r="A375" s="5" t="inlineStr">
        <is>
          <t>2026-04</t>
        </is>
      </c>
      <c r="B375" s="22">
        <f>IF($A375="","",IF($A375=YEAR(p_fecha_datos)&amp;"-"&amp;TEXT(MONTH(p_fecha_datos),"00"),p_fecha_datos-1,DATE(VALUE(LEFT($A375,4)),VALUE(RIGHT($A375,2))+1,0)))</f>
        <v/>
      </c>
      <c r="C375" s="22">
        <f>DATE(VALUE(LEFT($A375,4)),VALUE(RIGHT($A375,2)),1)</f>
        <v/>
      </c>
      <c r="D375" s="17">
        <f>SUMIFS(tblOrdenes[horas_efectivas],tblOrdenes[especialidad],"MEC",tblOrdenes[mes_clave],$A375,tblOrdenes[fecha_inicio],"&lt;="&amp;$B375)</f>
        <v/>
      </c>
      <c r="E375" s="17">
        <f>SUMIFS(tblAsignaciones[horas_disponibles],tblAsignaciones[especialidad],"MEC",tblAsignaciones[fecha],"&gt;="&amp;$C375,tblAsignaciones[fecha],"&lt;="&amp;$B375)*p_factor_productividad</f>
        <v/>
      </c>
      <c r="F375" s="17">
        <f>SUMIFS(tblOrdenes[horas_efectivas],tblOrdenes[especialidad],"ELE",tblOrdenes[mes_clave],$A375,tblOrdenes[fecha_inicio],"&lt;="&amp;$B375)</f>
        <v/>
      </c>
      <c r="G375" s="17">
        <f>SUMIFS(tblAsignaciones[horas_disponibles],tblAsignaciones[especialidad],"ELE",tblAsignaciones[fecha],"&gt;="&amp;$C375,tblAsignaciones[fecha],"&lt;="&amp;$B375)*p_factor_productividad</f>
        <v/>
      </c>
      <c r="H375" s="17">
        <f>SUMIFS(tblOrdenes[horas_efectivas],tblOrdenes[especialidad],"AUT",tblOrdenes[mes_clave],$A375,tblOrdenes[fecha_inicio],"&lt;="&amp;$B375)</f>
        <v/>
      </c>
      <c r="I375" s="17">
        <f>SUMIFS(tblAsignaciones[horas_disponibles],tblAsignaciones[especialidad],"AUT",tblAsignaciones[fecha],"&gt;="&amp;$C375,tblAsignaciones[fecha],"&lt;="&amp;$B375)*p_factor_productividad</f>
        <v/>
      </c>
      <c r="J375" s="17">
        <f>D375+F375+H375</f>
        <v/>
      </c>
      <c r="K375" s="17">
        <f>E375+G375+I375</f>
        <v/>
      </c>
      <c r="L375" s="16">
        <f>IF(K375=0,"",J375/K375)</f>
        <v/>
      </c>
    </row>
    <row r="376">
      <c r="A376" s="5" t="inlineStr">
        <is>
          <t>2026-05</t>
        </is>
      </c>
      <c r="B376" s="22">
        <f>IF($A376="","",IF($A376=YEAR(p_fecha_datos)&amp;"-"&amp;TEXT(MONTH(p_fecha_datos),"00"),p_fecha_datos-1,DATE(VALUE(LEFT($A376,4)),VALUE(RIGHT($A376,2))+1,0)))</f>
        <v/>
      </c>
      <c r="C376" s="22">
        <f>DATE(VALUE(LEFT($A376,4)),VALUE(RIGHT($A376,2)),1)</f>
        <v/>
      </c>
      <c r="D376" s="17">
        <f>SUMIFS(tblOrdenes[horas_efectivas],tblOrdenes[especialidad],"MEC",tblOrdenes[mes_clave],$A376,tblOrdenes[fecha_inicio],"&lt;="&amp;$B376)</f>
        <v/>
      </c>
      <c r="E376" s="17">
        <f>SUMIFS(tblAsignaciones[horas_disponibles],tblAsignaciones[especialidad],"MEC",tblAsignaciones[fecha],"&gt;="&amp;$C376,tblAsignaciones[fecha],"&lt;="&amp;$B376)*p_factor_productividad</f>
        <v/>
      </c>
      <c r="F376" s="17">
        <f>SUMIFS(tblOrdenes[horas_efectivas],tblOrdenes[especialidad],"ELE",tblOrdenes[mes_clave],$A376,tblOrdenes[fecha_inicio],"&lt;="&amp;$B376)</f>
        <v/>
      </c>
      <c r="G376" s="17">
        <f>SUMIFS(tblAsignaciones[horas_disponibles],tblAsignaciones[especialidad],"ELE",tblAsignaciones[fecha],"&gt;="&amp;$C376,tblAsignaciones[fecha],"&lt;="&amp;$B376)*p_factor_productividad</f>
        <v/>
      </c>
      <c r="H376" s="17">
        <f>SUMIFS(tblOrdenes[horas_efectivas],tblOrdenes[especialidad],"AUT",tblOrdenes[mes_clave],$A376,tblOrdenes[fecha_inicio],"&lt;="&amp;$B376)</f>
        <v/>
      </c>
      <c r="I376" s="17">
        <f>SUMIFS(tblAsignaciones[horas_disponibles],tblAsignaciones[especialidad],"AUT",tblAsignaciones[fecha],"&gt;="&amp;$C376,tblAsignaciones[fecha],"&lt;="&amp;$B376)*p_factor_productividad</f>
        <v/>
      </c>
      <c r="J376" s="17">
        <f>D376+F376+H376</f>
        <v/>
      </c>
      <c r="K376" s="17">
        <f>E376+G376+I376</f>
        <v/>
      </c>
      <c r="L376" s="16">
        <f>IF(K376=0,"",J376/K376)</f>
        <v/>
      </c>
    </row>
    <row r="377">
      <c r="A377" s="5" t="inlineStr">
        <is>
          <t>2026-06</t>
        </is>
      </c>
      <c r="B377" s="22">
        <f>IF($A377="","",IF($A377=YEAR(p_fecha_datos)&amp;"-"&amp;TEXT(MONTH(p_fecha_datos),"00"),p_fecha_datos-1,DATE(VALUE(LEFT($A377,4)),VALUE(RIGHT($A377,2))+1,0)))</f>
        <v/>
      </c>
      <c r="C377" s="22">
        <f>DATE(VALUE(LEFT($A377,4)),VALUE(RIGHT($A377,2)),1)</f>
        <v/>
      </c>
      <c r="D377" s="17">
        <f>SUMIFS(tblOrdenes[horas_efectivas],tblOrdenes[especialidad],"MEC",tblOrdenes[mes_clave],$A377,tblOrdenes[fecha_inicio],"&lt;="&amp;$B377)</f>
        <v/>
      </c>
      <c r="E377" s="17">
        <f>SUMIFS(tblAsignaciones[horas_disponibles],tblAsignaciones[especialidad],"MEC",tblAsignaciones[fecha],"&gt;="&amp;$C377,tblAsignaciones[fecha],"&lt;="&amp;$B377)*p_factor_productividad</f>
        <v/>
      </c>
      <c r="F377" s="17">
        <f>SUMIFS(tblOrdenes[horas_efectivas],tblOrdenes[especialidad],"ELE",tblOrdenes[mes_clave],$A377,tblOrdenes[fecha_inicio],"&lt;="&amp;$B377)</f>
        <v/>
      </c>
      <c r="G377" s="17">
        <f>SUMIFS(tblAsignaciones[horas_disponibles],tblAsignaciones[especialidad],"ELE",tblAsignaciones[fecha],"&gt;="&amp;$C377,tblAsignaciones[fecha],"&lt;="&amp;$B377)*p_factor_productividad</f>
        <v/>
      </c>
      <c r="H377" s="17">
        <f>SUMIFS(tblOrdenes[horas_efectivas],tblOrdenes[especialidad],"AUT",tblOrdenes[mes_clave],$A377,tblOrdenes[fecha_inicio],"&lt;="&amp;$B377)</f>
        <v/>
      </c>
      <c r="I377" s="17">
        <f>SUMIFS(tblAsignaciones[horas_disponibles],tblAsignaciones[especialidad],"AUT",tblAsignaciones[fecha],"&gt;="&amp;$C377,tblAsignaciones[fecha],"&lt;="&amp;$B377)*p_factor_productividad</f>
        <v/>
      </c>
      <c r="J377" s="17">
        <f>D377+F377+H377</f>
        <v/>
      </c>
      <c r="K377" s="17">
        <f>E377+G377+I377</f>
        <v/>
      </c>
      <c r="L377" s="16">
        <f>IF(K377=0,"",J377/K377)</f>
        <v/>
      </c>
    </row>
    <row r="378">
      <c r="A378" s="5" t="inlineStr">
        <is>
          <t>2026-07</t>
        </is>
      </c>
      <c r="B378" s="22">
        <f>IF($A378="","",IF($A378=YEAR(p_fecha_datos)&amp;"-"&amp;TEXT(MONTH(p_fecha_datos),"00"),p_fecha_datos-1,DATE(VALUE(LEFT($A378,4)),VALUE(RIGHT($A378,2))+1,0)))</f>
        <v/>
      </c>
      <c r="C378" s="22">
        <f>DATE(VALUE(LEFT($A378,4)),VALUE(RIGHT($A378,2)),1)</f>
        <v/>
      </c>
      <c r="D378" s="17">
        <f>SUMIFS(tblOrdenes[horas_efectivas],tblOrdenes[especialidad],"MEC",tblOrdenes[mes_clave],$A378,tblOrdenes[fecha_inicio],"&lt;="&amp;$B378)</f>
        <v/>
      </c>
      <c r="E378" s="17">
        <f>SUMIFS(tblAsignaciones[horas_disponibles],tblAsignaciones[especialidad],"MEC",tblAsignaciones[fecha],"&gt;="&amp;$C378,tblAsignaciones[fecha],"&lt;="&amp;$B378)*p_factor_productividad</f>
        <v/>
      </c>
      <c r="F378" s="17">
        <f>SUMIFS(tblOrdenes[horas_efectivas],tblOrdenes[especialidad],"ELE",tblOrdenes[mes_clave],$A378,tblOrdenes[fecha_inicio],"&lt;="&amp;$B378)</f>
        <v/>
      </c>
      <c r="G378" s="17">
        <f>SUMIFS(tblAsignaciones[horas_disponibles],tblAsignaciones[especialidad],"ELE",tblAsignaciones[fecha],"&gt;="&amp;$C378,tblAsignaciones[fecha],"&lt;="&amp;$B378)*p_factor_productividad</f>
        <v/>
      </c>
      <c r="H378" s="17">
        <f>SUMIFS(tblOrdenes[horas_efectivas],tblOrdenes[especialidad],"AUT",tblOrdenes[mes_clave],$A378,tblOrdenes[fecha_inicio],"&lt;="&amp;$B378)</f>
        <v/>
      </c>
      <c r="I378" s="17">
        <f>SUMIFS(tblAsignaciones[horas_disponibles],tblAsignaciones[especialidad],"AUT",tblAsignaciones[fecha],"&gt;="&amp;$C378,tblAsignaciones[fecha],"&lt;="&amp;$B378)*p_factor_productividad</f>
        <v/>
      </c>
      <c r="J378" s="17">
        <f>D378+F378+H378</f>
        <v/>
      </c>
      <c r="K378" s="17">
        <f>E378+G378+I378</f>
        <v/>
      </c>
      <c r="L378" s="16">
        <f>IF(K378=0,"",J378/K378)</f>
        <v/>
      </c>
    </row>
    <row r="379">
      <c r="A379" s="5" t="inlineStr">
        <is>
          <t>2026-08</t>
        </is>
      </c>
      <c r="B379" s="22">
        <f>IF($A379="","",IF($A379=YEAR(p_fecha_datos)&amp;"-"&amp;TEXT(MONTH(p_fecha_datos),"00"),p_fecha_datos-1,DATE(VALUE(LEFT($A379,4)),VALUE(RIGHT($A379,2))+1,0)))</f>
        <v/>
      </c>
      <c r="C379" s="22">
        <f>DATE(VALUE(LEFT($A379,4)),VALUE(RIGHT($A379,2)),1)</f>
        <v/>
      </c>
      <c r="D379" s="17">
        <f>SUMIFS(tblOrdenes[horas_efectivas],tblOrdenes[especialidad],"MEC",tblOrdenes[mes_clave],$A379,tblOrdenes[fecha_inicio],"&lt;="&amp;$B379)</f>
        <v/>
      </c>
      <c r="E379" s="17">
        <f>SUMIFS(tblAsignaciones[horas_disponibles],tblAsignaciones[especialidad],"MEC",tblAsignaciones[fecha],"&gt;="&amp;$C379,tblAsignaciones[fecha],"&lt;="&amp;$B379)*p_factor_productividad</f>
        <v/>
      </c>
      <c r="F379" s="17">
        <f>SUMIFS(tblOrdenes[horas_efectivas],tblOrdenes[especialidad],"ELE",tblOrdenes[mes_clave],$A379,tblOrdenes[fecha_inicio],"&lt;="&amp;$B379)</f>
        <v/>
      </c>
      <c r="G379" s="17">
        <f>SUMIFS(tblAsignaciones[horas_disponibles],tblAsignaciones[especialidad],"ELE",tblAsignaciones[fecha],"&gt;="&amp;$C379,tblAsignaciones[fecha],"&lt;="&amp;$B379)*p_factor_productividad</f>
        <v/>
      </c>
      <c r="H379" s="17">
        <f>SUMIFS(tblOrdenes[horas_efectivas],tblOrdenes[especialidad],"AUT",tblOrdenes[mes_clave],$A379,tblOrdenes[fecha_inicio],"&lt;="&amp;$B379)</f>
        <v/>
      </c>
      <c r="I379" s="17">
        <f>SUMIFS(tblAsignaciones[horas_disponibles],tblAsignaciones[especialidad],"AUT",tblAsignaciones[fecha],"&gt;="&amp;$C379,tblAsignaciones[fecha],"&lt;="&amp;$B379)*p_factor_productividad</f>
        <v/>
      </c>
      <c r="J379" s="17">
        <f>D379+F379+H379</f>
        <v/>
      </c>
      <c r="K379" s="17">
        <f>E379+G379+I379</f>
        <v/>
      </c>
      <c r="L379" s="16">
        <f>IF(K379=0,"",J379/K379)</f>
        <v/>
      </c>
    </row>
    <row r="380">
      <c r="A380" s="5" t="inlineStr">
        <is>
          <t>2026-09</t>
        </is>
      </c>
      <c r="B380" s="22">
        <f>IF($A380="","",IF($A380=YEAR(p_fecha_datos)&amp;"-"&amp;TEXT(MONTH(p_fecha_datos),"00"),p_fecha_datos-1,DATE(VALUE(LEFT($A380,4)),VALUE(RIGHT($A380,2))+1,0)))</f>
        <v/>
      </c>
      <c r="C380" s="22">
        <f>DATE(VALUE(LEFT($A380,4)),VALUE(RIGHT($A380,2)),1)</f>
        <v/>
      </c>
      <c r="D380" s="17">
        <f>SUMIFS(tblOrdenes[horas_efectivas],tblOrdenes[especialidad],"MEC",tblOrdenes[mes_clave],$A380,tblOrdenes[fecha_inicio],"&lt;="&amp;$B380)</f>
        <v/>
      </c>
      <c r="E380" s="17">
        <f>SUMIFS(tblAsignaciones[horas_disponibles],tblAsignaciones[especialidad],"MEC",tblAsignaciones[fecha],"&gt;="&amp;$C380,tblAsignaciones[fecha],"&lt;="&amp;$B380)*p_factor_productividad</f>
        <v/>
      </c>
      <c r="F380" s="17">
        <f>SUMIFS(tblOrdenes[horas_efectivas],tblOrdenes[especialidad],"ELE",tblOrdenes[mes_clave],$A380,tblOrdenes[fecha_inicio],"&lt;="&amp;$B380)</f>
        <v/>
      </c>
      <c r="G380" s="17">
        <f>SUMIFS(tblAsignaciones[horas_disponibles],tblAsignaciones[especialidad],"ELE",tblAsignaciones[fecha],"&gt;="&amp;$C380,tblAsignaciones[fecha],"&lt;="&amp;$B380)*p_factor_productividad</f>
        <v/>
      </c>
      <c r="H380" s="17">
        <f>SUMIFS(tblOrdenes[horas_efectivas],tblOrdenes[especialidad],"AUT",tblOrdenes[mes_clave],$A380,tblOrdenes[fecha_inicio],"&lt;="&amp;$B380)</f>
        <v/>
      </c>
      <c r="I380" s="17">
        <f>SUMIFS(tblAsignaciones[horas_disponibles],tblAsignaciones[especialidad],"AUT",tblAsignaciones[fecha],"&gt;="&amp;$C380,tblAsignaciones[fecha],"&lt;="&amp;$B380)*p_factor_productividad</f>
        <v/>
      </c>
      <c r="J380" s="17">
        <f>D380+F380+H380</f>
        <v/>
      </c>
      <c r="K380" s="17">
        <f>E380+G380+I380</f>
        <v/>
      </c>
      <c r="L380" s="16">
        <f>IF(K380=0,"",J380/K380)</f>
        <v/>
      </c>
    </row>
    <row r="381">
      <c r="A381" s="5" t="inlineStr">
        <is>
          <t>2026-11</t>
        </is>
      </c>
      <c r="B381" s="22">
        <f>IF($A381="","",IF($A381=YEAR(p_fecha_datos)&amp;"-"&amp;TEXT(MONTH(p_fecha_datos),"00"),p_fecha_datos-1,DATE(VALUE(LEFT($A381,4)),VALUE(RIGHT($A381,2))+1,0)))</f>
        <v/>
      </c>
      <c r="C381" s="22">
        <f>DATE(VALUE(LEFT($A381,4)),VALUE(RIGHT($A381,2)),1)</f>
        <v/>
      </c>
      <c r="D381" s="17">
        <f>SUMIFS(tblOrdenes[horas_efectivas],tblOrdenes[especialidad],"MEC",tblOrdenes[mes_clave],$A381,tblOrdenes[fecha_inicio],"&lt;="&amp;$B381)</f>
        <v/>
      </c>
      <c r="E381" s="17">
        <f>SUMIFS(tblAsignaciones[horas_disponibles],tblAsignaciones[especialidad],"MEC",tblAsignaciones[fecha],"&gt;="&amp;$C381,tblAsignaciones[fecha],"&lt;="&amp;$B381)*p_factor_productividad</f>
        <v/>
      </c>
      <c r="F381" s="17">
        <f>SUMIFS(tblOrdenes[horas_efectivas],tblOrdenes[especialidad],"ELE",tblOrdenes[mes_clave],$A381,tblOrdenes[fecha_inicio],"&lt;="&amp;$B381)</f>
        <v/>
      </c>
      <c r="G381" s="17">
        <f>SUMIFS(tblAsignaciones[horas_disponibles],tblAsignaciones[especialidad],"ELE",tblAsignaciones[fecha],"&gt;="&amp;$C381,tblAsignaciones[fecha],"&lt;="&amp;$B381)*p_factor_productividad</f>
        <v/>
      </c>
      <c r="H381" s="17">
        <f>SUMIFS(tblOrdenes[horas_efectivas],tblOrdenes[especialidad],"AUT",tblOrdenes[mes_clave],$A381,tblOrdenes[fecha_inicio],"&lt;="&amp;$B381)</f>
        <v/>
      </c>
      <c r="I381" s="17">
        <f>SUMIFS(tblAsignaciones[horas_disponibles],tblAsignaciones[especialidad],"AUT",tblAsignaciones[fecha],"&gt;="&amp;$C381,tblAsignaciones[fecha],"&lt;="&amp;$B381)*p_factor_productividad</f>
        <v/>
      </c>
      <c r="J381" s="17">
        <f>D381+F381+H381</f>
        <v/>
      </c>
      <c r="K381" s="17">
        <f>E381+G381+I381</f>
        <v/>
      </c>
      <c r="L381" s="16">
        <f>IF(K381=0,"",J381/K381)</f>
        <v/>
      </c>
    </row>
    <row r="382">
      <c r="A382" s="5" t="inlineStr">
        <is>
          <t>2026-12</t>
        </is>
      </c>
      <c r="B382" s="22">
        <f>IF($A382="","",IF($A382=YEAR(p_fecha_datos)&amp;"-"&amp;TEXT(MONTH(p_fecha_datos),"00"),p_fecha_datos-1,DATE(VALUE(LEFT($A382,4)),VALUE(RIGHT($A382,2))+1,0)))</f>
        <v/>
      </c>
      <c r="C382" s="22">
        <f>DATE(VALUE(LEFT($A382,4)),VALUE(RIGHT($A382,2)),1)</f>
        <v/>
      </c>
      <c r="D382" s="17">
        <f>SUMIFS(tblOrdenes[horas_efectivas],tblOrdenes[especialidad],"MEC",tblOrdenes[mes_clave],$A382,tblOrdenes[fecha_inicio],"&lt;="&amp;$B382)</f>
        <v/>
      </c>
      <c r="E382" s="17">
        <f>SUMIFS(tblAsignaciones[horas_disponibles],tblAsignaciones[especialidad],"MEC",tblAsignaciones[fecha],"&gt;="&amp;$C382,tblAsignaciones[fecha],"&lt;="&amp;$B382)*p_factor_productividad</f>
        <v/>
      </c>
      <c r="F382" s="17">
        <f>SUMIFS(tblOrdenes[horas_efectivas],tblOrdenes[especialidad],"ELE",tblOrdenes[mes_clave],$A382,tblOrdenes[fecha_inicio],"&lt;="&amp;$B382)</f>
        <v/>
      </c>
      <c r="G382" s="17">
        <f>SUMIFS(tblAsignaciones[horas_disponibles],tblAsignaciones[especialidad],"ELE",tblAsignaciones[fecha],"&gt;="&amp;$C382,tblAsignaciones[fecha],"&lt;="&amp;$B382)*p_factor_productividad</f>
        <v/>
      </c>
      <c r="H382" s="17">
        <f>SUMIFS(tblOrdenes[horas_efectivas],tblOrdenes[especialidad],"AUT",tblOrdenes[mes_clave],$A382,tblOrdenes[fecha_inicio],"&lt;="&amp;$B382)</f>
        <v/>
      </c>
      <c r="I382" s="17">
        <f>SUMIFS(tblAsignaciones[horas_disponibles],tblAsignaciones[especialidad],"AUT",tblAsignaciones[fecha],"&gt;="&amp;$C382,tblAsignaciones[fecha],"&lt;="&amp;$B382)*p_factor_productividad</f>
        <v/>
      </c>
      <c r="J382" s="17">
        <f>D382+F382+H382</f>
        <v/>
      </c>
      <c r="K382" s="17">
        <f>E382+G382+I382</f>
        <v/>
      </c>
      <c r="L382" s="16">
        <f>IF(K382=0,"",J382/K382)</f>
        <v/>
      </c>
    </row>
    <row r="383">
      <c r="A383" s="5" t="inlineStr">
        <is>
          <t>2027-01</t>
        </is>
      </c>
      <c r="B383" s="22">
        <f>IF($A383="","",IF($A383=YEAR(p_fecha_datos)&amp;"-"&amp;TEXT(MONTH(p_fecha_datos),"00"),p_fecha_datos-1,DATE(VALUE(LEFT($A383,4)),VALUE(RIGHT($A383,2))+1,0)))</f>
        <v/>
      </c>
      <c r="C383" s="22">
        <f>DATE(VALUE(LEFT($A383,4)),VALUE(RIGHT($A383,2)),1)</f>
        <v/>
      </c>
      <c r="D383" s="17">
        <f>SUMIFS(tblOrdenes[horas_efectivas],tblOrdenes[especialidad],"MEC",tblOrdenes[mes_clave],$A383,tblOrdenes[fecha_inicio],"&lt;="&amp;$B383)</f>
        <v/>
      </c>
      <c r="E383" s="17">
        <f>SUMIFS(tblAsignaciones[horas_disponibles],tblAsignaciones[especialidad],"MEC",tblAsignaciones[fecha],"&gt;="&amp;$C383,tblAsignaciones[fecha],"&lt;="&amp;$B383)*p_factor_productividad</f>
        <v/>
      </c>
      <c r="F383" s="17">
        <f>SUMIFS(tblOrdenes[horas_efectivas],tblOrdenes[especialidad],"ELE",tblOrdenes[mes_clave],$A383,tblOrdenes[fecha_inicio],"&lt;="&amp;$B383)</f>
        <v/>
      </c>
      <c r="G383" s="17">
        <f>SUMIFS(tblAsignaciones[horas_disponibles],tblAsignaciones[especialidad],"ELE",tblAsignaciones[fecha],"&gt;="&amp;$C383,tblAsignaciones[fecha],"&lt;="&amp;$B383)*p_factor_productividad</f>
        <v/>
      </c>
      <c r="H383" s="17">
        <f>SUMIFS(tblOrdenes[horas_efectivas],tblOrdenes[especialidad],"AUT",tblOrdenes[mes_clave],$A383,tblOrdenes[fecha_inicio],"&lt;="&amp;$B383)</f>
        <v/>
      </c>
      <c r="I383" s="17">
        <f>SUMIFS(tblAsignaciones[horas_disponibles],tblAsignaciones[especialidad],"AUT",tblAsignaciones[fecha],"&gt;="&amp;$C383,tblAsignaciones[fecha],"&lt;="&amp;$B383)*p_factor_productividad</f>
        <v/>
      </c>
      <c r="J383" s="17">
        <f>D383+F383+H383</f>
        <v/>
      </c>
      <c r="K383" s="17">
        <f>E383+G383+I383</f>
        <v/>
      </c>
      <c r="L383" s="16">
        <f>IF(K383=0,"",J383/K383)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83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3">
      <c r="A3" s="15" t="inlineStr">
        <is>
          <t>tramo (días)</t>
        </is>
      </c>
      <c r="B3" s="15" t="inlineStr">
        <is>
          <t>ordenes</t>
        </is>
      </c>
      <c r="C3" s="15" t="inlineStr">
        <is>
          <t>hh_estimadas</t>
        </is>
      </c>
    </row>
    <row r="4">
      <c r="A4" s="5" t="inlineStr">
        <is>
          <t>0-30</t>
        </is>
      </c>
      <c r="B4" s="5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5" t="inlineStr">
        <is>
          <t>31-60</t>
        </is>
      </c>
      <c r="B5" s="5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5" t="inlineStr">
        <is>
          <t>61-90</t>
        </is>
      </c>
      <c r="B6" s="5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5" t="inlineStr">
        <is>
          <t>&gt;90</t>
        </is>
      </c>
      <c r="B7" s="5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3" t="inlineStr">
        <is>
          <t>POR ESPECIALIDAD</t>
        </is>
      </c>
    </row>
    <row r="11">
      <c r="A11" s="15" t="inlineStr">
        <is>
          <t>especialidad</t>
        </is>
      </c>
      <c r="B11" s="15" t="inlineStr">
        <is>
          <t>0-30</t>
        </is>
      </c>
      <c r="C11" s="15" t="inlineStr">
        <is>
          <t>31-60</t>
        </is>
      </c>
      <c r="D11" s="15" t="inlineStr">
        <is>
          <t>61-90</t>
        </is>
      </c>
      <c r="E11" s="15" t="inlineStr">
        <is>
          <t>&gt;90</t>
        </is>
      </c>
    </row>
    <row r="12">
      <c r="A12" s="5" t="inlineStr">
        <is>
          <t>MEC</t>
        </is>
      </c>
      <c r="B12" s="5">
        <f>COUNTIFS(tblOrdenes[estado],"Pendiente",tblOrdenes[backlog_dias],"&gt;=0",tblOrdenes[backlog_dias],"&lt;=30",tblOrdenes[especialidad],$A12)</f>
        <v/>
      </c>
      <c r="C12" s="5">
        <f>COUNTIFS(tblOrdenes[estado],"Pendiente",tblOrdenes[backlog_dias],"&gt;=31",tblOrdenes[backlog_dias],"&lt;=60",tblOrdenes[especialidad],$A12)</f>
        <v/>
      </c>
      <c r="D12" s="5">
        <f>COUNTIFS(tblOrdenes[estado],"Pendiente",tblOrdenes[backlog_dias],"&gt;=61",tblOrdenes[backlog_dias],"&lt;=90",tblOrdenes[especialidad],$A12)</f>
        <v/>
      </c>
      <c r="E12" s="5">
        <f>COUNTIFS(tblOrdenes[estado],"Pendiente",tblOrdenes[backlog_dias],"&gt;90",tblOrdenes[especialidad],$A12)</f>
        <v/>
      </c>
    </row>
    <row r="13">
      <c r="A13" s="5" t="inlineStr">
        <is>
          <t>ELE</t>
        </is>
      </c>
      <c r="B13" s="5">
        <f>COUNTIFS(tblOrdenes[estado],"Pendiente",tblOrdenes[backlog_dias],"&gt;=0",tblOrdenes[backlog_dias],"&lt;=30",tblOrdenes[especialidad],$A13)</f>
        <v/>
      </c>
      <c r="C13" s="5">
        <f>COUNTIFS(tblOrdenes[estado],"Pendiente",tblOrdenes[backlog_dias],"&gt;=31",tblOrdenes[backlog_dias],"&lt;=60",tblOrdenes[especialidad],$A13)</f>
        <v/>
      </c>
      <c r="D13" s="5">
        <f>COUNTIFS(tblOrdenes[estado],"Pendiente",tblOrdenes[backlog_dias],"&gt;=61",tblOrdenes[backlog_dias],"&lt;=90",tblOrdenes[especialidad],$A13)</f>
        <v/>
      </c>
      <c r="E13" s="5">
        <f>COUNTIFS(tblOrdenes[estado],"Pendiente",tblOrdenes[backlog_dias],"&gt;90",tblOrdenes[especialidad],$A13)</f>
        <v/>
      </c>
    </row>
    <row r="14">
      <c r="A14" s="5" t="inlineStr">
        <is>
          <t>AUT</t>
        </is>
      </c>
      <c r="B14" s="5">
        <f>COUNTIFS(tblOrdenes[estado],"Pendiente",tblOrdenes[backlog_dias],"&gt;=0",tblOrdenes[backlog_dias],"&lt;=30",tblOrdenes[especialidad],$A14)</f>
        <v/>
      </c>
      <c r="C14" s="5">
        <f>COUNTIFS(tblOrdenes[estado],"Pendiente",tblOrdenes[backlog_dias],"&gt;=31",tblOrdenes[backlog_dias],"&lt;=60",tblOrdenes[especialidad],$A14)</f>
        <v/>
      </c>
      <c r="D14" s="5">
        <f>COUNTIFS(tblOrdenes[estado],"Pendiente",tblOrdenes[backlog_dias],"&gt;=61",tblOrdenes[backlog_dias],"&lt;=90",tblOrdenes[especialidad],$A14)</f>
        <v/>
      </c>
      <c r="E14" s="5">
        <f>COUNTIFS(tblOrdenes[estado],"Pendiente",tblOrdenes[backlog_dias],"&gt;90",tblOrdenes[especialidad],$A14)</f>
        <v/>
      </c>
    </row>
    <row r="15">
      <c r="A15" s="5" t="inlineStr">
        <is>
          <t>TERCERO</t>
        </is>
      </c>
      <c r="B15" s="5">
        <f>COUNTIFS(tblOrdenes[estado],"Pendiente",tblOrdenes[backlog_dias],"&gt;=0",tblOrdenes[backlog_dias],"&lt;=30",tblOrdenes[especialidad],$A15)</f>
        <v/>
      </c>
      <c r="C15" s="5">
        <f>COUNTIFS(tblOrdenes[estado],"Pendiente",tblOrdenes[backlog_dias],"&gt;=31",tblOrdenes[backlog_dias],"&lt;=60",tblOrdenes[especialidad],$A15)</f>
        <v/>
      </c>
      <c r="D15" s="5">
        <f>COUNTIFS(tblOrdenes[estado],"Pendiente",tblOrdenes[backlog_dias],"&gt;=61",tblOrdenes[backlog_dias],"&lt;=90",tblOrdenes[especialidad],$A15)</f>
        <v/>
      </c>
      <c r="E15" s="5">
        <f>COUNTIFS(tblOrdenes[estado],"Pendiente",tblOrdenes[backlog_dias],"&gt;90",tblOrdenes[especialidad],$A15)</f>
        <v/>
      </c>
    </row>
    <row r="17">
      <c r="A17" s="3" t="inlineStr">
        <is>
          <t>POR ÁREA</t>
        </is>
      </c>
    </row>
    <row r="18">
      <c r="A18" s="15" t="inlineStr">
        <is>
          <t>area</t>
        </is>
      </c>
      <c r="B18" s="15" t="inlineStr">
        <is>
          <t>0-30</t>
        </is>
      </c>
      <c r="C18" s="15" t="inlineStr">
        <is>
          <t>31-60</t>
        </is>
      </c>
      <c r="D18" s="15" t="inlineStr">
        <is>
          <t>61-90</t>
        </is>
      </c>
      <c r="E18" s="15" t="inlineStr">
        <is>
          <t>&gt;90</t>
        </is>
      </c>
    </row>
    <row r="19">
      <c r="A19" s="5" t="inlineStr">
        <is>
          <t>PRODUCCION</t>
        </is>
      </c>
      <c r="B19" s="5">
        <f>COUNTIFS(tblOrdenes[estado],"Pendiente",tblOrdenes[backlog_dias],"&gt;=0",tblOrdenes[backlog_dias],"&lt;=30",tblOrdenes[area],$A19)</f>
        <v/>
      </c>
      <c r="C19" s="5">
        <f>COUNTIFS(tblOrdenes[estado],"Pendiente",tblOrdenes[backlog_dias],"&gt;=31",tblOrdenes[backlog_dias],"&lt;=60",tblOrdenes[area],$A19)</f>
        <v/>
      </c>
      <c r="D19" s="5">
        <f>COUNTIFS(tblOrdenes[estado],"Pendiente",tblOrdenes[backlog_dias],"&gt;=61",tblOrdenes[backlog_dias],"&lt;=90",tblOrdenes[area],$A19)</f>
        <v/>
      </c>
      <c r="E19" s="5">
        <f>COUNTIFS(tblOrdenes[estado],"Pendiente",tblOrdenes[backlog_dias],"&gt;90",tblOrdenes[area],$A19)</f>
        <v/>
      </c>
    </row>
    <row r="20">
      <c r="A20" s="5" t="inlineStr">
        <is>
          <t>EMPAQUE</t>
        </is>
      </c>
      <c r="B20" s="5">
        <f>COUNTIFS(tblOrdenes[estado],"Pendiente",tblOrdenes[backlog_dias],"&gt;=0",tblOrdenes[backlog_dias],"&lt;=30",tblOrdenes[area],$A20)</f>
        <v/>
      </c>
      <c r="C20" s="5">
        <f>COUNTIFS(tblOrdenes[estado],"Pendiente",tblOrdenes[backlog_dias],"&gt;=31",tblOrdenes[backlog_dias],"&lt;=60",tblOrdenes[area],$A20)</f>
        <v/>
      </c>
      <c r="D20" s="5">
        <f>COUNTIFS(tblOrdenes[estado],"Pendiente",tblOrdenes[backlog_dias],"&gt;=61",tblOrdenes[backlog_dias],"&lt;=90",tblOrdenes[area],$A20)</f>
        <v/>
      </c>
      <c r="E20" s="5">
        <f>COUNTIFS(tblOrdenes[estado],"Pendiente",tblOrdenes[backlog_dias],"&gt;90",tblOrdenes[area],$A20)</f>
        <v/>
      </c>
    </row>
    <row r="21">
      <c r="A21" s="5" t="inlineStr">
        <is>
          <t>SERVICIOS</t>
        </is>
      </c>
      <c r="B21" s="5">
        <f>COUNTIFS(tblOrdenes[estado],"Pendiente",tblOrdenes[backlog_dias],"&gt;=0",tblOrdenes[backlog_dias],"&lt;=30",tblOrdenes[area],$A21)</f>
        <v/>
      </c>
      <c r="C21" s="5">
        <f>COUNTIFS(tblOrdenes[estado],"Pendiente",tblOrdenes[backlog_dias],"&gt;=31",tblOrdenes[backlog_dias],"&lt;=60",tblOrdenes[area],$A21)</f>
        <v/>
      </c>
      <c r="D21" s="5">
        <f>COUNTIFS(tblOrdenes[estado],"Pendiente",tblOrdenes[backlog_dias],"&gt;=61",tblOrdenes[backlog_dias],"&lt;=90",tblOrdenes[area],$A21)</f>
        <v/>
      </c>
      <c r="E21" s="5">
        <f>COUNTIFS(tblOrdenes[estado],"Pendiente",tblOrdenes[backlog_dias],"&gt;90",tblOrdenes[area],$A21)</f>
        <v/>
      </c>
    </row>
    <row r="23">
      <c r="A23" s="3" t="inlineStr">
        <is>
          <t>POR SUB-ÁREA (herencia: área sin subdividir con su propio nombre)</t>
        </is>
      </c>
    </row>
    <row r="24">
      <c r="A24" s="15" t="inlineStr">
        <is>
          <t>sub_area</t>
        </is>
      </c>
      <c r="B24" s="15" t="inlineStr">
        <is>
          <t>0-30</t>
        </is>
      </c>
      <c r="C24" s="15" t="inlineStr">
        <is>
          <t>31-60</t>
        </is>
      </c>
      <c r="D24" s="15" t="inlineStr">
        <is>
          <t>61-90</t>
        </is>
      </c>
      <c r="E24" s="15" t="inlineStr">
        <is>
          <t>&gt;90</t>
        </is>
      </c>
    </row>
    <row r="25">
      <c r="A25" s="5" t="inlineStr">
        <is>
          <t>PRODUCCION</t>
        </is>
      </c>
      <c r="B25" s="5">
        <f>COUNTIFS(tblOrdenes[estado],"Pendiente",tblOrdenes[backlog_dias],"&gt;=0",tblOrdenes[backlog_dias],"&lt;=30",tblOrdenes[sub_area],$A25)</f>
        <v/>
      </c>
      <c r="C25" s="5">
        <f>COUNTIFS(tblOrdenes[estado],"Pendiente",tblOrdenes[backlog_dias],"&gt;=31",tblOrdenes[backlog_dias],"&lt;=60",tblOrdenes[sub_area],$A25)</f>
        <v/>
      </c>
      <c r="D25" s="5">
        <f>COUNTIFS(tblOrdenes[estado],"Pendiente",tblOrdenes[backlog_dias],"&gt;=61",tblOrdenes[backlog_dias],"&lt;=90",tblOrdenes[sub_area],$A25)</f>
        <v/>
      </c>
      <c r="E25" s="5">
        <f>COUNTIFS(tblOrdenes[estado],"Pendiente",tblOrdenes[backlog_dias],"&gt;90",tblOrdenes[sub_area],$A25)</f>
        <v/>
      </c>
    </row>
    <row r="26">
      <c r="A26" s="5" t="inlineStr">
        <is>
          <t>EMPAQUE</t>
        </is>
      </c>
      <c r="B26" s="5">
        <f>COUNTIFS(tblOrdenes[estado],"Pendiente",tblOrdenes[backlog_dias],"&gt;=0",tblOrdenes[backlog_dias],"&lt;=30",tblOrdenes[sub_area],$A26)</f>
        <v/>
      </c>
      <c r="C26" s="5">
        <f>COUNTIFS(tblOrdenes[estado],"Pendiente",tblOrdenes[backlog_dias],"&gt;=31",tblOrdenes[backlog_dias],"&lt;=60",tblOrdenes[sub_area],$A26)</f>
        <v/>
      </c>
      <c r="D26" s="5">
        <f>COUNTIFS(tblOrdenes[estado],"Pendiente",tblOrdenes[backlog_dias],"&gt;=61",tblOrdenes[backlog_dias],"&lt;=90",tblOrdenes[sub_area],$A26)</f>
        <v/>
      </c>
      <c r="E26" s="5">
        <f>COUNTIFS(tblOrdenes[estado],"Pendiente",tblOrdenes[backlog_dias],"&gt;90",tblOrdenes[sub_area],$A26)</f>
        <v/>
      </c>
    </row>
    <row r="27">
      <c r="A27" s="5" t="inlineStr">
        <is>
          <t>Vapor</t>
        </is>
      </c>
      <c r="B27" s="5">
        <f>COUNTIFS(tblOrdenes[estado],"Pendiente",tblOrdenes[backlog_dias],"&gt;=0",tblOrdenes[backlog_dias],"&lt;=30",tblOrdenes[sub_area],$A27)</f>
        <v/>
      </c>
      <c r="C27" s="5">
        <f>COUNTIFS(tblOrdenes[estado],"Pendiente",tblOrdenes[backlog_dias],"&gt;=31",tblOrdenes[backlog_dias],"&lt;=60",tblOrdenes[sub_area],$A27)</f>
        <v/>
      </c>
      <c r="D27" s="5">
        <f>COUNTIFS(tblOrdenes[estado],"Pendiente",tblOrdenes[backlog_dias],"&gt;=61",tblOrdenes[backlog_dias],"&lt;=90",tblOrdenes[sub_area],$A27)</f>
        <v/>
      </c>
      <c r="E27" s="5">
        <f>COUNTIFS(tblOrdenes[estado],"Pendiente",tblOrdenes[backlog_dias],"&gt;90",tblOrdenes[sub_area],$A27)</f>
        <v/>
      </c>
    </row>
    <row r="28">
      <c r="A28" s="5" t="inlineStr">
        <is>
          <t>Refrigeración</t>
        </is>
      </c>
      <c r="B28" s="5">
        <f>COUNTIFS(tblOrdenes[estado],"Pendiente",tblOrdenes[backlog_dias],"&gt;=0",tblOrdenes[backlog_dias],"&lt;=30",tblOrdenes[sub_area],$A28)</f>
        <v/>
      </c>
      <c r="C28" s="5">
        <f>COUNTIFS(tblOrdenes[estado],"Pendiente",tblOrdenes[backlog_dias],"&gt;=31",tblOrdenes[backlog_dias],"&lt;=60",tblOrdenes[sub_area],$A28)</f>
        <v/>
      </c>
      <c r="D28" s="5">
        <f>COUNTIFS(tblOrdenes[estado],"Pendiente",tblOrdenes[backlog_dias],"&gt;=61",tblOrdenes[backlog_dias],"&lt;=90",tblOrdenes[sub_area],$A28)</f>
        <v/>
      </c>
      <c r="E28" s="5">
        <f>COUNTIFS(tblOrdenes[estado],"Pendiente",tblOrdenes[backlog_dias],"&gt;90",tblOrdenes[sub_area],$A28)</f>
        <v/>
      </c>
    </row>
    <row r="29">
      <c r="A29" s="5" t="inlineStr">
        <is>
          <t>CO2</t>
        </is>
      </c>
      <c r="B29" s="5">
        <f>COUNTIFS(tblOrdenes[estado],"Pendiente",tblOrdenes[backlog_dias],"&gt;=0",tblOrdenes[backlog_dias],"&lt;=30",tblOrdenes[sub_area],$A29)</f>
        <v/>
      </c>
      <c r="C29" s="5">
        <f>COUNTIFS(tblOrdenes[estado],"Pendiente",tblOrdenes[backlog_dias],"&gt;=31",tblOrdenes[backlog_dias],"&lt;=60",tblOrdenes[sub_area],$A29)</f>
        <v/>
      </c>
      <c r="D29" s="5">
        <f>COUNTIFS(tblOrdenes[estado],"Pendiente",tblOrdenes[backlog_dias],"&gt;=61",tblOrdenes[backlog_dias],"&lt;=90",tblOrdenes[sub_area],$A29)</f>
        <v/>
      </c>
      <c r="E29" s="5">
        <f>COUNTIFS(tblOrdenes[estado],"Pendiente",tblOrdenes[backlog_dias],"&gt;90",tblOrdenes[sub_area],$A29)</f>
        <v/>
      </c>
    </row>
    <row r="30">
      <c r="A30" s="5" t="inlineStr">
        <is>
          <t>Aire comprimido</t>
        </is>
      </c>
      <c r="B30" s="5">
        <f>COUNTIFS(tblOrdenes[estado],"Pendiente",tblOrdenes[backlog_dias],"&gt;=0",tblOrdenes[backlog_dias],"&lt;=30",tblOrdenes[sub_area],$A30)</f>
        <v/>
      </c>
      <c r="C30" s="5">
        <f>COUNTIFS(tblOrdenes[estado],"Pendiente",tblOrdenes[backlog_dias],"&gt;=31",tblOrdenes[backlog_dias],"&lt;=60",tblOrdenes[sub_area],$A30)</f>
        <v/>
      </c>
      <c r="D30" s="5">
        <f>COUNTIFS(tblOrdenes[estado],"Pendiente",tblOrdenes[backlog_dias],"&gt;=61",tblOrdenes[backlog_dias],"&lt;=90",tblOrdenes[sub_area],$A30)</f>
        <v/>
      </c>
      <c r="E30" s="5">
        <f>COUNTIFS(tblOrdenes[estado],"Pendiente",tblOrdenes[backlog_dias],"&gt;90",tblOrdenes[sub_area],$A30)</f>
        <v/>
      </c>
    </row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5" t="inlineStr">
        <is>
          <t>mes</t>
        </is>
      </c>
      <c r="B33" s="15" t="inlineStr">
        <is>
          <t>corte</t>
        </is>
      </c>
      <c r="C33" s="15" t="inlineStr">
        <is>
          <t>ordenes_pendientes</t>
        </is>
      </c>
      <c r="D33" s="15" t="inlineStr">
        <is>
          <t>hh_pendientes</t>
        </is>
      </c>
      <c r="E33" s="15" t="inlineStr">
        <is>
          <t>capacidad_productiva_semanal</t>
        </is>
      </c>
      <c r="F33" s="15" t="inlineStr">
        <is>
          <t>semanas_de_backlog</t>
        </is>
      </c>
    </row>
    <row r="34">
      <c r="A34" s="5" t="inlineStr">
        <is>
          <t>2026-02</t>
        </is>
      </c>
      <c r="B34" s="22">
        <f>IF($A34="","",IF($A34=YEAR(p_fecha_datos)&amp;"-"&amp;TEXT(MONTH(p_fecha_datos),"00"),p_fecha_datos-1,DATE(VALUE(LEFT($A34,4)),VALUE(RIGHT($A34,2))+1,0)))</f>
        <v/>
      </c>
      <c r="C34" s="5">
        <f>COUNTIFS(tblOrdenes[estado],"Pendiente",tblOrdenes[fecha_inicio],"&lt;="&amp;$B34)</f>
        <v/>
      </c>
      <c r="D34" s="17">
        <f>SUMIFS(tblOrdenes[horas_efectivas],tblOrdenes[estado],"Pendiente",tblOrdenes[fecha_inicio],"&lt;="&amp;$B34)</f>
        <v/>
      </c>
      <c r="E34" s="17">
        <f>p_base_semanal_horas*p_factor_productividad*COUNTIFS(tblTecnicos[activo],"sí")</f>
        <v/>
      </c>
      <c r="F34" s="17">
        <f>IF($E34=0,"",$D34/$E34)</f>
        <v/>
      </c>
    </row>
    <row r="35">
      <c r="A35" s="5" t="inlineStr">
        <is>
          <t>2026-03</t>
        </is>
      </c>
      <c r="B35" s="22">
        <f>IF($A35="","",IF($A35=YEAR(p_fecha_datos)&amp;"-"&amp;TEXT(MONTH(p_fecha_datos),"00"),p_fecha_datos-1,DATE(VALUE(LEFT($A35,4)),VALUE(RIGHT($A35,2))+1,0)))</f>
        <v/>
      </c>
      <c r="C35" s="5">
        <f>COUNTIFS(tblOrdenes[estado],"Pendiente",tblOrdenes[fecha_inicio],"&lt;="&amp;$B35)</f>
        <v/>
      </c>
      <c r="D35" s="17">
        <f>SUMIFS(tblOrdenes[horas_efectivas],tblOrdenes[estado],"Pendiente",tblOrdenes[fecha_inicio],"&lt;="&amp;$B35)</f>
        <v/>
      </c>
      <c r="E35" s="17">
        <f>p_base_semanal_horas*p_factor_productividad*COUNTIFS(tblTecnicos[activo],"sí")</f>
        <v/>
      </c>
      <c r="F35" s="17">
        <f>IF($E35=0,"",$D35/$E35)</f>
        <v/>
      </c>
    </row>
    <row r="36">
      <c r="A36" s="5" t="inlineStr">
        <is>
          <t>2026-04</t>
        </is>
      </c>
      <c r="B36" s="22">
        <f>IF($A36="","",IF($A36=YEAR(p_fecha_datos)&amp;"-"&amp;TEXT(MONTH(p_fecha_datos),"00"),p_fecha_datos-1,DATE(VALUE(LEFT($A36,4)),VALUE(RIGHT($A36,2))+1,0)))</f>
        <v/>
      </c>
      <c r="C36" s="5">
        <f>COUNTIFS(tblOrdenes[estado],"Pendiente",tblOrdenes[fecha_inicio],"&lt;="&amp;$B36)</f>
        <v/>
      </c>
      <c r="D36" s="17">
        <f>SUMIFS(tblOrdenes[horas_efectivas],tblOrdenes[estado],"Pendiente",tblOrdenes[fecha_inicio],"&lt;="&amp;$B36)</f>
        <v/>
      </c>
      <c r="E36" s="17">
        <f>p_base_semanal_horas*p_factor_productividad*COUNTIFS(tblTecnicos[activo],"sí")</f>
        <v/>
      </c>
      <c r="F36" s="17">
        <f>IF($E36=0,"",$D36/$E36)</f>
        <v/>
      </c>
    </row>
    <row r="37">
      <c r="A37" s="5" t="inlineStr">
        <is>
          <t>2026-05</t>
        </is>
      </c>
      <c r="B37" s="22">
        <f>IF($A37="","",IF($A37=YEAR(p_fecha_datos)&amp;"-"&amp;TEXT(MONTH(p_fecha_datos),"00"),p_fecha_datos-1,DATE(VALUE(LEFT($A37,4)),VALUE(RIGHT($A37,2))+1,0)))</f>
        <v/>
      </c>
      <c r="C37" s="5">
        <f>COUNTIFS(tblOrdenes[estado],"Pendiente",tblOrdenes[fecha_inicio],"&lt;="&amp;$B37)</f>
        <v/>
      </c>
      <c r="D37" s="17">
        <f>SUMIFS(tblOrdenes[horas_efectivas],tblOrdenes[estado],"Pendiente",tblOrdenes[fecha_inicio],"&lt;="&amp;$B37)</f>
        <v/>
      </c>
      <c r="E37" s="17">
        <f>p_base_semanal_horas*p_factor_productividad*COUNTIFS(tblTecnicos[activo],"sí")</f>
        <v/>
      </c>
      <c r="F37" s="17">
        <f>IF($E37=0,"",$D37/$E37)</f>
        <v/>
      </c>
    </row>
    <row r="38">
      <c r="A38" s="5" t="inlineStr">
        <is>
          <t>2026-06</t>
        </is>
      </c>
      <c r="B38" s="22">
        <f>IF($A38="","",IF($A38=YEAR(p_fecha_datos)&amp;"-"&amp;TEXT(MONTH(p_fecha_datos),"00"),p_fecha_datos-1,DATE(VALUE(LEFT($A38,4)),VALUE(RIGHT($A38,2))+1,0)))</f>
        <v/>
      </c>
      <c r="C38" s="5">
        <f>COUNTIFS(tblOrdenes[estado],"Pendiente",tblOrdenes[fecha_inicio],"&lt;="&amp;$B38)</f>
        <v/>
      </c>
      <c r="D38" s="17">
        <f>SUMIFS(tblOrdenes[horas_efectivas],tblOrdenes[estado],"Pendiente",tblOrdenes[fecha_inicio],"&lt;="&amp;$B38)</f>
        <v/>
      </c>
      <c r="E38" s="17">
        <f>p_base_semanal_horas*p_factor_productividad*COUNTIFS(tblTecnicos[activo],"sí")</f>
        <v/>
      </c>
      <c r="F38" s="17">
        <f>IF($E38=0,"",$D38/$E38)</f>
        <v/>
      </c>
    </row>
    <row r="39">
      <c r="A39" s="5" t="inlineStr">
        <is>
          <t>2026-07</t>
        </is>
      </c>
      <c r="B39" s="22">
        <f>IF($A39="","",IF($A39=YEAR(p_fecha_datos)&amp;"-"&amp;TEXT(MONTH(p_fecha_datos),"00"),p_fecha_datos-1,DATE(VALUE(LEFT($A39,4)),VALUE(RIGHT($A39,2))+1,0)))</f>
        <v/>
      </c>
      <c r="C39" s="5">
        <f>COUNTIFS(tblOrdenes[estado],"Pendiente",tblOrdenes[fecha_inicio],"&lt;="&amp;$B39)</f>
        <v/>
      </c>
      <c r="D39" s="17">
        <f>SUMIFS(tblOrdenes[horas_efectivas],tblOrdenes[estado],"Pendiente",tblOrdenes[fecha_inicio],"&lt;="&amp;$B39)</f>
        <v/>
      </c>
      <c r="E39" s="17">
        <f>p_base_semanal_horas*p_factor_productividad*COUNTIFS(tblTecnicos[activo],"sí")</f>
        <v/>
      </c>
      <c r="F39" s="17">
        <f>IF($E39=0,"",$D39/$E39)</f>
        <v/>
      </c>
    </row>
    <row r="40">
      <c r="A40" s="5" t="inlineStr">
        <is>
          <t>2026-08</t>
        </is>
      </c>
      <c r="B40" s="22">
        <f>IF($A40="","",IF($A40=YEAR(p_fecha_datos)&amp;"-"&amp;TEXT(MONTH(p_fecha_datos),"00"),p_fecha_datos-1,DATE(VALUE(LEFT($A40,4)),VALUE(RIGHT($A40,2))+1,0)))</f>
        <v/>
      </c>
      <c r="C40" s="5">
        <f>COUNTIFS(tblOrdenes[estado],"Pendiente",tblOrdenes[fecha_inicio],"&lt;="&amp;$B40)</f>
        <v/>
      </c>
      <c r="D40" s="17">
        <f>SUMIFS(tblOrdenes[horas_efectivas],tblOrdenes[estado],"Pendiente",tblOrdenes[fecha_inicio],"&lt;="&amp;$B40)</f>
        <v/>
      </c>
      <c r="E40" s="17">
        <f>p_base_semanal_horas*p_factor_productividad*COUNTIFS(tblTecnicos[activo],"sí")</f>
        <v/>
      </c>
      <c r="F40" s="17">
        <f>IF($E40=0,"",$D40/$E40)</f>
        <v/>
      </c>
    </row>
    <row r="41">
      <c r="A41" s="5" t="inlineStr">
        <is>
          <t>2026-09</t>
        </is>
      </c>
      <c r="B41" s="22">
        <f>IF($A41="","",IF($A41=YEAR(p_fecha_datos)&amp;"-"&amp;TEXT(MONTH(p_fecha_datos),"00"),p_fecha_datos-1,DATE(VALUE(LEFT($A41,4)),VALUE(RIGHT($A41,2))+1,0)))</f>
        <v/>
      </c>
      <c r="C41" s="5">
        <f>COUNTIFS(tblOrdenes[estado],"Pendiente",tblOrdenes[fecha_inicio],"&lt;="&amp;$B41)</f>
        <v/>
      </c>
      <c r="D41" s="17">
        <f>SUMIFS(tblOrdenes[horas_efectivas],tblOrdenes[estado],"Pendiente",tblOrdenes[fecha_inicio],"&lt;="&amp;$B41)</f>
        <v/>
      </c>
      <c r="E41" s="17">
        <f>p_base_semanal_horas*p_factor_productividad*COUNTIFS(tblTecnicos[activo],"sí")</f>
        <v/>
      </c>
      <c r="F41" s="17">
        <f>IF($E41=0,"",$D41/$E41)</f>
        <v/>
      </c>
    </row>
    <row r="42">
      <c r="A42" s="5" t="inlineStr">
        <is>
          <t>2026-11</t>
        </is>
      </c>
      <c r="B42" s="22">
        <f>IF($A42="","",IF($A42=YEAR(p_fecha_datos)&amp;"-"&amp;TEXT(MONTH(p_fecha_datos),"00"),p_fecha_datos-1,DATE(VALUE(LEFT($A42,4)),VALUE(RIGHT($A42,2))+1,0)))</f>
        <v/>
      </c>
      <c r="C42" s="5">
        <f>COUNTIFS(tblOrdenes[estado],"Pendiente",tblOrdenes[fecha_inicio],"&lt;="&amp;$B42)</f>
        <v/>
      </c>
      <c r="D42" s="17">
        <f>SUMIFS(tblOrdenes[horas_efectivas],tblOrdenes[estado],"Pendiente",tblOrdenes[fecha_inicio],"&lt;="&amp;$B42)</f>
        <v/>
      </c>
      <c r="E42" s="17">
        <f>p_base_semanal_horas*p_factor_productividad*COUNTIFS(tblTecnicos[activo],"sí")</f>
        <v/>
      </c>
      <c r="F42" s="17">
        <f>IF($E42=0,"",$D42/$E42)</f>
        <v/>
      </c>
    </row>
    <row r="43">
      <c r="A43" s="5" t="inlineStr">
        <is>
          <t>2026-12</t>
        </is>
      </c>
      <c r="B43" s="22">
        <f>IF($A43="","",IF($A43=YEAR(p_fecha_datos)&amp;"-"&amp;TEXT(MONTH(p_fecha_datos),"00"),p_fecha_datos-1,DATE(VALUE(LEFT($A43,4)),VALUE(RIGHT($A43,2))+1,0)))</f>
        <v/>
      </c>
      <c r="C43" s="5">
        <f>COUNTIFS(tblOrdenes[estado],"Pendiente",tblOrdenes[fecha_inicio],"&lt;="&amp;$B43)</f>
        <v/>
      </c>
      <c r="D43" s="17">
        <f>SUMIFS(tblOrdenes[horas_efectivas],tblOrdenes[estado],"Pendiente",tblOrdenes[fecha_inicio],"&lt;="&amp;$B43)</f>
        <v/>
      </c>
      <c r="E43" s="17">
        <f>p_base_semanal_horas*p_factor_productividad*COUNTIFS(tblTecnicos[activo],"sí")</f>
        <v/>
      </c>
      <c r="F43" s="17">
        <f>IF($E43=0,"",$D43/$E43)</f>
        <v/>
      </c>
    </row>
    <row r="44">
      <c r="A44" s="5" t="inlineStr">
        <is>
          <t>2027-01</t>
        </is>
      </c>
      <c r="B44" s="22">
        <f>IF($A44="","",IF($A44=YEAR(p_fecha_datos)&amp;"-"&amp;TEXT(MONTH(p_fecha_datos),"00"),p_fecha_datos-1,DATE(VALUE(LEFT($A44,4)),VALUE(RIGHT($A44,2))+1,0)))</f>
        <v/>
      </c>
      <c r="C44" s="5">
        <f>COUNTIFS(tblOrdenes[estado],"Pendiente",tblOrdenes[fecha_inicio],"&lt;="&amp;$B44)</f>
        <v/>
      </c>
      <c r="D44" s="17">
        <f>SUMIFS(tblOrdenes[horas_efectivas],tblOrdenes[estado],"Pendiente",tblOrdenes[fecha_inicio],"&lt;="&amp;$B44)</f>
        <v/>
      </c>
      <c r="E44" s="17">
        <f>p_base_semanal_horas*p_factor_productividad*COUNTIFS(tblTecnicos[activo],"sí")</f>
        <v/>
      </c>
      <c r="F44" s="17">
        <f>IF($E44=0,"",$D44/$E44)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15" t="n">
        <v>2</v>
      </c>
      <c r="C5" s="15" t="n">
        <v>3</v>
      </c>
      <c r="D5" s="15" t="n">
        <v>4</v>
      </c>
      <c r="E5" s="15" t="n">
        <v>5</v>
      </c>
      <c r="F5" s="15" t="n">
        <v>6</v>
      </c>
      <c r="G5" s="15" t="n">
        <v>7</v>
      </c>
      <c r="H5" s="15" t="n">
        <v>8</v>
      </c>
      <c r="I5" s="15" t="n">
        <v>9</v>
      </c>
      <c r="J5" s="15" t="n">
        <v>11</v>
      </c>
      <c r="K5" s="15" t="n">
        <v>12</v>
      </c>
      <c r="L5" s="15" t="n">
        <v>1</v>
      </c>
      <c r="M5" s="15" t="inlineStr">
        <is>
          <t>TOTAL</t>
        </is>
      </c>
    </row>
    <row r="6">
      <c r="A6" s="5" t="inlineStr">
        <is>
          <t>PRODUCCION</t>
        </is>
      </c>
      <c r="B6" s="18">
        <f>SUMIFS(tblOrdenes[costo_plan],tblOrdenes[area],$A6,tblOrdenes[anio],B$4,tblOrdenes[mes],B$5)</f>
        <v/>
      </c>
      <c r="C6" s="18">
        <f>SUMIFS(tblOrdenes[costo_plan],tblOrdenes[area],$A6,tblOrdenes[anio],C$4,tblOrdenes[mes],C$5)</f>
        <v/>
      </c>
      <c r="D6" s="18">
        <f>SUMIFS(tblOrdenes[costo_plan],tblOrdenes[area],$A6,tblOrdenes[anio],D$4,tblOrdenes[mes],D$5)</f>
        <v/>
      </c>
      <c r="E6" s="18">
        <f>SUMIFS(tblOrdenes[costo_plan],tblOrdenes[area],$A6,tblOrdenes[anio],E$4,tblOrdenes[mes],E$5)</f>
        <v/>
      </c>
      <c r="F6" s="18">
        <f>SUMIFS(tblOrdenes[costo_plan],tblOrdenes[area],$A6,tblOrdenes[anio],F$4,tblOrdenes[mes],F$5)</f>
        <v/>
      </c>
      <c r="G6" s="18">
        <f>SUMIFS(tblOrdenes[costo_plan],tblOrdenes[area],$A6,tblOrdenes[anio],G$4,tblOrdenes[mes],G$5)</f>
        <v/>
      </c>
      <c r="H6" s="18">
        <f>SUMIFS(tblOrdenes[costo_plan],tblOrdenes[area],$A6,tblOrdenes[anio],H$4,tblOrdenes[mes],H$5)</f>
        <v/>
      </c>
      <c r="I6" s="18">
        <f>SUMIFS(tblOrdenes[costo_plan],tblOrdenes[area],$A6,tblOrdenes[anio],I$4,tblOrdenes[mes],I$5)</f>
        <v/>
      </c>
      <c r="J6" s="18">
        <f>SUMIFS(tblOrdenes[costo_plan],tblOrdenes[area],$A6,tblOrdenes[anio],J$4,tblOrdenes[mes],J$5)</f>
        <v/>
      </c>
      <c r="K6" s="18">
        <f>SUMIFS(tblOrdenes[costo_plan],tblOrdenes[area],$A6,tblOrdenes[anio],K$4,tblOrdenes[mes],K$5)</f>
        <v/>
      </c>
      <c r="L6" s="18">
        <f>SUMIFS(tblOrdenes[costo_plan],tblOrdenes[area],$A6,tblOrdenes[anio],L$4,tblOrdenes[mes],L$5)</f>
        <v/>
      </c>
      <c r="M6" s="18">
        <f>SUM(B6:L6)</f>
        <v/>
      </c>
    </row>
    <row r="7">
      <c r="A7" s="5" t="inlineStr">
        <is>
          <t>EMPAQUE</t>
        </is>
      </c>
      <c r="B7" s="18">
        <f>SUMIFS(tblOrdenes[costo_plan],tblOrdenes[area],$A7,tblOrdenes[anio],B$4,tblOrdenes[mes],B$5)</f>
        <v/>
      </c>
      <c r="C7" s="18">
        <f>SUMIFS(tblOrdenes[costo_plan],tblOrdenes[area],$A7,tblOrdenes[anio],C$4,tblOrdenes[mes],C$5)</f>
        <v/>
      </c>
      <c r="D7" s="18">
        <f>SUMIFS(tblOrdenes[costo_plan],tblOrdenes[area],$A7,tblOrdenes[anio],D$4,tblOrdenes[mes],D$5)</f>
        <v/>
      </c>
      <c r="E7" s="18">
        <f>SUMIFS(tblOrdenes[costo_plan],tblOrdenes[area],$A7,tblOrdenes[anio],E$4,tblOrdenes[mes],E$5)</f>
        <v/>
      </c>
      <c r="F7" s="18">
        <f>SUMIFS(tblOrdenes[costo_plan],tblOrdenes[area],$A7,tblOrdenes[anio],F$4,tblOrdenes[mes],F$5)</f>
        <v/>
      </c>
      <c r="G7" s="18">
        <f>SUMIFS(tblOrdenes[costo_plan],tblOrdenes[area],$A7,tblOrdenes[anio],G$4,tblOrdenes[mes],G$5)</f>
        <v/>
      </c>
      <c r="H7" s="18">
        <f>SUMIFS(tblOrdenes[costo_plan],tblOrdenes[area],$A7,tblOrdenes[anio],H$4,tblOrdenes[mes],H$5)</f>
        <v/>
      </c>
      <c r="I7" s="18">
        <f>SUMIFS(tblOrdenes[costo_plan],tblOrdenes[area],$A7,tblOrdenes[anio],I$4,tblOrdenes[mes],I$5)</f>
        <v/>
      </c>
      <c r="J7" s="18">
        <f>SUMIFS(tblOrdenes[costo_plan],tblOrdenes[area],$A7,tblOrdenes[anio],J$4,tblOrdenes[mes],J$5)</f>
        <v/>
      </c>
      <c r="K7" s="18">
        <f>SUMIFS(tblOrdenes[costo_plan],tblOrdenes[area],$A7,tblOrdenes[anio],K$4,tblOrdenes[mes],K$5)</f>
        <v/>
      </c>
      <c r="L7" s="18">
        <f>SUMIFS(tblOrdenes[costo_plan],tblOrdenes[area],$A7,tblOrdenes[anio],L$4,tblOrdenes[mes],L$5)</f>
        <v/>
      </c>
      <c r="M7" s="18">
        <f>SUM(B7:L7)</f>
        <v/>
      </c>
    </row>
    <row r="8">
      <c r="A8" s="5" t="inlineStr">
        <is>
          <t>SERVICIOS</t>
        </is>
      </c>
      <c r="B8" s="18">
        <f>SUMIFS(tblOrdenes[costo_plan],tblOrdenes[area],$A8,tblOrdenes[anio],B$4,tblOrdenes[mes],B$5)</f>
        <v/>
      </c>
      <c r="C8" s="18">
        <f>SUMIFS(tblOrdenes[costo_plan],tblOrdenes[area],$A8,tblOrdenes[anio],C$4,tblOrdenes[mes],C$5)</f>
        <v/>
      </c>
      <c r="D8" s="18">
        <f>SUMIFS(tblOrdenes[costo_plan],tblOrdenes[area],$A8,tblOrdenes[anio],D$4,tblOrdenes[mes],D$5)</f>
        <v/>
      </c>
      <c r="E8" s="18">
        <f>SUMIFS(tblOrdenes[costo_plan],tblOrdenes[area],$A8,tblOrdenes[anio],E$4,tblOrdenes[mes],E$5)</f>
        <v/>
      </c>
      <c r="F8" s="18">
        <f>SUMIFS(tblOrdenes[costo_plan],tblOrdenes[area],$A8,tblOrdenes[anio],F$4,tblOrdenes[mes],F$5)</f>
        <v/>
      </c>
      <c r="G8" s="18">
        <f>SUMIFS(tblOrdenes[costo_plan],tblOrdenes[area],$A8,tblOrdenes[anio],G$4,tblOrdenes[mes],G$5)</f>
        <v/>
      </c>
      <c r="H8" s="18">
        <f>SUMIFS(tblOrdenes[costo_plan],tblOrdenes[area],$A8,tblOrdenes[anio],H$4,tblOrdenes[mes],H$5)</f>
        <v/>
      </c>
      <c r="I8" s="18">
        <f>SUMIFS(tblOrdenes[costo_plan],tblOrdenes[area],$A8,tblOrdenes[anio],I$4,tblOrdenes[mes],I$5)</f>
        <v/>
      </c>
      <c r="J8" s="18">
        <f>SUMIFS(tblOrdenes[costo_plan],tblOrdenes[area],$A8,tblOrdenes[anio],J$4,tblOrdenes[mes],J$5)</f>
        <v/>
      </c>
      <c r="K8" s="18">
        <f>SUMIFS(tblOrdenes[costo_plan],tblOrdenes[area],$A8,tblOrdenes[anio],K$4,tblOrdenes[mes],K$5)</f>
        <v/>
      </c>
      <c r="L8" s="18">
        <f>SUMIFS(tblOrdenes[costo_plan],tblOrdenes[area],$A8,tblOrdenes[anio],L$4,tblOrdenes[mes],L$5)</f>
        <v/>
      </c>
      <c r="M8" s="18">
        <f>SUM(B8:L8)</f>
        <v/>
      </c>
    </row>
    <row r="9">
      <c r="A9" s="3" t="inlineStr">
        <is>
          <t>TOTAL</t>
        </is>
      </c>
      <c r="B9" s="18">
        <f>SUM(B6:B8)</f>
        <v/>
      </c>
      <c r="C9" s="18">
        <f>SUM(C6:C8)</f>
        <v/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  <c r="K9" s="18">
        <f>SUM(K6:K8)</f>
        <v/>
      </c>
      <c r="L9" s="18">
        <f>SUM(L6:L8)</f>
        <v/>
      </c>
      <c r="M9" s="18">
        <f>SUM(M6:M8)</f>
        <v/>
      </c>
    </row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15" t="n">
        <v>2</v>
      </c>
      <c r="C13" s="15" t="n">
        <v>3</v>
      </c>
      <c r="D13" s="15" t="n">
        <v>4</v>
      </c>
      <c r="E13" s="15" t="n">
        <v>5</v>
      </c>
      <c r="F13" s="15" t="n">
        <v>6</v>
      </c>
      <c r="G13" s="15" t="n">
        <v>7</v>
      </c>
      <c r="H13" s="15" t="n">
        <v>8</v>
      </c>
      <c r="I13" s="15" t="n">
        <v>9</v>
      </c>
      <c r="J13" s="15" t="n">
        <v>11</v>
      </c>
      <c r="K13" s="15" t="n">
        <v>12</v>
      </c>
      <c r="L13" s="15" t="n">
        <v>1</v>
      </c>
      <c r="M13" s="15" t="inlineStr">
        <is>
          <t>TOTAL</t>
        </is>
      </c>
    </row>
    <row r="14">
      <c r="A14" s="5" t="inlineStr">
        <is>
          <t>PRODUCCION</t>
        </is>
      </c>
      <c r="B14" s="18">
        <f>SUMIFS(tblOrdenes[costo_total],tblOrdenes[area],$A14,tblOrdenes[anio],B$12,tblOrdenes[mes],B$13)</f>
        <v/>
      </c>
      <c r="C14" s="18">
        <f>SUMIFS(tblOrdenes[costo_total],tblOrdenes[area],$A14,tblOrdenes[anio],C$12,tblOrdenes[mes],C$13)</f>
        <v/>
      </c>
      <c r="D14" s="18">
        <f>SUMIFS(tblOrdenes[costo_total],tblOrdenes[area],$A14,tblOrdenes[anio],D$12,tblOrdenes[mes],D$13)</f>
        <v/>
      </c>
      <c r="E14" s="18">
        <f>SUMIFS(tblOrdenes[costo_total],tblOrdenes[area],$A14,tblOrdenes[anio],E$12,tblOrdenes[mes],E$13)</f>
        <v/>
      </c>
      <c r="F14" s="18">
        <f>SUMIFS(tblOrdenes[costo_total],tblOrdenes[area],$A14,tblOrdenes[anio],F$12,tblOrdenes[mes],F$13)</f>
        <v/>
      </c>
      <c r="G14" s="18">
        <f>SUMIFS(tblOrdenes[costo_total],tblOrdenes[area],$A14,tblOrdenes[anio],G$12,tblOrdenes[mes],G$13)</f>
        <v/>
      </c>
      <c r="H14" s="18">
        <f>SUMIFS(tblOrdenes[costo_total],tblOrdenes[area],$A14,tblOrdenes[anio],H$12,tblOrdenes[mes],H$13)</f>
        <v/>
      </c>
      <c r="I14" s="18">
        <f>SUMIFS(tblOrdenes[costo_total],tblOrdenes[area],$A14,tblOrdenes[anio],I$12,tblOrdenes[mes],I$13)</f>
        <v/>
      </c>
      <c r="J14" s="18">
        <f>SUMIFS(tblOrdenes[costo_total],tblOrdenes[area],$A14,tblOrdenes[anio],J$12,tblOrdenes[mes],J$13)</f>
        <v/>
      </c>
      <c r="K14" s="18">
        <f>SUMIFS(tblOrdenes[costo_total],tblOrdenes[area],$A14,tblOrdenes[anio],K$12,tblOrdenes[mes],K$13)</f>
        <v/>
      </c>
      <c r="L14" s="18">
        <f>SUMIFS(tblOrdenes[costo_total],tblOrdenes[area],$A14,tblOrdenes[anio],L$12,tblOrdenes[mes],L$13)</f>
        <v/>
      </c>
      <c r="M14" s="18">
        <f>SUM(B14:L14)</f>
        <v/>
      </c>
    </row>
    <row r="15">
      <c r="A15" s="5" t="inlineStr">
        <is>
          <t>EMPAQUE</t>
        </is>
      </c>
      <c r="B15" s="18">
        <f>SUMIFS(tblOrdenes[costo_total],tblOrdenes[area],$A15,tblOrdenes[anio],B$12,tblOrdenes[mes],B$13)</f>
        <v/>
      </c>
      <c r="C15" s="18">
        <f>SUMIFS(tblOrdenes[costo_total],tblOrdenes[area],$A15,tblOrdenes[anio],C$12,tblOrdenes[mes],C$13)</f>
        <v/>
      </c>
      <c r="D15" s="18">
        <f>SUMIFS(tblOrdenes[costo_total],tblOrdenes[area],$A15,tblOrdenes[anio],D$12,tblOrdenes[mes],D$13)</f>
        <v/>
      </c>
      <c r="E15" s="18">
        <f>SUMIFS(tblOrdenes[costo_total],tblOrdenes[area],$A15,tblOrdenes[anio],E$12,tblOrdenes[mes],E$13)</f>
        <v/>
      </c>
      <c r="F15" s="18">
        <f>SUMIFS(tblOrdenes[costo_total],tblOrdenes[area],$A15,tblOrdenes[anio],F$12,tblOrdenes[mes],F$13)</f>
        <v/>
      </c>
      <c r="G15" s="18">
        <f>SUMIFS(tblOrdenes[costo_total],tblOrdenes[area],$A15,tblOrdenes[anio],G$12,tblOrdenes[mes],G$13)</f>
        <v/>
      </c>
      <c r="H15" s="18">
        <f>SUMIFS(tblOrdenes[costo_total],tblOrdenes[area],$A15,tblOrdenes[anio],H$12,tblOrdenes[mes],H$13)</f>
        <v/>
      </c>
      <c r="I15" s="18">
        <f>SUMIFS(tblOrdenes[costo_total],tblOrdenes[area],$A15,tblOrdenes[anio],I$12,tblOrdenes[mes],I$13)</f>
        <v/>
      </c>
      <c r="J15" s="18">
        <f>SUMIFS(tblOrdenes[costo_total],tblOrdenes[area],$A15,tblOrdenes[anio],J$12,tblOrdenes[mes],J$13)</f>
        <v/>
      </c>
      <c r="K15" s="18">
        <f>SUMIFS(tblOrdenes[costo_total],tblOrdenes[area],$A15,tblOrdenes[anio],K$12,tblOrdenes[mes],K$13)</f>
        <v/>
      </c>
      <c r="L15" s="18">
        <f>SUMIFS(tblOrdenes[costo_total],tblOrdenes[area],$A15,tblOrdenes[anio],L$12,tblOrdenes[mes],L$13)</f>
        <v/>
      </c>
      <c r="M15" s="18">
        <f>SUM(B15:L15)</f>
        <v/>
      </c>
    </row>
    <row r="16">
      <c r="A16" s="5" t="inlineStr">
        <is>
          <t>SERVICIOS</t>
        </is>
      </c>
      <c r="B16" s="18">
        <f>SUMIFS(tblOrdenes[costo_total],tblOrdenes[area],$A16,tblOrdenes[anio],B$12,tblOrdenes[mes],B$13)</f>
        <v/>
      </c>
      <c r="C16" s="18">
        <f>SUMIFS(tblOrdenes[costo_total],tblOrdenes[area],$A16,tblOrdenes[anio],C$12,tblOrdenes[mes],C$13)</f>
        <v/>
      </c>
      <c r="D16" s="18">
        <f>SUMIFS(tblOrdenes[costo_total],tblOrdenes[area],$A16,tblOrdenes[anio],D$12,tblOrdenes[mes],D$13)</f>
        <v/>
      </c>
      <c r="E16" s="18">
        <f>SUMIFS(tblOrdenes[costo_total],tblOrdenes[area],$A16,tblOrdenes[anio],E$12,tblOrdenes[mes],E$13)</f>
        <v/>
      </c>
      <c r="F16" s="18">
        <f>SUMIFS(tblOrdenes[costo_total],tblOrdenes[area],$A16,tblOrdenes[anio],F$12,tblOrdenes[mes],F$13)</f>
        <v/>
      </c>
      <c r="G16" s="18">
        <f>SUMIFS(tblOrdenes[costo_total],tblOrdenes[area],$A16,tblOrdenes[anio],G$12,tblOrdenes[mes],G$13)</f>
        <v/>
      </c>
      <c r="H16" s="18">
        <f>SUMIFS(tblOrdenes[costo_total],tblOrdenes[area],$A16,tblOrdenes[anio],H$12,tblOrdenes[mes],H$13)</f>
        <v/>
      </c>
      <c r="I16" s="18">
        <f>SUMIFS(tblOrdenes[costo_total],tblOrdenes[area],$A16,tblOrdenes[anio],I$12,tblOrdenes[mes],I$13)</f>
        <v/>
      </c>
      <c r="J16" s="18">
        <f>SUMIFS(tblOrdenes[costo_total],tblOrdenes[area],$A16,tblOrdenes[anio],J$12,tblOrdenes[mes],J$13)</f>
        <v/>
      </c>
      <c r="K16" s="18">
        <f>SUMIFS(tblOrdenes[costo_total],tblOrdenes[area],$A16,tblOrdenes[anio],K$12,tblOrdenes[mes],K$13)</f>
        <v/>
      </c>
      <c r="L16" s="18">
        <f>SUMIFS(tblOrdenes[costo_total],tblOrdenes[area],$A16,tblOrdenes[anio],L$12,tblOrdenes[mes],L$13)</f>
        <v/>
      </c>
      <c r="M16" s="18">
        <f>SUM(B16:L16)</f>
        <v/>
      </c>
    </row>
    <row r="17">
      <c r="A17" s="3" t="inlineStr">
        <is>
          <t>TOTAL</t>
        </is>
      </c>
      <c r="B17" s="18">
        <f>SUM(B14:B16)</f>
        <v/>
      </c>
      <c r="C17" s="18">
        <f>SUM(C14:C16)</f>
        <v/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  <c r="K17" s="18">
        <f>SUM(K14:K16)</f>
        <v/>
      </c>
      <c r="L17" s="18">
        <f>SUM(L14:L16)</f>
        <v/>
      </c>
      <c r="M17" s="18">
        <f>SUM(M14:M16)</f>
        <v/>
      </c>
    </row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18">
        <f>B14-B6</f>
        <v/>
      </c>
      <c r="C20" s="18">
        <f>C14-C6</f>
        <v/>
      </c>
      <c r="D20" s="18">
        <f>D14-D6</f>
        <v/>
      </c>
      <c r="E20" s="18">
        <f>E14-E6</f>
        <v/>
      </c>
      <c r="F20" s="18">
        <f>F14-F6</f>
        <v/>
      </c>
      <c r="G20" s="18">
        <f>G14-G6</f>
        <v/>
      </c>
      <c r="H20" s="18">
        <f>H14-H6</f>
        <v/>
      </c>
      <c r="I20" s="18">
        <f>I14-I6</f>
        <v/>
      </c>
      <c r="J20" s="18">
        <f>J14-J6</f>
        <v/>
      </c>
      <c r="K20" s="18">
        <f>K14-K6</f>
        <v/>
      </c>
      <c r="L20" s="18">
        <f>L14-L6</f>
        <v/>
      </c>
      <c r="M20" s="18">
        <f>M14-M6</f>
        <v/>
      </c>
    </row>
    <row r="21">
      <c r="A21" s="5" t="inlineStr">
        <is>
          <t>EMPAQUE</t>
        </is>
      </c>
      <c r="B21" s="18">
        <f>B15-B7</f>
        <v/>
      </c>
      <c r="C21" s="18">
        <f>C15-C7</f>
        <v/>
      </c>
      <c r="D21" s="18">
        <f>D15-D7</f>
        <v/>
      </c>
      <c r="E21" s="18">
        <f>E15-E7</f>
        <v/>
      </c>
      <c r="F21" s="18">
        <f>F15-F7</f>
        <v/>
      </c>
      <c r="G21" s="18">
        <f>G15-G7</f>
        <v/>
      </c>
      <c r="H21" s="18">
        <f>H15-H7</f>
        <v/>
      </c>
      <c r="I21" s="18">
        <f>I15-I7</f>
        <v/>
      </c>
      <c r="J21" s="18">
        <f>J15-J7</f>
        <v/>
      </c>
      <c r="K21" s="18">
        <f>K15-K7</f>
        <v/>
      </c>
      <c r="L21" s="18">
        <f>L15-L7</f>
        <v/>
      </c>
      <c r="M21" s="18">
        <f>M15-M7</f>
        <v/>
      </c>
    </row>
    <row r="22">
      <c r="A22" s="5" t="inlineStr">
        <is>
          <t>SERVICIOS</t>
        </is>
      </c>
      <c r="B22" s="18">
        <f>B16-B8</f>
        <v/>
      </c>
      <c r="C22" s="18">
        <f>C16-C8</f>
        <v/>
      </c>
      <c r="D22" s="18">
        <f>D16-D8</f>
        <v/>
      </c>
      <c r="E22" s="18">
        <f>E16-E8</f>
        <v/>
      </c>
      <c r="F22" s="18">
        <f>F16-F8</f>
        <v/>
      </c>
      <c r="G22" s="18">
        <f>G16-G8</f>
        <v/>
      </c>
      <c r="H22" s="18">
        <f>H16-H8</f>
        <v/>
      </c>
      <c r="I22" s="18">
        <f>I16-I8</f>
        <v/>
      </c>
      <c r="J22" s="18">
        <f>J16-J8</f>
        <v/>
      </c>
      <c r="K22" s="18">
        <f>K16-K8</f>
        <v/>
      </c>
      <c r="L22" s="18">
        <f>L16-L8</f>
        <v/>
      </c>
      <c r="M22" s="18">
        <f>M16-M8</f>
        <v/>
      </c>
    </row>
    <row r="23">
      <c r="A23" s="3" t="inlineStr">
        <is>
          <t>TOTAL</t>
        </is>
      </c>
      <c r="B23" s="18">
        <f>B17-B9</f>
        <v/>
      </c>
      <c r="C23" s="18">
        <f>C17-C9</f>
        <v/>
      </c>
      <c r="D23" s="18">
        <f>D17-D9</f>
        <v/>
      </c>
      <c r="E23" s="18">
        <f>E17-E9</f>
        <v/>
      </c>
      <c r="F23" s="18">
        <f>F17-F9</f>
        <v/>
      </c>
      <c r="G23" s="18">
        <f>G17-G9</f>
        <v/>
      </c>
      <c r="H23" s="18">
        <f>H17-H9</f>
        <v/>
      </c>
      <c r="I23" s="18">
        <f>I17-I9</f>
        <v/>
      </c>
      <c r="J23" s="18">
        <f>J17-J9</f>
        <v/>
      </c>
      <c r="K23" s="18">
        <f>K17-K9</f>
        <v/>
      </c>
      <c r="L23" s="18">
        <f>L17-L9</f>
        <v/>
      </c>
      <c r="M23" s="18">
        <f>M17-M9</f>
        <v/>
      </c>
    </row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15" t="n">
        <v>2</v>
      </c>
      <c r="C27" s="15" t="n">
        <v>3</v>
      </c>
      <c r="D27" s="15" t="n">
        <v>4</v>
      </c>
      <c r="E27" s="15" t="n">
        <v>5</v>
      </c>
      <c r="F27" s="15" t="n">
        <v>6</v>
      </c>
      <c r="G27" s="15" t="n">
        <v>7</v>
      </c>
      <c r="H27" s="15" t="n">
        <v>8</v>
      </c>
      <c r="I27" s="15" t="n">
        <v>9</v>
      </c>
      <c r="J27" s="15" t="n">
        <v>11</v>
      </c>
      <c r="K27" s="15" t="n">
        <v>12</v>
      </c>
      <c r="L27" s="15" t="n">
        <v>1</v>
      </c>
      <c r="M27" s="15" t="inlineStr">
        <is>
          <t>TOTAL</t>
        </is>
      </c>
    </row>
    <row r="28">
      <c r="A28" s="5" t="inlineStr">
        <is>
          <t>PRODUCCION</t>
        </is>
      </c>
      <c r="B28" s="18">
        <f>SUMIFS(tblOrdenes[costo_total],tblOrdenes[sub_area],$A28,tblOrdenes[anio],B$26,tblOrdenes[mes],B$27)</f>
        <v/>
      </c>
      <c r="C28" s="18">
        <f>SUMIFS(tblOrdenes[costo_total],tblOrdenes[sub_area],$A28,tblOrdenes[anio],C$26,tblOrdenes[mes],C$27)</f>
        <v/>
      </c>
      <c r="D28" s="18">
        <f>SUMIFS(tblOrdenes[costo_total],tblOrdenes[sub_area],$A28,tblOrdenes[anio],D$26,tblOrdenes[mes],D$27)</f>
        <v/>
      </c>
      <c r="E28" s="18">
        <f>SUMIFS(tblOrdenes[costo_total],tblOrdenes[sub_area],$A28,tblOrdenes[anio],E$26,tblOrdenes[mes],E$27)</f>
        <v/>
      </c>
      <c r="F28" s="18">
        <f>SUMIFS(tblOrdenes[costo_total],tblOrdenes[sub_area],$A28,tblOrdenes[anio],F$26,tblOrdenes[mes],F$27)</f>
        <v/>
      </c>
      <c r="G28" s="18">
        <f>SUMIFS(tblOrdenes[costo_total],tblOrdenes[sub_area],$A28,tblOrdenes[anio],G$26,tblOrdenes[mes],G$27)</f>
        <v/>
      </c>
      <c r="H28" s="18">
        <f>SUMIFS(tblOrdenes[costo_total],tblOrdenes[sub_area],$A28,tblOrdenes[anio],H$26,tblOrdenes[mes],H$27)</f>
        <v/>
      </c>
      <c r="I28" s="18">
        <f>SUMIFS(tblOrdenes[costo_total],tblOrdenes[sub_area],$A28,tblOrdenes[anio],I$26,tblOrdenes[mes],I$27)</f>
        <v/>
      </c>
      <c r="J28" s="18">
        <f>SUMIFS(tblOrdenes[costo_total],tblOrdenes[sub_area],$A28,tblOrdenes[anio],J$26,tblOrdenes[mes],J$27)</f>
        <v/>
      </c>
      <c r="K28" s="18">
        <f>SUMIFS(tblOrdenes[costo_total],tblOrdenes[sub_area],$A28,tblOrdenes[anio],K$26,tblOrdenes[mes],K$27)</f>
        <v/>
      </c>
      <c r="L28" s="18">
        <f>SUMIFS(tblOrdenes[costo_total],tblOrdenes[sub_area],$A28,tblOrdenes[anio],L$26,tblOrdenes[mes],L$27)</f>
        <v/>
      </c>
      <c r="M28" s="18">
        <f>SUM(B28:L28)</f>
        <v/>
      </c>
    </row>
    <row r="29">
      <c r="A29" s="5" t="inlineStr">
        <is>
          <t>EMPAQUE</t>
        </is>
      </c>
      <c r="B29" s="18">
        <f>SUMIFS(tblOrdenes[costo_total],tblOrdenes[sub_area],$A29,tblOrdenes[anio],B$26,tblOrdenes[mes],B$27)</f>
        <v/>
      </c>
      <c r="C29" s="18">
        <f>SUMIFS(tblOrdenes[costo_total],tblOrdenes[sub_area],$A29,tblOrdenes[anio],C$26,tblOrdenes[mes],C$27)</f>
        <v/>
      </c>
      <c r="D29" s="18">
        <f>SUMIFS(tblOrdenes[costo_total],tblOrdenes[sub_area],$A29,tblOrdenes[anio],D$26,tblOrdenes[mes],D$27)</f>
        <v/>
      </c>
      <c r="E29" s="18">
        <f>SUMIFS(tblOrdenes[costo_total],tblOrdenes[sub_area],$A29,tblOrdenes[anio],E$26,tblOrdenes[mes],E$27)</f>
        <v/>
      </c>
      <c r="F29" s="18">
        <f>SUMIFS(tblOrdenes[costo_total],tblOrdenes[sub_area],$A29,tblOrdenes[anio],F$26,tblOrdenes[mes],F$27)</f>
        <v/>
      </c>
      <c r="G29" s="18">
        <f>SUMIFS(tblOrdenes[costo_total],tblOrdenes[sub_area],$A29,tblOrdenes[anio],G$26,tblOrdenes[mes],G$27)</f>
        <v/>
      </c>
      <c r="H29" s="18">
        <f>SUMIFS(tblOrdenes[costo_total],tblOrdenes[sub_area],$A29,tblOrdenes[anio],H$26,tblOrdenes[mes],H$27)</f>
        <v/>
      </c>
      <c r="I29" s="18">
        <f>SUMIFS(tblOrdenes[costo_total],tblOrdenes[sub_area],$A29,tblOrdenes[anio],I$26,tblOrdenes[mes],I$27)</f>
        <v/>
      </c>
      <c r="J29" s="18">
        <f>SUMIFS(tblOrdenes[costo_total],tblOrdenes[sub_area],$A29,tblOrdenes[anio],J$26,tblOrdenes[mes],J$27)</f>
        <v/>
      </c>
      <c r="K29" s="18">
        <f>SUMIFS(tblOrdenes[costo_total],tblOrdenes[sub_area],$A29,tblOrdenes[anio],K$26,tblOrdenes[mes],K$27)</f>
        <v/>
      </c>
      <c r="L29" s="18">
        <f>SUMIFS(tblOrdenes[costo_total],tblOrdenes[sub_area],$A29,tblOrdenes[anio],L$26,tblOrdenes[mes],L$27)</f>
        <v/>
      </c>
      <c r="M29" s="18">
        <f>SUM(B29:L29)</f>
        <v/>
      </c>
    </row>
    <row r="30">
      <c r="A30" s="5" t="inlineStr">
        <is>
          <t>Vapor</t>
        </is>
      </c>
      <c r="B30" s="18">
        <f>SUMIFS(tblOrdenes[costo_total],tblOrdenes[sub_area],$A30,tblOrdenes[anio],B$26,tblOrdenes[mes],B$27)</f>
        <v/>
      </c>
      <c r="C30" s="18">
        <f>SUMIFS(tblOrdenes[costo_total],tblOrdenes[sub_area],$A30,tblOrdenes[anio],C$26,tblOrdenes[mes],C$27)</f>
        <v/>
      </c>
      <c r="D30" s="18">
        <f>SUMIFS(tblOrdenes[costo_total],tblOrdenes[sub_area],$A30,tblOrdenes[anio],D$26,tblOrdenes[mes],D$27)</f>
        <v/>
      </c>
      <c r="E30" s="18">
        <f>SUMIFS(tblOrdenes[costo_total],tblOrdenes[sub_area],$A30,tblOrdenes[anio],E$26,tblOrdenes[mes],E$27)</f>
        <v/>
      </c>
      <c r="F30" s="18">
        <f>SUMIFS(tblOrdenes[costo_total],tblOrdenes[sub_area],$A30,tblOrdenes[anio],F$26,tblOrdenes[mes],F$27)</f>
        <v/>
      </c>
      <c r="G30" s="18">
        <f>SUMIFS(tblOrdenes[costo_total],tblOrdenes[sub_area],$A30,tblOrdenes[anio],G$26,tblOrdenes[mes],G$27)</f>
        <v/>
      </c>
      <c r="H30" s="18">
        <f>SUMIFS(tblOrdenes[costo_total],tblOrdenes[sub_area],$A30,tblOrdenes[anio],H$26,tblOrdenes[mes],H$27)</f>
        <v/>
      </c>
      <c r="I30" s="18">
        <f>SUMIFS(tblOrdenes[costo_total],tblOrdenes[sub_area],$A30,tblOrdenes[anio],I$26,tblOrdenes[mes],I$27)</f>
        <v/>
      </c>
      <c r="J30" s="18">
        <f>SUMIFS(tblOrdenes[costo_total],tblOrdenes[sub_area],$A30,tblOrdenes[anio],J$26,tblOrdenes[mes],J$27)</f>
        <v/>
      </c>
      <c r="K30" s="18">
        <f>SUMIFS(tblOrdenes[costo_total],tblOrdenes[sub_area],$A30,tblOrdenes[anio],K$26,tblOrdenes[mes],K$27)</f>
        <v/>
      </c>
      <c r="L30" s="18">
        <f>SUMIFS(tblOrdenes[costo_total],tblOrdenes[sub_area],$A30,tblOrdenes[anio],L$26,tblOrdenes[mes],L$27)</f>
        <v/>
      </c>
      <c r="M30" s="18">
        <f>SUM(B30:L30)</f>
        <v/>
      </c>
    </row>
    <row r="31">
      <c r="A31" s="5" t="inlineStr">
        <is>
          <t>Refrigeración</t>
        </is>
      </c>
      <c r="B31" s="18">
        <f>SUMIFS(tblOrdenes[costo_total],tblOrdenes[sub_area],$A31,tblOrdenes[anio],B$26,tblOrdenes[mes],B$27)</f>
        <v/>
      </c>
      <c r="C31" s="18">
        <f>SUMIFS(tblOrdenes[costo_total],tblOrdenes[sub_area],$A31,tblOrdenes[anio],C$26,tblOrdenes[mes],C$27)</f>
        <v/>
      </c>
      <c r="D31" s="18">
        <f>SUMIFS(tblOrdenes[costo_total],tblOrdenes[sub_area],$A31,tblOrdenes[anio],D$26,tblOrdenes[mes],D$27)</f>
        <v/>
      </c>
      <c r="E31" s="18">
        <f>SUMIFS(tblOrdenes[costo_total],tblOrdenes[sub_area],$A31,tblOrdenes[anio],E$26,tblOrdenes[mes],E$27)</f>
        <v/>
      </c>
      <c r="F31" s="18">
        <f>SUMIFS(tblOrdenes[costo_total],tblOrdenes[sub_area],$A31,tblOrdenes[anio],F$26,tblOrdenes[mes],F$27)</f>
        <v/>
      </c>
      <c r="G31" s="18">
        <f>SUMIFS(tblOrdenes[costo_total],tblOrdenes[sub_area],$A31,tblOrdenes[anio],G$26,tblOrdenes[mes],G$27)</f>
        <v/>
      </c>
      <c r="H31" s="18">
        <f>SUMIFS(tblOrdenes[costo_total],tblOrdenes[sub_area],$A31,tblOrdenes[anio],H$26,tblOrdenes[mes],H$27)</f>
        <v/>
      </c>
      <c r="I31" s="18">
        <f>SUMIFS(tblOrdenes[costo_total],tblOrdenes[sub_area],$A31,tblOrdenes[anio],I$26,tblOrdenes[mes],I$27)</f>
        <v/>
      </c>
      <c r="J31" s="18">
        <f>SUMIFS(tblOrdenes[costo_total],tblOrdenes[sub_area],$A31,tblOrdenes[anio],J$26,tblOrdenes[mes],J$27)</f>
        <v/>
      </c>
      <c r="K31" s="18">
        <f>SUMIFS(tblOrdenes[costo_total],tblOrdenes[sub_area],$A31,tblOrdenes[anio],K$26,tblOrdenes[mes],K$27)</f>
        <v/>
      </c>
      <c r="L31" s="18">
        <f>SUMIFS(tblOrdenes[costo_total],tblOrdenes[sub_area],$A31,tblOrdenes[anio],L$26,tblOrdenes[mes],L$27)</f>
        <v/>
      </c>
      <c r="M31" s="18">
        <f>SUM(B31:L31)</f>
        <v/>
      </c>
    </row>
    <row r="32">
      <c r="A32" s="5" t="inlineStr">
        <is>
          <t>CO2</t>
        </is>
      </c>
      <c r="B32" s="18">
        <f>SUMIFS(tblOrdenes[costo_total],tblOrdenes[sub_area],$A32,tblOrdenes[anio],B$26,tblOrdenes[mes],B$27)</f>
        <v/>
      </c>
      <c r="C32" s="18">
        <f>SUMIFS(tblOrdenes[costo_total],tblOrdenes[sub_area],$A32,tblOrdenes[anio],C$26,tblOrdenes[mes],C$27)</f>
        <v/>
      </c>
      <c r="D32" s="18">
        <f>SUMIFS(tblOrdenes[costo_total],tblOrdenes[sub_area],$A32,tblOrdenes[anio],D$26,tblOrdenes[mes],D$27)</f>
        <v/>
      </c>
      <c r="E32" s="18">
        <f>SUMIFS(tblOrdenes[costo_total],tblOrdenes[sub_area],$A32,tblOrdenes[anio],E$26,tblOrdenes[mes],E$27)</f>
        <v/>
      </c>
      <c r="F32" s="18">
        <f>SUMIFS(tblOrdenes[costo_total],tblOrdenes[sub_area],$A32,tblOrdenes[anio],F$26,tblOrdenes[mes],F$27)</f>
        <v/>
      </c>
      <c r="G32" s="18">
        <f>SUMIFS(tblOrdenes[costo_total],tblOrdenes[sub_area],$A32,tblOrdenes[anio],G$26,tblOrdenes[mes],G$27)</f>
        <v/>
      </c>
      <c r="H32" s="18">
        <f>SUMIFS(tblOrdenes[costo_total],tblOrdenes[sub_area],$A32,tblOrdenes[anio],H$26,tblOrdenes[mes],H$27)</f>
        <v/>
      </c>
      <c r="I32" s="18">
        <f>SUMIFS(tblOrdenes[costo_total],tblOrdenes[sub_area],$A32,tblOrdenes[anio],I$26,tblOrdenes[mes],I$27)</f>
        <v/>
      </c>
      <c r="J32" s="18">
        <f>SUMIFS(tblOrdenes[costo_total],tblOrdenes[sub_area],$A32,tblOrdenes[anio],J$26,tblOrdenes[mes],J$27)</f>
        <v/>
      </c>
      <c r="K32" s="18">
        <f>SUMIFS(tblOrdenes[costo_total],tblOrdenes[sub_area],$A32,tblOrdenes[anio],K$26,tblOrdenes[mes],K$27)</f>
        <v/>
      </c>
      <c r="L32" s="18">
        <f>SUMIFS(tblOrdenes[costo_total],tblOrdenes[sub_area],$A32,tblOrdenes[anio],L$26,tblOrdenes[mes],L$27)</f>
        <v/>
      </c>
      <c r="M32" s="18">
        <f>SUM(B32:L32)</f>
        <v/>
      </c>
    </row>
    <row r="33">
      <c r="A33" s="5" t="inlineStr">
        <is>
          <t>Aire comprimido</t>
        </is>
      </c>
      <c r="B33" s="18">
        <f>SUMIFS(tblOrdenes[costo_total],tblOrdenes[sub_area],$A33,tblOrdenes[anio],B$26,tblOrdenes[mes],B$27)</f>
        <v/>
      </c>
      <c r="C33" s="18">
        <f>SUMIFS(tblOrdenes[costo_total],tblOrdenes[sub_area],$A33,tblOrdenes[anio],C$26,tblOrdenes[mes],C$27)</f>
        <v/>
      </c>
      <c r="D33" s="18">
        <f>SUMIFS(tblOrdenes[costo_total],tblOrdenes[sub_area],$A33,tblOrdenes[anio],D$26,tblOrdenes[mes],D$27)</f>
        <v/>
      </c>
      <c r="E33" s="18">
        <f>SUMIFS(tblOrdenes[costo_total],tblOrdenes[sub_area],$A33,tblOrdenes[anio],E$26,tblOrdenes[mes],E$27)</f>
        <v/>
      </c>
      <c r="F33" s="18">
        <f>SUMIFS(tblOrdenes[costo_total],tblOrdenes[sub_area],$A33,tblOrdenes[anio],F$26,tblOrdenes[mes],F$27)</f>
        <v/>
      </c>
      <c r="G33" s="18">
        <f>SUMIFS(tblOrdenes[costo_total],tblOrdenes[sub_area],$A33,tblOrdenes[anio],G$26,tblOrdenes[mes],G$27)</f>
        <v/>
      </c>
      <c r="H33" s="18">
        <f>SUMIFS(tblOrdenes[costo_total],tblOrdenes[sub_area],$A33,tblOrdenes[anio],H$26,tblOrdenes[mes],H$27)</f>
        <v/>
      </c>
      <c r="I33" s="18">
        <f>SUMIFS(tblOrdenes[costo_total],tblOrdenes[sub_area],$A33,tblOrdenes[anio],I$26,tblOrdenes[mes],I$27)</f>
        <v/>
      </c>
      <c r="J33" s="18">
        <f>SUMIFS(tblOrdenes[costo_total],tblOrdenes[sub_area],$A33,tblOrdenes[anio],J$26,tblOrdenes[mes],J$27)</f>
        <v/>
      </c>
      <c r="K33" s="18">
        <f>SUMIFS(tblOrdenes[costo_total],tblOrdenes[sub_area],$A33,tblOrdenes[anio],K$26,tblOrdenes[mes],K$27)</f>
        <v/>
      </c>
      <c r="L33" s="18">
        <f>SUMIFS(tblOrdenes[costo_total],tblOrdenes[sub_area],$A33,tblOrdenes[anio],L$26,tblOrdenes[mes],L$27)</f>
        <v/>
      </c>
      <c r="M33" s="18">
        <f>SUM(B33:L33)</f>
        <v/>
      </c>
    </row>
    <row r="34">
      <c r="A34" s="3" t="inlineStr">
        <is>
          <t>TOTAL</t>
        </is>
      </c>
      <c r="B34" s="18">
        <f>SUM(B28:B33)</f>
        <v/>
      </c>
      <c r="C34" s="18">
        <f>SUM(C28:C33)</f>
        <v/>
      </c>
      <c r="D34" s="18">
        <f>SUM(D28:D33)</f>
        <v/>
      </c>
      <c r="E34" s="18">
        <f>SUM(E28:E33)</f>
        <v/>
      </c>
      <c r="F34" s="18">
        <f>SUM(F28:F33)</f>
        <v/>
      </c>
      <c r="G34" s="18">
        <f>SUM(G28:G33)</f>
        <v/>
      </c>
      <c r="H34" s="18">
        <f>SUM(H28:H33)</f>
        <v/>
      </c>
      <c r="I34" s="18">
        <f>SUM(I28:I33)</f>
        <v/>
      </c>
      <c r="J34" s="18">
        <f>SUM(J28:J33)</f>
        <v/>
      </c>
      <c r="K34" s="18">
        <f>SUM(K28:K33)</f>
        <v/>
      </c>
      <c r="L34" s="18">
        <f>SUM(L28:L33)</f>
        <v/>
      </c>
      <c r="M34" s="18">
        <f>SUM(M28:M33)</f>
        <v/>
      </c>
    </row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15" t="n">
        <v>2</v>
      </c>
      <c r="C38" s="15" t="n">
        <v>3</v>
      </c>
      <c r="D38" s="15" t="n">
        <v>4</v>
      </c>
      <c r="E38" s="15" t="n">
        <v>5</v>
      </c>
      <c r="F38" s="15" t="n">
        <v>6</v>
      </c>
      <c r="G38" s="15" t="n">
        <v>7</v>
      </c>
      <c r="H38" s="15" t="n">
        <v>8</v>
      </c>
      <c r="I38" s="15" t="n">
        <v>9</v>
      </c>
      <c r="J38" s="15" t="n">
        <v>11</v>
      </c>
      <c r="K38" s="15" t="n">
        <v>12</v>
      </c>
      <c r="L38" s="15" t="n">
        <v>1</v>
      </c>
      <c r="M38" s="15" t="inlineStr">
        <is>
          <t>TOTAL</t>
        </is>
      </c>
    </row>
    <row r="39">
      <c r="A39" s="5" t="inlineStr">
        <is>
          <t>L1</t>
        </is>
      </c>
      <c r="B39" s="18">
        <f>SUMIFS(tblOrdenes[costo_total],tblOrdenes[linea],$A39,tblOrdenes[anio],B$37,tblOrdenes[mes],B$38)</f>
        <v/>
      </c>
      <c r="C39" s="18">
        <f>SUMIFS(tblOrdenes[costo_total],tblOrdenes[linea],$A39,tblOrdenes[anio],C$37,tblOrdenes[mes],C$38)</f>
        <v/>
      </c>
      <c r="D39" s="18">
        <f>SUMIFS(tblOrdenes[costo_total],tblOrdenes[linea],$A39,tblOrdenes[anio],D$37,tblOrdenes[mes],D$38)</f>
        <v/>
      </c>
      <c r="E39" s="18">
        <f>SUMIFS(tblOrdenes[costo_total],tblOrdenes[linea],$A39,tblOrdenes[anio],E$37,tblOrdenes[mes],E$38)</f>
        <v/>
      </c>
      <c r="F39" s="18">
        <f>SUMIFS(tblOrdenes[costo_total],tblOrdenes[linea],$A39,tblOrdenes[anio],F$37,tblOrdenes[mes],F$38)</f>
        <v/>
      </c>
      <c r="G39" s="18">
        <f>SUMIFS(tblOrdenes[costo_total],tblOrdenes[linea],$A39,tblOrdenes[anio],G$37,tblOrdenes[mes],G$38)</f>
        <v/>
      </c>
      <c r="H39" s="18">
        <f>SUMIFS(tblOrdenes[costo_total],tblOrdenes[linea],$A39,tblOrdenes[anio],H$37,tblOrdenes[mes],H$38)</f>
        <v/>
      </c>
      <c r="I39" s="18">
        <f>SUMIFS(tblOrdenes[costo_total],tblOrdenes[linea],$A39,tblOrdenes[anio],I$37,tblOrdenes[mes],I$38)</f>
        <v/>
      </c>
      <c r="J39" s="18">
        <f>SUMIFS(tblOrdenes[costo_total],tblOrdenes[linea],$A39,tblOrdenes[anio],J$37,tblOrdenes[mes],J$38)</f>
        <v/>
      </c>
      <c r="K39" s="18">
        <f>SUMIFS(tblOrdenes[costo_total],tblOrdenes[linea],$A39,tblOrdenes[anio],K$37,tblOrdenes[mes],K$38)</f>
        <v/>
      </c>
      <c r="L39" s="18">
        <f>SUMIFS(tblOrdenes[costo_total],tblOrdenes[linea],$A39,tblOrdenes[anio],L$37,tblOrdenes[mes],L$38)</f>
        <v/>
      </c>
      <c r="M39" s="18">
        <f>SUM(B39:L39)</f>
        <v/>
      </c>
    </row>
    <row r="40">
      <c r="A40" s="5" t="inlineStr">
        <is>
          <t>L2</t>
        </is>
      </c>
      <c r="B40" s="18">
        <f>SUMIFS(tblOrdenes[costo_total],tblOrdenes[linea],$A40,tblOrdenes[anio],B$37,tblOrdenes[mes],B$38)</f>
        <v/>
      </c>
      <c r="C40" s="18">
        <f>SUMIFS(tblOrdenes[costo_total],tblOrdenes[linea],$A40,tblOrdenes[anio],C$37,tblOrdenes[mes],C$38)</f>
        <v/>
      </c>
      <c r="D40" s="18">
        <f>SUMIFS(tblOrdenes[costo_total],tblOrdenes[linea],$A40,tblOrdenes[anio],D$37,tblOrdenes[mes],D$38)</f>
        <v/>
      </c>
      <c r="E40" s="18">
        <f>SUMIFS(tblOrdenes[costo_total],tblOrdenes[linea],$A40,tblOrdenes[anio],E$37,tblOrdenes[mes],E$38)</f>
        <v/>
      </c>
      <c r="F40" s="18">
        <f>SUMIFS(tblOrdenes[costo_total],tblOrdenes[linea],$A40,tblOrdenes[anio],F$37,tblOrdenes[mes],F$38)</f>
        <v/>
      </c>
      <c r="G40" s="18">
        <f>SUMIFS(tblOrdenes[costo_total],tblOrdenes[linea],$A40,tblOrdenes[anio],G$37,tblOrdenes[mes],G$38)</f>
        <v/>
      </c>
      <c r="H40" s="18">
        <f>SUMIFS(tblOrdenes[costo_total],tblOrdenes[linea],$A40,tblOrdenes[anio],H$37,tblOrdenes[mes],H$38)</f>
        <v/>
      </c>
      <c r="I40" s="18">
        <f>SUMIFS(tblOrdenes[costo_total],tblOrdenes[linea],$A40,tblOrdenes[anio],I$37,tblOrdenes[mes],I$38)</f>
        <v/>
      </c>
      <c r="J40" s="18">
        <f>SUMIFS(tblOrdenes[costo_total],tblOrdenes[linea],$A40,tblOrdenes[anio],J$37,tblOrdenes[mes],J$38)</f>
        <v/>
      </c>
      <c r="K40" s="18">
        <f>SUMIFS(tblOrdenes[costo_total],tblOrdenes[linea],$A40,tblOrdenes[anio],K$37,tblOrdenes[mes],K$38)</f>
        <v/>
      </c>
      <c r="L40" s="18">
        <f>SUMIFS(tblOrdenes[costo_total],tblOrdenes[linea],$A40,tblOrdenes[anio],L$37,tblOrdenes[mes],L$38)</f>
        <v/>
      </c>
      <c r="M40" s="18">
        <f>SUM(B40:L40)</f>
        <v/>
      </c>
    </row>
    <row r="41">
      <c r="A41" s="5" t="inlineStr">
        <is>
          <t>L3</t>
        </is>
      </c>
      <c r="B41" s="18">
        <f>SUMIFS(tblOrdenes[costo_total],tblOrdenes[linea],$A41,tblOrdenes[anio],B$37,tblOrdenes[mes],B$38)</f>
        <v/>
      </c>
      <c r="C41" s="18">
        <f>SUMIFS(tblOrdenes[costo_total],tblOrdenes[linea],$A41,tblOrdenes[anio],C$37,tblOrdenes[mes],C$38)</f>
        <v/>
      </c>
      <c r="D41" s="18">
        <f>SUMIFS(tblOrdenes[costo_total],tblOrdenes[linea],$A41,tblOrdenes[anio],D$37,tblOrdenes[mes],D$38)</f>
        <v/>
      </c>
      <c r="E41" s="18">
        <f>SUMIFS(tblOrdenes[costo_total],tblOrdenes[linea],$A41,tblOrdenes[anio],E$37,tblOrdenes[mes],E$38)</f>
        <v/>
      </c>
      <c r="F41" s="18">
        <f>SUMIFS(tblOrdenes[costo_total],tblOrdenes[linea],$A41,tblOrdenes[anio],F$37,tblOrdenes[mes],F$38)</f>
        <v/>
      </c>
      <c r="G41" s="18">
        <f>SUMIFS(tblOrdenes[costo_total],tblOrdenes[linea],$A41,tblOrdenes[anio],G$37,tblOrdenes[mes],G$38)</f>
        <v/>
      </c>
      <c r="H41" s="18">
        <f>SUMIFS(tblOrdenes[costo_total],tblOrdenes[linea],$A41,tblOrdenes[anio],H$37,tblOrdenes[mes],H$38)</f>
        <v/>
      </c>
      <c r="I41" s="18">
        <f>SUMIFS(tblOrdenes[costo_total],tblOrdenes[linea],$A41,tblOrdenes[anio],I$37,tblOrdenes[mes],I$38)</f>
        <v/>
      </c>
      <c r="J41" s="18">
        <f>SUMIFS(tblOrdenes[costo_total],tblOrdenes[linea],$A41,tblOrdenes[anio],J$37,tblOrdenes[mes],J$38)</f>
        <v/>
      </c>
      <c r="K41" s="18">
        <f>SUMIFS(tblOrdenes[costo_total],tblOrdenes[linea],$A41,tblOrdenes[anio],K$37,tblOrdenes[mes],K$38)</f>
        <v/>
      </c>
      <c r="L41" s="18">
        <f>SUMIFS(tblOrdenes[costo_total],tblOrdenes[linea],$A41,tblOrdenes[anio],L$37,tblOrdenes[mes],L$38)</f>
        <v/>
      </c>
      <c r="M41" s="18">
        <f>SUM(B41:L41)</f>
        <v/>
      </c>
    </row>
    <row r="42">
      <c r="A42" s="5" t="inlineStr">
        <is>
          <t>L4</t>
        </is>
      </c>
      <c r="B42" s="18">
        <f>SUMIFS(tblOrdenes[costo_total],tblOrdenes[linea],$A42,tblOrdenes[anio],B$37,tblOrdenes[mes],B$38)</f>
        <v/>
      </c>
      <c r="C42" s="18">
        <f>SUMIFS(tblOrdenes[costo_total],tblOrdenes[linea],$A42,tblOrdenes[anio],C$37,tblOrdenes[mes],C$38)</f>
        <v/>
      </c>
      <c r="D42" s="18">
        <f>SUMIFS(tblOrdenes[costo_total],tblOrdenes[linea],$A42,tblOrdenes[anio],D$37,tblOrdenes[mes],D$38)</f>
        <v/>
      </c>
      <c r="E42" s="18">
        <f>SUMIFS(tblOrdenes[costo_total],tblOrdenes[linea],$A42,tblOrdenes[anio],E$37,tblOrdenes[mes],E$38)</f>
        <v/>
      </c>
      <c r="F42" s="18">
        <f>SUMIFS(tblOrdenes[costo_total],tblOrdenes[linea],$A42,tblOrdenes[anio],F$37,tblOrdenes[mes],F$38)</f>
        <v/>
      </c>
      <c r="G42" s="18">
        <f>SUMIFS(tblOrdenes[costo_total],tblOrdenes[linea],$A42,tblOrdenes[anio],G$37,tblOrdenes[mes],G$38)</f>
        <v/>
      </c>
      <c r="H42" s="18">
        <f>SUMIFS(tblOrdenes[costo_total],tblOrdenes[linea],$A42,tblOrdenes[anio],H$37,tblOrdenes[mes],H$38)</f>
        <v/>
      </c>
      <c r="I42" s="18">
        <f>SUMIFS(tblOrdenes[costo_total],tblOrdenes[linea],$A42,tblOrdenes[anio],I$37,tblOrdenes[mes],I$38)</f>
        <v/>
      </c>
      <c r="J42" s="18">
        <f>SUMIFS(tblOrdenes[costo_total],tblOrdenes[linea],$A42,tblOrdenes[anio],J$37,tblOrdenes[mes],J$38)</f>
        <v/>
      </c>
      <c r="K42" s="18">
        <f>SUMIFS(tblOrdenes[costo_total],tblOrdenes[linea],$A42,tblOrdenes[anio],K$37,tblOrdenes[mes],K$38)</f>
        <v/>
      </c>
      <c r="L42" s="18">
        <f>SUMIFS(tblOrdenes[costo_total],tblOrdenes[linea],$A42,tblOrdenes[anio],L$37,tblOrdenes[mes],L$38)</f>
        <v/>
      </c>
      <c r="M42" s="18">
        <f>SUM(B42:L42)</f>
        <v/>
      </c>
    </row>
    <row r="43">
      <c r="A43" s="5" t="inlineStr">
        <is>
          <t>SG</t>
        </is>
      </c>
      <c r="B43" s="18">
        <f>SUMIFS(tblOrdenes[costo_total],tblOrdenes[linea],$A43,tblOrdenes[anio],B$37,tblOrdenes[mes],B$38)</f>
        <v/>
      </c>
      <c r="C43" s="18">
        <f>SUMIFS(tblOrdenes[costo_total],tblOrdenes[linea],$A43,tblOrdenes[anio],C$37,tblOrdenes[mes],C$38)</f>
        <v/>
      </c>
      <c r="D43" s="18">
        <f>SUMIFS(tblOrdenes[costo_total],tblOrdenes[linea],$A43,tblOrdenes[anio],D$37,tblOrdenes[mes],D$38)</f>
        <v/>
      </c>
      <c r="E43" s="18">
        <f>SUMIFS(tblOrdenes[costo_total],tblOrdenes[linea],$A43,tblOrdenes[anio],E$37,tblOrdenes[mes],E$38)</f>
        <v/>
      </c>
      <c r="F43" s="18">
        <f>SUMIFS(tblOrdenes[costo_total],tblOrdenes[linea],$A43,tblOrdenes[anio],F$37,tblOrdenes[mes],F$38)</f>
        <v/>
      </c>
      <c r="G43" s="18">
        <f>SUMIFS(tblOrdenes[costo_total],tblOrdenes[linea],$A43,tblOrdenes[anio],G$37,tblOrdenes[mes],G$38)</f>
        <v/>
      </c>
      <c r="H43" s="18">
        <f>SUMIFS(tblOrdenes[costo_total],tblOrdenes[linea],$A43,tblOrdenes[anio],H$37,tblOrdenes[mes],H$38)</f>
        <v/>
      </c>
      <c r="I43" s="18">
        <f>SUMIFS(tblOrdenes[costo_total],tblOrdenes[linea],$A43,tblOrdenes[anio],I$37,tblOrdenes[mes],I$38)</f>
        <v/>
      </c>
      <c r="J43" s="18">
        <f>SUMIFS(tblOrdenes[costo_total],tblOrdenes[linea],$A43,tblOrdenes[anio],J$37,tblOrdenes[mes],J$38)</f>
        <v/>
      </c>
      <c r="K43" s="18">
        <f>SUMIFS(tblOrdenes[costo_total],tblOrdenes[linea],$A43,tblOrdenes[anio],K$37,tblOrdenes[mes],K$38)</f>
        <v/>
      </c>
      <c r="L43" s="18">
        <f>SUMIFS(tblOrdenes[costo_total],tblOrdenes[linea],$A43,tblOrdenes[anio],L$37,tblOrdenes[mes],L$38)</f>
        <v/>
      </c>
      <c r="M43" s="18">
        <f>SUM(B43:L43)</f>
        <v/>
      </c>
    </row>
    <row r="44">
      <c r="A44" s="5" t="inlineStr">
        <is>
          <t>SG</t>
        </is>
      </c>
      <c r="B44" s="18">
        <f>SUMIFS(tblOrdenes[costo_total],tblOrdenes[linea],$A44,tblOrdenes[anio],B$37,tblOrdenes[mes],B$38)</f>
        <v/>
      </c>
      <c r="C44" s="18">
        <f>SUMIFS(tblOrdenes[costo_total],tblOrdenes[linea],$A44,tblOrdenes[anio],C$37,tblOrdenes[mes],C$38)</f>
        <v/>
      </c>
      <c r="D44" s="18">
        <f>SUMIFS(tblOrdenes[costo_total],tblOrdenes[linea],$A44,tblOrdenes[anio],D$37,tblOrdenes[mes],D$38)</f>
        <v/>
      </c>
      <c r="E44" s="18">
        <f>SUMIFS(tblOrdenes[costo_total],tblOrdenes[linea],$A44,tblOrdenes[anio],E$37,tblOrdenes[mes],E$38)</f>
        <v/>
      </c>
      <c r="F44" s="18">
        <f>SUMIFS(tblOrdenes[costo_total],tblOrdenes[linea],$A44,tblOrdenes[anio],F$37,tblOrdenes[mes],F$38)</f>
        <v/>
      </c>
      <c r="G44" s="18">
        <f>SUMIFS(tblOrdenes[costo_total],tblOrdenes[linea],$A44,tblOrdenes[anio],G$37,tblOrdenes[mes],G$38)</f>
        <v/>
      </c>
      <c r="H44" s="18">
        <f>SUMIFS(tblOrdenes[costo_total],tblOrdenes[linea],$A44,tblOrdenes[anio],H$37,tblOrdenes[mes],H$38)</f>
        <v/>
      </c>
      <c r="I44" s="18">
        <f>SUMIFS(tblOrdenes[costo_total],tblOrdenes[linea],$A44,tblOrdenes[anio],I$37,tblOrdenes[mes],I$38)</f>
        <v/>
      </c>
      <c r="J44" s="18">
        <f>SUMIFS(tblOrdenes[costo_total],tblOrdenes[linea],$A44,tblOrdenes[anio],J$37,tblOrdenes[mes],J$38)</f>
        <v/>
      </c>
      <c r="K44" s="18">
        <f>SUMIFS(tblOrdenes[costo_total],tblOrdenes[linea],$A44,tblOrdenes[anio],K$37,tblOrdenes[mes],K$38)</f>
        <v/>
      </c>
      <c r="L44" s="18">
        <f>SUMIFS(tblOrdenes[costo_total],tblOrdenes[linea],$A44,tblOrdenes[anio],L$37,tblOrdenes[mes],L$38)</f>
        <v/>
      </c>
      <c r="M44" s="18">
        <f>SUM(B44:L44)</f>
        <v/>
      </c>
    </row>
    <row r="45">
      <c r="A45" s="5" t="inlineStr">
        <is>
          <t>TC</t>
        </is>
      </c>
      <c r="B45" s="18">
        <f>SUMIFS(tblOrdenes[costo_total],tblOrdenes[linea],$A45,tblOrdenes[anio],B$37,tblOrdenes[mes],B$38)</f>
        <v/>
      </c>
      <c r="C45" s="18">
        <f>SUMIFS(tblOrdenes[costo_total],tblOrdenes[linea],$A45,tblOrdenes[anio],C$37,tblOrdenes[mes],C$38)</f>
        <v/>
      </c>
      <c r="D45" s="18">
        <f>SUMIFS(tblOrdenes[costo_total],tblOrdenes[linea],$A45,tblOrdenes[anio],D$37,tblOrdenes[mes],D$38)</f>
        <v/>
      </c>
      <c r="E45" s="18">
        <f>SUMIFS(tblOrdenes[costo_total],tblOrdenes[linea],$A45,tblOrdenes[anio],E$37,tblOrdenes[mes],E$38)</f>
        <v/>
      </c>
      <c r="F45" s="18">
        <f>SUMIFS(tblOrdenes[costo_total],tblOrdenes[linea],$A45,tblOrdenes[anio],F$37,tblOrdenes[mes],F$38)</f>
        <v/>
      </c>
      <c r="G45" s="18">
        <f>SUMIFS(tblOrdenes[costo_total],tblOrdenes[linea],$A45,tblOrdenes[anio],G$37,tblOrdenes[mes],G$38)</f>
        <v/>
      </c>
      <c r="H45" s="18">
        <f>SUMIFS(tblOrdenes[costo_total],tblOrdenes[linea],$A45,tblOrdenes[anio],H$37,tblOrdenes[mes],H$38)</f>
        <v/>
      </c>
      <c r="I45" s="18">
        <f>SUMIFS(tblOrdenes[costo_total],tblOrdenes[linea],$A45,tblOrdenes[anio],I$37,tblOrdenes[mes],I$38)</f>
        <v/>
      </c>
      <c r="J45" s="18">
        <f>SUMIFS(tblOrdenes[costo_total],tblOrdenes[linea],$A45,tblOrdenes[anio],J$37,tblOrdenes[mes],J$38)</f>
        <v/>
      </c>
      <c r="K45" s="18">
        <f>SUMIFS(tblOrdenes[costo_total],tblOrdenes[linea],$A45,tblOrdenes[anio],K$37,tblOrdenes[mes],K$38)</f>
        <v/>
      </c>
      <c r="L45" s="18">
        <f>SUMIFS(tblOrdenes[costo_total],tblOrdenes[linea],$A45,tblOrdenes[anio],L$37,tblOrdenes[mes],L$38)</f>
        <v/>
      </c>
      <c r="M45" s="18">
        <f>SUM(B45:L45)</f>
        <v/>
      </c>
    </row>
    <row r="46">
      <c r="A46" s="5" t="inlineStr">
        <is>
          <t>TC</t>
        </is>
      </c>
      <c r="B46" s="18">
        <f>SUMIFS(tblOrdenes[costo_total],tblOrdenes[linea],$A46,tblOrdenes[anio],B$37,tblOrdenes[mes],B$38)</f>
        <v/>
      </c>
      <c r="C46" s="18">
        <f>SUMIFS(tblOrdenes[costo_total],tblOrdenes[linea],$A46,tblOrdenes[anio],C$37,tblOrdenes[mes],C$38)</f>
        <v/>
      </c>
      <c r="D46" s="18">
        <f>SUMIFS(tblOrdenes[costo_total],tblOrdenes[linea],$A46,tblOrdenes[anio],D$37,tblOrdenes[mes],D$38)</f>
        <v/>
      </c>
      <c r="E46" s="18">
        <f>SUMIFS(tblOrdenes[costo_total],tblOrdenes[linea],$A46,tblOrdenes[anio],E$37,tblOrdenes[mes],E$38)</f>
        <v/>
      </c>
      <c r="F46" s="18">
        <f>SUMIFS(tblOrdenes[costo_total],tblOrdenes[linea],$A46,tblOrdenes[anio],F$37,tblOrdenes[mes],F$38)</f>
        <v/>
      </c>
      <c r="G46" s="18">
        <f>SUMIFS(tblOrdenes[costo_total],tblOrdenes[linea],$A46,tblOrdenes[anio],G$37,tblOrdenes[mes],G$38)</f>
        <v/>
      </c>
      <c r="H46" s="18">
        <f>SUMIFS(tblOrdenes[costo_total],tblOrdenes[linea],$A46,tblOrdenes[anio],H$37,tblOrdenes[mes],H$38)</f>
        <v/>
      </c>
      <c r="I46" s="18">
        <f>SUMIFS(tblOrdenes[costo_total],tblOrdenes[linea],$A46,tblOrdenes[anio],I$37,tblOrdenes[mes],I$38)</f>
        <v/>
      </c>
      <c r="J46" s="18">
        <f>SUMIFS(tblOrdenes[costo_total],tblOrdenes[linea],$A46,tblOrdenes[anio],J$37,tblOrdenes[mes],J$38)</f>
        <v/>
      </c>
      <c r="K46" s="18">
        <f>SUMIFS(tblOrdenes[costo_total],tblOrdenes[linea],$A46,tblOrdenes[anio],K$37,tblOrdenes[mes],K$38)</f>
        <v/>
      </c>
      <c r="L46" s="18">
        <f>SUMIFS(tblOrdenes[costo_total],tblOrdenes[linea],$A46,tblOrdenes[anio],L$37,tblOrdenes[mes],L$38)</f>
        <v/>
      </c>
      <c r="M46" s="18">
        <f>SUM(B46:L46)</f>
        <v/>
      </c>
    </row>
    <row r="47">
      <c r="A47" s="5" t="inlineStr">
        <is>
          <t>CO</t>
        </is>
      </c>
      <c r="B47" s="18">
        <f>SUMIFS(tblOrdenes[costo_total],tblOrdenes[linea],$A47,tblOrdenes[anio],B$37,tblOrdenes[mes],B$38)</f>
        <v/>
      </c>
      <c r="C47" s="18">
        <f>SUMIFS(tblOrdenes[costo_total],tblOrdenes[linea],$A47,tblOrdenes[anio],C$37,tblOrdenes[mes],C$38)</f>
        <v/>
      </c>
      <c r="D47" s="18">
        <f>SUMIFS(tblOrdenes[costo_total],tblOrdenes[linea],$A47,tblOrdenes[anio],D$37,tblOrdenes[mes],D$38)</f>
        <v/>
      </c>
      <c r="E47" s="18">
        <f>SUMIFS(tblOrdenes[costo_total],tblOrdenes[linea],$A47,tblOrdenes[anio],E$37,tblOrdenes[mes],E$38)</f>
        <v/>
      </c>
      <c r="F47" s="18">
        <f>SUMIFS(tblOrdenes[costo_total],tblOrdenes[linea],$A47,tblOrdenes[anio],F$37,tblOrdenes[mes],F$38)</f>
        <v/>
      </c>
      <c r="G47" s="18">
        <f>SUMIFS(tblOrdenes[costo_total],tblOrdenes[linea],$A47,tblOrdenes[anio],G$37,tblOrdenes[mes],G$38)</f>
        <v/>
      </c>
      <c r="H47" s="18">
        <f>SUMIFS(tblOrdenes[costo_total],tblOrdenes[linea],$A47,tblOrdenes[anio],H$37,tblOrdenes[mes],H$38)</f>
        <v/>
      </c>
      <c r="I47" s="18">
        <f>SUMIFS(tblOrdenes[costo_total],tblOrdenes[linea],$A47,tblOrdenes[anio],I$37,tblOrdenes[mes],I$38)</f>
        <v/>
      </c>
      <c r="J47" s="18">
        <f>SUMIFS(tblOrdenes[costo_total],tblOrdenes[linea],$A47,tblOrdenes[anio],J$37,tblOrdenes[mes],J$38)</f>
        <v/>
      </c>
      <c r="K47" s="18">
        <f>SUMIFS(tblOrdenes[costo_total],tblOrdenes[linea],$A47,tblOrdenes[anio],K$37,tblOrdenes[mes],K$38)</f>
        <v/>
      </c>
      <c r="L47" s="18">
        <f>SUMIFS(tblOrdenes[costo_total],tblOrdenes[linea],$A47,tblOrdenes[anio],L$37,tblOrdenes[mes],L$38)</f>
        <v/>
      </c>
      <c r="M47" s="18">
        <f>SUM(B47:L47)</f>
        <v/>
      </c>
    </row>
    <row r="48">
      <c r="A48" s="5" t="inlineStr">
        <is>
          <t>AC</t>
        </is>
      </c>
      <c r="B48" s="18">
        <f>SUMIFS(tblOrdenes[costo_total],tblOrdenes[linea],$A48,tblOrdenes[anio],B$37,tblOrdenes[mes],B$38)</f>
        <v/>
      </c>
      <c r="C48" s="18">
        <f>SUMIFS(tblOrdenes[costo_total],tblOrdenes[linea],$A48,tblOrdenes[anio],C$37,tblOrdenes[mes],C$38)</f>
        <v/>
      </c>
      <c r="D48" s="18">
        <f>SUMIFS(tblOrdenes[costo_total],tblOrdenes[linea],$A48,tblOrdenes[anio],D$37,tblOrdenes[mes],D$38)</f>
        <v/>
      </c>
      <c r="E48" s="18">
        <f>SUMIFS(tblOrdenes[costo_total],tblOrdenes[linea],$A48,tblOrdenes[anio],E$37,tblOrdenes[mes],E$38)</f>
        <v/>
      </c>
      <c r="F48" s="18">
        <f>SUMIFS(tblOrdenes[costo_total],tblOrdenes[linea],$A48,tblOrdenes[anio],F$37,tblOrdenes[mes],F$38)</f>
        <v/>
      </c>
      <c r="G48" s="18">
        <f>SUMIFS(tblOrdenes[costo_total],tblOrdenes[linea],$A48,tblOrdenes[anio],G$37,tblOrdenes[mes],G$38)</f>
        <v/>
      </c>
      <c r="H48" s="18">
        <f>SUMIFS(tblOrdenes[costo_total],tblOrdenes[linea],$A48,tblOrdenes[anio],H$37,tblOrdenes[mes],H$38)</f>
        <v/>
      </c>
      <c r="I48" s="18">
        <f>SUMIFS(tblOrdenes[costo_total],tblOrdenes[linea],$A48,tblOrdenes[anio],I$37,tblOrdenes[mes],I$38)</f>
        <v/>
      </c>
      <c r="J48" s="18">
        <f>SUMIFS(tblOrdenes[costo_total],tblOrdenes[linea],$A48,tblOrdenes[anio],J$37,tblOrdenes[mes],J$38)</f>
        <v/>
      </c>
      <c r="K48" s="18">
        <f>SUMIFS(tblOrdenes[costo_total],tblOrdenes[linea],$A48,tblOrdenes[anio],K$37,tblOrdenes[mes],K$38)</f>
        <v/>
      </c>
      <c r="L48" s="18">
        <f>SUMIFS(tblOrdenes[costo_total],tblOrdenes[linea],$A48,tblOrdenes[anio],L$37,tblOrdenes[mes],L$38)</f>
        <v/>
      </c>
      <c r="M48" s="18">
        <f>SUM(B48:L48)</f>
        <v/>
      </c>
    </row>
    <row r="49">
      <c r="A49" s="3" t="inlineStr">
        <is>
          <t>TOTAL</t>
        </is>
      </c>
      <c r="B49" s="18">
        <f>SUM(B39:B48)</f>
        <v/>
      </c>
      <c r="C49" s="18">
        <f>SUM(C39:C48)</f>
        <v/>
      </c>
      <c r="D49" s="18">
        <f>SUM(D39:D48)</f>
        <v/>
      </c>
      <c r="E49" s="18">
        <f>SUM(E39:E48)</f>
        <v/>
      </c>
      <c r="F49" s="18">
        <f>SUM(F39:F48)</f>
        <v/>
      </c>
      <c r="G49" s="18">
        <f>SUM(G39:G48)</f>
        <v/>
      </c>
      <c r="H49" s="18">
        <f>SUM(H39:H48)</f>
        <v/>
      </c>
      <c r="I49" s="18">
        <f>SUM(I39:I48)</f>
        <v/>
      </c>
      <c r="J49" s="18">
        <f>SUM(J39:J48)</f>
        <v/>
      </c>
      <c r="K49" s="18">
        <f>SUM(K39:K48)</f>
        <v/>
      </c>
      <c r="L49" s="18">
        <f>SUM(L39:L48)</f>
        <v/>
      </c>
      <c r="M49" s="18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6">
      <c r="A6" s="3" t="inlineStr">
        <is>
          <t>BLOQUE DE ENTRADA — plan manual del año (azul = editable)</t>
        </is>
      </c>
    </row>
    <row r="7">
      <c r="A7" s="15" t="inlineStr">
        <is>
          <t>categoria</t>
        </is>
      </c>
      <c r="B7" s="15" t="inlineStr">
        <is>
          <t>clasificacion</t>
        </is>
      </c>
      <c r="C7" s="15" t="inlineStr">
        <is>
          <t>ene</t>
        </is>
      </c>
      <c r="D7" s="15" t="inlineStr">
        <is>
          <t>feb</t>
        </is>
      </c>
      <c r="E7" s="15" t="inlineStr">
        <is>
          <t>mar</t>
        </is>
      </c>
      <c r="F7" s="15" t="inlineStr">
        <is>
          <t>abr</t>
        </is>
      </c>
      <c r="G7" s="15" t="inlineStr">
        <is>
          <t>may</t>
        </is>
      </c>
      <c r="H7" s="15" t="inlineStr">
        <is>
          <t>jun</t>
        </is>
      </c>
      <c r="I7" s="15" t="inlineStr">
        <is>
          <t>jul</t>
        </is>
      </c>
      <c r="J7" s="15" t="inlineStr">
        <is>
          <t>ago</t>
        </is>
      </c>
      <c r="K7" s="15" t="inlineStr">
        <is>
          <t>sep</t>
        </is>
      </c>
      <c r="L7" s="15" t="inlineStr">
        <is>
          <t>oct</t>
        </is>
      </c>
      <c r="M7" s="15" t="inlineStr">
        <is>
          <t>nov</t>
        </is>
      </c>
      <c r="N7" s="15" t="inlineStr">
        <is>
          <t>dic</t>
        </is>
      </c>
      <c r="O7" s="15" t="inlineStr">
        <is>
          <t>presupuesto_anual</t>
        </is>
      </c>
      <c r="P7" s="15" t="inlineStr">
        <is>
          <t>suma_12_meses</t>
        </is>
      </c>
      <c r="Q7" s="15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23" t="n">
        <v>0</v>
      </c>
      <c r="D8" s="23" t="n">
        <v>100</v>
      </c>
      <c r="E8" s="23" t="n">
        <v>260</v>
      </c>
      <c r="F8" s="23" t="n">
        <v>260</v>
      </c>
      <c r="G8" s="23" t="n">
        <v>100</v>
      </c>
      <c r="H8" s="23" t="n">
        <v>550</v>
      </c>
      <c r="I8" s="23" t="n">
        <v>6930</v>
      </c>
      <c r="J8" s="23" t="n">
        <v>2700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10900</v>
      </c>
      <c r="P8" s="18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23" t="n">
        <v>0</v>
      </c>
      <c r="D9" s="23" t="n">
        <v>0</v>
      </c>
      <c r="E9" s="23" t="n">
        <v>80</v>
      </c>
      <c r="F9" s="23" t="n">
        <v>460</v>
      </c>
      <c r="G9" s="23" t="n">
        <v>240</v>
      </c>
      <c r="H9" s="23" t="n">
        <v>0</v>
      </c>
      <c r="I9" s="23" t="n">
        <v>4050</v>
      </c>
      <c r="J9" s="23" t="n">
        <v>1220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6050</v>
      </c>
      <c r="P9" s="18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23" t="n">
        <v>400</v>
      </c>
      <c r="D10" s="23" t="n">
        <v>400</v>
      </c>
      <c r="E10" s="23" t="n">
        <v>400</v>
      </c>
      <c r="F10" s="23" t="n">
        <v>400</v>
      </c>
      <c r="G10" s="23" t="n">
        <v>400</v>
      </c>
      <c r="H10" s="23" t="n">
        <v>400</v>
      </c>
      <c r="I10" s="23" t="n">
        <v>400</v>
      </c>
      <c r="J10" s="23" t="n">
        <v>400</v>
      </c>
      <c r="K10" s="23" t="n">
        <v>400</v>
      </c>
      <c r="L10" s="23" t="n">
        <v>400</v>
      </c>
      <c r="M10" s="23" t="n">
        <v>400</v>
      </c>
      <c r="N10" s="23" t="n">
        <v>400</v>
      </c>
      <c r="O10" s="23" t="n">
        <v>4800</v>
      </c>
      <c r="P10" s="18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23" t="n">
        <v>0</v>
      </c>
      <c r="D11" s="23" t="n">
        <v>760</v>
      </c>
      <c r="E11" s="23" t="n">
        <v>820</v>
      </c>
      <c r="F11" s="23" t="n">
        <v>2600</v>
      </c>
      <c r="G11" s="23" t="n">
        <v>2380</v>
      </c>
      <c r="H11" s="23" t="n">
        <v>3920</v>
      </c>
      <c r="I11" s="23" t="n">
        <v>4600</v>
      </c>
      <c r="J11" s="23" t="n">
        <v>1330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16410</v>
      </c>
      <c r="P11" s="18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23" t="n">
        <v>400</v>
      </c>
      <c r="D12" s="23" t="n">
        <v>400</v>
      </c>
      <c r="E12" s="23" t="n">
        <v>400</v>
      </c>
      <c r="F12" s="23" t="n">
        <v>400</v>
      </c>
      <c r="G12" s="23" t="n">
        <v>400</v>
      </c>
      <c r="H12" s="23" t="n">
        <v>400</v>
      </c>
      <c r="I12" s="23" t="n">
        <v>400</v>
      </c>
      <c r="J12" s="23" t="n">
        <v>400</v>
      </c>
      <c r="K12" s="23" t="n">
        <v>400</v>
      </c>
      <c r="L12" s="23" t="n">
        <v>400</v>
      </c>
      <c r="M12" s="23" t="n">
        <v>400</v>
      </c>
      <c r="N12" s="23" t="n">
        <v>400</v>
      </c>
      <c r="O12" s="23" t="n">
        <v>4800</v>
      </c>
      <c r="P12" s="18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23" t="n">
        <v>400</v>
      </c>
      <c r="D13" s="23" t="n">
        <v>400</v>
      </c>
      <c r="E13" s="23" t="n">
        <v>400</v>
      </c>
      <c r="F13" s="23" t="n">
        <v>400</v>
      </c>
      <c r="G13" s="23" t="n">
        <v>400</v>
      </c>
      <c r="H13" s="23" t="n">
        <v>400</v>
      </c>
      <c r="I13" s="23" t="n">
        <v>400</v>
      </c>
      <c r="J13" s="23" t="n">
        <v>400</v>
      </c>
      <c r="K13" s="23" t="n">
        <v>400</v>
      </c>
      <c r="L13" s="23" t="n">
        <v>400</v>
      </c>
      <c r="M13" s="23" t="n">
        <v>400</v>
      </c>
      <c r="N13" s="23" t="n">
        <v>400</v>
      </c>
      <c r="O13" s="23" t="n">
        <v>4800</v>
      </c>
      <c r="P13" s="18">
        <f>SUM($C13:$N13)</f>
        <v/>
      </c>
      <c r="Q13" s="5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18">
        <f>SUM(C8:C13)</f>
        <v/>
      </c>
      <c r="D14" s="18">
        <f>SUM(D8:D13)</f>
        <v/>
      </c>
      <c r="E14" s="18">
        <f>SUM(E8:E13)</f>
        <v/>
      </c>
      <c r="F14" s="18">
        <f>SUM(F8:F13)</f>
        <v/>
      </c>
      <c r="G14" s="18">
        <f>SUM(G8:G13)</f>
        <v/>
      </c>
      <c r="H14" s="18">
        <f>SUM(H8:H13)</f>
        <v/>
      </c>
      <c r="I14" s="18">
        <f>SUM(I8:I13)</f>
        <v/>
      </c>
      <c r="J14" s="18">
        <f>SUM(J8:J13)</f>
        <v/>
      </c>
      <c r="K14" s="18">
        <f>SUM(K8:K13)</f>
        <v/>
      </c>
      <c r="L14" s="18">
        <f>SUM(L8:L13)</f>
        <v/>
      </c>
      <c r="M14" s="18">
        <f>SUM(M8:M13)</f>
        <v/>
      </c>
      <c r="N14" s="18">
        <f>SUM(N8:N13)</f>
        <v/>
      </c>
      <c r="O14" s="18">
        <f>SUM(O8:O13)</f>
        <v/>
      </c>
      <c r="P14" s="18">
        <f>SUM(P8:P13)</f>
        <v/>
      </c>
    </row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3" t="inlineStr">
        <is>
          <t>PRESUPUESTO (del bloque de entrada)</t>
        </is>
      </c>
    </row>
    <row r="20">
      <c r="A20" s="15" t="inlineStr">
        <is>
          <t>categoria</t>
        </is>
      </c>
      <c r="B20" s="15" t="inlineStr">
        <is>
          <t>clasificacion</t>
        </is>
      </c>
      <c r="C20" s="15" t="inlineStr">
        <is>
          <t>ene</t>
        </is>
      </c>
      <c r="D20" s="15" t="inlineStr">
        <is>
          <t>feb</t>
        </is>
      </c>
      <c r="E20" s="15" t="inlineStr">
        <is>
          <t>mar</t>
        </is>
      </c>
      <c r="F20" s="15" t="inlineStr">
        <is>
          <t>abr</t>
        </is>
      </c>
      <c r="G20" s="15" t="inlineStr">
        <is>
          <t>may</t>
        </is>
      </c>
      <c r="H20" s="15" t="inlineStr">
        <is>
          <t>jun</t>
        </is>
      </c>
      <c r="I20" s="15" t="inlineStr">
        <is>
          <t>jul</t>
        </is>
      </c>
      <c r="J20" s="15" t="inlineStr">
        <is>
          <t>ago</t>
        </is>
      </c>
      <c r="K20" s="15" t="inlineStr">
        <is>
          <t>sep</t>
        </is>
      </c>
      <c r="L20" s="15" t="inlineStr">
        <is>
          <t>oct</t>
        </is>
      </c>
      <c r="M20" s="15" t="inlineStr">
        <is>
          <t>nov</t>
        </is>
      </c>
      <c r="N20" s="15" t="inlineStr">
        <is>
          <t>dic</t>
        </is>
      </c>
      <c r="O20" s="15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8">
        <f>C8</f>
        <v/>
      </c>
      <c r="D21" s="18">
        <f>D8</f>
        <v/>
      </c>
      <c r="E21" s="18">
        <f>E8</f>
        <v/>
      </c>
      <c r="F21" s="18">
        <f>F8</f>
        <v/>
      </c>
      <c r="G21" s="18">
        <f>G8</f>
        <v/>
      </c>
      <c r="H21" s="18">
        <f>H8</f>
        <v/>
      </c>
      <c r="I21" s="18">
        <f>I8</f>
        <v/>
      </c>
      <c r="J21" s="18">
        <f>J8</f>
        <v/>
      </c>
      <c r="K21" s="18">
        <f>K8</f>
        <v/>
      </c>
      <c r="L21" s="18">
        <f>L8</f>
        <v/>
      </c>
      <c r="M21" s="18">
        <f>M8</f>
        <v/>
      </c>
      <c r="N21" s="18">
        <f>N8</f>
        <v/>
      </c>
      <c r="O21" s="18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8">
        <f>C9</f>
        <v/>
      </c>
      <c r="D22" s="18">
        <f>D9</f>
        <v/>
      </c>
      <c r="E22" s="18">
        <f>E9</f>
        <v/>
      </c>
      <c r="F22" s="18">
        <f>F9</f>
        <v/>
      </c>
      <c r="G22" s="18">
        <f>G9</f>
        <v/>
      </c>
      <c r="H22" s="18">
        <f>H9</f>
        <v/>
      </c>
      <c r="I22" s="18">
        <f>I9</f>
        <v/>
      </c>
      <c r="J22" s="18">
        <f>J9</f>
        <v/>
      </c>
      <c r="K22" s="18">
        <f>K9</f>
        <v/>
      </c>
      <c r="L22" s="18">
        <f>L9</f>
        <v/>
      </c>
      <c r="M22" s="18">
        <f>M9</f>
        <v/>
      </c>
      <c r="N22" s="18">
        <f>N9</f>
        <v/>
      </c>
      <c r="O22" s="18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8">
        <f>C10</f>
        <v/>
      </c>
      <c r="D23" s="18">
        <f>D10</f>
        <v/>
      </c>
      <c r="E23" s="18">
        <f>E10</f>
        <v/>
      </c>
      <c r="F23" s="18">
        <f>F10</f>
        <v/>
      </c>
      <c r="G23" s="18">
        <f>G10</f>
        <v/>
      </c>
      <c r="H23" s="18">
        <f>H10</f>
        <v/>
      </c>
      <c r="I23" s="18">
        <f>I10</f>
        <v/>
      </c>
      <c r="J23" s="18">
        <f>J10</f>
        <v/>
      </c>
      <c r="K23" s="18">
        <f>K10</f>
        <v/>
      </c>
      <c r="L23" s="18">
        <f>L10</f>
        <v/>
      </c>
      <c r="M23" s="18">
        <f>M10</f>
        <v/>
      </c>
      <c r="N23" s="18">
        <f>N10</f>
        <v/>
      </c>
      <c r="O23" s="18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8">
        <f>C11</f>
        <v/>
      </c>
      <c r="D24" s="18">
        <f>D11</f>
        <v/>
      </c>
      <c r="E24" s="18">
        <f>E11</f>
        <v/>
      </c>
      <c r="F24" s="18">
        <f>F11</f>
        <v/>
      </c>
      <c r="G24" s="18">
        <f>G11</f>
        <v/>
      </c>
      <c r="H24" s="18">
        <f>H11</f>
        <v/>
      </c>
      <c r="I24" s="18">
        <f>I11</f>
        <v/>
      </c>
      <c r="J24" s="18">
        <f>J11</f>
        <v/>
      </c>
      <c r="K24" s="18">
        <f>K11</f>
        <v/>
      </c>
      <c r="L24" s="18">
        <f>L11</f>
        <v/>
      </c>
      <c r="M24" s="18">
        <f>M11</f>
        <v/>
      </c>
      <c r="N24" s="18">
        <f>N11</f>
        <v/>
      </c>
      <c r="O24" s="18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8">
        <f>C12</f>
        <v/>
      </c>
      <c r="D25" s="18">
        <f>D12</f>
        <v/>
      </c>
      <c r="E25" s="18">
        <f>E12</f>
        <v/>
      </c>
      <c r="F25" s="18">
        <f>F12</f>
        <v/>
      </c>
      <c r="G25" s="18">
        <f>G12</f>
        <v/>
      </c>
      <c r="H25" s="18">
        <f>H12</f>
        <v/>
      </c>
      <c r="I25" s="18">
        <f>I12</f>
        <v/>
      </c>
      <c r="J25" s="18">
        <f>J12</f>
        <v/>
      </c>
      <c r="K25" s="18">
        <f>K12</f>
        <v/>
      </c>
      <c r="L25" s="18">
        <f>L12</f>
        <v/>
      </c>
      <c r="M25" s="18">
        <f>M12</f>
        <v/>
      </c>
      <c r="N25" s="18">
        <f>N12</f>
        <v/>
      </c>
      <c r="O25" s="18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8">
        <f>C13</f>
        <v/>
      </c>
      <c r="D26" s="18">
        <f>D13</f>
        <v/>
      </c>
      <c r="E26" s="18">
        <f>E13</f>
        <v/>
      </c>
      <c r="F26" s="18">
        <f>F13</f>
        <v/>
      </c>
      <c r="G26" s="18">
        <f>G13</f>
        <v/>
      </c>
      <c r="H26" s="18">
        <f>H13</f>
        <v/>
      </c>
      <c r="I26" s="18">
        <f>I13</f>
        <v/>
      </c>
      <c r="J26" s="18">
        <f>J13</f>
        <v/>
      </c>
      <c r="K26" s="18">
        <f>K13</f>
        <v/>
      </c>
      <c r="L26" s="18">
        <f>L13</f>
        <v/>
      </c>
      <c r="M26" s="18">
        <f>M13</f>
        <v/>
      </c>
      <c r="N26" s="18">
        <f>N13</f>
        <v/>
      </c>
      <c r="O26" s="18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18">
        <f>C21+C22+C23</f>
        <v/>
      </c>
      <c r="D28" s="18">
        <f>D21+D22+D23</f>
        <v/>
      </c>
      <c r="E28" s="18">
        <f>E21+E22+E23</f>
        <v/>
      </c>
      <c r="F28" s="18">
        <f>F21+F22+F23</f>
        <v/>
      </c>
      <c r="G28" s="18">
        <f>G21+G22+G23</f>
        <v/>
      </c>
      <c r="H28" s="18">
        <f>H21+H22+H23</f>
        <v/>
      </c>
      <c r="I28" s="18">
        <f>I21+I22+I23</f>
        <v/>
      </c>
      <c r="J28" s="18">
        <f>J21+J22+J23</f>
        <v/>
      </c>
      <c r="K28" s="18">
        <f>K21+K22+K23</f>
        <v/>
      </c>
      <c r="L28" s="18">
        <f>L21+L22+L23</f>
        <v/>
      </c>
      <c r="M28" s="18">
        <f>M21+M22+M23</f>
        <v/>
      </c>
      <c r="N28" s="18">
        <f>N21+N22+N23</f>
        <v/>
      </c>
      <c r="O28" s="18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18">
        <f>C24+C25+C26</f>
        <v/>
      </c>
      <c r="D29" s="18">
        <f>D24+D25+D26</f>
        <v/>
      </c>
      <c r="E29" s="18">
        <f>E24+E25+E26</f>
        <v/>
      </c>
      <c r="F29" s="18">
        <f>F24+F25+F26</f>
        <v/>
      </c>
      <c r="G29" s="18">
        <f>G24+G25+G26</f>
        <v/>
      </c>
      <c r="H29" s="18">
        <f>H24+H25+H26</f>
        <v/>
      </c>
      <c r="I29" s="18">
        <f>I24+I25+I26</f>
        <v/>
      </c>
      <c r="J29" s="18">
        <f>J24+J25+J26</f>
        <v/>
      </c>
      <c r="K29" s="18">
        <f>K24+K25+K26</f>
        <v/>
      </c>
      <c r="L29" s="18">
        <f>L24+L25+L26</f>
        <v/>
      </c>
      <c r="M29" s="18">
        <f>M24+M25+M26</f>
        <v/>
      </c>
      <c r="N29" s="18">
        <f>N24+N25+N26</f>
        <v/>
      </c>
      <c r="O29" s="18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18">
        <f>C21+C22+C23+C24+C25+C26+C27</f>
        <v/>
      </c>
      <c r="D30" s="18">
        <f>D21+D22+D23+D24+D25+D26+D27</f>
        <v/>
      </c>
      <c r="E30" s="18">
        <f>E21+E22+E23+E24+E25+E26+E27</f>
        <v/>
      </c>
      <c r="F30" s="18">
        <f>F21+F22+F23+F24+F25+F26+F27</f>
        <v/>
      </c>
      <c r="G30" s="18">
        <f>G21+G22+G23+G24+G25+G26+G27</f>
        <v/>
      </c>
      <c r="H30" s="18">
        <f>H21+H22+H23+H24+H25+H26+H27</f>
        <v/>
      </c>
      <c r="I30" s="18">
        <f>I21+I22+I23+I24+I25+I26+I27</f>
        <v/>
      </c>
      <c r="J30" s="18">
        <f>J21+J22+J23+J24+J25+J26+J27</f>
        <v/>
      </c>
      <c r="K30" s="18">
        <f>K21+K22+K23+K24+K25+K26+K27</f>
        <v/>
      </c>
      <c r="L30" s="18">
        <f>L21+L22+L23+L24+L25+L26+L27</f>
        <v/>
      </c>
      <c r="M30" s="18">
        <f>M21+M22+M23+M24+M25+M26+M27</f>
        <v/>
      </c>
      <c r="N30" s="18">
        <f>N21+N22+N23+N24+N25+N26+N27</f>
        <v/>
      </c>
      <c r="O30" s="18">
        <f>SUMPRODUCT(({1,2,3,4,5,6,7,8,9,10,11,12}&lt;=$B$17)*($C30:$N30))</f>
        <v/>
      </c>
    </row>
    <row r="32">
      <c r="A32" s="3" t="inlineStr">
        <is>
          <t>REAL (gasto del mes; mismo campo y misma convención de mes que COSTOS)</t>
        </is>
      </c>
    </row>
    <row r="33">
      <c r="A33" s="15" t="inlineStr">
        <is>
          <t>categoria</t>
        </is>
      </c>
      <c r="B33" s="15" t="inlineStr">
        <is>
          <t>clasificacion</t>
        </is>
      </c>
      <c r="C33" s="15" t="inlineStr">
        <is>
          <t>ene</t>
        </is>
      </c>
      <c r="D33" s="15" t="inlineStr">
        <is>
          <t>feb</t>
        </is>
      </c>
      <c r="E33" s="15" t="inlineStr">
        <is>
          <t>mar</t>
        </is>
      </c>
      <c r="F33" s="15" t="inlineStr">
        <is>
          <t>abr</t>
        </is>
      </c>
      <c r="G33" s="15" t="inlineStr">
        <is>
          <t>may</t>
        </is>
      </c>
      <c r="H33" s="15" t="inlineStr">
        <is>
          <t>jun</t>
        </is>
      </c>
      <c r="I33" s="15" t="inlineStr">
        <is>
          <t>jul</t>
        </is>
      </c>
      <c r="J33" s="15" t="inlineStr">
        <is>
          <t>ago</t>
        </is>
      </c>
      <c r="K33" s="15" t="inlineStr">
        <is>
          <t>sep</t>
        </is>
      </c>
      <c r="L33" s="15" t="inlineStr">
        <is>
          <t>oct</t>
        </is>
      </c>
      <c r="M33" s="15" t="inlineStr">
        <is>
          <t>nov</t>
        </is>
      </c>
      <c r="N33" s="15" t="inlineStr">
        <is>
          <t>dic</t>
        </is>
      </c>
      <c r="O33" s="15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8">
        <f>SUMIFS(tblOrdenes[costo_total],tblOrdenes[anio],p_anio_presupuesto,tblOrdenes[mes],1,tblOrdenes[categoria_presupuesto],$A34)</f>
        <v/>
      </c>
      <c r="D34" s="18">
        <f>SUMIFS(tblOrdenes[costo_total],tblOrdenes[anio],p_anio_presupuesto,tblOrdenes[mes],2,tblOrdenes[categoria_presupuesto],$A34)</f>
        <v/>
      </c>
      <c r="E34" s="18">
        <f>SUMIFS(tblOrdenes[costo_total],tblOrdenes[anio],p_anio_presupuesto,tblOrdenes[mes],3,tblOrdenes[categoria_presupuesto],$A34)</f>
        <v/>
      </c>
      <c r="F34" s="18">
        <f>SUMIFS(tblOrdenes[costo_total],tblOrdenes[anio],p_anio_presupuesto,tblOrdenes[mes],4,tblOrdenes[categoria_presupuesto],$A34)</f>
        <v/>
      </c>
      <c r="G34" s="18">
        <f>SUMIFS(tblOrdenes[costo_total],tblOrdenes[anio],p_anio_presupuesto,tblOrdenes[mes],5,tblOrdenes[categoria_presupuesto],$A34)</f>
        <v/>
      </c>
      <c r="H34" s="18">
        <f>SUMIFS(tblOrdenes[costo_total],tblOrdenes[anio],p_anio_presupuesto,tblOrdenes[mes],6,tblOrdenes[categoria_presupuesto],$A34)</f>
        <v/>
      </c>
      <c r="I34" s="18">
        <f>SUMIFS(tblOrdenes[costo_total],tblOrdenes[anio],p_anio_presupuesto,tblOrdenes[mes],7,tblOrdenes[categoria_presupuesto],$A34)</f>
        <v/>
      </c>
      <c r="J34" s="18">
        <f>SUMIFS(tblOrdenes[costo_total],tblOrdenes[anio],p_anio_presupuesto,tblOrdenes[mes],8,tblOrdenes[categoria_presupuesto],$A34)</f>
        <v/>
      </c>
      <c r="K34" s="18">
        <f>SUMIFS(tblOrdenes[costo_total],tblOrdenes[anio],p_anio_presupuesto,tblOrdenes[mes],9,tblOrdenes[categoria_presupuesto],$A34)</f>
        <v/>
      </c>
      <c r="L34" s="18">
        <f>SUMIFS(tblOrdenes[costo_total],tblOrdenes[anio],p_anio_presupuesto,tblOrdenes[mes],10,tblOrdenes[categoria_presupuesto],$A34)</f>
        <v/>
      </c>
      <c r="M34" s="18">
        <f>SUMIFS(tblOrdenes[costo_total],tblOrdenes[anio],p_anio_presupuesto,tblOrdenes[mes],11,tblOrdenes[categoria_presupuesto],$A34)</f>
        <v/>
      </c>
      <c r="N34" s="18">
        <f>SUMIFS(tblOrdenes[costo_total],tblOrdenes[anio],p_anio_presupuesto,tblOrdenes[mes],12,tblOrdenes[categoria_presupuesto],$A34)</f>
        <v/>
      </c>
      <c r="O34" s="18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8">
        <f>SUMIFS(tblOrdenes[costo_total],tblOrdenes[anio],p_anio_presupuesto,tblOrdenes[mes],1,tblOrdenes[categoria_presupuesto],$A35)</f>
        <v/>
      </c>
      <c r="D35" s="18">
        <f>SUMIFS(tblOrdenes[costo_total],tblOrdenes[anio],p_anio_presupuesto,tblOrdenes[mes],2,tblOrdenes[categoria_presupuesto],$A35)</f>
        <v/>
      </c>
      <c r="E35" s="18">
        <f>SUMIFS(tblOrdenes[costo_total],tblOrdenes[anio],p_anio_presupuesto,tblOrdenes[mes],3,tblOrdenes[categoria_presupuesto],$A35)</f>
        <v/>
      </c>
      <c r="F35" s="18">
        <f>SUMIFS(tblOrdenes[costo_total],tblOrdenes[anio],p_anio_presupuesto,tblOrdenes[mes],4,tblOrdenes[categoria_presupuesto],$A35)</f>
        <v/>
      </c>
      <c r="G35" s="18">
        <f>SUMIFS(tblOrdenes[costo_total],tblOrdenes[anio],p_anio_presupuesto,tblOrdenes[mes],5,tblOrdenes[categoria_presupuesto],$A35)</f>
        <v/>
      </c>
      <c r="H35" s="18">
        <f>SUMIFS(tblOrdenes[costo_total],tblOrdenes[anio],p_anio_presupuesto,tblOrdenes[mes],6,tblOrdenes[categoria_presupuesto],$A35)</f>
        <v/>
      </c>
      <c r="I35" s="18">
        <f>SUMIFS(tblOrdenes[costo_total],tblOrdenes[anio],p_anio_presupuesto,tblOrdenes[mes],7,tblOrdenes[categoria_presupuesto],$A35)</f>
        <v/>
      </c>
      <c r="J35" s="18">
        <f>SUMIFS(tblOrdenes[costo_total],tblOrdenes[anio],p_anio_presupuesto,tblOrdenes[mes],8,tblOrdenes[categoria_presupuesto],$A35)</f>
        <v/>
      </c>
      <c r="K35" s="18">
        <f>SUMIFS(tblOrdenes[costo_total],tblOrdenes[anio],p_anio_presupuesto,tblOrdenes[mes],9,tblOrdenes[categoria_presupuesto],$A35)</f>
        <v/>
      </c>
      <c r="L35" s="18">
        <f>SUMIFS(tblOrdenes[costo_total],tblOrdenes[anio],p_anio_presupuesto,tblOrdenes[mes],10,tblOrdenes[categoria_presupuesto],$A35)</f>
        <v/>
      </c>
      <c r="M35" s="18">
        <f>SUMIFS(tblOrdenes[costo_total],tblOrdenes[anio],p_anio_presupuesto,tblOrdenes[mes],11,tblOrdenes[categoria_presupuesto],$A35)</f>
        <v/>
      </c>
      <c r="N35" s="18">
        <f>SUMIFS(tblOrdenes[costo_total],tblOrdenes[anio],p_anio_presupuesto,tblOrdenes[mes],12,tblOrdenes[categoria_presupuesto],$A35)</f>
        <v/>
      </c>
      <c r="O35" s="18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8">
        <f>SUMIFS(tblOrdenes[costo_total],tblOrdenes[anio],p_anio_presupuesto,tblOrdenes[mes],1,tblOrdenes[categoria_presupuesto],$A36)</f>
        <v/>
      </c>
      <c r="D36" s="18">
        <f>SUMIFS(tblOrdenes[costo_total],tblOrdenes[anio],p_anio_presupuesto,tblOrdenes[mes],2,tblOrdenes[categoria_presupuesto],$A36)</f>
        <v/>
      </c>
      <c r="E36" s="18">
        <f>SUMIFS(tblOrdenes[costo_total],tblOrdenes[anio],p_anio_presupuesto,tblOrdenes[mes],3,tblOrdenes[categoria_presupuesto],$A36)</f>
        <v/>
      </c>
      <c r="F36" s="18">
        <f>SUMIFS(tblOrdenes[costo_total],tblOrdenes[anio],p_anio_presupuesto,tblOrdenes[mes],4,tblOrdenes[categoria_presupuesto],$A36)</f>
        <v/>
      </c>
      <c r="G36" s="18">
        <f>SUMIFS(tblOrdenes[costo_total],tblOrdenes[anio],p_anio_presupuesto,tblOrdenes[mes],5,tblOrdenes[categoria_presupuesto],$A36)</f>
        <v/>
      </c>
      <c r="H36" s="18">
        <f>SUMIFS(tblOrdenes[costo_total],tblOrdenes[anio],p_anio_presupuesto,tblOrdenes[mes],6,tblOrdenes[categoria_presupuesto],$A36)</f>
        <v/>
      </c>
      <c r="I36" s="18">
        <f>SUMIFS(tblOrdenes[costo_total],tblOrdenes[anio],p_anio_presupuesto,tblOrdenes[mes],7,tblOrdenes[categoria_presupuesto],$A36)</f>
        <v/>
      </c>
      <c r="J36" s="18">
        <f>SUMIFS(tblOrdenes[costo_total],tblOrdenes[anio],p_anio_presupuesto,tblOrdenes[mes],8,tblOrdenes[categoria_presupuesto],$A36)</f>
        <v/>
      </c>
      <c r="K36" s="18">
        <f>SUMIFS(tblOrdenes[costo_total],tblOrdenes[anio],p_anio_presupuesto,tblOrdenes[mes],9,tblOrdenes[categoria_presupuesto],$A36)</f>
        <v/>
      </c>
      <c r="L36" s="18">
        <f>SUMIFS(tblOrdenes[costo_total],tblOrdenes[anio],p_anio_presupuesto,tblOrdenes[mes],10,tblOrdenes[categoria_presupuesto],$A36)</f>
        <v/>
      </c>
      <c r="M36" s="18">
        <f>SUMIFS(tblOrdenes[costo_total],tblOrdenes[anio],p_anio_presupuesto,tblOrdenes[mes],11,tblOrdenes[categoria_presupuesto],$A36)</f>
        <v/>
      </c>
      <c r="N36" s="18">
        <f>SUMIFS(tblOrdenes[costo_total],tblOrdenes[anio],p_anio_presupuesto,tblOrdenes[mes],12,tblOrdenes[categoria_presupuesto],$A36)</f>
        <v/>
      </c>
      <c r="O36" s="18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8">
        <f>SUMIFS(tblOrdenes[costo_total],tblOrdenes[anio],p_anio_presupuesto,tblOrdenes[mes],1,tblOrdenes[categoria_presupuesto],$A37)</f>
        <v/>
      </c>
      <c r="D37" s="18">
        <f>SUMIFS(tblOrdenes[costo_total],tblOrdenes[anio],p_anio_presupuesto,tblOrdenes[mes],2,tblOrdenes[categoria_presupuesto],$A37)</f>
        <v/>
      </c>
      <c r="E37" s="18">
        <f>SUMIFS(tblOrdenes[costo_total],tblOrdenes[anio],p_anio_presupuesto,tblOrdenes[mes],3,tblOrdenes[categoria_presupuesto],$A37)</f>
        <v/>
      </c>
      <c r="F37" s="18">
        <f>SUMIFS(tblOrdenes[costo_total],tblOrdenes[anio],p_anio_presupuesto,tblOrdenes[mes],4,tblOrdenes[categoria_presupuesto],$A37)</f>
        <v/>
      </c>
      <c r="G37" s="18">
        <f>SUMIFS(tblOrdenes[costo_total],tblOrdenes[anio],p_anio_presupuesto,tblOrdenes[mes],5,tblOrdenes[categoria_presupuesto],$A37)</f>
        <v/>
      </c>
      <c r="H37" s="18">
        <f>SUMIFS(tblOrdenes[costo_total],tblOrdenes[anio],p_anio_presupuesto,tblOrdenes[mes],6,tblOrdenes[categoria_presupuesto],$A37)</f>
        <v/>
      </c>
      <c r="I37" s="18">
        <f>SUMIFS(tblOrdenes[costo_total],tblOrdenes[anio],p_anio_presupuesto,tblOrdenes[mes],7,tblOrdenes[categoria_presupuesto],$A37)</f>
        <v/>
      </c>
      <c r="J37" s="18">
        <f>SUMIFS(tblOrdenes[costo_total],tblOrdenes[anio],p_anio_presupuesto,tblOrdenes[mes],8,tblOrdenes[categoria_presupuesto],$A37)</f>
        <v/>
      </c>
      <c r="K37" s="18">
        <f>SUMIFS(tblOrdenes[costo_total],tblOrdenes[anio],p_anio_presupuesto,tblOrdenes[mes],9,tblOrdenes[categoria_presupuesto],$A37)</f>
        <v/>
      </c>
      <c r="L37" s="18">
        <f>SUMIFS(tblOrdenes[costo_total],tblOrdenes[anio],p_anio_presupuesto,tblOrdenes[mes],10,tblOrdenes[categoria_presupuesto],$A37)</f>
        <v/>
      </c>
      <c r="M37" s="18">
        <f>SUMIFS(tblOrdenes[costo_total],tblOrdenes[anio],p_anio_presupuesto,tblOrdenes[mes],11,tblOrdenes[categoria_presupuesto],$A37)</f>
        <v/>
      </c>
      <c r="N37" s="18">
        <f>SUMIFS(tblOrdenes[costo_total],tblOrdenes[anio],p_anio_presupuesto,tblOrdenes[mes],12,tblOrdenes[categoria_presupuesto],$A37)</f>
        <v/>
      </c>
      <c r="O37" s="18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8">
        <f>SUMIFS(tblOrdenes[costo_total],tblOrdenes[anio],p_anio_presupuesto,tblOrdenes[mes],1,tblOrdenes[categoria_presupuesto],$A38)</f>
        <v/>
      </c>
      <c r="D38" s="18">
        <f>SUMIFS(tblOrdenes[costo_total],tblOrdenes[anio],p_anio_presupuesto,tblOrdenes[mes],2,tblOrdenes[categoria_presupuesto],$A38)</f>
        <v/>
      </c>
      <c r="E38" s="18">
        <f>SUMIFS(tblOrdenes[costo_total],tblOrdenes[anio],p_anio_presupuesto,tblOrdenes[mes],3,tblOrdenes[categoria_presupuesto],$A38)</f>
        <v/>
      </c>
      <c r="F38" s="18">
        <f>SUMIFS(tblOrdenes[costo_total],tblOrdenes[anio],p_anio_presupuesto,tblOrdenes[mes],4,tblOrdenes[categoria_presupuesto],$A38)</f>
        <v/>
      </c>
      <c r="G38" s="18">
        <f>SUMIFS(tblOrdenes[costo_total],tblOrdenes[anio],p_anio_presupuesto,tblOrdenes[mes],5,tblOrdenes[categoria_presupuesto],$A38)</f>
        <v/>
      </c>
      <c r="H38" s="18">
        <f>SUMIFS(tblOrdenes[costo_total],tblOrdenes[anio],p_anio_presupuesto,tblOrdenes[mes],6,tblOrdenes[categoria_presupuesto],$A38)</f>
        <v/>
      </c>
      <c r="I38" s="18">
        <f>SUMIFS(tblOrdenes[costo_total],tblOrdenes[anio],p_anio_presupuesto,tblOrdenes[mes],7,tblOrdenes[categoria_presupuesto],$A38)</f>
        <v/>
      </c>
      <c r="J38" s="18">
        <f>SUMIFS(tblOrdenes[costo_total],tblOrdenes[anio],p_anio_presupuesto,tblOrdenes[mes],8,tblOrdenes[categoria_presupuesto],$A38)</f>
        <v/>
      </c>
      <c r="K38" s="18">
        <f>SUMIFS(tblOrdenes[costo_total],tblOrdenes[anio],p_anio_presupuesto,tblOrdenes[mes],9,tblOrdenes[categoria_presupuesto],$A38)</f>
        <v/>
      </c>
      <c r="L38" s="18">
        <f>SUMIFS(tblOrdenes[costo_total],tblOrdenes[anio],p_anio_presupuesto,tblOrdenes[mes],10,tblOrdenes[categoria_presupuesto],$A38)</f>
        <v/>
      </c>
      <c r="M38" s="18">
        <f>SUMIFS(tblOrdenes[costo_total],tblOrdenes[anio],p_anio_presupuesto,tblOrdenes[mes],11,tblOrdenes[categoria_presupuesto],$A38)</f>
        <v/>
      </c>
      <c r="N38" s="18">
        <f>SUMIFS(tblOrdenes[costo_total],tblOrdenes[anio],p_anio_presupuesto,tblOrdenes[mes],12,tblOrdenes[categoria_presupuesto],$A38)</f>
        <v/>
      </c>
      <c r="O38" s="18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8">
        <f>SUMIFS(tblOrdenes[costo_total],tblOrdenes[anio],p_anio_presupuesto,tblOrdenes[mes],1,tblOrdenes[categoria_presupuesto],$A39)</f>
        <v/>
      </c>
      <c r="D39" s="18">
        <f>SUMIFS(tblOrdenes[costo_total],tblOrdenes[anio],p_anio_presupuesto,tblOrdenes[mes],2,tblOrdenes[categoria_presupuesto],$A39)</f>
        <v/>
      </c>
      <c r="E39" s="18">
        <f>SUMIFS(tblOrdenes[costo_total],tblOrdenes[anio],p_anio_presupuesto,tblOrdenes[mes],3,tblOrdenes[categoria_presupuesto],$A39)</f>
        <v/>
      </c>
      <c r="F39" s="18">
        <f>SUMIFS(tblOrdenes[costo_total],tblOrdenes[anio],p_anio_presupuesto,tblOrdenes[mes],4,tblOrdenes[categoria_presupuesto],$A39)</f>
        <v/>
      </c>
      <c r="G39" s="18">
        <f>SUMIFS(tblOrdenes[costo_total],tblOrdenes[anio],p_anio_presupuesto,tblOrdenes[mes],5,tblOrdenes[categoria_presupuesto],$A39)</f>
        <v/>
      </c>
      <c r="H39" s="18">
        <f>SUMIFS(tblOrdenes[costo_total],tblOrdenes[anio],p_anio_presupuesto,tblOrdenes[mes],6,tblOrdenes[categoria_presupuesto],$A39)</f>
        <v/>
      </c>
      <c r="I39" s="18">
        <f>SUMIFS(tblOrdenes[costo_total],tblOrdenes[anio],p_anio_presupuesto,tblOrdenes[mes],7,tblOrdenes[categoria_presupuesto],$A39)</f>
        <v/>
      </c>
      <c r="J39" s="18">
        <f>SUMIFS(tblOrdenes[costo_total],tblOrdenes[anio],p_anio_presupuesto,tblOrdenes[mes],8,tblOrdenes[categoria_presupuesto],$A39)</f>
        <v/>
      </c>
      <c r="K39" s="18">
        <f>SUMIFS(tblOrdenes[costo_total],tblOrdenes[anio],p_anio_presupuesto,tblOrdenes[mes],9,tblOrdenes[categoria_presupuesto],$A39)</f>
        <v/>
      </c>
      <c r="L39" s="18">
        <f>SUMIFS(tblOrdenes[costo_total],tblOrdenes[anio],p_anio_presupuesto,tblOrdenes[mes],10,tblOrdenes[categoria_presupuesto],$A39)</f>
        <v/>
      </c>
      <c r="M39" s="18">
        <f>SUMIFS(tblOrdenes[costo_total],tblOrdenes[anio],p_anio_presupuesto,tblOrdenes[mes],11,tblOrdenes[categoria_presupuesto],$A39)</f>
        <v/>
      </c>
      <c r="N39" s="18">
        <f>SUMIFS(tblOrdenes[costo_total],tblOrdenes[anio],p_anio_presupuesto,tblOrdenes[mes],12,tblOrdenes[categoria_presupuesto],$A39)</f>
        <v/>
      </c>
      <c r="O39" s="18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8">
        <f>SUMIFS(tblOrdenes[costo_total],tblOrdenes[anio],p_anio_presupuesto,tblOrdenes[mes],1,tblOrdenes[categoria_presupuesto],$A40)</f>
        <v/>
      </c>
      <c r="D40" s="18">
        <f>SUMIFS(tblOrdenes[costo_total],tblOrdenes[anio],p_anio_presupuesto,tblOrdenes[mes],2,tblOrdenes[categoria_presupuesto],$A40)</f>
        <v/>
      </c>
      <c r="E40" s="18">
        <f>SUMIFS(tblOrdenes[costo_total],tblOrdenes[anio],p_anio_presupuesto,tblOrdenes[mes],3,tblOrdenes[categoria_presupuesto],$A40)</f>
        <v/>
      </c>
      <c r="F40" s="18">
        <f>SUMIFS(tblOrdenes[costo_total],tblOrdenes[anio],p_anio_presupuesto,tblOrdenes[mes],4,tblOrdenes[categoria_presupuesto],$A40)</f>
        <v/>
      </c>
      <c r="G40" s="18">
        <f>SUMIFS(tblOrdenes[costo_total],tblOrdenes[anio],p_anio_presupuesto,tblOrdenes[mes],5,tblOrdenes[categoria_presupuesto],$A40)</f>
        <v/>
      </c>
      <c r="H40" s="18">
        <f>SUMIFS(tblOrdenes[costo_total],tblOrdenes[anio],p_anio_presupuesto,tblOrdenes[mes],6,tblOrdenes[categoria_presupuesto],$A40)</f>
        <v/>
      </c>
      <c r="I40" s="18">
        <f>SUMIFS(tblOrdenes[costo_total],tblOrdenes[anio],p_anio_presupuesto,tblOrdenes[mes],7,tblOrdenes[categoria_presupuesto],$A40)</f>
        <v/>
      </c>
      <c r="J40" s="18">
        <f>SUMIFS(tblOrdenes[costo_total],tblOrdenes[anio],p_anio_presupuesto,tblOrdenes[mes],8,tblOrdenes[categoria_presupuesto],$A40)</f>
        <v/>
      </c>
      <c r="K40" s="18">
        <f>SUMIFS(tblOrdenes[costo_total],tblOrdenes[anio],p_anio_presupuesto,tblOrdenes[mes],9,tblOrdenes[categoria_presupuesto],$A40)</f>
        <v/>
      </c>
      <c r="L40" s="18">
        <f>SUMIFS(tblOrdenes[costo_total],tblOrdenes[anio],p_anio_presupuesto,tblOrdenes[mes],10,tblOrdenes[categoria_presupuesto],$A40)</f>
        <v/>
      </c>
      <c r="M40" s="18">
        <f>SUMIFS(tblOrdenes[costo_total],tblOrdenes[anio],p_anio_presupuesto,tblOrdenes[mes],11,tblOrdenes[categoria_presupuesto],$A40)</f>
        <v/>
      </c>
      <c r="N40" s="18">
        <f>SUMIFS(tblOrdenes[costo_total],tblOrdenes[anio],p_anio_presupuesto,tblOrdenes[mes],12,tblOrdenes[categoria_presupuesto],$A40)</f>
        <v/>
      </c>
      <c r="O40" s="18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18">
        <f>C34+C35+C36</f>
        <v/>
      </c>
      <c r="D41" s="18">
        <f>D34+D35+D36</f>
        <v/>
      </c>
      <c r="E41" s="18">
        <f>E34+E35+E36</f>
        <v/>
      </c>
      <c r="F41" s="18">
        <f>F34+F35+F36</f>
        <v/>
      </c>
      <c r="G41" s="18">
        <f>G34+G35+G36</f>
        <v/>
      </c>
      <c r="H41" s="18">
        <f>H34+H35+H36</f>
        <v/>
      </c>
      <c r="I41" s="18">
        <f>I34+I35+I36</f>
        <v/>
      </c>
      <c r="J41" s="18">
        <f>J34+J35+J36</f>
        <v/>
      </c>
      <c r="K41" s="18">
        <f>K34+K35+K36</f>
        <v/>
      </c>
      <c r="L41" s="18">
        <f>L34+L35+L36</f>
        <v/>
      </c>
      <c r="M41" s="18">
        <f>M34+M35+M36</f>
        <v/>
      </c>
      <c r="N41" s="18">
        <f>N34+N35+N36</f>
        <v/>
      </c>
      <c r="O41" s="18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18">
        <f>C37+C38+C39</f>
        <v/>
      </c>
      <c r="D42" s="18">
        <f>D37+D38+D39</f>
        <v/>
      </c>
      <c r="E42" s="18">
        <f>E37+E38+E39</f>
        <v/>
      </c>
      <c r="F42" s="18">
        <f>F37+F38+F39</f>
        <v/>
      </c>
      <c r="G42" s="18">
        <f>G37+G38+G39</f>
        <v/>
      </c>
      <c r="H42" s="18">
        <f>H37+H38+H39</f>
        <v/>
      </c>
      <c r="I42" s="18">
        <f>I37+I38+I39</f>
        <v/>
      </c>
      <c r="J42" s="18">
        <f>J37+J38+J39</f>
        <v/>
      </c>
      <c r="K42" s="18">
        <f>K37+K38+K39</f>
        <v/>
      </c>
      <c r="L42" s="18">
        <f>L37+L38+L39</f>
        <v/>
      </c>
      <c r="M42" s="18">
        <f>M37+M38+M39</f>
        <v/>
      </c>
      <c r="N42" s="18">
        <f>N37+N38+N39</f>
        <v/>
      </c>
      <c r="O42" s="18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18">
        <f>C34+C35+C36+C37+C38+C39+C40</f>
        <v/>
      </c>
      <c r="D43" s="18">
        <f>D34+D35+D36+D37+D38+D39+D40</f>
        <v/>
      </c>
      <c r="E43" s="18">
        <f>E34+E35+E36+E37+E38+E39+E40</f>
        <v/>
      </c>
      <c r="F43" s="18">
        <f>F34+F35+F36+F37+F38+F39+F40</f>
        <v/>
      </c>
      <c r="G43" s="18">
        <f>G34+G35+G36+G37+G38+G39+G40</f>
        <v/>
      </c>
      <c r="H43" s="18">
        <f>H34+H35+H36+H37+H38+H39+H40</f>
        <v/>
      </c>
      <c r="I43" s="18">
        <f>I34+I35+I36+I37+I38+I39+I40</f>
        <v/>
      </c>
      <c r="J43" s="18">
        <f>J34+J35+J36+J37+J38+J39+J40</f>
        <v/>
      </c>
      <c r="K43" s="18">
        <f>K34+K35+K36+K37+K38+K39+K40</f>
        <v/>
      </c>
      <c r="L43" s="18">
        <f>L34+L35+L36+L37+L38+L39+L40</f>
        <v/>
      </c>
      <c r="M43" s="18">
        <f>M34+M35+M36+M37+M38+M39+M40</f>
        <v/>
      </c>
      <c r="N43" s="18">
        <f>N34+N35+N36+N37+N38+N39+N40</f>
        <v/>
      </c>
      <c r="O43" s="18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8">
        <f>SUMIFS(tblOrdenes[costo_total],tblOrdenes[anio],p_anio_presupuesto,tblOrdenes[mes],1)</f>
        <v/>
      </c>
      <c r="D44" s="18">
        <f>SUMIFS(tblOrdenes[costo_total],tblOrdenes[anio],p_anio_presupuesto,tblOrdenes[mes],2)</f>
        <v/>
      </c>
      <c r="E44" s="18">
        <f>SUMIFS(tblOrdenes[costo_total],tblOrdenes[anio],p_anio_presupuesto,tblOrdenes[mes],3)</f>
        <v/>
      </c>
      <c r="F44" s="18">
        <f>SUMIFS(tblOrdenes[costo_total],tblOrdenes[anio],p_anio_presupuesto,tblOrdenes[mes],4)</f>
        <v/>
      </c>
      <c r="G44" s="18">
        <f>SUMIFS(tblOrdenes[costo_total],tblOrdenes[anio],p_anio_presupuesto,tblOrdenes[mes],5)</f>
        <v/>
      </c>
      <c r="H44" s="18">
        <f>SUMIFS(tblOrdenes[costo_total],tblOrdenes[anio],p_anio_presupuesto,tblOrdenes[mes],6)</f>
        <v/>
      </c>
      <c r="I44" s="18">
        <f>SUMIFS(tblOrdenes[costo_total],tblOrdenes[anio],p_anio_presupuesto,tblOrdenes[mes],7)</f>
        <v/>
      </c>
      <c r="J44" s="18">
        <f>SUMIFS(tblOrdenes[costo_total],tblOrdenes[anio],p_anio_presupuesto,tblOrdenes[mes],8)</f>
        <v/>
      </c>
      <c r="K44" s="18">
        <f>SUMIFS(tblOrdenes[costo_total],tblOrdenes[anio],p_anio_presupuesto,tblOrdenes[mes],9)</f>
        <v/>
      </c>
      <c r="L44" s="18">
        <f>SUMIFS(tblOrdenes[costo_total],tblOrdenes[anio],p_anio_presupuesto,tblOrdenes[mes],10)</f>
        <v/>
      </c>
      <c r="M44" s="18">
        <f>SUMIFS(tblOrdenes[costo_total],tblOrdenes[anio],p_anio_presupuesto,tblOrdenes[mes],11)</f>
        <v/>
      </c>
      <c r="N44" s="18">
        <f>SUMIFS(tblOrdenes[costo_total],tblOrdenes[anio],p_anio_presupuesto,tblOrdenes[mes],12)</f>
        <v/>
      </c>
      <c r="O44" s="18">
        <f>SUMPRODUCT(({1,2,3,4,5,6,7,8,9,10,11,12}&lt;=$B$17)*($C44:$N44))</f>
        <v/>
      </c>
    </row>
    <row r="45">
      <c r="A45" s="2" t="inlineStr">
        <is>
          <t>DIFERENCIA (debe ser 0)</t>
        </is>
      </c>
      <c r="C45" s="18">
        <f>ROUND(C43-C44,2)</f>
        <v/>
      </c>
      <c r="D45" s="18">
        <f>ROUND(D43-D44,2)</f>
        <v/>
      </c>
      <c r="E45" s="18">
        <f>ROUND(E43-E44,2)</f>
        <v/>
      </c>
      <c r="F45" s="18">
        <f>ROUND(F43-F44,2)</f>
        <v/>
      </c>
      <c r="G45" s="18">
        <f>ROUND(G43-G44,2)</f>
        <v/>
      </c>
      <c r="H45" s="18">
        <f>ROUND(H43-H44,2)</f>
        <v/>
      </c>
      <c r="I45" s="18">
        <f>ROUND(I43-I44,2)</f>
        <v/>
      </c>
      <c r="J45" s="18">
        <f>ROUND(J43-J44,2)</f>
        <v/>
      </c>
      <c r="K45" s="18">
        <f>ROUND(K43-K44,2)</f>
        <v/>
      </c>
      <c r="L45" s="18">
        <f>ROUND(L43-L44,2)</f>
        <v/>
      </c>
      <c r="M45" s="18">
        <f>ROUND(M43-M44,2)</f>
        <v/>
      </c>
      <c r="N45" s="18">
        <f>ROUND(N43-N44,2)</f>
        <v/>
      </c>
      <c r="O45" s="18">
        <f>SUMPRODUCT(({1,2,3,4,5,6,7,8,9,10,11,12}&lt;=$B$17)*($C45:$N45))</f>
        <v/>
      </c>
    </row>
    <row r="47">
      <c r="A47" s="3" t="inlineStr">
        <is>
          <t>DESVIACIÓN (real − presupuesto)</t>
        </is>
      </c>
    </row>
    <row r="48">
      <c r="A48" s="15" t="inlineStr">
        <is>
          <t>categoria</t>
        </is>
      </c>
      <c r="B48" s="15" t="inlineStr">
        <is>
          <t>clasificacion</t>
        </is>
      </c>
      <c r="C48" s="15" t="inlineStr">
        <is>
          <t>ene</t>
        </is>
      </c>
      <c r="D48" s="15" t="inlineStr">
        <is>
          <t>feb</t>
        </is>
      </c>
      <c r="E48" s="15" t="inlineStr">
        <is>
          <t>mar</t>
        </is>
      </c>
      <c r="F48" s="15" t="inlineStr">
        <is>
          <t>abr</t>
        </is>
      </c>
      <c r="G48" s="15" t="inlineStr">
        <is>
          <t>may</t>
        </is>
      </c>
      <c r="H48" s="15" t="inlineStr">
        <is>
          <t>jun</t>
        </is>
      </c>
      <c r="I48" s="15" t="inlineStr">
        <is>
          <t>jul</t>
        </is>
      </c>
      <c r="J48" s="15" t="inlineStr">
        <is>
          <t>ago</t>
        </is>
      </c>
      <c r="K48" s="15" t="inlineStr">
        <is>
          <t>sep</t>
        </is>
      </c>
      <c r="L48" s="15" t="inlineStr">
        <is>
          <t>oct</t>
        </is>
      </c>
      <c r="M48" s="15" t="inlineStr">
        <is>
          <t>nov</t>
        </is>
      </c>
      <c r="N48" s="15" t="inlineStr">
        <is>
          <t>dic</t>
        </is>
      </c>
      <c r="O48" s="15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8">
        <f>C34-C21</f>
        <v/>
      </c>
      <c r="D49" s="18">
        <f>D34-D21</f>
        <v/>
      </c>
      <c r="E49" s="18">
        <f>E34-E21</f>
        <v/>
      </c>
      <c r="F49" s="18">
        <f>F34-F21</f>
        <v/>
      </c>
      <c r="G49" s="18">
        <f>G34-G21</f>
        <v/>
      </c>
      <c r="H49" s="18">
        <f>H34-H21</f>
        <v/>
      </c>
      <c r="I49" s="18">
        <f>I34-I21</f>
        <v/>
      </c>
      <c r="J49" s="18">
        <f>J34-J21</f>
        <v/>
      </c>
      <c r="K49" s="18">
        <f>K34-K21</f>
        <v/>
      </c>
      <c r="L49" s="18">
        <f>L34-L21</f>
        <v/>
      </c>
      <c r="M49" s="18">
        <f>M34-M21</f>
        <v/>
      </c>
      <c r="N49" s="18">
        <f>N34-N21</f>
        <v/>
      </c>
      <c r="O49" s="18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8">
        <f>C35-C22</f>
        <v/>
      </c>
      <c r="D50" s="18">
        <f>D35-D22</f>
        <v/>
      </c>
      <c r="E50" s="18">
        <f>E35-E22</f>
        <v/>
      </c>
      <c r="F50" s="18">
        <f>F35-F22</f>
        <v/>
      </c>
      <c r="G50" s="18">
        <f>G35-G22</f>
        <v/>
      </c>
      <c r="H50" s="18">
        <f>H35-H22</f>
        <v/>
      </c>
      <c r="I50" s="18">
        <f>I35-I22</f>
        <v/>
      </c>
      <c r="J50" s="18">
        <f>J35-J22</f>
        <v/>
      </c>
      <c r="K50" s="18">
        <f>K35-K22</f>
        <v/>
      </c>
      <c r="L50" s="18">
        <f>L35-L22</f>
        <v/>
      </c>
      <c r="M50" s="18">
        <f>M35-M22</f>
        <v/>
      </c>
      <c r="N50" s="18">
        <f>N35-N22</f>
        <v/>
      </c>
      <c r="O50" s="18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8">
        <f>C36-C23</f>
        <v/>
      </c>
      <c r="D51" s="18">
        <f>D36-D23</f>
        <v/>
      </c>
      <c r="E51" s="18">
        <f>E36-E23</f>
        <v/>
      </c>
      <c r="F51" s="18">
        <f>F36-F23</f>
        <v/>
      </c>
      <c r="G51" s="18">
        <f>G36-G23</f>
        <v/>
      </c>
      <c r="H51" s="18">
        <f>H36-H23</f>
        <v/>
      </c>
      <c r="I51" s="18">
        <f>I36-I23</f>
        <v/>
      </c>
      <c r="J51" s="18">
        <f>J36-J23</f>
        <v/>
      </c>
      <c r="K51" s="18">
        <f>K36-K23</f>
        <v/>
      </c>
      <c r="L51" s="18">
        <f>L36-L23</f>
        <v/>
      </c>
      <c r="M51" s="18">
        <f>M36-M23</f>
        <v/>
      </c>
      <c r="N51" s="18">
        <f>N36-N23</f>
        <v/>
      </c>
      <c r="O51" s="18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8">
        <f>C37-C24</f>
        <v/>
      </c>
      <c r="D52" s="18">
        <f>D37-D24</f>
        <v/>
      </c>
      <c r="E52" s="18">
        <f>E37-E24</f>
        <v/>
      </c>
      <c r="F52" s="18">
        <f>F37-F24</f>
        <v/>
      </c>
      <c r="G52" s="18">
        <f>G37-G24</f>
        <v/>
      </c>
      <c r="H52" s="18">
        <f>H37-H24</f>
        <v/>
      </c>
      <c r="I52" s="18">
        <f>I37-I24</f>
        <v/>
      </c>
      <c r="J52" s="18">
        <f>J37-J24</f>
        <v/>
      </c>
      <c r="K52" s="18">
        <f>K37-K24</f>
        <v/>
      </c>
      <c r="L52" s="18">
        <f>L37-L24</f>
        <v/>
      </c>
      <c r="M52" s="18">
        <f>M37-M24</f>
        <v/>
      </c>
      <c r="N52" s="18">
        <f>N37-N24</f>
        <v/>
      </c>
      <c r="O52" s="18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8">
        <f>C38-C25</f>
        <v/>
      </c>
      <c r="D53" s="18">
        <f>D38-D25</f>
        <v/>
      </c>
      <c r="E53" s="18">
        <f>E38-E25</f>
        <v/>
      </c>
      <c r="F53" s="18">
        <f>F38-F25</f>
        <v/>
      </c>
      <c r="G53" s="18">
        <f>G38-G25</f>
        <v/>
      </c>
      <c r="H53" s="18">
        <f>H38-H25</f>
        <v/>
      </c>
      <c r="I53" s="18">
        <f>I38-I25</f>
        <v/>
      </c>
      <c r="J53" s="18">
        <f>J38-J25</f>
        <v/>
      </c>
      <c r="K53" s="18">
        <f>K38-K25</f>
        <v/>
      </c>
      <c r="L53" s="18">
        <f>L38-L25</f>
        <v/>
      </c>
      <c r="M53" s="18">
        <f>M38-M25</f>
        <v/>
      </c>
      <c r="N53" s="18">
        <f>N38-N25</f>
        <v/>
      </c>
      <c r="O53" s="18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8">
        <f>C39-C26</f>
        <v/>
      </c>
      <c r="D54" s="18">
        <f>D39-D26</f>
        <v/>
      </c>
      <c r="E54" s="18">
        <f>E39-E26</f>
        <v/>
      </c>
      <c r="F54" s="18">
        <f>F39-F26</f>
        <v/>
      </c>
      <c r="G54" s="18">
        <f>G39-G26</f>
        <v/>
      </c>
      <c r="H54" s="18">
        <f>H39-H26</f>
        <v/>
      </c>
      <c r="I54" s="18">
        <f>I39-I26</f>
        <v/>
      </c>
      <c r="J54" s="18">
        <f>J39-J26</f>
        <v/>
      </c>
      <c r="K54" s="18">
        <f>K39-K26</f>
        <v/>
      </c>
      <c r="L54" s="18">
        <f>L39-L26</f>
        <v/>
      </c>
      <c r="M54" s="18">
        <f>M39-M26</f>
        <v/>
      </c>
      <c r="N54" s="18">
        <f>N39-N26</f>
        <v/>
      </c>
      <c r="O54" s="18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8">
        <f>C40-C27</f>
        <v/>
      </c>
      <c r="D55" s="18">
        <f>D40-D27</f>
        <v/>
      </c>
      <c r="E55" s="18">
        <f>E40-E27</f>
        <v/>
      </c>
      <c r="F55" s="18">
        <f>F40-F27</f>
        <v/>
      </c>
      <c r="G55" s="18">
        <f>G40-G27</f>
        <v/>
      </c>
      <c r="H55" s="18">
        <f>H40-H27</f>
        <v/>
      </c>
      <c r="I55" s="18">
        <f>I40-I27</f>
        <v/>
      </c>
      <c r="J55" s="18">
        <f>J40-J27</f>
        <v/>
      </c>
      <c r="K55" s="18">
        <f>K40-K27</f>
        <v/>
      </c>
      <c r="L55" s="18">
        <f>L40-L27</f>
        <v/>
      </c>
      <c r="M55" s="18">
        <f>M40-M27</f>
        <v/>
      </c>
      <c r="N55" s="18">
        <f>N40-N27</f>
        <v/>
      </c>
      <c r="O55" s="18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18">
        <f>C41-C28</f>
        <v/>
      </c>
      <c r="D56" s="18">
        <f>D41-D28</f>
        <v/>
      </c>
      <c r="E56" s="18">
        <f>E41-E28</f>
        <v/>
      </c>
      <c r="F56" s="18">
        <f>F41-F28</f>
        <v/>
      </c>
      <c r="G56" s="18">
        <f>G41-G28</f>
        <v/>
      </c>
      <c r="H56" s="18">
        <f>H41-H28</f>
        <v/>
      </c>
      <c r="I56" s="18">
        <f>I41-I28</f>
        <v/>
      </c>
      <c r="J56" s="18">
        <f>J41-J28</f>
        <v/>
      </c>
      <c r="K56" s="18">
        <f>K41-K28</f>
        <v/>
      </c>
      <c r="L56" s="18">
        <f>L41-L28</f>
        <v/>
      </c>
      <c r="M56" s="18">
        <f>M41-M28</f>
        <v/>
      </c>
      <c r="N56" s="18">
        <f>N41-N28</f>
        <v/>
      </c>
      <c r="O56" s="18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18">
        <f>C42-C29</f>
        <v/>
      </c>
      <c r="D57" s="18">
        <f>D42-D29</f>
        <v/>
      </c>
      <c r="E57" s="18">
        <f>E42-E29</f>
        <v/>
      </c>
      <c r="F57" s="18">
        <f>F42-F29</f>
        <v/>
      </c>
      <c r="G57" s="18">
        <f>G42-G29</f>
        <v/>
      </c>
      <c r="H57" s="18">
        <f>H42-H29</f>
        <v/>
      </c>
      <c r="I57" s="18">
        <f>I42-I29</f>
        <v/>
      </c>
      <c r="J57" s="18">
        <f>J42-J29</f>
        <v/>
      </c>
      <c r="K57" s="18">
        <f>K42-K29</f>
        <v/>
      </c>
      <c r="L57" s="18">
        <f>L42-L29</f>
        <v/>
      </c>
      <c r="M57" s="18">
        <f>M42-M29</f>
        <v/>
      </c>
      <c r="N57" s="18">
        <f>N42-N29</f>
        <v/>
      </c>
      <c r="O57" s="18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18">
        <f>C43-C30</f>
        <v/>
      </c>
      <c r="D58" s="18">
        <f>D43-D30</f>
        <v/>
      </c>
      <c r="E58" s="18">
        <f>E43-E30</f>
        <v/>
      </c>
      <c r="F58" s="18">
        <f>F43-F30</f>
        <v/>
      </c>
      <c r="G58" s="18">
        <f>G43-G30</f>
        <v/>
      </c>
      <c r="H58" s="18">
        <f>H43-H30</f>
        <v/>
      </c>
      <c r="I58" s="18">
        <f>I43-I30</f>
        <v/>
      </c>
      <c r="J58" s="18">
        <f>J43-J30</f>
        <v/>
      </c>
      <c r="K58" s="18">
        <f>K43-K30</f>
        <v/>
      </c>
      <c r="L58" s="18">
        <f>L43-L30</f>
        <v/>
      </c>
      <c r="M58" s="18">
        <f>M43-M30</f>
        <v/>
      </c>
      <c r="N58" s="18">
        <f>N43-N30</f>
        <v/>
      </c>
      <c r="O58" s="18">
        <f>SUMPRODUCT(({1,2,3,4,5,6,7,8,9,10,11,12}&lt;=$B$17)*($C58:$N58))</f>
        <v/>
      </c>
    </row>
    <row r="60">
      <c r="A60" s="3" t="inlineStr">
        <is>
          <t>DESVIACIÓN %</t>
        </is>
      </c>
    </row>
    <row r="61">
      <c r="A61" s="15" t="inlineStr">
        <is>
          <t>categoria</t>
        </is>
      </c>
      <c r="B61" s="15" t="inlineStr">
        <is>
          <t>clasificacion</t>
        </is>
      </c>
      <c r="C61" s="15" t="inlineStr">
        <is>
          <t>ene</t>
        </is>
      </c>
      <c r="D61" s="15" t="inlineStr">
        <is>
          <t>feb</t>
        </is>
      </c>
      <c r="E61" s="15" t="inlineStr">
        <is>
          <t>mar</t>
        </is>
      </c>
      <c r="F61" s="15" t="inlineStr">
        <is>
          <t>abr</t>
        </is>
      </c>
      <c r="G61" s="15" t="inlineStr">
        <is>
          <t>may</t>
        </is>
      </c>
      <c r="H61" s="15" t="inlineStr">
        <is>
          <t>jun</t>
        </is>
      </c>
      <c r="I61" s="15" t="inlineStr">
        <is>
          <t>jul</t>
        </is>
      </c>
      <c r="J61" s="15" t="inlineStr">
        <is>
          <t>ago</t>
        </is>
      </c>
      <c r="K61" s="15" t="inlineStr">
        <is>
          <t>sep</t>
        </is>
      </c>
      <c r="L61" s="15" t="inlineStr">
        <is>
          <t>oct</t>
        </is>
      </c>
      <c r="M61" s="15" t="inlineStr">
        <is>
          <t>nov</t>
        </is>
      </c>
      <c r="N61" s="15" t="inlineStr">
        <is>
          <t>dic</t>
        </is>
      </c>
      <c r="O61" s="15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16">
        <f>IF(C21=0,"",C49/C21)</f>
        <v/>
      </c>
      <c r="D62" s="16">
        <f>IF(D21=0,"",D49/D21)</f>
        <v/>
      </c>
      <c r="E62" s="16">
        <f>IF(E21=0,"",E49/E21)</f>
        <v/>
      </c>
      <c r="F62" s="16">
        <f>IF(F21=0,"",F49/F21)</f>
        <v/>
      </c>
      <c r="G62" s="16">
        <f>IF(G21=0,"",G49/G21)</f>
        <v/>
      </c>
      <c r="H62" s="16">
        <f>IF(H21=0,"",H49/H21)</f>
        <v/>
      </c>
      <c r="I62" s="16">
        <f>IF(I21=0,"",I49/I21)</f>
        <v/>
      </c>
      <c r="J62" s="16">
        <f>IF(J21=0,"",J49/J21)</f>
        <v/>
      </c>
      <c r="K62" s="16">
        <f>IF(K21=0,"",K49/K21)</f>
        <v/>
      </c>
      <c r="L62" s="16">
        <f>IF(L21=0,"",L49/L21)</f>
        <v/>
      </c>
      <c r="M62" s="16">
        <f>IF(M21=0,"",M49/M21)</f>
        <v/>
      </c>
      <c r="N62" s="16">
        <f>IF(N21=0,"",N49/N21)</f>
        <v/>
      </c>
      <c r="O62" s="16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16">
        <f>IF(C22=0,"",C50/C22)</f>
        <v/>
      </c>
      <c r="D63" s="16">
        <f>IF(D22=0,"",D50/D22)</f>
        <v/>
      </c>
      <c r="E63" s="16">
        <f>IF(E22=0,"",E50/E22)</f>
        <v/>
      </c>
      <c r="F63" s="16">
        <f>IF(F22=0,"",F50/F22)</f>
        <v/>
      </c>
      <c r="G63" s="16">
        <f>IF(G22=0,"",G50/G22)</f>
        <v/>
      </c>
      <c r="H63" s="16">
        <f>IF(H22=0,"",H50/H22)</f>
        <v/>
      </c>
      <c r="I63" s="16">
        <f>IF(I22=0,"",I50/I22)</f>
        <v/>
      </c>
      <c r="J63" s="16">
        <f>IF(J22=0,"",J50/J22)</f>
        <v/>
      </c>
      <c r="K63" s="16">
        <f>IF(K22=0,"",K50/K22)</f>
        <v/>
      </c>
      <c r="L63" s="16">
        <f>IF(L22=0,"",L50/L22)</f>
        <v/>
      </c>
      <c r="M63" s="16">
        <f>IF(M22=0,"",M50/M22)</f>
        <v/>
      </c>
      <c r="N63" s="16">
        <f>IF(N22=0,"",N50/N22)</f>
        <v/>
      </c>
      <c r="O63" s="16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16">
        <f>IF(C23=0,"",C51/C23)</f>
        <v/>
      </c>
      <c r="D64" s="16">
        <f>IF(D23=0,"",D51/D23)</f>
        <v/>
      </c>
      <c r="E64" s="16">
        <f>IF(E23=0,"",E51/E23)</f>
        <v/>
      </c>
      <c r="F64" s="16">
        <f>IF(F23=0,"",F51/F23)</f>
        <v/>
      </c>
      <c r="G64" s="16">
        <f>IF(G23=0,"",G51/G23)</f>
        <v/>
      </c>
      <c r="H64" s="16">
        <f>IF(H23=0,"",H51/H23)</f>
        <v/>
      </c>
      <c r="I64" s="16">
        <f>IF(I23=0,"",I51/I23)</f>
        <v/>
      </c>
      <c r="J64" s="16">
        <f>IF(J23=0,"",J51/J23)</f>
        <v/>
      </c>
      <c r="K64" s="16">
        <f>IF(K23=0,"",K51/K23)</f>
        <v/>
      </c>
      <c r="L64" s="16">
        <f>IF(L23=0,"",L51/L23)</f>
        <v/>
      </c>
      <c r="M64" s="16">
        <f>IF(M23=0,"",M51/M23)</f>
        <v/>
      </c>
      <c r="N64" s="16">
        <f>IF(N23=0,"",N51/N23)</f>
        <v/>
      </c>
      <c r="O64" s="16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16">
        <f>IF(C24=0,"",C52/C24)</f>
        <v/>
      </c>
      <c r="D65" s="16">
        <f>IF(D24=0,"",D52/D24)</f>
        <v/>
      </c>
      <c r="E65" s="16">
        <f>IF(E24=0,"",E52/E24)</f>
        <v/>
      </c>
      <c r="F65" s="16">
        <f>IF(F24=0,"",F52/F24)</f>
        <v/>
      </c>
      <c r="G65" s="16">
        <f>IF(G24=0,"",G52/G24)</f>
        <v/>
      </c>
      <c r="H65" s="16">
        <f>IF(H24=0,"",H52/H24)</f>
        <v/>
      </c>
      <c r="I65" s="16">
        <f>IF(I24=0,"",I52/I24)</f>
        <v/>
      </c>
      <c r="J65" s="16">
        <f>IF(J24=0,"",J52/J24)</f>
        <v/>
      </c>
      <c r="K65" s="16">
        <f>IF(K24=0,"",K52/K24)</f>
        <v/>
      </c>
      <c r="L65" s="16">
        <f>IF(L24=0,"",L52/L24)</f>
        <v/>
      </c>
      <c r="M65" s="16">
        <f>IF(M24=0,"",M52/M24)</f>
        <v/>
      </c>
      <c r="N65" s="16">
        <f>IF(N24=0,"",N52/N24)</f>
        <v/>
      </c>
      <c r="O65" s="16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16">
        <f>IF(C25=0,"",C53/C25)</f>
        <v/>
      </c>
      <c r="D66" s="16">
        <f>IF(D25=0,"",D53/D25)</f>
        <v/>
      </c>
      <c r="E66" s="16">
        <f>IF(E25=0,"",E53/E25)</f>
        <v/>
      </c>
      <c r="F66" s="16">
        <f>IF(F25=0,"",F53/F25)</f>
        <v/>
      </c>
      <c r="G66" s="16">
        <f>IF(G25=0,"",G53/G25)</f>
        <v/>
      </c>
      <c r="H66" s="16">
        <f>IF(H25=0,"",H53/H25)</f>
        <v/>
      </c>
      <c r="I66" s="16">
        <f>IF(I25=0,"",I53/I25)</f>
        <v/>
      </c>
      <c r="J66" s="16">
        <f>IF(J25=0,"",J53/J25)</f>
        <v/>
      </c>
      <c r="K66" s="16">
        <f>IF(K25=0,"",K53/K25)</f>
        <v/>
      </c>
      <c r="L66" s="16">
        <f>IF(L25=0,"",L53/L25)</f>
        <v/>
      </c>
      <c r="M66" s="16">
        <f>IF(M25=0,"",M53/M25)</f>
        <v/>
      </c>
      <c r="N66" s="16">
        <f>IF(N25=0,"",N53/N25)</f>
        <v/>
      </c>
      <c r="O66" s="16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16">
        <f>IF(C26=0,"",C54/C26)</f>
        <v/>
      </c>
      <c r="D67" s="16">
        <f>IF(D26=0,"",D54/D26)</f>
        <v/>
      </c>
      <c r="E67" s="16">
        <f>IF(E26=0,"",E54/E26)</f>
        <v/>
      </c>
      <c r="F67" s="16">
        <f>IF(F26=0,"",F54/F26)</f>
        <v/>
      </c>
      <c r="G67" s="16">
        <f>IF(G26=0,"",G54/G26)</f>
        <v/>
      </c>
      <c r="H67" s="16">
        <f>IF(H26=0,"",H54/H26)</f>
        <v/>
      </c>
      <c r="I67" s="16">
        <f>IF(I26=0,"",I54/I26)</f>
        <v/>
      </c>
      <c r="J67" s="16">
        <f>IF(J26=0,"",J54/J26)</f>
        <v/>
      </c>
      <c r="K67" s="16">
        <f>IF(K26=0,"",K54/K26)</f>
        <v/>
      </c>
      <c r="L67" s="16">
        <f>IF(L26=0,"",L54/L26)</f>
        <v/>
      </c>
      <c r="M67" s="16">
        <f>IF(M26=0,"",M54/M26)</f>
        <v/>
      </c>
      <c r="N67" s="16">
        <f>IF(N26=0,"",N54/N26)</f>
        <v/>
      </c>
      <c r="O67" s="16">
        <f>IF($O$26=0,"",$O$54/$O$26)</f>
        <v/>
      </c>
    </row>
    <row r="68">
      <c r="A68" s="5" t="inlineStr">
        <is>
          <t>SIN CLASIFICAR</t>
        </is>
      </c>
      <c r="B68" s="5" t="inlineStr"/>
      <c r="C68" s="16">
        <f>IF(C27=0,"",C55/C27)</f>
        <v/>
      </c>
      <c r="D68" s="16">
        <f>IF(D27=0,"",D55/D27)</f>
        <v/>
      </c>
      <c r="E68" s="16">
        <f>IF(E27=0,"",E55/E27)</f>
        <v/>
      </c>
      <c r="F68" s="16">
        <f>IF(F27=0,"",F55/F27)</f>
        <v/>
      </c>
      <c r="G68" s="16">
        <f>IF(G27=0,"",G55/G27)</f>
        <v/>
      </c>
      <c r="H68" s="16">
        <f>IF(H27=0,"",H55/H27)</f>
        <v/>
      </c>
      <c r="I68" s="16">
        <f>IF(I27=0,"",I55/I27)</f>
        <v/>
      </c>
      <c r="J68" s="16">
        <f>IF(J27=0,"",J55/J27)</f>
        <v/>
      </c>
      <c r="K68" s="16">
        <f>IF(K27=0,"",K55/K27)</f>
        <v/>
      </c>
      <c r="L68" s="16">
        <f>IF(L27=0,"",L55/L27)</f>
        <v/>
      </c>
      <c r="M68" s="16">
        <f>IF(M27=0,"",M55/M27)</f>
        <v/>
      </c>
      <c r="N68" s="16">
        <f>IF(N27=0,"",N55/N27)</f>
        <v/>
      </c>
      <c r="O68" s="16">
        <f>IF($O$27=0,"",$O$55/$O$27)</f>
        <v/>
      </c>
    </row>
    <row r="69">
      <c r="A69" s="3" t="inlineStr">
        <is>
          <t>Subtotal FIJO</t>
        </is>
      </c>
      <c r="B69" s="5" t="inlineStr"/>
      <c r="C69" s="16">
        <f>IF(C28=0,"",C56/C28)</f>
        <v/>
      </c>
      <c r="D69" s="16">
        <f>IF(D28=0,"",D56/D28)</f>
        <v/>
      </c>
      <c r="E69" s="16">
        <f>IF(E28=0,"",E56/E28)</f>
        <v/>
      </c>
      <c r="F69" s="16">
        <f>IF(F28=0,"",F56/F28)</f>
        <v/>
      </c>
      <c r="G69" s="16">
        <f>IF(G28=0,"",G56/G28)</f>
        <v/>
      </c>
      <c r="H69" s="16">
        <f>IF(H28=0,"",H56/H28)</f>
        <v/>
      </c>
      <c r="I69" s="16">
        <f>IF(I28=0,"",I56/I28)</f>
        <v/>
      </c>
      <c r="J69" s="16">
        <f>IF(J28=0,"",J56/J28)</f>
        <v/>
      </c>
      <c r="K69" s="16">
        <f>IF(K28=0,"",K56/K28)</f>
        <v/>
      </c>
      <c r="L69" s="16">
        <f>IF(L28=0,"",L56/L28)</f>
        <v/>
      </c>
      <c r="M69" s="16">
        <f>IF(M28=0,"",M56/M28)</f>
        <v/>
      </c>
      <c r="N69" s="16">
        <f>IF(N28=0,"",N56/N28)</f>
        <v/>
      </c>
      <c r="O69" s="16">
        <f>IF($O$28=0,"",$O$56/$O$28)</f>
        <v/>
      </c>
    </row>
    <row r="70">
      <c r="A70" s="3" t="inlineStr">
        <is>
          <t>Subtotal VARIABLE</t>
        </is>
      </c>
      <c r="B70" s="5" t="inlineStr"/>
      <c r="C70" s="16">
        <f>IF(C29=0,"",C57/C29)</f>
        <v/>
      </c>
      <c r="D70" s="16">
        <f>IF(D29=0,"",D57/D29)</f>
        <v/>
      </c>
      <c r="E70" s="16">
        <f>IF(E29=0,"",E57/E29)</f>
        <v/>
      </c>
      <c r="F70" s="16">
        <f>IF(F29=0,"",F57/F29)</f>
        <v/>
      </c>
      <c r="G70" s="16">
        <f>IF(G29=0,"",G57/G29)</f>
        <v/>
      </c>
      <c r="H70" s="16">
        <f>IF(H29=0,"",H57/H29)</f>
        <v/>
      </c>
      <c r="I70" s="16">
        <f>IF(I29=0,"",I57/I29)</f>
        <v/>
      </c>
      <c r="J70" s="16">
        <f>IF(J29=0,"",J57/J29)</f>
        <v/>
      </c>
      <c r="K70" s="16">
        <f>IF(K29=0,"",K57/K29)</f>
        <v/>
      </c>
      <c r="L70" s="16">
        <f>IF(L29=0,"",L57/L29)</f>
        <v/>
      </c>
      <c r="M70" s="16">
        <f>IF(M29=0,"",M57/M29)</f>
        <v/>
      </c>
      <c r="N70" s="16">
        <f>IF(N29=0,"",N57/N29)</f>
        <v/>
      </c>
      <c r="O70" s="16">
        <f>IF($O$29=0,"",$O$57/$O$29)</f>
        <v/>
      </c>
    </row>
    <row r="71">
      <c r="A71" s="3" t="inlineStr">
        <is>
          <t>TOTAL GENERAL</t>
        </is>
      </c>
      <c r="B71" s="5" t="inlineStr"/>
      <c r="C71" s="16">
        <f>IF(C30=0,"",C58/C30)</f>
        <v/>
      </c>
      <c r="D71" s="16">
        <f>IF(D30=0,"",D58/D30)</f>
        <v/>
      </c>
      <c r="E71" s="16">
        <f>IF(E30=0,"",E58/E30)</f>
        <v/>
      </c>
      <c r="F71" s="16">
        <f>IF(F30=0,"",F58/F30)</f>
        <v/>
      </c>
      <c r="G71" s="16">
        <f>IF(G30=0,"",G58/G30)</f>
        <v/>
      </c>
      <c r="H71" s="16">
        <f>IF(H30=0,"",H58/H30)</f>
        <v/>
      </c>
      <c r="I71" s="16">
        <f>IF(I30=0,"",I58/I30)</f>
        <v/>
      </c>
      <c r="J71" s="16">
        <f>IF(J30=0,"",J58/J30)</f>
        <v/>
      </c>
      <c r="K71" s="16">
        <f>IF(K30=0,"",K58/K30)</f>
        <v/>
      </c>
      <c r="L71" s="16">
        <f>IF(L30=0,"",L58/L30)</f>
        <v/>
      </c>
      <c r="M71" s="16">
        <f>IF(M30=0,"",M58/M30)</f>
        <v/>
      </c>
      <c r="N71" s="16">
        <f>IF(N30=0,"",N58/N30)</f>
        <v/>
      </c>
      <c r="O71" s="16">
        <f>IF($O$30=0,"",$O$58/$O$30)</f>
        <v/>
      </c>
    </row>
    <row r="73">
      <c r="A73" s="3" t="inlineStr">
        <is>
          <t>ESTADO (semáforo · tolerancia = p_tolerancia_desviacion_presupuesto)</t>
        </is>
      </c>
    </row>
    <row r="74">
      <c r="A74" s="15" t="inlineStr">
        <is>
          <t>categoria</t>
        </is>
      </c>
      <c r="B74" s="15" t="inlineStr">
        <is>
          <t>clasificacion</t>
        </is>
      </c>
      <c r="C74" s="15" t="inlineStr">
        <is>
          <t>ene</t>
        </is>
      </c>
      <c r="D74" s="15" t="inlineStr">
        <is>
          <t>feb</t>
        </is>
      </c>
      <c r="E74" s="15" t="inlineStr">
        <is>
          <t>mar</t>
        </is>
      </c>
      <c r="F74" s="15" t="inlineStr">
        <is>
          <t>abr</t>
        </is>
      </c>
      <c r="G74" s="15" t="inlineStr">
        <is>
          <t>may</t>
        </is>
      </c>
      <c r="H74" s="15" t="inlineStr">
        <is>
          <t>jun</t>
        </is>
      </c>
      <c r="I74" s="15" t="inlineStr">
        <is>
          <t>jul</t>
        </is>
      </c>
      <c r="J74" s="15" t="inlineStr">
        <is>
          <t>ago</t>
        </is>
      </c>
      <c r="K74" s="15" t="inlineStr">
        <is>
          <t>sep</t>
        </is>
      </c>
      <c r="L74" s="15" t="inlineStr">
        <is>
          <t>oct</t>
        </is>
      </c>
      <c r="M74" s="15" t="inlineStr">
        <is>
          <t>nov</t>
        </is>
      </c>
      <c r="N74" s="15" t="inlineStr">
        <is>
          <t>dic</t>
        </is>
      </c>
      <c r="O74" s="15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15" t="inlineStr">
        <is>
          <t>equipo \ mes</t>
        </is>
      </c>
      <c r="B4" s="15" t="n">
        <v>2</v>
      </c>
      <c r="C4" s="15" t="n">
        <v>3</v>
      </c>
      <c r="D4" s="15" t="n">
        <v>4</v>
      </c>
      <c r="E4" s="15" t="n">
        <v>5</v>
      </c>
      <c r="F4" s="15" t="n">
        <v>6</v>
      </c>
      <c r="G4" s="15" t="n">
        <v>7</v>
      </c>
      <c r="H4" s="15" t="n">
        <v>8</v>
      </c>
      <c r="I4" s="15" t="n">
        <v>9</v>
      </c>
      <c r="J4" s="15" t="n">
        <v>11</v>
      </c>
      <c r="K4" s="15" t="n">
        <v>12</v>
      </c>
      <c r="L4" s="15" t="n">
        <v>1</v>
      </c>
      <c r="M4" s="15" t="inlineStr">
        <is>
          <t>TOTAL</t>
        </is>
      </c>
    </row>
    <row r="5">
      <c r="A5" s="5" t="inlineStr">
        <is>
          <t>EQ-110</t>
        </is>
      </c>
      <c r="B5" s="18">
        <f>SUMIFS(tblOrdenes[costo_total],tblOrdenes[equipo],$A5,tblOrdenes[anio],B$3,tblOrdenes[mes],B$4)</f>
        <v/>
      </c>
      <c r="C5" s="18">
        <f>SUMIFS(tblOrdenes[costo_total],tblOrdenes[equipo],$A5,tblOrdenes[anio],C$3,tblOrdenes[mes],C$4)</f>
        <v/>
      </c>
      <c r="D5" s="18">
        <f>SUMIFS(tblOrdenes[costo_total],tblOrdenes[equipo],$A5,tblOrdenes[anio],D$3,tblOrdenes[mes],D$4)</f>
        <v/>
      </c>
      <c r="E5" s="18">
        <f>SUMIFS(tblOrdenes[costo_total],tblOrdenes[equipo],$A5,tblOrdenes[anio],E$3,tblOrdenes[mes],E$4)</f>
        <v/>
      </c>
      <c r="F5" s="18">
        <f>SUMIFS(tblOrdenes[costo_total],tblOrdenes[equipo],$A5,tblOrdenes[anio],F$3,tblOrdenes[mes],F$4)</f>
        <v/>
      </c>
      <c r="G5" s="18">
        <f>SUMIFS(tblOrdenes[costo_total],tblOrdenes[equipo],$A5,tblOrdenes[anio],G$3,tblOrdenes[mes],G$4)</f>
        <v/>
      </c>
      <c r="H5" s="18">
        <f>SUMIFS(tblOrdenes[costo_total],tblOrdenes[equipo],$A5,tblOrdenes[anio],H$3,tblOrdenes[mes],H$4)</f>
        <v/>
      </c>
      <c r="I5" s="18">
        <f>SUMIFS(tblOrdenes[costo_total],tblOrdenes[equipo],$A5,tblOrdenes[anio],I$3,tblOrdenes[mes],I$4)</f>
        <v/>
      </c>
      <c r="J5" s="18">
        <f>SUMIFS(tblOrdenes[costo_total],tblOrdenes[equipo],$A5,tblOrdenes[anio],J$3,tblOrdenes[mes],J$4)</f>
        <v/>
      </c>
      <c r="K5" s="18">
        <f>SUMIFS(tblOrdenes[costo_total],tblOrdenes[equipo],$A5,tblOrdenes[anio],K$3,tblOrdenes[mes],K$4)</f>
        <v/>
      </c>
      <c r="L5" s="18">
        <f>SUMIFS(tblOrdenes[costo_total],tblOrdenes[equipo],$A5,tblOrdenes[anio],L$3,tblOrdenes[mes],L$4)</f>
        <v/>
      </c>
      <c r="M5" s="18">
        <f>SUM(B5:L5)</f>
        <v/>
      </c>
    </row>
    <row r="6">
      <c r="A6" s="5" t="inlineStr">
        <is>
          <t>EQ-106</t>
        </is>
      </c>
      <c r="B6" s="18">
        <f>SUMIFS(tblOrdenes[costo_total],tblOrdenes[equipo],$A6,tblOrdenes[anio],B$3,tblOrdenes[mes],B$4)</f>
        <v/>
      </c>
      <c r="C6" s="18">
        <f>SUMIFS(tblOrdenes[costo_total],tblOrdenes[equipo],$A6,tblOrdenes[anio],C$3,tblOrdenes[mes],C$4)</f>
        <v/>
      </c>
      <c r="D6" s="18">
        <f>SUMIFS(tblOrdenes[costo_total],tblOrdenes[equipo],$A6,tblOrdenes[anio],D$3,tblOrdenes[mes],D$4)</f>
        <v/>
      </c>
      <c r="E6" s="18">
        <f>SUMIFS(tblOrdenes[costo_total],tblOrdenes[equipo],$A6,tblOrdenes[anio],E$3,tblOrdenes[mes],E$4)</f>
        <v/>
      </c>
      <c r="F6" s="18">
        <f>SUMIFS(tblOrdenes[costo_total],tblOrdenes[equipo],$A6,tblOrdenes[anio],F$3,tblOrdenes[mes],F$4)</f>
        <v/>
      </c>
      <c r="G6" s="18">
        <f>SUMIFS(tblOrdenes[costo_total],tblOrdenes[equipo],$A6,tblOrdenes[anio],G$3,tblOrdenes[mes],G$4)</f>
        <v/>
      </c>
      <c r="H6" s="18">
        <f>SUMIFS(tblOrdenes[costo_total],tblOrdenes[equipo],$A6,tblOrdenes[anio],H$3,tblOrdenes[mes],H$4)</f>
        <v/>
      </c>
      <c r="I6" s="18">
        <f>SUMIFS(tblOrdenes[costo_total],tblOrdenes[equipo],$A6,tblOrdenes[anio],I$3,tblOrdenes[mes],I$4)</f>
        <v/>
      </c>
      <c r="J6" s="18">
        <f>SUMIFS(tblOrdenes[costo_total],tblOrdenes[equipo],$A6,tblOrdenes[anio],J$3,tblOrdenes[mes],J$4)</f>
        <v/>
      </c>
      <c r="K6" s="18">
        <f>SUMIFS(tblOrdenes[costo_total],tblOrdenes[equipo],$A6,tblOrdenes[anio],K$3,tblOrdenes[mes],K$4)</f>
        <v/>
      </c>
      <c r="L6" s="18">
        <f>SUMIFS(tblOrdenes[costo_total],tblOrdenes[equipo],$A6,tblOrdenes[anio],L$3,tblOrdenes[mes],L$4)</f>
        <v/>
      </c>
      <c r="M6" s="18">
        <f>SUM(B6:L6)</f>
        <v/>
      </c>
    </row>
    <row r="7">
      <c r="A7" s="5" t="inlineStr">
        <is>
          <t>EQ-108</t>
        </is>
      </c>
      <c r="B7" s="18">
        <f>SUMIFS(tblOrdenes[costo_total],tblOrdenes[equipo],$A7,tblOrdenes[anio],B$3,tblOrdenes[mes],B$4)</f>
        <v/>
      </c>
      <c r="C7" s="18">
        <f>SUMIFS(tblOrdenes[costo_total],tblOrdenes[equipo],$A7,tblOrdenes[anio],C$3,tblOrdenes[mes],C$4)</f>
        <v/>
      </c>
      <c r="D7" s="18">
        <f>SUMIFS(tblOrdenes[costo_total],tblOrdenes[equipo],$A7,tblOrdenes[anio],D$3,tblOrdenes[mes],D$4)</f>
        <v/>
      </c>
      <c r="E7" s="18">
        <f>SUMIFS(tblOrdenes[costo_total],tblOrdenes[equipo],$A7,tblOrdenes[anio],E$3,tblOrdenes[mes],E$4)</f>
        <v/>
      </c>
      <c r="F7" s="18">
        <f>SUMIFS(tblOrdenes[costo_total],tblOrdenes[equipo],$A7,tblOrdenes[anio],F$3,tblOrdenes[mes],F$4)</f>
        <v/>
      </c>
      <c r="G7" s="18">
        <f>SUMIFS(tblOrdenes[costo_total],tblOrdenes[equipo],$A7,tblOrdenes[anio],G$3,tblOrdenes[mes],G$4)</f>
        <v/>
      </c>
      <c r="H7" s="18">
        <f>SUMIFS(tblOrdenes[costo_total],tblOrdenes[equipo],$A7,tblOrdenes[anio],H$3,tblOrdenes[mes],H$4)</f>
        <v/>
      </c>
      <c r="I7" s="18">
        <f>SUMIFS(tblOrdenes[costo_total],tblOrdenes[equipo],$A7,tblOrdenes[anio],I$3,tblOrdenes[mes],I$4)</f>
        <v/>
      </c>
      <c r="J7" s="18">
        <f>SUMIFS(tblOrdenes[costo_total],tblOrdenes[equipo],$A7,tblOrdenes[anio],J$3,tblOrdenes[mes],J$4)</f>
        <v/>
      </c>
      <c r="K7" s="18">
        <f>SUMIFS(tblOrdenes[costo_total],tblOrdenes[equipo],$A7,tblOrdenes[anio],K$3,tblOrdenes[mes],K$4)</f>
        <v/>
      </c>
      <c r="L7" s="18">
        <f>SUMIFS(tblOrdenes[costo_total],tblOrdenes[equipo],$A7,tblOrdenes[anio],L$3,tblOrdenes[mes],L$4)</f>
        <v/>
      </c>
      <c r="M7" s="18">
        <f>SUM(B7:L7)</f>
        <v/>
      </c>
    </row>
    <row r="8">
      <c r="A8" s="5" t="inlineStr">
        <is>
          <t>EQ-109</t>
        </is>
      </c>
      <c r="B8" s="18">
        <f>SUMIFS(tblOrdenes[costo_total],tblOrdenes[equipo],$A8,tblOrdenes[anio],B$3,tblOrdenes[mes],B$4)</f>
        <v/>
      </c>
      <c r="C8" s="18">
        <f>SUMIFS(tblOrdenes[costo_total],tblOrdenes[equipo],$A8,tblOrdenes[anio],C$3,tblOrdenes[mes],C$4)</f>
        <v/>
      </c>
      <c r="D8" s="18">
        <f>SUMIFS(tblOrdenes[costo_total],tblOrdenes[equipo],$A8,tblOrdenes[anio],D$3,tblOrdenes[mes],D$4)</f>
        <v/>
      </c>
      <c r="E8" s="18">
        <f>SUMIFS(tblOrdenes[costo_total],tblOrdenes[equipo],$A8,tblOrdenes[anio],E$3,tblOrdenes[mes],E$4)</f>
        <v/>
      </c>
      <c r="F8" s="18">
        <f>SUMIFS(tblOrdenes[costo_total],tblOrdenes[equipo],$A8,tblOrdenes[anio],F$3,tblOrdenes[mes],F$4)</f>
        <v/>
      </c>
      <c r="G8" s="18">
        <f>SUMIFS(tblOrdenes[costo_total],tblOrdenes[equipo],$A8,tblOrdenes[anio],G$3,tblOrdenes[mes],G$4)</f>
        <v/>
      </c>
      <c r="H8" s="18">
        <f>SUMIFS(tblOrdenes[costo_total],tblOrdenes[equipo],$A8,tblOrdenes[anio],H$3,tblOrdenes[mes],H$4)</f>
        <v/>
      </c>
      <c r="I8" s="18">
        <f>SUMIFS(tblOrdenes[costo_total],tblOrdenes[equipo],$A8,tblOrdenes[anio],I$3,tblOrdenes[mes],I$4)</f>
        <v/>
      </c>
      <c r="J8" s="18">
        <f>SUMIFS(tblOrdenes[costo_total],tblOrdenes[equipo],$A8,tblOrdenes[anio],J$3,tblOrdenes[mes],J$4)</f>
        <v/>
      </c>
      <c r="K8" s="18">
        <f>SUMIFS(tblOrdenes[costo_total],tblOrdenes[equipo],$A8,tblOrdenes[anio],K$3,tblOrdenes[mes],K$4)</f>
        <v/>
      </c>
      <c r="L8" s="18">
        <f>SUMIFS(tblOrdenes[costo_total],tblOrdenes[equipo],$A8,tblOrdenes[anio],L$3,tblOrdenes[mes],L$4)</f>
        <v/>
      </c>
      <c r="M8" s="18">
        <f>SUM(B8:L8)</f>
        <v/>
      </c>
    </row>
    <row r="9">
      <c r="A9" s="5" t="inlineStr">
        <is>
          <t>EQ-103</t>
        </is>
      </c>
      <c r="B9" s="18">
        <f>SUMIFS(tblOrdenes[costo_total],tblOrdenes[equipo],$A9,tblOrdenes[anio],B$3,tblOrdenes[mes],B$4)</f>
        <v/>
      </c>
      <c r="C9" s="18">
        <f>SUMIFS(tblOrdenes[costo_total],tblOrdenes[equipo],$A9,tblOrdenes[anio],C$3,tblOrdenes[mes],C$4)</f>
        <v/>
      </c>
      <c r="D9" s="18">
        <f>SUMIFS(tblOrdenes[costo_total],tblOrdenes[equipo],$A9,tblOrdenes[anio],D$3,tblOrdenes[mes],D$4)</f>
        <v/>
      </c>
      <c r="E9" s="18">
        <f>SUMIFS(tblOrdenes[costo_total],tblOrdenes[equipo],$A9,tblOrdenes[anio],E$3,tblOrdenes[mes],E$4)</f>
        <v/>
      </c>
      <c r="F9" s="18">
        <f>SUMIFS(tblOrdenes[costo_total],tblOrdenes[equipo],$A9,tblOrdenes[anio],F$3,tblOrdenes[mes],F$4)</f>
        <v/>
      </c>
      <c r="G9" s="18">
        <f>SUMIFS(tblOrdenes[costo_total],tblOrdenes[equipo],$A9,tblOrdenes[anio],G$3,tblOrdenes[mes],G$4)</f>
        <v/>
      </c>
      <c r="H9" s="18">
        <f>SUMIFS(tblOrdenes[costo_total],tblOrdenes[equipo],$A9,tblOrdenes[anio],H$3,tblOrdenes[mes],H$4)</f>
        <v/>
      </c>
      <c r="I9" s="18">
        <f>SUMIFS(tblOrdenes[costo_total],tblOrdenes[equipo],$A9,tblOrdenes[anio],I$3,tblOrdenes[mes],I$4)</f>
        <v/>
      </c>
      <c r="J9" s="18">
        <f>SUMIFS(tblOrdenes[costo_total],tblOrdenes[equipo],$A9,tblOrdenes[anio],J$3,tblOrdenes[mes],J$4)</f>
        <v/>
      </c>
      <c r="K9" s="18">
        <f>SUMIFS(tblOrdenes[costo_total],tblOrdenes[equipo],$A9,tblOrdenes[anio],K$3,tblOrdenes[mes],K$4)</f>
        <v/>
      </c>
      <c r="L9" s="18">
        <f>SUMIFS(tblOrdenes[costo_total],tblOrdenes[equipo],$A9,tblOrdenes[anio],L$3,tblOrdenes[mes],L$4)</f>
        <v/>
      </c>
      <c r="M9" s="18">
        <f>SUM(B9:L9)</f>
        <v/>
      </c>
    </row>
    <row r="10">
      <c r="A10" s="5" t="inlineStr">
        <is>
          <t>EQ-102</t>
        </is>
      </c>
      <c r="B10" s="18">
        <f>SUMIFS(tblOrdenes[costo_total],tblOrdenes[equipo],$A10,tblOrdenes[anio],B$3,tblOrdenes[mes],B$4)</f>
        <v/>
      </c>
      <c r="C10" s="18">
        <f>SUMIFS(tblOrdenes[costo_total],tblOrdenes[equipo],$A10,tblOrdenes[anio],C$3,tblOrdenes[mes],C$4)</f>
        <v/>
      </c>
      <c r="D10" s="18">
        <f>SUMIFS(tblOrdenes[costo_total],tblOrdenes[equipo],$A10,tblOrdenes[anio],D$3,tblOrdenes[mes],D$4)</f>
        <v/>
      </c>
      <c r="E10" s="18">
        <f>SUMIFS(tblOrdenes[costo_total],tblOrdenes[equipo],$A10,tblOrdenes[anio],E$3,tblOrdenes[mes],E$4)</f>
        <v/>
      </c>
      <c r="F10" s="18">
        <f>SUMIFS(tblOrdenes[costo_total],tblOrdenes[equipo],$A10,tblOrdenes[anio],F$3,tblOrdenes[mes],F$4)</f>
        <v/>
      </c>
      <c r="G10" s="18">
        <f>SUMIFS(tblOrdenes[costo_total],tblOrdenes[equipo],$A10,tblOrdenes[anio],G$3,tblOrdenes[mes],G$4)</f>
        <v/>
      </c>
      <c r="H10" s="18">
        <f>SUMIFS(tblOrdenes[costo_total],tblOrdenes[equipo],$A10,tblOrdenes[anio],H$3,tblOrdenes[mes],H$4)</f>
        <v/>
      </c>
      <c r="I10" s="18">
        <f>SUMIFS(tblOrdenes[costo_total],tblOrdenes[equipo],$A10,tblOrdenes[anio],I$3,tblOrdenes[mes],I$4)</f>
        <v/>
      </c>
      <c r="J10" s="18">
        <f>SUMIFS(tblOrdenes[costo_total],tblOrdenes[equipo],$A10,tblOrdenes[anio],J$3,tblOrdenes[mes],J$4)</f>
        <v/>
      </c>
      <c r="K10" s="18">
        <f>SUMIFS(tblOrdenes[costo_total],tblOrdenes[equipo],$A10,tblOrdenes[anio],K$3,tblOrdenes[mes],K$4)</f>
        <v/>
      </c>
      <c r="L10" s="18">
        <f>SUMIFS(tblOrdenes[costo_total],tblOrdenes[equipo],$A10,tblOrdenes[anio],L$3,tblOrdenes[mes],L$4)</f>
        <v/>
      </c>
      <c r="M10" s="18">
        <f>SUM(B10:L10)</f>
        <v/>
      </c>
    </row>
    <row r="11">
      <c r="A11" s="5" t="inlineStr">
        <is>
          <t>EQ-101</t>
        </is>
      </c>
      <c r="B11" s="18">
        <f>SUMIFS(tblOrdenes[costo_total],tblOrdenes[equipo],$A11,tblOrdenes[anio],B$3,tblOrdenes[mes],B$4)</f>
        <v/>
      </c>
      <c r="C11" s="18">
        <f>SUMIFS(tblOrdenes[costo_total],tblOrdenes[equipo],$A11,tblOrdenes[anio],C$3,tblOrdenes[mes],C$4)</f>
        <v/>
      </c>
      <c r="D11" s="18">
        <f>SUMIFS(tblOrdenes[costo_total],tblOrdenes[equipo],$A11,tblOrdenes[anio],D$3,tblOrdenes[mes],D$4)</f>
        <v/>
      </c>
      <c r="E11" s="18">
        <f>SUMIFS(tblOrdenes[costo_total],tblOrdenes[equipo],$A11,tblOrdenes[anio],E$3,tblOrdenes[mes],E$4)</f>
        <v/>
      </c>
      <c r="F11" s="18">
        <f>SUMIFS(tblOrdenes[costo_total],tblOrdenes[equipo],$A11,tblOrdenes[anio],F$3,tblOrdenes[mes],F$4)</f>
        <v/>
      </c>
      <c r="G11" s="18">
        <f>SUMIFS(tblOrdenes[costo_total],tblOrdenes[equipo],$A11,tblOrdenes[anio],G$3,tblOrdenes[mes],G$4)</f>
        <v/>
      </c>
      <c r="H11" s="18">
        <f>SUMIFS(tblOrdenes[costo_total],tblOrdenes[equipo],$A11,tblOrdenes[anio],H$3,tblOrdenes[mes],H$4)</f>
        <v/>
      </c>
      <c r="I11" s="18">
        <f>SUMIFS(tblOrdenes[costo_total],tblOrdenes[equipo],$A11,tblOrdenes[anio],I$3,tblOrdenes[mes],I$4)</f>
        <v/>
      </c>
      <c r="J11" s="18">
        <f>SUMIFS(tblOrdenes[costo_total],tblOrdenes[equipo],$A11,tblOrdenes[anio],J$3,tblOrdenes[mes],J$4)</f>
        <v/>
      </c>
      <c r="K11" s="18">
        <f>SUMIFS(tblOrdenes[costo_total],tblOrdenes[equipo],$A11,tblOrdenes[anio],K$3,tblOrdenes[mes],K$4)</f>
        <v/>
      </c>
      <c r="L11" s="18">
        <f>SUMIFS(tblOrdenes[costo_total],tblOrdenes[equipo],$A11,tblOrdenes[anio],L$3,tblOrdenes[mes],L$4)</f>
        <v/>
      </c>
      <c r="M11" s="18">
        <f>SUM(B11:L11)</f>
        <v/>
      </c>
    </row>
    <row r="12">
      <c r="A12" s="5" t="inlineStr">
        <is>
          <t>EQ-111</t>
        </is>
      </c>
      <c r="B12" s="18">
        <f>SUMIFS(tblOrdenes[costo_total],tblOrdenes[equipo],$A12,tblOrdenes[anio],B$3,tblOrdenes[mes],B$4)</f>
        <v/>
      </c>
      <c r="C12" s="18">
        <f>SUMIFS(tblOrdenes[costo_total],tblOrdenes[equipo],$A12,tblOrdenes[anio],C$3,tblOrdenes[mes],C$4)</f>
        <v/>
      </c>
      <c r="D12" s="18">
        <f>SUMIFS(tblOrdenes[costo_total],tblOrdenes[equipo],$A12,tblOrdenes[anio],D$3,tblOrdenes[mes],D$4)</f>
        <v/>
      </c>
      <c r="E12" s="18">
        <f>SUMIFS(tblOrdenes[costo_total],tblOrdenes[equipo],$A12,tblOrdenes[anio],E$3,tblOrdenes[mes],E$4)</f>
        <v/>
      </c>
      <c r="F12" s="18">
        <f>SUMIFS(tblOrdenes[costo_total],tblOrdenes[equipo],$A12,tblOrdenes[anio],F$3,tblOrdenes[mes],F$4)</f>
        <v/>
      </c>
      <c r="G12" s="18">
        <f>SUMIFS(tblOrdenes[costo_total],tblOrdenes[equipo],$A12,tblOrdenes[anio],G$3,tblOrdenes[mes],G$4)</f>
        <v/>
      </c>
      <c r="H12" s="18">
        <f>SUMIFS(tblOrdenes[costo_total],tblOrdenes[equipo],$A12,tblOrdenes[anio],H$3,tblOrdenes[mes],H$4)</f>
        <v/>
      </c>
      <c r="I12" s="18">
        <f>SUMIFS(tblOrdenes[costo_total],tblOrdenes[equipo],$A12,tblOrdenes[anio],I$3,tblOrdenes[mes],I$4)</f>
        <v/>
      </c>
      <c r="J12" s="18">
        <f>SUMIFS(tblOrdenes[costo_total],tblOrdenes[equipo],$A12,tblOrdenes[anio],J$3,tblOrdenes[mes],J$4)</f>
        <v/>
      </c>
      <c r="K12" s="18">
        <f>SUMIFS(tblOrdenes[costo_total],tblOrdenes[equipo],$A12,tblOrdenes[anio],K$3,tblOrdenes[mes],K$4)</f>
        <v/>
      </c>
      <c r="L12" s="18">
        <f>SUMIFS(tblOrdenes[costo_total],tblOrdenes[equipo],$A12,tblOrdenes[anio],L$3,tblOrdenes[mes],L$4)</f>
        <v/>
      </c>
      <c r="M12" s="18">
        <f>SUM(B12:L12)</f>
        <v/>
      </c>
    </row>
    <row r="13">
      <c r="A13" s="5" t="inlineStr">
        <is>
          <t>EQ-104</t>
        </is>
      </c>
      <c r="B13" s="18">
        <f>SUMIFS(tblOrdenes[costo_total],tblOrdenes[equipo],$A13,tblOrdenes[anio],B$3,tblOrdenes[mes],B$4)</f>
        <v/>
      </c>
      <c r="C13" s="18">
        <f>SUMIFS(tblOrdenes[costo_total],tblOrdenes[equipo],$A13,tblOrdenes[anio],C$3,tblOrdenes[mes],C$4)</f>
        <v/>
      </c>
      <c r="D13" s="18">
        <f>SUMIFS(tblOrdenes[costo_total],tblOrdenes[equipo],$A13,tblOrdenes[anio],D$3,tblOrdenes[mes],D$4)</f>
        <v/>
      </c>
      <c r="E13" s="18">
        <f>SUMIFS(tblOrdenes[costo_total],tblOrdenes[equipo],$A13,tblOrdenes[anio],E$3,tblOrdenes[mes],E$4)</f>
        <v/>
      </c>
      <c r="F13" s="18">
        <f>SUMIFS(tblOrdenes[costo_total],tblOrdenes[equipo],$A13,tblOrdenes[anio],F$3,tblOrdenes[mes],F$4)</f>
        <v/>
      </c>
      <c r="G13" s="18">
        <f>SUMIFS(tblOrdenes[costo_total],tblOrdenes[equipo],$A13,tblOrdenes[anio],G$3,tblOrdenes[mes],G$4)</f>
        <v/>
      </c>
      <c r="H13" s="18">
        <f>SUMIFS(tblOrdenes[costo_total],tblOrdenes[equipo],$A13,tblOrdenes[anio],H$3,tblOrdenes[mes],H$4)</f>
        <v/>
      </c>
      <c r="I13" s="18">
        <f>SUMIFS(tblOrdenes[costo_total],tblOrdenes[equipo],$A13,tblOrdenes[anio],I$3,tblOrdenes[mes],I$4)</f>
        <v/>
      </c>
      <c r="J13" s="18">
        <f>SUMIFS(tblOrdenes[costo_total],tblOrdenes[equipo],$A13,tblOrdenes[anio],J$3,tblOrdenes[mes],J$4)</f>
        <v/>
      </c>
      <c r="K13" s="18">
        <f>SUMIFS(tblOrdenes[costo_total],tblOrdenes[equipo],$A13,tblOrdenes[anio],K$3,tblOrdenes[mes],K$4)</f>
        <v/>
      </c>
      <c r="L13" s="18">
        <f>SUMIFS(tblOrdenes[costo_total],tblOrdenes[equipo],$A13,tblOrdenes[anio],L$3,tblOrdenes[mes],L$4)</f>
        <v/>
      </c>
      <c r="M13" s="18">
        <f>SUM(B13:L13)</f>
        <v/>
      </c>
    </row>
    <row r="14">
      <c r="A14" s="5" t="inlineStr">
        <is>
          <t>EQ-105</t>
        </is>
      </c>
      <c r="B14" s="18">
        <f>SUMIFS(tblOrdenes[costo_total],tblOrdenes[equipo],$A14,tblOrdenes[anio],B$3,tblOrdenes[mes],B$4)</f>
        <v/>
      </c>
      <c r="C14" s="18">
        <f>SUMIFS(tblOrdenes[costo_total],tblOrdenes[equipo],$A14,tblOrdenes[anio],C$3,tblOrdenes[mes],C$4)</f>
        <v/>
      </c>
      <c r="D14" s="18">
        <f>SUMIFS(tblOrdenes[costo_total],tblOrdenes[equipo],$A14,tblOrdenes[anio],D$3,tblOrdenes[mes],D$4)</f>
        <v/>
      </c>
      <c r="E14" s="18">
        <f>SUMIFS(tblOrdenes[costo_total],tblOrdenes[equipo],$A14,tblOrdenes[anio],E$3,tblOrdenes[mes],E$4)</f>
        <v/>
      </c>
      <c r="F14" s="18">
        <f>SUMIFS(tblOrdenes[costo_total],tblOrdenes[equipo],$A14,tblOrdenes[anio],F$3,tblOrdenes[mes],F$4)</f>
        <v/>
      </c>
      <c r="G14" s="18">
        <f>SUMIFS(tblOrdenes[costo_total],tblOrdenes[equipo],$A14,tblOrdenes[anio],G$3,tblOrdenes[mes],G$4)</f>
        <v/>
      </c>
      <c r="H14" s="18">
        <f>SUMIFS(tblOrdenes[costo_total],tblOrdenes[equipo],$A14,tblOrdenes[anio],H$3,tblOrdenes[mes],H$4)</f>
        <v/>
      </c>
      <c r="I14" s="18">
        <f>SUMIFS(tblOrdenes[costo_total],tblOrdenes[equipo],$A14,tblOrdenes[anio],I$3,tblOrdenes[mes],I$4)</f>
        <v/>
      </c>
      <c r="J14" s="18">
        <f>SUMIFS(tblOrdenes[costo_total],tblOrdenes[equipo],$A14,tblOrdenes[anio],J$3,tblOrdenes[mes],J$4)</f>
        <v/>
      </c>
      <c r="K14" s="18">
        <f>SUMIFS(tblOrdenes[costo_total],tblOrdenes[equipo],$A14,tblOrdenes[anio],K$3,tblOrdenes[mes],K$4)</f>
        <v/>
      </c>
      <c r="L14" s="18">
        <f>SUMIFS(tblOrdenes[costo_total],tblOrdenes[equipo],$A14,tblOrdenes[anio],L$3,tblOrdenes[mes],L$4)</f>
        <v/>
      </c>
      <c r="M14" s="18">
        <f>SUM(B14:L14)</f>
        <v/>
      </c>
    </row>
    <row r="15">
      <c r="A15" s="5" t="inlineStr">
        <is>
          <t>EQ-107</t>
        </is>
      </c>
      <c r="B15" s="18">
        <f>SUMIFS(tblOrdenes[costo_total],tblOrdenes[equipo],$A15,tblOrdenes[anio],B$3,tblOrdenes[mes],B$4)</f>
        <v/>
      </c>
      <c r="C15" s="18">
        <f>SUMIFS(tblOrdenes[costo_total],tblOrdenes[equipo],$A15,tblOrdenes[anio],C$3,tblOrdenes[mes],C$4)</f>
        <v/>
      </c>
      <c r="D15" s="18">
        <f>SUMIFS(tblOrdenes[costo_total],tblOrdenes[equipo],$A15,tblOrdenes[anio],D$3,tblOrdenes[mes],D$4)</f>
        <v/>
      </c>
      <c r="E15" s="18">
        <f>SUMIFS(tblOrdenes[costo_total],tblOrdenes[equipo],$A15,tblOrdenes[anio],E$3,tblOrdenes[mes],E$4)</f>
        <v/>
      </c>
      <c r="F15" s="18">
        <f>SUMIFS(tblOrdenes[costo_total],tblOrdenes[equipo],$A15,tblOrdenes[anio],F$3,tblOrdenes[mes],F$4)</f>
        <v/>
      </c>
      <c r="G15" s="18">
        <f>SUMIFS(tblOrdenes[costo_total],tblOrdenes[equipo],$A15,tblOrdenes[anio],G$3,tblOrdenes[mes],G$4)</f>
        <v/>
      </c>
      <c r="H15" s="18">
        <f>SUMIFS(tblOrdenes[costo_total],tblOrdenes[equipo],$A15,tblOrdenes[anio],H$3,tblOrdenes[mes],H$4)</f>
        <v/>
      </c>
      <c r="I15" s="18">
        <f>SUMIFS(tblOrdenes[costo_total],tblOrdenes[equipo],$A15,tblOrdenes[anio],I$3,tblOrdenes[mes],I$4)</f>
        <v/>
      </c>
      <c r="J15" s="18">
        <f>SUMIFS(tblOrdenes[costo_total],tblOrdenes[equipo],$A15,tblOrdenes[anio],J$3,tblOrdenes[mes],J$4)</f>
        <v/>
      </c>
      <c r="K15" s="18">
        <f>SUMIFS(tblOrdenes[costo_total],tblOrdenes[equipo],$A15,tblOrdenes[anio],K$3,tblOrdenes[mes],K$4)</f>
        <v/>
      </c>
      <c r="L15" s="18">
        <f>SUMIFS(tblOrdenes[costo_total],tblOrdenes[equipo],$A15,tblOrdenes[anio],L$3,tblOrdenes[mes],L$4)</f>
        <v/>
      </c>
      <c r="M15" s="18">
        <f>SUM(B15:L15)</f>
        <v/>
      </c>
    </row>
    <row r="16">
      <c r="A16" s="5" t="inlineStr">
        <is>
          <t>EQ-112</t>
        </is>
      </c>
      <c r="B16" s="18">
        <f>SUMIFS(tblOrdenes[costo_total],tblOrdenes[equipo],$A16,tblOrdenes[anio],B$3,tblOrdenes[mes],B$4)</f>
        <v/>
      </c>
      <c r="C16" s="18">
        <f>SUMIFS(tblOrdenes[costo_total],tblOrdenes[equipo],$A16,tblOrdenes[anio],C$3,tblOrdenes[mes],C$4)</f>
        <v/>
      </c>
      <c r="D16" s="18">
        <f>SUMIFS(tblOrdenes[costo_total],tblOrdenes[equipo],$A16,tblOrdenes[anio],D$3,tblOrdenes[mes],D$4)</f>
        <v/>
      </c>
      <c r="E16" s="18">
        <f>SUMIFS(tblOrdenes[costo_total],tblOrdenes[equipo],$A16,tblOrdenes[anio],E$3,tblOrdenes[mes],E$4)</f>
        <v/>
      </c>
      <c r="F16" s="18">
        <f>SUMIFS(tblOrdenes[costo_total],tblOrdenes[equipo],$A16,tblOrdenes[anio],F$3,tblOrdenes[mes],F$4)</f>
        <v/>
      </c>
      <c r="G16" s="18">
        <f>SUMIFS(tblOrdenes[costo_total],tblOrdenes[equipo],$A16,tblOrdenes[anio],G$3,tblOrdenes[mes],G$4)</f>
        <v/>
      </c>
      <c r="H16" s="18">
        <f>SUMIFS(tblOrdenes[costo_total],tblOrdenes[equipo],$A16,tblOrdenes[anio],H$3,tblOrdenes[mes],H$4)</f>
        <v/>
      </c>
      <c r="I16" s="18">
        <f>SUMIFS(tblOrdenes[costo_total],tblOrdenes[equipo],$A16,tblOrdenes[anio],I$3,tblOrdenes[mes],I$4)</f>
        <v/>
      </c>
      <c r="J16" s="18">
        <f>SUMIFS(tblOrdenes[costo_total],tblOrdenes[equipo],$A16,tblOrdenes[anio],J$3,tblOrdenes[mes],J$4)</f>
        <v/>
      </c>
      <c r="K16" s="18">
        <f>SUMIFS(tblOrdenes[costo_total],tblOrdenes[equipo],$A16,tblOrdenes[anio],K$3,tblOrdenes[mes],K$4)</f>
        <v/>
      </c>
      <c r="L16" s="18">
        <f>SUMIFS(tblOrdenes[costo_total],tblOrdenes[equipo],$A16,tblOrdenes[anio],L$3,tblOrdenes[mes],L$4)</f>
        <v/>
      </c>
      <c r="M16" s="18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15" t="inlineStr">
        <is>
          <t>tecnico</t>
        </is>
      </c>
      <c r="B3" s="15" t="inlineStr">
        <is>
          <t>semana</t>
        </is>
      </c>
      <c r="C3" s="15" t="inlineStr">
        <is>
          <t>especialidad</t>
        </is>
      </c>
      <c r="D3" s="15" t="inlineStr">
        <is>
          <t>posicion</t>
        </is>
      </c>
      <c r="E3" s="15" t="inlineStr">
        <is>
          <t>horas_reales</t>
        </is>
      </c>
      <c r="F3" s="15" t="inlineStr">
        <is>
          <t>base_semanal</t>
        </is>
      </c>
      <c r="G3" s="15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5">
        <f>_xlfn.XLOOKUP(tblSegHH[[#This Row],[tecnico]],tblTecnicos[nombre],tblTecnicos[especialidad],"")</f>
        <v/>
      </c>
      <c r="D4" s="5">
        <f>_xlfn.XLOOKUP(tblSegHH[[#This Row],[semana]]&amp;"|lunes|"&amp;tblSegHH[[#This Row],[tecnico]],tblAsignaciones[clave],tblAsignaciones[posicion_ciclo],"")</f>
        <v/>
      </c>
      <c r="E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5">
        <f>p_base_semanal_horas</f>
        <v/>
      </c>
      <c r="G4" s="5">
        <f>tblSegHH[[#This Row],[horas_reales]]-tblSegHH[[#This Row],[base_semanal]]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5">
        <f>_xlfn.XLOOKUP(tblSegHH[[#This Row],[tecnico]],tblTecnicos[nombre],tblTecnicos[especialidad],"")</f>
        <v/>
      </c>
      <c r="D5" s="5">
        <f>_xlfn.XLOOKUP(tblSegHH[[#This Row],[semana]]&amp;"|lunes|"&amp;tblSegHH[[#This Row],[tecnico]],tblAsignaciones[clave],tblAsignaciones[posicion_ciclo],"")</f>
        <v/>
      </c>
      <c r="E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5">
        <f>p_base_semanal_horas</f>
        <v/>
      </c>
      <c r="G5" s="5">
        <f>tblSegHH[[#This Row],[horas_reales]]-tblSegHH[[#This Row],[base_semanal]]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5">
        <f>_xlfn.XLOOKUP(tblSegHH[[#This Row],[tecnico]],tblTecnicos[nombre],tblTecnicos[especialidad],"")</f>
        <v/>
      </c>
      <c r="D6" s="5">
        <f>_xlfn.XLOOKUP(tblSegHH[[#This Row],[semana]]&amp;"|lunes|"&amp;tblSegHH[[#This Row],[tecnico]],tblAsignaciones[clave],tblAsignaciones[posicion_ciclo],"")</f>
        <v/>
      </c>
      <c r="E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5">
        <f>p_base_semanal_horas</f>
        <v/>
      </c>
      <c r="G6" s="5">
        <f>tblSegHH[[#This Row],[horas_reales]]-tblSegHH[[#This Row],[base_semanal]]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5">
        <f>_xlfn.XLOOKUP(tblSegHH[[#This Row],[tecnico]],tblTecnicos[nombre],tblTecnicos[especialidad],"")</f>
        <v/>
      </c>
      <c r="D7" s="5">
        <f>_xlfn.XLOOKUP(tblSegHH[[#This Row],[semana]]&amp;"|lunes|"&amp;tblSegHH[[#This Row],[tecnico]],tblAsignaciones[clave],tblAsignaciones[posicion_ciclo],"")</f>
        <v/>
      </c>
      <c r="E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5">
        <f>p_base_semanal_horas</f>
        <v/>
      </c>
      <c r="G7" s="5">
        <f>tblSegHH[[#This Row],[horas_reales]]-tblSegHH[[#This Row],[base_semanal]]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5">
        <f>_xlfn.XLOOKUP(tblSegHH[[#This Row],[tecnico]],tblTecnicos[nombre],tblTecnicos[especialidad],"")</f>
        <v/>
      </c>
      <c r="D8" s="5">
        <f>_xlfn.XLOOKUP(tblSegHH[[#This Row],[semana]]&amp;"|lunes|"&amp;tblSegHH[[#This Row],[tecnico]],tblAsignaciones[clave],tblAsignaciones[posicion_ciclo],"")</f>
        <v/>
      </c>
      <c r="E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5">
        <f>p_base_semanal_horas</f>
        <v/>
      </c>
      <c r="G8" s="5">
        <f>tblSegHH[[#This Row],[horas_reales]]-tblSegHH[[#This Row],[base_semanal]]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5">
        <f>_xlfn.XLOOKUP(tblSegHH[[#This Row],[tecnico]],tblTecnicos[nombre],tblTecnicos[especialidad],"")</f>
        <v/>
      </c>
      <c r="D9" s="5">
        <f>_xlfn.XLOOKUP(tblSegHH[[#This Row],[semana]]&amp;"|lunes|"&amp;tblSegHH[[#This Row],[tecnico]],tblAsignaciones[clave],tblAsignaciones[posicion_ciclo],"")</f>
        <v/>
      </c>
      <c r="E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5">
        <f>p_base_semanal_horas</f>
        <v/>
      </c>
      <c r="G9" s="5">
        <f>tblSegHH[[#This Row],[horas_reales]]-tblSegHH[[#This Row],[base_semanal]]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5">
        <f>_xlfn.XLOOKUP(tblSegHH[[#This Row],[tecnico]],tblTecnicos[nombre],tblTecnicos[especialidad],"")</f>
        <v/>
      </c>
      <c r="D10" s="5">
        <f>_xlfn.XLOOKUP(tblSegHH[[#This Row],[semana]]&amp;"|lunes|"&amp;tblSegHH[[#This Row],[tecnico]],tblAsignaciones[clave],tblAsignaciones[posicion_ciclo],"")</f>
        <v/>
      </c>
      <c r="E1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5">
        <f>p_base_semanal_horas</f>
        <v/>
      </c>
      <c r="G10" s="5">
        <f>tblSegHH[[#This Row],[horas_reales]]-tblSegHH[[#This Row],[base_semanal]]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5">
        <f>_xlfn.XLOOKUP(tblSegHH[[#This Row],[tecnico]],tblTecnicos[nombre],tblTecnicos[especialidad],"")</f>
        <v/>
      </c>
      <c r="D11" s="5">
        <f>_xlfn.XLOOKUP(tblSegHH[[#This Row],[semana]]&amp;"|lunes|"&amp;tblSegHH[[#This Row],[tecnico]],tblAsignaciones[clave],tblAsignaciones[posicion_ciclo],"")</f>
        <v/>
      </c>
      <c r="E1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5">
        <f>p_base_semanal_horas</f>
        <v/>
      </c>
      <c r="G11" s="5">
        <f>tblSegHH[[#This Row],[horas_reales]]-tblSegHH[[#This Row],[base_semanal]]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5">
        <f>_xlfn.XLOOKUP(tblSegHH[[#This Row],[tecnico]],tblTecnicos[nombre],tblTecnicos[especialidad],"")</f>
        <v/>
      </c>
      <c r="D12" s="5">
        <f>_xlfn.XLOOKUP(tblSegHH[[#This Row],[semana]]&amp;"|lunes|"&amp;tblSegHH[[#This Row],[tecnico]],tblAsignaciones[clave],tblAsignaciones[posicion_ciclo],"")</f>
        <v/>
      </c>
      <c r="E1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5">
        <f>p_base_semanal_horas</f>
        <v/>
      </c>
      <c r="G12" s="5">
        <f>tblSegHH[[#This Row],[horas_reales]]-tblSegHH[[#This Row],[base_semanal]]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5">
        <f>_xlfn.XLOOKUP(tblSegHH[[#This Row],[tecnico]],tblTecnicos[nombre],tblTecnicos[especialidad],"")</f>
        <v/>
      </c>
      <c r="D13" s="5">
        <f>_xlfn.XLOOKUP(tblSegHH[[#This Row],[semana]]&amp;"|lunes|"&amp;tblSegHH[[#This Row],[tecnico]],tblAsignaciones[clave],tblAsignaciones[posicion_ciclo],"")</f>
        <v/>
      </c>
      <c r="E1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5">
        <f>p_base_semanal_horas</f>
        <v/>
      </c>
      <c r="G13" s="5">
        <f>tblSegHH[[#This Row],[horas_reales]]-tblSegHH[[#This Row],[base_semanal]]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5">
        <f>_xlfn.XLOOKUP(tblSegHH[[#This Row],[tecnico]],tblTecnicos[nombre],tblTecnicos[especialidad],"")</f>
        <v/>
      </c>
      <c r="D14" s="5">
        <f>_xlfn.XLOOKUP(tblSegHH[[#This Row],[semana]]&amp;"|lunes|"&amp;tblSegHH[[#This Row],[tecnico]],tblAsignaciones[clave],tblAsignaciones[posicion_ciclo],"")</f>
        <v/>
      </c>
      <c r="E1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5">
        <f>p_base_semanal_horas</f>
        <v/>
      </c>
      <c r="G14" s="5">
        <f>tblSegHH[[#This Row],[horas_reales]]-tblSegHH[[#This Row],[base_semanal]]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5">
        <f>_xlfn.XLOOKUP(tblSegHH[[#This Row],[tecnico]],tblTecnicos[nombre],tblTecnicos[especialidad],"")</f>
        <v/>
      </c>
      <c r="D15" s="5">
        <f>_xlfn.XLOOKUP(tblSegHH[[#This Row],[semana]]&amp;"|lunes|"&amp;tblSegHH[[#This Row],[tecnico]],tblAsignaciones[clave],tblAsignaciones[posicion_ciclo],"")</f>
        <v/>
      </c>
      <c r="E1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5">
        <f>p_base_semanal_horas</f>
        <v/>
      </c>
      <c r="G15" s="5">
        <f>tblSegHH[[#This Row],[horas_reales]]-tblSegHH[[#This Row],[base_semanal]]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5">
        <f>_xlfn.XLOOKUP(tblSegHH[[#This Row],[tecnico]],tblTecnicos[nombre],tblTecnicos[especialidad],"")</f>
        <v/>
      </c>
      <c r="D16" s="5">
        <f>_xlfn.XLOOKUP(tblSegHH[[#This Row],[semana]]&amp;"|lunes|"&amp;tblSegHH[[#This Row],[tecnico]],tblAsignaciones[clave],tblAsignaciones[posicion_ciclo],"")</f>
        <v/>
      </c>
      <c r="E1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5">
        <f>p_base_semanal_horas</f>
        <v/>
      </c>
      <c r="G16" s="5">
        <f>tblSegHH[[#This Row],[horas_reales]]-tblSegHH[[#This Row],[base_semanal]]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5">
        <f>_xlfn.XLOOKUP(tblSegHH[[#This Row],[tecnico]],tblTecnicos[nombre],tblTecnicos[especialidad],"")</f>
        <v/>
      </c>
      <c r="D17" s="5">
        <f>_xlfn.XLOOKUP(tblSegHH[[#This Row],[semana]]&amp;"|lunes|"&amp;tblSegHH[[#This Row],[tecnico]],tblAsignaciones[clave],tblAsignaciones[posicion_ciclo],"")</f>
        <v/>
      </c>
      <c r="E1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5">
        <f>p_base_semanal_horas</f>
        <v/>
      </c>
      <c r="G17" s="5">
        <f>tblSegHH[[#This Row],[horas_reales]]-tblSegHH[[#This Row],[base_semanal]]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5">
        <f>_xlfn.XLOOKUP(tblSegHH[[#This Row],[tecnico]],tblTecnicos[nombre],tblTecnicos[especialidad],"")</f>
        <v/>
      </c>
      <c r="D18" s="5">
        <f>_xlfn.XLOOKUP(tblSegHH[[#This Row],[semana]]&amp;"|lunes|"&amp;tblSegHH[[#This Row],[tecnico]],tblAsignaciones[clave],tblAsignaciones[posicion_ciclo],"")</f>
        <v/>
      </c>
      <c r="E1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5">
        <f>p_base_semanal_horas</f>
        <v/>
      </c>
      <c r="G18" s="5">
        <f>tblSegHH[[#This Row],[horas_reales]]-tblSegHH[[#This Row],[base_semanal]]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5">
        <f>_xlfn.XLOOKUP(tblSegHH[[#This Row],[tecnico]],tblTecnicos[nombre],tblTecnicos[especialidad],"")</f>
        <v/>
      </c>
      <c r="D19" s="5">
        <f>_xlfn.XLOOKUP(tblSegHH[[#This Row],[semana]]&amp;"|lunes|"&amp;tblSegHH[[#This Row],[tecnico]],tblAsignaciones[clave],tblAsignaciones[posicion_ciclo],"")</f>
        <v/>
      </c>
      <c r="E1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5">
        <f>p_base_semanal_horas</f>
        <v/>
      </c>
      <c r="G19" s="5">
        <f>tblSegHH[[#This Row],[horas_reales]]-tblSegHH[[#This Row],[base_semanal]]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5">
        <f>_xlfn.XLOOKUP(tblSegHH[[#This Row],[tecnico]],tblTecnicos[nombre],tblTecnicos[especialidad],"")</f>
        <v/>
      </c>
      <c r="D20" s="5">
        <f>_xlfn.XLOOKUP(tblSegHH[[#This Row],[semana]]&amp;"|lunes|"&amp;tblSegHH[[#This Row],[tecnico]],tblAsignaciones[clave],tblAsignaciones[posicion_ciclo],"")</f>
        <v/>
      </c>
      <c r="E2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5">
        <f>p_base_semanal_horas</f>
        <v/>
      </c>
      <c r="G20" s="5">
        <f>tblSegHH[[#This Row],[horas_reales]]-tblSegHH[[#This Row],[base_semanal]]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5">
        <f>_xlfn.XLOOKUP(tblSegHH[[#This Row],[tecnico]],tblTecnicos[nombre],tblTecnicos[especialidad],"")</f>
        <v/>
      </c>
      <c r="D21" s="5">
        <f>_xlfn.XLOOKUP(tblSegHH[[#This Row],[semana]]&amp;"|lunes|"&amp;tblSegHH[[#This Row],[tecnico]],tblAsignaciones[clave],tblAsignaciones[posicion_ciclo],"")</f>
        <v/>
      </c>
      <c r="E2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5">
        <f>p_base_semanal_horas</f>
        <v/>
      </c>
      <c r="G21" s="5">
        <f>tblSegHH[[#This Row],[horas_reales]]-tblSegHH[[#This Row],[base_semanal]]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5">
        <f>_xlfn.XLOOKUP(tblSegHH[[#This Row],[tecnico]],tblTecnicos[nombre],tblTecnicos[especialidad],"")</f>
        <v/>
      </c>
      <c r="D22" s="5">
        <f>_xlfn.XLOOKUP(tblSegHH[[#This Row],[semana]]&amp;"|lunes|"&amp;tblSegHH[[#This Row],[tecnico]],tblAsignaciones[clave],tblAsignaciones[posicion_ciclo],"")</f>
        <v/>
      </c>
      <c r="E2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5">
        <f>p_base_semanal_horas</f>
        <v/>
      </c>
      <c r="G22" s="5">
        <f>tblSegHH[[#This Row],[horas_reales]]-tblSegHH[[#This Row],[base_semanal]]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5">
        <f>_xlfn.XLOOKUP(tblSegHH[[#This Row],[tecnico]],tblTecnicos[nombre],tblTecnicos[especialidad],"")</f>
        <v/>
      </c>
      <c r="D23" s="5">
        <f>_xlfn.XLOOKUP(tblSegHH[[#This Row],[semana]]&amp;"|lunes|"&amp;tblSegHH[[#This Row],[tecnico]],tblAsignaciones[clave],tblAsignaciones[posicion_ciclo],"")</f>
        <v/>
      </c>
      <c r="E2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5">
        <f>p_base_semanal_horas</f>
        <v/>
      </c>
      <c r="G23" s="5">
        <f>tblSegHH[[#This Row],[horas_reales]]-tblSegHH[[#This Row],[base_semanal]]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5">
        <f>_xlfn.XLOOKUP(tblSegHH[[#This Row],[tecnico]],tblTecnicos[nombre],tblTecnicos[especialidad],"")</f>
        <v/>
      </c>
      <c r="D24" s="5">
        <f>_xlfn.XLOOKUP(tblSegHH[[#This Row],[semana]]&amp;"|lunes|"&amp;tblSegHH[[#This Row],[tecnico]],tblAsignaciones[clave],tblAsignaciones[posicion_ciclo],"")</f>
        <v/>
      </c>
      <c r="E2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5">
        <f>p_base_semanal_horas</f>
        <v/>
      </c>
      <c r="G24" s="5">
        <f>tblSegHH[[#This Row],[horas_reales]]-tblSegHH[[#This Row],[base_semanal]]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5">
        <f>_xlfn.XLOOKUP(tblSegHH[[#This Row],[tecnico]],tblTecnicos[nombre],tblTecnicos[especialidad],"")</f>
        <v/>
      </c>
      <c r="D25" s="5">
        <f>_xlfn.XLOOKUP(tblSegHH[[#This Row],[semana]]&amp;"|lunes|"&amp;tblSegHH[[#This Row],[tecnico]],tblAsignaciones[clave],tblAsignaciones[posicion_ciclo],"")</f>
        <v/>
      </c>
      <c r="E2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5">
        <f>p_base_semanal_horas</f>
        <v/>
      </c>
      <c r="G25" s="5">
        <f>tblSegHH[[#This Row],[horas_reales]]-tblSegHH[[#This Row],[base_semanal]]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5">
        <f>_xlfn.XLOOKUP(tblSegHH[[#This Row],[tecnico]],tblTecnicos[nombre],tblTecnicos[especialidad],"")</f>
        <v/>
      </c>
      <c r="D26" s="5">
        <f>_xlfn.XLOOKUP(tblSegHH[[#This Row],[semana]]&amp;"|lunes|"&amp;tblSegHH[[#This Row],[tecnico]],tblAsignaciones[clave],tblAsignaciones[posicion_ciclo],"")</f>
        <v/>
      </c>
      <c r="E2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5">
        <f>p_base_semanal_horas</f>
        <v/>
      </c>
      <c r="G26" s="5">
        <f>tblSegHH[[#This Row],[horas_reales]]-tblSegHH[[#This Row],[base_semanal]]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5">
        <f>_xlfn.XLOOKUP(tblSegHH[[#This Row],[tecnico]],tblTecnicos[nombre],tblTecnicos[especialidad],"")</f>
        <v/>
      </c>
      <c r="D27" s="5">
        <f>_xlfn.XLOOKUP(tblSegHH[[#This Row],[semana]]&amp;"|lunes|"&amp;tblSegHH[[#This Row],[tecnico]],tblAsignaciones[clave],tblAsignaciones[posicion_ciclo],"")</f>
        <v/>
      </c>
      <c r="E2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5">
        <f>p_base_semanal_horas</f>
        <v/>
      </c>
      <c r="G27" s="5">
        <f>tblSegHH[[#This Row],[horas_reales]]-tblSegHH[[#This Row],[base_semanal]]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5">
        <f>_xlfn.XLOOKUP(tblSegHH[[#This Row],[tecnico]],tblTecnicos[nombre],tblTecnicos[especialidad],"")</f>
        <v/>
      </c>
      <c r="D28" s="5">
        <f>_xlfn.XLOOKUP(tblSegHH[[#This Row],[semana]]&amp;"|lunes|"&amp;tblSegHH[[#This Row],[tecnico]],tblAsignaciones[clave],tblAsignaciones[posicion_ciclo],"")</f>
        <v/>
      </c>
      <c r="E2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5">
        <f>p_base_semanal_horas</f>
        <v/>
      </c>
      <c r="G28" s="5">
        <f>tblSegHH[[#This Row],[horas_reales]]-tblSegHH[[#This Row],[base_semanal]]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5">
        <f>_xlfn.XLOOKUP(tblSegHH[[#This Row],[tecnico]],tblTecnicos[nombre],tblTecnicos[especialidad],"")</f>
        <v/>
      </c>
      <c r="D29" s="5">
        <f>_xlfn.XLOOKUP(tblSegHH[[#This Row],[semana]]&amp;"|lunes|"&amp;tblSegHH[[#This Row],[tecnico]],tblAsignaciones[clave],tblAsignaciones[posicion_ciclo],"")</f>
        <v/>
      </c>
      <c r="E2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5">
        <f>p_base_semanal_horas</f>
        <v/>
      </c>
      <c r="G29" s="5">
        <f>tblSegHH[[#This Row],[horas_reales]]-tblSegHH[[#This Row],[base_semanal]]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5">
        <f>_xlfn.XLOOKUP(tblSegHH[[#This Row],[tecnico]],tblTecnicos[nombre],tblTecnicos[especialidad],"")</f>
        <v/>
      </c>
      <c r="D30" s="5">
        <f>_xlfn.XLOOKUP(tblSegHH[[#This Row],[semana]]&amp;"|lunes|"&amp;tblSegHH[[#This Row],[tecnico]],tblAsignaciones[clave],tblAsignaciones[posicion_ciclo],"")</f>
        <v/>
      </c>
      <c r="E3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5">
        <f>p_base_semanal_horas</f>
        <v/>
      </c>
      <c r="G30" s="5">
        <f>tblSegHH[[#This Row],[horas_reales]]-tblSegHH[[#This Row],[base_semanal]]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5">
        <f>_xlfn.XLOOKUP(tblSegHH[[#This Row],[tecnico]],tblTecnicos[nombre],tblTecnicos[especialidad],"")</f>
        <v/>
      </c>
      <c r="D31" s="5">
        <f>_xlfn.XLOOKUP(tblSegHH[[#This Row],[semana]]&amp;"|lunes|"&amp;tblSegHH[[#This Row],[tecnico]],tblAsignaciones[clave],tblAsignaciones[posicion_ciclo],"")</f>
        <v/>
      </c>
      <c r="E3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5">
        <f>p_base_semanal_horas</f>
        <v/>
      </c>
      <c r="G31" s="5">
        <f>tblSegHH[[#This Row],[horas_reales]]-tblSegHH[[#This Row],[base_semanal]]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5">
        <f>_xlfn.XLOOKUP(tblSegHH[[#This Row],[tecnico]],tblTecnicos[nombre],tblTecnicos[especialidad],"")</f>
        <v/>
      </c>
      <c r="D32" s="5">
        <f>_xlfn.XLOOKUP(tblSegHH[[#This Row],[semana]]&amp;"|lunes|"&amp;tblSegHH[[#This Row],[tecnico]],tblAsignaciones[clave],tblAsignaciones[posicion_ciclo],"")</f>
        <v/>
      </c>
      <c r="E3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5">
        <f>p_base_semanal_horas</f>
        <v/>
      </c>
      <c r="G32" s="5">
        <f>tblSegHH[[#This Row],[horas_reales]]-tblSegHH[[#This Row],[base_semanal]]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5">
        <f>_xlfn.XLOOKUP(tblSegHH[[#This Row],[tecnico]],tblTecnicos[nombre],tblTecnicos[especialidad],"")</f>
        <v/>
      </c>
      <c r="D33" s="5">
        <f>_xlfn.XLOOKUP(tblSegHH[[#This Row],[semana]]&amp;"|lunes|"&amp;tblSegHH[[#This Row],[tecnico]],tblAsignaciones[clave],tblAsignaciones[posicion_ciclo],"")</f>
        <v/>
      </c>
      <c r="E3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5">
        <f>p_base_semanal_horas</f>
        <v/>
      </c>
      <c r="G33" s="5">
        <f>tblSegHH[[#This Row],[horas_reales]]-tblSegHH[[#This Row],[base_semanal]]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5">
        <f>_xlfn.XLOOKUP(tblSegHH[[#This Row],[tecnico]],tblTecnicos[nombre],tblTecnicos[especialidad],"")</f>
        <v/>
      </c>
      <c r="D34" s="5">
        <f>_xlfn.XLOOKUP(tblSegHH[[#This Row],[semana]]&amp;"|lunes|"&amp;tblSegHH[[#This Row],[tecnico]],tblAsignaciones[clave],tblAsignaciones[posicion_ciclo],"")</f>
        <v/>
      </c>
      <c r="E3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5">
        <f>p_base_semanal_horas</f>
        <v/>
      </c>
      <c r="G34" s="5">
        <f>tblSegHH[[#This Row],[horas_reales]]-tblSegHH[[#This Row],[base_semanal]]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5">
        <f>_xlfn.XLOOKUP(tblSegHH[[#This Row],[tecnico]],tblTecnicos[nombre],tblTecnicos[especialidad],"")</f>
        <v/>
      </c>
      <c r="D35" s="5">
        <f>_xlfn.XLOOKUP(tblSegHH[[#This Row],[semana]]&amp;"|lunes|"&amp;tblSegHH[[#This Row],[tecnico]],tblAsignaciones[clave],tblAsignaciones[posicion_ciclo],"")</f>
        <v/>
      </c>
      <c r="E3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5">
        <f>p_base_semanal_horas</f>
        <v/>
      </c>
      <c r="G35" s="5">
        <f>tblSegHH[[#This Row],[horas_reales]]-tblSegHH[[#This Row],[base_semanal]]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5">
        <f>_xlfn.XLOOKUP(tblSegHH[[#This Row],[tecnico]],tblTecnicos[nombre],tblTecnicos[especialidad],"")</f>
        <v/>
      </c>
      <c r="D36" s="5">
        <f>_xlfn.XLOOKUP(tblSegHH[[#This Row],[semana]]&amp;"|lunes|"&amp;tblSegHH[[#This Row],[tecnico]],tblAsignaciones[clave],tblAsignaciones[posicion_ciclo],"")</f>
        <v/>
      </c>
      <c r="E3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5">
        <f>p_base_semanal_horas</f>
        <v/>
      </c>
      <c r="G36" s="5">
        <f>tblSegHH[[#This Row],[horas_reales]]-tblSegHH[[#This Row],[base_semanal]]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5">
        <f>_xlfn.XLOOKUP(tblSegHH[[#This Row],[tecnico]],tblTecnicos[nombre],tblTecnicos[especialidad],"")</f>
        <v/>
      </c>
      <c r="D37" s="5">
        <f>_xlfn.XLOOKUP(tblSegHH[[#This Row],[semana]]&amp;"|lunes|"&amp;tblSegHH[[#This Row],[tecnico]],tblAsignaciones[clave],tblAsignaciones[posicion_ciclo],"")</f>
        <v/>
      </c>
      <c r="E3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5">
        <f>p_base_semanal_horas</f>
        <v/>
      </c>
      <c r="G37" s="5">
        <f>tblSegHH[[#This Row],[horas_reales]]-tblSegHH[[#This Row],[base_semanal]]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5">
        <f>_xlfn.XLOOKUP(tblSegHH[[#This Row],[tecnico]],tblTecnicos[nombre],tblTecnicos[especialidad],"")</f>
        <v/>
      </c>
      <c r="D38" s="5">
        <f>_xlfn.XLOOKUP(tblSegHH[[#This Row],[semana]]&amp;"|lunes|"&amp;tblSegHH[[#This Row],[tecnico]],tblAsignaciones[clave],tblAsignaciones[posicion_ciclo],"")</f>
        <v/>
      </c>
      <c r="E3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5">
        <f>p_base_semanal_horas</f>
        <v/>
      </c>
      <c r="G38" s="5">
        <f>tblSegHH[[#This Row],[horas_reales]]-tblSegHH[[#This Row],[base_semanal]]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5">
        <f>_xlfn.XLOOKUP(tblSegHH[[#This Row],[tecnico]],tblTecnicos[nombre],tblTecnicos[especialidad],"")</f>
        <v/>
      </c>
      <c r="D39" s="5">
        <f>_xlfn.XLOOKUP(tblSegHH[[#This Row],[semana]]&amp;"|lunes|"&amp;tblSegHH[[#This Row],[tecnico]],tblAsignaciones[clave],tblAsignaciones[posicion_ciclo],"")</f>
        <v/>
      </c>
      <c r="E3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5">
        <f>p_base_semanal_horas</f>
        <v/>
      </c>
      <c r="G39" s="5">
        <f>tblSegHH[[#This Row],[horas_reales]]-tblSegHH[[#This Row],[base_semanal]]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5">
        <f>_xlfn.XLOOKUP(tblSegHH[[#This Row],[tecnico]],tblTecnicos[nombre],tblTecnicos[especialidad],"")</f>
        <v/>
      </c>
      <c r="D40" s="5">
        <f>_xlfn.XLOOKUP(tblSegHH[[#This Row],[semana]]&amp;"|lunes|"&amp;tblSegHH[[#This Row],[tecnico]],tblAsignaciones[clave],tblAsignaciones[posicion_ciclo],"")</f>
        <v/>
      </c>
      <c r="E4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5">
        <f>p_base_semanal_horas</f>
        <v/>
      </c>
      <c r="G40" s="5">
        <f>tblSegHH[[#This Row],[horas_reales]]-tblSegHH[[#This Row],[base_semanal]]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5">
        <f>_xlfn.XLOOKUP(tblSegHH[[#This Row],[tecnico]],tblTecnicos[nombre],tblTecnicos[especialidad],"")</f>
        <v/>
      </c>
      <c r="D41" s="5">
        <f>_xlfn.XLOOKUP(tblSegHH[[#This Row],[semana]]&amp;"|lunes|"&amp;tblSegHH[[#This Row],[tecnico]],tblAsignaciones[clave],tblAsignaciones[posicion_ciclo],"")</f>
        <v/>
      </c>
      <c r="E4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5">
        <f>p_base_semanal_horas</f>
        <v/>
      </c>
      <c r="G41" s="5">
        <f>tblSegHH[[#This Row],[horas_reales]]-tblSegHH[[#This Row],[base_semanal]]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5">
        <f>_xlfn.XLOOKUP(tblSegHH[[#This Row],[tecnico]],tblTecnicos[nombre],tblTecnicos[especialidad],"")</f>
        <v/>
      </c>
      <c r="D42" s="5">
        <f>_xlfn.XLOOKUP(tblSegHH[[#This Row],[semana]]&amp;"|lunes|"&amp;tblSegHH[[#This Row],[tecnico]],tblAsignaciones[clave],tblAsignaciones[posicion_ciclo],"")</f>
        <v/>
      </c>
      <c r="E4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5">
        <f>p_base_semanal_horas</f>
        <v/>
      </c>
      <c r="G42" s="5">
        <f>tblSegHH[[#This Row],[horas_reales]]-tblSegHH[[#This Row],[base_semanal]]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5">
        <f>_xlfn.XLOOKUP(tblSegHH[[#This Row],[tecnico]],tblTecnicos[nombre],tblTecnicos[especialidad],"")</f>
        <v/>
      </c>
      <c r="D43" s="5">
        <f>_xlfn.XLOOKUP(tblSegHH[[#This Row],[semana]]&amp;"|lunes|"&amp;tblSegHH[[#This Row],[tecnico]],tblAsignaciones[clave],tblAsignaciones[posicion_ciclo],"")</f>
        <v/>
      </c>
      <c r="E4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5">
        <f>p_base_semanal_horas</f>
        <v/>
      </c>
      <c r="G43" s="5">
        <f>tblSegHH[[#This Row],[horas_reales]]-tblSegHH[[#This Row],[base_semanal]]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5">
        <f>_xlfn.XLOOKUP(tblSegHH[[#This Row],[tecnico]],tblTecnicos[nombre],tblTecnicos[especialidad],"")</f>
        <v/>
      </c>
      <c r="D44" s="5">
        <f>_xlfn.XLOOKUP(tblSegHH[[#This Row],[semana]]&amp;"|lunes|"&amp;tblSegHH[[#This Row],[tecnico]],tblAsignaciones[clave],tblAsignaciones[posicion_ciclo],"")</f>
        <v/>
      </c>
      <c r="E4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5">
        <f>p_base_semanal_horas</f>
        <v/>
      </c>
      <c r="G44" s="5">
        <f>tblSegHH[[#This Row],[horas_reales]]-tblSegHH[[#This Row],[base_semanal]]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5">
        <f>_xlfn.XLOOKUP(tblSegHH[[#This Row],[tecnico]],tblTecnicos[nombre],tblTecnicos[especialidad],"")</f>
        <v/>
      </c>
      <c r="D45" s="5">
        <f>_xlfn.XLOOKUP(tblSegHH[[#This Row],[semana]]&amp;"|lunes|"&amp;tblSegHH[[#This Row],[tecnico]],tblAsignaciones[clave],tblAsignaciones[posicion_ciclo],"")</f>
        <v/>
      </c>
      <c r="E4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5">
        <f>p_base_semanal_horas</f>
        <v/>
      </c>
      <c r="G45" s="5">
        <f>tblSegHH[[#This Row],[horas_reales]]-tblSegHH[[#This Row],[base_semanal]]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5">
        <f>_xlfn.XLOOKUP(tblSegHH[[#This Row],[tecnico]],tblTecnicos[nombre],tblTecnicos[especialidad],"")</f>
        <v/>
      </c>
      <c r="D46" s="5">
        <f>_xlfn.XLOOKUP(tblSegHH[[#This Row],[semana]]&amp;"|lunes|"&amp;tblSegHH[[#This Row],[tecnico]],tblAsignaciones[clave],tblAsignaciones[posicion_ciclo],"")</f>
        <v/>
      </c>
      <c r="E4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5">
        <f>p_base_semanal_horas</f>
        <v/>
      </c>
      <c r="G46" s="5">
        <f>tblSegHH[[#This Row],[horas_reales]]-tblSegHH[[#This Row],[base_semanal]]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5">
        <f>_xlfn.XLOOKUP(tblSegHH[[#This Row],[tecnico]],tblTecnicos[nombre],tblTecnicos[especialidad],"")</f>
        <v/>
      </c>
      <c r="D47" s="5">
        <f>_xlfn.XLOOKUP(tblSegHH[[#This Row],[semana]]&amp;"|lunes|"&amp;tblSegHH[[#This Row],[tecnico]],tblAsignaciones[clave],tblAsignaciones[posicion_ciclo],"")</f>
        <v/>
      </c>
      <c r="E4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5">
        <f>p_base_semanal_horas</f>
        <v/>
      </c>
      <c r="G47" s="5">
        <f>tblSegHH[[#This Row],[horas_reales]]-tblSegHH[[#This Row],[base_semanal]]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5">
        <f>_xlfn.XLOOKUP(tblSegHH[[#This Row],[tecnico]],tblTecnicos[nombre],tblTecnicos[especialidad],"")</f>
        <v/>
      </c>
      <c r="D48" s="5">
        <f>_xlfn.XLOOKUP(tblSegHH[[#This Row],[semana]]&amp;"|lunes|"&amp;tblSegHH[[#This Row],[tecnico]],tblAsignaciones[clave],tblAsignaciones[posicion_ciclo],"")</f>
        <v/>
      </c>
      <c r="E4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5">
        <f>p_base_semanal_horas</f>
        <v/>
      </c>
      <c r="G48" s="5">
        <f>tblSegHH[[#This Row],[horas_reales]]-tblSegHH[[#This Row],[base_semanal]]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5">
        <f>_xlfn.XLOOKUP(tblSegHH[[#This Row],[tecnico]],tblTecnicos[nombre],tblTecnicos[especialidad],"")</f>
        <v/>
      </c>
      <c r="D49" s="5">
        <f>_xlfn.XLOOKUP(tblSegHH[[#This Row],[semana]]&amp;"|lunes|"&amp;tblSegHH[[#This Row],[tecnico]],tblAsignaciones[clave],tblAsignaciones[posicion_ciclo],"")</f>
        <v/>
      </c>
      <c r="E4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5">
        <f>p_base_semanal_horas</f>
        <v/>
      </c>
      <c r="G49" s="5">
        <f>tblSegHH[[#This Row],[horas_reales]]-tblSegHH[[#This Row],[base_semanal]]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5">
        <f>_xlfn.XLOOKUP(tblSegHH[[#This Row],[tecnico]],tblTecnicos[nombre],tblTecnicos[especialidad],"")</f>
        <v/>
      </c>
      <c r="D50" s="5">
        <f>_xlfn.XLOOKUP(tblSegHH[[#This Row],[semana]]&amp;"|lunes|"&amp;tblSegHH[[#This Row],[tecnico]],tblAsignaciones[clave],tblAsignaciones[posicion_ciclo],"")</f>
        <v/>
      </c>
      <c r="E5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5">
        <f>p_base_semanal_horas</f>
        <v/>
      </c>
      <c r="G50" s="5">
        <f>tblSegHH[[#This Row],[horas_reales]]-tblSegHH[[#This Row],[base_semanal]]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5">
        <f>_xlfn.XLOOKUP(tblSegHH[[#This Row],[tecnico]],tblTecnicos[nombre],tblTecnicos[especialidad],"")</f>
        <v/>
      </c>
      <c r="D51" s="5">
        <f>_xlfn.XLOOKUP(tblSegHH[[#This Row],[semana]]&amp;"|lunes|"&amp;tblSegHH[[#This Row],[tecnico]],tblAsignaciones[clave],tblAsignaciones[posicion_ciclo],"")</f>
        <v/>
      </c>
      <c r="E5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5">
        <f>p_base_semanal_horas</f>
        <v/>
      </c>
      <c r="G51" s="5">
        <f>tblSegHH[[#This Row],[horas_reales]]-tblSegHH[[#This Row],[base_semanal]]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5">
        <f>_xlfn.XLOOKUP(tblSegHH[[#This Row],[tecnico]],tblTecnicos[nombre],tblTecnicos[especialidad],"")</f>
        <v/>
      </c>
      <c r="D52" s="5">
        <f>_xlfn.XLOOKUP(tblSegHH[[#This Row],[semana]]&amp;"|lunes|"&amp;tblSegHH[[#This Row],[tecnico]],tblAsignaciones[clave],tblAsignaciones[posicion_ciclo],"")</f>
        <v/>
      </c>
      <c r="E5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5">
        <f>p_base_semanal_horas</f>
        <v/>
      </c>
      <c r="G52" s="5">
        <f>tblSegHH[[#This Row],[horas_reales]]-tblSegHH[[#This Row],[base_semanal]]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5">
        <f>_xlfn.XLOOKUP(tblSegHH[[#This Row],[tecnico]],tblTecnicos[nombre],tblTecnicos[especialidad],"")</f>
        <v/>
      </c>
      <c r="D53" s="5">
        <f>_xlfn.XLOOKUP(tblSegHH[[#This Row],[semana]]&amp;"|lunes|"&amp;tblSegHH[[#This Row],[tecnico]],tblAsignaciones[clave],tblAsignaciones[posicion_ciclo],"")</f>
        <v/>
      </c>
      <c r="E5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5">
        <f>p_base_semanal_horas</f>
        <v/>
      </c>
      <c r="G53" s="5">
        <f>tblSegHH[[#This Row],[horas_reales]]-tblSegHH[[#This Row],[base_semanal]]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5">
        <f>_xlfn.XLOOKUP(tblSegHH[[#This Row],[tecnico]],tblTecnicos[nombre],tblTecnicos[especialidad],"")</f>
        <v/>
      </c>
      <c r="D54" s="5">
        <f>_xlfn.XLOOKUP(tblSegHH[[#This Row],[semana]]&amp;"|lunes|"&amp;tblSegHH[[#This Row],[tecnico]],tblAsignaciones[clave],tblAsignaciones[posicion_ciclo],"")</f>
        <v/>
      </c>
      <c r="E5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5">
        <f>p_base_semanal_horas</f>
        <v/>
      </c>
      <c r="G54" s="5">
        <f>tblSegHH[[#This Row],[horas_reales]]-tblSegHH[[#This Row],[base_semanal]]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5">
        <f>_xlfn.XLOOKUP(tblSegHH[[#This Row],[tecnico]],tblTecnicos[nombre],tblTecnicos[especialidad],"")</f>
        <v/>
      </c>
      <c r="D55" s="5">
        <f>_xlfn.XLOOKUP(tblSegHH[[#This Row],[semana]]&amp;"|lunes|"&amp;tblSegHH[[#This Row],[tecnico]],tblAsignaciones[clave],tblAsignaciones[posicion_ciclo],"")</f>
        <v/>
      </c>
      <c r="E5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5">
        <f>p_base_semanal_horas</f>
        <v/>
      </c>
      <c r="G55" s="5">
        <f>tblSegHH[[#This Row],[horas_reales]]-tblSegHH[[#This Row],[base_semanal]]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5">
        <f>_xlfn.XLOOKUP(tblSegHH[[#This Row],[tecnico]],tblTecnicos[nombre],tblTecnicos[especialidad],"")</f>
        <v/>
      </c>
      <c r="D56" s="5">
        <f>_xlfn.XLOOKUP(tblSegHH[[#This Row],[semana]]&amp;"|lunes|"&amp;tblSegHH[[#This Row],[tecnico]],tblAsignaciones[clave],tblAsignaciones[posicion_ciclo],"")</f>
        <v/>
      </c>
      <c r="E5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5">
        <f>p_base_semanal_horas</f>
        <v/>
      </c>
      <c r="G56" s="5">
        <f>tblSegHH[[#This Row],[horas_reales]]-tblSegHH[[#This Row],[base_semanal]]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5">
        <f>_xlfn.XLOOKUP(tblSegHH[[#This Row],[tecnico]],tblTecnicos[nombre],tblTecnicos[especialidad],"")</f>
        <v/>
      </c>
      <c r="D57" s="5">
        <f>_xlfn.XLOOKUP(tblSegHH[[#This Row],[semana]]&amp;"|lunes|"&amp;tblSegHH[[#This Row],[tecnico]],tblAsignaciones[clave],tblAsignaciones[posicion_ciclo],"")</f>
        <v/>
      </c>
      <c r="E5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5">
        <f>p_base_semanal_horas</f>
        <v/>
      </c>
      <c r="G57" s="5">
        <f>tblSegHH[[#This Row],[horas_reales]]-tblSegHH[[#This Row],[base_semanal]]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5">
        <f>_xlfn.XLOOKUP(tblSegHH[[#This Row],[tecnico]],tblTecnicos[nombre],tblTecnicos[especialidad],"")</f>
        <v/>
      </c>
      <c r="D58" s="5">
        <f>_xlfn.XLOOKUP(tblSegHH[[#This Row],[semana]]&amp;"|lunes|"&amp;tblSegHH[[#This Row],[tecnico]],tblAsignaciones[clave],tblAsignaciones[posicion_ciclo],"")</f>
        <v/>
      </c>
      <c r="E5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5">
        <f>p_base_semanal_horas</f>
        <v/>
      </c>
      <c r="G58" s="5">
        <f>tblSegHH[[#This Row],[horas_reales]]-tblSegHH[[#This Row],[base_semanal]]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5">
        <f>_xlfn.XLOOKUP(tblSegHH[[#This Row],[tecnico]],tblTecnicos[nombre],tblTecnicos[especialidad],"")</f>
        <v/>
      </c>
      <c r="D59" s="5">
        <f>_xlfn.XLOOKUP(tblSegHH[[#This Row],[semana]]&amp;"|lunes|"&amp;tblSegHH[[#This Row],[tecnico]],tblAsignaciones[clave],tblAsignaciones[posicion_ciclo],"")</f>
        <v/>
      </c>
      <c r="E5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5">
        <f>p_base_semanal_horas</f>
        <v/>
      </c>
      <c r="G59" s="5">
        <f>tblSegHH[[#This Row],[horas_reales]]-tblSegHH[[#This Row],[base_semanal]]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5">
        <f>_xlfn.XLOOKUP(tblSegHH[[#This Row],[tecnico]],tblTecnicos[nombre],tblTecnicos[especialidad],"")</f>
        <v/>
      </c>
      <c r="D60" s="5">
        <f>_xlfn.XLOOKUP(tblSegHH[[#This Row],[semana]]&amp;"|lunes|"&amp;tblSegHH[[#This Row],[tecnico]],tblAsignaciones[clave],tblAsignaciones[posicion_ciclo],"")</f>
        <v/>
      </c>
      <c r="E6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5">
        <f>p_base_semanal_horas</f>
        <v/>
      </c>
      <c r="G60" s="5">
        <f>tblSegHH[[#This Row],[horas_reales]]-tblSegHH[[#This Row],[base_semanal]]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5">
        <f>_xlfn.XLOOKUP(tblSegHH[[#This Row],[tecnico]],tblTecnicos[nombre],tblTecnicos[especialidad],"")</f>
        <v/>
      </c>
      <c r="D61" s="5">
        <f>_xlfn.XLOOKUP(tblSegHH[[#This Row],[semana]]&amp;"|lunes|"&amp;tblSegHH[[#This Row],[tecnico]],tblAsignaciones[clave],tblAsignaciones[posicion_ciclo],"")</f>
        <v/>
      </c>
      <c r="E6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5">
        <f>p_base_semanal_horas</f>
        <v/>
      </c>
      <c r="G61" s="5">
        <f>tblSegHH[[#This Row],[horas_reales]]-tblSegHH[[#This Row],[base_semanal]]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5">
        <f>_xlfn.XLOOKUP(tblSegHH[[#This Row],[tecnico]],tblTecnicos[nombre],tblTecnicos[especialidad],"")</f>
        <v/>
      </c>
      <c r="D62" s="5">
        <f>_xlfn.XLOOKUP(tblSegHH[[#This Row],[semana]]&amp;"|lunes|"&amp;tblSegHH[[#This Row],[tecnico]],tblAsignaciones[clave],tblAsignaciones[posicion_ciclo],"")</f>
        <v/>
      </c>
      <c r="E6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5">
        <f>p_base_semanal_horas</f>
        <v/>
      </c>
      <c r="G62" s="5">
        <f>tblSegHH[[#This Row],[horas_reales]]-tblSegHH[[#This Row],[base_semanal]]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5">
        <f>_xlfn.XLOOKUP(tblSegHH[[#This Row],[tecnico]],tblTecnicos[nombre],tblTecnicos[especialidad],"")</f>
        <v/>
      </c>
      <c r="D63" s="5">
        <f>_xlfn.XLOOKUP(tblSegHH[[#This Row],[semana]]&amp;"|lunes|"&amp;tblSegHH[[#This Row],[tecnico]],tblAsignaciones[clave],tblAsignaciones[posicion_ciclo],"")</f>
        <v/>
      </c>
      <c r="E6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5">
        <f>p_base_semanal_horas</f>
        <v/>
      </c>
      <c r="G63" s="5">
        <f>tblSegHH[[#This Row],[horas_reales]]-tblSegHH[[#This Row],[base_semanal]]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5">
        <f>_xlfn.XLOOKUP(tblSegHH[[#This Row],[tecnico]],tblTecnicos[nombre],tblTecnicos[especialidad],"")</f>
        <v/>
      </c>
      <c r="D64" s="5">
        <f>_xlfn.XLOOKUP(tblSegHH[[#This Row],[semana]]&amp;"|lunes|"&amp;tblSegHH[[#This Row],[tecnico]],tblAsignaciones[clave],tblAsignaciones[posicion_ciclo],"")</f>
        <v/>
      </c>
      <c r="E6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5">
        <f>p_base_semanal_horas</f>
        <v/>
      </c>
      <c r="G64" s="5">
        <f>tblSegHH[[#This Row],[horas_reales]]-tblSegHH[[#This Row],[base_semanal]]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5">
        <f>_xlfn.XLOOKUP(tblSegHH[[#This Row],[tecnico]],tblTecnicos[nombre],tblTecnicos[especialidad],"")</f>
        <v/>
      </c>
      <c r="D65" s="5">
        <f>_xlfn.XLOOKUP(tblSegHH[[#This Row],[semana]]&amp;"|lunes|"&amp;tblSegHH[[#This Row],[tecnico]],tblAsignaciones[clave],tblAsignaciones[posicion_ciclo],"")</f>
        <v/>
      </c>
      <c r="E6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5">
        <f>p_base_semanal_horas</f>
        <v/>
      </c>
      <c r="G65" s="5">
        <f>tblSegHH[[#This Row],[horas_reales]]-tblSegHH[[#This Row],[base_semanal]]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5">
        <f>_xlfn.XLOOKUP(tblSegHH[[#This Row],[tecnico]],tblTecnicos[nombre],tblTecnicos[especialidad],"")</f>
        <v/>
      </c>
      <c r="D66" s="5">
        <f>_xlfn.XLOOKUP(tblSegHH[[#This Row],[semana]]&amp;"|lunes|"&amp;tblSegHH[[#This Row],[tecnico]],tblAsignaciones[clave],tblAsignaciones[posicion_ciclo],"")</f>
        <v/>
      </c>
      <c r="E6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5">
        <f>p_base_semanal_horas</f>
        <v/>
      </c>
      <c r="G66" s="5">
        <f>tblSegHH[[#This Row],[horas_reales]]-tblSegHH[[#This Row],[base_semanal]]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5">
        <f>_xlfn.XLOOKUP(tblSegHH[[#This Row],[tecnico]],tblTecnicos[nombre],tblTecnicos[especialidad],"")</f>
        <v/>
      </c>
      <c r="D67" s="5">
        <f>_xlfn.XLOOKUP(tblSegHH[[#This Row],[semana]]&amp;"|lunes|"&amp;tblSegHH[[#This Row],[tecnico]],tblAsignaciones[clave],tblAsignaciones[posicion_ciclo],"")</f>
        <v/>
      </c>
      <c r="E6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5">
        <f>p_base_semanal_horas</f>
        <v/>
      </c>
      <c r="G67" s="5">
        <f>tblSegHH[[#This Row],[horas_reales]]-tblSegHH[[#This Row],[base_semanal]]</f>
        <v/>
      </c>
    </row>
    <row r="70">
      <c r="A70" s="3" t="inlineStr">
        <is>
          <t>DÉFICIT DE CAPACIDAD POR VACACIONES (esp × semana) — informativo, no cambia la capacidad base</t>
        </is>
      </c>
    </row>
    <row r="71">
      <c r="A71" s="15" t="inlineStr">
        <is>
          <t>especialidad</t>
        </is>
      </c>
      <c r="B71" s="15" t="inlineStr">
        <is>
          <t>semana</t>
        </is>
      </c>
      <c r="C71" s="15" t="inlineStr">
        <is>
          <t>tecnicos_vac</t>
        </is>
      </c>
      <c r="D71" s="15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COUNTIFS(tblAsignaciones[especialidad],"MEC",tblAsignaciones[semana],"2026-S30",tblAsignaciones[dia],"lunes",tblAsignaciones[en_vacaciones],"sí")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COUNTIFS(tblAsignaciones[especialidad],"MEC",tblAsignaciones[semana],"2026-S31",tblAsignaciones[dia],"lunes",tblAsignaciones[en_vacaciones],"sí")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COUNTIFS(tblAsignaciones[especialidad],"MEC",tblAsignaciones[semana],"2026-S32",tblAsignaciones[dia],"lunes",tblAsignaciones[en_vacaciones],"sí")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COUNTIFS(tblAsignaciones[especialidad],"MEC",tblAsignaciones[semana],"2026-S33",tblAsignaciones[dia],"lunes",tblAsignaciones[en_vacaciones],"sí")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COUNTIFS(tblAsignaciones[especialidad],"ELE",tblAsignaciones[semana],"2026-S30",tblAsignaciones[dia],"lunes",tblAsignaciones[en_vacaciones],"sí")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COUNTIFS(tblAsignaciones[especialidad],"ELE",tblAsignaciones[semana],"2026-S31",tblAsignaciones[dia],"lunes",tblAsignaciones[en_vacaciones],"sí")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COUNTIFS(tblAsignaciones[especialidad],"ELE",tblAsignaciones[semana],"2026-S32",tblAsignaciones[dia],"lunes",tblAsignaciones[en_vacaciones],"sí")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COUNTIFS(tblAsignaciones[especialidad],"ELE",tblAsignaciones[semana],"2026-S33",tblAsignaciones[dia],"lunes",tblAsignaciones[en_vacaciones],"sí")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COUNTIFS(tblAsignaciones[especialidad],"AUT",tblAsignaciones[semana],"2026-S30",tblAsignaciones[dia],"lunes",tblAsignaciones[en_vacaciones],"sí")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COUNTIFS(tblAsignaciones[especialidad],"AUT",tblAsignaciones[semana],"2026-S31",tblAsignaciones[dia],"lunes",tblAsignaciones[en_vacaciones],"sí")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COUNTIFS(tblAsignaciones[especialidad],"AUT",tblAsignaciones[semana],"2026-S32",tblAsignaciones[dia],"lunes",tblAsignaciones[en_vacaciones],"sí")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COUNTIFS(tblAsignaciones[especialidad],"AUT",tblAsignaciones[semana],"2026-S33",tblAsignaciones[dia],"lunes",tblAsignaciones[en_vacaciones],"sí")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15" t="inlineStr">
        <is>
          <t>tecnico</t>
        </is>
      </c>
      <c r="B3" s="15" t="inlineStr">
        <is>
          <t>mes</t>
        </is>
      </c>
      <c r="C3" s="15" t="inlineStr">
        <is>
          <t>horas_reales_mes</t>
        </is>
      </c>
      <c r="D3" s="15" t="inlineStr">
        <is>
          <t>horas_requeridas_mes</t>
        </is>
      </c>
      <c r="E3" s="15" t="inlineStr">
        <is>
          <t>cumple</t>
        </is>
      </c>
      <c r="F3" s="15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5">
        <f>2*p_base_semanal_horas</f>
        <v/>
      </c>
      <c r="E4" s="5">
        <f>IF(tblSegMes[[#This Row],[horas_reales_mes]]&gt;=tblSegMes[[#This Row],[horas_requeridas_mes]]-p_tolerancia_horas_bono,"sí","no")</f>
        <v/>
      </c>
      <c r="F4" s="5">
        <f>tblSegMes[[#This Row],[horas_reales_mes]]-tblSegMes[[#This Row],[horas_requeridas_mes]]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5">
        <f>2*p_base_semanal_horas</f>
        <v/>
      </c>
      <c r="E5" s="5">
        <f>IF(tblSegMes[[#This Row],[horas_reales_mes]]&gt;=tblSegMes[[#This Row],[horas_requeridas_mes]]-p_tolerancia_horas_bono,"sí","no")</f>
        <v/>
      </c>
      <c r="F5" s="5">
        <f>tblSegMes[[#This Row],[horas_reales_mes]]-tblSegMes[[#This Row],[horas_requeridas_mes]]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5">
        <f>2*p_base_semanal_horas</f>
        <v/>
      </c>
      <c r="E6" s="5">
        <f>IF(tblSegMes[[#This Row],[horas_reales_mes]]&gt;=tblSegMes[[#This Row],[horas_requeridas_mes]]-p_tolerancia_horas_bono,"sí","no")</f>
        <v/>
      </c>
      <c r="F6" s="5">
        <f>tblSegMes[[#This Row],[horas_reales_mes]]-tblSegMes[[#This Row],[horas_requeridas_mes]]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5">
        <f>2*p_base_semanal_horas</f>
        <v/>
      </c>
      <c r="E7" s="5">
        <f>IF(tblSegMes[[#This Row],[horas_reales_mes]]&gt;=tblSegMes[[#This Row],[horas_requeridas_mes]]-p_tolerancia_horas_bono,"sí","no")</f>
        <v/>
      </c>
      <c r="F7" s="5">
        <f>tblSegMes[[#This Row],[horas_reales_mes]]-tblSegMes[[#This Row],[horas_requeridas_mes]]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5">
        <f>2*p_base_semanal_horas</f>
        <v/>
      </c>
      <c r="E8" s="5">
        <f>IF(tblSegMes[[#This Row],[horas_reales_mes]]&gt;=tblSegMes[[#This Row],[horas_requeridas_mes]]-p_tolerancia_horas_bono,"sí","no")</f>
        <v/>
      </c>
      <c r="F8" s="5">
        <f>tblSegMes[[#This Row],[horas_reales_mes]]-tblSegMes[[#This Row],[horas_requeridas_mes]]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5">
        <f>2*p_base_semanal_horas</f>
        <v/>
      </c>
      <c r="E9" s="5">
        <f>IF(tblSegMes[[#This Row],[horas_reales_mes]]&gt;=tblSegMes[[#This Row],[horas_requeridas_mes]]-p_tolerancia_horas_bono,"sí","no")</f>
        <v/>
      </c>
      <c r="F9" s="5">
        <f>tblSegMes[[#This Row],[horas_reales_mes]]-tblSegMes[[#This Row],[horas_requeridas_mes]]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5">
        <f>2*p_base_semanal_horas</f>
        <v/>
      </c>
      <c r="E10" s="5">
        <f>IF(tblSegMes[[#This Row],[horas_reales_mes]]&gt;=tblSegMes[[#This Row],[horas_requeridas_mes]]-p_tolerancia_horas_bono,"sí","no")</f>
        <v/>
      </c>
      <c r="F10" s="5">
        <f>tblSegMes[[#This Row],[horas_reales_mes]]-tblSegMes[[#This Row],[horas_requeridas_mes]]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5">
        <f>2*p_base_semanal_horas</f>
        <v/>
      </c>
      <c r="E11" s="5">
        <f>IF(tblSegMes[[#This Row],[horas_reales_mes]]&gt;=tblSegMes[[#This Row],[horas_requeridas_mes]]-p_tolerancia_horas_bono,"sí","no")</f>
        <v/>
      </c>
      <c r="F11" s="5">
        <f>tblSegMes[[#This Row],[horas_reales_mes]]-tblSegMes[[#This Row],[horas_requeridas_mes]]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5">
        <f>2*p_base_semanal_horas</f>
        <v/>
      </c>
      <c r="E12" s="5">
        <f>IF(tblSegMes[[#This Row],[horas_reales_mes]]&gt;=tblSegMes[[#This Row],[horas_requeridas_mes]]-p_tolerancia_horas_bono,"sí","no")</f>
        <v/>
      </c>
      <c r="F12" s="5">
        <f>tblSegMes[[#This Row],[horas_reales_mes]]-tblSegMes[[#This Row],[horas_requeridas_mes]]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5">
        <f>2*p_base_semanal_horas</f>
        <v/>
      </c>
      <c r="E13" s="5">
        <f>IF(tblSegMes[[#This Row],[horas_reales_mes]]&gt;=tblSegMes[[#This Row],[horas_requeridas_mes]]-p_tolerancia_horas_bono,"sí","no")</f>
        <v/>
      </c>
      <c r="F13" s="5">
        <f>tblSegMes[[#This Row],[horas_reales_mes]]-tblSegMes[[#This Row],[horas_requeridas_mes]]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5">
        <f>2*p_base_semanal_horas</f>
        <v/>
      </c>
      <c r="E14" s="5">
        <f>IF(tblSegMes[[#This Row],[horas_reales_mes]]&gt;=tblSegMes[[#This Row],[horas_requeridas_mes]]-p_tolerancia_horas_bono,"sí","no")</f>
        <v/>
      </c>
      <c r="F14" s="5">
        <f>tblSegMes[[#This Row],[horas_reales_mes]]-tblSegMes[[#This Row],[horas_requeridas_mes]]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5">
        <f>2*p_base_semanal_horas</f>
        <v/>
      </c>
      <c r="E15" s="5">
        <f>IF(tblSegMes[[#This Row],[horas_reales_mes]]&gt;=tblSegMes[[#This Row],[horas_requeridas_mes]]-p_tolerancia_horas_bono,"sí","no")</f>
        <v/>
      </c>
      <c r="F15" s="5">
        <f>tblSegMes[[#This Row],[horas_reales_mes]]-tblSegMes[[#This Row],[horas_requeridas_mes]]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5">
        <f>2*p_base_semanal_horas</f>
        <v/>
      </c>
      <c r="E16" s="5">
        <f>IF(tblSegMes[[#This Row],[horas_reales_mes]]&gt;=tblSegMes[[#This Row],[horas_requeridas_mes]]-p_tolerancia_horas_bono,"sí","no")</f>
        <v/>
      </c>
      <c r="F16" s="5">
        <f>tblSegMes[[#This Row],[horas_reales_mes]]-tblSegMes[[#This Row],[horas_requeridas_mes]]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5">
        <f>2*p_base_semanal_horas</f>
        <v/>
      </c>
      <c r="E17" s="5">
        <f>IF(tblSegMes[[#This Row],[horas_reales_mes]]&gt;=tblSegMes[[#This Row],[horas_requeridas_mes]]-p_tolerancia_horas_bono,"sí","no")</f>
        <v/>
      </c>
      <c r="F17" s="5">
        <f>tblSegMes[[#This Row],[horas_reales_mes]]-tblSegMes[[#This Row],[horas_requeridas_mes]]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5">
        <f>2*p_base_semanal_horas</f>
        <v/>
      </c>
      <c r="E18" s="5">
        <f>IF(tblSegMes[[#This Row],[horas_reales_mes]]&gt;=tblSegMes[[#This Row],[horas_requeridas_mes]]-p_tolerancia_horas_bono,"sí","no")</f>
        <v/>
      </c>
      <c r="F18" s="5">
        <f>tblSegMes[[#This Row],[horas_reales_mes]]-tblSegMes[[#This Row],[horas_requeridas_mes]]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5">
        <f>2*p_base_semanal_horas</f>
        <v/>
      </c>
      <c r="E19" s="5">
        <f>IF(tblSegMes[[#This Row],[horas_reales_mes]]&gt;=tblSegMes[[#This Row],[horas_requeridas_mes]]-p_tolerancia_horas_bono,"sí","no")</f>
        <v/>
      </c>
      <c r="F19" s="5">
        <f>tblSegMes[[#This Row],[horas_reales_mes]]-tblSegMes[[#This Row],[horas_requeridas_mes]]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5">
        <f>2*p_base_semanal_horas</f>
        <v/>
      </c>
      <c r="E20" s="5">
        <f>IF(tblSegMes[[#This Row],[horas_reales_mes]]&gt;=tblSegMes[[#This Row],[horas_requeridas_mes]]-p_tolerancia_horas_bono,"sí","no")</f>
        <v/>
      </c>
      <c r="F20" s="5">
        <f>tblSegMes[[#This Row],[horas_reales_mes]]-tblSegMes[[#This Row],[horas_requeridas_mes]]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5">
        <f>2*p_base_semanal_horas</f>
        <v/>
      </c>
      <c r="E21" s="5">
        <f>IF(tblSegMes[[#This Row],[horas_reales_mes]]&gt;=tblSegMes[[#This Row],[horas_requeridas_mes]]-p_tolerancia_horas_bono,"sí","no")</f>
        <v/>
      </c>
      <c r="F21" s="5">
        <f>tblSegMes[[#This Row],[horas_reales_mes]]-tblSegMes[[#This Row],[horas_requeridas_mes]]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5">
        <f>2*p_base_semanal_horas</f>
        <v/>
      </c>
      <c r="E22" s="5">
        <f>IF(tblSegMes[[#This Row],[horas_reales_mes]]&gt;=tblSegMes[[#This Row],[horas_requeridas_mes]]-p_tolerancia_horas_bono,"sí","no")</f>
        <v/>
      </c>
      <c r="F22" s="5">
        <f>tblSegMes[[#This Row],[horas_reales_mes]]-tblSegMes[[#This Row],[horas_requeridas_mes]]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5">
        <f>2*p_base_semanal_horas</f>
        <v/>
      </c>
      <c r="E23" s="5">
        <f>IF(tblSegMes[[#This Row],[horas_reales_mes]]&gt;=tblSegMes[[#This Row],[horas_requeridas_mes]]-p_tolerancia_horas_bono,"sí","no")</f>
        <v/>
      </c>
      <c r="F23" s="5">
        <f>tblSegMes[[#This Row],[horas_reales_mes]]-tblSegMes[[#This Row],[horas_requeridas_mes]]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5">
        <f>2*p_base_semanal_horas</f>
        <v/>
      </c>
      <c r="E24" s="5">
        <f>IF(tblSegMes[[#This Row],[horas_reales_mes]]&gt;=tblSegMes[[#This Row],[horas_requeridas_mes]]-p_tolerancia_horas_bono,"sí","no")</f>
        <v/>
      </c>
      <c r="F24" s="5">
        <f>tblSegMes[[#This Row],[horas_reales_mes]]-tblSegMes[[#This Row],[horas_requeridas_mes]]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5">
        <f>2*p_base_semanal_horas</f>
        <v/>
      </c>
      <c r="E25" s="5">
        <f>IF(tblSegMes[[#This Row],[horas_reales_mes]]&gt;=tblSegMes[[#This Row],[horas_requeridas_mes]]-p_tolerancia_horas_bono,"sí","no")</f>
        <v/>
      </c>
      <c r="F25" s="5">
        <f>tblSegMes[[#This Row],[horas_reales_mes]]-tblSegMes[[#This Row],[horas_requeridas_mes]]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5">
        <f>2*p_base_semanal_horas</f>
        <v/>
      </c>
      <c r="E26" s="5">
        <f>IF(tblSegMes[[#This Row],[horas_reales_mes]]&gt;=tblSegMes[[#This Row],[horas_requeridas_mes]]-p_tolerancia_horas_bono,"sí","no")</f>
        <v/>
      </c>
      <c r="F26" s="5">
        <f>tblSegMes[[#This Row],[horas_reales_mes]]-tblSegMes[[#This Row],[horas_requeridas_mes]]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5">
        <f>2*p_base_semanal_horas</f>
        <v/>
      </c>
      <c r="E27" s="5">
        <f>IF(tblSegMes[[#This Row],[horas_reales_mes]]&gt;=tblSegMes[[#This Row],[horas_requeridas_mes]]-p_tolerancia_horas_bono,"sí","no")</f>
        <v/>
      </c>
      <c r="F27" s="5">
        <f>tblSegMes[[#This Row],[horas_reales_mes]]-tblSegMes[[#This Row],[horas_requeridas_mes]]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5">
        <f>2*p_base_semanal_horas</f>
        <v/>
      </c>
      <c r="E28" s="5">
        <f>IF(tblSegMes[[#This Row],[horas_reales_mes]]&gt;=tblSegMes[[#This Row],[horas_requeridas_mes]]-p_tolerancia_horas_bono,"sí","no")</f>
        <v/>
      </c>
      <c r="F28" s="5">
        <f>tblSegMes[[#This Row],[horas_reales_mes]]-tblSegMes[[#This Row],[horas_requeridas_mes]]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5">
        <f>2*p_base_semanal_horas</f>
        <v/>
      </c>
      <c r="E29" s="5">
        <f>IF(tblSegMes[[#This Row],[horas_reales_mes]]&gt;=tblSegMes[[#This Row],[horas_requeridas_mes]]-p_tolerancia_horas_bono,"sí","no")</f>
        <v/>
      </c>
      <c r="F29" s="5">
        <f>tblSegMes[[#This Row],[horas_reales_mes]]-tblSegMes[[#This Row],[horas_requeridas_mes]]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5">
        <f>2*p_base_semanal_horas</f>
        <v/>
      </c>
      <c r="E30" s="5">
        <f>IF(tblSegMes[[#This Row],[horas_reales_mes]]&gt;=tblSegMes[[#This Row],[horas_requeridas_mes]]-p_tolerancia_horas_bono,"sí","no")</f>
        <v/>
      </c>
      <c r="F30" s="5">
        <f>tblSegMes[[#This Row],[horas_reales_mes]]-tblSegMes[[#This Row],[horas_requeridas_mes]]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5">
        <f>2*p_base_semanal_horas</f>
        <v/>
      </c>
      <c r="E31" s="5">
        <f>IF(tblSegMes[[#This Row],[horas_reales_mes]]&gt;=tblSegMes[[#This Row],[horas_requeridas_mes]]-p_tolerancia_horas_bono,"sí","no")</f>
        <v/>
      </c>
      <c r="F31" s="5">
        <f>tblSegMes[[#This Row],[horas_reales_mes]]-tblSegMes[[#This Row],[horas_requeridas_mes]]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5">
        <f>2*p_base_semanal_horas</f>
        <v/>
      </c>
      <c r="E32" s="5">
        <f>IF(tblSegMes[[#This Row],[horas_reales_mes]]&gt;=tblSegMes[[#This Row],[horas_requeridas_mes]]-p_tolerancia_horas_bono,"sí","no")</f>
        <v/>
      </c>
      <c r="F32" s="5">
        <f>tblSegMes[[#This Row],[horas_reales_mes]]-tblSegMes[[#This Row],[horas_requeridas_mes]]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5">
        <f>2*p_base_semanal_horas</f>
        <v/>
      </c>
      <c r="E33" s="5">
        <f>IF(tblSegMes[[#This Row],[horas_reales_mes]]&gt;=tblSegMes[[#This Row],[horas_requeridas_mes]]-p_tolerancia_horas_bono,"sí","no")</f>
        <v/>
      </c>
      <c r="F33" s="5">
        <f>tblSegMes[[#This Row],[horas_reales_mes]]-tblSegMes[[#This Row],[horas_requeridas_mes]]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5">
        <f>2*p_base_semanal_horas</f>
        <v/>
      </c>
      <c r="E34" s="5">
        <f>IF(tblSegMes[[#This Row],[horas_reales_mes]]&gt;=tblSegMes[[#This Row],[horas_requeridas_mes]]-p_tolerancia_horas_bono,"sí","no")</f>
        <v/>
      </c>
      <c r="F34" s="5">
        <f>tblSegMes[[#This Row],[horas_reales_mes]]-tblSegMes[[#This Row],[horas_requeridas_mes]]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5">
        <f>2*p_base_semanal_horas</f>
        <v/>
      </c>
      <c r="E35" s="5">
        <f>IF(tblSegMes[[#This Row],[horas_reales_mes]]&gt;=tblSegMes[[#This Row],[horas_requeridas_mes]]-p_tolerancia_horas_bono,"sí","no")</f>
        <v/>
      </c>
      <c r="F35" s="5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3" t="inlineStr">
        <is>
          <t>semana:</t>
        </is>
      </c>
      <c r="B3" s="19" t="inlineStr">
        <is>
          <t>2026-S31</t>
        </is>
      </c>
      <c r="C3" s="3" t="inlineStr">
        <is>
          <t>turno:</t>
        </is>
      </c>
      <c r="D3" s="19" t="inlineStr">
        <is>
          <t>(todos)</t>
        </is>
      </c>
      <c r="E3" s="3" t="inlineStr">
        <is>
          <t>coordinador:</t>
        </is>
      </c>
      <c r="F3" s="19" t="inlineStr">
        <is>
          <t>(todos)</t>
        </is>
      </c>
      <c r="G3" s="3" t="inlineStr">
        <is>
          <t>sub-área:</t>
        </is>
      </c>
      <c r="H3" s="19" t="inlineStr">
        <is>
          <t>(todos)</t>
        </is>
      </c>
    </row>
    <row r="5">
      <c r="A5" s="3" t="inlineStr">
        <is>
          <t>correo (seleccione A6, copie y pegue en el cuerpo del mensaje):</t>
        </is>
      </c>
    </row>
    <row r="6">
      <c r="A6" s="24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IF(AND(IF($B$3="(todos)",TRUE,'ORDENES'!$O4=$B$3),IF($D$3="(todos)",TRUE,'ORDENES'!$AH4=$D$3),IF($F$3="(todos)",TRUE,'ORDENES'!$Z4=$F$3),IF($H$3="(todos)",TRUE,'ORDENES'!$Y4=$H$3),'ORDENES'!$AF4=TRUE,'ORDENES'!$A4&lt;&gt;""),1,0)</f>
        <v/>
      </c>
      <c r="L8" s="5">
        <f>IF(K8=1,IFERROR(MATCH('ORDENES'!$S4,lista_dias,0),9)*1000000000+IFERROR(MATCH('ORDENES'!$AH4,lista_turnos,0),9)*10000000+IFERROR(MATCH('ORDENES'!$AG4,tblTecnicos[nombre],0),99)*100000+1,9000000000000+1)</f>
        <v/>
      </c>
      <c r="M8" s="5">
        <f>IF(K8=1,SUMPRODUCT(--($L$8:$L$1207&lt;L8))+1,"")</f>
        <v/>
      </c>
      <c r="N8" s="17">
        <f>IF(K8=1,N('ORDENES'!$M4),0)</f>
        <v/>
      </c>
      <c r="O8" s="17">
        <f>IF('ORDENES'!$U4="preventiva",N8,0)</f>
        <v/>
      </c>
      <c r="P8" s="17">
        <f>IF('ORDENES'!$U4="correctiva",N8,0)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22">
        <f>IF(K8=1,'ORDENES'!$J4,"")</f>
        <v/>
      </c>
      <c r="U8" s="5">
        <f>IFERROR(MATCH(1,$M$8:$M$1207,0),"")</f>
        <v/>
      </c>
      <c r="V8" s="5">
        <f>IF(U8="","",INDEX(tblOrdenes[dia_semana],U8))</f>
        <v/>
      </c>
      <c r="W8" s="5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5">
        <f>IFERROR(MATCH(1,$S$8:$S$1207,0),"")</f>
        <v/>
      </c>
      <c r="Z8" s="5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5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IF(SUMPRODUCT($K$8:$K$1207,--(tblOrdenes[tecnico_asignado]=AB8))&gt;0,1,0)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IF(AND(IF($B$3="(todos)",TRUE,'ORDENES'!$O5=$B$3),IF($D$3="(todos)",TRUE,'ORDENES'!$AH5=$D$3),IF($F$3="(todos)",TRUE,'ORDENES'!$Z5=$F$3),IF($H$3="(todos)",TRUE,'ORDENES'!$Y5=$H$3),'ORDENES'!$AF5=TRUE,'ORDENES'!$A5&lt;&gt;""),1,0)</f>
        <v/>
      </c>
      <c r="L9" s="5">
        <f>IF(K9=1,IFERROR(MATCH('ORDENES'!$S5,lista_dias,0),9)*1000000000+IFERROR(MATCH('ORDENES'!$AH5,lista_turnos,0),9)*10000000+IFERROR(MATCH('ORDENES'!$AG5,tblTecnicos[nombre],0),99)*100000+2,9000000000000+2)</f>
        <v/>
      </c>
      <c r="M9" s="5">
        <f>IF(K9=1,SUMPRODUCT(--($L$8:$L$1207&lt;L9))+1,"")</f>
        <v/>
      </c>
      <c r="N9" s="17">
        <f>IF(K9=1,N('ORDENES'!$M5),0)</f>
        <v/>
      </c>
      <c r="O9" s="17">
        <f>IF('ORDENES'!$U5="preventiva",N9,0)</f>
        <v/>
      </c>
      <c r="P9" s="17">
        <f>IF('ORDENES'!$U5="correctiva",N9,0)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22">
        <f>IF(K9=1,'ORDENES'!$J5,"")</f>
        <v/>
      </c>
      <c r="U9" s="5">
        <f>IFERROR(MATCH(2,$M$8:$M$1207,0),"")</f>
        <v/>
      </c>
      <c r="V9" s="5">
        <f>IF(U9="","",INDEX(tblOrdenes[dia_semana],U9))</f>
        <v/>
      </c>
      <c r="W9" s="5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5">
        <f>IFERROR(MATCH(2,$S$8:$S$1207,0),"")</f>
        <v/>
      </c>
      <c r="Z9" s="5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5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IF(SUMPRODUCT($K$8:$K$1207,--(tblOrdenes[tecnico_asignado]=AB9))&gt;0,1,0)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IF(AND(IF($B$3="(todos)",TRUE,'ORDENES'!$O6=$B$3),IF($D$3="(todos)",TRUE,'ORDENES'!$AH6=$D$3),IF($F$3="(todos)",TRUE,'ORDENES'!$Z6=$F$3),IF($H$3="(todos)",TRUE,'ORDENES'!$Y6=$H$3),'ORDENES'!$AF6=TRUE,'ORDENES'!$A6&lt;&gt;""),1,0)</f>
        <v/>
      </c>
      <c r="L10" s="5">
        <f>IF(K10=1,IFERROR(MATCH('ORDENES'!$S6,lista_dias,0),9)*1000000000+IFERROR(MATCH('ORDENES'!$AH6,lista_turnos,0),9)*10000000+IFERROR(MATCH('ORDENES'!$AG6,tblTecnicos[nombre],0),99)*100000+3,9000000000000+3)</f>
        <v/>
      </c>
      <c r="M10" s="5">
        <f>IF(K10=1,SUMPRODUCT(--($L$8:$L$1207&lt;L10))+1,"")</f>
        <v/>
      </c>
      <c r="N10" s="17">
        <f>IF(K10=1,N('ORDENES'!$M6),0)</f>
        <v/>
      </c>
      <c r="O10" s="17">
        <f>IF('ORDENES'!$U6="preventiva",N10,0)</f>
        <v/>
      </c>
      <c r="P10" s="17">
        <f>IF('ORDENES'!$U6="correctiva",N10,0)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22">
        <f>IF(K10=1,'ORDENES'!$J6,"")</f>
        <v/>
      </c>
      <c r="U10" s="5">
        <f>IFERROR(MATCH(3,$M$8:$M$1207,0),"")</f>
        <v/>
      </c>
      <c r="V10" s="5">
        <f>IF(U10="","",INDEX(tblOrdenes[dia_semana],U10))</f>
        <v/>
      </c>
      <c r="W10" s="5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5">
        <f>IFERROR(MATCH(3,$S$8:$S$1207,0),"")</f>
        <v/>
      </c>
      <c r="Z10" s="5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5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IF(SUMPRODUCT($K$8:$K$1207,--(tblOrdenes[tecnico_asignado]=AB10))&gt;0,1,0)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IF(AND(IF($B$3="(todos)",TRUE,'ORDENES'!$O7=$B$3),IF($D$3="(todos)",TRUE,'ORDENES'!$AH7=$D$3),IF($F$3="(todos)",TRUE,'ORDENES'!$Z7=$F$3),IF($H$3="(todos)",TRUE,'ORDENES'!$Y7=$H$3),'ORDENES'!$AF7=TRUE,'ORDENES'!$A7&lt;&gt;""),1,0)</f>
        <v/>
      </c>
      <c r="L11" s="5">
        <f>IF(K11=1,IFERROR(MATCH('ORDENES'!$S7,lista_dias,0),9)*1000000000+IFERROR(MATCH('ORDENES'!$AH7,lista_turnos,0),9)*10000000+IFERROR(MATCH('ORDENES'!$AG7,tblTecnicos[nombre],0),99)*100000+4,9000000000000+4)</f>
        <v/>
      </c>
      <c r="M11" s="5">
        <f>IF(K11=1,SUMPRODUCT(--($L$8:$L$1207&lt;L11))+1,"")</f>
        <v/>
      </c>
      <c r="N11" s="17">
        <f>IF(K11=1,N('ORDENES'!$M7),0)</f>
        <v/>
      </c>
      <c r="O11" s="17">
        <f>IF('ORDENES'!$U7="preventiva",N11,0)</f>
        <v/>
      </c>
      <c r="P11" s="17">
        <f>IF('ORDENES'!$U7="correctiva",N11,0)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22">
        <f>IF(K11=1,'ORDENES'!$J7,"")</f>
        <v/>
      </c>
      <c r="U11" s="5">
        <f>IFERROR(MATCH(4,$M$8:$M$1207,0),"")</f>
        <v/>
      </c>
      <c r="V11" s="5">
        <f>IF(U11="","",INDEX(tblOrdenes[dia_semana],U11))</f>
        <v/>
      </c>
      <c r="W11" s="5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5">
        <f>IFERROR(MATCH(4,$S$8:$S$1207,0),"")</f>
        <v/>
      </c>
      <c r="Z11" s="5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5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IF(SUMPRODUCT($K$8:$K$1207,--(tblOrdenes[tecnico_asignado]=AB11))&gt;0,1,0)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IF(AND(IF($B$3="(todos)",TRUE,'ORDENES'!$O8=$B$3),IF($D$3="(todos)",TRUE,'ORDENES'!$AH8=$D$3),IF($F$3="(todos)",TRUE,'ORDENES'!$Z8=$F$3),IF($H$3="(todos)",TRUE,'ORDENES'!$Y8=$H$3),'ORDENES'!$AF8=TRUE,'ORDENES'!$A8&lt;&gt;""),1,0)</f>
        <v/>
      </c>
      <c r="L12" s="5">
        <f>IF(K12=1,IFERROR(MATCH('ORDENES'!$S8,lista_dias,0),9)*1000000000+IFERROR(MATCH('ORDENES'!$AH8,lista_turnos,0),9)*10000000+IFERROR(MATCH('ORDENES'!$AG8,tblTecnicos[nombre],0),99)*100000+5,9000000000000+5)</f>
        <v/>
      </c>
      <c r="M12" s="5">
        <f>IF(K12=1,SUMPRODUCT(--($L$8:$L$1207&lt;L12))+1,"")</f>
        <v/>
      </c>
      <c r="N12" s="17">
        <f>IF(K12=1,N('ORDENES'!$M8),0)</f>
        <v/>
      </c>
      <c r="O12" s="17">
        <f>IF('ORDENES'!$U8="preventiva",N12,0)</f>
        <v/>
      </c>
      <c r="P12" s="17">
        <f>IF('ORDENES'!$U8="correctiva",N12,0)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22">
        <f>IF(K12=1,'ORDENES'!$J8,"")</f>
        <v/>
      </c>
      <c r="U12" s="5">
        <f>IFERROR(MATCH(5,$M$8:$M$1207,0),"")</f>
        <v/>
      </c>
      <c r="V12" s="5">
        <f>IF(U12="","",INDEX(tblOrdenes[dia_semana],U12))</f>
        <v/>
      </c>
      <c r="W12" s="5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5">
        <f>IFERROR(MATCH(5,$S$8:$S$1207,0),"")</f>
        <v/>
      </c>
      <c r="Z12" s="5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5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IF(SUMPRODUCT($K$8:$K$1207,--(tblOrdenes[tecnico_asignado]=AB12))&gt;0,1,0)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IF(AND(IF($B$3="(todos)",TRUE,'ORDENES'!$O9=$B$3),IF($D$3="(todos)",TRUE,'ORDENES'!$AH9=$D$3),IF($F$3="(todos)",TRUE,'ORDENES'!$Z9=$F$3),IF($H$3="(todos)",TRUE,'ORDENES'!$Y9=$H$3),'ORDENES'!$AF9=TRUE,'ORDENES'!$A9&lt;&gt;""),1,0)</f>
        <v/>
      </c>
      <c r="L13" s="5">
        <f>IF(K13=1,IFERROR(MATCH('ORDENES'!$S9,lista_dias,0),9)*1000000000+IFERROR(MATCH('ORDENES'!$AH9,lista_turnos,0),9)*10000000+IFERROR(MATCH('ORDENES'!$AG9,tblTecnicos[nombre],0),99)*100000+6,9000000000000+6)</f>
        <v/>
      </c>
      <c r="M13" s="5">
        <f>IF(K13=1,SUMPRODUCT(--($L$8:$L$1207&lt;L13))+1,"")</f>
        <v/>
      </c>
      <c r="N13" s="17">
        <f>IF(K13=1,N('ORDENES'!$M9),0)</f>
        <v/>
      </c>
      <c r="O13" s="17">
        <f>IF('ORDENES'!$U9="preventiva",N13,0)</f>
        <v/>
      </c>
      <c r="P13" s="17">
        <f>IF('ORDENES'!$U9="correctiva",N13,0)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22">
        <f>IF(K13=1,'ORDENES'!$J9,"")</f>
        <v/>
      </c>
      <c r="U13" s="5">
        <f>IFERROR(MATCH(6,$M$8:$M$1207,0),"")</f>
        <v/>
      </c>
      <c r="V13" s="5">
        <f>IF(U13="","",INDEX(tblOrdenes[dia_semana],U13))</f>
        <v/>
      </c>
      <c r="W13" s="5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5">
        <f>IFERROR(MATCH(6,$S$8:$S$1207,0),"")</f>
        <v/>
      </c>
      <c r="Z13" s="5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5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IF(SUMPRODUCT($K$8:$K$1207,--(tblOrdenes[tecnico_asignado]=AB13))&gt;0,1,0)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IF(AND(IF($B$3="(todos)",TRUE,'ORDENES'!$O10=$B$3),IF($D$3="(todos)",TRUE,'ORDENES'!$AH10=$D$3),IF($F$3="(todos)",TRUE,'ORDENES'!$Z10=$F$3),IF($H$3="(todos)",TRUE,'ORDENES'!$Y10=$H$3),'ORDENES'!$AF10=TRUE,'ORDENES'!$A10&lt;&gt;""),1,0)</f>
        <v/>
      </c>
      <c r="L14" s="5">
        <f>IF(K14=1,IFERROR(MATCH('ORDENES'!$S10,lista_dias,0),9)*1000000000+IFERROR(MATCH('ORDENES'!$AH10,lista_turnos,0),9)*10000000+IFERROR(MATCH('ORDENES'!$AG10,tblTecnicos[nombre],0),99)*100000+7,9000000000000+7)</f>
        <v/>
      </c>
      <c r="M14" s="5">
        <f>IF(K14=1,SUMPRODUCT(--($L$8:$L$1207&lt;L14))+1,"")</f>
        <v/>
      </c>
      <c r="N14" s="17">
        <f>IF(K14=1,N('ORDENES'!$M10),0)</f>
        <v/>
      </c>
      <c r="O14" s="17">
        <f>IF('ORDENES'!$U10="preventiva",N14,0)</f>
        <v/>
      </c>
      <c r="P14" s="17">
        <f>IF('ORDENES'!$U10="correctiva",N14,0)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22">
        <f>IF(K14=1,'ORDENES'!$J10,"")</f>
        <v/>
      </c>
      <c r="U14" s="5">
        <f>IFERROR(MATCH(7,$M$8:$M$1207,0),"")</f>
        <v/>
      </c>
      <c r="V14" s="5">
        <f>IF(U14="","",INDEX(tblOrdenes[dia_semana],U14))</f>
        <v/>
      </c>
      <c r="W14" s="5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5">
        <f>IFERROR(MATCH(7,$S$8:$S$1207,0),"")</f>
        <v/>
      </c>
      <c r="Z14" s="5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5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IF(SUMPRODUCT($K$8:$K$1207,--(tblOrdenes[tecnico_asignado]=AB14))&gt;0,1,0)</f>
        <v/>
      </c>
      <c r="AI14" s="2" t="inlineStr">
        <is>
          <t>lunes_sel</t>
        </is>
      </c>
      <c r="AJ14" s="22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IF(AND(IF($B$3="(todos)",TRUE,'ORDENES'!$O11=$B$3),IF($D$3="(todos)",TRUE,'ORDENES'!$AH11=$D$3),IF($F$3="(todos)",TRUE,'ORDENES'!$Z11=$F$3),IF($H$3="(todos)",TRUE,'ORDENES'!$Y11=$H$3),'ORDENES'!$AF11=TRUE,'ORDENES'!$A11&lt;&gt;""),1,0)</f>
        <v/>
      </c>
      <c r="L15" s="5">
        <f>IF(K15=1,IFERROR(MATCH('ORDENES'!$S11,lista_dias,0),9)*1000000000+IFERROR(MATCH('ORDENES'!$AH11,lista_turnos,0),9)*10000000+IFERROR(MATCH('ORDENES'!$AG11,tblTecnicos[nombre],0),99)*100000+8,9000000000000+8)</f>
        <v/>
      </c>
      <c r="M15" s="5">
        <f>IF(K15=1,SUMPRODUCT(--($L$8:$L$1207&lt;L15))+1,"")</f>
        <v/>
      </c>
      <c r="N15" s="17">
        <f>IF(K15=1,N('ORDENES'!$M11),0)</f>
        <v/>
      </c>
      <c r="O15" s="17">
        <f>IF('ORDENES'!$U11="preventiva",N15,0)</f>
        <v/>
      </c>
      <c r="P15" s="17">
        <f>IF('ORDENES'!$U11="correctiva",N15,0)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22">
        <f>IF(K15=1,'ORDENES'!$J11,"")</f>
        <v/>
      </c>
      <c r="U15" s="5">
        <f>IFERROR(MATCH(8,$M$8:$M$1207,0),"")</f>
        <v/>
      </c>
      <c r="V15" s="5">
        <f>IF(U15="","",INDEX(tblOrdenes[dia_semana],U15))</f>
        <v/>
      </c>
      <c r="W15" s="5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5">
        <f>IFERROR(MATCH(8,$S$8:$S$1207,0),"")</f>
        <v/>
      </c>
      <c r="Z15" s="5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5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IF(SUMPRODUCT($K$8:$K$1207,--(tblOrdenes[tecnico_asignado]=AB15))&gt;0,1,0)</f>
        <v/>
      </c>
      <c r="AI15" s="2" t="inlineStr">
        <is>
          <t>domingo_sel</t>
        </is>
      </c>
      <c r="AJ15" s="22">
        <f>IF($B$3="(todos)",IF(AJ8=0,"",MAX($T$8:$T$1207)),AJ14+6)</f>
        <v/>
      </c>
    </row>
    <row r="16">
      <c r="K16" s="5">
        <f>IF(AND(IF($B$3="(todos)",TRUE,'ORDENES'!$O12=$B$3),IF($D$3="(todos)",TRUE,'ORDENES'!$AH12=$D$3),IF($F$3="(todos)",TRUE,'ORDENES'!$Z12=$F$3),IF($H$3="(todos)",TRUE,'ORDENES'!$Y12=$H$3),'ORDENES'!$AF12=TRUE,'ORDENES'!$A12&lt;&gt;""),1,0)</f>
        <v/>
      </c>
      <c r="L16" s="5">
        <f>IF(K16=1,IFERROR(MATCH('ORDENES'!$S12,lista_dias,0),9)*1000000000+IFERROR(MATCH('ORDENES'!$AH12,lista_turnos,0),9)*10000000+IFERROR(MATCH('ORDENES'!$AG12,tblTecnicos[nombre],0),99)*100000+9,9000000000000+9)</f>
        <v/>
      </c>
      <c r="M16" s="5">
        <f>IF(K16=1,SUMPRODUCT(--($L$8:$L$1207&lt;L16))+1,"")</f>
        <v/>
      </c>
      <c r="N16" s="17">
        <f>IF(K16=1,N('ORDENES'!$M12),0)</f>
        <v/>
      </c>
      <c r="O16" s="17">
        <f>IF('ORDENES'!$U12="preventiva",N16,0)</f>
        <v/>
      </c>
      <c r="P16" s="17">
        <f>IF('ORDENES'!$U12="correctiva",N16,0)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22">
        <f>IF(K16=1,'ORDENES'!$J12,"")</f>
        <v/>
      </c>
      <c r="U16" s="5">
        <f>IFERROR(MATCH(9,$M$8:$M$1207,0),"")</f>
        <v/>
      </c>
      <c r="V16" s="5">
        <f>IF(U16="","",INDEX(tblOrdenes[dia_semana],U16))</f>
        <v/>
      </c>
      <c r="W16" s="5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5">
        <f>IFERROR(MATCH(9,$S$8:$S$1207,0),"")</f>
        <v/>
      </c>
      <c r="Z16" s="5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5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IF(SUMPRODUCT($K$8:$K$1207,--(tblOrdenes[tecnico_asignado]=AB16))&gt;0,1,0)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IF(AND(IF($B$3="(todos)",TRUE,'ORDENES'!$O13=$B$3),IF($D$3="(todos)",TRUE,'ORDENES'!$AH13=$D$3),IF($F$3="(todos)",TRUE,'ORDENES'!$Z13=$F$3),IF($H$3="(todos)",TRUE,'ORDENES'!$Y13=$H$3),'ORDENES'!$AF13=TRUE,'ORDENES'!$A13&lt;&gt;""),1,0)</f>
        <v/>
      </c>
      <c r="L17" s="5">
        <f>IF(K17=1,IFERROR(MATCH('ORDENES'!$S13,lista_dias,0),9)*1000000000+IFERROR(MATCH('ORDENES'!$AH13,lista_turnos,0),9)*10000000+IFERROR(MATCH('ORDENES'!$AG13,tblTecnicos[nombre],0),99)*100000+10,9000000000000+10)</f>
        <v/>
      </c>
      <c r="M17" s="5">
        <f>IF(K17=1,SUMPRODUCT(--($L$8:$L$1207&lt;L17))+1,"")</f>
        <v/>
      </c>
      <c r="N17" s="17">
        <f>IF(K17=1,N('ORDENES'!$M13),0)</f>
        <v/>
      </c>
      <c r="O17" s="17">
        <f>IF('ORDENES'!$U13="preventiva",N17,0)</f>
        <v/>
      </c>
      <c r="P17" s="17">
        <f>IF('ORDENES'!$U13="correctiva",N17,0)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22">
        <f>IF(K17=1,'ORDENES'!$J13,"")</f>
        <v/>
      </c>
      <c r="U17" s="5">
        <f>IFERROR(MATCH(10,$M$8:$M$1207,0),"")</f>
        <v/>
      </c>
      <c r="V17" s="5">
        <f>IF(U17="","",INDEX(tblOrdenes[dia_semana],U17))</f>
        <v/>
      </c>
      <c r="W17" s="5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5">
        <f>IFERROR(MATCH(10,$S$8:$S$1207,0),"")</f>
        <v/>
      </c>
      <c r="Z17" s="5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5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IF(SUMPRODUCT($K$8:$K$1207,--(tblOrdenes[tecnico_asignado]=AB17))&gt;0,1,0)</f>
        <v/>
      </c>
    </row>
    <row r="18">
      <c r="K18" s="5">
        <f>IF(AND(IF($B$3="(todos)",TRUE,'ORDENES'!$O14=$B$3),IF($D$3="(todos)",TRUE,'ORDENES'!$AH14=$D$3),IF($F$3="(todos)",TRUE,'ORDENES'!$Z14=$F$3),IF($H$3="(todos)",TRUE,'ORDENES'!$Y14=$H$3),'ORDENES'!$AF14=TRUE,'ORDENES'!$A14&lt;&gt;""),1,0)</f>
        <v/>
      </c>
      <c r="L18" s="5">
        <f>IF(K18=1,IFERROR(MATCH('ORDENES'!$S14,lista_dias,0),9)*1000000000+IFERROR(MATCH('ORDENES'!$AH14,lista_turnos,0),9)*10000000+IFERROR(MATCH('ORDENES'!$AG14,tblTecnicos[nombre],0),99)*100000+11,9000000000000+11)</f>
        <v/>
      </c>
      <c r="M18" s="5">
        <f>IF(K18=1,SUMPRODUCT(--($L$8:$L$1207&lt;L18))+1,"")</f>
        <v/>
      </c>
      <c r="N18" s="17">
        <f>IF(K18=1,N('ORDENES'!$M14),0)</f>
        <v/>
      </c>
      <c r="O18" s="17">
        <f>IF('ORDENES'!$U14="preventiva",N18,0)</f>
        <v/>
      </c>
      <c r="P18" s="17">
        <f>IF('ORDENES'!$U14="correctiva",N18,0)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22">
        <f>IF(K18=1,'ORDENES'!$J14,"")</f>
        <v/>
      </c>
      <c r="U18" s="5">
        <f>IFERROR(MATCH(11,$M$8:$M$1207,0),"")</f>
        <v/>
      </c>
      <c r="V18" s="5">
        <f>IF(U18="","",INDEX(tblOrdenes[dia_semana],U18))</f>
        <v/>
      </c>
      <c r="W18" s="5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5">
        <f>IFERROR(MATCH(11,$S$8:$S$1207,0),"")</f>
        <v/>
      </c>
      <c r="Z18" s="5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5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IF(SUMPRODUCT($K$8:$K$1207,--(tblOrdenes[tecnico_asignado]=AB18))&gt;0,1,0)</f>
        <v/>
      </c>
    </row>
    <row r="19">
      <c r="K19" s="5">
        <f>IF(AND(IF($B$3="(todos)",TRUE,'ORDENES'!$O15=$B$3),IF($D$3="(todos)",TRUE,'ORDENES'!$AH15=$D$3),IF($F$3="(todos)",TRUE,'ORDENES'!$Z15=$F$3),IF($H$3="(todos)",TRUE,'ORDENES'!$Y15=$H$3),'ORDENES'!$AF15=TRUE,'ORDENES'!$A15&lt;&gt;""),1,0)</f>
        <v/>
      </c>
      <c r="L19" s="5">
        <f>IF(K19=1,IFERROR(MATCH('ORDENES'!$S15,lista_dias,0),9)*1000000000+IFERROR(MATCH('ORDENES'!$AH15,lista_turnos,0),9)*10000000+IFERROR(MATCH('ORDENES'!$AG15,tblTecnicos[nombre],0),99)*100000+12,9000000000000+12)</f>
        <v/>
      </c>
      <c r="M19" s="5">
        <f>IF(K19=1,SUMPRODUCT(--($L$8:$L$1207&lt;L19))+1,"")</f>
        <v/>
      </c>
      <c r="N19" s="17">
        <f>IF(K19=1,N('ORDENES'!$M15),0)</f>
        <v/>
      </c>
      <c r="O19" s="17">
        <f>IF('ORDENES'!$U15="preventiva",N19,0)</f>
        <v/>
      </c>
      <c r="P19" s="17">
        <f>IF('ORDENES'!$U15="correctiva",N19,0)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22">
        <f>IF(K19=1,'ORDENES'!$J15,"")</f>
        <v/>
      </c>
      <c r="U19" s="5">
        <f>IFERROR(MATCH(12,$M$8:$M$1207,0),"")</f>
        <v/>
      </c>
      <c r="V19" s="5">
        <f>IF(U19="","",INDEX(tblOrdenes[dia_semana],U19))</f>
        <v/>
      </c>
      <c r="W19" s="5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5">
        <f>IFERROR(MATCH(12,$S$8:$S$1207,0),"")</f>
        <v/>
      </c>
      <c r="Z19" s="5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5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IF(SUMPRODUCT($K$8:$K$1207,--(tblOrdenes[tecnico_asignado]=AB19))&gt;0,1,0)</f>
        <v/>
      </c>
    </row>
    <row r="20">
      <c r="K20" s="5">
        <f>IF(AND(IF($B$3="(todos)",TRUE,'ORDENES'!$O16=$B$3),IF($D$3="(todos)",TRUE,'ORDENES'!$AH16=$D$3),IF($F$3="(todos)",TRUE,'ORDENES'!$Z16=$F$3),IF($H$3="(todos)",TRUE,'ORDENES'!$Y16=$H$3),'ORDENES'!$AF16=TRUE,'ORDENES'!$A16&lt;&gt;""),1,0)</f>
        <v/>
      </c>
      <c r="L20" s="5">
        <f>IF(K20=1,IFERROR(MATCH('ORDENES'!$S16,lista_dias,0),9)*1000000000+IFERROR(MATCH('ORDENES'!$AH16,lista_turnos,0),9)*10000000+IFERROR(MATCH('ORDENES'!$AG16,tblTecnicos[nombre],0),99)*100000+13,9000000000000+13)</f>
        <v/>
      </c>
      <c r="M20" s="5">
        <f>IF(K20=1,SUMPRODUCT(--($L$8:$L$1207&lt;L20))+1,"")</f>
        <v/>
      </c>
      <c r="N20" s="17">
        <f>IF(K20=1,N('ORDENES'!$M16),0)</f>
        <v/>
      </c>
      <c r="O20" s="17">
        <f>IF('ORDENES'!$U16="preventiva",N20,0)</f>
        <v/>
      </c>
      <c r="P20" s="17">
        <f>IF('ORDENES'!$U16="correctiva",N20,0)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22">
        <f>IF(K20=1,'ORDENES'!$J16,"")</f>
        <v/>
      </c>
      <c r="U20" s="5">
        <f>IFERROR(MATCH(13,$M$8:$M$1207,0),"")</f>
        <v/>
      </c>
      <c r="V20" s="5">
        <f>IF(U20="","",INDEX(tblOrdenes[dia_semana],U20))</f>
        <v/>
      </c>
      <c r="W20" s="5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5">
        <f>IFERROR(MATCH(13,$S$8:$S$1207,0),"")</f>
        <v/>
      </c>
      <c r="Z20" s="5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5">
        <f>'TECNICOS'!$B$16</f>
        <v/>
      </c>
      <c r="AC20" s="17">
        <f>SUMPRODUCT($N$8:$N$1207,--(tblOrdenes[tecnico_asignado]=AB20))</f>
        <v/>
      </c>
      <c r="AD20" s="17">
        <f>p_factor_productividad*SUMIFS(tblAsignaciones[horas_disponibles],tblAsignaciones[tecnico],AB20,tblAsignaciones[semana],IF($B$3="(todos)","*",$B$3))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IF(SUMPRODUCT($K$8:$K$1207,--(tblOrdenes[tecnico_asignado]=AB20))&gt;0,1,0)</f>
        <v/>
      </c>
    </row>
    <row r="21">
      <c r="K21" s="5">
        <f>IF(AND(IF($B$3="(todos)",TRUE,'ORDENES'!$O17=$B$3),IF($D$3="(todos)",TRUE,'ORDENES'!$AH17=$D$3),IF($F$3="(todos)",TRUE,'ORDENES'!$Z17=$F$3),IF($H$3="(todos)",TRUE,'ORDENES'!$Y17=$H$3),'ORDENES'!$AF17=TRUE,'ORDENES'!$A17&lt;&gt;""),1,0)</f>
        <v/>
      </c>
      <c r="L21" s="5">
        <f>IF(K21=1,IFERROR(MATCH('ORDENES'!$S17,lista_dias,0),9)*1000000000+IFERROR(MATCH('ORDENES'!$AH17,lista_turnos,0),9)*10000000+IFERROR(MATCH('ORDENES'!$AG17,tblTecnicos[nombre],0),99)*100000+14,9000000000000+14)</f>
        <v/>
      </c>
      <c r="M21" s="5">
        <f>IF(K21=1,SUMPRODUCT(--($L$8:$L$1207&lt;L21))+1,"")</f>
        <v/>
      </c>
      <c r="N21" s="17">
        <f>IF(K21=1,N('ORDENES'!$M17),0)</f>
        <v/>
      </c>
      <c r="O21" s="17">
        <f>IF('ORDENES'!$U17="preventiva",N21,0)</f>
        <v/>
      </c>
      <c r="P21" s="17">
        <f>IF('ORDENES'!$U17="correctiva",N21,0)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22">
        <f>IF(K21=1,'ORDENES'!$J17,"")</f>
        <v/>
      </c>
      <c r="U21" s="5">
        <f>IFERROR(MATCH(14,$M$8:$M$1207,0),"")</f>
        <v/>
      </c>
      <c r="V21" s="5">
        <f>IF(U21="","",INDEX(tblOrdenes[dia_semana],U21))</f>
        <v/>
      </c>
      <c r="W21" s="5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5">
        <f>IFERROR(MATCH(14,$S$8:$S$1207,0),"")</f>
        <v/>
      </c>
      <c r="Z21" s="5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5">
        <f>'TECNICOS'!$B$17</f>
        <v/>
      </c>
      <c r="AC21" s="17">
        <f>SUMPRODUCT($N$8:$N$1207,--(tblOrdenes[tecnico_asignado]=AB21))</f>
        <v/>
      </c>
      <c r="AD21" s="17">
        <f>p_factor_productividad*SUMIFS(tblAsignaciones[horas_disponibles],tblAsignaciones[tecnico],AB21,tblAsignaciones[semana],IF($B$3="(todos)","*",$B$3))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IF(SUMPRODUCT($K$8:$K$1207,--(tblOrdenes[tecnico_asignado]=AB21))&gt;0,1,0)</f>
        <v/>
      </c>
    </row>
    <row r="22">
      <c r="K22" s="5">
        <f>IF(AND(IF($B$3="(todos)",TRUE,'ORDENES'!$O18=$B$3),IF($D$3="(todos)",TRUE,'ORDENES'!$AH18=$D$3),IF($F$3="(todos)",TRUE,'ORDENES'!$Z18=$F$3),IF($H$3="(todos)",TRUE,'ORDENES'!$Y18=$H$3),'ORDENES'!$AF18=TRUE,'ORDENES'!$A18&lt;&gt;""),1,0)</f>
        <v/>
      </c>
      <c r="L22" s="5">
        <f>IF(K22=1,IFERROR(MATCH('ORDENES'!$S18,lista_dias,0),9)*1000000000+IFERROR(MATCH('ORDENES'!$AH18,lista_turnos,0),9)*10000000+IFERROR(MATCH('ORDENES'!$AG18,tblTecnicos[nombre],0),99)*100000+15,9000000000000+15)</f>
        <v/>
      </c>
      <c r="M22" s="5">
        <f>IF(K22=1,SUMPRODUCT(--($L$8:$L$1207&lt;L22))+1,"")</f>
        <v/>
      </c>
      <c r="N22" s="17">
        <f>IF(K22=1,N('ORDENES'!$M18),0)</f>
        <v/>
      </c>
      <c r="O22" s="17">
        <f>IF('ORDENES'!$U18="preventiva",N22,0)</f>
        <v/>
      </c>
      <c r="P22" s="17">
        <f>IF('ORDENES'!$U18="correctiva",N22,0)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22">
        <f>IF(K22=1,'ORDENES'!$J18,"")</f>
        <v/>
      </c>
      <c r="U22" s="5">
        <f>IFERROR(MATCH(15,$M$8:$M$1207,0),"")</f>
        <v/>
      </c>
      <c r="V22" s="5">
        <f>IF(U22="","",INDEX(tblOrdenes[dia_semana],U22))</f>
        <v/>
      </c>
      <c r="W22" s="5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5">
        <f>IFERROR(MATCH(15,$S$8:$S$1207,0),"")</f>
        <v/>
      </c>
      <c r="Z22" s="5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5">
        <f>'TECNICOS'!$B$18</f>
        <v/>
      </c>
      <c r="AC22" s="17">
        <f>SUMPRODUCT($N$8:$N$1207,--(tblOrdenes[tecnico_asignado]=AB22))</f>
        <v/>
      </c>
      <c r="AD22" s="17">
        <f>p_factor_productividad*SUMIFS(tblAsignaciones[horas_disponibles],tblAsignaciones[tecnico],AB22,tblAsignaciones[semana],IF($B$3="(todos)","*",$B$3))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IF(SUMPRODUCT($K$8:$K$1207,--(tblOrdenes[tecnico_asignado]=AB22))&gt;0,1,0)</f>
        <v/>
      </c>
    </row>
    <row r="23">
      <c r="K23" s="5">
        <f>IF(AND(IF($B$3="(todos)",TRUE,'ORDENES'!$O19=$B$3),IF($D$3="(todos)",TRUE,'ORDENES'!$AH19=$D$3),IF($F$3="(todos)",TRUE,'ORDENES'!$Z19=$F$3),IF($H$3="(todos)",TRUE,'ORDENES'!$Y19=$H$3),'ORDENES'!$AF19=TRUE,'ORDENES'!$A19&lt;&gt;""),1,0)</f>
        <v/>
      </c>
      <c r="L23" s="5">
        <f>IF(K23=1,IFERROR(MATCH('ORDENES'!$S19,lista_dias,0),9)*1000000000+IFERROR(MATCH('ORDENES'!$AH19,lista_turnos,0),9)*10000000+IFERROR(MATCH('ORDENES'!$AG19,tblTecnicos[nombre],0),99)*100000+16,9000000000000+16)</f>
        <v/>
      </c>
      <c r="M23" s="5">
        <f>IF(K23=1,SUMPRODUCT(--($L$8:$L$1207&lt;L23))+1,"")</f>
        <v/>
      </c>
      <c r="N23" s="17">
        <f>IF(K23=1,N('ORDENES'!$M19),0)</f>
        <v/>
      </c>
      <c r="O23" s="17">
        <f>IF('ORDENES'!$U19="preventiva",N23,0)</f>
        <v/>
      </c>
      <c r="P23" s="17">
        <f>IF('ORDENES'!$U19="correctiva",N23,0)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22">
        <f>IF(K23=1,'ORDENES'!$J19,"")</f>
        <v/>
      </c>
      <c r="U23" s="5">
        <f>IFERROR(MATCH(16,$M$8:$M$1207,0),"")</f>
        <v/>
      </c>
      <c r="V23" s="5">
        <f>IF(U23="","",INDEX(tblOrdenes[dia_semana],U23))</f>
        <v/>
      </c>
      <c r="W23" s="5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5">
        <f>IFERROR(MATCH(16,$S$8:$S$1207,0),"")</f>
        <v/>
      </c>
      <c r="Z23" s="5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5">
        <f>'TECNICOS'!$B$19</f>
        <v/>
      </c>
      <c r="AC23" s="17">
        <f>SUMPRODUCT($N$8:$N$1207,--(tblOrdenes[tecnico_asignado]=AB23))</f>
        <v/>
      </c>
      <c r="AD23" s="17">
        <f>p_factor_productividad*SUMIFS(tblAsignaciones[horas_disponibles],tblAsignaciones[tecnico],AB23,tblAsignaciones[semana],IF($B$3="(todos)","*",$B$3))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IF(SUMPRODUCT($K$8:$K$1207,--(tblOrdenes[tecnico_asignado]=AB23))&gt;0,1,0)</f>
        <v/>
      </c>
    </row>
    <row r="24">
      <c r="K24" s="5">
        <f>IF(AND(IF($B$3="(todos)",TRUE,'ORDENES'!$O20=$B$3),IF($D$3="(todos)",TRUE,'ORDENES'!$AH20=$D$3),IF($F$3="(todos)",TRUE,'ORDENES'!$Z20=$F$3),IF($H$3="(todos)",TRUE,'ORDENES'!$Y20=$H$3),'ORDENES'!$AF20=TRUE,'ORDENES'!$A20&lt;&gt;""),1,0)</f>
        <v/>
      </c>
      <c r="L24" s="5">
        <f>IF(K24=1,IFERROR(MATCH('ORDENES'!$S20,lista_dias,0),9)*1000000000+IFERROR(MATCH('ORDENES'!$AH20,lista_turnos,0),9)*10000000+IFERROR(MATCH('ORDENES'!$AG20,tblTecnicos[nombre],0),99)*100000+17,9000000000000+17)</f>
        <v/>
      </c>
      <c r="M24" s="5">
        <f>IF(K24=1,SUMPRODUCT(--($L$8:$L$1207&lt;L24))+1,"")</f>
        <v/>
      </c>
      <c r="N24" s="17">
        <f>IF(K24=1,N('ORDENES'!$M20),0)</f>
        <v/>
      </c>
      <c r="O24" s="17">
        <f>IF('ORDENES'!$U20="preventiva",N24,0)</f>
        <v/>
      </c>
      <c r="P24" s="17">
        <f>IF('ORDENES'!$U20="correctiva",N24,0)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22">
        <f>IF(K24=1,'ORDENES'!$J20,"")</f>
        <v/>
      </c>
      <c r="U24" s="5">
        <f>IFERROR(MATCH(17,$M$8:$M$1207,0),"")</f>
        <v/>
      </c>
      <c r="V24" s="5">
        <f>IF(U24="","",INDEX(tblOrdenes[dia_semana],U24))</f>
        <v/>
      </c>
      <c r="W24" s="5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5">
        <f>IFERROR(MATCH(17,$S$8:$S$1207,0),"")</f>
        <v/>
      </c>
      <c r="Z24" s="5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5">
        <f>IF(AND(IF($B$3="(todos)",TRUE,'ORDENES'!$O21=$B$3),IF($D$3="(todos)",TRUE,'ORDENES'!$AH21=$D$3),IF($F$3="(todos)",TRUE,'ORDENES'!$Z21=$F$3),IF($H$3="(todos)",TRUE,'ORDENES'!$Y21=$H$3),'ORDENES'!$AF21=TRUE,'ORDENES'!$A21&lt;&gt;""),1,0)</f>
        <v/>
      </c>
      <c r="L25" s="5">
        <f>IF(K25=1,IFERROR(MATCH('ORDENES'!$S21,lista_dias,0),9)*1000000000+IFERROR(MATCH('ORDENES'!$AH21,lista_turnos,0),9)*10000000+IFERROR(MATCH('ORDENES'!$AG21,tblTecnicos[nombre],0),99)*100000+18,9000000000000+18)</f>
        <v/>
      </c>
      <c r="M25" s="5">
        <f>IF(K25=1,SUMPRODUCT(--($L$8:$L$1207&lt;L25))+1,"")</f>
        <v/>
      </c>
      <c r="N25" s="17">
        <f>IF(K25=1,N('ORDENES'!$M21),0)</f>
        <v/>
      </c>
      <c r="O25" s="17">
        <f>IF('ORDENES'!$U21="preventiva",N25,0)</f>
        <v/>
      </c>
      <c r="P25" s="17">
        <f>IF('ORDENES'!$U21="correctiva",N25,0)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22">
        <f>IF(K25=1,'ORDENES'!$J21,"")</f>
        <v/>
      </c>
      <c r="U25" s="5">
        <f>IFERROR(MATCH(18,$M$8:$M$1207,0),"")</f>
        <v/>
      </c>
      <c r="V25" s="5">
        <f>IF(U25="","",INDEX(tblOrdenes[dia_semana],U25))</f>
        <v/>
      </c>
      <c r="W25" s="5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5">
        <f>IFERROR(MATCH(18,$S$8:$S$1207,0),"")</f>
        <v/>
      </c>
      <c r="Z25" s="5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5">
        <f>IF(AND(IF($B$3="(todos)",TRUE,'ORDENES'!$O22=$B$3),IF($D$3="(todos)",TRUE,'ORDENES'!$AH22=$D$3),IF($F$3="(todos)",TRUE,'ORDENES'!$Z22=$F$3),IF($H$3="(todos)",TRUE,'ORDENES'!$Y22=$H$3),'ORDENES'!$AF22=TRUE,'ORDENES'!$A22&lt;&gt;""),1,0)</f>
        <v/>
      </c>
      <c r="L26" s="5">
        <f>IF(K26=1,IFERROR(MATCH('ORDENES'!$S22,lista_dias,0),9)*1000000000+IFERROR(MATCH('ORDENES'!$AH22,lista_turnos,0),9)*10000000+IFERROR(MATCH('ORDENES'!$AG22,tblTecnicos[nombre],0),99)*100000+19,9000000000000+19)</f>
        <v/>
      </c>
      <c r="M26" s="5">
        <f>IF(K26=1,SUMPRODUCT(--($L$8:$L$1207&lt;L26))+1,"")</f>
        <v/>
      </c>
      <c r="N26" s="17">
        <f>IF(K26=1,N('ORDENES'!$M22),0)</f>
        <v/>
      </c>
      <c r="O26" s="17">
        <f>IF('ORDENES'!$U22="preventiva",N26,0)</f>
        <v/>
      </c>
      <c r="P26" s="17">
        <f>IF('ORDENES'!$U22="correctiva",N26,0)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22">
        <f>IF(K26=1,'ORDENES'!$J22,"")</f>
        <v/>
      </c>
      <c r="U26" s="5">
        <f>IFERROR(MATCH(19,$M$8:$M$1207,0),"")</f>
        <v/>
      </c>
      <c r="V26" s="5">
        <f>IF(U26="","",INDEX(tblOrdenes[dia_semana],U26))</f>
        <v/>
      </c>
      <c r="W26" s="5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5">
        <f>IFERROR(MATCH(19,$S$8:$S$1207,0),"")</f>
        <v/>
      </c>
      <c r="Z26" s="5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5">
        <f>IF(AND(IF($B$3="(todos)",TRUE,'ORDENES'!$O23=$B$3),IF($D$3="(todos)",TRUE,'ORDENES'!$AH23=$D$3),IF($F$3="(todos)",TRUE,'ORDENES'!$Z23=$F$3),IF($H$3="(todos)",TRUE,'ORDENES'!$Y23=$H$3),'ORDENES'!$AF23=TRUE,'ORDENES'!$A23&lt;&gt;""),1,0)</f>
        <v/>
      </c>
      <c r="L27" s="5">
        <f>IF(K27=1,IFERROR(MATCH('ORDENES'!$S23,lista_dias,0),9)*1000000000+IFERROR(MATCH('ORDENES'!$AH23,lista_turnos,0),9)*10000000+IFERROR(MATCH('ORDENES'!$AG23,tblTecnicos[nombre],0),99)*100000+20,9000000000000+20)</f>
        <v/>
      </c>
      <c r="M27" s="5">
        <f>IF(K27=1,SUMPRODUCT(--($L$8:$L$1207&lt;L27))+1,"")</f>
        <v/>
      </c>
      <c r="N27" s="17">
        <f>IF(K27=1,N('ORDENES'!$M23),0)</f>
        <v/>
      </c>
      <c r="O27" s="17">
        <f>IF('ORDENES'!$U23="preventiva",N27,0)</f>
        <v/>
      </c>
      <c r="P27" s="17">
        <f>IF('ORDENES'!$U23="correctiva",N27,0)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22">
        <f>IF(K27=1,'ORDENES'!$J23,"")</f>
        <v/>
      </c>
      <c r="U27" s="5">
        <f>IFERROR(MATCH(20,$M$8:$M$1207,0),"")</f>
        <v/>
      </c>
      <c r="V27" s="5">
        <f>IF(U27="","",INDEX(tblOrdenes[dia_semana],U27))</f>
        <v/>
      </c>
      <c r="W27" s="5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5">
        <f>IFERROR(MATCH(20,$S$8:$S$1207,0),"")</f>
        <v/>
      </c>
      <c r="Z27" s="5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5">
        <f>IF(AND(IF($B$3="(todos)",TRUE,'ORDENES'!$O24=$B$3),IF($D$3="(todos)",TRUE,'ORDENES'!$AH24=$D$3),IF($F$3="(todos)",TRUE,'ORDENES'!$Z24=$F$3),IF($H$3="(todos)",TRUE,'ORDENES'!$Y24=$H$3),'ORDENES'!$AF24=TRUE,'ORDENES'!$A24&lt;&gt;""),1,0)</f>
        <v/>
      </c>
      <c r="L28" s="5">
        <f>IF(K28=1,IFERROR(MATCH('ORDENES'!$S24,lista_dias,0),9)*1000000000+IFERROR(MATCH('ORDENES'!$AH24,lista_turnos,0),9)*10000000+IFERROR(MATCH('ORDENES'!$AG24,tblTecnicos[nombre],0),99)*100000+21,9000000000000+21)</f>
        <v/>
      </c>
      <c r="M28" s="5">
        <f>IF(K28=1,SUMPRODUCT(--($L$8:$L$1207&lt;L28))+1,"")</f>
        <v/>
      </c>
      <c r="N28" s="17">
        <f>IF(K28=1,N('ORDENES'!$M24),0)</f>
        <v/>
      </c>
      <c r="O28" s="17">
        <f>IF('ORDENES'!$U24="preventiva",N28,0)</f>
        <v/>
      </c>
      <c r="P28" s="17">
        <f>IF('ORDENES'!$U24="correctiva",N28,0)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22">
        <f>IF(K28=1,'ORDENES'!$J24,"")</f>
        <v/>
      </c>
      <c r="U28" s="5">
        <f>IFERROR(MATCH(21,$M$8:$M$1207,0),"")</f>
        <v/>
      </c>
      <c r="V28" s="5">
        <f>IF(U28="","",INDEX(tblOrdenes[dia_semana],U28))</f>
        <v/>
      </c>
      <c r="W28" s="5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5">
        <f>IF(AND(IF($B$3="(todos)",TRUE,'ORDENES'!$O25=$B$3),IF($D$3="(todos)",TRUE,'ORDENES'!$AH25=$D$3),IF($F$3="(todos)",TRUE,'ORDENES'!$Z25=$F$3),IF($H$3="(todos)",TRUE,'ORDENES'!$Y25=$H$3),'ORDENES'!$AF25=TRUE,'ORDENES'!$A25&lt;&gt;""),1,0)</f>
        <v/>
      </c>
      <c r="L29" s="5">
        <f>IF(K29=1,IFERROR(MATCH('ORDENES'!$S25,lista_dias,0),9)*1000000000+IFERROR(MATCH('ORDENES'!$AH25,lista_turnos,0),9)*10000000+IFERROR(MATCH('ORDENES'!$AG25,tblTecnicos[nombre],0),99)*100000+22,9000000000000+22)</f>
        <v/>
      </c>
      <c r="M29" s="5">
        <f>IF(K29=1,SUMPRODUCT(--($L$8:$L$1207&lt;L29))+1,"")</f>
        <v/>
      </c>
      <c r="N29" s="17">
        <f>IF(K29=1,N('ORDENES'!$M25),0)</f>
        <v/>
      </c>
      <c r="O29" s="17">
        <f>IF('ORDENES'!$U25="preventiva",N29,0)</f>
        <v/>
      </c>
      <c r="P29" s="17">
        <f>IF('ORDENES'!$U25="correctiva",N29,0)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22">
        <f>IF(K29=1,'ORDENES'!$J25,"")</f>
        <v/>
      </c>
      <c r="U29" s="5">
        <f>IFERROR(MATCH(22,$M$8:$M$1207,0),"")</f>
        <v/>
      </c>
      <c r="V29" s="5">
        <f>IF(U29="","",INDEX(tblOrdenes[dia_semana],U29))</f>
        <v/>
      </c>
      <c r="W29" s="5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5">
        <f>IF(AND(IF($B$3="(todos)",TRUE,'ORDENES'!$O26=$B$3),IF($D$3="(todos)",TRUE,'ORDENES'!$AH26=$D$3),IF($F$3="(todos)",TRUE,'ORDENES'!$Z26=$F$3),IF($H$3="(todos)",TRUE,'ORDENES'!$Y26=$H$3),'ORDENES'!$AF26=TRUE,'ORDENES'!$A26&lt;&gt;""),1,0)</f>
        <v/>
      </c>
      <c r="L30" s="5">
        <f>IF(K30=1,IFERROR(MATCH('ORDENES'!$S26,lista_dias,0),9)*1000000000+IFERROR(MATCH('ORDENES'!$AH26,lista_turnos,0),9)*10000000+IFERROR(MATCH('ORDENES'!$AG26,tblTecnicos[nombre],0),99)*100000+23,9000000000000+23)</f>
        <v/>
      </c>
      <c r="M30" s="5">
        <f>IF(K30=1,SUMPRODUCT(--($L$8:$L$1207&lt;L30))+1,"")</f>
        <v/>
      </c>
      <c r="N30" s="17">
        <f>IF(K30=1,N('ORDENES'!$M26),0)</f>
        <v/>
      </c>
      <c r="O30" s="17">
        <f>IF('ORDENES'!$U26="preventiva",N30,0)</f>
        <v/>
      </c>
      <c r="P30" s="17">
        <f>IF('ORDENES'!$U26="correctiva",N30,0)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22">
        <f>IF(K30=1,'ORDENES'!$J26,"")</f>
        <v/>
      </c>
      <c r="U30" s="5">
        <f>IFERROR(MATCH(23,$M$8:$M$1207,0),"")</f>
        <v/>
      </c>
      <c r="V30" s="5">
        <f>IF(U30="","",INDEX(tblOrdenes[dia_semana],U30))</f>
        <v/>
      </c>
      <c r="W30" s="5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5">
        <f>IF(AND(IF($B$3="(todos)",TRUE,'ORDENES'!$O27=$B$3),IF($D$3="(todos)",TRUE,'ORDENES'!$AH27=$D$3),IF($F$3="(todos)",TRUE,'ORDENES'!$Z27=$F$3),IF($H$3="(todos)",TRUE,'ORDENES'!$Y27=$H$3),'ORDENES'!$AF27=TRUE,'ORDENES'!$A27&lt;&gt;""),1,0)</f>
        <v/>
      </c>
      <c r="L31" s="5">
        <f>IF(K31=1,IFERROR(MATCH('ORDENES'!$S27,lista_dias,0),9)*1000000000+IFERROR(MATCH('ORDENES'!$AH27,lista_turnos,0),9)*10000000+IFERROR(MATCH('ORDENES'!$AG27,tblTecnicos[nombre],0),99)*100000+24,9000000000000+24)</f>
        <v/>
      </c>
      <c r="M31" s="5">
        <f>IF(K31=1,SUMPRODUCT(--($L$8:$L$1207&lt;L31))+1,"")</f>
        <v/>
      </c>
      <c r="N31" s="17">
        <f>IF(K31=1,N('ORDENES'!$M27),0)</f>
        <v/>
      </c>
      <c r="O31" s="17">
        <f>IF('ORDENES'!$U27="preventiva",N31,0)</f>
        <v/>
      </c>
      <c r="P31" s="17">
        <f>IF('ORDENES'!$U27="correctiva",N31,0)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22">
        <f>IF(K31=1,'ORDENES'!$J27,"")</f>
        <v/>
      </c>
      <c r="U31" s="5">
        <f>IFERROR(MATCH(24,$M$8:$M$1207,0),"")</f>
        <v/>
      </c>
      <c r="V31" s="5">
        <f>IF(U31="","",INDEX(tblOrdenes[dia_semana],U31))</f>
        <v/>
      </c>
      <c r="W31" s="5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5">
        <f>IF(AND(IF($B$3="(todos)",TRUE,'ORDENES'!$O28=$B$3),IF($D$3="(todos)",TRUE,'ORDENES'!$AH28=$D$3),IF($F$3="(todos)",TRUE,'ORDENES'!$Z28=$F$3),IF($H$3="(todos)",TRUE,'ORDENES'!$Y28=$H$3),'ORDENES'!$AF28=TRUE,'ORDENES'!$A28&lt;&gt;""),1,0)</f>
        <v/>
      </c>
      <c r="L32" s="5">
        <f>IF(K32=1,IFERROR(MATCH('ORDENES'!$S28,lista_dias,0),9)*1000000000+IFERROR(MATCH('ORDENES'!$AH28,lista_turnos,0),9)*10000000+IFERROR(MATCH('ORDENES'!$AG28,tblTecnicos[nombre],0),99)*100000+25,9000000000000+25)</f>
        <v/>
      </c>
      <c r="M32" s="5">
        <f>IF(K32=1,SUMPRODUCT(--($L$8:$L$1207&lt;L32))+1,"")</f>
        <v/>
      </c>
      <c r="N32" s="17">
        <f>IF(K32=1,N('ORDENES'!$M28),0)</f>
        <v/>
      </c>
      <c r="O32" s="17">
        <f>IF('ORDENES'!$U28="preventiva",N32,0)</f>
        <v/>
      </c>
      <c r="P32" s="17">
        <f>IF('ORDENES'!$U28="correctiva",N32,0)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22">
        <f>IF(K32=1,'ORDENES'!$J28,"")</f>
        <v/>
      </c>
      <c r="U32" s="5">
        <f>IFERROR(MATCH(25,$M$8:$M$1207,0),"")</f>
        <v/>
      </c>
      <c r="V32" s="5">
        <f>IF(U32="","",INDEX(tblOrdenes[dia_semana],U32))</f>
        <v/>
      </c>
      <c r="W32" s="5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5">
        <f>IF(AND(IF($B$3="(todos)",TRUE,'ORDENES'!$O29=$B$3),IF($D$3="(todos)",TRUE,'ORDENES'!$AH29=$D$3),IF($F$3="(todos)",TRUE,'ORDENES'!$Z29=$F$3),IF($H$3="(todos)",TRUE,'ORDENES'!$Y29=$H$3),'ORDENES'!$AF29=TRUE,'ORDENES'!$A29&lt;&gt;""),1,0)</f>
        <v/>
      </c>
      <c r="L33" s="5">
        <f>IF(K33=1,IFERROR(MATCH('ORDENES'!$S29,lista_dias,0),9)*1000000000+IFERROR(MATCH('ORDENES'!$AH29,lista_turnos,0),9)*10000000+IFERROR(MATCH('ORDENES'!$AG29,tblTecnicos[nombre],0),99)*100000+26,9000000000000+26)</f>
        <v/>
      </c>
      <c r="M33" s="5">
        <f>IF(K33=1,SUMPRODUCT(--($L$8:$L$1207&lt;L33))+1,"")</f>
        <v/>
      </c>
      <c r="N33" s="17">
        <f>IF(K33=1,N('ORDENES'!$M29),0)</f>
        <v/>
      </c>
      <c r="O33" s="17">
        <f>IF('ORDENES'!$U29="preventiva",N33,0)</f>
        <v/>
      </c>
      <c r="P33" s="17">
        <f>IF('ORDENES'!$U29="correctiva",N33,0)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22">
        <f>IF(K33=1,'ORDENES'!$J29,"")</f>
        <v/>
      </c>
      <c r="U33" s="5">
        <f>IFERROR(MATCH(26,$M$8:$M$1207,0),"")</f>
        <v/>
      </c>
      <c r="V33" s="5">
        <f>IF(U33="","",INDEX(tblOrdenes[dia_semana],U33))</f>
        <v/>
      </c>
      <c r="W33" s="5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5">
        <f>IF(AND(IF($B$3="(todos)",TRUE,'ORDENES'!$O30=$B$3),IF($D$3="(todos)",TRUE,'ORDENES'!$AH30=$D$3),IF($F$3="(todos)",TRUE,'ORDENES'!$Z30=$F$3),IF($H$3="(todos)",TRUE,'ORDENES'!$Y30=$H$3),'ORDENES'!$AF30=TRUE,'ORDENES'!$A30&lt;&gt;""),1,0)</f>
        <v/>
      </c>
      <c r="L34" s="5">
        <f>IF(K34=1,IFERROR(MATCH('ORDENES'!$S30,lista_dias,0),9)*1000000000+IFERROR(MATCH('ORDENES'!$AH30,lista_turnos,0),9)*10000000+IFERROR(MATCH('ORDENES'!$AG30,tblTecnicos[nombre],0),99)*100000+27,9000000000000+27)</f>
        <v/>
      </c>
      <c r="M34" s="5">
        <f>IF(K34=1,SUMPRODUCT(--($L$8:$L$1207&lt;L34))+1,"")</f>
        <v/>
      </c>
      <c r="N34" s="17">
        <f>IF(K34=1,N('ORDENES'!$M30),0)</f>
        <v/>
      </c>
      <c r="O34" s="17">
        <f>IF('ORDENES'!$U30="preventiva",N34,0)</f>
        <v/>
      </c>
      <c r="P34" s="17">
        <f>IF('ORDENES'!$U30="correctiva",N34,0)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22">
        <f>IF(K34=1,'ORDENES'!$J30,"")</f>
        <v/>
      </c>
      <c r="U34" s="5">
        <f>IFERROR(MATCH(27,$M$8:$M$1207,0),"")</f>
        <v/>
      </c>
      <c r="V34" s="5">
        <f>IF(U34="","",INDEX(tblOrdenes[dia_semana],U34))</f>
        <v/>
      </c>
      <c r="W34" s="5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5">
        <f>IF(AND(IF($B$3="(todos)",TRUE,'ORDENES'!$O31=$B$3),IF($D$3="(todos)",TRUE,'ORDENES'!$AH31=$D$3),IF($F$3="(todos)",TRUE,'ORDENES'!$Z31=$F$3),IF($H$3="(todos)",TRUE,'ORDENES'!$Y31=$H$3),'ORDENES'!$AF31=TRUE,'ORDENES'!$A31&lt;&gt;""),1,0)</f>
        <v/>
      </c>
      <c r="L35" s="5">
        <f>IF(K35=1,IFERROR(MATCH('ORDENES'!$S31,lista_dias,0),9)*1000000000+IFERROR(MATCH('ORDENES'!$AH31,lista_turnos,0),9)*10000000+IFERROR(MATCH('ORDENES'!$AG31,tblTecnicos[nombre],0),99)*100000+28,9000000000000+28)</f>
        <v/>
      </c>
      <c r="M35" s="5">
        <f>IF(K35=1,SUMPRODUCT(--($L$8:$L$1207&lt;L35))+1,"")</f>
        <v/>
      </c>
      <c r="N35" s="17">
        <f>IF(K35=1,N('ORDENES'!$M31),0)</f>
        <v/>
      </c>
      <c r="O35" s="17">
        <f>IF('ORDENES'!$U31="preventiva",N35,0)</f>
        <v/>
      </c>
      <c r="P35" s="17">
        <f>IF('ORDENES'!$U31="correctiva",N35,0)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22">
        <f>IF(K35=1,'ORDENES'!$J31,"")</f>
        <v/>
      </c>
      <c r="U35" s="5">
        <f>IFERROR(MATCH(28,$M$8:$M$1207,0),"")</f>
        <v/>
      </c>
      <c r="V35" s="5">
        <f>IF(U35="","",INDEX(tblOrdenes[dia_semana],U35))</f>
        <v/>
      </c>
      <c r="W35" s="5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5">
        <f>IF(AND(IF($B$3="(todos)",TRUE,'ORDENES'!$O32=$B$3),IF($D$3="(todos)",TRUE,'ORDENES'!$AH32=$D$3),IF($F$3="(todos)",TRUE,'ORDENES'!$Z32=$F$3),IF($H$3="(todos)",TRUE,'ORDENES'!$Y32=$H$3),'ORDENES'!$AF32=TRUE,'ORDENES'!$A32&lt;&gt;""),1,0)</f>
        <v/>
      </c>
      <c r="L36" s="5">
        <f>IF(K36=1,IFERROR(MATCH('ORDENES'!$S32,lista_dias,0),9)*1000000000+IFERROR(MATCH('ORDENES'!$AH32,lista_turnos,0),9)*10000000+IFERROR(MATCH('ORDENES'!$AG32,tblTecnicos[nombre],0),99)*100000+29,9000000000000+29)</f>
        <v/>
      </c>
      <c r="M36" s="5">
        <f>IF(K36=1,SUMPRODUCT(--($L$8:$L$1207&lt;L36))+1,"")</f>
        <v/>
      </c>
      <c r="N36" s="17">
        <f>IF(K36=1,N('ORDENES'!$M32),0)</f>
        <v/>
      </c>
      <c r="O36" s="17">
        <f>IF('ORDENES'!$U32="preventiva",N36,0)</f>
        <v/>
      </c>
      <c r="P36" s="17">
        <f>IF('ORDENES'!$U32="correctiva",N36,0)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22">
        <f>IF(K36=1,'ORDENES'!$J32,"")</f>
        <v/>
      </c>
      <c r="U36" s="5">
        <f>IFERROR(MATCH(29,$M$8:$M$1207,0),"")</f>
        <v/>
      </c>
      <c r="V36" s="5">
        <f>IF(U36="","",INDEX(tblOrdenes[dia_semana],U36))</f>
        <v/>
      </c>
      <c r="W36" s="5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5">
        <f>IF(AND(IF($B$3="(todos)",TRUE,'ORDENES'!$O33=$B$3),IF($D$3="(todos)",TRUE,'ORDENES'!$AH33=$D$3),IF($F$3="(todos)",TRUE,'ORDENES'!$Z33=$F$3),IF($H$3="(todos)",TRUE,'ORDENES'!$Y33=$H$3),'ORDENES'!$AF33=TRUE,'ORDENES'!$A33&lt;&gt;""),1,0)</f>
        <v/>
      </c>
      <c r="L37" s="5">
        <f>IF(K37=1,IFERROR(MATCH('ORDENES'!$S33,lista_dias,0),9)*1000000000+IFERROR(MATCH('ORDENES'!$AH33,lista_turnos,0),9)*10000000+IFERROR(MATCH('ORDENES'!$AG33,tblTecnicos[nombre],0),99)*100000+30,9000000000000+30)</f>
        <v/>
      </c>
      <c r="M37" s="5">
        <f>IF(K37=1,SUMPRODUCT(--($L$8:$L$1207&lt;L37))+1,"")</f>
        <v/>
      </c>
      <c r="N37" s="17">
        <f>IF(K37=1,N('ORDENES'!$M33),0)</f>
        <v/>
      </c>
      <c r="O37" s="17">
        <f>IF('ORDENES'!$U33="preventiva",N37,0)</f>
        <v/>
      </c>
      <c r="P37" s="17">
        <f>IF('ORDENES'!$U33="correctiva",N37,0)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22">
        <f>IF(K37=1,'ORDENES'!$J33,"")</f>
        <v/>
      </c>
      <c r="U37" s="5">
        <f>IFERROR(MATCH(30,$M$8:$M$1207,0),"")</f>
        <v/>
      </c>
      <c r="V37" s="5">
        <f>IF(U37="","",INDEX(tblOrdenes[dia_semana],U37))</f>
        <v/>
      </c>
      <c r="W37" s="5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5">
        <f>IF(AND(IF($B$3="(todos)",TRUE,'ORDENES'!$O34=$B$3),IF($D$3="(todos)",TRUE,'ORDENES'!$AH34=$D$3),IF($F$3="(todos)",TRUE,'ORDENES'!$Z34=$F$3),IF($H$3="(todos)",TRUE,'ORDENES'!$Y34=$H$3),'ORDENES'!$AF34=TRUE,'ORDENES'!$A34&lt;&gt;""),1,0)</f>
        <v/>
      </c>
      <c r="L38" s="5">
        <f>IF(K38=1,IFERROR(MATCH('ORDENES'!$S34,lista_dias,0),9)*1000000000+IFERROR(MATCH('ORDENES'!$AH34,lista_turnos,0),9)*10000000+IFERROR(MATCH('ORDENES'!$AG34,tblTecnicos[nombre],0),99)*100000+31,9000000000000+31)</f>
        <v/>
      </c>
      <c r="M38" s="5">
        <f>IF(K38=1,SUMPRODUCT(--($L$8:$L$1207&lt;L38))+1,"")</f>
        <v/>
      </c>
      <c r="N38" s="17">
        <f>IF(K38=1,N('ORDENES'!$M34),0)</f>
        <v/>
      </c>
      <c r="O38" s="17">
        <f>IF('ORDENES'!$U34="preventiva",N38,0)</f>
        <v/>
      </c>
      <c r="P38" s="17">
        <f>IF('ORDENES'!$U34="correctiva",N38,0)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22">
        <f>IF(K38=1,'ORDENES'!$J34,"")</f>
        <v/>
      </c>
      <c r="U38" s="5">
        <f>IFERROR(MATCH(31,$M$8:$M$1207,0),"")</f>
        <v/>
      </c>
      <c r="V38" s="5">
        <f>IF(U38="","",INDEX(tblOrdenes[dia_semana],U38))</f>
        <v/>
      </c>
      <c r="W38" s="5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5">
        <f>IF(AND(IF($B$3="(todos)",TRUE,'ORDENES'!$O35=$B$3),IF($D$3="(todos)",TRUE,'ORDENES'!$AH35=$D$3),IF($F$3="(todos)",TRUE,'ORDENES'!$Z35=$F$3),IF($H$3="(todos)",TRUE,'ORDENES'!$Y35=$H$3),'ORDENES'!$AF35=TRUE,'ORDENES'!$A35&lt;&gt;""),1,0)</f>
        <v/>
      </c>
      <c r="L39" s="5">
        <f>IF(K39=1,IFERROR(MATCH('ORDENES'!$S35,lista_dias,0),9)*1000000000+IFERROR(MATCH('ORDENES'!$AH35,lista_turnos,0),9)*10000000+IFERROR(MATCH('ORDENES'!$AG35,tblTecnicos[nombre],0),99)*100000+32,9000000000000+32)</f>
        <v/>
      </c>
      <c r="M39" s="5">
        <f>IF(K39=1,SUMPRODUCT(--($L$8:$L$1207&lt;L39))+1,"")</f>
        <v/>
      </c>
      <c r="N39" s="17">
        <f>IF(K39=1,N('ORDENES'!$M35),0)</f>
        <v/>
      </c>
      <c r="O39" s="17">
        <f>IF('ORDENES'!$U35="preventiva",N39,0)</f>
        <v/>
      </c>
      <c r="P39" s="17">
        <f>IF('ORDENES'!$U35="correctiva",N39,0)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22">
        <f>IF(K39=1,'ORDENES'!$J35,"")</f>
        <v/>
      </c>
      <c r="U39" s="5">
        <f>IFERROR(MATCH(32,$M$8:$M$1207,0),"")</f>
        <v/>
      </c>
      <c r="V39" s="5">
        <f>IF(U39="","",INDEX(tblOrdenes[dia_semana],U39))</f>
        <v/>
      </c>
      <c r="W39" s="5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5">
        <f>IF(AND(IF($B$3="(todos)",TRUE,'ORDENES'!$O36=$B$3),IF($D$3="(todos)",TRUE,'ORDENES'!$AH36=$D$3),IF($F$3="(todos)",TRUE,'ORDENES'!$Z36=$F$3),IF($H$3="(todos)",TRUE,'ORDENES'!$Y36=$H$3),'ORDENES'!$AF36=TRUE,'ORDENES'!$A36&lt;&gt;""),1,0)</f>
        <v/>
      </c>
      <c r="L40" s="5">
        <f>IF(K40=1,IFERROR(MATCH('ORDENES'!$S36,lista_dias,0),9)*1000000000+IFERROR(MATCH('ORDENES'!$AH36,lista_turnos,0),9)*10000000+IFERROR(MATCH('ORDENES'!$AG36,tblTecnicos[nombre],0),99)*100000+33,9000000000000+33)</f>
        <v/>
      </c>
      <c r="M40" s="5">
        <f>IF(K40=1,SUMPRODUCT(--($L$8:$L$1207&lt;L40))+1,"")</f>
        <v/>
      </c>
      <c r="N40" s="17">
        <f>IF(K40=1,N('ORDENES'!$M36),0)</f>
        <v/>
      </c>
      <c r="O40" s="17">
        <f>IF('ORDENES'!$U36="preventiva",N40,0)</f>
        <v/>
      </c>
      <c r="P40" s="17">
        <f>IF('ORDENES'!$U36="correctiva",N40,0)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22">
        <f>IF(K40=1,'ORDENES'!$J36,"")</f>
        <v/>
      </c>
      <c r="U40" s="5">
        <f>IFERROR(MATCH(33,$M$8:$M$1207,0),"")</f>
        <v/>
      </c>
      <c r="V40" s="5">
        <f>IF(U40="","",INDEX(tblOrdenes[dia_semana],U40))</f>
        <v/>
      </c>
      <c r="W40" s="5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5">
        <f>IF(AND(IF($B$3="(todos)",TRUE,'ORDENES'!$O37=$B$3),IF($D$3="(todos)",TRUE,'ORDENES'!$AH37=$D$3),IF($F$3="(todos)",TRUE,'ORDENES'!$Z37=$F$3),IF($H$3="(todos)",TRUE,'ORDENES'!$Y37=$H$3),'ORDENES'!$AF37=TRUE,'ORDENES'!$A37&lt;&gt;""),1,0)</f>
        <v/>
      </c>
      <c r="L41" s="5">
        <f>IF(K41=1,IFERROR(MATCH('ORDENES'!$S37,lista_dias,0),9)*1000000000+IFERROR(MATCH('ORDENES'!$AH37,lista_turnos,0),9)*10000000+IFERROR(MATCH('ORDENES'!$AG37,tblTecnicos[nombre],0),99)*100000+34,9000000000000+34)</f>
        <v/>
      </c>
      <c r="M41" s="5">
        <f>IF(K41=1,SUMPRODUCT(--($L$8:$L$1207&lt;L41))+1,"")</f>
        <v/>
      </c>
      <c r="N41" s="17">
        <f>IF(K41=1,N('ORDENES'!$M37),0)</f>
        <v/>
      </c>
      <c r="O41" s="17">
        <f>IF('ORDENES'!$U37="preventiva",N41,0)</f>
        <v/>
      </c>
      <c r="P41" s="17">
        <f>IF('ORDENES'!$U37="correctiva",N41,0)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22">
        <f>IF(K41=1,'ORDENES'!$J37,"")</f>
        <v/>
      </c>
      <c r="U41" s="5">
        <f>IFERROR(MATCH(34,$M$8:$M$1207,0),"")</f>
        <v/>
      </c>
      <c r="V41" s="5">
        <f>IF(U41="","",INDEX(tblOrdenes[dia_semana],U41))</f>
        <v/>
      </c>
      <c r="W41" s="5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5">
        <f>IF(AND(IF($B$3="(todos)",TRUE,'ORDENES'!$O38=$B$3),IF($D$3="(todos)",TRUE,'ORDENES'!$AH38=$D$3),IF($F$3="(todos)",TRUE,'ORDENES'!$Z38=$F$3),IF($H$3="(todos)",TRUE,'ORDENES'!$Y38=$H$3),'ORDENES'!$AF38=TRUE,'ORDENES'!$A38&lt;&gt;""),1,0)</f>
        <v/>
      </c>
      <c r="L42" s="5">
        <f>IF(K42=1,IFERROR(MATCH('ORDENES'!$S38,lista_dias,0),9)*1000000000+IFERROR(MATCH('ORDENES'!$AH38,lista_turnos,0),9)*10000000+IFERROR(MATCH('ORDENES'!$AG38,tblTecnicos[nombre],0),99)*100000+35,9000000000000+35)</f>
        <v/>
      </c>
      <c r="M42" s="5">
        <f>IF(K42=1,SUMPRODUCT(--($L$8:$L$1207&lt;L42))+1,"")</f>
        <v/>
      </c>
      <c r="N42" s="17">
        <f>IF(K42=1,N('ORDENES'!$M38),0)</f>
        <v/>
      </c>
      <c r="O42" s="17">
        <f>IF('ORDENES'!$U38="preventiva",N42,0)</f>
        <v/>
      </c>
      <c r="P42" s="17">
        <f>IF('ORDENES'!$U38="correctiva",N42,0)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22">
        <f>IF(K42=1,'ORDENES'!$J38,"")</f>
        <v/>
      </c>
      <c r="U42" s="5">
        <f>IFERROR(MATCH(35,$M$8:$M$1207,0),"")</f>
        <v/>
      </c>
      <c r="V42" s="5">
        <f>IF(U42="","",INDEX(tblOrdenes[dia_semana],U42))</f>
        <v/>
      </c>
      <c r="W42" s="5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5">
        <f>IF(AND(IF($B$3="(todos)",TRUE,'ORDENES'!$O39=$B$3),IF($D$3="(todos)",TRUE,'ORDENES'!$AH39=$D$3),IF($F$3="(todos)",TRUE,'ORDENES'!$Z39=$F$3),IF($H$3="(todos)",TRUE,'ORDENES'!$Y39=$H$3),'ORDENES'!$AF39=TRUE,'ORDENES'!$A39&lt;&gt;""),1,0)</f>
        <v/>
      </c>
      <c r="L43" s="5">
        <f>IF(K43=1,IFERROR(MATCH('ORDENES'!$S39,lista_dias,0),9)*1000000000+IFERROR(MATCH('ORDENES'!$AH39,lista_turnos,0),9)*10000000+IFERROR(MATCH('ORDENES'!$AG39,tblTecnicos[nombre],0),99)*100000+36,9000000000000+36)</f>
        <v/>
      </c>
      <c r="M43" s="5">
        <f>IF(K43=1,SUMPRODUCT(--($L$8:$L$1207&lt;L43))+1,"")</f>
        <v/>
      </c>
      <c r="N43" s="17">
        <f>IF(K43=1,N('ORDENES'!$M39),0)</f>
        <v/>
      </c>
      <c r="O43" s="17">
        <f>IF('ORDENES'!$U39="preventiva",N43,0)</f>
        <v/>
      </c>
      <c r="P43" s="17">
        <f>IF('ORDENES'!$U39="correctiva",N43,0)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22">
        <f>IF(K43=1,'ORDENES'!$J39,"")</f>
        <v/>
      </c>
      <c r="U43" s="5">
        <f>IFERROR(MATCH(36,$M$8:$M$1207,0),"")</f>
        <v/>
      </c>
      <c r="V43" s="5">
        <f>IF(U43="","",INDEX(tblOrdenes[dia_semana],U43))</f>
        <v/>
      </c>
      <c r="W43" s="5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5">
        <f>IF(AND(IF($B$3="(todos)",TRUE,'ORDENES'!$O40=$B$3),IF($D$3="(todos)",TRUE,'ORDENES'!$AH40=$D$3),IF($F$3="(todos)",TRUE,'ORDENES'!$Z40=$F$3),IF($H$3="(todos)",TRUE,'ORDENES'!$Y40=$H$3),'ORDENES'!$AF40=TRUE,'ORDENES'!$A40&lt;&gt;""),1,0)</f>
        <v/>
      </c>
      <c r="L44" s="5">
        <f>IF(K44=1,IFERROR(MATCH('ORDENES'!$S40,lista_dias,0),9)*1000000000+IFERROR(MATCH('ORDENES'!$AH40,lista_turnos,0),9)*10000000+IFERROR(MATCH('ORDENES'!$AG40,tblTecnicos[nombre],0),99)*100000+37,9000000000000+37)</f>
        <v/>
      </c>
      <c r="M44" s="5">
        <f>IF(K44=1,SUMPRODUCT(--($L$8:$L$1207&lt;L44))+1,"")</f>
        <v/>
      </c>
      <c r="N44" s="17">
        <f>IF(K44=1,N('ORDENES'!$M40),0)</f>
        <v/>
      </c>
      <c r="O44" s="17">
        <f>IF('ORDENES'!$U40="preventiva",N44,0)</f>
        <v/>
      </c>
      <c r="P44" s="17">
        <f>IF('ORDENES'!$U40="correctiva",N44,0)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22">
        <f>IF(K44=1,'ORDENES'!$J40,"")</f>
        <v/>
      </c>
      <c r="U44" s="5">
        <f>IFERROR(MATCH(37,$M$8:$M$1207,0),"")</f>
        <v/>
      </c>
      <c r="V44" s="5">
        <f>IF(U44="","",INDEX(tblOrdenes[dia_semana],U44))</f>
        <v/>
      </c>
      <c r="W44" s="5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5">
        <f>IF(AND(IF($B$3="(todos)",TRUE,'ORDENES'!$O41=$B$3),IF($D$3="(todos)",TRUE,'ORDENES'!$AH41=$D$3),IF($F$3="(todos)",TRUE,'ORDENES'!$Z41=$F$3),IF($H$3="(todos)",TRUE,'ORDENES'!$Y41=$H$3),'ORDENES'!$AF41=TRUE,'ORDENES'!$A41&lt;&gt;""),1,0)</f>
        <v/>
      </c>
      <c r="L45" s="5">
        <f>IF(K45=1,IFERROR(MATCH('ORDENES'!$S41,lista_dias,0),9)*1000000000+IFERROR(MATCH('ORDENES'!$AH41,lista_turnos,0),9)*10000000+IFERROR(MATCH('ORDENES'!$AG41,tblTecnicos[nombre],0),99)*100000+38,9000000000000+38)</f>
        <v/>
      </c>
      <c r="M45" s="5">
        <f>IF(K45=1,SUMPRODUCT(--($L$8:$L$1207&lt;L45))+1,"")</f>
        <v/>
      </c>
      <c r="N45" s="17">
        <f>IF(K45=1,N('ORDENES'!$M41),0)</f>
        <v/>
      </c>
      <c r="O45" s="17">
        <f>IF('ORDENES'!$U41="preventiva",N45,0)</f>
        <v/>
      </c>
      <c r="P45" s="17">
        <f>IF('ORDENES'!$U41="correctiva",N45,0)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22">
        <f>IF(K45=1,'ORDENES'!$J41,"")</f>
        <v/>
      </c>
      <c r="U45" s="5">
        <f>IFERROR(MATCH(38,$M$8:$M$1207,0),"")</f>
        <v/>
      </c>
      <c r="V45" s="5">
        <f>IF(U45="","",INDEX(tblOrdenes[dia_semana],U45))</f>
        <v/>
      </c>
      <c r="W45" s="5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5">
        <f>IF(AND(IF($B$3="(todos)",TRUE,'ORDENES'!$O42=$B$3),IF($D$3="(todos)",TRUE,'ORDENES'!$AH42=$D$3),IF($F$3="(todos)",TRUE,'ORDENES'!$Z42=$F$3),IF($H$3="(todos)",TRUE,'ORDENES'!$Y42=$H$3),'ORDENES'!$AF42=TRUE,'ORDENES'!$A42&lt;&gt;""),1,0)</f>
        <v/>
      </c>
      <c r="L46" s="5">
        <f>IF(K46=1,IFERROR(MATCH('ORDENES'!$S42,lista_dias,0),9)*1000000000+IFERROR(MATCH('ORDENES'!$AH42,lista_turnos,0),9)*10000000+IFERROR(MATCH('ORDENES'!$AG42,tblTecnicos[nombre],0),99)*100000+39,9000000000000+39)</f>
        <v/>
      </c>
      <c r="M46" s="5">
        <f>IF(K46=1,SUMPRODUCT(--($L$8:$L$1207&lt;L46))+1,"")</f>
        <v/>
      </c>
      <c r="N46" s="17">
        <f>IF(K46=1,N('ORDENES'!$M42),0)</f>
        <v/>
      </c>
      <c r="O46" s="17">
        <f>IF('ORDENES'!$U42="preventiva",N46,0)</f>
        <v/>
      </c>
      <c r="P46" s="17">
        <f>IF('ORDENES'!$U42="correctiva",N46,0)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22">
        <f>IF(K46=1,'ORDENES'!$J42,"")</f>
        <v/>
      </c>
      <c r="U46" s="5">
        <f>IFERROR(MATCH(39,$M$8:$M$1207,0),"")</f>
        <v/>
      </c>
      <c r="V46" s="5">
        <f>IF(U46="","",INDEX(tblOrdenes[dia_semana],U46))</f>
        <v/>
      </c>
      <c r="W46" s="5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5">
        <f>IF(AND(IF($B$3="(todos)",TRUE,'ORDENES'!$O43=$B$3),IF($D$3="(todos)",TRUE,'ORDENES'!$AH43=$D$3),IF($F$3="(todos)",TRUE,'ORDENES'!$Z43=$F$3),IF($H$3="(todos)",TRUE,'ORDENES'!$Y43=$H$3),'ORDENES'!$AF43=TRUE,'ORDENES'!$A43&lt;&gt;""),1,0)</f>
        <v/>
      </c>
      <c r="L47" s="5">
        <f>IF(K47=1,IFERROR(MATCH('ORDENES'!$S43,lista_dias,0),9)*1000000000+IFERROR(MATCH('ORDENES'!$AH43,lista_turnos,0),9)*10000000+IFERROR(MATCH('ORDENES'!$AG43,tblTecnicos[nombre],0),99)*100000+40,9000000000000+40)</f>
        <v/>
      </c>
      <c r="M47" s="5">
        <f>IF(K47=1,SUMPRODUCT(--($L$8:$L$1207&lt;L47))+1,"")</f>
        <v/>
      </c>
      <c r="N47" s="17">
        <f>IF(K47=1,N('ORDENES'!$M43),0)</f>
        <v/>
      </c>
      <c r="O47" s="17">
        <f>IF('ORDENES'!$U43="preventiva",N47,0)</f>
        <v/>
      </c>
      <c r="P47" s="17">
        <f>IF('ORDENES'!$U43="correctiva",N47,0)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22">
        <f>IF(K47=1,'ORDENES'!$J43,"")</f>
        <v/>
      </c>
      <c r="U47" s="5">
        <f>IFERROR(MATCH(40,$M$8:$M$1207,0),"")</f>
        <v/>
      </c>
      <c r="V47" s="5">
        <f>IF(U47="","",INDEX(tblOrdenes[dia_semana],U47))</f>
        <v/>
      </c>
      <c r="W47" s="5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5">
        <f>IF(AND(IF($B$3="(todos)",TRUE,'ORDENES'!$O44=$B$3),IF($D$3="(todos)",TRUE,'ORDENES'!$AH44=$D$3),IF($F$3="(todos)",TRUE,'ORDENES'!$Z44=$F$3),IF($H$3="(todos)",TRUE,'ORDENES'!$Y44=$H$3),'ORDENES'!$AF44=TRUE,'ORDENES'!$A44&lt;&gt;""),1,0)</f>
        <v/>
      </c>
      <c r="L48" s="5">
        <f>IF(K48=1,IFERROR(MATCH('ORDENES'!$S44,lista_dias,0),9)*1000000000+IFERROR(MATCH('ORDENES'!$AH44,lista_turnos,0),9)*10000000+IFERROR(MATCH('ORDENES'!$AG44,tblTecnicos[nombre],0),99)*100000+41,9000000000000+41)</f>
        <v/>
      </c>
      <c r="M48" s="5">
        <f>IF(K48=1,SUMPRODUCT(--($L$8:$L$1207&lt;L48))+1,"")</f>
        <v/>
      </c>
      <c r="N48" s="17">
        <f>IF(K48=1,N('ORDENES'!$M44),0)</f>
        <v/>
      </c>
      <c r="O48" s="17">
        <f>IF('ORDENES'!$U44="preventiva",N48,0)</f>
        <v/>
      </c>
      <c r="P48" s="17">
        <f>IF('ORDENES'!$U44="correctiva",N48,0)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22">
        <f>IF(K48=1,'ORDENES'!$J44,"")</f>
        <v/>
      </c>
      <c r="U48" s="5">
        <f>IFERROR(MATCH(41,$M$8:$M$1207,0),"")</f>
        <v/>
      </c>
      <c r="V48" s="5">
        <f>IF(U48="","",INDEX(tblOrdenes[dia_semana],U48))</f>
        <v/>
      </c>
      <c r="W48" s="5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5">
        <f>IF(AND(IF($B$3="(todos)",TRUE,'ORDENES'!$O45=$B$3),IF($D$3="(todos)",TRUE,'ORDENES'!$AH45=$D$3),IF($F$3="(todos)",TRUE,'ORDENES'!$Z45=$F$3),IF($H$3="(todos)",TRUE,'ORDENES'!$Y45=$H$3),'ORDENES'!$AF45=TRUE,'ORDENES'!$A45&lt;&gt;""),1,0)</f>
        <v/>
      </c>
      <c r="L49" s="5">
        <f>IF(K49=1,IFERROR(MATCH('ORDENES'!$S45,lista_dias,0),9)*1000000000+IFERROR(MATCH('ORDENES'!$AH45,lista_turnos,0),9)*10000000+IFERROR(MATCH('ORDENES'!$AG45,tblTecnicos[nombre],0),99)*100000+42,9000000000000+42)</f>
        <v/>
      </c>
      <c r="M49" s="5">
        <f>IF(K49=1,SUMPRODUCT(--($L$8:$L$1207&lt;L49))+1,"")</f>
        <v/>
      </c>
      <c r="N49" s="17">
        <f>IF(K49=1,N('ORDENES'!$M45),0)</f>
        <v/>
      </c>
      <c r="O49" s="17">
        <f>IF('ORDENES'!$U45="preventiva",N49,0)</f>
        <v/>
      </c>
      <c r="P49" s="17">
        <f>IF('ORDENES'!$U45="correctiva",N49,0)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22">
        <f>IF(K49=1,'ORDENES'!$J45,"")</f>
        <v/>
      </c>
      <c r="U49" s="5">
        <f>IFERROR(MATCH(42,$M$8:$M$1207,0),"")</f>
        <v/>
      </c>
      <c r="V49" s="5">
        <f>IF(U49="","",INDEX(tblOrdenes[dia_semana],U49))</f>
        <v/>
      </c>
      <c r="W49" s="5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5">
        <f>IF(AND(IF($B$3="(todos)",TRUE,'ORDENES'!$O46=$B$3),IF($D$3="(todos)",TRUE,'ORDENES'!$AH46=$D$3),IF($F$3="(todos)",TRUE,'ORDENES'!$Z46=$F$3),IF($H$3="(todos)",TRUE,'ORDENES'!$Y46=$H$3),'ORDENES'!$AF46=TRUE,'ORDENES'!$A46&lt;&gt;""),1,0)</f>
        <v/>
      </c>
      <c r="L50" s="5">
        <f>IF(K50=1,IFERROR(MATCH('ORDENES'!$S46,lista_dias,0),9)*1000000000+IFERROR(MATCH('ORDENES'!$AH46,lista_turnos,0),9)*10000000+IFERROR(MATCH('ORDENES'!$AG46,tblTecnicos[nombre],0),99)*100000+43,9000000000000+43)</f>
        <v/>
      </c>
      <c r="M50" s="5">
        <f>IF(K50=1,SUMPRODUCT(--($L$8:$L$1207&lt;L50))+1,"")</f>
        <v/>
      </c>
      <c r="N50" s="17">
        <f>IF(K50=1,N('ORDENES'!$M46),0)</f>
        <v/>
      </c>
      <c r="O50" s="17">
        <f>IF('ORDENES'!$U46="preventiva",N50,0)</f>
        <v/>
      </c>
      <c r="P50" s="17">
        <f>IF('ORDENES'!$U46="correctiva",N50,0)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22">
        <f>IF(K50=1,'ORDENES'!$J46,"")</f>
        <v/>
      </c>
      <c r="U50" s="5">
        <f>IFERROR(MATCH(43,$M$8:$M$1207,0),"")</f>
        <v/>
      </c>
      <c r="V50" s="5">
        <f>IF(U50="","",INDEX(tblOrdenes[dia_semana],U50))</f>
        <v/>
      </c>
      <c r="W50" s="5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5">
        <f>IF(AND(IF($B$3="(todos)",TRUE,'ORDENES'!$O47=$B$3),IF($D$3="(todos)",TRUE,'ORDENES'!$AH47=$D$3),IF($F$3="(todos)",TRUE,'ORDENES'!$Z47=$F$3),IF($H$3="(todos)",TRUE,'ORDENES'!$Y47=$H$3),'ORDENES'!$AF47=TRUE,'ORDENES'!$A47&lt;&gt;""),1,0)</f>
        <v/>
      </c>
      <c r="L51" s="5">
        <f>IF(K51=1,IFERROR(MATCH('ORDENES'!$S47,lista_dias,0),9)*1000000000+IFERROR(MATCH('ORDENES'!$AH47,lista_turnos,0),9)*10000000+IFERROR(MATCH('ORDENES'!$AG47,tblTecnicos[nombre],0),99)*100000+44,9000000000000+44)</f>
        <v/>
      </c>
      <c r="M51" s="5">
        <f>IF(K51=1,SUMPRODUCT(--($L$8:$L$1207&lt;L51))+1,"")</f>
        <v/>
      </c>
      <c r="N51" s="17">
        <f>IF(K51=1,N('ORDENES'!$M47),0)</f>
        <v/>
      </c>
      <c r="O51" s="17">
        <f>IF('ORDENES'!$U47="preventiva",N51,0)</f>
        <v/>
      </c>
      <c r="P51" s="17">
        <f>IF('ORDENES'!$U47="correctiva",N51,0)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22">
        <f>IF(K51=1,'ORDENES'!$J47,"")</f>
        <v/>
      </c>
      <c r="U51" s="5">
        <f>IFERROR(MATCH(44,$M$8:$M$1207,0),"")</f>
        <v/>
      </c>
      <c r="V51" s="5">
        <f>IF(U51="","",INDEX(tblOrdenes[dia_semana],U51))</f>
        <v/>
      </c>
      <c r="W51" s="5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5">
        <f>IF(AND(IF($B$3="(todos)",TRUE,'ORDENES'!$O48=$B$3),IF($D$3="(todos)",TRUE,'ORDENES'!$AH48=$D$3),IF($F$3="(todos)",TRUE,'ORDENES'!$Z48=$F$3),IF($H$3="(todos)",TRUE,'ORDENES'!$Y48=$H$3),'ORDENES'!$AF48=TRUE,'ORDENES'!$A48&lt;&gt;""),1,0)</f>
        <v/>
      </c>
      <c r="L52" s="5">
        <f>IF(K52=1,IFERROR(MATCH('ORDENES'!$S48,lista_dias,0),9)*1000000000+IFERROR(MATCH('ORDENES'!$AH48,lista_turnos,0),9)*10000000+IFERROR(MATCH('ORDENES'!$AG48,tblTecnicos[nombre],0),99)*100000+45,9000000000000+45)</f>
        <v/>
      </c>
      <c r="M52" s="5">
        <f>IF(K52=1,SUMPRODUCT(--($L$8:$L$1207&lt;L52))+1,"")</f>
        <v/>
      </c>
      <c r="N52" s="17">
        <f>IF(K52=1,N('ORDENES'!$M48),0)</f>
        <v/>
      </c>
      <c r="O52" s="17">
        <f>IF('ORDENES'!$U48="preventiva",N52,0)</f>
        <v/>
      </c>
      <c r="P52" s="17">
        <f>IF('ORDENES'!$U48="correctiva",N52,0)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22">
        <f>IF(K52=1,'ORDENES'!$J48,"")</f>
        <v/>
      </c>
      <c r="U52" s="5">
        <f>IFERROR(MATCH(45,$M$8:$M$1207,0),"")</f>
        <v/>
      </c>
      <c r="V52" s="5">
        <f>IF(U52="","",INDEX(tblOrdenes[dia_semana],U52))</f>
        <v/>
      </c>
      <c r="W52" s="5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5">
        <f>IF(AND(IF($B$3="(todos)",TRUE,'ORDENES'!$O49=$B$3),IF($D$3="(todos)",TRUE,'ORDENES'!$AH49=$D$3),IF($F$3="(todos)",TRUE,'ORDENES'!$Z49=$F$3),IF($H$3="(todos)",TRUE,'ORDENES'!$Y49=$H$3),'ORDENES'!$AF49=TRUE,'ORDENES'!$A49&lt;&gt;""),1,0)</f>
        <v/>
      </c>
      <c r="L53" s="5">
        <f>IF(K53=1,IFERROR(MATCH('ORDENES'!$S49,lista_dias,0),9)*1000000000+IFERROR(MATCH('ORDENES'!$AH49,lista_turnos,0),9)*10000000+IFERROR(MATCH('ORDENES'!$AG49,tblTecnicos[nombre],0),99)*100000+46,9000000000000+46)</f>
        <v/>
      </c>
      <c r="M53" s="5">
        <f>IF(K53=1,SUMPRODUCT(--($L$8:$L$1207&lt;L53))+1,"")</f>
        <v/>
      </c>
      <c r="N53" s="17">
        <f>IF(K53=1,N('ORDENES'!$M49),0)</f>
        <v/>
      </c>
      <c r="O53" s="17">
        <f>IF('ORDENES'!$U49="preventiva",N53,0)</f>
        <v/>
      </c>
      <c r="P53" s="17">
        <f>IF('ORDENES'!$U49="correctiva",N53,0)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22">
        <f>IF(K53=1,'ORDENES'!$J49,"")</f>
        <v/>
      </c>
      <c r="U53" s="5">
        <f>IFERROR(MATCH(46,$M$8:$M$1207,0),"")</f>
        <v/>
      </c>
      <c r="V53" s="5">
        <f>IF(U53="","",INDEX(tblOrdenes[dia_semana],U53))</f>
        <v/>
      </c>
      <c r="W53" s="5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5">
        <f>IF(AND(IF($B$3="(todos)",TRUE,'ORDENES'!$O50=$B$3),IF($D$3="(todos)",TRUE,'ORDENES'!$AH50=$D$3),IF($F$3="(todos)",TRUE,'ORDENES'!$Z50=$F$3),IF($H$3="(todos)",TRUE,'ORDENES'!$Y50=$H$3),'ORDENES'!$AF50=TRUE,'ORDENES'!$A50&lt;&gt;""),1,0)</f>
        <v/>
      </c>
      <c r="L54" s="5">
        <f>IF(K54=1,IFERROR(MATCH('ORDENES'!$S50,lista_dias,0),9)*1000000000+IFERROR(MATCH('ORDENES'!$AH50,lista_turnos,0),9)*10000000+IFERROR(MATCH('ORDENES'!$AG50,tblTecnicos[nombre],0),99)*100000+47,9000000000000+47)</f>
        <v/>
      </c>
      <c r="M54" s="5">
        <f>IF(K54=1,SUMPRODUCT(--($L$8:$L$1207&lt;L54))+1,"")</f>
        <v/>
      </c>
      <c r="N54" s="17">
        <f>IF(K54=1,N('ORDENES'!$M50),0)</f>
        <v/>
      </c>
      <c r="O54" s="17">
        <f>IF('ORDENES'!$U50="preventiva",N54,0)</f>
        <v/>
      </c>
      <c r="P54" s="17">
        <f>IF('ORDENES'!$U50="correctiva",N54,0)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22">
        <f>IF(K54=1,'ORDENES'!$J50,"")</f>
        <v/>
      </c>
      <c r="U54" s="5">
        <f>IFERROR(MATCH(47,$M$8:$M$1207,0),"")</f>
        <v/>
      </c>
      <c r="V54" s="5">
        <f>IF(U54="","",INDEX(tblOrdenes[dia_semana],U54))</f>
        <v/>
      </c>
      <c r="W54" s="5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5">
        <f>IF(AND(IF($B$3="(todos)",TRUE,'ORDENES'!$O51=$B$3),IF($D$3="(todos)",TRUE,'ORDENES'!$AH51=$D$3),IF($F$3="(todos)",TRUE,'ORDENES'!$Z51=$F$3),IF($H$3="(todos)",TRUE,'ORDENES'!$Y51=$H$3),'ORDENES'!$AF51=TRUE,'ORDENES'!$A51&lt;&gt;""),1,0)</f>
        <v/>
      </c>
      <c r="L55" s="5">
        <f>IF(K55=1,IFERROR(MATCH('ORDENES'!$S51,lista_dias,0),9)*1000000000+IFERROR(MATCH('ORDENES'!$AH51,lista_turnos,0),9)*10000000+IFERROR(MATCH('ORDENES'!$AG51,tblTecnicos[nombre],0),99)*100000+48,9000000000000+48)</f>
        <v/>
      </c>
      <c r="M55" s="5">
        <f>IF(K55=1,SUMPRODUCT(--($L$8:$L$1207&lt;L55))+1,"")</f>
        <v/>
      </c>
      <c r="N55" s="17">
        <f>IF(K55=1,N('ORDENES'!$M51),0)</f>
        <v/>
      </c>
      <c r="O55" s="17">
        <f>IF('ORDENES'!$U51="preventiva",N55,0)</f>
        <v/>
      </c>
      <c r="P55" s="17">
        <f>IF('ORDENES'!$U51="correctiva",N55,0)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22">
        <f>IF(K55=1,'ORDENES'!$J51,"")</f>
        <v/>
      </c>
      <c r="U55" s="5">
        <f>IFERROR(MATCH(48,$M$8:$M$1207,0),"")</f>
        <v/>
      </c>
      <c r="V55" s="5">
        <f>IF(U55="","",INDEX(tblOrdenes[dia_semana],U55))</f>
        <v/>
      </c>
      <c r="W55" s="5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5">
        <f>IF(AND(IF($B$3="(todos)",TRUE,'ORDENES'!$O52=$B$3),IF($D$3="(todos)",TRUE,'ORDENES'!$AH52=$D$3),IF($F$3="(todos)",TRUE,'ORDENES'!$Z52=$F$3),IF($H$3="(todos)",TRUE,'ORDENES'!$Y52=$H$3),'ORDENES'!$AF52=TRUE,'ORDENES'!$A52&lt;&gt;""),1,0)</f>
        <v/>
      </c>
      <c r="L56" s="5">
        <f>IF(K56=1,IFERROR(MATCH('ORDENES'!$S52,lista_dias,0),9)*1000000000+IFERROR(MATCH('ORDENES'!$AH52,lista_turnos,0),9)*10000000+IFERROR(MATCH('ORDENES'!$AG52,tblTecnicos[nombre],0),99)*100000+49,9000000000000+49)</f>
        <v/>
      </c>
      <c r="M56" s="5">
        <f>IF(K56=1,SUMPRODUCT(--($L$8:$L$1207&lt;L56))+1,"")</f>
        <v/>
      </c>
      <c r="N56" s="17">
        <f>IF(K56=1,N('ORDENES'!$M52),0)</f>
        <v/>
      </c>
      <c r="O56" s="17">
        <f>IF('ORDENES'!$U52="preventiva",N56,0)</f>
        <v/>
      </c>
      <c r="P56" s="17">
        <f>IF('ORDENES'!$U52="correctiva",N56,0)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22">
        <f>IF(K56=1,'ORDENES'!$J52,"")</f>
        <v/>
      </c>
      <c r="U56" s="5">
        <f>IFERROR(MATCH(49,$M$8:$M$1207,0),"")</f>
        <v/>
      </c>
      <c r="V56" s="5">
        <f>IF(U56="","",INDEX(tblOrdenes[dia_semana],U56))</f>
        <v/>
      </c>
      <c r="W56" s="5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5">
        <f>IF(AND(IF($B$3="(todos)",TRUE,'ORDENES'!$O53=$B$3),IF($D$3="(todos)",TRUE,'ORDENES'!$AH53=$D$3),IF($F$3="(todos)",TRUE,'ORDENES'!$Z53=$F$3),IF($H$3="(todos)",TRUE,'ORDENES'!$Y53=$H$3),'ORDENES'!$AF53=TRUE,'ORDENES'!$A53&lt;&gt;""),1,0)</f>
        <v/>
      </c>
      <c r="L57" s="5">
        <f>IF(K57=1,IFERROR(MATCH('ORDENES'!$S53,lista_dias,0),9)*1000000000+IFERROR(MATCH('ORDENES'!$AH53,lista_turnos,0),9)*10000000+IFERROR(MATCH('ORDENES'!$AG53,tblTecnicos[nombre],0),99)*100000+50,9000000000000+50)</f>
        <v/>
      </c>
      <c r="M57" s="5">
        <f>IF(K57=1,SUMPRODUCT(--($L$8:$L$1207&lt;L57))+1,"")</f>
        <v/>
      </c>
      <c r="N57" s="17">
        <f>IF(K57=1,N('ORDENES'!$M53),0)</f>
        <v/>
      </c>
      <c r="O57" s="17">
        <f>IF('ORDENES'!$U53="preventiva",N57,0)</f>
        <v/>
      </c>
      <c r="P57" s="17">
        <f>IF('ORDENES'!$U53="correctiva",N57,0)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22">
        <f>IF(K57=1,'ORDENES'!$J53,"")</f>
        <v/>
      </c>
      <c r="U57" s="5">
        <f>IFERROR(MATCH(50,$M$8:$M$1207,0),"")</f>
        <v/>
      </c>
      <c r="V57" s="5">
        <f>IF(U57="","",INDEX(tblOrdenes[dia_semana],U57))</f>
        <v/>
      </c>
      <c r="W57" s="5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5">
        <f>IF(AND(IF($B$3="(todos)",TRUE,'ORDENES'!$O54=$B$3),IF($D$3="(todos)",TRUE,'ORDENES'!$AH54=$D$3),IF($F$3="(todos)",TRUE,'ORDENES'!$Z54=$F$3),IF($H$3="(todos)",TRUE,'ORDENES'!$Y54=$H$3),'ORDENES'!$AF54=TRUE,'ORDENES'!$A54&lt;&gt;""),1,0)</f>
        <v/>
      </c>
      <c r="L58" s="5">
        <f>IF(K58=1,IFERROR(MATCH('ORDENES'!$S54,lista_dias,0),9)*1000000000+IFERROR(MATCH('ORDENES'!$AH54,lista_turnos,0),9)*10000000+IFERROR(MATCH('ORDENES'!$AG54,tblTecnicos[nombre],0),99)*100000+51,9000000000000+51)</f>
        <v/>
      </c>
      <c r="M58" s="5">
        <f>IF(K58=1,SUMPRODUCT(--($L$8:$L$1207&lt;L58))+1,"")</f>
        <v/>
      </c>
      <c r="N58" s="17">
        <f>IF(K58=1,N('ORDENES'!$M54),0)</f>
        <v/>
      </c>
      <c r="O58" s="17">
        <f>IF('ORDENES'!$U54="preventiva",N58,0)</f>
        <v/>
      </c>
      <c r="P58" s="17">
        <f>IF('ORDENES'!$U54="correctiva",N58,0)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22">
        <f>IF(K58=1,'ORDENES'!$J54,"")</f>
        <v/>
      </c>
      <c r="U58" s="5">
        <f>IFERROR(MATCH(51,$M$8:$M$1207,0),"")</f>
        <v/>
      </c>
      <c r="V58" s="5">
        <f>IF(U58="","",INDEX(tblOrdenes[dia_semana],U58))</f>
        <v/>
      </c>
      <c r="W58" s="5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5">
        <f>IF(AND(IF($B$3="(todos)",TRUE,'ORDENES'!$O55=$B$3),IF($D$3="(todos)",TRUE,'ORDENES'!$AH55=$D$3),IF($F$3="(todos)",TRUE,'ORDENES'!$Z55=$F$3),IF($H$3="(todos)",TRUE,'ORDENES'!$Y55=$H$3),'ORDENES'!$AF55=TRUE,'ORDENES'!$A55&lt;&gt;""),1,0)</f>
        <v/>
      </c>
      <c r="L59" s="5">
        <f>IF(K59=1,IFERROR(MATCH('ORDENES'!$S55,lista_dias,0),9)*1000000000+IFERROR(MATCH('ORDENES'!$AH55,lista_turnos,0),9)*10000000+IFERROR(MATCH('ORDENES'!$AG55,tblTecnicos[nombre],0),99)*100000+52,9000000000000+52)</f>
        <v/>
      </c>
      <c r="M59" s="5">
        <f>IF(K59=1,SUMPRODUCT(--($L$8:$L$1207&lt;L59))+1,"")</f>
        <v/>
      </c>
      <c r="N59" s="17">
        <f>IF(K59=1,N('ORDENES'!$M55),0)</f>
        <v/>
      </c>
      <c r="O59" s="17">
        <f>IF('ORDENES'!$U55="preventiva",N59,0)</f>
        <v/>
      </c>
      <c r="P59" s="17">
        <f>IF('ORDENES'!$U55="correctiva",N59,0)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22">
        <f>IF(K59=1,'ORDENES'!$J55,"")</f>
        <v/>
      </c>
      <c r="U59" s="5">
        <f>IFERROR(MATCH(52,$M$8:$M$1207,0),"")</f>
        <v/>
      </c>
      <c r="V59" s="5">
        <f>IF(U59="","",INDEX(tblOrdenes[dia_semana],U59))</f>
        <v/>
      </c>
      <c r="W59" s="5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5">
        <f>IF(AND(IF($B$3="(todos)",TRUE,'ORDENES'!$O56=$B$3),IF($D$3="(todos)",TRUE,'ORDENES'!$AH56=$D$3),IF($F$3="(todos)",TRUE,'ORDENES'!$Z56=$F$3),IF($H$3="(todos)",TRUE,'ORDENES'!$Y56=$H$3),'ORDENES'!$AF56=TRUE,'ORDENES'!$A56&lt;&gt;""),1,0)</f>
        <v/>
      </c>
      <c r="L60" s="5">
        <f>IF(K60=1,IFERROR(MATCH('ORDENES'!$S56,lista_dias,0),9)*1000000000+IFERROR(MATCH('ORDENES'!$AH56,lista_turnos,0),9)*10000000+IFERROR(MATCH('ORDENES'!$AG56,tblTecnicos[nombre],0),99)*100000+53,9000000000000+53)</f>
        <v/>
      </c>
      <c r="M60" s="5">
        <f>IF(K60=1,SUMPRODUCT(--($L$8:$L$1207&lt;L60))+1,"")</f>
        <v/>
      </c>
      <c r="N60" s="17">
        <f>IF(K60=1,N('ORDENES'!$M56),0)</f>
        <v/>
      </c>
      <c r="O60" s="17">
        <f>IF('ORDENES'!$U56="preventiva",N60,0)</f>
        <v/>
      </c>
      <c r="P60" s="17">
        <f>IF('ORDENES'!$U56="correctiva",N60,0)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22">
        <f>IF(K60=1,'ORDENES'!$J56,"")</f>
        <v/>
      </c>
      <c r="U60" s="5">
        <f>IFERROR(MATCH(53,$M$8:$M$1207,0),"")</f>
        <v/>
      </c>
      <c r="V60" s="5">
        <f>IF(U60="","",INDEX(tblOrdenes[dia_semana],U60))</f>
        <v/>
      </c>
      <c r="W60" s="5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5">
        <f>IF(AND(IF($B$3="(todos)",TRUE,'ORDENES'!$O57=$B$3),IF($D$3="(todos)",TRUE,'ORDENES'!$AH57=$D$3),IF($F$3="(todos)",TRUE,'ORDENES'!$Z57=$F$3),IF($H$3="(todos)",TRUE,'ORDENES'!$Y57=$H$3),'ORDENES'!$AF57=TRUE,'ORDENES'!$A57&lt;&gt;""),1,0)</f>
        <v/>
      </c>
      <c r="L61" s="5">
        <f>IF(K61=1,IFERROR(MATCH('ORDENES'!$S57,lista_dias,0),9)*1000000000+IFERROR(MATCH('ORDENES'!$AH57,lista_turnos,0),9)*10000000+IFERROR(MATCH('ORDENES'!$AG57,tblTecnicos[nombre],0),99)*100000+54,9000000000000+54)</f>
        <v/>
      </c>
      <c r="M61" s="5">
        <f>IF(K61=1,SUMPRODUCT(--($L$8:$L$1207&lt;L61))+1,"")</f>
        <v/>
      </c>
      <c r="N61" s="17">
        <f>IF(K61=1,N('ORDENES'!$M57),0)</f>
        <v/>
      </c>
      <c r="O61" s="17">
        <f>IF('ORDENES'!$U57="preventiva",N61,0)</f>
        <v/>
      </c>
      <c r="P61" s="17">
        <f>IF('ORDENES'!$U57="correctiva",N61,0)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22">
        <f>IF(K61=1,'ORDENES'!$J57,"")</f>
        <v/>
      </c>
      <c r="U61" s="5">
        <f>IFERROR(MATCH(54,$M$8:$M$1207,0),"")</f>
        <v/>
      </c>
      <c r="V61" s="5">
        <f>IF(U61="","",INDEX(tblOrdenes[dia_semana],U61))</f>
        <v/>
      </c>
      <c r="W61" s="5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5">
        <f>IF(AND(IF($B$3="(todos)",TRUE,'ORDENES'!$O58=$B$3),IF($D$3="(todos)",TRUE,'ORDENES'!$AH58=$D$3),IF($F$3="(todos)",TRUE,'ORDENES'!$Z58=$F$3),IF($H$3="(todos)",TRUE,'ORDENES'!$Y58=$H$3),'ORDENES'!$AF58=TRUE,'ORDENES'!$A58&lt;&gt;""),1,0)</f>
        <v/>
      </c>
      <c r="L62" s="5">
        <f>IF(K62=1,IFERROR(MATCH('ORDENES'!$S58,lista_dias,0),9)*1000000000+IFERROR(MATCH('ORDENES'!$AH58,lista_turnos,0),9)*10000000+IFERROR(MATCH('ORDENES'!$AG58,tblTecnicos[nombre],0),99)*100000+55,9000000000000+55)</f>
        <v/>
      </c>
      <c r="M62" s="5">
        <f>IF(K62=1,SUMPRODUCT(--($L$8:$L$1207&lt;L62))+1,"")</f>
        <v/>
      </c>
      <c r="N62" s="17">
        <f>IF(K62=1,N('ORDENES'!$M58),0)</f>
        <v/>
      </c>
      <c r="O62" s="17">
        <f>IF('ORDENES'!$U58="preventiva",N62,0)</f>
        <v/>
      </c>
      <c r="P62" s="17">
        <f>IF('ORDENES'!$U58="correctiva",N62,0)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22">
        <f>IF(K62=1,'ORDENES'!$J58,"")</f>
        <v/>
      </c>
      <c r="U62" s="5">
        <f>IFERROR(MATCH(55,$M$8:$M$1207,0),"")</f>
        <v/>
      </c>
      <c r="V62" s="5">
        <f>IF(U62="","",INDEX(tblOrdenes[dia_semana],U62))</f>
        <v/>
      </c>
      <c r="W62" s="5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5">
        <f>IF(AND(IF($B$3="(todos)",TRUE,'ORDENES'!$O59=$B$3),IF($D$3="(todos)",TRUE,'ORDENES'!$AH59=$D$3),IF($F$3="(todos)",TRUE,'ORDENES'!$Z59=$F$3),IF($H$3="(todos)",TRUE,'ORDENES'!$Y59=$H$3),'ORDENES'!$AF59=TRUE,'ORDENES'!$A59&lt;&gt;""),1,0)</f>
        <v/>
      </c>
      <c r="L63" s="5">
        <f>IF(K63=1,IFERROR(MATCH('ORDENES'!$S59,lista_dias,0),9)*1000000000+IFERROR(MATCH('ORDENES'!$AH59,lista_turnos,0),9)*10000000+IFERROR(MATCH('ORDENES'!$AG59,tblTecnicos[nombre],0),99)*100000+56,9000000000000+56)</f>
        <v/>
      </c>
      <c r="M63" s="5">
        <f>IF(K63=1,SUMPRODUCT(--($L$8:$L$1207&lt;L63))+1,"")</f>
        <v/>
      </c>
      <c r="N63" s="17">
        <f>IF(K63=1,N('ORDENES'!$M59),0)</f>
        <v/>
      </c>
      <c r="O63" s="17">
        <f>IF('ORDENES'!$U59="preventiva",N63,0)</f>
        <v/>
      </c>
      <c r="P63" s="17">
        <f>IF('ORDENES'!$U59="correctiva",N63,0)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22">
        <f>IF(K63=1,'ORDENES'!$J59,"")</f>
        <v/>
      </c>
      <c r="U63" s="5">
        <f>IFERROR(MATCH(56,$M$8:$M$1207,0),"")</f>
        <v/>
      </c>
      <c r="V63" s="5">
        <f>IF(U63="","",INDEX(tblOrdenes[dia_semana],U63))</f>
        <v/>
      </c>
      <c r="W63" s="5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5">
        <f>IF(AND(IF($B$3="(todos)",TRUE,'ORDENES'!$O60=$B$3),IF($D$3="(todos)",TRUE,'ORDENES'!$AH60=$D$3),IF($F$3="(todos)",TRUE,'ORDENES'!$Z60=$F$3),IF($H$3="(todos)",TRUE,'ORDENES'!$Y60=$H$3),'ORDENES'!$AF60=TRUE,'ORDENES'!$A60&lt;&gt;""),1,0)</f>
        <v/>
      </c>
      <c r="L64" s="5">
        <f>IF(K64=1,IFERROR(MATCH('ORDENES'!$S60,lista_dias,0),9)*1000000000+IFERROR(MATCH('ORDENES'!$AH60,lista_turnos,0),9)*10000000+IFERROR(MATCH('ORDENES'!$AG60,tblTecnicos[nombre],0),99)*100000+57,9000000000000+57)</f>
        <v/>
      </c>
      <c r="M64" s="5">
        <f>IF(K64=1,SUMPRODUCT(--($L$8:$L$1207&lt;L64))+1,"")</f>
        <v/>
      </c>
      <c r="N64" s="17">
        <f>IF(K64=1,N('ORDENES'!$M60),0)</f>
        <v/>
      </c>
      <c r="O64" s="17">
        <f>IF('ORDENES'!$U60="preventiva",N64,0)</f>
        <v/>
      </c>
      <c r="P64" s="17">
        <f>IF('ORDENES'!$U60="correctiva",N64,0)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22">
        <f>IF(K64=1,'ORDENES'!$J60,"")</f>
        <v/>
      </c>
      <c r="U64" s="5">
        <f>IFERROR(MATCH(57,$M$8:$M$1207,0),"")</f>
        <v/>
      </c>
      <c r="V64" s="5">
        <f>IF(U64="","",INDEX(tblOrdenes[dia_semana],U64))</f>
        <v/>
      </c>
      <c r="W64" s="5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5">
        <f>IF(AND(IF($B$3="(todos)",TRUE,'ORDENES'!$O61=$B$3),IF($D$3="(todos)",TRUE,'ORDENES'!$AH61=$D$3),IF($F$3="(todos)",TRUE,'ORDENES'!$Z61=$F$3),IF($H$3="(todos)",TRUE,'ORDENES'!$Y61=$H$3),'ORDENES'!$AF61=TRUE,'ORDENES'!$A61&lt;&gt;""),1,0)</f>
        <v/>
      </c>
      <c r="L65" s="5">
        <f>IF(K65=1,IFERROR(MATCH('ORDENES'!$S61,lista_dias,0),9)*1000000000+IFERROR(MATCH('ORDENES'!$AH61,lista_turnos,0),9)*10000000+IFERROR(MATCH('ORDENES'!$AG61,tblTecnicos[nombre],0),99)*100000+58,9000000000000+58)</f>
        <v/>
      </c>
      <c r="M65" s="5">
        <f>IF(K65=1,SUMPRODUCT(--($L$8:$L$1207&lt;L65))+1,"")</f>
        <v/>
      </c>
      <c r="N65" s="17">
        <f>IF(K65=1,N('ORDENES'!$M61),0)</f>
        <v/>
      </c>
      <c r="O65" s="17">
        <f>IF('ORDENES'!$U61="preventiva",N65,0)</f>
        <v/>
      </c>
      <c r="P65" s="17">
        <f>IF('ORDENES'!$U61="correctiva",N65,0)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22">
        <f>IF(K65=1,'ORDENES'!$J61,"")</f>
        <v/>
      </c>
      <c r="U65" s="5">
        <f>IFERROR(MATCH(58,$M$8:$M$1207,0),"")</f>
        <v/>
      </c>
      <c r="V65" s="5">
        <f>IF(U65="","",INDEX(tblOrdenes[dia_semana],U65))</f>
        <v/>
      </c>
      <c r="W65" s="5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5">
        <f>IF(AND(IF($B$3="(todos)",TRUE,'ORDENES'!$O62=$B$3),IF($D$3="(todos)",TRUE,'ORDENES'!$AH62=$D$3),IF($F$3="(todos)",TRUE,'ORDENES'!$Z62=$F$3),IF($H$3="(todos)",TRUE,'ORDENES'!$Y62=$H$3),'ORDENES'!$AF62=TRUE,'ORDENES'!$A62&lt;&gt;""),1,0)</f>
        <v/>
      </c>
      <c r="L66" s="5">
        <f>IF(K66=1,IFERROR(MATCH('ORDENES'!$S62,lista_dias,0),9)*1000000000+IFERROR(MATCH('ORDENES'!$AH62,lista_turnos,0),9)*10000000+IFERROR(MATCH('ORDENES'!$AG62,tblTecnicos[nombre],0),99)*100000+59,9000000000000+59)</f>
        <v/>
      </c>
      <c r="M66" s="5">
        <f>IF(K66=1,SUMPRODUCT(--($L$8:$L$1207&lt;L66))+1,"")</f>
        <v/>
      </c>
      <c r="N66" s="17">
        <f>IF(K66=1,N('ORDENES'!$M62),0)</f>
        <v/>
      </c>
      <c r="O66" s="17">
        <f>IF('ORDENES'!$U62="preventiva",N66,0)</f>
        <v/>
      </c>
      <c r="P66" s="17">
        <f>IF('ORDENES'!$U62="correctiva",N66,0)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22">
        <f>IF(K66=1,'ORDENES'!$J62,"")</f>
        <v/>
      </c>
      <c r="U66" s="5">
        <f>IFERROR(MATCH(59,$M$8:$M$1207,0),"")</f>
        <v/>
      </c>
      <c r="V66" s="5">
        <f>IF(U66="","",INDEX(tblOrdenes[dia_semana],U66))</f>
        <v/>
      </c>
      <c r="W66" s="5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5">
        <f>IF(AND(IF($B$3="(todos)",TRUE,'ORDENES'!$O63=$B$3),IF($D$3="(todos)",TRUE,'ORDENES'!$AH63=$D$3),IF($F$3="(todos)",TRUE,'ORDENES'!$Z63=$F$3),IF($H$3="(todos)",TRUE,'ORDENES'!$Y63=$H$3),'ORDENES'!$AF63=TRUE,'ORDENES'!$A63&lt;&gt;""),1,0)</f>
        <v/>
      </c>
      <c r="L67" s="5">
        <f>IF(K67=1,IFERROR(MATCH('ORDENES'!$S63,lista_dias,0),9)*1000000000+IFERROR(MATCH('ORDENES'!$AH63,lista_turnos,0),9)*10000000+IFERROR(MATCH('ORDENES'!$AG63,tblTecnicos[nombre],0),99)*100000+60,9000000000000+60)</f>
        <v/>
      </c>
      <c r="M67" s="5">
        <f>IF(K67=1,SUMPRODUCT(--($L$8:$L$1207&lt;L67))+1,"")</f>
        <v/>
      </c>
      <c r="N67" s="17">
        <f>IF(K67=1,N('ORDENES'!$M63),0)</f>
        <v/>
      </c>
      <c r="O67" s="17">
        <f>IF('ORDENES'!$U63="preventiva",N67,0)</f>
        <v/>
      </c>
      <c r="P67" s="17">
        <f>IF('ORDENES'!$U63="correctiva",N67,0)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22">
        <f>IF(K67=1,'ORDENES'!$J63,"")</f>
        <v/>
      </c>
      <c r="U67" s="5">
        <f>IFERROR(MATCH(60,$M$8:$M$1207,0),"")</f>
        <v/>
      </c>
      <c r="V67" s="5">
        <f>IF(U67="","",INDEX(tblOrdenes[dia_semana],U67))</f>
        <v/>
      </c>
      <c r="W67" s="5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5">
        <f>IF(AND(IF($B$3="(todos)",TRUE,'ORDENES'!$O64=$B$3),IF($D$3="(todos)",TRUE,'ORDENES'!$AH64=$D$3),IF($F$3="(todos)",TRUE,'ORDENES'!$Z64=$F$3),IF($H$3="(todos)",TRUE,'ORDENES'!$Y64=$H$3),'ORDENES'!$AF64=TRUE,'ORDENES'!$A64&lt;&gt;""),1,0)</f>
        <v/>
      </c>
      <c r="L68" s="5">
        <f>IF(K68=1,IFERROR(MATCH('ORDENES'!$S64,lista_dias,0),9)*1000000000+IFERROR(MATCH('ORDENES'!$AH64,lista_turnos,0),9)*10000000+IFERROR(MATCH('ORDENES'!$AG64,tblTecnicos[nombre],0),99)*100000+61,9000000000000+61)</f>
        <v/>
      </c>
      <c r="M68" s="5">
        <f>IF(K68=1,SUMPRODUCT(--($L$8:$L$1207&lt;L68))+1,"")</f>
        <v/>
      </c>
      <c r="N68" s="17">
        <f>IF(K68=1,N('ORDENES'!$M64),0)</f>
        <v/>
      </c>
      <c r="O68" s="17">
        <f>IF('ORDENES'!$U64="preventiva",N68,0)</f>
        <v/>
      </c>
      <c r="P68" s="17">
        <f>IF('ORDENES'!$U64="correctiva",N68,0)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22">
        <f>IF(K68=1,'ORDENES'!$J64,"")</f>
        <v/>
      </c>
      <c r="U68" s="5">
        <f>IFERROR(MATCH(61,$M$8:$M$1207,0),"")</f>
        <v/>
      </c>
      <c r="V68" s="5">
        <f>IF(U68="","",INDEX(tblOrdenes[dia_semana],U68))</f>
        <v/>
      </c>
      <c r="W68" s="5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5">
        <f>IF(AND(IF($B$3="(todos)",TRUE,'ORDENES'!$O65=$B$3),IF($D$3="(todos)",TRUE,'ORDENES'!$AH65=$D$3),IF($F$3="(todos)",TRUE,'ORDENES'!$Z65=$F$3),IF($H$3="(todos)",TRUE,'ORDENES'!$Y65=$H$3),'ORDENES'!$AF65=TRUE,'ORDENES'!$A65&lt;&gt;""),1,0)</f>
        <v/>
      </c>
      <c r="L69" s="5">
        <f>IF(K69=1,IFERROR(MATCH('ORDENES'!$S65,lista_dias,0),9)*1000000000+IFERROR(MATCH('ORDENES'!$AH65,lista_turnos,0),9)*10000000+IFERROR(MATCH('ORDENES'!$AG65,tblTecnicos[nombre],0),99)*100000+62,9000000000000+62)</f>
        <v/>
      </c>
      <c r="M69" s="5">
        <f>IF(K69=1,SUMPRODUCT(--($L$8:$L$1207&lt;L69))+1,"")</f>
        <v/>
      </c>
      <c r="N69" s="17">
        <f>IF(K69=1,N('ORDENES'!$M65),0)</f>
        <v/>
      </c>
      <c r="O69" s="17">
        <f>IF('ORDENES'!$U65="preventiva",N69,0)</f>
        <v/>
      </c>
      <c r="P69" s="17">
        <f>IF('ORDENES'!$U65="correctiva",N69,0)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22">
        <f>IF(K69=1,'ORDENES'!$J65,"")</f>
        <v/>
      </c>
      <c r="U69" s="5">
        <f>IFERROR(MATCH(62,$M$8:$M$1207,0),"")</f>
        <v/>
      </c>
      <c r="V69" s="5">
        <f>IF(U69="","",INDEX(tblOrdenes[dia_semana],U69))</f>
        <v/>
      </c>
      <c r="W69" s="5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5">
        <f>IF(AND(IF($B$3="(todos)",TRUE,'ORDENES'!$O66=$B$3),IF($D$3="(todos)",TRUE,'ORDENES'!$AH66=$D$3),IF($F$3="(todos)",TRUE,'ORDENES'!$Z66=$F$3),IF($H$3="(todos)",TRUE,'ORDENES'!$Y66=$H$3),'ORDENES'!$AF66=TRUE,'ORDENES'!$A66&lt;&gt;""),1,0)</f>
        <v/>
      </c>
      <c r="L70" s="5">
        <f>IF(K70=1,IFERROR(MATCH('ORDENES'!$S66,lista_dias,0),9)*1000000000+IFERROR(MATCH('ORDENES'!$AH66,lista_turnos,0),9)*10000000+IFERROR(MATCH('ORDENES'!$AG66,tblTecnicos[nombre],0),99)*100000+63,9000000000000+63)</f>
        <v/>
      </c>
      <c r="M70" s="5">
        <f>IF(K70=1,SUMPRODUCT(--($L$8:$L$1207&lt;L70))+1,"")</f>
        <v/>
      </c>
      <c r="N70" s="17">
        <f>IF(K70=1,N('ORDENES'!$M66),0)</f>
        <v/>
      </c>
      <c r="O70" s="17">
        <f>IF('ORDENES'!$U66="preventiva",N70,0)</f>
        <v/>
      </c>
      <c r="P70" s="17">
        <f>IF('ORDENES'!$U66="correctiva",N70,0)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22">
        <f>IF(K70=1,'ORDENES'!$J66,"")</f>
        <v/>
      </c>
      <c r="U70" s="5">
        <f>IFERROR(MATCH(63,$M$8:$M$1207,0),"")</f>
        <v/>
      </c>
      <c r="V70" s="5">
        <f>IF(U70="","",INDEX(tblOrdenes[dia_semana],U70))</f>
        <v/>
      </c>
      <c r="W70" s="5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5">
        <f>IF(AND(IF($B$3="(todos)",TRUE,'ORDENES'!$O67=$B$3),IF($D$3="(todos)",TRUE,'ORDENES'!$AH67=$D$3),IF($F$3="(todos)",TRUE,'ORDENES'!$Z67=$F$3),IF($H$3="(todos)",TRUE,'ORDENES'!$Y67=$H$3),'ORDENES'!$AF67=TRUE,'ORDENES'!$A67&lt;&gt;""),1,0)</f>
        <v/>
      </c>
      <c r="L71" s="5">
        <f>IF(K71=1,IFERROR(MATCH('ORDENES'!$S67,lista_dias,0),9)*1000000000+IFERROR(MATCH('ORDENES'!$AH67,lista_turnos,0),9)*10000000+IFERROR(MATCH('ORDENES'!$AG67,tblTecnicos[nombre],0),99)*100000+64,9000000000000+64)</f>
        <v/>
      </c>
      <c r="M71" s="5">
        <f>IF(K71=1,SUMPRODUCT(--($L$8:$L$1207&lt;L71))+1,"")</f>
        <v/>
      </c>
      <c r="N71" s="17">
        <f>IF(K71=1,N('ORDENES'!$M67),0)</f>
        <v/>
      </c>
      <c r="O71" s="17">
        <f>IF('ORDENES'!$U67="preventiva",N71,0)</f>
        <v/>
      </c>
      <c r="P71" s="17">
        <f>IF('ORDENES'!$U67="correctiva",N71,0)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22">
        <f>IF(K71=1,'ORDENES'!$J67,"")</f>
        <v/>
      </c>
      <c r="U71" s="5">
        <f>IFERROR(MATCH(64,$M$8:$M$1207,0),"")</f>
        <v/>
      </c>
      <c r="V71" s="5">
        <f>IF(U71="","",INDEX(tblOrdenes[dia_semana],U71))</f>
        <v/>
      </c>
      <c r="W71" s="5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5">
        <f>IF(AND(IF($B$3="(todos)",TRUE,'ORDENES'!$O68=$B$3),IF($D$3="(todos)",TRUE,'ORDENES'!$AH68=$D$3),IF($F$3="(todos)",TRUE,'ORDENES'!$Z68=$F$3),IF($H$3="(todos)",TRUE,'ORDENES'!$Y68=$H$3),'ORDENES'!$AF68=TRUE,'ORDENES'!$A68&lt;&gt;""),1,0)</f>
        <v/>
      </c>
      <c r="L72" s="5">
        <f>IF(K72=1,IFERROR(MATCH('ORDENES'!$S68,lista_dias,0),9)*1000000000+IFERROR(MATCH('ORDENES'!$AH68,lista_turnos,0),9)*10000000+IFERROR(MATCH('ORDENES'!$AG68,tblTecnicos[nombre],0),99)*100000+65,9000000000000+65)</f>
        <v/>
      </c>
      <c r="M72" s="5">
        <f>IF(K72=1,SUMPRODUCT(--($L$8:$L$1207&lt;L72))+1,"")</f>
        <v/>
      </c>
      <c r="N72" s="17">
        <f>IF(K72=1,N('ORDENES'!$M68),0)</f>
        <v/>
      </c>
      <c r="O72" s="17">
        <f>IF('ORDENES'!$U68="preventiva",N72,0)</f>
        <v/>
      </c>
      <c r="P72" s="17">
        <f>IF('ORDENES'!$U68="correctiva",N72,0)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22">
        <f>IF(K72=1,'ORDENES'!$J68,"")</f>
        <v/>
      </c>
      <c r="U72" s="5">
        <f>IFERROR(MATCH(65,$M$8:$M$1207,0),"")</f>
        <v/>
      </c>
      <c r="V72" s="5">
        <f>IF(U72="","",INDEX(tblOrdenes[dia_semana],U72))</f>
        <v/>
      </c>
      <c r="W72" s="5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5">
        <f>IF(AND(IF($B$3="(todos)",TRUE,'ORDENES'!$O69=$B$3),IF($D$3="(todos)",TRUE,'ORDENES'!$AH69=$D$3),IF($F$3="(todos)",TRUE,'ORDENES'!$Z69=$F$3),IF($H$3="(todos)",TRUE,'ORDENES'!$Y69=$H$3),'ORDENES'!$AF69=TRUE,'ORDENES'!$A69&lt;&gt;""),1,0)</f>
        <v/>
      </c>
      <c r="L73" s="5">
        <f>IF(K73=1,IFERROR(MATCH('ORDENES'!$S69,lista_dias,0),9)*1000000000+IFERROR(MATCH('ORDENES'!$AH69,lista_turnos,0),9)*10000000+IFERROR(MATCH('ORDENES'!$AG69,tblTecnicos[nombre],0),99)*100000+66,9000000000000+66)</f>
        <v/>
      </c>
      <c r="M73" s="5">
        <f>IF(K73=1,SUMPRODUCT(--($L$8:$L$1207&lt;L73))+1,"")</f>
        <v/>
      </c>
      <c r="N73" s="17">
        <f>IF(K73=1,N('ORDENES'!$M69),0)</f>
        <v/>
      </c>
      <c r="O73" s="17">
        <f>IF('ORDENES'!$U69="preventiva",N73,0)</f>
        <v/>
      </c>
      <c r="P73" s="17">
        <f>IF('ORDENES'!$U69="correctiva",N73,0)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22">
        <f>IF(K73=1,'ORDENES'!$J69,"")</f>
        <v/>
      </c>
      <c r="U73" s="5">
        <f>IFERROR(MATCH(66,$M$8:$M$1207,0),"")</f>
        <v/>
      </c>
      <c r="V73" s="5">
        <f>IF(U73="","",INDEX(tblOrdenes[dia_semana],U73))</f>
        <v/>
      </c>
      <c r="W73" s="5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5">
        <f>IF(AND(IF($B$3="(todos)",TRUE,'ORDENES'!$O70=$B$3),IF($D$3="(todos)",TRUE,'ORDENES'!$AH70=$D$3),IF($F$3="(todos)",TRUE,'ORDENES'!$Z70=$F$3),IF($H$3="(todos)",TRUE,'ORDENES'!$Y70=$H$3),'ORDENES'!$AF70=TRUE,'ORDENES'!$A70&lt;&gt;""),1,0)</f>
        <v/>
      </c>
      <c r="L74" s="5">
        <f>IF(K74=1,IFERROR(MATCH('ORDENES'!$S70,lista_dias,0),9)*1000000000+IFERROR(MATCH('ORDENES'!$AH70,lista_turnos,0),9)*10000000+IFERROR(MATCH('ORDENES'!$AG70,tblTecnicos[nombre],0),99)*100000+67,9000000000000+67)</f>
        <v/>
      </c>
      <c r="M74" s="5">
        <f>IF(K74=1,SUMPRODUCT(--($L$8:$L$1207&lt;L74))+1,"")</f>
        <v/>
      </c>
      <c r="N74" s="17">
        <f>IF(K74=1,N('ORDENES'!$M70),0)</f>
        <v/>
      </c>
      <c r="O74" s="17">
        <f>IF('ORDENES'!$U70="preventiva",N74,0)</f>
        <v/>
      </c>
      <c r="P74" s="17">
        <f>IF('ORDENES'!$U70="correctiva",N74,0)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22">
        <f>IF(K74=1,'ORDENES'!$J70,"")</f>
        <v/>
      </c>
      <c r="U74" s="5">
        <f>IFERROR(MATCH(67,$M$8:$M$1207,0),"")</f>
        <v/>
      </c>
      <c r="V74" s="5">
        <f>IF(U74="","",INDEX(tblOrdenes[dia_semana],U74))</f>
        <v/>
      </c>
      <c r="W74" s="5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5">
        <f>IF(AND(IF($B$3="(todos)",TRUE,'ORDENES'!$O71=$B$3),IF($D$3="(todos)",TRUE,'ORDENES'!$AH71=$D$3),IF($F$3="(todos)",TRUE,'ORDENES'!$Z71=$F$3),IF($H$3="(todos)",TRUE,'ORDENES'!$Y71=$H$3),'ORDENES'!$AF71=TRUE,'ORDENES'!$A71&lt;&gt;""),1,0)</f>
        <v/>
      </c>
      <c r="L75" s="5">
        <f>IF(K75=1,IFERROR(MATCH('ORDENES'!$S71,lista_dias,0),9)*1000000000+IFERROR(MATCH('ORDENES'!$AH71,lista_turnos,0),9)*10000000+IFERROR(MATCH('ORDENES'!$AG71,tblTecnicos[nombre],0),99)*100000+68,9000000000000+68)</f>
        <v/>
      </c>
      <c r="M75" s="5">
        <f>IF(K75=1,SUMPRODUCT(--($L$8:$L$1207&lt;L75))+1,"")</f>
        <v/>
      </c>
      <c r="N75" s="17">
        <f>IF(K75=1,N('ORDENES'!$M71),0)</f>
        <v/>
      </c>
      <c r="O75" s="17">
        <f>IF('ORDENES'!$U71="preventiva",N75,0)</f>
        <v/>
      </c>
      <c r="P75" s="17">
        <f>IF('ORDENES'!$U71="correctiva",N75,0)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22">
        <f>IF(K75=1,'ORDENES'!$J71,"")</f>
        <v/>
      </c>
      <c r="U75" s="5">
        <f>IFERROR(MATCH(68,$M$8:$M$1207,0),"")</f>
        <v/>
      </c>
      <c r="V75" s="5">
        <f>IF(U75="","",INDEX(tblOrdenes[dia_semana],U75))</f>
        <v/>
      </c>
      <c r="W75" s="5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5">
        <f>IF(AND(IF($B$3="(todos)",TRUE,'ORDENES'!$O72=$B$3),IF($D$3="(todos)",TRUE,'ORDENES'!$AH72=$D$3),IF($F$3="(todos)",TRUE,'ORDENES'!$Z72=$F$3),IF($H$3="(todos)",TRUE,'ORDENES'!$Y72=$H$3),'ORDENES'!$AF72=TRUE,'ORDENES'!$A72&lt;&gt;""),1,0)</f>
        <v/>
      </c>
      <c r="L76" s="5">
        <f>IF(K76=1,IFERROR(MATCH('ORDENES'!$S72,lista_dias,0),9)*1000000000+IFERROR(MATCH('ORDENES'!$AH72,lista_turnos,0),9)*10000000+IFERROR(MATCH('ORDENES'!$AG72,tblTecnicos[nombre],0),99)*100000+69,9000000000000+69)</f>
        <v/>
      </c>
      <c r="M76" s="5">
        <f>IF(K76=1,SUMPRODUCT(--($L$8:$L$1207&lt;L76))+1,"")</f>
        <v/>
      </c>
      <c r="N76" s="17">
        <f>IF(K76=1,N('ORDENES'!$M72),0)</f>
        <v/>
      </c>
      <c r="O76" s="17">
        <f>IF('ORDENES'!$U72="preventiva",N76,0)</f>
        <v/>
      </c>
      <c r="P76" s="17">
        <f>IF('ORDENES'!$U72="correctiva",N76,0)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22">
        <f>IF(K76=1,'ORDENES'!$J72,"")</f>
        <v/>
      </c>
      <c r="U76" s="5">
        <f>IFERROR(MATCH(69,$M$8:$M$1207,0),"")</f>
        <v/>
      </c>
      <c r="V76" s="5">
        <f>IF(U76="","",INDEX(tblOrdenes[dia_semana],U76))</f>
        <v/>
      </c>
      <c r="W76" s="5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5">
        <f>IF(AND(IF($B$3="(todos)",TRUE,'ORDENES'!$O73=$B$3),IF($D$3="(todos)",TRUE,'ORDENES'!$AH73=$D$3),IF($F$3="(todos)",TRUE,'ORDENES'!$Z73=$F$3),IF($H$3="(todos)",TRUE,'ORDENES'!$Y73=$H$3),'ORDENES'!$AF73=TRUE,'ORDENES'!$A73&lt;&gt;""),1,0)</f>
        <v/>
      </c>
      <c r="L77" s="5">
        <f>IF(K77=1,IFERROR(MATCH('ORDENES'!$S73,lista_dias,0),9)*1000000000+IFERROR(MATCH('ORDENES'!$AH73,lista_turnos,0),9)*10000000+IFERROR(MATCH('ORDENES'!$AG73,tblTecnicos[nombre],0),99)*100000+70,9000000000000+70)</f>
        <v/>
      </c>
      <c r="M77" s="5">
        <f>IF(K77=1,SUMPRODUCT(--($L$8:$L$1207&lt;L77))+1,"")</f>
        <v/>
      </c>
      <c r="N77" s="17">
        <f>IF(K77=1,N('ORDENES'!$M73),0)</f>
        <v/>
      </c>
      <c r="O77" s="17">
        <f>IF('ORDENES'!$U73="preventiva",N77,0)</f>
        <v/>
      </c>
      <c r="P77" s="17">
        <f>IF('ORDENES'!$U73="correctiva",N77,0)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22">
        <f>IF(K77=1,'ORDENES'!$J73,"")</f>
        <v/>
      </c>
      <c r="U77" s="5">
        <f>IFERROR(MATCH(70,$M$8:$M$1207,0),"")</f>
        <v/>
      </c>
      <c r="V77" s="5">
        <f>IF(U77="","",INDEX(tblOrdenes[dia_semana],U77))</f>
        <v/>
      </c>
      <c r="W77" s="5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5">
        <f>IF(AND(IF($B$3="(todos)",TRUE,'ORDENES'!$O74=$B$3),IF($D$3="(todos)",TRUE,'ORDENES'!$AH74=$D$3),IF($F$3="(todos)",TRUE,'ORDENES'!$Z74=$F$3),IF($H$3="(todos)",TRUE,'ORDENES'!$Y74=$H$3),'ORDENES'!$AF74=TRUE,'ORDENES'!$A74&lt;&gt;""),1,0)</f>
        <v/>
      </c>
      <c r="L78" s="5">
        <f>IF(K78=1,IFERROR(MATCH('ORDENES'!$S74,lista_dias,0),9)*1000000000+IFERROR(MATCH('ORDENES'!$AH74,lista_turnos,0),9)*10000000+IFERROR(MATCH('ORDENES'!$AG74,tblTecnicos[nombre],0),99)*100000+71,9000000000000+71)</f>
        <v/>
      </c>
      <c r="M78" s="5">
        <f>IF(K78=1,SUMPRODUCT(--($L$8:$L$1207&lt;L78))+1,"")</f>
        <v/>
      </c>
      <c r="N78" s="17">
        <f>IF(K78=1,N('ORDENES'!$M74),0)</f>
        <v/>
      </c>
      <c r="O78" s="17">
        <f>IF('ORDENES'!$U74="preventiva",N78,0)</f>
        <v/>
      </c>
      <c r="P78" s="17">
        <f>IF('ORDENES'!$U74="correctiva",N78,0)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22">
        <f>IF(K78=1,'ORDENES'!$J74,"")</f>
        <v/>
      </c>
      <c r="U78" s="5">
        <f>IFERROR(MATCH(71,$M$8:$M$1207,0),"")</f>
        <v/>
      </c>
      <c r="V78" s="5">
        <f>IF(U78="","",INDEX(tblOrdenes[dia_semana],U78))</f>
        <v/>
      </c>
      <c r="W78" s="5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5">
        <f>IF(AND(IF($B$3="(todos)",TRUE,'ORDENES'!$O75=$B$3),IF($D$3="(todos)",TRUE,'ORDENES'!$AH75=$D$3),IF($F$3="(todos)",TRUE,'ORDENES'!$Z75=$F$3),IF($H$3="(todos)",TRUE,'ORDENES'!$Y75=$H$3),'ORDENES'!$AF75=TRUE,'ORDENES'!$A75&lt;&gt;""),1,0)</f>
        <v/>
      </c>
      <c r="L79" s="5">
        <f>IF(K79=1,IFERROR(MATCH('ORDENES'!$S75,lista_dias,0),9)*1000000000+IFERROR(MATCH('ORDENES'!$AH75,lista_turnos,0),9)*10000000+IFERROR(MATCH('ORDENES'!$AG75,tblTecnicos[nombre],0),99)*100000+72,9000000000000+72)</f>
        <v/>
      </c>
      <c r="M79" s="5">
        <f>IF(K79=1,SUMPRODUCT(--($L$8:$L$1207&lt;L79))+1,"")</f>
        <v/>
      </c>
      <c r="N79" s="17">
        <f>IF(K79=1,N('ORDENES'!$M75),0)</f>
        <v/>
      </c>
      <c r="O79" s="17">
        <f>IF('ORDENES'!$U75="preventiva",N79,0)</f>
        <v/>
      </c>
      <c r="P79" s="17">
        <f>IF('ORDENES'!$U75="correctiva",N79,0)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22">
        <f>IF(K79=1,'ORDENES'!$J75,"")</f>
        <v/>
      </c>
      <c r="U79" s="5">
        <f>IFERROR(MATCH(72,$M$8:$M$1207,0),"")</f>
        <v/>
      </c>
      <c r="V79" s="5">
        <f>IF(U79="","",INDEX(tblOrdenes[dia_semana],U79))</f>
        <v/>
      </c>
      <c r="W79" s="5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5">
        <f>IF(AND(IF($B$3="(todos)",TRUE,'ORDENES'!$O76=$B$3),IF($D$3="(todos)",TRUE,'ORDENES'!$AH76=$D$3),IF($F$3="(todos)",TRUE,'ORDENES'!$Z76=$F$3),IF($H$3="(todos)",TRUE,'ORDENES'!$Y76=$H$3),'ORDENES'!$AF76=TRUE,'ORDENES'!$A76&lt;&gt;""),1,0)</f>
        <v/>
      </c>
      <c r="L80" s="5">
        <f>IF(K80=1,IFERROR(MATCH('ORDENES'!$S76,lista_dias,0),9)*1000000000+IFERROR(MATCH('ORDENES'!$AH76,lista_turnos,0),9)*10000000+IFERROR(MATCH('ORDENES'!$AG76,tblTecnicos[nombre],0),99)*100000+73,9000000000000+73)</f>
        <v/>
      </c>
      <c r="M80" s="5">
        <f>IF(K80=1,SUMPRODUCT(--($L$8:$L$1207&lt;L80))+1,"")</f>
        <v/>
      </c>
      <c r="N80" s="17">
        <f>IF(K80=1,N('ORDENES'!$M76),0)</f>
        <v/>
      </c>
      <c r="O80" s="17">
        <f>IF('ORDENES'!$U76="preventiva",N80,0)</f>
        <v/>
      </c>
      <c r="P80" s="17">
        <f>IF('ORDENES'!$U76="correctiva",N80,0)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22">
        <f>IF(K80=1,'ORDENES'!$J76,"")</f>
        <v/>
      </c>
      <c r="U80" s="5">
        <f>IFERROR(MATCH(73,$M$8:$M$1207,0),"")</f>
        <v/>
      </c>
      <c r="V80" s="5">
        <f>IF(U80="","",INDEX(tblOrdenes[dia_semana],U80))</f>
        <v/>
      </c>
      <c r="W80" s="5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5">
        <f>IF(AND(IF($B$3="(todos)",TRUE,'ORDENES'!$O77=$B$3),IF($D$3="(todos)",TRUE,'ORDENES'!$AH77=$D$3),IF($F$3="(todos)",TRUE,'ORDENES'!$Z77=$F$3),IF($H$3="(todos)",TRUE,'ORDENES'!$Y77=$H$3),'ORDENES'!$AF77=TRUE,'ORDENES'!$A77&lt;&gt;""),1,0)</f>
        <v/>
      </c>
      <c r="L81" s="5">
        <f>IF(K81=1,IFERROR(MATCH('ORDENES'!$S77,lista_dias,0),9)*1000000000+IFERROR(MATCH('ORDENES'!$AH77,lista_turnos,0),9)*10000000+IFERROR(MATCH('ORDENES'!$AG77,tblTecnicos[nombre],0),99)*100000+74,9000000000000+74)</f>
        <v/>
      </c>
      <c r="M81" s="5">
        <f>IF(K81=1,SUMPRODUCT(--($L$8:$L$1207&lt;L81))+1,"")</f>
        <v/>
      </c>
      <c r="N81" s="17">
        <f>IF(K81=1,N('ORDENES'!$M77),0)</f>
        <v/>
      </c>
      <c r="O81" s="17">
        <f>IF('ORDENES'!$U77="preventiva",N81,0)</f>
        <v/>
      </c>
      <c r="P81" s="17">
        <f>IF('ORDENES'!$U77="correctiva",N81,0)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22">
        <f>IF(K81=1,'ORDENES'!$J77,"")</f>
        <v/>
      </c>
      <c r="U81" s="5">
        <f>IFERROR(MATCH(74,$M$8:$M$1207,0),"")</f>
        <v/>
      </c>
      <c r="V81" s="5">
        <f>IF(U81="","",INDEX(tblOrdenes[dia_semana],U81))</f>
        <v/>
      </c>
      <c r="W81" s="5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5">
        <f>IF(AND(IF($B$3="(todos)",TRUE,'ORDENES'!$O78=$B$3),IF($D$3="(todos)",TRUE,'ORDENES'!$AH78=$D$3),IF($F$3="(todos)",TRUE,'ORDENES'!$Z78=$F$3),IF($H$3="(todos)",TRUE,'ORDENES'!$Y78=$H$3),'ORDENES'!$AF78=TRUE,'ORDENES'!$A78&lt;&gt;""),1,0)</f>
        <v/>
      </c>
      <c r="L82" s="5">
        <f>IF(K82=1,IFERROR(MATCH('ORDENES'!$S78,lista_dias,0),9)*1000000000+IFERROR(MATCH('ORDENES'!$AH78,lista_turnos,0),9)*10000000+IFERROR(MATCH('ORDENES'!$AG78,tblTecnicos[nombre],0),99)*100000+75,9000000000000+75)</f>
        <v/>
      </c>
      <c r="M82" s="5">
        <f>IF(K82=1,SUMPRODUCT(--($L$8:$L$1207&lt;L82))+1,"")</f>
        <v/>
      </c>
      <c r="N82" s="17">
        <f>IF(K82=1,N('ORDENES'!$M78),0)</f>
        <v/>
      </c>
      <c r="O82" s="17">
        <f>IF('ORDENES'!$U78="preventiva",N82,0)</f>
        <v/>
      </c>
      <c r="P82" s="17">
        <f>IF('ORDENES'!$U78="correctiva",N82,0)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22">
        <f>IF(K82=1,'ORDENES'!$J78,"")</f>
        <v/>
      </c>
      <c r="U82" s="5">
        <f>IFERROR(MATCH(75,$M$8:$M$1207,0),"")</f>
        <v/>
      </c>
      <c r="V82" s="5">
        <f>IF(U82="","",INDEX(tblOrdenes[dia_semana],U82))</f>
        <v/>
      </c>
      <c r="W82" s="5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5">
        <f>IF(AND(IF($B$3="(todos)",TRUE,'ORDENES'!$O79=$B$3),IF($D$3="(todos)",TRUE,'ORDENES'!$AH79=$D$3),IF($F$3="(todos)",TRUE,'ORDENES'!$Z79=$F$3),IF($H$3="(todos)",TRUE,'ORDENES'!$Y79=$H$3),'ORDENES'!$AF79=TRUE,'ORDENES'!$A79&lt;&gt;""),1,0)</f>
        <v/>
      </c>
      <c r="L83" s="5">
        <f>IF(K83=1,IFERROR(MATCH('ORDENES'!$S79,lista_dias,0),9)*1000000000+IFERROR(MATCH('ORDENES'!$AH79,lista_turnos,0),9)*10000000+IFERROR(MATCH('ORDENES'!$AG79,tblTecnicos[nombre],0),99)*100000+76,9000000000000+76)</f>
        <v/>
      </c>
      <c r="M83" s="5">
        <f>IF(K83=1,SUMPRODUCT(--($L$8:$L$1207&lt;L83))+1,"")</f>
        <v/>
      </c>
      <c r="N83" s="17">
        <f>IF(K83=1,N('ORDENES'!$M79),0)</f>
        <v/>
      </c>
      <c r="O83" s="17">
        <f>IF('ORDENES'!$U79="preventiva",N83,0)</f>
        <v/>
      </c>
      <c r="P83" s="17">
        <f>IF('ORDENES'!$U79="correctiva",N83,0)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22">
        <f>IF(K83=1,'ORDENES'!$J79,"")</f>
        <v/>
      </c>
      <c r="U83" s="5">
        <f>IFERROR(MATCH(76,$M$8:$M$1207,0),"")</f>
        <v/>
      </c>
      <c r="V83" s="5">
        <f>IF(U83="","",INDEX(tblOrdenes[dia_semana],U83))</f>
        <v/>
      </c>
      <c r="W83" s="5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5">
        <f>IF(AND(IF($B$3="(todos)",TRUE,'ORDENES'!$O80=$B$3),IF($D$3="(todos)",TRUE,'ORDENES'!$AH80=$D$3),IF($F$3="(todos)",TRUE,'ORDENES'!$Z80=$F$3),IF($H$3="(todos)",TRUE,'ORDENES'!$Y80=$H$3),'ORDENES'!$AF80=TRUE,'ORDENES'!$A80&lt;&gt;""),1,0)</f>
        <v/>
      </c>
      <c r="L84" s="5">
        <f>IF(K84=1,IFERROR(MATCH('ORDENES'!$S80,lista_dias,0),9)*1000000000+IFERROR(MATCH('ORDENES'!$AH80,lista_turnos,0),9)*10000000+IFERROR(MATCH('ORDENES'!$AG80,tblTecnicos[nombre],0),99)*100000+77,9000000000000+77)</f>
        <v/>
      </c>
      <c r="M84" s="5">
        <f>IF(K84=1,SUMPRODUCT(--($L$8:$L$1207&lt;L84))+1,"")</f>
        <v/>
      </c>
      <c r="N84" s="17">
        <f>IF(K84=1,N('ORDENES'!$M80),0)</f>
        <v/>
      </c>
      <c r="O84" s="17">
        <f>IF('ORDENES'!$U80="preventiva",N84,0)</f>
        <v/>
      </c>
      <c r="P84" s="17">
        <f>IF('ORDENES'!$U80="correctiva",N84,0)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22">
        <f>IF(K84=1,'ORDENES'!$J80,"")</f>
        <v/>
      </c>
      <c r="U84" s="5">
        <f>IFERROR(MATCH(77,$M$8:$M$1207,0),"")</f>
        <v/>
      </c>
      <c r="V84" s="5">
        <f>IF(U84="","",INDEX(tblOrdenes[dia_semana],U84))</f>
        <v/>
      </c>
      <c r="W84" s="5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5">
        <f>IF(AND(IF($B$3="(todos)",TRUE,'ORDENES'!$O81=$B$3),IF($D$3="(todos)",TRUE,'ORDENES'!$AH81=$D$3),IF($F$3="(todos)",TRUE,'ORDENES'!$Z81=$F$3),IF($H$3="(todos)",TRUE,'ORDENES'!$Y81=$H$3),'ORDENES'!$AF81=TRUE,'ORDENES'!$A81&lt;&gt;""),1,0)</f>
        <v/>
      </c>
      <c r="L85" s="5">
        <f>IF(K85=1,IFERROR(MATCH('ORDENES'!$S81,lista_dias,0),9)*1000000000+IFERROR(MATCH('ORDENES'!$AH81,lista_turnos,0),9)*10000000+IFERROR(MATCH('ORDENES'!$AG81,tblTecnicos[nombre],0),99)*100000+78,9000000000000+78)</f>
        <v/>
      </c>
      <c r="M85" s="5">
        <f>IF(K85=1,SUMPRODUCT(--($L$8:$L$1207&lt;L85))+1,"")</f>
        <v/>
      </c>
      <c r="N85" s="17">
        <f>IF(K85=1,N('ORDENES'!$M81),0)</f>
        <v/>
      </c>
      <c r="O85" s="17">
        <f>IF('ORDENES'!$U81="preventiva",N85,0)</f>
        <v/>
      </c>
      <c r="P85" s="17">
        <f>IF('ORDENES'!$U81="correctiva",N85,0)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22">
        <f>IF(K85=1,'ORDENES'!$J81,"")</f>
        <v/>
      </c>
      <c r="U85" s="5">
        <f>IFERROR(MATCH(78,$M$8:$M$1207,0),"")</f>
        <v/>
      </c>
      <c r="V85" s="5">
        <f>IF(U85="","",INDEX(tblOrdenes[dia_semana],U85))</f>
        <v/>
      </c>
      <c r="W85" s="5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5">
        <f>IF(AND(IF($B$3="(todos)",TRUE,'ORDENES'!$O82=$B$3),IF($D$3="(todos)",TRUE,'ORDENES'!$AH82=$D$3),IF($F$3="(todos)",TRUE,'ORDENES'!$Z82=$F$3),IF($H$3="(todos)",TRUE,'ORDENES'!$Y82=$H$3),'ORDENES'!$AF82=TRUE,'ORDENES'!$A82&lt;&gt;""),1,0)</f>
        <v/>
      </c>
      <c r="L86" s="5">
        <f>IF(K86=1,IFERROR(MATCH('ORDENES'!$S82,lista_dias,0),9)*1000000000+IFERROR(MATCH('ORDENES'!$AH82,lista_turnos,0),9)*10000000+IFERROR(MATCH('ORDENES'!$AG82,tblTecnicos[nombre],0),99)*100000+79,9000000000000+79)</f>
        <v/>
      </c>
      <c r="M86" s="5">
        <f>IF(K86=1,SUMPRODUCT(--($L$8:$L$1207&lt;L86))+1,"")</f>
        <v/>
      </c>
      <c r="N86" s="17">
        <f>IF(K86=1,N('ORDENES'!$M82),0)</f>
        <v/>
      </c>
      <c r="O86" s="17">
        <f>IF('ORDENES'!$U82="preventiva",N86,0)</f>
        <v/>
      </c>
      <c r="P86" s="17">
        <f>IF('ORDENES'!$U82="correctiva",N86,0)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22">
        <f>IF(K86=1,'ORDENES'!$J82,"")</f>
        <v/>
      </c>
      <c r="U86" s="5">
        <f>IFERROR(MATCH(79,$M$8:$M$1207,0),"")</f>
        <v/>
      </c>
      <c r="V86" s="5">
        <f>IF(U86="","",INDEX(tblOrdenes[dia_semana],U86))</f>
        <v/>
      </c>
      <c r="W86" s="5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5">
        <f>IF(AND(IF($B$3="(todos)",TRUE,'ORDENES'!$O83=$B$3),IF($D$3="(todos)",TRUE,'ORDENES'!$AH83=$D$3),IF($F$3="(todos)",TRUE,'ORDENES'!$Z83=$F$3),IF($H$3="(todos)",TRUE,'ORDENES'!$Y83=$H$3),'ORDENES'!$AF83=TRUE,'ORDENES'!$A83&lt;&gt;""),1,0)</f>
        <v/>
      </c>
      <c r="L87" s="5">
        <f>IF(K87=1,IFERROR(MATCH('ORDENES'!$S83,lista_dias,0),9)*1000000000+IFERROR(MATCH('ORDENES'!$AH83,lista_turnos,0),9)*10000000+IFERROR(MATCH('ORDENES'!$AG83,tblTecnicos[nombre],0),99)*100000+80,9000000000000+80)</f>
        <v/>
      </c>
      <c r="M87" s="5">
        <f>IF(K87=1,SUMPRODUCT(--($L$8:$L$1207&lt;L87))+1,"")</f>
        <v/>
      </c>
      <c r="N87" s="17">
        <f>IF(K87=1,N('ORDENES'!$M83),0)</f>
        <v/>
      </c>
      <c r="O87" s="17">
        <f>IF('ORDENES'!$U83="preventiva",N87,0)</f>
        <v/>
      </c>
      <c r="P87" s="17">
        <f>IF('ORDENES'!$U83="correctiva",N87,0)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22">
        <f>IF(K87=1,'ORDENES'!$J83,"")</f>
        <v/>
      </c>
      <c r="U87" s="5">
        <f>IFERROR(MATCH(80,$M$8:$M$1207,0),"")</f>
        <v/>
      </c>
      <c r="V87" s="5">
        <f>IF(U87="","",INDEX(tblOrdenes[dia_semana],U87))</f>
        <v/>
      </c>
      <c r="W87" s="5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5">
        <f>IF(AND(IF($B$3="(todos)",TRUE,'ORDENES'!$O84=$B$3),IF($D$3="(todos)",TRUE,'ORDENES'!$AH84=$D$3),IF($F$3="(todos)",TRUE,'ORDENES'!$Z84=$F$3),IF($H$3="(todos)",TRUE,'ORDENES'!$Y84=$H$3),'ORDENES'!$AF84=TRUE,'ORDENES'!$A84&lt;&gt;""),1,0)</f>
        <v/>
      </c>
      <c r="L88" s="5">
        <f>IF(K88=1,IFERROR(MATCH('ORDENES'!$S84,lista_dias,0),9)*1000000000+IFERROR(MATCH('ORDENES'!$AH84,lista_turnos,0),9)*10000000+IFERROR(MATCH('ORDENES'!$AG84,tblTecnicos[nombre],0),99)*100000+81,9000000000000+81)</f>
        <v/>
      </c>
      <c r="M88" s="5">
        <f>IF(K88=1,SUMPRODUCT(--($L$8:$L$1207&lt;L88))+1,"")</f>
        <v/>
      </c>
      <c r="N88" s="17">
        <f>IF(K88=1,N('ORDENES'!$M84),0)</f>
        <v/>
      </c>
      <c r="O88" s="17">
        <f>IF('ORDENES'!$U84="preventiva",N88,0)</f>
        <v/>
      </c>
      <c r="P88" s="17">
        <f>IF('ORDENES'!$U84="correctiva",N88,0)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22">
        <f>IF(K88=1,'ORDENES'!$J84,"")</f>
        <v/>
      </c>
      <c r="U88" s="5">
        <f>IFERROR(MATCH(81,$M$8:$M$1207,0),"")</f>
        <v/>
      </c>
      <c r="V88" s="5">
        <f>IF(U88="","",INDEX(tblOrdenes[dia_semana],U88))</f>
        <v/>
      </c>
      <c r="W88" s="5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5">
        <f>IF(AND(IF($B$3="(todos)",TRUE,'ORDENES'!$O85=$B$3),IF($D$3="(todos)",TRUE,'ORDENES'!$AH85=$D$3),IF($F$3="(todos)",TRUE,'ORDENES'!$Z85=$F$3),IF($H$3="(todos)",TRUE,'ORDENES'!$Y85=$H$3),'ORDENES'!$AF85=TRUE,'ORDENES'!$A85&lt;&gt;""),1,0)</f>
        <v/>
      </c>
      <c r="L89" s="5">
        <f>IF(K89=1,IFERROR(MATCH('ORDENES'!$S85,lista_dias,0),9)*1000000000+IFERROR(MATCH('ORDENES'!$AH85,lista_turnos,0),9)*10000000+IFERROR(MATCH('ORDENES'!$AG85,tblTecnicos[nombre],0),99)*100000+82,9000000000000+82)</f>
        <v/>
      </c>
      <c r="M89" s="5">
        <f>IF(K89=1,SUMPRODUCT(--($L$8:$L$1207&lt;L89))+1,"")</f>
        <v/>
      </c>
      <c r="N89" s="17">
        <f>IF(K89=1,N('ORDENES'!$M85),0)</f>
        <v/>
      </c>
      <c r="O89" s="17">
        <f>IF('ORDENES'!$U85="preventiva",N89,0)</f>
        <v/>
      </c>
      <c r="P89" s="17">
        <f>IF('ORDENES'!$U85="correctiva",N89,0)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22">
        <f>IF(K89=1,'ORDENES'!$J85,"")</f>
        <v/>
      </c>
      <c r="U89" s="5">
        <f>IFERROR(MATCH(82,$M$8:$M$1207,0),"")</f>
        <v/>
      </c>
      <c r="V89" s="5">
        <f>IF(U89="","",INDEX(tblOrdenes[dia_semana],U89))</f>
        <v/>
      </c>
      <c r="W89" s="5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5">
        <f>IF(AND(IF($B$3="(todos)",TRUE,'ORDENES'!$O86=$B$3),IF($D$3="(todos)",TRUE,'ORDENES'!$AH86=$D$3),IF($F$3="(todos)",TRUE,'ORDENES'!$Z86=$F$3),IF($H$3="(todos)",TRUE,'ORDENES'!$Y86=$H$3),'ORDENES'!$AF86=TRUE,'ORDENES'!$A86&lt;&gt;""),1,0)</f>
        <v/>
      </c>
      <c r="L90" s="5">
        <f>IF(K90=1,IFERROR(MATCH('ORDENES'!$S86,lista_dias,0),9)*1000000000+IFERROR(MATCH('ORDENES'!$AH86,lista_turnos,0),9)*10000000+IFERROR(MATCH('ORDENES'!$AG86,tblTecnicos[nombre],0),99)*100000+83,9000000000000+83)</f>
        <v/>
      </c>
      <c r="M90" s="5">
        <f>IF(K90=1,SUMPRODUCT(--($L$8:$L$1207&lt;L90))+1,"")</f>
        <v/>
      </c>
      <c r="N90" s="17">
        <f>IF(K90=1,N('ORDENES'!$M86),0)</f>
        <v/>
      </c>
      <c r="O90" s="17">
        <f>IF('ORDENES'!$U86="preventiva",N90,0)</f>
        <v/>
      </c>
      <c r="P90" s="17">
        <f>IF('ORDENES'!$U86="correctiva",N90,0)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22">
        <f>IF(K90=1,'ORDENES'!$J86,"")</f>
        <v/>
      </c>
      <c r="U90" s="5">
        <f>IFERROR(MATCH(83,$M$8:$M$1207,0),"")</f>
        <v/>
      </c>
      <c r="V90" s="5">
        <f>IF(U90="","",INDEX(tblOrdenes[dia_semana],U90))</f>
        <v/>
      </c>
      <c r="W90" s="5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5">
        <f>IF(AND(IF($B$3="(todos)",TRUE,'ORDENES'!$O87=$B$3),IF($D$3="(todos)",TRUE,'ORDENES'!$AH87=$D$3),IF($F$3="(todos)",TRUE,'ORDENES'!$Z87=$F$3),IF($H$3="(todos)",TRUE,'ORDENES'!$Y87=$H$3),'ORDENES'!$AF87=TRUE,'ORDENES'!$A87&lt;&gt;""),1,0)</f>
        <v/>
      </c>
      <c r="L91" s="5">
        <f>IF(K91=1,IFERROR(MATCH('ORDENES'!$S87,lista_dias,0),9)*1000000000+IFERROR(MATCH('ORDENES'!$AH87,lista_turnos,0),9)*10000000+IFERROR(MATCH('ORDENES'!$AG87,tblTecnicos[nombre],0),99)*100000+84,9000000000000+84)</f>
        <v/>
      </c>
      <c r="M91" s="5">
        <f>IF(K91=1,SUMPRODUCT(--($L$8:$L$1207&lt;L91))+1,"")</f>
        <v/>
      </c>
      <c r="N91" s="17">
        <f>IF(K91=1,N('ORDENES'!$M87),0)</f>
        <v/>
      </c>
      <c r="O91" s="17">
        <f>IF('ORDENES'!$U87="preventiva",N91,0)</f>
        <v/>
      </c>
      <c r="P91" s="17">
        <f>IF('ORDENES'!$U87="correctiva",N91,0)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22">
        <f>IF(K91=1,'ORDENES'!$J87,"")</f>
        <v/>
      </c>
      <c r="U91" s="5">
        <f>IFERROR(MATCH(84,$M$8:$M$1207,0),"")</f>
        <v/>
      </c>
      <c r="V91" s="5">
        <f>IF(U91="","",INDEX(tblOrdenes[dia_semana],U91))</f>
        <v/>
      </c>
      <c r="W91" s="5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5">
        <f>IF(AND(IF($B$3="(todos)",TRUE,'ORDENES'!$O88=$B$3),IF($D$3="(todos)",TRUE,'ORDENES'!$AH88=$D$3),IF($F$3="(todos)",TRUE,'ORDENES'!$Z88=$F$3),IF($H$3="(todos)",TRUE,'ORDENES'!$Y88=$H$3),'ORDENES'!$AF88=TRUE,'ORDENES'!$A88&lt;&gt;""),1,0)</f>
        <v/>
      </c>
      <c r="L92" s="5">
        <f>IF(K92=1,IFERROR(MATCH('ORDENES'!$S88,lista_dias,0),9)*1000000000+IFERROR(MATCH('ORDENES'!$AH88,lista_turnos,0),9)*10000000+IFERROR(MATCH('ORDENES'!$AG88,tblTecnicos[nombre],0),99)*100000+85,9000000000000+85)</f>
        <v/>
      </c>
      <c r="M92" s="5">
        <f>IF(K92=1,SUMPRODUCT(--($L$8:$L$1207&lt;L92))+1,"")</f>
        <v/>
      </c>
      <c r="N92" s="17">
        <f>IF(K92=1,N('ORDENES'!$M88),0)</f>
        <v/>
      </c>
      <c r="O92" s="17">
        <f>IF('ORDENES'!$U88="preventiva",N92,0)</f>
        <v/>
      </c>
      <c r="P92" s="17">
        <f>IF('ORDENES'!$U88="correctiva",N92,0)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22">
        <f>IF(K92=1,'ORDENES'!$J88,"")</f>
        <v/>
      </c>
      <c r="U92" s="5">
        <f>IFERROR(MATCH(85,$M$8:$M$1207,0),"")</f>
        <v/>
      </c>
      <c r="V92" s="5">
        <f>IF(U92="","",INDEX(tblOrdenes[dia_semana],U92))</f>
        <v/>
      </c>
      <c r="W92" s="5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5">
        <f>IF(AND(IF($B$3="(todos)",TRUE,'ORDENES'!$O89=$B$3),IF($D$3="(todos)",TRUE,'ORDENES'!$AH89=$D$3),IF($F$3="(todos)",TRUE,'ORDENES'!$Z89=$F$3),IF($H$3="(todos)",TRUE,'ORDENES'!$Y89=$H$3),'ORDENES'!$AF89=TRUE,'ORDENES'!$A89&lt;&gt;""),1,0)</f>
        <v/>
      </c>
      <c r="L93" s="5">
        <f>IF(K93=1,IFERROR(MATCH('ORDENES'!$S89,lista_dias,0),9)*1000000000+IFERROR(MATCH('ORDENES'!$AH89,lista_turnos,0),9)*10000000+IFERROR(MATCH('ORDENES'!$AG89,tblTecnicos[nombre],0),99)*100000+86,9000000000000+86)</f>
        <v/>
      </c>
      <c r="M93" s="5">
        <f>IF(K93=1,SUMPRODUCT(--($L$8:$L$1207&lt;L93))+1,"")</f>
        <v/>
      </c>
      <c r="N93" s="17">
        <f>IF(K93=1,N('ORDENES'!$M89),0)</f>
        <v/>
      </c>
      <c r="O93" s="17">
        <f>IF('ORDENES'!$U89="preventiva",N93,0)</f>
        <v/>
      </c>
      <c r="P93" s="17">
        <f>IF('ORDENES'!$U89="correctiva",N93,0)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22">
        <f>IF(K93=1,'ORDENES'!$J89,"")</f>
        <v/>
      </c>
      <c r="U93" s="5">
        <f>IFERROR(MATCH(86,$M$8:$M$1207,0),"")</f>
        <v/>
      </c>
      <c r="V93" s="5">
        <f>IF(U93="","",INDEX(tblOrdenes[dia_semana],U93))</f>
        <v/>
      </c>
      <c r="W93" s="5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5">
        <f>IF(AND(IF($B$3="(todos)",TRUE,'ORDENES'!$O90=$B$3),IF($D$3="(todos)",TRUE,'ORDENES'!$AH90=$D$3),IF($F$3="(todos)",TRUE,'ORDENES'!$Z90=$F$3),IF($H$3="(todos)",TRUE,'ORDENES'!$Y90=$H$3),'ORDENES'!$AF90=TRUE,'ORDENES'!$A90&lt;&gt;""),1,0)</f>
        <v/>
      </c>
      <c r="L94" s="5">
        <f>IF(K94=1,IFERROR(MATCH('ORDENES'!$S90,lista_dias,0),9)*1000000000+IFERROR(MATCH('ORDENES'!$AH90,lista_turnos,0),9)*10000000+IFERROR(MATCH('ORDENES'!$AG90,tblTecnicos[nombre],0),99)*100000+87,9000000000000+87)</f>
        <v/>
      </c>
      <c r="M94" s="5">
        <f>IF(K94=1,SUMPRODUCT(--($L$8:$L$1207&lt;L94))+1,"")</f>
        <v/>
      </c>
      <c r="N94" s="17">
        <f>IF(K94=1,N('ORDENES'!$M90),0)</f>
        <v/>
      </c>
      <c r="O94" s="17">
        <f>IF('ORDENES'!$U90="preventiva",N94,0)</f>
        <v/>
      </c>
      <c r="P94" s="17">
        <f>IF('ORDENES'!$U90="correctiva",N94,0)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22">
        <f>IF(K94=1,'ORDENES'!$J90,"")</f>
        <v/>
      </c>
      <c r="U94" s="5">
        <f>IFERROR(MATCH(87,$M$8:$M$1207,0),"")</f>
        <v/>
      </c>
      <c r="V94" s="5">
        <f>IF(U94="","",INDEX(tblOrdenes[dia_semana],U94))</f>
        <v/>
      </c>
      <c r="W94" s="5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5">
        <f>IF(AND(IF($B$3="(todos)",TRUE,'ORDENES'!$O91=$B$3),IF($D$3="(todos)",TRUE,'ORDENES'!$AH91=$D$3),IF($F$3="(todos)",TRUE,'ORDENES'!$Z91=$F$3),IF($H$3="(todos)",TRUE,'ORDENES'!$Y91=$H$3),'ORDENES'!$AF91=TRUE,'ORDENES'!$A91&lt;&gt;""),1,0)</f>
        <v/>
      </c>
      <c r="L95" s="5">
        <f>IF(K95=1,IFERROR(MATCH('ORDENES'!$S91,lista_dias,0),9)*1000000000+IFERROR(MATCH('ORDENES'!$AH91,lista_turnos,0),9)*10000000+IFERROR(MATCH('ORDENES'!$AG91,tblTecnicos[nombre],0),99)*100000+88,9000000000000+88)</f>
        <v/>
      </c>
      <c r="M95" s="5">
        <f>IF(K95=1,SUMPRODUCT(--($L$8:$L$1207&lt;L95))+1,"")</f>
        <v/>
      </c>
      <c r="N95" s="17">
        <f>IF(K95=1,N('ORDENES'!$M91),0)</f>
        <v/>
      </c>
      <c r="O95" s="17">
        <f>IF('ORDENES'!$U91="preventiva",N95,0)</f>
        <v/>
      </c>
      <c r="P95" s="17">
        <f>IF('ORDENES'!$U91="correctiva",N95,0)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22">
        <f>IF(K95=1,'ORDENES'!$J91,"")</f>
        <v/>
      </c>
      <c r="U95" s="5">
        <f>IFERROR(MATCH(88,$M$8:$M$1207,0),"")</f>
        <v/>
      </c>
      <c r="V95" s="5">
        <f>IF(U95="","",INDEX(tblOrdenes[dia_semana],U95))</f>
        <v/>
      </c>
      <c r="W95" s="5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5">
        <f>IF(AND(IF($B$3="(todos)",TRUE,'ORDENES'!$O92=$B$3),IF($D$3="(todos)",TRUE,'ORDENES'!$AH92=$D$3),IF($F$3="(todos)",TRUE,'ORDENES'!$Z92=$F$3),IF($H$3="(todos)",TRUE,'ORDENES'!$Y92=$H$3),'ORDENES'!$AF92=TRUE,'ORDENES'!$A92&lt;&gt;""),1,0)</f>
        <v/>
      </c>
      <c r="L96" s="5">
        <f>IF(K96=1,IFERROR(MATCH('ORDENES'!$S92,lista_dias,0),9)*1000000000+IFERROR(MATCH('ORDENES'!$AH92,lista_turnos,0),9)*10000000+IFERROR(MATCH('ORDENES'!$AG92,tblTecnicos[nombre],0),99)*100000+89,9000000000000+89)</f>
        <v/>
      </c>
      <c r="M96" s="5">
        <f>IF(K96=1,SUMPRODUCT(--($L$8:$L$1207&lt;L96))+1,"")</f>
        <v/>
      </c>
      <c r="N96" s="17">
        <f>IF(K96=1,N('ORDENES'!$M92),0)</f>
        <v/>
      </c>
      <c r="O96" s="17">
        <f>IF('ORDENES'!$U92="preventiva",N96,0)</f>
        <v/>
      </c>
      <c r="P96" s="17">
        <f>IF('ORDENES'!$U92="correctiva",N96,0)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22">
        <f>IF(K96=1,'ORDENES'!$J92,"")</f>
        <v/>
      </c>
      <c r="U96" s="5">
        <f>IFERROR(MATCH(89,$M$8:$M$1207,0),"")</f>
        <v/>
      </c>
      <c r="V96" s="5">
        <f>IF(U96="","",INDEX(tblOrdenes[dia_semana],U96))</f>
        <v/>
      </c>
      <c r="W96" s="5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5">
        <f>IF(AND(IF($B$3="(todos)",TRUE,'ORDENES'!$O93=$B$3),IF($D$3="(todos)",TRUE,'ORDENES'!$AH93=$D$3),IF($F$3="(todos)",TRUE,'ORDENES'!$Z93=$F$3),IF($H$3="(todos)",TRUE,'ORDENES'!$Y93=$H$3),'ORDENES'!$AF93=TRUE,'ORDENES'!$A93&lt;&gt;""),1,0)</f>
        <v/>
      </c>
      <c r="L97" s="5">
        <f>IF(K97=1,IFERROR(MATCH('ORDENES'!$S93,lista_dias,0),9)*1000000000+IFERROR(MATCH('ORDENES'!$AH93,lista_turnos,0),9)*10000000+IFERROR(MATCH('ORDENES'!$AG93,tblTecnicos[nombre],0),99)*100000+90,9000000000000+90)</f>
        <v/>
      </c>
      <c r="M97" s="5">
        <f>IF(K97=1,SUMPRODUCT(--($L$8:$L$1207&lt;L97))+1,"")</f>
        <v/>
      </c>
      <c r="N97" s="17">
        <f>IF(K97=1,N('ORDENES'!$M93),0)</f>
        <v/>
      </c>
      <c r="O97" s="17">
        <f>IF('ORDENES'!$U93="preventiva",N97,0)</f>
        <v/>
      </c>
      <c r="P97" s="17">
        <f>IF('ORDENES'!$U93="correctiva",N97,0)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22">
        <f>IF(K97=1,'ORDENES'!$J93,"")</f>
        <v/>
      </c>
      <c r="U97" s="5">
        <f>IFERROR(MATCH(90,$M$8:$M$1207,0),"")</f>
        <v/>
      </c>
      <c r="V97" s="5">
        <f>IF(U97="","",INDEX(tblOrdenes[dia_semana],U97))</f>
        <v/>
      </c>
      <c r="W97" s="5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5">
        <f>IF(AND(IF($B$3="(todos)",TRUE,'ORDENES'!$O94=$B$3),IF($D$3="(todos)",TRUE,'ORDENES'!$AH94=$D$3),IF($F$3="(todos)",TRUE,'ORDENES'!$Z94=$F$3),IF($H$3="(todos)",TRUE,'ORDENES'!$Y94=$H$3),'ORDENES'!$AF94=TRUE,'ORDENES'!$A94&lt;&gt;""),1,0)</f>
        <v/>
      </c>
      <c r="L98" s="5">
        <f>IF(K98=1,IFERROR(MATCH('ORDENES'!$S94,lista_dias,0),9)*1000000000+IFERROR(MATCH('ORDENES'!$AH94,lista_turnos,0),9)*10000000+IFERROR(MATCH('ORDENES'!$AG94,tblTecnicos[nombre],0),99)*100000+91,9000000000000+91)</f>
        <v/>
      </c>
      <c r="M98" s="5">
        <f>IF(K98=1,SUMPRODUCT(--($L$8:$L$1207&lt;L98))+1,"")</f>
        <v/>
      </c>
      <c r="N98" s="17">
        <f>IF(K98=1,N('ORDENES'!$M94),0)</f>
        <v/>
      </c>
      <c r="O98" s="17">
        <f>IF('ORDENES'!$U94="preventiva",N98,0)</f>
        <v/>
      </c>
      <c r="P98" s="17">
        <f>IF('ORDENES'!$U94="correctiva",N98,0)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22">
        <f>IF(K98=1,'ORDENES'!$J94,"")</f>
        <v/>
      </c>
      <c r="U98" s="5">
        <f>IFERROR(MATCH(91,$M$8:$M$1207,0),"")</f>
        <v/>
      </c>
      <c r="V98" s="5">
        <f>IF(U98="","",INDEX(tblOrdenes[dia_semana],U98))</f>
        <v/>
      </c>
      <c r="W98" s="5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5">
        <f>IF(AND(IF($B$3="(todos)",TRUE,'ORDENES'!$O95=$B$3),IF($D$3="(todos)",TRUE,'ORDENES'!$AH95=$D$3),IF($F$3="(todos)",TRUE,'ORDENES'!$Z95=$F$3),IF($H$3="(todos)",TRUE,'ORDENES'!$Y95=$H$3),'ORDENES'!$AF95=TRUE,'ORDENES'!$A95&lt;&gt;""),1,0)</f>
        <v/>
      </c>
      <c r="L99" s="5">
        <f>IF(K99=1,IFERROR(MATCH('ORDENES'!$S95,lista_dias,0),9)*1000000000+IFERROR(MATCH('ORDENES'!$AH95,lista_turnos,0),9)*10000000+IFERROR(MATCH('ORDENES'!$AG95,tblTecnicos[nombre],0),99)*100000+92,9000000000000+92)</f>
        <v/>
      </c>
      <c r="M99" s="5">
        <f>IF(K99=1,SUMPRODUCT(--($L$8:$L$1207&lt;L99))+1,"")</f>
        <v/>
      </c>
      <c r="N99" s="17">
        <f>IF(K99=1,N('ORDENES'!$M95),0)</f>
        <v/>
      </c>
      <c r="O99" s="17">
        <f>IF('ORDENES'!$U95="preventiva",N99,0)</f>
        <v/>
      </c>
      <c r="P99" s="17">
        <f>IF('ORDENES'!$U95="correctiva",N99,0)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22">
        <f>IF(K99=1,'ORDENES'!$J95,"")</f>
        <v/>
      </c>
      <c r="U99" s="5">
        <f>IFERROR(MATCH(92,$M$8:$M$1207,0),"")</f>
        <v/>
      </c>
      <c r="V99" s="5">
        <f>IF(U99="","",INDEX(tblOrdenes[dia_semana],U99))</f>
        <v/>
      </c>
      <c r="W99" s="5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5">
        <f>IF(AND(IF($B$3="(todos)",TRUE,'ORDENES'!$O96=$B$3),IF($D$3="(todos)",TRUE,'ORDENES'!$AH96=$D$3),IF($F$3="(todos)",TRUE,'ORDENES'!$Z96=$F$3),IF($H$3="(todos)",TRUE,'ORDENES'!$Y96=$H$3),'ORDENES'!$AF96=TRUE,'ORDENES'!$A96&lt;&gt;""),1,0)</f>
        <v/>
      </c>
      <c r="L100" s="5">
        <f>IF(K100=1,IFERROR(MATCH('ORDENES'!$S96,lista_dias,0),9)*1000000000+IFERROR(MATCH('ORDENES'!$AH96,lista_turnos,0),9)*10000000+IFERROR(MATCH('ORDENES'!$AG96,tblTecnicos[nombre],0),99)*100000+93,9000000000000+93)</f>
        <v/>
      </c>
      <c r="M100" s="5">
        <f>IF(K100=1,SUMPRODUCT(--($L$8:$L$1207&lt;L100))+1,"")</f>
        <v/>
      </c>
      <c r="N100" s="17">
        <f>IF(K100=1,N('ORDENES'!$M96),0)</f>
        <v/>
      </c>
      <c r="O100" s="17">
        <f>IF('ORDENES'!$U96="preventiva",N100,0)</f>
        <v/>
      </c>
      <c r="P100" s="17">
        <f>IF('ORDENES'!$U96="correctiva",N100,0)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22">
        <f>IF(K100=1,'ORDENES'!$J96,"")</f>
        <v/>
      </c>
      <c r="U100" s="5">
        <f>IFERROR(MATCH(93,$M$8:$M$1207,0),"")</f>
        <v/>
      </c>
      <c r="V100" s="5">
        <f>IF(U100="","",INDEX(tblOrdenes[dia_semana],U100))</f>
        <v/>
      </c>
      <c r="W100" s="5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5">
        <f>IF(AND(IF($B$3="(todos)",TRUE,'ORDENES'!$O97=$B$3),IF($D$3="(todos)",TRUE,'ORDENES'!$AH97=$D$3),IF($F$3="(todos)",TRUE,'ORDENES'!$Z97=$F$3),IF($H$3="(todos)",TRUE,'ORDENES'!$Y97=$H$3),'ORDENES'!$AF97=TRUE,'ORDENES'!$A97&lt;&gt;""),1,0)</f>
        <v/>
      </c>
      <c r="L101" s="5">
        <f>IF(K101=1,IFERROR(MATCH('ORDENES'!$S97,lista_dias,0),9)*1000000000+IFERROR(MATCH('ORDENES'!$AH97,lista_turnos,0),9)*10000000+IFERROR(MATCH('ORDENES'!$AG97,tblTecnicos[nombre],0),99)*100000+94,9000000000000+94)</f>
        <v/>
      </c>
      <c r="M101" s="5">
        <f>IF(K101=1,SUMPRODUCT(--($L$8:$L$1207&lt;L101))+1,"")</f>
        <v/>
      </c>
      <c r="N101" s="17">
        <f>IF(K101=1,N('ORDENES'!$M97),0)</f>
        <v/>
      </c>
      <c r="O101" s="17">
        <f>IF('ORDENES'!$U97="preventiva",N101,0)</f>
        <v/>
      </c>
      <c r="P101" s="17">
        <f>IF('ORDENES'!$U97="correctiva",N101,0)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22">
        <f>IF(K101=1,'ORDENES'!$J97,"")</f>
        <v/>
      </c>
      <c r="U101" s="5">
        <f>IFERROR(MATCH(94,$M$8:$M$1207,0),"")</f>
        <v/>
      </c>
      <c r="V101" s="5">
        <f>IF(U101="","",INDEX(tblOrdenes[dia_semana],U101))</f>
        <v/>
      </c>
      <c r="W101" s="5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5">
        <f>IF(AND(IF($B$3="(todos)",TRUE,'ORDENES'!$O98=$B$3),IF($D$3="(todos)",TRUE,'ORDENES'!$AH98=$D$3),IF($F$3="(todos)",TRUE,'ORDENES'!$Z98=$F$3),IF($H$3="(todos)",TRUE,'ORDENES'!$Y98=$H$3),'ORDENES'!$AF98=TRUE,'ORDENES'!$A98&lt;&gt;""),1,0)</f>
        <v/>
      </c>
      <c r="L102" s="5">
        <f>IF(K102=1,IFERROR(MATCH('ORDENES'!$S98,lista_dias,0),9)*1000000000+IFERROR(MATCH('ORDENES'!$AH98,lista_turnos,0),9)*10000000+IFERROR(MATCH('ORDENES'!$AG98,tblTecnicos[nombre],0),99)*100000+95,9000000000000+95)</f>
        <v/>
      </c>
      <c r="M102" s="5">
        <f>IF(K102=1,SUMPRODUCT(--($L$8:$L$1207&lt;L102))+1,"")</f>
        <v/>
      </c>
      <c r="N102" s="17">
        <f>IF(K102=1,N('ORDENES'!$M98),0)</f>
        <v/>
      </c>
      <c r="O102" s="17">
        <f>IF('ORDENES'!$U98="preventiva",N102,0)</f>
        <v/>
      </c>
      <c r="P102" s="17">
        <f>IF('ORDENES'!$U98="correctiva",N102,0)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22">
        <f>IF(K102=1,'ORDENES'!$J98,"")</f>
        <v/>
      </c>
      <c r="U102" s="5">
        <f>IFERROR(MATCH(95,$M$8:$M$1207,0),"")</f>
        <v/>
      </c>
      <c r="V102" s="5">
        <f>IF(U102="","",INDEX(tblOrdenes[dia_semana],U102))</f>
        <v/>
      </c>
      <c r="W102" s="5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5">
        <f>IF(AND(IF($B$3="(todos)",TRUE,'ORDENES'!$O99=$B$3),IF($D$3="(todos)",TRUE,'ORDENES'!$AH99=$D$3),IF($F$3="(todos)",TRUE,'ORDENES'!$Z99=$F$3),IF($H$3="(todos)",TRUE,'ORDENES'!$Y99=$H$3),'ORDENES'!$AF99=TRUE,'ORDENES'!$A99&lt;&gt;""),1,0)</f>
        <v/>
      </c>
      <c r="L103" s="5">
        <f>IF(K103=1,IFERROR(MATCH('ORDENES'!$S99,lista_dias,0),9)*1000000000+IFERROR(MATCH('ORDENES'!$AH99,lista_turnos,0),9)*10000000+IFERROR(MATCH('ORDENES'!$AG99,tblTecnicos[nombre],0),99)*100000+96,9000000000000+96)</f>
        <v/>
      </c>
      <c r="M103" s="5">
        <f>IF(K103=1,SUMPRODUCT(--($L$8:$L$1207&lt;L103))+1,"")</f>
        <v/>
      </c>
      <c r="N103" s="17">
        <f>IF(K103=1,N('ORDENES'!$M99),0)</f>
        <v/>
      </c>
      <c r="O103" s="17">
        <f>IF('ORDENES'!$U99="preventiva",N103,0)</f>
        <v/>
      </c>
      <c r="P103" s="17">
        <f>IF('ORDENES'!$U99="correctiva",N103,0)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22">
        <f>IF(K103=1,'ORDENES'!$J99,"")</f>
        <v/>
      </c>
      <c r="U103" s="5">
        <f>IFERROR(MATCH(96,$M$8:$M$1207,0),"")</f>
        <v/>
      </c>
      <c r="V103" s="5">
        <f>IF(U103="","",INDEX(tblOrdenes[dia_semana],U103))</f>
        <v/>
      </c>
      <c r="W103" s="5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5">
        <f>IF(AND(IF($B$3="(todos)",TRUE,'ORDENES'!$O100=$B$3),IF($D$3="(todos)",TRUE,'ORDENES'!$AH100=$D$3),IF($F$3="(todos)",TRUE,'ORDENES'!$Z100=$F$3),IF($H$3="(todos)",TRUE,'ORDENES'!$Y100=$H$3),'ORDENES'!$AF100=TRUE,'ORDENES'!$A100&lt;&gt;""),1,0)</f>
        <v/>
      </c>
      <c r="L104" s="5">
        <f>IF(K104=1,IFERROR(MATCH('ORDENES'!$S100,lista_dias,0),9)*1000000000+IFERROR(MATCH('ORDENES'!$AH100,lista_turnos,0),9)*10000000+IFERROR(MATCH('ORDENES'!$AG100,tblTecnicos[nombre],0),99)*100000+97,9000000000000+97)</f>
        <v/>
      </c>
      <c r="M104" s="5">
        <f>IF(K104=1,SUMPRODUCT(--($L$8:$L$1207&lt;L104))+1,"")</f>
        <v/>
      </c>
      <c r="N104" s="17">
        <f>IF(K104=1,N('ORDENES'!$M100),0)</f>
        <v/>
      </c>
      <c r="O104" s="17">
        <f>IF('ORDENES'!$U100="preventiva",N104,0)</f>
        <v/>
      </c>
      <c r="P104" s="17">
        <f>IF('ORDENES'!$U100="correctiva",N104,0)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22">
        <f>IF(K104=1,'ORDENES'!$J100,"")</f>
        <v/>
      </c>
      <c r="U104" s="5">
        <f>IFERROR(MATCH(97,$M$8:$M$1207,0),"")</f>
        <v/>
      </c>
      <c r="V104" s="5">
        <f>IF(U104="","",INDEX(tblOrdenes[dia_semana],U104))</f>
        <v/>
      </c>
      <c r="W104" s="5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5">
        <f>IF(AND(IF($B$3="(todos)",TRUE,'ORDENES'!$O101=$B$3),IF($D$3="(todos)",TRUE,'ORDENES'!$AH101=$D$3),IF($F$3="(todos)",TRUE,'ORDENES'!$Z101=$F$3),IF($H$3="(todos)",TRUE,'ORDENES'!$Y101=$H$3),'ORDENES'!$AF101=TRUE,'ORDENES'!$A101&lt;&gt;""),1,0)</f>
        <v/>
      </c>
      <c r="L105" s="5">
        <f>IF(K105=1,IFERROR(MATCH('ORDENES'!$S101,lista_dias,0),9)*1000000000+IFERROR(MATCH('ORDENES'!$AH101,lista_turnos,0),9)*10000000+IFERROR(MATCH('ORDENES'!$AG101,tblTecnicos[nombre],0),99)*100000+98,9000000000000+98)</f>
        <v/>
      </c>
      <c r="M105" s="5">
        <f>IF(K105=1,SUMPRODUCT(--($L$8:$L$1207&lt;L105))+1,"")</f>
        <v/>
      </c>
      <c r="N105" s="17">
        <f>IF(K105=1,N('ORDENES'!$M101),0)</f>
        <v/>
      </c>
      <c r="O105" s="17">
        <f>IF('ORDENES'!$U101="preventiva",N105,0)</f>
        <v/>
      </c>
      <c r="P105" s="17">
        <f>IF('ORDENES'!$U101="correctiva",N105,0)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22">
        <f>IF(K105=1,'ORDENES'!$J101,"")</f>
        <v/>
      </c>
      <c r="U105" s="5">
        <f>IFERROR(MATCH(98,$M$8:$M$1207,0),"")</f>
        <v/>
      </c>
      <c r="V105" s="5">
        <f>IF(U105="","",INDEX(tblOrdenes[dia_semana],U105))</f>
        <v/>
      </c>
      <c r="W105" s="5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5">
        <f>IF(AND(IF($B$3="(todos)",TRUE,'ORDENES'!$O102=$B$3),IF($D$3="(todos)",TRUE,'ORDENES'!$AH102=$D$3),IF($F$3="(todos)",TRUE,'ORDENES'!$Z102=$F$3),IF($H$3="(todos)",TRUE,'ORDENES'!$Y102=$H$3),'ORDENES'!$AF102=TRUE,'ORDENES'!$A102&lt;&gt;""),1,0)</f>
        <v/>
      </c>
      <c r="L106" s="5">
        <f>IF(K106=1,IFERROR(MATCH('ORDENES'!$S102,lista_dias,0),9)*1000000000+IFERROR(MATCH('ORDENES'!$AH102,lista_turnos,0),9)*10000000+IFERROR(MATCH('ORDENES'!$AG102,tblTecnicos[nombre],0),99)*100000+99,9000000000000+99)</f>
        <v/>
      </c>
      <c r="M106" s="5">
        <f>IF(K106=1,SUMPRODUCT(--($L$8:$L$1207&lt;L106))+1,"")</f>
        <v/>
      </c>
      <c r="N106" s="17">
        <f>IF(K106=1,N('ORDENES'!$M102),0)</f>
        <v/>
      </c>
      <c r="O106" s="17">
        <f>IF('ORDENES'!$U102="preventiva",N106,0)</f>
        <v/>
      </c>
      <c r="P106" s="17">
        <f>IF('ORDENES'!$U102="correctiva",N106,0)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22">
        <f>IF(K106=1,'ORDENES'!$J102,"")</f>
        <v/>
      </c>
      <c r="U106" s="5">
        <f>IFERROR(MATCH(99,$M$8:$M$1207,0),"")</f>
        <v/>
      </c>
      <c r="V106" s="5">
        <f>IF(U106="","",INDEX(tblOrdenes[dia_semana],U106))</f>
        <v/>
      </c>
      <c r="W106" s="5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5">
        <f>IF(AND(IF($B$3="(todos)",TRUE,'ORDENES'!$O103=$B$3),IF($D$3="(todos)",TRUE,'ORDENES'!$AH103=$D$3),IF($F$3="(todos)",TRUE,'ORDENES'!$Z103=$F$3),IF($H$3="(todos)",TRUE,'ORDENES'!$Y103=$H$3),'ORDENES'!$AF103=TRUE,'ORDENES'!$A103&lt;&gt;""),1,0)</f>
        <v/>
      </c>
      <c r="L107" s="5">
        <f>IF(K107=1,IFERROR(MATCH('ORDENES'!$S103,lista_dias,0),9)*1000000000+IFERROR(MATCH('ORDENES'!$AH103,lista_turnos,0),9)*10000000+IFERROR(MATCH('ORDENES'!$AG103,tblTecnicos[nombre],0),99)*100000+100,9000000000000+100)</f>
        <v/>
      </c>
      <c r="M107" s="5">
        <f>IF(K107=1,SUMPRODUCT(--($L$8:$L$1207&lt;L107))+1,"")</f>
        <v/>
      </c>
      <c r="N107" s="17">
        <f>IF(K107=1,N('ORDENES'!$M103),0)</f>
        <v/>
      </c>
      <c r="O107" s="17">
        <f>IF('ORDENES'!$U103="preventiva",N107,0)</f>
        <v/>
      </c>
      <c r="P107" s="17">
        <f>IF('ORDENES'!$U103="correctiva",N107,0)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22">
        <f>IF(K107=1,'ORDENES'!$J103,"")</f>
        <v/>
      </c>
      <c r="U107" s="5">
        <f>IFERROR(MATCH(100,$M$8:$M$1207,0),"")</f>
        <v/>
      </c>
      <c r="V107" s="5">
        <f>IF(U107="","",INDEX(tblOrdenes[dia_semana],U107))</f>
        <v/>
      </c>
      <c r="W107" s="5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5">
        <f>IF(AND(IF($B$3="(todos)",TRUE,'ORDENES'!$O104=$B$3),IF($D$3="(todos)",TRUE,'ORDENES'!$AH104=$D$3),IF($F$3="(todos)",TRUE,'ORDENES'!$Z104=$F$3),IF($H$3="(todos)",TRUE,'ORDENES'!$Y104=$H$3),'ORDENES'!$AF104=TRUE,'ORDENES'!$A104&lt;&gt;""),1,0)</f>
        <v/>
      </c>
      <c r="L108" s="5">
        <f>IF(K108=1,IFERROR(MATCH('ORDENES'!$S104,lista_dias,0),9)*1000000000+IFERROR(MATCH('ORDENES'!$AH104,lista_turnos,0),9)*10000000+IFERROR(MATCH('ORDENES'!$AG104,tblTecnicos[nombre],0),99)*100000+101,9000000000000+101)</f>
        <v/>
      </c>
      <c r="M108" s="5">
        <f>IF(K108=1,SUMPRODUCT(--($L$8:$L$1207&lt;L108))+1,"")</f>
        <v/>
      </c>
      <c r="N108" s="17">
        <f>IF(K108=1,N('ORDENES'!$M104),0)</f>
        <v/>
      </c>
      <c r="O108" s="17">
        <f>IF('ORDENES'!$U104="preventiva",N108,0)</f>
        <v/>
      </c>
      <c r="P108" s="17">
        <f>IF('ORDENES'!$U104="correctiva",N108,0)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22">
        <f>IF(K108=1,'ORDENES'!$J104,"")</f>
        <v/>
      </c>
      <c r="U108" s="5">
        <f>IFERROR(MATCH(101,$M$8:$M$1207,0),"")</f>
        <v/>
      </c>
      <c r="V108" s="5">
        <f>IF(U108="","",INDEX(tblOrdenes[dia_semana],U108))</f>
        <v/>
      </c>
      <c r="W108" s="5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5">
        <f>IF(AND(IF($B$3="(todos)",TRUE,'ORDENES'!$O105=$B$3),IF($D$3="(todos)",TRUE,'ORDENES'!$AH105=$D$3),IF($F$3="(todos)",TRUE,'ORDENES'!$Z105=$F$3),IF($H$3="(todos)",TRUE,'ORDENES'!$Y105=$H$3),'ORDENES'!$AF105=TRUE,'ORDENES'!$A105&lt;&gt;""),1,0)</f>
        <v/>
      </c>
      <c r="L109" s="5">
        <f>IF(K109=1,IFERROR(MATCH('ORDENES'!$S105,lista_dias,0),9)*1000000000+IFERROR(MATCH('ORDENES'!$AH105,lista_turnos,0),9)*10000000+IFERROR(MATCH('ORDENES'!$AG105,tblTecnicos[nombre],0),99)*100000+102,9000000000000+102)</f>
        <v/>
      </c>
      <c r="M109" s="5">
        <f>IF(K109=1,SUMPRODUCT(--($L$8:$L$1207&lt;L109))+1,"")</f>
        <v/>
      </c>
      <c r="N109" s="17">
        <f>IF(K109=1,N('ORDENES'!$M105),0)</f>
        <v/>
      </c>
      <c r="O109" s="17">
        <f>IF('ORDENES'!$U105="preventiva",N109,0)</f>
        <v/>
      </c>
      <c r="P109" s="17">
        <f>IF('ORDENES'!$U105="correctiva",N109,0)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22">
        <f>IF(K109=1,'ORDENES'!$J105,"")</f>
        <v/>
      </c>
      <c r="U109" s="5">
        <f>IFERROR(MATCH(102,$M$8:$M$1207,0),"")</f>
        <v/>
      </c>
      <c r="V109" s="5">
        <f>IF(U109="","",INDEX(tblOrdenes[dia_semana],U109))</f>
        <v/>
      </c>
      <c r="W109" s="5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5">
        <f>IF(AND(IF($B$3="(todos)",TRUE,'ORDENES'!$O106=$B$3),IF($D$3="(todos)",TRUE,'ORDENES'!$AH106=$D$3),IF($F$3="(todos)",TRUE,'ORDENES'!$Z106=$F$3),IF($H$3="(todos)",TRUE,'ORDENES'!$Y106=$H$3),'ORDENES'!$AF106=TRUE,'ORDENES'!$A106&lt;&gt;""),1,0)</f>
        <v/>
      </c>
      <c r="L110" s="5">
        <f>IF(K110=1,IFERROR(MATCH('ORDENES'!$S106,lista_dias,0),9)*1000000000+IFERROR(MATCH('ORDENES'!$AH106,lista_turnos,0),9)*10000000+IFERROR(MATCH('ORDENES'!$AG106,tblTecnicos[nombre],0),99)*100000+103,9000000000000+103)</f>
        <v/>
      </c>
      <c r="M110" s="5">
        <f>IF(K110=1,SUMPRODUCT(--($L$8:$L$1207&lt;L110))+1,"")</f>
        <v/>
      </c>
      <c r="N110" s="17">
        <f>IF(K110=1,N('ORDENES'!$M106),0)</f>
        <v/>
      </c>
      <c r="O110" s="17">
        <f>IF('ORDENES'!$U106="preventiva",N110,0)</f>
        <v/>
      </c>
      <c r="P110" s="17">
        <f>IF('ORDENES'!$U106="correctiva",N110,0)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22">
        <f>IF(K110=1,'ORDENES'!$J106,"")</f>
        <v/>
      </c>
      <c r="U110" s="5">
        <f>IFERROR(MATCH(103,$M$8:$M$1207,0),"")</f>
        <v/>
      </c>
      <c r="V110" s="5">
        <f>IF(U110="","",INDEX(tblOrdenes[dia_semana],U110))</f>
        <v/>
      </c>
      <c r="W110" s="5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5">
        <f>IF(AND(IF($B$3="(todos)",TRUE,'ORDENES'!$O107=$B$3),IF($D$3="(todos)",TRUE,'ORDENES'!$AH107=$D$3),IF($F$3="(todos)",TRUE,'ORDENES'!$Z107=$F$3),IF($H$3="(todos)",TRUE,'ORDENES'!$Y107=$H$3),'ORDENES'!$AF107=TRUE,'ORDENES'!$A107&lt;&gt;""),1,0)</f>
        <v/>
      </c>
      <c r="L111" s="5">
        <f>IF(K111=1,IFERROR(MATCH('ORDENES'!$S107,lista_dias,0),9)*1000000000+IFERROR(MATCH('ORDENES'!$AH107,lista_turnos,0),9)*10000000+IFERROR(MATCH('ORDENES'!$AG107,tblTecnicos[nombre],0),99)*100000+104,9000000000000+104)</f>
        <v/>
      </c>
      <c r="M111" s="5">
        <f>IF(K111=1,SUMPRODUCT(--($L$8:$L$1207&lt;L111))+1,"")</f>
        <v/>
      </c>
      <c r="N111" s="17">
        <f>IF(K111=1,N('ORDENES'!$M107),0)</f>
        <v/>
      </c>
      <c r="O111" s="17">
        <f>IF('ORDENES'!$U107="preventiva",N111,0)</f>
        <v/>
      </c>
      <c r="P111" s="17">
        <f>IF('ORDENES'!$U107="correctiva",N111,0)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22">
        <f>IF(K111=1,'ORDENES'!$J107,"")</f>
        <v/>
      </c>
      <c r="U111" s="5">
        <f>IFERROR(MATCH(104,$M$8:$M$1207,0),"")</f>
        <v/>
      </c>
      <c r="V111" s="5">
        <f>IF(U111="","",INDEX(tblOrdenes[dia_semana],U111))</f>
        <v/>
      </c>
      <c r="W111" s="5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5">
        <f>IF(AND(IF($B$3="(todos)",TRUE,'ORDENES'!$O108=$B$3),IF($D$3="(todos)",TRUE,'ORDENES'!$AH108=$D$3),IF($F$3="(todos)",TRUE,'ORDENES'!$Z108=$F$3),IF($H$3="(todos)",TRUE,'ORDENES'!$Y108=$H$3),'ORDENES'!$AF108=TRUE,'ORDENES'!$A108&lt;&gt;""),1,0)</f>
        <v/>
      </c>
      <c r="L112" s="5">
        <f>IF(K112=1,IFERROR(MATCH('ORDENES'!$S108,lista_dias,0),9)*1000000000+IFERROR(MATCH('ORDENES'!$AH108,lista_turnos,0),9)*10000000+IFERROR(MATCH('ORDENES'!$AG108,tblTecnicos[nombre],0),99)*100000+105,9000000000000+105)</f>
        <v/>
      </c>
      <c r="M112" s="5">
        <f>IF(K112=1,SUMPRODUCT(--($L$8:$L$1207&lt;L112))+1,"")</f>
        <v/>
      </c>
      <c r="N112" s="17">
        <f>IF(K112=1,N('ORDENES'!$M108),0)</f>
        <v/>
      </c>
      <c r="O112" s="17">
        <f>IF('ORDENES'!$U108="preventiva",N112,0)</f>
        <v/>
      </c>
      <c r="P112" s="17">
        <f>IF('ORDENES'!$U108="correctiva",N112,0)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22">
        <f>IF(K112=1,'ORDENES'!$J108,"")</f>
        <v/>
      </c>
      <c r="U112" s="5">
        <f>IFERROR(MATCH(105,$M$8:$M$1207,0),"")</f>
        <v/>
      </c>
      <c r="V112" s="5">
        <f>IF(U112="","",INDEX(tblOrdenes[dia_semana],U112))</f>
        <v/>
      </c>
      <c r="W112" s="5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5">
        <f>IF(AND(IF($B$3="(todos)",TRUE,'ORDENES'!$O109=$B$3),IF($D$3="(todos)",TRUE,'ORDENES'!$AH109=$D$3),IF($F$3="(todos)",TRUE,'ORDENES'!$Z109=$F$3),IF($H$3="(todos)",TRUE,'ORDENES'!$Y109=$H$3),'ORDENES'!$AF109=TRUE,'ORDENES'!$A109&lt;&gt;""),1,0)</f>
        <v/>
      </c>
      <c r="L113" s="5">
        <f>IF(K113=1,IFERROR(MATCH('ORDENES'!$S109,lista_dias,0),9)*1000000000+IFERROR(MATCH('ORDENES'!$AH109,lista_turnos,0),9)*10000000+IFERROR(MATCH('ORDENES'!$AG109,tblTecnicos[nombre],0),99)*100000+106,9000000000000+106)</f>
        <v/>
      </c>
      <c r="M113" s="5">
        <f>IF(K113=1,SUMPRODUCT(--($L$8:$L$1207&lt;L113))+1,"")</f>
        <v/>
      </c>
      <c r="N113" s="17">
        <f>IF(K113=1,N('ORDENES'!$M109),0)</f>
        <v/>
      </c>
      <c r="O113" s="17">
        <f>IF('ORDENES'!$U109="preventiva",N113,0)</f>
        <v/>
      </c>
      <c r="P113" s="17">
        <f>IF('ORDENES'!$U109="correctiva",N113,0)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22">
        <f>IF(K113=1,'ORDENES'!$J109,"")</f>
        <v/>
      </c>
      <c r="U113" s="5">
        <f>IFERROR(MATCH(106,$M$8:$M$1207,0),"")</f>
        <v/>
      </c>
      <c r="V113" s="5">
        <f>IF(U113="","",INDEX(tblOrdenes[dia_semana],U113))</f>
        <v/>
      </c>
      <c r="W113" s="5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5">
        <f>IF(AND(IF($B$3="(todos)",TRUE,'ORDENES'!$O110=$B$3),IF($D$3="(todos)",TRUE,'ORDENES'!$AH110=$D$3),IF($F$3="(todos)",TRUE,'ORDENES'!$Z110=$F$3),IF($H$3="(todos)",TRUE,'ORDENES'!$Y110=$H$3),'ORDENES'!$AF110=TRUE,'ORDENES'!$A110&lt;&gt;""),1,0)</f>
        <v/>
      </c>
      <c r="L114" s="5">
        <f>IF(K114=1,IFERROR(MATCH('ORDENES'!$S110,lista_dias,0),9)*1000000000+IFERROR(MATCH('ORDENES'!$AH110,lista_turnos,0),9)*10000000+IFERROR(MATCH('ORDENES'!$AG110,tblTecnicos[nombre],0),99)*100000+107,9000000000000+107)</f>
        <v/>
      </c>
      <c r="M114" s="5">
        <f>IF(K114=1,SUMPRODUCT(--($L$8:$L$1207&lt;L114))+1,"")</f>
        <v/>
      </c>
      <c r="N114" s="17">
        <f>IF(K114=1,N('ORDENES'!$M110),0)</f>
        <v/>
      </c>
      <c r="O114" s="17">
        <f>IF('ORDENES'!$U110="preventiva",N114,0)</f>
        <v/>
      </c>
      <c r="P114" s="17">
        <f>IF('ORDENES'!$U110="correctiva",N114,0)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22">
        <f>IF(K114=1,'ORDENES'!$J110,"")</f>
        <v/>
      </c>
      <c r="U114" s="5">
        <f>IFERROR(MATCH(107,$M$8:$M$1207,0),"")</f>
        <v/>
      </c>
      <c r="V114" s="5">
        <f>IF(U114="","",INDEX(tblOrdenes[dia_semana],U114))</f>
        <v/>
      </c>
      <c r="W114" s="5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5">
        <f>IF(AND(IF($B$3="(todos)",TRUE,'ORDENES'!$O111=$B$3),IF($D$3="(todos)",TRUE,'ORDENES'!$AH111=$D$3),IF($F$3="(todos)",TRUE,'ORDENES'!$Z111=$F$3),IF($H$3="(todos)",TRUE,'ORDENES'!$Y111=$H$3),'ORDENES'!$AF111=TRUE,'ORDENES'!$A111&lt;&gt;""),1,0)</f>
        <v/>
      </c>
      <c r="L115" s="5">
        <f>IF(K115=1,IFERROR(MATCH('ORDENES'!$S111,lista_dias,0),9)*1000000000+IFERROR(MATCH('ORDENES'!$AH111,lista_turnos,0),9)*10000000+IFERROR(MATCH('ORDENES'!$AG111,tblTecnicos[nombre],0),99)*100000+108,9000000000000+108)</f>
        <v/>
      </c>
      <c r="M115" s="5">
        <f>IF(K115=1,SUMPRODUCT(--($L$8:$L$1207&lt;L115))+1,"")</f>
        <v/>
      </c>
      <c r="N115" s="17">
        <f>IF(K115=1,N('ORDENES'!$M111),0)</f>
        <v/>
      </c>
      <c r="O115" s="17">
        <f>IF('ORDENES'!$U111="preventiva",N115,0)</f>
        <v/>
      </c>
      <c r="P115" s="17">
        <f>IF('ORDENES'!$U111="correctiva",N115,0)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22">
        <f>IF(K115=1,'ORDENES'!$J111,"")</f>
        <v/>
      </c>
      <c r="U115" s="5">
        <f>IFERROR(MATCH(108,$M$8:$M$1207,0),"")</f>
        <v/>
      </c>
      <c r="V115" s="5">
        <f>IF(U115="","",INDEX(tblOrdenes[dia_semana],U115))</f>
        <v/>
      </c>
      <c r="W115" s="5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5">
        <f>IF(AND(IF($B$3="(todos)",TRUE,'ORDENES'!$O112=$B$3),IF($D$3="(todos)",TRUE,'ORDENES'!$AH112=$D$3),IF($F$3="(todos)",TRUE,'ORDENES'!$Z112=$F$3),IF($H$3="(todos)",TRUE,'ORDENES'!$Y112=$H$3),'ORDENES'!$AF112=TRUE,'ORDENES'!$A112&lt;&gt;""),1,0)</f>
        <v/>
      </c>
      <c r="L116" s="5">
        <f>IF(K116=1,IFERROR(MATCH('ORDENES'!$S112,lista_dias,0),9)*1000000000+IFERROR(MATCH('ORDENES'!$AH112,lista_turnos,0),9)*10000000+IFERROR(MATCH('ORDENES'!$AG112,tblTecnicos[nombre],0),99)*100000+109,9000000000000+109)</f>
        <v/>
      </c>
      <c r="M116" s="5">
        <f>IF(K116=1,SUMPRODUCT(--($L$8:$L$1207&lt;L116))+1,"")</f>
        <v/>
      </c>
      <c r="N116" s="17">
        <f>IF(K116=1,N('ORDENES'!$M112),0)</f>
        <v/>
      </c>
      <c r="O116" s="17">
        <f>IF('ORDENES'!$U112="preventiva",N116,0)</f>
        <v/>
      </c>
      <c r="P116" s="17">
        <f>IF('ORDENES'!$U112="correctiva",N116,0)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22">
        <f>IF(K116=1,'ORDENES'!$J112,"")</f>
        <v/>
      </c>
      <c r="U116" s="5">
        <f>IFERROR(MATCH(109,$M$8:$M$1207,0),"")</f>
        <v/>
      </c>
      <c r="V116" s="5">
        <f>IF(U116="","",INDEX(tblOrdenes[dia_semana],U116))</f>
        <v/>
      </c>
      <c r="W116" s="5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5">
        <f>IF(AND(IF($B$3="(todos)",TRUE,'ORDENES'!$O113=$B$3),IF($D$3="(todos)",TRUE,'ORDENES'!$AH113=$D$3),IF($F$3="(todos)",TRUE,'ORDENES'!$Z113=$F$3),IF($H$3="(todos)",TRUE,'ORDENES'!$Y113=$H$3),'ORDENES'!$AF113=TRUE,'ORDENES'!$A113&lt;&gt;""),1,0)</f>
        <v/>
      </c>
      <c r="L117" s="5">
        <f>IF(K117=1,IFERROR(MATCH('ORDENES'!$S113,lista_dias,0),9)*1000000000+IFERROR(MATCH('ORDENES'!$AH113,lista_turnos,0),9)*10000000+IFERROR(MATCH('ORDENES'!$AG113,tblTecnicos[nombre],0),99)*100000+110,9000000000000+110)</f>
        <v/>
      </c>
      <c r="M117" s="5">
        <f>IF(K117=1,SUMPRODUCT(--($L$8:$L$1207&lt;L117))+1,"")</f>
        <v/>
      </c>
      <c r="N117" s="17">
        <f>IF(K117=1,N('ORDENES'!$M113),0)</f>
        <v/>
      </c>
      <c r="O117" s="17">
        <f>IF('ORDENES'!$U113="preventiva",N117,0)</f>
        <v/>
      </c>
      <c r="P117" s="17">
        <f>IF('ORDENES'!$U113="correctiva",N117,0)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22">
        <f>IF(K117=1,'ORDENES'!$J113,"")</f>
        <v/>
      </c>
      <c r="U117" s="5">
        <f>IFERROR(MATCH(110,$M$8:$M$1207,0),"")</f>
        <v/>
      </c>
      <c r="V117" s="5">
        <f>IF(U117="","",INDEX(tblOrdenes[dia_semana],U117))</f>
        <v/>
      </c>
      <c r="W117" s="5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5">
        <f>IF(AND(IF($B$3="(todos)",TRUE,'ORDENES'!$O114=$B$3),IF($D$3="(todos)",TRUE,'ORDENES'!$AH114=$D$3),IF($F$3="(todos)",TRUE,'ORDENES'!$Z114=$F$3),IF($H$3="(todos)",TRUE,'ORDENES'!$Y114=$H$3),'ORDENES'!$AF114=TRUE,'ORDENES'!$A114&lt;&gt;""),1,0)</f>
        <v/>
      </c>
      <c r="L118" s="5">
        <f>IF(K118=1,IFERROR(MATCH('ORDENES'!$S114,lista_dias,0),9)*1000000000+IFERROR(MATCH('ORDENES'!$AH114,lista_turnos,0),9)*10000000+IFERROR(MATCH('ORDENES'!$AG114,tblTecnicos[nombre],0),99)*100000+111,9000000000000+111)</f>
        <v/>
      </c>
      <c r="M118" s="5">
        <f>IF(K118=1,SUMPRODUCT(--($L$8:$L$1207&lt;L118))+1,"")</f>
        <v/>
      </c>
      <c r="N118" s="17">
        <f>IF(K118=1,N('ORDENES'!$M114),0)</f>
        <v/>
      </c>
      <c r="O118" s="17">
        <f>IF('ORDENES'!$U114="preventiva",N118,0)</f>
        <v/>
      </c>
      <c r="P118" s="17">
        <f>IF('ORDENES'!$U114="correctiva",N118,0)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22">
        <f>IF(K118=1,'ORDENES'!$J114,"")</f>
        <v/>
      </c>
      <c r="U118" s="5">
        <f>IFERROR(MATCH(111,$M$8:$M$1207,0),"")</f>
        <v/>
      </c>
      <c r="V118" s="5">
        <f>IF(U118="","",INDEX(tblOrdenes[dia_semana],U118))</f>
        <v/>
      </c>
      <c r="W118" s="5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5">
        <f>IF(AND(IF($B$3="(todos)",TRUE,'ORDENES'!$O115=$B$3),IF($D$3="(todos)",TRUE,'ORDENES'!$AH115=$D$3),IF($F$3="(todos)",TRUE,'ORDENES'!$Z115=$F$3),IF($H$3="(todos)",TRUE,'ORDENES'!$Y115=$H$3),'ORDENES'!$AF115=TRUE,'ORDENES'!$A115&lt;&gt;""),1,0)</f>
        <v/>
      </c>
      <c r="L119" s="5">
        <f>IF(K119=1,IFERROR(MATCH('ORDENES'!$S115,lista_dias,0),9)*1000000000+IFERROR(MATCH('ORDENES'!$AH115,lista_turnos,0),9)*10000000+IFERROR(MATCH('ORDENES'!$AG115,tblTecnicos[nombre],0),99)*100000+112,9000000000000+112)</f>
        <v/>
      </c>
      <c r="M119" s="5">
        <f>IF(K119=1,SUMPRODUCT(--($L$8:$L$1207&lt;L119))+1,"")</f>
        <v/>
      </c>
      <c r="N119" s="17">
        <f>IF(K119=1,N('ORDENES'!$M115),0)</f>
        <v/>
      </c>
      <c r="O119" s="17">
        <f>IF('ORDENES'!$U115="preventiva",N119,0)</f>
        <v/>
      </c>
      <c r="P119" s="17">
        <f>IF('ORDENES'!$U115="correctiva",N119,0)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22">
        <f>IF(K119=1,'ORDENES'!$J115,"")</f>
        <v/>
      </c>
      <c r="U119" s="5">
        <f>IFERROR(MATCH(112,$M$8:$M$1207,0),"")</f>
        <v/>
      </c>
      <c r="V119" s="5">
        <f>IF(U119="","",INDEX(tblOrdenes[dia_semana],U119))</f>
        <v/>
      </c>
      <c r="W119" s="5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5">
        <f>IF(AND(IF($B$3="(todos)",TRUE,'ORDENES'!$O116=$B$3),IF($D$3="(todos)",TRUE,'ORDENES'!$AH116=$D$3),IF($F$3="(todos)",TRUE,'ORDENES'!$Z116=$F$3),IF($H$3="(todos)",TRUE,'ORDENES'!$Y116=$H$3),'ORDENES'!$AF116=TRUE,'ORDENES'!$A116&lt;&gt;""),1,0)</f>
        <v/>
      </c>
      <c r="L120" s="5">
        <f>IF(K120=1,IFERROR(MATCH('ORDENES'!$S116,lista_dias,0),9)*1000000000+IFERROR(MATCH('ORDENES'!$AH116,lista_turnos,0),9)*10000000+IFERROR(MATCH('ORDENES'!$AG116,tblTecnicos[nombre],0),99)*100000+113,9000000000000+113)</f>
        <v/>
      </c>
      <c r="M120" s="5">
        <f>IF(K120=1,SUMPRODUCT(--($L$8:$L$1207&lt;L120))+1,"")</f>
        <v/>
      </c>
      <c r="N120" s="17">
        <f>IF(K120=1,N('ORDENES'!$M116),0)</f>
        <v/>
      </c>
      <c r="O120" s="17">
        <f>IF('ORDENES'!$U116="preventiva",N120,0)</f>
        <v/>
      </c>
      <c r="P120" s="17">
        <f>IF('ORDENES'!$U116="correctiva",N120,0)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22">
        <f>IF(K120=1,'ORDENES'!$J116,"")</f>
        <v/>
      </c>
      <c r="U120" s="5">
        <f>IFERROR(MATCH(113,$M$8:$M$1207,0),"")</f>
        <v/>
      </c>
      <c r="V120" s="5">
        <f>IF(U120="","",INDEX(tblOrdenes[dia_semana],U120))</f>
        <v/>
      </c>
      <c r="W120" s="5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5">
        <f>IF(AND(IF($B$3="(todos)",TRUE,'ORDENES'!$O117=$B$3),IF($D$3="(todos)",TRUE,'ORDENES'!$AH117=$D$3),IF($F$3="(todos)",TRUE,'ORDENES'!$Z117=$F$3),IF($H$3="(todos)",TRUE,'ORDENES'!$Y117=$H$3),'ORDENES'!$AF117=TRUE,'ORDENES'!$A117&lt;&gt;""),1,0)</f>
        <v/>
      </c>
      <c r="L121" s="5">
        <f>IF(K121=1,IFERROR(MATCH('ORDENES'!$S117,lista_dias,0),9)*1000000000+IFERROR(MATCH('ORDENES'!$AH117,lista_turnos,0),9)*10000000+IFERROR(MATCH('ORDENES'!$AG117,tblTecnicos[nombre],0),99)*100000+114,9000000000000+114)</f>
        <v/>
      </c>
      <c r="M121" s="5">
        <f>IF(K121=1,SUMPRODUCT(--($L$8:$L$1207&lt;L121))+1,"")</f>
        <v/>
      </c>
      <c r="N121" s="17">
        <f>IF(K121=1,N('ORDENES'!$M117),0)</f>
        <v/>
      </c>
      <c r="O121" s="17">
        <f>IF('ORDENES'!$U117="preventiva",N121,0)</f>
        <v/>
      </c>
      <c r="P121" s="17">
        <f>IF('ORDENES'!$U117="correctiva",N121,0)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22">
        <f>IF(K121=1,'ORDENES'!$J117,"")</f>
        <v/>
      </c>
      <c r="U121" s="5">
        <f>IFERROR(MATCH(114,$M$8:$M$1207,0),"")</f>
        <v/>
      </c>
      <c r="V121" s="5">
        <f>IF(U121="","",INDEX(tblOrdenes[dia_semana],U121))</f>
        <v/>
      </c>
      <c r="W121" s="5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5">
        <f>IF(AND(IF($B$3="(todos)",TRUE,'ORDENES'!$O118=$B$3),IF($D$3="(todos)",TRUE,'ORDENES'!$AH118=$D$3),IF($F$3="(todos)",TRUE,'ORDENES'!$Z118=$F$3),IF($H$3="(todos)",TRUE,'ORDENES'!$Y118=$H$3),'ORDENES'!$AF118=TRUE,'ORDENES'!$A118&lt;&gt;""),1,0)</f>
        <v/>
      </c>
      <c r="L122" s="5">
        <f>IF(K122=1,IFERROR(MATCH('ORDENES'!$S118,lista_dias,0),9)*1000000000+IFERROR(MATCH('ORDENES'!$AH118,lista_turnos,0),9)*10000000+IFERROR(MATCH('ORDENES'!$AG118,tblTecnicos[nombre],0),99)*100000+115,9000000000000+115)</f>
        <v/>
      </c>
      <c r="M122" s="5">
        <f>IF(K122=1,SUMPRODUCT(--($L$8:$L$1207&lt;L122))+1,"")</f>
        <v/>
      </c>
      <c r="N122" s="17">
        <f>IF(K122=1,N('ORDENES'!$M118),0)</f>
        <v/>
      </c>
      <c r="O122" s="17">
        <f>IF('ORDENES'!$U118="preventiva",N122,0)</f>
        <v/>
      </c>
      <c r="P122" s="17">
        <f>IF('ORDENES'!$U118="correctiva",N122,0)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22">
        <f>IF(K122=1,'ORDENES'!$J118,"")</f>
        <v/>
      </c>
      <c r="U122" s="5">
        <f>IFERROR(MATCH(115,$M$8:$M$1207,0),"")</f>
        <v/>
      </c>
      <c r="V122" s="5">
        <f>IF(U122="","",INDEX(tblOrdenes[dia_semana],U122))</f>
        <v/>
      </c>
      <c r="W122" s="5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5">
        <f>IF(AND(IF($B$3="(todos)",TRUE,'ORDENES'!$O119=$B$3),IF($D$3="(todos)",TRUE,'ORDENES'!$AH119=$D$3),IF($F$3="(todos)",TRUE,'ORDENES'!$Z119=$F$3),IF($H$3="(todos)",TRUE,'ORDENES'!$Y119=$H$3),'ORDENES'!$AF119=TRUE,'ORDENES'!$A119&lt;&gt;""),1,0)</f>
        <v/>
      </c>
      <c r="L123" s="5">
        <f>IF(K123=1,IFERROR(MATCH('ORDENES'!$S119,lista_dias,0),9)*1000000000+IFERROR(MATCH('ORDENES'!$AH119,lista_turnos,0),9)*10000000+IFERROR(MATCH('ORDENES'!$AG119,tblTecnicos[nombre],0),99)*100000+116,9000000000000+116)</f>
        <v/>
      </c>
      <c r="M123" s="5">
        <f>IF(K123=1,SUMPRODUCT(--($L$8:$L$1207&lt;L123))+1,"")</f>
        <v/>
      </c>
      <c r="N123" s="17">
        <f>IF(K123=1,N('ORDENES'!$M119),0)</f>
        <v/>
      </c>
      <c r="O123" s="17">
        <f>IF('ORDENES'!$U119="preventiva",N123,0)</f>
        <v/>
      </c>
      <c r="P123" s="17">
        <f>IF('ORDENES'!$U119="correctiva",N123,0)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22">
        <f>IF(K123=1,'ORDENES'!$J119,"")</f>
        <v/>
      </c>
      <c r="U123" s="5">
        <f>IFERROR(MATCH(116,$M$8:$M$1207,0),"")</f>
        <v/>
      </c>
      <c r="V123" s="5">
        <f>IF(U123="","",INDEX(tblOrdenes[dia_semana],U123))</f>
        <v/>
      </c>
      <c r="W123" s="5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5">
        <f>IF(AND(IF($B$3="(todos)",TRUE,'ORDENES'!$O120=$B$3),IF($D$3="(todos)",TRUE,'ORDENES'!$AH120=$D$3),IF($F$3="(todos)",TRUE,'ORDENES'!$Z120=$F$3),IF($H$3="(todos)",TRUE,'ORDENES'!$Y120=$H$3),'ORDENES'!$AF120=TRUE,'ORDENES'!$A120&lt;&gt;""),1,0)</f>
        <v/>
      </c>
      <c r="L124" s="5">
        <f>IF(K124=1,IFERROR(MATCH('ORDENES'!$S120,lista_dias,0),9)*1000000000+IFERROR(MATCH('ORDENES'!$AH120,lista_turnos,0),9)*10000000+IFERROR(MATCH('ORDENES'!$AG120,tblTecnicos[nombre],0),99)*100000+117,9000000000000+117)</f>
        <v/>
      </c>
      <c r="M124" s="5">
        <f>IF(K124=1,SUMPRODUCT(--($L$8:$L$1207&lt;L124))+1,"")</f>
        <v/>
      </c>
      <c r="N124" s="17">
        <f>IF(K124=1,N('ORDENES'!$M120),0)</f>
        <v/>
      </c>
      <c r="O124" s="17">
        <f>IF('ORDENES'!$U120="preventiva",N124,0)</f>
        <v/>
      </c>
      <c r="P124" s="17">
        <f>IF('ORDENES'!$U120="correctiva",N124,0)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22">
        <f>IF(K124=1,'ORDENES'!$J120,"")</f>
        <v/>
      </c>
      <c r="U124" s="5">
        <f>IFERROR(MATCH(117,$M$8:$M$1207,0),"")</f>
        <v/>
      </c>
      <c r="V124" s="5">
        <f>IF(U124="","",INDEX(tblOrdenes[dia_semana],U124))</f>
        <v/>
      </c>
      <c r="W124" s="5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5">
        <f>IF(AND(IF($B$3="(todos)",TRUE,'ORDENES'!$O121=$B$3),IF($D$3="(todos)",TRUE,'ORDENES'!$AH121=$D$3),IF($F$3="(todos)",TRUE,'ORDENES'!$Z121=$F$3),IF($H$3="(todos)",TRUE,'ORDENES'!$Y121=$H$3),'ORDENES'!$AF121=TRUE,'ORDENES'!$A121&lt;&gt;""),1,0)</f>
        <v/>
      </c>
      <c r="L125" s="5">
        <f>IF(K125=1,IFERROR(MATCH('ORDENES'!$S121,lista_dias,0),9)*1000000000+IFERROR(MATCH('ORDENES'!$AH121,lista_turnos,0),9)*10000000+IFERROR(MATCH('ORDENES'!$AG121,tblTecnicos[nombre],0),99)*100000+118,9000000000000+118)</f>
        <v/>
      </c>
      <c r="M125" s="5">
        <f>IF(K125=1,SUMPRODUCT(--($L$8:$L$1207&lt;L125))+1,"")</f>
        <v/>
      </c>
      <c r="N125" s="17">
        <f>IF(K125=1,N('ORDENES'!$M121),0)</f>
        <v/>
      </c>
      <c r="O125" s="17">
        <f>IF('ORDENES'!$U121="preventiva",N125,0)</f>
        <v/>
      </c>
      <c r="P125" s="17">
        <f>IF('ORDENES'!$U121="correctiva",N125,0)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22">
        <f>IF(K125=1,'ORDENES'!$J121,"")</f>
        <v/>
      </c>
      <c r="U125" s="5">
        <f>IFERROR(MATCH(118,$M$8:$M$1207,0),"")</f>
        <v/>
      </c>
      <c r="V125" s="5">
        <f>IF(U125="","",INDEX(tblOrdenes[dia_semana],U125))</f>
        <v/>
      </c>
      <c r="W125" s="5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5">
        <f>IF(AND(IF($B$3="(todos)",TRUE,'ORDENES'!$O122=$B$3),IF($D$3="(todos)",TRUE,'ORDENES'!$AH122=$D$3),IF($F$3="(todos)",TRUE,'ORDENES'!$Z122=$F$3),IF($H$3="(todos)",TRUE,'ORDENES'!$Y122=$H$3),'ORDENES'!$AF122=TRUE,'ORDENES'!$A122&lt;&gt;""),1,0)</f>
        <v/>
      </c>
      <c r="L126" s="5">
        <f>IF(K126=1,IFERROR(MATCH('ORDENES'!$S122,lista_dias,0),9)*1000000000+IFERROR(MATCH('ORDENES'!$AH122,lista_turnos,0),9)*10000000+IFERROR(MATCH('ORDENES'!$AG122,tblTecnicos[nombre],0),99)*100000+119,9000000000000+119)</f>
        <v/>
      </c>
      <c r="M126" s="5">
        <f>IF(K126=1,SUMPRODUCT(--($L$8:$L$1207&lt;L126))+1,"")</f>
        <v/>
      </c>
      <c r="N126" s="17">
        <f>IF(K126=1,N('ORDENES'!$M122),0)</f>
        <v/>
      </c>
      <c r="O126" s="17">
        <f>IF('ORDENES'!$U122="preventiva",N126,0)</f>
        <v/>
      </c>
      <c r="P126" s="17">
        <f>IF('ORDENES'!$U122="correctiva",N126,0)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22">
        <f>IF(K126=1,'ORDENES'!$J122,"")</f>
        <v/>
      </c>
      <c r="U126" s="5">
        <f>IFERROR(MATCH(119,$M$8:$M$1207,0),"")</f>
        <v/>
      </c>
      <c r="V126" s="5">
        <f>IF(U126="","",INDEX(tblOrdenes[dia_semana],U126))</f>
        <v/>
      </c>
      <c r="W126" s="5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5">
        <f>IF(AND(IF($B$3="(todos)",TRUE,'ORDENES'!$O123=$B$3),IF($D$3="(todos)",TRUE,'ORDENES'!$AH123=$D$3),IF($F$3="(todos)",TRUE,'ORDENES'!$Z123=$F$3),IF($H$3="(todos)",TRUE,'ORDENES'!$Y123=$H$3),'ORDENES'!$AF123=TRUE,'ORDENES'!$A123&lt;&gt;""),1,0)</f>
        <v/>
      </c>
      <c r="L127" s="5">
        <f>IF(K127=1,IFERROR(MATCH('ORDENES'!$S123,lista_dias,0),9)*1000000000+IFERROR(MATCH('ORDENES'!$AH123,lista_turnos,0),9)*10000000+IFERROR(MATCH('ORDENES'!$AG123,tblTecnicos[nombre],0),99)*100000+120,9000000000000+120)</f>
        <v/>
      </c>
      <c r="M127" s="5">
        <f>IF(K127=1,SUMPRODUCT(--($L$8:$L$1207&lt;L127))+1,"")</f>
        <v/>
      </c>
      <c r="N127" s="17">
        <f>IF(K127=1,N('ORDENES'!$M123),0)</f>
        <v/>
      </c>
      <c r="O127" s="17">
        <f>IF('ORDENES'!$U123="preventiva",N127,0)</f>
        <v/>
      </c>
      <c r="P127" s="17">
        <f>IF('ORDENES'!$U123="correctiva",N127,0)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22">
        <f>IF(K127=1,'ORDENES'!$J123,"")</f>
        <v/>
      </c>
      <c r="U127" s="5">
        <f>IFERROR(MATCH(120,$M$8:$M$1207,0),"")</f>
        <v/>
      </c>
      <c r="V127" s="5">
        <f>IF(U127="","",INDEX(tblOrdenes[dia_semana],U127))</f>
        <v/>
      </c>
      <c r="W127" s="5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5">
        <f>IF(AND(IF($B$3="(todos)",TRUE,'ORDENES'!$O124=$B$3),IF($D$3="(todos)",TRUE,'ORDENES'!$AH124=$D$3),IF($F$3="(todos)",TRUE,'ORDENES'!$Z124=$F$3),IF($H$3="(todos)",TRUE,'ORDENES'!$Y124=$H$3),'ORDENES'!$AF124=TRUE,'ORDENES'!$A124&lt;&gt;""),1,0)</f>
        <v/>
      </c>
      <c r="L128" s="5">
        <f>IF(K128=1,IFERROR(MATCH('ORDENES'!$S124,lista_dias,0),9)*1000000000+IFERROR(MATCH('ORDENES'!$AH124,lista_turnos,0),9)*10000000+IFERROR(MATCH('ORDENES'!$AG124,tblTecnicos[nombre],0),99)*100000+121,9000000000000+121)</f>
        <v/>
      </c>
      <c r="M128" s="5">
        <f>IF(K128=1,SUMPRODUCT(--($L$8:$L$1207&lt;L128))+1,"")</f>
        <v/>
      </c>
      <c r="N128" s="17">
        <f>IF(K128=1,N('ORDENES'!$M124),0)</f>
        <v/>
      </c>
      <c r="O128" s="17">
        <f>IF('ORDENES'!$U124="preventiva",N128,0)</f>
        <v/>
      </c>
      <c r="P128" s="17">
        <f>IF('ORDENES'!$U124="correctiva",N128,0)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22">
        <f>IF(K128=1,'ORDENES'!$J124,"")</f>
        <v/>
      </c>
      <c r="U128" s="5">
        <f>IFERROR(MATCH(121,$M$8:$M$1207,0),"")</f>
        <v/>
      </c>
      <c r="V128" s="5">
        <f>IF(U128="","",INDEX(tblOrdenes[dia_semana],U128))</f>
        <v/>
      </c>
      <c r="W128" s="5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5">
        <f>IF(AND(IF($B$3="(todos)",TRUE,'ORDENES'!$O125=$B$3),IF($D$3="(todos)",TRUE,'ORDENES'!$AH125=$D$3),IF($F$3="(todos)",TRUE,'ORDENES'!$Z125=$F$3),IF($H$3="(todos)",TRUE,'ORDENES'!$Y125=$H$3),'ORDENES'!$AF125=TRUE,'ORDENES'!$A125&lt;&gt;""),1,0)</f>
        <v/>
      </c>
      <c r="L129" s="5">
        <f>IF(K129=1,IFERROR(MATCH('ORDENES'!$S125,lista_dias,0),9)*1000000000+IFERROR(MATCH('ORDENES'!$AH125,lista_turnos,0),9)*10000000+IFERROR(MATCH('ORDENES'!$AG125,tblTecnicos[nombre],0),99)*100000+122,9000000000000+122)</f>
        <v/>
      </c>
      <c r="M129" s="5">
        <f>IF(K129=1,SUMPRODUCT(--($L$8:$L$1207&lt;L129))+1,"")</f>
        <v/>
      </c>
      <c r="N129" s="17">
        <f>IF(K129=1,N('ORDENES'!$M125),0)</f>
        <v/>
      </c>
      <c r="O129" s="17">
        <f>IF('ORDENES'!$U125="preventiva",N129,0)</f>
        <v/>
      </c>
      <c r="P129" s="17">
        <f>IF('ORDENES'!$U125="correctiva",N129,0)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22">
        <f>IF(K129=1,'ORDENES'!$J125,"")</f>
        <v/>
      </c>
      <c r="U129" s="5">
        <f>IFERROR(MATCH(122,$M$8:$M$1207,0),"")</f>
        <v/>
      </c>
      <c r="V129" s="5">
        <f>IF(U129="","",INDEX(tblOrdenes[dia_semana],U129))</f>
        <v/>
      </c>
      <c r="W129" s="5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5">
        <f>IF(AND(IF($B$3="(todos)",TRUE,'ORDENES'!$O126=$B$3),IF($D$3="(todos)",TRUE,'ORDENES'!$AH126=$D$3),IF($F$3="(todos)",TRUE,'ORDENES'!$Z126=$F$3),IF($H$3="(todos)",TRUE,'ORDENES'!$Y126=$H$3),'ORDENES'!$AF126=TRUE,'ORDENES'!$A126&lt;&gt;""),1,0)</f>
        <v/>
      </c>
      <c r="L130" s="5">
        <f>IF(K130=1,IFERROR(MATCH('ORDENES'!$S126,lista_dias,0),9)*1000000000+IFERROR(MATCH('ORDENES'!$AH126,lista_turnos,0),9)*10000000+IFERROR(MATCH('ORDENES'!$AG126,tblTecnicos[nombre],0),99)*100000+123,9000000000000+123)</f>
        <v/>
      </c>
      <c r="M130" s="5">
        <f>IF(K130=1,SUMPRODUCT(--($L$8:$L$1207&lt;L130))+1,"")</f>
        <v/>
      </c>
      <c r="N130" s="17">
        <f>IF(K130=1,N('ORDENES'!$M126),0)</f>
        <v/>
      </c>
      <c r="O130" s="17">
        <f>IF('ORDENES'!$U126="preventiva",N130,0)</f>
        <v/>
      </c>
      <c r="P130" s="17">
        <f>IF('ORDENES'!$U126="correctiva",N130,0)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22">
        <f>IF(K130=1,'ORDENES'!$J126,"")</f>
        <v/>
      </c>
      <c r="U130" s="5">
        <f>IFERROR(MATCH(123,$M$8:$M$1207,0),"")</f>
        <v/>
      </c>
      <c r="V130" s="5">
        <f>IF(U130="","",INDEX(tblOrdenes[dia_semana],U130))</f>
        <v/>
      </c>
      <c r="W130" s="5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5">
        <f>IF(AND(IF($B$3="(todos)",TRUE,'ORDENES'!$O127=$B$3),IF($D$3="(todos)",TRUE,'ORDENES'!$AH127=$D$3),IF($F$3="(todos)",TRUE,'ORDENES'!$Z127=$F$3),IF($H$3="(todos)",TRUE,'ORDENES'!$Y127=$H$3),'ORDENES'!$AF127=TRUE,'ORDENES'!$A127&lt;&gt;""),1,0)</f>
        <v/>
      </c>
      <c r="L131" s="5">
        <f>IF(K131=1,IFERROR(MATCH('ORDENES'!$S127,lista_dias,0),9)*1000000000+IFERROR(MATCH('ORDENES'!$AH127,lista_turnos,0),9)*10000000+IFERROR(MATCH('ORDENES'!$AG127,tblTecnicos[nombre],0),99)*100000+124,9000000000000+124)</f>
        <v/>
      </c>
      <c r="M131" s="5">
        <f>IF(K131=1,SUMPRODUCT(--($L$8:$L$1207&lt;L131))+1,"")</f>
        <v/>
      </c>
      <c r="N131" s="17">
        <f>IF(K131=1,N('ORDENES'!$M127),0)</f>
        <v/>
      </c>
      <c r="O131" s="17">
        <f>IF('ORDENES'!$U127="preventiva",N131,0)</f>
        <v/>
      </c>
      <c r="P131" s="17">
        <f>IF('ORDENES'!$U127="correctiva",N131,0)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22">
        <f>IF(K131=1,'ORDENES'!$J127,"")</f>
        <v/>
      </c>
      <c r="U131" s="5">
        <f>IFERROR(MATCH(124,$M$8:$M$1207,0),"")</f>
        <v/>
      </c>
      <c r="V131" s="5">
        <f>IF(U131="","",INDEX(tblOrdenes[dia_semana],U131))</f>
        <v/>
      </c>
      <c r="W131" s="5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5">
        <f>IF(AND(IF($B$3="(todos)",TRUE,'ORDENES'!$O128=$B$3),IF($D$3="(todos)",TRUE,'ORDENES'!$AH128=$D$3),IF($F$3="(todos)",TRUE,'ORDENES'!$Z128=$F$3),IF($H$3="(todos)",TRUE,'ORDENES'!$Y128=$H$3),'ORDENES'!$AF128=TRUE,'ORDENES'!$A128&lt;&gt;""),1,0)</f>
        <v/>
      </c>
      <c r="L132" s="5">
        <f>IF(K132=1,IFERROR(MATCH('ORDENES'!$S128,lista_dias,0),9)*1000000000+IFERROR(MATCH('ORDENES'!$AH128,lista_turnos,0),9)*10000000+IFERROR(MATCH('ORDENES'!$AG128,tblTecnicos[nombre],0),99)*100000+125,9000000000000+125)</f>
        <v/>
      </c>
      <c r="M132" s="5">
        <f>IF(K132=1,SUMPRODUCT(--($L$8:$L$1207&lt;L132))+1,"")</f>
        <v/>
      </c>
      <c r="N132" s="17">
        <f>IF(K132=1,N('ORDENES'!$M128),0)</f>
        <v/>
      </c>
      <c r="O132" s="17">
        <f>IF('ORDENES'!$U128="preventiva",N132,0)</f>
        <v/>
      </c>
      <c r="P132" s="17">
        <f>IF('ORDENES'!$U128="correctiva",N132,0)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22">
        <f>IF(K132=1,'ORDENES'!$J128,"")</f>
        <v/>
      </c>
      <c r="U132" s="5">
        <f>IFERROR(MATCH(125,$M$8:$M$1207,0),"")</f>
        <v/>
      </c>
      <c r="V132" s="5">
        <f>IF(U132="","",INDEX(tblOrdenes[dia_semana],U132))</f>
        <v/>
      </c>
      <c r="W132" s="5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5">
        <f>IF(AND(IF($B$3="(todos)",TRUE,'ORDENES'!$O129=$B$3),IF($D$3="(todos)",TRUE,'ORDENES'!$AH129=$D$3),IF($F$3="(todos)",TRUE,'ORDENES'!$Z129=$F$3),IF($H$3="(todos)",TRUE,'ORDENES'!$Y129=$H$3),'ORDENES'!$AF129=TRUE,'ORDENES'!$A129&lt;&gt;""),1,0)</f>
        <v/>
      </c>
      <c r="L133" s="5">
        <f>IF(K133=1,IFERROR(MATCH('ORDENES'!$S129,lista_dias,0),9)*1000000000+IFERROR(MATCH('ORDENES'!$AH129,lista_turnos,0),9)*10000000+IFERROR(MATCH('ORDENES'!$AG129,tblTecnicos[nombre],0),99)*100000+126,9000000000000+126)</f>
        <v/>
      </c>
      <c r="M133" s="5">
        <f>IF(K133=1,SUMPRODUCT(--($L$8:$L$1207&lt;L133))+1,"")</f>
        <v/>
      </c>
      <c r="N133" s="17">
        <f>IF(K133=1,N('ORDENES'!$M129),0)</f>
        <v/>
      </c>
      <c r="O133" s="17">
        <f>IF('ORDENES'!$U129="preventiva",N133,0)</f>
        <v/>
      </c>
      <c r="P133" s="17">
        <f>IF('ORDENES'!$U129="correctiva",N133,0)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22">
        <f>IF(K133=1,'ORDENES'!$J129,"")</f>
        <v/>
      </c>
      <c r="U133" s="5">
        <f>IFERROR(MATCH(126,$M$8:$M$1207,0),"")</f>
        <v/>
      </c>
      <c r="V133" s="5">
        <f>IF(U133="","",INDEX(tblOrdenes[dia_semana],U133))</f>
        <v/>
      </c>
      <c r="W133" s="5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5">
        <f>IF(AND(IF($B$3="(todos)",TRUE,'ORDENES'!$O130=$B$3),IF($D$3="(todos)",TRUE,'ORDENES'!$AH130=$D$3),IF($F$3="(todos)",TRUE,'ORDENES'!$Z130=$F$3),IF($H$3="(todos)",TRUE,'ORDENES'!$Y130=$H$3),'ORDENES'!$AF130=TRUE,'ORDENES'!$A130&lt;&gt;""),1,0)</f>
        <v/>
      </c>
      <c r="L134" s="5">
        <f>IF(K134=1,IFERROR(MATCH('ORDENES'!$S130,lista_dias,0),9)*1000000000+IFERROR(MATCH('ORDENES'!$AH130,lista_turnos,0),9)*10000000+IFERROR(MATCH('ORDENES'!$AG130,tblTecnicos[nombre],0),99)*100000+127,9000000000000+127)</f>
        <v/>
      </c>
      <c r="M134" s="5">
        <f>IF(K134=1,SUMPRODUCT(--($L$8:$L$1207&lt;L134))+1,"")</f>
        <v/>
      </c>
      <c r="N134" s="17">
        <f>IF(K134=1,N('ORDENES'!$M130),0)</f>
        <v/>
      </c>
      <c r="O134" s="17">
        <f>IF('ORDENES'!$U130="preventiva",N134,0)</f>
        <v/>
      </c>
      <c r="P134" s="17">
        <f>IF('ORDENES'!$U130="correctiva",N134,0)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22">
        <f>IF(K134=1,'ORDENES'!$J130,"")</f>
        <v/>
      </c>
      <c r="U134" s="5">
        <f>IFERROR(MATCH(127,$M$8:$M$1207,0),"")</f>
        <v/>
      </c>
      <c r="V134" s="5">
        <f>IF(U134="","",INDEX(tblOrdenes[dia_semana],U134))</f>
        <v/>
      </c>
      <c r="W134" s="5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5">
        <f>IF(AND(IF($B$3="(todos)",TRUE,'ORDENES'!$O131=$B$3),IF($D$3="(todos)",TRUE,'ORDENES'!$AH131=$D$3),IF($F$3="(todos)",TRUE,'ORDENES'!$Z131=$F$3),IF($H$3="(todos)",TRUE,'ORDENES'!$Y131=$H$3),'ORDENES'!$AF131=TRUE,'ORDENES'!$A131&lt;&gt;""),1,0)</f>
        <v/>
      </c>
      <c r="L135" s="5">
        <f>IF(K135=1,IFERROR(MATCH('ORDENES'!$S131,lista_dias,0),9)*1000000000+IFERROR(MATCH('ORDENES'!$AH131,lista_turnos,0),9)*10000000+IFERROR(MATCH('ORDENES'!$AG131,tblTecnicos[nombre],0),99)*100000+128,9000000000000+128)</f>
        <v/>
      </c>
      <c r="M135" s="5">
        <f>IF(K135=1,SUMPRODUCT(--($L$8:$L$1207&lt;L135))+1,"")</f>
        <v/>
      </c>
      <c r="N135" s="17">
        <f>IF(K135=1,N('ORDENES'!$M131),0)</f>
        <v/>
      </c>
      <c r="O135" s="17">
        <f>IF('ORDENES'!$U131="preventiva",N135,0)</f>
        <v/>
      </c>
      <c r="P135" s="17">
        <f>IF('ORDENES'!$U131="correctiva",N135,0)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22">
        <f>IF(K135=1,'ORDENES'!$J131,"")</f>
        <v/>
      </c>
      <c r="U135" s="5">
        <f>IFERROR(MATCH(128,$M$8:$M$1207,0),"")</f>
        <v/>
      </c>
      <c r="V135" s="5">
        <f>IF(U135="","",INDEX(tblOrdenes[dia_semana],U135))</f>
        <v/>
      </c>
      <c r="W135" s="5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5">
        <f>IF(AND(IF($B$3="(todos)",TRUE,'ORDENES'!$O132=$B$3),IF($D$3="(todos)",TRUE,'ORDENES'!$AH132=$D$3),IF($F$3="(todos)",TRUE,'ORDENES'!$Z132=$F$3),IF($H$3="(todos)",TRUE,'ORDENES'!$Y132=$H$3),'ORDENES'!$AF132=TRUE,'ORDENES'!$A132&lt;&gt;""),1,0)</f>
        <v/>
      </c>
      <c r="L136" s="5">
        <f>IF(K136=1,IFERROR(MATCH('ORDENES'!$S132,lista_dias,0),9)*1000000000+IFERROR(MATCH('ORDENES'!$AH132,lista_turnos,0),9)*10000000+IFERROR(MATCH('ORDENES'!$AG132,tblTecnicos[nombre],0),99)*100000+129,9000000000000+129)</f>
        <v/>
      </c>
      <c r="M136" s="5">
        <f>IF(K136=1,SUMPRODUCT(--($L$8:$L$1207&lt;L136))+1,"")</f>
        <v/>
      </c>
      <c r="N136" s="17">
        <f>IF(K136=1,N('ORDENES'!$M132),0)</f>
        <v/>
      </c>
      <c r="O136" s="17">
        <f>IF('ORDENES'!$U132="preventiva",N136,0)</f>
        <v/>
      </c>
      <c r="P136" s="17">
        <f>IF('ORDENES'!$U132="correctiva",N136,0)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22">
        <f>IF(K136=1,'ORDENES'!$J132,"")</f>
        <v/>
      </c>
      <c r="U136" s="5">
        <f>IFERROR(MATCH(129,$M$8:$M$1207,0),"")</f>
        <v/>
      </c>
      <c r="V136" s="5">
        <f>IF(U136="","",INDEX(tblOrdenes[dia_semana],U136))</f>
        <v/>
      </c>
      <c r="W136" s="5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5">
        <f>IF(AND(IF($B$3="(todos)",TRUE,'ORDENES'!$O133=$B$3),IF($D$3="(todos)",TRUE,'ORDENES'!$AH133=$D$3),IF($F$3="(todos)",TRUE,'ORDENES'!$Z133=$F$3),IF($H$3="(todos)",TRUE,'ORDENES'!$Y133=$H$3),'ORDENES'!$AF133=TRUE,'ORDENES'!$A133&lt;&gt;""),1,0)</f>
        <v/>
      </c>
      <c r="L137" s="5">
        <f>IF(K137=1,IFERROR(MATCH('ORDENES'!$S133,lista_dias,0),9)*1000000000+IFERROR(MATCH('ORDENES'!$AH133,lista_turnos,0),9)*10000000+IFERROR(MATCH('ORDENES'!$AG133,tblTecnicos[nombre],0),99)*100000+130,9000000000000+130)</f>
        <v/>
      </c>
      <c r="M137" s="5">
        <f>IF(K137=1,SUMPRODUCT(--($L$8:$L$1207&lt;L137))+1,"")</f>
        <v/>
      </c>
      <c r="N137" s="17">
        <f>IF(K137=1,N('ORDENES'!$M133),0)</f>
        <v/>
      </c>
      <c r="O137" s="17">
        <f>IF('ORDENES'!$U133="preventiva",N137,0)</f>
        <v/>
      </c>
      <c r="P137" s="17">
        <f>IF('ORDENES'!$U133="correctiva",N137,0)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22">
        <f>IF(K137=1,'ORDENES'!$J133,"")</f>
        <v/>
      </c>
      <c r="U137" s="5">
        <f>IFERROR(MATCH(130,$M$8:$M$1207,0),"")</f>
        <v/>
      </c>
      <c r="V137" s="5">
        <f>IF(U137="","",INDEX(tblOrdenes[dia_semana],U137))</f>
        <v/>
      </c>
      <c r="W137" s="5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5">
        <f>IF(AND(IF($B$3="(todos)",TRUE,'ORDENES'!$O134=$B$3),IF($D$3="(todos)",TRUE,'ORDENES'!$AH134=$D$3),IF($F$3="(todos)",TRUE,'ORDENES'!$Z134=$F$3),IF($H$3="(todos)",TRUE,'ORDENES'!$Y134=$H$3),'ORDENES'!$AF134=TRUE,'ORDENES'!$A134&lt;&gt;""),1,0)</f>
        <v/>
      </c>
      <c r="L138" s="5">
        <f>IF(K138=1,IFERROR(MATCH('ORDENES'!$S134,lista_dias,0),9)*1000000000+IFERROR(MATCH('ORDENES'!$AH134,lista_turnos,0),9)*10000000+IFERROR(MATCH('ORDENES'!$AG134,tblTecnicos[nombre],0),99)*100000+131,9000000000000+131)</f>
        <v/>
      </c>
      <c r="M138" s="5">
        <f>IF(K138=1,SUMPRODUCT(--($L$8:$L$1207&lt;L138))+1,"")</f>
        <v/>
      </c>
      <c r="N138" s="17">
        <f>IF(K138=1,N('ORDENES'!$M134),0)</f>
        <v/>
      </c>
      <c r="O138" s="17">
        <f>IF('ORDENES'!$U134="preventiva",N138,0)</f>
        <v/>
      </c>
      <c r="P138" s="17">
        <f>IF('ORDENES'!$U134="correctiva",N138,0)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22">
        <f>IF(K138=1,'ORDENES'!$J134,"")</f>
        <v/>
      </c>
      <c r="U138" s="5">
        <f>IFERROR(MATCH(131,$M$8:$M$1207,0),"")</f>
        <v/>
      </c>
      <c r="V138" s="5">
        <f>IF(U138="","",INDEX(tblOrdenes[dia_semana],U138))</f>
        <v/>
      </c>
      <c r="W138" s="5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5">
        <f>IF(AND(IF($B$3="(todos)",TRUE,'ORDENES'!$O135=$B$3),IF($D$3="(todos)",TRUE,'ORDENES'!$AH135=$D$3),IF($F$3="(todos)",TRUE,'ORDENES'!$Z135=$F$3),IF($H$3="(todos)",TRUE,'ORDENES'!$Y135=$H$3),'ORDENES'!$AF135=TRUE,'ORDENES'!$A135&lt;&gt;""),1,0)</f>
        <v/>
      </c>
      <c r="L139" s="5">
        <f>IF(K139=1,IFERROR(MATCH('ORDENES'!$S135,lista_dias,0),9)*1000000000+IFERROR(MATCH('ORDENES'!$AH135,lista_turnos,0),9)*10000000+IFERROR(MATCH('ORDENES'!$AG135,tblTecnicos[nombre],0),99)*100000+132,9000000000000+132)</f>
        <v/>
      </c>
      <c r="M139" s="5">
        <f>IF(K139=1,SUMPRODUCT(--($L$8:$L$1207&lt;L139))+1,"")</f>
        <v/>
      </c>
      <c r="N139" s="17">
        <f>IF(K139=1,N('ORDENES'!$M135),0)</f>
        <v/>
      </c>
      <c r="O139" s="17">
        <f>IF('ORDENES'!$U135="preventiva",N139,0)</f>
        <v/>
      </c>
      <c r="P139" s="17">
        <f>IF('ORDENES'!$U135="correctiva",N139,0)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22">
        <f>IF(K139=1,'ORDENES'!$J135,"")</f>
        <v/>
      </c>
      <c r="U139" s="5">
        <f>IFERROR(MATCH(132,$M$8:$M$1207,0),"")</f>
        <v/>
      </c>
      <c r="V139" s="5">
        <f>IF(U139="","",INDEX(tblOrdenes[dia_semana],U139))</f>
        <v/>
      </c>
      <c r="W139" s="5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5">
        <f>IF(AND(IF($B$3="(todos)",TRUE,'ORDENES'!$O136=$B$3),IF($D$3="(todos)",TRUE,'ORDENES'!$AH136=$D$3),IF($F$3="(todos)",TRUE,'ORDENES'!$Z136=$F$3),IF($H$3="(todos)",TRUE,'ORDENES'!$Y136=$H$3),'ORDENES'!$AF136=TRUE,'ORDENES'!$A136&lt;&gt;""),1,0)</f>
        <v/>
      </c>
      <c r="L140" s="5">
        <f>IF(K140=1,IFERROR(MATCH('ORDENES'!$S136,lista_dias,0),9)*1000000000+IFERROR(MATCH('ORDENES'!$AH136,lista_turnos,0),9)*10000000+IFERROR(MATCH('ORDENES'!$AG136,tblTecnicos[nombre],0),99)*100000+133,9000000000000+133)</f>
        <v/>
      </c>
      <c r="M140" s="5">
        <f>IF(K140=1,SUMPRODUCT(--($L$8:$L$1207&lt;L140))+1,"")</f>
        <v/>
      </c>
      <c r="N140" s="17">
        <f>IF(K140=1,N('ORDENES'!$M136),0)</f>
        <v/>
      </c>
      <c r="O140" s="17">
        <f>IF('ORDENES'!$U136="preventiva",N140,0)</f>
        <v/>
      </c>
      <c r="P140" s="17">
        <f>IF('ORDENES'!$U136="correctiva",N140,0)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22">
        <f>IF(K140=1,'ORDENES'!$J136,"")</f>
        <v/>
      </c>
      <c r="U140" s="5">
        <f>IFERROR(MATCH(133,$M$8:$M$1207,0),"")</f>
        <v/>
      </c>
      <c r="V140" s="5">
        <f>IF(U140="","",INDEX(tblOrdenes[dia_semana],U140))</f>
        <v/>
      </c>
      <c r="W140" s="5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5">
        <f>IF(AND(IF($B$3="(todos)",TRUE,'ORDENES'!$O137=$B$3),IF($D$3="(todos)",TRUE,'ORDENES'!$AH137=$D$3),IF($F$3="(todos)",TRUE,'ORDENES'!$Z137=$F$3),IF($H$3="(todos)",TRUE,'ORDENES'!$Y137=$H$3),'ORDENES'!$AF137=TRUE,'ORDENES'!$A137&lt;&gt;""),1,0)</f>
        <v/>
      </c>
      <c r="L141" s="5">
        <f>IF(K141=1,IFERROR(MATCH('ORDENES'!$S137,lista_dias,0),9)*1000000000+IFERROR(MATCH('ORDENES'!$AH137,lista_turnos,0),9)*10000000+IFERROR(MATCH('ORDENES'!$AG137,tblTecnicos[nombre],0),99)*100000+134,9000000000000+134)</f>
        <v/>
      </c>
      <c r="M141" s="5">
        <f>IF(K141=1,SUMPRODUCT(--($L$8:$L$1207&lt;L141))+1,"")</f>
        <v/>
      </c>
      <c r="N141" s="17">
        <f>IF(K141=1,N('ORDENES'!$M137),0)</f>
        <v/>
      </c>
      <c r="O141" s="17">
        <f>IF('ORDENES'!$U137="preventiva",N141,0)</f>
        <v/>
      </c>
      <c r="P141" s="17">
        <f>IF('ORDENES'!$U137="correctiva",N141,0)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22">
        <f>IF(K141=1,'ORDENES'!$J137,"")</f>
        <v/>
      </c>
      <c r="U141" s="5">
        <f>IFERROR(MATCH(134,$M$8:$M$1207,0),"")</f>
        <v/>
      </c>
      <c r="V141" s="5">
        <f>IF(U141="","",INDEX(tblOrdenes[dia_semana],U141))</f>
        <v/>
      </c>
      <c r="W141" s="5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5">
        <f>IF(AND(IF($B$3="(todos)",TRUE,'ORDENES'!$O138=$B$3),IF($D$3="(todos)",TRUE,'ORDENES'!$AH138=$D$3),IF($F$3="(todos)",TRUE,'ORDENES'!$Z138=$F$3),IF($H$3="(todos)",TRUE,'ORDENES'!$Y138=$H$3),'ORDENES'!$AF138=TRUE,'ORDENES'!$A138&lt;&gt;""),1,0)</f>
        <v/>
      </c>
      <c r="L142" s="5">
        <f>IF(K142=1,IFERROR(MATCH('ORDENES'!$S138,lista_dias,0),9)*1000000000+IFERROR(MATCH('ORDENES'!$AH138,lista_turnos,0),9)*10000000+IFERROR(MATCH('ORDENES'!$AG138,tblTecnicos[nombre],0),99)*100000+135,9000000000000+135)</f>
        <v/>
      </c>
      <c r="M142" s="5">
        <f>IF(K142=1,SUMPRODUCT(--($L$8:$L$1207&lt;L142))+1,"")</f>
        <v/>
      </c>
      <c r="N142" s="17">
        <f>IF(K142=1,N('ORDENES'!$M138),0)</f>
        <v/>
      </c>
      <c r="O142" s="17">
        <f>IF('ORDENES'!$U138="preventiva",N142,0)</f>
        <v/>
      </c>
      <c r="P142" s="17">
        <f>IF('ORDENES'!$U138="correctiva",N142,0)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22">
        <f>IF(K142=1,'ORDENES'!$J138,"")</f>
        <v/>
      </c>
      <c r="U142" s="5">
        <f>IFERROR(MATCH(135,$M$8:$M$1207,0),"")</f>
        <v/>
      </c>
      <c r="V142" s="5">
        <f>IF(U142="","",INDEX(tblOrdenes[dia_semana],U142))</f>
        <v/>
      </c>
      <c r="W142" s="5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5">
        <f>IF(AND(IF($B$3="(todos)",TRUE,'ORDENES'!$O139=$B$3),IF($D$3="(todos)",TRUE,'ORDENES'!$AH139=$D$3),IF($F$3="(todos)",TRUE,'ORDENES'!$Z139=$F$3),IF($H$3="(todos)",TRUE,'ORDENES'!$Y139=$H$3),'ORDENES'!$AF139=TRUE,'ORDENES'!$A139&lt;&gt;""),1,0)</f>
        <v/>
      </c>
      <c r="L143" s="5">
        <f>IF(K143=1,IFERROR(MATCH('ORDENES'!$S139,lista_dias,0),9)*1000000000+IFERROR(MATCH('ORDENES'!$AH139,lista_turnos,0),9)*10000000+IFERROR(MATCH('ORDENES'!$AG139,tblTecnicos[nombre],0),99)*100000+136,9000000000000+136)</f>
        <v/>
      </c>
      <c r="M143" s="5">
        <f>IF(K143=1,SUMPRODUCT(--($L$8:$L$1207&lt;L143))+1,"")</f>
        <v/>
      </c>
      <c r="N143" s="17">
        <f>IF(K143=1,N('ORDENES'!$M139),0)</f>
        <v/>
      </c>
      <c r="O143" s="17">
        <f>IF('ORDENES'!$U139="preventiva",N143,0)</f>
        <v/>
      </c>
      <c r="P143" s="17">
        <f>IF('ORDENES'!$U139="correctiva",N143,0)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22">
        <f>IF(K143=1,'ORDENES'!$J139,"")</f>
        <v/>
      </c>
      <c r="U143" s="5">
        <f>IFERROR(MATCH(136,$M$8:$M$1207,0),"")</f>
        <v/>
      </c>
      <c r="V143" s="5">
        <f>IF(U143="","",INDEX(tblOrdenes[dia_semana],U143))</f>
        <v/>
      </c>
      <c r="W143" s="5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5">
        <f>IF(AND(IF($B$3="(todos)",TRUE,'ORDENES'!$O140=$B$3),IF($D$3="(todos)",TRUE,'ORDENES'!$AH140=$D$3),IF($F$3="(todos)",TRUE,'ORDENES'!$Z140=$F$3),IF($H$3="(todos)",TRUE,'ORDENES'!$Y140=$H$3),'ORDENES'!$AF140=TRUE,'ORDENES'!$A140&lt;&gt;""),1,0)</f>
        <v/>
      </c>
      <c r="L144" s="5">
        <f>IF(K144=1,IFERROR(MATCH('ORDENES'!$S140,lista_dias,0),9)*1000000000+IFERROR(MATCH('ORDENES'!$AH140,lista_turnos,0),9)*10000000+IFERROR(MATCH('ORDENES'!$AG140,tblTecnicos[nombre],0),99)*100000+137,9000000000000+137)</f>
        <v/>
      </c>
      <c r="M144" s="5">
        <f>IF(K144=1,SUMPRODUCT(--($L$8:$L$1207&lt;L144))+1,"")</f>
        <v/>
      </c>
      <c r="N144" s="17">
        <f>IF(K144=1,N('ORDENES'!$M140),0)</f>
        <v/>
      </c>
      <c r="O144" s="17">
        <f>IF('ORDENES'!$U140="preventiva",N144,0)</f>
        <v/>
      </c>
      <c r="P144" s="17">
        <f>IF('ORDENES'!$U140="correctiva",N144,0)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22">
        <f>IF(K144=1,'ORDENES'!$J140,"")</f>
        <v/>
      </c>
      <c r="U144" s="5">
        <f>IFERROR(MATCH(137,$M$8:$M$1207,0),"")</f>
        <v/>
      </c>
      <c r="V144" s="5">
        <f>IF(U144="","",INDEX(tblOrdenes[dia_semana],U144))</f>
        <v/>
      </c>
      <c r="W144" s="5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5">
        <f>IF(AND(IF($B$3="(todos)",TRUE,'ORDENES'!$O141=$B$3),IF($D$3="(todos)",TRUE,'ORDENES'!$AH141=$D$3),IF($F$3="(todos)",TRUE,'ORDENES'!$Z141=$F$3),IF($H$3="(todos)",TRUE,'ORDENES'!$Y141=$H$3),'ORDENES'!$AF141=TRUE,'ORDENES'!$A141&lt;&gt;""),1,0)</f>
        <v/>
      </c>
      <c r="L145" s="5">
        <f>IF(K145=1,IFERROR(MATCH('ORDENES'!$S141,lista_dias,0),9)*1000000000+IFERROR(MATCH('ORDENES'!$AH141,lista_turnos,0),9)*10000000+IFERROR(MATCH('ORDENES'!$AG141,tblTecnicos[nombre],0),99)*100000+138,9000000000000+138)</f>
        <v/>
      </c>
      <c r="M145" s="5">
        <f>IF(K145=1,SUMPRODUCT(--($L$8:$L$1207&lt;L145))+1,"")</f>
        <v/>
      </c>
      <c r="N145" s="17">
        <f>IF(K145=1,N('ORDENES'!$M141),0)</f>
        <v/>
      </c>
      <c r="O145" s="17">
        <f>IF('ORDENES'!$U141="preventiva",N145,0)</f>
        <v/>
      </c>
      <c r="P145" s="17">
        <f>IF('ORDENES'!$U141="correctiva",N145,0)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22">
        <f>IF(K145=1,'ORDENES'!$J141,"")</f>
        <v/>
      </c>
      <c r="U145" s="5">
        <f>IFERROR(MATCH(138,$M$8:$M$1207,0),"")</f>
        <v/>
      </c>
      <c r="V145" s="5">
        <f>IF(U145="","",INDEX(tblOrdenes[dia_semana],U145))</f>
        <v/>
      </c>
      <c r="W145" s="5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5">
        <f>IF(AND(IF($B$3="(todos)",TRUE,'ORDENES'!$O142=$B$3),IF($D$3="(todos)",TRUE,'ORDENES'!$AH142=$D$3),IF($F$3="(todos)",TRUE,'ORDENES'!$Z142=$F$3),IF($H$3="(todos)",TRUE,'ORDENES'!$Y142=$H$3),'ORDENES'!$AF142=TRUE,'ORDENES'!$A142&lt;&gt;""),1,0)</f>
        <v/>
      </c>
      <c r="L146" s="5">
        <f>IF(K146=1,IFERROR(MATCH('ORDENES'!$S142,lista_dias,0),9)*1000000000+IFERROR(MATCH('ORDENES'!$AH142,lista_turnos,0),9)*10000000+IFERROR(MATCH('ORDENES'!$AG142,tblTecnicos[nombre],0),99)*100000+139,9000000000000+139)</f>
        <v/>
      </c>
      <c r="M146" s="5">
        <f>IF(K146=1,SUMPRODUCT(--($L$8:$L$1207&lt;L146))+1,"")</f>
        <v/>
      </c>
      <c r="N146" s="17">
        <f>IF(K146=1,N('ORDENES'!$M142),0)</f>
        <v/>
      </c>
      <c r="O146" s="17">
        <f>IF('ORDENES'!$U142="preventiva",N146,0)</f>
        <v/>
      </c>
      <c r="P146" s="17">
        <f>IF('ORDENES'!$U142="correctiva",N146,0)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22">
        <f>IF(K146=1,'ORDENES'!$J142,"")</f>
        <v/>
      </c>
      <c r="U146" s="5">
        <f>IFERROR(MATCH(139,$M$8:$M$1207,0),"")</f>
        <v/>
      </c>
      <c r="V146" s="5">
        <f>IF(U146="","",INDEX(tblOrdenes[dia_semana],U146))</f>
        <v/>
      </c>
      <c r="W146" s="5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5">
        <f>IF(AND(IF($B$3="(todos)",TRUE,'ORDENES'!$O143=$B$3),IF($D$3="(todos)",TRUE,'ORDENES'!$AH143=$D$3),IF($F$3="(todos)",TRUE,'ORDENES'!$Z143=$F$3),IF($H$3="(todos)",TRUE,'ORDENES'!$Y143=$H$3),'ORDENES'!$AF143=TRUE,'ORDENES'!$A143&lt;&gt;""),1,0)</f>
        <v/>
      </c>
      <c r="L147" s="5">
        <f>IF(K147=1,IFERROR(MATCH('ORDENES'!$S143,lista_dias,0),9)*1000000000+IFERROR(MATCH('ORDENES'!$AH143,lista_turnos,0),9)*10000000+IFERROR(MATCH('ORDENES'!$AG143,tblTecnicos[nombre],0),99)*100000+140,9000000000000+140)</f>
        <v/>
      </c>
      <c r="M147" s="5">
        <f>IF(K147=1,SUMPRODUCT(--($L$8:$L$1207&lt;L147))+1,"")</f>
        <v/>
      </c>
      <c r="N147" s="17">
        <f>IF(K147=1,N('ORDENES'!$M143),0)</f>
        <v/>
      </c>
      <c r="O147" s="17">
        <f>IF('ORDENES'!$U143="preventiva",N147,0)</f>
        <v/>
      </c>
      <c r="P147" s="17">
        <f>IF('ORDENES'!$U143="correctiva",N147,0)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22">
        <f>IF(K147=1,'ORDENES'!$J143,"")</f>
        <v/>
      </c>
      <c r="U147" s="5">
        <f>IFERROR(MATCH(140,$M$8:$M$1207,0),"")</f>
        <v/>
      </c>
      <c r="V147" s="5">
        <f>IF(U147="","",INDEX(tblOrdenes[dia_semana],U147))</f>
        <v/>
      </c>
      <c r="W147" s="5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5">
        <f>IF(AND(IF($B$3="(todos)",TRUE,'ORDENES'!$O144=$B$3),IF($D$3="(todos)",TRUE,'ORDENES'!$AH144=$D$3),IF($F$3="(todos)",TRUE,'ORDENES'!$Z144=$F$3),IF($H$3="(todos)",TRUE,'ORDENES'!$Y144=$H$3),'ORDENES'!$AF144=TRUE,'ORDENES'!$A144&lt;&gt;""),1,0)</f>
        <v/>
      </c>
      <c r="L148" s="5">
        <f>IF(K148=1,IFERROR(MATCH('ORDENES'!$S144,lista_dias,0),9)*1000000000+IFERROR(MATCH('ORDENES'!$AH144,lista_turnos,0),9)*10000000+IFERROR(MATCH('ORDENES'!$AG144,tblTecnicos[nombre],0),99)*100000+141,9000000000000+141)</f>
        <v/>
      </c>
      <c r="M148" s="5">
        <f>IF(K148=1,SUMPRODUCT(--($L$8:$L$1207&lt;L148))+1,"")</f>
        <v/>
      </c>
      <c r="N148" s="17">
        <f>IF(K148=1,N('ORDENES'!$M144),0)</f>
        <v/>
      </c>
      <c r="O148" s="17">
        <f>IF('ORDENES'!$U144="preventiva",N148,0)</f>
        <v/>
      </c>
      <c r="P148" s="17">
        <f>IF('ORDENES'!$U144="correctiva",N148,0)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22">
        <f>IF(K148=1,'ORDENES'!$J144,"")</f>
        <v/>
      </c>
      <c r="U148" s="5">
        <f>IFERROR(MATCH(141,$M$8:$M$1207,0),"")</f>
        <v/>
      </c>
      <c r="V148" s="5">
        <f>IF(U148="","",INDEX(tblOrdenes[dia_semana],U148))</f>
        <v/>
      </c>
      <c r="W148" s="5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5">
        <f>IF(AND(IF($B$3="(todos)",TRUE,'ORDENES'!$O145=$B$3),IF($D$3="(todos)",TRUE,'ORDENES'!$AH145=$D$3),IF($F$3="(todos)",TRUE,'ORDENES'!$Z145=$F$3),IF($H$3="(todos)",TRUE,'ORDENES'!$Y145=$H$3),'ORDENES'!$AF145=TRUE,'ORDENES'!$A145&lt;&gt;""),1,0)</f>
        <v/>
      </c>
      <c r="L149" s="5">
        <f>IF(K149=1,IFERROR(MATCH('ORDENES'!$S145,lista_dias,0),9)*1000000000+IFERROR(MATCH('ORDENES'!$AH145,lista_turnos,0),9)*10000000+IFERROR(MATCH('ORDENES'!$AG145,tblTecnicos[nombre],0),99)*100000+142,9000000000000+142)</f>
        <v/>
      </c>
      <c r="M149" s="5">
        <f>IF(K149=1,SUMPRODUCT(--($L$8:$L$1207&lt;L149))+1,"")</f>
        <v/>
      </c>
      <c r="N149" s="17">
        <f>IF(K149=1,N('ORDENES'!$M145),0)</f>
        <v/>
      </c>
      <c r="O149" s="17">
        <f>IF('ORDENES'!$U145="preventiva",N149,0)</f>
        <v/>
      </c>
      <c r="P149" s="17">
        <f>IF('ORDENES'!$U145="correctiva",N149,0)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22">
        <f>IF(K149=1,'ORDENES'!$J145,"")</f>
        <v/>
      </c>
      <c r="U149" s="5">
        <f>IFERROR(MATCH(142,$M$8:$M$1207,0),"")</f>
        <v/>
      </c>
      <c r="V149" s="5">
        <f>IF(U149="","",INDEX(tblOrdenes[dia_semana],U149))</f>
        <v/>
      </c>
      <c r="W149" s="5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5">
        <f>IF(AND(IF($B$3="(todos)",TRUE,'ORDENES'!$O146=$B$3),IF($D$3="(todos)",TRUE,'ORDENES'!$AH146=$D$3),IF($F$3="(todos)",TRUE,'ORDENES'!$Z146=$F$3),IF($H$3="(todos)",TRUE,'ORDENES'!$Y146=$H$3),'ORDENES'!$AF146=TRUE,'ORDENES'!$A146&lt;&gt;""),1,0)</f>
        <v/>
      </c>
      <c r="L150" s="5">
        <f>IF(K150=1,IFERROR(MATCH('ORDENES'!$S146,lista_dias,0),9)*1000000000+IFERROR(MATCH('ORDENES'!$AH146,lista_turnos,0),9)*10000000+IFERROR(MATCH('ORDENES'!$AG146,tblTecnicos[nombre],0),99)*100000+143,9000000000000+143)</f>
        <v/>
      </c>
      <c r="M150" s="5">
        <f>IF(K150=1,SUMPRODUCT(--($L$8:$L$1207&lt;L150))+1,"")</f>
        <v/>
      </c>
      <c r="N150" s="17">
        <f>IF(K150=1,N('ORDENES'!$M146),0)</f>
        <v/>
      </c>
      <c r="O150" s="17">
        <f>IF('ORDENES'!$U146="preventiva",N150,0)</f>
        <v/>
      </c>
      <c r="P150" s="17">
        <f>IF('ORDENES'!$U146="correctiva",N150,0)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22">
        <f>IF(K150=1,'ORDENES'!$J146,"")</f>
        <v/>
      </c>
      <c r="U150" s="5">
        <f>IFERROR(MATCH(143,$M$8:$M$1207,0),"")</f>
        <v/>
      </c>
      <c r="V150" s="5">
        <f>IF(U150="","",INDEX(tblOrdenes[dia_semana],U150))</f>
        <v/>
      </c>
      <c r="W150" s="5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5">
        <f>IF(AND(IF($B$3="(todos)",TRUE,'ORDENES'!$O147=$B$3),IF($D$3="(todos)",TRUE,'ORDENES'!$AH147=$D$3),IF($F$3="(todos)",TRUE,'ORDENES'!$Z147=$F$3),IF($H$3="(todos)",TRUE,'ORDENES'!$Y147=$H$3),'ORDENES'!$AF147=TRUE,'ORDENES'!$A147&lt;&gt;""),1,0)</f>
        <v/>
      </c>
      <c r="L151" s="5">
        <f>IF(K151=1,IFERROR(MATCH('ORDENES'!$S147,lista_dias,0),9)*1000000000+IFERROR(MATCH('ORDENES'!$AH147,lista_turnos,0),9)*10000000+IFERROR(MATCH('ORDENES'!$AG147,tblTecnicos[nombre],0),99)*100000+144,9000000000000+144)</f>
        <v/>
      </c>
      <c r="M151" s="5">
        <f>IF(K151=1,SUMPRODUCT(--($L$8:$L$1207&lt;L151))+1,"")</f>
        <v/>
      </c>
      <c r="N151" s="17">
        <f>IF(K151=1,N('ORDENES'!$M147),0)</f>
        <v/>
      </c>
      <c r="O151" s="17">
        <f>IF('ORDENES'!$U147="preventiva",N151,0)</f>
        <v/>
      </c>
      <c r="P151" s="17">
        <f>IF('ORDENES'!$U147="correctiva",N151,0)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22">
        <f>IF(K151=1,'ORDENES'!$J147,"")</f>
        <v/>
      </c>
      <c r="U151" s="5">
        <f>IFERROR(MATCH(144,$M$8:$M$1207,0),"")</f>
        <v/>
      </c>
      <c r="V151" s="5">
        <f>IF(U151="","",INDEX(tblOrdenes[dia_semana],U151))</f>
        <v/>
      </c>
      <c r="W151" s="5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5">
        <f>IF(AND(IF($B$3="(todos)",TRUE,'ORDENES'!$O148=$B$3),IF($D$3="(todos)",TRUE,'ORDENES'!$AH148=$D$3),IF($F$3="(todos)",TRUE,'ORDENES'!$Z148=$F$3),IF($H$3="(todos)",TRUE,'ORDENES'!$Y148=$H$3),'ORDENES'!$AF148=TRUE,'ORDENES'!$A148&lt;&gt;""),1,0)</f>
        <v/>
      </c>
      <c r="L152" s="5">
        <f>IF(K152=1,IFERROR(MATCH('ORDENES'!$S148,lista_dias,0),9)*1000000000+IFERROR(MATCH('ORDENES'!$AH148,lista_turnos,0),9)*10000000+IFERROR(MATCH('ORDENES'!$AG148,tblTecnicos[nombre],0),99)*100000+145,9000000000000+145)</f>
        <v/>
      </c>
      <c r="M152" s="5">
        <f>IF(K152=1,SUMPRODUCT(--($L$8:$L$1207&lt;L152))+1,"")</f>
        <v/>
      </c>
      <c r="N152" s="17">
        <f>IF(K152=1,N('ORDENES'!$M148),0)</f>
        <v/>
      </c>
      <c r="O152" s="17">
        <f>IF('ORDENES'!$U148="preventiva",N152,0)</f>
        <v/>
      </c>
      <c r="P152" s="17">
        <f>IF('ORDENES'!$U148="correctiva",N152,0)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22">
        <f>IF(K152=1,'ORDENES'!$J148,"")</f>
        <v/>
      </c>
      <c r="U152" s="5">
        <f>IFERROR(MATCH(145,$M$8:$M$1207,0),"")</f>
        <v/>
      </c>
      <c r="V152" s="5">
        <f>IF(U152="","",INDEX(tblOrdenes[dia_semana],U152))</f>
        <v/>
      </c>
      <c r="W152" s="5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5">
        <f>IF(AND(IF($B$3="(todos)",TRUE,'ORDENES'!$O149=$B$3),IF($D$3="(todos)",TRUE,'ORDENES'!$AH149=$D$3),IF($F$3="(todos)",TRUE,'ORDENES'!$Z149=$F$3),IF($H$3="(todos)",TRUE,'ORDENES'!$Y149=$H$3),'ORDENES'!$AF149=TRUE,'ORDENES'!$A149&lt;&gt;""),1,0)</f>
        <v/>
      </c>
      <c r="L153" s="5">
        <f>IF(K153=1,IFERROR(MATCH('ORDENES'!$S149,lista_dias,0),9)*1000000000+IFERROR(MATCH('ORDENES'!$AH149,lista_turnos,0),9)*10000000+IFERROR(MATCH('ORDENES'!$AG149,tblTecnicos[nombre],0),99)*100000+146,9000000000000+146)</f>
        <v/>
      </c>
      <c r="M153" s="5">
        <f>IF(K153=1,SUMPRODUCT(--($L$8:$L$1207&lt;L153))+1,"")</f>
        <v/>
      </c>
      <c r="N153" s="17">
        <f>IF(K153=1,N('ORDENES'!$M149),0)</f>
        <v/>
      </c>
      <c r="O153" s="17">
        <f>IF('ORDENES'!$U149="preventiva",N153,0)</f>
        <v/>
      </c>
      <c r="P153" s="17">
        <f>IF('ORDENES'!$U149="correctiva",N153,0)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22">
        <f>IF(K153=1,'ORDENES'!$J149,"")</f>
        <v/>
      </c>
      <c r="U153" s="5">
        <f>IFERROR(MATCH(146,$M$8:$M$1207,0),"")</f>
        <v/>
      </c>
      <c r="V153" s="5">
        <f>IF(U153="","",INDEX(tblOrdenes[dia_semana],U153))</f>
        <v/>
      </c>
      <c r="W153" s="5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5">
        <f>IF(AND(IF($B$3="(todos)",TRUE,'ORDENES'!$O150=$B$3),IF($D$3="(todos)",TRUE,'ORDENES'!$AH150=$D$3),IF($F$3="(todos)",TRUE,'ORDENES'!$Z150=$F$3),IF($H$3="(todos)",TRUE,'ORDENES'!$Y150=$H$3),'ORDENES'!$AF150=TRUE,'ORDENES'!$A150&lt;&gt;""),1,0)</f>
        <v/>
      </c>
      <c r="L154" s="5">
        <f>IF(K154=1,IFERROR(MATCH('ORDENES'!$S150,lista_dias,0),9)*1000000000+IFERROR(MATCH('ORDENES'!$AH150,lista_turnos,0),9)*10000000+IFERROR(MATCH('ORDENES'!$AG150,tblTecnicos[nombre],0),99)*100000+147,9000000000000+147)</f>
        <v/>
      </c>
      <c r="M154" s="5">
        <f>IF(K154=1,SUMPRODUCT(--($L$8:$L$1207&lt;L154))+1,"")</f>
        <v/>
      </c>
      <c r="N154" s="17">
        <f>IF(K154=1,N('ORDENES'!$M150),0)</f>
        <v/>
      </c>
      <c r="O154" s="17">
        <f>IF('ORDENES'!$U150="preventiva",N154,0)</f>
        <v/>
      </c>
      <c r="P154" s="17">
        <f>IF('ORDENES'!$U150="correctiva",N154,0)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22">
        <f>IF(K154=1,'ORDENES'!$J150,"")</f>
        <v/>
      </c>
      <c r="U154" s="5">
        <f>IFERROR(MATCH(147,$M$8:$M$1207,0),"")</f>
        <v/>
      </c>
      <c r="V154" s="5">
        <f>IF(U154="","",INDEX(tblOrdenes[dia_semana],U154))</f>
        <v/>
      </c>
      <c r="W154" s="5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5">
        <f>IF(AND(IF($B$3="(todos)",TRUE,'ORDENES'!$O151=$B$3),IF($D$3="(todos)",TRUE,'ORDENES'!$AH151=$D$3),IF($F$3="(todos)",TRUE,'ORDENES'!$Z151=$F$3),IF($H$3="(todos)",TRUE,'ORDENES'!$Y151=$H$3),'ORDENES'!$AF151=TRUE,'ORDENES'!$A151&lt;&gt;""),1,0)</f>
        <v/>
      </c>
      <c r="L155" s="5">
        <f>IF(K155=1,IFERROR(MATCH('ORDENES'!$S151,lista_dias,0),9)*1000000000+IFERROR(MATCH('ORDENES'!$AH151,lista_turnos,0),9)*10000000+IFERROR(MATCH('ORDENES'!$AG151,tblTecnicos[nombre],0),99)*100000+148,9000000000000+148)</f>
        <v/>
      </c>
      <c r="M155" s="5">
        <f>IF(K155=1,SUMPRODUCT(--($L$8:$L$1207&lt;L155))+1,"")</f>
        <v/>
      </c>
      <c r="N155" s="17">
        <f>IF(K155=1,N('ORDENES'!$M151),0)</f>
        <v/>
      </c>
      <c r="O155" s="17">
        <f>IF('ORDENES'!$U151="preventiva",N155,0)</f>
        <v/>
      </c>
      <c r="P155" s="17">
        <f>IF('ORDENES'!$U151="correctiva",N155,0)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22">
        <f>IF(K155=1,'ORDENES'!$J151,"")</f>
        <v/>
      </c>
      <c r="U155" s="5">
        <f>IFERROR(MATCH(148,$M$8:$M$1207,0),"")</f>
        <v/>
      </c>
      <c r="V155" s="5">
        <f>IF(U155="","",INDEX(tblOrdenes[dia_semana],U155))</f>
        <v/>
      </c>
      <c r="W155" s="5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5">
        <f>IF(AND(IF($B$3="(todos)",TRUE,'ORDENES'!$O152=$B$3),IF($D$3="(todos)",TRUE,'ORDENES'!$AH152=$D$3),IF($F$3="(todos)",TRUE,'ORDENES'!$Z152=$F$3),IF($H$3="(todos)",TRUE,'ORDENES'!$Y152=$H$3),'ORDENES'!$AF152=TRUE,'ORDENES'!$A152&lt;&gt;""),1,0)</f>
        <v/>
      </c>
      <c r="L156" s="5">
        <f>IF(K156=1,IFERROR(MATCH('ORDENES'!$S152,lista_dias,0),9)*1000000000+IFERROR(MATCH('ORDENES'!$AH152,lista_turnos,0),9)*10000000+IFERROR(MATCH('ORDENES'!$AG152,tblTecnicos[nombre],0),99)*100000+149,9000000000000+149)</f>
        <v/>
      </c>
      <c r="M156" s="5">
        <f>IF(K156=1,SUMPRODUCT(--($L$8:$L$1207&lt;L156))+1,"")</f>
        <v/>
      </c>
      <c r="N156" s="17">
        <f>IF(K156=1,N('ORDENES'!$M152),0)</f>
        <v/>
      </c>
      <c r="O156" s="17">
        <f>IF('ORDENES'!$U152="preventiva",N156,0)</f>
        <v/>
      </c>
      <c r="P156" s="17">
        <f>IF('ORDENES'!$U152="correctiva",N156,0)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22">
        <f>IF(K156=1,'ORDENES'!$J152,"")</f>
        <v/>
      </c>
      <c r="U156" s="5">
        <f>IFERROR(MATCH(149,$M$8:$M$1207,0),"")</f>
        <v/>
      </c>
      <c r="V156" s="5">
        <f>IF(U156="","",INDEX(tblOrdenes[dia_semana],U156))</f>
        <v/>
      </c>
      <c r="W156" s="5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5">
        <f>IF(AND(IF($B$3="(todos)",TRUE,'ORDENES'!$O153=$B$3),IF($D$3="(todos)",TRUE,'ORDENES'!$AH153=$D$3),IF($F$3="(todos)",TRUE,'ORDENES'!$Z153=$F$3),IF($H$3="(todos)",TRUE,'ORDENES'!$Y153=$H$3),'ORDENES'!$AF153=TRUE,'ORDENES'!$A153&lt;&gt;""),1,0)</f>
        <v/>
      </c>
      <c r="L157" s="5">
        <f>IF(K157=1,IFERROR(MATCH('ORDENES'!$S153,lista_dias,0),9)*1000000000+IFERROR(MATCH('ORDENES'!$AH153,lista_turnos,0),9)*10000000+IFERROR(MATCH('ORDENES'!$AG153,tblTecnicos[nombre],0),99)*100000+150,9000000000000+150)</f>
        <v/>
      </c>
      <c r="M157" s="5">
        <f>IF(K157=1,SUMPRODUCT(--($L$8:$L$1207&lt;L157))+1,"")</f>
        <v/>
      </c>
      <c r="N157" s="17">
        <f>IF(K157=1,N('ORDENES'!$M153),0)</f>
        <v/>
      </c>
      <c r="O157" s="17">
        <f>IF('ORDENES'!$U153="preventiva",N157,0)</f>
        <v/>
      </c>
      <c r="P157" s="17">
        <f>IF('ORDENES'!$U153="correctiva",N157,0)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22">
        <f>IF(K157=1,'ORDENES'!$J153,"")</f>
        <v/>
      </c>
      <c r="U157" s="5">
        <f>IFERROR(MATCH(150,$M$8:$M$1207,0),"")</f>
        <v/>
      </c>
      <c r="V157" s="5">
        <f>IF(U157="","",INDEX(tblOrdenes[dia_semana],U157))</f>
        <v/>
      </c>
      <c r="W157" s="5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5">
        <f>IF(AND(IF($B$3="(todos)",TRUE,'ORDENES'!$O154=$B$3),IF($D$3="(todos)",TRUE,'ORDENES'!$AH154=$D$3),IF($F$3="(todos)",TRUE,'ORDENES'!$Z154=$F$3),IF($H$3="(todos)",TRUE,'ORDENES'!$Y154=$H$3),'ORDENES'!$AF154=TRUE,'ORDENES'!$A154&lt;&gt;""),1,0)</f>
        <v/>
      </c>
      <c r="L158" s="5">
        <f>IF(K158=1,IFERROR(MATCH('ORDENES'!$S154,lista_dias,0),9)*1000000000+IFERROR(MATCH('ORDENES'!$AH154,lista_turnos,0),9)*10000000+IFERROR(MATCH('ORDENES'!$AG154,tblTecnicos[nombre],0),99)*100000+151,9000000000000+151)</f>
        <v/>
      </c>
      <c r="M158" s="5">
        <f>IF(K158=1,SUMPRODUCT(--($L$8:$L$1207&lt;L158))+1,"")</f>
        <v/>
      </c>
      <c r="N158" s="17">
        <f>IF(K158=1,N('ORDENES'!$M154),0)</f>
        <v/>
      </c>
      <c r="O158" s="17">
        <f>IF('ORDENES'!$U154="preventiva",N158,0)</f>
        <v/>
      </c>
      <c r="P158" s="17">
        <f>IF('ORDENES'!$U154="correctiva",N158,0)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22">
        <f>IF(K158=1,'ORDENES'!$J154,"")</f>
        <v/>
      </c>
      <c r="U158" s="5">
        <f>IFERROR(MATCH(151,$M$8:$M$1207,0),"")</f>
        <v/>
      </c>
      <c r="V158" s="5">
        <f>IF(U158="","",INDEX(tblOrdenes[dia_semana],U158))</f>
        <v/>
      </c>
      <c r="W158" s="5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5">
        <f>IF(AND(IF($B$3="(todos)",TRUE,'ORDENES'!$O155=$B$3),IF($D$3="(todos)",TRUE,'ORDENES'!$AH155=$D$3),IF($F$3="(todos)",TRUE,'ORDENES'!$Z155=$F$3),IF($H$3="(todos)",TRUE,'ORDENES'!$Y155=$H$3),'ORDENES'!$AF155=TRUE,'ORDENES'!$A155&lt;&gt;""),1,0)</f>
        <v/>
      </c>
      <c r="L159" s="5">
        <f>IF(K159=1,IFERROR(MATCH('ORDENES'!$S155,lista_dias,0),9)*1000000000+IFERROR(MATCH('ORDENES'!$AH155,lista_turnos,0),9)*10000000+IFERROR(MATCH('ORDENES'!$AG155,tblTecnicos[nombre],0),99)*100000+152,9000000000000+152)</f>
        <v/>
      </c>
      <c r="M159" s="5">
        <f>IF(K159=1,SUMPRODUCT(--($L$8:$L$1207&lt;L159))+1,"")</f>
        <v/>
      </c>
      <c r="N159" s="17">
        <f>IF(K159=1,N('ORDENES'!$M155),0)</f>
        <v/>
      </c>
      <c r="O159" s="17">
        <f>IF('ORDENES'!$U155="preventiva",N159,0)</f>
        <v/>
      </c>
      <c r="P159" s="17">
        <f>IF('ORDENES'!$U155="correctiva",N159,0)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22">
        <f>IF(K159=1,'ORDENES'!$J155,"")</f>
        <v/>
      </c>
      <c r="U159" s="5">
        <f>IFERROR(MATCH(152,$M$8:$M$1207,0),"")</f>
        <v/>
      </c>
      <c r="V159" s="5">
        <f>IF(U159="","",INDEX(tblOrdenes[dia_semana],U159))</f>
        <v/>
      </c>
      <c r="W159" s="5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5">
        <f>IF(AND(IF($B$3="(todos)",TRUE,'ORDENES'!$O156=$B$3),IF($D$3="(todos)",TRUE,'ORDENES'!$AH156=$D$3),IF($F$3="(todos)",TRUE,'ORDENES'!$Z156=$F$3),IF($H$3="(todos)",TRUE,'ORDENES'!$Y156=$H$3),'ORDENES'!$AF156=TRUE,'ORDENES'!$A156&lt;&gt;""),1,0)</f>
        <v/>
      </c>
      <c r="L160" s="5">
        <f>IF(K160=1,IFERROR(MATCH('ORDENES'!$S156,lista_dias,0),9)*1000000000+IFERROR(MATCH('ORDENES'!$AH156,lista_turnos,0),9)*10000000+IFERROR(MATCH('ORDENES'!$AG156,tblTecnicos[nombre],0),99)*100000+153,9000000000000+153)</f>
        <v/>
      </c>
      <c r="M160" s="5">
        <f>IF(K160=1,SUMPRODUCT(--($L$8:$L$1207&lt;L160))+1,"")</f>
        <v/>
      </c>
      <c r="N160" s="17">
        <f>IF(K160=1,N('ORDENES'!$M156),0)</f>
        <v/>
      </c>
      <c r="O160" s="17">
        <f>IF('ORDENES'!$U156="preventiva",N160,0)</f>
        <v/>
      </c>
      <c r="P160" s="17">
        <f>IF('ORDENES'!$U156="correctiva",N160,0)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22">
        <f>IF(K160=1,'ORDENES'!$J156,"")</f>
        <v/>
      </c>
      <c r="U160" s="5">
        <f>IFERROR(MATCH(153,$M$8:$M$1207,0),"")</f>
        <v/>
      </c>
      <c r="V160" s="5">
        <f>IF(U160="","",INDEX(tblOrdenes[dia_semana],U160))</f>
        <v/>
      </c>
      <c r="W160" s="5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5">
        <f>IF(AND(IF($B$3="(todos)",TRUE,'ORDENES'!$O157=$B$3),IF($D$3="(todos)",TRUE,'ORDENES'!$AH157=$D$3),IF($F$3="(todos)",TRUE,'ORDENES'!$Z157=$F$3),IF($H$3="(todos)",TRUE,'ORDENES'!$Y157=$H$3),'ORDENES'!$AF157=TRUE,'ORDENES'!$A157&lt;&gt;""),1,0)</f>
        <v/>
      </c>
      <c r="L161" s="5">
        <f>IF(K161=1,IFERROR(MATCH('ORDENES'!$S157,lista_dias,0),9)*1000000000+IFERROR(MATCH('ORDENES'!$AH157,lista_turnos,0),9)*10000000+IFERROR(MATCH('ORDENES'!$AG157,tblTecnicos[nombre],0),99)*100000+154,9000000000000+154)</f>
        <v/>
      </c>
      <c r="M161" s="5">
        <f>IF(K161=1,SUMPRODUCT(--($L$8:$L$1207&lt;L161))+1,"")</f>
        <v/>
      </c>
      <c r="N161" s="17">
        <f>IF(K161=1,N('ORDENES'!$M157),0)</f>
        <v/>
      </c>
      <c r="O161" s="17">
        <f>IF('ORDENES'!$U157="preventiva",N161,0)</f>
        <v/>
      </c>
      <c r="P161" s="17">
        <f>IF('ORDENES'!$U157="correctiva",N161,0)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22">
        <f>IF(K161=1,'ORDENES'!$J157,"")</f>
        <v/>
      </c>
      <c r="U161" s="5">
        <f>IFERROR(MATCH(154,$M$8:$M$1207,0),"")</f>
        <v/>
      </c>
      <c r="V161" s="5">
        <f>IF(U161="","",INDEX(tblOrdenes[dia_semana],U161))</f>
        <v/>
      </c>
      <c r="W161" s="5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5">
        <f>IF(AND(IF($B$3="(todos)",TRUE,'ORDENES'!$O158=$B$3),IF($D$3="(todos)",TRUE,'ORDENES'!$AH158=$D$3),IF($F$3="(todos)",TRUE,'ORDENES'!$Z158=$F$3),IF($H$3="(todos)",TRUE,'ORDENES'!$Y158=$H$3),'ORDENES'!$AF158=TRUE,'ORDENES'!$A158&lt;&gt;""),1,0)</f>
        <v/>
      </c>
      <c r="L162" s="5">
        <f>IF(K162=1,IFERROR(MATCH('ORDENES'!$S158,lista_dias,0),9)*1000000000+IFERROR(MATCH('ORDENES'!$AH158,lista_turnos,0),9)*10000000+IFERROR(MATCH('ORDENES'!$AG158,tblTecnicos[nombre],0),99)*100000+155,9000000000000+155)</f>
        <v/>
      </c>
      <c r="M162" s="5">
        <f>IF(K162=1,SUMPRODUCT(--($L$8:$L$1207&lt;L162))+1,"")</f>
        <v/>
      </c>
      <c r="N162" s="17">
        <f>IF(K162=1,N('ORDENES'!$M158),0)</f>
        <v/>
      </c>
      <c r="O162" s="17">
        <f>IF('ORDENES'!$U158="preventiva",N162,0)</f>
        <v/>
      </c>
      <c r="P162" s="17">
        <f>IF('ORDENES'!$U158="correctiva",N162,0)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22">
        <f>IF(K162=1,'ORDENES'!$J158,"")</f>
        <v/>
      </c>
      <c r="U162" s="5">
        <f>IFERROR(MATCH(155,$M$8:$M$1207,0),"")</f>
        <v/>
      </c>
      <c r="V162" s="5">
        <f>IF(U162="","",INDEX(tblOrdenes[dia_semana],U162))</f>
        <v/>
      </c>
      <c r="W162" s="5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5">
        <f>IF(AND(IF($B$3="(todos)",TRUE,'ORDENES'!$O159=$B$3),IF($D$3="(todos)",TRUE,'ORDENES'!$AH159=$D$3),IF($F$3="(todos)",TRUE,'ORDENES'!$Z159=$F$3),IF($H$3="(todos)",TRUE,'ORDENES'!$Y159=$H$3),'ORDENES'!$AF159=TRUE,'ORDENES'!$A159&lt;&gt;""),1,0)</f>
        <v/>
      </c>
      <c r="L163" s="5">
        <f>IF(K163=1,IFERROR(MATCH('ORDENES'!$S159,lista_dias,0),9)*1000000000+IFERROR(MATCH('ORDENES'!$AH159,lista_turnos,0),9)*10000000+IFERROR(MATCH('ORDENES'!$AG159,tblTecnicos[nombre],0),99)*100000+156,9000000000000+156)</f>
        <v/>
      </c>
      <c r="M163" s="5">
        <f>IF(K163=1,SUMPRODUCT(--($L$8:$L$1207&lt;L163))+1,"")</f>
        <v/>
      </c>
      <c r="N163" s="17">
        <f>IF(K163=1,N('ORDENES'!$M159),0)</f>
        <v/>
      </c>
      <c r="O163" s="17">
        <f>IF('ORDENES'!$U159="preventiva",N163,0)</f>
        <v/>
      </c>
      <c r="P163" s="17">
        <f>IF('ORDENES'!$U159="correctiva",N163,0)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22">
        <f>IF(K163=1,'ORDENES'!$J159,"")</f>
        <v/>
      </c>
      <c r="U163" s="5">
        <f>IFERROR(MATCH(156,$M$8:$M$1207,0),"")</f>
        <v/>
      </c>
      <c r="V163" s="5">
        <f>IF(U163="","",INDEX(tblOrdenes[dia_semana],U163))</f>
        <v/>
      </c>
      <c r="W163" s="5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5">
        <f>IF(AND(IF($B$3="(todos)",TRUE,'ORDENES'!$O160=$B$3),IF($D$3="(todos)",TRUE,'ORDENES'!$AH160=$D$3),IF($F$3="(todos)",TRUE,'ORDENES'!$Z160=$F$3),IF($H$3="(todos)",TRUE,'ORDENES'!$Y160=$H$3),'ORDENES'!$AF160=TRUE,'ORDENES'!$A160&lt;&gt;""),1,0)</f>
        <v/>
      </c>
      <c r="L164" s="5">
        <f>IF(K164=1,IFERROR(MATCH('ORDENES'!$S160,lista_dias,0),9)*1000000000+IFERROR(MATCH('ORDENES'!$AH160,lista_turnos,0),9)*10000000+IFERROR(MATCH('ORDENES'!$AG160,tblTecnicos[nombre],0),99)*100000+157,9000000000000+157)</f>
        <v/>
      </c>
      <c r="M164" s="5">
        <f>IF(K164=1,SUMPRODUCT(--($L$8:$L$1207&lt;L164))+1,"")</f>
        <v/>
      </c>
      <c r="N164" s="17">
        <f>IF(K164=1,N('ORDENES'!$M160),0)</f>
        <v/>
      </c>
      <c r="O164" s="17">
        <f>IF('ORDENES'!$U160="preventiva",N164,0)</f>
        <v/>
      </c>
      <c r="P164" s="17">
        <f>IF('ORDENES'!$U160="correctiva",N164,0)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22">
        <f>IF(K164=1,'ORDENES'!$J160,"")</f>
        <v/>
      </c>
      <c r="U164" s="5">
        <f>IFERROR(MATCH(157,$M$8:$M$1207,0),"")</f>
        <v/>
      </c>
      <c r="V164" s="5">
        <f>IF(U164="","",INDEX(tblOrdenes[dia_semana],U164))</f>
        <v/>
      </c>
      <c r="W164" s="5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5">
        <f>IF(AND(IF($B$3="(todos)",TRUE,'ORDENES'!$O161=$B$3),IF($D$3="(todos)",TRUE,'ORDENES'!$AH161=$D$3),IF($F$3="(todos)",TRUE,'ORDENES'!$Z161=$F$3),IF($H$3="(todos)",TRUE,'ORDENES'!$Y161=$H$3),'ORDENES'!$AF161=TRUE,'ORDENES'!$A161&lt;&gt;""),1,0)</f>
        <v/>
      </c>
      <c r="L165" s="5">
        <f>IF(K165=1,IFERROR(MATCH('ORDENES'!$S161,lista_dias,0),9)*1000000000+IFERROR(MATCH('ORDENES'!$AH161,lista_turnos,0),9)*10000000+IFERROR(MATCH('ORDENES'!$AG161,tblTecnicos[nombre],0),99)*100000+158,9000000000000+158)</f>
        <v/>
      </c>
      <c r="M165" s="5">
        <f>IF(K165=1,SUMPRODUCT(--($L$8:$L$1207&lt;L165))+1,"")</f>
        <v/>
      </c>
      <c r="N165" s="17">
        <f>IF(K165=1,N('ORDENES'!$M161),0)</f>
        <v/>
      </c>
      <c r="O165" s="17">
        <f>IF('ORDENES'!$U161="preventiva",N165,0)</f>
        <v/>
      </c>
      <c r="P165" s="17">
        <f>IF('ORDENES'!$U161="correctiva",N165,0)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22">
        <f>IF(K165=1,'ORDENES'!$J161,"")</f>
        <v/>
      </c>
      <c r="U165" s="5">
        <f>IFERROR(MATCH(158,$M$8:$M$1207,0),"")</f>
        <v/>
      </c>
      <c r="V165" s="5">
        <f>IF(U165="","",INDEX(tblOrdenes[dia_semana],U165))</f>
        <v/>
      </c>
      <c r="W165" s="5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5">
        <f>IF(AND(IF($B$3="(todos)",TRUE,'ORDENES'!$O162=$B$3),IF($D$3="(todos)",TRUE,'ORDENES'!$AH162=$D$3),IF($F$3="(todos)",TRUE,'ORDENES'!$Z162=$F$3),IF($H$3="(todos)",TRUE,'ORDENES'!$Y162=$H$3),'ORDENES'!$AF162=TRUE,'ORDENES'!$A162&lt;&gt;""),1,0)</f>
        <v/>
      </c>
      <c r="L166" s="5">
        <f>IF(K166=1,IFERROR(MATCH('ORDENES'!$S162,lista_dias,0),9)*1000000000+IFERROR(MATCH('ORDENES'!$AH162,lista_turnos,0),9)*10000000+IFERROR(MATCH('ORDENES'!$AG162,tblTecnicos[nombre],0),99)*100000+159,9000000000000+159)</f>
        <v/>
      </c>
      <c r="M166" s="5">
        <f>IF(K166=1,SUMPRODUCT(--($L$8:$L$1207&lt;L166))+1,"")</f>
        <v/>
      </c>
      <c r="N166" s="17">
        <f>IF(K166=1,N('ORDENES'!$M162),0)</f>
        <v/>
      </c>
      <c r="O166" s="17">
        <f>IF('ORDENES'!$U162="preventiva",N166,0)</f>
        <v/>
      </c>
      <c r="P166" s="17">
        <f>IF('ORDENES'!$U162="correctiva",N166,0)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22">
        <f>IF(K166=1,'ORDENES'!$J162,"")</f>
        <v/>
      </c>
      <c r="U166" s="5">
        <f>IFERROR(MATCH(159,$M$8:$M$1207,0),"")</f>
        <v/>
      </c>
      <c r="V166" s="5">
        <f>IF(U166="","",INDEX(tblOrdenes[dia_semana],U166))</f>
        <v/>
      </c>
      <c r="W166" s="5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5">
        <f>IF(AND(IF($B$3="(todos)",TRUE,'ORDENES'!$O163=$B$3),IF($D$3="(todos)",TRUE,'ORDENES'!$AH163=$D$3),IF($F$3="(todos)",TRUE,'ORDENES'!$Z163=$F$3),IF($H$3="(todos)",TRUE,'ORDENES'!$Y163=$H$3),'ORDENES'!$AF163=TRUE,'ORDENES'!$A163&lt;&gt;""),1,0)</f>
        <v/>
      </c>
      <c r="L167" s="5">
        <f>IF(K167=1,IFERROR(MATCH('ORDENES'!$S163,lista_dias,0),9)*1000000000+IFERROR(MATCH('ORDENES'!$AH163,lista_turnos,0),9)*10000000+IFERROR(MATCH('ORDENES'!$AG163,tblTecnicos[nombre],0),99)*100000+160,9000000000000+160)</f>
        <v/>
      </c>
      <c r="M167" s="5">
        <f>IF(K167=1,SUMPRODUCT(--($L$8:$L$1207&lt;L167))+1,"")</f>
        <v/>
      </c>
      <c r="N167" s="17">
        <f>IF(K167=1,N('ORDENES'!$M163),0)</f>
        <v/>
      </c>
      <c r="O167" s="17">
        <f>IF('ORDENES'!$U163="preventiva",N167,0)</f>
        <v/>
      </c>
      <c r="P167" s="17">
        <f>IF('ORDENES'!$U163="correctiva",N167,0)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22">
        <f>IF(K167=1,'ORDENES'!$J163,"")</f>
        <v/>
      </c>
      <c r="U167" s="5">
        <f>IFERROR(MATCH(160,$M$8:$M$1207,0),"")</f>
        <v/>
      </c>
      <c r="V167" s="5">
        <f>IF(U167="","",INDEX(tblOrdenes[dia_semana],U167))</f>
        <v/>
      </c>
      <c r="W167" s="5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5">
        <f>IF(AND(IF($B$3="(todos)",TRUE,'ORDENES'!$O164=$B$3),IF($D$3="(todos)",TRUE,'ORDENES'!$AH164=$D$3),IF($F$3="(todos)",TRUE,'ORDENES'!$Z164=$F$3),IF($H$3="(todos)",TRUE,'ORDENES'!$Y164=$H$3),'ORDENES'!$AF164=TRUE,'ORDENES'!$A164&lt;&gt;""),1,0)</f>
        <v/>
      </c>
      <c r="L168" s="5">
        <f>IF(K168=1,IFERROR(MATCH('ORDENES'!$S164,lista_dias,0),9)*1000000000+IFERROR(MATCH('ORDENES'!$AH164,lista_turnos,0),9)*10000000+IFERROR(MATCH('ORDENES'!$AG164,tblTecnicos[nombre],0),99)*100000+161,9000000000000+161)</f>
        <v/>
      </c>
      <c r="M168" s="5">
        <f>IF(K168=1,SUMPRODUCT(--($L$8:$L$1207&lt;L168))+1,"")</f>
        <v/>
      </c>
      <c r="N168" s="17">
        <f>IF(K168=1,N('ORDENES'!$M164),0)</f>
        <v/>
      </c>
      <c r="O168" s="17">
        <f>IF('ORDENES'!$U164="preventiva",N168,0)</f>
        <v/>
      </c>
      <c r="P168" s="17">
        <f>IF('ORDENES'!$U164="correctiva",N168,0)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22">
        <f>IF(K168=1,'ORDENES'!$J164,"")</f>
        <v/>
      </c>
      <c r="U168" s="5">
        <f>IFERROR(MATCH(161,$M$8:$M$1207,0),"")</f>
        <v/>
      </c>
      <c r="V168" s="5">
        <f>IF(U168="","",INDEX(tblOrdenes[dia_semana],U168))</f>
        <v/>
      </c>
      <c r="W168" s="5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5">
        <f>IF(AND(IF($B$3="(todos)",TRUE,'ORDENES'!$O165=$B$3),IF($D$3="(todos)",TRUE,'ORDENES'!$AH165=$D$3),IF($F$3="(todos)",TRUE,'ORDENES'!$Z165=$F$3),IF($H$3="(todos)",TRUE,'ORDENES'!$Y165=$H$3),'ORDENES'!$AF165=TRUE,'ORDENES'!$A165&lt;&gt;""),1,0)</f>
        <v/>
      </c>
      <c r="L169" s="5">
        <f>IF(K169=1,IFERROR(MATCH('ORDENES'!$S165,lista_dias,0),9)*1000000000+IFERROR(MATCH('ORDENES'!$AH165,lista_turnos,0),9)*10000000+IFERROR(MATCH('ORDENES'!$AG165,tblTecnicos[nombre],0),99)*100000+162,9000000000000+162)</f>
        <v/>
      </c>
      <c r="M169" s="5">
        <f>IF(K169=1,SUMPRODUCT(--($L$8:$L$1207&lt;L169))+1,"")</f>
        <v/>
      </c>
      <c r="N169" s="17">
        <f>IF(K169=1,N('ORDENES'!$M165),0)</f>
        <v/>
      </c>
      <c r="O169" s="17">
        <f>IF('ORDENES'!$U165="preventiva",N169,0)</f>
        <v/>
      </c>
      <c r="P169" s="17">
        <f>IF('ORDENES'!$U165="correctiva",N169,0)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22">
        <f>IF(K169=1,'ORDENES'!$J165,"")</f>
        <v/>
      </c>
      <c r="U169" s="5">
        <f>IFERROR(MATCH(162,$M$8:$M$1207,0),"")</f>
        <v/>
      </c>
      <c r="V169" s="5">
        <f>IF(U169="","",INDEX(tblOrdenes[dia_semana],U169))</f>
        <v/>
      </c>
      <c r="W169" s="5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5">
        <f>IF(AND(IF($B$3="(todos)",TRUE,'ORDENES'!$O166=$B$3),IF($D$3="(todos)",TRUE,'ORDENES'!$AH166=$D$3),IF($F$3="(todos)",TRUE,'ORDENES'!$Z166=$F$3),IF($H$3="(todos)",TRUE,'ORDENES'!$Y166=$H$3),'ORDENES'!$AF166=TRUE,'ORDENES'!$A166&lt;&gt;""),1,0)</f>
        <v/>
      </c>
      <c r="L170" s="5">
        <f>IF(K170=1,IFERROR(MATCH('ORDENES'!$S166,lista_dias,0),9)*1000000000+IFERROR(MATCH('ORDENES'!$AH166,lista_turnos,0),9)*10000000+IFERROR(MATCH('ORDENES'!$AG166,tblTecnicos[nombre],0),99)*100000+163,9000000000000+163)</f>
        <v/>
      </c>
      <c r="M170" s="5">
        <f>IF(K170=1,SUMPRODUCT(--($L$8:$L$1207&lt;L170))+1,"")</f>
        <v/>
      </c>
      <c r="N170" s="17">
        <f>IF(K170=1,N('ORDENES'!$M166),0)</f>
        <v/>
      </c>
      <c r="O170" s="17">
        <f>IF('ORDENES'!$U166="preventiva",N170,0)</f>
        <v/>
      </c>
      <c r="P170" s="17">
        <f>IF('ORDENES'!$U166="correctiva",N170,0)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22">
        <f>IF(K170=1,'ORDENES'!$J166,"")</f>
        <v/>
      </c>
      <c r="U170" s="5">
        <f>IFERROR(MATCH(163,$M$8:$M$1207,0),"")</f>
        <v/>
      </c>
      <c r="V170" s="5">
        <f>IF(U170="","",INDEX(tblOrdenes[dia_semana],U170))</f>
        <v/>
      </c>
      <c r="W170" s="5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5">
        <f>IF(AND(IF($B$3="(todos)",TRUE,'ORDENES'!$O167=$B$3),IF($D$3="(todos)",TRUE,'ORDENES'!$AH167=$D$3),IF($F$3="(todos)",TRUE,'ORDENES'!$Z167=$F$3),IF($H$3="(todos)",TRUE,'ORDENES'!$Y167=$H$3),'ORDENES'!$AF167=TRUE,'ORDENES'!$A167&lt;&gt;""),1,0)</f>
        <v/>
      </c>
      <c r="L171" s="5">
        <f>IF(K171=1,IFERROR(MATCH('ORDENES'!$S167,lista_dias,0),9)*1000000000+IFERROR(MATCH('ORDENES'!$AH167,lista_turnos,0),9)*10000000+IFERROR(MATCH('ORDENES'!$AG167,tblTecnicos[nombre],0),99)*100000+164,9000000000000+164)</f>
        <v/>
      </c>
      <c r="M171" s="5">
        <f>IF(K171=1,SUMPRODUCT(--($L$8:$L$1207&lt;L171))+1,"")</f>
        <v/>
      </c>
      <c r="N171" s="17">
        <f>IF(K171=1,N('ORDENES'!$M167),0)</f>
        <v/>
      </c>
      <c r="O171" s="17">
        <f>IF('ORDENES'!$U167="preventiva",N171,0)</f>
        <v/>
      </c>
      <c r="P171" s="17">
        <f>IF('ORDENES'!$U167="correctiva",N171,0)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22">
        <f>IF(K171=1,'ORDENES'!$J167,"")</f>
        <v/>
      </c>
      <c r="U171" s="5">
        <f>IFERROR(MATCH(164,$M$8:$M$1207,0),"")</f>
        <v/>
      </c>
      <c r="V171" s="5">
        <f>IF(U171="","",INDEX(tblOrdenes[dia_semana],U171))</f>
        <v/>
      </c>
      <c r="W171" s="5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5">
        <f>IF(AND(IF($B$3="(todos)",TRUE,'ORDENES'!$O168=$B$3),IF($D$3="(todos)",TRUE,'ORDENES'!$AH168=$D$3),IF($F$3="(todos)",TRUE,'ORDENES'!$Z168=$F$3),IF($H$3="(todos)",TRUE,'ORDENES'!$Y168=$H$3),'ORDENES'!$AF168=TRUE,'ORDENES'!$A168&lt;&gt;""),1,0)</f>
        <v/>
      </c>
      <c r="L172" s="5">
        <f>IF(K172=1,IFERROR(MATCH('ORDENES'!$S168,lista_dias,0),9)*1000000000+IFERROR(MATCH('ORDENES'!$AH168,lista_turnos,0),9)*10000000+IFERROR(MATCH('ORDENES'!$AG168,tblTecnicos[nombre],0),99)*100000+165,9000000000000+165)</f>
        <v/>
      </c>
      <c r="M172" s="5">
        <f>IF(K172=1,SUMPRODUCT(--($L$8:$L$1207&lt;L172))+1,"")</f>
        <v/>
      </c>
      <c r="N172" s="17">
        <f>IF(K172=1,N('ORDENES'!$M168),0)</f>
        <v/>
      </c>
      <c r="O172" s="17">
        <f>IF('ORDENES'!$U168="preventiva",N172,0)</f>
        <v/>
      </c>
      <c r="P172" s="17">
        <f>IF('ORDENES'!$U168="correctiva",N172,0)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22">
        <f>IF(K172=1,'ORDENES'!$J168,"")</f>
        <v/>
      </c>
      <c r="U172" s="5">
        <f>IFERROR(MATCH(165,$M$8:$M$1207,0),"")</f>
        <v/>
      </c>
      <c r="V172" s="5">
        <f>IF(U172="","",INDEX(tblOrdenes[dia_semana],U172))</f>
        <v/>
      </c>
      <c r="W172" s="5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5">
        <f>IF(AND(IF($B$3="(todos)",TRUE,'ORDENES'!$O169=$B$3),IF($D$3="(todos)",TRUE,'ORDENES'!$AH169=$D$3),IF($F$3="(todos)",TRUE,'ORDENES'!$Z169=$F$3),IF($H$3="(todos)",TRUE,'ORDENES'!$Y169=$H$3),'ORDENES'!$AF169=TRUE,'ORDENES'!$A169&lt;&gt;""),1,0)</f>
        <v/>
      </c>
      <c r="L173" s="5">
        <f>IF(K173=1,IFERROR(MATCH('ORDENES'!$S169,lista_dias,0),9)*1000000000+IFERROR(MATCH('ORDENES'!$AH169,lista_turnos,0),9)*10000000+IFERROR(MATCH('ORDENES'!$AG169,tblTecnicos[nombre],0),99)*100000+166,9000000000000+166)</f>
        <v/>
      </c>
      <c r="M173" s="5">
        <f>IF(K173=1,SUMPRODUCT(--($L$8:$L$1207&lt;L173))+1,"")</f>
        <v/>
      </c>
      <c r="N173" s="17">
        <f>IF(K173=1,N('ORDENES'!$M169),0)</f>
        <v/>
      </c>
      <c r="O173" s="17">
        <f>IF('ORDENES'!$U169="preventiva",N173,0)</f>
        <v/>
      </c>
      <c r="P173" s="17">
        <f>IF('ORDENES'!$U169="correctiva",N173,0)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22">
        <f>IF(K173=1,'ORDENES'!$J169,"")</f>
        <v/>
      </c>
      <c r="U173" s="5">
        <f>IFERROR(MATCH(166,$M$8:$M$1207,0),"")</f>
        <v/>
      </c>
      <c r="V173" s="5">
        <f>IF(U173="","",INDEX(tblOrdenes[dia_semana],U173))</f>
        <v/>
      </c>
      <c r="W173" s="5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5">
        <f>IF(AND(IF($B$3="(todos)",TRUE,'ORDENES'!$O170=$B$3),IF($D$3="(todos)",TRUE,'ORDENES'!$AH170=$D$3),IF($F$3="(todos)",TRUE,'ORDENES'!$Z170=$F$3),IF($H$3="(todos)",TRUE,'ORDENES'!$Y170=$H$3),'ORDENES'!$AF170=TRUE,'ORDENES'!$A170&lt;&gt;""),1,0)</f>
        <v/>
      </c>
      <c r="L174" s="5">
        <f>IF(K174=1,IFERROR(MATCH('ORDENES'!$S170,lista_dias,0),9)*1000000000+IFERROR(MATCH('ORDENES'!$AH170,lista_turnos,0),9)*10000000+IFERROR(MATCH('ORDENES'!$AG170,tblTecnicos[nombre],0),99)*100000+167,9000000000000+167)</f>
        <v/>
      </c>
      <c r="M174" s="5">
        <f>IF(K174=1,SUMPRODUCT(--($L$8:$L$1207&lt;L174))+1,"")</f>
        <v/>
      </c>
      <c r="N174" s="17">
        <f>IF(K174=1,N('ORDENES'!$M170),0)</f>
        <v/>
      </c>
      <c r="O174" s="17">
        <f>IF('ORDENES'!$U170="preventiva",N174,0)</f>
        <v/>
      </c>
      <c r="P174" s="17">
        <f>IF('ORDENES'!$U170="correctiva",N174,0)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22">
        <f>IF(K174=1,'ORDENES'!$J170,"")</f>
        <v/>
      </c>
      <c r="U174" s="5">
        <f>IFERROR(MATCH(167,$M$8:$M$1207,0),"")</f>
        <v/>
      </c>
      <c r="V174" s="5">
        <f>IF(U174="","",INDEX(tblOrdenes[dia_semana],U174))</f>
        <v/>
      </c>
      <c r="W174" s="5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5">
        <f>IF(AND(IF($B$3="(todos)",TRUE,'ORDENES'!$O171=$B$3),IF($D$3="(todos)",TRUE,'ORDENES'!$AH171=$D$3),IF($F$3="(todos)",TRUE,'ORDENES'!$Z171=$F$3),IF($H$3="(todos)",TRUE,'ORDENES'!$Y171=$H$3),'ORDENES'!$AF171=TRUE,'ORDENES'!$A171&lt;&gt;""),1,0)</f>
        <v/>
      </c>
      <c r="L175" s="5">
        <f>IF(K175=1,IFERROR(MATCH('ORDENES'!$S171,lista_dias,0),9)*1000000000+IFERROR(MATCH('ORDENES'!$AH171,lista_turnos,0),9)*10000000+IFERROR(MATCH('ORDENES'!$AG171,tblTecnicos[nombre],0),99)*100000+168,9000000000000+168)</f>
        <v/>
      </c>
      <c r="M175" s="5">
        <f>IF(K175=1,SUMPRODUCT(--($L$8:$L$1207&lt;L175))+1,"")</f>
        <v/>
      </c>
      <c r="N175" s="17">
        <f>IF(K175=1,N('ORDENES'!$M171),0)</f>
        <v/>
      </c>
      <c r="O175" s="17">
        <f>IF('ORDENES'!$U171="preventiva",N175,0)</f>
        <v/>
      </c>
      <c r="P175" s="17">
        <f>IF('ORDENES'!$U171="correctiva",N175,0)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22">
        <f>IF(K175=1,'ORDENES'!$J171,"")</f>
        <v/>
      </c>
      <c r="U175" s="5">
        <f>IFERROR(MATCH(168,$M$8:$M$1207,0),"")</f>
        <v/>
      </c>
      <c r="V175" s="5">
        <f>IF(U175="","",INDEX(tblOrdenes[dia_semana],U175))</f>
        <v/>
      </c>
      <c r="W175" s="5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5">
        <f>IF(AND(IF($B$3="(todos)",TRUE,'ORDENES'!$O172=$B$3),IF($D$3="(todos)",TRUE,'ORDENES'!$AH172=$D$3),IF($F$3="(todos)",TRUE,'ORDENES'!$Z172=$F$3),IF($H$3="(todos)",TRUE,'ORDENES'!$Y172=$H$3),'ORDENES'!$AF172=TRUE,'ORDENES'!$A172&lt;&gt;""),1,0)</f>
        <v/>
      </c>
      <c r="L176" s="5">
        <f>IF(K176=1,IFERROR(MATCH('ORDENES'!$S172,lista_dias,0),9)*1000000000+IFERROR(MATCH('ORDENES'!$AH172,lista_turnos,0),9)*10000000+IFERROR(MATCH('ORDENES'!$AG172,tblTecnicos[nombre],0),99)*100000+169,9000000000000+169)</f>
        <v/>
      </c>
      <c r="M176" s="5">
        <f>IF(K176=1,SUMPRODUCT(--($L$8:$L$1207&lt;L176))+1,"")</f>
        <v/>
      </c>
      <c r="N176" s="17">
        <f>IF(K176=1,N('ORDENES'!$M172),0)</f>
        <v/>
      </c>
      <c r="O176" s="17">
        <f>IF('ORDENES'!$U172="preventiva",N176,0)</f>
        <v/>
      </c>
      <c r="P176" s="17">
        <f>IF('ORDENES'!$U172="correctiva",N176,0)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22">
        <f>IF(K176=1,'ORDENES'!$J172,"")</f>
        <v/>
      </c>
      <c r="U176" s="5">
        <f>IFERROR(MATCH(169,$M$8:$M$1207,0),"")</f>
        <v/>
      </c>
      <c r="V176" s="5">
        <f>IF(U176="","",INDEX(tblOrdenes[dia_semana],U176))</f>
        <v/>
      </c>
      <c r="W176" s="5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5">
        <f>IF(AND(IF($B$3="(todos)",TRUE,'ORDENES'!$O173=$B$3),IF($D$3="(todos)",TRUE,'ORDENES'!$AH173=$D$3),IF($F$3="(todos)",TRUE,'ORDENES'!$Z173=$F$3),IF($H$3="(todos)",TRUE,'ORDENES'!$Y173=$H$3),'ORDENES'!$AF173=TRUE,'ORDENES'!$A173&lt;&gt;""),1,0)</f>
        <v/>
      </c>
      <c r="L177" s="5">
        <f>IF(K177=1,IFERROR(MATCH('ORDENES'!$S173,lista_dias,0),9)*1000000000+IFERROR(MATCH('ORDENES'!$AH173,lista_turnos,0),9)*10000000+IFERROR(MATCH('ORDENES'!$AG173,tblTecnicos[nombre],0),99)*100000+170,9000000000000+170)</f>
        <v/>
      </c>
      <c r="M177" s="5">
        <f>IF(K177=1,SUMPRODUCT(--($L$8:$L$1207&lt;L177))+1,"")</f>
        <v/>
      </c>
      <c r="N177" s="17">
        <f>IF(K177=1,N('ORDENES'!$M173),0)</f>
        <v/>
      </c>
      <c r="O177" s="17">
        <f>IF('ORDENES'!$U173="preventiva",N177,0)</f>
        <v/>
      </c>
      <c r="P177" s="17">
        <f>IF('ORDENES'!$U173="correctiva",N177,0)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22">
        <f>IF(K177=1,'ORDENES'!$J173,"")</f>
        <v/>
      </c>
      <c r="U177" s="5">
        <f>IFERROR(MATCH(170,$M$8:$M$1207,0),"")</f>
        <v/>
      </c>
      <c r="V177" s="5">
        <f>IF(U177="","",INDEX(tblOrdenes[dia_semana],U177))</f>
        <v/>
      </c>
      <c r="W177" s="5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5">
        <f>IF(AND(IF($B$3="(todos)",TRUE,'ORDENES'!$O174=$B$3),IF($D$3="(todos)",TRUE,'ORDENES'!$AH174=$D$3),IF($F$3="(todos)",TRUE,'ORDENES'!$Z174=$F$3),IF($H$3="(todos)",TRUE,'ORDENES'!$Y174=$H$3),'ORDENES'!$AF174=TRUE,'ORDENES'!$A174&lt;&gt;""),1,0)</f>
        <v/>
      </c>
      <c r="L178" s="5">
        <f>IF(K178=1,IFERROR(MATCH('ORDENES'!$S174,lista_dias,0),9)*1000000000+IFERROR(MATCH('ORDENES'!$AH174,lista_turnos,0),9)*10000000+IFERROR(MATCH('ORDENES'!$AG174,tblTecnicos[nombre],0),99)*100000+171,9000000000000+171)</f>
        <v/>
      </c>
      <c r="M178" s="5">
        <f>IF(K178=1,SUMPRODUCT(--($L$8:$L$1207&lt;L178))+1,"")</f>
        <v/>
      </c>
      <c r="N178" s="17">
        <f>IF(K178=1,N('ORDENES'!$M174),0)</f>
        <v/>
      </c>
      <c r="O178" s="17">
        <f>IF('ORDENES'!$U174="preventiva",N178,0)</f>
        <v/>
      </c>
      <c r="P178" s="17">
        <f>IF('ORDENES'!$U174="correctiva",N178,0)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22">
        <f>IF(K178=1,'ORDENES'!$J174,"")</f>
        <v/>
      </c>
      <c r="U178" s="5">
        <f>IFERROR(MATCH(171,$M$8:$M$1207,0),"")</f>
        <v/>
      </c>
      <c r="V178" s="5">
        <f>IF(U178="","",INDEX(tblOrdenes[dia_semana],U178))</f>
        <v/>
      </c>
      <c r="W178" s="5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5">
        <f>IF(AND(IF($B$3="(todos)",TRUE,'ORDENES'!$O175=$B$3),IF($D$3="(todos)",TRUE,'ORDENES'!$AH175=$D$3),IF($F$3="(todos)",TRUE,'ORDENES'!$Z175=$F$3),IF($H$3="(todos)",TRUE,'ORDENES'!$Y175=$H$3),'ORDENES'!$AF175=TRUE,'ORDENES'!$A175&lt;&gt;""),1,0)</f>
        <v/>
      </c>
      <c r="L179" s="5">
        <f>IF(K179=1,IFERROR(MATCH('ORDENES'!$S175,lista_dias,0),9)*1000000000+IFERROR(MATCH('ORDENES'!$AH175,lista_turnos,0),9)*10000000+IFERROR(MATCH('ORDENES'!$AG175,tblTecnicos[nombre],0),99)*100000+172,9000000000000+172)</f>
        <v/>
      </c>
      <c r="M179" s="5">
        <f>IF(K179=1,SUMPRODUCT(--($L$8:$L$1207&lt;L179))+1,"")</f>
        <v/>
      </c>
      <c r="N179" s="17">
        <f>IF(K179=1,N('ORDENES'!$M175),0)</f>
        <v/>
      </c>
      <c r="O179" s="17">
        <f>IF('ORDENES'!$U175="preventiva",N179,0)</f>
        <v/>
      </c>
      <c r="P179" s="17">
        <f>IF('ORDENES'!$U175="correctiva",N179,0)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22">
        <f>IF(K179=1,'ORDENES'!$J175,"")</f>
        <v/>
      </c>
      <c r="U179" s="5">
        <f>IFERROR(MATCH(172,$M$8:$M$1207,0),"")</f>
        <v/>
      </c>
      <c r="V179" s="5">
        <f>IF(U179="","",INDEX(tblOrdenes[dia_semana],U179))</f>
        <v/>
      </c>
      <c r="W179" s="5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5">
        <f>IF(AND(IF($B$3="(todos)",TRUE,'ORDENES'!$O176=$B$3),IF($D$3="(todos)",TRUE,'ORDENES'!$AH176=$D$3),IF($F$3="(todos)",TRUE,'ORDENES'!$Z176=$F$3),IF($H$3="(todos)",TRUE,'ORDENES'!$Y176=$H$3),'ORDENES'!$AF176=TRUE,'ORDENES'!$A176&lt;&gt;""),1,0)</f>
        <v/>
      </c>
      <c r="L180" s="5">
        <f>IF(K180=1,IFERROR(MATCH('ORDENES'!$S176,lista_dias,0),9)*1000000000+IFERROR(MATCH('ORDENES'!$AH176,lista_turnos,0),9)*10000000+IFERROR(MATCH('ORDENES'!$AG176,tblTecnicos[nombre],0),99)*100000+173,9000000000000+173)</f>
        <v/>
      </c>
      <c r="M180" s="5">
        <f>IF(K180=1,SUMPRODUCT(--($L$8:$L$1207&lt;L180))+1,"")</f>
        <v/>
      </c>
      <c r="N180" s="17">
        <f>IF(K180=1,N('ORDENES'!$M176),0)</f>
        <v/>
      </c>
      <c r="O180" s="17">
        <f>IF('ORDENES'!$U176="preventiva",N180,0)</f>
        <v/>
      </c>
      <c r="P180" s="17">
        <f>IF('ORDENES'!$U176="correctiva",N180,0)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22">
        <f>IF(K180=1,'ORDENES'!$J176,"")</f>
        <v/>
      </c>
      <c r="U180" s="5">
        <f>IFERROR(MATCH(173,$M$8:$M$1207,0),"")</f>
        <v/>
      </c>
      <c r="V180" s="5">
        <f>IF(U180="","",INDEX(tblOrdenes[dia_semana],U180))</f>
        <v/>
      </c>
      <c r="W180" s="5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5">
        <f>IF(AND(IF($B$3="(todos)",TRUE,'ORDENES'!$O177=$B$3),IF($D$3="(todos)",TRUE,'ORDENES'!$AH177=$D$3),IF($F$3="(todos)",TRUE,'ORDENES'!$Z177=$F$3),IF($H$3="(todos)",TRUE,'ORDENES'!$Y177=$H$3),'ORDENES'!$AF177=TRUE,'ORDENES'!$A177&lt;&gt;""),1,0)</f>
        <v/>
      </c>
      <c r="L181" s="5">
        <f>IF(K181=1,IFERROR(MATCH('ORDENES'!$S177,lista_dias,0),9)*1000000000+IFERROR(MATCH('ORDENES'!$AH177,lista_turnos,0),9)*10000000+IFERROR(MATCH('ORDENES'!$AG177,tblTecnicos[nombre],0),99)*100000+174,9000000000000+174)</f>
        <v/>
      </c>
      <c r="M181" s="5">
        <f>IF(K181=1,SUMPRODUCT(--($L$8:$L$1207&lt;L181))+1,"")</f>
        <v/>
      </c>
      <c r="N181" s="17">
        <f>IF(K181=1,N('ORDENES'!$M177),0)</f>
        <v/>
      </c>
      <c r="O181" s="17">
        <f>IF('ORDENES'!$U177="preventiva",N181,0)</f>
        <v/>
      </c>
      <c r="P181" s="17">
        <f>IF('ORDENES'!$U177="correctiva",N181,0)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22">
        <f>IF(K181=1,'ORDENES'!$J177,"")</f>
        <v/>
      </c>
      <c r="U181" s="5">
        <f>IFERROR(MATCH(174,$M$8:$M$1207,0),"")</f>
        <v/>
      </c>
      <c r="V181" s="5">
        <f>IF(U181="","",INDEX(tblOrdenes[dia_semana],U181))</f>
        <v/>
      </c>
      <c r="W181" s="5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5">
        <f>IF(AND(IF($B$3="(todos)",TRUE,'ORDENES'!$O178=$B$3),IF($D$3="(todos)",TRUE,'ORDENES'!$AH178=$D$3),IF($F$3="(todos)",TRUE,'ORDENES'!$Z178=$F$3),IF($H$3="(todos)",TRUE,'ORDENES'!$Y178=$H$3),'ORDENES'!$AF178=TRUE,'ORDENES'!$A178&lt;&gt;""),1,0)</f>
        <v/>
      </c>
      <c r="L182" s="5">
        <f>IF(K182=1,IFERROR(MATCH('ORDENES'!$S178,lista_dias,0),9)*1000000000+IFERROR(MATCH('ORDENES'!$AH178,lista_turnos,0),9)*10000000+IFERROR(MATCH('ORDENES'!$AG178,tblTecnicos[nombre],0),99)*100000+175,9000000000000+175)</f>
        <v/>
      </c>
      <c r="M182" s="5">
        <f>IF(K182=1,SUMPRODUCT(--($L$8:$L$1207&lt;L182))+1,"")</f>
        <v/>
      </c>
      <c r="N182" s="17">
        <f>IF(K182=1,N('ORDENES'!$M178),0)</f>
        <v/>
      </c>
      <c r="O182" s="17">
        <f>IF('ORDENES'!$U178="preventiva",N182,0)</f>
        <v/>
      </c>
      <c r="P182" s="17">
        <f>IF('ORDENES'!$U178="correctiva",N182,0)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22">
        <f>IF(K182=1,'ORDENES'!$J178,"")</f>
        <v/>
      </c>
      <c r="U182" s="5">
        <f>IFERROR(MATCH(175,$M$8:$M$1207,0),"")</f>
        <v/>
      </c>
      <c r="V182" s="5">
        <f>IF(U182="","",INDEX(tblOrdenes[dia_semana],U182))</f>
        <v/>
      </c>
      <c r="W182" s="5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5">
        <f>IF(AND(IF($B$3="(todos)",TRUE,'ORDENES'!$O179=$B$3),IF($D$3="(todos)",TRUE,'ORDENES'!$AH179=$D$3),IF($F$3="(todos)",TRUE,'ORDENES'!$Z179=$F$3),IF($H$3="(todos)",TRUE,'ORDENES'!$Y179=$H$3),'ORDENES'!$AF179=TRUE,'ORDENES'!$A179&lt;&gt;""),1,0)</f>
        <v/>
      </c>
      <c r="L183" s="5">
        <f>IF(K183=1,IFERROR(MATCH('ORDENES'!$S179,lista_dias,0),9)*1000000000+IFERROR(MATCH('ORDENES'!$AH179,lista_turnos,0),9)*10000000+IFERROR(MATCH('ORDENES'!$AG179,tblTecnicos[nombre],0),99)*100000+176,9000000000000+176)</f>
        <v/>
      </c>
      <c r="M183" s="5">
        <f>IF(K183=1,SUMPRODUCT(--($L$8:$L$1207&lt;L183))+1,"")</f>
        <v/>
      </c>
      <c r="N183" s="17">
        <f>IF(K183=1,N('ORDENES'!$M179),0)</f>
        <v/>
      </c>
      <c r="O183" s="17">
        <f>IF('ORDENES'!$U179="preventiva",N183,0)</f>
        <v/>
      </c>
      <c r="P183" s="17">
        <f>IF('ORDENES'!$U179="correctiva",N183,0)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22">
        <f>IF(K183=1,'ORDENES'!$J179,"")</f>
        <v/>
      </c>
      <c r="U183" s="5">
        <f>IFERROR(MATCH(176,$M$8:$M$1207,0),"")</f>
        <v/>
      </c>
      <c r="V183" s="5">
        <f>IF(U183="","",INDEX(tblOrdenes[dia_semana],U183))</f>
        <v/>
      </c>
      <c r="W183" s="5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5">
        <f>IF(AND(IF($B$3="(todos)",TRUE,'ORDENES'!$O180=$B$3),IF($D$3="(todos)",TRUE,'ORDENES'!$AH180=$D$3),IF($F$3="(todos)",TRUE,'ORDENES'!$Z180=$F$3),IF($H$3="(todos)",TRUE,'ORDENES'!$Y180=$H$3),'ORDENES'!$AF180=TRUE,'ORDENES'!$A180&lt;&gt;""),1,0)</f>
        <v/>
      </c>
      <c r="L184" s="5">
        <f>IF(K184=1,IFERROR(MATCH('ORDENES'!$S180,lista_dias,0),9)*1000000000+IFERROR(MATCH('ORDENES'!$AH180,lista_turnos,0),9)*10000000+IFERROR(MATCH('ORDENES'!$AG180,tblTecnicos[nombre],0),99)*100000+177,9000000000000+177)</f>
        <v/>
      </c>
      <c r="M184" s="5">
        <f>IF(K184=1,SUMPRODUCT(--($L$8:$L$1207&lt;L184))+1,"")</f>
        <v/>
      </c>
      <c r="N184" s="17">
        <f>IF(K184=1,N('ORDENES'!$M180),0)</f>
        <v/>
      </c>
      <c r="O184" s="17">
        <f>IF('ORDENES'!$U180="preventiva",N184,0)</f>
        <v/>
      </c>
      <c r="P184" s="17">
        <f>IF('ORDENES'!$U180="correctiva",N184,0)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22">
        <f>IF(K184=1,'ORDENES'!$J180,"")</f>
        <v/>
      </c>
      <c r="U184" s="5">
        <f>IFERROR(MATCH(177,$M$8:$M$1207,0),"")</f>
        <v/>
      </c>
      <c r="V184" s="5">
        <f>IF(U184="","",INDEX(tblOrdenes[dia_semana],U184))</f>
        <v/>
      </c>
      <c r="W184" s="5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5">
        <f>IF(AND(IF($B$3="(todos)",TRUE,'ORDENES'!$O181=$B$3),IF($D$3="(todos)",TRUE,'ORDENES'!$AH181=$D$3),IF($F$3="(todos)",TRUE,'ORDENES'!$Z181=$F$3),IF($H$3="(todos)",TRUE,'ORDENES'!$Y181=$H$3),'ORDENES'!$AF181=TRUE,'ORDENES'!$A181&lt;&gt;""),1,0)</f>
        <v/>
      </c>
      <c r="L185" s="5">
        <f>IF(K185=1,IFERROR(MATCH('ORDENES'!$S181,lista_dias,0),9)*1000000000+IFERROR(MATCH('ORDENES'!$AH181,lista_turnos,0),9)*10000000+IFERROR(MATCH('ORDENES'!$AG181,tblTecnicos[nombre],0),99)*100000+178,9000000000000+178)</f>
        <v/>
      </c>
      <c r="M185" s="5">
        <f>IF(K185=1,SUMPRODUCT(--($L$8:$L$1207&lt;L185))+1,"")</f>
        <v/>
      </c>
      <c r="N185" s="17">
        <f>IF(K185=1,N('ORDENES'!$M181),0)</f>
        <v/>
      </c>
      <c r="O185" s="17">
        <f>IF('ORDENES'!$U181="preventiva",N185,0)</f>
        <v/>
      </c>
      <c r="P185" s="17">
        <f>IF('ORDENES'!$U181="correctiva",N185,0)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22">
        <f>IF(K185=1,'ORDENES'!$J181,"")</f>
        <v/>
      </c>
      <c r="U185" s="5">
        <f>IFERROR(MATCH(178,$M$8:$M$1207,0),"")</f>
        <v/>
      </c>
      <c r="V185" s="5">
        <f>IF(U185="","",INDEX(tblOrdenes[dia_semana],U185))</f>
        <v/>
      </c>
      <c r="W185" s="5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5">
        <f>IF(AND(IF($B$3="(todos)",TRUE,'ORDENES'!$O182=$B$3),IF($D$3="(todos)",TRUE,'ORDENES'!$AH182=$D$3),IF($F$3="(todos)",TRUE,'ORDENES'!$Z182=$F$3),IF($H$3="(todos)",TRUE,'ORDENES'!$Y182=$H$3),'ORDENES'!$AF182=TRUE,'ORDENES'!$A182&lt;&gt;""),1,0)</f>
        <v/>
      </c>
      <c r="L186" s="5">
        <f>IF(K186=1,IFERROR(MATCH('ORDENES'!$S182,lista_dias,0),9)*1000000000+IFERROR(MATCH('ORDENES'!$AH182,lista_turnos,0),9)*10000000+IFERROR(MATCH('ORDENES'!$AG182,tblTecnicos[nombre],0),99)*100000+179,9000000000000+179)</f>
        <v/>
      </c>
      <c r="M186" s="5">
        <f>IF(K186=1,SUMPRODUCT(--($L$8:$L$1207&lt;L186))+1,"")</f>
        <v/>
      </c>
      <c r="N186" s="17">
        <f>IF(K186=1,N('ORDENES'!$M182),0)</f>
        <v/>
      </c>
      <c r="O186" s="17">
        <f>IF('ORDENES'!$U182="preventiva",N186,0)</f>
        <v/>
      </c>
      <c r="P186" s="17">
        <f>IF('ORDENES'!$U182="correctiva",N186,0)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22">
        <f>IF(K186=1,'ORDENES'!$J182,"")</f>
        <v/>
      </c>
      <c r="U186" s="5">
        <f>IFERROR(MATCH(179,$M$8:$M$1207,0),"")</f>
        <v/>
      </c>
      <c r="V186" s="5">
        <f>IF(U186="","",INDEX(tblOrdenes[dia_semana],U186))</f>
        <v/>
      </c>
      <c r="W186" s="5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5">
        <f>IF(AND(IF($B$3="(todos)",TRUE,'ORDENES'!$O183=$B$3),IF($D$3="(todos)",TRUE,'ORDENES'!$AH183=$D$3),IF($F$3="(todos)",TRUE,'ORDENES'!$Z183=$F$3),IF($H$3="(todos)",TRUE,'ORDENES'!$Y183=$H$3),'ORDENES'!$AF183=TRUE,'ORDENES'!$A183&lt;&gt;""),1,0)</f>
        <v/>
      </c>
      <c r="L187" s="5">
        <f>IF(K187=1,IFERROR(MATCH('ORDENES'!$S183,lista_dias,0),9)*1000000000+IFERROR(MATCH('ORDENES'!$AH183,lista_turnos,0),9)*10000000+IFERROR(MATCH('ORDENES'!$AG183,tblTecnicos[nombre],0),99)*100000+180,9000000000000+180)</f>
        <v/>
      </c>
      <c r="M187" s="5">
        <f>IF(K187=1,SUMPRODUCT(--($L$8:$L$1207&lt;L187))+1,"")</f>
        <v/>
      </c>
      <c r="N187" s="17">
        <f>IF(K187=1,N('ORDENES'!$M183),0)</f>
        <v/>
      </c>
      <c r="O187" s="17">
        <f>IF('ORDENES'!$U183="preventiva",N187,0)</f>
        <v/>
      </c>
      <c r="P187" s="17">
        <f>IF('ORDENES'!$U183="correctiva",N187,0)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22">
        <f>IF(K187=1,'ORDENES'!$J183,"")</f>
        <v/>
      </c>
      <c r="U187" s="5">
        <f>IFERROR(MATCH(180,$M$8:$M$1207,0),"")</f>
        <v/>
      </c>
      <c r="V187" s="5">
        <f>IF(U187="","",INDEX(tblOrdenes[dia_semana],U187))</f>
        <v/>
      </c>
      <c r="W187" s="5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5">
        <f>IF(AND(IF($B$3="(todos)",TRUE,'ORDENES'!$O184=$B$3),IF($D$3="(todos)",TRUE,'ORDENES'!$AH184=$D$3),IF($F$3="(todos)",TRUE,'ORDENES'!$Z184=$F$3),IF($H$3="(todos)",TRUE,'ORDENES'!$Y184=$H$3),'ORDENES'!$AF184=TRUE,'ORDENES'!$A184&lt;&gt;""),1,0)</f>
        <v/>
      </c>
      <c r="L188" s="5">
        <f>IF(K188=1,IFERROR(MATCH('ORDENES'!$S184,lista_dias,0),9)*1000000000+IFERROR(MATCH('ORDENES'!$AH184,lista_turnos,0),9)*10000000+IFERROR(MATCH('ORDENES'!$AG184,tblTecnicos[nombre],0),99)*100000+181,9000000000000+181)</f>
        <v/>
      </c>
      <c r="M188" s="5">
        <f>IF(K188=1,SUMPRODUCT(--($L$8:$L$1207&lt;L188))+1,"")</f>
        <v/>
      </c>
      <c r="N188" s="17">
        <f>IF(K188=1,N('ORDENES'!$M184),0)</f>
        <v/>
      </c>
      <c r="O188" s="17">
        <f>IF('ORDENES'!$U184="preventiva",N188,0)</f>
        <v/>
      </c>
      <c r="P188" s="17">
        <f>IF('ORDENES'!$U184="correctiva",N188,0)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22">
        <f>IF(K188=1,'ORDENES'!$J184,"")</f>
        <v/>
      </c>
      <c r="U188" s="5">
        <f>IFERROR(MATCH(181,$M$8:$M$1207,0),"")</f>
        <v/>
      </c>
      <c r="V188" s="5">
        <f>IF(U188="","",INDEX(tblOrdenes[dia_semana],U188))</f>
        <v/>
      </c>
      <c r="W188" s="5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5">
        <f>IF(AND(IF($B$3="(todos)",TRUE,'ORDENES'!$O185=$B$3),IF($D$3="(todos)",TRUE,'ORDENES'!$AH185=$D$3),IF($F$3="(todos)",TRUE,'ORDENES'!$Z185=$F$3),IF($H$3="(todos)",TRUE,'ORDENES'!$Y185=$H$3),'ORDENES'!$AF185=TRUE,'ORDENES'!$A185&lt;&gt;""),1,0)</f>
        <v/>
      </c>
      <c r="L189" s="5">
        <f>IF(K189=1,IFERROR(MATCH('ORDENES'!$S185,lista_dias,0),9)*1000000000+IFERROR(MATCH('ORDENES'!$AH185,lista_turnos,0),9)*10000000+IFERROR(MATCH('ORDENES'!$AG185,tblTecnicos[nombre],0),99)*100000+182,9000000000000+182)</f>
        <v/>
      </c>
      <c r="M189" s="5">
        <f>IF(K189=1,SUMPRODUCT(--($L$8:$L$1207&lt;L189))+1,"")</f>
        <v/>
      </c>
      <c r="N189" s="17">
        <f>IF(K189=1,N('ORDENES'!$M185),0)</f>
        <v/>
      </c>
      <c r="O189" s="17">
        <f>IF('ORDENES'!$U185="preventiva",N189,0)</f>
        <v/>
      </c>
      <c r="P189" s="17">
        <f>IF('ORDENES'!$U185="correctiva",N189,0)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22">
        <f>IF(K189=1,'ORDENES'!$J185,"")</f>
        <v/>
      </c>
      <c r="U189" s="5">
        <f>IFERROR(MATCH(182,$M$8:$M$1207,0),"")</f>
        <v/>
      </c>
      <c r="V189" s="5">
        <f>IF(U189="","",INDEX(tblOrdenes[dia_semana],U189))</f>
        <v/>
      </c>
      <c r="W189" s="5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5">
        <f>IF(AND(IF($B$3="(todos)",TRUE,'ORDENES'!$O186=$B$3),IF($D$3="(todos)",TRUE,'ORDENES'!$AH186=$D$3),IF($F$3="(todos)",TRUE,'ORDENES'!$Z186=$F$3),IF($H$3="(todos)",TRUE,'ORDENES'!$Y186=$H$3),'ORDENES'!$AF186=TRUE,'ORDENES'!$A186&lt;&gt;""),1,0)</f>
        <v/>
      </c>
      <c r="L190" s="5">
        <f>IF(K190=1,IFERROR(MATCH('ORDENES'!$S186,lista_dias,0),9)*1000000000+IFERROR(MATCH('ORDENES'!$AH186,lista_turnos,0),9)*10000000+IFERROR(MATCH('ORDENES'!$AG186,tblTecnicos[nombre],0),99)*100000+183,9000000000000+183)</f>
        <v/>
      </c>
      <c r="M190" s="5">
        <f>IF(K190=1,SUMPRODUCT(--($L$8:$L$1207&lt;L190))+1,"")</f>
        <v/>
      </c>
      <c r="N190" s="17">
        <f>IF(K190=1,N('ORDENES'!$M186),0)</f>
        <v/>
      </c>
      <c r="O190" s="17">
        <f>IF('ORDENES'!$U186="preventiva",N190,0)</f>
        <v/>
      </c>
      <c r="P190" s="17">
        <f>IF('ORDENES'!$U186="correctiva",N190,0)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22">
        <f>IF(K190=1,'ORDENES'!$J186,"")</f>
        <v/>
      </c>
      <c r="U190" s="5">
        <f>IFERROR(MATCH(183,$M$8:$M$1207,0),"")</f>
        <v/>
      </c>
      <c r="V190" s="5">
        <f>IF(U190="","",INDEX(tblOrdenes[dia_semana],U190))</f>
        <v/>
      </c>
      <c r="W190" s="5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5">
        <f>IF(AND(IF($B$3="(todos)",TRUE,'ORDENES'!$O187=$B$3),IF($D$3="(todos)",TRUE,'ORDENES'!$AH187=$D$3),IF($F$3="(todos)",TRUE,'ORDENES'!$Z187=$F$3),IF($H$3="(todos)",TRUE,'ORDENES'!$Y187=$H$3),'ORDENES'!$AF187=TRUE,'ORDENES'!$A187&lt;&gt;""),1,0)</f>
        <v/>
      </c>
      <c r="L191" s="5">
        <f>IF(K191=1,IFERROR(MATCH('ORDENES'!$S187,lista_dias,0),9)*1000000000+IFERROR(MATCH('ORDENES'!$AH187,lista_turnos,0),9)*10000000+IFERROR(MATCH('ORDENES'!$AG187,tblTecnicos[nombre],0),99)*100000+184,9000000000000+184)</f>
        <v/>
      </c>
      <c r="M191" s="5">
        <f>IF(K191=1,SUMPRODUCT(--($L$8:$L$1207&lt;L191))+1,"")</f>
        <v/>
      </c>
      <c r="N191" s="17">
        <f>IF(K191=1,N('ORDENES'!$M187),0)</f>
        <v/>
      </c>
      <c r="O191" s="17">
        <f>IF('ORDENES'!$U187="preventiva",N191,0)</f>
        <v/>
      </c>
      <c r="P191" s="17">
        <f>IF('ORDENES'!$U187="correctiva",N191,0)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22">
        <f>IF(K191=1,'ORDENES'!$J187,"")</f>
        <v/>
      </c>
      <c r="U191" s="5">
        <f>IFERROR(MATCH(184,$M$8:$M$1207,0),"")</f>
        <v/>
      </c>
      <c r="V191" s="5">
        <f>IF(U191="","",INDEX(tblOrdenes[dia_semana],U191))</f>
        <v/>
      </c>
      <c r="W191" s="5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5">
        <f>IF(AND(IF($B$3="(todos)",TRUE,'ORDENES'!$O188=$B$3),IF($D$3="(todos)",TRUE,'ORDENES'!$AH188=$D$3),IF($F$3="(todos)",TRUE,'ORDENES'!$Z188=$F$3),IF($H$3="(todos)",TRUE,'ORDENES'!$Y188=$H$3),'ORDENES'!$AF188=TRUE,'ORDENES'!$A188&lt;&gt;""),1,0)</f>
        <v/>
      </c>
      <c r="L192" s="5">
        <f>IF(K192=1,IFERROR(MATCH('ORDENES'!$S188,lista_dias,0),9)*1000000000+IFERROR(MATCH('ORDENES'!$AH188,lista_turnos,0),9)*10000000+IFERROR(MATCH('ORDENES'!$AG188,tblTecnicos[nombre],0),99)*100000+185,9000000000000+185)</f>
        <v/>
      </c>
      <c r="M192" s="5">
        <f>IF(K192=1,SUMPRODUCT(--($L$8:$L$1207&lt;L192))+1,"")</f>
        <v/>
      </c>
      <c r="N192" s="17">
        <f>IF(K192=1,N('ORDENES'!$M188),0)</f>
        <v/>
      </c>
      <c r="O192" s="17">
        <f>IF('ORDENES'!$U188="preventiva",N192,0)</f>
        <v/>
      </c>
      <c r="P192" s="17">
        <f>IF('ORDENES'!$U188="correctiva",N192,0)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22">
        <f>IF(K192=1,'ORDENES'!$J188,"")</f>
        <v/>
      </c>
      <c r="U192" s="5">
        <f>IFERROR(MATCH(185,$M$8:$M$1207,0),"")</f>
        <v/>
      </c>
      <c r="V192" s="5">
        <f>IF(U192="","",INDEX(tblOrdenes[dia_semana],U192))</f>
        <v/>
      </c>
      <c r="W192" s="5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5">
        <f>IF(AND(IF($B$3="(todos)",TRUE,'ORDENES'!$O189=$B$3),IF($D$3="(todos)",TRUE,'ORDENES'!$AH189=$D$3),IF($F$3="(todos)",TRUE,'ORDENES'!$Z189=$F$3),IF($H$3="(todos)",TRUE,'ORDENES'!$Y189=$H$3),'ORDENES'!$AF189=TRUE,'ORDENES'!$A189&lt;&gt;""),1,0)</f>
        <v/>
      </c>
      <c r="L193" s="5">
        <f>IF(K193=1,IFERROR(MATCH('ORDENES'!$S189,lista_dias,0),9)*1000000000+IFERROR(MATCH('ORDENES'!$AH189,lista_turnos,0),9)*10000000+IFERROR(MATCH('ORDENES'!$AG189,tblTecnicos[nombre],0),99)*100000+186,9000000000000+186)</f>
        <v/>
      </c>
      <c r="M193" s="5">
        <f>IF(K193=1,SUMPRODUCT(--($L$8:$L$1207&lt;L193))+1,"")</f>
        <v/>
      </c>
      <c r="N193" s="17">
        <f>IF(K193=1,N('ORDENES'!$M189),0)</f>
        <v/>
      </c>
      <c r="O193" s="17">
        <f>IF('ORDENES'!$U189="preventiva",N193,0)</f>
        <v/>
      </c>
      <c r="P193" s="17">
        <f>IF('ORDENES'!$U189="correctiva",N193,0)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22">
        <f>IF(K193=1,'ORDENES'!$J189,"")</f>
        <v/>
      </c>
      <c r="U193" s="5">
        <f>IFERROR(MATCH(186,$M$8:$M$1207,0),"")</f>
        <v/>
      </c>
      <c r="V193" s="5">
        <f>IF(U193="","",INDEX(tblOrdenes[dia_semana],U193))</f>
        <v/>
      </c>
      <c r="W193" s="5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5">
        <f>IF(AND(IF($B$3="(todos)",TRUE,'ORDENES'!$O190=$B$3),IF($D$3="(todos)",TRUE,'ORDENES'!$AH190=$D$3),IF($F$3="(todos)",TRUE,'ORDENES'!$Z190=$F$3),IF($H$3="(todos)",TRUE,'ORDENES'!$Y190=$H$3),'ORDENES'!$AF190=TRUE,'ORDENES'!$A190&lt;&gt;""),1,0)</f>
        <v/>
      </c>
      <c r="L194" s="5">
        <f>IF(K194=1,IFERROR(MATCH('ORDENES'!$S190,lista_dias,0),9)*1000000000+IFERROR(MATCH('ORDENES'!$AH190,lista_turnos,0),9)*10000000+IFERROR(MATCH('ORDENES'!$AG190,tblTecnicos[nombre],0),99)*100000+187,9000000000000+187)</f>
        <v/>
      </c>
      <c r="M194" s="5">
        <f>IF(K194=1,SUMPRODUCT(--($L$8:$L$1207&lt;L194))+1,"")</f>
        <v/>
      </c>
      <c r="N194" s="17">
        <f>IF(K194=1,N('ORDENES'!$M190),0)</f>
        <v/>
      </c>
      <c r="O194" s="17">
        <f>IF('ORDENES'!$U190="preventiva",N194,0)</f>
        <v/>
      </c>
      <c r="P194" s="17">
        <f>IF('ORDENES'!$U190="correctiva",N194,0)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22">
        <f>IF(K194=1,'ORDENES'!$J190,"")</f>
        <v/>
      </c>
      <c r="U194" s="5">
        <f>IFERROR(MATCH(187,$M$8:$M$1207,0),"")</f>
        <v/>
      </c>
      <c r="V194" s="5">
        <f>IF(U194="","",INDEX(tblOrdenes[dia_semana],U194))</f>
        <v/>
      </c>
      <c r="W194" s="5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5">
        <f>IF(AND(IF($B$3="(todos)",TRUE,'ORDENES'!$O191=$B$3),IF($D$3="(todos)",TRUE,'ORDENES'!$AH191=$D$3),IF($F$3="(todos)",TRUE,'ORDENES'!$Z191=$F$3),IF($H$3="(todos)",TRUE,'ORDENES'!$Y191=$H$3),'ORDENES'!$AF191=TRUE,'ORDENES'!$A191&lt;&gt;""),1,0)</f>
        <v/>
      </c>
      <c r="L195" s="5">
        <f>IF(K195=1,IFERROR(MATCH('ORDENES'!$S191,lista_dias,0),9)*1000000000+IFERROR(MATCH('ORDENES'!$AH191,lista_turnos,0),9)*10000000+IFERROR(MATCH('ORDENES'!$AG191,tblTecnicos[nombre],0),99)*100000+188,9000000000000+188)</f>
        <v/>
      </c>
      <c r="M195" s="5">
        <f>IF(K195=1,SUMPRODUCT(--($L$8:$L$1207&lt;L195))+1,"")</f>
        <v/>
      </c>
      <c r="N195" s="17">
        <f>IF(K195=1,N('ORDENES'!$M191),0)</f>
        <v/>
      </c>
      <c r="O195" s="17">
        <f>IF('ORDENES'!$U191="preventiva",N195,0)</f>
        <v/>
      </c>
      <c r="P195" s="17">
        <f>IF('ORDENES'!$U191="correctiva",N195,0)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22">
        <f>IF(K195=1,'ORDENES'!$J191,"")</f>
        <v/>
      </c>
      <c r="U195" s="5">
        <f>IFERROR(MATCH(188,$M$8:$M$1207,0),"")</f>
        <v/>
      </c>
      <c r="V195" s="5">
        <f>IF(U195="","",INDEX(tblOrdenes[dia_semana],U195))</f>
        <v/>
      </c>
      <c r="W195" s="5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5">
        <f>IF(AND(IF($B$3="(todos)",TRUE,'ORDENES'!$O192=$B$3),IF($D$3="(todos)",TRUE,'ORDENES'!$AH192=$D$3),IF($F$3="(todos)",TRUE,'ORDENES'!$Z192=$F$3),IF($H$3="(todos)",TRUE,'ORDENES'!$Y192=$H$3),'ORDENES'!$AF192=TRUE,'ORDENES'!$A192&lt;&gt;""),1,0)</f>
        <v/>
      </c>
      <c r="L196" s="5">
        <f>IF(K196=1,IFERROR(MATCH('ORDENES'!$S192,lista_dias,0),9)*1000000000+IFERROR(MATCH('ORDENES'!$AH192,lista_turnos,0),9)*10000000+IFERROR(MATCH('ORDENES'!$AG192,tblTecnicos[nombre],0),99)*100000+189,9000000000000+189)</f>
        <v/>
      </c>
      <c r="M196" s="5">
        <f>IF(K196=1,SUMPRODUCT(--($L$8:$L$1207&lt;L196))+1,"")</f>
        <v/>
      </c>
      <c r="N196" s="17">
        <f>IF(K196=1,N('ORDENES'!$M192),0)</f>
        <v/>
      </c>
      <c r="O196" s="17">
        <f>IF('ORDENES'!$U192="preventiva",N196,0)</f>
        <v/>
      </c>
      <c r="P196" s="17">
        <f>IF('ORDENES'!$U192="correctiva",N196,0)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22">
        <f>IF(K196=1,'ORDENES'!$J192,"")</f>
        <v/>
      </c>
      <c r="U196" s="5">
        <f>IFERROR(MATCH(189,$M$8:$M$1207,0),"")</f>
        <v/>
      </c>
      <c r="V196" s="5">
        <f>IF(U196="","",INDEX(tblOrdenes[dia_semana],U196))</f>
        <v/>
      </c>
      <c r="W196" s="5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5">
        <f>IF(AND(IF($B$3="(todos)",TRUE,'ORDENES'!$O193=$B$3),IF($D$3="(todos)",TRUE,'ORDENES'!$AH193=$D$3),IF($F$3="(todos)",TRUE,'ORDENES'!$Z193=$F$3),IF($H$3="(todos)",TRUE,'ORDENES'!$Y193=$H$3),'ORDENES'!$AF193=TRUE,'ORDENES'!$A193&lt;&gt;""),1,0)</f>
        <v/>
      </c>
      <c r="L197" s="5">
        <f>IF(K197=1,IFERROR(MATCH('ORDENES'!$S193,lista_dias,0),9)*1000000000+IFERROR(MATCH('ORDENES'!$AH193,lista_turnos,0),9)*10000000+IFERROR(MATCH('ORDENES'!$AG193,tblTecnicos[nombre],0),99)*100000+190,9000000000000+190)</f>
        <v/>
      </c>
      <c r="M197" s="5">
        <f>IF(K197=1,SUMPRODUCT(--($L$8:$L$1207&lt;L197))+1,"")</f>
        <v/>
      </c>
      <c r="N197" s="17">
        <f>IF(K197=1,N('ORDENES'!$M193),0)</f>
        <v/>
      </c>
      <c r="O197" s="17">
        <f>IF('ORDENES'!$U193="preventiva",N197,0)</f>
        <v/>
      </c>
      <c r="P197" s="17">
        <f>IF('ORDENES'!$U193="correctiva",N197,0)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22">
        <f>IF(K197=1,'ORDENES'!$J193,"")</f>
        <v/>
      </c>
      <c r="U197" s="5">
        <f>IFERROR(MATCH(190,$M$8:$M$1207,0),"")</f>
        <v/>
      </c>
      <c r="V197" s="5">
        <f>IF(U197="","",INDEX(tblOrdenes[dia_semana],U197))</f>
        <v/>
      </c>
      <c r="W197" s="5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5">
        <f>IF(AND(IF($B$3="(todos)",TRUE,'ORDENES'!$O194=$B$3),IF($D$3="(todos)",TRUE,'ORDENES'!$AH194=$D$3),IF($F$3="(todos)",TRUE,'ORDENES'!$Z194=$F$3),IF($H$3="(todos)",TRUE,'ORDENES'!$Y194=$H$3),'ORDENES'!$AF194=TRUE,'ORDENES'!$A194&lt;&gt;""),1,0)</f>
        <v/>
      </c>
      <c r="L198" s="5">
        <f>IF(K198=1,IFERROR(MATCH('ORDENES'!$S194,lista_dias,0),9)*1000000000+IFERROR(MATCH('ORDENES'!$AH194,lista_turnos,0),9)*10000000+IFERROR(MATCH('ORDENES'!$AG194,tblTecnicos[nombre],0),99)*100000+191,9000000000000+191)</f>
        <v/>
      </c>
      <c r="M198" s="5">
        <f>IF(K198=1,SUMPRODUCT(--($L$8:$L$1207&lt;L198))+1,"")</f>
        <v/>
      </c>
      <c r="N198" s="17">
        <f>IF(K198=1,N('ORDENES'!$M194),0)</f>
        <v/>
      </c>
      <c r="O198" s="17">
        <f>IF('ORDENES'!$U194="preventiva",N198,0)</f>
        <v/>
      </c>
      <c r="P198" s="17">
        <f>IF('ORDENES'!$U194="correctiva",N198,0)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22">
        <f>IF(K198=1,'ORDENES'!$J194,"")</f>
        <v/>
      </c>
      <c r="U198" s="5">
        <f>IFERROR(MATCH(191,$M$8:$M$1207,0),"")</f>
        <v/>
      </c>
      <c r="V198" s="5">
        <f>IF(U198="","",INDEX(tblOrdenes[dia_semana],U198))</f>
        <v/>
      </c>
      <c r="W198" s="5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5">
        <f>IF(AND(IF($B$3="(todos)",TRUE,'ORDENES'!$O195=$B$3),IF($D$3="(todos)",TRUE,'ORDENES'!$AH195=$D$3),IF($F$3="(todos)",TRUE,'ORDENES'!$Z195=$F$3),IF($H$3="(todos)",TRUE,'ORDENES'!$Y195=$H$3),'ORDENES'!$AF195=TRUE,'ORDENES'!$A195&lt;&gt;""),1,0)</f>
        <v/>
      </c>
      <c r="L199" s="5">
        <f>IF(K199=1,IFERROR(MATCH('ORDENES'!$S195,lista_dias,0),9)*1000000000+IFERROR(MATCH('ORDENES'!$AH195,lista_turnos,0),9)*10000000+IFERROR(MATCH('ORDENES'!$AG195,tblTecnicos[nombre],0),99)*100000+192,9000000000000+192)</f>
        <v/>
      </c>
      <c r="M199" s="5">
        <f>IF(K199=1,SUMPRODUCT(--($L$8:$L$1207&lt;L199))+1,"")</f>
        <v/>
      </c>
      <c r="N199" s="17">
        <f>IF(K199=1,N('ORDENES'!$M195),0)</f>
        <v/>
      </c>
      <c r="O199" s="17">
        <f>IF('ORDENES'!$U195="preventiva",N199,0)</f>
        <v/>
      </c>
      <c r="P199" s="17">
        <f>IF('ORDENES'!$U195="correctiva",N199,0)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22">
        <f>IF(K199=1,'ORDENES'!$J195,"")</f>
        <v/>
      </c>
      <c r="U199" s="5">
        <f>IFERROR(MATCH(192,$M$8:$M$1207,0),"")</f>
        <v/>
      </c>
      <c r="V199" s="5">
        <f>IF(U199="","",INDEX(tblOrdenes[dia_semana],U199))</f>
        <v/>
      </c>
      <c r="W199" s="5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5">
        <f>IF(AND(IF($B$3="(todos)",TRUE,'ORDENES'!$O196=$B$3),IF($D$3="(todos)",TRUE,'ORDENES'!$AH196=$D$3),IF($F$3="(todos)",TRUE,'ORDENES'!$Z196=$F$3),IF($H$3="(todos)",TRUE,'ORDENES'!$Y196=$H$3),'ORDENES'!$AF196=TRUE,'ORDENES'!$A196&lt;&gt;""),1,0)</f>
        <v/>
      </c>
      <c r="L200" s="5">
        <f>IF(K200=1,IFERROR(MATCH('ORDENES'!$S196,lista_dias,0),9)*1000000000+IFERROR(MATCH('ORDENES'!$AH196,lista_turnos,0),9)*10000000+IFERROR(MATCH('ORDENES'!$AG196,tblTecnicos[nombre],0),99)*100000+193,9000000000000+193)</f>
        <v/>
      </c>
      <c r="M200" s="5">
        <f>IF(K200=1,SUMPRODUCT(--($L$8:$L$1207&lt;L200))+1,"")</f>
        <v/>
      </c>
      <c r="N200" s="17">
        <f>IF(K200=1,N('ORDENES'!$M196),0)</f>
        <v/>
      </c>
      <c r="O200" s="17">
        <f>IF('ORDENES'!$U196="preventiva",N200,0)</f>
        <v/>
      </c>
      <c r="P200" s="17">
        <f>IF('ORDENES'!$U196="correctiva",N200,0)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22">
        <f>IF(K200=1,'ORDENES'!$J196,"")</f>
        <v/>
      </c>
      <c r="U200" s="5">
        <f>IFERROR(MATCH(193,$M$8:$M$1207,0),"")</f>
        <v/>
      </c>
      <c r="V200" s="5">
        <f>IF(U200="","",INDEX(tblOrdenes[dia_semana],U200))</f>
        <v/>
      </c>
      <c r="W200" s="5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5">
        <f>IF(AND(IF($B$3="(todos)",TRUE,'ORDENES'!$O197=$B$3),IF($D$3="(todos)",TRUE,'ORDENES'!$AH197=$D$3),IF($F$3="(todos)",TRUE,'ORDENES'!$Z197=$F$3),IF($H$3="(todos)",TRUE,'ORDENES'!$Y197=$H$3),'ORDENES'!$AF197=TRUE,'ORDENES'!$A197&lt;&gt;""),1,0)</f>
        <v/>
      </c>
      <c r="L201" s="5">
        <f>IF(K201=1,IFERROR(MATCH('ORDENES'!$S197,lista_dias,0),9)*1000000000+IFERROR(MATCH('ORDENES'!$AH197,lista_turnos,0),9)*10000000+IFERROR(MATCH('ORDENES'!$AG197,tblTecnicos[nombre],0),99)*100000+194,9000000000000+194)</f>
        <v/>
      </c>
      <c r="M201" s="5">
        <f>IF(K201=1,SUMPRODUCT(--($L$8:$L$1207&lt;L201))+1,"")</f>
        <v/>
      </c>
      <c r="N201" s="17">
        <f>IF(K201=1,N('ORDENES'!$M197),0)</f>
        <v/>
      </c>
      <c r="O201" s="17">
        <f>IF('ORDENES'!$U197="preventiva",N201,0)</f>
        <v/>
      </c>
      <c r="P201" s="17">
        <f>IF('ORDENES'!$U197="correctiva",N201,0)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22">
        <f>IF(K201=1,'ORDENES'!$J197,"")</f>
        <v/>
      </c>
      <c r="U201" s="5">
        <f>IFERROR(MATCH(194,$M$8:$M$1207,0),"")</f>
        <v/>
      </c>
      <c r="V201" s="5">
        <f>IF(U201="","",INDEX(tblOrdenes[dia_semana],U201))</f>
        <v/>
      </c>
      <c r="W201" s="5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5">
        <f>IF(AND(IF($B$3="(todos)",TRUE,'ORDENES'!$O198=$B$3),IF($D$3="(todos)",TRUE,'ORDENES'!$AH198=$D$3),IF($F$3="(todos)",TRUE,'ORDENES'!$Z198=$F$3),IF($H$3="(todos)",TRUE,'ORDENES'!$Y198=$H$3),'ORDENES'!$AF198=TRUE,'ORDENES'!$A198&lt;&gt;""),1,0)</f>
        <v/>
      </c>
      <c r="L202" s="5">
        <f>IF(K202=1,IFERROR(MATCH('ORDENES'!$S198,lista_dias,0),9)*1000000000+IFERROR(MATCH('ORDENES'!$AH198,lista_turnos,0),9)*10000000+IFERROR(MATCH('ORDENES'!$AG198,tblTecnicos[nombre],0),99)*100000+195,9000000000000+195)</f>
        <v/>
      </c>
      <c r="M202" s="5">
        <f>IF(K202=1,SUMPRODUCT(--($L$8:$L$1207&lt;L202))+1,"")</f>
        <v/>
      </c>
      <c r="N202" s="17">
        <f>IF(K202=1,N('ORDENES'!$M198),0)</f>
        <v/>
      </c>
      <c r="O202" s="17">
        <f>IF('ORDENES'!$U198="preventiva",N202,0)</f>
        <v/>
      </c>
      <c r="P202" s="17">
        <f>IF('ORDENES'!$U198="correctiva",N202,0)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22">
        <f>IF(K202=1,'ORDENES'!$J198,"")</f>
        <v/>
      </c>
      <c r="U202" s="5">
        <f>IFERROR(MATCH(195,$M$8:$M$1207,0),"")</f>
        <v/>
      </c>
      <c r="V202" s="5">
        <f>IF(U202="","",INDEX(tblOrdenes[dia_semana],U202))</f>
        <v/>
      </c>
      <c r="W202" s="5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5">
        <f>IF(AND(IF($B$3="(todos)",TRUE,'ORDENES'!$O199=$B$3),IF($D$3="(todos)",TRUE,'ORDENES'!$AH199=$D$3),IF($F$3="(todos)",TRUE,'ORDENES'!$Z199=$F$3),IF($H$3="(todos)",TRUE,'ORDENES'!$Y199=$H$3),'ORDENES'!$AF199=TRUE,'ORDENES'!$A199&lt;&gt;""),1,0)</f>
        <v/>
      </c>
      <c r="L203" s="5">
        <f>IF(K203=1,IFERROR(MATCH('ORDENES'!$S199,lista_dias,0),9)*1000000000+IFERROR(MATCH('ORDENES'!$AH199,lista_turnos,0),9)*10000000+IFERROR(MATCH('ORDENES'!$AG199,tblTecnicos[nombre],0),99)*100000+196,9000000000000+196)</f>
        <v/>
      </c>
      <c r="M203" s="5">
        <f>IF(K203=1,SUMPRODUCT(--($L$8:$L$1207&lt;L203))+1,"")</f>
        <v/>
      </c>
      <c r="N203" s="17">
        <f>IF(K203=1,N('ORDENES'!$M199),0)</f>
        <v/>
      </c>
      <c r="O203" s="17">
        <f>IF('ORDENES'!$U199="preventiva",N203,0)</f>
        <v/>
      </c>
      <c r="P203" s="17">
        <f>IF('ORDENES'!$U199="correctiva",N203,0)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22">
        <f>IF(K203=1,'ORDENES'!$J199,"")</f>
        <v/>
      </c>
      <c r="U203" s="5">
        <f>IFERROR(MATCH(196,$M$8:$M$1207,0),"")</f>
        <v/>
      </c>
      <c r="V203" s="5">
        <f>IF(U203="","",INDEX(tblOrdenes[dia_semana],U203))</f>
        <v/>
      </c>
      <c r="W203" s="5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5">
        <f>IF(AND(IF($B$3="(todos)",TRUE,'ORDENES'!$O200=$B$3),IF($D$3="(todos)",TRUE,'ORDENES'!$AH200=$D$3),IF($F$3="(todos)",TRUE,'ORDENES'!$Z200=$F$3),IF($H$3="(todos)",TRUE,'ORDENES'!$Y200=$H$3),'ORDENES'!$AF200=TRUE,'ORDENES'!$A200&lt;&gt;""),1,0)</f>
        <v/>
      </c>
      <c r="L204" s="5">
        <f>IF(K204=1,IFERROR(MATCH('ORDENES'!$S200,lista_dias,0),9)*1000000000+IFERROR(MATCH('ORDENES'!$AH200,lista_turnos,0),9)*10000000+IFERROR(MATCH('ORDENES'!$AG200,tblTecnicos[nombre],0),99)*100000+197,9000000000000+197)</f>
        <v/>
      </c>
      <c r="M204" s="5">
        <f>IF(K204=1,SUMPRODUCT(--($L$8:$L$1207&lt;L204))+1,"")</f>
        <v/>
      </c>
      <c r="N204" s="17">
        <f>IF(K204=1,N('ORDENES'!$M200),0)</f>
        <v/>
      </c>
      <c r="O204" s="17">
        <f>IF('ORDENES'!$U200="preventiva",N204,0)</f>
        <v/>
      </c>
      <c r="P204" s="17">
        <f>IF('ORDENES'!$U200="correctiva",N204,0)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22">
        <f>IF(K204=1,'ORDENES'!$J200,"")</f>
        <v/>
      </c>
      <c r="U204" s="5">
        <f>IFERROR(MATCH(197,$M$8:$M$1207,0),"")</f>
        <v/>
      </c>
      <c r="V204" s="5">
        <f>IF(U204="","",INDEX(tblOrdenes[dia_semana],U204))</f>
        <v/>
      </c>
      <c r="W204" s="5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5">
        <f>IF(AND(IF($B$3="(todos)",TRUE,'ORDENES'!$O201=$B$3),IF($D$3="(todos)",TRUE,'ORDENES'!$AH201=$D$3),IF($F$3="(todos)",TRUE,'ORDENES'!$Z201=$F$3),IF($H$3="(todos)",TRUE,'ORDENES'!$Y201=$H$3),'ORDENES'!$AF201=TRUE,'ORDENES'!$A201&lt;&gt;""),1,0)</f>
        <v/>
      </c>
      <c r="L205" s="5">
        <f>IF(K205=1,IFERROR(MATCH('ORDENES'!$S201,lista_dias,0),9)*1000000000+IFERROR(MATCH('ORDENES'!$AH201,lista_turnos,0),9)*10000000+IFERROR(MATCH('ORDENES'!$AG201,tblTecnicos[nombre],0),99)*100000+198,9000000000000+198)</f>
        <v/>
      </c>
      <c r="M205" s="5">
        <f>IF(K205=1,SUMPRODUCT(--($L$8:$L$1207&lt;L205))+1,"")</f>
        <v/>
      </c>
      <c r="N205" s="17">
        <f>IF(K205=1,N('ORDENES'!$M201),0)</f>
        <v/>
      </c>
      <c r="O205" s="17">
        <f>IF('ORDENES'!$U201="preventiva",N205,0)</f>
        <v/>
      </c>
      <c r="P205" s="17">
        <f>IF('ORDENES'!$U201="correctiva",N205,0)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22">
        <f>IF(K205=1,'ORDENES'!$J201,"")</f>
        <v/>
      </c>
      <c r="U205" s="5">
        <f>IFERROR(MATCH(198,$M$8:$M$1207,0),"")</f>
        <v/>
      </c>
      <c r="V205" s="5">
        <f>IF(U205="","",INDEX(tblOrdenes[dia_semana],U205))</f>
        <v/>
      </c>
      <c r="W205" s="5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5">
        <f>IF(AND(IF($B$3="(todos)",TRUE,'ORDENES'!$O202=$B$3),IF($D$3="(todos)",TRUE,'ORDENES'!$AH202=$D$3),IF($F$3="(todos)",TRUE,'ORDENES'!$Z202=$F$3),IF($H$3="(todos)",TRUE,'ORDENES'!$Y202=$H$3),'ORDENES'!$AF202=TRUE,'ORDENES'!$A202&lt;&gt;""),1,0)</f>
        <v/>
      </c>
      <c r="L206" s="5">
        <f>IF(K206=1,IFERROR(MATCH('ORDENES'!$S202,lista_dias,0),9)*1000000000+IFERROR(MATCH('ORDENES'!$AH202,lista_turnos,0),9)*10000000+IFERROR(MATCH('ORDENES'!$AG202,tblTecnicos[nombre],0),99)*100000+199,9000000000000+199)</f>
        <v/>
      </c>
      <c r="M206" s="5">
        <f>IF(K206=1,SUMPRODUCT(--($L$8:$L$1207&lt;L206))+1,"")</f>
        <v/>
      </c>
      <c r="N206" s="17">
        <f>IF(K206=1,N('ORDENES'!$M202),0)</f>
        <v/>
      </c>
      <c r="O206" s="17">
        <f>IF('ORDENES'!$U202="preventiva",N206,0)</f>
        <v/>
      </c>
      <c r="P206" s="17">
        <f>IF('ORDENES'!$U202="correctiva",N206,0)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22">
        <f>IF(K206=1,'ORDENES'!$J202,"")</f>
        <v/>
      </c>
      <c r="U206" s="5">
        <f>IFERROR(MATCH(199,$M$8:$M$1207,0),"")</f>
        <v/>
      </c>
      <c r="V206" s="5">
        <f>IF(U206="","",INDEX(tblOrdenes[dia_semana],U206))</f>
        <v/>
      </c>
      <c r="W206" s="5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5">
        <f>IF(AND(IF($B$3="(todos)",TRUE,'ORDENES'!$O203=$B$3),IF($D$3="(todos)",TRUE,'ORDENES'!$AH203=$D$3),IF($F$3="(todos)",TRUE,'ORDENES'!$Z203=$F$3),IF($H$3="(todos)",TRUE,'ORDENES'!$Y203=$H$3),'ORDENES'!$AF203=TRUE,'ORDENES'!$A203&lt;&gt;""),1,0)</f>
        <v/>
      </c>
      <c r="L207" s="5">
        <f>IF(K207=1,IFERROR(MATCH('ORDENES'!$S203,lista_dias,0),9)*1000000000+IFERROR(MATCH('ORDENES'!$AH203,lista_turnos,0),9)*10000000+IFERROR(MATCH('ORDENES'!$AG203,tblTecnicos[nombre],0),99)*100000+200,9000000000000+200)</f>
        <v/>
      </c>
      <c r="M207" s="5">
        <f>IF(K207=1,SUMPRODUCT(--($L$8:$L$1207&lt;L207))+1,"")</f>
        <v/>
      </c>
      <c r="N207" s="17">
        <f>IF(K207=1,N('ORDENES'!$M203),0)</f>
        <v/>
      </c>
      <c r="O207" s="17">
        <f>IF('ORDENES'!$U203="preventiva",N207,0)</f>
        <v/>
      </c>
      <c r="P207" s="17">
        <f>IF('ORDENES'!$U203="correctiva",N207,0)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22">
        <f>IF(K207=1,'ORDENES'!$J203,"")</f>
        <v/>
      </c>
      <c r="U207" s="5">
        <f>IFERROR(MATCH(200,$M$8:$M$1207,0),"")</f>
        <v/>
      </c>
      <c r="V207" s="5">
        <f>IF(U207="","",INDEX(tblOrdenes[dia_semana],U207))</f>
        <v/>
      </c>
      <c r="W207" s="5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5">
        <f>IF(AND(IF($B$3="(todos)",TRUE,'ORDENES'!$O204=$B$3),IF($D$3="(todos)",TRUE,'ORDENES'!$AH204=$D$3),IF($F$3="(todos)",TRUE,'ORDENES'!$Z204=$F$3),IF($H$3="(todos)",TRUE,'ORDENES'!$Y204=$H$3),'ORDENES'!$AF204=TRUE,'ORDENES'!$A204&lt;&gt;""),1,0)</f>
        <v/>
      </c>
      <c r="L208" s="5">
        <f>IF(K208=1,IFERROR(MATCH('ORDENES'!$S204,lista_dias,0),9)*1000000000+IFERROR(MATCH('ORDENES'!$AH204,lista_turnos,0),9)*10000000+IFERROR(MATCH('ORDENES'!$AG204,tblTecnicos[nombre],0),99)*100000+201,9000000000000+201)</f>
        <v/>
      </c>
      <c r="M208" s="5">
        <f>IF(K208=1,SUMPRODUCT(--($L$8:$L$1207&lt;L208))+1,"")</f>
        <v/>
      </c>
      <c r="N208" s="17">
        <f>IF(K208=1,N('ORDENES'!$M204),0)</f>
        <v/>
      </c>
      <c r="O208" s="17">
        <f>IF('ORDENES'!$U204="preventiva",N208,0)</f>
        <v/>
      </c>
      <c r="P208" s="17">
        <f>IF('ORDENES'!$U204="correctiva",N208,0)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22">
        <f>IF(K208=1,'ORDENES'!$J204,"")</f>
        <v/>
      </c>
    </row>
    <row r="209">
      <c r="K209" s="5">
        <f>IF(AND(IF($B$3="(todos)",TRUE,'ORDENES'!$O205=$B$3),IF($D$3="(todos)",TRUE,'ORDENES'!$AH205=$D$3),IF($F$3="(todos)",TRUE,'ORDENES'!$Z205=$F$3),IF($H$3="(todos)",TRUE,'ORDENES'!$Y205=$H$3),'ORDENES'!$AF205=TRUE,'ORDENES'!$A205&lt;&gt;""),1,0)</f>
        <v/>
      </c>
      <c r="L209" s="5">
        <f>IF(K209=1,IFERROR(MATCH('ORDENES'!$S205,lista_dias,0),9)*1000000000+IFERROR(MATCH('ORDENES'!$AH205,lista_turnos,0),9)*10000000+IFERROR(MATCH('ORDENES'!$AG205,tblTecnicos[nombre],0),99)*100000+202,9000000000000+202)</f>
        <v/>
      </c>
      <c r="M209" s="5">
        <f>IF(K209=1,SUMPRODUCT(--($L$8:$L$1207&lt;L209))+1,"")</f>
        <v/>
      </c>
      <c r="N209" s="17">
        <f>IF(K209=1,N('ORDENES'!$M205),0)</f>
        <v/>
      </c>
      <c r="O209" s="17">
        <f>IF('ORDENES'!$U205="preventiva",N209,0)</f>
        <v/>
      </c>
      <c r="P209" s="17">
        <f>IF('ORDENES'!$U205="correctiva",N209,0)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22">
        <f>IF(K209=1,'ORDENES'!$J205,"")</f>
        <v/>
      </c>
    </row>
    <row r="210">
      <c r="K210" s="5">
        <f>IF(AND(IF($B$3="(todos)",TRUE,'ORDENES'!$O206=$B$3),IF($D$3="(todos)",TRUE,'ORDENES'!$AH206=$D$3),IF($F$3="(todos)",TRUE,'ORDENES'!$Z206=$F$3),IF($H$3="(todos)",TRUE,'ORDENES'!$Y206=$H$3),'ORDENES'!$AF206=TRUE,'ORDENES'!$A206&lt;&gt;""),1,0)</f>
        <v/>
      </c>
      <c r="L210" s="5">
        <f>IF(K210=1,IFERROR(MATCH('ORDENES'!$S206,lista_dias,0),9)*1000000000+IFERROR(MATCH('ORDENES'!$AH206,lista_turnos,0),9)*10000000+IFERROR(MATCH('ORDENES'!$AG206,tblTecnicos[nombre],0),99)*100000+203,9000000000000+203)</f>
        <v/>
      </c>
      <c r="M210" s="5">
        <f>IF(K210=1,SUMPRODUCT(--($L$8:$L$1207&lt;L210))+1,"")</f>
        <v/>
      </c>
      <c r="N210" s="17">
        <f>IF(K210=1,N('ORDENES'!$M206),0)</f>
        <v/>
      </c>
      <c r="O210" s="17">
        <f>IF('ORDENES'!$U206="preventiva",N210,0)</f>
        <v/>
      </c>
      <c r="P210" s="17">
        <f>IF('ORDENES'!$U206="correctiva",N210,0)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22">
        <f>IF(K210=1,'ORDENES'!$J206,"")</f>
        <v/>
      </c>
    </row>
    <row r="211">
      <c r="K211" s="5">
        <f>IF(AND(IF($B$3="(todos)",TRUE,'ORDENES'!$O207=$B$3),IF($D$3="(todos)",TRUE,'ORDENES'!$AH207=$D$3),IF($F$3="(todos)",TRUE,'ORDENES'!$Z207=$F$3),IF($H$3="(todos)",TRUE,'ORDENES'!$Y207=$H$3),'ORDENES'!$AF207=TRUE,'ORDENES'!$A207&lt;&gt;""),1,0)</f>
        <v/>
      </c>
      <c r="L211" s="5">
        <f>IF(K211=1,IFERROR(MATCH('ORDENES'!$S207,lista_dias,0),9)*1000000000+IFERROR(MATCH('ORDENES'!$AH207,lista_turnos,0),9)*10000000+IFERROR(MATCH('ORDENES'!$AG207,tblTecnicos[nombre],0),99)*100000+204,9000000000000+204)</f>
        <v/>
      </c>
      <c r="M211" s="5">
        <f>IF(K211=1,SUMPRODUCT(--($L$8:$L$1207&lt;L211))+1,"")</f>
        <v/>
      </c>
      <c r="N211" s="17">
        <f>IF(K211=1,N('ORDENES'!$M207),0)</f>
        <v/>
      </c>
      <c r="O211" s="17">
        <f>IF('ORDENES'!$U207="preventiva",N211,0)</f>
        <v/>
      </c>
      <c r="P211" s="17">
        <f>IF('ORDENES'!$U207="correctiva",N211,0)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22">
        <f>IF(K211=1,'ORDENES'!$J207,"")</f>
        <v/>
      </c>
    </row>
    <row r="212">
      <c r="K212" s="5">
        <f>IF(AND(IF($B$3="(todos)",TRUE,'ORDENES'!$O208=$B$3),IF($D$3="(todos)",TRUE,'ORDENES'!$AH208=$D$3),IF($F$3="(todos)",TRUE,'ORDENES'!$Z208=$F$3),IF($H$3="(todos)",TRUE,'ORDENES'!$Y208=$H$3),'ORDENES'!$AF208=TRUE,'ORDENES'!$A208&lt;&gt;""),1,0)</f>
        <v/>
      </c>
      <c r="L212" s="5">
        <f>IF(K212=1,IFERROR(MATCH('ORDENES'!$S208,lista_dias,0),9)*1000000000+IFERROR(MATCH('ORDENES'!$AH208,lista_turnos,0),9)*10000000+IFERROR(MATCH('ORDENES'!$AG208,tblTecnicos[nombre],0),99)*100000+205,9000000000000+205)</f>
        <v/>
      </c>
      <c r="M212" s="5">
        <f>IF(K212=1,SUMPRODUCT(--($L$8:$L$1207&lt;L212))+1,"")</f>
        <v/>
      </c>
      <c r="N212" s="17">
        <f>IF(K212=1,N('ORDENES'!$M208),0)</f>
        <v/>
      </c>
      <c r="O212" s="17">
        <f>IF('ORDENES'!$U208="preventiva",N212,0)</f>
        <v/>
      </c>
      <c r="P212" s="17">
        <f>IF('ORDENES'!$U208="correctiva",N212,0)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22">
        <f>IF(K212=1,'ORDENES'!$J208,"")</f>
        <v/>
      </c>
    </row>
    <row r="213">
      <c r="K213" s="5">
        <f>IF(AND(IF($B$3="(todos)",TRUE,'ORDENES'!$O209=$B$3),IF($D$3="(todos)",TRUE,'ORDENES'!$AH209=$D$3),IF($F$3="(todos)",TRUE,'ORDENES'!$Z209=$F$3),IF($H$3="(todos)",TRUE,'ORDENES'!$Y209=$H$3),'ORDENES'!$AF209=TRUE,'ORDENES'!$A209&lt;&gt;""),1,0)</f>
        <v/>
      </c>
      <c r="L213" s="5">
        <f>IF(K213=1,IFERROR(MATCH('ORDENES'!$S209,lista_dias,0),9)*1000000000+IFERROR(MATCH('ORDENES'!$AH209,lista_turnos,0),9)*10000000+IFERROR(MATCH('ORDENES'!$AG209,tblTecnicos[nombre],0),99)*100000+206,9000000000000+206)</f>
        <v/>
      </c>
      <c r="M213" s="5">
        <f>IF(K213=1,SUMPRODUCT(--($L$8:$L$1207&lt;L213))+1,"")</f>
        <v/>
      </c>
      <c r="N213" s="17">
        <f>IF(K213=1,N('ORDENES'!$M209),0)</f>
        <v/>
      </c>
      <c r="O213" s="17">
        <f>IF('ORDENES'!$U209="preventiva",N213,0)</f>
        <v/>
      </c>
      <c r="P213" s="17">
        <f>IF('ORDENES'!$U209="correctiva",N213,0)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22">
        <f>IF(K213=1,'ORDENES'!$J209,"")</f>
        <v/>
      </c>
    </row>
    <row r="214">
      <c r="K214" s="5">
        <f>IF(AND(IF($B$3="(todos)",TRUE,'ORDENES'!$O210=$B$3),IF($D$3="(todos)",TRUE,'ORDENES'!$AH210=$D$3),IF($F$3="(todos)",TRUE,'ORDENES'!$Z210=$F$3),IF($H$3="(todos)",TRUE,'ORDENES'!$Y210=$H$3),'ORDENES'!$AF210=TRUE,'ORDENES'!$A210&lt;&gt;""),1,0)</f>
        <v/>
      </c>
      <c r="L214" s="5">
        <f>IF(K214=1,IFERROR(MATCH('ORDENES'!$S210,lista_dias,0),9)*1000000000+IFERROR(MATCH('ORDENES'!$AH210,lista_turnos,0),9)*10000000+IFERROR(MATCH('ORDENES'!$AG210,tblTecnicos[nombre],0),99)*100000+207,9000000000000+207)</f>
        <v/>
      </c>
      <c r="M214" s="5">
        <f>IF(K214=1,SUMPRODUCT(--($L$8:$L$1207&lt;L214))+1,"")</f>
        <v/>
      </c>
      <c r="N214" s="17">
        <f>IF(K214=1,N('ORDENES'!$M210),0)</f>
        <v/>
      </c>
      <c r="O214" s="17">
        <f>IF('ORDENES'!$U210="preventiva",N214,0)</f>
        <v/>
      </c>
      <c r="P214" s="17">
        <f>IF('ORDENES'!$U210="correctiva",N214,0)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22">
        <f>IF(K214=1,'ORDENES'!$J210,"")</f>
        <v/>
      </c>
    </row>
    <row r="215">
      <c r="K215" s="5">
        <f>IF(AND(IF($B$3="(todos)",TRUE,'ORDENES'!$O211=$B$3),IF($D$3="(todos)",TRUE,'ORDENES'!$AH211=$D$3),IF($F$3="(todos)",TRUE,'ORDENES'!$Z211=$F$3),IF($H$3="(todos)",TRUE,'ORDENES'!$Y211=$H$3),'ORDENES'!$AF211=TRUE,'ORDENES'!$A211&lt;&gt;""),1,0)</f>
        <v/>
      </c>
      <c r="L215" s="5">
        <f>IF(K215=1,IFERROR(MATCH('ORDENES'!$S211,lista_dias,0),9)*1000000000+IFERROR(MATCH('ORDENES'!$AH211,lista_turnos,0),9)*10000000+IFERROR(MATCH('ORDENES'!$AG211,tblTecnicos[nombre],0),99)*100000+208,9000000000000+208)</f>
        <v/>
      </c>
      <c r="M215" s="5">
        <f>IF(K215=1,SUMPRODUCT(--($L$8:$L$1207&lt;L215))+1,"")</f>
        <v/>
      </c>
      <c r="N215" s="17">
        <f>IF(K215=1,N('ORDENES'!$M211),0)</f>
        <v/>
      </c>
      <c r="O215" s="17">
        <f>IF('ORDENES'!$U211="preventiva",N215,0)</f>
        <v/>
      </c>
      <c r="P215" s="17">
        <f>IF('ORDENES'!$U211="correctiva",N215,0)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22">
        <f>IF(K215=1,'ORDENES'!$J211,"")</f>
        <v/>
      </c>
    </row>
    <row r="216">
      <c r="K216" s="5">
        <f>IF(AND(IF($B$3="(todos)",TRUE,'ORDENES'!$O212=$B$3),IF($D$3="(todos)",TRUE,'ORDENES'!$AH212=$D$3),IF($F$3="(todos)",TRUE,'ORDENES'!$Z212=$F$3),IF($H$3="(todos)",TRUE,'ORDENES'!$Y212=$H$3),'ORDENES'!$AF212=TRUE,'ORDENES'!$A212&lt;&gt;""),1,0)</f>
        <v/>
      </c>
      <c r="L216" s="5">
        <f>IF(K216=1,IFERROR(MATCH('ORDENES'!$S212,lista_dias,0),9)*1000000000+IFERROR(MATCH('ORDENES'!$AH212,lista_turnos,0),9)*10000000+IFERROR(MATCH('ORDENES'!$AG212,tblTecnicos[nombre],0),99)*100000+209,9000000000000+209)</f>
        <v/>
      </c>
      <c r="M216" s="5">
        <f>IF(K216=1,SUMPRODUCT(--($L$8:$L$1207&lt;L216))+1,"")</f>
        <v/>
      </c>
      <c r="N216" s="17">
        <f>IF(K216=1,N('ORDENES'!$M212),0)</f>
        <v/>
      </c>
      <c r="O216" s="17">
        <f>IF('ORDENES'!$U212="preventiva",N216,0)</f>
        <v/>
      </c>
      <c r="P216" s="17">
        <f>IF('ORDENES'!$U212="correctiva",N216,0)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22">
        <f>IF(K216=1,'ORDENES'!$J212,"")</f>
        <v/>
      </c>
    </row>
    <row r="217">
      <c r="K217" s="5">
        <f>IF(AND(IF($B$3="(todos)",TRUE,'ORDENES'!$O213=$B$3),IF($D$3="(todos)",TRUE,'ORDENES'!$AH213=$D$3),IF($F$3="(todos)",TRUE,'ORDENES'!$Z213=$F$3),IF($H$3="(todos)",TRUE,'ORDENES'!$Y213=$H$3),'ORDENES'!$AF213=TRUE,'ORDENES'!$A213&lt;&gt;""),1,0)</f>
        <v/>
      </c>
      <c r="L217" s="5">
        <f>IF(K217=1,IFERROR(MATCH('ORDENES'!$S213,lista_dias,0),9)*1000000000+IFERROR(MATCH('ORDENES'!$AH213,lista_turnos,0),9)*10000000+IFERROR(MATCH('ORDENES'!$AG213,tblTecnicos[nombre],0),99)*100000+210,9000000000000+210)</f>
        <v/>
      </c>
      <c r="M217" s="5">
        <f>IF(K217=1,SUMPRODUCT(--($L$8:$L$1207&lt;L217))+1,"")</f>
        <v/>
      </c>
      <c r="N217" s="17">
        <f>IF(K217=1,N('ORDENES'!$M213),0)</f>
        <v/>
      </c>
      <c r="O217" s="17">
        <f>IF('ORDENES'!$U213="preventiva",N217,0)</f>
        <v/>
      </c>
      <c r="P217" s="17">
        <f>IF('ORDENES'!$U213="correctiva",N217,0)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22">
        <f>IF(K217=1,'ORDENES'!$J213,"")</f>
        <v/>
      </c>
    </row>
    <row r="218">
      <c r="K218" s="5">
        <f>IF(AND(IF($B$3="(todos)",TRUE,'ORDENES'!$O214=$B$3),IF($D$3="(todos)",TRUE,'ORDENES'!$AH214=$D$3),IF($F$3="(todos)",TRUE,'ORDENES'!$Z214=$F$3),IF($H$3="(todos)",TRUE,'ORDENES'!$Y214=$H$3),'ORDENES'!$AF214=TRUE,'ORDENES'!$A214&lt;&gt;""),1,0)</f>
        <v/>
      </c>
      <c r="L218" s="5">
        <f>IF(K218=1,IFERROR(MATCH('ORDENES'!$S214,lista_dias,0),9)*1000000000+IFERROR(MATCH('ORDENES'!$AH214,lista_turnos,0),9)*10000000+IFERROR(MATCH('ORDENES'!$AG214,tblTecnicos[nombre],0),99)*100000+211,9000000000000+211)</f>
        <v/>
      </c>
      <c r="M218" s="5">
        <f>IF(K218=1,SUMPRODUCT(--($L$8:$L$1207&lt;L218))+1,"")</f>
        <v/>
      </c>
      <c r="N218" s="17">
        <f>IF(K218=1,N('ORDENES'!$M214),0)</f>
        <v/>
      </c>
      <c r="O218" s="17">
        <f>IF('ORDENES'!$U214="preventiva",N218,0)</f>
        <v/>
      </c>
      <c r="P218" s="17">
        <f>IF('ORDENES'!$U214="correctiva",N218,0)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22">
        <f>IF(K218=1,'ORDENES'!$J214,"")</f>
        <v/>
      </c>
    </row>
    <row r="219">
      <c r="K219" s="5">
        <f>IF(AND(IF($B$3="(todos)",TRUE,'ORDENES'!$O215=$B$3),IF($D$3="(todos)",TRUE,'ORDENES'!$AH215=$D$3),IF($F$3="(todos)",TRUE,'ORDENES'!$Z215=$F$3),IF($H$3="(todos)",TRUE,'ORDENES'!$Y215=$H$3),'ORDENES'!$AF215=TRUE,'ORDENES'!$A215&lt;&gt;""),1,0)</f>
        <v/>
      </c>
      <c r="L219" s="5">
        <f>IF(K219=1,IFERROR(MATCH('ORDENES'!$S215,lista_dias,0),9)*1000000000+IFERROR(MATCH('ORDENES'!$AH215,lista_turnos,0),9)*10000000+IFERROR(MATCH('ORDENES'!$AG215,tblTecnicos[nombre],0),99)*100000+212,9000000000000+212)</f>
        <v/>
      </c>
      <c r="M219" s="5">
        <f>IF(K219=1,SUMPRODUCT(--($L$8:$L$1207&lt;L219))+1,"")</f>
        <v/>
      </c>
      <c r="N219" s="17">
        <f>IF(K219=1,N('ORDENES'!$M215),0)</f>
        <v/>
      </c>
      <c r="O219" s="17">
        <f>IF('ORDENES'!$U215="preventiva",N219,0)</f>
        <v/>
      </c>
      <c r="P219" s="17">
        <f>IF('ORDENES'!$U215="correctiva",N219,0)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22">
        <f>IF(K219=1,'ORDENES'!$J215,"")</f>
        <v/>
      </c>
    </row>
    <row r="220">
      <c r="K220" s="5">
        <f>IF(AND(IF($B$3="(todos)",TRUE,'ORDENES'!$O216=$B$3),IF($D$3="(todos)",TRUE,'ORDENES'!$AH216=$D$3),IF($F$3="(todos)",TRUE,'ORDENES'!$Z216=$F$3),IF($H$3="(todos)",TRUE,'ORDENES'!$Y216=$H$3),'ORDENES'!$AF216=TRUE,'ORDENES'!$A216&lt;&gt;""),1,0)</f>
        <v/>
      </c>
      <c r="L220" s="5">
        <f>IF(K220=1,IFERROR(MATCH('ORDENES'!$S216,lista_dias,0),9)*1000000000+IFERROR(MATCH('ORDENES'!$AH216,lista_turnos,0),9)*10000000+IFERROR(MATCH('ORDENES'!$AG216,tblTecnicos[nombre],0),99)*100000+213,9000000000000+213)</f>
        <v/>
      </c>
      <c r="M220" s="5">
        <f>IF(K220=1,SUMPRODUCT(--($L$8:$L$1207&lt;L220))+1,"")</f>
        <v/>
      </c>
      <c r="N220" s="17">
        <f>IF(K220=1,N('ORDENES'!$M216),0)</f>
        <v/>
      </c>
      <c r="O220" s="17">
        <f>IF('ORDENES'!$U216="preventiva",N220,0)</f>
        <v/>
      </c>
      <c r="P220" s="17">
        <f>IF('ORDENES'!$U216="correctiva",N220,0)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22">
        <f>IF(K220=1,'ORDENES'!$J216,"")</f>
        <v/>
      </c>
    </row>
    <row r="221">
      <c r="K221" s="5">
        <f>IF(AND(IF($B$3="(todos)",TRUE,'ORDENES'!$O217=$B$3),IF($D$3="(todos)",TRUE,'ORDENES'!$AH217=$D$3),IF($F$3="(todos)",TRUE,'ORDENES'!$Z217=$F$3),IF($H$3="(todos)",TRUE,'ORDENES'!$Y217=$H$3),'ORDENES'!$AF217=TRUE,'ORDENES'!$A217&lt;&gt;""),1,0)</f>
        <v/>
      </c>
      <c r="L221" s="5">
        <f>IF(K221=1,IFERROR(MATCH('ORDENES'!$S217,lista_dias,0),9)*1000000000+IFERROR(MATCH('ORDENES'!$AH217,lista_turnos,0),9)*10000000+IFERROR(MATCH('ORDENES'!$AG217,tblTecnicos[nombre],0),99)*100000+214,9000000000000+214)</f>
        <v/>
      </c>
      <c r="M221" s="5">
        <f>IF(K221=1,SUMPRODUCT(--($L$8:$L$1207&lt;L221))+1,"")</f>
        <v/>
      </c>
      <c r="N221" s="17">
        <f>IF(K221=1,N('ORDENES'!$M217),0)</f>
        <v/>
      </c>
      <c r="O221" s="17">
        <f>IF('ORDENES'!$U217="preventiva",N221,0)</f>
        <v/>
      </c>
      <c r="P221" s="17">
        <f>IF('ORDENES'!$U217="correctiva",N221,0)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22">
        <f>IF(K221=1,'ORDENES'!$J217,"")</f>
        <v/>
      </c>
    </row>
    <row r="222">
      <c r="K222" s="5">
        <f>IF(AND(IF($B$3="(todos)",TRUE,'ORDENES'!$O218=$B$3),IF($D$3="(todos)",TRUE,'ORDENES'!$AH218=$D$3),IF($F$3="(todos)",TRUE,'ORDENES'!$Z218=$F$3),IF($H$3="(todos)",TRUE,'ORDENES'!$Y218=$H$3),'ORDENES'!$AF218=TRUE,'ORDENES'!$A218&lt;&gt;""),1,0)</f>
        <v/>
      </c>
      <c r="L222" s="5">
        <f>IF(K222=1,IFERROR(MATCH('ORDENES'!$S218,lista_dias,0),9)*1000000000+IFERROR(MATCH('ORDENES'!$AH218,lista_turnos,0),9)*10000000+IFERROR(MATCH('ORDENES'!$AG218,tblTecnicos[nombre],0),99)*100000+215,9000000000000+215)</f>
        <v/>
      </c>
      <c r="M222" s="5">
        <f>IF(K222=1,SUMPRODUCT(--($L$8:$L$1207&lt;L222))+1,"")</f>
        <v/>
      </c>
      <c r="N222" s="17">
        <f>IF(K222=1,N('ORDENES'!$M218),0)</f>
        <v/>
      </c>
      <c r="O222" s="17">
        <f>IF('ORDENES'!$U218="preventiva",N222,0)</f>
        <v/>
      </c>
      <c r="P222" s="17">
        <f>IF('ORDENES'!$U218="correctiva",N222,0)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22">
        <f>IF(K222=1,'ORDENES'!$J218,"")</f>
        <v/>
      </c>
    </row>
    <row r="223">
      <c r="K223" s="5">
        <f>IF(AND(IF($B$3="(todos)",TRUE,'ORDENES'!$O219=$B$3),IF($D$3="(todos)",TRUE,'ORDENES'!$AH219=$D$3),IF($F$3="(todos)",TRUE,'ORDENES'!$Z219=$F$3),IF($H$3="(todos)",TRUE,'ORDENES'!$Y219=$H$3),'ORDENES'!$AF219=TRUE,'ORDENES'!$A219&lt;&gt;""),1,0)</f>
        <v/>
      </c>
      <c r="L223" s="5">
        <f>IF(K223=1,IFERROR(MATCH('ORDENES'!$S219,lista_dias,0),9)*1000000000+IFERROR(MATCH('ORDENES'!$AH219,lista_turnos,0),9)*10000000+IFERROR(MATCH('ORDENES'!$AG219,tblTecnicos[nombre],0),99)*100000+216,9000000000000+216)</f>
        <v/>
      </c>
      <c r="M223" s="5">
        <f>IF(K223=1,SUMPRODUCT(--($L$8:$L$1207&lt;L223))+1,"")</f>
        <v/>
      </c>
      <c r="N223" s="17">
        <f>IF(K223=1,N('ORDENES'!$M219),0)</f>
        <v/>
      </c>
      <c r="O223" s="17">
        <f>IF('ORDENES'!$U219="preventiva",N223,0)</f>
        <v/>
      </c>
      <c r="P223" s="17">
        <f>IF('ORDENES'!$U219="correctiva",N223,0)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22">
        <f>IF(K223=1,'ORDENES'!$J219,"")</f>
        <v/>
      </c>
    </row>
    <row r="224">
      <c r="K224" s="5">
        <f>IF(AND(IF($B$3="(todos)",TRUE,'ORDENES'!$O220=$B$3),IF($D$3="(todos)",TRUE,'ORDENES'!$AH220=$D$3),IF($F$3="(todos)",TRUE,'ORDENES'!$Z220=$F$3),IF($H$3="(todos)",TRUE,'ORDENES'!$Y220=$H$3),'ORDENES'!$AF220=TRUE,'ORDENES'!$A220&lt;&gt;""),1,0)</f>
        <v/>
      </c>
      <c r="L224" s="5">
        <f>IF(K224=1,IFERROR(MATCH('ORDENES'!$S220,lista_dias,0),9)*1000000000+IFERROR(MATCH('ORDENES'!$AH220,lista_turnos,0),9)*10000000+IFERROR(MATCH('ORDENES'!$AG220,tblTecnicos[nombre],0),99)*100000+217,9000000000000+217)</f>
        <v/>
      </c>
      <c r="M224" s="5">
        <f>IF(K224=1,SUMPRODUCT(--($L$8:$L$1207&lt;L224))+1,"")</f>
        <v/>
      </c>
      <c r="N224" s="17">
        <f>IF(K224=1,N('ORDENES'!$M220),0)</f>
        <v/>
      </c>
      <c r="O224" s="17">
        <f>IF('ORDENES'!$U220="preventiva",N224,0)</f>
        <v/>
      </c>
      <c r="P224" s="17">
        <f>IF('ORDENES'!$U220="correctiva",N224,0)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22">
        <f>IF(K224=1,'ORDENES'!$J220,"")</f>
        <v/>
      </c>
    </row>
    <row r="225">
      <c r="K225" s="5">
        <f>IF(AND(IF($B$3="(todos)",TRUE,'ORDENES'!$O221=$B$3),IF($D$3="(todos)",TRUE,'ORDENES'!$AH221=$D$3),IF($F$3="(todos)",TRUE,'ORDENES'!$Z221=$F$3),IF($H$3="(todos)",TRUE,'ORDENES'!$Y221=$H$3),'ORDENES'!$AF221=TRUE,'ORDENES'!$A221&lt;&gt;""),1,0)</f>
        <v/>
      </c>
      <c r="L225" s="5">
        <f>IF(K225=1,IFERROR(MATCH('ORDENES'!$S221,lista_dias,0),9)*1000000000+IFERROR(MATCH('ORDENES'!$AH221,lista_turnos,0),9)*10000000+IFERROR(MATCH('ORDENES'!$AG221,tblTecnicos[nombre],0),99)*100000+218,9000000000000+218)</f>
        <v/>
      </c>
      <c r="M225" s="5">
        <f>IF(K225=1,SUMPRODUCT(--($L$8:$L$1207&lt;L225))+1,"")</f>
        <v/>
      </c>
      <c r="N225" s="17">
        <f>IF(K225=1,N('ORDENES'!$M221),0)</f>
        <v/>
      </c>
      <c r="O225" s="17">
        <f>IF('ORDENES'!$U221="preventiva",N225,0)</f>
        <v/>
      </c>
      <c r="P225" s="17">
        <f>IF('ORDENES'!$U221="correctiva",N225,0)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22">
        <f>IF(K225=1,'ORDENES'!$J221,"")</f>
        <v/>
      </c>
    </row>
    <row r="226">
      <c r="K226" s="5">
        <f>IF(AND(IF($B$3="(todos)",TRUE,'ORDENES'!$O222=$B$3),IF($D$3="(todos)",TRUE,'ORDENES'!$AH222=$D$3),IF($F$3="(todos)",TRUE,'ORDENES'!$Z222=$F$3),IF($H$3="(todos)",TRUE,'ORDENES'!$Y222=$H$3),'ORDENES'!$AF222=TRUE,'ORDENES'!$A222&lt;&gt;""),1,0)</f>
        <v/>
      </c>
      <c r="L226" s="5">
        <f>IF(K226=1,IFERROR(MATCH('ORDENES'!$S222,lista_dias,0),9)*1000000000+IFERROR(MATCH('ORDENES'!$AH222,lista_turnos,0),9)*10000000+IFERROR(MATCH('ORDENES'!$AG222,tblTecnicos[nombre],0),99)*100000+219,9000000000000+219)</f>
        <v/>
      </c>
      <c r="M226" s="5">
        <f>IF(K226=1,SUMPRODUCT(--($L$8:$L$1207&lt;L226))+1,"")</f>
        <v/>
      </c>
      <c r="N226" s="17">
        <f>IF(K226=1,N('ORDENES'!$M222),0)</f>
        <v/>
      </c>
      <c r="O226" s="17">
        <f>IF('ORDENES'!$U222="preventiva",N226,0)</f>
        <v/>
      </c>
      <c r="P226" s="17">
        <f>IF('ORDENES'!$U222="correctiva",N226,0)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22">
        <f>IF(K226=1,'ORDENES'!$J222,"")</f>
        <v/>
      </c>
    </row>
    <row r="227">
      <c r="K227" s="5">
        <f>IF(AND(IF($B$3="(todos)",TRUE,'ORDENES'!$O223=$B$3),IF($D$3="(todos)",TRUE,'ORDENES'!$AH223=$D$3),IF($F$3="(todos)",TRUE,'ORDENES'!$Z223=$F$3),IF($H$3="(todos)",TRUE,'ORDENES'!$Y223=$H$3),'ORDENES'!$AF223=TRUE,'ORDENES'!$A223&lt;&gt;""),1,0)</f>
        <v/>
      </c>
      <c r="L227" s="5">
        <f>IF(K227=1,IFERROR(MATCH('ORDENES'!$S223,lista_dias,0),9)*1000000000+IFERROR(MATCH('ORDENES'!$AH223,lista_turnos,0),9)*10000000+IFERROR(MATCH('ORDENES'!$AG223,tblTecnicos[nombre],0),99)*100000+220,9000000000000+220)</f>
        <v/>
      </c>
      <c r="M227" s="5">
        <f>IF(K227=1,SUMPRODUCT(--($L$8:$L$1207&lt;L227))+1,"")</f>
        <v/>
      </c>
      <c r="N227" s="17">
        <f>IF(K227=1,N('ORDENES'!$M223),0)</f>
        <v/>
      </c>
      <c r="O227" s="17">
        <f>IF('ORDENES'!$U223="preventiva",N227,0)</f>
        <v/>
      </c>
      <c r="P227" s="17">
        <f>IF('ORDENES'!$U223="correctiva",N227,0)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22">
        <f>IF(K227=1,'ORDENES'!$J223,"")</f>
        <v/>
      </c>
    </row>
    <row r="228">
      <c r="K228" s="5">
        <f>IF(AND(IF($B$3="(todos)",TRUE,'ORDENES'!$O224=$B$3),IF($D$3="(todos)",TRUE,'ORDENES'!$AH224=$D$3),IF($F$3="(todos)",TRUE,'ORDENES'!$Z224=$F$3),IF($H$3="(todos)",TRUE,'ORDENES'!$Y224=$H$3),'ORDENES'!$AF224=TRUE,'ORDENES'!$A224&lt;&gt;""),1,0)</f>
        <v/>
      </c>
      <c r="L228" s="5">
        <f>IF(K228=1,IFERROR(MATCH('ORDENES'!$S224,lista_dias,0),9)*1000000000+IFERROR(MATCH('ORDENES'!$AH224,lista_turnos,0),9)*10000000+IFERROR(MATCH('ORDENES'!$AG224,tblTecnicos[nombre],0),99)*100000+221,9000000000000+221)</f>
        <v/>
      </c>
      <c r="M228" s="5">
        <f>IF(K228=1,SUMPRODUCT(--($L$8:$L$1207&lt;L228))+1,"")</f>
        <v/>
      </c>
      <c r="N228" s="17">
        <f>IF(K228=1,N('ORDENES'!$M224),0)</f>
        <v/>
      </c>
      <c r="O228" s="17">
        <f>IF('ORDENES'!$U224="preventiva",N228,0)</f>
        <v/>
      </c>
      <c r="P228" s="17">
        <f>IF('ORDENES'!$U224="correctiva",N228,0)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22">
        <f>IF(K228=1,'ORDENES'!$J224,"")</f>
        <v/>
      </c>
    </row>
    <row r="229">
      <c r="K229" s="5">
        <f>IF(AND(IF($B$3="(todos)",TRUE,'ORDENES'!$O225=$B$3),IF($D$3="(todos)",TRUE,'ORDENES'!$AH225=$D$3),IF($F$3="(todos)",TRUE,'ORDENES'!$Z225=$F$3),IF($H$3="(todos)",TRUE,'ORDENES'!$Y225=$H$3),'ORDENES'!$AF225=TRUE,'ORDENES'!$A225&lt;&gt;""),1,0)</f>
        <v/>
      </c>
      <c r="L229" s="5">
        <f>IF(K229=1,IFERROR(MATCH('ORDENES'!$S225,lista_dias,0),9)*1000000000+IFERROR(MATCH('ORDENES'!$AH225,lista_turnos,0),9)*10000000+IFERROR(MATCH('ORDENES'!$AG225,tblTecnicos[nombre],0),99)*100000+222,9000000000000+222)</f>
        <v/>
      </c>
      <c r="M229" s="5">
        <f>IF(K229=1,SUMPRODUCT(--($L$8:$L$1207&lt;L229))+1,"")</f>
        <v/>
      </c>
      <c r="N229" s="17">
        <f>IF(K229=1,N('ORDENES'!$M225),0)</f>
        <v/>
      </c>
      <c r="O229" s="17">
        <f>IF('ORDENES'!$U225="preventiva",N229,0)</f>
        <v/>
      </c>
      <c r="P229" s="17">
        <f>IF('ORDENES'!$U225="correctiva",N229,0)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22">
        <f>IF(K229=1,'ORDENES'!$J225,"")</f>
        <v/>
      </c>
    </row>
    <row r="230">
      <c r="K230" s="5">
        <f>IF(AND(IF($B$3="(todos)",TRUE,'ORDENES'!$O226=$B$3),IF($D$3="(todos)",TRUE,'ORDENES'!$AH226=$D$3),IF($F$3="(todos)",TRUE,'ORDENES'!$Z226=$F$3),IF($H$3="(todos)",TRUE,'ORDENES'!$Y226=$H$3),'ORDENES'!$AF226=TRUE,'ORDENES'!$A226&lt;&gt;""),1,0)</f>
        <v/>
      </c>
      <c r="L230" s="5">
        <f>IF(K230=1,IFERROR(MATCH('ORDENES'!$S226,lista_dias,0),9)*1000000000+IFERROR(MATCH('ORDENES'!$AH226,lista_turnos,0),9)*10000000+IFERROR(MATCH('ORDENES'!$AG226,tblTecnicos[nombre],0),99)*100000+223,9000000000000+223)</f>
        <v/>
      </c>
      <c r="M230" s="5">
        <f>IF(K230=1,SUMPRODUCT(--($L$8:$L$1207&lt;L230))+1,"")</f>
        <v/>
      </c>
      <c r="N230" s="17">
        <f>IF(K230=1,N('ORDENES'!$M226),0)</f>
        <v/>
      </c>
      <c r="O230" s="17">
        <f>IF('ORDENES'!$U226="preventiva",N230,0)</f>
        <v/>
      </c>
      <c r="P230" s="17">
        <f>IF('ORDENES'!$U226="correctiva",N230,0)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22">
        <f>IF(K230=1,'ORDENES'!$J226,"")</f>
        <v/>
      </c>
    </row>
    <row r="231">
      <c r="K231" s="5">
        <f>IF(AND(IF($B$3="(todos)",TRUE,'ORDENES'!$O227=$B$3),IF($D$3="(todos)",TRUE,'ORDENES'!$AH227=$D$3),IF($F$3="(todos)",TRUE,'ORDENES'!$Z227=$F$3),IF($H$3="(todos)",TRUE,'ORDENES'!$Y227=$H$3),'ORDENES'!$AF227=TRUE,'ORDENES'!$A227&lt;&gt;""),1,0)</f>
        <v/>
      </c>
      <c r="L231" s="5">
        <f>IF(K231=1,IFERROR(MATCH('ORDENES'!$S227,lista_dias,0),9)*1000000000+IFERROR(MATCH('ORDENES'!$AH227,lista_turnos,0),9)*10000000+IFERROR(MATCH('ORDENES'!$AG227,tblTecnicos[nombre],0),99)*100000+224,9000000000000+224)</f>
        <v/>
      </c>
      <c r="M231" s="5">
        <f>IF(K231=1,SUMPRODUCT(--($L$8:$L$1207&lt;L231))+1,"")</f>
        <v/>
      </c>
      <c r="N231" s="17">
        <f>IF(K231=1,N('ORDENES'!$M227),0)</f>
        <v/>
      </c>
      <c r="O231" s="17">
        <f>IF('ORDENES'!$U227="preventiva",N231,0)</f>
        <v/>
      </c>
      <c r="P231" s="17">
        <f>IF('ORDENES'!$U227="correctiva",N231,0)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22">
        <f>IF(K231=1,'ORDENES'!$J227,"")</f>
        <v/>
      </c>
    </row>
    <row r="232">
      <c r="K232" s="5">
        <f>IF(AND(IF($B$3="(todos)",TRUE,'ORDENES'!$O228=$B$3),IF($D$3="(todos)",TRUE,'ORDENES'!$AH228=$D$3),IF($F$3="(todos)",TRUE,'ORDENES'!$Z228=$F$3),IF($H$3="(todos)",TRUE,'ORDENES'!$Y228=$H$3),'ORDENES'!$AF228=TRUE,'ORDENES'!$A228&lt;&gt;""),1,0)</f>
        <v/>
      </c>
      <c r="L232" s="5">
        <f>IF(K232=1,IFERROR(MATCH('ORDENES'!$S228,lista_dias,0),9)*1000000000+IFERROR(MATCH('ORDENES'!$AH228,lista_turnos,0),9)*10000000+IFERROR(MATCH('ORDENES'!$AG228,tblTecnicos[nombre],0),99)*100000+225,9000000000000+225)</f>
        <v/>
      </c>
      <c r="M232" s="5">
        <f>IF(K232=1,SUMPRODUCT(--($L$8:$L$1207&lt;L232))+1,"")</f>
        <v/>
      </c>
      <c r="N232" s="17">
        <f>IF(K232=1,N('ORDENES'!$M228),0)</f>
        <v/>
      </c>
      <c r="O232" s="17">
        <f>IF('ORDENES'!$U228="preventiva",N232,0)</f>
        <v/>
      </c>
      <c r="P232" s="17">
        <f>IF('ORDENES'!$U228="correctiva",N232,0)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22">
        <f>IF(K232=1,'ORDENES'!$J228,"")</f>
        <v/>
      </c>
    </row>
    <row r="233">
      <c r="K233" s="5">
        <f>IF(AND(IF($B$3="(todos)",TRUE,'ORDENES'!$O229=$B$3),IF($D$3="(todos)",TRUE,'ORDENES'!$AH229=$D$3),IF($F$3="(todos)",TRUE,'ORDENES'!$Z229=$F$3),IF($H$3="(todos)",TRUE,'ORDENES'!$Y229=$H$3),'ORDENES'!$AF229=TRUE,'ORDENES'!$A229&lt;&gt;""),1,0)</f>
        <v/>
      </c>
      <c r="L233" s="5">
        <f>IF(K233=1,IFERROR(MATCH('ORDENES'!$S229,lista_dias,0),9)*1000000000+IFERROR(MATCH('ORDENES'!$AH229,lista_turnos,0),9)*10000000+IFERROR(MATCH('ORDENES'!$AG229,tblTecnicos[nombre],0),99)*100000+226,9000000000000+226)</f>
        <v/>
      </c>
      <c r="M233" s="5">
        <f>IF(K233=1,SUMPRODUCT(--($L$8:$L$1207&lt;L233))+1,"")</f>
        <v/>
      </c>
      <c r="N233" s="17">
        <f>IF(K233=1,N('ORDENES'!$M229),0)</f>
        <v/>
      </c>
      <c r="O233" s="17">
        <f>IF('ORDENES'!$U229="preventiva",N233,0)</f>
        <v/>
      </c>
      <c r="P233" s="17">
        <f>IF('ORDENES'!$U229="correctiva",N233,0)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22">
        <f>IF(K233=1,'ORDENES'!$J229,"")</f>
        <v/>
      </c>
    </row>
    <row r="234">
      <c r="K234" s="5">
        <f>IF(AND(IF($B$3="(todos)",TRUE,'ORDENES'!$O230=$B$3),IF($D$3="(todos)",TRUE,'ORDENES'!$AH230=$D$3),IF($F$3="(todos)",TRUE,'ORDENES'!$Z230=$F$3),IF($H$3="(todos)",TRUE,'ORDENES'!$Y230=$H$3),'ORDENES'!$AF230=TRUE,'ORDENES'!$A230&lt;&gt;""),1,0)</f>
        <v/>
      </c>
      <c r="L234" s="5">
        <f>IF(K234=1,IFERROR(MATCH('ORDENES'!$S230,lista_dias,0),9)*1000000000+IFERROR(MATCH('ORDENES'!$AH230,lista_turnos,0),9)*10000000+IFERROR(MATCH('ORDENES'!$AG230,tblTecnicos[nombre],0),99)*100000+227,9000000000000+227)</f>
        <v/>
      </c>
      <c r="M234" s="5">
        <f>IF(K234=1,SUMPRODUCT(--($L$8:$L$1207&lt;L234))+1,"")</f>
        <v/>
      </c>
      <c r="N234" s="17">
        <f>IF(K234=1,N('ORDENES'!$M230),0)</f>
        <v/>
      </c>
      <c r="O234" s="17">
        <f>IF('ORDENES'!$U230="preventiva",N234,0)</f>
        <v/>
      </c>
      <c r="P234" s="17">
        <f>IF('ORDENES'!$U230="correctiva",N234,0)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22">
        <f>IF(K234=1,'ORDENES'!$J230,"")</f>
        <v/>
      </c>
    </row>
    <row r="235">
      <c r="K235" s="5">
        <f>IF(AND(IF($B$3="(todos)",TRUE,'ORDENES'!$O231=$B$3),IF($D$3="(todos)",TRUE,'ORDENES'!$AH231=$D$3),IF($F$3="(todos)",TRUE,'ORDENES'!$Z231=$F$3),IF($H$3="(todos)",TRUE,'ORDENES'!$Y231=$H$3),'ORDENES'!$AF231=TRUE,'ORDENES'!$A231&lt;&gt;""),1,0)</f>
        <v/>
      </c>
      <c r="L235" s="5">
        <f>IF(K235=1,IFERROR(MATCH('ORDENES'!$S231,lista_dias,0),9)*1000000000+IFERROR(MATCH('ORDENES'!$AH231,lista_turnos,0),9)*10000000+IFERROR(MATCH('ORDENES'!$AG231,tblTecnicos[nombre],0),99)*100000+228,9000000000000+228)</f>
        <v/>
      </c>
      <c r="M235" s="5">
        <f>IF(K235=1,SUMPRODUCT(--($L$8:$L$1207&lt;L235))+1,"")</f>
        <v/>
      </c>
      <c r="N235" s="17">
        <f>IF(K235=1,N('ORDENES'!$M231),0)</f>
        <v/>
      </c>
      <c r="O235" s="17">
        <f>IF('ORDENES'!$U231="preventiva",N235,0)</f>
        <v/>
      </c>
      <c r="P235" s="17">
        <f>IF('ORDENES'!$U231="correctiva",N235,0)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22">
        <f>IF(K235=1,'ORDENES'!$J231,"")</f>
        <v/>
      </c>
    </row>
    <row r="236">
      <c r="K236" s="5">
        <f>IF(AND(IF($B$3="(todos)",TRUE,'ORDENES'!$O232=$B$3),IF($D$3="(todos)",TRUE,'ORDENES'!$AH232=$D$3),IF($F$3="(todos)",TRUE,'ORDENES'!$Z232=$F$3),IF($H$3="(todos)",TRUE,'ORDENES'!$Y232=$H$3),'ORDENES'!$AF232=TRUE,'ORDENES'!$A232&lt;&gt;""),1,0)</f>
        <v/>
      </c>
      <c r="L236" s="5">
        <f>IF(K236=1,IFERROR(MATCH('ORDENES'!$S232,lista_dias,0),9)*1000000000+IFERROR(MATCH('ORDENES'!$AH232,lista_turnos,0),9)*10000000+IFERROR(MATCH('ORDENES'!$AG232,tblTecnicos[nombre],0),99)*100000+229,9000000000000+229)</f>
        <v/>
      </c>
      <c r="M236" s="5">
        <f>IF(K236=1,SUMPRODUCT(--($L$8:$L$1207&lt;L236))+1,"")</f>
        <v/>
      </c>
      <c r="N236" s="17">
        <f>IF(K236=1,N('ORDENES'!$M232),0)</f>
        <v/>
      </c>
      <c r="O236" s="17">
        <f>IF('ORDENES'!$U232="preventiva",N236,0)</f>
        <v/>
      </c>
      <c r="P236" s="17">
        <f>IF('ORDENES'!$U232="correctiva",N236,0)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22">
        <f>IF(K236=1,'ORDENES'!$J232,"")</f>
        <v/>
      </c>
    </row>
    <row r="237">
      <c r="K237" s="5">
        <f>IF(AND(IF($B$3="(todos)",TRUE,'ORDENES'!$O233=$B$3),IF($D$3="(todos)",TRUE,'ORDENES'!$AH233=$D$3),IF($F$3="(todos)",TRUE,'ORDENES'!$Z233=$F$3),IF($H$3="(todos)",TRUE,'ORDENES'!$Y233=$H$3),'ORDENES'!$AF233=TRUE,'ORDENES'!$A233&lt;&gt;""),1,0)</f>
        <v/>
      </c>
      <c r="L237" s="5">
        <f>IF(K237=1,IFERROR(MATCH('ORDENES'!$S233,lista_dias,0),9)*1000000000+IFERROR(MATCH('ORDENES'!$AH233,lista_turnos,0),9)*10000000+IFERROR(MATCH('ORDENES'!$AG233,tblTecnicos[nombre],0),99)*100000+230,9000000000000+230)</f>
        <v/>
      </c>
      <c r="M237" s="5">
        <f>IF(K237=1,SUMPRODUCT(--($L$8:$L$1207&lt;L237))+1,"")</f>
        <v/>
      </c>
      <c r="N237" s="17">
        <f>IF(K237=1,N('ORDENES'!$M233),0)</f>
        <v/>
      </c>
      <c r="O237" s="17">
        <f>IF('ORDENES'!$U233="preventiva",N237,0)</f>
        <v/>
      </c>
      <c r="P237" s="17">
        <f>IF('ORDENES'!$U233="correctiva",N237,0)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22">
        <f>IF(K237=1,'ORDENES'!$J233,"")</f>
        <v/>
      </c>
    </row>
    <row r="238">
      <c r="K238" s="5">
        <f>IF(AND(IF($B$3="(todos)",TRUE,'ORDENES'!$O234=$B$3),IF($D$3="(todos)",TRUE,'ORDENES'!$AH234=$D$3),IF($F$3="(todos)",TRUE,'ORDENES'!$Z234=$F$3),IF($H$3="(todos)",TRUE,'ORDENES'!$Y234=$H$3),'ORDENES'!$AF234=TRUE,'ORDENES'!$A234&lt;&gt;""),1,0)</f>
        <v/>
      </c>
      <c r="L238" s="5">
        <f>IF(K238=1,IFERROR(MATCH('ORDENES'!$S234,lista_dias,0),9)*1000000000+IFERROR(MATCH('ORDENES'!$AH234,lista_turnos,0),9)*10000000+IFERROR(MATCH('ORDENES'!$AG234,tblTecnicos[nombre],0),99)*100000+231,9000000000000+231)</f>
        <v/>
      </c>
      <c r="M238" s="5">
        <f>IF(K238=1,SUMPRODUCT(--($L$8:$L$1207&lt;L238))+1,"")</f>
        <v/>
      </c>
      <c r="N238" s="17">
        <f>IF(K238=1,N('ORDENES'!$M234),0)</f>
        <v/>
      </c>
      <c r="O238" s="17">
        <f>IF('ORDENES'!$U234="preventiva",N238,0)</f>
        <v/>
      </c>
      <c r="P238" s="17">
        <f>IF('ORDENES'!$U234="correctiva",N238,0)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22">
        <f>IF(K238=1,'ORDENES'!$J234,"")</f>
        <v/>
      </c>
    </row>
    <row r="239">
      <c r="K239" s="5">
        <f>IF(AND(IF($B$3="(todos)",TRUE,'ORDENES'!$O235=$B$3),IF($D$3="(todos)",TRUE,'ORDENES'!$AH235=$D$3),IF($F$3="(todos)",TRUE,'ORDENES'!$Z235=$F$3),IF($H$3="(todos)",TRUE,'ORDENES'!$Y235=$H$3),'ORDENES'!$AF235=TRUE,'ORDENES'!$A235&lt;&gt;""),1,0)</f>
        <v/>
      </c>
      <c r="L239" s="5">
        <f>IF(K239=1,IFERROR(MATCH('ORDENES'!$S235,lista_dias,0),9)*1000000000+IFERROR(MATCH('ORDENES'!$AH235,lista_turnos,0),9)*10000000+IFERROR(MATCH('ORDENES'!$AG235,tblTecnicos[nombre],0),99)*100000+232,9000000000000+232)</f>
        <v/>
      </c>
      <c r="M239" s="5">
        <f>IF(K239=1,SUMPRODUCT(--($L$8:$L$1207&lt;L239))+1,"")</f>
        <v/>
      </c>
      <c r="N239" s="17">
        <f>IF(K239=1,N('ORDENES'!$M235),0)</f>
        <v/>
      </c>
      <c r="O239" s="17">
        <f>IF('ORDENES'!$U235="preventiva",N239,0)</f>
        <v/>
      </c>
      <c r="P239" s="17">
        <f>IF('ORDENES'!$U235="correctiva",N239,0)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22">
        <f>IF(K239=1,'ORDENES'!$J235,"")</f>
        <v/>
      </c>
    </row>
    <row r="240">
      <c r="K240" s="5">
        <f>IF(AND(IF($B$3="(todos)",TRUE,'ORDENES'!$O236=$B$3),IF($D$3="(todos)",TRUE,'ORDENES'!$AH236=$D$3),IF($F$3="(todos)",TRUE,'ORDENES'!$Z236=$F$3),IF($H$3="(todos)",TRUE,'ORDENES'!$Y236=$H$3),'ORDENES'!$AF236=TRUE,'ORDENES'!$A236&lt;&gt;""),1,0)</f>
        <v/>
      </c>
      <c r="L240" s="5">
        <f>IF(K240=1,IFERROR(MATCH('ORDENES'!$S236,lista_dias,0),9)*1000000000+IFERROR(MATCH('ORDENES'!$AH236,lista_turnos,0),9)*10000000+IFERROR(MATCH('ORDENES'!$AG236,tblTecnicos[nombre],0),99)*100000+233,9000000000000+233)</f>
        <v/>
      </c>
      <c r="M240" s="5">
        <f>IF(K240=1,SUMPRODUCT(--($L$8:$L$1207&lt;L240))+1,"")</f>
        <v/>
      </c>
      <c r="N240" s="17">
        <f>IF(K240=1,N('ORDENES'!$M236),0)</f>
        <v/>
      </c>
      <c r="O240" s="17">
        <f>IF('ORDENES'!$U236="preventiva",N240,0)</f>
        <v/>
      </c>
      <c r="P240" s="17">
        <f>IF('ORDENES'!$U236="correctiva",N240,0)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22">
        <f>IF(K240=1,'ORDENES'!$J236,"")</f>
        <v/>
      </c>
    </row>
    <row r="241">
      <c r="K241" s="5">
        <f>IF(AND(IF($B$3="(todos)",TRUE,'ORDENES'!$O237=$B$3),IF($D$3="(todos)",TRUE,'ORDENES'!$AH237=$D$3),IF($F$3="(todos)",TRUE,'ORDENES'!$Z237=$F$3),IF($H$3="(todos)",TRUE,'ORDENES'!$Y237=$H$3),'ORDENES'!$AF237=TRUE,'ORDENES'!$A237&lt;&gt;""),1,0)</f>
        <v/>
      </c>
      <c r="L241" s="5">
        <f>IF(K241=1,IFERROR(MATCH('ORDENES'!$S237,lista_dias,0),9)*1000000000+IFERROR(MATCH('ORDENES'!$AH237,lista_turnos,0),9)*10000000+IFERROR(MATCH('ORDENES'!$AG237,tblTecnicos[nombre],0),99)*100000+234,9000000000000+234)</f>
        <v/>
      </c>
      <c r="M241" s="5">
        <f>IF(K241=1,SUMPRODUCT(--($L$8:$L$1207&lt;L241))+1,"")</f>
        <v/>
      </c>
      <c r="N241" s="17">
        <f>IF(K241=1,N('ORDENES'!$M237),0)</f>
        <v/>
      </c>
      <c r="O241" s="17">
        <f>IF('ORDENES'!$U237="preventiva",N241,0)</f>
        <v/>
      </c>
      <c r="P241" s="17">
        <f>IF('ORDENES'!$U237="correctiva",N241,0)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22">
        <f>IF(K241=1,'ORDENES'!$J237,"")</f>
        <v/>
      </c>
    </row>
    <row r="242">
      <c r="K242" s="5">
        <f>IF(AND(IF($B$3="(todos)",TRUE,'ORDENES'!$O238=$B$3),IF($D$3="(todos)",TRUE,'ORDENES'!$AH238=$D$3),IF($F$3="(todos)",TRUE,'ORDENES'!$Z238=$F$3),IF($H$3="(todos)",TRUE,'ORDENES'!$Y238=$H$3),'ORDENES'!$AF238=TRUE,'ORDENES'!$A238&lt;&gt;""),1,0)</f>
        <v/>
      </c>
      <c r="L242" s="5">
        <f>IF(K242=1,IFERROR(MATCH('ORDENES'!$S238,lista_dias,0),9)*1000000000+IFERROR(MATCH('ORDENES'!$AH238,lista_turnos,0),9)*10000000+IFERROR(MATCH('ORDENES'!$AG238,tblTecnicos[nombre],0),99)*100000+235,9000000000000+235)</f>
        <v/>
      </c>
      <c r="M242" s="5">
        <f>IF(K242=1,SUMPRODUCT(--($L$8:$L$1207&lt;L242))+1,"")</f>
        <v/>
      </c>
      <c r="N242" s="17">
        <f>IF(K242=1,N('ORDENES'!$M238),0)</f>
        <v/>
      </c>
      <c r="O242" s="17">
        <f>IF('ORDENES'!$U238="preventiva",N242,0)</f>
        <v/>
      </c>
      <c r="P242" s="17">
        <f>IF('ORDENES'!$U238="correctiva",N242,0)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22">
        <f>IF(K242=1,'ORDENES'!$J238,"")</f>
        <v/>
      </c>
    </row>
    <row r="243">
      <c r="K243" s="5">
        <f>IF(AND(IF($B$3="(todos)",TRUE,'ORDENES'!$O239=$B$3),IF($D$3="(todos)",TRUE,'ORDENES'!$AH239=$D$3),IF($F$3="(todos)",TRUE,'ORDENES'!$Z239=$F$3),IF($H$3="(todos)",TRUE,'ORDENES'!$Y239=$H$3),'ORDENES'!$AF239=TRUE,'ORDENES'!$A239&lt;&gt;""),1,0)</f>
        <v/>
      </c>
      <c r="L243" s="5">
        <f>IF(K243=1,IFERROR(MATCH('ORDENES'!$S239,lista_dias,0),9)*1000000000+IFERROR(MATCH('ORDENES'!$AH239,lista_turnos,0),9)*10000000+IFERROR(MATCH('ORDENES'!$AG239,tblTecnicos[nombre],0),99)*100000+236,9000000000000+236)</f>
        <v/>
      </c>
      <c r="M243" s="5">
        <f>IF(K243=1,SUMPRODUCT(--($L$8:$L$1207&lt;L243))+1,"")</f>
        <v/>
      </c>
      <c r="N243" s="17">
        <f>IF(K243=1,N('ORDENES'!$M239),0)</f>
        <v/>
      </c>
      <c r="O243" s="17">
        <f>IF('ORDENES'!$U239="preventiva",N243,0)</f>
        <v/>
      </c>
      <c r="P243" s="17">
        <f>IF('ORDENES'!$U239="correctiva",N243,0)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22">
        <f>IF(K243=1,'ORDENES'!$J239,"")</f>
        <v/>
      </c>
    </row>
    <row r="244">
      <c r="K244" s="5">
        <f>IF(AND(IF($B$3="(todos)",TRUE,'ORDENES'!$O240=$B$3),IF($D$3="(todos)",TRUE,'ORDENES'!$AH240=$D$3),IF($F$3="(todos)",TRUE,'ORDENES'!$Z240=$F$3),IF($H$3="(todos)",TRUE,'ORDENES'!$Y240=$H$3),'ORDENES'!$AF240=TRUE,'ORDENES'!$A240&lt;&gt;""),1,0)</f>
        <v/>
      </c>
      <c r="L244" s="5">
        <f>IF(K244=1,IFERROR(MATCH('ORDENES'!$S240,lista_dias,0),9)*1000000000+IFERROR(MATCH('ORDENES'!$AH240,lista_turnos,0),9)*10000000+IFERROR(MATCH('ORDENES'!$AG240,tblTecnicos[nombre],0),99)*100000+237,9000000000000+237)</f>
        <v/>
      </c>
      <c r="M244" s="5">
        <f>IF(K244=1,SUMPRODUCT(--($L$8:$L$1207&lt;L244))+1,"")</f>
        <v/>
      </c>
      <c r="N244" s="17">
        <f>IF(K244=1,N('ORDENES'!$M240),0)</f>
        <v/>
      </c>
      <c r="O244" s="17">
        <f>IF('ORDENES'!$U240="preventiva",N244,0)</f>
        <v/>
      </c>
      <c r="P244" s="17">
        <f>IF('ORDENES'!$U240="correctiva",N244,0)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22">
        <f>IF(K244=1,'ORDENES'!$J240,"")</f>
        <v/>
      </c>
    </row>
    <row r="245">
      <c r="K245" s="5">
        <f>IF(AND(IF($B$3="(todos)",TRUE,'ORDENES'!$O241=$B$3),IF($D$3="(todos)",TRUE,'ORDENES'!$AH241=$D$3),IF($F$3="(todos)",TRUE,'ORDENES'!$Z241=$F$3),IF($H$3="(todos)",TRUE,'ORDENES'!$Y241=$H$3),'ORDENES'!$AF241=TRUE,'ORDENES'!$A241&lt;&gt;""),1,0)</f>
        <v/>
      </c>
      <c r="L245" s="5">
        <f>IF(K245=1,IFERROR(MATCH('ORDENES'!$S241,lista_dias,0),9)*1000000000+IFERROR(MATCH('ORDENES'!$AH241,lista_turnos,0),9)*10000000+IFERROR(MATCH('ORDENES'!$AG241,tblTecnicos[nombre],0),99)*100000+238,9000000000000+238)</f>
        <v/>
      </c>
      <c r="M245" s="5">
        <f>IF(K245=1,SUMPRODUCT(--($L$8:$L$1207&lt;L245))+1,"")</f>
        <v/>
      </c>
      <c r="N245" s="17">
        <f>IF(K245=1,N('ORDENES'!$M241),0)</f>
        <v/>
      </c>
      <c r="O245" s="17">
        <f>IF('ORDENES'!$U241="preventiva",N245,0)</f>
        <v/>
      </c>
      <c r="P245" s="17">
        <f>IF('ORDENES'!$U241="correctiva",N245,0)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22">
        <f>IF(K245=1,'ORDENES'!$J241,"")</f>
        <v/>
      </c>
    </row>
    <row r="246">
      <c r="K246" s="5">
        <f>IF(AND(IF($B$3="(todos)",TRUE,'ORDENES'!$O242=$B$3),IF($D$3="(todos)",TRUE,'ORDENES'!$AH242=$D$3),IF($F$3="(todos)",TRUE,'ORDENES'!$Z242=$F$3),IF($H$3="(todos)",TRUE,'ORDENES'!$Y242=$H$3),'ORDENES'!$AF242=TRUE,'ORDENES'!$A242&lt;&gt;""),1,0)</f>
        <v/>
      </c>
      <c r="L246" s="5">
        <f>IF(K246=1,IFERROR(MATCH('ORDENES'!$S242,lista_dias,0),9)*1000000000+IFERROR(MATCH('ORDENES'!$AH242,lista_turnos,0),9)*10000000+IFERROR(MATCH('ORDENES'!$AG242,tblTecnicos[nombre],0),99)*100000+239,9000000000000+239)</f>
        <v/>
      </c>
      <c r="M246" s="5">
        <f>IF(K246=1,SUMPRODUCT(--($L$8:$L$1207&lt;L246))+1,"")</f>
        <v/>
      </c>
      <c r="N246" s="17">
        <f>IF(K246=1,N('ORDENES'!$M242),0)</f>
        <v/>
      </c>
      <c r="O246" s="17">
        <f>IF('ORDENES'!$U242="preventiva",N246,0)</f>
        <v/>
      </c>
      <c r="P246" s="17">
        <f>IF('ORDENES'!$U242="correctiva",N246,0)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22">
        <f>IF(K246=1,'ORDENES'!$J242,"")</f>
        <v/>
      </c>
    </row>
    <row r="247">
      <c r="K247" s="5">
        <f>IF(AND(IF($B$3="(todos)",TRUE,'ORDENES'!$O243=$B$3),IF($D$3="(todos)",TRUE,'ORDENES'!$AH243=$D$3),IF($F$3="(todos)",TRUE,'ORDENES'!$Z243=$F$3),IF($H$3="(todos)",TRUE,'ORDENES'!$Y243=$H$3),'ORDENES'!$AF243=TRUE,'ORDENES'!$A243&lt;&gt;""),1,0)</f>
        <v/>
      </c>
      <c r="L247" s="5">
        <f>IF(K247=1,IFERROR(MATCH('ORDENES'!$S243,lista_dias,0),9)*1000000000+IFERROR(MATCH('ORDENES'!$AH243,lista_turnos,0),9)*10000000+IFERROR(MATCH('ORDENES'!$AG243,tblTecnicos[nombre],0),99)*100000+240,9000000000000+240)</f>
        <v/>
      </c>
      <c r="M247" s="5">
        <f>IF(K247=1,SUMPRODUCT(--($L$8:$L$1207&lt;L247))+1,"")</f>
        <v/>
      </c>
      <c r="N247" s="17">
        <f>IF(K247=1,N('ORDENES'!$M243),0)</f>
        <v/>
      </c>
      <c r="O247" s="17">
        <f>IF('ORDENES'!$U243="preventiva",N247,0)</f>
        <v/>
      </c>
      <c r="P247" s="17">
        <f>IF('ORDENES'!$U243="correctiva",N247,0)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22">
        <f>IF(K247=1,'ORDENES'!$J243,"")</f>
        <v/>
      </c>
    </row>
    <row r="248">
      <c r="K248" s="5">
        <f>IF(AND(IF($B$3="(todos)",TRUE,'ORDENES'!$O244=$B$3),IF($D$3="(todos)",TRUE,'ORDENES'!$AH244=$D$3),IF($F$3="(todos)",TRUE,'ORDENES'!$Z244=$F$3),IF($H$3="(todos)",TRUE,'ORDENES'!$Y244=$H$3),'ORDENES'!$AF244=TRUE,'ORDENES'!$A244&lt;&gt;""),1,0)</f>
        <v/>
      </c>
      <c r="L248" s="5">
        <f>IF(K248=1,IFERROR(MATCH('ORDENES'!$S244,lista_dias,0),9)*1000000000+IFERROR(MATCH('ORDENES'!$AH244,lista_turnos,0),9)*10000000+IFERROR(MATCH('ORDENES'!$AG244,tblTecnicos[nombre],0),99)*100000+241,9000000000000+241)</f>
        <v/>
      </c>
      <c r="M248" s="5">
        <f>IF(K248=1,SUMPRODUCT(--($L$8:$L$1207&lt;L248))+1,"")</f>
        <v/>
      </c>
      <c r="N248" s="17">
        <f>IF(K248=1,N('ORDENES'!$M244),0)</f>
        <v/>
      </c>
      <c r="O248" s="17">
        <f>IF('ORDENES'!$U244="preventiva",N248,0)</f>
        <v/>
      </c>
      <c r="P248" s="17">
        <f>IF('ORDENES'!$U244="correctiva",N248,0)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22">
        <f>IF(K248=1,'ORDENES'!$J244,"")</f>
        <v/>
      </c>
    </row>
    <row r="249">
      <c r="K249" s="5">
        <f>IF(AND(IF($B$3="(todos)",TRUE,'ORDENES'!$O245=$B$3),IF($D$3="(todos)",TRUE,'ORDENES'!$AH245=$D$3),IF($F$3="(todos)",TRUE,'ORDENES'!$Z245=$F$3),IF($H$3="(todos)",TRUE,'ORDENES'!$Y245=$H$3),'ORDENES'!$AF245=TRUE,'ORDENES'!$A245&lt;&gt;""),1,0)</f>
        <v/>
      </c>
      <c r="L249" s="5">
        <f>IF(K249=1,IFERROR(MATCH('ORDENES'!$S245,lista_dias,0),9)*1000000000+IFERROR(MATCH('ORDENES'!$AH245,lista_turnos,0),9)*10000000+IFERROR(MATCH('ORDENES'!$AG245,tblTecnicos[nombre],0),99)*100000+242,9000000000000+242)</f>
        <v/>
      </c>
      <c r="M249" s="5">
        <f>IF(K249=1,SUMPRODUCT(--($L$8:$L$1207&lt;L249))+1,"")</f>
        <v/>
      </c>
      <c r="N249" s="17">
        <f>IF(K249=1,N('ORDENES'!$M245),0)</f>
        <v/>
      </c>
      <c r="O249" s="17">
        <f>IF('ORDENES'!$U245="preventiva",N249,0)</f>
        <v/>
      </c>
      <c r="P249" s="17">
        <f>IF('ORDENES'!$U245="correctiva",N249,0)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22">
        <f>IF(K249=1,'ORDENES'!$J245,"")</f>
        <v/>
      </c>
    </row>
    <row r="250">
      <c r="K250" s="5">
        <f>IF(AND(IF($B$3="(todos)",TRUE,'ORDENES'!$O246=$B$3),IF($D$3="(todos)",TRUE,'ORDENES'!$AH246=$D$3),IF($F$3="(todos)",TRUE,'ORDENES'!$Z246=$F$3),IF($H$3="(todos)",TRUE,'ORDENES'!$Y246=$H$3),'ORDENES'!$AF246=TRUE,'ORDENES'!$A246&lt;&gt;""),1,0)</f>
        <v/>
      </c>
      <c r="L250" s="5">
        <f>IF(K250=1,IFERROR(MATCH('ORDENES'!$S246,lista_dias,0),9)*1000000000+IFERROR(MATCH('ORDENES'!$AH246,lista_turnos,0),9)*10000000+IFERROR(MATCH('ORDENES'!$AG246,tblTecnicos[nombre],0),99)*100000+243,9000000000000+243)</f>
        <v/>
      </c>
      <c r="M250" s="5">
        <f>IF(K250=1,SUMPRODUCT(--($L$8:$L$1207&lt;L250))+1,"")</f>
        <v/>
      </c>
      <c r="N250" s="17">
        <f>IF(K250=1,N('ORDENES'!$M246),0)</f>
        <v/>
      </c>
      <c r="O250" s="17">
        <f>IF('ORDENES'!$U246="preventiva",N250,0)</f>
        <v/>
      </c>
      <c r="P250" s="17">
        <f>IF('ORDENES'!$U246="correctiva",N250,0)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22">
        <f>IF(K250=1,'ORDENES'!$J246,"")</f>
        <v/>
      </c>
    </row>
    <row r="251">
      <c r="K251" s="5">
        <f>IF(AND(IF($B$3="(todos)",TRUE,'ORDENES'!$O247=$B$3),IF($D$3="(todos)",TRUE,'ORDENES'!$AH247=$D$3),IF($F$3="(todos)",TRUE,'ORDENES'!$Z247=$F$3),IF($H$3="(todos)",TRUE,'ORDENES'!$Y247=$H$3),'ORDENES'!$AF247=TRUE,'ORDENES'!$A247&lt;&gt;""),1,0)</f>
        <v/>
      </c>
      <c r="L251" s="5">
        <f>IF(K251=1,IFERROR(MATCH('ORDENES'!$S247,lista_dias,0),9)*1000000000+IFERROR(MATCH('ORDENES'!$AH247,lista_turnos,0),9)*10000000+IFERROR(MATCH('ORDENES'!$AG247,tblTecnicos[nombre],0),99)*100000+244,9000000000000+244)</f>
        <v/>
      </c>
      <c r="M251" s="5">
        <f>IF(K251=1,SUMPRODUCT(--($L$8:$L$1207&lt;L251))+1,"")</f>
        <v/>
      </c>
      <c r="N251" s="17">
        <f>IF(K251=1,N('ORDENES'!$M247),0)</f>
        <v/>
      </c>
      <c r="O251" s="17">
        <f>IF('ORDENES'!$U247="preventiva",N251,0)</f>
        <v/>
      </c>
      <c r="P251" s="17">
        <f>IF('ORDENES'!$U247="correctiva",N251,0)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22">
        <f>IF(K251=1,'ORDENES'!$J247,"")</f>
        <v/>
      </c>
    </row>
    <row r="252">
      <c r="K252" s="5">
        <f>IF(AND(IF($B$3="(todos)",TRUE,'ORDENES'!$O248=$B$3),IF($D$3="(todos)",TRUE,'ORDENES'!$AH248=$D$3),IF($F$3="(todos)",TRUE,'ORDENES'!$Z248=$F$3),IF($H$3="(todos)",TRUE,'ORDENES'!$Y248=$H$3),'ORDENES'!$AF248=TRUE,'ORDENES'!$A248&lt;&gt;""),1,0)</f>
        <v/>
      </c>
      <c r="L252" s="5">
        <f>IF(K252=1,IFERROR(MATCH('ORDENES'!$S248,lista_dias,0),9)*1000000000+IFERROR(MATCH('ORDENES'!$AH248,lista_turnos,0),9)*10000000+IFERROR(MATCH('ORDENES'!$AG248,tblTecnicos[nombre],0),99)*100000+245,9000000000000+245)</f>
        <v/>
      </c>
      <c r="M252" s="5">
        <f>IF(K252=1,SUMPRODUCT(--($L$8:$L$1207&lt;L252))+1,"")</f>
        <v/>
      </c>
      <c r="N252" s="17">
        <f>IF(K252=1,N('ORDENES'!$M248),0)</f>
        <v/>
      </c>
      <c r="O252" s="17">
        <f>IF('ORDENES'!$U248="preventiva",N252,0)</f>
        <v/>
      </c>
      <c r="P252" s="17">
        <f>IF('ORDENES'!$U248="correctiva",N252,0)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22">
        <f>IF(K252=1,'ORDENES'!$J248,"")</f>
        <v/>
      </c>
    </row>
    <row r="253">
      <c r="K253" s="5">
        <f>IF(AND(IF($B$3="(todos)",TRUE,'ORDENES'!$O249=$B$3),IF($D$3="(todos)",TRUE,'ORDENES'!$AH249=$D$3),IF($F$3="(todos)",TRUE,'ORDENES'!$Z249=$F$3),IF($H$3="(todos)",TRUE,'ORDENES'!$Y249=$H$3),'ORDENES'!$AF249=TRUE,'ORDENES'!$A249&lt;&gt;""),1,0)</f>
        <v/>
      </c>
      <c r="L253" s="5">
        <f>IF(K253=1,IFERROR(MATCH('ORDENES'!$S249,lista_dias,0),9)*1000000000+IFERROR(MATCH('ORDENES'!$AH249,lista_turnos,0),9)*10000000+IFERROR(MATCH('ORDENES'!$AG249,tblTecnicos[nombre],0),99)*100000+246,9000000000000+246)</f>
        <v/>
      </c>
      <c r="M253" s="5">
        <f>IF(K253=1,SUMPRODUCT(--($L$8:$L$1207&lt;L253))+1,"")</f>
        <v/>
      </c>
      <c r="N253" s="17">
        <f>IF(K253=1,N('ORDENES'!$M249),0)</f>
        <v/>
      </c>
      <c r="O253" s="17">
        <f>IF('ORDENES'!$U249="preventiva",N253,0)</f>
        <v/>
      </c>
      <c r="P253" s="17">
        <f>IF('ORDENES'!$U249="correctiva",N253,0)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22">
        <f>IF(K253=1,'ORDENES'!$J249,"")</f>
        <v/>
      </c>
    </row>
    <row r="254">
      <c r="K254" s="5">
        <f>IF(AND(IF($B$3="(todos)",TRUE,'ORDENES'!$O250=$B$3),IF($D$3="(todos)",TRUE,'ORDENES'!$AH250=$D$3),IF($F$3="(todos)",TRUE,'ORDENES'!$Z250=$F$3),IF($H$3="(todos)",TRUE,'ORDENES'!$Y250=$H$3),'ORDENES'!$AF250=TRUE,'ORDENES'!$A250&lt;&gt;""),1,0)</f>
        <v/>
      </c>
      <c r="L254" s="5">
        <f>IF(K254=1,IFERROR(MATCH('ORDENES'!$S250,lista_dias,0),9)*1000000000+IFERROR(MATCH('ORDENES'!$AH250,lista_turnos,0),9)*10000000+IFERROR(MATCH('ORDENES'!$AG250,tblTecnicos[nombre],0),99)*100000+247,9000000000000+247)</f>
        <v/>
      </c>
      <c r="M254" s="5">
        <f>IF(K254=1,SUMPRODUCT(--($L$8:$L$1207&lt;L254))+1,"")</f>
        <v/>
      </c>
      <c r="N254" s="17">
        <f>IF(K254=1,N('ORDENES'!$M250),0)</f>
        <v/>
      </c>
      <c r="O254" s="17">
        <f>IF('ORDENES'!$U250="preventiva",N254,0)</f>
        <v/>
      </c>
      <c r="P254" s="17">
        <f>IF('ORDENES'!$U250="correctiva",N254,0)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22">
        <f>IF(K254=1,'ORDENES'!$J250,"")</f>
        <v/>
      </c>
    </row>
    <row r="255">
      <c r="K255" s="5">
        <f>IF(AND(IF($B$3="(todos)",TRUE,'ORDENES'!$O251=$B$3),IF($D$3="(todos)",TRUE,'ORDENES'!$AH251=$D$3),IF($F$3="(todos)",TRUE,'ORDENES'!$Z251=$F$3),IF($H$3="(todos)",TRUE,'ORDENES'!$Y251=$H$3),'ORDENES'!$AF251=TRUE,'ORDENES'!$A251&lt;&gt;""),1,0)</f>
        <v/>
      </c>
      <c r="L255" s="5">
        <f>IF(K255=1,IFERROR(MATCH('ORDENES'!$S251,lista_dias,0),9)*1000000000+IFERROR(MATCH('ORDENES'!$AH251,lista_turnos,0),9)*10000000+IFERROR(MATCH('ORDENES'!$AG251,tblTecnicos[nombre],0),99)*100000+248,9000000000000+248)</f>
        <v/>
      </c>
      <c r="M255" s="5">
        <f>IF(K255=1,SUMPRODUCT(--($L$8:$L$1207&lt;L255))+1,"")</f>
        <v/>
      </c>
      <c r="N255" s="17">
        <f>IF(K255=1,N('ORDENES'!$M251),0)</f>
        <v/>
      </c>
      <c r="O255" s="17">
        <f>IF('ORDENES'!$U251="preventiva",N255,0)</f>
        <v/>
      </c>
      <c r="P255" s="17">
        <f>IF('ORDENES'!$U251="correctiva",N255,0)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22">
        <f>IF(K255=1,'ORDENES'!$J251,"")</f>
        <v/>
      </c>
    </row>
    <row r="256">
      <c r="K256" s="5">
        <f>IF(AND(IF($B$3="(todos)",TRUE,'ORDENES'!$O252=$B$3),IF($D$3="(todos)",TRUE,'ORDENES'!$AH252=$D$3),IF($F$3="(todos)",TRUE,'ORDENES'!$Z252=$F$3),IF($H$3="(todos)",TRUE,'ORDENES'!$Y252=$H$3),'ORDENES'!$AF252=TRUE,'ORDENES'!$A252&lt;&gt;""),1,0)</f>
        <v/>
      </c>
      <c r="L256" s="5">
        <f>IF(K256=1,IFERROR(MATCH('ORDENES'!$S252,lista_dias,0),9)*1000000000+IFERROR(MATCH('ORDENES'!$AH252,lista_turnos,0),9)*10000000+IFERROR(MATCH('ORDENES'!$AG252,tblTecnicos[nombre],0),99)*100000+249,9000000000000+249)</f>
        <v/>
      </c>
      <c r="M256" s="5">
        <f>IF(K256=1,SUMPRODUCT(--($L$8:$L$1207&lt;L256))+1,"")</f>
        <v/>
      </c>
      <c r="N256" s="17">
        <f>IF(K256=1,N('ORDENES'!$M252),0)</f>
        <v/>
      </c>
      <c r="O256" s="17">
        <f>IF('ORDENES'!$U252="preventiva",N256,0)</f>
        <v/>
      </c>
      <c r="P256" s="17">
        <f>IF('ORDENES'!$U252="correctiva",N256,0)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22">
        <f>IF(K256=1,'ORDENES'!$J252,"")</f>
        <v/>
      </c>
    </row>
    <row r="257">
      <c r="K257" s="5">
        <f>IF(AND(IF($B$3="(todos)",TRUE,'ORDENES'!$O253=$B$3),IF($D$3="(todos)",TRUE,'ORDENES'!$AH253=$D$3),IF($F$3="(todos)",TRUE,'ORDENES'!$Z253=$F$3),IF($H$3="(todos)",TRUE,'ORDENES'!$Y253=$H$3),'ORDENES'!$AF253=TRUE,'ORDENES'!$A253&lt;&gt;""),1,0)</f>
        <v/>
      </c>
      <c r="L257" s="5">
        <f>IF(K257=1,IFERROR(MATCH('ORDENES'!$S253,lista_dias,0),9)*1000000000+IFERROR(MATCH('ORDENES'!$AH253,lista_turnos,0),9)*10000000+IFERROR(MATCH('ORDENES'!$AG253,tblTecnicos[nombre],0),99)*100000+250,9000000000000+250)</f>
        <v/>
      </c>
      <c r="M257" s="5">
        <f>IF(K257=1,SUMPRODUCT(--($L$8:$L$1207&lt;L257))+1,"")</f>
        <v/>
      </c>
      <c r="N257" s="17">
        <f>IF(K257=1,N('ORDENES'!$M253),0)</f>
        <v/>
      </c>
      <c r="O257" s="17">
        <f>IF('ORDENES'!$U253="preventiva",N257,0)</f>
        <v/>
      </c>
      <c r="P257" s="17">
        <f>IF('ORDENES'!$U253="correctiva",N257,0)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22">
        <f>IF(K257=1,'ORDENES'!$J253,"")</f>
        <v/>
      </c>
    </row>
    <row r="258">
      <c r="K258" s="5">
        <f>IF(AND(IF($B$3="(todos)",TRUE,'ORDENES'!$O254=$B$3),IF($D$3="(todos)",TRUE,'ORDENES'!$AH254=$D$3),IF($F$3="(todos)",TRUE,'ORDENES'!$Z254=$F$3),IF($H$3="(todos)",TRUE,'ORDENES'!$Y254=$H$3),'ORDENES'!$AF254=TRUE,'ORDENES'!$A254&lt;&gt;""),1,0)</f>
        <v/>
      </c>
      <c r="L258" s="5">
        <f>IF(K258=1,IFERROR(MATCH('ORDENES'!$S254,lista_dias,0),9)*1000000000+IFERROR(MATCH('ORDENES'!$AH254,lista_turnos,0),9)*10000000+IFERROR(MATCH('ORDENES'!$AG254,tblTecnicos[nombre],0),99)*100000+251,9000000000000+251)</f>
        <v/>
      </c>
      <c r="M258" s="5">
        <f>IF(K258=1,SUMPRODUCT(--($L$8:$L$1207&lt;L258))+1,"")</f>
        <v/>
      </c>
      <c r="N258" s="17">
        <f>IF(K258=1,N('ORDENES'!$M254),0)</f>
        <v/>
      </c>
      <c r="O258" s="17">
        <f>IF('ORDENES'!$U254="preventiva",N258,0)</f>
        <v/>
      </c>
      <c r="P258" s="17">
        <f>IF('ORDENES'!$U254="correctiva",N258,0)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22">
        <f>IF(K258=1,'ORDENES'!$J254,"")</f>
        <v/>
      </c>
    </row>
    <row r="259">
      <c r="K259" s="5">
        <f>IF(AND(IF($B$3="(todos)",TRUE,'ORDENES'!$O255=$B$3),IF($D$3="(todos)",TRUE,'ORDENES'!$AH255=$D$3),IF($F$3="(todos)",TRUE,'ORDENES'!$Z255=$F$3),IF($H$3="(todos)",TRUE,'ORDENES'!$Y255=$H$3),'ORDENES'!$AF255=TRUE,'ORDENES'!$A255&lt;&gt;""),1,0)</f>
        <v/>
      </c>
      <c r="L259" s="5">
        <f>IF(K259=1,IFERROR(MATCH('ORDENES'!$S255,lista_dias,0),9)*1000000000+IFERROR(MATCH('ORDENES'!$AH255,lista_turnos,0),9)*10000000+IFERROR(MATCH('ORDENES'!$AG255,tblTecnicos[nombre],0),99)*100000+252,9000000000000+252)</f>
        <v/>
      </c>
      <c r="M259" s="5">
        <f>IF(K259=1,SUMPRODUCT(--($L$8:$L$1207&lt;L259))+1,"")</f>
        <v/>
      </c>
      <c r="N259" s="17">
        <f>IF(K259=1,N('ORDENES'!$M255),0)</f>
        <v/>
      </c>
      <c r="O259" s="17">
        <f>IF('ORDENES'!$U255="preventiva",N259,0)</f>
        <v/>
      </c>
      <c r="P259" s="17">
        <f>IF('ORDENES'!$U255="correctiva",N259,0)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22">
        <f>IF(K259=1,'ORDENES'!$J255,"")</f>
        <v/>
      </c>
    </row>
    <row r="260">
      <c r="K260" s="5">
        <f>IF(AND(IF($B$3="(todos)",TRUE,'ORDENES'!$O256=$B$3),IF($D$3="(todos)",TRUE,'ORDENES'!$AH256=$D$3),IF($F$3="(todos)",TRUE,'ORDENES'!$Z256=$F$3),IF($H$3="(todos)",TRUE,'ORDENES'!$Y256=$H$3),'ORDENES'!$AF256=TRUE,'ORDENES'!$A256&lt;&gt;""),1,0)</f>
        <v/>
      </c>
      <c r="L260" s="5">
        <f>IF(K260=1,IFERROR(MATCH('ORDENES'!$S256,lista_dias,0),9)*1000000000+IFERROR(MATCH('ORDENES'!$AH256,lista_turnos,0),9)*10000000+IFERROR(MATCH('ORDENES'!$AG256,tblTecnicos[nombre],0),99)*100000+253,9000000000000+253)</f>
        <v/>
      </c>
      <c r="M260" s="5">
        <f>IF(K260=1,SUMPRODUCT(--($L$8:$L$1207&lt;L260))+1,"")</f>
        <v/>
      </c>
      <c r="N260" s="17">
        <f>IF(K260=1,N('ORDENES'!$M256),0)</f>
        <v/>
      </c>
      <c r="O260" s="17">
        <f>IF('ORDENES'!$U256="preventiva",N260,0)</f>
        <v/>
      </c>
      <c r="P260" s="17">
        <f>IF('ORDENES'!$U256="correctiva",N260,0)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22">
        <f>IF(K260=1,'ORDENES'!$J256,"")</f>
        <v/>
      </c>
    </row>
    <row r="261">
      <c r="K261" s="5">
        <f>IF(AND(IF($B$3="(todos)",TRUE,'ORDENES'!$O257=$B$3),IF($D$3="(todos)",TRUE,'ORDENES'!$AH257=$D$3),IF($F$3="(todos)",TRUE,'ORDENES'!$Z257=$F$3),IF($H$3="(todos)",TRUE,'ORDENES'!$Y257=$H$3),'ORDENES'!$AF257=TRUE,'ORDENES'!$A257&lt;&gt;""),1,0)</f>
        <v/>
      </c>
      <c r="L261" s="5">
        <f>IF(K261=1,IFERROR(MATCH('ORDENES'!$S257,lista_dias,0),9)*1000000000+IFERROR(MATCH('ORDENES'!$AH257,lista_turnos,0),9)*10000000+IFERROR(MATCH('ORDENES'!$AG257,tblTecnicos[nombre],0),99)*100000+254,9000000000000+254)</f>
        <v/>
      </c>
      <c r="M261" s="5">
        <f>IF(K261=1,SUMPRODUCT(--($L$8:$L$1207&lt;L261))+1,"")</f>
        <v/>
      </c>
      <c r="N261" s="17">
        <f>IF(K261=1,N('ORDENES'!$M257),0)</f>
        <v/>
      </c>
      <c r="O261" s="17">
        <f>IF('ORDENES'!$U257="preventiva",N261,0)</f>
        <v/>
      </c>
      <c r="P261" s="17">
        <f>IF('ORDENES'!$U257="correctiva",N261,0)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22">
        <f>IF(K261=1,'ORDENES'!$J257,"")</f>
        <v/>
      </c>
    </row>
    <row r="262">
      <c r="K262" s="5">
        <f>IF(AND(IF($B$3="(todos)",TRUE,'ORDENES'!$O258=$B$3),IF($D$3="(todos)",TRUE,'ORDENES'!$AH258=$D$3),IF($F$3="(todos)",TRUE,'ORDENES'!$Z258=$F$3),IF($H$3="(todos)",TRUE,'ORDENES'!$Y258=$H$3),'ORDENES'!$AF258=TRUE,'ORDENES'!$A258&lt;&gt;""),1,0)</f>
        <v/>
      </c>
      <c r="L262" s="5">
        <f>IF(K262=1,IFERROR(MATCH('ORDENES'!$S258,lista_dias,0),9)*1000000000+IFERROR(MATCH('ORDENES'!$AH258,lista_turnos,0),9)*10000000+IFERROR(MATCH('ORDENES'!$AG258,tblTecnicos[nombre],0),99)*100000+255,9000000000000+255)</f>
        <v/>
      </c>
      <c r="M262" s="5">
        <f>IF(K262=1,SUMPRODUCT(--($L$8:$L$1207&lt;L262))+1,"")</f>
        <v/>
      </c>
      <c r="N262" s="17">
        <f>IF(K262=1,N('ORDENES'!$M258),0)</f>
        <v/>
      </c>
      <c r="O262" s="17">
        <f>IF('ORDENES'!$U258="preventiva",N262,0)</f>
        <v/>
      </c>
      <c r="P262" s="17">
        <f>IF('ORDENES'!$U258="correctiva",N262,0)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22">
        <f>IF(K262=1,'ORDENES'!$J258,"")</f>
        <v/>
      </c>
    </row>
    <row r="263">
      <c r="K263" s="5">
        <f>IF(AND(IF($B$3="(todos)",TRUE,'ORDENES'!$O259=$B$3),IF($D$3="(todos)",TRUE,'ORDENES'!$AH259=$D$3),IF($F$3="(todos)",TRUE,'ORDENES'!$Z259=$F$3),IF($H$3="(todos)",TRUE,'ORDENES'!$Y259=$H$3),'ORDENES'!$AF259=TRUE,'ORDENES'!$A259&lt;&gt;""),1,0)</f>
        <v/>
      </c>
      <c r="L263" s="5">
        <f>IF(K263=1,IFERROR(MATCH('ORDENES'!$S259,lista_dias,0),9)*1000000000+IFERROR(MATCH('ORDENES'!$AH259,lista_turnos,0),9)*10000000+IFERROR(MATCH('ORDENES'!$AG259,tblTecnicos[nombre],0),99)*100000+256,9000000000000+256)</f>
        <v/>
      </c>
      <c r="M263" s="5">
        <f>IF(K263=1,SUMPRODUCT(--($L$8:$L$1207&lt;L263))+1,"")</f>
        <v/>
      </c>
      <c r="N263" s="17">
        <f>IF(K263=1,N('ORDENES'!$M259),0)</f>
        <v/>
      </c>
      <c r="O263" s="17">
        <f>IF('ORDENES'!$U259="preventiva",N263,0)</f>
        <v/>
      </c>
      <c r="P263" s="17">
        <f>IF('ORDENES'!$U259="correctiva",N263,0)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22">
        <f>IF(K263=1,'ORDENES'!$J259,"")</f>
        <v/>
      </c>
    </row>
    <row r="264">
      <c r="K264" s="5">
        <f>IF(AND(IF($B$3="(todos)",TRUE,'ORDENES'!$O260=$B$3),IF($D$3="(todos)",TRUE,'ORDENES'!$AH260=$D$3),IF($F$3="(todos)",TRUE,'ORDENES'!$Z260=$F$3),IF($H$3="(todos)",TRUE,'ORDENES'!$Y260=$H$3),'ORDENES'!$AF260=TRUE,'ORDENES'!$A260&lt;&gt;""),1,0)</f>
        <v/>
      </c>
      <c r="L264" s="5">
        <f>IF(K264=1,IFERROR(MATCH('ORDENES'!$S260,lista_dias,0),9)*1000000000+IFERROR(MATCH('ORDENES'!$AH260,lista_turnos,0),9)*10000000+IFERROR(MATCH('ORDENES'!$AG260,tblTecnicos[nombre],0),99)*100000+257,9000000000000+257)</f>
        <v/>
      </c>
      <c r="M264" s="5">
        <f>IF(K264=1,SUMPRODUCT(--($L$8:$L$1207&lt;L264))+1,"")</f>
        <v/>
      </c>
      <c r="N264" s="17">
        <f>IF(K264=1,N('ORDENES'!$M260),0)</f>
        <v/>
      </c>
      <c r="O264" s="17">
        <f>IF('ORDENES'!$U260="preventiva",N264,0)</f>
        <v/>
      </c>
      <c r="P264" s="17">
        <f>IF('ORDENES'!$U260="correctiva",N264,0)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22">
        <f>IF(K264=1,'ORDENES'!$J260,"")</f>
        <v/>
      </c>
    </row>
    <row r="265">
      <c r="K265" s="5">
        <f>IF(AND(IF($B$3="(todos)",TRUE,'ORDENES'!$O261=$B$3),IF($D$3="(todos)",TRUE,'ORDENES'!$AH261=$D$3),IF($F$3="(todos)",TRUE,'ORDENES'!$Z261=$F$3),IF($H$3="(todos)",TRUE,'ORDENES'!$Y261=$H$3),'ORDENES'!$AF261=TRUE,'ORDENES'!$A261&lt;&gt;""),1,0)</f>
        <v/>
      </c>
      <c r="L265" s="5">
        <f>IF(K265=1,IFERROR(MATCH('ORDENES'!$S261,lista_dias,0),9)*1000000000+IFERROR(MATCH('ORDENES'!$AH261,lista_turnos,0),9)*10000000+IFERROR(MATCH('ORDENES'!$AG261,tblTecnicos[nombre],0),99)*100000+258,9000000000000+258)</f>
        <v/>
      </c>
      <c r="M265" s="5">
        <f>IF(K265=1,SUMPRODUCT(--($L$8:$L$1207&lt;L265))+1,"")</f>
        <v/>
      </c>
      <c r="N265" s="17">
        <f>IF(K265=1,N('ORDENES'!$M261),0)</f>
        <v/>
      </c>
      <c r="O265" s="17">
        <f>IF('ORDENES'!$U261="preventiva",N265,0)</f>
        <v/>
      </c>
      <c r="P265" s="17">
        <f>IF('ORDENES'!$U261="correctiva",N265,0)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22">
        <f>IF(K265=1,'ORDENES'!$J261,"")</f>
        <v/>
      </c>
    </row>
    <row r="266">
      <c r="K266" s="5">
        <f>IF(AND(IF($B$3="(todos)",TRUE,'ORDENES'!$O262=$B$3),IF($D$3="(todos)",TRUE,'ORDENES'!$AH262=$D$3),IF($F$3="(todos)",TRUE,'ORDENES'!$Z262=$F$3),IF($H$3="(todos)",TRUE,'ORDENES'!$Y262=$H$3),'ORDENES'!$AF262=TRUE,'ORDENES'!$A262&lt;&gt;""),1,0)</f>
        <v/>
      </c>
      <c r="L266" s="5">
        <f>IF(K266=1,IFERROR(MATCH('ORDENES'!$S262,lista_dias,0),9)*1000000000+IFERROR(MATCH('ORDENES'!$AH262,lista_turnos,0),9)*10000000+IFERROR(MATCH('ORDENES'!$AG262,tblTecnicos[nombre],0),99)*100000+259,9000000000000+259)</f>
        <v/>
      </c>
      <c r="M266" s="5">
        <f>IF(K266=1,SUMPRODUCT(--($L$8:$L$1207&lt;L266))+1,"")</f>
        <v/>
      </c>
      <c r="N266" s="17">
        <f>IF(K266=1,N('ORDENES'!$M262),0)</f>
        <v/>
      </c>
      <c r="O266" s="17">
        <f>IF('ORDENES'!$U262="preventiva",N266,0)</f>
        <v/>
      </c>
      <c r="P266" s="17">
        <f>IF('ORDENES'!$U262="correctiva",N266,0)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22">
        <f>IF(K266=1,'ORDENES'!$J262,"")</f>
        <v/>
      </c>
    </row>
    <row r="267">
      <c r="K267" s="5">
        <f>IF(AND(IF($B$3="(todos)",TRUE,'ORDENES'!$O263=$B$3),IF($D$3="(todos)",TRUE,'ORDENES'!$AH263=$D$3),IF($F$3="(todos)",TRUE,'ORDENES'!$Z263=$F$3),IF($H$3="(todos)",TRUE,'ORDENES'!$Y263=$H$3),'ORDENES'!$AF263=TRUE,'ORDENES'!$A263&lt;&gt;""),1,0)</f>
        <v/>
      </c>
      <c r="L267" s="5">
        <f>IF(K267=1,IFERROR(MATCH('ORDENES'!$S263,lista_dias,0),9)*1000000000+IFERROR(MATCH('ORDENES'!$AH263,lista_turnos,0),9)*10000000+IFERROR(MATCH('ORDENES'!$AG263,tblTecnicos[nombre],0),99)*100000+260,9000000000000+260)</f>
        <v/>
      </c>
      <c r="M267" s="5">
        <f>IF(K267=1,SUMPRODUCT(--($L$8:$L$1207&lt;L267))+1,"")</f>
        <v/>
      </c>
      <c r="N267" s="17">
        <f>IF(K267=1,N('ORDENES'!$M263),0)</f>
        <v/>
      </c>
      <c r="O267" s="17">
        <f>IF('ORDENES'!$U263="preventiva",N267,0)</f>
        <v/>
      </c>
      <c r="P267" s="17">
        <f>IF('ORDENES'!$U263="correctiva",N267,0)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22">
        <f>IF(K267=1,'ORDENES'!$J263,"")</f>
        <v/>
      </c>
    </row>
    <row r="268">
      <c r="K268" s="5">
        <f>IF(AND(IF($B$3="(todos)",TRUE,'ORDENES'!$O264=$B$3),IF($D$3="(todos)",TRUE,'ORDENES'!$AH264=$D$3),IF($F$3="(todos)",TRUE,'ORDENES'!$Z264=$F$3),IF($H$3="(todos)",TRUE,'ORDENES'!$Y264=$H$3),'ORDENES'!$AF264=TRUE,'ORDENES'!$A264&lt;&gt;""),1,0)</f>
        <v/>
      </c>
      <c r="L268" s="5">
        <f>IF(K268=1,IFERROR(MATCH('ORDENES'!$S264,lista_dias,0),9)*1000000000+IFERROR(MATCH('ORDENES'!$AH264,lista_turnos,0),9)*10000000+IFERROR(MATCH('ORDENES'!$AG264,tblTecnicos[nombre],0),99)*100000+261,9000000000000+261)</f>
        <v/>
      </c>
      <c r="M268" s="5">
        <f>IF(K268=1,SUMPRODUCT(--($L$8:$L$1207&lt;L268))+1,"")</f>
        <v/>
      </c>
      <c r="N268" s="17">
        <f>IF(K268=1,N('ORDENES'!$M264),0)</f>
        <v/>
      </c>
      <c r="O268" s="17">
        <f>IF('ORDENES'!$U264="preventiva",N268,0)</f>
        <v/>
      </c>
      <c r="P268" s="17">
        <f>IF('ORDENES'!$U264="correctiva",N268,0)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22">
        <f>IF(K268=1,'ORDENES'!$J264,"")</f>
        <v/>
      </c>
    </row>
    <row r="269">
      <c r="K269" s="5">
        <f>IF(AND(IF($B$3="(todos)",TRUE,'ORDENES'!$O265=$B$3),IF($D$3="(todos)",TRUE,'ORDENES'!$AH265=$D$3),IF($F$3="(todos)",TRUE,'ORDENES'!$Z265=$F$3),IF($H$3="(todos)",TRUE,'ORDENES'!$Y265=$H$3),'ORDENES'!$AF265=TRUE,'ORDENES'!$A265&lt;&gt;""),1,0)</f>
        <v/>
      </c>
      <c r="L269" s="5">
        <f>IF(K269=1,IFERROR(MATCH('ORDENES'!$S265,lista_dias,0),9)*1000000000+IFERROR(MATCH('ORDENES'!$AH265,lista_turnos,0),9)*10000000+IFERROR(MATCH('ORDENES'!$AG265,tblTecnicos[nombre],0),99)*100000+262,9000000000000+262)</f>
        <v/>
      </c>
      <c r="M269" s="5">
        <f>IF(K269=1,SUMPRODUCT(--($L$8:$L$1207&lt;L269))+1,"")</f>
        <v/>
      </c>
      <c r="N269" s="17">
        <f>IF(K269=1,N('ORDENES'!$M265),0)</f>
        <v/>
      </c>
      <c r="O269" s="17">
        <f>IF('ORDENES'!$U265="preventiva",N269,0)</f>
        <v/>
      </c>
      <c r="P269" s="17">
        <f>IF('ORDENES'!$U265="correctiva",N269,0)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22">
        <f>IF(K269=1,'ORDENES'!$J265,"")</f>
        <v/>
      </c>
    </row>
    <row r="270">
      <c r="K270" s="5">
        <f>IF(AND(IF($B$3="(todos)",TRUE,'ORDENES'!$O266=$B$3),IF($D$3="(todos)",TRUE,'ORDENES'!$AH266=$D$3),IF($F$3="(todos)",TRUE,'ORDENES'!$Z266=$F$3),IF($H$3="(todos)",TRUE,'ORDENES'!$Y266=$H$3),'ORDENES'!$AF266=TRUE,'ORDENES'!$A266&lt;&gt;""),1,0)</f>
        <v/>
      </c>
      <c r="L270" s="5">
        <f>IF(K270=1,IFERROR(MATCH('ORDENES'!$S266,lista_dias,0),9)*1000000000+IFERROR(MATCH('ORDENES'!$AH266,lista_turnos,0),9)*10000000+IFERROR(MATCH('ORDENES'!$AG266,tblTecnicos[nombre],0),99)*100000+263,9000000000000+263)</f>
        <v/>
      </c>
      <c r="M270" s="5">
        <f>IF(K270=1,SUMPRODUCT(--($L$8:$L$1207&lt;L270))+1,"")</f>
        <v/>
      </c>
      <c r="N270" s="17">
        <f>IF(K270=1,N('ORDENES'!$M266),0)</f>
        <v/>
      </c>
      <c r="O270" s="17">
        <f>IF('ORDENES'!$U266="preventiva",N270,0)</f>
        <v/>
      </c>
      <c r="P270" s="17">
        <f>IF('ORDENES'!$U266="correctiva",N270,0)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22">
        <f>IF(K270=1,'ORDENES'!$J266,"")</f>
        <v/>
      </c>
    </row>
    <row r="271">
      <c r="K271" s="5">
        <f>IF(AND(IF($B$3="(todos)",TRUE,'ORDENES'!$O267=$B$3),IF($D$3="(todos)",TRUE,'ORDENES'!$AH267=$D$3),IF($F$3="(todos)",TRUE,'ORDENES'!$Z267=$F$3),IF($H$3="(todos)",TRUE,'ORDENES'!$Y267=$H$3),'ORDENES'!$AF267=TRUE,'ORDENES'!$A267&lt;&gt;""),1,0)</f>
        <v/>
      </c>
      <c r="L271" s="5">
        <f>IF(K271=1,IFERROR(MATCH('ORDENES'!$S267,lista_dias,0),9)*1000000000+IFERROR(MATCH('ORDENES'!$AH267,lista_turnos,0),9)*10000000+IFERROR(MATCH('ORDENES'!$AG267,tblTecnicos[nombre],0),99)*100000+264,9000000000000+264)</f>
        <v/>
      </c>
      <c r="M271" s="5">
        <f>IF(K271=1,SUMPRODUCT(--($L$8:$L$1207&lt;L271))+1,"")</f>
        <v/>
      </c>
      <c r="N271" s="17">
        <f>IF(K271=1,N('ORDENES'!$M267),0)</f>
        <v/>
      </c>
      <c r="O271" s="17">
        <f>IF('ORDENES'!$U267="preventiva",N271,0)</f>
        <v/>
      </c>
      <c r="P271" s="17">
        <f>IF('ORDENES'!$U267="correctiva",N271,0)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22">
        <f>IF(K271=1,'ORDENES'!$J267,"")</f>
        <v/>
      </c>
    </row>
    <row r="272">
      <c r="K272" s="5">
        <f>IF(AND(IF($B$3="(todos)",TRUE,'ORDENES'!$O268=$B$3),IF($D$3="(todos)",TRUE,'ORDENES'!$AH268=$D$3),IF($F$3="(todos)",TRUE,'ORDENES'!$Z268=$F$3),IF($H$3="(todos)",TRUE,'ORDENES'!$Y268=$H$3),'ORDENES'!$AF268=TRUE,'ORDENES'!$A268&lt;&gt;""),1,0)</f>
        <v/>
      </c>
      <c r="L272" s="5">
        <f>IF(K272=1,IFERROR(MATCH('ORDENES'!$S268,lista_dias,0),9)*1000000000+IFERROR(MATCH('ORDENES'!$AH268,lista_turnos,0),9)*10000000+IFERROR(MATCH('ORDENES'!$AG268,tblTecnicos[nombre],0),99)*100000+265,9000000000000+265)</f>
        <v/>
      </c>
      <c r="M272" s="5">
        <f>IF(K272=1,SUMPRODUCT(--($L$8:$L$1207&lt;L272))+1,"")</f>
        <v/>
      </c>
      <c r="N272" s="17">
        <f>IF(K272=1,N('ORDENES'!$M268),0)</f>
        <v/>
      </c>
      <c r="O272" s="17">
        <f>IF('ORDENES'!$U268="preventiva",N272,0)</f>
        <v/>
      </c>
      <c r="P272" s="17">
        <f>IF('ORDENES'!$U268="correctiva",N272,0)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22">
        <f>IF(K272=1,'ORDENES'!$J268,"")</f>
        <v/>
      </c>
    </row>
    <row r="273">
      <c r="K273" s="5">
        <f>IF(AND(IF($B$3="(todos)",TRUE,'ORDENES'!$O269=$B$3),IF($D$3="(todos)",TRUE,'ORDENES'!$AH269=$D$3),IF($F$3="(todos)",TRUE,'ORDENES'!$Z269=$F$3),IF($H$3="(todos)",TRUE,'ORDENES'!$Y269=$H$3),'ORDENES'!$AF269=TRUE,'ORDENES'!$A269&lt;&gt;""),1,0)</f>
        <v/>
      </c>
      <c r="L273" s="5">
        <f>IF(K273=1,IFERROR(MATCH('ORDENES'!$S269,lista_dias,0),9)*1000000000+IFERROR(MATCH('ORDENES'!$AH269,lista_turnos,0),9)*10000000+IFERROR(MATCH('ORDENES'!$AG269,tblTecnicos[nombre],0),99)*100000+266,9000000000000+266)</f>
        <v/>
      </c>
      <c r="M273" s="5">
        <f>IF(K273=1,SUMPRODUCT(--($L$8:$L$1207&lt;L273))+1,"")</f>
        <v/>
      </c>
      <c r="N273" s="17">
        <f>IF(K273=1,N('ORDENES'!$M269),0)</f>
        <v/>
      </c>
      <c r="O273" s="17">
        <f>IF('ORDENES'!$U269="preventiva",N273,0)</f>
        <v/>
      </c>
      <c r="P273" s="17">
        <f>IF('ORDENES'!$U269="correctiva",N273,0)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22">
        <f>IF(K273=1,'ORDENES'!$J269,"")</f>
        <v/>
      </c>
    </row>
    <row r="274">
      <c r="K274" s="5">
        <f>IF(AND(IF($B$3="(todos)",TRUE,'ORDENES'!$O270=$B$3),IF($D$3="(todos)",TRUE,'ORDENES'!$AH270=$D$3),IF($F$3="(todos)",TRUE,'ORDENES'!$Z270=$F$3),IF($H$3="(todos)",TRUE,'ORDENES'!$Y270=$H$3),'ORDENES'!$AF270=TRUE,'ORDENES'!$A270&lt;&gt;""),1,0)</f>
        <v/>
      </c>
      <c r="L274" s="5">
        <f>IF(K274=1,IFERROR(MATCH('ORDENES'!$S270,lista_dias,0),9)*1000000000+IFERROR(MATCH('ORDENES'!$AH270,lista_turnos,0),9)*10000000+IFERROR(MATCH('ORDENES'!$AG270,tblTecnicos[nombre],0),99)*100000+267,9000000000000+267)</f>
        <v/>
      </c>
      <c r="M274" s="5">
        <f>IF(K274=1,SUMPRODUCT(--($L$8:$L$1207&lt;L274))+1,"")</f>
        <v/>
      </c>
      <c r="N274" s="17">
        <f>IF(K274=1,N('ORDENES'!$M270),0)</f>
        <v/>
      </c>
      <c r="O274" s="17">
        <f>IF('ORDENES'!$U270="preventiva",N274,0)</f>
        <v/>
      </c>
      <c r="P274" s="17">
        <f>IF('ORDENES'!$U270="correctiva",N274,0)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22">
        <f>IF(K274=1,'ORDENES'!$J270,"")</f>
        <v/>
      </c>
    </row>
    <row r="275">
      <c r="K275" s="5">
        <f>IF(AND(IF($B$3="(todos)",TRUE,'ORDENES'!$O271=$B$3),IF($D$3="(todos)",TRUE,'ORDENES'!$AH271=$D$3),IF($F$3="(todos)",TRUE,'ORDENES'!$Z271=$F$3),IF($H$3="(todos)",TRUE,'ORDENES'!$Y271=$H$3),'ORDENES'!$AF271=TRUE,'ORDENES'!$A271&lt;&gt;""),1,0)</f>
        <v/>
      </c>
      <c r="L275" s="5">
        <f>IF(K275=1,IFERROR(MATCH('ORDENES'!$S271,lista_dias,0),9)*1000000000+IFERROR(MATCH('ORDENES'!$AH271,lista_turnos,0),9)*10000000+IFERROR(MATCH('ORDENES'!$AG271,tblTecnicos[nombre],0),99)*100000+268,9000000000000+268)</f>
        <v/>
      </c>
      <c r="M275" s="5">
        <f>IF(K275=1,SUMPRODUCT(--($L$8:$L$1207&lt;L275))+1,"")</f>
        <v/>
      </c>
      <c r="N275" s="17">
        <f>IF(K275=1,N('ORDENES'!$M271),0)</f>
        <v/>
      </c>
      <c r="O275" s="17">
        <f>IF('ORDENES'!$U271="preventiva",N275,0)</f>
        <v/>
      </c>
      <c r="P275" s="17">
        <f>IF('ORDENES'!$U271="correctiva",N275,0)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22">
        <f>IF(K275=1,'ORDENES'!$J271,"")</f>
        <v/>
      </c>
    </row>
    <row r="276">
      <c r="K276" s="5">
        <f>IF(AND(IF($B$3="(todos)",TRUE,'ORDENES'!$O272=$B$3),IF($D$3="(todos)",TRUE,'ORDENES'!$AH272=$D$3),IF($F$3="(todos)",TRUE,'ORDENES'!$Z272=$F$3),IF($H$3="(todos)",TRUE,'ORDENES'!$Y272=$H$3),'ORDENES'!$AF272=TRUE,'ORDENES'!$A272&lt;&gt;""),1,0)</f>
        <v/>
      </c>
      <c r="L276" s="5">
        <f>IF(K276=1,IFERROR(MATCH('ORDENES'!$S272,lista_dias,0),9)*1000000000+IFERROR(MATCH('ORDENES'!$AH272,lista_turnos,0),9)*10000000+IFERROR(MATCH('ORDENES'!$AG272,tblTecnicos[nombre],0),99)*100000+269,9000000000000+269)</f>
        <v/>
      </c>
      <c r="M276" s="5">
        <f>IF(K276=1,SUMPRODUCT(--($L$8:$L$1207&lt;L276))+1,"")</f>
        <v/>
      </c>
      <c r="N276" s="17">
        <f>IF(K276=1,N('ORDENES'!$M272),0)</f>
        <v/>
      </c>
      <c r="O276" s="17">
        <f>IF('ORDENES'!$U272="preventiva",N276,0)</f>
        <v/>
      </c>
      <c r="P276" s="17">
        <f>IF('ORDENES'!$U272="correctiva",N276,0)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22">
        <f>IF(K276=1,'ORDENES'!$J272,"")</f>
        <v/>
      </c>
    </row>
    <row r="277">
      <c r="K277" s="5">
        <f>IF(AND(IF($B$3="(todos)",TRUE,'ORDENES'!$O273=$B$3),IF($D$3="(todos)",TRUE,'ORDENES'!$AH273=$D$3),IF($F$3="(todos)",TRUE,'ORDENES'!$Z273=$F$3),IF($H$3="(todos)",TRUE,'ORDENES'!$Y273=$H$3),'ORDENES'!$AF273=TRUE,'ORDENES'!$A273&lt;&gt;""),1,0)</f>
        <v/>
      </c>
      <c r="L277" s="5">
        <f>IF(K277=1,IFERROR(MATCH('ORDENES'!$S273,lista_dias,0),9)*1000000000+IFERROR(MATCH('ORDENES'!$AH273,lista_turnos,0),9)*10000000+IFERROR(MATCH('ORDENES'!$AG273,tblTecnicos[nombre],0),99)*100000+270,9000000000000+270)</f>
        <v/>
      </c>
      <c r="M277" s="5">
        <f>IF(K277=1,SUMPRODUCT(--($L$8:$L$1207&lt;L277))+1,"")</f>
        <v/>
      </c>
      <c r="N277" s="17">
        <f>IF(K277=1,N('ORDENES'!$M273),0)</f>
        <v/>
      </c>
      <c r="O277" s="17">
        <f>IF('ORDENES'!$U273="preventiva",N277,0)</f>
        <v/>
      </c>
      <c r="P277" s="17">
        <f>IF('ORDENES'!$U273="correctiva",N277,0)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22">
        <f>IF(K277=1,'ORDENES'!$J273,"")</f>
        <v/>
      </c>
    </row>
    <row r="278">
      <c r="K278" s="5">
        <f>IF(AND(IF($B$3="(todos)",TRUE,'ORDENES'!$O274=$B$3),IF($D$3="(todos)",TRUE,'ORDENES'!$AH274=$D$3),IF($F$3="(todos)",TRUE,'ORDENES'!$Z274=$F$3),IF($H$3="(todos)",TRUE,'ORDENES'!$Y274=$H$3),'ORDENES'!$AF274=TRUE,'ORDENES'!$A274&lt;&gt;""),1,0)</f>
        <v/>
      </c>
      <c r="L278" s="5">
        <f>IF(K278=1,IFERROR(MATCH('ORDENES'!$S274,lista_dias,0),9)*1000000000+IFERROR(MATCH('ORDENES'!$AH274,lista_turnos,0),9)*10000000+IFERROR(MATCH('ORDENES'!$AG274,tblTecnicos[nombre],0),99)*100000+271,9000000000000+271)</f>
        <v/>
      </c>
      <c r="M278" s="5">
        <f>IF(K278=1,SUMPRODUCT(--($L$8:$L$1207&lt;L278))+1,"")</f>
        <v/>
      </c>
      <c r="N278" s="17">
        <f>IF(K278=1,N('ORDENES'!$M274),0)</f>
        <v/>
      </c>
      <c r="O278" s="17">
        <f>IF('ORDENES'!$U274="preventiva",N278,0)</f>
        <v/>
      </c>
      <c r="P278" s="17">
        <f>IF('ORDENES'!$U274="correctiva",N278,0)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22">
        <f>IF(K278=1,'ORDENES'!$J274,"")</f>
        <v/>
      </c>
    </row>
    <row r="279">
      <c r="K279" s="5">
        <f>IF(AND(IF($B$3="(todos)",TRUE,'ORDENES'!$O275=$B$3),IF($D$3="(todos)",TRUE,'ORDENES'!$AH275=$D$3),IF($F$3="(todos)",TRUE,'ORDENES'!$Z275=$F$3),IF($H$3="(todos)",TRUE,'ORDENES'!$Y275=$H$3),'ORDENES'!$AF275=TRUE,'ORDENES'!$A275&lt;&gt;""),1,0)</f>
        <v/>
      </c>
      <c r="L279" s="5">
        <f>IF(K279=1,IFERROR(MATCH('ORDENES'!$S275,lista_dias,0),9)*1000000000+IFERROR(MATCH('ORDENES'!$AH275,lista_turnos,0),9)*10000000+IFERROR(MATCH('ORDENES'!$AG275,tblTecnicos[nombre],0),99)*100000+272,9000000000000+272)</f>
        <v/>
      </c>
      <c r="M279" s="5">
        <f>IF(K279=1,SUMPRODUCT(--($L$8:$L$1207&lt;L279))+1,"")</f>
        <v/>
      </c>
      <c r="N279" s="17">
        <f>IF(K279=1,N('ORDENES'!$M275),0)</f>
        <v/>
      </c>
      <c r="O279" s="17">
        <f>IF('ORDENES'!$U275="preventiva",N279,0)</f>
        <v/>
      </c>
      <c r="P279" s="17">
        <f>IF('ORDENES'!$U275="correctiva",N279,0)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22">
        <f>IF(K279=1,'ORDENES'!$J275,"")</f>
        <v/>
      </c>
    </row>
    <row r="280">
      <c r="K280" s="5">
        <f>IF(AND(IF($B$3="(todos)",TRUE,'ORDENES'!$O276=$B$3),IF($D$3="(todos)",TRUE,'ORDENES'!$AH276=$D$3),IF($F$3="(todos)",TRUE,'ORDENES'!$Z276=$F$3),IF($H$3="(todos)",TRUE,'ORDENES'!$Y276=$H$3),'ORDENES'!$AF276=TRUE,'ORDENES'!$A276&lt;&gt;""),1,0)</f>
        <v/>
      </c>
      <c r="L280" s="5">
        <f>IF(K280=1,IFERROR(MATCH('ORDENES'!$S276,lista_dias,0),9)*1000000000+IFERROR(MATCH('ORDENES'!$AH276,lista_turnos,0),9)*10000000+IFERROR(MATCH('ORDENES'!$AG276,tblTecnicos[nombre],0),99)*100000+273,9000000000000+273)</f>
        <v/>
      </c>
      <c r="M280" s="5">
        <f>IF(K280=1,SUMPRODUCT(--($L$8:$L$1207&lt;L280))+1,"")</f>
        <v/>
      </c>
      <c r="N280" s="17">
        <f>IF(K280=1,N('ORDENES'!$M276),0)</f>
        <v/>
      </c>
      <c r="O280" s="17">
        <f>IF('ORDENES'!$U276="preventiva",N280,0)</f>
        <v/>
      </c>
      <c r="P280" s="17">
        <f>IF('ORDENES'!$U276="correctiva",N280,0)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22">
        <f>IF(K280=1,'ORDENES'!$J276,"")</f>
        <v/>
      </c>
    </row>
    <row r="281">
      <c r="K281" s="5">
        <f>IF(AND(IF($B$3="(todos)",TRUE,'ORDENES'!$O277=$B$3),IF($D$3="(todos)",TRUE,'ORDENES'!$AH277=$D$3),IF($F$3="(todos)",TRUE,'ORDENES'!$Z277=$F$3),IF($H$3="(todos)",TRUE,'ORDENES'!$Y277=$H$3),'ORDENES'!$AF277=TRUE,'ORDENES'!$A277&lt;&gt;""),1,0)</f>
        <v/>
      </c>
      <c r="L281" s="5">
        <f>IF(K281=1,IFERROR(MATCH('ORDENES'!$S277,lista_dias,0),9)*1000000000+IFERROR(MATCH('ORDENES'!$AH277,lista_turnos,0),9)*10000000+IFERROR(MATCH('ORDENES'!$AG277,tblTecnicos[nombre],0),99)*100000+274,9000000000000+274)</f>
        <v/>
      </c>
      <c r="M281" s="5">
        <f>IF(K281=1,SUMPRODUCT(--($L$8:$L$1207&lt;L281))+1,"")</f>
        <v/>
      </c>
      <c r="N281" s="17">
        <f>IF(K281=1,N('ORDENES'!$M277),0)</f>
        <v/>
      </c>
      <c r="O281" s="17">
        <f>IF('ORDENES'!$U277="preventiva",N281,0)</f>
        <v/>
      </c>
      <c r="P281" s="17">
        <f>IF('ORDENES'!$U277="correctiva",N281,0)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22">
        <f>IF(K281=1,'ORDENES'!$J277,"")</f>
        <v/>
      </c>
    </row>
    <row r="282">
      <c r="K282" s="5">
        <f>IF(AND(IF($B$3="(todos)",TRUE,'ORDENES'!$O278=$B$3),IF($D$3="(todos)",TRUE,'ORDENES'!$AH278=$D$3),IF($F$3="(todos)",TRUE,'ORDENES'!$Z278=$F$3),IF($H$3="(todos)",TRUE,'ORDENES'!$Y278=$H$3),'ORDENES'!$AF278=TRUE,'ORDENES'!$A278&lt;&gt;""),1,0)</f>
        <v/>
      </c>
      <c r="L282" s="5">
        <f>IF(K282=1,IFERROR(MATCH('ORDENES'!$S278,lista_dias,0),9)*1000000000+IFERROR(MATCH('ORDENES'!$AH278,lista_turnos,0),9)*10000000+IFERROR(MATCH('ORDENES'!$AG278,tblTecnicos[nombre],0),99)*100000+275,9000000000000+275)</f>
        <v/>
      </c>
      <c r="M282" s="5">
        <f>IF(K282=1,SUMPRODUCT(--($L$8:$L$1207&lt;L282))+1,"")</f>
        <v/>
      </c>
      <c r="N282" s="17">
        <f>IF(K282=1,N('ORDENES'!$M278),0)</f>
        <v/>
      </c>
      <c r="O282" s="17">
        <f>IF('ORDENES'!$U278="preventiva",N282,0)</f>
        <v/>
      </c>
      <c r="P282" s="17">
        <f>IF('ORDENES'!$U278="correctiva",N282,0)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22">
        <f>IF(K282=1,'ORDENES'!$J278,"")</f>
        <v/>
      </c>
    </row>
    <row r="283">
      <c r="K283" s="5">
        <f>IF(AND(IF($B$3="(todos)",TRUE,'ORDENES'!$O279=$B$3),IF($D$3="(todos)",TRUE,'ORDENES'!$AH279=$D$3),IF($F$3="(todos)",TRUE,'ORDENES'!$Z279=$F$3),IF($H$3="(todos)",TRUE,'ORDENES'!$Y279=$H$3),'ORDENES'!$AF279=TRUE,'ORDENES'!$A279&lt;&gt;""),1,0)</f>
        <v/>
      </c>
      <c r="L283" s="5">
        <f>IF(K283=1,IFERROR(MATCH('ORDENES'!$S279,lista_dias,0),9)*1000000000+IFERROR(MATCH('ORDENES'!$AH279,lista_turnos,0),9)*10000000+IFERROR(MATCH('ORDENES'!$AG279,tblTecnicos[nombre],0),99)*100000+276,9000000000000+276)</f>
        <v/>
      </c>
      <c r="M283" s="5">
        <f>IF(K283=1,SUMPRODUCT(--($L$8:$L$1207&lt;L283))+1,"")</f>
        <v/>
      </c>
      <c r="N283" s="17">
        <f>IF(K283=1,N('ORDENES'!$M279),0)</f>
        <v/>
      </c>
      <c r="O283" s="17">
        <f>IF('ORDENES'!$U279="preventiva",N283,0)</f>
        <v/>
      </c>
      <c r="P283" s="17">
        <f>IF('ORDENES'!$U279="correctiva",N283,0)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22">
        <f>IF(K283=1,'ORDENES'!$J279,"")</f>
        <v/>
      </c>
    </row>
    <row r="284">
      <c r="K284" s="5">
        <f>IF(AND(IF($B$3="(todos)",TRUE,'ORDENES'!$O280=$B$3),IF($D$3="(todos)",TRUE,'ORDENES'!$AH280=$D$3),IF($F$3="(todos)",TRUE,'ORDENES'!$Z280=$F$3),IF($H$3="(todos)",TRUE,'ORDENES'!$Y280=$H$3),'ORDENES'!$AF280=TRUE,'ORDENES'!$A280&lt;&gt;""),1,0)</f>
        <v/>
      </c>
      <c r="L284" s="5">
        <f>IF(K284=1,IFERROR(MATCH('ORDENES'!$S280,lista_dias,0),9)*1000000000+IFERROR(MATCH('ORDENES'!$AH280,lista_turnos,0),9)*10000000+IFERROR(MATCH('ORDENES'!$AG280,tblTecnicos[nombre],0),99)*100000+277,9000000000000+277)</f>
        <v/>
      </c>
      <c r="M284" s="5">
        <f>IF(K284=1,SUMPRODUCT(--($L$8:$L$1207&lt;L284))+1,"")</f>
        <v/>
      </c>
      <c r="N284" s="17">
        <f>IF(K284=1,N('ORDENES'!$M280),0)</f>
        <v/>
      </c>
      <c r="O284" s="17">
        <f>IF('ORDENES'!$U280="preventiva",N284,0)</f>
        <v/>
      </c>
      <c r="P284" s="17">
        <f>IF('ORDENES'!$U280="correctiva",N284,0)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22">
        <f>IF(K284=1,'ORDENES'!$J280,"")</f>
        <v/>
      </c>
    </row>
    <row r="285">
      <c r="K285" s="5">
        <f>IF(AND(IF($B$3="(todos)",TRUE,'ORDENES'!$O281=$B$3),IF($D$3="(todos)",TRUE,'ORDENES'!$AH281=$D$3),IF($F$3="(todos)",TRUE,'ORDENES'!$Z281=$F$3),IF($H$3="(todos)",TRUE,'ORDENES'!$Y281=$H$3),'ORDENES'!$AF281=TRUE,'ORDENES'!$A281&lt;&gt;""),1,0)</f>
        <v/>
      </c>
      <c r="L285" s="5">
        <f>IF(K285=1,IFERROR(MATCH('ORDENES'!$S281,lista_dias,0),9)*1000000000+IFERROR(MATCH('ORDENES'!$AH281,lista_turnos,0),9)*10000000+IFERROR(MATCH('ORDENES'!$AG281,tblTecnicos[nombre],0),99)*100000+278,9000000000000+278)</f>
        <v/>
      </c>
      <c r="M285" s="5">
        <f>IF(K285=1,SUMPRODUCT(--($L$8:$L$1207&lt;L285))+1,"")</f>
        <v/>
      </c>
      <c r="N285" s="17">
        <f>IF(K285=1,N('ORDENES'!$M281),0)</f>
        <v/>
      </c>
      <c r="O285" s="17">
        <f>IF('ORDENES'!$U281="preventiva",N285,0)</f>
        <v/>
      </c>
      <c r="P285" s="17">
        <f>IF('ORDENES'!$U281="correctiva",N285,0)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22">
        <f>IF(K285=1,'ORDENES'!$J281,"")</f>
        <v/>
      </c>
    </row>
    <row r="286">
      <c r="K286" s="5">
        <f>IF(AND(IF($B$3="(todos)",TRUE,'ORDENES'!$O282=$B$3),IF($D$3="(todos)",TRUE,'ORDENES'!$AH282=$D$3),IF($F$3="(todos)",TRUE,'ORDENES'!$Z282=$F$3),IF($H$3="(todos)",TRUE,'ORDENES'!$Y282=$H$3),'ORDENES'!$AF282=TRUE,'ORDENES'!$A282&lt;&gt;""),1,0)</f>
        <v/>
      </c>
      <c r="L286" s="5">
        <f>IF(K286=1,IFERROR(MATCH('ORDENES'!$S282,lista_dias,0),9)*1000000000+IFERROR(MATCH('ORDENES'!$AH282,lista_turnos,0),9)*10000000+IFERROR(MATCH('ORDENES'!$AG282,tblTecnicos[nombre],0),99)*100000+279,9000000000000+279)</f>
        <v/>
      </c>
      <c r="M286" s="5">
        <f>IF(K286=1,SUMPRODUCT(--($L$8:$L$1207&lt;L286))+1,"")</f>
        <v/>
      </c>
      <c r="N286" s="17">
        <f>IF(K286=1,N('ORDENES'!$M282),0)</f>
        <v/>
      </c>
      <c r="O286" s="17">
        <f>IF('ORDENES'!$U282="preventiva",N286,0)</f>
        <v/>
      </c>
      <c r="P286" s="17">
        <f>IF('ORDENES'!$U282="correctiva",N286,0)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22">
        <f>IF(K286=1,'ORDENES'!$J282,"")</f>
        <v/>
      </c>
    </row>
    <row r="287">
      <c r="K287" s="5">
        <f>IF(AND(IF($B$3="(todos)",TRUE,'ORDENES'!$O283=$B$3),IF($D$3="(todos)",TRUE,'ORDENES'!$AH283=$D$3),IF($F$3="(todos)",TRUE,'ORDENES'!$Z283=$F$3),IF($H$3="(todos)",TRUE,'ORDENES'!$Y283=$H$3),'ORDENES'!$AF283=TRUE,'ORDENES'!$A283&lt;&gt;""),1,0)</f>
        <v/>
      </c>
      <c r="L287" s="5">
        <f>IF(K287=1,IFERROR(MATCH('ORDENES'!$S283,lista_dias,0),9)*1000000000+IFERROR(MATCH('ORDENES'!$AH283,lista_turnos,0),9)*10000000+IFERROR(MATCH('ORDENES'!$AG283,tblTecnicos[nombre],0),99)*100000+280,9000000000000+280)</f>
        <v/>
      </c>
      <c r="M287" s="5">
        <f>IF(K287=1,SUMPRODUCT(--($L$8:$L$1207&lt;L287))+1,"")</f>
        <v/>
      </c>
      <c r="N287" s="17">
        <f>IF(K287=1,N('ORDENES'!$M283),0)</f>
        <v/>
      </c>
      <c r="O287" s="17">
        <f>IF('ORDENES'!$U283="preventiva",N287,0)</f>
        <v/>
      </c>
      <c r="P287" s="17">
        <f>IF('ORDENES'!$U283="correctiva",N287,0)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22">
        <f>IF(K287=1,'ORDENES'!$J283,"")</f>
        <v/>
      </c>
    </row>
    <row r="288">
      <c r="K288" s="5">
        <f>IF(AND(IF($B$3="(todos)",TRUE,'ORDENES'!$O284=$B$3),IF($D$3="(todos)",TRUE,'ORDENES'!$AH284=$D$3),IF($F$3="(todos)",TRUE,'ORDENES'!$Z284=$F$3),IF($H$3="(todos)",TRUE,'ORDENES'!$Y284=$H$3),'ORDENES'!$AF284=TRUE,'ORDENES'!$A284&lt;&gt;""),1,0)</f>
        <v/>
      </c>
      <c r="L288" s="5">
        <f>IF(K288=1,IFERROR(MATCH('ORDENES'!$S284,lista_dias,0),9)*1000000000+IFERROR(MATCH('ORDENES'!$AH284,lista_turnos,0),9)*10000000+IFERROR(MATCH('ORDENES'!$AG284,tblTecnicos[nombre],0),99)*100000+281,9000000000000+281)</f>
        <v/>
      </c>
      <c r="M288" s="5">
        <f>IF(K288=1,SUMPRODUCT(--($L$8:$L$1207&lt;L288))+1,"")</f>
        <v/>
      </c>
      <c r="N288" s="17">
        <f>IF(K288=1,N('ORDENES'!$M284),0)</f>
        <v/>
      </c>
      <c r="O288" s="17">
        <f>IF('ORDENES'!$U284="preventiva",N288,0)</f>
        <v/>
      </c>
      <c r="P288" s="17">
        <f>IF('ORDENES'!$U284="correctiva",N288,0)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22">
        <f>IF(K288=1,'ORDENES'!$J284,"")</f>
        <v/>
      </c>
    </row>
    <row r="289">
      <c r="K289" s="5">
        <f>IF(AND(IF($B$3="(todos)",TRUE,'ORDENES'!$O285=$B$3),IF($D$3="(todos)",TRUE,'ORDENES'!$AH285=$D$3),IF($F$3="(todos)",TRUE,'ORDENES'!$Z285=$F$3),IF($H$3="(todos)",TRUE,'ORDENES'!$Y285=$H$3),'ORDENES'!$AF285=TRUE,'ORDENES'!$A285&lt;&gt;""),1,0)</f>
        <v/>
      </c>
      <c r="L289" s="5">
        <f>IF(K289=1,IFERROR(MATCH('ORDENES'!$S285,lista_dias,0),9)*1000000000+IFERROR(MATCH('ORDENES'!$AH285,lista_turnos,0),9)*10000000+IFERROR(MATCH('ORDENES'!$AG285,tblTecnicos[nombre],0),99)*100000+282,9000000000000+282)</f>
        <v/>
      </c>
      <c r="M289" s="5">
        <f>IF(K289=1,SUMPRODUCT(--($L$8:$L$1207&lt;L289))+1,"")</f>
        <v/>
      </c>
      <c r="N289" s="17">
        <f>IF(K289=1,N('ORDENES'!$M285),0)</f>
        <v/>
      </c>
      <c r="O289" s="17">
        <f>IF('ORDENES'!$U285="preventiva",N289,0)</f>
        <v/>
      </c>
      <c r="P289" s="17">
        <f>IF('ORDENES'!$U285="correctiva",N289,0)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22">
        <f>IF(K289=1,'ORDENES'!$J285,"")</f>
        <v/>
      </c>
    </row>
    <row r="290">
      <c r="K290" s="5">
        <f>IF(AND(IF($B$3="(todos)",TRUE,'ORDENES'!$O286=$B$3),IF($D$3="(todos)",TRUE,'ORDENES'!$AH286=$D$3),IF($F$3="(todos)",TRUE,'ORDENES'!$Z286=$F$3),IF($H$3="(todos)",TRUE,'ORDENES'!$Y286=$H$3),'ORDENES'!$AF286=TRUE,'ORDENES'!$A286&lt;&gt;""),1,0)</f>
        <v/>
      </c>
      <c r="L290" s="5">
        <f>IF(K290=1,IFERROR(MATCH('ORDENES'!$S286,lista_dias,0),9)*1000000000+IFERROR(MATCH('ORDENES'!$AH286,lista_turnos,0),9)*10000000+IFERROR(MATCH('ORDENES'!$AG286,tblTecnicos[nombre],0),99)*100000+283,9000000000000+283)</f>
        <v/>
      </c>
      <c r="M290" s="5">
        <f>IF(K290=1,SUMPRODUCT(--($L$8:$L$1207&lt;L290))+1,"")</f>
        <v/>
      </c>
      <c r="N290" s="17">
        <f>IF(K290=1,N('ORDENES'!$M286),0)</f>
        <v/>
      </c>
      <c r="O290" s="17">
        <f>IF('ORDENES'!$U286="preventiva",N290,0)</f>
        <v/>
      </c>
      <c r="P290" s="17">
        <f>IF('ORDENES'!$U286="correctiva",N290,0)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22">
        <f>IF(K290=1,'ORDENES'!$J286,"")</f>
        <v/>
      </c>
    </row>
    <row r="291">
      <c r="K291" s="5">
        <f>IF(AND(IF($B$3="(todos)",TRUE,'ORDENES'!$O287=$B$3),IF($D$3="(todos)",TRUE,'ORDENES'!$AH287=$D$3),IF($F$3="(todos)",TRUE,'ORDENES'!$Z287=$F$3),IF($H$3="(todos)",TRUE,'ORDENES'!$Y287=$H$3),'ORDENES'!$AF287=TRUE,'ORDENES'!$A287&lt;&gt;""),1,0)</f>
        <v/>
      </c>
      <c r="L291" s="5">
        <f>IF(K291=1,IFERROR(MATCH('ORDENES'!$S287,lista_dias,0),9)*1000000000+IFERROR(MATCH('ORDENES'!$AH287,lista_turnos,0),9)*10000000+IFERROR(MATCH('ORDENES'!$AG287,tblTecnicos[nombre],0),99)*100000+284,9000000000000+284)</f>
        <v/>
      </c>
      <c r="M291" s="5">
        <f>IF(K291=1,SUMPRODUCT(--($L$8:$L$1207&lt;L291))+1,"")</f>
        <v/>
      </c>
      <c r="N291" s="17">
        <f>IF(K291=1,N('ORDENES'!$M287),0)</f>
        <v/>
      </c>
      <c r="O291" s="17">
        <f>IF('ORDENES'!$U287="preventiva",N291,0)</f>
        <v/>
      </c>
      <c r="P291" s="17">
        <f>IF('ORDENES'!$U287="correctiva",N291,0)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22">
        <f>IF(K291=1,'ORDENES'!$J287,"")</f>
        <v/>
      </c>
    </row>
    <row r="292">
      <c r="K292" s="5">
        <f>IF(AND(IF($B$3="(todos)",TRUE,'ORDENES'!$O288=$B$3),IF($D$3="(todos)",TRUE,'ORDENES'!$AH288=$D$3),IF($F$3="(todos)",TRUE,'ORDENES'!$Z288=$F$3),IF($H$3="(todos)",TRUE,'ORDENES'!$Y288=$H$3),'ORDENES'!$AF288=TRUE,'ORDENES'!$A288&lt;&gt;""),1,0)</f>
        <v/>
      </c>
      <c r="L292" s="5">
        <f>IF(K292=1,IFERROR(MATCH('ORDENES'!$S288,lista_dias,0),9)*1000000000+IFERROR(MATCH('ORDENES'!$AH288,lista_turnos,0),9)*10000000+IFERROR(MATCH('ORDENES'!$AG288,tblTecnicos[nombre],0),99)*100000+285,9000000000000+285)</f>
        <v/>
      </c>
      <c r="M292" s="5">
        <f>IF(K292=1,SUMPRODUCT(--($L$8:$L$1207&lt;L292))+1,"")</f>
        <v/>
      </c>
      <c r="N292" s="17">
        <f>IF(K292=1,N('ORDENES'!$M288),0)</f>
        <v/>
      </c>
      <c r="O292" s="17">
        <f>IF('ORDENES'!$U288="preventiva",N292,0)</f>
        <v/>
      </c>
      <c r="P292" s="17">
        <f>IF('ORDENES'!$U288="correctiva",N292,0)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22">
        <f>IF(K292=1,'ORDENES'!$J288,"")</f>
        <v/>
      </c>
    </row>
    <row r="293">
      <c r="K293" s="5">
        <f>IF(AND(IF($B$3="(todos)",TRUE,'ORDENES'!$O289=$B$3),IF($D$3="(todos)",TRUE,'ORDENES'!$AH289=$D$3),IF($F$3="(todos)",TRUE,'ORDENES'!$Z289=$F$3),IF($H$3="(todos)",TRUE,'ORDENES'!$Y289=$H$3),'ORDENES'!$AF289=TRUE,'ORDENES'!$A289&lt;&gt;""),1,0)</f>
        <v/>
      </c>
      <c r="L293" s="5">
        <f>IF(K293=1,IFERROR(MATCH('ORDENES'!$S289,lista_dias,0),9)*1000000000+IFERROR(MATCH('ORDENES'!$AH289,lista_turnos,0),9)*10000000+IFERROR(MATCH('ORDENES'!$AG289,tblTecnicos[nombre],0),99)*100000+286,9000000000000+286)</f>
        <v/>
      </c>
      <c r="M293" s="5">
        <f>IF(K293=1,SUMPRODUCT(--($L$8:$L$1207&lt;L293))+1,"")</f>
        <v/>
      </c>
      <c r="N293" s="17">
        <f>IF(K293=1,N('ORDENES'!$M289),0)</f>
        <v/>
      </c>
      <c r="O293" s="17">
        <f>IF('ORDENES'!$U289="preventiva",N293,0)</f>
        <v/>
      </c>
      <c r="P293" s="17">
        <f>IF('ORDENES'!$U289="correctiva",N293,0)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22">
        <f>IF(K293=1,'ORDENES'!$J289,"")</f>
        <v/>
      </c>
    </row>
    <row r="294">
      <c r="K294" s="5">
        <f>IF(AND(IF($B$3="(todos)",TRUE,'ORDENES'!$O290=$B$3),IF($D$3="(todos)",TRUE,'ORDENES'!$AH290=$D$3),IF($F$3="(todos)",TRUE,'ORDENES'!$Z290=$F$3),IF($H$3="(todos)",TRUE,'ORDENES'!$Y290=$H$3),'ORDENES'!$AF290=TRUE,'ORDENES'!$A290&lt;&gt;""),1,0)</f>
        <v/>
      </c>
      <c r="L294" s="5">
        <f>IF(K294=1,IFERROR(MATCH('ORDENES'!$S290,lista_dias,0),9)*1000000000+IFERROR(MATCH('ORDENES'!$AH290,lista_turnos,0),9)*10000000+IFERROR(MATCH('ORDENES'!$AG290,tblTecnicos[nombre],0),99)*100000+287,9000000000000+287)</f>
        <v/>
      </c>
      <c r="M294" s="5">
        <f>IF(K294=1,SUMPRODUCT(--($L$8:$L$1207&lt;L294))+1,"")</f>
        <v/>
      </c>
      <c r="N294" s="17">
        <f>IF(K294=1,N('ORDENES'!$M290),0)</f>
        <v/>
      </c>
      <c r="O294" s="17">
        <f>IF('ORDENES'!$U290="preventiva",N294,0)</f>
        <v/>
      </c>
      <c r="P294" s="17">
        <f>IF('ORDENES'!$U290="correctiva",N294,0)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22">
        <f>IF(K294=1,'ORDENES'!$J290,"")</f>
        <v/>
      </c>
    </row>
    <row r="295">
      <c r="K295" s="5">
        <f>IF(AND(IF($B$3="(todos)",TRUE,'ORDENES'!$O291=$B$3),IF($D$3="(todos)",TRUE,'ORDENES'!$AH291=$D$3),IF($F$3="(todos)",TRUE,'ORDENES'!$Z291=$F$3),IF($H$3="(todos)",TRUE,'ORDENES'!$Y291=$H$3),'ORDENES'!$AF291=TRUE,'ORDENES'!$A291&lt;&gt;""),1,0)</f>
        <v/>
      </c>
      <c r="L295" s="5">
        <f>IF(K295=1,IFERROR(MATCH('ORDENES'!$S291,lista_dias,0),9)*1000000000+IFERROR(MATCH('ORDENES'!$AH291,lista_turnos,0),9)*10000000+IFERROR(MATCH('ORDENES'!$AG291,tblTecnicos[nombre],0),99)*100000+288,9000000000000+288)</f>
        <v/>
      </c>
      <c r="M295" s="5">
        <f>IF(K295=1,SUMPRODUCT(--($L$8:$L$1207&lt;L295))+1,"")</f>
        <v/>
      </c>
      <c r="N295" s="17">
        <f>IF(K295=1,N('ORDENES'!$M291),0)</f>
        <v/>
      </c>
      <c r="O295" s="17">
        <f>IF('ORDENES'!$U291="preventiva",N295,0)</f>
        <v/>
      </c>
      <c r="P295" s="17">
        <f>IF('ORDENES'!$U291="correctiva",N295,0)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22">
        <f>IF(K295=1,'ORDENES'!$J291,"")</f>
        <v/>
      </c>
    </row>
    <row r="296">
      <c r="K296" s="5">
        <f>IF(AND(IF($B$3="(todos)",TRUE,'ORDENES'!$O292=$B$3),IF($D$3="(todos)",TRUE,'ORDENES'!$AH292=$D$3),IF($F$3="(todos)",TRUE,'ORDENES'!$Z292=$F$3),IF($H$3="(todos)",TRUE,'ORDENES'!$Y292=$H$3),'ORDENES'!$AF292=TRUE,'ORDENES'!$A292&lt;&gt;""),1,0)</f>
        <v/>
      </c>
      <c r="L296" s="5">
        <f>IF(K296=1,IFERROR(MATCH('ORDENES'!$S292,lista_dias,0),9)*1000000000+IFERROR(MATCH('ORDENES'!$AH292,lista_turnos,0),9)*10000000+IFERROR(MATCH('ORDENES'!$AG292,tblTecnicos[nombre],0),99)*100000+289,9000000000000+289)</f>
        <v/>
      </c>
      <c r="M296" s="5">
        <f>IF(K296=1,SUMPRODUCT(--($L$8:$L$1207&lt;L296))+1,"")</f>
        <v/>
      </c>
      <c r="N296" s="17">
        <f>IF(K296=1,N('ORDENES'!$M292),0)</f>
        <v/>
      </c>
      <c r="O296" s="17">
        <f>IF('ORDENES'!$U292="preventiva",N296,0)</f>
        <v/>
      </c>
      <c r="P296" s="17">
        <f>IF('ORDENES'!$U292="correctiva",N296,0)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22">
        <f>IF(K296=1,'ORDENES'!$J292,"")</f>
        <v/>
      </c>
    </row>
    <row r="297">
      <c r="K297" s="5">
        <f>IF(AND(IF($B$3="(todos)",TRUE,'ORDENES'!$O293=$B$3),IF($D$3="(todos)",TRUE,'ORDENES'!$AH293=$D$3),IF($F$3="(todos)",TRUE,'ORDENES'!$Z293=$F$3),IF($H$3="(todos)",TRUE,'ORDENES'!$Y293=$H$3),'ORDENES'!$AF293=TRUE,'ORDENES'!$A293&lt;&gt;""),1,0)</f>
        <v/>
      </c>
      <c r="L297" s="5">
        <f>IF(K297=1,IFERROR(MATCH('ORDENES'!$S293,lista_dias,0),9)*1000000000+IFERROR(MATCH('ORDENES'!$AH293,lista_turnos,0),9)*10000000+IFERROR(MATCH('ORDENES'!$AG293,tblTecnicos[nombre],0),99)*100000+290,9000000000000+290)</f>
        <v/>
      </c>
      <c r="M297" s="5">
        <f>IF(K297=1,SUMPRODUCT(--($L$8:$L$1207&lt;L297))+1,"")</f>
        <v/>
      </c>
      <c r="N297" s="17">
        <f>IF(K297=1,N('ORDENES'!$M293),0)</f>
        <v/>
      </c>
      <c r="O297" s="17">
        <f>IF('ORDENES'!$U293="preventiva",N297,0)</f>
        <v/>
      </c>
      <c r="P297" s="17">
        <f>IF('ORDENES'!$U293="correctiva",N297,0)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22">
        <f>IF(K297=1,'ORDENES'!$J293,"")</f>
        <v/>
      </c>
    </row>
    <row r="298">
      <c r="K298" s="5">
        <f>IF(AND(IF($B$3="(todos)",TRUE,'ORDENES'!$O294=$B$3),IF($D$3="(todos)",TRUE,'ORDENES'!$AH294=$D$3),IF($F$3="(todos)",TRUE,'ORDENES'!$Z294=$F$3),IF($H$3="(todos)",TRUE,'ORDENES'!$Y294=$H$3),'ORDENES'!$AF294=TRUE,'ORDENES'!$A294&lt;&gt;""),1,0)</f>
        <v/>
      </c>
      <c r="L298" s="5">
        <f>IF(K298=1,IFERROR(MATCH('ORDENES'!$S294,lista_dias,0),9)*1000000000+IFERROR(MATCH('ORDENES'!$AH294,lista_turnos,0),9)*10000000+IFERROR(MATCH('ORDENES'!$AG294,tblTecnicos[nombre],0),99)*100000+291,9000000000000+291)</f>
        <v/>
      </c>
      <c r="M298" s="5">
        <f>IF(K298=1,SUMPRODUCT(--($L$8:$L$1207&lt;L298))+1,"")</f>
        <v/>
      </c>
      <c r="N298" s="17">
        <f>IF(K298=1,N('ORDENES'!$M294),0)</f>
        <v/>
      </c>
      <c r="O298" s="17">
        <f>IF('ORDENES'!$U294="preventiva",N298,0)</f>
        <v/>
      </c>
      <c r="P298" s="17">
        <f>IF('ORDENES'!$U294="correctiva",N298,0)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22">
        <f>IF(K298=1,'ORDENES'!$J294,"")</f>
        <v/>
      </c>
    </row>
    <row r="299">
      <c r="K299" s="5">
        <f>IF(AND(IF($B$3="(todos)",TRUE,'ORDENES'!$O295=$B$3),IF($D$3="(todos)",TRUE,'ORDENES'!$AH295=$D$3),IF($F$3="(todos)",TRUE,'ORDENES'!$Z295=$F$3),IF($H$3="(todos)",TRUE,'ORDENES'!$Y295=$H$3),'ORDENES'!$AF295=TRUE,'ORDENES'!$A295&lt;&gt;""),1,0)</f>
        <v/>
      </c>
      <c r="L299" s="5">
        <f>IF(K299=1,IFERROR(MATCH('ORDENES'!$S295,lista_dias,0),9)*1000000000+IFERROR(MATCH('ORDENES'!$AH295,lista_turnos,0),9)*10000000+IFERROR(MATCH('ORDENES'!$AG295,tblTecnicos[nombre],0),99)*100000+292,9000000000000+292)</f>
        <v/>
      </c>
      <c r="M299" s="5">
        <f>IF(K299=1,SUMPRODUCT(--($L$8:$L$1207&lt;L299))+1,"")</f>
        <v/>
      </c>
      <c r="N299" s="17">
        <f>IF(K299=1,N('ORDENES'!$M295),0)</f>
        <v/>
      </c>
      <c r="O299" s="17">
        <f>IF('ORDENES'!$U295="preventiva",N299,0)</f>
        <v/>
      </c>
      <c r="P299" s="17">
        <f>IF('ORDENES'!$U295="correctiva",N299,0)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22">
        <f>IF(K299=1,'ORDENES'!$J295,"")</f>
        <v/>
      </c>
    </row>
    <row r="300">
      <c r="K300" s="5">
        <f>IF(AND(IF($B$3="(todos)",TRUE,'ORDENES'!$O296=$B$3),IF($D$3="(todos)",TRUE,'ORDENES'!$AH296=$D$3),IF($F$3="(todos)",TRUE,'ORDENES'!$Z296=$F$3),IF($H$3="(todos)",TRUE,'ORDENES'!$Y296=$H$3),'ORDENES'!$AF296=TRUE,'ORDENES'!$A296&lt;&gt;""),1,0)</f>
        <v/>
      </c>
      <c r="L300" s="5">
        <f>IF(K300=1,IFERROR(MATCH('ORDENES'!$S296,lista_dias,0),9)*1000000000+IFERROR(MATCH('ORDENES'!$AH296,lista_turnos,0),9)*10000000+IFERROR(MATCH('ORDENES'!$AG296,tblTecnicos[nombre],0),99)*100000+293,9000000000000+293)</f>
        <v/>
      </c>
      <c r="M300" s="5">
        <f>IF(K300=1,SUMPRODUCT(--($L$8:$L$1207&lt;L300))+1,"")</f>
        <v/>
      </c>
      <c r="N300" s="17">
        <f>IF(K300=1,N('ORDENES'!$M296),0)</f>
        <v/>
      </c>
      <c r="O300" s="17">
        <f>IF('ORDENES'!$U296="preventiva",N300,0)</f>
        <v/>
      </c>
      <c r="P300" s="17">
        <f>IF('ORDENES'!$U296="correctiva",N300,0)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22">
        <f>IF(K300=1,'ORDENES'!$J296,"")</f>
        <v/>
      </c>
    </row>
    <row r="301">
      <c r="K301" s="5">
        <f>IF(AND(IF($B$3="(todos)",TRUE,'ORDENES'!$O297=$B$3),IF($D$3="(todos)",TRUE,'ORDENES'!$AH297=$D$3),IF($F$3="(todos)",TRUE,'ORDENES'!$Z297=$F$3),IF($H$3="(todos)",TRUE,'ORDENES'!$Y297=$H$3),'ORDENES'!$AF297=TRUE,'ORDENES'!$A297&lt;&gt;""),1,0)</f>
        <v/>
      </c>
      <c r="L301" s="5">
        <f>IF(K301=1,IFERROR(MATCH('ORDENES'!$S297,lista_dias,0),9)*1000000000+IFERROR(MATCH('ORDENES'!$AH297,lista_turnos,0),9)*10000000+IFERROR(MATCH('ORDENES'!$AG297,tblTecnicos[nombre],0),99)*100000+294,9000000000000+294)</f>
        <v/>
      </c>
      <c r="M301" s="5">
        <f>IF(K301=1,SUMPRODUCT(--($L$8:$L$1207&lt;L301))+1,"")</f>
        <v/>
      </c>
      <c r="N301" s="17">
        <f>IF(K301=1,N('ORDENES'!$M297),0)</f>
        <v/>
      </c>
      <c r="O301" s="17">
        <f>IF('ORDENES'!$U297="preventiva",N301,0)</f>
        <v/>
      </c>
      <c r="P301" s="17">
        <f>IF('ORDENES'!$U297="correctiva",N301,0)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22">
        <f>IF(K301=1,'ORDENES'!$J297,"")</f>
        <v/>
      </c>
    </row>
    <row r="302">
      <c r="K302" s="5">
        <f>IF(AND(IF($B$3="(todos)",TRUE,'ORDENES'!$O298=$B$3),IF($D$3="(todos)",TRUE,'ORDENES'!$AH298=$D$3),IF($F$3="(todos)",TRUE,'ORDENES'!$Z298=$F$3),IF($H$3="(todos)",TRUE,'ORDENES'!$Y298=$H$3),'ORDENES'!$AF298=TRUE,'ORDENES'!$A298&lt;&gt;""),1,0)</f>
        <v/>
      </c>
      <c r="L302" s="5">
        <f>IF(K302=1,IFERROR(MATCH('ORDENES'!$S298,lista_dias,0),9)*1000000000+IFERROR(MATCH('ORDENES'!$AH298,lista_turnos,0),9)*10000000+IFERROR(MATCH('ORDENES'!$AG298,tblTecnicos[nombre],0),99)*100000+295,9000000000000+295)</f>
        <v/>
      </c>
      <c r="M302" s="5">
        <f>IF(K302=1,SUMPRODUCT(--($L$8:$L$1207&lt;L302))+1,"")</f>
        <v/>
      </c>
      <c r="N302" s="17">
        <f>IF(K302=1,N('ORDENES'!$M298),0)</f>
        <v/>
      </c>
      <c r="O302" s="17">
        <f>IF('ORDENES'!$U298="preventiva",N302,0)</f>
        <v/>
      </c>
      <c r="P302" s="17">
        <f>IF('ORDENES'!$U298="correctiva",N302,0)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22">
        <f>IF(K302=1,'ORDENES'!$J298,"")</f>
        <v/>
      </c>
    </row>
    <row r="303">
      <c r="K303" s="5">
        <f>IF(AND(IF($B$3="(todos)",TRUE,'ORDENES'!$O299=$B$3),IF($D$3="(todos)",TRUE,'ORDENES'!$AH299=$D$3),IF($F$3="(todos)",TRUE,'ORDENES'!$Z299=$F$3),IF($H$3="(todos)",TRUE,'ORDENES'!$Y299=$H$3),'ORDENES'!$AF299=TRUE,'ORDENES'!$A299&lt;&gt;""),1,0)</f>
        <v/>
      </c>
      <c r="L303" s="5">
        <f>IF(K303=1,IFERROR(MATCH('ORDENES'!$S299,lista_dias,0),9)*1000000000+IFERROR(MATCH('ORDENES'!$AH299,lista_turnos,0),9)*10000000+IFERROR(MATCH('ORDENES'!$AG299,tblTecnicos[nombre],0),99)*100000+296,9000000000000+296)</f>
        <v/>
      </c>
      <c r="M303" s="5">
        <f>IF(K303=1,SUMPRODUCT(--($L$8:$L$1207&lt;L303))+1,"")</f>
        <v/>
      </c>
      <c r="N303" s="17">
        <f>IF(K303=1,N('ORDENES'!$M299),0)</f>
        <v/>
      </c>
      <c r="O303" s="17">
        <f>IF('ORDENES'!$U299="preventiva",N303,0)</f>
        <v/>
      </c>
      <c r="P303" s="17">
        <f>IF('ORDENES'!$U299="correctiva",N303,0)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22">
        <f>IF(K303=1,'ORDENES'!$J299,"")</f>
        <v/>
      </c>
    </row>
    <row r="304">
      <c r="K304" s="5">
        <f>IF(AND(IF($B$3="(todos)",TRUE,'ORDENES'!$O300=$B$3),IF($D$3="(todos)",TRUE,'ORDENES'!$AH300=$D$3),IF($F$3="(todos)",TRUE,'ORDENES'!$Z300=$F$3),IF($H$3="(todos)",TRUE,'ORDENES'!$Y300=$H$3),'ORDENES'!$AF300=TRUE,'ORDENES'!$A300&lt;&gt;""),1,0)</f>
        <v/>
      </c>
      <c r="L304" s="5">
        <f>IF(K304=1,IFERROR(MATCH('ORDENES'!$S300,lista_dias,0),9)*1000000000+IFERROR(MATCH('ORDENES'!$AH300,lista_turnos,0),9)*10000000+IFERROR(MATCH('ORDENES'!$AG300,tblTecnicos[nombre],0),99)*100000+297,9000000000000+297)</f>
        <v/>
      </c>
      <c r="M304" s="5">
        <f>IF(K304=1,SUMPRODUCT(--($L$8:$L$1207&lt;L304))+1,"")</f>
        <v/>
      </c>
      <c r="N304" s="17">
        <f>IF(K304=1,N('ORDENES'!$M300),0)</f>
        <v/>
      </c>
      <c r="O304" s="17">
        <f>IF('ORDENES'!$U300="preventiva",N304,0)</f>
        <v/>
      </c>
      <c r="P304" s="17">
        <f>IF('ORDENES'!$U300="correctiva",N304,0)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22">
        <f>IF(K304=1,'ORDENES'!$J300,"")</f>
        <v/>
      </c>
    </row>
    <row r="305">
      <c r="K305" s="5">
        <f>IF(AND(IF($B$3="(todos)",TRUE,'ORDENES'!$O301=$B$3),IF($D$3="(todos)",TRUE,'ORDENES'!$AH301=$D$3),IF($F$3="(todos)",TRUE,'ORDENES'!$Z301=$F$3),IF($H$3="(todos)",TRUE,'ORDENES'!$Y301=$H$3),'ORDENES'!$AF301=TRUE,'ORDENES'!$A301&lt;&gt;""),1,0)</f>
        <v/>
      </c>
      <c r="L305" s="5">
        <f>IF(K305=1,IFERROR(MATCH('ORDENES'!$S301,lista_dias,0),9)*1000000000+IFERROR(MATCH('ORDENES'!$AH301,lista_turnos,0),9)*10000000+IFERROR(MATCH('ORDENES'!$AG301,tblTecnicos[nombre],0),99)*100000+298,9000000000000+298)</f>
        <v/>
      </c>
      <c r="M305" s="5">
        <f>IF(K305=1,SUMPRODUCT(--($L$8:$L$1207&lt;L305))+1,"")</f>
        <v/>
      </c>
      <c r="N305" s="17">
        <f>IF(K305=1,N('ORDENES'!$M301),0)</f>
        <v/>
      </c>
      <c r="O305" s="17">
        <f>IF('ORDENES'!$U301="preventiva",N305,0)</f>
        <v/>
      </c>
      <c r="P305" s="17">
        <f>IF('ORDENES'!$U301="correctiva",N305,0)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22">
        <f>IF(K305=1,'ORDENES'!$J301,"")</f>
        <v/>
      </c>
    </row>
    <row r="306">
      <c r="K306" s="5">
        <f>IF(AND(IF($B$3="(todos)",TRUE,'ORDENES'!$O302=$B$3),IF($D$3="(todos)",TRUE,'ORDENES'!$AH302=$D$3),IF($F$3="(todos)",TRUE,'ORDENES'!$Z302=$F$3),IF($H$3="(todos)",TRUE,'ORDENES'!$Y302=$H$3),'ORDENES'!$AF302=TRUE,'ORDENES'!$A302&lt;&gt;""),1,0)</f>
        <v/>
      </c>
      <c r="L306" s="5">
        <f>IF(K306=1,IFERROR(MATCH('ORDENES'!$S302,lista_dias,0),9)*1000000000+IFERROR(MATCH('ORDENES'!$AH302,lista_turnos,0),9)*10000000+IFERROR(MATCH('ORDENES'!$AG302,tblTecnicos[nombre],0),99)*100000+299,9000000000000+299)</f>
        <v/>
      </c>
      <c r="M306" s="5">
        <f>IF(K306=1,SUMPRODUCT(--($L$8:$L$1207&lt;L306))+1,"")</f>
        <v/>
      </c>
      <c r="N306" s="17">
        <f>IF(K306=1,N('ORDENES'!$M302),0)</f>
        <v/>
      </c>
      <c r="O306" s="17">
        <f>IF('ORDENES'!$U302="preventiva",N306,0)</f>
        <v/>
      </c>
      <c r="P306" s="17">
        <f>IF('ORDENES'!$U302="correctiva",N306,0)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22">
        <f>IF(K306=1,'ORDENES'!$J302,"")</f>
        <v/>
      </c>
    </row>
    <row r="307">
      <c r="K307" s="5">
        <f>IF(AND(IF($B$3="(todos)",TRUE,'ORDENES'!$O303=$B$3),IF($D$3="(todos)",TRUE,'ORDENES'!$AH303=$D$3),IF($F$3="(todos)",TRUE,'ORDENES'!$Z303=$F$3),IF($H$3="(todos)",TRUE,'ORDENES'!$Y303=$H$3),'ORDENES'!$AF303=TRUE,'ORDENES'!$A303&lt;&gt;""),1,0)</f>
        <v/>
      </c>
      <c r="L307" s="5">
        <f>IF(K307=1,IFERROR(MATCH('ORDENES'!$S303,lista_dias,0),9)*1000000000+IFERROR(MATCH('ORDENES'!$AH303,lista_turnos,0),9)*10000000+IFERROR(MATCH('ORDENES'!$AG303,tblTecnicos[nombre],0),99)*100000+300,9000000000000+300)</f>
        <v/>
      </c>
      <c r="M307" s="5">
        <f>IF(K307=1,SUMPRODUCT(--($L$8:$L$1207&lt;L307))+1,"")</f>
        <v/>
      </c>
      <c r="N307" s="17">
        <f>IF(K307=1,N('ORDENES'!$M303),0)</f>
        <v/>
      </c>
      <c r="O307" s="17">
        <f>IF('ORDENES'!$U303="preventiva",N307,0)</f>
        <v/>
      </c>
      <c r="P307" s="17">
        <f>IF('ORDENES'!$U303="correctiva",N307,0)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22">
        <f>IF(K307=1,'ORDENES'!$J303,"")</f>
        <v/>
      </c>
    </row>
    <row r="308">
      <c r="K308" s="5">
        <f>IF(AND(IF($B$3="(todos)",TRUE,'ORDENES'!$O304=$B$3),IF($D$3="(todos)",TRUE,'ORDENES'!$AH304=$D$3),IF($F$3="(todos)",TRUE,'ORDENES'!$Z304=$F$3),IF($H$3="(todos)",TRUE,'ORDENES'!$Y304=$H$3),'ORDENES'!$AF304=TRUE,'ORDENES'!$A304&lt;&gt;""),1,0)</f>
        <v/>
      </c>
      <c r="L308" s="5">
        <f>IF(K308=1,IFERROR(MATCH('ORDENES'!$S304,lista_dias,0),9)*1000000000+IFERROR(MATCH('ORDENES'!$AH304,lista_turnos,0),9)*10000000+IFERROR(MATCH('ORDENES'!$AG304,tblTecnicos[nombre],0),99)*100000+301,9000000000000+301)</f>
        <v/>
      </c>
      <c r="M308" s="5">
        <f>IF(K308=1,SUMPRODUCT(--($L$8:$L$1207&lt;L308))+1,"")</f>
        <v/>
      </c>
      <c r="N308" s="17">
        <f>IF(K308=1,N('ORDENES'!$M304),0)</f>
        <v/>
      </c>
      <c r="O308" s="17">
        <f>IF('ORDENES'!$U304="preventiva",N308,0)</f>
        <v/>
      </c>
      <c r="P308" s="17">
        <f>IF('ORDENES'!$U304="correctiva",N308,0)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22">
        <f>IF(K308=1,'ORDENES'!$J304,"")</f>
        <v/>
      </c>
    </row>
    <row r="309">
      <c r="K309" s="5">
        <f>IF(AND(IF($B$3="(todos)",TRUE,'ORDENES'!$O305=$B$3),IF($D$3="(todos)",TRUE,'ORDENES'!$AH305=$D$3),IF($F$3="(todos)",TRUE,'ORDENES'!$Z305=$F$3),IF($H$3="(todos)",TRUE,'ORDENES'!$Y305=$H$3),'ORDENES'!$AF305=TRUE,'ORDENES'!$A305&lt;&gt;""),1,0)</f>
        <v/>
      </c>
      <c r="L309" s="5">
        <f>IF(K309=1,IFERROR(MATCH('ORDENES'!$S305,lista_dias,0),9)*1000000000+IFERROR(MATCH('ORDENES'!$AH305,lista_turnos,0),9)*10000000+IFERROR(MATCH('ORDENES'!$AG305,tblTecnicos[nombre],0),99)*100000+302,9000000000000+302)</f>
        <v/>
      </c>
      <c r="M309" s="5">
        <f>IF(K309=1,SUMPRODUCT(--($L$8:$L$1207&lt;L309))+1,"")</f>
        <v/>
      </c>
      <c r="N309" s="17">
        <f>IF(K309=1,N('ORDENES'!$M305),0)</f>
        <v/>
      </c>
      <c r="O309" s="17">
        <f>IF('ORDENES'!$U305="preventiva",N309,0)</f>
        <v/>
      </c>
      <c r="P309" s="17">
        <f>IF('ORDENES'!$U305="correctiva",N309,0)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22">
        <f>IF(K309=1,'ORDENES'!$J305,"")</f>
        <v/>
      </c>
    </row>
    <row r="310">
      <c r="K310" s="5">
        <f>IF(AND(IF($B$3="(todos)",TRUE,'ORDENES'!$O306=$B$3),IF($D$3="(todos)",TRUE,'ORDENES'!$AH306=$D$3),IF($F$3="(todos)",TRUE,'ORDENES'!$Z306=$F$3),IF($H$3="(todos)",TRUE,'ORDENES'!$Y306=$H$3),'ORDENES'!$AF306=TRUE,'ORDENES'!$A306&lt;&gt;""),1,0)</f>
        <v/>
      </c>
      <c r="L310" s="5">
        <f>IF(K310=1,IFERROR(MATCH('ORDENES'!$S306,lista_dias,0),9)*1000000000+IFERROR(MATCH('ORDENES'!$AH306,lista_turnos,0),9)*10000000+IFERROR(MATCH('ORDENES'!$AG306,tblTecnicos[nombre],0),99)*100000+303,9000000000000+303)</f>
        <v/>
      </c>
      <c r="M310" s="5">
        <f>IF(K310=1,SUMPRODUCT(--($L$8:$L$1207&lt;L310))+1,"")</f>
        <v/>
      </c>
      <c r="N310" s="17">
        <f>IF(K310=1,N('ORDENES'!$M306),0)</f>
        <v/>
      </c>
      <c r="O310" s="17">
        <f>IF('ORDENES'!$U306="preventiva",N310,0)</f>
        <v/>
      </c>
      <c r="P310" s="17">
        <f>IF('ORDENES'!$U306="correctiva",N310,0)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22">
        <f>IF(K310=1,'ORDENES'!$J306,"")</f>
        <v/>
      </c>
    </row>
    <row r="311">
      <c r="K311" s="5">
        <f>IF(AND(IF($B$3="(todos)",TRUE,'ORDENES'!$O307=$B$3),IF($D$3="(todos)",TRUE,'ORDENES'!$AH307=$D$3),IF($F$3="(todos)",TRUE,'ORDENES'!$Z307=$F$3),IF($H$3="(todos)",TRUE,'ORDENES'!$Y307=$H$3),'ORDENES'!$AF307=TRUE,'ORDENES'!$A307&lt;&gt;""),1,0)</f>
        <v/>
      </c>
      <c r="L311" s="5">
        <f>IF(K311=1,IFERROR(MATCH('ORDENES'!$S307,lista_dias,0),9)*1000000000+IFERROR(MATCH('ORDENES'!$AH307,lista_turnos,0),9)*10000000+IFERROR(MATCH('ORDENES'!$AG307,tblTecnicos[nombre],0),99)*100000+304,9000000000000+304)</f>
        <v/>
      </c>
      <c r="M311" s="5">
        <f>IF(K311=1,SUMPRODUCT(--($L$8:$L$1207&lt;L311))+1,"")</f>
        <v/>
      </c>
      <c r="N311" s="17">
        <f>IF(K311=1,N('ORDENES'!$M307),0)</f>
        <v/>
      </c>
      <c r="O311" s="17">
        <f>IF('ORDENES'!$U307="preventiva",N311,0)</f>
        <v/>
      </c>
      <c r="P311" s="17">
        <f>IF('ORDENES'!$U307="correctiva",N311,0)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22">
        <f>IF(K311=1,'ORDENES'!$J307,"")</f>
        <v/>
      </c>
    </row>
    <row r="312">
      <c r="K312" s="5">
        <f>IF(AND(IF($B$3="(todos)",TRUE,'ORDENES'!$O308=$B$3),IF($D$3="(todos)",TRUE,'ORDENES'!$AH308=$D$3),IF($F$3="(todos)",TRUE,'ORDENES'!$Z308=$F$3),IF($H$3="(todos)",TRUE,'ORDENES'!$Y308=$H$3),'ORDENES'!$AF308=TRUE,'ORDENES'!$A308&lt;&gt;""),1,0)</f>
        <v/>
      </c>
      <c r="L312" s="5">
        <f>IF(K312=1,IFERROR(MATCH('ORDENES'!$S308,lista_dias,0),9)*1000000000+IFERROR(MATCH('ORDENES'!$AH308,lista_turnos,0),9)*10000000+IFERROR(MATCH('ORDENES'!$AG308,tblTecnicos[nombre],0),99)*100000+305,9000000000000+305)</f>
        <v/>
      </c>
      <c r="M312" s="5">
        <f>IF(K312=1,SUMPRODUCT(--($L$8:$L$1207&lt;L312))+1,"")</f>
        <v/>
      </c>
      <c r="N312" s="17">
        <f>IF(K312=1,N('ORDENES'!$M308),0)</f>
        <v/>
      </c>
      <c r="O312" s="17">
        <f>IF('ORDENES'!$U308="preventiva",N312,0)</f>
        <v/>
      </c>
      <c r="P312" s="17">
        <f>IF('ORDENES'!$U308="correctiva",N312,0)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22">
        <f>IF(K312=1,'ORDENES'!$J308,"")</f>
        <v/>
      </c>
    </row>
    <row r="313">
      <c r="K313" s="5">
        <f>IF(AND(IF($B$3="(todos)",TRUE,'ORDENES'!$O309=$B$3),IF($D$3="(todos)",TRUE,'ORDENES'!$AH309=$D$3),IF($F$3="(todos)",TRUE,'ORDENES'!$Z309=$F$3),IF($H$3="(todos)",TRUE,'ORDENES'!$Y309=$H$3),'ORDENES'!$AF309=TRUE,'ORDENES'!$A309&lt;&gt;""),1,0)</f>
        <v/>
      </c>
      <c r="L313" s="5">
        <f>IF(K313=1,IFERROR(MATCH('ORDENES'!$S309,lista_dias,0),9)*1000000000+IFERROR(MATCH('ORDENES'!$AH309,lista_turnos,0),9)*10000000+IFERROR(MATCH('ORDENES'!$AG309,tblTecnicos[nombre],0),99)*100000+306,9000000000000+306)</f>
        <v/>
      </c>
      <c r="M313" s="5">
        <f>IF(K313=1,SUMPRODUCT(--($L$8:$L$1207&lt;L313))+1,"")</f>
        <v/>
      </c>
      <c r="N313" s="17">
        <f>IF(K313=1,N('ORDENES'!$M309),0)</f>
        <v/>
      </c>
      <c r="O313" s="17">
        <f>IF('ORDENES'!$U309="preventiva",N313,0)</f>
        <v/>
      </c>
      <c r="P313" s="17">
        <f>IF('ORDENES'!$U309="correctiva",N313,0)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22">
        <f>IF(K313=1,'ORDENES'!$J309,"")</f>
        <v/>
      </c>
    </row>
    <row r="314">
      <c r="K314" s="5">
        <f>IF(AND(IF($B$3="(todos)",TRUE,'ORDENES'!$O310=$B$3),IF($D$3="(todos)",TRUE,'ORDENES'!$AH310=$D$3),IF($F$3="(todos)",TRUE,'ORDENES'!$Z310=$F$3),IF($H$3="(todos)",TRUE,'ORDENES'!$Y310=$H$3),'ORDENES'!$AF310=TRUE,'ORDENES'!$A310&lt;&gt;""),1,0)</f>
        <v/>
      </c>
      <c r="L314" s="5">
        <f>IF(K314=1,IFERROR(MATCH('ORDENES'!$S310,lista_dias,0),9)*1000000000+IFERROR(MATCH('ORDENES'!$AH310,lista_turnos,0),9)*10000000+IFERROR(MATCH('ORDENES'!$AG310,tblTecnicos[nombre],0),99)*100000+307,9000000000000+307)</f>
        <v/>
      </c>
      <c r="M314" s="5">
        <f>IF(K314=1,SUMPRODUCT(--($L$8:$L$1207&lt;L314))+1,"")</f>
        <v/>
      </c>
      <c r="N314" s="17">
        <f>IF(K314=1,N('ORDENES'!$M310),0)</f>
        <v/>
      </c>
      <c r="O314" s="17">
        <f>IF('ORDENES'!$U310="preventiva",N314,0)</f>
        <v/>
      </c>
      <c r="P314" s="17">
        <f>IF('ORDENES'!$U310="correctiva",N314,0)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22">
        <f>IF(K314=1,'ORDENES'!$J310,"")</f>
        <v/>
      </c>
    </row>
    <row r="315">
      <c r="K315" s="5">
        <f>IF(AND(IF($B$3="(todos)",TRUE,'ORDENES'!$O311=$B$3),IF($D$3="(todos)",TRUE,'ORDENES'!$AH311=$D$3),IF($F$3="(todos)",TRUE,'ORDENES'!$Z311=$F$3),IF($H$3="(todos)",TRUE,'ORDENES'!$Y311=$H$3),'ORDENES'!$AF311=TRUE,'ORDENES'!$A311&lt;&gt;""),1,0)</f>
        <v/>
      </c>
      <c r="L315" s="5">
        <f>IF(K315=1,IFERROR(MATCH('ORDENES'!$S311,lista_dias,0),9)*1000000000+IFERROR(MATCH('ORDENES'!$AH311,lista_turnos,0),9)*10000000+IFERROR(MATCH('ORDENES'!$AG311,tblTecnicos[nombre],0),99)*100000+308,9000000000000+308)</f>
        <v/>
      </c>
      <c r="M315" s="5">
        <f>IF(K315=1,SUMPRODUCT(--($L$8:$L$1207&lt;L315))+1,"")</f>
        <v/>
      </c>
      <c r="N315" s="17">
        <f>IF(K315=1,N('ORDENES'!$M311),0)</f>
        <v/>
      </c>
      <c r="O315" s="17">
        <f>IF('ORDENES'!$U311="preventiva",N315,0)</f>
        <v/>
      </c>
      <c r="P315" s="17">
        <f>IF('ORDENES'!$U311="correctiva",N315,0)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22">
        <f>IF(K315=1,'ORDENES'!$J311,"")</f>
        <v/>
      </c>
    </row>
    <row r="316">
      <c r="K316" s="5">
        <f>IF(AND(IF($B$3="(todos)",TRUE,'ORDENES'!$O312=$B$3),IF($D$3="(todos)",TRUE,'ORDENES'!$AH312=$D$3),IF($F$3="(todos)",TRUE,'ORDENES'!$Z312=$F$3),IF($H$3="(todos)",TRUE,'ORDENES'!$Y312=$H$3),'ORDENES'!$AF312=TRUE,'ORDENES'!$A312&lt;&gt;""),1,0)</f>
        <v/>
      </c>
      <c r="L316" s="5">
        <f>IF(K316=1,IFERROR(MATCH('ORDENES'!$S312,lista_dias,0),9)*1000000000+IFERROR(MATCH('ORDENES'!$AH312,lista_turnos,0),9)*10000000+IFERROR(MATCH('ORDENES'!$AG312,tblTecnicos[nombre],0),99)*100000+309,9000000000000+309)</f>
        <v/>
      </c>
      <c r="M316" s="5">
        <f>IF(K316=1,SUMPRODUCT(--($L$8:$L$1207&lt;L316))+1,"")</f>
        <v/>
      </c>
      <c r="N316" s="17">
        <f>IF(K316=1,N('ORDENES'!$M312),0)</f>
        <v/>
      </c>
      <c r="O316" s="17">
        <f>IF('ORDENES'!$U312="preventiva",N316,0)</f>
        <v/>
      </c>
      <c r="P316" s="17">
        <f>IF('ORDENES'!$U312="correctiva",N316,0)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22">
        <f>IF(K316=1,'ORDENES'!$J312,"")</f>
        <v/>
      </c>
    </row>
    <row r="317">
      <c r="K317" s="5">
        <f>IF(AND(IF($B$3="(todos)",TRUE,'ORDENES'!$O313=$B$3),IF($D$3="(todos)",TRUE,'ORDENES'!$AH313=$D$3),IF($F$3="(todos)",TRUE,'ORDENES'!$Z313=$F$3),IF($H$3="(todos)",TRUE,'ORDENES'!$Y313=$H$3),'ORDENES'!$AF313=TRUE,'ORDENES'!$A313&lt;&gt;""),1,0)</f>
        <v/>
      </c>
      <c r="L317" s="5">
        <f>IF(K317=1,IFERROR(MATCH('ORDENES'!$S313,lista_dias,0),9)*1000000000+IFERROR(MATCH('ORDENES'!$AH313,lista_turnos,0),9)*10000000+IFERROR(MATCH('ORDENES'!$AG313,tblTecnicos[nombre],0),99)*100000+310,9000000000000+310)</f>
        <v/>
      </c>
      <c r="M317" s="5">
        <f>IF(K317=1,SUMPRODUCT(--($L$8:$L$1207&lt;L317))+1,"")</f>
        <v/>
      </c>
      <c r="N317" s="17">
        <f>IF(K317=1,N('ORDENES'!$M313),0)</f>
        <v/>
      </c>
      <c r="O317" s="17">
        <f>IF('ORDENES'!$U313="preventiva",N317,0)</f>
        <v/>
      </c>
      <c r="P317" s="17">
        <f>IF('ORDENES'!$U313="correctiva",N317,0)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22">
        <f>IF(K317=1,'ORDENES'!$J313,"")</f>
        <v/>
      </c>
    </row>
    <row r="318">
      <c r="K318" s="5">
        <f>IF(AND(IF($B$3="(todos)",TRUE,'ORDENES'!$O314=$B$3),IF($D$3="(todos)",TRUE,'ORDENES'!$AH314=$D$3),IF($F$3="(todos)",TRUE,'ORDENES'!$Z314=$F$3),IF($H$3="(todos)",TRUE,'ORDENES'!$Y314=$H$3),'ORDENES'!$AF314=TRUE,'ORDENES'!$A314&lt;&gt;""),1,0)</f>
        <v/>
      </c>
      <c r="L318" s="5">
        <f>IF(K318=1,IFERROR(MATCH('ORDENES'!$S314,lista_dias,0),9)*1000000000+IFERROR(MATCH('ORDENES'!$AH314,lista_turnos,0),9)*10000000+IFERROR(MATCH('ORDENES'!$AG314,tblTecnicos[nombre],0),99)*100000+311,9000000000000+311)</f>
        <v/>
      </c>
      <c r="M318" s="5">
        <f>IF(K318=1,SUMPRODUCT(--($L$8:$L$1207&lt;L318))+1,"")</f>
        <v/>
      </c>
      <c r="N318" s="17">
        <f>IF(K318=1,N('ORDENES'!$M314),0)</f>
        <v/>
      </c>
      <c r="O318" s="17">
        <f>IF('ORDENES'!$U314="preventiva",N318,0)</f>
        <v/>
      </c>
      <c r="P318" s="17">
        <f>IF('ORDENES'!$U314="correctiva",N318,0)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22">
        <f>IF(K318=1,'ORDENES'!$J314,"")</f>
        <v/>
      </c>
    </row>
    <row r="319">
      <c r="K319" s="5">
        <f>IF(AND(IF($B$3="(todos)",TRUE,'ORDENES'!$O315=$B$3),IF($D$3="(todos)",TRUE,'ORDENES'!$AH315=$D$3),IF($F$3="(todos)",TRUE,'ORDENES'!$Z315=$F$3),IF($H$3="(todos)",TRUE,'ORDENES'!$Y315=$H$3),'ORDENES'!$AF315=TRUE,'ORDENES'!$A315&lt;&gt;""),1,0)</f>
        <v/>
      </c>
      <c r="L319" s="5">
        <f>IF(K319=1,IFERROR(MATCH('ORDENES'!$S315,lista_dias,0),9)*1000000000+IFERROR(MATCH('ORDENES'!$AH315,lista_turnos,0),9)*10000000+IFERROR(MATCH('ORDENES'!$AG315,tblTecnicos[nombre],0),99)*100000+312,9000000000000+312)</f>
        <v/>
      </c>
      <c r="M319" s="5">
        <f>IF(K319=1,SUMPRODUCT(--($L$8:$L$1207&lt;L319))+1,"")</f>
        <v/>
      </c>
      <c r="N319" s="17">
        <f>IF(K319=1,N('ORDENES'!$M315),0)</f>
        <v/>
      </c>
      <c r="O319" s="17">
        <f>IF('ORDENES'!$U315="preventiva",N319,0)</f>
        <v/>
      </c>
      <c r="P319" s="17">
        <f>IF('ORDENES'!$U315="correctiva",N319,0)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22">
        <f>IF(K319=1,'ORDENES'!$J315,"")</f>
        <v/>
      </c>
    </row>
    <row r="320">
      <c r="K320" s="5">
        <f>IF(AND(IF($B$3="(todos)",TRUE,'ORDENES'!$O316=$B$3),IF($D$3="(todos)",TRUE,'ORDENES'!$AH316=$D$3),IF($F$3="(todos)",TRUE,'ORDENES'!$Z316=$F$3),IF($H$3="(todos)",TRUE,'ORDENES'!$Y316=$H$3),'ORDENES'!$AF316=TRUE,'ORDENES'!$A316&lt;&gt;""),1,0)</f>
        <v/>
      </c>
      <c r="L320" s="5">
        <f>IF(K320=1,IFERROR(MATCH('ORDENES'!$S316,lista_dias,0),9)*1000000000+IFERROR(MATCH('ORDENES'!$AH316,lista_turnos,0),9)*10000000+IFERROR(MATCH('ORDENES'!$AG316,tblTecnicos[nombre],0),99)*100000+313,9000000000000+313)</f>
        <v/>
      </c>
      <c r="M320" s="5">
        <f>IF(K320=1,SUMPRODUCT(--($L$8:$L$1207&lt;L320))+1,"")</f>
        <v/>
      </c>
      <c r="N320" s="17">
        <f>IF(K320=1,N('ORDENES'!$M316),0)</f>
        <v/>
      </c>
      <c r="O320" s="17">
        <f>IF('ORDENES'!$U316="preventiva",N320,0)</f>
        <v/>
      </c>
      <c r="P320" s="17">
        <f>IF('ORDENES'!$U316="correctiva",N320,0)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22">
        <f>IF(K320=1,'ORDENES'!$J316,"")</f>
        <v/>
      </c>
    </row>
    <row r="321">
      <c r="K321" s="5">
        <f>IF(AND(IF($B$3="(todos)",TRUE,'ORDENES'!$O317=$B$3),IF($D$3="(todos)",TRUE,'ORDENES'!$AH317=$D$3),IF($F$3="(todos)",TRUE,'ORDENES'!$Z317=$F$3),IF($H$3="(todos)",TRUE,'ORDENES'!$Y317=$H$3),'ORDENES'!$AF317=TRUE,'ORDENES'!$A317&lt;&gt;""),1,0)</f>
        <v/>
      </c>
      <c r="L321" s="5">
        <f>IF(K321=1,IFERROR(MATCH('ORDENES'!$S317,lista_dias,0),9)*1000000000+IFERROR(MATCH('ORDENES'!$AH317,lista_turnos,0),9)*10000000+IFERROR(MATCH('ORDENES'!$AG317,tblTecnicos[nombre],0),99)*100000+314,9000000000000+314)</f>
        <v/>
      </c>
      <c r="M321" s="5">
        <f>IF(K321=1,SUMPRODUCT(--($L$8:$L$1207&lt;L321))+1,"")</f>
        <v/>
      </c>
      <c r="N321" s="17">
        <f>IF(K321=1,N('ORDENES'!$M317),0)</f>
        <v/>
      </c>
      <c r="O321" s="17">
        <f>IF('ORDENES'!$U317="preventiva",N321,0)</f>
        <v/>
      </c>
      <c r="P321" s="17">
        <f>IF('ORDENES'!$U317="correctiva",N321,0)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22">
        <f>IF(K321=1,'ORDENES'!$J317,"")</f>
        <v/>
      </c>
    </row>
    <row r="322">
      <c r="K322" s="5">
        <f>IF(AND(IF($B$3="(todos)",TRUE,'ORDENES'!$O318=$B$3),IF($D$3="(todos)",TRUE,'ORDENES'!$AH318=$D$3),IF($F$3="(todos)",TRUE,'ORDENES'!$Z318=$F$3),IF($H$3="(todos)",TRUE,'ORDENES'!$Y318=$H$3),'ORDENES'!$AF318=TRUE,'ORDENES'!$A318&lt;&gt;""),1,0)</f>
        <v/>
      </c>
      <c r="L322" s="5">
        <f>IF(K322=1,IFERROR(MATCH('ORDENES'!$S318,lista_dias,0),9)*1000000000+IFERROR(MATCH('ORDENES'!$AH318,lista_turnos,0),9)*10000000+IFERROR(MATCH('ORDENES'!$AG318,tblTecnicos[nombre],0),99)*100000+315,9000000000000+315)</f>
        <v/>
      </c>
      <c r="M322" s="5">
        <f>IF(K322=1,SUMPRODUCT(--($L$8:$L$1207&lt;L322))+1,"")</f>
        <v/>
      </c>
      <c r="N322" s="17">
        <f>IF(K322=1,N('ORDENES'!$M318),0)</f>
        <v/>
      </c>
      <c r="O322" s="17">
        <f>IF('ORDENES'!$U318="preventiva",N322,0)</f>
        <v/>
      </c>
      <c r="P322" s="17">
        <f>IF('ORDENES'!$U318="correctiva",N322,0)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22">
        <f>IF(K322=1,'ORDENES'!$J318,"")</f>
        <v/>
      </c>
    </row>
    <row r="323">
      <c r="K323" s="5">
        <f>IF(AND(IF($B$3="(todos)",TRUE,'ORDENES'!$O319=$B$3),IF($D$3="(todos)",TRUE,'ORDENES'!$AH319=$D$3),IF($F$3="(todos)",TRUE,'ORDENES'!$Z319=$F$3),IF($H$3="(todos)",TRUE,'ORDENES'!$Y319=$H$3),'ORDENES'!$AF319=TRUE,'ORDENES'!$A319&lt;&gt;""),1,0)</f>
        <v/>
      </c>
      <c r="L323" s="5">
        <f>IF(K323=1,IFERROR(MATCH('ORDENES'!$S319,lista_dias,0),9)*1000000000+IFERROR(MATCH('ORDENES'!$AH319,lista_turnos,0),9)*10000000+IFERROR(MATCH('ORDENES'!$AG319,tblTecnicos[nombre],0),99)*100000+316,9000000000000+316)</f>
        <v/>
      </c>
      <c r="M323" s="5">
        <f>IF(K323=1,SUMPRODUCT(--($L$8:$L$1207&lt;L323))+1,"")</f>
        <v/>
      </c>
      <c r="N323" s="17">
        <f>IF(K323=1,N('ORDENES'!$M319),0)</f>
        <v/>
      </c>
      <c r="O323" s="17">
        <f>IF('ORDENES'!$U319="preventiva",N323,0)</f>
        <v/>
      </c>
      <c r="P323" s="17">
        <f>IF('ORDENES'!$U319="correctiva",N323,0)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22">
        <f>IF(K323=1,'ORDENES'!$J319,"")</f>
        <v/>
      </c>
    </row>
    <row r="324">
      <c r="K324" s="5">
        <f>IF(AND(IF($B$3="(todos)",TRUE,'ORDENES'!$O320=$B$3),IF($D$3="(todos)",TRUE,'ORDENES'!$AH320=$D$3),IF($F$3="(todos)",TRUE,'ORDENES'!$Z320=$F$3),IF($H$3="(todos)",TRUE,'ORDENES'!$Y320=$H$3),'ORDENES'!$AF320=TRUE,'ORDENES'!$A320&lt;&gt;""),1,0)</f>
        <v/>
      </c>
      <c r="L324" s="5">
        <f>IF(K324=1,IFERROR(MATCH('ORDENES'!$S320,lista_dias,0),9)*1000000000+IFERROR(MATCH('ORDENES'!$AH320,lista_turnos,0),9)*10000000+IFERROR(MATCH('ORDENES'!$AG320,tblTecnicos[nombre],0),99)*100000+317,9000000000000+317)</f>
        <v/>
      </c>
      <c r="M324" s="5">
        <f>IF(K324=1,SUMPRODUCT(--($L$8:$L$1207&lt;L324))+1,"")</f>
        <v/>
      </c>
      <c r="N324" s="17">
        <f>IF(K324=1,N('ORDENES'!$M320),0)</f>
        <v/>
      </c>
      <c r="O324" s="17">
        <f>IF('ORDENES'!$U320="preventiva",N324,0)</f>
        <v/>
      </c>
      <c r="P324" s="17">
        <f>IF('ORDENES'!$U320="correctiva",N324,0)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22">
        <f>IF(K324=1,'ORDENES'!$J320,"")</f>
        <v/>
      </c>
    </row>
    <row r="325">
      <c r="K325" s="5">
        <f>IF(AND(IF($B$3="(todos)",TRUE,'ORDENES'!$O321=$B$3),IF($D$3="(todos)",TRUE,'ORDENES'!$AH321=$D$3),IF($F$3="(todos)",TRUE,'ORDENES'!$Z321=$F$3),IF($H$3="(todos)",TRUE,'ORDENES'!$Y321=$H$3),'ORDENES'!$AF321=TRUE,'ORDENES'!$A321&lt;&gt;""),1,0)</f>
        <v/>
      </c>
      <c r="L325" s="5">
        <f>IF(K325=1,IFERROR(MATCH('ORDENES'!$S321,lista_dias,0),9)*1000000000+IFERROR(MATCH('ORDENES'!$AH321,lista_turnos,0),9)*10000000+IFERROR(MATCH('ORDENES'!$AG321,tblTecnicos[nombre],0),99)*100000+318,9000000000000+318)</f>
        <v/>
      </c>
      <c r="M325" s="5">
        <f>IF(K325=1,SUMPRODUCT(--($L$8:$L$1207&lt;L325))+1,"")</f>
        <v/>
      </c>
      <c r="N325" s="17">
        <f>IF(K325=1,N('ORDENES'!$M321),0)</f>
        <v/>
      </c>
      <c r="O325" s="17">
        <f>IF('ORDENES'!$U321="preventiva",N325,0)</f>
        <v/>
      </c>
      <c r="P325" s="17">
        <f>IF('ORDENES'!$U321="correctiva",N325,0)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22">
        <f>IF(K325=1,'ORDENES'!$J321,"")</f>
        <v/>
      </c>
    </row>
    <row r="326">
      <c r="K326" s="5">
        <f>IF(AND(IF($B$3="(todos)",TRUE,'ORDENES'!$O322=$B$3),IF($D$3="(todos)",TRUE,'ORDENES'!$AH322=$D$3),IF($F$3="(todos)",TRUE,'ORDENES'!$Z322=$F$3),IF($H$3="(todos)",TRUE,'ORDENES'!$Y322=$H$3),'ORDENES'!$AF322=TRUE,'ORDENES'!$A322&lt;&gt;""),1,0)</f>
        <v/>
      </c>
      <c r="L326" s="5">
        <f>IF(K326=1,IFERROR(MATCH('ORDENES'!$S322,lista_dias,0),9)*1000000000+IFERROR(MATCH('ORDENES'!$AH322,lista_turnos,0),9)*10000000+IFERROR(MATCH('ORDENES'!$AG322,tblTecnicos[nombre],0),99)*100000+319,9000000000000+319)</f>
        <v/>
      </c>
      <c r="M326" s="5">
        <f>IF(K326=1,SUMPRODUCT(--($L$8:$L$1207&lt;L326))+1,"")</f>
        <v/>
      </c>
      <c r="N326" s="17">
        <f>IF(K326=1,N('ORDENES'!$M322),0)</f>
        <v/>
      </c>
      <c r="O326" s="17">
        <f>IF('ORDENES'!$U322="preventiva",N326,0)</f>
        <v/>
      </c>
      <c r="P326" s="17">
        <f>IF('ORDENES'!$U322="correctiva",N326,0)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22">
        <f>IF(K326=1,'ORDENES'!$J322,"")</f>
        <v/>
      </c>
    </row>
    <row r="327">
      <c r="K327" s="5">
        <f>IF(AND(IF($B$3="(todos)",TRUE,'ORDENES'!$O323=$B$3),IF($D$3="(todos)",TRUE,'ORDENES'!$AH323=$D$3),IF($F$3="(todos)",TRUE,'ORDENES'!$Z323=$F$3),IF($H$3="(todos)",TRUE,'ORDENES'!$Y323=$H$3),'ORDENES'!$AF323=TRUE,'ORDENES'!$A323&lt;&gt;""),1,0)</f>
        <v/>
      </c>
      <c r="L327" s="5">
        <f>IF(K327=1,IFERROR(MATCH('ORDENES'!$S323,lista_dias,0),9)*1000000000+IFERROR(MATCH('ORDENES'!$AH323,lista_turnos,0),9)*10000000+IFERROR(MATCH('ORDENES'!$AG323,tblTecnicos[nombre],0),99)*100000+320,9000000000000+320)</f>
        <v/>
      </c>
      <c r="M327" s="5">
        <f>IF(K327=1,SUMPRODUCT(--($L$8:$L$1207&lt;L327))+1,"")</f>
        <v/>
      </c>
      <c r="N327" s="17">
        <f>IF(K327=1,N('ORDENES'!$M323),0)</f>
        <v/>
      </c>
      <c r="O327" s="17">
        <f>IF('ORDENES'!$U323="preventiva",N327,0)</f>
        <v/>
      </c>
      <c r="P327" s="17">
        <f>IF('ORDENES'!$U323="correctiva",N327,0)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22">
        <f>IF(K327=1,'ORDENES'!$J323,"")</f>
        <v/>
      </c>
    </row>
    <row r="328">
      <c r="K328" s="5">
        <f>IF(AND(IF($B$3="(todos)",TRUE,'ORDENES'!$O324=$B$3),IF($D$3="(todos)",TRUE,'ORDENES'!$AH324=$D$3),IF($F$3="(todos)",TRUE,'ORDENES'!$Z324=$F$3),IF($H$3="(todos)",TRUE,'ORDENES'!$Y324=$H$3),'ORDENES'!$AF324=TRUE,'ORDENES'!$A324&lt;&gt;""),1,0)</f>
        <v/>
      </c>
      <c r="L328" s="5">
        <f>IF(K328=1,IFERROR(MATCH('ORDENES'!$S324,lista_dias,0),9)*1000000000+IFERROR(MATCH('ORDENES'!$AH324,lista_turnos,0),9)*10000000+IFERROR(MATCH('ORDENES'!$AG324,tblTecnicos[nombre],0),99)*100000+321,9000000000000+321)</f>
        <v/>
      </c>
      <c r="M328" s="5">
        <f>IF(K328=1,SUMPRODUCT(--($L$8:$L$1207&lt;L328))+1,"")</f>
        <v/>
      </c>
      <c r="N328" s="17">
        <f>IF(K328=1,N('ORDENES'!$M324),0)</f>
        <v/>
      </c>
      <c r="O328" s="17">
        <f>IF('ORDENES'!$U324="preventiva",N328,0)</f>
        <v/>
      </c>
      <c r="P328" s="17">
        <f>IF('ORDENES'!$U324="correctiva",N328,0)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22">
        <f>IF(K328=1,'ORDENES'!$J324,"")</f>
        <v/>
      </c>
    </row>
    <row r="329">
      <c r="K329" s="5">
        <f>IF(AND(IF($B$3="(todos)",TRUE,'ORDENES'!$O325=$B$3),IF($D$3="(todos)",TRUE,'ORDENES'!$AH325=$D$3),IF($F$3="(todos)",TRUE,'ORDENES'!$Z325=$F$3),IF($H$3="(todos)",TRUE,'ORDENES'!$Y325=$H$3),'ORDENES'!$AF325=TRUE,'ORDENES'!$A325&lt;&gt;""),1,0)</f>
        <v/>
      </c>
      <c r="L329" s="5">
        <f>IF(K329=1,IFERROR(MATCH('ORDENES'!$S325,lista_dias,0),9)*1000000000+IFERROR(MATCH('ORDENES'!$AH325,lista_turnos,0),9)*10000000+IFERROR(MATCH('ORDENES'!$AG325,tblTecnicos[nombre],0),99)*100000+322,9000000000000+322)</f>
        <v/>
      </c>
      <c r="M329" s="5">
        <f>IF(K329=1,SUMPRODUCT(--($L$8:$L$1207&lt;L329))+1,"")</f>
        <v/>
      </c>
      <c r="N329" s="17">
        <f>IF(K329=1,N('ORDENES'!$M325),0)</f>
        <v/>
      </c>
      <c r="O329" s="17">
        <f>IF('ORDENES'!$U325="preventiva",N329,0)</f>
        <v/>
      </c>
      <c r="P329" s="17">
        <f>IF('ORDENES'!$U325="correctiva",N329,0)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22">
        <f>IF(K329=1,'ORDENES'!$J325,"")</f>
        <v/>
      </c>
    </row>
    <row r="330">
      <c r="K330" s="5">
        <f>IF(AND(IF($B$3="(todos)",TRUE,'ORDENES'!$O326=$B$3),IF($D$3="(todos)",TRUE,'ORDENES'!$AH326=$D$3),IF($F$3="(todos)",TRUE,'ORDENES'!$Z326=$F$3),IF($H$3="(todos)",TRUE,'ORDENES'!$Y326=$H$3),'ORDENES'!$AF326=TRUE,'ORDENES'!$A326&lt;&gt;""),1,0)</f>
        <v/>
      </c>
      <c r="L330" s="5">
        <f>IF(K330=1,IFERROR(MATCH('ORDENES'!$S326,lista_dias,0),9)*1000000000+IFERROR(MATCH('ORDENES'!$AH326,lista_turnos,0),9)*10000000+IFERROR(MATCH('ORDENES'!$AG326,tblTecnicos[nombre],0),99)*100000+323,9000000000000+323)</f>
        <v/>
      </c>
      <c r="M330" s="5">
        <f>IF(K330=1,SUMPRODUCT(--($L$8:$L$1207&lt;L330))+1,"")</f>
        <v/>
      </c>
      <c r="N330" s="17">
        <f>IF(K330=1,N('ORDENES'!$M326),0)</f>
        <v/>
      </c>
      <c r="O330" s="17">
        <f>IF('ORDENES'!$U326="preventiva",N330,0)</f>
        <v/>
      </c>
      <c r="P330" s="17">
        <f>IF('ORDENES'!$U326="correctiva",N330,0)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22">
        <f>IF(K330=1,'ORDENES'!$J326,"")</f>
        <v/>
      </c>
    </row>
    <row r="331">
      <c r="K331" s="5">
        <f>IF(AND(IF($B$3="(todos)",TRUE,'ORDENES'!$O327=$B$3),IF($D$3="(todos)",TRUE,'ORDENES'!$AH327=$D$3),IF($F$3="(todos)",TRUE,'ORDENES'!$Z327=$F$3),IF($H$3="(todos)",TRUE,'ORDENES'!$Y327=$H$3),'ORDENES'!$AF327=TRUE,'ORDENES'!$A327&lt;&gt;""),1,0)</f>
        <v/>
      </c>
      <c r="L331" s="5">
        <f>IF(K331=1,IFERROR(MATCH('ORDENES'!$S327,lista_dias,0),9)*1000000000+IFERROR(MATCH('ORDENES'!$AH327,lista_turnos,0),9)*10000000+IFERROR(MATCH('ORDENES'!$AG327,tblTecnicos[nombre],0),99)*100000+324,9000000000000+324)</f>
        <v/>
      </c>
      <c r="M331" s="5">
        <f>IF(K331=1,SUMPRODUCT(--($L$8:$L$1207&lt;L331))+1,"")</f>
        <v/>
      </c>
      <c r="N331" s="17">
        <f>IF(K331=1,N('ORDENES'!$M327),0)</f>
        <v/>
      </c>
      <c r="O331" s="17">
        <f>IF('ORDENES'!$U327="preventiva",N331,0)</f>
        <v/>
      </c>
      <c r="P331" s="17">
        <f>IF('ORDENES'!$U327="correctiva",N331,0)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22">
        <f>IF(K331=1,'ORDENES'!$J327,"")</f>
        <v/>
      </c>
    </row>
    <row r="332">
      <c r="K332" s="5">
        <f>IF(AND(IF($B$3="(todos)",TRUE,'ORDENES'!$O328=$B$3),IF($D$3="(todos)",TRUE,'ORDENES'!$AH328=$D$3),IF($F$3="(todos)",TRUE,'ORDENES'!$Z328=$F$3),IF($H$3="(todos)",TRUE,'ORDENES'!$Y328=$H$3),'ORDENES'!$AF328=TRUE,'ORDENES'!$A328&lt;&gt;""),1,0)</f>
        <v/>
      </c>
      <c r="L332" s="5">
        <f>IF(K332=1,IFERROR(MATCH('ORDENES'!$S328,lista_dias,0),9)*1000000000+IFERROR(MATCH('ORDENES'!$AH328,lista_turnos,0),9)*10000000+IFERROR(MATCH('ORDENES'!$AG328,tblTecnicos[nombre],0),99)*100000+325,9000000000000+325)</f>
        <v/>
      </c>
      <c r="M332" s="5">
        <f>IF(K332=1,SUMPRODUCT(--($L$8:$L$1207&lt;L332))+1,"")</f>
        <v/>
      </c>
      <c r="N332" s="17">
        <f>IF(K332=1,N('ORDENES'!$M328),0)</f>
        <v/>
      </c>
      <c r="O332" s="17">
        <f>IF('ORDENES'!$U328="preventiva",N332,0)</f>
        <v/>
      </c>
      <c r="P332" s="17">
        <f>IF('ORDENES'!$U328="correctiva",N332,0)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22">
        <f>IF(K332=1,'ORDENES'!$J328,"")</f>
        <v/>
      </c>
    </row>
    <row r="333">
      <c r="K333" s="5">
        <f>IF(AND(IF($B$3="(todos)",TRUE,'ORDENES'!$O329=$B$3),IF($D$3="(todos)",TRUE,'ORDENES'!$AH329=$D$3),IF($F$3="(todos)",TRUE,'ORDENES'!$Z329=$F$3),IF($H$3="(todos)",TRUE,'ORDENES'!$Y329=$H$3),'ORDENES'!$AF329=TRUE,'ORDENES'!$A329&lt;&gt;""),1,0)</f>
        <v/>
      </c>
      <c r="L333" s="5">
        <f>IF(K333=1,IFERROR(MATCH('ORDENES'!$S329,lista_dias,0),9)*1000000000+IFERROR(MATCH('ORDENES'!$AH329,lista_turnos,0),9)*10000000+IFERROR(MATCH('ORDENES'!$AG329,tblTecnicos[nombre],0),99)*100000+326,9000000000000+326)</f>
        <v/>
      </c>
      <c r="M333" s="5">
        <f>IF(K333=1,SUMPRODUCT(--($L$8:$L$1207&lt;L333))+1,"")</f>
        <v/>
      </c>
      <c r="N333" s="17">
        <f>IF(K333=1,N('ORDENES'!$M329),0)</f>
        <v/>
      </c>
      <c r="O333" s="17">
        <f>IF('ORDENES'!$U329="preventiva",N333,0)</f>
        <v/>
      </c>
      <c r="P333" s="17">
        <f>IF('ORDENES'!$U329="correctiva",N333,0)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22">
        <f>IF(K333=1,'ORDENES'!$J329,"")</f>
        <v/>
      </c>
    </row>
    <row r="334">
      <c r="K334" s="5">
        <f>IF(AND(IF($B$3="(todos)",TRUE,'ORDENES'!$O330=$B$3),IF($D$3="(todos)",TRUE,'ORDENES'!$AH330=$D$3),IF($F$3="(todos)",TRUE,'ORDENES'!$Z330=$F$3),IF($H$3="(todos)",TRUE,'ORDENES'!$Y330=$H$3),'ORDENES'!$AF330=TRUE,'ORDENES'!$A330&lt;&gt;""),1,0)</f>
        <v/>
      </c>
      <c r="L334" s="5">
        <f>IF(K334=1,IFERROR(MATCH('ORDENES'!$S330,lista_dias,0),9)*1000000000+IFERROR(MATCH('ORDENES'!$AH330,lista_turnos,0),9)*10000000+IFERROR(MATCH('ORDENES'!$AG330,tblTecnicos[nombre],0),99)*100000+327,9000000000000+327)</f>
        <v/>
      </c>
      <c r="M334" s="5">
        <f>IF(K334=1,SUMPRODUCT(--($L$8:$L$1207&lt;L334))+1,"")</f>
        <v/>
      </c>
      <c r="N334" s="17">
        <f>IF(K334=1,N('ORDENES'!$M330),0)</f>
        <v/>
      </c>
      <c r="O334" s="17">
        <f>IF('ORDENES'!$U330="preventiva",N334,0)</f>
        <v/>
      </c>
      <c r="P334" s="17">
        <f>IF('ORDENES'!$U330="correctiva",N334,0)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22">
        <f>IF(K334=1,'ORDENES'!$J330,"")</f>
        <v/>
      </c>
    </row>
    <row r="335">
      <c r="K335" s="5">
        <f>IF(AND(IF($B$3="(todos)",TRUE,'ORDENES'!$O331=$B$3),IF($D$3="(todos)",TRUE,'ORDENES'!$AH331=$D$3),IF($F$3="(todos)",TRUE,'ORDENES'!$Z331=$F$3),IF($H$3="(todos)",TRUE,'ORDENES'!$Y331=$H$3),'ORDENES'!$AF331=TRUE,'ORDENES'!$A331&lt;&gt;""),1,0)</f>
        <v/>
      </c>
      <c r="L335" s="5">
        <f>IF(K335=1,IFERROR(MATCH('ORDENES'!$S331,lista_dias,0),9)*1000000000+IFERROR(MATCH('ORDENES'!$AH331,lista_turnos,0),9)*10000000+IFERROR(MATCH('ORDENES'!$AG331,tblTecnicos[nombre],0),99)*100000+328,9000000000000+328)</f>
        <v/>
      </c>
      <c r="M335" s="5">
        <f>IF(K335=1,SUMPRODUCT(--($L$8:$L$1207&lt;L335))+1,"")</f>
        <v/>
      </c>
      <c r="N335" s="17">
        <f>IF(K335=1,N('ORDENES'!$M331),0)</f>
        <v/>
      </c>
      <c r="O335" s="17">
        <f>IF('ORDENES'!$U331="preventiva",N335,0)</f>
        <v/>
      </c>
      <c r="P335" s="17">
        <f>IF('ORDENES'!$U331="correctiva",N335,0)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22">
        <f>IF(K335=1,'ORDENES'!$J331,"")</f>
        <v/>
      </c>
    </row>
    <row r="336">
      <c r="K336" s="5">
        <f>IF(AND(IF($B$3="(todos)",TRUE,'ORDENES'!$O332=$B$3),IF($D$3="(todos)",TRUE,'ORDENES'!$AH332=$D$3),IF($F$3="(todos)",TRUE,'ORDENES'!$Z332=$F$3),IF($H$3="(todos)",TRUE,'ORDENES'!$Y332=$H$3),'ORDENES'!$AF332=TRUE,'ORDENES'!$A332&lt;&gt;""),1,0)</f>
        <v/>
      </c>
      <c r="L336" s="5">
        <f>IF(K336=1,IFERROR(MATCH('ORDENES'!$S332,lista_dias,0),9)*1000000000+IFERROR(MATCH('ORDENES'!$AH332,lista_turnos,0),9)*10000000+IFERROR(MATCH('ORDENES'!$AG332,tblTecnicos[nombre],0),99)*100000+329,9000000000000+329)</f>
        <v/>
      </c>
      <c r="M336" s="5">
        <f>IF(K336=1,SUMPRODUCT(--($L$8:$L$1207&lt;L336))+1,"")</f>
        <v/>
      </c>
      <c r="N336" s="17">
        <f>IF(K336=1,N('ORDENES'!$M332),0)</f>
        <v/>
      </c>
      <c r="O336" s="17">
        <f>IF('ORDENES'!$U332="preventiva",N336,0)</f>
        <v/>
      </c>
      <c r="P336" s="17">
        <f>IF('ORDENES'!$U332="correctiva",N336,0)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22">
        <f>IF(K336=1,'ORDENES'!$J332,"")</f>
        <v/>
      </c>
    </row>
    <row r="337">
      <c r="K337" s="5">
        <f>IF(AND(IF($B$3="(todos)",TRUE,'ORDENES'!$O333=$B$3),IF($D$3="(todos)",TRUE,'ORDENES'!$AH333=$D$3),IF($F$3="(todos)",TRUE,'ORDENES'!$Z333=$F$3),IF($H$3="(todos)",TRUE,'ORDENES'!$Y333=$H$3),'ORDENES'!$AF333=TRUE,'ORDENES'!$A333&lt;&gt;""),1,0)</f>
        <v/>
      </c>
      <c r="L337" s="5">
        <f>IF(K337=1,IFERROR(MATCH('ORDENES'!$S333,lista_dias,0),9)*1000000000+IFERROR(MATCH('ORDENES'!$AH333,lista_turnos,0),9)*10000000+IFERROR(MATCH('ORDENES'!$AG333,tblTecnicos[nombre],0),99)*100000+330,9000000000000+330)</f>
        <v/>
      </c>
      <c r="M337" s="5">
        <f>IF(K337=1,SUMPRODUCT(--($L$8:$L$1207&lt;L337))+1,"")</f>
        <v/>
      </c>
      <c r="N337" s="17">
        <f>IF(K337=1,N('ORDENES'!$M333),0)</f>
        <v/>
      </c>
      <c r="O337" s="17">
        <f>IF('ORDENES'!$U333="preventiva",N337,0)</f>
        <v/>
      </c>
      <c r="P337" s="17">
        <f>IF('ORDENES'!$U333="correctiva",N337,0)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22">
        <f>IF(K337=1,'ORDENES'!$J333,"")</f>
        <v/>
      </c>
    </row>
    <row r="338">
      <c r="K338" s="5">
        <f>IF(AND(IF($B$3="(todos)",TRUE,'ORDENES'!$O334=$B$3),IF($D$3="(todos)",TRUE,'ORDENES'!$AH334=$D$3),IF($F$3="(todos)",TRUE,'ORDENES'!$Z334=$F$3),IF($H$3="(todos)",TRUE,'ORDENES'!$Y334=$H$3),'ORDENES'!$AF334=TRUE,'ORDENES'!$A334&lt;&gt;""),1,0)</f>
        <v/>
      </c>
      <c r="L338" s="5">
        <f>IF(K338=1,IFERROR(MATCH('ORDENES'!$S334,lista_dias,0),9)*1000000000+IFERROR(MATCH('ORDENES'!$AH334,lista_turnos,0),9)*10000000+IFERROR(MATCH('ORDENES'!$AG334,tblTecnicos[nombre],0),99)*100000+331,9000000000000+331)</f>
        <v/>
      </c>
      <c r="M338" s="5">
        <f>IF(K338=1,SUMPRODUCT(--($L$8:$L$1207&lt;L338))+1,"")</f>
        <v/>
      </c>
      <c r="N338" s="17">
        <f>IF(K338=1,N('ORDENES'!$M334),0)</f>
        <v/>
      </c>
      <c r="O338" s="17">
        <f>IF('ORDENES'!$U334="preventiva",N338,0)</f>
        <v/>
      </c>
      <c r="P338" s="17">
        <f>IF('ORDENES'!$U334="correctiva",N338,0)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22">
        <f>IF(K338=1,'ORDENES'!$J334,"")</f>
        <v/>
      </c>
    </row>
    <row r="339">
      <c r="K339" s="5">
        <f>IF(AND(IF($B$3="(todos)",TRUE,'ORDENES'!$O335=$B$3),IF($D$3="(todos)",TRUE,'ORDENES'!$AH335=$D$3),IF($F$3="(todos)",TRUE,'ORDENES'!$Z335=$F$3),IF($H$3="(todos)",TRUE,'ORDENES'!$Y335=$H$3),'ORDENES'!$AF335=TRUE,'ORDENES'!$A335&lt;&gt;""),1,0)</f>
        <v/>
      </c>
      <c r="L339" s="5">
        <f>IF(K339=1,IFERROR(MATCH('ORDENES'!$S335,lista_dias,0),9)*1000000000+IFERROR(MATCH('ORDENES'!$AH335,lista_turnos,0),9)*10000000+IFERROR(MATCH('ORDENES'!$AG335,tblTecnicos[nombre],0),99)*100000+332,9000000000000+332)</f>
        <v/>
      </c>
      <c r="M339" s="5">
        <f>IF(K339=1,SUMPRODUCT(--($L$8:$L$1207&lt;L339))+1,"")</f>
        <v/>
      </c>
      <c r="N339" s="17">
        <f>IF(K339=1,N('ORDENES'!$M335),0)</f>
        <v/>
      </c>
      <c r="O339" s="17">
        <f>IF('ORDENES'!$U335="preventiva",N339,0)</f>
        <v/>
      </c>
      <c r="P339" s="17">
        <f>IF('ORDENES'!$U335="correctiva",N339,0)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22">
        <f>IF(K339=1,'ORDENES'!$J335,"")</f>
        <v/>
      </c>
    </row>
    <row r="340">
      <c r="K340" s="5">
        <f>IF(AND(IF($B$3="(todos)",TRUE,'ORDENES'!$O336=$B$3),IF($D$3="(todos)",TRUE,'ORDENES'!$AH336=$D$3),IF($F$3="(todos)",TRUE,'ORDENES'!$Z336=$F$3),IF($H$3="(todos)",TRUE,'ORDENES'!$Y336=$H$3),'ORDENES'!$AF336=TRUE,'ORDENES'!$A336&lt;&gt;""),1,0)</f>
        <v/>
      </c>
      <c r="L340" s="5">
        <f>IF(K340=1,IFERROR(MATCH('ORDENES'!$S336,lista_dias,0),9)*1000000000+IFERROR(MATCH('ORDENES'!$AH336,lista_turnos,0),9)*10000000+IFERROR(MATCH('ORDENES'!$AG336,tblTecnicos[nombre],0),99)*100000+333,9000000000000+333)</f>
        <v/>
      </c>
      <c r="M340" s="5">
        <f>IF(K340=1,SUMPRODUCT(--($L$8:$L$1207&lt;L340))+1,"")</f>
        <v/>
      </c>
      <c r="N340" s="17">
        <f>IF(K340=1,N('ORDENES'!$M336),0)</f>
        <v/>
      </c>
      <c r="O340" s="17">
        <f>IF('ORDENES'!$U336="preventiva",N340,0)</f>
        <v/>
      </c>
      <c r="P340" s="17">
        <f>IF('ORDENES'!$U336="correctiva",N340,0)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22">
        <f>IF(K340=1,'ORDENES'!$J336,"")</f>
        <v/>
      </c>
    </row>
    <row r="341">
      <c r="K341" s="5">
        <f>IF(AND(IF($B$3="(todos)",TRUE,'ORDENES'!$O337=$B$3),IF($D$3="(todos)",TRUE,'ORDENES'!$AH337=$D$3),IF($F$3="(todos)",TRUE,'ORDENES'!$Z337=$F$3),IF($H$3="(todos)",TRUE,'ORDENES'!$Y337=$H$3),'ORDENES'!$AF337=TRUE,'ORDENES'!$A337&lt;&gt;""),1,0)</f>
        <v/>
      </c>
      <c r="L341" s="5">
        <f>IF(K341=1,IFERROR(MATCH('ORDENES'!$S337,lista_dias,0),9)*1000000000+IFERROR(MATCH('ORDENES'!$AH337,lista_turnos,0),9)*10000000+IFERROR(MATCH('ORDENES'!$AG337,tblTecnicos[nombre],0),99)*100000+334,9000000000000+334)</f>
        <v/>
      </c>
      <c r="M341" s="5">
        <f>IF(K341=1,SUMPRODUCT(--($L$8:$L$1207&lt;L341))+1,"")</f>
        <v/>
      </c>
      <c r="N341" s="17">
        <f>IF(K341=1,N('ORDENES'!$M337),0)</f>
        <v/>
      </c>
      <c r="O341" s="17">
        <f>IF('ORDENES'!$U337="preventiva",N341,0)</f>
        <v/>
      </c>
      <c r="P341" s="17">
        <f>IF('ORDENES'!$U337="correctiva",N341,0)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22">
        <f>IF(K341=1,'ORDENES'!$J337,"")</f>
        <v/>
      </c>
    </row>
    <row r="342">
      <c r="K342" s="5">
        <f>IF(AND(IF($B$3="(todos)",TRUE,'ORDENES'!$O338=$B$3),IF($D$3="(todos)",TRUE,'ORDENES'!$AH338=$D$3),IF($F$3="(todos)",TRUE,'ORDENES'!$Z338=$F$3),IF($H$3="(todos)",TRUE,'ORDENES'!$Y338=$H$3),'ORDENES'!$AF338=TRUE,'ORDENES'!$A338&lt;&gt;""),1,0)</f>
        <v/>
      </c>
      <c r="L342" s="5">
        <f>IF(K342=1,IFERROR(MATCH('ORDENES'!$S338,lista_dias,0),9)*1000000000+IFERROR(MATCH('ORDENES'!$AH338,lista_turnos,0),9)*10000000+IFERROR(MATCH('ORDENES'!$AG338,tblTecnicos[nombre],0),99)*100000+335,9000000000000+335)</f>
        <v/>
      </c>
      <c r="M342" s="5">
        <f>IF(K342=1,SUMPRODUCT(--($L$8:$L$1207&lt;L342))+1,"")</f>
        <v/>
      </c>
      <c r="N342" s="17">
        <f>IF(K342=1,N('ORDENES'!$M338),0)</f>
        <v/>
      </c>
      <c r="O342" s="17">
        <f>IF('ORDENES'!$U338="preventiva",N342,0)</f>
        <v/>
      </c>
      <c r="P342" s="17">
        <f>IF('ORDENES'!$U338="correctiva",N342,0)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22">
        <f>IF(K342=1,'ORDENES'!$J338,"")</f>
        <v/>
      </c>
    </row>
    <row r="343">
      <c r="K343" s="5">
        <f>IF(AND(IF($B$3="(todos)",TRUE,'ORDENES'!$O339=$B$3),IF($D$3="(todos)",TRUE,'ORDENES'!$AH339=$D$3),IF($F$3="(todos)",TRUE,'ORDENES'!$Z339=$F$3),IF($H$3="(todos)",TRUE,'ORDENES'!$Y339=$H$3),'ORDENES'!$AF339=TRUE,'ORDENES'!$A339&lt;&gt;""),1,0)</f>
        <v/>
      </c>
      <c r="L343" s="5">
        <f>IF(K343=1,IFERROR(MATCH('ORDENES'!$S339,lista_dias,0),9)*1000000000+IFERROR(MATCH('ORDENES'!$AH339,lista_turnos,0),9)*10000000+IFERROR(MATCH('ORDENES'!$AG339,tblTecnicos[nombre],0),99)*100000+336,9000000000000+336)</f>
        <v/>
      </c>
      <c r="M343" s="5">
        <f>IF(K343=1,SUMPRODUCT(--($L$8:$L$1207&lt;L343))+1,"")</f>
        <v/>
      </c>
      <c r="N343" s="17">
        <f>IF(K343=1,N('ORDENES'!$M339),0)</f>
        <v/>
      </c>
      <c r="O343" s="17">
        <f>IF('ORDENES'!$U339="preventiva",N343,0)</f>
        <v/>
      </c>
      <c r="P343" s="17">
        <f>IF('ORDENES'!$U339="correctiva",N343,0)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22">
        <f>IF(K343=1,'ORDENES'!$J339,"")</f>
        <v/>
      </c>
    </row>
    <row r="344">
      <c r="K344" s="5">
        <f>IF(AND(IF($B$3="(todos)",TRUE,'ORDENES'!$O340=$B$3),IF($D$3="(todos)",TRUE,'ORDENES'!$AH340=$D$3),IF($F$3="(todos)",TRUE,'ORDENES'!$Z340=$F$3),IF($H$3="(todos)",TRUE,'ORDENES'!$Y340=$H$3),'ORDENES'!$AF340=TRUE,'ORDENES'!$A340&lt;&gt;""),1,0)</f>
        <v/>
      </c>
      <c r="L344" s="5">
        <f>IF(K344=1,IFERROR(MATCH('ORDENES'!$S340,lista_dias,0),9)*1000000000+IFERROR(MATCH('ORDENES'!$AH340,lista_turnos,0),9)*10000000+IFERROR(MATCH('ORDENES'!$AG340,tblTecnicos[nombre],0),99)*100000+337,9000000000000+337)</f>
        <v/>
      </c>
      <c r="M344" s="5">
        <f>IF(K344=1,SUMPRODUCT(--($L$8:$L$1207&lt;L344))+1,"")</f>
        <v/>
      </c>
      <c r="N344" s="17">
        <f>IF(K344=1,N('ORDENES'!$M340),0)</f>
        <v/>
      </c>
      <c r="O344" s="17">
        <f>IF('ORDENES'!$U340="preventiva",N344,0)</f>
        <v/>
      </c>
      <c r="P344" s="17">
        <f>IF('ORDENES'!$U340="correctiva",N344,0)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22">
        <f>IF(K344=1,'ORDENES'!$J340,"")</f>
        <v/>
      </c>
    </row>
    <row r="345">
      <c r="K345" s="5">
        <f>IF(AND(IF($B$3="(todos)",TRUE,'ORDENES'!$O341=$B$3),IF($D$3="(todos)",TRUE,'ORDENES'!$AH341=$D$3),IF($F$3="(todos)",TRUE,'ORDENES'!$Z341=$F$3),IF($H$3="(todos)",TRUE,'ORDENES'!$Y341=$H$3),'ORDENES'!$AF341=TRUE,'ORDENES'!$A341&lt;&gt;""),1,0)</f>
        <v/>
      </c>
      <c r="L345" s="5">
        <f>IF(K345=1,IFERROR(MATCH('ORDENES'!$S341,lista_dias,0),9)*1000000000+IFERROR(MATCH('ORDENES'!$AH341,lista_turnos,0),9)*10000000+IFERROR(MATCH('ORDENES'!$AG341,tblTecnicos[nombre],0),99)*100000+338,9000000000000+338)</f>
        <v/>
      </c>
      <c r="M345" s="5">
        <f>IF(K345=1,SUMPRODUCT(--($L$8:$L$1207&lt;L345))+1,"")</f>
        <v/>
      </c>
      <c r="N345" s="17">
        <f>IF(K345=1,N('ORDENES'!$M341),0)</f>
        <v/>
      </c>
      <c r="O345" s="17">
        <f>IF('ORDENES'!$U341="preventiva",N345,0)</f>
        <v/>
      </c>
      <c r="P345" s="17">
        <f>IF('ORDENES'!$U341="correctiva",N345,0)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22">
        <f>IF(K345=1,'ORDENES'!$J341,"")</f>
        <v/>
      </c>
    </row>
    <row r="346">
      <c r="K346" s="5">
        <f>IF(AND(IF($B$3="(todos)",TRUE,'ORDENES'!$O342=$B$3),IF($D$3="(todos)",TRUE,'ORDENES'!$AH342=$D$3),IF($F$3="(todos)",TRUE,'ORDENES'!$Z342=$F$3),IF($H$3="(todos)",TRUE,'ORDENES'!$Y342=$H$3),'ORDENES'!$AF342=TRUE,'ORDENES'!$A342&lt;&gt;""),1,0)</f>
        <v/>
      </c>
      <c r="L346" s="5">
        <f>IF(K346=1,IFERROR(MATCH('ORDENES'!$S342,lista_dias,0),9)*1000000000+IFERROR(MATCH('ORDENES'!$AH342,lista_turnos,0),9)*10000000+IFERROR(MATCH('ORDENES'!$AG342,tblTecnicos[nombre],0),99)*100000+339,9000000000000+339)</f>
        <v/>
      </c>
      <c r="M346" s="5">
        <f>IF(K346=1,SUMPRODUCT(--($L$8:$L$1207&lt;L346))+1,"")</f>
        <v/>
      </c>
      <c r="N346" s="17">
        <f>IF(K346=1,N('ORDENES'!$M342),0)</f>
        <v/>
      </c>
      <c r="O346" s="17">
        <f>IF('ORDENES'!$U342="preventiva",N346,0)</f>
        <v/>
      </c>
      <c r="P346" s="17">
        <f>IF('ORDENES'!$U342="correctiva",N346,0)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22">
        <f>IF(K346=1,'ORDENES'!$J342,"")</f>
        <v/>
      </c>
    </row>
    <row r="347">
      <c r="K347" s="5">
        <f>IF(AND(IF($B$3="(todos)",TRUE,'ORDENES'!$O343=$B$3),IF($D$3="(todos)",TRUE,'ORDENES'!$AH343=$D$3),IF($F$3="(todos)",TRUE,'ORDENES'!$Z343=$F$3),IF($H$3="(todos)",TRUE,'ORDENES'!$Y343=$H$3),'ORDENES'!$AF343=TRUE,'ORDENES'!$A343&lt;&gt;""),1,0)</f>
        <v/>
      </c>
      <c r="L347" s="5">
        <f>IF(K347=1,IFERROR(MATCH('ORDENES'!$S343,lista_dias,0),9)*1000000000+IFERROR(MATCH('ORDENES'!$AH343,lista_turnos,0),9)*10000000+IFERROR(MATCH('ORDENES'!$AG343,tblTecnicos[nombre],0),99)*100000+340,9000000000000+340)</f>
        <v/>
      </c>
      <c r="M347" s="5">
        <f>IF(K347=1,SUMPRODUCT(--($L$8:$L$1207&lt;L347))+1,"")</f>
        <v/>
      </c>
      <c r="N347" s="17">
        <f>IF(K347=1,N('ORDENES'!$M343),0)</f>
        <v/>
      </c>
      <c r="O347" s="17">
        <f>IF('ORDENES'!$U343="preventiva",N347,0)</f>
        <v/>
      </c>
      <c r="P347" s="17">
        <f>IF('ORDENES'!$U343="correctiva",N347,0)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22">
        <f>IF(K347=1,'ORDENES'!$J343,"")</f>
        <v/>
      </c>
    </row>
    <row r="348">
      <c r="K348" s="5">
        <f>IF(AND(IF($B$3="(todos)",TRUE,'ORDENES'!$O344=$B$3),IF($D$3="(todos)",TRUE,'ORDENES'!$AH344=$D$3),IF($F$3="(todos)",TRUE,'ORDENES'!$Z344=$F$3),IF($H$3="(todos)",TRUE,'ORDENES'!$Y344=$H$3),'ORDENES'!$AF344=TRUE,'ORDENES'!$A344&lt;&gt;""),1,0)</f>
        <v/>
      </c>
      <c r="L348" s="5">
        <f>IF(K348=1,IFERROR(MATCH('ORDENES'!$S344,lista_dias,0),9)*1000000000+IFERROR(MATCH('ORDENES'!$AH344,lista_turnos,0),9)*10000000+IFERROR(MATCH('ORDENES'!$AG344,tblTecnicos[nombre],0),99)*100000+341,9000000000000+341)</f>
        <v/>
      </c>
      <c r="M348" s="5">
        <f>IF(K348=1,SUMPRODUCT(--($L$8:$L$1207&lt;L348))+1,"")</f>
        <v/>
      </c>
      <c r="N348" s="17">
        <f>IF(K348=1,N('ORDENES'!$M344),0)</f>
        <v/>
      </c>
      <c r="O348" s="17">
        <f>IF('ORDENES'!$U344="preventiva",N348,0)</f>
        <v/>
      </c>
      <c r="P348" s="17">
        <f>IF('ORDENES'!$U344="correctiva",N348,0)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22">
        <f>IF(K348=1,'ORDENES'!$J344,"")</f>
        <v/>
      </c>
    </row>
    <row r="349">
      <c r="K349" s="5">
        <f>IF(AND(IF($B$3="(todos)",TRUE,'ORDENES'!$O345=$B$3),IF($D$3="(todos)",TRUE,'ORDENES'!$AH345=$D$3),IF($F$3="(todos)",TRUE,'ORDENES'!$Z345=$F$3),IF($H$3="(todos)",TRUE,'ORDENES'!$Y345=$H$3),'ORDENES'!$AF345=TRUE,'ORDENES'!$A345&lt;&gt;""),1,0)</f>
        <v/>
      </c>
      <c r="L349" s="5">
        <f>IF(K349=1,IFERROR(MATCH('ORDENES'!$S345,lista_dias,0),9)*1000000000+IFERROR(MATCH('ORDENES'!$AH345,lista_turnos,0),9)*10000000+IFERROR(MATCH('ORDENES'!$AG345,tblTecnicos[nombre],0),99)*100000+342,9000000000000+342)</f>
        <v/>
      </c>
      <c r="M349" s="5">
        <f>IF(K349=1,SUMPRODUCT(--($L$8:$L$1207&lt;L349))+1,"")</f>
        <v/>
      </c>
      <c r="N349" s="17">
        <f>IF(K349=1,N('ORDENES'!$M345),0)</f>
        <v/>
      </c>
      <c r="O349" s="17">
        <f>IF('ORDENES'!$U345="preventiva",N349,0)</f>
        <v/>
      </c>
      <c r="P349" s="17">
        <f>IF('ORDENES'!$U345="correctiva",N349,0)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22">
        <f>IF(K349=1,'ORDENES'!$J345,"")</f>
        <v/>
      </c>
    </row>
    <row r="350">
      <c r="K350" s="5">
        <f>IF(AND(IF($B$3="(todos)",TRUE,'ORDENES'!$O346=$B$3),IF($D$3="(todos)",TRUE,'ORDENES'!$AH346=$D$3),IF($F$3="(todos)",TRUE,'ORDENES'!$Z346=$F$3),IF($H$3="(todos)",TRUE,'ORDENES'!$Y346=$H$3),'ORDENES'!$AF346=TRUE,'ORDENES'!$A346&lt;&gt;""),1,0)</f>
        <v/>
      </c>
      <c r="L350" s="5">
        <f>IF(K350=1,IFERROR(MATCH('ORDENES'!$S346,lista_dias,0),9)*1000000000+IFERROR(MATCH('ORDENES'!$AH346,lista_turnos,0),9)*10000000+IFERROR(MATCH('ORDENES'!$AG346,tblTecnicos[nombre],0),99)*100000+343,9000000000000+343)</f>
        <v/>
      </c>
      <c r="M350" s="5">
        <f>IF(K350=1,SUMPRODUCT(--($L$8:$L$1207&lt;L350))+1,"")</f>
        <v/>
      </c>
      <c r="N350" s="17">
        <f>IF(K350=1,N('ORDENES'!$M346),0)</f>
        <v/>
      </c>
      <c r="O350" s="17">
        <f>IF('ORDENES'!$U346="preventiva",N350,0)</f>
        <v/>
      </c>
      <c r="P350" s="17">
        <f>IF('ORDENES'!$U346="correctiva",N350,0)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22">
        <f>IF(K350=1,'ORDENES'!$J346,"")</f>
        <v/>
      </c>
    </row>
    <row r="351">
      <c r="K351" s="5">
        <f>IF(AND(IF($B$3="(todos)",TRUE,'ORDENES'!$O347=$B$3),IF($D$3="(todos)",TRUE,'ORDENES'!$AH347=$D$3),IF($F$3="(todos)",TRUE,'ORDENES'!$Z347=$F$3),IF($H$3="(todos)",TRUE,'ORDENES'!$Y347=$H$3),'ORDENES'!$AF347=TRUE,'ORDENES'!$A347&lt;&gt;""),1,0)</f>
        <v/>
      </c>
      <c r="L351" s="5">
        <f>IF(K351=1,IFERROR(MATCH('ORDENES'!$S347,lista_dias,0),9)*1000000000+IFERROR(MATCH('ORDENES'!$AH347,lista_turnos,0),9)*10000000+IFERROR(MATCH('ORDENES'!$AG347,tblTecnicos[nombre],0),99)*100000+344,9000000000000+344)</f>
        <v/>
      </c>
      <c r="M351" s="5">
        <f>IF(K351=1,SUMPRODUCT(--($L$8:$L$1207&lt;L351))+1,"")</f>
        <v/>
      </c>
      <c r="N351" s="17">
        <f>IF(K351=1,N('ORDENES'!$M347),0)</f>
        <v/>
      </c>
      <c r="O351" s="17">
        <f>IF('ORDENES'!$U347="preventiva",N351,0)</f>
        <v/>
      </c>
      <c r="P351" s="17">
        <f>IF('ORDENES'!$U347="correctiva",N351,0)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22">
        <f>IF(K351=1,'ORDENES'!$J347,"")</f>
        <v/>
      </c>
    </row>
    <row r="352">
      <c r="K352" s="5">
        <f>IF(AND(IF($B$3="(todos)",TRUE,'ORDENES'!$O348=$B$3),IF($D$3="(todos)",TRUE,'ORDENES'!$AH348=$D$3),IF($F$3="(todos)",TRUE,'ORDENES'!$Z348=$F$3),IF($H$3="(todos)",TRUE,'ORDENES'!$Y348=$H$3),'ORDENES'!$AF348=TRUE,'ORDENES'!$A348&lt;&gt;""),1,0)</f>
        <v/>
      </c>
      <c r="L352" s="5">
        <f>IF(K352=1,IFERROR(MATCH('ORDENES'!$S348,lista_dias,0),9)*1000000000+IFERROR(MATCH('ORDENES'!$AH348,lista_turnos,0),9)*10000000+IFERROR(MATCH('ORDENES'!$AG348,tblTecnicos[nombre],0),99)*100000+345,9000000000000+345)</f>
        <v/>
      </c>
      <c r="M352" s="5">
        <f>IF(K352=1,SUMPRODUCT(--($L$8:$L$1207&lt;L352))+1,"")</f>
        <v/>
      </c>
      <c r="N352" s="17">
        <f>IF(K352=1,N('ORDENES'!$M348),0)</f>
        <v/>
      </c>
      <c r="O352" s="17">
        <f>IF('ORDENES'!$U348="preventiva",N352,0)</f>
        <v/>
      </c>
      <c r="P352" s="17">
        <f>IF('ORDENES'!$U348="correctiva",N352,0)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22">
        <f>IF(K352=1,'ORDENES'!$J348,"")</f>
        <v/>
      </c>
    </row>
    <row r="353">
      <c r="K353" s="5">
        <f>IF(AND(IF($B$3="(todos)",TRUE,'ORDENES'!$O349=$B$3),IF($D$3="(todos)",TRUE,'ORDENES'!$AH349=$D$3),IF($F$3="(todos)",TRUE,'ORDENES'!$Z349=$F$3),IF($H$3="(todos)",TRUE,'ORDENES'!$Y349=$H$3),'ORDENES'!$AF349=TRUE,'ORDENES'!$A349&lt;&gt;""),1,0)</f>
        <v/>
      </c>
      <c r="L353" s="5">
        <f>IF(K353=1,IFERROR(MATCH('ORDENES'!$S349,lista_dias,0),9)*1000000000+IFERROR(MATCH('ORDENES'!$AH349,lista_turnos,0),9)*10000000+IFERROR(MATCH('ORDENES'!$AG349,tblTecnicos[nombre],0),99)*100000+346,9000000000000+346)</f>
        <v/>
      </c>
      <c r="M353" s="5">
        <f>IF(K353=1,SUMPRODUCT(--($L$8:$L$1207&lt;L353))+1,"")</f>
        <v/>
      </c>
      <c r="N353" s="17">
        <f>IF(K353=1,N('ORDENES'!$M349),0)</f>
        <v/>
      </c>
      <c r="O353" s="17">
        <f>IF('ORDENES'!$U349="preventiva",N353,0)</f>
        <v/>
      </c>
      <c r="P353" s="17">
        <f>IF('ORDENES'!$U349="correctiva",N353,0)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22">
        <f>IF(K353=1,'ORDENES'!$J349,"")</f>
        <v/>
      </c>
    </row>
    <row r="354">
      <c r="K354" s="5">
        <f>IF(AND(IF($B$3="(todos)",TRUE,'ORDENES'!$O350=$B$3),IF($D$3="(todos)",TRUE,'ORDENES'!$AH350=$D$3),IF($F$3="(todos)",TRUE,'ORDENES'!$Z350=$F$3),IF($H$3="(todos)",TRUE,'ORDENES'!$Y350=$H$3),'ORDENES'!$AF350=TRUE,'ORDENES'!$A350&lt;&gt;""),1,0)</f>
        <v/>
      </c>
      <c r="L354" s="5">
        <f>IF(K354=1,IFERROR(MATCH('ORDENES'!$S350,lista_dias,0),9)*1000000000+IFERROR(MATCH('ORDENES'!$AH350,lista_turnos,0),9)*10000000+IFERROR(MATCH('ORDENES'!$AG350,tblTecnicos[nombre],0),99)*100000+347,9000000000000+347)</f>
        <v/>
      </c>
      <c r="M354" s="5">
        <f>IF(K354=1,SUMPRODUCT(--($L$8:$L$1207&lt;L354))+1,"")</f>
        <v/>
      </c>
      <c r="N354" s="17">
        <f>IF(K354=1,N('ORDENES'!$M350),0)</f>
        <v/>
      </c>
      <c r="O354" s="17">
        <f>IF('ORDENES'!$U350="preventiva",N354,0)</f>
        <v/>
      </c>
      <c r="P354" s="17">
        <f>IF('ORDENES'!$U350="correctiva",N354,0)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22">
        <f>IF(K354=1,'ORDENES'!$J350,"")</f>
        <v/>
      </c>
    </row>
    <row r="355">
      <c r="K355" s="5">
        <f>IF(AND(IF($B$3="(todos)",TRUE,'ORDENES'!$O351=$B$3),IF($D$3="(todos)",TRUE,'ORDENES'!$AH351=$D$3),IF($F$3="(todos)",TRUE,'ORDENES'!$Z351=$F$3),IF($H$3="(todos)",TRUE,'ORDENES'!$Y351=$H$3),'ORDENES'!$AF351=TRUE,'ORDENES'!$A351&lt;&gt;""),1,0)</f>
        <v/>
      </c>
      <c r="L355" s="5">
        <f>IF(K355=1,IFERROR(MATCH('ORDENES'!$S351,lista_dias,0),9)*1000000000+IFERROR(MATCH('ORDENES'!$AH351,lista_turnos,0),9)*10000000+IFERROR(MATCH('ORDENES'!$AG351,tblTecnicos[nombre],0),99)*100000+348,9000000000000+348)</f>
        <v/>
      </c>
      <c r="M355" s="5">
        <f>IF(K355=1,SUMPRODUCT(--($L$8:$L$1207&lt;L355))+1,"")</f>
        <v/>
      </c>
      <c r="N355" s="17">
        <f>IF(K355=1,N('ORDENES'!$M351),0)</f>
        <v/>
      </c>
      <c r="O355" s="17">
        <f>IF('ORDENES'!$U351="preventiva",N355,0)</f>
        <v/>
      </c>
      <c r="P355" s="17">
        <f>IF('ORDENES'!$U351="correctiva",N355,0)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22">
        <f>IF(K355=1,'ORDENES'!$J351,"")</f>
        <v/>
      </c>
    </row>
    <row r="356">
      <c r="K356" s="5">
        <f>IF(AND(IF($B$3="(todos)",TRUE,'ORDENES'!$O352=$B$3),IF($D$3="(todos)",TRUE,'ORDENES'!$AH352=$D$3),IF($F$3="(todos)",TRUE,'ORDENES'!$Z352=$F$3),IF($H$3="(todos)",TRUE,'ORDENES'!$Y352=$H$3),'ORDENES'!$AF352=TRUE,'ORDENES'!$A352&lt;&gt;""),1,0)</f>
        <v/>
      </c>
      <c r="L356" s="5">
        <f>IF(K356=1,IFERROR(MATCH('ORDENES'!$S352,lista_dias,0),9)*1000000000+IFERROR(MATCH('ORDENES'!$AH352,lista_turnos,0),9)*10000000+IFERROR(MATCH('ORDENES'!$AG352,tblTecnicos[nombre],0),99)*100000+349,9000000000000+349)</f>
        <v/>
      </c>
      <c r="M356" s="5">
        <f>IF(K356=1,SUMPRODUCT(--($L$8:$L$1207&lt;L356))+1,"")</f>
        <v/>
      </c>
      <c r="N356" s="17">
        <f>IF(K356=1,N('ORDENES'!$M352),0)</f>
        <v/>
      </c>
      <c r="O356" s="17">
        <f>IF('ORDENES'!$U352="preventiva",N356,0)</f>
        <v/>
      </c>
      <c r="P356" s="17">
        <f>IF('ORDENES'!$U352="correctiva",N356,0)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22">
        <f>IF(K356=1,'ORDENES'!$J352,"")</f>
        <v/>
      </c>
    </row>
    <row r="357">
      <c r="K357" s="5">
        <f>IF(AND(IF($B$3="(todos)",TRUE,'ORDENES'!$O353=$B$3),IF($D$3="(todos)",TRUE,'ORDENES'!$AH353=$D$3),IF($F$3="(todos)",TRUE,'ORDENES'!$Z353=$F$3),IF($H$3="(todos)",TRUE,'ORDENES'!$Y353=$H$3),'ORDENES'!$AF353=TRUE,'ORDENES'!$A353&lt;&gt;""),1,0)</f>
        <v/>
      </c>
      <c r="L357" s="5">
        <f>IF(K357=1,IFERROR(MATCH('ORDENES'!$S353,lista_dias,0),9)*1000000000+IFERROR(MATCH('ORDENES'!$AH353,lista_turnos,0),9)*10000000+IFERROR(MATCH('ORDENES'!$AG353,tblTecnicos[nombre],0),99)*100000+350,9000000000000+350)</f>
        <v/>
      </c>
      <c r="M357" s="5">
        <f>IF(K357=1,SUMPRODUCT(--($L$8:$L$1207&lt;L357))+1,"")</f>
        <v/>
      </c>
      <c r="N357" s="17">
        <f>IF(K357=1,N('ORDENES'!$M353),0)</f>
        <v/>
      </c>
      <c r="O357" s="17">
        <f>IF('ORDENES'!$U353="preventiva",N357,0)</f>
        <v/>
      </c>
      <c r="P357" s="17">
        <f>IF('ORDENES'!$U353="correctiva",N357,0)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22">
        <f>IF(K357=1,'ORDENES'!$J353,"")</f>
        <v/>
      </c>
    </row>
    <row r="358">
      <c r="K358" s="5">
        <f>IF(AND(IF($B$3="(todos)",TRUE,'ORDENES'!$O354=$B$3),IF($D$3="(todos)",TRUE,'ORDENES'!$AH354=$D$3),IF($F$3="(todos)",TRUE,'ORDENES'!$Z354=$F$3),IF($H$3="(todos)",TRUE,'ORDENES'!$Y354=$H$3),'ORDENES'!$AF354=TRUE,'ORDENES'!$A354&lt;&gt;""),1,0)</f>
        <v/>
      </c>
      <c r="L358" s="5">
        <f>IF(K358=1,IFERROR(MATCH('ORDENES'!$S354,lista_dias,0),9)*1000000000+IFERROR(MATCH('ORDENES'!$AH354,lista_turnos,0),9)*10000000+IFERROR(MATCH('ORDENES'!$AG354,tblTecnicos[nombre],0),99)*100000+351,9000000000000+351)</f>
        <v/>
      </c>
      <c r="M358" s="5">
        <f>IF(K358=1,SUMPRODUCT(--($L$8:$L$1207&lt;L358))+1,"")</f>
        <v/>
      </c>
      <c r="N358" s="17">
        <f>IF(K358=1,N('ORDENES'!$M354),0)</f>
        <v/>
      </c>
      <c r="O358" s="17">
        <f>IF('ORDENES'!$U354="preventiva",N358,0)</f>
        <v/>
      </c>
      <c r="P358" s="17">
        <f>IF('ORDENES'!$U354="correctiva",N358,0)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22">
        <f>IF(K358=1,'ORDENES'!$J354,"")</f>
        <v/>
      </c>
    </row>
    <row r="359">
      <c r="K359" s="5">
        <f>IF(AND(IF($B$3="(todos)",TRUE,'ORDENES'!$O355=$B$3),IF($D$3="(todos)",TRUE,'ORDENES'!$AH355=$D$3),IF($F$3="(todos)",TRUE,'ORDENES'!$Z355=$F$3),IF($H$3="(todos)",TRUE,'ORDENES'!$Y355=$H$3),'ORDENES'!$AF355=TRUE,'ORDENES'!$A355&lt;&gt;""),1,0)</f>
        <v/>
      </c>
      <c r="L359" s="5">
        <f>IF(K359=1,IFERROR(MATCH('ORDENES'!$S355,lista_dias,0),9)*1000000000+IFERROR(MATCH('ORDENES'!$AH355,lista_turnos,0),9)*10000000+IFERROR(MATCH('ORDENES'!$AG355,tblTecnicos[nombre],0),99)*100000+352,9000000000000+352)</f>
        <v/>
      </c>
      <c r="M359" s="5">
        <f>IF(K359=1,SUMPRODUCT(--($L$8:$L$1207&lt;L359))+1,"")</f>
        <v/>
      </c>
      <c r="N359" s="17">
        <f>IF(K359=1,N('ORDENES'!$M355),0)</f>
        <v/>
      </c>
      <c r="O359" s="17">
        <f>IF('ORDENES'!$U355="preventiva",N359,0)</f>
        <v/>
      </c>
      <c r="P359" s="17">
        <f>IF('ORDENES'!$U355="correctiva",N359,0)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22">
        <f>IF(K359=1,'ORDENES'!$J355,"")</f>
        <v/>
      </c>
    </row>
    <row r="360">
      <c r="K360" s="5">
        <f>IF(AND(IF($B$3="(todos)",TRUE,'ORDENES'!$O356=$B$3),IF($D$3="(todos)",TRUE,'ORDENES'!$AH356=$D$3),IF($F$3="(todos)",TRUE,'ORDENES'!$Z356=$F$3),IF($H$3="(todos)",TRUE,'ORDENES'!$Y356=$H$3),'ORDENES'!$AF356=TRUE,'ORDENES'!$A356&lt;&gt;""),1,0)</f>
        <v/>
      </c>
      <c r="L360" s="5">
        <f>IF(K360=1,IFERROR(MATCH('ORDENES'!$S356,lista_dias,0),9)*1000000000+IFERROR(MATCH('ORDENES'!$AH356,lista_turnos,0),9)*10000000+IFERROR(MATCH('ORDENES'!$AG356,tblTecnicos[nombre],0),99)*100000+353,9000000000000+353)</f>
        <v/>
      </c>
      <c r="M360" s="5">
        <f>IF(K360=1,SUMPRODUCT(--($L$8:$L$1207&lt;L360))+1,"")</f>
        <v/>
      </c>
      <c r="N360" s="17">
        <f>IF(K360=1,N('ORDENES'!$M356),0)</f>
        <v/>
      </c>
      <c r="O360" s="17">
        <f>IF('ORDENES'!$U356="preventiva",N360,0)</f>
        <v/>
      </c>
      <c r="P360" s="17">
        <f>IF('ORDENES'!$U356="correctiva",N360,0)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22">
        <f>IF(K360=1,'ORDENES'!$J356,"")</f>
        <v/>
      </c>
    </row>
    <row r="361">
      <c r="K361" s="5">
        <f>IF(AND(IF($B$3="(todos)",TRUE,'ORDENES'!$O357=$B$3),IF($D$3="(todos)",TRUE,'ORDENES'!$AH357=$D$3),IF($F$3="(todos)",TRUE,'ORDENES'!$Z357=$F$3),IF($H$3="(todos)",TRUE,'ORDENES'!$Y357=$H$3),'ORDENES'!$AF357=TRUE,'ORDENES'!$A357&lt;&gt;""),1,0)</f>
        <v/>
      </c>
      <c r="L361" s="5">
        <f>IF(K361=1,IFERROR(MATCH('ORDENES'!$S357,lista_dias,0),9)*1000000000+IFERROR(MATCH('ORDENES'!$AH357,lista_turnos,0),9)*10000000+IFERROR(MATCH('ORDENES'!$AG357,tblTecnicos[nombre],0),99)*100000+354,9000000000000+354)</f>
        <v/>
      </c>
      <c r="M361" s="5">
        <f>IF(K361=1,SUMPRODUCT(--($L$8:$L$1207&lt;L361))+1,"")</f>
        <v/>
      </c>
      <c r="N361" s="17">
        <f>IF(K361=1,N('ORDENES'!$M357),0)</f>
        <v/>
      </c>
      <c r="O361" s="17">
        <f>IF('ORDENES'!$U357="preventiva",N361,0)</f>
        <v/>
      </c>
      <c r="P361" s="17">
        <f>IF('ORDENES'!$U357="correctiva",N361,0)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22">
        <f>IF(K361=1,'ORDENES'!$J357,"")</f>
        <v/>
      </c>
    </row>
    <row r="362">
      <c r="K362" s="5">
        <f>IF(AND(IF($B$3="(todos)",TRUE,'ORDENES'!$O358=$B$3),IF($D$3="(todos)",TRUE,'ORDENES'!$AH358=$D$3),IF($F$3="(todos)",TRUE,'ORDENES'!$Z358=$F$3),IF($H$3="(todos)",TRUE,'ORDENES'!$Y358=$H$3),'ORDENES'!$AF358=TRUE,'ORDENES'!$A358&lt;&gt;""),1,0)</f>
        <v/>
      </c>
      <c r="L362" s="5">
        <f>IF(K362=1,IFERROR(MATCH('ORDENES'!$S358,lista_dias,0),9)*1000000000+IFERROR(MATCH('ORDENES'!$AH358,lista_turnos,0),9)*10000000+IFERROR(MATCH('ORDENES'!$AG358,tblTecnicos[nombre],0),99)*100000+355,9000000000000+355)</f>
        <v/>
      </c>
      <c r="M362" s="5">
        <f>IF(K362=1,SUMPRODUCT(--($L$8:$L$1207&lt;L362))+1,"")</f>
        <v/>
      </c>
      <c r="N362" s="17">
        <f>IF(K362=1,N('ORDENES'!$M358),0)</f>
        <v/>
      </c>
      <c r="O362" s="17">
        <f>IF('ORDENES'!$U358="preventiva",N362,0)</f>
        <v/>
      </c>
      <c r="P362" s="17">
        <f>IF('ORDENES'!$U358="correctiva",N362,0)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22">
        <f>IF(K362=1,'ORDENES'!$J358,"")</f>
        <v/>
      </c>
    </row>
    <row r="363">
      <c r="K363" s="5">
        <f>IF(AND(IF($B$3="(todos)",TRUE,'ORDENES'!$O359=$B$3),IF($D$3="(todos)",TRUE,'ORDENES'!$AH359=$D$3),IF($F$3="(todos)",TRUE,'ORDENES'!$Z359=$F$3),IF($H$3="(todos)",TRUE,'ORDENES'!$Y359=$H$3),'ORDENES'!$AF359=TRUE,'ORDENES'!$A359&lt;&gt;""),1,0)</f>
        <v/>
      </c>
      <c r="L363" s="5">
        <f>IF(K363=1,IFERROR(MATCH('ORDENES'!$S359,lista_dias,0),9)*1000000000+IFERROR(MATCH('ORDENES'!$AH359,lista_turnos,0),9)*10000000+IFERROR(MATCH('ORDENES'!$AG359,tblTecnicos[nombre],0),99)*100000+356,9000000000000+356)</f>
        <v/>
      </c>
      <c r="M363" s="5">
        <f>IF(K363=1,SUMPRODUCT(--($L$8:$L$1207&lt;L363))+1,"")</f>
        <v/>
      </c>
      <c r="N363" s="17">
        <f>IF(K363=1,N('ORDENES'!$M359),0)</f>
        <v/>
      </c>
      <c r="O363" s="17">
        <f>IF('ORDENES'!$U359="preventiva",N363,0)</f>
        <v/>
      </c>
      <c r="P363" s="17">
        <f>IF('ORDENES'!$U359="correctiva",N363,0)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22">
        <f>IF(K363=1,'ORDENES'!$J359,"")</f>
        <v/>
      </c>
    </row>
    <row r="364">
      <c r="K364" s="5">
        <f>IF(AND(IF($B$3="(todos)",TRUE,'ORDENES'!$O360=$B$3),IF($D$3="(todos)",TRUE,'ORDENES'!$AH360=$D$3),IF($F$3="(todos)",TRUE,'ORDENES'!$Z360=$F$3),IF($H$3="(todos)",TRUE,'ORDENES'!$Y360=$H$3),'ORDENES'!$AF360=TRUE,'ORDENES'!$A360&lt;&gt;""),1,0)</f>
        <v/>
      </c>
      <c r="L364" s="5">
        <f>IF(K364=1,IFERROR(MATCH('ORDENES'!$S360,lista_dias,0),9)*1000000000+IFERROR(MATCH('ORDENES'!$AH360,lista_turnos,0),9)*10000000+IFERROR(MATCH('ORDENES'!$AG360,tblTecnicos[nombre],0),99)*100000+357,9000000000000+357)</f>
        <v/>
      </c>
      <c r="M364" s="5">
        <f>IF(K364=1,SUMPRODUCT(--($L$8:$L$1207&lt;L364))+1,"")</f>
        <v/>
      </c>
      <c r="N364" s="17">
        <f>IF(K364=1,N('ORDENES'!$M360),0)</f>
        <v/>
      </c>
      <c r="O364" s="17">
        <f>IF('ORDENES'!$U360="preventiva",N364,0)</f>
        <v/>
      </c>
      <c r="P364" s="17">
        <f>IF('ORDENES'!$U360="correctiva",N364,0)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22">
        <f>IF(K364=1,'ORDENES'!$J360,"")</f>
        <v/>
      </c>
    </row>
    <row r="365">
      <c r="K365" s="5">
        <f>IF(AND(IF($B$3="(todos)",TRUE,'ORDENES'!$O361=$B$3),IF($D$3="(todos)",TRUE,'ORDENES'!$AH361=$D$3),IF($F$3="(todos)",TRUE,'ORDENES'!$Z361=$F$3),IF($H$3="(todos)",TRUE,'ORDENES'!$Y361=$H$3),'ORDENES'!$AF361=TRUE,'ORDENES'!$A361&lt;&gt;""),1,0)</f>
        <v/>
      </c>
      <c r="L365" s="5">
        <f>IF(K365=1,IFERROR(MATCH('ORDENES'!$S361,lista_dias,0),9)*1000000000+IFERROR(MATCH('ORDENES'!$AH361,lista_turnos,0),9)*10000000+IFERROR(MATCH('ORDENES'!$AG361,tblTecnicos[nombre],0),99)*100000+358,9000000000000+358)</f>
        <v/>
      </c>
      <c r="M365" s="5">
        <f>IF(K365=1,SUMPRODUCT(--($L$8:$L$1207&lt;L365))+1,"")</f>
        <v/>
      </c>
      <c r="N365" s="17">
        <f>IF(K365=1,N('ORDENES'!$M361),0)</f>
        <v/>
      </c>
      <c r="O365" s="17">
        <f>IF('ORDENES'!$U361="preventiva",N365,0)</f>
        <v/>
      </c>
      <c r="P365" s="17">
        <f>IF('ORDENES'!$U361="correctiva",N365,0)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22">
        <f>IF(K365=1,'ORDENES'!$J361,"")</f>
        <v/>
      </c>
    </row>
    <row r="366">
      <c r="K366" s="5">
        <f>IF(AND(IF($B$3="(todos)",TRUE,'ORDENES'!$O362=$B$3),IF($D$3="(todos)",TRUE,'ORDENES'!$AH362=$D$3),IF($F$3="(todos)",TRUE,'ORDENES'!$Z362=$F$3),IF($H$3="(todos)",TRUE,'ORDENES'!$Y362=$H$3),'ORDENES'!$AF362=TRUE,'ORDENES'!$A362&lt;&gt;""),1,0)</f>
        <v/>
      </c>
      <c r="L366" s="5">
        <f>IF(K366=1,IFERROR(MATCH('ORDENES'!$S362,lista_dias,0),9)*1000000000+IFERROR(MATCH('ORDENES'!$AH362,lista_turnos,0),9)*10000000+IFERROR(MATCH('ORDENES'!$AG362,tblTecnicos[nombre],0),99)*100000+359,9000000000000+359)</f>
        <v/>
      </c>
      <c r="M366" s="5">
        <f>IF(K366=1,SUMPRODUCT(--($L$8:$L$1207&lt;L366))+1,"")</f>
        <v/>
      </c>
      <c r="N366" s="17">
        <f>IF(K366=1,N('ORDENES'!$M362),0)</f>
        <v/>
      </c>
      <c r="O366" s="17">
        <f>IF('ORDENES'!$U362="preventiva",N366,0)</f>
        <v/>
      </c>
      <c r="P366" s="17">
        <f>IF('ORDENES'!$U362="correctiva",N366,0)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22">
        <f>IF(K366=1,'ORDENES'!$J362,"")</f>
        <v/>
      </c>
    </row>
    <row r="367">
      <c r="K367" s="5">
        <f>IF(AND(IF($B$3="(todos)",TRUE,'ORDENES'!$O363=$B$3),IF($D$3="(todos)",TRUE,'ORDENES'!$AH363=$D$3),IF($F$3="(todos)",TRUE,'ORDENES'!$Z363=$F$3),IF($H$3="(todos)",TRUE,'ORDENES'!$Y363=$H$3),'ORDENES'!$AF363=TRUE,'ORDENES'!$A363&lt;&gt;""),1,0)</f>
        <v/>
      </c>
      <c r="L367" s="5">
        <f>IF(K367=1,IFERROR(MATCH('ORDENES'!$S363,lista_dias,0),9)*1000000000+IFERROR(MATCH('ORDENES'!$AH363,lista_turnos,0),9)*10000000+IFERROR(MATCH('ORDENES'!$AG363,tblTecnicos[nombre],0),99)*100000+360,9000000000000+360)</f>
        <v/>
      </c>
      <c r="M367" s="5">
        <f>IF(K367=1,SUMPRODUCT(--($L$8:$L$1207&lt;L367))+1,"")</f>
        <v/>
      </c>
      <c r="N367" s="17">
        <f>IF(K367=1,N('ORDENES'!$M363),0)</f>
        <v/>
      </c>
      <c r="O367" s="17">
        <f>IF('ORDENES'!$U363="preventiva",N367,0)</f>
        <v/>
      </c>
      <c r="P367" s="17">
        <f>IF('ORDENES'!$U363="correctiva",N367,0)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22">
        <f>IF(K367=1,'ORDENES'!$J363,"")</f>
        <v/>
      </c>
    </row>
    <row r="368">
      <c r="K368" s="5">
        <f>IF(AND(IF($B$3="(todos)",TRUE,'ORDENES'!$O364=$B$3),IF($D$3="(todos)",TRUE,'ORDENES'!$AH364=$D$3),IF($F$3="(todos)",TRUE,'ORDENES'!$Z364=$F$3),IF($H$3="(todos)",TRUE,'ORDENES'!$Y364=$H$3),'ORDENES'!$AF364=TRUE,'ORDENES'!$A364&lt;&gt;""),1,0)</f>
        <v/>
      </c>
      <c r="L368" s="5">
        <f>IF(K368=1,IFERROR(MATCH('ORDENES'!$S364,lista_dias,0),9)*1000000000+IFERROR(MATCH('ORDENES'!$AH364,lista_turnos,0),9)*10000000+IFERROR(MATCH('ORDENES'!$AG364,tblTecnicos[nombre],0),99)*100000+361,9000000000000+361)</f>
        <v/>
      </c>
      <c r="M368" s="5">
        <f>IF(K368=1,SUMPRODUCT(--($L$8:$L$1207&lt;L368))+1,"")</f>
        <v/>
      </c>
      <c r="N368" s="17">
        <f>IF(K368=1,N('ORDENES'!$M364),0)</f>
        <v/>
      </c>
      <c r="O368" s="17">
        <f>IF('ORDENES'!$U364="preventiva",N368,0)</f>
        <v/>
      </c>
      <c r="P368" s="17">
        <f>IF('ORDENES'!$U364="correctiva",N368,0)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22">
        <f>IF(K368=1,'ORDENES'!$J364,"")</f>
        <v/>
      </c>
    </row>
    <row r="369">
      <c r="K369" s="5">
        <f>IF(AND(IF($B$3="(todos)",TRUE,'ORDENES'!$O365=$B$3),IF($D$3="(todos)",TRUE,'ORDENES'!$AH365=$D$3),IF($F$3="(todos)",TRUE,'ORDENES'!$Z365=$F$3),IF($H$3="(todos)",TRUE,'ORDENES'!$Y365=$H$3),'ORDENES'!$AF365=TRUE,'ORDENES'!$A365&lt;&gt;""),1,0)</f>
        <v/>
      </c>
      <c r="L369" s="5">
        <f>IF(K369=1,IFERROR(MATCH('ORDENES'!$S365,lista_dias,0),9)*1000000000+IFERROR(MATCH('ORDENES'!$AH365,lista_turnos,0),9)*10000000+IFERROR(MATCH('ORDENES'!$AG365,tblTecnicos[nombre],0),99)*100000+362,9000000000000+362)</f>
        <v/>
      </c>
      <c r="M369" s="5">
        <f>IF(K369=1,SUMPRODUCT(--($L$8:$L$1207&lt;L369))+1,"")</f>
        <v/>
      </c>
      <c r="N369" s="17">
        <f>IF(K369=1,N('ORDENES'!$M365),0)</f>
        <v/>
      </c>
      <c r="O369" s="17">
        <f>IF('ORDENES'!$U365="preventiva",N369,0)</f>
        <v/>
      </c>
      <c r="P369" s="17">
        <f>IF('ORDENES'!$U365="correctiva",N369,0)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22">
        <f>IF(K369=1,'ORDENES'!$J365,"")</f>
        <v/>
      </c>
    </row>
    <row r="370">
      <c r="K370" s="5">
        <f>IF(AND(IF($B$3="(todos)",TRUE,'ORDENES'!$O366=$B$3),IF($D$3="(todos)",TRUE,'ORDENES'!$AH366=$D$3),IF($F$3="(todos)",TRUE,'ORDENES'!$Z366=$F$3),IF($H$3="(todos)",TRUE,'ORDENES'!$Y366=$H$3),'ORDENES'!$AF366=TRUE,'ORDENES'!$A366&lt;&gt;""),1,0)</f>
        <v/>
      </c>
      <c r="L370" s="5">
        <f>IF(K370=1,IFERROR(MATCH('ORDENES'!$S366,lista_dias,0),9)*1000000000+IFERROR(MATCH('ORDENES'!$AH366,lista_turnos,0),9)*10000000+IFERROR(MATCH('ORDENES'!$AG366,tblTecnicos[nombre],0),99)*100000+363,9000000000000+363)</f>
        <v/>
      </c>
      <c r="M370" s="5">
        <f>IF(K370=1,SUMPRODUCT(--($L$8:$L$1207&lt;L370))+1,"")</f>
        <v/>
      </c>
      <c r="N370" s="17">
        <f>IF(K370=1,N('ORDENES'!$M366),0)</f>
        <v/>
      </c>
      <c r="O370" s="17">
        <f>IF('ORDENES'!$U366="preventiva",N370,0)</f>
        <v/>
      </c>
      <c r="P370" s="17">
        <f>IF('ORDENES'!$U366="correctiva",N370,0)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22">
        <f>IF(K370=1,'ORDENES'!$J366,"")</f>
        <v/>
      </c>
    </row>
    <row r="371">
      <c r="K371" s="5">
        <f>IF(AND(IF($B$3="(todos)",TRUE,'ORDENES'!$O367=$B$3),IF($D$3="(todos)",TRUE,'ORDENES'!$AH367=$D$3),IF($F$3="(todos)",TRUE,'ORDENES'!$Z367=$F$3),IF($H$3="(todos)",TRUE,'ORDENES'!$Y367=$H$3),'ORDENES'!$AF367=TRUE,'ORDENES'!$A367&lt;&gt;""),1,0)</f>
        <v/>
      </c>
      <c r="L371" s="5">
        <f>IF(K371=1,IFERROR(MATCH('ORDENES'!$S367,lista_dias,0),9)*1000000000+IFERROR(MATCH('ORDENES'!$AH367,lista_turnos,0),9)*10000000+IFERROR(MATCH('ORDENES'!$AG367,tblTecnicos[nombre],0),99)*100000+364,9000000000000+364)</f>
        <v/>
      </c>
      <c r="M371" s="5">
        <f>IF(K371=1,SUMPRODUCT(--($L$8:$L$1207&lt;L371))+1,"")</f>
        <v/>
      </c>
      <c r="N371" s="17">
        <f>IF(K371=1,N('ORDENES'!$M367),0)</f>
        <v/>
      </c>
      <c r="O371" s="17">
        <f>IF('ORDENES'!$U367="preventiva",N371,0)</f>
        <v/>
      </c>
      <c r="P371" s="17">
        <f>IF('ORDENES'!$U367="correctiva",N371,0)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22">
        <f>IF(K371=1,'ORDENES'!$J367,"")</f>
        <v/>
      </c>
    </row>
    <row r="372">
      <c r="K372" s="5">
        <f>IF(AND(IF($B$3="(todos)",TRUE,'ORDENES'!$O368=$B$3),IF($D$3="(todos)",TRUE,'ORDENES'!$AH368=$D$3),IF($F$3="(todos)",TRUE,'ORDENES'!$Z368=$F$3),IF($H$3="(todos)",TRUE,'ORDENES'!$Y368=$H$3),'ORDENES'!$AF368=TRUE,'ORDENES'!$A368&lt;&gt;""),1,0)</f>
        <v/>
      </c>
      <c r="L372" s="5">
        <f>IF(K372=1,IFERROR(MATCH('ORDENES'!$S368,lista_dias,0),9)*1000000000+IFERROR(MATCH('ORDENES'!$AH368,lista_turnos,0),9)*10000000+IFERROR(MATCH('ORDENES'!$AG368,tblTecnicos[nombre],0),99)*100000+365,9000000000000+365)</f>
        <v/>
      </c>
      <c r="M372" s="5">
        <f>IF(K372=1,SUMPRODUCT(--($L$8:$L$1207&lt;L372))+1,"")</f>
        <v/>
      </c>
      <c r="N372" s="17">
        <f>IF(K372=1,N('ORDENES'!$M368),0)</f>
        <v/>
      </c>
      <c r="O372" s="17">
        <f>IF('ORDENES'!$U368="preventiva",N372,0)</f>
        <v/>
      </c>
      <c r="P372" s="17">
        <f>IF('ORDENES'!$U368="correctiva",N372,0)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22">
        <f>IF(K372=1,'ORDENES'!$J368,"")</f>
        <v/>
      </c>
    </row>
    <row r="373">
      <c r="K373" s="5">
        <f>IF(AND(IF($B$3="(todos)",TRUE,'ORDENES'!$O369=$B$3),IF($D$3="(todos)",TRUE,'ORDENES'!$AH369=$D$3),IF($F$3="(todos)",TRUE,'ORDENES'!$Z369=$F$3),IF($H$3="(todos)",TRUE,'ORDENES'!$Y369=$H$3),'ORDENES'!$AF369=TRUE,'ORDENES'!$A369&lt;&gt;""),1,0)</f>
        <v/>
      </c>
      <c r="L373" s="5">
        <f>IF(K373=1,IFERROR(MATCH('ORDENES'!$S369,lista_dias,0),9)*1000000000+IFERROR(MATCH('ORDENES'!$AH369,lista_turnos,0),9)*10000000+IFERROR(MATCH('ORDENES'!$AG369,tblTecnicos[nombre],0),99)*100000+366,9000000000000+366)</f>
        <v/>
      </c>
      <c r="M373" s="5">
        <f>IF(K373=1,SUMPRODUCT(--($L$8:$L$1207&lt;L373))+1,"")</f>
        <v/>
      </c>
      <c r="N373" s="17">
        <f>IF(K373=1,N('ORDENES'!$M369),0)</f>
        <v/>
      </c>
      <c r="O373" s="17">
        <f>IF('ORDENES'!$U369="preventiva",N373,0)</f>
        <v/>
      </c>
      <c r="P373" s="17">
        <f>IF('ORDENES'!$U369="correctiva",N373,0)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22">
        <f>IF(K373=1,'ORDENES'!$J369,"")</f>
        <v/>
      </c>
    </row>
    <row r="374">
      <c r="K374" s="5">
        <f>IF(AND(IF($B$3="(todos)",TRUE,'ORDENES'!$O370=$B$3),IF($D$3="(todos)",TRUE,'ORDENES'!$AH370=$D$3),IF($F$3="(todos)",TRUE,'ORDENES'!$Z370=$F$3),IF($H$3="(todos)",TRUE,'ORDENES'!$Y370=$H$3),'ORDENES'!$AF370=TRUE,'ORDENES'!$A370&lt;&gt;""),1,0)</f>
        <v/>
      </c>
      <c r="L374" s="5">
        <f>IF(K374=1,IFERROR(MATCH('ORDENES'!$S370,lista_dias,0),9)*1000000000+IFERROR(MATCH('ORDENES'!$AH370,lista_turnos,0),9)*10000000+IFERROR(MATCH('ORDENES'!$AG370,tblTecnicos[nombre],0),99)*100000+367,9000000000000+367)</f>
        <v/>
      </c>
      <c r="M374" s="5">
        <f>IF(K374=1,SUMPRODUCT(--($L$8:$L$1207&lt;L374))+1,"")</f>
        <v/>
      </c>
      <c r="N374" s="17">
        <f>IF(K374=1,N('ORDENES'!$M370),0)</f>
        <v/>
      </c>
      <c r="O374" s="17">
        <f>IF('ORDENES'!$U370="preventiva",N374,0)</f>
        <v/>
      </c>
      <c r="P374" s="17">
        <f>IF('ORDENES'!$U370="correctiva",N374,0)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22">
        <f>IF(K374=1,'ORDENES'!$J370,"")</f>
        <v/>
      </c>
    </row>
    <row r="375">
      <c r="K375" s="5">
        <f>IF(AND(IF($B$3="(todos)",TRUE,'ORDENES'!$O371=$B$3),IF($D$3="(todos)",TRUE,'ORDENES'!$AH371=$D$3),IF($F$3="(todos)",TRUE,'ORDENES'!$Z371=$F$3),IF($H$3="(todos)",TRUE,'ORDENES'!$Y371=$H$3),'ORDENES'!$AF371=TRUE,'ORDENES'!$A371&lt;&gt;""),1,0)</f>
        <v/>
      </c>
      <c r="L375" s="5">
        <f>IF(K375=1,IFERROR(MATCH('ORDENES'!$S371,lista_dias,0),9)*1000000000+IFERROR(MATCH('ORDENES'!$AH371,lista_turnos,0),9)*10000000+IFERROR(MATCH('ORDENES'!$AG371,tblTecnicos[nombre],0),99)*100000+368,9000000000000+368)</f>
        <v/>
      </c>
      <c r="M375" s="5">
        <f>IF(K375=1,SUMPRODUCT(--($L$8:$L$1207&lt;L375))+1,"")</f>
        <v/>
      </c>
      <c r="N375" s="17">
        <f>IF(K375=1,N('ORDENES'!$M371),0)</f>
        <v/>
      </c>
      <c r="O375" s="17">
        <f>IF('ORDENES'!$U371="preventiva",N375,0)</f>
        <v/>
      </c>
      <c r="P375" s="17">
        <f>IF('ORDENES'!$U371="correctiva",N375,0)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22">
        <f>IF(K375=1,'ORDENES'!$J371,"")</f>
        <v/>
      </c>
    </row>
    <row r="376">
      <c r="K376" s="5">
        <f>IF(AND(IF($B$3="(todos)",TRUE,'ORDENES'!$O372=$B$3),IF($D$3="(todos)",TRUE,'ORDENES'!$AH372=$D$3),IF($F$3="(todos)",TRUE,'ORDENES'!$Z372=$F$3),IF($H$3="(todos)",TRUE,'ORDENES'!$Y372=$H$3),'ORDENES'!$AF372=TRUE,'ORDENES'!$A372&lt;&gt;""),1,0)</f>
        <v/>
      </c>
      <c r="L376" s="5">
        <f>IF(K376=1,IFERROR(MATCH('ORDENES'!$S372,lista_dias,0),9)*1000000000+IFERROR(MATCH('ORDENES'!$AH372,lista_turnos,0),9)*10000000+IFERROR(MATCH('ORDENES'!$AG372,tblTecnicos[nombre],0),99)*100000+369,9000000000000+369)</f>
        <v/>
      </c>
      <c r="M376" s="5">
        <f>IF(K376=1,SUMPRODUCT(--($L$8:$L$1207&lt;L376))+1,"")</f>
        <v/>
      </c>
      <c r="N376" s="17">
        <f>IF(K376=1,N('ORDENES'!$M372),0)</f>
        <v/>
      </c>
      <c r="O376" s="17">
        <f>IF('ORDENES'!$U372="preventiva",N376,0)</f>
        <v/>
      </c>
      <c r="P376" s="17">
        <f>IF('ORDENES'!$U372="correctiva",N376,0)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22">
        <f>IF(K376=1,'ORDENES'!$J372,"")</f>
        <v/>
      </c>
    </row>
    <row r="377">
      <c r="K377" s="5">
        <f>IF(AND(IF($B$3="(todos)",TRUE,'ORDENES'!$O373=$B$3),IF($D$3="(todos)",TRUE,'ORDENES'!$AH373=$D$3),IF($F$3="(todos)",TRUE,'ORDENES'!$Z373=$F$3),IF($H$3="(todos)",TRUE,'ORDENES'!$Y373=$H$3),'ORDENES'!$AF373=TRUE,'ORDENES'!$A373&lt;&gt;""),1,0)</f>
        <v/>
      </c>
      <c r="L377" s="5">
        <f>IF(K377=1,IFERROR(MATCH('ORDENES'!$S373,lista_dias,0),9)*1000000000+IFERROR(MATCH('ORDENES'!$AH373,lista_turnos,0),9)*10000000+IFERROR(MATCH('ORDENES'!$AG373,tblTecnicos[nombre],0),99)*100000+370,9000000000000+370)</f>
        <v/>
      </c>
      <c r="M377" s="5">
        <f>IF(K377=1,SUMPRODUCT(--($L$8:$L$1207&lt;L377))+1,"")</f>
        <v/>
      </c>
      <c r="N377" s="17">
        <f>IF(K377=1,N('ORDENES'!$M373),0)</f>
        <v/>
      </c>
      <c r="O377" s="17">
        <f>IF('ORDENES'!$U373="preventiva",N377,0)</f>
        <v/>
      </c>
      <c r="P377" s="17">
        <f>IF('ORDENES'!$U373="correctiva",N377,0)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22">
        <f>IF(K377=1,'ORDENES'!$J373,"")</f>
        <v/>
      </c>
    </row>
    <row r="378">
      <c r="K378" s="5">
        <f>IF(AND(IF($B$3="(todos)",TRUE,'ORDENES'!$O374=$B$3),IF($D$3="(todos)",TRUE,'ORDENES'!$AH374=$D$3),IF($F$3="(todos)",TRUE,'ORDENES'!$Z374=$F$3),IF($H$3="(todos)",TRUE,'ORDENES'!$Y374=$H$3),'ORDENES'!$AF374=TRUE,'ORDENES'!$A374&lt;&gt;""),1,0)</f>
        <v/>
      </c>
      <c r="L378" s="5">
        <f>IF(K378=1,IFERROR(MATCH('ORDENES'!$S374,lista_dias,0),9)*1000000000+IFERROR(MATCH('ORDENES'!$AH374,lista_turnos,0),9)*10000000+IFERROR(MATCH('ORDENES'!$AG374,tblTecnicos[nombre],0),99)*100000+371,9000000000000+371)</f>
        <v/>
      </c>
      <c r="M378" s="5">
        <f>IF(K378=1,SUMPRODUCT(--($L$8:$L$1207&lt;L378))+1,"")</f>
        <v/>
      </c>
      <c r="N378" s="17">
        <f>IF(K378=1,N('ORDENES'!$M374),0)</f>
        <v/>
      </c>
      <c r="O378" s="17">
        <f>IF('ORDENES'!$U374="preventiva",N378,0)</f>
        <v/>
      </c>
      <c r="P378" s="17">
        <f>IF('ORDENES'!$U374="correctiva",N378,0)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22">
        <f>IF(K378=1,'ORDENES'!$J374,"")</f>
        <v/>
      </c>
    </row>
    <row r="379">
      <c r="K379" s="5">
        <f>IF(AND(IF($B$3="(todos)",TRUE,'ORDENES'!$O375=$B$3),IF($D$3="(todos)",TRUE,'ORDENES'!$AH375=$D$3),IF($F$3="(todos)",TRUE,'ORDENES'!$Z375=$F$3),IF($H$3="(todos)",TRUE,'ORDENES'!$Y375=$H$3),'ORDENES'!$AF375=TRUE,'ORDENES'!$A375&lt;&gt;""),1,0)</f>
        <v/>
      </c>
      <c r="L379" s="5">
        <f>IF(K379=1,IFERROR(MATCH('ORDENES'!$S375,lista_dias,0),9)*1000000000+IFERROR(MATCH('ORDENES'!$AH375,lista_turnos,0),9)*10000000+IFERROR(MATCH('ORDENES'!$AG375,tblTecnicos[nombre],0),99)*100000+372,9000000000000+372)</f>
        <v/>
      </c>
      <c r="M379" s="5">
        <f>IF(K379=1,SUMPRODUCT(--($L$8:$L$1207&lt;L379))+1,"")</f>
        <v/>
      </c>
      <c r="N379" s="17">
        <f>IF(K379=1,N('ORDENES'!$M375),0)</f>
        <v/>
      </c>
      <c r="O379" s="17">
        <f>IF('ORDENES'!$U375="preventiva",N379,0)</f>
        <v/>
      </c>
      <c r="P379" s="17">
        <f>IF('ORDENES'!$U375="correctiva",N379,0)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22">
        <f>IF(K379=1,'ORDENES'!$J375,"")</f>
        <v/>
      </c>
    </row>
    <row r="380">
      <c r="K380" s="5">
        <f>IF(AND(IF($B$3="(todos)",TRUE,'ORDENES'!$O376=$B$3),IF($D$3="(todos)",TRUE,'ORDENES'!$AH376=$D$3),IF($F$3="(todos)",TRUE,'ORDENES'!$Z376=$F$3),IF($H$3="(todos)",TRUE,'ORDENES'!$Y376=$H$3),'ORDENES'!$AF376=TRUE,'ORDENES'!$A376&lt;&gt;""),1,0)</f>
        <v/>
      </c>
      <c r="L380" s="5">
        <f>IF(K380=1,IFERROR(MATCH('ORDENES'!$S376,lista_dias,0),9)*1000000000+IFERROR(MATCH('ORDENES'!$AH376,lista_turnos,0),9)*10000000+IFERROR(MATCH('ORDENES'!$AG376,tblTecnicos[nombre],0),99)*100000+373,9000000000000+373)</f>
        <v/>
      </c>
      <c r="M380" s="5">
        <f>IF(K380=1,SUMPRODUCT(--($L$8:$L$1207&lt;L380))+1,"")</f>
        <v/>
      </c>
      <c r="N380" s="17">
        <f>IF(K380=1,N('ORDENES'!$M376),0)</f>
        <v/>
      </c>
      <c r="O380" s="17">
        <f>IF('ORDENES'!$U376="preventiva",N380,0)</f>
        <v/>
      </c>
      <c r="P380" s="17">
        <f>IF('ORDENES'!$U376="correctiva",N380,0)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22">
        <f>IF(K380=1,'ORDENES'!$J376,"")</f>
        <v/>
      </c>
    </row>
    <row r="381">
      <c r="K381" s="5">
        <f>IF(AND(IF($B$3="(todos)",TRUE,'ORDENES'!$O377=$B$3),IF($D$3="(todos)",TRUE,'ORDENES'!$AH377=$D$3),IF($F$3="(todos)",TRUE,'ORDENES'!$Z377=$F$3),IF($H$3="(todos)",TRUE,'ORDENES'!$Y377=$H$3),'ORDENES'!$AF377=TRUE,'ORDENES'!$A377&lt;&gt;""),1,0)</f>
        <v/>
      </c>
      <c r="L381" s="5">
        <f>IF(K381=1,IFERROR(MATCH('ORDENES'!$S377,lista_dias,0),9)*1000000000+IFERROR(MATCH('ORDENES'!$AH377,lista_turnos,0),9)*10000000+IFERROR(MATCH('ORDENES'!$AG377,tblTecnicos[nombre],0),99)*100000+374,9000000000000+374)</f>
        <v/>
      </c>
      <c r="M381" s="5">
        <f>IF(K381=1,SUMPRODUCT(--($L$8:$L$1207&lt;L381))+1,"")</f>
        <v/>
      </c>
      <c r="N381" s="17">
        <f>IF(K381=1,N('ORDENES'!$M377),0)</f>
        <v/>
      </c>
      <c r="O381" s="17">
        <f>IF('ORDENES'!$U377="preventiva",N381,0)</f>
        <v/>
      </c>
      <c r="P381" s="17">
        <f>IF('ORDENES'!$U377="correctiva",N381,0)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22">
        <f>IF(K381=1,'ORDENES'!$J377,"")</f>
        <v/>
      </c>
    </row>
    <row r="382">
      <c r="K382" s="5">
        <f>IF(AND(IF($B$3="(todos)",TRUE,'ORDENES'!$O378=$B$3),IF($D$3="(todos)",TRUE,'ORDENES'!$AH378=$D$3),IF($F$3="(todos)",TRUE,'ORDENES'!$Z378=$F$3),IF($H$3="(todos)",TRUE,'ORDENES'!$Y378=$H$3),'ORDENES'!$AF378=TRUE,'ORDENES'!$A378&lt;&gt;""),1,0)</f>
        <v/>
      </c>
      <c r="L382" s="5">
        <f>IF(K382=1,IFERROR(MATCH('ORDENES'!$S378,lista_dias,0),9)*1000000000+IFERROR(MATCH('ORDENES'!$AH378,lista_turnos,0),9)*10000000+IFERROR(MATCH('ORDENES'!$AG378,tblTecnicos[nombre],0),99)*100000+375,9000000000000+375)</f>
        <v/>
      </c>
      <c r="M382" s="5">
        <f>IF(K382=1,SUMPRODUCT(--($L$8:$L$1207&lt;L382))+1,"")</f>
        <v/>
      </c>
      <c r="N382" s="17">
        <f>IF(K382=1,N('ORDENES'!$M378),0)</f>
        <v/>
      </c>
      <c r="O382" s="17">
        <f>IF('ORDENES'!$U378="preventiva",N382,0)</f>
        <v/>
      </c>
      <c r="P382" s="17">
        <f>IF('ORDENES'!$U378="correctiva",N382,0)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22">
        <f>IF(K382=1,'ORDENES'!$J378,"")</f>
        <v/>
      </c>
    </row>
    <row r="383">
      <c r="K383" s="5">
        <f>IF(AND(IF($B$3="(todos)",TRUE,'ORDENES'!$O379=$B$3),IF($D$3="(todos)",TRUE,'ORDENES'!$AH379=$D$3),IF($F$3="(todos)",TRUE,'ORDENES'!$Z379=$F$3),IF($H$3="(todos)",TRUE,'ORDENES'!$Y379=$H$3),'ORDENES'!$AF379=TRUE,'ORDENES'!$A379&lt;&gt;""),1,0)</f>
        <v/>
      </c>
      <c r="L383" s="5">
        <f>IF(K383=1,IFERROR(MATCH('ORDENES'!$S379,lista_dias,0),9)*1000000000+IFERROR(MATCH('ORDENES'!$AH379,lista_turnos,0),9)*10000000+IFERROR(MATCH('ORDENES'!$AG379,tblTecnicos[nombre],0),99)*100000+376,9000000000000+376)</f>
        <v/>
      </c>
      <c r="M383" s="5">
        <f>IF(K383=1,SUMPRODUCT(--($L$8:$L$1207&lt;L383))+1,"")</f>
        <v/>
      </c>
      <c r="N383" s="17">
        <f>IF(K383=1,N('ORDENES'!$M379),0)</f>
        <v/>
      </c>
      <c r="O383" s="17">
        <f>IF('ORDENES'!$U379="preventiva",N383,0)</f>
        <v/>
      </c>
      <c r="P383" s="17">
        <f>IF('ORDENES'!$U379="correctiva",N383,0)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22">
        <f>IF(K383=1,'ORDENES'!$J379,"")</f>
        <v/>
      </c>
    </row>
    <row r="384">
      <c r="K384" s="5">
        <f>IF(AND(IF($B$3="(todos)",TRUE,'ORDENES'!$O380=$B$3),IF($D$3="(todos)",TRUE,'ORDENES'!$AH380=$D$3),IF($F$3="(todos)",TRUE,'ORDENES'!$Z380=$F$3),IF($H$3="(todos)",TRUE,'ORDENES'!$Y380=$H$3),'ORDENES'!$AF380=TRUE,'ORDENES'!$A380&lt;&gt;""),1,0)</f>
        <v/>
      </c>
      <c r="L384" s="5">
        <f>IF(K384=1,IFERROR(MATCH('ORDENES'!$S380,lista_dias,0),9)*1000000000+IFERROR(MATCH('ORDENES'!$AH380,lista_turnos,0),9)*10000000+IFERROR(MATCH('ORDENES'!$AG380,tblTecnicos[nombre],0),99)*100000+377,9000000000000+377)</f>
        <v/>
      </c>
      <c r="M384" s="5">
        <f>IF(K384=1,SUMPRODUCT(--($L$8:$L$1207&lt;L384))+1,"")</f>
        <v/>
      </c>
      <c r="N384" s="17">
        <f>IF(K384=1,N('ORDENES'!$M380),0)</f>
        <v/>
      </c>
      <c r="O384" s="17">
        <f>IF('ORDENES'!$U380="preventiva",N384,0)</f>
        <v/>
      </c>
      <c r="P384" s="17">
        <f>IF('ORDENES'!$U380="correctiva",N384,0)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22">
        <f>IF(K384=1,'ORDENES'!$J380,"")</f>
        <v/>
      </c>
    </row>
    <row r="385">
      <c r="K385" s="5">
        <f>IF(AND(IF($B$3="(todos)",TRUE,'ORDENES'!$O381=$B$3),IF($D$3="(todos)",TRUE,'ORDENES'!$AH381=$D$3),IF($F$3="(todos)",TRUE,'ORDENES'!$Z381=$F$3),IF($H$3="(todos)",TRUE,'ORDENES'!$Y381=$H$3),'ORDENES'!$AF381=TRUE,'ORDENES'!$A381&lt;&gt;""),1,0)</f>
        <v/>
      </c>
      <c r="L385" s="5">
        <f>IF(K385=1,IFERROR(MATCH('ORDENES'!$S381,lista_dias,0),9)*1000000000+IFERROR(MATCH('ORDENES'!$AH381,lista_turnos,0),9)*10000000+IFERROR(MATCH('ORDENES'!$AG381,tblTecnicos[nombre],0),99)*100000+378,9000000000000+378)</f>
        <v/>
      </c>
      <c r="M385" s="5">
        <f>IF(K385=1,SUMPRODUCT(--($L$8:$L$1207&lt;L385))+1,"")</f>
        <v/>
      </c>
      <c r="N385" s="17">
        <f>IF(K385=1,N('ORDENES'!$M381),0)</f>
        <v/>
      </c>
      <c r="O385" s="17">
        <f>IF('ORDENES'!$U381="preventiva",N385,0)</f>
        <v/>
      </c>
      <c r="P385" s="17">
        <f>IF('ORDENES'!$U381="correctiva",N385,0)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22">
        <f>IF(K385=1,'ORDENES'!$J381,"")</f>
        <v/>
      </c>
    </row>
    <row r="386">
      <c r="K386" s="5">
        <f>IF(AND(IF($B$3="(todos)",TRUE,'ORDENES'!$O382=$B$3),IF($D$3="(todos)",TRUE,'ORDENES'!$AH382=$D$3),IF($F$3="(todos)",TRUE,'ORDENES'!$Z382=$F$3),IF($H$3="(todos)",TRUE,'ORDENES'!$Y382=$H$3),'ORDENES'!$AF382=TRUE,'ORDENES'!$A382&lt;&gt;""),1,0)</f>
        <v/>
      </c>
      <c r="L386" s="5">
        <f>IF(K386=1,IFERROR(MATCH('ORDENES'!$S382,lista_dias,0),9)*1000000000+IFERROR(MATCH('ORDENES'!$AH382,lista_turnos,0),9)*10000000+IFERROR(MATCH('ORDENES'!$AG382,tblTecnicos[nombre],0),99)*100000+379,9000000000000+379)</f>
        <v/>
      </c>
      <c r="M386" s="5">
        <f>IF(K386=1,SUMPRODUCT(--($L$8:$L$1207&lt;L386))+1,"")</f>
        <v/>
      </c>
      <c r="N386" s="17">
        <f>IF(K386=1,N('ORDENES'!$M382),0)</f>
        <v/>
      </c>
      <c r="O386" s="17">
        <f>IF('ORDENES'!$U382="preventiva",N386,0)</f>
        <v/>
      </c>
      <c r="P386" s="17">
        <f>IF('ORDENES'!$U382="correctiva",N386,0)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22">
        <f>IF(K386=1,'ORDENES'!$J382,"")</f>
        <v/>
      </c>
    </row>
    <row r="387">
      <c r="K387" s="5">
        <f>IF(AND(IF($B$3="(todos)",TRUE,'ORDENES'!$O383=$B$3),IF($D$3="(todos)",TRUE,'ORDENES'!$AH383=$D$3),IF($F$3="(todos)",TRUE,'ORDENES'!$Z383=$F$3),IF($H$3="(todos)",TRUE,'ORDENES'!$Y383=$H$3),'ORDENES'!$AF383=TRUE,'ORDENES'!$A383&lt;&gt;""),1,0)</f>
        <v/>
      </c>
      <c r="L387" s="5">
        <f>IF(K387=1,IFERROR(MATCH('ORDENES'!$S383,lista_dias,0),9)*1000000000+IFERROR(MATCH('ORDENES'!$AH383,lista_turnos,0),9)*10000000+IFERROR(MATCH('ORDENES'!$AG383,tblTecnicos[nombre],0),99)*100000+380,9000000000000+380)</f>
        <v/>
      </c>
      <c r="M387" s="5">
        <f>IF(K387=1,SUMPRODUCT(--($L$8:$L$1207&lt;L387))+1,"")</f>
        <v/>
      </c>
      <c r="N387" s="17">
        <f>IF(K387=1,N('ORDENES'!$M383),0)</f>
        <v/>
      </c>
      <c r="O387" s="17">
        <f>IF('ORDENES'!$U383="preventiva",N387,0)</f>
        <v/>
      </c>
      <c r="P387" s="17">
        <f>IF('ORDENES'!$U383="correctiva",N387,0)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22">
        <f>IF(K387=1,'ORDENES'!$J383,"")</f>
        <v/>
      </c>
    </row>
    <row r="388">
      <c r="K388" s="5">
        <f>IF(AND(IF($B$3="(todos)",TRUE,'ORDENES'!$O384=$B$3),IF($D$3="(todos)",TRUE,'ORDENES'!$AH384=$D$3),IF($F$3="(todos)",TRUE,'ORDENES'!$Z384=$F$3),IF($H$3="(todos)",TRUE,'ORDENES'!$Y384=$H$3),'ORDENES'!$AF384=TRUE,'ORDENES'!$A384&lt;&gt;""),1,0)</f>
        <v/>
      </c>
      <c r="L388" s="5">
        <f>IF(K388=1,IFERROR(MATCH('ORDENES'!$S384,lista_dias,0),9)*1000000000+IFERROR(MATCH('ORDENES'!$AH384,lista_turnos,0),9)*10000000+IFERROR(MATCH('ORDENES'!$AG384,tblTecnicos[nombre],0),99)*100000+381,9000000000000+381)</f>
        <v/>
      </c>
      <c r="M388" s="5">
        <f>IF(K388=1,SUMPRODUCT(--($L$8:$L$1207&lt;L388))+1,"")</f>
        <v/>
      </c>
      <c r="N388" s="17">
        <f>IF(K388=1,N('ORDENES'!$M384),0)</f>
        <v/>
      </c>
      <c r="O388" s="17">
        <f>IF('ORDENES'!$U384="preventiva",N388,0)</f>
        <v/>
      </c>
      <c r="P388" s="17">
        <f>IF('ORDENES'!$U384="correctiva",N388,0)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22">
        <f>IF(K388=1,'ORDENES'!$J384,"")</f>
        <v/>
      </c>
    </row>
    <row r="389">
      <c r="K389" s="5">
        <f>IF(AND(IF($B$3="(todos)",TRUE,'ORDENES'!$O385=$B$3),IF($D$3="(todos)",TRUE,'ORDENES'!$AH385=$D$3),IF($F$3="(todos)",TRUE,'ORDENES'!$Z385=$F$3),IF($H$3="(todos)",TRUE,'ORDENES'!$Y385=$H$3),'ORDENES'!$AF385=TRUE,'ORDENES'!$A385&lt;&gt;""),1,0)</f>
        <v/>
      </c>
      <c r="L389" s="5">
        <f>IF(K389=1,IFERROR(MATCH('ORDENES'!$S385,lista_dias,0),9)*1000000000+IFERROR(MATCH('ORDENES'!$AH385,lista_turnos,0),9)*10000000+IFERROR(MATCH('ORDENES'!$AG385,tblTecnicos[nombre],0),99)*100000+382,9000000000000+382)</f>
        <v/>
      </c>
      <c r="M389" s="5">
        <f>IF(K389=1,SUMPRODUCT(--($L$8:$L$1207&lt;L389))+1,"")</f>
        <v/>
      </c>
      <c r="N389" s="17">
        <f>IF(K389=1,N('ORDENES'!$M385),0)</f>
        <v/>
      </c>
      <c r="O389" s="17">
        <f>IF('ORDENES'!$U385="preventiva",N389,0)</f>
        <v/>
      </c>
      <c r="P389" s="17">
        <f>IF('ORDENES'!$U385="correctiva",N389,0)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22">
        <f>IF(K389=1,'ORDENES'!$J385,"")</f>
        <v/>
      </c>
    </row>
    <row r="390">
      <c r="K390" s="5">
        <f>IF(AND(IF($B$3="(todos)",TRUE,'ORDENES'!$O386=$B$3),IF($D$3="(todos)",TRUE,'ORDENES'!$AH386=$D$3),IF($F$3="(todos)",TRUE,'ORDENES'!$Z386=$F$3),IF($H$3="(todos)",TRUE,'ORDENES'!$Y386=$H$3),'ORDENES'!$AF386=TRUE,'ORDENES'!$A386&lt;&gt;""),1,0)</f>
        <v/>
      </c>
      <c r="L390" s="5">
        <f>IF(K390=1,IFERROR(MATCH('ORDENES'!$S386,lista_dias,0),9)*1000000000+IFERROR(MATCH('ORDENES'!$AH386,lista_turnos,0),9)*10000000+IFERROR(MATCH('ORDENES'!$AG386,tblTecnicos[nombre],0),99)*100000+383,9000000000000+383)</f>
        <v/>
      </c>
      <c r="M390" s="5">
        <f>IF(K390=1,SUMPRODUCT(--($L$8:$L$1207&lt;L390))+1,"")</f>
        <v/>
      </c>
      <c r="N390" s="17">
        <f>IF(K390=1,N('ORDENES'!$M386),0)</f>
        <v/>
      </c>
      <c r="O390" s="17">
        <f>IF('ORDENES'!$U386="preventiva",N390,0)</f>
        <v/>
      </c>
      <c r="P390" s="17">
        <f>IF('ORDENES'!$U386="correctiva",N390,0)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22">
        <f>IF(K390=1,'ORDENES'!$J386,"")</f>
        <v/>
      </c>
    </row>
    <row r="391">
      <c r="K391" s="5">
        <f>IF(AND(IF($B$3="(todos)",TRUE,'ORDENES'!$O387=$B$3),IF($D$3="(todos)",TRUE,'ORDENES'!$AH387=$D$3),IF($F$3="(todos)",TRUE,'ORDENES'!$Z387=$F$3),IF($H$3="(todos)",TRUE,'ORDENES'!$Y387=$H$3),'ORDENES'!$AF387=TRUE,'ORDENES'!$A387&lt;&gt;""),1,0)</f>
        <v/>
      </c>
      <c r="L391" s="5">
        <f>IF(K391=1,IFERROR(MATCH('ORDENES'!$S387,lista_dias,0),9)*1000000000+IFERROR(MATCH('ORDENES'!$AH387,lista_turnos,0),9)*10000000+IFERROR(MATCH('ORDENES'!$AG387,tblTecnicos[nombre],0),99)*100000+384,9000000000000+384)</f>
        <v/>
      </c>
      <c r="M391" s="5">
        <f>IF(K391=1,SUMPRODUCT(--($L$8:$L$1207&lt;L391))+1,"")</f>
        <v/>
      </c>
      <c r="N391" s="17">
        <f>IF(K391=1,N('ORDENES'!$M387),0)</f>
        <v/>
      </c>
      <c r="O391" s="17">
        <f>IF('ORDENES'!$U387="preventiva",N391,0)</f>
        <v/>
      </c>
      <c r="P391" s="17">
        <f>IF('ORDENES'!$U387="correctiva",N391,0)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22">
        <f>IF(K391=1,'ORDENES'!$J387,"")</f>
        <v/>
      </c>
    </row>
    <row r="392">
      <c r="K392" s="5">
        <f>IF(AND(IF($B$3="(todos)",TRUE,'ORDENES'!$O388=$B$3),IF($D$3="(todos)",TRUE,'ORDENES'!$AH388=$D$3),IF($F$3="(todos)",TRUE,'ORDENES'!$Z388=$F$3),IF($H$3="(todos)",TRUE,'ORDENES'!$Y388=$H$3),'ORDENES'!$AF388=TRUE,'ORDENES'!$A388&lt;&gt;""),1,0)</f>
        <v/>
      </c>
      <c r="L392" s="5">
        <f>IF(K392=1,IFERROR(MATCH('ORDENES'!$S388,lista_dias,0),9)*1000000000+IFERROR(MATCH('ORDENES'!$AH388,lista_turnos,0),9)*10000000+IFERROR(MATCH('ORDENES'!$AG388,tblTecnicos[nombre],0),99)*100000+385,9000000000000+385)</f>
        <v/>
      </c>
      <c r="M392" s="5">
        <f>IF(K392=1,SUMPRODUCT(--($L$8:$L$1207&lt;L392))+1,"")</f>
        <v/>
      </c>
      <c r="N392" s="17">
        <f>IF(K392=1,N('ORDENES'!$M388),0)</f>
        <v/>
      </c>
      <c r="O392" s="17">
        <f>IF('ORDENES'!$U388="preventiva",N392,0)</f>
        <v/>
      </c>
      <c r="P392" s="17">
        <f>IF('ORDENES'!$U388="correctiva",N392,0)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22">
        <f>IF(K392=1,'ORDENES'!$J388,"")</f>
        <v/>
      </c>
    </row>
    <row r="393">
      <c r="K393" s="5">
        <f>IF(AND(IF($B$3="(todos)",TRUE,'ORDENES'!$O389=$B$3),IF($D$3="(todos)",TRUE,'ORDENES'!$AH389=$D$3),IF($F$3="(todos)",TRUE,'ORDENES'!$Z389=$F$3),IF($H$3="(todos)",TRUE,'ORDENES'!$Y389=$H$3),'ORDENES'!$AF389=TRUE,'ORDENES'!$A389&lt;&gt;""),1,0)</f>
        <v/>
      </c>
      <c r="L393" s="5">
        <f>IF(K393=1,IFERROR(MATCH('ORDENES'!$S389,lista_dias,0),9)*1000000000+IFERROR(MATCH('ORDENES'!$AH389,lista_turnos,0),9)*10000000+IFERROR(MATCH('ORDENES'!$AG389,tblTecnicos[nombre],0),99)*100000+386,9000000000000+386)</f>
        <v/>
      </c>
      <c r="M393" s="5">
        <f>IF(K393=1,SUMPRODUCT(--($L$8:$L$1207&lt;L393))+1,"")</f>
        <v/>
      </c>
      <c r="N393" s="17">
        <f>IF(K393=1,N('ORDENES'!$M389),0)</f>
        <v/>
      </c>
      <c r="O393" s="17">
        <f>IF('ORDENES'!$U389="preventiva",N393,0)</f>
        <v/>
      </c>
      <c r="P393" s="17">
        <f>IF('ORDENES'!$U389="correctiva",N393,0)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22">
        <f>IF(K393=1,'ORDENES'!$J389,"")</f>
        <v/>
      </c>
    </row>
    <row r="394">
      <c r="K394" s="5">
        <f>IF(AND(IF($B$3="(todos)",TRUE,'ORDENES'!$O390=$B$3),IF($D$3="(todos)",TRUE,'ORDENES'!$AH390=$D$3),IF($F$3="(todos)",TRUE,'ORDENES'!$Z390=$F$3),IF($H$3="(todos)",TRUE,'ORDENES'!$Y390=$H$3),'ORDENES'!$AF390=TRUE,'ORDENES'!$A390&lt;&gt;""),1,0)</f>
        <v/>
      </c>
      <c r="L394" s="5">
        <f>IF(K394=1,IFERROR(MATCH('ORDENES'!$S390,lista_dias,0),9)*1000000000+IFERROR(MATCH('ORDENES'!$AH390,lista_turnos,0),9)*10000000+IFERROR(MATCH('ORDENES'!$AG390,tblTecnicos[nombre],0),99)*100000+387,9000000000000+387)</f>
        <v/>
      </c>
      <c r="M394" s="5">
        <f>IF(K394=1,SUMPRODUCT(--($L$8:$L$1207&lt;L394))+1,"")</f>
        <v/>
      </c>
      <c r="N394" s="17">
        <f>IF(K394=1,N('ORDENES'!$M390),0)</f>
        <v/>
      </c>
      <c r="O394" s="17">
        <f>IF('ORDENES'!$U390="preventiva",N394,0)</f>
        <v/>
      </c>
      <c r="P394" s="17">
        <f>IF('ORDENES'!$U390="correctiva",N394,0)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22">
        <f>IF(K394=1,'ORDENES'!$J390,"")</f>
        <v/>
      </c>
    </row>
    <row r="395">
      <c r="K395" s="5">
        <f>IF(AND(IF($B$3="(todos)",TRUE,'ORDENES'!$O391=$B$3),IF($D$3="(todos)",TRUE,'ORDENES'!$AH391=$D$3),IF($F$3="(todos)",TRUE,'ORDENES'!$Z391=$F$3),IF($H$3="(todos)",TRUE,'ORDENES'!$Y391=$H$3),'ORDENES'!$AF391=TRUE,'ORDENES'!$A391&lt;&gt;""),1,0)</f>
        <v/>
      </c>
      <c r="L395" s="5">
        <f>IF(K395=1,IFERROR(MATCH('ORDENES'!$S391,lista_dias,0),9)*1000000000+IFERROR(MATCH('ORDENES'!$AH391,lista_turnos,0),9)*10000000+IFERROR(MATCH('ORDENES'!$AG391,tblTecnicos[nombre],0),99)*100000+388,9000000000000+388)</f>
        <v/>
      </c>
      <c r="M395" s="5">
        <f>IF(K395=1,SUMPRODUCT(--($L$8:$L$1207&lt;L395))+1,"")</f>
        <v/>
      </c>
      <c r="N395" s="17">
        <f>IF(K395=1,N('ORDENES'!$M391),0)</f>
        <v/>
      </c>
      <c r="O395" s="17">
        <f>IF('ORDENES'!$U391="preventiva",N395,0)</f>
        <v/>
      </c>
      <c r="P395" s="17">
        <f>IF('ORDENES'!$U391="correctiva",N395,0)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22">
        <f>IF(K395=1,'ORDENES'!$J391,"")</f>
        <v/>
      </c>
    </row>
    <row r="396">
      <c r="K396" s="5">
        <f>IF(AND(IF($B$3="(todos)",TRUE,'ORDENES'!$O392=$B$3),IF($D$3="(todos)",TRUE,'ORDENES'!$AH392=$D$3),IF($F$3="(todos)",TRUE,'ORDENES'!$Z392=$F$3),IF($H$3="(todos)",TRUE,'ORDENES'!$Y392=$H$3),'ORDENES'!$AF392=TRUE,'ORDENES'!$A392&lt;&gt;""),1,0)</f>
        <v/>
      </c>
      <c r="L396" s="5">
        <f>IF(K396=1,IFERROR(MATCH('ORDENES'!$S392,lista_dias,0),9)*1000000000+IFERROR(MATCH('ORDENES'!$AH392,lista_turnos,0),9)*10000000+IFERROR(MATCH('ORDENES'!$AG392,tblTecnicos[nombre],0),99)*100000+389,9000000000000+389)</f>
        <v/>
      </c>
      <c r="M396" s="5">
        <f>IF(K396=1,SUMPRODUCT(--($L$8:$L$1207&lt;L396))+1,"")</f>
        <v/>
      </c>
      <c r="N396" s="17">
        <f>IF(K396=1,N('ORDENES'!$M392),0)</f>
        <v/>
      </c>
      <c r="O396" s="17">
        <f>IF('ORDENES'!$U392="preventiva",N396,0)</f>
        <v/>
      </c>
      <c r="P396" s="17">
        <f>IF('ORDENES'!$U392="correctiva",N396,0)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22">
        <f>IF(K396=1,'ORDENES'!$J392,"")</f>
        <v/>
      </c>
    </row>
    <row r="397">
      <c r="K397" s="5">
        <f>IF(AND(IF($B$3="(todos)",TRUE,'ORDENES'!$O393=$B$3),IF($D$3="(todos)",TRUE,'ORDENES'!$AH393=$D$3),IF($F$3="(todos)",TRUE,'ORDENES'!$Z393=$F$3),IF($H$3="(todos)",TRUE,'ORDENES'!$Y393=$H$3),'ORDENES'!$AF393=TRUE,'ORDENES'!$A393&lt;&gt;""),1,0)</f>
        <v/>
      </c>
      <c r="L397" s="5">
        <f>IF(K397=1,IFERROR(MATCH('ORDENES'!$S393,lista_dias,0),9)*1000000000+IFERROR(MATCH('ORDENES'!$AH393,lista_turnos,0),9)*10000000+IFERROR(MATCH('ORDENES'!$AG393,tblTecnicos[nombre],0),99)*100000+390,9000000000000+390)</f>
        <v/>
      </c>
      <c r="M397" s="5">
        <f>IF(K397=1,SUMPRODUCT(--($L$8:$L$1207&lt;L397))+1,"")</f>
        <v/>
      </c>
      <c r="N397" s="17">
        <f>IF(K397=1,N('ORDENES'!$M393),0)</f>
        <v/>
      </c>
      <c r="O397" s="17">
        <f>IF('ORDENES'!$U393="preventiva",N397,0)</f>
        <v/>
      </c>
      <c r="P397" s="17">
        <f>IF('ORDENES'!$U393="correctiva",N397,0)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22">
        <f>IF(K397=1,'ORDENES'!$J393,"")</f>
        <v/>
      </c>
    </row>
    <row r="398">
      <c r="K398" s="5">
        <f>IF(AND(IF($B$3="(todos)",TRUE,'ORDENES'!$O394=$B$3),IF($D$3="(todos)",TRUE,'ORDENES'!$AH394=$D$3),IF($F$3="(todos)",TRUE,'ORDENES'!$Z394=$F$3),IF($H$3="(todos)",TRUE,'ORDENES'!$Y394=$H$3),'ORDENES'!$AF394=TRUE,'ORDENES'!$A394&lt;&gt;""),1,0)</f>
        <v/>
      </c>
      <c r="L398" s="5">
        <f>IF(K398=1,IFERROR(MATCH('ORDENES'!$S394,lista_dias,0),9)*1000000000+IFERROR(MATCH('ORDENES'!$AH394,lista_turnos,0),9)*10000000+IFERROR(MATCH('ORDENES'!$AG394,tblTecnicos[nombre],0),99)*100000+391,9000000000000+391)</f>
        <v/>
      </c>
      <c r="M398" s="5">
        <f>IF(K398=1,SUMPRODUCT(--($L$8:$L$1207&lt;L398))+1,"")</f>
        <v/>
      </c>
      <c r="N398" s="17">
        <f>IF(K398=1,N('ORDENES'!$M394),0)</f>
        <v/>
      </c>
      <c r="O398" s="17">
        <f>IF('ORDENES'!$U394="preventiva",N398,0)</f>
        <v/>
      </c>
      <c r="P398" s="17">
        <f>IF('ORDENES'!$U394="correctiva",N398,0)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22">
        <f>IF(K398=1,'ORDENES'!$J394,"")</f>
        <v/>
      </c>
    </row>
    <row r="399">
      <c r="K399" s="5">
        <f>IF(AND(IF($B$3="(todos)",TRUE,'ORDENES'!$O395=$B$3),IF($D$3="(todos)",TRUE,'ORDENES'!$AH395=$D$3),IF($F$3="(todos)",TRUE,'ORDENES'!$Z395=$F$3),IF($H$3="(todos)",TRUE,'ORDENES'!$Y395=$H$3),'ORDENES'!$AF395=TRUE,'ORDENES'!$A395&lt;&gt;""),1,0)</f>
        <v/>
      </c>
      <c r="L399" s="5">
        <f>IF(K399=1,IFERROR(MATCH('ORDENES'!$S395,lista_dias,0),9)*1000000000+IFERROR(MATCH('ORDENES'!$AH395,lista_turnos,0),9)*10000000+IFERROR(MATCH('ORDENES'!$AG395,tblTecnicos[nombre],0),99)*100000+392,9000000000000+392)</f>
        <v/>
      </c>
      <c r="M399" s="5">
        <f>IF(K399=1,SUMPRODUCT(--($L$8:$L$1207&lt;L399))+1,"")</f>
        <v/>
      </c>
      <c r="N399" s="17">
        <f>IF(K399=1,N('ORDENES'!$M395),0)</f>
        <v/>
      </c>
      <c r="O399" s="17">
        <f>IF('ORDENES'!$U395="preventiva",N399,0)</f>
        <v/>
      </c>
      <c r="P399" s="17">
        <f>IF('ORDENES'!$U395="correctiva",N399,0)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22">
        <f>IF(K399=1,'ORDENES'!$J395,"")</f>
        <v/>
      </c>
    </row>
    <row r="400">
      <c r="K400" s="5">
        <f>IF(AND(IF($B$3="(todos)",TRUE,'ORDENES'!$O396=$B$3),IF($D$3="(todos)",TRUE,'ORDENES'!$AH396=$D$3),IF($F$3="(todos)",TRUE,'ORDENES'!$Z396=$F$3),IF($H$3="(todos)",TRUE,'ORDENES'!$Y396=$H$3),'ORDENES'!$AF396=TRUE,'ORDENES'!$A396&lt;&gt;""),1,0)</f>
        <v/>
      </c>
      <c r="L400" s="5">
        <f>IF(K400=1,IFERROR(MATCH('ORDENES'!$S396,lista_dias,0),9)*1000000000+IFERROR(MATCH('ORDENES'!$AH396,lista_turnos,0),9)*10000000+IFERROR(MATCH('ORDENES'!$AG396,tblTecnicos[nombre],0),99)*100000+393,9000000000000+393)</f>
        <v/>
      </c>
      <c r="M400" s="5">
        <f>IF(K400=1,SUMPRODUCT(--($L$8:$L$1207&lt;L400))+1,"")</f>
        <v/>
      </c>
      <c r="N400" s="17">
        <f>IF(K400=1,N('ORDENES'!$M396),0)</f>
        <v/>
      </c>
      <c r="O400" s="17">
        <f>IF('ORDENES'!$U396="preventiva",N400,0)</f>
        <v/>
      </c>
      <c r="P400" s="17">
        <f>IF('ORDENES'!$U396="correctiva",N400,0)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22">
        <f>IF(K400=1,'ORDENES'!$J396,"")</f>
        <v/>
      </c>
    </row>
    <row r="401">
      <c r="K401" s="5">
        <f>IF(AND(IF($B$3="(todos)",TRUE,'ORDENES'!$O397=$B$3),IF($D$3="(todos)",TRUE,'ORDENES'!$AH397=$D$3),IF($F$3="(todos)",TRUE,'ORDENES'!$Z397=$F$3),IF($H$3="(todos)",TRUE,'ORDENES'!$Y397=$H$3),'ORDENES'!$AF397=TRUE,'ORDENES'!$A397&lt;&gt;""),1,0)</f>
        <v/>
      </c>
      <c r="L401" s="5">
        <f>IF(K401=1,IFERROR(MATCH('ORDENES'!$S397,lista_dias,0),9)*1000000000+IFERROR(MATCH('ORDENES'!$AH397,lista_turnos,0),9)*10000000+IFERROR(MATCH('ORDENES'!$AG397,tblTecnicos[nombre],0),99)*100000+394,9000000000000+394)</f>
        <v/>
      </c>
      <c r="M401" s="5">
        <f>IF(K401=1,SUMPRODUCT(--($L$8:$L$1207&lt;L401))+1,"")</f>
        <v/>
      </c>
      <c r="N401" s="17">
        <f>IF(K401=1,N('ORDENES'!$M397),0)</f>
        <v/>
      </c>
      <c r="O401" s="17">
        <f>IF('ORDENES'!$U397="preventiva",N401,0)</f>
        <v/>
      </c>
      <c r="P401" s="17">
        <f>IF('ORDENES'!$U397="correctiva",N401,0)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22">
        <f>IF(K401=1,'ORDENES'!$J397,"")</f>
        <v/>
      </c>
    </row>
    <row r="402">
      <c r="K402" s="5">
        <f>IF(AND(IF($B$3="(todos)",TRUE,'ORDENES'!$O398=$B$3),IF($D$3="(todos)",TRUE,'ORDENES'!$AH398=$D$3),IF($F$3="(todos)",TRUE,'ORDENES'!$Z398=$F$3),IF($H$3="(todos)",TRUE,'ORDENES'!$Y398=$H$3),'ORDENES'!$AF398=TRUE,'ORDENES'!$A398&lt;&gt;""),1,0)</f>
        <v/>
      </c>
      <c r="L402" s="5">
        <f>IF(K402=1,IFERROR(MATCH('ORDENES'!$S398,lista_dias,0),9)*1000000000+IFERROR(MATCH('ORDENES'!$AH398,lista_turnos,0),9)*10000000+IFERROR(MATCH('ORDENES'!$AG398,tblTecnicos[nombre],0),99)*100000+395,9000000000000+395)</f>
        <v/>
      </c>
      <c r="M402" s="5">
        <f>IF(K402=1,SUMPRODUCT(--($L$8:$L$1207&lt;L402))+1,"")</f>
        <v/>
      </c>
      <c r="N402" s="17">
        <f>IF(K402=1,N('ORDENES'!$M398),0)</f>
        <v/>
      </c>
      <c r="O402" s="17">
        <f>IF('ORDENES'!$U398="preventiva",N402,0)</f>
        <v/>
      </c>
      <c r="P402" s="17">
        <f>IF('ORDENES'!$U398="correctiva",N402,0)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22">
        <f>IF(K402=1,'ORDENES'!$J398,"")</f>
        <v/>
      </c>
    </row>
    <row r="403">
      <c r="K403" s="5">
        <f>IF(AND(IF($B$3="(todos)",TRUE,'ORDENES'!$O399=$B$3),IF($D$3="(todos)",TRUE,'ORDENES'!$AH399=$D$3),IF($F$3="(todos)",TRUE,'ORDENES'!$Z399=$F$3),IF($H$3="(todos)",TRUE,'ORDENES'!$Y399=$H$3),'ORDENES'!$AF399=TRUE,'ORDENES'!$A399&lt;&gt;""),1,0)</f>
        <v/>
      </c>
      <c r="L403" s="5">
        <f>IF(K403=1,IFERROR(MATCH('ORDENES'!$S399,lista_dias,0),9)*1000000000+IFERROR(MATCH('ORDENES'!$AH399,lista_turnos,0),9)*10000000+IFERROR(MATCH('ORDENES'!$AG399,tblTecnicos[nombre],0),99)*100000+396,9000000000000+396)</f>
        <v/>
      </c>
      <c r="M403" s="5">
        <f>IF(K403=1,SUMPRODUCT(--($L$8:$L$1207&lt;L403))+1,"")</f>
        <v/>
      </c>
      <c r="N403" s="17">
        <f>IF(K403=1,N('ORDENES'!$M399),0)</f>
        <v/>
      </c>
      <c r="O403" s="17">
        <f>IF('ORDENES'!$U399="preventiva",N403,0)</f>
        <v/>
      </c>
      <c r="P403" s="17">
        <f>IF('ORDENES'!$U399="correctiva",N403,0)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22">
        <f>IF(K403=1,'ORDENES'!$J399,"")</f>
        <v/>
      </c>
    </row>
    <row r="404">
      <c r="K404" s="5">
        <f>IF(AND(IF($B$3="(todos)",TRUE,'ORDENES'!$O400=$B$3),IF($D$3="(todos)",TRUE,'ORDENES'!$AH400=$D$3),IF($F$3="(todos)",TRUE,'ORDENES'!$Z400=$F$3),IF($H$3="(todos)",TRUE,'ORDENES'!$Y400=$H$3),'ORDENES'!$AF400=TRUE,'ORDENES'!$A400&lt;&gt;""),1,0)</f>
        <v/>
      </c>
      <c r="L404" s="5">
        <f>IF(K404=1,IFERROR(MATCH('ORDENES'!$S400,lista_dias,0),9)*1000000000+IFERROR(MATCH('ORDENES'!$AH400,lista_turnos,0),9)*10000000+IFERROR(MATCH('ORDENES'!$AG400,tblTecnicos[nombre],0),99)*100000+397,9000000000000+397)</f>
        <v/>
      </c>
      <c r="M404" s="5">
        <f>IF(K404=1,SUMPRODUCT(--($L$8:$L$1207&lt;L404))+1,"")</f>
        <v/>
      </c>
      <c r="N404" s="17">
        <f>IF(K404=1,N('ORDENES'!$M400),0)</f>
        <v/>
      </c>
      <c r="O404" s="17">
        <f>IF('ORDENES'!$U400="preventiva",N404,0)</f>
        <v/>
      </c>
      <c r="P404" s="17">
        <f>IF('ORDENES'!$U400="correctiva",N404,0)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22">
        <f>IF(K404=1,'ORDENES'!$J400,"")</f>
        <v/>
      </c>
    </row>
    <row r="405">
      <c r="K405" s="5">
        <f>IF(AND(IF($B$3="(todos)",TRUE,'ORDENES'!$O401=$B$3),IF($D$3="(todos)",TRUE,'ORDENES'!$AH401=$D$3),IF($F$3="(todos)",TRUE,'ORDENES'!$Z401=$F$3),IF($H$3="(todos)",TRUE,'ORDENES'!$Y401=$H$3),'ORDENES'!$AF401=TRUE,'ORDENES'!$A401&lt;&gt;""),1,0)</f>
        <v/>
      </c>
      <c r="L405" s="5">
        <f>IF(K405=1,IFERROR(MATCH('ORDENES'!$S401,lista_dias,0),9)*1000000000+IFERROR(MATCH('ORDENES'!$AH401,lista_turnos,0),9)*10000000+IFERROR(MATCH('ORDENES'!$AG401,tblTecnicos[nombre],0),99)*100000+398,9000000000000+398)</f>
        <v/>
      </c>
      <c r="M405" s="5">
        <f>IF(K405=1,SUMPRODUCT(--($L$8:$L$1207&lt;L405))+1,"")</f>
        <v/>
      </c>
      <c r="N405" s="17">
        <f>IF(K405=1,N('ORDENES'!$M401),0)</f>
        <v/>
      </c>
      <c r="O405" s="17">
        <f>IF('ORDENES'!$U401="preventiva",N405,0)</f>
        <v/>
      </c>
      <c r="P405" s="17">
        <f>IF('ORDENES'!$U401="correctiva",N405,0)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22">
        <f>IF(K405=1,'ORDENES'!$J401,"")</f>
        <v/>
      </c>
    </row>
    <row r="406">
      <c r="K406" s="5">
        <f>IF(AND(IF($B$3="(todos)",TRUE,'ORDENES'!$O402=$B$3),IF($D$3="(todos)",TRUE,'ORDENES'!$AH402=$D$3),IF($F$3="(todos)",TRUE,'ORDENES'!$Z402=$F$3),IF($H$3="(todos)",TRUE,'ORDENES'!$Y402=$H$3),'ORDENES'!$AF402=TRUE,'ORDENES'!$A402&lt;&gt;""),1,0)</f>
        <v/>
      </c>
      <c r="L406" s="5">
        <f>IF(K406=1,IFERROR(MATCH('ORDENES'!$S402,lista_dias,0),9)*1000000000+IFERROR(MATCH('ORDENES'!$AH402,lista_turnos,0),9)*10000000+IFERROR(MATCH('ORDENES'!$AG402,tblTecnicos[nombre],0),99)*100000+399,9000000000000+399)</f>
        <v/>
      </c>
      <c r="M406" s="5">
        <f>IF(K406=1,SUMPRODUCT(--($L$8:$L$1207&lt;L406))+1,"")</f>
        <v/>
      </c>
      <c r="N406" s="17">
        <f>IF(K406=1,N('ORDENES'!$M402),0)</f>
        <v/>
      </c>
      <c r="O406" s="17">
        <f>IF('ORDENES'!$U402="preventiva",N406,0)</f>
        <v/>
      </c>
      <c r="P406" s="17">
        <f>IF('ORDENES'!$U402="correctiva",N406,0)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22">
        <f>IF(K406=1,'ORDENES'!$J402,"")</f>
        <v/>
      </c>
    </row>
    <row r="407">
      <c r="K407" s="5">
        <f>IF(AND(IF($B$3="(todos)",TRUE,'ORDENES'!$O403=$B$3),IF($D$3="(todos)",TRUE,'ORDENES'!$AH403=$D$3),IF($F$3="(todos)",TRUE,'ORDENES'!$Z403=$F$3),IF($H$3="(todos)",TRUE,'ORDENES'!$Y403=$H$3),'ORDENES'!$AF403=TRUE,'ORDENES'!$A403&lt;&gt;""),1,0)</f>
        <v/>
      </c>
      <c r="L407" s="5">
        <f>IF(K407=1,IFERROR(MATCH('ORDENES'!$S403,lista_dias,0),9)*1000000000+IFERROR(MATCH('ORDENES'!$AH403,lista_turnos,0),9)*10000000+IFERROR(MATCH('ORDENES'!$AG403,tblTecnicos[nombre],0),99)*100000+400,9000000000000+400)</f>
        <v/>
      </c>
      <c r="M407" s="5">
        <f>IF(K407=1,SUMPRODUCT(--($L$8:$L$1207&lt;L407))+1,"")</f>
        <v/>
      </c>
      <c r="N407" s="17">
        <f>IF(K407=1,N('ORDENES'!$M403),0)</f>
        <v/>
      </c>
      <c r="O407" s="17">
        <f>IF('ORDENES'!$U403="preventiva",N407,0)</f>
        <v/>
      </c>
      <c r="P407" s="17">
        <f>IF('ORDENES'!$U403="correctiva",N407,0)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22">
        <f>IF(K407=1,'ORDENES'!$J403,"")</f>
        <v/>
      </c>
    </row>
    <row r="408">
      <c r="K408" s="5">
        <f>IF(AND(IF($B$3="(todos)",TRUE,'ORDENES'!$O404=$B$3),IF($D$3="(todos)",TRUE,'ORDENES'!$AH404=$D$3),IF($F$3="(todos)",TRUE,'ORDENES'!$Z404=$F$3),IF($H$3="(todos)",TRUE,'ORDENES'!$Y404=$H$3),'ORDENES'!$AF404=TRUE,'ORDENES'!$A404&lt;&gt;""),1,0)</f>
        <v/>
      </c>
      <c r="L408" s="5">
        <f>IF(K408=1,IFERROR(MATCH('ORDENES'!$S404,lista_dias,0),9)*1000000000+IFERROR(MATCH('ORDENES'!$AH404,lista_turnos,0),9)*10000000+IFERROR(MATCH('ORDENES'!$AG404,tblTecnicos[nombre],0),99)*100000+401,9000000000000+401)</f>
        <v/>
      </c>
      <c r="M408" s="5">
        <f>IF(K408=1,SUMPRODUCT(--($L$8:$L$1207&lt;L408))+1,"")</f>
        <v/>
      </c>
      <c r="N408" s="17">
        <f>IF(K408=1,N('ORDENES'!$M404),0)</f>
        <v/>
      </c>
      <c r="O408" s="17">
        <f>IF('ORDENES'!$U404="preventiva",N408,0)</f>
        <v/>
      </c>
      <c r="P408" s="17">
        <f>IF('ORDENES'!$U404="correctiva",N408,0)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22">
        <f>IF(K408=1,'ORDENES'!$J404,"")</f>
        <v/>
      </c>
    </row>
    <row r="409">
      <c r="K409" s="5">
        <f>IF(AND(IF($B$3="(todos)",TRUE,'ORDENES'!$O405=$B$3),IF($D$3="(todos)",TRUE,'ORDENES'!$AH405=$D$3),IF($F$3="(todos)",TRUE,'ORDENES'!$Z405=$F$3),IF($H$3="(todos)",TRUE,'ORDENES'!$Y405=$H$3),'ORDENES'!$AF405=TRUE,'ORDENES'!$A405&lt;&gt;""),1,0)</f>
        <v/>
      </c>
      <c r="L409" s="5">
        <f>IF(K409=1,IFERROR(MATCH('ORDENES'!$S405,lista_dias,0),9)*1000000000+IFERROR(MATCH('ORDENES'!$AH405,lista_turnos,0),9)*10000000+IFERROR(MATCH('ORDENES'!$AG405,tblTecnicos[nombre],0),99)*100000+402,9000000000000+402)</f>
        <v/>
      </c>
      <c r="M409" s="5">
        <f>IF(K409=1,SUMPRODUCT(--($L$8:$L$1207&lt;L409))+1,"")</f>
        <v/>
      </c>
      <c r="N409" s="17">
        <f>IF(K409=1,N('ORDENES'!$M405),0)</f>
        <v/>
      </c>
      <c r="O409" s="17">
        <f>IF('ORDENES'!$U405="preventiva",N409,0)</f>
        <v/>
      </c>
      <c r="P409" s="17">
        <f>IF('ORDENES'!$U405="correctiva",N409,0)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22">
        <f>IF(K409=1,'ORDENES'!$J405,"")</f>
        <v/>
      </c>
    </row>
    <row r="410">
      <c r="K410" s="5">
        <f>IF(AND(IF($B$3="(todos)",TRUE,'ORDENES'!$O406=$B$3),IF($D$3="(todos)",TRUE,'ORDENES'!$AH406=$D$3),IF($F$3="(todos)",TRUE,'ORDENES'!$Z406=$F$3),IF($H$3="(todos)",TRUE,'ORDENES'!$Y406=$H$3),'ORDENES'!$AF406=TRUE,'ORDENES'!$A406&lt;&gt;""),1,0)</f>
        <v/>
      </c>
      <c r="L410" s="5">
        <f>IF(K410=1,IFERROR(MATCH('ORDENES'!$S406,lista_dias,0),9)*1000000000+IFERROR(MATCH('ORDENES'!$AH406,lista_turnos,0),9)*10000000+IFERROR(MATCH('ORDENES'!$AG406,tblTecnicos[nombre],0),99)*100000+403,9000000000000+403)</f>
        <v/>
      </c>
      <c r="M410" s="5">
        <f>IF(K410=1,SUMPRODUCT(--($L$8:$L$1207&lt;L410))+1,"")</f>
        <v/>
      </c>
      <c r="N410" s="17">
        <f>IF(K410=1,N('ORDENES'!$M406),0)</f>
        <v/>
      </c>
      <c r="O410" s="17">
        <f>IF('ORDENES'!$U406="preventiva",N410,0)</f>
        <v/>
      </c>
      <c r="P410" s="17">
        <f>IF('ORDENES'!$U406="correctiva",N410,0)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22">
        <f>IF(K410=1,'ORDENES'!$J406,"")</f>
        <v/>
      </c>
    </row>
    <row r="411">
      <c r="K411" s="5">
        <f>IF(AND(IF($B$3="(todos)",TRUE,'ORDENES'!$O407=$B$3),IF($D$3="(todos)",TRUE,'ORDENES'!$AH407=$D$3),IF($F$3="(todos)",TRUE,'ORDENES'!$Z407=$F$3),IF($H$3="(todos)",TRUE,'ORDENES'!$Y407=$H$3),'ORDENES'!$AF407=TRUE,'ORDENES'!$A407&lt;&gt;""),1,0)</f>
        <v/>
      </c>
      <c r="L411" s="5">
        <f>IF(K411=1,IFERROR(MATCH('ORDENES'!$S407,lista_dias,0),9)*1000000000+IFERROR(MATCH('ORDENES'!$AH407,lista_turnos,0),9)*10000000+IFERROR(MATCH('ORDENES'!$AG407,tblTecnicos[nombre],0),99)*100000+404,9000000000000+404)</f>
        <v/>
      </c>
      <c r="M411" s="5">
        <f>IF(K411=1,SUMPRODUCT(--($L$8:$L$1207&lt;L411))+1,"")</f>
        <v/>
      </c>
      <c r="N411" s="17">
        <f>IF(K411=1,N('ORDENES'!$M407),0)</f>
        <v/>
      </c>
      <c r="O411" s="17">
        <f>IF('ORDENES'!$U407="preventiva",N411,0)</f>
        <v/>
      </c>
      <c r="P411" s="17">
        <f>IF('ORDENES'!$U407="correctiva",N411,0)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22">
        <f>IF(K411=1,'ORDENES'!$J407,"")</f>
        <v/>
      </c>
    </row>
    <row r="412">
      <c r="K412" s="5">
        <f>IF(AND(IF($B$3="(todos)",TRUE,'ORDENES'!$O408=$B$3),IF($D$3="(todos)",TRUE,'ORDENES'!$AH408=$D$3),IF($F$3="(todos)",TRUE,'ORDENES'!$Z408=$F$3),IF($H$3="(todos)",TRUE,'ORDENES'!$Y408=$H$3),'ORDENES'!$AF408=TRUE,'ORDENES'!$A408&lt;&gt;""),1,0)</f>
        <v/>
      </c>
      <c r="L412" s="5">
        <f>IF(K412=1,IFERROR(MATCH('ORDENES'!$S408,lista_dias,0),9)*1000000000+IFERROR(MATCH('ORDENES'!$AH408,lista_turnos,0),9)*10000000+IFERROR(MATCH('ORDENES'!$AG408,tblTecnicos[nombre],0),99)*100000+405,9000000000000+405)</f>
        <v/>
      </c>
      <c r="M412" s="5">
        <f>IF(K412=1,SUMPRODUCT(--($L$8:$L$1207&lt;L412))+1,"")</f>
        <v/>
      </c>
      <c r="N412" s="17">
        <f>IF(K412=1,N('ORDENES'!$M408),0)</f>
        <v/>
      </c>
      <c r="O412" s="17">
        <f>IF('ORDENES'!$U408="preventiva",N412,0)</f>
        <v/>
      </c>
      <c r="P412" s="17">
        <f>IF('ORDENES'!$U408="correctiva",N412,0)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22">
        <f>IF(K412=1,'ORDENES'!$J408,"")</f>
        <v/>
      </c>
    </row>
    <row r="413">
      <c r="K413" s="5">
        <f>IF(AND(IF($B$3="(todos)",TRUE,'ORDENES'!$O409=$B$3),IF($D$3="(todos)",TRUE,'ORDENES'!$AH409=$D$3),IF($F$3="(todos)",TRUE,'ORDENES'!$Z409=$F$3),IF($H$3="(todos)",TRUE,'ORDENES'!$Y409=$H$3),'ORDENES'!$AF409=TRUE,'ORDENES'!$A409&lt;&gt;""),1,0)</f>
        <v/>
      </c>
      <c r="L413" s="5">
        <f>IF(K413=1,IFERROR(MATCH('ORDENES'!$S409,lista_dias,0),9)*1000000000+IFERROR(MATCH('ORDENES'!$AH409,lista_turnos,0),9)*10000000+IFERROR(MATCH('ORDENES'!$AG409,tblTecnicos[nombre],0),99)*100000+406,9000000000000+406)</f>
        <v/>
      </c>
      <c r="M413" s="5">
        <f>IF(K413=1,SUMPRODUCT(--($L$8:$L$1207&lt;L413))+1,"")</f>
        <v/>
      </c>
      <c r="N413" s="17">
        <f>IF(K413=1,N('ORDENES'!$M409),0)</f>
        <v/>
      </c>
      <c r="O413" s="17">
        <f>IF('ORDENES'!$U409="preventiva",N413,0)</f>
        <v/>
      </c>
      <c r="P413" s="17">
        <f>IF('ORDENES'!$U409="correctiva",N413,0)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22">
        <f>IF(K413=1,'ORDENES'!$J409,"")</f>
        <v/>
      </c>
    </row>
    <row r="414">
      <c r="K414" s="5">
        <f>IF(AND(IF($B$3="(todos)",TRUE,'ORDENES'!$O410=$B$3),IF($D$3="(todos)",TRUE,'ORDENES'!$AH410=$D$3),IF($F$3="(todos)",TRUE,'ORDENES'!$Z410=$F$3),IF($H$3="(todos)",TRUE,'ORDENES'!$Y410=$H$3),'ORDENES'!$AF410=TRUE,'ORDENES'!$A410&lt;&gt;""),1,0)</f>
        <v/>
      </c>
      <c r="L414" s="5">
        <f>IF(K414=1,IFERROR(MATCH('ORDENES'!$S410,lista_dias,0),9)*1000000000+IFERROR(MATCH('ORDENES'!$AH410,lista_turnos,0),9)*10000000+IFERROR(MATCH('ORDENES'!$AG410,tblTecnicos[nombre],0),99)*100000+407,9000000000000+407)</f>
        <v/>
      </c>
      <c r="M414" s="5">
        <f>IF(K414=1,SUMPRODUCT(--($L$8:$L$1207&lt;L414))+1,"")</f>
        <v/>
      </c>
      <c r="N414" s="17">
        <f>IF(K414=1,N('ORDENES'!$M410),0)</f>
        <v/>
      </c>
      <c r="O414" s="17">
        <f>IF('ORDENES'!$U410="preventiva",N414,0)</f>
        <v/>
      </c>
      <c r="P414" s="17">
        <f>IF('ORDENES'!$U410="correctiva",N414,0)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22">
        <f>IF(K414=1,'ORDENES'!$J410,"")</f>
        <v/>
      </c>
    </row>
    <row r="415">
      <c r="K415" s="5">
        <f>IF(AND(IF($B$3="(todos)",TRUE,'ORDENES'!$O411=$B$3),IF($D$3="(todos)",TRUE,'ORDENES'!$AH411=$D$3),IF($F$3="(todos)",TRUE,'ORDENES'!$Z411=$F$3),IF($H$3="(todos)",TRUE,'ORDENES'!$Y411=$H$3),'ORDENES'!$AF411=TRUE,'ORDENES'!$A411&lt;&gt;""),1,0)</f>
        <v/>
      </c>
      <c r="L415" s="5">
        <f>IF(K415=1,IFERROR(MATCH('ORDENES'!$S411,lista_dias,0),9)*1000000000+IFERROR(MATCH('ORDENES'!$AH411,lista_turnos,0),9)*10000000+IFERROR(MATCH('ORDENES'!$AG411,tblTecnicos[nombre],0),99)*100000+408,9000000000000+408)</f>
        <v/>
      </c>
      <c r="M415" s="5">
        <f>IF(K415=1,SUMPRODUCT(--($L$8:$L$1207&lt;L415))+1,"")</f>
        <v/>
      </c>
      <c r="N415" s="17">
        <f>IF(K415=1,N('ORDENES'!$M411),0)</f>
        <v/>
      </c>
      <c r="O415" s="17">
        <f>IF('ORDENES'!$U411="preventiva",N415,0)</f>
        <v/>
      </c>
      <c r="P415" s="17">
        <f>IF('ORDENES'!$U411="correctiva",N415,0)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22">
        <f>IF(K415=1,'ORDENES'!$J411,"")</f>
        <v/>
      </c>
    </row>
    <row r="416">
      <c r="K416" s="5">
        <f>IF(AND(IF($B$3="(todos)",TRUE,'ORDENES'!$O412=$B$3),IF($D$3="(todos)",TRUE,'ORDENES'!$AH412=$D$3),IF($F$3="(todos)",TRUE,'ORDENES'!$Z412=$F$3),IF($H$3="(todos)",TRUE,'ORDENES'!$Y412=$H$3),'ORDENES'!$AF412=TRUE,'ORDENES'!$A412&lt;&gt;""),1,0)</f>
        <v/>
      </c>
      <c r="L416" s="5">
        <f>IF(K416=1,IFERROR(MATCH('ORDENES'!$S412,lista_dias,0),9)*1000000000+IFERROR(MATCH('ORDENES'!$AH412,lista_turnos,0),9)*10000000+IFERROR(MATCH('ORDENES'!$AG412,tblTecnicos[nombre],0),99)*100000+409,9000000000000+409)</f>
        <v/>
      </c>
      <c r="M416" s="5">
        <f>IF(K416=1,SUMPRODUCT(--($L$8:$L$1207&lt;L416))+1,"")</f>
        <v/>
      </c>
      <c r="N416" s="17">
        <f>IF(K416=1,N('ORDENES'!$M412),0)</f>
        <v/>
      </c>
      <c r="O416" s="17">
        <f>IF('ORDENES'!$U412="preventiva",N416,0)</f>
        <v/>
      </c>
      <c r="P416" s="17">
        <f>IF('ORDENES'!$U412="correctiva",N416,0)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22">
        <f>IF(K416=1,'ORDENES'!$J412,"")</f>
        <v/>
      </c>
    </row>
    <row r="417">
      <c r="K417" s="5">
        <f>IF(AND(IF($B$3="(todos)",TRUE,'ORDENES'!$O413=$B$3),IF($D$3="(todos)",TRUE,'ORDENES'!$AH413=$D$3),IF($F$3="(todos)",TRUE,'ORDENES'!$Z413=$F$3),IF($H$3="(todos)",TRUE,'ORDENES'!$Y413=$H$3),'ORDENES'!$AF413=TRUE,'ORDENES'!$A413&lt;&gt;""),1,0)</f>
        <v/>
      </c>
      <c r="L417" s="5">
        <f>IF(K417=1,IFERROR(MATCH('ORDENES'!$S413,lista_dias,0),9)*1000000000+IFERROR(MATCH('ORDENES'!$AH413,lista_turnos,0),9)*10000000+IFERROR(MATCH('ORDENES'!$AG413,tblTecnicos[nombre],0),99)*100000+410,9000000000000+410)</f>
        <v/>
      </c>
      <c r="M417" s="5">
        <f>IF(K417=1,SUMPRODUCT(--($L$8:$L$1207&lt;L417))+1,"")</f>
        <v/>
      </c>
      <c r="N417" s="17">
        <f>IF(K417=1,N('ORDENES'!$M413),0)</f>
        <v/>
      </c>
      <c r="O417" s="17">
        <f>IF('ORDENES'!$U413="preventiva",N417,0)</f>
        <v/>
      </c>
      <c r="P417" s="17">
        <f>IF('ORDENES'!$U413="correctiva",N417,0)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22">
        <f>IF(K417=1,'ORDENES'!$J413,"")</f>
        <v/>
      </c>
    </row>
    <row r="418">
      <c r="K418" s="5">
        <f>IF(AND(IF($B$3="(todos)",TRUE,'ORDENES'!$O414=$B$3),IF($D$3="(todos)",TRUE,'ORDENES'!$AH414=$D$3),IF($F$3="(todos)",TRUE,'ORDENES'!$Z414=$F$3),IF($H$3="(todos)",TRUE,'ORDENES'!$Y414=$H$3),'ORDENES'!$AF414=TRUE,'ORDENES'!$A414&lt;&gt;""),1,0)</f>
        <v/>
      </c>
      <c r="L418" s="5">
        <f>IF(K418=1,IFERROR(MATCH('ORDENES'!$S414,lista_dias,0),9)*1000000000+IFERROR(MATCH('ORDENES'!$AH414,lista_turnos,0),9)*10000000+IFERROR(MATCH('ORDENES'!$AG414,tblTecnicos[nombre],0),99)*100000+411,9000000000000+411)</f>
        <v/>
      </c>
      <c r="M418" s="5">
        <f>IF(K418=1,SUMPRODUCT(--($L$8:$L$1207&lt;L418))+1,"")</f>
        <v/>
      </c>
      <c r="N418" s="17">
        <f>IF(K418=1,N('ORDENES'!$M414),0)</f>
        <v/>
      </c>
      <c r="O418" s="17">
        <f>IF('ORDENES'!$U414="preventiva",N418,0)</f>
        <v/>
      </c>
      <c r="P418" s="17">
        <f>IF('ORDENES'!$U414="correctiva",N418,0)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22">
        <f>IF(K418=1,'ORDENES'!$J414,"")</f>
        <v/>
      </c>
    </row>
    <row r="419">
      <c r="K419" s="5">
        <f>IF(AND(IF($B$3="(todos)",TRUE,'ORDENES'!$O415=$B$3),IF($D$3="(todos)",TRUE,'ORDENES'!$AH415=$D$3),IF($F$3="(todos)",TRUE,'ORDENES'!$Z415=$F$3),IF($H$3="(todos)",TRUE,'ORDENES'!$Y415=$H$3),'ORDENES'!$AF415=TRUE,'ORDENES'!$A415&lt;&gt;""),1,0)</f>
        <v/>
      </c>
      <c r="L419" s="5">
        <f>IF(K419=1,IFERROR(MATCH('ORDENES'!$S415,lista_dias,0),9)*1000000000+IFERROR(MATCH('ORDENES'!$AH415,lista_turnos,0),9)*10000000+IFERROR(MATCH('ORDENES'!$AG415,tblTecnicos[nombre],0),99)*100000+412,9000000000000+412)</f>
        <v/>
      </c>
      <c r="M419" s="5">
        <f>IF(K419=1,SUMPRODUCT(--($L$8:$L$1207&lt;L419))+1,"")</f>
        <v/>
      </c>
      <c r="N419" s="17">
        <f>IF(K419=1,N('ORDENES'!$M415),0)</f>
        <v/>
      </c>
      <c r="O419" s="17">
        <f>IF('ORDENES'!$U415="preventiva",N419,0)</f>
        <v/>
      </c>
      <c r="P419" s="17">
        <f>IF('ORDENES'!$U415="correctiva",N419,0)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22">
        <f>IF(K419=1,'ORDENES'!$J415,"")</f>
        <v/>
      </c>
    </row>
    <row r="420">
      <c r="K420" s="5">
        <f>IF(AND(IF($B$3="(todos)",TRUE,'ORDENES'!$O416=$B$3),IF($D$3="(todos)",TRUE,'ORDENES'!$AH416=$D$3),IF($F$3="(todos)",TRUE,'ORDENES'!$Z416=$F$3),IF($H$3="(todos)",TRUE,'ORDENES'!$Y416=$H$3),'ORDENES'!$AF416=TRUE,'ORDENES'!$A416&lt;&gt;""),1,0)</f>
        <v/>
      </c>
      <c r="L420" s="5">
        <f>IF(K420=1,IFERROR(MATCH('ORDENES'!$S416,lista_dias,0),9)*1000000000+IFERROR(MATCH('ORDENES'!$AH416,lista_turnos,0),9)*10000000+IFERROR(MATCH('ORDENES'!$AG416,tblTecnicos[nombre],0),99)*100000+413,9000000000000+413)</f>
        <v/>
      </c>
      <c r="M420" s="5">
        <f>IF(K420=1,SUMPRODUCT(--($L$8:$L$1207&lt;L420))+1,"")</f>
        <v/>
      </c>
      <c r="N420" s="17">
        <f>IF(K420=1,N('ORDENES'!$M416),0)</f>
        <v/>
      </c>
      <c r="O420" s="17">
        <f>IF('ORDENES'!$U416="preventiva",N420,0)</f>
        <v/>
      </c>
      <c r="P420" s="17">
        <f>IF('ORDENES'!$U416="correctiva",N420,0)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22">
        <f>IF(K420=1,'ORDENES'!$J416,"")</f>
        <v/>
      </c>
    </row>
    <row r="421">
      <c r="K421" s="5">
        <f>IF(AND(IF($B$3="(todos)",TRUE,'ORDENES'!$O417=$B$3),IF($D$3="(todos)",TRUE,'ORDENES'!$AH417=$D$3),IF($F$3="(todos)",TRUE,'ORDENES'!$Z417=$F$3),IF($H$3="(todos)",TRUE,'ORDENES'!$Y417=$H$3),'ORDENES'!$AF417=TRUE,'ORDENES'!$A417&lt;&gt;""),1,0)</f>
        <v/>
      </c>
      <c r="L421" s="5">
        <f>IF(K421=1,IFERROR(MATCH('ORDENES'!$S417,lista_dias,0),9)*1000000000+IFERROR(MATCH('ORDENES'!$AH417,lista_turnos,0),9)*10000000+IFERROR(MATCH('ORDENES'!$AG417,tblTecnicos[nombre],0),99)*100000+414,9000000000000+414)</f>
        <v/>
      </c>
      <c r="M421" s="5">
        <f>IF(K421=1,SUMPRODUCT(--($L$8:$L$1207&lt;L421))+1,"")</f>
        <v/>
      </c>
      <c r="N421" s="17">
        <f>IF(K421=1,N('ORDENES'!$M417),0)</f>
        <v/>
      </c>
      <c r="O421" s="17">
        <f>IF('ORDENES'!$U417="preventiva",N421,0)</f>
        <v/>
      </c>
      <c r="P421" s="17">
        <f>IF('ORDENES'!$U417="correctiva",N421,0)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22">
        <f>IF(K421=1,'ORDENES'!$J417,"")</f>
        <v/>
      </c>
    </row>
    <row r="422">
      <c r="K422" s="5">
        <f>IF(AND(IF($B$3="(todos)",TRUE,'ORDENES'!$O418=$B$3),IF($D$3="(todos)",TRUE,'ORDENES'!$AH418=$D$3),IF($F$3="(todos)",TRUE,'ORDENES'!$Z418=$F$3),IF($H$3="(todos)",TRUE,'ORDENES'!$Y418=$H$3),'ORDENES'!$AF418=TRUE,'ORDENES'!$A418&lt;&gt;""),1,0)</f>
        <v/>
      </c>
      <c r="L422" s="5">
        <f>IF(K422=1,IFERROR(MATCH('ORDENES'!$S418,lista_dias,0),9)*1000000000+IFERROR(MATCH('ORDENES'!$AH418,lista_turnos,0),9)*10000000+IFERROR(MATCH('ORDENES'!$AG418,tblTecnicos[nombre],0),99)*100000+415,9000000000000+415)</f>
        <v/>
      </c>
      <c r="M422" s="5">
        <f>IF(K422=1,SUMPRODUCT(--($L$8:$L$1207&lt;L422))+1,"")</f>
        <v/>
      </c>
      <c r="N422" s="17">
        <f>IF(K422=1,N('ORDENES'!$M418),0)</f>
        <v/>
      </c>
      <c r="O422" s="17">
        <f>IF('ORDENES'!$U418="preventiva",N422,0)</f>
        <v/>
      </c>
      <c r="P422" s="17">
        <f>IF('ORDENES'!$U418="correctiva",N422,0)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22">
        <f>IF(K422=1,'ORDENES'!$J418,"")</f>
        <v/>
      </c>
    </row>
    <row r="423">
      <c r="K423" s="5">
        <f>IF(AND(IF($B$3="(todos)",TRUE,'ORDENES'!$O419=$B$3),IF($D$3="(todos)",TRUE,'ORDENES'!$AH419=$D$3),IF($F$3="(todos)",TRUE,'ORDENES'!$Z419=$F$3),IF($H$3="(todos)",TRUE,'ORDENES'!$Y419=$H$3),'ORDENES'!$AF419=TRUE,'ORDENES'!$A419&lt;&gt;""),1,0)</f>
        <v/>
      </c>
      <c r="L423" s="5">
        <f>IF(K423=1,IFERROR(MATCH('ORDENES'!$S419,lista_dias,0),9)*1000000000+IFERROR(MATCH('ORDENES'!$AH419,lista_turnos,0),9)*10000000+IFERROR(MATCH('ORDENES'!$AG419,tblTecnicos[nombre],0),99)*100000+416,9000000000000+416)</f>
        <v/>
      </c>
      <c r="M423" s="5">
        <f>IF(K423=1,SUMPRODUCT(--($L$8:$L$1207&lt;L423))+1,"")</f>
        <v/>
      </c>
      <c r="N423" s="17">
        <f>IF(K423=1,N('ORDENES'!$M419),0)</f>
        <v/>
      </c>
      <c r="O423" s="17">
        <f>IF('ORDENES'!$U419="preventiva",N423,0)</f>
        <v/>
      </c>
      <c r="P423" s="17">
        <f>IF('ORDENES'!$U419="correctiva",N423,0)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22">
        <f>IF(K423=1,'ORDENES'!$J419,"")</f>
        <v/>
      </c>
    </row>
    <row r="424">
      <c r="K424" s="5">
        <f>IF(AND(IF($B$3="(todos)",TRUE,'ORDENES'!$O420=$B$3),IF($D$3="(todos)",TRUE,'ORDENES'!$AH420=$D$3),IF($F$3="(todos)",TRUE,'ORDENES'!$Z420=$F$3),IF($H$3="(todos)",TRUE,'ORDENES'!$Y420=$H$3),'ORDENES'!$AF420=TRUE,'ORDENES'!$A420&lt;&gt;""),1,0)</f>
        <v/>
      </c>
      <c r="L424" s="5">
        <f>IF(K424=1,IFERROR(MATCH('ORDENES'!$S420,lista_dias,0),9)*1000000000+IFERROR(MATCH('ORDENES'!$AH420,lista_turnos,0),9)*10000000+IFERROR(MATCH('ORDENES'!$AG420,tblTecnicos[nombre],0),99)*100000+417,9000000000000+417)</f>
        <v/>
      </c>
      <c r="M424" s="5">
        <f>IF(K424=1,SUMPRODUCT(--($L$8:$L$1207&lt;L424))+1,"")</f>
        <v/>
      </c>
      <c r="N424" s="17">
        <f>IF(K424=1,N('ORDENES'!$M420),0)</f>
        <v/>
      </c>
      <c r="O424" s="17">
        <f>IF('ORDENES'!$U420="preventiva",N424,0)</f>
        <v/>
      </c>
      <c r="P424" s="17">
        <f>IF('ORDENES'!$U420="correctiva",N424,0)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22">
        <f>IF(K424=1,'ORDENES'!$J420,"")</f>
        <v/>
      </c>
    </row>
    <row r="425">
      <c r="K425" s="5">
        <f>IF(AND(IF($B$3="(todos)",TRUE,'ORDENES'!$O421=$B$3),IF($D$3="(todos)",TRUE,'ORDENES'!$AH421=$D$3),IF($F$3="(todos)",TRUE,'ORDENES'!$Z421=$F$3),IF($H$3="(todos)",TRUE,'ORDENES'!$Y421=$H$3),'ORDENES'!$AF421=TRUE,'ORDENES'!$A421&lt;&gt;""),1,0)</f>
        <v/>
      </c>
      <c r="L425" s="5">
        <f>IF(K425=1,IFERROR(MATCH('ORDENES'!$S421,lista_dias,0),9)*1000000000+IFERROR(MATCH('ORDENES'!$AH421,lista_turnos,0),9)*10000000+IFERROR(MATCH('ORDENES'!$AG421,tblTecnicos[nombre],0),99)*100000+418,9000000000000+418)</f>
        <v/>
      </c>
      <c r="M425" s="5">
        <f>IF(K425=1,SUMPRODUCT(--($L$8:$L$1207&lt;L425))+1,"")</f>
        <v/>
      </c>
      <c r="N425" s="17">
        <f>IF(K425=1,N('ORDENES'!$M421),0)</f>
        <v/>
      </c>
      <c r="O425" s="17">
        <f>IF('ORDENES'!$U421="preventiva",N425,0)</f>
        <v/>
      </c>
      <c r="P425" s="17">
        <f>IF('ORDENES'!$U421="correctiva",N425,0)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22">
        <f>IF(K425=1,'ORDENES'!$J421,"")</f>
        <v/>
      </c>
    </row>
    <row r="426">
      <c r="K426" s="5">
        <f>IF(AND(IF($B$3="(todos)",TRUE,'ORDENES'!$O422=$B$3),IF($D$3="(todos)",TRUE,'ORDENES'!$AH422=$D$3),IF($F$3="(todos)",TRUE,'ORDENES'!$Z422=$F$3),IF($H$3="(todos)",TRUE,'ORDENES'!$Y422=$H$3),'ORDENES'!$AF422=TRUE,'ORDENES'!$A422&lt;&gt;""),1,0)</f>
        <v/>
      </c>
      <c r="L426" s="5">
        <f>IF(K426=1,IFERROR(MATCH('ORDENES'!$S422,lista_dias,0),9)*1000000000+IFERROR(MATCH('ORDENES'!$AH422,lista_turnos,0),9)*10000000+IFERROR(MATCH('ORDENES'!$AG422,tblTecnicos[nombre],0),99)*100000+419,9000000000000+419)</f>
        <v/>
      </c>
      <c r="M426" s="5">
        <f>IF(K426=1,SUMPRODUCT(--($L$8:$L$1207&lt;L426))+1,"")</f>
        <v/>
      </c>
      <c r="N426" s="17">
        <f>IF(K426=1,N('ORDENES'!$M422),0)</f>
        <v/>
      </c>
      <c r="O426" s="17">
        <f>IF('ORDENES'!$U422="preventiva",N426,0)</f>
        <v/>
      </c>
      <c r="P426" s="17">
        <f>IF('ORDENES'!$U422="correctiva",N426,0)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22">
        <f>IF(K426=1,'ORDENES'!$J422,"")</f>
        <v/>
      </c>
    </row>
    <row r="427">
      <c r="K427" s="5">
        <f>IF(AND(IF($B$3="(todos)",TRUE,'ORDENES'!$O423=$B$3),IF($D$3="(todos)",TRUE,'ORDENES'!$AH423=$D$3),IF($F$3="(todos)",TRUE,'ORDENES'!$Z423=$F$3),IF($H$3="(todos)",TRUE,'ORDENES'!$Y423=$H$3),'ORDENES'!$AF423=TRUE,'ORDENES'!$A423&lt;&gt;""),1,0)</f>
        <v/>
      </c>
      <c r="L427" s="5">
        <f>IF(K427=1,IFERROR(MATCH('ORDENES'!$S423,lista_dias,0),9)*1000000000+IFERROR(MATCH('ORDENES'!$AH423,lista_turnos,0),9)*10000000+IFERROR(MATCH('ORDENES'!$AG423,tblTecnicos[nombre],0),99)*100000+420,9000000000000+420)</f>
        <v/>
      </c>
      <c r="M427" s="5">
        <f>IF(K427=1,SUMPRODUCT(--($L$8:$L$1207&lt;L427))+1,"")</f>
        <v/>
      </c>
      <c r="N427" s="17">
        <f>IF(K427=1,N('ORDENES'!$M423),0)</f>
        <v/>
      </c>
      <c r="O427" s="17">
        <f>IF('ORDENES'!$U423="preventiva",N427,0)</f>
        <v/>
      </c>
      <c r="P427" s="17">
        <f>IF('ORDENES'!$U423="correctiva",N427,0)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22">
        <f>IF(K427=1,'ORDENES'!$J423,"")</f>
        <v/>
      </c>
    </row>
    <row r="428">
      <c r="K428" s="5">
        <f>IF(AND(IF($B$3="(todos)",TRUE,'ORDENES'!$O424=$B$3),IF($D$3="(todos)",TRUE,'ORDENES'!$AH424=$D$3),IF($F$3="(todos)",TRUE,'ORDENES'!$Z424=$F$3),IF($H$3="(todos)",TRUE,'ORDENES'!$Y424=$H$3),'ORDENES'!$AF424=TRUE,'ORDENES'!$A424&lt;&gt;""),1,0)</f>
        <v/>
      </c>
      <c r="L428" s="5">
        <f>IF(K428=1,IFERROR(MATCH('ORDENES'!$S424,lista_dias,0),9)*1000000000+IFERROR(MATCH('ORDENES'!$AH424,lista_turnos,0),9)*10000000+IFERROR(MATCH('ORDENES'!$AG424,tblTecnicos[nombre],0),99)*100000+421,9000000000000+421)</f>
        <v/>
      </c>
      <c r="M428" s="5">
        <f>IF(K428=1,SUMPRODUCT(--($L$8:$L$1207&lt;L428))+1,"")</f>
        <v/>
      </c>
      <c r="N428" s="17">
        <f>IF(K428=1,N('ORDENES'!$M424),0)</f>
        <v/>
      </c>
      <c r="O428" s="17">
        <f>IF('ORDENES'!$U424="preventiva",N428,0)</f>
        <v/>
      </c>
      <c r="P428" s="17">
        <f>IF('ORDENES'!$U424="correctiva",N428,0)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22">
        <f>IF(K428=1,'ORDENES'!$J424,"")</f>
        <v/>
      </c>
    </row>
    <row r="429">
      <c r="K429" s="5">
        <f>IF(AND(IF($B$3="(todos)",TRUE,'ORDENES'!$O425=$B$3),IF($D$3="(todos)",TRUE,'ORDENES'!$AH425=$D$3),IF($F$3="(todos)",TRUE,'ORDENES'!$Z425=$F$3),IF($H$3="(todos)",TRUE,'ORDENES'!$Y425=$H$3),'ORDENES'!$AF425=TRUE,'ORDENES'!$A425&lt;&gt;""),1,0)</f>
        <v/>
      </c>
      <c r="L429" s="5">
        <f>IF(K429=1,IFERROR(MATCH('ORDENES'!$S425,lista_dias,0),9)*1000000000+IFERROR(MATCH('ORDENES'!$AH425,lista_turnos,0),9)*10000000+IFERROR(MATCH('ORDENES'!$AG425,tblTecnicos[nombre],0),99)*100000+422,9000000000000+422)</f>
        <v/>
      </c>
      <c r="M429" s="5">
        <f>IF(K429=1,SUMPRODUCT(--($L$8:$L$1207&lt;L429))+1,"")</f>
        <v/>
      </c>
      <c r="N429" s="17">
        <f>IF(K429=1,N('ORDENES'!$M425),0)</f>
        <v/>
      </c>
      <c r="O429" s="17">
        <f>IF('ORDENES'!$U425="preventiva",N429,0)</f>
        <v/>
      </c>
      <c r="P429" s="17">
        <f>IF('ORDENES'!$U425="correctiva",N429,0)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22">
        <f>IF(K429=1,'ORDENES'!$J425,"")</f>
        <v/>
      </c>
    </row>
    <row r="430">
      <c r="K430" s="5">
        <f>IF(AND(IF($B$3="(todos)",TRUE,'ORDENES'!$O426=$B$3),IF($D$3="(todos)",TRUE,'ORDENES'!$AH426=$D$3),IF($F$3="(todos)",TRUE,'ORDENES'!$Z426=$F$3),IF($H$3="(todos)",TRUE,'ORDENES'!$Y426=$H$3),'ORDENES'!$AF426=TRUE,'ORDENES'!$A426&lt;&gt;""),1,0)</f>
        <v/>
      </c>
      <c r="L430" s="5">
        <f>IF(K430=1,IFERROR(MATCH('ORDENES'!$S426,lista_dias,0),9)*1000000000+IFERROR(MATCH('ORDENES'!$AH426,lista_turnos,0),9)*10000000+IFERROR(MATCH('ORDENES'!$AG426,tblTecnicos[nombre],0),99)*100000+423,9000000000000+423)</f>
        <v/>
      </c>
      <c r="M430" s="5">
        <f>IF(K430=1,SUMPRODUCT(--($L$8:$L$1207&lt;L430))+1,"")</f>
        <v/>
      </c>
      <c r="N430" s="17">
        <f>IF(K430=1,N('ORDENES'!$M426),0)</f>
        <v/>
      </c>
      <c r="O430" s="17">
        <f>IF('ORDENES'!$U426="preventiva",N430,0)</f>
        <v/>
      </c>
      <c r="P430" s="17">
        <f>IF('ORDENES'!$U426="correctiva",N430,0)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22">
        <f>IF(K430=1,'ORDENES'!$J426,"")</f>
        <v/>
      </c>
    </row>
    <row r="431">
      <c r="K431" s="5">
        <f>IF(AND(IF($B$3="(todos)",TRUE,'ORDENES'!$O427=$B$3),IF($D$3="(todos)",TRUE,'ORDENES'!$AH427=$D$3),IF($F$3="(todos)",TRUE,'ORDENES'!$Z427=$F$3),IF($H$3="(todos)",TRUE,'ORDENES'!$Y427=$H$3),'ORDENES'!$AF427=TRUE,'ORDENES'!$A427&lt;&gt;""),1,0)</f>
        <v/>
      </c>
      <c r="L431" s="5">
        <f>IF(K431=1,IFERROR(MATCH('ORDENES'!$S427,lista_dias,0),9)*1000000000+IFERROR(MATCH('ORDENES'!$AH427,lista_turnos,0),9)*10000000+IFERROR(MATCH('ORDENES'!$AG427,tblTecnicos[nombre],0),99)*100000+424,9000000000000+424)</f>
        <v/>
      </c>
      <c r="M431" s="5">
        <f>IF(K431=1,SUMPRODUCT(--($L$8:$L$1207&lt;L431))+1,"")</f>
        <v/>
      </c>
      <c r="N431" s="17">
        <f>IF(K431=1,N('ORDENES'!$M427),0)</f>
        <v/>
      </c>
      <c r="O431" s="17">
        <f>IF('ORDENES'!$U427="preventiva",N431,0)</f>
        <v/>
      </c>
      <c r="P431" s="17">
        <f>IF('ORDENES'!$U427="correctiva",N431,0)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22">
        <f>IF(K431=1,'ORDENES'!$J427,"")</f>
        <v/>
      </c>
    </row>
    <row r="432">
      <c r="K432" s="5">
        <f>IF(AND(IF($B$3="(todos)",TRUE,'ORDENES'!$O428=$B$3),IF($D$3="(todos)",TRUE,'ORDENES'!$AH428=$D$3),IF($F$3="(todos)",TRUE,'ORDENES'!$Z428=$F$3),IF($H$3="(todos)",TRUE,'ORDENES'!$Y428=$H$3),'ORDENES'!$AF428=TRUE,'ORDENES'!$A428&lt;&gt;""),1,0)</f>
        <v/>
      </c>
      <c r="L432" s="5">
        <f>IF(K432=1,IFERROR(MATCH('ORDENES'!$S428,lista_dias,0),9)*1000000000+IFERROR(MATCH('ORDENES'!$AH428,lista_turnos,0),9)*10000000+IFERROR(MATCH('ORDENES'!$AG428,tblTecnicos[nombre],0),99)*100000+425,9000000000000+425)</f>
        <v/>
      </c>
      <c r="M432" s="5">
        <f>IF(K432=1,SUMPRODUCT(--($L$8:$L$1207&lt;L432))+1,"")</f>
        <v/>
      </c>
      <c r="N432" s="17">
        <f>IF(K432=1,N('ORDENES'!$M428),0)</f>
        <v/>
      </c>
      <c r="O432" s="17">
        <f>IF('ORDENES'!$U428="preventiva",N432,0)</f>
        <v/>
      </c>
      <c r="P432" s="17">
        <f>IF('ORDENES'!$U428="correctiva",N432,0)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22">
        <f>IF(K432=1,'ORDENES'!$J428,"")</f>
        <v/>
      </c>
    </row>
    <row r="433">
      <c r="K433" s="5">
        <f>IF(AND(IF($B$3="(todos)",TRUE,'ORDENES'!$O429=$B$3),IF($D$3="(todos)",TRUE,'ORDENES'!$AH429=$D$3),IF($F$3="(todos)",TRUE,'ORDENES'!$Z429=$F$3),IF($H$3="(todos)",TRUE,'ORDENES'!$Y429=$H$3),'ORDENES'!$AF429=TRUE,'ORDENES'!$A429&lt;&gt;""),1,0)</f>
        <v/>
      </c>
      <c r="L433" s="5">
        <f>IF(K433=1,IFERROR(MATCH('ORDENES'!$S429,lista_dias,0),9)*1000000000+IFERROR(MATCH('ORDENES'!$AH429,lista_turnos,0),9)*10000000+IFERROR(MATCH('ORDENES'!$AG429,tblTecnicos[nombre],0),99)*100000+426,9000000000000+426)</f>
        <v/>
      </c>
      <c r="M433" s="5">
        <f>IF(K433=1,SUMPRODUCT(--($L$8:$L$1207&lt;L433))+1,"")</f>
        <v/>
      </c>
      <c r="N433" s="17">
        <f>IF(K433=1,N('ORDENES'!$M429),0)</f>
        <v/>
      </c>
      <c r="O433" s="17">
        <f>IF('ORDENES'!$U429="preventiva",N433,0)</f>
        <v/>
      </c>
      <c r="P433" s="17">
        <f>IF('ORDENES'!$U429="correctiva",N433,0)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22">
        <f>IF(K433=1,'ORDENES'!$J429,"")</f>
        <v/>
      </c>
    </row>
    <row r="434">
      <c r="K434" s="5">
        <f>IF(AND(IF($B$3="(todos)",TRUE,'ORDENES'!$O430=$B$3),IF($D$3="(todos)",TRUE,'ORDENES'!$AH430=$D$3),IF($F$3="(todos)",TRUE,'ORDENES'!$Z430=$F$3),IF($H$3="(todos)",TRUE,'ORDENES'!$Y430=$H$3),'ORDENES'!$AF430=TRUE,'ORDENES'!$A430&lt;&gt;""),1,0)</f>
        <v/>
      </c>
      <c r="L434" s="5">
        <f>IF(K434=1,IFERROR(MATCH('ORDENES'!$S430,lista_dias,0),9)*1000000000+IFERROR(MATCH('ORDENES'!$AH430,lista_turnos,0),9)*10000000+IFERROR(MATCH('ORDENES'!$AG430,tblTecnicos[nombre],0),99)*100000+427,9000000000000+427)</f>
        <v/>
      </c>
      <c r="M434" s="5">
        <f>IF(K434=1,SUMPRODUCT(--($L$8:$L$1207&lt;L434))+1,"")</f>
        <v/>
      </c>
      <c r="N434" s="17">
        <f>IF(K434=1,N('ORDENES'!$M430),0)</f>
        <v/>
      </c>
      <c r="O434" s="17">
        <f>IF('ORDENES'!$U430="preventiva",N434,0)</f>
        <v/>
      </c>
      <c r="P434" s="17">
        <f>IF('ORDENES'!$U430="correctiva",N434,0)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22">
        <f>IF(K434=1,'ORDENES'!$J430,"")</f>
        <v/>
      </c>
    </row>
    <row r="435">
      <c r="K435" s="5">
        <f>IF(AND(IF($B$3="(todos)",TRUE,'ORDENES'!$O431=$B$3),IF($D$3="(todos)",TRUE,'ORDENES'!$AH431=$D$3),IF($F$3="(todos)",TRUE,'ORDENES'!$Z431=$F$3),IF($H$3="(todos)",TRUE,'ORDENES'!$Y431=$H$3),'ORDENES'!$AF431=TRUE,'ORDENES'!$A431&lt;&gt;""),1,0)</f>
        <v/>
      </c>
      <c r="L435" s="5">
        <f>IF(K435=1,IFERROR(MATCH('ORDENES'!$S431,lista_dias,0),9)*1000000000+IFERROR(MATCH('ORDENES'!$AH431,lista_turnos,0),9)*10000000+IFERROR(MATCH('ORDENES'!$AG431,tblTecnicos[nombre],0),99)*100000+428,9000000000000+428)</f>
        <v/>
      </c>
      <c r="M435" s="5">
        <f>IF(K435=1,SUMPRODUCT(--($L$8:$L$1207&lt;L435))+1,"")</f>
        <v/>
      </c>
      <c r="N435" s="17">
        <f>IF(K435=1,N('ORDENES'!$M431),0)</f>
        <v/>
      </c>
      <c r="O435" s="17">
        <f>IF('ORDENES'!$U431="preventiva",N435,0)</f>
        <v/>
      </c>
      <c r="P435" s="17">
        <f>IF('ORDENES'!$U431="correctiva",N435,0)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22">
        <f>IF(K435=1,'ORDENES'!$J431,"")</f>
        <v/>
      </c>
    </row>
    <row r="436">
      <c r="K436" s="5">
        <f>IF(AND(IF($B$3="(todos)",TRUE,'ORDENES'!$O432=$B$3),IF($D$3="(todos)",TRUE,'ORDENES'!$AH432=$D$3),IF($F$3="(todos)",TRUE,'ORDENES'!$Z432=$F$3),IF($H$3="(todos)",TRUE,'ORDENES'!$Y432=$H$3),'ORDENES'!$AF432=TRUE,'ORDENES'!$A432&lt;&gt;""),1,0)</f>
        <v/>
      </c>
      <c r="L436" s="5">
        <f>IF(K436=1,IFERROR(MATCH('ORDENES'!$S432,lista_dias,0),9)*1000000000+IFERROR(MATCH('ORDENES'!$AH432,lista_turnos,0),9)*10000000+IFERROR(MATCH('ORDENES'!$AG432,tblTecnicos[nombre],0),99)*100000+429,9000000000000+429)</f>
        <v/>
      </c>
      <c r="M436" s="5">
        <f>IF(K436=1,SUMPRODUCT(--($L$8:$L$1207&lt;L436))+1,"")</f>
        <v/>
      </c>
      <c r="N436" s="17">
        <f>IF(K436=1,N('ORDENES'!$M432),0)</f>
        <v/>
      </c>
      <c r="O436" s="17">
        <f>IF('ORDENES'!$U432="preventiva",N436,0)</f>
        <v/>
      </c>
      <c r="P436" s="17">
        <f>IF('ORDENES'!$U432="correctiva",N436,0)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22">
        <f>IF(K436=1,'ORDENES'!$J432,"")</f>
        <v/>
      </c>
    </row>
    <row r="437">
      <c r="K437" s="5">
        <f>IF(AND(IF($B$3="(todos)",TRUE,'ORDENES'!$O433=$B$3),IF($D$3="(todos)",TRUE,'ORDENES'!$AH433=$D$3),IF($F$3="(todos)",TRUE,'ORDENES'!$Z433=$F$3),IF($H$3="(todos)",TRUE,'ORDENES'!$Y433=$H$3),'ORDENES'!$AF433=TRUE,'ORDENES'!$A433&lt;&gt;""),1,0)</f>
        <v/>
      </c>
      <c r="L437" s="5">
        <f>IF(K437=1,IFERROR(MATCH('ORDENES'!$S433,lista_dias,0),9)*1000000000+IFERROR(MATCH('ORDENES'!$AH433,lista_turnos,0),9)*10000000+IFERROR(MATCH('ORDENES'!$AG433,tblTecnicos[nombre],0),99)*100000+430,9000000000000+430)</f>
        <v/>
      </c>
      <c r="M437" s="5">
        <f>IF(K437=1,SUMPRODUCT(--($L$8:$L$1207&lt;L437))+1,"")</f>
        <v/>
      </c>
      <c r="N437" s="17">
        <f>IF(K437=1,N('ORDENES'!$M433),0)</f>
        <v/>
      </c>
      <c r="O437" s="17">
        <f>IF('ORDENES'!$U433="preventiva",N437,0)</f>
        <v/>
      </c>
      <c r="P437" s="17">
        <f>IF('ORDENES'!$U433="correctiva",N437,0)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22">
        <f>IF(K437=1,'ORDENES'!$J433,"")</f>
        <v/>
      </c>
    </row>
    <row r="438">
      <c r="K438" s="5">
        <f>IF(AND(IF($B$3="(todos)",TRUE,'ORDENES'!$O434=$B$3),IF($D$3="(todos)",TRUE,'ORDENES'!$AH434=$D$3),IF($F$3="(todos)",TRUE,'ORDENES'!$Z434=$F$3),IF($H$3="(todos)",TRUE,'ORDENES'!$Y434=$H$3),'ORDENES'!$AF434=TRUE,'ORDENES'!$A434&lt;&gt;""),1,0)</f>
        <v/>
      </c>
      <c r="L438" s="5">
        <f>IF(K438=1,IFERROR(MATCH('ORDENES'!$S434,lista_dias,0),9)*1000000000+IFERROR(MATCH('ORDENES'!$AH434,lista_turnos,0),9)*10000000+IFERROR(MATCH('ORDENES'!$AG434,tblTecnicos[nombre],0),99)*100000+431,9000000000000+431)</f>
        <v/>
      </c>
      <c r="M438" s="5">
        <f>IF(K438=1,SUMPRODUCT(--($L$8:$L$1207&lt;L438))+1,"")</f>
        <v/>
      </c>
      <c r="N438" s="17">
        <f>IF(K438=1,N('ORDENES'!$M434),0)</f>
        <v/>
      </c>
      <c r="O438" s="17">
        <f>IF('ORDENES'!$U434="preventiva",N438,0)</f>
        <v/>
      </c>
      <c r="P438" s="17">
        <f>IF('ORDENES'!$U434="correctiva",N438,0)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22">
        <f>IF(K438=1,'ORDENES'!$J434,"")</f>
        <v/>
      </c>
    </row>
    <row r="439">
      <c r="K439" s="5">
        <f>IF(AND(IF($B$3="(todos)",TRUE,'ORDENES'!$O435=$B$3),IF($D$3="(todos)",TRUE,'ORDENES'!$AH435=$D$3),IF($F$3="(todos)",TRUE,'ORDENES'!$Z435=$F$3),IF($H$3="(todos)",TRUE,'ORDENES'!$Y435=$H$3),'ORDENES'!$AF435=TRUE,'ORDENES'!$A435&lt;&gt;""),1,0)</f>
        <v/>
      </c>
      <c r="L439" s="5">
        <f>IF(K439=1,IFERROR(MATCH('ORDENES'!$S435,lista_dias,0),9)*1000000000+IFERROR(MATCH('ORDENES'!$AH435,lista_turnos,0),9)*10000000+IFERROR(MATCH('ORDENES'!$AG435,tblTecnicos[nombre],0),99)*100000+432,9000000000000+432)</f>
        <v/>
      </c>
      <c r="M439" s="5">
        <f>IF(K439=1,SUMPRODUCT(--($L$8:$L$1207&lt;L439))+1,"")</f>
        <v/>
      </c>
      <c r="N439" s="17">
        <f>IF(K439=1,N('ORDENES'!$M435),0)</f>
        <v/>
      </c>
      <c r="O439" s="17">
        <f>IF('ORDENES'!$U435="preventiva",N439,0)</f>
        <v/>
      </c>
      <c r="P439" s="17">
        <f>IF('ORDENES'!$U435="correctiva",N439,0)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22">
        <f>IF(K439=1,'ORDENES'!$J435,"")</f>
        <v/>
      </c>
    </row>
    <row r="440">
      <c r="K440" s="5">
        <f>IF(AND(IF($B$3="(todos)",TRUE,'ORDENES'!$O436=$B$3),IF($D$3="(todos)",TRUE,'ORDENES'!$AH436=$D$3),IF($F$3="(todos)",TRUE,'ORDENES'!$Z436=$F$3),IF($H$3="(todos)",TRUE,'ORDENES'!$Y436=$H$3),'ORDENES'!$AF436=TRUE,'ORDENES'!$A436&lt;&gt;""),1,0)</f>
        <v/>
      </c>
      <c r="L440" s="5">
        <f>IF(K440=1,IFERROR(MATCH('ORDENES'!$S436,lista_dias,0),9)*1000000000+IFERROR(MATCH('ORDENES'!$AH436,lista_turnos,0),9)*10000000+IFERROR(MATCH('ORDENES'!$AG436,tblTecnicos[nombre],0),99)*100000+433,9000000000000+433)</f>
        <v/>
      </c>
      <c r="M440" s="5">
        <f>IF(K440=1,SUMPRODUCT(--($L$8:$L$1207&lt;L440))+1,"")</f>
        <v/>
      </c>
      <c r="N440" s="17">
        <f>IF(K440=1,N('ORDENES'!$M436),0)</f>
        <v/>
      </c>
      <c r="O440" s="17">
        <f>IF('ORDENES'!$U436="preventiva",N440,0)</f>
        <v/>
      </c>
      <c r="P440" s="17">
        <f>IF('ORDENES'!$U436="correctiva",N440,0)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22">
        <f>IF(K440=1,'ORDENES'!$J436,"")</f>
        <v/>
      </c>
    </row>
    <row r="441">
      <c r="K441" s="5">
        <f>IF(AND(IF($B$3="(todos)",TRUE,'ORDENES'!$O437=$B$3),IF($D$3="(todos)",TRUE,'ORDENES'!$AH437=$D$3),IF($F$3="(todos)",TRUE,'ORDENES'!$Z437=$F$3),IF($H$3="(todos)",TRUE,'ORDENES'!$Y437=$H$3),'ORDENES'!$AF437=TRUE,'ORDENES'!$A437&lt;&gt;""),1,0)</f>
        <v/>
      </c>
      <c r="L441" s="5">
        <f>IF(K441=1,IFERROR(MATCH('ORDENES'!$S437,lista_dias,0),9)*1000000000+IFERROR(MATCH('ORDENES'!$AH437,lista_turnos,0),9)*10000000+IFERROR(MATCH('ORDENES'!$AG437,tblTecnicos[nombre],0),99)*100000+434,9000000000000+434)</f>
        <v/>
      </c>
      <c r="M441" s="5">
        <f>IF(K441=1,SUMPRODUCT(--($L$8:$L$1207&lt;L441))+1,"")</f>
        <v/>
      </c>
      <c r="N441" s="17">
        <f>IF(K441=1,N('ORDENES'!$M437),0)</f>
        <v/>
      </c>
      <c r="O441" s="17">
        <f>IF('ORDENES'!$U437="preventiva",N441,0)</f>
        <v/>
      </c>
      <c r="P441" s="17">
        <f>IF('ORDENES'!$U437="correctiva",N441,0)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22">
        <f>IF(K441=1,'ORDENES'!$J437,"")</f>
        <v/>
      </c>
    </row>
    <row r="442">
      <c r="K442" s="5">
        <f>IF(AND(IF($B$3="(todos)",TRUE,'ORDENES'!$O438=$B$3),IF($D$3="(todos)",TRUE,'ORDENES'!$AH438=$D$3),IF($F$3="(todos)",TRUE,'ORDENES'!$Z438=$F$3),IF($H$3="(todos)",TRUE,'ORDENES'!$Y438=$H$3),'ORDENES'!$AF438=TRUE,'ORDENES'!$A438&lt;&gt;""),1,0)</f>
        <v/>
      </c>
      <c r="L442" s="5">
        <f>IF(K442=1,IFERROR(MATCH('ORDENES'!$S438,lista_dias,0),9)*1000000000+IFERROR(MATCH('ORDENES'!$AH438,lista_turnos,0),9)*10000000+IFERROR(MATCH('ORDENES'!$AG438,tblTecnicos[nombre],0),99)*100000+435,9000000000000+435)</f>
        <v/>
      </c>
      <c r="M442" s="5">
        <f>IF(K442=1,SUMPRODUCT(--($L$8:$L$1207&lt;L442))+1,"")</f>
        <v/>
      </c>
      <c r="N442" s="17">
        <f>IF(K442=1,N('ORDENES'!$M438),0)</f>
        <v/>
      </c>
      <c r="O442" s="17">
        <f>IF('ORDENES'!$U438="preventiva",N442,0)</f>
        <v/>
      </c>
      <c r="P442" s="17">
        <f>IF('ORDENES'!$U438="correctiva",N442,0)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22">
        <f>IF(K442=1,'ORDENES'!$J438,"")</f>
        <v/>
      </c>
    </row>
    <row r="443">
      <c r="K443" s="5">
        <f>IF(AND(IF($B$3="(todos)",TRUE,'ORDENES'!$O439=$B$3),IF($D$3="(todos)",TRUE,'ORDENES'!$AH439=$D$3),IF($F$3="(todos)",TRUE,'ORDENES'!$Z439=$F$3),IF($H$3="(todos)",TRUE,'ORDENES'!$Y439=$H$3),'ORDENES'!$AF439=TRUE,'ORDENES'!$A439&lt;&gt;""),1,0)</f>
        <v/>
      </c>
      <c r="L443" s="5">
        <f>IF(K443=1,IFERROR(MATCH('ORDENES'!$S439,lista_dias,0),9)*1000000000+IFERROR(MATCH('ORDENES'!$AH439,lista_turnos,0),9)*10000000+IFERROR(MATCH('ORDENES'!$AG439,tblTecnicos[nombre],0),99)*100000+436,9000000000000+436)</f>
        <v/>
      </c>
      <c r="M443" s="5">
        <f>IF(K443=1,SUMPRODUCT(--($L$8:$L$1207&lt;L443))+1,"")</f>
        <v/>
      </c>
      <c r="N443" s="17">
        <f>IF(K443=1,N('ORDENES'!$M439),0)</f>
        <v/>
      </c>
      <c r="O443" s="17">
        <f>IF('ORDENES'!$U439="preventiva",N443,0)</f>
        <v/>
      </c>
      <c r="P443" s="17">
        <f>IF('ORDENES'!$U439="correctiva",N443,0)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22">
        <f>IF(K443=1,'ORDENES'!$J439,"")</f>
        <v/>
      </c>
    </row>
    <row r="444">
      <c r="K444" s="5">
        <f>IF(AND(IF($B$3="(todos)",TRUE,'ORDENES'!$O440=$B$3),IF($D$3="(todos)",TRUE,'ORDENES'!$AH440=$D$3),IF($F$3="(todos)",TRUE,'ORDENES'!$Z440=$F$3),IF($H$3="(todos)",TRUE,'ORDENES'!$Y440=$H$3),'ORDENES'!$AF440=TRUE,'ORDENES'!$A440&lt;&gt;""),1,0)</f>
        <v/>
      </c>
      <c r="L444" s="5">
        <f>IF(K444=1,IFERROR(MATCH('ORDENES'!$S440,lista_dias,0),9)*1000000000+IFERROR(MATCH('ORDENES'!$AH440,lista_turnos,0),9)*10000000+IFERROR(MATCH('ORDENES'!$AG440,tblTecnicos[nombre],0),99)*100000+437,9000000000000+437)</f>
        <v/>
      </c>
      <c r="M444" s="5">
        <f>IF(K444=1,SUMPRODUCT(--($L$8:$L$1207&lt;L444))+1,"")</f>
        <v/>
      </c>
      <c r="N444" s="17">
        <f>IF(K444=1,N('ORDENES'!$M440),0)</f>
        <v/>
      </c>
      <c r="O444" s="17">
        <f>IF('ORDENES'!$U440="preventiva",N444,0)</f>
        <v/>
      </c>
      <c r="P444" s="17">
        <f>IF('ORDENES'!$U440="correctiva",N444,0)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22">
        <f>IF(K444=1,'ORDENES'!$J440,"")</f>
        <v/>
      </c>
    </row>
    <row r="445">
      <c r="K445" s="5">
        <f>IF(AND(IF($B$3="(todos)",TRUE,'ORDENES'!$O441=$B$3),IF($D$3="(todos)",TRUE,'ORDENES'!$AH441=$D$3),IF($F$3="(todos)",TRUE,'ORDENES'!$Z441=$F$3),IF($H$3="(todos)",TRUE,'ORDENES'!$Y441=$H$3),'ORDENES'!$AF441=TRUE,'ORDENES'!$A441&lt;&gt;""),1,0)</f>
        <v/>
      </c>
      <c r="L445" s="5">
        <f>IF(K445=1,IFERROR(MATCH('ORDENES'!$S441,lista_dias,0),9)*1000000000+IFERROR(MATCH('ORDENES'!$AH441,lista_turnos,0),9)*10000000+IFERROR(MATCH('ORDENES'!$AG441,tblTecnicos[nombre],0),99)*100000+438,9000000000000+438)</f>
        <v/>
      </c>
      <c r="M445" s="5">
        <f>IF(K445=1,SUMPRODUCT(--($L$8:$L$1207&lt;L445))+1,"")</f>
        <v/>
      </c>
      <c r="N445" s="17">
        <f>IF(K445=1,N('ORDENES'!$M441),0)</f>
        <v/>
      </c>
      <c r="O445" s="17">
        <f>IF('ORDENES'!$U441="preventiva",N445,0)</f>
        <v/>
      </c>
      <c r="P445" s="17">
        <f>IF('ORDENES'!$U441="correctiva",N445,0)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22">
        <f>IF(K445=1,'ORDENES'!$J441,"")</f>
        <v/>
      </c>
    </row>
    <row r="446">
      <c r="K446" s="5">
        <f>IF(AND(IF($B$3="(todos)",TRUE,'ORDENES'!$O442=$B$3),IF($D$3="(todos)",TRUE,'ORDENES'!$AH442=$D$3),IF($F$3="(todos)",TRUE,'ORDENES'!$Z442=$F$3),IF($H$3="(todos)",TRUE,'ORDENES'!$Y442=$H$3),'ORDENES'!$AF442=TRUE,'ORDENES'!$A442&lt;&gt;""),1,0)</f>
        <v/>
      </c>
      <c r="L446" s="5">
        <f>IF(K446=1,IFERROR(MATCH('ORDENES'!$S442,lista_dias,0),9)*1000000000+IFERROR(MATCH('ORDENES'!$AH442,lista_turnos,0),9)*10000000+IFERROR(MATCH('ORDENES'!$AG442,tblTecnicos[nombre],0),99)*100000+439,9000000000000+439)</f>
        <v/>
      </c>
      <c r="M446" s="5">
        <f>IF(K446=1,SUMPRODUCT(--($L$8:$L$1207&lt;L446))+1,"")</f>
        <v/>
      </c>
      <c r="N446" s="17">
        <f>IF(K446=1,N('ORDENES'!$M442),0)</f>
        <v/>
      </c>
      <c r="O446" s="17">
        <f>IF('ORDENES'!$U442="preventiva",N446,0)</f>
        <v/>
      </c>
      <c r="P446" s="17">
        <f>IF('ORDENES'!$U442="correctiva",N446,0)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22">
        <f>IF(K446=1,'ORDENES'!$J442,"")</f>
        <v/>
      </c>
    </row>
    <row r="447">
      <c r="K447" s="5">
        <f>IF(AND(IF($B$3="(todos)",TRUE,'ORDENES'!$O443=$B$3),IF($D$3="(todos)",TRUE,'ORDENES'!$AH443=$D$3),IF($F$3="(todos)",TRUE,'ORDENES'!$Z443=$F$3),IF($H$3="(todos)",TRUE,'ORDENES'!$Y443=$H$3),'ORDENES'!$AF443=TRUE,'ORDENES'!$A443&lt;&gt;""),1,0)</f>
        <v/>
      </c>
      <c r="L447" s="5">
        <f>IF(K447=1,IFERROR(MATCH('ORDENES'!$S443,lista_dias,0),9)*1000000000+IFERROR(MATCH('ORDENES'!$AH443,lista_turnos,0),9)*10000000+IFERROR(MATCH('ORDENES'!$AG443,tblTecnicos[nombre],0),99)*100000+440,9000000000000+440)</f>
        <v/>
      </c>
      <c r="M447" s="5">
        <f>IF(K447=1,SUMPRODUCT(--($L$8:$L$1207&lt;L447))+1,"")</f>
        <v/>
      </c>
      <c r="N447" s="17">
        <f>IF(K447=1,N('ORDENES'!$M443),0)</f>
        <v/>
      </c>
      <c r="O447" s="17">
        <f>IF('ORDENES'!$U443="preventiva",N447,0)</f>
        <v/>
      </c>
      <c r="P447" s="17">
        <f>IF('ORDENES'!$U443="correctiva",N447,0)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22">
        <f>IF(K447=1,'ORDENES'!$J443,"")</f>
        <v/>
      </c>
    </row>
    <row r="448">
      <c r="K448" s="5">
        <f>IF(AND(IF($B$3="(todos)",TRUE,'ORDENES'!$O444=$B$3),IF($D$3="(todos)",TRUE,'ORDENES'!$AH444=$D$3),IF($F$3="(todos)",TRUE,'ORDENES'!$Z444=$F$3),IF($H$3="(todos)",TRUE,'ORDENES'!$Y444=$H$3),'ORDENES'!$AF444=TRUE,'ORDENES'!$A444&lt;&gt;""),1,0)</f>
        <v/>
      </c>
      <c r="L448" s="5">
        <f>IF(K448=1,IFERROR(MATCH('ORDENES'!$S444,lista_dias,0),9)*1000000000+IFERROR(MATCH('ORDENES'!$AH444,lista_turnos,0),9)*10000000+IFERROR(MATCH('ORDENES'!$AG444,tblTecnicos[nombre],0),99)*100000+441,9000000000000+441)</f>
        <v/>
      </c>
      <c r="M448" s="5">
        <f>IF(K448=1,SUMPRODUCT(--($L$8:$L$1207&lt;L448))+1,"")</f>
        <v/>
      </c>
      <c r="N448" s="17">
        <f>IF(K448=1,N('ORDENES'!$M444),0)</f>
        <v/>
      </c>
      <c r="O448" s="17">
        <f>IF('ORDENES'!$U444="preventiva",N448,0)</f>
        <v/>
      </c>
      <c r="P448" s="17">
        <f>IF('ORDENES'!$U444="correctiva",N448,0)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22">
        <f>IF(K448=1,'ORDENES'!$J444,"")</f>
        <v/>
      </c>
    </row>
    <row r="449">
      <c r="K449" s="5">
        <f>IF(AND(IF($B$3="(todos)",TRUE,'ORDENES'!$O445=$B$3),IF($D$3="(todos)",TRUE,'ORDENES'!$AH445=$D$3),IF($F$3="(todos)",TRUE,'ORDENES'!$Z445=$F$3),IF($H$3="(todos)",TRUE,'ORDENES'!$Y445=$H$3),'ORDENES'!$AF445=TRUE,'ORDENES'!$A445&lt;&gt;""),1,0)</f>
        <v/>
      </c>
      <c r="L449" s="5">
        <f>IF(K449=1,IFERROR(MATCH('ORDENES'!$S445,lista_dias,0),9)*1000000000+IFERROR(MATCH('ORDENES'!$AH445,lista_turnos,0),9)*10000000+IFERROR(MATCH('ORDENES'!$AG445,tblTecnicos[nombre],0),99)*100000+442,9000000000000+442)</f>
        <v/>
      </c>
      <c r="M449" s="5">
        <f>IF(K449=1,SUMPRODUCT(--($L$8:$L$1207&lt;L449))+1,"")</f>
        <v/>
      </c>
      <c r="N449" s="17">
        <f>IF(K449=1,N('ORDENES'!$M445),0)</f>
        <v/>
      </c>
      <c r="O449" s="17">
        <f>IF('ORDENES'!$U445="preventiva",N449,0)</f>
        <v/>
      </c>
      <c r="P449" s="17">
        <f>IF('ORDENES'!$U445="correctiva",N449,0)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22">
        <f>IF(K449=1,'ORDENES'!$J445,"")</f>
        <v/>
      </c>
    </row>
    <row r="450">
      <c r="K450" s="5">
        <f>IF(AND(IF($B$3="(todos)",TRUE,'ORDENES'!$O446=$B$3),IF($D$3="(todos)",TRUE,'ORDENES'!$AH446=$D$3),IF($F$3="(todos)",TRUE,'ORDENES'!$Z446=$F$3),IF($H$3="(todos)",TRUE,'ORDENES'!$Y446=$H$3),'ORDENES'!$AF446=TRUE,'ORDENES'!$A446&lt;&gt;""),1,0)</f>
        <v/>
      </c>
      <c r="L450" s="5">
        <f>IF(K450=1,IFERROR(MATCH('ORDENES'!$S446,lista_dias,0),9)*1000000000+IFERROR(MATCH('ORDENES'!$AH446,lista_turnos,0),9)*10000000+IFERROR(MATCH('ORDENES'!$AG446,tblTecnicos[nombre],0),99)*100000+443,9000000000000+443)</f>
        <v/>
      </c>
      <c r="M450" s="5">
        <f>IF(K450=1,SUMPRODUCT(--($L$8:$L$1207&lt;L450))+1,"")</f>
        <v/>
      </c>
      <c r="N450" s="17">
        <f>IF(K450=1,N('ORDENES'!$M446),0)</f>
        <v/>
      </c>
      <c r="O450" s="17">
        <f>IF('ORDENES'!$U446="preventiva",N450,0)</f>
        <v/>
      </c>
      <c r="P450" s="17">
        <f>IF('ORDENES'!$U446="correctiva",N450,0)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22">
        <f>IF(K450=1,'ORDENES'!$J446,"")</f>
        <v/>
      </c>
    </row>
    <row r="451">
      <c r="K451" s="5">
        <f>IF(AND(IF($B$3="(todos)",TRUE,'ORDENES'!$O447=$B$3),IF($D$3="(todos)",TRUE,'ORDENES'!$AH447=$D$3),IF($F$3="(todos)",TRUE,'ORDENES'!$Z447=$F$3),IF($H$3="(todos)",TRUE,'ORDENES'!$Y447=$H$3),'ORDENES'!$AF447=TRUE,'ORDENES'!$A447&lt;&gt;""),1,0)</f>
        <v/>
      </c>
      <c r="L451" s="5">
        <f>IF(K451=1,IFERROR(MATCH('ORDENES'!$S447,lista_dias,0),9)*1000000000+IFERROR(MATCH('ORDENES'!$AH447,lista_turnos,0),9)*10000000+IFERROR(MATCH('ORDENES'!$AG447,tblTecnicos[nombre],0),99)*100000+444,9000000000000+444)</f>
        <v/>
      </c>
      <c r="M451" s="5">
        <f>IF(K451=1,SUMPRODUCT(--($L$8:$L$1207&lt;L451))+1,"")</f>
        <v/>
      </c>
      <c r="N451" s="17">
        <f>IF(K451=1,N('ORDENES'!$M447),0)</f>
        <v/>
      </c>
      <c r="O451" s="17">
        <f>IF('ORDENES'!$U447="preventiva",N451,0)</f>
        <v/>
      </c>
      <c r="P451" s="17">
        <f>IF('ORDENES'!$U447="correctiva",N451,0)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22">
        <f>IF(K451=1,'ORDENES'!$J447,"")</f>
        <v/>
      </c>
    </row>
    <row r="452">
      <c r="K452" s="5">
        <f>IF(AND(IF($B$3="(todos)",TRUE,'ORDENES'!$O448=$B$3),IF($D$3="(todos)",TRUE,'ORDENES'!$AH448=$D$3),IF($F$3="(todos)",TRUE,'ORDENES'!$Z448=$F$3),IF($H$3="(todos)",TRUE,'ORDENES'!$Y448=$H$3),'ORDENES'!$AF448=TRUE,'ORDENES'!$A448&lt;&gt;""),1,0)</f>
        <v/>
      </c>
      <c r="L452" s="5">
        <f>IF(K452=1,IFERROR(MATCH('ORDENES'!$S448,lista_dias,0),9)*1000000000+IFERROR(MATCH('ORDENES'!$AH448,lista_turnos,0),9)*10000000+IFERROR(MATCH('ORDENES'!$AG448,tblTecnicos[nombre],0),99)*100000+445,9000000000000+445)</f>
        <v/>
      </c>
      <c r="M452" s="5">
        <f>IF(K452=1,SUMPRODUCT(--($L$8:$L$1207&lt;L452))+1,"")</f>
        <v/>
      </c>
      <c r="N452" s="17">
        <f>IF(K452=1,N('ORDENES'!$M448),0)</f>
        <v/>
      </c>
      <c r="O452" s="17">
        <f>IF('ORDENES'!$U448="preventiva",N452,0)</f>
        <v/>
      </c>
      <c r="P452" s="17">
        <f>IF('ORDENES'!$U448="correctiva",N452,0)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22">
        <f>IF(K452=1,'ORDENES'!$J448,"")</f>
        <v/>
      </c>
    </row>
    <row r="453">
      <c r="K453" s="5">
        <f>IF(AND(IF($B$3="(todos)",TRUE,'ORDENES'!$O449=$B$3),IF($D$3="(todos)",TRUE,'ORDENES'!$AH449=$D$3),IF($F$3="(todos)",TRUE,'ORDENES'!$Z449=$F$3),IF($H$3="(todos)",TRUE,'ORDENES'!$Y449=$H$3),'ORDENES'!$AF449=TRUE,'ORDENES'!$A449&lt;&gt;""),1,0)</f>
        <v/>
      </c>
      <c r="L453" s="5">
        <f>IF(K453=1,IFERROR(MATCH('ORDENES'!$S449,lista_dias,0),9)*1000000000+IFERROR(MATCH('ORDENES'!$AH449,lista_turnos,0),9)*10000000+IFERROR(MATCH('ORDENES'!$AG449,tblTecnicos[nombre],0),99)*100000+446,9000000000000+446)</f>
        <v/>
      </c>
      <c r="M453" s="5">
        <f>IF(K453=1,SUMPRODUCT(--($L$8:$L$1207&lt;L453))+1,"")</f>
        <v/>
      </c>
      <c r="N453" s="17">
        <f>IF(K453=1,N('ORDENES'!$M449),0)</f>
        <v/>
      </c>
      <c r="O453" s="17">
        <f>IF('ORDENES'!$U449="preventiva",N453,0)</f>
        <v/>
      </c>
      <c r="P453" s="17">
        <f>IF('ORDENES'!$U449="correctiva",N453,0)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22">
        <f>IF(K453=1,'ORDENES'!$J449,"")</f>
        <v/>
      </c>
    </row>
    <row r="454">
      <c r="K454" s="5">
        <f>IF(AND(IF($B$3="(todos)",TRUE,'ORDENES'!$O450=$B$3),IF($D$3="(todos)",TRUE,'ORDENES'!$AH450=$D$3),IF($F$3="(todos)",TRUE,'ORDENES'!$Z450=$F$3),IF($H$3="(todos)",TRUE,'ORDENES'!$Y450=$H$3),'ORDENES'!$AF450=TRUE,'ORDENES'!$A450&lt;&gt;""),1,0)</f>
        <v/>
      </c>
      <c r="L454" s="5">
        <f>IF(K454=1,IFERROR(MATCH('ORDENES'!$S450,lista_dias,0),9)*1000000000+IFERROR(MATCH('ORDENES'!$AH450,lista_turnos,0),9)*10000000+IFERROR(MATCH('ORDENES'!$AG450,tblTecnicos[nombre],0),99)*100000+447,9000000000000+447)</f>
        <v/>
      </c>
      <c r="M454" s="5">
        <f>IF(K454=1,SUMPRODUCT(--($L$8:$L$1207&lt;L454))+1,"")</f>
        <v/>
      </c>
      <c r="N454" s="17">
        <f>IF(K454=1,N('ORDENES'!$M450),0)</f>
        <v/>
      </c>
      <c r="O454" s="17">
        <f>IF('ORDENES'!$U450="preventiva",N454,0)</f>
        <v/>
      </c>
      <c r="P454" s="17">
        <f>IF('ORDENES'!$U450="correctiva",N454,0)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22">
        <f>IF(K454=1,'ORDENES'!$J450,"")</f>
        <v/>
      </c>
    </row>
    <row r="455">
      <c r="K455" s="5">
        <f>IF(AND(IF($B$3="(todos)",TRUE,'ORDENES'!$O451=$B$3),IF($D$3="(todos)",TRUE,'ORDENES'!$AH451=$D$3),IF($F$3="(todos)",TRUE,'ORDENES'!$Z451=$F$3),IF($H$3="(todos)",TRUE,'ORDENES'!$Y451=$H$3),'ORDENES'!$AF451=TRUE,'ORDENES'!$A451&lt;&gt;""),1,0)</f>
        <v/>
      </c>
      <c r="L455" s="5">
        <f>IF(K455=1,IFERROR(MATCH('ORDENES'!$S451,lista_dias,0),9)*1000000000+IFERROR(MATCH('ORDENES'!$AH451,lista_turnos,0),9)*10000000+IFERROR(MATCH('ORDENES'!$AG451,tblTecnicos[nombre],0),99)*100000+448,9000000000000+448)</f>
        <v/>
      </c>
      <c r="M455" s="5">
        <f>IF(K455=1,SUMPRODUCT(--($L$8:$L$1207&lt;L455))+1,"")</f>
        <v/>
      </c>
      <c r="N455" s="17">
        <f>IF(K455=1,N('ORDENES'!$M451),0)</f>
        <v/>
      </c>
      <c r="O455" s="17">
        <f>IF('ORDENES'!$U451="preventiva",N455,0)</f>
        <v/>
      </c>
      <c r="P455" s="17">
        <f>IF('ORDENES'!$U451="correctiva",N455,0)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22">
        <f>IF(K455=1,'ORDENES'!$J451,"")</f>
        <v/>
      </c>
    </row>
    <row r="456">
      <c r="K456" s="5">
        <f>IF(AND(IF($B$3="(todos)",TRUE,'ORDENES'!$O452=$B$3),IF($D$3="(todos)",TRUE,'ORDENES'!$AH452=$D$3),IF($F$3="(todos)",TRUE,'ORDENES'!$Z452=$F$3),IF($H$3="(todos)",TRUE,'ORDENES'!$Y452=$H$3),'ORDENES'!$AF452=TRUE,'ORDENES'!$A452&lt;&gt;""),1,0)</f>
        <v/>
      </c>
      <c r="L456" s="5">
        <f>IF(K456=1,IFERROR(MATCH('ORDENES'!$S452,lista_dias,0),9)*1000000000+IFERROR(MATCH('ORDENES'!$AH452,lista_turnos,0),9)*10000000+IFERROR(MATCH('ORDENES'!$AG452,tblTecnicos[nombre],0),99)*100000+449,9000000000000+449)</f>
        <v/>
      </c>
      <c r="M456" s="5">
        <f>IF(K456=1,SUMPRODUCT(--($L$8:$L$1207&lt;L456))+1,"")</f>
        <v/>
      </c>
      <c r="N456" s="17">
        <f>IF(K456=1,N('ORDENES'!$M452),0)</f>
        <v/>
      </c>
      <c r="O456" s="17">
        <f>IF('ORDENES'!$U452="preventiva",N456,0)</f>
        <v/>
      </c>
      <c r="P456" s="17">
        <f>IF('ORDENES'!$U452="correctiva",N456,0)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22">
        <f>IF(K456=1,'ORDENES'!$J452,"")</f>
        <v/>
      </c>
    </row>
    <row r="457">
      <c r="K457" s="5">
        <f>IF(AND(IF($B$3="(todos)",TRUE,'ORDENES'!$O453=$B$3),IF($D$3="(todos)",TRUE,'ORDENES'!$AH453=$D$3),IF($F$3="(todos)",TRUE,'ORDENES'!$Z453=$F$3),IF($H$3="(todos)",TRUE,'ORDENES'!$Y453=$H$3),'ORDENES'!$AF453=TRUE,'ORDENES'!$A453&lt;&gt;""),1,0)</f>
        <v/>
      </c>
      <c r="L457" s="5">
        <f>IF(K457=1,IFERROR(MATCH('ORDENES'!$S453,lista_dias,0),9)*1000000000+IFERROR(MATCH('ORDENES'!$AH453,lista_turnos,0),9)*10000000+IFERROR(MATCH('ORDENES'!$AG453,tblTecnicos[nombre],0),99)*100000+450,9000000000000+450)</f>
        <v/>
      </c>
      <c r="M457" s="5">
        <f>IF(K457=1,SUMPRODUCT(--($L$8:$L$1207&lt;L457))+1,"")</f>
        <v/>
      </c>
      <c r="N457" s="17">
        <f>IF(K457=1,N('ORDENES'!$M453),0)</f>
        <v/>
      </c>
      <c r="O457" s="17">
        <f>IF('ORDENES'!$U453="preventiva",N457,0)</f>
        <v/>
      </c>
      <c r="P457" s="17">
        <f>IF('ORDENES'!$U453="correctiva",N457,0)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22">
        <f>IF(K457=1,'ORDENES'!$J453,"")</f>
        <v/>
      </c>
    </row>
    <row r="458">
      <c r="K458" s="5">
        <f>IF(AND(IF($B$3="(todos)",TRUE,'ORDENES'!$O454=$B$3),IF($D$3="(todos)",TRUE,'ORDENES'!$AH454=$D$3),IF($F$3="(todos)",TRUE,'ORDENES'!$Z454=$F$3),IF($H$3="(todos)",TRUE,'ORDENES'!$Y454=$H$3),'ORDENES'!$AF454=TRUE,'ORDENES'!$A454&lt;&gt;""),1,0)</f>
        <v/>
      </c>
      <c r="L458" s="5">
        <f>IF(K458=1,IFERROR(MATCH('ORDENES'!$S454,lista_dias,0),9)*1000000000+IFERROR(MATCH('ORDENES'!$AH454,lista_turnos,0),9)*10000000+IFERROR(MATCH('ORDENES'!$AG454,tblTecnicos[nombre],0),99)*100000+451,9000000000000+451)</f>
        <v/>
      </c>
      <c r="M458" s="5">
        <f>IF(K458=1,SUMPRODUCT(--($L$8:$L$1207&lt;L458))+1,"")</f>
        <v/>
      </c>
      <c r="N458" s="17">
        <f>IF(K458=1,N('ORDENES'!$M454),0)</f>
        <v/>
      </c>
      <c r="O458" s="17">
        <f>IF('ORDENES'!$U454="preventiva",N458,0)</f>
        <v/>
      </c>
      <c r="P458" s="17">
        <f>IF('ORDENES'!$U454="correctiva",N458,0)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22">
        <f>IF(K458=1,'ORDENES'!$J454,"")</f>
        <v/>
      </c>
    </row>
    <row r="459">
      <c r="K459" s="5">
        <f>IF(AND(IF($B$3="(todos)",TRUE,'ORDENES'!$O455=$B$3),IF($D$3="(todos)",TRUE,'ORDENES'!$AH455=$D$3),IF($F$3="(todos)",TRUE,'ORDENES'!$Z455=$F$3),IF($H$3="(todos)",TRUE,'ORDENES'!$Y455=$H$3),'ORDENES'!$AF455=TRUE,'ORDENES'!$A455&lt;&gt;""),1,0)</f>
        <v/>
      </c>
      <c r="L459" s="5">
        <f>IF(K459=1,IFERROR(MATCH('ORDENES'!$S455,lista_dias,0),9)*1000000000+IFERROR(MATCH('ORDENES'!$AH455,lista_turnos,0),9)*10000000+IFERROR(MATCH('ORDENES'!$AG455,tblTecnicos[nombre],0),99)*100000+452,9000000000000+452)</f>
        <v/>
      </c>
      <c r="M459" s="5">
        <f>IF(K459=1,SUMPRODUCT(--($L$8:$L$1207&lt;L459))+1,"")</f>
        <v/>
      </c>
      <c r="N459" s="17">
        <f>IF(K459=1,N('ORDENES'!$M455),0)</f>
        <v/>
      </c>
      <c r="O459" s="17">
        <f>IF('ORDENES'!$U455="preventiva",N459,0)</f>
        <v/>
      </c>
      <c r="P459" s="17">
        <f>IF('ORDENES'!$U455="correctiva",N459,0)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22">
        <f>IF(K459=1,'ORDENES'!$J455,"")</f>
        <v/>
      </c>
    </row>
    <row r="460">
      <c r="K460" s="5">
        <f>IF(AND(IF($B$3="(todos)",TRUE,'ORDENES'!$O456=$B$3),IF($D$3="(todos)",TRUE,'ORDENES'!$AH456=$D$3),IF($F$3="(todos)",TRUE,'ORDENES'!$Z456=$F$3),IF($H$3="(todos)",TRUE,'ORDENES'!$Y456=$H$3),'ORDENES'!$AF456=TRUE,'ORDENES'!$A456&lt;&gt;""),1,0)</f>
        <v/>
      </c>
      <c r="L460" s="5">
        <f>IF(K460=1,IFERROR(MATCH('ORDENES'!$S456,lista_dias,0),9)*1000000000+IFERROR(MATCH('ORDENES'!$AH456,lista_turnos,0),9)*10000000+IFERROR(MATCH('ORDENES'!$AG456,tblTecnicos[nombre],0),99)*100000+453,9000000000000+453)</f>
        <v/>
      </c>
      <c r="M460" s="5">
        <f>IF(K460=1,SUMPRODUCT(--($L$8:$L$1207&lt;L460))+1,"")</f>
        <v/>
      </c>
      <c r="N460" s="17">
        <f>IF(K460=1,N('ORDENES'!$M456),0)</f>
        <v/>
      </c>
      <c r="O460" s="17">
        <f>IF('ORDENES'!$U456="preventiva",N460,0)</f>
        <v/>
      </c>
      <c r="P460" s="17">
        <f>IF('ORDENES'!$U456="correctiva",N460,0)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22">
        <f>IF(K460=1,'ORDENES'!$J456,"")</f>
        <v/>
      </c>
    </row>
    <row r="461">
      <c r="K461" s="5">
        <f>IF(AND(IF($B$3="(todos)",TRUE,'ORDENES'!$O457=$B$3),IF($D$3="(todos)",TRUE,'ORDENES'!$AH457=$D$3),IF($F$3="(todos)",TRUE,'ORDENES'!$Z457=$F$3),IF($H$3="(todos)",TRUE,'ORDENES'!$Y457=$H$3),'ORDENES'!$AF457=TRUE,'ORDENES'!$A457&lt;&gt;""),1,0)</f>
        <v/>
      </c>
      <c r="L461" s="5">
        <f>IF(K461=1,IFERROR(MATCH('ORDENES'!$S457,lista_dias,0),9)*1000000000+IFERROR(MATCH('ORDENES'!$AH457,lista_turnos,0),9)*10000000+IFERROR(MATCH('ORDENES'!$AG457,tblTecnicos[nombre],0),99)*100000+454,9000000000000+454)</f>
        <v/>
      </c>
      <c r="M461" s="5">
        <f>IF(K461=1,SUMPRODUCT(--($L$8:$L$1207&lt;L461))+1,"")</f>
        <v/>
      </c>
      <c r="N461" s="17">
        <f>IF(K461=1,N('ORDENES'!$M457),0)</f>
        <v/>
      </c>
      <c r="O461" s="17">
        <f>IF('ORDENES'!$U457="preventiva",N461,0)</f>
        <v/>
      </c>
      <c r="P461" s="17">
        <f>IF('ORDENES'!$U457="correctiva",N461,0)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22">
        <f>IF(K461=1,'ORDENES'!$J457,"")</f>
        <v/>
      </c>
    </row>
    <row r="462">
      <c r="K462" s="5">
        <f>IF(AND(IF($B$3="(todos)",TRUE,'ORDENES'!$O458=$B$3),IF($D$3="(todos)",TRUE,'ORDENES'!$AH458=$D$3),IF($F$3="(todos)",TRUE,'ORDENES'!$Z458=$F$3),IF($H$3="(todos)",TRUE,'ORDENES'!$Y458=$H$3),'ORDENES'!$AF458=TRUE,'ORDENES'!$A458&lt;&gt;""),1,0)</f>
        <v/>
      </c>
      <c r="L462" s="5">
        <f>IF(K462=1,IFERROR(MATCH('ORDENES'!$S458,lista_dias,0),9)*1000000000+IFERROR(MATCH('ORDENES'!$AH458,lista_turnos,0),9)*10000000+IFERROR(MATCH('ORDENES'!$AG458,tblTecnicos[nombre],0),99)*100000+455,9000000000000+455)</f>
        <v/>
      </c>
      <c r="M462" s="5">
        <f>IF(K462=1,SUMPRODUCT(--($L$8:$L$1207&lt;L462))+1,"")</f>
        <v/>
      </c>
      <c r="N462" s="17">
        <f>IF(K462=1,N('ORDENES'!$M458),0)</f>
        <v/>
      </c>
      <c r="O462" s="17">
        <f>IF('ORDENES'!$U458="preventiva",N462,0)</f>
        <v/>
      </c>
      <c r="P462" s="17">
        <f>IF('ORDENES'!$U458="correctiva",N462,0)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22">
        <f>IF(K462=1,'ORDENES'!$J458,"")</f>
        <v/>
      </c>
    </row>
    <row r="463">
      <c r="K463" s="5">
        <f>IF(AND(IF($B$3="(todos)",TRUE,'ORDENES'!$O459=$B$3),IF($D$3="(todos)",TRUE,'ORDENES'!$AH459=$D$3),IF($F$3="(todos)",TRUE,'ORDENES'!$Z459=$F$3),IF($H$3="(todos)",TRUE,'ORDENES'!$Y459=$H$3),'ORDENES'!$AF459=TRUE,'ORDENES'!$A459&lt;&gt;""),1,0)</f>
        <v/>
      </c>
      <c r="L463" s="5">
        <f>IF(K463=1,IFERROR(MATCH('ORDENES'!$S459,lista_dias,0),9)*1000000000+IFERROR(MATCH('ORDENES'!$AH459,lista_turnos,0),9)*10000000+IFERROR(MATCH('ORDENES'!$AG459,tblTecnicos[nombre],0),99)*100000+456,9000000000000+456)</f>
        <v/>
      </c>
      <c r="M463" s="5">
        <f>IF(K463=1,SUMPRODUCT(--($L$8:$L$1207&lt;L463))+1,"")</f>
        <v/>
      </c>
      <c r="N463" s="17">
        <f>IF(K463=1,N('ORDENES'!$M459),0)</f>
        <v/>
      </c>
      <c r="O463" s="17">
        <f>IF('ORDENES'!$U459="preventiva",N463,0)</f>
        <v/>
      </c>
      <c r="P463" s="17">
        <f>IF('ORDENES'!$U459="correctiva",N463,0)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22">
        <f>IF(K463=1,'ORDENES'!$J459,"")</f>
        <v/>
      </c>
    </row>
    <row r="464">
      <c r="K464" s="5">
        <f>IF(AND(IF($B$3="(todos)",TRUE,'ORDENES'!$O460=$B$3),IF($D$3="(todos)",TRUE,'ORDENES'!$AH460=$D$3),IF($F$3="(todos)",TRUE,'ORDENES'!$Z460=$F$3),IF($H$3="(todos)",TRUE,'ORDENES'!$Y460=$H$3),'ORDENES'!$AF460=TRUE,'ORDENES'!$A460&lt;&gt;""),1,0)</f>
        <v/>
      </c>
      <c r="L464" s="5">
        <f>IF(K464=1,IFERROR(MATCH('ORDENES'!$S460,lista_dias,0),9)*1000000000+IFERROR(MATCH('ORDENES'!$AH460,lista_turnos,0),9)*10000000+IFERROR(MATCH('ORDENES'!$AG460,tblTecnicos[nombre],0),99)*100000+457,9000000000000+457)</f>
        <v/>
      </c>
      <c r="M464" s="5">
        <f>IF(K464=1,SUMPRODUCT(--($L$8:$L$1207&lt;L464))+1,"")</f>
        <v/>
      </c>
      <c r="N464" s="17">
        <f>IF(K464=1,N('ORDENES'!$M460),0)</f>
        <v/>
      </c>
      <c r="O464" s="17">
        <f>IF('ORDENES'!$U460="preventiva",N464,0)</f>
        <v/>
      </c>
      <c r="P464" s="17">
        <f>IF('ORDENES'!$U460="correctiva",N464,0)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22">
        <f>IF(K464=1,'ORDENES'!$J460,"")</f>
        <v/>
      </c>
    </row>
    <row r="465">
      <c r="K465" s="5">
        <f>IF(AND(IF($B$3="(todos)",TRUE,'ORDENES'!$O461=$B$3),IF($D$3="(todos)",TRUE,'ORDENES'!$AH461=$D$3),IF($F$3="(todos)",TRUE,'ORDENES'!$Z461=$F$3),IF($H$3="(todos)",TRUE,'ORDENES'!$Y461=$H$3),'ORDENES'!$AF461=TRUE,'ORDENES'!$A461&lt;&gt;""),1,0)</f>
        <v/>
      </c>
      <c r="L465" s="5">
        <f>IF(K465=1,IFERROR(MATCH('ORDENES'!$S461,lista_dias,0),9)*1000000000+IFERROR(MATCH('ORDENES'!$AH461,lista_turnos,0),9)*10000000+IFERROR(MATCH('ORDENES'!$AG461,tblTecnicos[nombre],0),99)*100000+458,9000000000000+458)</f>
        <v/>
      </c>
      <c r="M465" s="5">
        <f>IF(K465=1,SUMPRODUCT(--($L$8:$L$1207&lt;L465))+1,"")</f>
        <v/>
      </c>
      <c r="N465" s="17">
        <f>IF(K465=1,N('ORDENES'!$M461),0)</f>
        <v/>
      </c>
      <c r="O465" s="17">
        <f>IF('ORDENES'!$U461="preventiva",N465,0)</f>
        <v/>
      </c>
      <c r="P465" s="17">
        <f>IF('ORDENES'!$U461="correctiva",N465,0)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22">
        <f>IF(K465=1,'ORDENES'!$J461,"")</f>
        <v/>
      </c>
    </row>
    <row r="466">
      <c r="K466" s="5">
        <f>IF(AND(IF($B$3="(todos)",TRUE,'ORDENES'!$O462=$B$3),IF($D$3="(todos)",TRUE,'ORDENES'!$AH462=$D$3),IF($F$3="(todos)",TRUE,'ORDENES'!$Z462=$F$3),IF($H$3="(todos)",TRUE,'ORDENES'!$Y462=$H$3),'ORDENES'!$AF462=TRUE,'ORDENES'!$A462&lt;&gt;""),1,0)</f>
        <v/>
      </c>
      <c r="L466" s="5">
        <f>IF(K466=1,IFERROR(MATCH('ORDENES'!$S462,lista_dias,0),9)*1000000000+IFERROR(MATCH('ORDENES'!$AH462,lista_turnos,0),9)*10000000+IFERROR(MATCH('ORDENES'!$AG462,tblTecnicos[nombre],0),99)*100000+459,9000000000000+459)</f>
        <v/>
      </c>
      <c r="M466" s="5">
        <f>IF(K466=1,SUMPRODUCT(--($L$8:$L$1207&lt;L466))+1,"")</f>
        <v/>
      </c>
      <c r="N466" s="17">
        <f>IF(K466=1,N('ORDENES'!$M462),0)</f>
        <v/>
      </c>
      <c r="O466" s="17">
        <f>IF('ORDENES'!$U462="preventiva",N466,0)</f>
        <v/>
      </c>
      <c r="P466" s="17">
        <f>IF('ORDENES'!$U462="correctiva",N466,0)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22">
        <f>IF(K466=1,'ORDENES'!$J462,"")</f>
        <v/>
      </c>
    </row>
    <row r="467">
      <c r="K467" s="5">
        <f>IF(AND(IF($B$3="(todos)",TRUE,'ORDENES'!$O463=$B$3),IF($D$3="(todos)",TRUE,'ORDENES'!$AH463=$D$3),IF($F$3="(todos)",TRUE,'ORDENES'!$Z463=$F$3),IF($H$3="(todos)",TRUE,'ORDENES'!$Y463=$H$3),'ORDENES'!$AF463=TRUE,'ORDENES'!$A463&lt;&gt;""),1,0)</f>
        <v/>
      </c>
      <c r="L467" s="5">
        <f>IF(K467=1,IFERROR(MATCH('ORDENES'!$S463,lista_dias,0),9)*1000000000+IFERROR(MATCH('ORDENES'!$AH463,lista_turnos,0),9)*10000000+IFERROR(MATCH('ORDENES'!$AG463,tblTecnicos[nombre],0),99)*100000+460,9000000000000+460)</f>
        <v/>
      </c>
      <c r="M467" s="5">
        <f>IF(K467=1,SUMPRODUCT(--($L$8:$L$1207&lt;L467))+1,"")</f>
        <v/>
      </c>
      <c r="N467" s="17">
        <f>IF(K467=1,N('ORDENES'!$M463),0)</f>
        <v/>
      </c>
      <c r="O467" s="17">
        <f>IF('ORDENES'!$U463="preventiva",N467,0)</f>
        <v/>
      </c>
      <c r="P467" s="17">
        <f>IF('ORDENES'!$U463="correctiva",N467,0)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22">
        <f>IF(K467=1,'ORDENES'!$J463,"")</f>
        <v/>
      </c>
    </row>
    <row r="468">
      <c r="K468" s="5">
        <f>IF(AND(IF($B$3="(todos)",TRUE,'ORDENES'!$O464=$B$3),IF($D$3="(todos)",TRUE,'ORDENES'!$AH464=$D$3),IF($F$3="(todos)",TRUE,'ORDENES'!$Z464=$F$3),IF($H$3="(todos)",TRUE,'ORDENES'!$Y464=$H$3),'ORDENES'!$AF464=TRUE,'ORDENES'!$A464&lt;&gt;""),1,0)</f>
        <v/>
      </c>
      <c r="L468" s="5">
        <f>IF(K468=1,IFERROR(MATCH('ORDENES'!$S464,lista_dias,0),9)*1000000000+IFERROR(MATCH('ORDENES'!$AH464,lista_turnos,0),9)*10000000+IFERROR(MATCH('ORDENES'!$AG464,tblTecnicos[nombre],0),99)*100000+461,9000000000000+461)</f>
        <v/>
      </c>
      <c r="M468" s="5">
        <f>IF(K468=1,SUMPRODUCT(--($L$8:$L$1207&lt;L468))+1,"")</f>
        <v/>
      </c>
      <c r="N468" s="17">
        <f>IF(K468=1,N('ORDENES'!$M464),0)</f>
        <v/>
      </c>
      <c r="O468" s="17">
        <f>IF('ORDENES'!$U464="preventiva",N468,0)</f>
        <v/>
      </c>
      <c r="P468" s="17">
        <f>IF('ORDENES'!$U464="correctiva",N468,0)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22">
        <f>IF(K468=1,'ORDENES'!$J464,"")</f>
        <v/>
      </c>
    </row>
    <row r="469">
      <c r="K469" s="5">
        <f>IF(AND(IF($B$3="(todos)",TRUE,'ORDENES'!$O465=$B$3),IF($D$3="(todos)",TRUE,'ORDENES'!$AH465=$D$3),IF($F$3="(todos)",TRUE,'ORDENES'!$Z465=$F$3),IF($H$3="(todos)",TRUE,'ORDENES'!$Y465=$H$3),'ORDENES'!$AF465=TRUE,'ORDENES'!$A465&lt;&gt;""),1,0)</f>
        <v/>
      </c>
      <c r="L469" s="5">
        <f>IF(K469=1,IFERROR(MATCH('ORDENES'!$S465,lista_dias,0),9)*1000000000+IFERROR(MATCH('ORDENES'!$AH465,lista_turnos,0),9)*10000000+IFERROR(MATCH('ORDENES'!$AG465,tblTecnicos[nombre],0),99)*100000+462,9000000000000+462)</f>
        <v/>
      </c>
      <c r="M469" s="5">
        <f>IF(K469=1,SUMPRODUCT(--($L$8:$L$1207&lt;L469))+1,"")</f>
        <v/>
      </c>
      <c r="N469" s="17">
        <f>IF(K469=1,N('ORDENES'!$M465),0)</f>
        <v/>
      </c>
      <c r="O469" s="17">
        <f>IF('ORDENES'!$U465="preventiva",N469,0)</f>
        <v/>
      </c>
      <c r="P469" s="17">
        <f>IF('ORDENES'!$U465="correctiva",N469,0)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22">
        <f>IF(K469=1,'ORDENES'!$J465,"")</f>
        <v/>
      </c>
    </row>
    <row r="470">
      <c r="K470" s="5">
        <f>IF(AND(IF($B$3="(todos)",TRUE,'ORDENES'!$O466=$B$3),IF($D$3="(todos)",TRUE,'ORDENES'!$AH466=$D$3),IF($F$3="(todos)",TRUE,'ORDENES'!$Z466=$F$3),IF($H$3="(todos)",TRUE,'ORDENES'!$Y466=$H$3),'ORDENES'!$AF466=TRUE,'ORDENES'!$A466&lt;&gt;""),1,0)</f>
        <v/>
      </c>
      <c r="L470" s="5">
        <f>IF(K470=1,IFERROR(MATCH('ORDENES'!$S466,lista_dias,0),9)*1000000000+IFERROR(MATCH('ORDENES'!$AH466,lista_turnos,0),9)*10000000+IFERROR(MATCH('ORDENES'!$AG466,tblTecnicos[nombre],0),99)*100000+463,9000000000000+463)</f>
        <v/>
      </c>
      <c r="M470" s="5">
        <f>IF(K470=1,SUMPRODUCT(--($L$8:$L$1207&lt;L470))+1,"")</f>
        <v/>
      </c>
      <c r="N470" s="17">
        <f>IF(K470=1,N('ORDENES'!$M466),0)</f>
        <v/>
      </c>
      <c r="O470" s="17">
        <f>IF('ORDENES'!$U466="preventiva",N470,0)</f>
        <v/>
      </c>
      <c r="P470" s="17">
        <f>IF('ORDENES'!$U466="correctiva",N470,0)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22">
        <f>IF(K470=1,'ORDENES'!$J466,"")</f>
        <v/>
      </c>
    </row>
    <row r="471">
      <c r="K471" s="5">
        <f>IF(AND(IF($B$3="(todos)",TRUE,'ORDENES'!$O467=$B$3),IF($D$3="(todos)",TRUE,'ORDENES'!$AH467=$D$3),IF($F$3="(todos)",TRUE,'ORDENES'!$Z467=$F$3),IF($H$3="(todos)",TRUE,'ORDENES'!$Y467=$H$3),'ORDENES'!$AF467=TRUE,'ORDENES'!$A467&lt;&gt;""),1,0)</f>
        <v/>
      </c>
      <c r="L471" s="5">
        <f>IF(K471=1,IFERROR(MATCH('ORDENES'!$S467,lista_dias,0),9)*1000000000+IFERROR(MATCH('ORDENES'!$AH467,lista_turnos,0),9)*10000000+IFERROR(MATCH('ORDENES'!$AG467,tblTecnicos[nombre],0),99)*100000+464,9000000000000+464)</f>
        <v/>
      </c>
      <c r="M471" s="5">
        <f>IF(K471=1,SUMPRODUCT(--($L$8:$L$1207&lt;L471))+1,"")</f>
        <v/>
      </c>
      <c r="N471" s="17">
        <f>IF(K471=1,N('ORDENES'!$M467),0)</f>
        <v/>
      </c>
      <c r="O471" s="17">
        <f>IF('ORDENES'!$U467="preventiva",N471,0)</f>
        <v/>
      </c>
      <c r="P471" s="17">
        <f>IF('ORDENES'!$U467="correctiva",N471,0)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22">
        <f>IF(K471=1,'ORDENES'!$J467,"")</f>
        <v/>
      </c>
    </row>
    <row r="472">
      <c r="K472" s="5">
        <f>IF(AND(IF($B$3="(todos)",TRUE,'ORDENES'!$O468=$B$3),IF($D$3="(todos)",TRUE,'ORDENES'!$AH468=$D$3),IF($F$3="(todos)",TRUE,'ORDENES'!$Z468=$F$3),IF($H$3="(todos)",TRUE,'ORDENES'!$Y468=$H$3),'ORDENES'!$AF468=TRUE,'ORDENES'!$A468&lt;&gt;""),1,0)</f>
        <v/>
      </c>
      <c r="L472" s="5">
        <f>IF(K472=1,IFERROR(MATCH('ORDENES'!$S468,lista_dias,0),9)*1000000000+IFERROR(MATCH('ORDENES'!$AH468,lista_turnos,0),9)*10000000+IFERROR(MATCH('ORDENES'!$AG468,tblTecnicos[nombre],0),99)*100000+465,9000000000000+465)</f>
        <v/>
      </c>
      <c r="M472" s="5">
        <f>IF(K472=1,SUMPRODUCT(--($L$8:$L$1207&lt;L472))+1,"")</f>
        <v/>
      </c>
      <c r="N472" s="17">
        <f>IF(K472=1,N('ORDENES'!$M468),0)</f>
        <v/>
      </c>
      <c r="O472" s="17">
        <f>IF('ORDENES'!$U468="preventiva",N472,0)</f>
        <v/>
      </c>
      <c r="P472" s="17">
        <f>IF('ORDENES'!$U468="correctiva",N472,0)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22">
        <f>IF(K472=1,'ORDENES'!$J468,"")</f>
        <v/>
      </c>
    </row>
    <row r="473">
      <c r="K473" s="5">
        <f>IF(AND(IF($B$3="(todos)",TRUE,'ORDENES'!$O469=$B$3),IF($D$3="(todos)",TRUE,'ORDENES'!$AH469=$D$3),IF($F$3="(todos)",TRUE,'ORDENES'!$Z469=$F$3),IF($H$3="(todos)",TRUE,'ORDENES'!$Y469=$H$3),'ORDENES'!$AF469=TRUE,'ORDENES'!$A469&lt;&gt;""),1,0)</f>
        <v/>
      </c>
      <c r="L473" s="5">
        <f>IF(K473=1,IFERROR(MATCH('ORDENES'!$S469,lista_dias,0),9)*1000000000+IFERROR(MATCH('ORDENES'!$AH469,lista_turnos,0),9)*10000000+IFERROR(MATCH('ORDENES'!$AG469,tblTecnicos[nombre],0),99)*100000+466,9000000000000+466)</f>
        <v/>
      </c>
      <c r="M473" s="5">
        <f>IF(K473=1,SUMPRODUCT(--($L$8:$L$1207&lt;L473))+1,"")</f>
        <v/>
      </c>
      <c r="N473" s="17">
        <f>IF(K473=1,N('ORDENES'!$M469),0)</f>
        <v/>
      </c>
      <c r="O473" s="17">
        <f>IF('ORDENES'!$U469="preventiva",N473,0)</f>
        <v/>
      </c>
      <c r="P473" s="17">
        <f>IF('ORDENES'!$U469="correctiva",N473,0)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22">
        <f>IF(K473=1,'ORDENES'!$J469,"")</f>
        <v/>
      </c>
    </row>
    <row r="474">
      <c r="K474" s="5">
        <f>IF(AND(IF($B$3="(todos)",TRUE,'ORDENES'!$O470=$B$3),IF($D$3="(todos)",TRUE,'ORDENES'!$AH470=$D$3),IF($F$3="(todos)",TRUE,'ORDENES'!$Z470=$F$3),IF($H$3="(todos)",TRUE,'ORDENES'!$Y470=$H$3),'ORDENES'!$AF470=TRUE,'ORDENES'!$A470&lt;&gt;""),1,0)</f>
        <v/>
      </c>
      <c r="L474" s="5">
        <f>IF(K474=1,IFERROR(MATCH('ORDENES'!$S470,lista_dias,0),9)*1000000000+IFERROR(MATCH('ORDENES'!$AH470,lista_turnos,0),9)*10000000+IFERROR(MATCH('ORDENES'!$AG470,tblTecnicos[nombre],0),99)*100000+467,9000000000000+467)</f>
        <v/>
      </c>
      <c r="M474" s="5">
        <f>IF(K474=1,SUMPRODUCT(--($L$8:$L$1207&lt;L474))+1,"")</f>
        <v/>
      </c>
      <c r="N474" s="17">
        <f>IF(K474=1,N('ORDENES'!$M470),0)</f>
        <v/>
      </c>
      <c r="O474" s="17">
        <f>IF('ORDENES'!$U470="preventiva",N474,0)</f>
        <v/>
      </c>
      <c r="P474" s="17">
        <f>IF('ORDENES'!$U470="correctiva",N474,0)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22">
        <f>IF(K474=1,'ORDENES'!$J470,"")</f>
        <v/>
      </c>
    </row>
    <row r="475">
      <c r="K475" s="5">
        <f>IF(AND(IF($B$3="(todos)",TRUE,'ORDENES'!$O471=$B$3),IF($D$3="(todos)",TRUE,'ORDENES'!$AH471=$D$3),IF($F$3="(todos)",TRUE,'ORDENES'!$Z471=$F$3),IF($H$3="(todos)",TRUE,'ORDENES'!$Y471=$H$3),'ORDENES'!$AF471=TRUE,'ORDENES'!$A471&lt;&gt;""),1,0)</f>
        <v/>
      </c>
      <c r="L475" s="5">
        <f>IF(K475=1,IFERROR(MATCH('ORDENES'!$S471,lista_dias,0),9)*1000000000+IFERROR(MATCH('ORDENES'!$AH471,lista_turnos,0),9)*10000000+IFERROR(MATCH('ORDENES'!$AG471,tblTecnicos[nombre],0),99)*100000+468,9000000000000+468)</f>
        <v/>
      </c>
      <c r="M475" s="5">
        <f>IF(K475=1,SUMPRODUCT(--($L$8:$L$1207&lt;L475))+1,"")</f>
        <v/>
      </c>
      <c r="N475" s="17">
        <f>IF(K475=1,N('ORDENES'!$M471),0)</f>
        <v/>
      </c>
      <c r="O475" s="17">
        <f>IF('ORDENES'!$U471="preventiva",N475,0)</f>
        <v/>
      </c>
      <c r="P475" s="17">
        <f>IF('ORDENES'!$U471="correctiva",N475,0)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22">
        <f>IF(K475=1,'ORDENES'!$J471,"")</f>
        <v/>
      </c>
    </row>
    <row r="476">
      <c r="K476" s="5">
        <f>IF(AND(IF($B$3="(todos)",TRUE,'ORDENES'!$O472=$B$3),IF($D$3="(todos)",TRUE,'ORDENES'!$AH472=$D$3),IF($F$3="(todos)",TRUE,'ORDENES'!$Z472=$F$3),IF($H$3="(todos)",TRUE,'ORDENES'!$Y472=$H$3),'ORDENES'!$AF472=TRUE,'ORDENES'!$A472&lt;&gt;""),1,0)</f>
        <v/>
      </c>
      <c r="L476" s="5">
        <f>IF(K476=1,IFERROR(MATCH('ORDENES'!$S472,lista_dias,0),9)*1000000000+IFERROR(MATCH('ORDENES'!$AH472,lista_turnos,0),9)*10000000+IFERROR(MATCH('ORDENES'!$AG472,tblTecnicos[nombre],0),99)*100000+469,9000000000000+469)</f>
        <v/>
      </c>
      <c r="M476" s="5">
        <f>IF(K476=1,SUMPRODUCT(--($L$8:$L$1207&lt;L476))+1,"")</f>
        <v/>
      </c>
      <c r="N476" s="17">
        <f>IF(K476=1,N('ORDENES'!$M472),0)</f>
        <v/>
      </c>
      <c r="O476" s="17">
        <f>IF('ORDENES'!$U472="preventiva",N476,0)</f>
        <v/>
      </c>
      <c r="P476" s="17">
        <f>IF('ORDENES'!$U472="correctiva",N476,0)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22">
        <f>IF(K476=1,'ORDENES'!$J472,"")</f>
        <v/>
      </c>
    </row>
    <row r="477">
      <c r="K477" s="5">
        <f>IF(AND(IF($B$3="(todos)",TRUE,'ORDENES'!$O473=$B$3),IF($D$3="(todos)",TRUE,'ORDENES'!$AH473=$D$3),IF($F$3="(todos)",TRUE,'ORDENES'!$Z473=$F$3),IF($H$3="(todos)",TRUE,'ORDENES'!$Y473=$H$3),'ORDENES'!$AF473=TRUE,'ORDENES'!$A473&lt;&gt;""),1,0)</f>
        <v/>
      </c>
      <c r="L477" s="5">
        <f>IF(K477=1,IFERROR(MATCH('ORDENES'!$S473,lista_dias,0),9)*1000000000+IFERROR(MATCH('ORDENES'!$AH473,lista_turnos,0),9)*10000000+IFERROR(MATCH('ORDENES'!$AG473,tblTecnicos[nombre],0),99)*100000+470,9000000000000+470)</f>
        <v/>
      </c>
      <c r="M477" s="5">
        <f>IF(K477=1,SUMPRODUCT(--($L$8:$L$1207&lt;L477))+1,"")</f>
        <v/>
      </c>
      <c r="N477" s="17">
        <f>IF(K477=1,N('ORDENES'!$M473),0)</f>
        <v/>
      </c>
      <c r="O477" s="17">
        <f>IF('ORDENES'!$U473="preventiva",N477,0)</f>
        <v/>
      </c>
      <c r="P477" s="17">
        <f>IF('ORDENES'!$U473="correctiva",N477,0)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22">
        <f>IF(K477=1,'ORDENES'!$J473,"")</f>
        <v/>
      </c>
    </row>
    <row r="478">
      <c r="K478" s="5">
        <f>IF(AND(IF($B$3="(todos)",TRUE,'ORDENES'!$O474=$B$3),IF($D$3="(todos)",TRUE,'ORDENES'!$AH474=$D$3),IF($F$3="(todos)",TRUE,'ORDENES'!$Z474=$F$3),IF($H$3="(todos)",TRUE,'ORDENES'!$Y474=$H$3),'ORDENES'!$AF474=TRUE,'ORDENES'!$A474&lt;&gt;""),1,0)</f>
        <v/>
      </c>
      <c r="L478" s="5">
        <f>IF(K478=1,IFERROR(MATCH('ORDENES'!$S474,lista_dias,0),9)*1000000000+IFERROR(MATCH('ORDENES'!$AH474,lista_turnos,0),9)*10000000+IFERROR(MATCH('ORDENES'!$AG474,tblTecnicos[nombre],0),99)*100000+471,9000000000000+471)</f>
        <v/>
      </c>
      <c r="M478" s="5">
        <f>IF(K478=1,SUMPRODUCT(--($L$8:$L$1207&lt;L478))+1,"")</f>
        <v/>
      </c>
      <c r="N478" s="17">
        <f>IF(K478=1,N('ORDENES'!$M474),0)</f>
        <v/>
      </c>
      <c r="O478" s="17">
        <f>IF('ORDENES'!$U474="preventiva",N478,0)</f>
        <v/>
      </c>
      <c r="P478" s="17">
        <f>IF('ORDENES'!$U474="correctiva",N478,0)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22">
        <f>IF(K478=1,'ORDENES'!$J474,"")</f>
        <v/>
      </c>
    </row>
    <row r="479">
      <c r="K479" s="5">
        <f>IF(AND(IF($B$3="(todos)",TRUE,'ORDENES'!$O475=$B$3),IF($D$3="(todos)",TRUE,'ORDENES'!$AH475=$D$3),IF($F$3="(todos)",TRUE,'ORDENES'!$Z475=$F$3),IF($H$3="(todos)",TRUE,'ORDENES'!$Y475=$H$3),'ORDENES'!$AF475=TRUE,'ORDENES'!$A475&lt;&gt;""),1,0)</f>
        <v/>
      </c>
      <c r="L479" s="5">
        <f>IF(K479=1,IFERROR(MATCH('ORDENES'!$S475,lista_dias,0),9)*1000000000+IFERROR(MATCH('ORDENES'!$AH475,lista_turnos,0),9)*10000000+IFERROR(MATCH('ORDENES'!$AG475,tblTecnicos[nombre],0),99)*100000+472,9000000000000+472)</f>
        <v/>
      </c>
      <c r="M479" s="5">
        <f>IF(K479=1,SUMPRODUCT(--($L$8:$L$1207&lt;L479))+1,"")</f>
        <v/>
      </c>
      <c r="N479" s="17">
        <f>IF(K479=1,N('ORDENES'!$M475),0)</f>
        <v/>
      </c>
      <c r="O479" s="17">
        <f>IF('ORDENES'!$U475="preventiva",N479,0)</f>
        <v/>
      </c>
      <c r="P479" s="17">
        <f>IF('ORDENES'!$U475="correctiva",N479,0)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22">
        <f>IF(K479=1,'ORDENES'!$J475,"")</f>
        <v/>
      </c>
    </row>
    <row r="480">
      <c r="K480" s="5">
        <f>IF(AND(IF($B$3="(todos)",TRUE,'ORDENES'!$O476=$B$3),IF($D$3="(todos)",TRUE,'ORDENES'!$AH476=$D$3),IF($F$3="(todos)",TRUE,'ORDENES'!$Z476=$F$3),IF($H$3="(todos)",TRUE,'ORDENES'!$Y476=$H$3),'ORDENES'!$AF476=TRUE,'ORDENES'!$A476&lt;&gt;""),1,0)</f>
        <v/>
      </c>
      <c r="L480" s="5">
        <f>IF(K480=1,IFERROR(MATCH('ORDENES'!$S476,lista_dias,0),9)*1000000000+IFERROR(MATCH('ORDENES'!$AH476,lista_turnos,0),9)*10000000+IFERROR(MATCH('ORDENES'!$AG476,tblTecnicos[nombre],0),99)*100000+473,9000000000000+473)</f>
        <v/>
      </c>
      <c r="M480" s="5">
        <f>IF(K480=1,SUMPRODUCT(--($L$8:$L$1207&lt;L480))+1,"")</f>
        <v/>
      </c>
      <c r="N480" s="17">
        <f>IF(K480=1,N('ORDENES'!$M476),0)</f>
        <v/>
      </c>
      <c r="O480" s="17">
        <f>IF('ORDENES'!$U476="preventiva",N480,0)</f>
        <v/>
      </c>
      <c r="P480" s="17">
        <f>IF('ORDENES'!$U476="correctiva",N480,0)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22">
        <f>IF(K480=1,'ORDENES'!$J476,"")</f>
        <v/>
      </c>
    </row>
    <row r="481">
      <c r="K481" s="5">
        <f>IF(AND(IF($B$3="(todos)",TRUE,'ORDENES'!$O477=$B$3),IF($D$3="(todos)",TRUE,'ORDENES'!$AH477=$D$3),IF($F$3="(todos)",TRUE,'ORDENES'!$Z477=$F$3),IF($H$3="(todos)",TRUE,'ORDENES'!$Y477=$H$3),'ORDENES'!$AF477=TRUE,'ORDENES'!$A477&lt;&gt;""),1,0)</f>
        <v/>
      </c>
      <c r="L481" s="5">
        <f>IF(K481=1,IFERROR(MATCH('ORDENES'!$S477,lista_dias,0),9)*1000000000+IFERROR(MATCH('ORDENES'!$AH477,lista_turnos,0),9)*10000000+IFERROR(MATCH('ORDENES'!$AG477,tblTecnicos[nombre],0),99)*100000+474,9000000000000+474)</f>
        <v/>
      </c>
      <c r="M481" s="5">
        <f>IF(K481=1,SUMPRODUCT(--($L$8:$L$1207&lt;L481))+1,"")</f>
        <v/>
      </c>
      <c r="N481" s="17">
        <f>IF(K481=1,N('ORDENES'!$M477),0)</f>
        <v/>
      </c>
      <c r="O481" s="17">
        <f>IF('ORDENES'!$U477="preventiva",N481,0)</f>
        <v/>
      </c>
      <c r="P481" s="17">
        <f>IF('ORDENES'!$U477="correctiva",N481,0)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22">
        <f>IF(K481=1,'ORDENES'!$J477,"")</f>
        <v/>
      </c>
    </row>
    <row r="482">
      <c r="K482" s="5">
        <f>IF(AND(IF($B$3="(todos)",TRUE,'ORDENES'!$O478=$B$3),IF($D$3="(todos)",TRUE,'ORDENES'!$AH478=$D$3),IF($F$3="(todos)",TRUE,'ORDENES'!$Z478=$F$3),IF($H$3="(todos)",TRUE,'ORDENES'!$Y478=$H$3),'ORDENES'!$AF478=TRUE,'ORDENES'!$A478&lt;&gt;""),1,0)</f>
        <v/>
      </c>
      <c r="L482" s="5">
        <f>IF(K482=1,IFERROR(MATCH('ORDENES'!$S478,lista_dias,0),9)*1000000000+IFERROR(MATCH('ORDENES'!$AH478,lista_turnos,0),9)*10000000+IFERROR(MATCH('ORDENES'!$AG478,tblTecnicos[nombre],0),99)*100000+475,9000000000000+475)</f>
        <v/>
      </c>
      <c r="M482" s="5">
        <f>IF(K482=1,SUMPRODUCT(--($L$8:$L$1207&lt;L482))+1,"")</f>
        <v/>
      </c>
      <c r="N482" s="17">
        <f>IF(K482=1,N('ORDENES'!$M478),0)</f>
        <v/>
      </c>
      <c r="O482" s="17">
        <f>IF('ORDENES'!$U478="preventiva",N482,0)</f>
        <v/>
      </c>
      <c r="P482" s="17">
        <f>IF('ORDENES'!$U478="correctiva",N482,0)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22">
        <f>IF(K482=1,'ORDENES'!$J478,"")</f>
        <v/>
      </c>
    </row>
    <row r="483">
      <c r="K483" s="5">
        <f>IF(AND(IF($B$3="(todos)",TRUE,'ORDENES'!$O479=$B$3),IF($D$3="(todos)",TRUE,'ORDENES'!$AH479=$D$3),IF($F$3="(todos)",TRUE,'ORDENES'!$Z479=$F$3),IF($H$3="(todos)",TRUE,'ORDENES'!$Y479=$H$3),'ORDENES'!$AF479=TRUE,'ORDENES'!$A479&lt;&gt;""),1,0)</f>
        <v/>
      </c>
      <c r="L483" s="5">
        <f>IF(K483=1,IFERROR(MATCH('ORDENES'!$S479,lista_dias,0),9)*1000000000+IFERROR(MATCH('ORDENES'!$AH479,lista_turnos,0),9)*10000000+IFERROR(MATCH('ORDENES'!$AG479,tblTecnicos[nombre],0),99)*100000+476,9000000000000+476)</f>
        <v/>
      </c>
      <c r="M483" s="5">
        <f>IF(K483=1,SUMPRODUCT(--($L$8:$L$1207&lt;L483))+1,"")</f>
        <v/>
      </c>
      <c r="N483" s="17">
        <f>IF(K483=1,N('ORDENES'!$M479),0)</f>
        <v/>
      </c>
      <c r="O483" s="17">
        <f>IF('ORDENES'!$U479="preventiva",N483,0)</f>
        <v/>
      </c>
      <c r="P483" s="17">
        <f>IF('ORDENES'!$U479="correctiva",N483,0)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22">
        <f>IF(K483=1,'ORDENES'!$J479,"")</f>
        <v/>
      </c>
    </row>
    <row r="484">
      <c r="K484" s="5">
        <f>IF(AND(IF($B$3="(todos)",TRUE,'ORDENES'!$O480=$B$3),IF($D$3="(todos)",TRUE,'ORDENES'!$AH480=$D$3),IF($F$3="(todos)",TRUE,'ORDENES'!$Z480=$F$3),IF($H$3="(todos)",TRUE,'ORDENES'!$Y480=$H$3),'ORDENES'!$AF480=TRUE,'ORDENES'!$A480&lt;&gt;""),1,0)</f>
        <v/>
      </c>
      <c r="L484" s="5">
        <f>IF(K484=1,IFERROR(MATCH('ORDENES'!$S480,lista_dias,0),9)*1000000000+IFERROR(MATCH('ORDENES'!$AH480,lista_turnos,0),9)*10000000+IFERROR(MATCH('ORDENES'!$AG480,tblTecnicos[nombre],0),99)*100000+477,9000000000000+477)</f>
        <v/>
      </c>
      <c r="M484" s="5">
        <f>IF(K484=1,SUMPRODUCT(--($L$8:$L$1207&lt;L484))+1,"")</f>
        <v/>
      </c>
      <c r="N484" s="17">
        <f>IF(K484=1,N('ORDENES'!$M480),0)</f>
        <v/>
      </c>
      <c r="O484" s="17">
        <f>IF('ORDENES'!$U480="preventiva",N484,0)</f>
        <v/>
      </c>
      <c r="P484" s="17">
        <f>IF('ORDENES'!$U480="correctiva",N484,0)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22">
        <f>IF(K484=1,'ORDENES'!$J480,"")</f>
        <v/>
      </c>
    </row>
    <row r="485">
      <c r="K485" s="5">
        <f>IF(AND(IF($B$3="(todos)",TRUE,'ORDENES'!$O481=$B$3),IF($D$3="(todos)",TRUE,'ORDENES'!$AH481=$D$3),IF($F$3="(todos)",TRUE,'ORDENES'!$Z481=$F$3),IF($H$3="(todos)",TRUE,'ORDENES'!$Y481=$H$3),'ORDENES'!$AF481=TRUE,'ORDENES'!$A481&lt;&gt;""),1,0)</f>
        <v/>
      </c>
      <c r="L485" s="5">
        <f>IF(K485=1,IFERROR(MATCH('ORDENES'!$S481,lista_dias,0),9)*1000000000+IFERROR(MATCH('ORDENES'!$AH481,lista_turnos,0),9)*10000000+IFERROR(MATCH('ORDENES'!$AG481,tblTecnicos[nombre],0),99)*100000+478,9000000000000+478)</f>
        <v/>
      </c>
      <c r="M485" s="5">
        <f>IF(K485=1,SUMPRODUCT(--($L$8:$L$1207&lt;L485))+1,"")</f>
        <v/>
      </c>
      <c r="N485" s="17">
        <f>IF(K485=1,N('ORDENES'!$M481),0)</f>
        <v/>
      </c>
      <c r="O485" s="17">
        <f>IF('ORDENES'!$U481="preventiva",N485,0)</f>
        <v/>
      </c>
      <c r="P485" s="17">
        <f>IF('ORDENES'!$U481="correctiva",N485,0)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22">
        <f>IF(K485=1,'ORDENES'!$J481,"")</f>
        <v/>
      </c>
    </row>
    <row r="486">
      <c r="K486" s="5">
        <f>IF(AND(IF($B$3="(todos)",TRUE,'ORDENES'!$O482=$B$3),IF($D$3="(todos)",TRUE,'ORDENES'!$AH482=$D$3),IF($F$3="(todos)",TRUE,'ORDENES'!$Z482=$F$3),IF($H$3="(todos)",TRUE,'ORDENES'!$Y482=$H$3),'ORDENES'!$AF482=TRUE,'ORDENES'!$A482&lt;&gt;""),1,0)</f>
        <v/>
      </c>
      <c r="L486" s="5">
        <f>IF(K486=1,IFERROR(MATCH('ORDENES'!$S482,lista_dias,0),9)*1000000000+IFERROR(MATCH('ORDENES'!$AH482,lista_turnos,0),9)*10000000+IFERROR(MATCH('ORDENES'!$AG482,tblTecnicos[nombre],0),99)*100000+479,9000000000000+479)</f>
        <v/>
      </c>
      <c r="M486" s="5">
        <f>IF(K486=1,SUMPRODUCT(--($L$8:$L$1207&lt;L486))+1,"")</f>
        <v/>
      </c>
      <c r="N486" s="17">
        <f>IF(K486=1,N('ORDENES'!$M482),0)</f>
        <v/>
      </c>
      <c r="O486" s="17">
        <f>IF('ORDENES'!$U482="preventiva",N486,0)</f>
        <v/>
      </c>
      <c r="P486" s="17">
        <f>IF('ORDENES'!$U482="correctiva",N486,0)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22">
        <f>IF(K486=1,'ORDENES'!$J482,"")</f>
        <v/>
      </c>
    </row>
    <row r="487">
      <c r="K487" s="5">
        <f>IF(AND(IF($B$3="(todos)",TRUE,'ORDENES'!$O483=$B$3),IF($D$3="(todos)",TRUE,'ORDENES'!$AH483=$D$3),IF($F$3="(todos)",TRUE,'ORDENES'!$Z483=$F$3),IF($H$3="(todos)",TRUE,'ORDENES'!$Y483=$H$3),'ORDENES'!$AF483=TRUE,'ORDENES'!$A483&lt;&gt;""),1,0)</f>
        <v/>
      </c>
      <c r="L487" s="5">
        <f>IF(K487=1,IFERROR(MATCH('ORDENES'!$S483,lista_dias,0),9)*1000000000+IFERROR(MATCH('ORDENES'!$AH483,lista_turnos,0),9)*10000000+IFERROR(MATCH('ORDENES'!$AG483,tblTecnicos[nombre],0),99)*100000+480,9000000000000+480)</f>
        <v/>
      </c>
      <c r="M487" s="5">
        <f>IF(K487=1,SUMPRODUCT(--($L$8:$L$1207&lt;L487))+1,"")</f>
        <v/>
      </c>
      <c r="N487" s="17">
        <f>IF(K487=1,N('ORDENES'!$M483),0)</f>
        <v/>
      </c>
      <c r="O487" s="17">
        <f>IF('ORDENES'!$U483="preventiva",N487,0)</f>
        <v/>
      </c>
      <c r="P487" s="17">
        <f>IF('ORDENES'!$U483="correctiva",N487,0)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22">
        <f>IF(K487=1,'ORDENES'!$J483,"")</f>
        <v/>
      </c>
    </row>
    <row r="488">
      <c r="K488" s="5">
        <f>IF(AND(IF($B$3="(todos)",TRUE,'ORDENES'!$O484=$B$3),IF($D$3="(todos)",TRUE,'ORDENES'!$AH484=$D$3),IF($F$3="(todos)",TRUE,'ORDENES'!$Z484=$F$3),IF($H$3="(todos)",TRUE,'ORDENES'!$Y484=$H$3),'ORDENES'!$AF484=TRUE,'ORDENES'!$A484&lt;&gt;""),1,0)</f>
        <v/>
      </c>
      <c r="L488" s="5">
        <f>IF(K488=1,IFERROR(MATCH('ORDENES'!$S484,lista_dias,0),9)*1000000000+IFERROR(MATCH('ORDENES'!$AH484,lista_turnos,0),9)*10000000+IFERROR(MATCH('ORDENES'!$AG484,tblTecnicos[nombre],0),99)*100000+481,9000000000000+481)</f>
        <v/>
      </c>
      <c r="M488" s="5">
        <f>IF(K488=1,SUMPRODUCT(--($L$8:$L$1207&lt;L488))+1,"")</f>
        <v/>
      </c>
      <c r="N488" s="17">
        <f>IF(K488=1,N('ORDENES'!$M484),0)</f>
        <v/>
      </c>
      <c r="O488" s="17">
        <f>IF('ORDENES'!$U484="preventiva",N488,0)</f>
        <v/>
      </c>
      <c r="P488" s="17">
        <f>IF('ORDENES'!$U484="correctiva",N488,0)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22">
        <f>IF(K488=1,'ORDENES'!$J484,"")</f>
        <v/>
      </c>
    </row>
    <row r="489">
      <c r="K489" s="5">
        <f>IF(AND(IF($B$3="(todos)",TRUE,'ORDENES'!$O485=$B$3),IF($D$3="(todos)",TRUE,'ORDENES'!$AH485=$D$3),IF($F$3="(todos)",TRUE,'ORDENES'!$Z485=$F$3),IF($H$3="(todos)",TRUE,'ORDENES'!$Y485=$H$3),'ORDENES'!$AF485=TRUE,'ORDENES'!$A485&lt;&gt;""),1,0)</f>
        <v/>
      </c>
      <c r="L489" s="5">
        <f>IF(K489=1,IFERROR(MATCH('ORDENES'!$S485,lista_dias,0),9)*1000000000+IFERROR(MATCH('ORDENES'!$AH485,lista_turnos,0),9)*10000000+IFERROR(MATCH('ORDENES'!$AG485,tblTecnicos[nombre],0),99)*100000+482,9000000000000+482)</f>
        <v/>
      </c>
      <c r="M489" s="5">
        <f>IF(K489=1,SUMPRODUCT(--($L$8:$L$1207&lt;L489))+1,"")</f>
        <v/>
      </c>
      <c r="N489" s="17">
        <f>IF(K489=1,N('ORDENES'!$M485),0)</f>
        <v/>
      </c>
      <c r="O489" s="17">
        <f>IF('ORDENES'!$U485="preventiva",N489,0)</f>
        <v/>
      </c>
      <c r="P489" s="17">
        <f>IF('ORDENES'!$U485="correctiva",N489,0)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22">
        <f>IF(K489=1,'ORDENES'!$J485,"")</f>
        <v/>
      </c>
    </row>
    <row r="490">
      <c r="K490" s="5">
        <f>IF(AND(IF($B$3="(todos)",TRUE,'ORDENES'!$O486=$B$3),IF($D$3="(todos)",TRUE,'ORDENES'!$AH486=$D$3),IF($F$3="(todos)",TRUE,'ORDENES'!$Z486=$F$3),IF($H$3="(todos)",TRUE,'ORDENES'!$Y486=$H$3),'ORDENES'!$AF486=TRUE,'ORDENES'!$A486&lt;&gt;""),1,0)</f>
        <v/>
      </c>
      <c r="L490" s="5">
        <f>IF(K490=1,IFERROR(MATCH('ORDENES'!$S486,lista_dias,0),9)*1000000000+IFERROR(MATCH('ORDENES'!$AH486,lista_turnos,0),9)*10000000+IFERROR(MATCH('ORDENES'!$AG486,tblTecnicos[nombre],0),99)*100000+483,9000000000000+483)</f>
        <v/>
      </c>
      <c r="M490" s="5">
        <f>IF(K490=1,SUMPRODUCT(--($L$8:$L$1207&lt;L490))+1,"")</f>
        <v/>
      </c>
      <c r="N490" s="17">
        <f>IF(K490=1,N('ORDENES'!$M486),0)</f>
        <v/>
      </c>
      <c r="O490" s="17">
        <f>IF('ORDENES'!$U486="preventiva",N490,0)</f>
        <v/>
      </c>
      <c r="P490" s="17">
        <f>IF('ORDENES'!$U486="correctiva",N490,0)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22">
        <f>IF(K490=1,'ORDENES'!$J486,"")</f>
        <v/>
      </c>
    </row>
    <row r="491">
      <c r="K491" s="5">
        <f>IF(AND(IF($B$3="(todos)",TRUE,'ORDENES'!$O487=$B$3),IF($D$3="(todos)",TRUE,'ORDENES'!$AH487=$D$3),IF($F$3="(todos)",TRUE,'ORDENES'!$Z487=$F$3),IF($H$3="(todos)",TRUE,'ORDENES'!$Y487=$H$3),'ORDENES'!$AF487=TRUE,'ORDENES'!$A487&lt;&gt;""),1,0)</f>
        <v/>
      </c>
      <c r="L491" s="5">
        <f>IF(K491=1,IFERROR(MATCH('ORDENES'!$S487,lista_dias,0),9)*1000000000+IFERROR(MATCH('ORDENES'!$AH487,lista_turnos,0),9)*10000000+IFERROR(MATCH('ORDENES'!$AG487,tblTecnicos[nombre],0),99)*100000+484,9000000000000+484)</f>
        <v/>
      </c>
      <c r="M491" s="5">
        <f>IF(K491=1,SUMPRODUCT(--($L$8:$L$1207&lt;L491))+1,"")</f>
        <v/>
      </c>
      <c r="N491" s="17">
        <f>IF(K491=1,N('ORDENES'!$M487),0)</f>
        <v/>
      </c>
      <c r="O491" s="17">
        <f>IF('ORDENES'!$U487="preventiva",N491,0)</f>
        <v/>
      </c>
      <c r="P491" s="17">
        <f>IF('ORDENES'!$U487="correctiva",N491,0)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22">
        <f>IF(K491=1,'ORDENES'!$J487,"")</f>
        <v/>
      </c>
    </row>
    <row r="492">
      <c r="K492" s="5">
        <f>IF(AND(IF($B$3="(todos)",TRUE,'ORDENES'!$O488=$B$3),IF($D$3="(todos)",TRUE,'ORDENES'!$AH488=$D$3),IF($F$3="(todos)",TRUE,'ORDENES'!$Z488=$F$3),IF($H$3="(todos)",TRUE,'ORDENES'!$Y488=$H$3),'ORDENES'!$AF488=TRUE,'ORDENES'!$A488&lt;&gt;""),1,0)</f>
        <v/>
      </c>
      <c r="L492" s="5">
        <f>IF(K492=1,IFERROR(MATCH('ORDENES'!$S488,lista_dias,0),9)*1000000000+IFERROR(MATCH('ORDENES'!$AH488,lista_turnos,0),9)*10000000+IFERROR(MATCH('ORDENES'!$AG488,tblTecnicos[nombre],0),99)*100000+485,9000000000000+485)</f>
        <v/>
      </c>
      <c r="M492" s="5">
        <f>IF(K492=1,SUMPRODUCT(--($L$8:$L$1207&lt;L492))+1,"")</f>
        <v/>
      </c>
      <c r="N492" s="17">
        <f>IF(K492=1,N('ORDENES'!$M488),0)</f>
        <v/>
      </c>
      <c r="O492" s="17">
        <f>IF('ORDENES'!$U488="preventiva",N492,0)</f>
        <v/>
      </c>
      <c r="P492" s="17">
        <f>IF('ORDENES'!$U488="correctiva",N492,0)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22">
        <f>IF(K492=1,'ORDENES'!$J488,"")</f>
        <v/>
      </c>
    </row>
    <row r="493">
      <c r="K493" s="5">
        <f>IF(AND(IF($B$3="(todos)",TRUE,'ORDENES'!$O489=$B$3),IF($D$3="(todos)",TRUE,'ORDENES'!$AH489=$D$3),IF($F$3="(todos)",TRUE,'ORDENES'!$Z489=$F$3),IF($H$3="(todos)",TRUE,'ORDENES'!$Y489=$H$3),'ORDENES'!$AF489=TRUE,'ORDENES'!$A489&lt;&gt;""),1,0)</f>
        <v/>
      </c>
      <c r="L493" s="5">
        <f>IF(K493=1,IFERROR(MATCH('ORDENES'!$S489,lista_dias,0),9)*1000000000+IFERROR(MATCH('ORDENES'!$AH489,lista_turnos,0),9)*10000000+IFERROR(MATCH('ORDENES'!$AG489,tblTecnicos[nombre],0),99)*100000+486,9000000000000+486)</f>
        <v/>
      </c>
      <c r="M493" s="5">
        <f>IF(K493=1,SUMPRODUCT(--($L$8:$L$1207&lt;L493))+1,"")</f>
        <v/>
      </c>
      <c r="N493" s="17">
        <f>IF(K493=1,N('ORDENES'!$M489),0)</f>
        <v/>
      </c>
      <c r="O493" s="17">
        <f>IF('ORDENES'!$U489="preventiva",N493,0)</f>
        <v/>
      </c>
      <c r="P493" s="17">
        <f>IF('ORDENES'!$U489="correctiva",N493,0)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22">
        <f>IF(K493=1,'ORDENES'!$J489,"")</f>
        <v/>
      </c>
    </row>
    <row r="494">
      <c r="K494" s="5">
        <f>IF(AND(IF($B$3="(todos)",TRUE,'ORDENES'!$O490=$B$3),IF($D$3="(todos)",TRUE,'ORDENES'!$AH490=$D$3),IF($F$3="(todos)",TRUE,'ORDENES'!$Z490=$F$3),IF($H$3="(todos)",TRUE,'ORDENES'!$Y490=$H$3),'ORDENES'!$AF490=TRUE,'ORDENES'!$A490&lt;&gt;""),1,0)</f>
        <v/>
      </c>
      <c r="L494" s="5">
        <f>IF(K494=1,IFERROR(MATCH('ORDENES'!$S490,lista_dias,0),9)*1000000000+IFERROR(MATCH('ORDENES'!$AH490,lista_turnos,0),9)*10000000+IFERROR(MATCH('ORDENES'!$AG490,tblTecnicos[nombre],0),99)*100000+487,9000000000000+487)</f>
        <v/>
      </c>
      <c r="M494" s="5">
        <f>IF(K494=1,SUMPRODUCT(--($L$8:$L$1207&lt;L494))+1,"")</f>
        <v/>
      </c>
      <c r="N494" s="17">
        <f>IF(K494=1,N('ORDENES'!$M490),0)</f>
        <v/>
      </c>
      <c r="O494" s="17">
        <f>IF('ORDENES'!$U490="preventiva",N494,0)</f>
        <v/>
      </c>
      <c r="P494" s="17">
        <f>IF('ORDENES'!$U490="correctiva",N494,0)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22">
        <f>IF(K494=1,'ORDENES'!$J490,"")</f>
        <v/>
      </c>
    </row>
    <row r="495">
      <c r="K495" s="5">
        <f>IF(AND(IF($B$3="(todos)",TRUE,'ORDENES'!$O491=$B$3),IF($D$3="(todos)",TRUE,'ORDENES'!$AH491=$D$3),IF($F$3="(todos)",TRUE,'ORDENES'!$Z491=$F$3),IF($H$3="(todos)",TRUE,'ORDENES'!$Y491=$H$3),'ORDENES'!$AF491=TRUE,'ORDENES'!$A491&lt;&gt;""),1,0)</f>
        <v/>
      </c>
      <c r="L495" s="5">
        <f>IF(K495=1,IFERROR(MATCH('ORDENES'!$S491,lista_dias,0),9)*1000000000+IFERROR(MATCH('ORDENES'!$AH491,lista_turnos,0),9)*10000000+IFERROR(MATCH('ORDENES'!$AG491,tblTecnicos[nombre],0),99)*100000+488,9000000000000+488)</f>
        <v/>
      </c>
      <c r="M495" s="5">
        <f>IF(K495=1,SUMPRODUCT(--($L$8:$L$1207&lt;L495))+1,"")</f>
        <v/>
      </c>
      <c r="N495" s="17">
        <f>IF(K495=1,N('ORDENES'!$M491),0)</f>
        <v/>
      </c>
      <c r="O495" s="17">
        <f>IF('ORDENES'!$U491="preventiva",N495,0)</f>
        <v/>
      </c>
      <c r="P495" s="17">
        <f>IF('ORDENES'!$U491="correctiva",N495,0)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22">
        <f>IF(K495=1,'ORDENES'!$J491,"")</f>
        <v/>
      </c>
    </row>
    <row r="496">
      <c r="K496" s="5">
        <f>IF(AND(IF($B$3="(todos)",TRUE,'ORDENES'!$O492=$B$3),IF($D$3="(todos)",TRUE,'ORDENES'!$AH492=$D$3),IF($F$3="(todos)",TRUE,'ORDENES'!$Z492=$F$3),IF($H$3="(todos)",TRUE,'ORDENES'!$Y492=$H$3),'ORDENES'!$AF492=TRUE,'ORDENES'!$A492&lt;&gt;""),1,0)</f>
        <v/>
      </c>
      <c r="L496" s="5">
        <f>IF(K496=1,IFERROR(MATCH('ORDENES'!$S492,lista_dias,0),9)*1000000000+IFERROR(MATCH('ORDENES'!$AH492,lista_turnos,0),9)*10000000+IFERROR(MATCH('ORDENES'!$AG492,tblTecnicos[nombre],0),99)*100000+489,9000000000000+489)</f>
        <v/>
      </c>
      <c r="M496" s="5">
        <f>IF(K496=1,SUMPRODUCT(--($L$8:$L$1207&lt;L496))+1,"")</f>
        <v/>
      </c>
      <c r="N496" s="17">
        <f>IF(K496=1,N('ORDENES'!$M492),0)</f>
        <v/>
      </c>
      <c r="O496" s="17">
        <f>IF('ORDENES'!$U492="preventiva",N496,0)</f>
        <v/>
      </c>
      <c r="P496" s="17">
        <f>IF('ORDENES'!$U492="correctiva",N496,0)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22">
        <f>IF(K496=1,'ORDENES'!$J492,"")</f>
        <v/>
      </c>
    </row>
    <row r="497">
      <c r="K497" s="5">
        <f>IF(AND(IF($B$3="(todos)",TRUE,'ORDENES'!$O493=$B$3),IF($D$3="(todos)",TRUE,'ORDENES'!$AH493=$D$3),IF($F$3="(todos)",TRUE,'ORDENES'!$Z493=$F$3),IF($H$3="(todos)",TRUE,'ORDENES'!$Y493=$H$3),'ORDENES'!$AF493=TRUE,'ORDENES'!$A493&lt;&gt;""),1,0)</f>
        <v/>
      </c>
      <c r="L497" s="5">
        <f>IF(K497=1,IFERROR(MATCH('ORDENES'!$S493,lista_dias,0),9)*1000000000+IFERROR(MATCH('ORDENES'!$AH493,lista_turnos,0),9)*10000000+IFERROR(MATCH('ORDENES'!$AG493,tblTecnicos[nombre],0),99)*100000+490,9000000000000+490)</f>
        <v/>
      </c>
      <c r="M497" s="5">
        <f>IF(K497=1,SUMPRODUCT(--($L$8:$L$1207&lt;L497))+1,"")</f>
        <v/>
      </c>
      <c r="N497" s="17">
        <f>IF(K497=1,N('ORDENES'!$M493),0)</f>
        <v/>
      </c>
      <c r="O497" s="17">
        <f>IF('ORDENES'!$U493="preventiva",N497,0)</f>
        <v/>
      </c>
      <c r="P497" s="17">
        <f>IF('ORDENES'!$U493="correctiva",N497,0)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22">
        <f>IF(K497=1,'ORDENES'!$J493,"")</f>
        <v/>
      </c>
    </row>
    <row r="498">
      <c r="K498" s="5">
        <f>IF(AND(IF($B$3="(todos)",TRUE,'ORDENES'!$O494=$B$3),IF($D$3="(todos)",TRUE,'ORDENES'!$AH494=$D$3),IF($F$3="(todos)",TRUE,'ORDENES'!$Z494=$F$3),IF($H$3="(todos)",TRUE,'ORDENES'!$Y494=$H$3),'ORDENES'!$AF494=TRUE,'ORDENES'!$A494&lt;&gt;""),1,0)</f>
        <v/>
      </c>
      <c r="L498" s="5">
        <f>IF(K498=1,IFERROR(MATCH('ORDENES'!$S494,lista_dias,0),9)*1000000000+IFERROR(MATCH('ORDENES'!$AH494,lista_turnos,0),9)*10000000+IFERROR(MATCH('ORDENES'!$AG494,tblTecnicos[nombre],0),99)*100000+491,9000000000000+491)</f>
        <v/>
      </c>
      <c r="M498" s="5">
        <f>IF(K498=1,SUMPRODUCT(--($L$8:$L$1207&lt;L498))+1,"")</f>
        <v/>
      </c>
      <c r="N498" s="17">
        <f>IF(K498=1,N('ORDENES'!$M494),0)</f>
        <v/>
      </c>
      <c r="O498" s="17">
        <f>IF('ORDENES'!$U494="preventiva",N498,0)</f>
        <v/>
      </c>
      <c r="P498" s="17">
        <f>IF('ORDENES'!$U494="correctiva",N498,0)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22">
        <f>IF(K498=1,'ORDENES'!$J494,"")</f>
        <v/>
      </c>
    </row>
    <row r="499">
      <c r="K499" s="5">
        <f>IF(AND(IF($B$3="(todos)",TRUE,'ORDENES'!$O495=$B$3),IF($D$3="(todos)",TRUE,'ORDENES'!$AH495=$D$3),IF($F$3="(todos)",TRUE,'ORDENES'!$Z495=$F$3),IF($H$3="(todos)",TRUE,'ORDENES'!$Y495=$H$3),'ORDENES'!$AF495=TRUE,'ORDENES'!$A495&lt;&gt;""),1,0)</f>
        <v/>
      </c>
      <c r="L499" s="5">
        <f>IF(K499=1,IFERROR(MATCH('ORDENES'!$S495,lista_dias,0),9)*1000000000+IFERROR(MATCH('ORDENES'!$AH495,lista_turnos,0),9)*10000000+IFERROR(MATCH('ORDENES'!$AG495,tblTecnicos[nombre],0),99)*100000+492,9000000000000+492)</f>
        <v/>
      </c>
      <c r="M499" s="5">
        <f>IF(K499=1,SUMPRODUCT(--($L$8:$L$1207&lt;L499))+1,"")</f>
        <v/>
      </c>
      <c r="N499" s="17">
        <f>IF(K499=1,N('ORDENES'!$M495),0)</f>
        <v/>
      </c>
      <c r="O499" s="17">
        <f>IF('ORDENES'!$U495="preventiva",N499,0)</f>
        <v/>
      </c>
      <c r="P499" s="17">
        <f>IF('ORDENES'!$U495="correctiva",N499,0)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22">
        <f>IF(K499=1,'ORDENES'!$J495,"")</f>
        <v/>
      </c>
    </row>
    <row r="500">
      <c r="K500" s="5">
        <f>IF(AND(IF($B$3="(todos)",TRUE,'ORDENES'!$O496=$B$3),IF($D$3="(todos)",TRUE,'ORDENES'!$AH496=$D$3),IF($F$3="(todos)",TRUE,'ORDENES'!$Z496=$F$3),IF($H$3="(todos)",TRUE,'ORDENES'!$Y496=$H$3),'ORDENES'!$AF496=TRUE,'ORDENES'!$A496&lt;&gt;""),1,0)</f>
        <v/>
      </c>
      <c r="L500" s="5">
        <f>IF(K500=1,IFERROR(MATCH('ORDENES'!$S496,lista_dias,0),9)*1000000000+IFERROR(MATCH('ORDENES'!$AH496,lista_turnos,0),9)*10000000+IFERROR(MATCH('ORDENES'!$AG496,tblTecnicos[nombre],0),99)*100000+493,9000000000000+493)</f>
        <v/>
      </c>
      <c r="M500" s="5">
        <f>IF(K500=1,SUMPRODUCT(--($L$8:$L$1207&lt;L500))+1,"")</f>
        <v/>
      </c>
      <c r="N500" s="17">
        <f>IF(K500=1,N('ORDENES'!$M496),0)</f>
        <v/>
      </c>
      <c r="O500" s="17">
        <f>IF('ORDENES'!$U496="preventiva",N500,0)</f>
        <v/>
      </c>
      <c r="P500" s="17">
        <f>IF('ORDENES'!$U496="correctiva",N500,0)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22">
        <f>IF(K500=1,'ORDENES'!$J496,"")</f>
        <v/>
      </c>
    </row>
    <row r="501">
      <c r="K501" s="5">
        <f>IF(AND(IF($B$3="(todos)",TRUE,'ORDENES'!$O497=$B$3),IF($D$3="(todos)",TRUE,'ORDENES'!$AH497=$D$3),IF($F$3="(todos)",TRUE,'ORDENES'!$Z497=$F$3),IF($H$3="(todos)",TRUE,'ORDENES'!$Y497=$H$3),'ORDENES'!$AF497=TRUE,'ORDENES'!$A497&lt;&gt;""),1,0)</f>
        <v/>
      </c>
      <c r="L501" s="5">
        <f>IF(K501=1,IFERROR(MATCH('ORDENES'!$S497,lista_dias,0),9)*1000000000+IFERROR(MATCH('ORDENES'!$AH497,lista_turnos,0),9)*10000000+IFERROR(MATCH('ORDENES'!$AG497,tblTecnicos[nombre],0),99)*100000+494,9000000000000+494)</f>
        <v/>
      </c>
      <c r="M501" s="5">
        <f>IF(K501=1,SUMPRODUCT(--($L$8:$L$1207&lt;L501))+1,"")</f>
        <v/>
      </c>
      <c r="N501" s="17">
        <f>IF(K501=1,N('ORDENES'!$M497),0)</f>
        <v/>
      </c>
      <c r="O501" s="17">
        <f>IF('ORDENES'!$U497="preventiva",N501,0)</f>
        <v/>
      </c>
      <c r="P501" s="17">
        <f>IF('ORDENES'!$U497="correctiva",N501,0)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22">
        <f>IF(K501=1,'ORDENES'!$J497,"")</f>
        <v/>
      </c>
    </row>
    <row r="502">
      <c r="K502" s="5">
        <f>IF(AND(IF($B$3="(todos)",TRUE,'ORDENES'!$O498=$B$3),IF($D$3="(todos)",TRUE,'ORDENES'!$AH498=$D$3),IF($F$3="(todos)",TRUE,'ORDENES'!$Z498=$F$3),IF($H$3="(todos)",TRUE,'ORDENES'!$Y498=$H$3),'ORDENES'!$AF498=TRUE,'ORDENES'!$A498&lt;&gt;""),1,0)</f>
        <v/>
      </c>
      <c r="L502" s="5">
        <f>IF(K502=1,IFERROR(MATCH('ORDENES'!$S498,lista_dias,0),9)*1000000000+IFERROR(MATCH('ORDENES'!$AH498,lista_turnos,0),9)*10000000+IFERROR(MATCH('ORDENES'!$AG498,tblTecnicos[nombre],0),99)*100000+495,9000000000000+495)</f>
        <v/>
      </c>
      <c r="M502" s="5">
        <f>IF(K502=1,SUMPRODUCT(--($L$8:$L$1207&lt;L502))+1,"")</f>
        <v/>
      </c>
      <c r="N502" s="17">
        <f>IF(K502=1,N('ORDENES'!$M498),0)</f>
        <v/>
      </c>
      <c r="O502" s="17">
        <f>IF('ORDENES'!$U498="preventiva",N502,0)</f>
        <v/>
      </c>
      <c r="P502" s="17">
        <f>IF('ORDENES'!$U498="correctiva",N502,0)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22">
        <f>IF(K502=1,'ORDENES'!$J498,"")</f>
        <v/>
      </c>
    </row>
    <row r="503">
      <c r="K503" s="5">
        <f>IF(AND(IF($B$3="(todos)",TRUE,'ORDENES'!$O499=$B$3),IF($D$3="(todos)",TRUE,'ORDENES'!$AH499=$D$3),IF($F$3="(todos)",TRUE,'ORDENES'!$Z499=$F$3),IF($H$3="(todos)",TRUE,'ORDENES'!$Y499=$H$3),'ORDENES'!$AF499=TRUE,'ORDENES'!$A499&lt;&gt;""),1,0)</f>
        <v/>
      </c>
      <c r="L503" s="5">
        <f>IF(K503=1,IFERROR(MATCH('ORDENES'!$S499,lista_dias,0),9)*1000000000+IFERROR(MATCH('ORDENES'!$AH499,lista_turnos,0),9)*10000000+IFERROR(MATCH('ORDENES'!$AG499,tblTecnicos[nombre],0),99)*100000+496,9000000000000+496)</f>
        <v/>
      </c>
      <c r="M503" s="5">
        <f>IF(K503=1,SUMPRODUCT(--($L$8:$L$1207&lt;L503))+1,"")</f>
        <v/>
      </c>
      <c r="N503" s="17">
        <f>IF(K503=1,N('ORDENES'!$M499),0)</f>
        <v/>
      </c>
      <c r="O503" s="17">
        <f>IF('ORDENES'!$U499="preventiva",N503,0)</f>
        <v/>
      </c>
      <c r="P503" s="17">
        <f>IF('ORDENES'!$U499="correctiva",N503,0)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22">
        <f>IF(K503=1,'ORDENES'!$J499,"")</f>
        <v/>
      </c>
    </row>
    <row r="504">
      <c r="K504" s="5">
        <f>IF(AND(IF($B$3="(todos)",TRUE,'ORDENES'!$O500=$B$3),IF($D$3="(todos)",TRUE,'ORDENES'!$AH500=$D$3),IF($F$3="(todos)",TRUE,'ORDENES'!$Z500=$F$3),IF($H$3="(todos)",TRUE,'ORDENES'!$Y500=$H$3),'ORDENES'!$AF500=TRUE,'ORDENES'!$A500&lt;&gt;""),1,0)</f>
        <v/>
      </c>
      <c r="L504" s="5">
        <f>IF(K504=1,IFERROR(MATCH('ORDENES'!$S500,lista_dias,0),9)*1000000000+IFERROR(MATCH('ORDENES'!$AH500,lista_turnos,0),9)*10000000+IFERROR(MATCH('ORDENES'!$AG500,tblTecnicos[nombre],0),99)*100000+497,9000000000000+497)</f>
        <v/>
      </c>
      <c r="M504" s="5">
        <f>IF(K504=1,SUMPRODUCT(--($L$8:$L$1207&lt;L504))+1,"")</f>
        <v/>
      </c>
      <c r="N504" s="17">
        <f>IF(K504=1,N('ORDENES'!$M500),0)</f>
        <v/>
      </c>
      <c r="O504" s="17">
        <f>IF('ORDENES'!$U500="preventiva",N504,0)</f>
        <v/>
      </c>
      <c r="P504" s="17">
        <f>IF('ORDENES'!$U500="correctiva",N504,0)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22">
        <f>IF(K504=1,'ORDENES'!$J500,"")</f>
        <v/>
      </c>
    </row>
    <row r="505">
      <c r="K505" s="5">
        <f>IF(AND(IF($B$3="(todos)",TRUE,'ORDENES'!$O501=$B$3),IF($D$3="(todos)",TRUE,'ORDENES'!$AH501=$D$3),IF($F$3="(todos)",TRUE,'ORDENES'!$Z501=$F$3),IF($H$3="(todos)",TRUE,'ORDENES'!$Y501=$H$3),'ORDENES'!$AF501=TRUE,'ORDENES'!$A501&lt;&gt;""),1,0)</f>
        <v/>
      </c>
      <c r="L505" s="5">
        <f>IF(K505=1,IFERROR(MATCH('ORDENES'!$S501,lista_dias,0),9)*1000000000+IFERROR(MATCH('ORDENES'!$AH501,lista_turnos,0),9)*10000000+IFERROR(MATCH('ORDENES'!$AG501,tblTecnicos[nombre],0),99)*100000+498,9000000000000+498)</f>
        <v/>
      </c>
      <c r="M505" s="5">
        <f>IF(K505=1,SUMPRODUCT(--($L$8:$L$1207&lt;L505))+1,"")</f>
        <v/>
      </c>
      <c r="N505" s="17">
        <f>IF(K505=1,N('ORDENES'!$M501),0)</f>
        <v/>
      </c>
      <c r="O505" s="17">
        <f>IF('ORDENES'!$U501="preventiva",N505,0)</f>
        <v/>
      </c>
      <c r="P505" s="17">
        <f>IF('ORDENES'!$U501="correctiva",N505,0)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22">
        <f>IF(K505=1,'ORDENES'!$J501,"")</f>
        <v/>
      </c>
    </row>
    <row r="506">
      <c r="K506" s="5">
        <f>IF(AND(IF($B$3="(todos)",TRUE,'ORDENES'!$O502=$B$3),IF($D$3="(todos)",TRUE,'ORDENES'!$AH502=$D$3),IF($F$3="(todos)",TRUE,'ORDENES'!$Z502=$F$3),IF($H$3="(todos)",TRUE,'ORDENES'!$Y502=$H$3),'ORDENES'!$AF502=TRUE,'ORDENES'!$A502&lt;&gt;""),1,0)</f>
        <v/>
      </c>
      <c r="L506" s="5">
        <f>IF(K506=1,IFERROR(MATCH('ORDENES'!$S502,lista_dias,0),9)*1000000000+IFERROR(MATCH('ORDENES'!$AH502,lista_turnos,0),9)*10000000+IFERROR(MATCH('ORDENES'!$AG502,tblTecnicos[nombre],0),99)*100000+499,9000000000000+499)</f>
        <v/>
      </c>
      <c r="M506" s="5">
        <f>IF(K506=1,SUMPRODUCT(--($L$8:$L$1207&lt;L506))+1,"")</f>
        <v/>
      </c>
      <c r="N506" s="17">
        <f>IF(K506=1,N('ORDENES'!$M502),0)</f>
        <v/>
      </c>
      <c r="O506" s="17">
        <f>IF('ORDENES'!$U502="preventiva",N506,0)</f>
        <v/>
      </c>
      <c r="P506" s="17">
        <f>IF('ORDENES'!$U502="correctiva",N506,0)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22">
        <f>IF(K506=1,'ORDENES'!$J502,"")</f>
        <v/>
      </c>
    </row>
    <row r="507">
      <c r="K507" s="5">
        <f>IF(AND(IF($B$3="(todos)",TRUE,'ORDENES'!$O503=$B$3),IF($D$3="(todos)",TRUE,'ORDENES'!$AH503=$D$3),IF($F$3="(todos)",TRUE,'ORDENES'!$Z503=$F$3),IF($H$3="(todos)",TRUE,'ORDENES'!$Y503=$H$3),'ORDENES'!$AF503=TRUE,'ORDENES'!$A503&lt;&gt;""),1,0)</f>
        <v/>
      </c>
      <c r="L507" s="5">
        <f>IF(K507=1,IFERROR(MATCH('ORDENES'!$S503,lista_dias,0),9)*1000000000+IFERROR(MATCH('ORDENES'!$AH503,lista_turnos,0),9)*10000000+IFERROR(MATCH('ORDENES'!$AG503,tblTecnicos[nombre],0),99)*100000+500,9000000000000+500)</f>
        <v/>
      </c>
      <c r="M507" s="5">
        <f>IF(K507=1,SUMPRODUCT(--($L$8:$L$1207&lt;L507))+1,"")</f>
        <v/>
      </c>
      <c r="N507" s="17">
        <f>IF(K507=1,N('ORDENES'!$M503),0)</f>
        <v/>
      </c>
      <c r="O507" s="17">
        <f>IF('ORDENES'!$U503="preventiva",N507,0)</f>
        <v/>
      </c>
      <c r="P507" s="17">
        <f>IF('ORDENES'!$U503="correctiva",N507,0)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22">
        <f>IF(K507=1,'ORDENES'!$J503,"")</f>
        <v/>
      </c>
    </row>
    <row r="508">
      <c r="K508" s="5">
        <f>IF(AND(IF($B$3="(todos)",TRUE,'ORDENES'!$O504=$B$3),IF($D$3="(todos)",TRUE,'ORDENES'!$AH504=$D$3),IF($F$3="(todos)",TRUE,'ORDENES'!$Z504=$F$3),IF($H$3="(todos)",TRUE,'ORDENES'!$Y504=$H$3),'ORDENES'!$AF504=TRUE,'ORDENES'!$A504&lt;&gt;""),1,0)</f>
        <v/>
      </c>
      <c r="L508" s="5">
        <f>IF(K508=1,IFERROR(MATCH('ORDENES'!$S504,lista_dias,0),9)*1000000000+IFERROR(MATCH('ORDENES'!$AH504,lista_turnos,0),9)*10000000+IFERROR(MATCH('ORDENES'!$AG504,tblTecnicos[nombre],0),99)*100000+501,9000000000000+501)</f>
        <v/>
      </c>
      <c r="M508" s="5">
        <f>IF(K508=1,SUMPRODUCT(--($L$8:$L$1207&lt;L508))+1,"")</f>
        <v/>
      </c>
      <c r="N508" s="17">
        <f>IF(K508=1,N('ORDENES'!$M504),0)</f>
        <v/>
      </c>
      <c r="O508" s="17">
        <f>IF('ORDENES'!$U504="preventiva",N508,0)</f>
        <v/>
      </c>
      <c r="P508" s="17">
        <f>IF('ORDENES'!$U504="correctiva",N508,0)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22">
        <f>IF(K508=1,'ORDENES'!$J504,"")</f>
        <v/>
      </c>
    </row>
    <row r="509">
      <c r="K509" s="5">
        <f>IF(AND(IF($B$3="(todos)",TRUE,'ORDENES'!$O505=$B$3),IF($D$3="(todos)",TRUE,'ORDENES'!$AH505=$D$3),IF($F$3="(todos)",TRUE,'ORDENES'!$Z505=$F$3),IF($H$3="(todos)",TRUE,'ORDENES'!$Y505=$H$3),'ORDENES'!$AF505=TRUE,'ORDENES'!$A505&lt;&gt;""),1,0)</f>
        <v/>
      </c>
      <c r="L509" s="5">
        <f>IF(K509=1,IFERROR(MATCH('ORDENES'!$S505,lista_dias,0),9)*1000000000+IFERROR(MATCH('ORDENES'!$AH505,lista_turnos,0),9)*10000000+IFERROR(MATCH('ORDENES'!$AG505,tblTecnicos[nombre],0),99)*100000+502,9000000000000+502)</f>
        <v/>
      </c>
      <c r="M509" s="5">
        <f>IF(K509=1,SUMPRODUCT(--($L$8:$L$1207&lt;L509))+1,"")</f>
        <v/>
      </c>
      <c r="N509" s="17">
        <f>IF(K509=1,N('ORDENES'!$M505),0)</f>
        <v/>
      </c>
      <c r="O509" s="17">
        <f>IF('ORDENES'!$U505="preventiva",N509,0)</f>
        <v/>
      </c>
      <c r="P509" s="17">
        <f>IF('ORDENES'!$U505="correctiva",N509,0)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22">
        <f>IF(K509=1,'ORDENES'!$J505,"")</f>
        <v/>
      </c>
    </row>
    <row r="510">
      <c r="K510" s="5">
        <f>IF(AND(IF($B$3="(todos)",TRUE,'ORDENES'!$O506=$B$3),IF($D$3="(todos)",TRUE,'ORDENES'!$AH506=$D$3),IF($F$3="(todos)",TRUE,'ORDENES'!$Z506=$F$3),IF($H$3="(todos)",TRUE,'ORDENES'!$Y506=$H$3),'ORDENES'!$AF506=TRUE,'ORDENES'!$A506&lt;&gt;""),1,0)</f>
        <v/>
      </c>
      <c r="L510" s="5">
        <f>IF(K510=1,IFERROR(MATCH('ORDENES'!$S506,lista_dias,0),9)*1000000000+IFERROR(MATCH('ORDENES'!$AH506,lista_turnos,0),9)*10000000+IFERROR(MATCH('ORDENES'!$AG506,tblTecnicos[nombre],0),99)*100000+503,9000000000000+503)</f>
        <v/>
      </c>
      <c r="M510" s="5">
        <f>IF(K510=1,SUMPRODUCT(--($L$8:$L$1207&lt;L510))+1,"")</f>
        <v/>
      </c>
      <c r="N510" s="17">
        <f>IF(K510=1,N('ORDENES'!$M506),0)</f>
        <v/>
      </c>
      <c r="O510" s="17">
        <f>IF('ORDENES'!$U506="preventiva",N510,0)</f>
        <v/>
      </c>
      <c r="P510" s="17">
        <f>IF('ORDENES'!$U506="correctiva",N510,0)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22">
        <f>IF(K510=1,'ORDENES'!$J506,"")</f>
        <v/>
      </c>
    </row>
    <row r="511">
      <c r="K511" s="5">
        <f>IF(AND(IF($B$3="(todos)",TRUE,'ORDENES'!$O507=$B$3),IF($D$3="(todos)",TRUE,'ORDENES'!$AH507=$D$3),IF($F$3="(todos)",TRUE,'ORDENES'!$Z507=$F$3),IF($H$3="(todos)",TRUE,'ORDENES'!$Y507=$H$3),'ORDENES'!$AF507=TRUE,'ORDENES'!$A507&lt;&gt;""),1,0)</f>
        <v/>
      </c>
      <c r="L511" s="5">
        <f>IF(K511=1,IFERROR(MATCH('ORDENES'!$S507,lista_dias,0),9)*1000000000+IFERROR(MATCH('ORDENES'!$AH507,lista_turnos,0),9)*10000000+IFERROR(MATCH('ORDENES'!$AG507,tblTecnicos[nombre],0),99)*100000+504,9000000000000+504)</f>
        <v/>
      </c>
      <c r="M511" s="5">
        <f>IF(K511=1,SUMPRODUCT(--($L$8:$L$1207&lt;L511))+1,"")</f>
        <v/>
      </c>
      <c r="N511" s="17">
        <f>IF(K511=1,N('ORDENES'!$M507),0)</f>
        <v/>
      </c>
      <c r="O511" s="17">
        <f>IF('ORDENES'!$U507="preventiva",N511,0)</f>
        <v/>
      </c>
      <c r="P511" s="17">
        <f>IF('ORDENES'!$U507="correctiva",N511,0)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22">
        <f>IF(K511=1,'ORDENES'!$J507,"")</f>
        <v/>
      </c>
    </row>
    <row r="512">
      <c r="K512" s="5">
        <f>IF(AND(IF($B$3="(todos)",TRUE,'ORDENES'!$O508=$B$3),IF($D$3="(todos)",TRUE,'ORDENES'!$AH508=$D$3),IF($F$3="(todos)",TRUE,'ORDENES'!$Z508=$F$3),IF($H$3="(todos)",TRUE,'ORDENES'!$Y508=$H$3),'ORDENES'!$AF508=TRUE,'ORDENES'!$A508&lt;&gt;""),1,0)</f>
        <v/>
      </c>
      <c r="L512" s="5">
        <f>IF(K512=1,IFERROR(MATCH('ORDENES'!$S508,lista_dias,0),9)*1000000000+IFERROR(MATCH('ORDENES'!$AH508,lista_turnos,0),9)*10000000+IFERROR(MATCH('ORDENES'!$AG508,tblTecnicos[nombre],0),99)*100000+505,9000000000000+505)</f>
        <v/>
      </c>
      <c r="M512" s="5">
        <f>IF(K512=1,SUMPRODUCT(--($L$8:$L$1207&lt;L512))+1,"")</f>
        <v/>
      </c>
      <c r="N512" s="17">
        <f>IF(K512=1,N('ORDENES'!$M508),0)</f>
        <v/>
      </c>
      <c r="O512" s="17">
        <f>IF('ORDENES'!$U508="preventiva",N512,0)</f>
        <v/>
      </c>
      <c r="P512" s="17">
        <f>IF('ORDENES'!$U508="correctiva",N512,0)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22">
        <f>IF(K512=1,'ORDENES'!$J508,"")</f>
        <v/>
      </c>
    </row>
    <row r="513">
      <c r="K513" s="5">
        <f>IF(AND(IF($B$3="(todos)",TRUE,'ORDENES'!$O509=$B$3),IF($D$3="(todos)",TRUE,'ORDENES'!$AH509=$D$3),IF($F$3="(todos)",TRUE,'ORDENES'!$Z509=$F$3),IF($H$3="(todos)",TRUE,'ORDENES'!$Y509=$H$3),'ORDENES'!$AF509=TRUE,'ORDENES'!$A509&lt;&gt;""),1,0)</f>
        <v/>
      </c>
      <c r="L513" s="5">
        <f>IF(K513=1,IFERROR(MATCH('ORDENES'!$S509,lista_dias,0),9)*1000000000+IFERROR(MATCH('ORDENES'!$AH509,lista_turnos,0),9)*10000000+IFERROR(MATCH('ORDENES'!$AG509,tblTecnicos[nombre],0),99)*100000+506,9000000000000+506)</f>
        <v/>
      </c>
      <c r="M513" s="5">
        <f>IF(K513=1,SUMPRODUCT(--($L$8:$L$1207&lt;L513))+1,"")</f>
        <v/>
      </c>
      <c r="N513" s="17">
        <f>IF(K513=1,N('ORDENES'!$M509),0)</f>
        <v/>
      </c>
      <c r="O513" s="17">
        <f>IF('ORDENES'!$U509="preventiva",N513,0)</f>
        <v/>
      </c>
      <c r="P513" s="17">
        <f>IF('ORDENES'!$U509="correctiva",N513,0)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22">
        <f>IF(K513=1,'ORDENES'!$J509,"")</f>
        <v/>
      </c>
    </row>
    <row r="514">
      <c r="K514" s="5">
        <f>IF(AND(IF($B$3="(todos)",TRUE,'ORDENES'!$O510=$B$3),IF($D$3="(todos)",TRUE,'ORDENES'!$AH510=$D$3),IF($F$3="(todos)",TRUE,'ORDENES'!$Z510=$F$3),IF($H$3="(todos)",TRUE,'ORDENES'!$Y510=$H$3),'ORDENES'!$AF510=TRUE,'ORDENES'!$A510&lt;&gt;""),1,0)</f>
        <v/>
      </c>
      <c r="L514" s="5">
        <f>IF(K514=1,IFERROR(MATCH('ORDENES'!$S510,lista_dias,0),9)*1000000000+IFERROR(MATCH('ORDENES'!$AH510,lista_turnos,0),9)*10000000+IFERROR(MATCH('ORDENES'!$AG510,tblTecnicos[nombre],0),99)*100000+507,9000000000000+507)</f>
        <v/>
      </c>
      <c r="M514" s="5">
        <f>IF(K514=1,SUMPRODUCT(--($L$8:$L$1207&lt;L514))+1,"")</f>
        <v/>
      </c>
      <c r="N514" s="17">
        <f>IF(K514=1,N('ORDENES'!$M510),0)</f>
        <v/>
      </c>
      <c r="O514" s="17">
        <f>IF('ORDENES'!$U510="preventiva",N514,0)</f>
        <v/>
      </c>
      <c r="P514" s="17">
        <f>IF('ORDENES'!$U510="correctiva",N514,0)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22">
        <f>IF(K514=1,'ORDENES'!$J510,"")</f>
        <v/>
      </c>
    </row>
    <row r="515">
      <c r="K515" s="5">
        <f>IF(AND(IF($B$3="(todos)",TRUE,'ORDENES'!$O511=$B$3),IF($D$3="(todos)",TRUE,'ORDENES'!$AH511=$D$3),IF($F$3="(todos)",TRUE,'ORDENES'!$Z511=$F$3),IF($H$3="(todos)",TRUE,'ORDENES'!$Y511=$H$3),'ORDENES'!$AF511=TRUE,'ORDENES'!$A511&lt;&gt;""),1,0)</f>
        <v/>
      </c>
      <c r="L515" s="5">
        <f>IF(K515=1,IFERROR(MATCH('ORDENES'!$S511,lista_dias,0),9)*1000000000+IFERROR(MATCH('ORDENES'!$AH511,lista_turnos,0),9)*10000000+IFERROR(MATCH('ORDENES'!$AG511,tblTecnicos[nombre],0),99)*100000+508,9000000000000+508)</f>
        <v/>
      </c>
      <c r="M515" s="5">
        <f>IF(K515=1,SUMPRODUCT(--($L$8:$L$1207&lt;L515))+1,"")</f>
        <v/>
      </c>
      <c r="N515" s="17">
        <f>IF(K515=1,N('ORDENES'!$M511),0)</f>
        <v/>
      </c>
      <c r="O515" s="17">
        <f>IF('ORDENES'!$U511="preventiva",N515,0)</f>
        <v/>
      </c>
      <c r="P515" s="17">
        <f>IF('ORDENES'!$U511="correctiva",N515,0)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22">
        <f>IF(K515=1,'ORDENES'!$J511,"")</f>
        <v/>
      </c>
    </row>
    <row r="516">
      <c r="K516" s="5">
        <f>IF(AND(IF($B$3="(todos)",TRUE,'ORDENES'!$O512=$B$3),IF($D$3="(todos)",TRUE,'ORDENES'!$AH512=$D$3),IF($F$3="(todos)",TRUE,'ORDENES'!$Z512=$F$3),IF($H$3="(todos)",TRUE,'ORDENES'!$Y512=$H$3),'ORDENES'!$AF512=TRUE,'ORDENES'!$A512&lt;&gt;""),1,0)</f>
        <v/>
      </c>
      <c r="L516" s="5">
        <f>IF(K516=1,IFERROR(MATCH('ORDENES'!$S512,lista_dias,0),9)*1000000000+IFERROR(MATCH('ORDENES'!$AH512,lista_turnos,0),9)*10000000+IFERROR(MATCH('ORDENES'!$AG512,tblTecnicos[nombre],0),99)*100000+509,9000000000000+509)</f>
        <v/>
      </c>
      <c r="M516" s="5">
        <f>IF(K516=1,SUMPRODUCT(--($L$8:$L$1207&lt;L516))+1,"")</f>
        <v/>
      </c>
      <c r="N516" s="17">
        <f>IF(K516=1,N('ORDENES'!$M512),0)</f>
        <v/>
      </c>
      <c r="O516" s="17">
        <f>IF('ORDENES'!$U512="preventiva",N516,0)</f>
        <v/>
      </c>
      <c r="P516" s="17">
        <f>IF('ORDENES'!$U512="correctiva",N516,0)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22">
        <f>IF(K516=1,'ORDENES'!$J512,"")</f>
        <v/>
      </c>
    </row>
    <row r="517">
      <c r="K517" s="5">
        <f>IF(AND(IF($B$3="(todos)",TRUE,'ORDENES'!$O513=$B$3),IF($D$3="(todos)",TRUE,'ORDENES'!$AH513=$D$3),IF($F$3="(todos)",TRUE,'ORDENES'!$Z513=$F$3),IF($H$3="(todos)",TRUE,'ORDENES'!$Y513=$H$3),'ORDENES'!$AF513=TRUE,'ORDENES'!$A513&lt;&gt;""),1,0)</f>
        <v/>
      </c>
      <c r="L517" s="5">
        <f>IF(K517=1,IFERROR(MATCH('ORDENES'!$S513,lista_dias,0),9)*1000000000+IFERROR(MATCH('ORDENES'!$AH513,lista_turnos,0),9)*10000000+IFERROR(MATCH('ORDENES'!$AG513,tblTecnicos[nombre],0),99)*100000+510,9000000000000+510)</f>
        <v/>
      </c>
      <c r="M517" s="5">
        <f>IF(K517=1,SUMPRODUCT(--($L$8:$L$1207&lt;L517))+1,"")</f>
        <v/>
      </c>
      <c r="N517" s="17">
        <f>IF(K517=1,N('ORDENES'!$M513),0)</f>
        <v/>
      </c>
      <c r="O517" s="17">
        <f>IF('ORDENES'!$U513="preventiva",N517,0)</f>
        <v/>
      </c>
      <c r="P517" s="17">
        <f>IF('ORDENES'!$U513="correctiva",N517,0)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22">
        <f>IF(K517=1,'ORDENES'!$J513,"")</f>
        <v/>
      </c>
    </row>
    <row r="518">
      <c r="K518" s="5">
        <f>IF(AND(IF($B$3="(todos)",TRUE,'ORDENES'!$O514=$B$3),IF($D$3="(todos)",TRUE,'ORDENES'!$AH514=$D$3),IF($F$3="(todos)",TRUE,'ORDENES'!$Z514=$F$3),IF($H$3="(todos)",TRUE,'ORDENES'!$Y514=$H$3),'ORDENES'!$AF514=TRUE,'ORDENES'!$A514&lt;&gt;""),1,0)</f>
        <v/>
      </c>
      <c r="L518" s="5">
        <f>IF(K518=1,IFERROR(MATCH('ORDENES'!$S514,lista_dias,0),9)*1000000000+IFERROR(MATCH('ORDENES'!$AH514,lista_turnos,0),9)*10000000+IFERROR(MATCH('ORDENES'!$AG514,tblTecnicos[nombre],0),99)*100000+511,9000000000000+511)</f>
        <v/>
      </c>
      <c r="M518" s="5">
        <f>IF(K518=1,SUMPRODUCT(--($L$8:$L$1207&lt;L518))+1,"")</f>
        <v/>
      </c>
      <c r="N518" s="17">
        <f>IF(K518=1,N('ORDENES'!$M514),0)</f>
        <v/>
      </c>
      <c r="O518" s="17">
        <f>IF('ORDENES'!$U514="preventiva",N518,0)</f>
        <v/>
      </c>
      <c r="P518" s="17">
        <f>IF('ORDENES'!$U514="correctiva",N518,0)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22">
        <f>IF(K518=1,'ORDENES'!$J514,"")</f>
        <v/>
      </c>
    </row>
    <row r="519">
      <c r="K519" s="5">
        <f>IF(AND(IF($B$3="(todos)",TRUE,'ORDENES'!$O515=$B$3),IF($D$3="(todos)",TRUE,'ORDENES'!$AH515=$D$3),IF($F$3="(todos)",TRUE,'ORDENES'!$Z515=$F$3),IF($H$3="(todos)",TRUE,'ORDENES'!$Y515=$H$3),'ORDENES'!$AF515=TRUE,'ORDENES'!$A515&lt;&gt;""),1,0)</f>
        <v/>
      </c>
      <c r="L519" s="5">
        <f>IF(K519=1,IFERROR(MATCH('ORDENES'!$S515,lista_dias,0),9)*1000000000+IFERROR(MATCH('ORDENES'!$AH515,lista_turnos,0),9)*10000000+IFERROR(MATCH('ORDENES'!$AG515,tblTecnicos[nombre],0),99)*100000+512,9000000000000+512)</f>
        <v/>
      </c>
      <c r="M519" s="5">
        <f>IF(K519=1,SUMPRODUCT(--($L$8:$L$1207&lt;L519))+1,"")</f>
        <v/>
      </c>
      <c r="N519" s="17">
        <f>IF(K519=1,N('ORDENES'!$M515),0)</f>
        <v/>
      </c>
      <c r="O519" s="17">
        <f>IF('ORDENES'!$U515="preventiva",N519,0)</f>
        <v/>
      </c>
      <c r="P519" s="17">
        <f>IF('ORDENES'!$U515="correctiva",N519,0)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22">
        <f>IF(K519=1,'ORDENES'!$J515,"")</f>
        <v/>
      </c>
    </row>
    <row r="520">
      <c r="K520" s="5">
        <f>IF(AND(IF($B$3="(todos)",TRUE,'ORDENES'!$O516=$B$3),IF($D$3="(todos)",TRUE,'ORDENES'!$AH516=$D$3),IF($F$3="(todos)",TRUE,'ORDENES'!$Z516=$F$3),IF($H$3="(todos)",TRUE,'ORDENES'!$Y516=$H$3),'ORDENES'!$AF516=TRUE,'ORDENES'!$A516&lt;&gt;""),1,0)</f>
        <v/>
      </c>
      <c r="L520" s="5">
        <f>IF(K520=1,IFERROR(MATCH('ORDENES'!$S516,lista_dias,0),9)*1000000000+IFERROR(MATCH('ORDENES'!$AH516,lista_turnos,0),9)*10000000+IFERROR(MATCH('ORDENES'!$AG516,tblTecnicos[nombre],0),99)*100000+513,9000000000000+513)</f>
        <v/>
      </c>
      <c r="M520" s="5">
        <f>IF(K520=1,SUMPRODUCT(--($L$8:$L$1207&lt;L520))+1,"")</f>
        <v/>
      </c>
      <c r="N520" s="17">
        <f>IF(K520=1,N('ORDENES'!$M516),0)</f>
        <v/>
      </c>
      <c r="O520" s="17">
        <f>IF('ORDENES'!$U516="preventiva",N520,0)</f>
        <v/>
      </c>
      <c r="P520" s="17">
        <f>IF('ORDENES'!$U516="correctiva",N520,0)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22">
        <f>IF(K520=1,'ORDENES'!$J516,"")</f>
        <v/>
      </c>
    </row>
    <row r="521">
      <c r="K521" s="5">
        <f>IF(AND(IF($B$3="(todos)",TRUE,'ORDENES'!$O517=$B$3),IF($D$3="(todos)",TRUE,'ORDENES'!$AH517=$D$3),IF($F$3="(todos)",TRUE,'ORDENES'!$Z517=$F$3),IF($H$3="(todos)",TRUE,'ORDENES'!$Y517=$H$3),'ORDENES'!$AF517=TRUE,'ORDENES'!$A517&lt;&gt;""),1,0)</f>
        <v/>
      </c>
      <c r="L521" s="5">
        <f>IF(K521=1,IFERROR(MATCH('ORDENES'!$S517,lista_dias,0),9)*1000000000+IFERROR(MATCH('ORDENES'!$AH517,lista_turnos,0),9)*10000000+IFERROR(MATCH('ORDENES'!$AG517,tblTecnicos[nombre],0),99)*100000+514,9000000000000+514)</f>
        <v/>
      </c>
      <c r="M521" s="5">
        <f>IF(K521=1,SUMPRODUCT(--($L$8:$L$1207&lt;L521))+1,"")</f>
        <v/>
      </c>
      <c r="N521" s="17">
        <f>IF(K521=1,N('ORDENES'!$M517),0)</f>
        <v/>
      </c>
      <c r="O521" s="17">
        <f>IF('ORDENES'!$U517="preventiva",N521,0)</f>
        <v/>
      </c>
      <c r="P521" s="17">
        <f>IF('ORDENES'!$U517="correctiva",N521,0)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22">
        <f>IF(K521=1,'ORDENES'!$J517,"")</f>
        <v/>
      </c>
    </row>
    <row r="522">
      <c r="K522" s="5">
        <f>IF(AND(IF($B$3="(todos)",TRUE,'ORDENES'!$O518=$B$3),IF($D$3="(todos)",TRUE,'ORDENES'!$AH518=$D$3),IF($F$3="(todos)",TRUE,'ORDENES'!$Z518=$F$3),IF($H$3="(todos)",TRUE,'ORDENES'!$Y518=$H$3),'ORDENES'!$AF518=TRUE,'ORDENES'!$A518&lt;&gt;""),1,0)</f>
        <v/>
      </c>
      <c r="L522" s="5">
        <f>IF(K522=1,IFERROR(MATCH('ORDENES'!$S518,lista_dias,0),9)*1000000000+IFERROR(MATCH('ORDENES'!$AH518,lista_turnos,0),9)*10000000+IFERROR(MATCH('ORDENES'!$AG518,tblTecnicos[nombre],0),99)*100000+515,9000000000000+515)</f>
        <v/>
      </c>
      <c r="M522" s="5">
        <f>IF(K522=1,SUMPRODUCT(--($L$8:$L$1207&lt;L522))+1,"")</f>
        <v/>
      </c>
      <c r="N522" s="17">
        <f>IF(K522=1,N('ORDENES'!$M518),0)</f>
        <v/>
      </c>
      <c r="O522" s="17">
        <f>IF('ORDENES'!$U518="preventiva",N522,0)</f>
        <v/>
      </c>
      <c r="P522" s="17">
        <f>IF('ORDENES'!$U518="correctiva",N522,0)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22">
        <f>IF(K522=1,'ORDENES'!$J518,"")</f>
        <v/>
      </c>
    </row>
    <row r="523">
      <c r="K523" s="5">
        <f>IF(AND(IF($B$3="(todos)",TRUE,'ORDENES'!$O519=$B$3),IF($D$3="(todos)",TRUE,'ORDENES'!$AH519=$D$3),IF($F$3="(todos)",TRUE,'ORDENES'!$Z519=$F$3),IF($H$3="(todos)",TRUE,'ORDENES'!$Y519=$H$3),'ORDENES'!$AF519=TRUE,'ORDENES'!$A519&lt;&gt;""),1,0)</f>
        <v/>
      </c>
      <c r="L523" s="5">
        <f>IF(K523=1,IFERROR(MATCH('ORDENES'!$S519,lista_dias,0),9)*1000000000+IFERROR(MATCH('ORDENES'!$AH519,lista_turnos,0),9)*10000000+IFERROR(MATCH('ORDENES'!$AG519,tblTecnicos[nombre],0),99)*100000+516,9000000000000+516)</f>
        <v/>
      </c>
      <c r="M523" s="5">
        <f>IF(K523=1,SUMPRODUCT(--($L$8:$L$1207&lt;L523))+1,"")</f>
        <v/>
      </c>
      <c r="N523" s="17">
        <f>IF(K523=1,N('ORDENES'!$M519),0)</f>
        <v/>
      </c>
      <c r="O523" s="17">
        <f>IF('ORDENES'!$U519="preventiva",N523,0)</f>
        <v/>
      </c>
      <c r="P523" s="17">
        <f>IF('ORDENES'!$U519="correctiva",N523,0)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22">
        <f>IF(K523=1,'ORDENES'!$J519,"")</f>
        <v/>
      </c>
    </row>
    <row r="524">
      <c r="K524" s="5">
        <f>IF(AND(IF($B$3="(todos)",TRUE,'ORDENES'!$O520=$B$3),IF($D$3="(todos)",TRUE,'ORDENES'!$AH520=$D$3),IF($F$3="(todos)",TRUE,'ORDENES'!$Z520=$F$3),IF($H$3="(todos)",TRUE,'ORDENES'!$Y520=$H$3),'ORDENES'!$AF520=TRUE,'ORDENES'!$A520&lt;&gt;""),1,0)</f>
        <v/>
      </c>
      <c r="L524" s="5">
        <f>IF(K524=1,IFERROR(MATCH('ORDENES'!$S520,lista_dias,0),9)*1000000000+IFERROR(MATCH('ORDENES'!$AH520,lista_turnos,0),9)*10000000+IFERROR(MATCH('ORDENES'!$AG520,tblTecnicos[nombre],0),99)*100000+517,9000000000000+517)</f>
        <v/>
      </c>
      <c r="M524" s="5">
        <f>IF(K524=1,SUMPRODUCT(--($L$8:$L$1207&lt;L524))+1,"")</f>
        <v/>
      </c>
      <c r="N524" s="17">
        <f>IF(K524=1,N('ORDENES'!$M520),0)</f>
        <v/>
      </c>
      <c r="O524" s="17">
        <f>IF('ORDENES'!$U520="preventiva",N524,0)</f>
        <v/>
      </c>
      <c r="P524" s="17">
        <f>IF('ORDENES'!$U520="correctiva",N524,0)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22">
        <f>IF(K524=1,'ORDENES'!$J520,"")</f>
        <v/>
      </c>
    </row>
    <row r="525">
      <c r="K525" s="5">
        <f>IF(AND(IF($B$3="(todos)",TRUE,'ORDENES'!$O521=$B$3),IF($D$3="(todos)",TRUE,'ORDENES'!$AH521=$D$3),IF($F$3="(todos)",TRUE,'ORDENES'!$Z521=$F$3),IF($H$3="(todos)",TRUE,'ORDENES'!$Y521=$H$3),'ORDENES'!$AF521=TRUE,'ORDENES'!$A521&lt;&gt;""),1,0)</f>
        <v/>
      </c>
      <c r="L525" s="5">
        <f>IF(K525=1,IFERROR(MATCH('ORDENES'!$S521,lista_dias,0),9)*1000000000+IFERROR(MATCH('ORDENES'!$AH521,lista_turnos,0),9)*10000000+IFERROR(MATCH('ORDENES'!$AG521,tblTecnicos[nombre],0),99)*100000+518,9000000000000+518)</f>
        <v/>
      </c>
      <c r="M525" s="5">
        <f>IF(K525=1,SUMPRODUCT(--($L$8:$L$1207&lt;L525))+1,"")</f>
        <v/>
      </c>
      <c r="N525" s="17">
        <f>IF(K525=1,N('ORDENES'!$M521),0)</f>
        <v/>
      </c>
      <c r="O525" s="17">
        <f>IF('ORDENES'!$U521="preventiva",N525,0)</f>
        <v/>
      </c>
      <c r="P525" s="17">
        <f>IF('ORDENES'!$U521="correctiva",N525,0)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22">
        <f>IF(K525=1,'ORDENES'!$J521,"")</f>
        <v/>
      </c>
    </row>
    <row r="526">
      <c r="K526" s="5">
        <f>IF(AND(IF($B$3="(todos)",TRUE,'ORDENES'!$O522=$B$3),IF($D$3="(todos)",TRUE,'ORDENES'!$AH522=$D$3),IF($F$3="(todos)",TRUE,'ORDENES'!$Z522=$F$3),IF($H$3="(todos)",TRUE,'ORDENES'!$Y522=$H$3),'ORDENES'!$AF522=TRUE,'ORDENES'!$A522&lt;&gt;""),1,0)</f>
        <v/>
      </c>
      <c r="L526" s="5">
        <f>IF(K526=1,IFERROR(MATCH('ORDENES'!$S522,lista_dias,0),9)*1000000000+IFERROR(MATCH('ORDENES'!$AH522,lista_turnos,0),9)*10000000+IFERROR(MATCH('ORDENES'!$AG522,tblTecnicos[nombre],0),99)*100000+519,9000000000000+519)</f>
        <v/>
      </c>
      <c r="M526" s="5">
        <f>IF(K526=1,SUMPRODUCT(--($L$8:$L$1207&lt;L526))+1,"")</f>
        <v/>
      </c>
      <c r="N526" s="17">
        <f>IF(K526=1,N('ORDENES'!$M522),0)</f>
        <v/>
      </c>
      <c r="O526" s="17">
        <f>IF('ORDENES'!$U522="preventiva",N526,0)</f>
        <v/>
      </c>
      <c r="P526" s="17">
        <f>IF('ORDENES'!$U522="correctiva",N526,0)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22">
        <f>IF(K526=1,'ORDENES'!$J522,"")</f>
        <v/>
      </c>
    </row>
    <row r="527">
      <c r="K527" s="5">
        <f>IF(AND(IF($B$3="(todos)",TRUE,'ORDENES'!$O523=$B$3),IF($D$3="(todos)",TRUE,'ORDENES'!$AH523=$D$3),IF($F$3="(todos)",TRUE,'ORDENES'!$Z523=$F$3),IF($H$3="(todos)",TRUE,'ORDENES'!$Y523=$H$3),'ORDENES'!$AF523=TRUE,'ORDENES'!$A523&lt;&gt;""),1,0)</f>
        <v/>
      </c>
      <c r="L527" s="5">
        <f>IF(K527=1,IFERROR(MATCH('ORDENES'!$S523,lista_dias,0),9)*1000000000+IFERROR(MATCH('ORDENES'!$AH523,lista_turnos,0),9)*10000000+IFERROR(MATCH('ORDENES'!$AG523,tblTecnicos[nombre],0),99)*100000+520,9000000000000+520)</f>
        <v/>
      </c>
      <c r="M527" s="5">
        <f>IF(K527=1,SUMPRODUCT(--($L$8:$L$1207&lt;L527))+1,"")</f>
        <v/>
      </c>
      <c r="N527" s="17">
        <f>IF(K527=1,N('ORDENES'!$M523),0)</f>
        <v/>
      </c>
      <c r="O527" s="17">
        <f>IF('ORDENES'!$U523="preventiva",N527,0)</f>
        <v/>
      </c>
      <c r="P527" s="17">
        <f>IF('ORDENES'!$U523="correctiva",N527,0)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22">
        <f>IF(K527=1,'ORDENES'!$J523,"")</f>
        <v/>
      </c>
    </row>
    <row r="528">
      <c r="K528" s="5">
        <f>IF(AND(IF($B$3="(todos)",TRUE,'ORDENES'!$O524=$B$3),IF($D$3="(todos)",TRUE,'ORDENES'!$AH524=$D$3),IF($F$3="(todos)",TRUE,'ORDENES'!$Z524=$F$3),IF($H$3="(todos)",TRUE,'ORDENES'!$Y524=$H$3),'ORDENES'!$AF524=TRUE,'ORDENES'!$A524&lt;&gt;""),1,0)</f>
        <v/>
      </c>
      <c r="L528" s="5">
        <f>IF(K528=1,IFERROR(MATCH('ORDENES'!$S524,lista_dias,0),9)*1000000000+IFERROR(MATCH('ORDENES'!$AH524,lista_turnos,0),9)*10000000+IFERROR(MATCH('ORDENES'!$AG524,tblTecnicos[nombre],0),99)*100000+521,9000000000000+521)</f>
        <v/>
      </c>
      <c r="M528" s="5">
        <f>IF(K528=1,SUMPRODUCT(--($L$8:$L$1207&lt;L528))+1,"")</f>
        <v/>
      </c>
      <c r="N528" s="17">
        <f>IF(K528=1,N('ORDENES'!$M524),0)</f>
        <v/>
      </c>
      <c r="O528" s="17">
        <f>IF('ORDENES'!$U524="preventiva",N528,0)</f>
        <v/>
      </c>
      <c r="P528" s="17">
        <f>IF('ORDENES'!$U524="correctiva",N528,0)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22">
        <f>IF(K528=1,'ORDENES'!$J524,"")</f>
        <v/>
      </c>
    </row>
    <row r="529">
      <c r="K529" s="5">
        <f>IF(AND(IF($B$3="(todos)",TRUE,'ORDENES'!$O525=$B$3),IF($D$3="(todos)",TRUE,'ORDENES'!$AH525=$D$3),IF($F$3="(todos)",TRUE,'ORDENES'!$Z525=$F$3),IF($H$3="(todos)",TRUE,'ORDENES'!$Y525=$H$3),'ORDENES'!$AF525=TRUE,'ORDENES'!$A525&lt;&gt;""),1,0)</f>
        <v/>
      </c>
      <c r="L529" s="5">
        <f>IF(K529=1,IFERROR(MATCH('ORDENES'!$S525,lista_dias,0),9)*1000000000+IFERROR(MATCH('ORDENES'!$AH525,lista_turnos,0),9)*10000000+IFERROR(MATCH('ORDENES'!$AG525,tblTecnicos[nombre],0),99)*100000+522,9000000000000+522)</f>
        <v/>
      </c>
      <c r="M529" s="5">
        <f>IF(K529=1,SUMPRODUCT(--($L$8:$L$1207&lt;L529))+1,"")</f>
        <v/>
      </c>
      <c r="N529" s="17">
        <f>IF(K529=1,N('ORDENES'!$M525),0)</f>
        <v/>
      </c>
      <c r="O529" s="17">
        <f>IF('ORDENES'!$U525="preventiva",N529,0)</f>
        <v/>
      </c>
      <c r="P529" s="17">
        <f>IF('ORDENES'!$U525="correctiva",N529,0)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22">
        <f>IF(K529=1,'ORDENES'!$J525,"")</f>
        <v/>
      </c>
    </row>
    <row r="530">
      <c r="K530" s="5">
        <f>IF(AND(IF($B$3="(todos)",TRUE,'ORDENES'!$O526=$B$3),IF($D$3="(todos)",TRUE,'ORDENES'!$AH526=$D$3),IF($F$3="(todos)",TRUE,'ORDENES'!$Z526=$F$3),IF($H$3="(todos)",TRUE,'ORDENES'!$Y526=$H$3),'ORDENES'!$AF526=TRUE,'ORDENES'!$A526&lt;&gt;""),1,0)</f>
        <v/>
      </c>
      <c r="L530" s="5">
        <f>IF(K530=1,IFERROR(MATCH('ORDENES'!$S526,lista_dias,0),9)*1000000000+IFERROR(MATCH('ORDENES'!$AH526,lista_turnos,0),9)*10000000+IFERROR(MATCH('ORDENES'!$AG526,tblTecnicos[nombre],0),99)*100000+523,9000000000000+523)</f>
        <v/>
      </c>
      <c r="M530" s="5">
        <f>IF(K530=1,SUMPRODUCT(--($L$8:$L$1207&lt;L530))+1,"")</f>
        <v/>
      </c>
      <c r="N530" s="17">
        <f>IF(K530=1,N('ORDENES'!$M526),0)</f>
        <v/>
      </c>
      <c r="O530" s="17">
        <f>IF('ORDENES'!$U526="preventiva",N530,0)</f>
        <v/>
      </c>
      <c r="P530" s="17">
        <f>IF('ORDENES'!$U526="correctiva",N530,0)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22">
        <f>IF(K530=1,'ORDENES'!$J526,"")</f>
        <v/>
      </c>
    </row>
    <row r="531">
      <c r="K531" s="5">
        <f>IF(AND(IF($B$3="(todos)",TRUE,'ORDENES'!$O527=$B$3),IF($D$3="(todos)",TRUE,'ORDENES'!$AH527=$D$3),IF($F$3="(todos)",TRUE,'ORDENES'!$Z527=$F$3),IF($H$3="(todos)",TRUE,'ORDENES'!$Y527=$H$3),'ORDENES'!$AF527=TRUE,'ORDENES'!$A527&lt;&gt;""),1,0)</f>
        <v/>
      </c>
      <c r="L531" s="5">
        <f>IF(K531=1,IFERROR(MATCH('ORDENES'!$S527,lista_dias,0),9)*1000000000+IFERROR(MATCH('ORDENES'!$AH527,lista_turnos,0),9)*10000000+IFERROR(MATCH('ORDENES'!$AG527,tblTecnicos[nombre],0),99)*100000+524,9000000000000+524)</f>
        <v/>
      </c>
      <c r="M531" s="5">
        <f>IF(K531=1,SUMPRODUCT(--($L$8:$L$1207&lt;L531))+1,"")</f>
        <v/>
      </c>
      <c r="N531" s="17">
        <f>IF(K531=1,N('ORDENES'!$M527),0)</f>
        <v/>
      </c>
      <c r="O531" s="17">
        <f>IF('ORDENES'!$U527="preventiva",N531,0)</f>
        <v/>
      </c>
      <c r="P531" s="17">
        <f>IF('ORDENES'!$U527="correctiva",N531,0)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22">
        <f>IF(K531=1,'ORDENES'!$J527,"")</f>
        <v/>
      </c>
    </row>
    <row r="532">
      <c r="K532" s="5">
        <f>IF(AND(IF($B$3="(todos)",TRUE,'ORDENES'!$O528=$B$3),IF($D$3="(todos)",TRUE,'ORDENES'!$AH528=$D$3),IF($F$3="(todos)",TRUE,'ORDENES'!$Z528=$F$3),IF($H$3="(todos)",TRUE,'ORDENES'!$Y528=$H$3),'ORDENES'!$AF528=TRUE,'ORDENES'!$A528&lt;&gt;""),1,0)</f>
        <v/>
      </c>
      <c r="L532" s="5">
        <f>IF(K532=1,IFERROR(MATCH('ORDENES'!$S528,lista_dias,0),9)*1000000000+IFERROR(MATCH('ORDENES'!$AH528,lista_turnos,0),9)*10000000+IFERROR(MATCH('ORDENES'!$AG528,tblTecnicos[nombre],0),99)*100000+525,9000000000000+525)</f>
        <v/>
      </c>
      <c r="M532" s="5">
        <f>IF(K532=1,SUMPRODUCT(--($L$8:$L$1207&lt;L532))+1,"")</f>
        <v/>
      </c>
      <c r="N532" s="17">
        <f>IF(K532=1,N('ORDENES'!$M528),0)</f>
        <v/>
      </c>
      <c r="O532" s="17">
        <f>IF('ORDENES'!$U528="preventiva",N532,0)</f>
        <v/>
      </c>
      <c r="P532" s="17">
        <f>IF('ORDENES'!$U528="correctiva",N532,0)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22">
        <f>IF(K532=1,'ORDENES'!$J528,"")</f>
        <v/>
      </c>
    </row>
    <row r="533">
      <c r="K533" s="5">
        <f>IF(AND(IF($B$3="(todos)",TRUE,'ORDENES'!$O529=$B$3),IF($D$3="(todos)",TRUE,'ORDENES'!$AH529=$D$3),IF($F$3="(todos)",TRUE,'ORDENES'!$Z529=$F$3),IF($H$3="(todos)",TRUE,'ORDENES'!$Y529=$H$3),'ORDENES'!$AF529=TRUE,'ORDENES'!$A529&lt;&gt;""),1,0)</f>
        <v/>
      </c>
      <c r="L533" s="5">
        <f>IF(K533=1,IFERROR(MATCH('ORDENES'!$S529,lista_dias,0),9)*1000000000+IFERROR(MATCH('ORDENES'!$AH529,lista_turnos,0),9)*10000000+IFERROR(MATCH('ORDENES'!$AG529,tblTecnicos[nombre],0),99)*100000+526,9000000000000+526)</f>
        <v/>
      </c>
      <c r="M533" s="5">
        <f>IF(K533=1,SUMPRODUCT(--($L$8:$L$1207&lt;L533))+1,"")</f>
        <v/>
      </c>
      <c r="N533" s="17">
        <f>IF(K533=1,N('ORDENES'!$M529),0)</f>
        <v/>
      </c>
      <c r="O533" s="17">
        <f>IF('ORDENES'!$U529="preventiva",N533,0)</f>
        <v/>
      </c>
      <c r="P533" s="17">
        <f>IF('ORDENES'!$U529="correctiva",N533,0)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22">
        <f>IF(K533=1,'ORDENES'!$J529,"")</f>
        <v/>
      </c>
    </row>
    <row r="534">
      <c r="K534" s="5">
        <f>IF(AND(IF($B$3="(todos)",TRUE,'ORDENES'!$O530=$B$3),IF($D$3="(todos)",TRUE,'ORDENES'!$AH530=$D$3),IF($F$3="(todos)",TRUE,'ORDENES'!$Z530=$F$3),IF($H$3="(todos)",TRUE,'ORDENES'!$Y530=$H$3),'ORDENES'!$AF530=TRUE,'ORDENES'!$A530&lt;&gt;""),1,0)</f>
        <v/>
      </c>
      <c r="L534" s="5">
        <f>IF(K534=1,IFERROR(MATCH('ORDENES'!$S530,lista_dias,0),9)*1000000000+IFERROR(MATCH('ORDENES'!$AH530,lista_turnos,0),9)*10000000+IFERROR(MATCH('ORDENES'!$AG530,tblTecnicos[nombre],0),99)*100000+527,9000000000000+527)</f>
        <v/>
      </c>
      <c r="M534" s="5">
        <f>IF(K534=1,SUMPRODUCT(--($L$8:$L$1207&lt;L534))+1,"")</f>
        <v/>
      </c>
      <c r="N534" s="17">
        <f>IF(K534=1,N('ORDENES'!$M530),0)</f>
        <v/>
      </c>
      <c r="O534" s="17">
        <f>IF('ORDENES'!$U530="preventiva",N534,0)</f>
        <v/>
      </c>
      <c r="P534" s="17">
        <f>IF('ORDENES'!$U530="correctiva",N534,0)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22">
        <f>IF(K534=1,'ORDENES'!$J530,"")</f>
        <v/>
      </c>
    </row>
    <row r="535">
      <c r="K535" s="5">
        <f>IF(AND(IF($B$3="(todos)",TRUE,'ORDENES'!$O531=$B$3),IF($D$3="(todos)",TRUE,'ORDENES'!$AH531=$D$3),IF($F$3="(todos)",TRUE,'ORDENES'!$Z531=$F$3),IF($H$3="(todos)",TRUE,'ORDENES'!$Y531=$H$3),'ORDENES'!$AF531=TRUE,'ORDENES'!$A531&lt;&gt;""),1,0)</f>
        <v/>
      </c>
      <c r="L535" s="5">
        <f>IF(K535=1,IFERROR(MATCH('ORDENES'!$S531,lista_dias,0),9)*1000000000+IFERROR(MATCH('ORDENES'!$AH531,lista_turnos,0),9)*10000000+IFERROR(MATCH('ORDENES'!$AG531,tblTecnicos[nombre],0),99)*100000+528,9000000000000+528)</f>
        <v/>
      </c>
      <c r="M535" s="5">
        <f>IF(K535=1,SUMPRODUCT(--($L$8:$L$1207&lt;L535))+1,"")</f>
        <v/>
      </c>
      <c r="N535" s="17">
        <f>IF(K535=1,N('ORDENES'!$M531),0)</f>
        <v/>
      </c>
      <c r="O535" s="17">
        <f>IF('ORDENES'!$U531="preventiva",N535,0)</f>
        <v/>
      </c>
      <c r="P535" s="17">
        <f>IF('ORDENES'!$U531="correctiva",N535,0)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22">
        <f>IF(K535=1,'ORDENES'!$J531,"")</f>
        <v/>
      </c>
    </row>
    <row r="536">
      <c r="K536" s="5">
        <f>IF(AND(IF($B$3="(todos)",TRUE,'ORDENES'!$O532=$B$3),IF($D$3="(todos)",TRUE,'ORDENES'!$AH532=$D$3),IF($F$3="(todos)",TRUE,'ORDENES'!$Z532=$F$3),IF($H$3="(todos)",TRUE,'ORDENES'!$Y532=$H$3),'ORDENES'!$AF532=TRUE,'ORDENES'!$A532&lt;&gt;""),1,0)</f>
        <v/>
      </c>
      <c r="L536" s="5">
        <f>IF(K536=1,IFERROR(MATCH('ORDENES'!$S532,lista_dias,0),9)*1000000000+IFERROR(MATCH('ORDENES'!$AH532,lista_turnos,0),9)*10000000+IFERROR(MATCH('ORDENES'!$AG532,tblTecnicos[nombre],0),99)*100000+529,9000000000000+529)</f>
        <v/>
      </c>
      <c r="M536" s="5">
        <f>IF(K536=1,SUMPRODUCT(--($L$8:$L$1207&lt;L536))+1,"")</f>
        <v/>
      </c>
      <c r="N536" s="17">
        <f>IF(K536=1,N('ORDENES'!$M532),0)</f>
        <v/>
      </c>
      <c r="O536" s="17">
        <f>IF('ORDENES'!$U532="preventiva",N536,0)</f>
        <v/>
      </c>
      <c r="P536" s="17">
        <f>IF('ORDENES'!$U532="correctiva",N536,0)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22">
        <f>IF(K536=1,'ORDENES'!$J532,"")</f>
        <v/>
      </c>
    </row>
    <row r="537">
      <c r="K537" s="5">
        <f>IF(AND(IF($B$3="(todos)",TRUE,'ORDENES'!$O533=$B$3),IF($D$3="(todos)",TRUE,'ORDENES'!$AH533=$D$3),IF($F$3="(todos)",TRUE,'ORDENES'!$Z533=$F$3),IF($H$3="(todos)",TRUE,'ORDENES'!$Y533=$H$3),'ORDENES'!$AF533=TRUE,'ORDENES'!$A533&lt;&gt;""),1,0)</f>
        <v/>
      </c>
      <c r="L537" s="5">
        <f>IF(K537=1,IFERROR(MATCH('ORDENES'!$S533,lista_dias,0),9)*1000000000+IFERROR(MATCH('ORDENES'!$AH533,lista_turnos,0),9)*10000000+IFERROR(MATCH('ORDENES'!$AG533,tblTecnicos[nombre],0),99)*100000+530,9000000000000+530)</f>
        <v/>
      </c>
      <c r="M537" s="5">
        <f>IF(K537=1,SUMPRODUCT(--($L$8:$L$1207&lt;L537))+1,"")</f>
        <v/>
      </c>
      <c r="N537" s="17">
        <f>IF(K537=1,N('ORDENES'!$M533),0)</f>
        <v/>
      </c>
      <c r="O537" s="17">
        <f>IF('ORDENES'!$U533="preventiva",N537,0)</f>
        <v/>
      </c>
      <c r="P537" s="17">
        <f>IF('ORDENES'!$U533="correctiva",N537,0)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22">
        <f>IF(K537=1,'ORDENES'!$J533,"")</f>
        <v/>
      </c>
    </row>
    <row r="538">
      <c r="K538" s="5">
        <f>IF(AND(IF($B$3="(todos)",TRUE,'ORDENES'!$O534=$B$3),IF($D$3="(todos)",TRUE,'ORDENES'!$AH534=$D$3),IF($F$3="(todos)",TRUE,'ORDENES'!$Z534=$F$3),IF($H$3="(todos)",TRUE,'ORDENES'!$Y534=$H$3),'ORDENES'!$AF534=TRUE,'ORDENES'!$A534&lt;&gt;""),1,0)</f>
        <v/>
      </c>
      <c r="L538" s="5">
        <f>IF(K538=1,IFERROR(MATCH('ORDENES'!$S534,lista_dias,0),9)*1000000000+IFERROR(MATCH('ORDENES'!$AH534,lista_turnos,0),9)*10000000+IFERROR(MATCH('ORDENES'!$AG534,tblTecnicos[nombre],0),99)*100000+531,9000000000000+531)</f>
        <v/>
      </c>
      <c r="M538" s="5">
        <f>IF(K538=1,SUMPRODUCT(--($L$8:$L$1207&lt;L538))+1,"")</f>
        <v/>
      </c>
      <c r="N538" s="17">
        <f>IF(K538=1,N('ORDENES'!$M534),0)</f>
        <v/>
      </c>
      <c r="O538" s="17">
        <f>IF('ORDENES'!$U534="preventiva",N538,0)</f>
        <v/>
      </c>
      <c r="P538" s="17">
        <f>IF('ORDENES'!$U534="correctiva",N538,0)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22">
        <f>IF(K538=1,'ORDENES'!$J534,"")</f>
        <v/>
      </c>
    </row>
    <row r="539">
      <c r="K539" s="5">
        <f>IF(AND(IF($B$3="(todos)",TRUE,'ORDENES'!$O535=$B$3),IF($D$3="(todos)",TRUE,'ORDENES'!$AH535=$D$3),IF($F$3="(todos)",TRUE,'ORDENES'!$Z535=$F$3),IF($H$3="(todos)",TRUE,'ORDENES'!$Y535=$H$3),'ORDENES'!$AF535=TRUE,'ORDENES'!$A535&lt;&gt;""),1,0)</f>
        <v/>
      </c>
      <c r="L539" s="5">
        <f>IF(K539=1,IFERROR(MATCH('ORDENES'!$S535,lista_dias,0),9)*1000000000+IFERROR(MATCH('ORDENES'!$AH535,lista_turnos,0),9)*10000000+IFERROR(MATCH('ORDENES'!$AG535,tblTecnicos[nombre],0),99)*100000+532,9000000000000+532)</f>
        <v/>
      </c>
      <c r="M539" s="5">
        <f>IF(K539=1,SUMPRODUCT(--($L$8:$L$1207&lt;L539))+1,"")</f>
        <v/>
      </c>
      <c r="N539" s="17">
        <f>IF(K539=1,N('ORDENES'!$M535),0)</f>
        <v/>
      </c>
      <c r="O539" s="17">
        <f>IF('ORDENES'!$U535="preventiva",N539,0)</f>
        <v/>
      </c>
      <c r="P539" s="17">
        <f>IF('ORDENES'!$U535="correctiva",N539,0)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22">
        <f>IF(K539=1,'ORDENES'!$J535,"")</f>
        <v/>
      </c>
    </row>
    <row r="540">
      <c r="K540" s="5">
        <f>IF(AND(IF($B$3="(todos)",TRUE,'ORDENES'!$O536=$B$3),IF($D$3="(todos)",TRUE,'ORDENES'!$AH536=$D$3),IF($F$3="(todos)",TRUE,'ORDENES'!$Z536=$F$3),IF($H$3="(todos)",TRUE,'ORDENES'!$Y536=$H$3),'ORDENES'!$AF536=TRUE,'ORDENES'!$A536&lt;&gt;""),1,0)</f>
        <v/>
      </c>
      <c r="L540" s="5">
        <f>IF(K540=1,IFERROR(MATCH('ORDENES'!$S536,lista_dias,0),9)*1000000000+IFERROR(MATCH('ORDENES'!$AH536,lista_turnos,0),9)*10000000+IFERROR(MATCH('ORDENES'!$AG536,tblTecnicos[nombre],0),99)*100000+533,9000000000000+533)</f>
        <v/>
      </c>
      <c r="M540" s="5">
        <f>IF(K540=1,SUMPRODUCT(--($L$8:$L$1207&lt;L540))+1,"")</f>
        <v/>
      </c>
      <c r="N540" s="17">
        <f>IF(K540=1,N('ORDENES'!$M536),0)</f>
        <v/>
      </c>
      <c r="O540" s="17">
        <f>IF('ORDENES'!$U536="preventiva",N540,0)</f>
        <v/>
      </c>
      <c r="P540" s="17">
        <f>IF('ORDENES'!$U536="correctiva",N540,0)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22">
        <f>IF(K540=1,'ORDENES'!$J536,"")</f>
        <v/>
      </c>
    </row>
    <row r="541">
      <c r="K541" s="5">
        <f>IF(AND(IF($B$3="(todos)",TRUE,'ORDENES'!$O537=$B$3),IF($D$3="(todos)",TRUE,'ORDENES'!$AH537=$D$3),IF($F$3="(todos)",TRUE,'ORDENES'!$Z537=$F$3),IF($H$3="(todos)",TRUE,'ORDENES'!$Y537=$H$3),'ORDENES'!$AF537=TRUE,'ORDENES'!$A537&lt;&gt;""),1,0)</f>
        <v/>
      </c>
      <c r="L541" s="5">
        <f>IF(K541=1,IFERROR(MATCH('ORDENES'!$S537,lista_dias,0),9)*1000000000+IFERROR(MATCH('ORDENES'!$AH537,lista_turnos,0),9)*10000000+IFERROR(MATCH('ORDENES'!$AG537,tblTecnicos[nombre],0),99)*100000+534,9000000000000+534)</f>
        <v/>
      </c>
      <c r="M541" s="5">
        <f>IF(K541=1,SUMPRODUCT(--($L$8:$L$1207&lt;L541))+1,"")</f>
        <v/>
      </c>
      <c r="N541" s="17">
        <f>IF(K541=1,N('ORDENES'!$M537),0)</f>
        <v/>
      </c>
      <c r="O541" s="17">
        <f>IF('ORDENES'!$U537="preventiva",N541,0)</f>
        <v/>
      </c>
      <c r="P541" s="17">
        <f>IF('ORDENES'!$U537="correctiva",N541,0)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22">
        <f>IF(K541=1,'ORDENES'!$J537,"")</f>
        <v/>
      </c>
    </row>
    <row r="542">
      <c r="K542" s="5">
        <f>IF(AND(IF($B$3="(todos)",TRUE,'ORDENES'!$O538=$B$3),IF($D$3="(todos)",TRUE,'ORDENES'!$AH538=$D$3),IF($F$3="(todos)",TRUE,'ORDENES'!$Z538=$F$3),IF($H$3="(todos)",TRUE,'ORDENES'!$Y538=$H$3),'ORDENES'!$AF538=TRUE,'ORDENES'!$A538&lt;&gt;""),1,0)</f>
        <v/>
      </c>
      <c r="L542" s="5">
        <f>IF(K542=1,IFERROR(MATCH('ORDENES'!$S538,lista_dias,0),9)*1000000000+IFERROR(MATCH('ORDENES'!$AH538,lista_turnos,0),9)*10000000+IFERROR(MATCH('ORDENES'!$AG538,tblTecnicos[nombre],0),99)*100000+535,9000000000000+535)</f>
        <v/>
      </c>
      <c r="M542" s="5">
        <f>IF(K542=1,SUMPRODUCT(--($L$8:$L$1207&lt;L542))+1,"")</f>
        <v/>
      </c>
      <c r="N542" s="17">
        <f>IF(K542=1,N('ORDENES'!$M538),0)</f>
        <v/>
      </c>
      <c r="O542" s="17">
        <f>IF('ORDENES'!$U538="preventiva",N542,0)</f>
        <v/>
      </c>
      <c r="P542" s="17">
        <f>IF('ORDENES'!$U538="correctiva",N542,0)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22">
        <f>IF(K542=1,'ORDENES'!$J538,"")</f>
        <v/>
      </c>
    </row>
    <row r="543">
      <c r="K543" s="5">
        <f>IF(AND(IF($B$3="(todos)",TRUE,'ORDENES'!$O539=$B$3),IF($D$3="(todos)",TRUE,'ORDENES'!$AH539=$D$3),IF($F$3="(todos)",TRUE,'ORDENES'!$Z539=$F$3),IF($H$3="(todos)",TRUE,'ORDENES'!$Y539=$H$3),'ORDENES'!$AF539=TRUE,'ORDENES'!$A539&lt;&gt;""),1,0)</f>
        <v/>
      </c>
      <c r="L543" s="5">
        <f>IF(K543=1,IFERROR(MATCH('ORDENES'!$S539,lista_dias,0),9)*1000000000+IFERROR(MATCH('ORDENES'!$AH539,lista_turnos,0),9)*10000000+IFERROR(MATCH('ORDENES'!$AG539,tblTecnicos[nombre],0),99)*100000+536,9000000000000+536)</f>
        <v/>
      </c>
      <c r="M543" s="5">
        <f>IF(K543=1,SUMPRODUCT(--($L$8:$L$1207&lt;L543))+1,"")</f>
        <v/>
      </c>
      <c r="N543" s="17">
        <f>IF(K543=1,N('ORDENES'!$M539),0)</f>
        <v/>
      </c>
      <c r="O543" s="17">
        <f>IF('ORDENES'!$U539="preventiva",N543,0)</f>
        <v/>
      </c>
      <c r="P543" s="17">
        <f>IF('ORDENES'!$U539="correctiva",N543,0)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22">
        <f>IF(K543=1,'ORDENES'!$J539,"")</f>
        <v/>
      </c>
    </row>
    <row r="544">
      <c r="K544" s="5">
        <f>IF(AND(IF($B$3="(todos)",TRUE,'ORDENES'!$O540=$B$3),IF($D$3="(todos)",TRUE,'ORDENES'!$AH540=$D$3),IF($F$3="(todos)",TRUE,'ORDENES'!$Z540=$F$3),IF($H$3="(todos)",TRUE,'ORDENES'!$Y540=$H$3),'ORDENES'!$AF540=TRUE,'ORDENES'!$A540&lt;&gt;""),1,0)</f>
        <v/>
      </c>
      <c r="L544" s="5">
        <f>IF(K544=1,IFERROR(MATCH('ORDENES'!$S540,lista_dias,0),9)*1000000000+IFERROR(MATCH('ORDENES'!$AH540,lista_turnos,0),9)*10000000+IFERROR(MATCH('ORDENES'!$AG540,tblTecnicos[nombre],0),99)*100000+537,9000000000000+537)</f>
        <v/>
      </c>
      <c r="M544" s="5">
        <f>IF(K544=1,SUMPRODUCT(--($L$8:$L$1207&lt;L544))+1,"")</f>
        <v/>
      </c>
      <c r="N544" s="17">
        <f>IF(K544=1,N('ORDENES'!$M540),0)</f>
        <v/>
      </c>
      <c r="O544" s="17">
        <f>IF('ORDENES'!$U540="preventiva",N544,0)</f>
        <v/>
      </c>
      <c r="P544" s="17">
        <f>IF('ORDENES'!$U540="correctiva",N544,0)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22">
        <f>IF(K544=1,'ORDENES'!$J540,"")</f>
        <v/>
      </c>
    </row>
    <row r="545">
      <c r="K545" s="5">
        <f>IF(AND(IF($B$3="(todos)",TRUE,'ORDENES'!$O541=$B$3),IF($D$3="(todos)",TRUE,'ORDENES'!$AH541=$D$3),IF($F$3="(todos)",TRUE,'ORDENES'!$Z541=$F$3),IF($H$3="(todos)",TRUE,'ORDENES'!$Y541=$H$3),'ORDENES'!$AF541=TRUE,'ORDENES'!$A541&lt;&gt;""),1,0)</f>
        <v/>
      </c>
      <c r="L545" s="5">
        <f>IF(K545=1,IFERROR(MATCH('ORDENES'!$S541,lista_dias,0),9)*1000000000+IFERROR(MATCH('ORDENES'!$AH541,lista_turnos,0),9)*10000000+IFERROR(MATCH('ORDENES'!$AG541,tblTecnicos[nombre],0),99)*100000+538,9000000000000+538)</f>
        <v/>
      </c>
      <c r="M545" s="5">
        <f>IF(K545=1,SUMPRODUCT(--($L$8:$L$1207&lt;L545))+1,"")</f>
        <v/>
      </c>
      <c r="N545" s="17">
        <f>IF(K545=1,N('ORDENES'!$M541),0)</f>
        <v/>
      </c>
      <c r="O545" s="17">
        <f>IF('ORDENES'!$U541="preventiva",N545,0)</f>
        <v/>
      </c>
      <c r="P545" s="17">
        <f>IF('ORDENES'!$U541="correctiva",N545,0)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22">
        <f>IF(K545=1,'ORDENES'!$J541,"")</f>
        <v/>
      </c>
    </row>
    <row r="546">
      <c r="K546" s="5">
        <f>IF(AND(IF($B$3="(todos)",TRUE,'ORDENES'!$O542=$B$3),IF($D$3="(todos)",TRUE,'ORDENES'!$AH542=$D$3),IF($F$3="(todos)",TRUE,'ORDENES'!$Z542=$F$3),IF($H$3="(todos)",TRUE,'ORDENES'!$Y542=$H$3),'ORDENES'!$AF542=TRUE,'ORDENES'!$A542&lt;&gt;""),1,0)</f>
        <v/>
      </c>
      <c r="L546" s="5">
        <f>IF(K546=1,IFERROR(MATCH('ORDENES'!$S542,lista_dias,0),9)*1000000000+IFERROR(MATCH('ORDENES'!$AH542,lista_turnos,0),9)*10000000+IFERROR(MATCH('ORDENES'!$AG542,tblTecnicos[nombre],0),99)*100000+539,9000000000000+539)</f>
        <v/>
      </c>
      <c r="M546" s="5">
        <f>IF(K546=1,SUMPRODUCT(--($L$8:$L$1207&lt;L546))+1,"")</f>
        <v/>
      </c>
      <c r="N546" s="17">
        <f>IF(K546=1,N('ORDENES'!$M542),0)</f>
        <v/>
      </c>
      <c r="O546" s="17">
        <f>IF('ORDENES'!$U542="preventiva",N546,0)</f>
        <v/>
      </c>
      <c r="P546" s="17">
        <f>IF('ORDENES'!$U542="correctiva",N546,0)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22">
        <f>IF(K546=1,'ORDENES'!$J542,"")</f>
        <v/>
      </c>
    </row>
    <row r="547">
      <c r="K547" s="5">
        <f>IF(AND(IF($B$3="(todos)",TRUE,'ORDENES'!$O543=$B$3),IF($D$3="(todos)",TRUE,'ORDENES'!$AH543=$D$3),IF($F$3="(todos)",TRUE,'ORDENES'!$Z543=$F$3),IF($H$3="(todos)",TRUE,'ORDENES'!$Y543=$H$3),'ORDENES'!$AF543=TRUE,'ORDENES'!$A543&lt;&gt;""),1,0)</f>
        <v/>
      </c>
      <c r="L547" s="5">
        <f>IF(K547=1,IFERROR(MATCH('ORDENES'!$S543,lista_dias,0),9)*1000000000+IFERROR(MATCH('ORDENES'!$AH543,lista_turnos,0),9)*10000000+IFERROR(MATCH('ORDENES'!$AG543,tblTecnicos[nombre],0),99)*100000+540,9000000000000+540)</f>
        <v/>
      </c>
      <c r="M547" s="5">
        <f>IF(K547=1,SUMPRODUCT(--($L$8:$L$1207&lt;L547))+1,"")</f>
        <v/>
      </c>
      <c r="N547" s="17">
        <f>IF(K547=1,N('ORDENES'!$M543),0)</f>
        <v/>
      </c>
      <c r="O547" s="17">
        <f>IF('ORDENES'!$U543="preventiva",N547,0)</f>
        <v/>
      </c>
      <c r="P547" s="17">
        <f>IF('ORDENES'!$U543="correctiva",N547,0)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22">
        <f>IF(K547=1,'ORDENES'!$J543,"")</f>
        <v/>
      </c>
    </row>
    <row r="548">
      <c r="K548" s="5">
        <f>IF(AND(IF($B$3="(todos)",TRUE,'ORDENES'!$O544=$B$3),IF($D$3="(todos)",TRUE,'ORDENES'!$AH544=$D$3),IF($F$3="(todos)",TRUE,'ORDENES'!$Z544=$F$3),IF($H$3="(todos)",TRUE,'ORDENES'!$Y544=$H$3),'ORDENES'!$AF544=TRUE,'ORDENES'!$A544&lt;&gt;""),1,0)</f>
        <v/>
      </c>
      <c r="L548" s="5">
        <f>IF(K548=1,IFERROR(MATCH('ORDENES'!$S544,lista_dias,0),9)*1000000000+IFERROR(MATCH('ORDENES'!$AH544,lista_turnos,0),9)*10000000+IFERROR(MATCH('ORDENES'!$AG544,tblTecnicos[nombre],0),99)*100000+541,9000000000000+541)</f>
        <v/>
      </c>
      <c r="M548" s="5">
        <f>IF(K548=1,SUMPRODUCT(--($L$8:$L$1207&lt;L548))+1,"")</f>
        <v/>
      </c>
      <c r="N548" s="17">
        <f>IF(K548=1,N('ORDENES'!$M544),0)</f>
        <v/>
      </c>
      <c r="O548" s="17">
        <f>IF('ORDENES'!$U544="preventiva",N548,0)</f>
        <v/>
      </c>
      <c r="P548" s="17">
        <f>IF('ORDENES'!$U544="correctiva",N548,0)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22">
        <f>IF(K548=1,'ORDENES'!$J544,"")</f>
        <v/>
      </c>
    </row>
    <row r="549">
      <c r="K549" s="5">
        <f>IF(AND(IF($B$3="(todos)",TRUE,'ORDENES'!$O545=$B$3),IF($D$3="(todos)",TRUE,'ORDENES'!$AH545=$D$3),IF($F$3="(todos)",TRUE,'ORDENES'!$Z545=$F$3),IF($H$3="(todos)",TRUE,'ORDENES'!$Y545=$H$3),'ORDENES'!$AF545=TRUE,'ORDENES'!$A545&lt;&gt;""),1,0)</f>
        <v/>
      </c>
      <c r="L549" s="5">
        <f>IF(K549=1,IFERROR(MATCH('ORDENES'!$S545,lista_dias,0),9)*1000000000+IFERROR(MATCH('ORDENES'!$AH545,lista_turnos,0),9)*10000000+IFERROR(MATCH('ORDENES'!$AG545,tblTecnicos[nombre],0),99)*100000+542,9000000000000+542)</f>
        <v/>
      </c>
      <c r="M549" s="5">
        <f>IF(K549=1,SUMPRODUCT(--($L$8:$L$1207&lt;L549))+1,"")</f>
        <v/>
      </c>
      <c r="N549" s="17">
        <f>IF(K549=1,N('ORDENES'!$M545),0)</f>
        <v/>
      </c>
      <c r="O549" s="17">
        <f>IF('ORDENES'!$U545="preventiva",N549,0)</f>
        <v/>
      </c>
      <c r="P549" s="17">
        <f>IF('ORDENES'!$U545="correctiva",N549,0)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22">
        <f>IF(K549=1,'ORDENES'!$J545,"")</f>
        <v/>
      </c>
    </row>
    <row r="550">
      <c r="K550" s="5">
        <f>IF(AND(IF($B$3="(todos)",TRUE,'ORDENES'!$O546=$B$3),IF($D$3="(todos)",TRUE,'ORDENES'!$AH546=$D$3),IF($F$3="(todos)",TRUE,'ORDENES'!$Z546=$F$3),IF($H$3="(todos)",TRUE,'ORDENES'!$Y546=$H$3),'ORDENES'!$AF546=TRUE,'ORDENES'!$A546&lt;&gt;""),1,0)</f>
        <v/>
      </c>
      <c r="L550" s="5">
        <f>IF(K550=1,IFERROR(MATCH('ORDENES'!$S546,lista_dias,0),9)*1000000000+IFERROR(MATCH('ORDENES'!$AH546,lista_turnos,0),9)*10000000+IFERROR(MATCH('ORDENES'!$AG546,tblTecnicos[nombre],0),99)*100000+543,9000000000000+543)</f>
        <v/>
      </c>
      <c r="M550" s="5">
        <f>IF(K550=1,SUMPRODUCT(--($L$8:$L$1207&lt;L550))+1,"")</f>
        <v/>
      </c>
      <c r="N550" s="17">
        <f>IF(K550=1,N('ORDENES'!$M546),0)</f>
        <v/>
      </c>
      <c r="O550" s="17">
        <f>IF('ORDENES'!$U546="preventiva",N550,0)</f>
        <v/>
      </c>
      <c r="P550" s="17">
        <f>IF('ORDENES'!$U546="correctiva",N550,0)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22">
        <f>IF(K550=1,'ORDENES'!$J546,"")</f>
        <v/>
      </c>
    </row>
    <row r="551">
      <c r="K551" s="5">
        <f>IF(AND(IF($B$3="(todos)",TRUE,'ORDENES'!$O547=$B$3),IF($D$3="(todos)",TRUE,'ORDENES'!$AH547=$D$3),IF($F$3="(todos)",TRUE,'ORDENES'!$Z547=$F$3),IF($H$3="(todos)",TRUE,'ORDENES'!$Y547=$H$3),'ORDENES'!$AF547=TRUE,'ORDENES'!$A547&lt;&gt;""),1,0)</f>
        <v/>
      </c>
      <c r="L551" s="5">
        <f>IF(K551=1,IFERROR(MATCH('ORDENES'!$S547,lista_dias,0),9)*1000000000+IFERROR(MATCH('ORDENES'!$AH547,lista_turnos,0),9)*10000000+IFERROR(MATCH('ORDENES'!$AG547,tblTecnicos[nombre],0),99)*100000+544,9000000000000+544)</f>
        <v/>
      </c>
      <c r="M551" s="5">
        <f>IF(K551=1,SUMPRODUCT(--($L$8:$L$1207&lt;L551))+1,"")</f>
        <v/>
      </c>
      <c r="N551" s="17">
        <f>IF(K551=1,N('ORDENES'!$M547),0)</f>
        <v/>
      </c>
      <c r="O551" s="17">
        <f>IF('ORDENES'!$U547="preventiva",N551,0)</f>
        <v/>
      </c>
      <c r="P551" s="17">
        <f>IF('ORDENES'!$U547="correctiva",N551,0)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22">
        <f>IF(K551=1,'ORDENES'!$J547,"")</f>
        <v/>
      </c>
    </row>
    <row r="552">
      <c r="K552" s="5">
        <f>IF(AND(IF($B$3="(todos)",TRUE,'ORDENES'!$O548=$B$3),IF($D$3="(todos)",TRUE,'ORDENES'!$AH548=$D$3),IF($F$3="(todos)",TRUE,'ORDENES'!$Z548=$F$3),IF($H$3="(todos)",TRUE,'ORDENES'!$Y548=$H$3),'ORDENES'!$AF548=TRUE,'ORDENES'!$A548&lt;&gt;""),1,0)</f>
        <v/>
      </c>
      <c r="L552" s="5">
        <f>IF(K552=1,IFERROR(MATCH('ORDENES'!$S548,lista_dias,0),9)*1000000000+IFERROR(MATCH('ORDENES'!$AH548,lista_turnos,0),9)*10000000+IFERROR(MATCH('ORDENES'!$AG548,tblTecnicos[nombre],0),99)*100000+545,9000000000000+545)</f>
        <v/>
      </c>
      <c r="M552" s="5">
        <f>IF(K552=1,SUMPRODUCT(--($L$8:$L$1207&lt;L552))+1,"")</f>
        <v/>
      </c>
      <c r="N552" s="17">
        <f>IF(K552=1,N('ORDENES'!$M548),0)</f>
        <v/>
      </c>
      <c r="O552" s="17">
        <f>IF('ORDENES'!$U548="preventiva",N552,0)</f>
        <v/>
      </c>
      <c r="P552" s="17">
        <f>IF('ORDENES'!$U548="correctiva",N552,0)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22">
        <f>IF(K552=1,'ORDENES'!$J548,"")</f>
        <v/>
      </c>
    </row>
    <row r="553">
      <c r="K553" s="5">
        <f>IF(AND(IF($B$3="(todos)",TRUE,'ORDENES'!$O549=$B$3),IF($D$3="(todos)",TRUE,'ORDENES'!$AH549=$D$3),IF($F$3="(todos)",TRUE,'ORDENES'!$Z549=$F$3),IF($H$3="(todos)",TRUE,'ORDENES'!$Y549=$H$3),'ORDENES'!$AF549=TRUE,'ORDENES'!$A549&lt;&gt;""),1,0)</f>
        <v/>
      </c>
      <c r="L553" s="5">
        <f>IF(K553=1,IFERROR(MATCH('ORDENES'!$S549,lista_dias,0),9)*1000000000+IFERROR(MATCH('ORDENES'!$AH549,lista_turnos,0),9)*10000000+IFERROR(MATCH('ORDENES'!$AG549,tblTecnicos[nombre],0),99)*100000+546,9000000000000+546)</f>
        <v/>
      </c>
      <c r="M553" s="5">
        <f>IF(K553=1,SUMPRODUCT(--($L$8:$L$1207&lt;L553))+1,"")</f>
        <v/>
      </c>
      <c r="N553" s="17">
        <f>IF(K553=1,N('ORDENES'!$M549),0)</f>
        <v/>
      </c>
      <c r="O553" s="17">
        <f>IF('ORDENES'!$U549="preventiva",N553,0)</f>
        <v/>
      </c>
      <c r="P553" s="17">
        <f>IF('ORDENES'!$U549="correctiva",N553,0)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22">
        <f>IF(K553=1,'ORDENES'!$J549,"")</f>
        <v/>
      </c>
    </row>
    <row r="554">
      <c r="K554" s="5">
        <f>IF(AND(IF($B$3="(todos)",TRUE,'ORDENES'!$O550=$B$3),IF($D$3="(todos)",TRUE,'ORDENES'!$AH550=$D$3),IF($F$3="(todos)",TRUE,'ORDENES'!$Z550=$F$3),IF($H$3="(todos)",TRUE,'ORDENES'!$Y550=$H$3),'ORDENES'!$AF550=TRUE,'ORDENES'!$A550&lt;&gt;""),1,0)</f>
        <v/>
      </c>
      <c r="L554" s="5">
        <f>IF(K554=1,IFERROR(MATCH('ORDENES'!$S550,lista_dias,0),9)*1000000000+IFERROR(MATCH('ORDENES'!$AH550,lista_turnos,0),9)*10000000+IFERROR(MATCH('ORDENES'!$AG550,tblTecnicos[nombre],0),99)*100000+547,9000000000000+547)</f>
        <v/>
      </c>
      <c r="M554" s="5">
        <f>IF(K554=1,SUMPRODUCT(--($L$8:$L$1207&lt;L554))+1,"")</f>
        <v/>
      </c>
      <c r="N554" s="17">
        <f>IF(K554=1,N('ORDENES'!$M550),0)</f>
        <v/>
      </c>
      <c r="O554" s="17">
        <f>IF('ORDENES'!$U550="preventiva",N554,0)</f>
        <v/>
      </c>
      <c r="P554" s="17">
        <f>IF('ORDENES'!$U550="correctiva",N554,0)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22">
        <f>IF(K554=1,'ORDENES'!$J550,"")</f>
        <v/>
      </c>
    </row>
    <row r="555">
      <c r="K555" s="5">
        <f>IF(AND(IF($B$3="(todos)",TRUE,'ORDENES'!$O551=$B$3),IF($D$3="(todos)",TRUE,'ORDENES'!$AH551=$D$3),IF($F$3="(todos)",TRUE,'ORDENES'!$Z551=$F$3),IF($H$3="(todos)",TRUE,'ORDENES'!$Y551=$H$3),'ORDENES'!$AF551=TRUE,'ORDENES'!$A551&lt;&gt;""),1,0)</f>
        <v/>
      </c>
      <c r="L555" s="5">
        <f>IF(K555=1,IFERROR(MATCH('ORDENES'!$S551,lista_dias,0),9)*1000000000+IFERROR(MATCH('ORDENES'!$AH551,lista_turnos,0),9)*10000000+IFERROR(MATCH('ORDENES'!$AG551,tblTecnicos[nombre],0),99)*100000+548,9000000000000+548)</f>
        <v/>
      </c>
      <c r="M555" s="5">
        <f>IF(K555=1,SUMPRODUCT(--($L$8:$L$1207&lt;L555))+1,"")</f>
        <v/>
      </c>
      <c r="N555" s="17">
        <f>IF(K555=1,N('ORDENES'!$M551),0)</f>
        <v/>
      </c>
      <c r="O555" s="17">
        <f>IF('ORDENES'!$U551="preventiva",N555,0)</f>
        <v/>
      </c>
      <c r="P555" s="17">
        <f>IF('ORDENES'!$U551="correctiva",N555,0)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22">
        <f>IF(K555=1,'ORDENES'!$J551,"")</f>
        <v/>
      </c>
    </row>
    <row r="556">
      <c r="K556" s="5">
        <f>IF(AND(IF($B$3="(todos)",TRUE,'ORDENES'!$O552=$B$3),IF($D$3="(todos)",TRUE,'ORDENES'!$AH552=$D$3),IF($F$3="(todos)",TRUE,'ORDENES'!$Z552=$F$3),IF($H$3="(todos)",TRUE,'ORDENES'!$Y552=$H$3),'ORDENES'!$AF552=TRUE,'ORDENES'!$A552&lt;&gt;""),1,0)</f>
        <v/>
      </c>
      <c r="L556" s="5">
        <f>IF(K556=1,IFERROR(MATCH('ORDENES'!$S552,lista_dias,0),9)*1000000000+IFERROR(MATCH('ORDENES'!$AH552,lista_turnos,0),9)*10000000+IFERROR(MATCH('ORDENES'!$AG552,tblTecnicos[nombre],0),99)*100000+549,9000000000000+549)</f>
        <v/>
      </c>
      <c r="M556" s="5">
        <f>IF(K556=1,SUMPRODUCT(--($L$8:$L$1207&lt;L556))+1,"")</f>
        <v/>
      </c>
      <c r="N556" s="17">
        <f>IF(K556=1,N('ORDENES'!$M552),0)</f>
        <v/>
      </c>
      <c r="O556" s="17">
        <f>IF('ORDENES'!$U552="preventiva",N556,0)</f>
        <v/>
      </c>
      <c r="P556" s="17">
        <f>IF('ORDENES'!$U552="correctiva",N556,0)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22">
        <f>IF(K556=1,'ORDENES'!$J552,"")</f>
        <v/>
      </c>
    </row>
    <row r="557">
      <c r="K557" s="5">
        <f>IF(AND(IF($B$3="(todos)",TRUE,'ORDENES'!$O553=$B$3),IF($D$3="(todos)",TRUE,'ORDENES'!$AH553=$D$3),IF($F$3="(todos)",TRUE,'ORDENES'!$Z553=$F$3),IF($H$3="(todos)",TRUE,'ORDENES'!$Y553=$H$3),'ORDENES'!$AF553=TRUE,'ORDENES'!$A553&lt;&gt;""),1,0)</f>
        <v/>
      </c>
      <c r="L557" s="5">
        <f>IF(K557=1,IFERROR(MATCH('ORDENES'!$S553,lista_dias,0),9)*1000000000+IFERROR(MATCH('ORDENES'!$AH553,lista_turnos,0),9)*10000000+IFERROR(MATCH('ORDENES'!$AG553,tblTecnicos[nombre],0),99)*100000+550,9000000000000+550)</f>
        <v/>
      </c>
      <c r="M557" s="5">
        <f>IF(K557=1,SUMPRODUCT(--($L$8:$L$1207&lt;L557))+1,"")</f>
        <v/>
      </c>
      <c r="N557" s="17">
        <f>IF(K557=1,N('ORDENES'!$M553),0)</f>
        <v/>
      </c>
      <c r="O557" s="17">
        <f>IF('ORDENES'!$U553="preventiva",N557,0)</f>
        <v/>
      </c>
      <c r="P557" s="17">
        <f>IF('ORDENES'!$U553="correctiva",N557,0)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22">
        <f>IF(K557=1,'ORDENES'!$J553,"")</f>
        <v/>
      </c>
    </row>
    <row r="558">
      <c r="K558" s="5">
        <f>IF(AND(IF($B$3="(todos)",TRUE,'ORDENES'!$O554=$B$3),IF($D$3="(todos)",TRUE,'ORDENES'!$AH554=$D$3),IF($F$3="(todos)",TRUE,'ORDENES'!$Z554=$F$3),IF($H$3="(todos)",TRUE,'ORDENES'!$Y554=$H$3),'ORDENES'!$AF554=TRUE,'ORDENES'!$A554&lt;&gt;""),1,0)</f>
        <v/>
      </c>
      <c r="L558" s="5">
        <f>IF(K558=1,IFERROR(MATCH('ORDENES'!$S554,lista_dias,0),9)*1000000000+IFERROR(MATCH('ORDENES'!$AH554,lista_turnos,0),9)*10000000+IFERROR(MATCH('ORDENES'!$AG554,tblTecnicos[nombre],0),99)*100000+551,9000000000000+551)</f>
        <v/>
      </c>
      <c r="M558" s="5">
        <f>IF(K558=1,SUMPRODUCT(--($L$8:$L$1207&lt;L558))+1,"")</f>
        <v/>
      </c>
      <c r="N558" s="17">
        <f>IF(K558=1,N('ORDENES'!$M554),0)</f>
        <v/>
      </c>
      <c r="O558" s="17">
        <f>IF('ORDENES'!$U554="preventiva",N558,0)</f>
        <v/>
      </c>
      <c r="P558" s="17">
        <f>IF('ORDENES'!$U554="correctiva",N558,0)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22">
        <f>IF(K558=1,'ORDENES'!$J554,"")</f>
        <v/>
      </c>
    </row>
    <row r="559">
      <c r="K559" s="5">
        <f>IF(AND(IF($B$3="(todos)",TRUE,'ORDENES'!$O555=$B$3),IF($D$3="(todos)",TRUE,'ORDENES'!$AH555=$D$3),IF($F$3="(todos)",TRUE,'ORDENES'!$Z555=$F$3),IF($H$3="(todos)",TRUE,'ORDENES'!$Y555=$H$3),'ORDENES'!$AF555=TRUE,'ORDENES'!$A555&lt;&gt;""),1,0)</f>
        <v/>
      </c>
      <c r="L559" s="5">
        <f>IF(K559=1,IFERROR(MATCH('ORDENES'!$S555,lista_dias,0),9)*1000000000+IFERROR(MATCH('ORDENES'!$AH555,lista_turnos,0),9)*10000000+IFERROR(MATCH('ORDENES'!$AG555,tblTecnicos[nombre],0),99)*100000+552,9000000000000+552)</f>
        <v/>
      </c>
      <c r="M559" s="5">
        <f>IF(K559=1,SUMPRODUCT(--($L$8:$L$1207&lt;L559))+1,"")</f>
        <v/>
      </c>
      <c r="N559" s="17">
        <f>IF(K559=1,N('ORDENES'!$M555),0)</f>
        <v/>
      </c>
      <c r="O559" s="17">
        <f>IF('ORDENES'!$U555="preventiva",N559,0)</f>
        <v/>
      </c>
      <c r="P559" s="17">
        <f>IF('ORDENES'!$U555="correctiva",N559,0)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22">
        <f>IF(K559=1,'ORDENES'!$J555,"")</f>
        <v/>
      </c>
    </row>
    <row r="560">
      <c r="K560" s="5">
        <f>IF(AND(IF($B$3="(todos)",TRUE,'ORDENES'!$O556=$B$3),IF($D$3="(todos)",TRUE,'ORDENES'!$AH556=$D$3),IF($F$3="(todos)",TRUE,'ORDENES'!$Z556=$F$3),IF($H$3="(todos)",TRUE,'ORDENES'!$Y556=$H$3),'ORDENES'!$AF556=TRUE,'ORDENES'!$A556&lt;&gt;""),1,0)</f>
        <v/>
      </c>
      <c r="L560" s="5">
        <f>IF(K560=1,IFERROR(MATCH('ORDENES'!$S556,lista_dias,0),9)*1000000000+IFERROR(MATCH('ORDENES'!$AH556,lista_turnos,0),9)*10000000+IFERROR(MATCH('ORDENES'!$AG556,tblTecnicos[nombre],0),99)*100000+553,9000000000000+553)</f>
        <v/>
      </c>
      <c r="M560" s="5">
        <f>IF(K560=1,SUMPRODUCT(--($L$8:$L$1207&lt;L560))+1,"")</f>
        <v/>
      </c>
      <c r="N560" s="17">
        <f>IF(K560=1,N('ORDENES'!$M556),0)</f>
        <v/>
      </c>
      <c r="O560" s="17">
        <f>IF('ORDENES'!$U556="preventiva",N560,0)</f>
        <v/>
      </c>
      <c r="P560" s="17">
        <f>IF('ORDENES'!$U556="correctiva",N560,0)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22">
        <f>IF(K560=1,'ORDENES'!$J556,"")</f>
        <v/>
      </c>
    </row>
    <row r="561">
      <c r="K561" s="5">
        <f>IF(AND(IF($B$3="(todos)",TRUE,'ORDENES'!$O557=$B$3),IF($D$3="(todos)",TRUE,'ORDENES'!$AH557=$D$3),IF($F$3="(todos)",TRUE,'ORDENES'!$Z557=$F$3),IF($H$3="(todos)",TRUE,'ORDENES'!$Y557=$H$3),'ORDENES'!$AF557=TRUE,'ORDENES'!$A557&lt;&gt;""),1,0)</f>
        <v/>
      </c>
      <c r="L561" s="5">
        <f>IF(K561=1,IFERROR(MATCH('ORDENES'!$S557,lista_dias,0),9)*1000000000+IFERROR(MATCH('ORDENES'!$AH557,lista_turnos,0),9)*10000000+IFERROR(MATCH('ORDENES'!$AG557,tblTecnicos[nombre],0),99)*100000+554,9000000000000+554)</f>
        <v/>
      </c>
      <c r="M561" s="5">
        <f>IF(K561=1,SUMPRODUCT(--($L$8:$L$1207&lt;L561))+1,"")</f>
        <v/>
      </c>
      <c r="N561" s="17">
        <f>IF(K561=1,N('ORDENES'!$M557),0)</f>
        <v/>
      </c>
      <c r="O561" s="17">
        <f>IF('ORDENES'!$U557="preventiva",N561,0)</f>
        <v/>
      </c>
      <c r="P561" s="17">
        <f>IF('ORDENES'!$U557="correctiva",N561,0)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22">
        <f>IF(K561=1,'ORDENES'!$J557,"")</f>
        <v/>
      </c>
    </row>
    <row r="562">
      <c r="K562" s="5">
        <f>IF(AND(IF($B$3="(todos)",TRUE,'ORDENES'!$O558=$B$3),IF($D$3="(todos)",TRUE,'ORDENES'!$AH558=$D$3),IF($F$3="(todos)",TRUE,'ORDENES'!$Z558=$F$3),IF($H$3="(todos)",TRUE,'ORDENES'!$Y558=$H$3),'ORDENES'!$AF558=TRUE,'ORDENES'!$A558&lt;&gt;""),1,0)</f>
        <v/>
      </c>
      <c r="L562" s="5">
        <f>IF(K562=1,IFERROR(MATCH('ORDENES'!$S558,lista_dias,0),9)*1000000000+IFERROR(MATCH('ORDENES'!$AH558,lista_turnos,0),9)*10000000+IFERROR(MATCH('ORDENES'!$AG558,tblTecnicos[nombre],0),99)*100000+555,9000000000000+555)</f>
        <v/>
      </c>
      <c r="M562" s="5">
        <f>IF(K562=1,SUMPRODUCT(--($L$8:$L$1207&lt;L562))+1,"")</f>
        <v/>
      </c>
      <c r="N562" s="17">
        <f>IF(K562=1,N('ORDENES'!$M558),0)</f>
        <v/>
      </c>
      <c r="O562" s="17">
        <f>IF('ORDENES'!$U558="preventiva",N562,0)</f>
        <v/>
      </c>
      <c r="P562" s="17">
        <f>IF('ORDENES'!$U558="correctiva",N562,0)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22">
        <f>IF(K562=1,'ORDENES'!$J558,"")</f>
        <v/>
      </c>
    </row>
    <row r="563">
      <c r="K563" s="5">
        <f>IF(AND(IF($B$3="(todos)",TRUE,'ORDENES'!$O559=$B$3),IF($D$3="(todos)",TRUE,'ORDENES'!$AH559=$D$3),IF($F$3="(todos)",TRUE,'ORDENES'!$Z559=$F$3),IF($H$3="(todos)",TRUE,'ORDENES'!$Y559=$H$3),'ORDENES'!$AF559=TRUE,'ORDENES'!$A559&lt;&gt;""),1,0)</f>
        <v/>
      </c>
      <c r="L563" s="5">
        <f>IF(K563=1,IFERROR(MATCH('ORDENES'!$S559,lista_dias,0),9)*1000000000+IFERROR(MATCH('ORDENES'!$AH559,lista_turnos,0),9)*10000000+IFERROR(MATCH('ORDENES'!$AG559,tblTecnicos[nombre],0),99)*100000+556,9000000000000+556)</f>
        <v/>
      </c>
      <c r="M563" s="5">
        <f>IF(K563=1,SUMPRODUCT(--($L$8:$L$1207&lt;L563))+1,"")</f>
        <v/>
      </c>
      <c r="N563" s="17">
        <f>IF(K563=1,N('ORDENES'!$M559),0)</f>
        <v/>
      </c>
      <c r="O563" s="17">
        <f>IF('ORDENES'!$U559="preventiva",N563,0)</f>
        <v/>
      </c>
      <c r="P563" s="17">
        <f>IF('ORDENES'!$U559="correctiva",N563,0)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22">
        <f>IF(K563=1,'ORDENES'!$J559,"")</f>
        <v/>
      </c>
    </row>
    <row r="564">
      <c r="K564" s="5">
        <f>IF(AND(IF($B$3="(todos)",TRUE,'ORDENES'!$O560=$B$3),IF($D$3="(todos)",TRUE,'ORDENES'!$AH560=$D$3),IF($F$3="(todos)",TRUE,'ORDENES'!$Z560=$F$3),IF($H$3="(todos)",TRUE,'ORDENES'!$Y560=$H$3),'ORDENES'!$AF560=TRUE,'ORDENES'!$A560&lt;&gt;""),1,0)</f>
        <v/>
      </c>
      <c r="L564" s="5">
        <f>IF(K564=1,IFERROR(MATCH('ORDENES'!$S560,lista_dias,0),9)*1000000000+IFERROR(MATCH('ORDENES'!$AH560,lista_turnos,0),9)*10000000+IFERROR(MATCH('ORDENES'!$AG560,tblTecnicos[nombre],0),99)*100000+557,9000000000000+557)</f>
        <v/>
      </c>
      <c r="M564" s="5">
        <f>IF(K564=1,SUMPRODUCT(--($L$8:$L$1207&lt;L564))+1,"")</f>
        <v/>
      </c>
      <c r="N564" s="17">
        <f>IF(K564=1,N('ORDENES'!$M560),0)</f>
        <v/>
      </c>
      <c r="O564" s="17">
        <f>IF('ORDENES'!$U560="preventiva",N564,0)</f>
        <v/>
      </c>
      <c r="P564" s="17">
        <f>IF('ORDENES'!$U560="correctiva",N564,0)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22">
        <f>IF(K564=1,'ORDENES'!$J560,"")</f>
        <v/>
      </c>
    </row>
    <row r="565">
      <c r="K565" s="5">
        <f>IF(AND(IF($B$3="(todos)",TRUE,'ORDENES'!$O561=$B$3),IF($D$3="(todos)",TRUE,'ORDENES'!$AH561=$D$3),IF($F$3="(todos)",TRUE,'ORDENES'!$Z561=$F$3),IF($H$3="(todos)",TRUE,'ORDENES'!$Y561=$H$3),'ORDENES'!$AF561=TRUE,'ORDENES'!$A561&lt;&gt;""),1,0)</f>
        <v/>
      </c>
      <c r="L565" s="5">
        <f>IF(K565=1,IFERROR(MATCH('ORDENES'!$S561,lista_dias,0),9)*1000000000+IFERROR(MATCH('ORDENES'!$AH561,lista_turnos,0),9)*10000000+IFERROR(MATCH('ORDENES'!$AG561,tblTecnicos[nombre],0),99)*100000+558,9000000000000+558)</f>
        <v/>
      </c>
      <c r="M565" s="5">
        <f>IF(K565=1,SUMPRODUCT(--($L$8:$L$1207&lt;L565))+1,"")</f>
        <v/>
      </c>
      <c r="N565" s="17">
        <f>IF(K565=1,N('ORDENES'!$M561),0)</f>
        <v/>
      </c>
      <c r="O565" s="17">
        <f>IF('ORDENES'!$U561="preventiva",N565,0)</f>
        <v/>
      </c>
      <c r="P565" s="17">
        <f>IF('ORDENES'!$U561="correctiva",N565,0)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22">
        <f>IF(K565=1,'ORDENES'!$J561,"")</f>
        <v/>
      </c>
    </row>
    <row r="566">
      <c r="K566" s="5">
        <f>IF(AND(IF($B$3="(todos)",TRUE,'ORDENES'!$O562=$B$3),IF($D$3="(todos)",TRUE,'ORDENES'!$AH562=$D$3),IF($F$3="(todos)",TRUE,'ORDENES'!$Z562=$F$3),IF($H$3="(todos)",TRUE,'ORDENES'!$Y562=$H$3),'ORDENES'!$AF562=TRUE,'ORDENES'!$A562&lt;&gt;""),1,0)</f>
        <v/>
      </c>
      <c r="L566" s="5">
        <f>IF(K566=1,IFERROR(MATCH('ORDENES'!$S562,lista_dias,0),9)*1000000000+IFERROR(MATCH('ORDENES'!$AH562,lista_turnos,0),9)*10000000+IFERROR(MATCH('ORDENES'!$AG562,tblTecnicos[nombre],0),99)*100000+559,9000000000000+559)</f>
        <v/>
      </c>
      <c r="M566" s="5">
        <f>IF(K566=1,SUMPRODUCT(--($L$8:$L$1207&lt;L566))+1,"")</f>
        <v/>
      </c>
      <c r="N566" s="17">
        <f>IF(K566=1,N('ORDENES'!$M562),0)</f>
        <v/>
      </c>
      <c r="O566" s="17">
        <f>IF('ORDENES'!$U562="preventiva",N566,0)</f>
        <v/>
      </c>
      <c r="P566" s="17">
        <f>IF('ORDENES'!$U562="correctiva",N566,0)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22">
        <f>IF(K566=1,'ORDENES'!$J562,"")</f>
        <v/>
      </c>
    </row>
    <row r="567">
      <c r="K567" s="5">
        <f>IF(AND(IF($B$3="(todos)",TRUE,'ORDENES'!$O563=$B$3),IF($D$3="(todos)",TRUE,'ORDENES'!$AH563=$D$3),IF($F$3="(todos)",TRUE,'ORDENES'!$Z563=$F$3),IF($H$3="(todos)",TRUE,'ORDENES'!$Y563=$H$3),'ORDENES'!$AF563=TRUE,'ORDENES'!$A563&lt;&gt;""),1,0)</f>
        <v/>
      </c>
      <c r="L567" s="5">
        <f>IF(K567=1,IFERROR(MATCH('ORDENES'!$S563,lista_dias,0),9)*1000000000+IFERROR(MATCH('ORDENES'!$AH563,lista_turnos,0),9)*10000000+IFERROR(MATCH('ORDENES'!$AG563,tblTecnicos[nombre],0),99)*100000+560,9000000000000+560)</f>
        <v/>
      </c>
      <c r="M567" s="5">
        <f>IF(K567=1,SUMPRODUCT(--($L$8:$L$1207&lt;L567))+1,"")</f>
        <v/>
      </c>
      <c r="N567" s="17">
        <f>IF(K567=1,N('ORDENES'!$M563),0)</f>
        <v/>
      </c>
      <c r="O567" s="17">
        <f>IF('ORDENES'!$U563="preventiva",N567,0)</f>
        <v/>
      </c>
      <c r="P567" s="17">
        <f>IF('ORDENES'!$U563="correctiva",N567,0)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22">
        <f>IF(K567=1,'ORDENES'!$J563,"")</f>
        <v/>
      </c>
    </row>
    <row r="568">
      <c r="K568" s="5">
        <f>IF(AND(IF($B$3="(todos)",TRUE,'ORDENES'!$O564=$B$3),IF($D$3="(todos)",TRUE,'ORDENES'!$AH564=$D$3),IF($F$3="(todos)",TRUE,'ORDENES'!$Z564=$F$3),IF($H$3="(todos)",TRUE,'ORDENES'!$Y564=$H$3),'ORDENES'!$AF564=TRUE,'ORDENES'!$A564&lt;&gt;""),1,0)</f>
        <v/>
      </c>
      <c r="L568" s="5">
        <f>IF(K568=1,IFERROR(MATCH('ORDENES'!$S564,lista_dias,0),9)*1000000000+IFERROR(MATCH('ORDENES'!$AH564,lista_turnos,0),9)*10000000+IFERROR(MATCH('ORDENES'!$AG564,tblTecnicos[nombre],0),99)*100000+561,9000000000000+561)</f>
        <v/>
      </c>
      <c r="M568" s="5">
        <f>IF(K568=1,SUMPRODUCT(--($L$8:$L$1207&lt;L568))+1,"")</f>
        <v/>
      </c>
      <c r="N568" s="17">
        <f>IF(K568=1,N('ORDENES'!$M564),0)</f>
        <v/>
      </c>
      <c r="O568" s="17">
        <f>IF('ORDENES'!$U564="preventiva",N568,0)</f>
        <v/>
      </c>
      <c r="P568" s="17">
        <f>IF('ORDENES'!$U564="correctiva",N568,0)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22">
        <f>IF(K568=1,'ORDENES'!$J564,"")</f>
        <v/>
      </c>
    </row>
    <row r="569">
      <c r="K569" s="5">
        <f>IF(AND(IF($B$3="(todos)",TRUE,'ORDENES'!$O565=$B$3),IF($D$3="(todos)",TRUE,'ORDENES'!$AH565=$D$3),IF($F$3="(todos)",TRUE,'ORDENES'!$Z565=$F$3),IF($H$3="(todos)",TRUE,'ORDENES'!$Y565=$H$3),'ORDENES'!$AF565=TRUE,'ORDENES'!$A565&lt;&gt;""),1,0)</f>
        <v/>
      </c>
      <c r="L569" s="5">
        <f>IF(K569=1,IFERROR(MATCH('ORDENES'!$S565,lista_dias,0),9)*1000000000+IFERROR(MATCH('ORDENES'!$AH565,lista_turnos,0),9)*10000000+IFERROR(MATCH('ORDENES'!$AG565,tblTecnicos[nombre],0),99)*100000+562,9000000000000+562)</f>
        <v/>
      </c>
      <c r="M569" s="5">
        <f>IF(K569=1,SUMPRODUCT(--($L$8:$L$1207&lt;L569))+1,"")</f>
        <v/>
      </c>
      <c r="N569" s="17">
        <f>IF(K569=1,N('ORDENES'!$M565),0)</f>
        <v/>
      </c>
      <c r="O569" s="17">
        <f>IF('ORDENES'!$U565="preventiva",N569,0)</f>
        <v/>
      </c>
      <c r="P569" s="17">
        <f>IF('ORDENES'!$U565="correctiva",N569,0)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22">
        <f>IF(K569=1,'ORDENES'!$J565,"")</f>
        <v/>
      </c>
    </row>
    <row r="570">
      <c r="K570" s="5">
        <f>IF(AND(IF($B$3="(todos)",TRUE,'ORDENES'!$O566=$B$3),IF($D$3="(todos)",TRUE,'ORDENES'!$AH566=$D$3),IF($F$3="(todos)",TRUE,'ORDENES'!$Z566=$F$3),IF($H$3="(todos)",TRUE,'ORDENES'!$Y566=$H$3),'ORDENES'!$AF566=TRUE,'ORDENES'!$A566&lt;&gt;""),1,0)</f>
        <v/>
      </c>
      <c r="L570" s="5">
        <f>IF(K570=1,IFERROR(MATCH('ORDENES'!$S566,lista_dias,0),9)*1000000000+IFERROR(MATCH('ORDENES'!$AH566,lista_turnos,0),9)*10000000+IFERROR(MATCH('ORDENES'!$AG566,tblTecnicos[nombre],0),99)*100000+563,9000000000000+563)</f>
        <v/>
      </c>
      <c r="M570" s="5">
        <f>IF(K570=1,SUMPRODUCT(--($L$8:$L$1207&lt;L570))+1,"")</f>
        <v/>
      </c>
      <c r="N570" s="17">
        <f>IF(K570=1,N('ORDENES'!$M566),0)</f>
        <v/>
      </c>
      <c r="O570" s="17">
        <f>IF('ORDENES'!$U566="preventiva",N570,0)</f>
        <v/>
      </c>
      <c r="P570" s="17">
        <f>IF('ORDENES'!$U566="correctiva",N570,0)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22">
        <f>IF(K570=1,'ORDENES'!$J566,"")</f>
        <v/>
      </c>
    </row>
    <row r="571">
      <c r="K571" s="5">
        <f>IF(AND(IF($B$3="(todos)",TRUE,'ORDENES'!$O567=$B$3),IF($D$3="(todos)",TRUE,'ORDENES'!$AH567=$D$3),IF($F$3="(todos)",TRUE,'ORDENES'!$Z567=$F$3),IF($H$3="(todos)",TRUE,'ORDENES'!$Y567=$H$3),'ORDENES'!$AF567=TRUE,'ORDENES'!$A567&lt;&gt;""),1,0)</f>
        <v/>
      </c>
      <c r="L571" s="5">
        <f>IF(K571=1,IFERROR(MATCH('ORDENES'!$S567,lista_dias,0),9)*1000000000+IFERROR(MATCH('ORDENES'!$AH567,lista_turnos,0),9)*10000000+IFERROR(MATCH('ORDENES'!$AG567,tblTecnicos[nombre],0),99)*100000+564,9000000000000+564)</f>
        <v/>
      </c>
      <c r="M571" s="5">
        <f>IF(K571=1,SUMPRODUCT(--($L$8:$L$1207&lt;L571))+1,"")</f>
        <v/>
      </c>
      <c r="N571" s="17">
        <f>IF(K571=1,N('ORDENES'!$M567),0)</f>
        <v/>
      </c>
      <c r="O571" s="17">
        <f>IF('ORDENES'!$U567="preventiva",N571,0)</f>
        <v/>
      </c>
      <c r="P571" s="17">
        <f>IF('ORDENES'!$U567="correctiva",N571,0)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22">
        <f>IF(K571=1,'ORDENES'!$J567,"")</f>
        <v/>
      </c>
    </row>
    <row r="572">
      <c r="K572" s="5">
        <f>IF(AND(IF($B$3="(todos)",TRUE,'ORDENES'!$O568=$B$3),IF($D$3="(todos)",TRUE,'ORDENES'!$AH568=$D$3),IF($F$3="(todos)",TRUE,'ORDENES'!$Z568=$F$3),IF($H$3="(todos)",TRUE,'ORDENES'!$Y568=$H$3),'ORDENES'!$AF568=TRUE,'ORDENES'!$A568&lt;&gt;""),1,0)</f>
        <v/>
      </c>
      <c r="L572" s="5">
        <f>IF(K572=1,IFERROR(MATCH('ORDENES'!$S568,lista_dias,0),9)*1000000000+IFERROR(MATCH('ORDENES'!$AH568,lista_turnos,0),9)*10000000+IFERROR(MATCH('ORDENES'!$AG568,tblTecnicos[nombre],0),99)*100000+565,9000000000000+565)</f>
        <v/>
      </c>
      <c r="M572" s="5">
        <f>IF(K572=1,SUMPRODUCT(--($L$8:$L$1207&lt;L572))+1,"")</f>
        <v/>
      </c>
      <c r="N572" s="17">
        <f>IF(K572=1,N('ORDENES'!$M568),0)</f>
        <v/>
      </c>
      <c r="O572" s="17">
        <f>IF('ORDENES'!$U568="preventiva",N572,0)</f>
        <v/>
      </c>
      <c r="P572" s="17">
        <f>IF('ORDENES'!$U568="correctiva",N572,0)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22">
        <f>IF(K572=1,'ORDENES'!$J568,"")</f>
        <v/>
      </c>
    </row>
    <row r="573">
      <c r="K573" s="5">
        <f>IF(AND(IF($B$3="(todos)",TRUE,'ORDENES'!$O569=$B$3),IF($D$3="(todos)",TRUE,'ORDENES'!$AH569=$D$3),IF($F$3="(todos)",TRUE,'ORDENES'!$Z569=$F$3),IF($H$3="(todos)",TRUE,'ORDENES'!$Y569=$H$3),'ORDENES'!$AF569=TRUE,'ORDENES'!$A569&lt;&gt;""),1,0)</f>
        <v/>
      </c>
      <c r="L573" s="5">
        <f>IF(K573=1,IFERROR(MATCH('ORDENES'!$S569,lista_dias,0),9)*1000000000+IFERROR(MATCH('ORDENES'!$AH569,lista_turnos,0),9)*10000000+IFERROR(MATCH('ORDENES'!$AG569,tblTecnicos[nombre],0),99)*100000+566,9000000000000+566)</f>
        <v/>
      </c>
      <c r="M573" s="5">
        <f>IF(K573=1,SUMPRODUCT(--($L$8:$L$1207&lt;L573))+1,"")</f>
        <v/>
      </c>
      <c r="N573" s="17">
        <f>IF(K573=1,N('ORDENES'!$M569),0)</f>
        <v/>
      </c>
      <c r="O573" s="17">
        <f>IF('ORDENES'!$U569="preventiva",N573,0)</f>
        <v/>
      </c>
      <c r="P573" s="17">
        <f>IF('ORDENES'!$U569="correctiva",N573,0)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22">
        <f>IF(K573=1,'ORDENES'!$J569,"")</f>
        <v/>
      </c>
    </row>
    <row r="574">
      <c r="K574" s="5">
        <f>IF(AND(IF($B$3="(todos)",TRUE,'ORDENES'!$O570=$B$3),IF($D$3="(todos)",TRUE,'ORDENES'!$AH570=$D$3),IF($F$3="(todos)",TRUE,'ORDENES'!$Z570=$F$3),IF($H$3="(todos)",TRUE,'ORDENES'!$Y570=$H$3),'ORDENES'!$AF570=TRUE,'ORDENES'!$A570&lt;&gt;""),1,0)</f>
        <v/>
      </c>
      <c r="L574" s="5">
        <f>IF(K574=1,IFERROR(MATCH('ORDENES'!$S570,lista_dias,0),9)*1000000000+IFERROR(MATCH('ORDENES'!$AH570,lista_turnos,0),9)*10000000+IFERROR(MATCH('ORDENES'!$AG570,tblTecnicos[nombre],0),99)*100000+567,9000000000000+567)</f>
        <v/>
      </c>
      <c r="M574" s="5">
        <f>IF(K574=1,SUMPRODUCT(--($L$8:$L$1207&lt;L574))+1,"")</f>
        <v/>
      </c>
      <c r="N574" s="17">
        <f>IF(K574=1,N('ORDENES'!$M570),0)</f>
        <v/>
      </c>
      <c r="O574" s="17">
        <f>IF('ORDENES'!$U570="preventiva",N574,0)</f>
        <v/>
      </c>
      <c r="P574" s="17">
        <f>IF('ORDENES'!$U570="correctiva",N574,0)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22">
        <f>IF(K574=1,'ORDENES'!$J570,"")</f>
        <v/>
      </c>
    </row>
    <row r="575">
      <c r="K575" s="5">
        <f>IF(AND(IF($B$3="(todos)",TRUE,'ORDENES'!$O571=$B$3),IF($D$3="(todos)",TRUE,'ORDENES'!$AH571=$D$3),IF($F$3="(todos)",TRUE,'ORDENES'!$Z571=$F$3),IF($H$3="(todos)",TRUE,'ORDENES'!$Y571=$H$3),'ORDENES'!$AF571=TRUE,'ORDENES'!$A571&lt;&gt;""),1,0)</f>
        <v/>
      </c>
      <c r="L575" s="5">
        <f>IF(K575=1,IFERROR(MATCH('ORDENES'!$S571,lista_dias,0),9)*1000000000+IFERROR(MATCH('ORDENES'!$AH571,lista_turnos,0),9)*10000000+IFERROR(MATCH('ORDENES'!$AG571,tblTecnicos[nombre],0),99)*100000+568,9000000000000+568)</f>
        <v/>
      </c>
      <c r="M575" s="5">
        <f>IF(K575=1,SUMPRODUCT(--($L$8:$L$1207&lt;L575))+1,"")</f>
        <v/>
      </c>
      <c r="N575" s="17">
        <f>IF(K575=1,N('ORDENES'!$M571),0)</f>
        <v/>
      </c>
      <c r="O575" s="17">
        <f>IF('ORDENES'!$U571="preventiva",N575,0)</f>
        <v/>
      </c>
      <c r="P575" s="17">
        <f>IF('ORDENES'!$U571="correctiva",N575,0)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22">
        <f>IF(K575=1,'ORDENES'!$J571,"")</f>
        <v/>
      </c>
    </row>
    <row r="576">
      <c r="K576" s="5">
        <f>IF(AND(IF($B$3="(todos)",TRUE,'ORDENES'!$O572=$B$3),IF($D$3="(todos)",TRUE,'ORDENES'!$AH572=$D$3),IF($F$3="(todos)",TRUE,'ORDENES'!$Z572=$F$3),IF($H$3="(todos)",TRUE,'ORDENES'!$Y572=$H$3),'ORDENES'!$AF572=TRUE,'ORDENES'!$A572&lt;&gt;""),1,0)</f>
        <v/>
      </c>
      <c r="L576" s="5">
        <f>IF(K576=1,IFERROR(MATCH('ORDENES'!$S572,lista_dias,0),9)*1000000000+IFERROR(MATCH('ORDENES'!$AH572,lista_turnos,0),9)*10000000+IFERROR(MATCH('ORDENES'!$AG572,tblTecnicos[nombre],0),99)*100000+569,9000000000000+569)</f>
        <v/>
      </c>
      <c r="M576" s="5">
        <f>IF(K576=1,SUMPRODUCT(--($L$8:$L$1207&lt;L576))+1,"")</f>
        <v/>
      </c>
      <c r="N576" s="17">
        <f>IF(K576=1,N('ORDENES'!$M572),0)</f>
        <v/>
      </c>
      <c r="O576" s="17">
        <f>IF('ORDENES'!$U572="preventiva",N576,0)</f>
        <v/>
      </c>
      <c r="P576" s="17">
        <f>IF('ORDENES'!$U572="correctiva",N576,0)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22">
        <f>IF(K576=1,'ORDENES'!$J572,"")</f>
        <v/>
      </c>
    </row>
    <row r="577">
      <c r="K577" s="5">
        <f>IF(AND(IF($B$3="(todos)",TRUE,'ORDENES'!$O573=$B$3),IF($D$3="(todos)",TRUE,'ORDENES'!$AH573=$D$3),IF($F$3="(todos)",TRUE,'ORDENES'!$Z573=$F$3),IF($H$3="(todos)",TRUE,'ORDENES'!$Y573=$H$3),'ORDENES'!$AF573=TRUE,'ORDENES'!$A573&lt;&gt;""),1,0)</f>
        <v/>
      </c>
      <c r="L577" s="5">
        <f>IF(K577=1,IFERROR(MATCH('ORDENES'!$S573,lista_dias,0),9)*1000000000+IFERROR(MATCH('ORDENES'!$AH573,lista_turnos,0),9)*10000000+IFERROR(MATCH('ORDENES'!$AG573,tblTecnicos[nombre],0),99)*100000+570,9000000000000+570)</f>
        <v/>
      </c>
      <c r="M577" s="5">
        <f>IF(K577=1,SUMPRODUCT(--($L$8:$L$1207&lt;L577))+1,"")</f>
        <v/>
      </c>
      <c r="N577" s="17">
        <f>IF(K577=1,N('ORDENES'!$M573),0)</f>
        <v/>
      </c>
      <c r="O577" s="17">
        <f>IF('ORDENES'!$U573="preventiva",N577,0)</f>
        <v/>
      </c>
      <c r="P577" s="17">
        <f>IF('ORDENES'!$U573="correctiva",N577,0)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22">
        <f>IF(K577=1,'ORDENES'!$J573,"")</f>
        <v/>
      </c>
    </row>
    <row r="578">
      <c r="K578" s="5">
        <f>IF(AND(IF($B$3="(todos)",TRUE,'ORDENES'!$O574=$B$3),IF($D$3="(todos)",TRUE,'ORDENES'!$AH574=$D$3),IF($F$3="(todos)",TRUE,'ORDENES'!$Z574=$F$3),IF($H$3="(todos)",TRUE,'ORDENES'!$Y574=$H$3),'ORDENES'!$AF574=TRUE,'ORDENES'!$A574&lt;&gt;""),1,0)</f>
        <v/>
      </c>
      <c r="L578" s="5">
        <f>IF(K578=1,IFERROR(MATCH('ORDENES'!$S574,lista_dias,0),9)*1000000000+IFERROR(MATCH('ORDENES'!$AH574,lista_turnos,0),9)*10000000+IFERROR(MATCH('ORDENES'!$AG574,tblTecnicos[nombre],0),99)*100000+571,9000000000000+571)</f>
        <v/>
      </c>
      <c r="M578" s="5">
        <f>IF(K578=1,SUMPRODUCT(--($L$8:$L$1207&lt;L578))+1,"")</f>
        <v/>
      </c>
      <c r="N578" s="17">
        <f>IF(K578=1,N('ORDENES'!$M574),0)</f>
        <v/>
      </c>
      <c r="O578" s="17">
        <f>IF('ORDENES'!$U574="preventiva",N578,0)</f>
        <v/>
      </c>
      <c r="P578" s="17">
        <f>IF('ORDENES'!$U574="correctiva",N578,0)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22">
        <f>IF(K578=1,'ORDENES'!$J574,"")</f>
        <v/>
      </c>
    </row>
    <row r="579">
      <c r="K579" s="5">
        <f>IF(AND(IF($B$3="(todos)",TRUE,'ORDENES'!$O575=$B$3),IF($D$3="(todos)",TRUE,'ORDENES'!$AH575=$D$3),IF($F$3="(todos)",TRUE,'ORDENES'!$Z575=$F$3),IF($H$3="(todos)",TRUE,'ORDENES'!$Y575=$H$3),'ORDENES'!$AF575=TRUE,'ORDENES'!$A575&lt;&gt;""),1,0)</f>
        <v/>
      </c>
      <c r="L579" s="5">
        <f>IF(K579=1,IFERROR(MATCH('ORDENES'!$S575,lista_dias,0),9)*1000000000+IFERROR(MATCH('ORDENES'!$AH575,lista_turnos,0),9)*10000000+IFERROR(MATCH('ORDENES'!$AG575,tblTecnicos[nombre],0),99)*100000+572,9000000000000+572)</f>
        <v/>
      </c>
      <c r="M579" s="5">
        <f>IF(K579=1,SUMPRODUCT(--($L$8:$L$1207&lt;L579))+1,"")</f>
        <v/>
      </c>
      <c r="N579" s="17">
        <f>IF(K579=1,N('ORDENES'!$M575),0)</f>
        <v/>
      </c>
      <c r="O579" s="17">
        <f>IF('ORDENES'!$U575="preventiva",N579,0)</f>
        <v/>
      </c>
      <c r="P579" s="17">
        <f>IF('ORDENES'!$U575="correctiva",N579,0)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22">
        <f>IF(K579=1,'ORDENES'!$J575,"")</f>
        <v/>
      </c>
    </row>
    <row r="580">
      <c r="K580" s="5">
        <f>IF(AND(IF($B$3="(todos)",TRUE,'ORDENES'!$O576=$B$3),IF($D$3="(todos)",TRUE,'ORDENES'!$AH576=$D$3),IF($F$3="(todos)",TRUE,'ORDENES'!$Z576=$F$3),IF($H$3="(todos)",TRUE,'ORDENES'!$Y576=$H$3),'ORDENES'!$AF576=TRUE,'ORDENES'!$A576&lt;&gt;""),1,0)</f>
        <v/>
      </c>
      <c r="L580" s="5">
        <f>IF(K580=1,IFERROR(MATCH('ORDENES'!$S576,lista_dias,0),9)*1000000000+IFERROR(MATCH('ORDENES'!$AH576,lista_turnos,0),9)*10000000+IFERROR(MATCH('ORDENES'!$AG576,tblTecnicos[nombre],0),99)*100000+573,9000000000000+573)</f>
        <v/>
      </c>
      <c r="M580" s="5">
        <f>IF(K580=1,SUMPRODUCT(--($L$8:$L$1207&lt;L580))+1,"")</f>
        <v/>
      </c>
      <c r="N580" s="17">
        <f>IF(K580=1,N('ORDENES'!$M576),0)</f>
        <v/>
      </c>
      <c r="O580" s="17">
        <f>IF('ORDENES'!$U576="preventiva",N580,0)</f>
        <v/>
      </c>
      <c r="P580" s="17">
        <f>IF('ORDENES'!$U576="correctiva",N580,0)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22">
        <f>IF(K580=1,'ORDENES'!$J576,"")</f>
        <v/>
      </c>
    </row>
    <row r="581">
      <c r="K581" s="5">
        <f>IF(AND(IF($B$3="(todos)",TRUE,'ORDENES'!$O577=$B$3),IF($D$3="(todos)",TRUE,'ORDENES'!$AH577=$D$3),IF($F$3="(todos)",TRUE,'ORDENES'!$Z577=$F$3),IF($H$3="(todos)",TRUE,'ORDENES'!$Y577=$H$3),'ORDENES'!$AF577=TRUE,'ORDENES'!$A577&lt;&gt;""),1,0)</f>
        <v/>
      </c>
      <c r="L581" s="5">
        <f>IF(K581=1,IFERROR(MATCH('ORDENES'!$S577,lista_dias,0),9)*1000000000+IFERROR(MATCH('ORDENES'!$AH577,lista_turnos,0),9)*10000000+IFERROR(MATCH('ORDENES'!$AG577,tblTecnicos[nombre],0),99)*100000+574,9000000000000+574)</f>
        <v/>
      </c>
      <c r="M581" s="5">
        <f>IF(K581=1,SUMPRODUCT(--($L$8:$L$1207&lt;L581))+1,"")</f>
        <v/>
      </c>
      <c r="N581" s="17">
        <f>IF(K581=1,N('ORDENES'!$M577),0)</f>
        <v/>
      </c>
      <c r="O581" s="17">
        <f>IF('ORDENES'!$U577="preventiva",N581,0)</f>
        <v/>
      </c>
      <c r="P581" s="17">
        <f>IF('ORDENES'!$U577="correctiva",N581,0)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22">
        <f>IF(K581=1,'ORDENES'!$J577,"")</f>
        <v/>
      </c>
    </row>
    <row r="582">
      <c r="K582" s="5">
        <f>IF(AND(IF($B$3="(todos)",TRUE,'ORDENES'!$O578=$B$3),IF($D$3="(todos)",TRUE,'ORDENES'!$AH578=$D$3),IF($F$3="(todos)",TRUE,'ORDENES'!$Z578=$F$3),IF($H$3="(todos)",TRUE,'ORDENES'!$Y578=$H$3),'ORDENES'!$AF578=TRUE,'ORDENES'!$A578&lt;&gt;""),1,0)</f>
        <v/>
      </c>
      <c r="L582" s="5">
        <f>IF(K582=1,IFERROR(MATCH('ORDENES'!$S578,lista_dias,0),9)*1000000000+IFERROR(MATCH('ORDENES'!$AH578,lista_turnos,0),9)*10000000+IFERROR(MATCH('ORDENES'!$AG578,tblTecnicos[nombre],0),99)*100000+575,9000000000000+575)</f>
        <v/>
      </c>
      <c r="M582" s="5">
        <f>IF(K582=1,SUMPRODUCT(--($L$8:$L$1207&lt;L582))+1,"")</f>
        <v/>
      </c>
      <c r="N582" s="17">
        <f>IF(K582=1,N('ORDENES'!$M578),0)</f>
        <v/>
      </c>
      <c r="O582" s="17">
        <f>IF('ORDENES'!$U578="preventiva",N582,0)</f>
        <v/>
      </c>
      <c r="P582" s="17">
        <f>IF('ORDENES'!$U578="correctiva",N582,0)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22">
        <f>IF(K582=1,'ORDENES'!$J578,"")</f>
        <v/>
      </c>
    </row>
    <row r="583">
      <c r="K583" s="5">
        <f>IF(AND(IF($B$3="(todos)",TRUE,'ORDENES'!$O579=$B$3),IF($D$3="(todos)",TRUE,'ORDENES'!$AH579=$D$3),IF($F$3="(todos)",TRUE,'ORDENES'!$Z579=$F$3),IF($H$3="(todos)",TRUE,'ORDENES'!$Y579=$H$3),'ORDENES'!$AF579=TRUE,'ORDENES'!$A579&lt;&gt;""),1,0)</f>
        <v/>
      </c>
      <c r="L583" s="5">
        <f>IF(K583=1,IFERROR(MATCH('ORDENES'!$S579,lista_dias,0),9)*1000000000+IFERROR(MATCH('ORDENES'!$AH579,lista_turnos,0),9)*10000000+IFERROR(MATCH('ORDENES'!$AG579,tblTecnicos[nombre],0),99)*100000+576,9000000000000+576)</f>
        <v/>
      </c>
      <c r="M583" s="5">
        <f>IF(K583=1,SUMPRODUCT(--($L$8:$L$1207&lt;L583))+1,"")</f>
        <v/>
      </c>
      <c r="N583" s="17">
        <f>IF(K583=1,N('ORDENES'!$M579),0)</f>
        <v/>
      </c>
      <c r="O583" s="17">
        <f>IF('ORDENES'!$U579="preventiva",N583,0)</f>
        <v/>
      </c>
      <c r="P583" s="17">
        <f>IF('ORDENES'!$U579="correctiva",N583,0)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22">
        <f>IF(K583=1,'ORDENES'!$J579,"")</f>
        <v/>
      </c>
    </row>
    <row r="584">
      <c r="K584" s="5">
        <f>IF(AND(IF($B$3="(todos)",TRUE,'ORDENES'!$O580=$B$3),IF($D$3="(todos)",TRUE,'ORDENES'!$AH580=$D$3),IF($F$3="(todos)",TRUE,'ORDENES'!$Z580=$F$3),IF($H$3="(todos)",TRUE,'ORDENES'!$Y580=$H$3),'ORDENES'!$AF580=TRUE,'ORDENES'!$A580&lt;&gt;""),1,0)</f>
        <v/>
      </c>
      <c r="L584" s="5">
        <f>IF(K584=1,IFERROR(MATCH('ORDENES'!$S580,lista_dias,0),9)*1000000000+IFERROR(MATCH('ORDENES'!$AH580,lista_turnos,0),9)*10000000+IFERROR(MATCH('ORDENES'!$AG580,tblTecnicos[nombre],0),99)*100000+577,9000000000000+577)</f>
        <v/>
      </c>
      <c r="M584" s="5">
        <f>IF(K584=1,SUMPRODUCT(--($L$8:$L$1207&lt;L584))+1,"")</f>
        <v/>
      </c>
      <c r="N584" s="17">
        <f>IF(K584=1,N('ORDENES'!$M580),0)</f>
        <v/>
      </c>
      <c r="O584" s="17">
        <f>IF('ORDENES'!$U580="preventiva",N584,0)</f>
        <v/>
      </c>
      <c r="P584" s="17">
        <f>IF('ORDENES'!$U580="correctiva",N584,0)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22">
        <f>IF(K584=1,'ORDENES'!$J580,"")</f>
        <v/>
      </c>
    </row>
    <row r="585">
      <c r="K585" s="5">
        <f>IF(AND(IF($B$3="(todos)",TRUE,'ORDENES'!$O581=$B$3),IF($D$3="(todos)",TRUE,'ORDENES'!$AH581=$D$3),IF($F$3="(todos)",TRUE,'ORDENES'!$Z581=$F$3),IF($H$3="(todos)",TRUE,'ORDENES'!$Y581=$H$3),'ORDENES'!$AF581=TRUE,'ORDENES'!$A581&lt;&gt;""),1,0)</f>
        <v/>
      </c>
      <c r="L585" s="5">
        <f>IF(K585=1,IFERROR(MATCH('ORDENES'!$S581,lista_dias,0),9)*1000000000+IFERROR(MATCH('ORDENES'!$AH581,lista_turnos,0),9)*10000000+IFERROR(MATCH('ORDENES'!$AG581,tblTecnicos[nombre],0),99)*100000+578,9000000000000+578)</f>
        <v/>
      </c>
      <c r="M585" s="5">
        <f>IF(K585=1,SUMPRODUCT(--($L$8:$L$1207&lt;L585))+1,"")</f>
        <v/>
      </c>
      <c r="N585" s="17">
        <f>IF(K585=1,N('ORDENES'!$M581),0)</f>
        <v/>
      </c>
      <c r="O585" s="17">
        <f>IF('ORDENES'!$U581="preventiva",N585,0)</f>
        <v/>
      </c>
      <c r="P585" s="17">
        <f>IF('ORDENES'!$U581="correctiva",N585,0)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22">
        <f>IF(K585=1,'ORDENES'!$J581,"")</f>
        <v/>
      </c>
    </row>
    <row r="586">
      <c r="K586" s="5">
        <f>IF(AND(IF($B$3="(todos)",TRUE,'ORDENES'!$O582=$B$3),IF($D$3="(todos)",TRUE,'ORDENES'!$AH582=$D$3),IF($F$3="(todos)",TRUE,'ORDENES'!$Z582=$F$3),IF($H$3="(todos)",TRUE,'ORDENES'!$Y582=$H$3),'ORDENES'!$AF582=TRUE,'ORDENES'!$A582&lt;&gt;""),1,0)</f>
        <v/>
      </c>
      <c r="L586" s="5">
        <f>IF(K586=1,IFERROR(MATCH('ORDENES'!$S582,lista_dias,0),9)*1000000000+IFERROR(MATCH('ORDENES'!$AH582,lista_turnos,0),9)*10000000+IFERROR(MATCH('ORDENES'!$AG582,tblTecnicos[nombre],0),99)*100000+579,9000000000000+579)</f>
        <v/>
      </c>
      <c r="M586" s="5">
        <f>IF(K586=1,SUMPRODUCT(--($L$8:$L$1207&lt;L586))+1,"")</f>
        <v/>
      </c>
      <c r="N586" s="17">
        <f>IF(K586=1,N('ORDENES'!$M582),0)</f>
        <v/>
      </c>
      <c r="O586" s="17">
        <f>IF('ORDENES'!$U582="preventiva",N586,0)</f>
        <v/>
      </c>
      <c r="P586" s="17">
        <f>IF('ORDENES'!$U582="correctiva",N586,0)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22">
        <f>IF(K586=1,'ORDENES'!$J582,"")</f>
        <v/>
      </c>
    </row>
    <row r="587">
      <c r="K587" s="5">
        <f>IF(AND(IF($B$3="(todos)",TRUE,'ORDENES'!$O583=$B$3),IF($D$3="(todos)",TRUE,'ORDENES'!$AH583=$D$3),IF($F$3="(todos)",TRUE,'ORDENES'!$Z583=$F$3),IF($H$3="(todos)",TRUE,'ORDENES'!$Y583=$H$3),'ORDENES'!$AF583=TRUE,'ORDENES'!$A583&lt;&gt;""),1,0)</f>
        <v/>
      </c>
      <c r="L587" s="5">
        <f>IF(K587=1,IFERROR(MATCH('ORDENES'!$S583,lista_dias,0),9)*1000000000+IFERROR(MATCH('ORDENES'!$AH583,lista_turnos,0),9)*10000000+IFERROR(MATCH('ORDENES'!$AG583,tblTecnicos[nombre],0),99)*100000+580,9000000000000+580)</f>
        <v/>
      </c>
      <c r="M587" s="5">
        <f>IF(K587=1,SUMPRODUCT(--($L$8:$L$1207&lt;L587))+1,"")</f>
        <v/>
      </c>
      <c r="N587" s="17">
        <f>IF(K587=1,N('ORDENES'!$M583),0)</f>
        <v/>
      </c>
      <c r="O587" s="17">
        <f>IF('ORDENES'!$U583="preventiva",N587,0)</f>
        <v/>
      </c>
      <c r="P587" s="17">
        <f>IF('ORDENES'!$U583="correctiva",N587,0)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22">
        <f>IF(K587=1,'ORDENES'!$J583,"")</f>
        <v/>
      </c>
    </row>
    <row r="588">
      <c r="K588" s="5">
        <f>IF(AND(IF($B$3="(todos)",TRUE,'ORDENES'!$O584=$B$3),IF($D$3="(todos)",TRUE,'ORDENES'!$AH584=$D$3),IF($F$3="(todos)",TRUE,'ORDENES'!$Z584=$F$3),IF($H$3="(todos)",TRUE,'ORDENES'!$Y584=$H$3),'ORDENES'!$AF584=TRUE,'ORDENES'!$A584&lt;&gt;""),1,0)</f>
        <v/>
      </c>
      <c r="L588" s="5">
        <f>IF(K588=1,IFERROR(MATCH('ORDENES'!$S584,lista_dias,0),9)*1000000000+IFERROR(MATCH('ORDENES'!$AH584,lista_turnos,0),9)*10000000+IFERROR(MATCH('ORDENES'!$AG584,tblTecnicos[nombre],0),99)*100000+581,9000000000000+581)</f>
        <v/>
      </c>
      <c r="M588" s="5">
        <f>IF(K588=1,SUMPRODUCT(--($L$8:$L$1207&lt;L588))+1,"")</f>
        <v/>
      </c>
      <c r="N588" s="17">
        <f>IF(K588=1,N('ORDENES'!$M584),0)</f>
        <v/>
      </c>
      <c r="O588" s="17">
        <f>IF('ORDENES'!$U584="preventiva",N588,0)</f>
        <v/>
      </c>
      <c r="P588" s="17">
        <f>IF('ORDENES'!$U584="correctiva",N588,0)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22">
        <f>IF(K588=1,'ORDENES'!$J584,"")</f>
        <v/>
      </c>
    </row>
    <row r="589">
      <c r="K589" s="5">
        <f>IF(AND(IF($B$3="(todos)",TRUE,'ORDENES'!$O585=$B$3),IF($D$3="(todos)",TRUE,'ORDENES'!$AH585=$D$3),IF($F$3="(todos)",TRUE,'ORDENES'!$Z585=$F$3),IF($H$3="(todos)",TRUE,'ORDENES'!$Y585=$H$3),'ORDENES'!$AF585=TRUE,'ORDENES'!$A585&lt;&gt;""),1,0)</f>
        <v/>
      </c>
      <c r="L589" s="5">
        <f>IF(K589=1,IFERROR(MATCH('ORDENES'!$S585,lista_dias,0),9)*1000000000+IFERROR(MATCH('ORDENES'!$AH585,lista_turnos,0),9)*10000000+IFERROR(MATCH('ORDENES'!$AG585,tblTecnicos[nombre],0),99)*100000+582,9000000000000+582)</f>
        <v/>
      </c>
      <c r="M589" s="5">
        <f>IF(K589=1,SUMPRODUCT(--($L$8:$L$1207&lt;L589))+1,"")</f>
        <v/>
      </c>
      <c r="N589" s="17">
        <f>IF(K589=1,N('ORDENES'!$M585),0)</f>
        <v/>
      </c>
      <c r="O589" s="17">
        <f>IF('ORDENES'!$U585="preventiva",N589,0)</f>
        <v/>
      </c>
      <c r="P589" s="17">
        <f>IF('ORDENES'!$U585="correctiva",N589,0)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22">
        <f>IF(K589=1,'ORDENES'!$J585,"")</f>
        <v/>
      </c>
    </row>
    <row r="590">
      <c r="K590" s="5">
        <f>IF(AND(IF($B$3="(todos)",TRUE,'ORDENES'!$O586=$B$3),IF($D$3="(todos)",TRUE,'ORDENES'!$AH586=$D$3),IF($F$3="(todos)",TRUE,'ORDENES'!$Z586=$F$3),IF($H$3="(todos)",TRUE,'ORDENES'!$Y586=$H$3),'ORDENES'!$AF586=TRUE,'ORDENES'!$A586&lt;&gt;""),1,0)</f>
        <v/>
      </c>
      <c r="L590" s="5">
        <f>IF(K590=1,IFERROR(MATCH('ORDENES'!$S586,lista_dias,0),9)*1000000000+IFERROR(MATCH('ORDENES'!$AH586,lista_turnos,0),9)*10000000+IFERROR(MATCH('ORDENES'!$AG586,tblTecnicos[nombre],0),99)*100000+583,9000000000000+583)</f>
        <v/>
      </c>
      <c r="M590" s="5">
        <f>IF(K590=1,SUMPRODUCT(--($L$8:$L$1207&lt;L590))+1,"")</f>
        <v/>
      </c>
      <c r="N590" s="17">
        <f>IF(K590=1,N('ORDENES'!$M586),0)</f>
        <v/>
      </c>
      <c r="O590" s="17">
        <f>IF('ORDENES'!$U586="preventiva",N590,0)</f>
        <v/>
      </c>
      <c r="P590" s="17">
        <f>IF('ORDENES'!$U586="correctiva",N590,0)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22">
        <f>IF(K590=1,'ORDENES'!$J586,"")</f>
        <v/>
      </c>
    </row>
    <row r="591">
      <c r="K591" s="5">
        <f>IF(AND(IF($B$3="(todos)",TRUE,'ORDENES'!$O587=$B$3),IF($D$3="(todos)",TRUE,'ORDENES'!$AH587=$D$3),IF($F$3="(todos)",TRUE,'ORDENES'!$Z587=$F$3),IF($H$3="(todos)",TRUE,'ORDENES'!$Y587=$H$3),'ORDENES'!$AF587=TRUE,'ORDENES'!$A587&lt;&gt;""),1,0)</f>
        <v/>
      </c>
      <c r="L591" s="5">
        <f>IF(K591=1,IFERROR(MATCH('ORDENES'!$S587,lista_dias,0),9)*1000000000+IFERROR(MATCH('ORDENES'!$AH587,lista_turnos,0),9)*10000000+IFERROR(MATCH('ORDENES'!$AG587,tblTecnicos[nombre],0),99)*100000+584,9000000000000+584)</f>
        <v/>
      </c>
      <c r="M591" s="5">
        <f>IF(K591=1,SUMPRODUCT(--($L$8:$L$1207&lt;L591))+1,"")</f>
        <v/>
      </c>
      <c r="N591" s="17">
        <f>IF(K591=1,N('ORDENES'!$M587),0)</f>
        <v/>
      </c>
      <c r="O591" s="17">
        <f>IF('ORDENES'!$U587="preventiva",N591,0)</f>
        <v/>
      </c>
      <c r="P591" s="17">
        <f>IF('ORDENES'!$U587="correctiva",N591,0)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22">
        <f>IF(K591=1,'ORDENES'!$J587,"")</f>
        <v/>
      </c>
    </row>
    <row r="592">
      <c r="K592" s="5">
        <f>IF(AND(IF($B$3="(todos)",TRUE,'ORDENES'!$O588=$B$3),IF($D$3="(todos)",TRUE,'ORDENES'!$AH588=$D$3),IF($F$3="(todos)",TRUE,'ORDENES'!$Z588=$F$3),IF($H$3="(todos)",TRUE,'ORDENES'!$Y588=$H$3),'ORDENES'!$AF588=TRUE,'ORDENES'!$A588&lt;&gt;""),1,0)</f>
        <v/>
      </c>
      <c r="L592" s="5">
        <f>IF(K592=1,IFERROR(MATCH('ORDENES'!$S588,lista_dias,0),9)*1000000000+IFERROR(MATCH('ORDENES'!$AH588,lista_turnos,0),9)*10000000+IFERROR(MATCH('ORDENES'!$AG588,tblTecnicos[nombre],0),99)*100000+585,9000000000000+585)</f>
        <v/>
      </c>
      <c r="M592" s="5">
        <f>IF(K592=1,SUMPRODUCT(--($L$8:$L$1207&lt;L592))+1,"")</f>
        <v/>
      </c>
      <c r="N592" s="17">
        <f>IF(K592=1,N('ORDENES'!$M588),0)</f>
        <v/>
      </c>
      <c r="O592" s="17">
        <f>IF('ORDENES'!$U588="preventiva",N592,0)</f>
        <v/>
      </c>
      <c r="P592" s="17">
        <f>IF('ORDENES'!$U588="correctiva",N592,0)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22">
        <f>IF(K592=1,'ORDENES'!$J588,"")</f>
        <v/>
      </c>
    </row>
    <row r="593">
      <c r="K593" s="5">
        <f>IF(AND(IF($B$3="(todos)",TRUE,'ORDENES'!$O589=$B$3),IF($D$3="(todos)",TRUE,'ORDENES'!$AH589=$D$3),IF($F$3="(todos)",TRUE,'ORDENES'!$Z589=$F$3),IF($H$3="(todos)",TRUE,'ORDENES'!$Y589=$H$3),'ORDENES'!$AF589=TRUE,'ORDENES'!$A589&lt;&gt;""),1,0)</f>
        <v/>
      </c>
      <c r="L593" s="5">
        <f>IF(K593=1,IFERROR(MATCH('ORDENES'!$S589,lista_dias,0),9)*1000000000+IFERROR(MATCH('ORDENES'!$AH589,lista_turnos,0),9)*10000000+IFERROR(MATCH('ORDENES'!$AG589,tblTecnicos[nombre],0),99)*100000+586,9000000000000+586)</f>
        <v/>
      </c>
      <c r="M593" s="5">
        <f>IF(K593=1,SUMPRODUCT(--($L$8:$L$1207&lt;L593))+1,"")</f>
        <v/>
      </c>
      <c r="N593" s="17">
        <f>IF(K593=1,N('ORDENES'!$M589),0)</f>
        <v/>
      </c>
      <c r="O593" s="17">
        <f>IF('ORDENES'!$U589="preventiva",N593,0)</f>
        <v/>
      </c>
      <c r="P593" s="17">
        <f>IF('ORDENES'!$U589="correctiva",N593,0)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22">
        <f>IF(K593=1,'ORDENES'!$J589,"")</f>
        <v/>
      </c>
    </row>
    <row r="594">
      <c r="K594" s="5">
        <f>IF(AND(IF($B$3="(todos)",TRUE,'ORDENES'!$O590=$B$3),IF($D$3="(todos)",TRUE,'ORDENES'!$AH590=$D$3),IF($F$3="(todos)",TRUE,'ORDENES'!$Z590=$F$3),IF($H$3="(todos)",TRUE,'ORDENES'!$Y590=$H$3),'ORDENES'!$AF590=TRUE,'ORDENES'!$A590&lt;&gt;""),1,0)</f>
        <v/>
      </c>
      <c r="L594" s="5">
        <f>IF(K594=1,IFERROR(MATCH('ORDENES'!$S590,lista_dias,0),9)*1000000000+IFERROR(MATCH('ORDENES'!$AH590,lista_turnos,0),9)*10000000+IFERROR(MATCH('ORDENES'!$AG590,tblTecnicos[nombre],0),99)*100000+587,9000000000000+587)</f>
        <v/>
      </c>
      <c r="M594" s="5">
        <f>IF(K594=1,SUMPRODUCT(--($L$8:$L$1207&lt;L594))+1,"")</f>
        <v/>
      </c>
      <c r="N594" s="17">
        <f>IF(K594=1,N('ORDENES'!$M590),0)</f>
        <v/>
      </c>
      <c r="O594" s="17">
        <f>IF('ORDENES'!$U590="preventiva",N594,0)</f>
        <v/>
      </c>
      <c r="P594" s="17">
        <f>IF('ORDENES'!$U590="correctiva",N594,0)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22">
        <f>IF(K594=1,'ORDENES'!$J590,"")</f>
        <v/>
      </c>
    </row>
    <row r="595">
      <c r="K595" s="5">
        <f>IF(AND(IF($B$3="(todos)",TRUE,'ORDENES'!$O591=$B$3),IF($D$3="(todos)",TRUE,'ORDENES'!$AH591=$D$3),IF($F$3="(todos)",TRUE,'ORDENES'!$Z591=$F$3),IF($H$3="(todos)",TRUE,'ORDENES'!$Y591=$H$3),'ORDENES'!$AF591=TRUE,'ORDENES'!$A591&lt;&gt;""),1,0)</f>
        <v/>
      </c>
      <c r="L595" s="5">
        <f>IF(K595=1,IFERROR(MATCH('ORDENES'!$S591,lista_dias,0),9)*1000000000+IFERROR(MATCH('ORDENES'!$AH591,lista_turnos,0),9)*10000000+IFERROR(MATCH('ORDENES'!$AG591,tblTecnicos[nombre],0),99)*100000+588,9000000000000+588)</f>
        <v/>
      </c>
      <c r="M595" s="5">
        <f>IF(K595=1,SUMPRODUCT(--($L$8:$L$1207&lt;L595))+1,"")</f>
        <v/>
      </c>
      <c r="N595" s="17">
        <f>IF(K595=1,N('ORDENES'!$M591),0)</f>
        <v/>
      </c>
      <c r="O595" s="17">
        <f>IF('ORDENES'!$U591="preventiva",N595,0)</f>
        <v/>
      </c>
      <c r="P595" s="17">
        <f>IF('ORDENES'!$U591="correctiva",N595,0)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22">
        <f>IF(K595=1,'ORDENES'!$J591,"")</f>
        <v/>
      </c>
    </row>
    <row r="596">
      <c r="K596" s="5">
        <f>IF(AND(IF($B$3="(todos)",TRUE,'ORDENES'!$O592=$B$3),IF($D$3="(todos)",TRUE,'ORDENES'!$AH592=$D$3),IF($F$3="(todos)",TRUE,'ORDENES'!$Z592=$F$3),IF($H$3="(todos)",TRUE,'ORDENES'!$Y592=$H$3),'ORDENES'!$AF592=TRUE,'ORDENES'!$A592&lt;&gt;""),1,0)</f>
        <v/>
      </c>
      <c r="L596" s="5">
        <f>IF(K596=1,IFERROR(MATCH('ORDENES'!$S592,lista_dias,0),9)*1000000000+IFERROR(MATCH('ORDENES'!$AH592,lista_turnos,0),9)*10000000+IFERROR(MATCH('ORDENES'!$AG592,tblTecnicos[nombre],0),99)*100000+589,9000000000000+589)</f>
        <v/>
      </c>
      <c r="M596" s="5">
        <f>IF(K596=1,SUMPRODUCT(--($L$8:$L$1207&lt;L596))+1,"")</f>
        <v/>
      </c>
      <c r="N596" s="17">
        <f>IF(K596=1,N('ORDENES'!$M592),0)</f>
        <v/>
      </c>
      <c r="O596" s="17">
        <f>IF('ORDENES'!$U592="preventiva",N596,0)</f>
        <v/>
      </c>
      <c r="P596" s="17">
        <f>IF('ORDENES'!$U592="correctiva",N596,0)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22">
        <f>IF(K596=1,'ORDENES'!$J592,"")</f>
        <v/>
      </c>
    </row>
    <row r="597">
      <c r="K597" s="5">
        <f>IF(AND(IF($B$3="(todos)",TRUE,'ORDENES'!$O593=$B$3),IF($D$3="(todos)",TRUE,'ORDENES'!$AH593=$D$3),IF($F$3="(todos)",TRUE,'ORDENES'!$Z593=$F$3),IF($H$3="(todos)",TRUE,'ORDENES'!$Y593=$H$3),'ORDENES'!$AF593=TRUE,'ORDENES'!$A593&lt;&gt;""),1,0)</f>
        <v/>
      </c>
      <c r="L597" s="5">
        <f>IF(K597=1,IFERROR(MATCH('ORDENES'!$S593,lista_dias,0),9)*1000000000+IFERROR(MATCH('ORDENES'!$AH593,lista_turnos,0),9)*10000000+IFERROR(MATCH('ORDENES'!$AG593,tblTecnicos[nombre],0),99)*100000+590,9000000000000+590)</f>
        <v/>
      </c>
      <c r="M597" s="5">
        <f>IF(K597=1,SUMPRODUCT(--($L$8:$L$1207&lt;L597))+1,"")</f>
        <v/>
      </c>
      <c r="N597" s="17">
        <f>IF(K597=1,N('ORDENES'!$M593),0)</f>
        <v/>
      </c>
      <c r="O597" s="17">
        <f>IF('ORDENES'!$U593="preventiva",N597,0)</f>
        <v/>
      </c>
      <c r="P597" s="17">
        <f>IF('ORDENES'!$U593="correctiva",N597,0)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22">
        <f>IF(K597=1,'ORDENES'!$J593,"")</f>
        <v/>
      </c>
    </row>
    <row r="598">
      <c r="K598" s="5">
        <f>IF(AND(IF($B$3="(todos)",TRUE,'ORDENES'!$O594=$B$3),IF($D$3="(todos)",TRUE,'ORDENES'!$AH594=$D$3),IF($F$3="(todos)",TRUE,'ORDENES'!$Z594=$F$3),IF($H$3="(todos)",TRUE,'ORDENES'!$Y594=$H$3),'ORDENES'!$AF594=TRUE,'ORDENES'!$A594&lt;&gt;""),1,0)</f>
        <v/>
      </c>
      <c r="L598" s="5">
        <f>IF(K598=1,IFERROR(MATCH('ORDENES'!$S594,lista_dias,0),9)*1000000000+IFERROR(MATCH('ORDENES'!$AH594,lista_turnos,0),9)*10000000+IFERROR(MATCH('ORDENES'!$AG594,tblTecnicos[nombre],0),99)*100000+591,9000000000000+591)</f>
        <v/>
      </c>
      <c r="M598" s="5">
        <f>IF(K598=1,SUMPRODUCT(--($L$8:$L$1207&lt;L598))+1,"")</f>
        <v/>
      </c>
      <c r="N598" s="17">
        <f>IF(K598=1,N('ORDENES'!$M594),0)</f>
        <v/>
      </c>
      <c r="O598" s="17">
        <f>IF('ORDENES'!$U594="preventiva",N598,0)</f>
        <v/>
      </c>
      <c r="P598" s="17">
        <f>IF('ORDENES'!$U594="correctiva",N598,0)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22">
        <f>IF(K598=1,'ORDENES'!$J594,"")</f>
        <v/>
      </c>
    </row>
    <row r="599">
      <c r="K599" s="5">
        <f>IF(AND(IF($B$3="(todos)",TRUE,'ORDENES'!$O595=$B$3),IF($D$3="(todos)",TRUE,'ORDENES'!$AH595=$D$3),IF($F$3="(todos)",TRUE,'ORDENES'!$Z595=$F$3),IF($H$3="(todos)",TRUE,'ORDENES'!$Y595=$H$3),'ORDENES'!$AF595=TRUE,'ORDENES'!$A595&lt;&gt;""),1,0)</f>
        <v/>
      </c>
      <c r="L599" s="5">
        <f>IF(K599=1,IFERROR(MATCH('ORDENES'!$S595,lista_dias,0),9)*1000000000+IFERROR(MATCH('ORDENES'!$AH595,lista_turnos,0),9)*10000000+IFERROR(MATCH('ORDENES'!$AG595,tblTecnicos[nombre],0),99)*100000+592,9000000000000+592)</f>
        <v/>
      </c>
      <c r="M599" s="5">
        <f>IF(K599=1,SUMPRODUCT(--($L$8:$L$1207&lt;L599))+1,"")</f>
        <v/>
      </c>
      <c r="N599" s="17">
        <f>IF(K599=1,N('ORDENES'!$M595),0)</f>
        <v/>
      </c>
      <c r="O599" s="17">
        <f>IF('ORDENES'!$U595="preventiva",N599,0)</f>
        <v/>
      </c>
      <c r="P599" s="17">
        <f>IF('ORDENES'!$U595="correctiva",N599,0)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22">
        <f>IF(K599=1,'ORDENES'!$J595,"")</f>
        <v/>
      </c>
    </row>
    <row r="600">
      <c r="K600" s="5">
        <f>IF(AND(IF($B$3="(todos)",TRUE,'ORDENES'!$O596=$B$3),IF($D$3="(todos)",TRUE,'ORDENES'!$AH596=$D$3),IF($F$3="(todos)",TRUE,'ORDENES'!$Z596=$F$3),IF($H$3="(todos)",TRUE,'ORDENES'!$Y596=$H$3),'ORDENES'!$AF596=TRUE,'ORDENES'!$A596&lt;&gt;""),1,0)</f>
        <v/>
      </c>
      <c r="L600" s="5">
        <f>IF(K600=1,IFERROR(MATCH('ORDENES'!$S596,lista_dias,0),9)*1000000000+IFERROR(MATCH('ORDENES'!$AH596,lista_turnos,0),9)*10000000+IFERROR(MATCH('ORDENES'!$AG596,tblTecnicos[nombre],0),99)*100000+593,9000000000000+593)</f>
        <v/>
      </c>
      <c r="M600" s="5">
        <f>IF(K600=1,SUMPRODUCT(--($L$8:$L$1207&lt;L600))+1,"")</f>
        <v/>
      </c>
      <c r="N600" s="17">
        <f>IF(K600=1,N('ORDENES'!$M596),0)</f>
        <v/>
      </c>
      <c r="O600" s="17">
        <f>IF('ORDENES'!$U596="preventiva",N600,0)</f>
        <v/>
      </c>
      <c r="P600" s="17">
        <f>IF('ORDENES'!$U596="correctiva",N600,0)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22">
        <f>IF(K600=1,'ORDENES'!$J596,"")</f>
        <v/>
      </c>
    </row>
    <row r="601">
      <c r="K601" s="5">
        <f>IF(AND(IF($B$3="(todos)",TRUE,'ORDENES'!$O597=$B$3),IF($D$3="(todos)",TRUE,'ORDENES'!$AH597=$D$3),IF($F$3="(todos)",TRUE,'ORDENES'!$Z597=$F$3),IF($H$3="(todos)",TRUE,'ORDENES'!$Y597=$H$3),'ORDENES'!$AF597=TRUE,'ORDENES'!$A597&lt;&gt;""),1,0)</f>
        <v/>
      </c>
      <c r="L601" s="5">
        <f>IF(K601=1,IFERROR(MATCH('ORDENES'!$S597,lista_dias,0),9)*1000000000+IFERROR(MATCH('ORDENES'!$AH597,lista_turnos,0),9)*10000000+IFERROR(MATCH('ORDENES'!$AG597,tblTecnicos[nombre],0),99)*100000+594,9000000000000+594)</f>
        <v/>
      </c>
      <c r="M601" s="5">
        <f>IF(K601=1,SUMPRODUCT(--($L$8:$L$1207&lt;L601))+1,"")</f>
        <v/>
      </c>
      <c r="N601" s="17">
        <f>IF(K601=1,N('ORDENES'!$M597),0)</f>
        <v/>
      </c>
      <c r="O601" s="17">
        <f>IF('ORDENES'!$U597="preventiva",N601,0)</f>
        <v/>
      </c>
      <c r="P601" s="17">
        <f>IF('ORDENES'!$U597="correctiva",N601,0)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22">
        <f>IF(K601=1,'ORDENES'!$J597,"")</f>
        <v/>
      </c>
    </row>
    <row r="602">
      <c r="K602" s="5">
        <f>IF(AND(IF($B$3="(todos)",TRUE,'ORDENES'!$O598=$B$3),IF($D$3="(todos)",TRUE,'ORDENES'!$AH598=$D$3),IF($F$3="(todos)",TRUE,'ORDENES'!$Z598=$F$3),IF($H$3="(todos)",TRUE,'ORDENES'!$Y598=$H$3),'ORDENES'!$AF598=TRUE,'ORDENES'!$A598&lt;&gt;""),1,0)</f>
        <v/>
      </c>
      <c r="L602" s="5">
        <f>IF(K602=1,IFERROR(MATCH('ORDENES'!$S598,lista_dias,0),9)*1000000000+IFERROR(MATCH('ORDENES'!$AH598,lista_turnos,0),9)*10000000+IFERROR(MATCH('ORDENES'!$AG598,tblTecnicos[nombre],0),99)*100000+595,9000000000000+595)</f>
        <v/>
      </c>
      <c r="M602" s="5">
        <f>IF(K602=1,SUMPRODUCT(--($L$8:$L$1207&lt;L602))+1,"")</f>
        <v/>
      </c>
      <c r="N602" s="17">
        <f>IF(K602=1,N('ORDENES'!$M598),0)</f>
        <v/>
      </c>
      <c r="O602" s="17">
        <f>IF('ORDENES'!$U598="preventiva",N602,0)</f>
        <v/>
      </c>
      <c r="P602" s="17">
        <f>IF('ORDENES'!$U598="correctiva",N602,0)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22">
        <f>IF(K602=1,'ORDENES'!$J598,"")</f>
        <v/>
      </c>
    </row>
    <row r="603">
      <c r="K603" s="5">
        <f>IF(AND(IF($B$3="(todos)",TRUE,'ORDENES'!$O599=$B$3),IF($D$3="(todos)",TRUE,'ORDENES'!$AH599=$D$3),IF($F$3="(todos)",TRUE,'ORDENES'!$Z599=$F$3),IF($H$3="(todos)",TRUE,'ORDENES'!$Y599=$H$3),'ORDENES'!$AF599=TRUE,'ORDENES'!$A599&lt;&gt;""),1,0)</f>
        <v/>
      </c>
      <c r="L603" s="5">
        <f>IF(K603=1,IFERROR(MATCH('ORDENES'!$S599,lista_dias,0),9)*1000000000+IFERROR(MATCH('ORDENES'!$AH599,lista_turnos,0),9)*10000000+IFERROR(MATCH('ORDENES'!$AG599,tblTecnicos[nombre],0),99)*100000+596,9000000000000+596)</f>
        <v/>
      </c>
      <c r="M603" s="5">
        <f>IF(K603=1,SUMPRODUCT(--($L$8:$L$1207&lt;L603))+1,"")</f>
        <v/>
      </c>
      <c r="N603" s="17">
        <f>IF(K603=1,N('ORDENES'!$M599),0)</f>
        <v/>
      </c>
      <c r="O603" s="17">
        <f>IF('ORDENES'!$U599="preventiva",N603,0)</f>
        <v/>
      </c>
      <c r="P603" s="17">
        <f>IF('ORDENES'!$U599="correctiva",N603,0)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22">
        <f>IF(K603=1,'ORDENES'!$J599,"")</f>
        <v/>
      </c>
    </row>
    <row r="604">
      <c r="K604" s="5">
        <f>IF(AND(IF($B$3="(todos)",TRUE,'ORDENES'!$O600=$B$3),IF($D$3="(todos)",TRUE,'ORDENES'!$AH600=$D$3),IF($F$3="(todos)",TRUE,'ORDENES'!$Z600=$F$3),IF($H$3="(todos)",TRUE,'ORDENES'!$Y600=$H$3),'ORDENES'!$AF600=TRUE,'ORDENES'!$A600&lt;&gt;""),1,0)</f>
        <v/>
      </c>
      <c r="L604" s="5">
        <f>IF(K604=1,IFERROR(MATCH('ORDENES'!$S600,lista_dias,0),9)*1000000000+IFERROR(MATCH('ORDENES'!$AH600,lista_turnos,0),9)*10000000+IFERROR(MATCH('ORDENES'!$AG600,tblTecnicos[nombre],0),99)*100000+597,9000000000000+597)</f>
        <v/>
      </c>
      <c r="M604" s="5">
        <f>IF(K604=1,SUMPRODUCT(--($L$8:$L$1207&lt;L604))+1,"")</f>
        <v/>
      </c>
      <c r="N604" s="17">
        <f>IF(K604=1,N('ORDENES'!$M600),0)</f>
        <v/>
      </c>
      <c r="O604" s="17">
        <f>IF('ORDENES'!$U600="preventiva",N604,0)</f>
        <v/>
      </c>
      <c r="P604" s="17">
        <f>IF('ORDENES'!$U600="correctiva",N604,0)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22">
        <f>IF(K604=1,'ORDENES'!$J600,"")</f>
        <v/>
      </c>
    </row>
    <row r="605">
      <c r="K605" s="5">
        <f>IF(AND(IF($B$3="(todos)",TRUE,'ORDENES'!$O601=$B$3),IF($D$3="(todos)",TRUE,'ORDENES'!$AH601=$D$3),IF($F$3="(todos)",TRUE,'ORDENES'!$Z601=$F$3),IF($H$3="(todos)",TRUE,'ORDENES'!$Y601=$H$3),'ORDENES'!$AF601=TRUE,'ORDENES'!$A601&lt;&gt;""),1,0)</f>
        <v/>
      </c>
      <c r="L605" s="5">
        <f>IF(K605=1,IFERROR(MATCH('ORDENES'!$S601,lista_dias,0),9)*1000000000+IFERROR(MATCH('ORDENES'!$AH601,lista_turnos,0),9)*10000000+IFERROR(MATCH('ORDENES'!$AG601,tblTecnicos[nombre],0),99)*100000+598,9000000000000+598)</f>
        <v/>
      </c>
      <c r="M605" s="5">
        <f>IF(K605=1,SUMPRODUCT(--($L$8:$L$1207&lt;L605))+1,"")</f>
        <v/>
      </c>
      <c r="N605" s="17">
        <f>IF(K605=1,N('ORDENES'!$M601),0)</f>
        <v/>
      </c>
      <c r="O605" s="17">
        <f>IF('ORDENES'!$U601="preventiva",N605,0)</f>
        <v/>
      </c>
      <c r="P605" s="17">
        <f>IF('ORDENES'!$U601="correctiva",N605,0)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22">
        <f>IF(K605=1,'ORDENES'!$J601,"")</f>
        <v/>
      </c>
    </row>
    <row r="606">
      <c r="K606" s="5">
        <f>IF(AND(IF($B$3="(todos)",TRUE,'ORDENES'!$O602=$B$3),IF($D$3="(todos)",TRUE,'ORDENES'!$AH602=$D$3),IF($F$3="(todos)",TRUE,'ORDENES'!$Z602=$F$3),IF($H$3="(todos)",TRUE,'ORDENES'!$Y602=$H$3),'ORDENES'!$AF602=TRUE,'ORDENES'!$A602&lt;&gt;""),1,0)</f>
        <v/>
      </c>
      <c r="L606" s="5">
        <f>IF(K606=1,IFERROR(MATCH('ORDENES'!$S602,lista_dias,0),9)*1000000000+IFERROR(MATCH('ORDENES'!$AH602,lista_turnos,0),9)*10000000+IFERROR(MATCH('ORDENES'!$AG602,tblTecnicos[nombre],0),99)*100000+599,9000000000000+599)</f>
        <v/>
      </c>
      <c r="M606" s="5">
        <f>IF(K606=1,SUMPRODUCT(--($L$8:$L$1207&lt;L606))+1,"")</f>
        <v/>
      </c>
      <c r="N606" s="17">
        <f>IF(K606=1,N('ORDENES'!$M602),0)</f>
        <v/>
      </c>
      <c r="O606" s="17">
        <f>IF('ORDENES'!$U602="preventiva",N606,0)</f>
        <v/>
      </c>
      <c r="P606" s="17">
        <f>IF('ORDENES'!$U602="correctiva",N606,0)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22">
        <f>IF(K606=1,'ORDENES'!$J602,"")</f>
        <v/>
      </c>
    </row>
    <row r="607">
      <c r="K607" s="5">
        <f>IF(AND(IF($B$3="(todos)",TRUE,'ORDENES'!$O603=$B$3),IF($D$3="(todos)",TRUE,'ORDENES'!$AH603=$D$3),IF($F$3="(todos)",TRUE,'ORDENES'!$Z603=$F$3),IF($H$3="(todos)",TRUE,'ORDENES'!$Y603=$H$3),'ORDENES'!$AF603=TRUE,'ORDENES'!$A603&lt;&gt;""),1,0)</f>
        <v/>
      </c>
      <c r="L607" s="5">
        <f>IF(K607=1,IFERROR(MATCH('ORDENES'!$S603,lista_dias,0),9)*1000000000+IFERROR(MATCH('ORDENES'!$AH603,lista_turnos,0),9)*10000000+IFERROR(MATCH('ORDENES'!$AG603,tblTecnicos[nombre],0),99)*100000+600,9000000000000+600)</f>
        <v/>
      </c>
      <c r="M607" s="5">
        <f>IF(K607=1,SUMPRODUCT(--($L$8:$L$1207&lt;L607))+1,"")</f>
        <v/>
      </c>
      <c r="N607" s="17">
        <f>IF(K607=1,N('ORDENES'!$M603),0)</f>
        <v/>
      </c>
      <c r="O607" s="17">
        <f>IF('ORDENES'!$U603="preventiva",N607,0)</f>
        <v/>
      </c>
      <c r="P607" s="17">
        <f>IF('ORDENES'!$U603="correctiva",N607,0)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22">
        <f>IF(K607=1,'ORDENES'!$J603,"")</f>
        <v/>
      </c>
    </row>
    <row r="608">
      <c r="K608" s="5">
        <f>IF(AND(IF($B$3="(todos)",TRUE,'ORDENES'!$O604=$B$3),IF($D$3="(todos)",TRUE,'ORDENES'!$AH604=$D$3),IF($F$3="(todos)",TRUE,'ORDENES'!$Z604=$F$3),IF($H$3="(todos)",TRUE,'ORDENES'!$Y604=$H$3),'ORDENES'!$AF604=TRUE,'ORDENES'!$A604&lt;&gt;""),1,0)</f>
        <v/>
      </c>
      <c r="L608" s="5">
        <f>IF(K608=1,IFERROR(MATCH('ORDENES'!$S604,lista_dias,0),9)*1000000000+IFERROR(MATCH('ORDENES'!$AH604,lista_turnos,0),9)*10000000+IFERROR(MATCH('ORDENES'!$AG604,tblTecnicos[nombre],0),99)*100000+601,9000000000000+601)</f>
        <v/>
      </c>
      <c r="M608" s="5">
        <f>IF(K608=1,SUMPRODUCT(--($L$8:$L$1207&lt;L608))+1,"")</f>
        <v/>
      </c>
      <c r="N608" s="17">
        <f>IF(K608=1,N('ORDENES'!$M604),0)</f>
        <v/>
      </c>
      <c r="O608" s="17">
        <f>IF('ORDENES'!$U604="preventiva",N608,0)</f>
        <v/>
      </c>
      <c r="P608" s="17">
        <f>IF('ORDENES'!$U604="correctiva",N608,0)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22">
        <f>IF(K608=1,'ORDENES'!$J604,"")</f>
        <v/>
      </c>
    </row>
    <row r="609">
      <c r="K609" s="5">
        <f>IF(AND(IF($B$3="(todos)",TRUE,'ORDENES'!$O605=$B$3),IF($D$3="(todos)",TRUE,'ORDENES'!$AH605=$D$3),IF($F$3="(todos)",TRUE,'ORDENES'!$Z605=$F$3),IF($H$3="(todos)",TRUE,'ORDENES'!$Y605=$H$3),'ORDENES'!$AF605=TRUE,'ORDENES'!$A605&lt;&gt;""),1,0)</f>
        <v/>
      </c>
      <c r="L609" s="5">
        <f>IF(K609=1,IFERROR(MATCH('ORDENES'!$S605,lista_dias,0),9)*1000000000+IFERROR(MATCH('ORDENES'!$AH605,lista_turnos,0),9)*10000000+IFERROR(MATCH('ORDENES'!$AG605,tblTecnicos[nombre],0),99)*100000+602,9000000000000+602)</f>
        <v/>
      </c>
      <c r="M609" s="5">
        <f>IF(K609=1,SUMPRODUCT(--($L$8:$L$1207&lt;L609))+1,"")</f>
        <v/>
      </c>
      <c r="N609" s="17">
        <f>IF(K609=1,N('ORDENES'!$M605),0)</f>
        <v/>
      </c>
      <c r="O609" s="17">
        <f>IF('ORDENES'!$U605="preventiva",N609,0)</f>
        <v/>
      </c>
      <c r="P609" s="17">
        <f>IF('ORDENES'!$U605="correctiva",N609,0)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22">
        <f>IF(K609=1,'ORDENES'!$J605,"")</f>
        <v/>
      </c>
    </row>
    <row r="610">
      <c r="K610" s="5">
        <f>IF(AND(IF($B$3="(todos)",TRUE,'ORDENES'!$O606=$B$3),IF($D$3="(todos)",TRUE,'ORDENES'!$AH606=$D$3),IF($F$3="(todos)",TRUE,'ORDENES'!$Z606=$F$3),IF($H$3="(todos)",TRUE,'ORDENES'!$Y606=$H$3),'ORDENES'!$AF606=TRUE,'ORDENES'!$A606&lt;&gt;""),1,0)</f>
        <v/>
      </c>
      <c r="L610" s="5">
        <f>IF(K610=1,IFERROR(MATCH('ORDENES'!$S606,lista_dias,0),9)*1000000000+IFERROR(MATCH('ORDENES'!$AH606,lista_turnos,0),9)*10000000+IFERROR(MATCH('ORDENES'!$AG606,tblTecnicos[nombre],0),99)*100000+603,9000000000000+603)</f>
        <v/>
      </c>
      <c r="M610" s="5">
        <f>IF(K610=1,SUMPRODUCT(--($L$8:$L$1207&lt;L610))+1,"")</f>
        <v/>
      </c>
      <c r="N610" s="17">
        <f>IF(K610=1,N('ORDENES'!$M606),0)</f>
        <v/>
      </c>
      <c r="O610" s="17">
        <f>IF('ORDENES'!$U606="preventiva",N610,0)</f>
        <v/>
      </c>
      <c r="P610" s="17">
        <f>IF('ORDENES'!$U606="correctiva",N610,0)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22">
        <f>IF(K610=1,'ORDENES'!$J606,"")</f>
        <v/>
      </c>
    </row>
    <row r="611">
      <c r="K611" s="5">
        <f>IF(AND(IF($B$3="(todos)",TRUE,'ORDENES'!$O607=$B$3),IF($D$3="(todos)",TRUE,'ORDENES'!$AH607=$D$3),IF($F$3="(todos)",TRUE,'ORDENES'!$Z607=$F$3),IF($H$3="(todos)",TRUE,'ORDENES'!$Y607=$H$3),'ORDENES'!$AF607=TRUE,'ORDENES'!$A607&lt;&gt;""),1,0)</f>
        <v/>
      </c>
      <c r="L611" s="5">
        <f>IF(K611=1,IFERROR(MATCH('ORDENES'!$S607,lista_dias,0),9)*1000000000+IFERROR(MATCH('ORDENES'!$AH607,lista_turnos,0),9)*10000000+IFERROR(MATCH('ORDENES'!$AG607,tblTecnicos[nombre],0),99)*100000+604,9000000000000+604)</f>
        <v/>
      </c>
      <c r="M611" s="5">
        <f>IF(K611=1,SUMPRODUCT(--($L$8:$L$1207&lt;L611))+1,"")</f>
        <v/>
      </c>
      <c r="N611" s="17">
        <f>IF(K611=1,N('ORDENES'!$M607),0)</f>
        <v/>
      </c>
      <c r="O611" s="17">
        <f>IF('ORDENES'!$U607="preventiva",N611,0)</f>
        <v/>
      </c>
      <c r="P611" s="17">
        <f>IF('ORDENES'!$U607="correctiva",N611,0)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22">
        <f>IF(K611=1,'ORDENES'!$J607,"")</f>
        <v/>
      </c>
    </row>
    <row r="612">
      <c r="K612" s="5">
        <f>IF(AND(IF($B$3="(todos)",TRUE,'ORDENES'!$O608=$B$3),IF($D$3="(todos)",TRUE,'ORDENES'!$AH608=$D$3),IF($F$3="(todos)",TRUE,'ORDENES'!$Z608=$F$3),IF($H$3="(todos)",TRUE,'ORDENES'!$Y608=$H$3),'ORDENES'!$AF608=TRUE,'ORDENES'!$A608&lt;&gt;""),1,0)</f>
        <v/>
      </c>
      <c r="L612" s="5">
        <f>IF(K612=1,IFERROR(MATCH('ORDENES'!$S608,lista_dias,0),9)*1000000000+IFERROR(MATCH('ORDENES'!$AH608,lista_turnos,0),9)*10000000+IFERROR(MATCH('ORDENES'!$AG608,tblTecnicos[nombre],0),99)*100000+605,9000000000000+605)</f>
        <v/>
      </c>
      <c r="M612" s="5">
        <f>IF(K612=1,SUMPRODUCT(--($L$8:$L$1207&lt;L612))+1,"")</f>
        <v/>
      </c>
      <c r="N612" s="17">
        <f>IF(K612=1,N('ORDENES'!$M608),0)</f>
        <v/>
      </c>
      <c r="O612" s="17">
        <f>IF('ORDENES'!$U608="preventiva",N612,0)</f>
        <v/>
      </c>
      <c r="P612" s="17">
        <f>IF('ORDENES'!$U608="correctiva",N612,0)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22">
        <f>IF(K612=1,'ORDENES'!$J608,"")</f>
        <v/>
      </c>
    </row>
    <row r="613">
      <c r="K613" s="5">
        <f>IF(AND(IF($B$3="(todos)",TRUE,'ORDENES'!$O609=$B$3),IF($D$3="(todos)",TRUE,'ORDENES'!$AH609=$D$3),IF($F$3="(todos)",TRUE,'ORDENES'!$Z609=$F$3),IF($H$3="(todos)",TRUE,'ORDENES'!$Y609=$H$3),'ORDENES'!$AF609=TRUE,'ORDENES'!$A609&lt;&gt;""),1,0)</f>
        <v/>
      </c>
      <c r="L613" s="5">
        <f>IF(K613=1,IFERROR(MATCH('ORDENES'!$S609,lista_dias,0),9)*1000000000+IFERROR(MATCH('ORDENES'!$AH609,lista_turnos,0),9)*10000000+IFERROR(MATCH('ORDENES'!$AG609,tblTecnicos[nombre],0),99)*100000+606,9000000000000+606)</f>
        <v/>
      </c>
      <c r="M613" s="5">
        <f>IF(K613=1,SUMPRODUCT(--($L$8:$L$1207&lt;L613))+1,"")</f>
        <v/>
      </c>
      <c r="N613" s="17">
        <f>IF(K613=1,N('ORDENES'!$M609),0)</f>
        <v/>
      </c>
      <c r="O613" s="17">
        <f>IF('ORDENES'!$U609="preventiva",N613,0)</f>
        <v/>
      </c>
      <c r="P613" s="17">
        <f>IF('ORDENES'!$U609="correctiva",N613,0)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22">
        <f>IF(K613=1,'ORDENES'!$J609,"")</f>
        <v/>
      </c>
    </row>
    <row r="614">
      <c r="K614" s="5">
        <f>IF(AND(IF($B$3="(todos)",TRUE,'ORDENES'!$O610=$B$3),IF($D$3="(todos)",TRUE,'ORDENES'!$AH610=$D$3),IF($F$3="(todos)",TRUE,'ORDENES'!$Z610=$F$3),IF($H$3="(todos)",TRUE,'ORDENES'!$Y610=$H$3),'ORDENES'!$AF610=TRUE,'ORDENES'!$A610&lt;&gt;""),1,0)</f>
        <v/>
      </c>
      <c r="L614" s="5">
        <f>IF(K614=1,IFERROR(MATCH('ORDENES'!$S610,lista_dias,0),9)*1000000000+IFERROR(MATCH('ORDENES'!$AH610,lista_turnos,0),9)*10000000+IFERROR(MATCH('ORDENES'!$AG610,tblTecnicos[nombre],0),99)*100000+607,9000000000000+607)</f>
        <v/>
      </c>
      <c r="M614" s="5">
        <f>IF(K614=1,SUMPRODUCT(--($L$8:$L$1207&lt;L614))+1,"")</f>
        <v/>
      </c>
      <c r="N614" s="17">
        <f>IF(K614=1,N('ORDENES'!$M610),0)</f>
        <v/>
      </c>
      <c r="O614" s="17">
        <f>IF('ORDENES'!$U610="preventiva",N614,0)</f>
        <v/>
      </c>
      <c r="P614" s="17">
        <f>IF('ORDENES'!$U610="correctiva",N614,0)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22">
        <f>IF(K614=1,'ORDENES'!$J610,"")</f>
        <v/>
      </c>
    </row>
    <row r="615">
      <c r="K615" s="5">
        <f>IF(AND(IF($B$3="(todos)",TRUE,'ORDENES'!$O611=$B$3),IF($D$3="(todos)",TRUE,'ORDENES'!$AH611=$D$3),IF($F$3="(todos)",TRUE,'ORDENES'!$Z611=$F$3),IF($H$3="(todos)",TRUE,'ORDENES'!$Y611=$H$3),'ORDENES'!$AF611=TRUE,'ORDENES'!$A611&lt;&gt;""),1,0)</f>
        <v/>
      </c>
      <c r="L615" s="5">
        <f>IF(K615=1,IFERROR(MATCH('ORDENES'!$S611,lista_dias,0),9)*1000000000+IFERROR(MATCH('ORDENES'!$AH611,lista_turnos,0),9)*10000000+IFERROR(MATCH('ORDENES'!$AG611,tblTecnicos[nombre],0),99)*100000+608,9000000000000+608)</f>
        <v/>
      </c>
      <c r="M615" s="5">
        <f>IF(K615=1,SUMPRODUCT(--($L$8:$L$1207&lt;L615))+1,"")</f>
        <v/>
      </c>
      <c r="N615" s="17">
        <f>IF(K615=1,N('ORDENES'!$M611),0)</f>
        <v/>
      </c>
      <c r="O615" s="17">
        <f>IF('ORDENES'!$U611="preventiva",N615,0)</f>
        <v/>
      </c>
      <c r="P615" s="17">
        <f>IF('ORDENES'!$U611="correctiva",N615,0)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22">
        <f>IF(K615=1,'ORDENES'!$J611,"")</f>
        <v/>
      </c>
    </row>
    <row r="616">
      <c r="K616" s="5">
        <f>IF(AND(IF($B$3="(todos)",TRUE,'ORDENES'!$O612=$B$3),IF($D$3="(todos)",TRUE,'ORDENES'!$AH612=$D$3),IF($F$3="(todos)",TRUE,'ORDENES'!$Z612=$F$3),IF($H$3="(todos)",TRUE,'ORDENES'!$Y612=$H$3),'ORDENES'!$AF612=TRUE,'ORDENES'!$A612&lt;&gt;""),1,0)</f>
        <v/>
      </c>
      <c r="L616" s="5">
        <f>IF(K616=1,IFERROR(MATCH('ORDENES'!$S612,lista_dias,0),9)*1000000000+IFERROR(MATCH('ORDENES'!$AH612,lista_turnos,0),9)*10000000+IFERROR(MATCH('ORDENES'!$AG612,tblTecnicos[nombre],0),99)*100000+609,9000000000000+609)</f>
        <v/>
      </c>
      <c r="M616" s="5">
        <f>IF(K616=1,SUMPRODUCT(--($L$8:$L$1207&lt;L616))+1,"")</f>
        <v/>
      </c>
      <c r="N616" s="17">
        <f>IF(K616=1,N('ORDENES'!$M612),0)</f>
        <v/>
      </c>
      <c r="O616" s="17">
        <f>IF('ORDENES'!$U612="preventiva",N616,0)</f>
        <v/>
      </c>
      <c r="P616" s="17">
        <f>IF('ORDENES'!$U612="correctiva",N616,0)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22">
        <f>IF(K616=1,'ORDENES'!$J612,"")</f>
        <v/>
      </c>
    </row>
    <row r="617">
      <c r="K617" s="5">
        <f>IF(AND(IF($B$3="(todos)",TRUE,'ORDENES'!$O613=$B$3),IF($D$3="(todos)",TRUE,'ORDENES'!$AH613=$D$3),IF($F$3="(todos)",TRUE,'ORDENES'!$Z613=$F$3),IF($H$3="(todos)",TRUE,'ORDENES'!$Y613=$H$3),'ORDENES'!$AF613=TRUE,'ORDENES'!$A613&lt;&gt;""),1,0)</f>
        <v/>
      </c>
      <c r="L617" s="5">
        <f>IF(K617=1,IFERROR(MATCH('ORDENES'!$S613,lista_dias,0),9)*1000000000+IFERROR(MATCH('ORDENES'!$AH613,lista_turnos,0),9)*10000000+IFERROR(MATCH('ORDENES'!$AG613,tblTecnicos[nombre],0),99)*100000+610,9000000000000+610)</f>
        <v/>
      </c>
      <c r="M617" s="5">
        <f>IF(K617=1,SUMPRODUCT(--($L$8:$L$1207&lt;L617))+1,"")</f>
        <v/>
      </c>
      <c r="N617" s="17">
        <f>IF(K617=1,N('ORDENES'!$M613),0)</f>
        <v/>
      </c>
      <c r="O617" s="17">
        <f>IF('ORDENES'!$U613="preventiva",N617,0)</f>
        <v/>
      </c>
      <c r="P617" s="17">
        <f>IF('ORDENES'!$U613="correctiva",N617,0)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22">
        <f>IF(K617=1,'ORDENES'!$J613,"")</f>
        <v/>
      </c>
    </row>
    <row r="618">
      <c r="K618" s="5">
        <f>IF(AND(IF($B$3="(todos)",TRUE,'ORDENES'!$O614=$B$3),IF($D$3="(todos)",TRUE,'ORDENES'!$AH614=$D$3),IF($F$3="(todos)",TRUE,'ORDENES'!$Z614=$F$3),IF($H$3="(todos)",TRUE,'ORDENES'!$Y614=$H$3),'ORDENES'!$AF614=TRUE,'ORDENES'!$A614&lt;&gt;""),1,0)</f>
        <v/>
      </c>
      <c r="L618" s="5">
        <f>IF(K618=1,IFERROR(MATCH('ORDENES'!$S614,lista_dias,0),9)*1000000000+IFERROR(MATCH('ORDENES'!$AH614,lista_turnos,0),9)*10000000+IFERROR(MATCH('ORDENES'!$AG614,tblTecnicos[nombre],0),99)*100000+611,9000000000000+611)</f>
        <v/>
      </c>
      <c r="M618" s="5">
        <f>IF(K618=1,SUMPRODUCT(--($L$8:$L$1207&lt;L618))+1,"")</f>
        <v/>
      </c>
      <c r="N618" s="17">
        <f>IF(K618=1,N('ORDENES'!$M614),0)</f>
        <v/>
      </c>
      <c r="O618" s="17">
        <f>IF('ORDENES'!$U614="preventiva",N618,0)</f>
        <v/>
      </c>
      <c r="P618" s="17">
        <f>IF('ORDENES'!$U614="correctiva",N618,0)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22">
        <f>IF(K618=1,'ORDENES'!$J614,"")</f>
        <v/>
      </c>
    </row>
    <row r="619">
      <c r="K619" s="5">
        <f>IF(AND(IF($B$3="(todos)",TRUE,'ORDENES'!$O615=$B$3),IF($D$3="(todos)",TRUE,'ORDENES'!$AH615=$D$3),IF($F$3="(todos)",TRUE,'ORDENES'!$Z615=$F$3),IF($H$3="(todos)",TRUE,'ORDENES'!$Y615=$H$3),'ORDENES'!$AF615=TRUE,'ORDENES'!$A615&lt;&gt;""),1,0)</f>
        <v/>
      </c>
      <c r="L619" s="5">
        <f>IF(K619=1,IFERROR(MATCH('ORDENES'!$S615,lista_dias,0),9)*1000000000+IFERROR(MATCH('ORDENES'!$AH615,lista_turnos,0),9)*10000000+IFERROR(MATCH('ORDENES'!$AG615,tblTecnicos[nombre],0),99)*100000+612,9000000000000+612)</f>
        <v/>
      </c>
      <c r="M619" s="5">
        <f>IF(K619=1,SUMPRODUCT(--($L$8:$L$1207&lt;L619))+1,"")</f>
        <v/>
      </c>
      <c r="N619" s="17">
        <f>IF(K619=1,N('ORDENES'!$M615),0)</f>
        <v/>
      </c>
      <c r="O619" s="17">
        <f>IF('ORDENES'!$U615="preventiva",N619,0)</f>
        <v/>
      </c>
      <c r="P619" s="17">
        <f>IF('ORDENES'!$U615="correctiva",N619,0)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22">
        <f>IF(K619=1,'ORDENES'!$J615,"")</f>
        <v/>
      </c>
    </row>
    <row r="620">
      <c r="K620" s="5">
        <f>IF(AND(IF($B$3="(todos)",TRUE,'ORDENES'!$O616=$B$3),IF($D$3="(todos)",TRUE,'ORDENES'!$AH616=$D$3),IF($F$3="(todos)",TRUE,'ORDENES'!$Z616=$F$3),IF($H$3="(todos)",TRUE,'ORDENES'!$Y616=$H$3),'ORDENES'!$AF616=TRUE,'ORDENES'!$A616&lt;&gt;""),1,0)</f>
        <v/>
      </c>
      <c r="L620" s="5">
        <f>IF(K620=1,IFERROR(MATCH('ORDENES'!$S616,lista_dias,0),9)*1000000000+IFERROR(MATCH('ORDENES'!$AH616,lista_turnos,0),9)*10000000+IFERROR(MATCH('ORDENES'!$AG616,tblTecnicos[nombre],0),99)*100000+613,9000000000000+613)</f>
        <v/>
      </c>
      <c r="M620" s="5">
        <f>IF(K620=1,SUMPRODUCT(--($L$8:$L$1207&lt;L620))+1,"")</f>
        <v/>
      </c>
      <c r="N620" s="17">
        <f>IF(K620=1,N('ORDENES'!$M616),0)</f>
        <v/>
      </c>
      <c r="O620" s="17">
        <f>IF('ORDENES'!$U616="preventiva",N620,0)</f>
        <v/>
      </c>
      <c r="P620" s="17">
        <f>IF('ORDENES'!$U616="correctiva",N620,0)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22">
        <f>IF(K620=1,'ORDENES'!$J616,"")</f>
        <v/>
      </c>
    </row>
    <row r="621">
      <c r="K621" s="5">
        <f>IF(AND(IF($B$3="(todos)",TRUE,'ORDENES'!$O617=$B$3),IF($D$3="(todos)",TRUE,'ORDENES'!$AH617=$D$3),IF($F$3="(todos)",TRUE,'ORDENES'!$Z617=$F$3),IF($H$3="(todos)",TRUE,'ORDENES'!$Y617=$H$3),'ORDENES'!$AF617=TRUE,'ORDENES'!$A617&lt;&gt;""),1,0)</f>
        <v/>
      </c>
      <c r="L621" s="5">
        <f>IF(K621=1,IFERROR(MATCH('ORDENES'!$S617,lista_dias,0),9)*1000000000+IFERROR(MATCH('ORDENES'!$AH617,lista_turnos,0),9)*10000000+IFERROR(MATCH('ORDENES'!$AG617,tblTecnicos[nombre],0),99)*100000+614,9000000000000+614)</f>
        <v/>
      </c>
      <c r="M621" s="5">
        <f>IF(K621=1,SUMPRODUCT(--($L$8:$L$1207&lt;L621))+1,"")</f>
        <v/>
      </c>
      <c r="N621" s="17">
        <f>IF(K621=1,N('ORDENES'!$M617),0)</f>
        <v/>
      </c>
      <c r="O621" s="17">
        <f>IF('ORDENES'!$U617="preventiva",N621,0)</f>
        <v/>
      </c>
      <c r="P621" s="17">
        <f>IF('ORDENES'!$U617="correctiva",N621,0)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22">
        <f>IF(K621=1,'ORDENES'!$J617,"")</f>
        <v/>
      </c>
    </row>
    <row r="622">
      <c r="K622" s="5">
        <f>IF(AND(IF($B$3="(todos)",TRUE,'ORDENES'!$O618=$B$3),IF($D$3="(todos)",TRUE,'ORDENES'!$AH618=$D$3),IF($F$3="(todos)",TRUE,'ORDENES'!$Z618=$F$3),IF($H$3="(todos)",TRUE,'ORDENES'!$Y618=$H$3),'ORDENES'!$AF618=TRUE,'ORDENES'!$A618&lt;&gt;""),1,0)</f>
        <v/>
      </c>
      <c r="L622" s="5">
        <f>IF(K622=1,IFERROR(MATCH('ORDENES'!$S618,lista_dias,0),9)*1000000000+IFERROR(MATCH('ORDENES'!$AH618,lista_turnos,0),9)*10000000+IFERROR(MATCH('ORDENES'!$AG618,tblTecnicos[nombre],0),99)*100000+615,9000000000000+615)</f>
        <v/>
      </c>
      <c r="M622" s="5">
        <f>IF(K622=1,SUMPRODUCT(--($L$8:$L$1207&lt;L622))+1,"")</f>
        <v/>
      </c>
      <c r="N622" s="17">
        <f>IF(K622=1,N('ORDENES'!$M618),0)</f>
        <v/>
      </c>
      <c r="O622" s="17">
        <f>IF('ORDENES'!$U618="preventiva",N622,0)</f>
        <v/>
      </c>
      <c r="P622" s="17">
        <f>IF('ORDENES'!$U618="correctiva",N622,0)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22">
        <f>IF(K622=1,'ORDENES'!$J618,"")</f>
        <v/>
      </c>
    </row>
    <row r="623">
      <c r="K623" s="5">
        <f>IF(AND(IF($B$3="(todos)",TRUE,'ORDENES'!$O619=$B$3),IF($D$3="(todos)",TRUE,'ORDENES'!$AH619=$D$3),IF($F$3="(todos)",TRUE,'ORDENES'!$Z619=$F$3),IF($H$3="(todos)",TRUE,'ORDENES'!$Y619=$H$3),'ORDENES'!$AF619=TRUE,'ORDENES'!$A619&lt;&gt;""),1,0)</f>
        <v/>
      </c>
      <c r="L623" s="5">
        <f>IF(K623=1,IFERROR(MATCH('ORDENES'!$S619,lista_dias,0),9)*1000000000+IFERROR(MATCH('ORDENES'!$AH619,lista_turnos,0),9)*10000000+IFERROR(MATCH('ORDENES'!$AG619,tblTecnicos[nombre],0),99)*100000+616,9000000000000+616)</f>
        <v/>
      </c>
      <c r="M623" s="5">
        <f>IF(K623=1,SUMPRODUCT(--($L$8:$L$1207&lt;L623))+1,"")</f>
        <v/>
      </c>
      <c r="N623" s="17">
        <f>IF(K623=1,N('ORDENES'!$M619),0)</f>
        <v/>
      </c>
      <c r="O623" s="17">
        <f>IF('ORDENES'!$U619="preventiva",N623,0)</f>
        <v/>
      </c>
      <c r="P623" s="17">
        <f>IF('ORDENES'!$U619="correctiva",N623,0)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22">
        <f>IF(K623=1,'ORDENES'!$J619,"")</f>
        <v/>
      </c>
    </row>
    <row r="624">
      <c r="K624" s="5">
        <f>IF(AND(IF($B$3="(todos)",TRUE,'ORDENES'!$O620=$B$3),IF($D$3="(todos)",TRUE,'ORDENES'!$AH620=$D$3),IF($F$3="(todos)",TRUE,'ORDENES'!$Z620=$F$3),IF($H$3="(todos)",TRUE,'ORDENES'!$Y620=$H$3),'ORDENES'!$AF620=TRUE,'ORDENES'!$A620&lt;&gt;""),1,0)</f>
        <v/>
      </c>
      <c r="L624" s="5">
        <f>IF(K624=1,IFERROR(MATCH('ORDENES'!$S620,lista_dias,0),9)*1000000000+IFERROR(MATCH('ORDENES'!$AH620,lista_turnos,0),9)*10000000+IFERROR(MATCH('ORDENES'!$AG620,tblTecnicos[nombre],0),99)*100000+617,9000000000000+617)</f>
        <v/>
      </c>
      <c r="M624" s="5">
        <f>IF(K624=1,SUMPRODUCT(--($L$8:$L$1207&lt;L624))+1,"")</f>
        <v/>
      </c>
      <c r="N624" s="17">
        <f>IF(K624=1,N('ORDENES'!$M620),0)</f>
        <v/>
      </c>
      <c r="O624" s="17">
        <f>IF('ORDENES'!$U620="preventiva",N624,0)</f>
        <v/>
      </c>
      <c r="P624" s="17">
        <f>IF('ORDENES'!$U620="correctiva",N624,0)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22">
        <f>IF(K624=1,'ORDENES'!$J620,"")</f>
        <v/>
      </c>
    </row>
    <row r="625">
      <c r="K625" s="5">
        <f>IF(AND(IF($B$3="(todos)",TRUE,'ORDENES'!$O621=$B$3),IF($D$3="(todos)",TRUE,'ORDENES'!$AH621=$D$3),IF($F$3="(todos)",TRUE,'ORDENES'!$Z621=$F$3),IF($H$3="(todos)",TRUE,'ORDENES'!$Y621=$H$3),'ORDENES'!$AF621=TRUE,'ORDENES'!$A621&lt;&gt;""),1,0)</f>
        <v/>
      </c>
      <c r="L625" s="5">
        <f>IF(K625=1,IFERROR(MATCH('ORDENES'!$S621,lista_dias,0),9)*1000000000+IFERROR(MATCH('ORDENES'!$AH621,lista_turnos,0),9)*10000000+IFERROR(MATCH('ORDENES'!$AG621,tblTecnicos[nombre],0),99)*100000+618,9000000000000+618)</f>
        <v/>
      </c>
      <c r="M625" s="5">
        <f>IF(K625=1,SUMPRODUCT(--($L$8:$L$1207&lt;L625))+1,"")</f>
        <v/>
      </c>
      <c r="N625" s="17">
        <f>IF(K625=1,N('ORDENES'!$M621),0)</f>
        <v/>
      </c>
      <c r="O625" s="17">
        <f>IF('ORDENES'!$U621="preventiva",N625,0)</f>
        <v/>
      </c>
      <c r="P625" s="17">
        <f>IF('ORDENES'!$U621="correctiva",N625,0)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22">
        <f>IF(K625=1,'ORDENES'!$J621,"")</f>
        <v/>
      </c>
    </row>
    <row r="626">
      <c r="K626" s="5">
        <f>IF(AND(IF($B$3="(todos)",TRUE,'ORDENES'!$O622=$B$3),IF($D$3="(todos)",TRUE,'ORDENES'!$AH622=$D$3),IF($F$3="(todos)",TRUE,'ORDENES'!$Z622=$F$3),IF($H$3="(todos)",TRUE,'ORDENES'!$Y622=$H$3),'ORDENES'!$AF622=TRUE,'ORDENES'!$A622&lt;&gt;""),1,0)</f>
        <v/>
      </c>
      <c r="L626" s="5">
        <f>IF(K626=1,IFERROR(MATCH('ORDENES'!$S622,lista_dias,0),9)*1000000000+IFERROR(MATCH('ORDENES'!$AH622,lista_turnos,0),9)*10000000+IFERROR(MATCH('ORDENES'!$AG622,tblTecnicos[nombre],0),99)*100000+619,9000000000000+619)</f>
        <v/>
      </c>
      <c r="M626" s="5">
        <f>IF(K626=1,SUMPRODUCT(--($L$8:$L$1207&lt;L626))+1,"")</f>
        <v/>
      </c>
      <c r="N626" s="17">
        <f>IF(K626=1,N('ORDENES'!$M622),0)</f>
        <v/>
      </c>
      <c r="O626" s="17">
        <f>IF('ORDENES'!$U622="preventiva",N626,0)</f>
        <v/>
      </c>
      <c r="P626" s="17">
        <f>IF('ORDENES'!$U622="correctiva",N626,0)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22">
        <f>IF(K626=1,'ORDENES'!$J622,"")</f>
        <v/>
      </c>
    </row>
    <row r="627">
      <c r="K627" s="5">
        <f>IF(AND(IF($B$3="(todos)",TRUE,'ORDENES'!$O623=$B$3),IF($D$3="(todos)",TRUE,'ORDENES'!$AH623=$D$3),IF($F$3="(todos)",TRUE,'ORDENES'!$Z623=$F$3),IF($H$3="(todos)",TRUE,'ORDENES'!$Y623=$H$3),'ORDENES'!$AF623=TRUE,'ORDENES'!$A623&lt;&gt;""),1,0)</f>
        <v/>
      </c>
      <c r="L627" s="5">
        <f>IF(K627=1,IFERROR(MATCH('ORDENES'!$S623,lista_dias,0),9)*1000000000+IFERROR(MATCH('ORDENES'!$AH623,lista_turnos,0),9)*10000000+IFERROR(MATCH('ORDENES'!$AG623,tblTecnicos[nombre],0),99)*100000+620,9000000000000+620)</f>
        <v/>
      </c>
      <c r="M627" s="5">
        <f>IF(K627=1,SUMPRODUCT(--($L$8:$L$1207&lt;L627))+1,"")</f>
        <v/>
      </c>
      <c r="N627" s="17">
        <f>IF(K627=1,N('ORDENES'!$M623),0)</f>
        <v/>
      </c>
      <c r="O627" s="17">
        <f>IF('ORDENES'!$U623="preventiva",N627,0)</f>
        <v/>
      </c>
      <c r="P627" s="17">
        <f>IF('ORDENES'!$U623="correctiva",N627,0)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22">
        <f>IF(K627=1,'ORDENES'!$J623,"")</f>
        <v/>
      </c>
    </row>
    <row r="628">
      <c r="K628" s="5">
        <f>IF(AND(IF($B$3="(todos)",TRUE,'ORDENES'!$O624=$B$3),IF($D$3="(todos)",TRUE,'ORDENES'!$AH624=$D$3),IF($F$3="(todos)",TRUE,'ORDENES'!$Z624=$F$3),IF($H$3="(todos)",TRUE,'ORDENES'!$Y624=$H$3),'ORDENES'!$AF624=TRUE,'ORDENES'!$A624&lt;&gt;""),1,0)</f>
        <v/>
      </c>
      <c r="L628" s="5">
        <f>IF(K628=1,IFERROR(MATCH('ORDENES'!$S624,lista_dias,0),9)*1000000000+IFERROR(MATCH('ORDENES'!$AH624,lista_turnos,0),9)*10000000+IFERROR(MATCH('ORDENES'!$AG624,tblTecnicos[nombre],0),99)*100000+621,9000000000000+621)</f>
        <v/>
      </c>
      <c r="M628" s="5">
        <f>IF(K628=1,SUMPRODUCT(--($L$8:$L$1207&lt;L628))+1,"")</f>
        <v/>
      </c>
      <c r="N628" s="17">
        <f>IF(K628=1,N('ORDENES'!$M624),0)</f>
        <v/>
      </c>
      <c r="O628" s="17">
        <f>IF('ORDENES'!$U624="preventiva",N628,0)</f>
        <v/>
      </c>
      <c r="P628" s="17">
        <f>IF('ORDENES'!$U624="correctiva",N628,0)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22">
        <f>IF(K628=1,'ORDENES'!$J624,"")</f>
        <v/>
      </c>
    </row>
    <row r="629">
      <c r="K629" s="5">
        <f>IF(AND(IF($B$3="(todos)",TRUE,'ORDENES'!$O625=$B$3),IF($D$3="(todos)",TRUE,'ORDENES'!$AH625=$D$3),IF($F$3="(todos)",TRUE,'ORDENES'!$Z625=$F$3),IF($H$3="(todos)",TRUE,'ORDENES'!$Y625=$H$3),'ORDENES'!$AF625=TRUE,'ORDENES'!$A625&lt;&gt;""),1,0)</f>
        <v/>
      </c>
      <c r="L629" s="5">
        <f>IF(K629=1,IFERROR(MATCH('ORDENES'!$S625,lista_dias,0),9)*1000000000+IFERROR(MATCH('ORDENES'!$AH625,lista_turnos,0),9)*10000000+IFERROR(MATCH('ORDENES'!$AG625,tblTecnicos[nombre],0),99)*100000+622,9000000000000+622)</f>
        <v/>
      </c>
      <c r="M629" s="5">
        <f>IF(K629=1,SUMPRODUCT(--($L$8:$L$1207&lt;L629))+1,"")</f>
        <v/>
      </c>
      <c r="N629" s="17">
        <f>IF(K629=1,N('ORDENES'!$M625),0)</f>
        <v/>
      </c>
      <c r="O629" s="17">
        <f>IF('ORDENES'!$U625="preventiva",N629,0)</f>
        <v/>
      </c>
      <c r="P629" s="17">
        <f>IF('ORDENES'!$U625="correctiva",N629,0)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22">
        <f>IF(K629=1,'ORDENES'!$J625,"")</f>
        <v/>
      </c>
    </row>
    <row r="630">
      <c r="K630" s="5">
        <f>IF(AND(IF($B$3="(todos)",TRUE,'ORDENES'!$O626=$B$3),IF($D$3="(todos)",TRUE,'ORDENES'!$AH626=$D$3),IF($F$3="(todos)",TRUE,'ORDENES'!$Z626=$F$3),IF($H$3="(todos)",TRUE,'ORDENES'!$Y626=$H$3),'ORDENES'!$AF626=TRUE,'ORDENES'!$A626&lt;&gt;""),1,0)</f>
        <v/>
      </c>
      <c r="L630" s="5">
        <f>IF(K630=1,IFERROR(MATCH('ORDENES'!$S626,lista_dias,0),9)*1000000000+IFERROR(MATCH('ORDENES'!$AH626,lista_turnos,0),9)*10000000+IFERROR(MATCH('ORDENES'!$AG626,tblTecnicos[nombre],0),99)*100000+623,9000000000000+623)</f>
        <v/>
      </c>
      <c r="M630" s="5">
        <f>IF(K630=1,SUMPRODUCT(--($L$8:$L$1207&lt;L630))+1,"")</f>
        <v/>
      </c>
      <c r="N630" s="17">
        <f>IF(K630=1,N('ORDENES'!$M626),0)</f>
        <v/>
      </c>
      <c r="O630" s="17">
        <f>IF('ORDENES'!$U626="preventiva",N630,0)</f>
        <v/>
      </c>
      <c r="P630" s="17">
        <f>IF('ORDENES'!$U626="correctiva",N630,0)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22">
        <f>IF(K630=1,'ORDENES'!$J626,"")</f>
        <v/>
      </c>
    </row>
    <row r="631">
      <c r="K631" s="5">
        <f>IF(AND(IF($B$3="(todos)",TRUE,'ORDENES'!$O627=$B$3),IF($D$3="(todos)",TRUE,'ORDENES'!$AH627=$D$3),IF($F$3="(todos)",TRUE,'ORDENES'!$Z627=$F$3),IF($H$3="(todos)",TRUE,'ORDENES'!$Y627=$H$3),'ORDENES'!$AF627=TRUE,'ORDENES'!$A627&lt;&gt;""),1,0)</f>
        <v/>
      </c>
      <c r="L631" s="5">
        <f>IF(K631=1,IFERROR(MATCH('ORDENES'!$S627,lista_dias,0),9)*1000000000+IFERROR(MATCH('ORDENES'!$AH627,lista_turnos,0),9)*10000000+IFERROR(MATCH('ORDENES'!$AG627,tblTecnicos[nombre],0),99)*100000+624,9000000000000+624)</f>
        <v/>
      </c>
      <c r="M631" s="5">
        <f>IF(K631=1,SUMPRODUCT(--($L$8:$L$1207&lt;L631))+1,"")</f>
        <v/>
      </c>
      <c r="N631" s="17">
        <f>IF(K631=1,N('ORDENES'!$M627),0)</f>
        <v/>
      </c>
      <c r="O631" s="17">
        <f>IF('ORDENES'!$U627="preventiva",N631,0)</f>
        <v/>
      </c>
      <c r="P631" s="17">
        <f>IF('ORDENES'!$U627="correctiva",N631,0)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22">
        <f>IF(K631=1,'ORDENES'!$J627,"")</f>
        <v/>
      </c>
    </row>
    <row r="632">
      <c r="K632" s="5">
        <f>IF(AND(IF($B$3="(todos)",TRUE,'ORDENES'!$O628=$B$3),IF($D$3="(todos)",TRUE,'ORDENES'!$AH628=$D$3),IF($F$3="(todos)",TRUE,'ORDENES'!$Z628=$F$3),IF($H$3="(todos)",TRUE,'ORDENES'!$Y628=$H$3),'ORDENES'!$AF628=TRUE,'ORDENES'!$A628&lt;&gt;""),1,0)</f>
        <v/>
      </c>
      <c r="L632" s="5">
        <f>IF(K632=1,IFERROR(MATCH('ORDENES'!$S628,lista_dias,0),9)*1000000000+IFERROR(MATCH('ORDENES'!$AH628,lista_turnos,0),9)*10000000+IFERROR(MATCH('ORDENES'!$AG628,tblTecnicos[nombre],0),99)*100000+625,9000000000000+625)</f>
        <v/>
      </c>
      <c r="M632" s="5">
        <f>IF(K632=1,SUMPRODUCT(--($L$8:$L$1207&lt;L632))+1,"")</f>
        <v/>
      </c>
      <c r="N632" s="17">
        <f>IF(K632=1,N('ORDENES'!$M628),0)</f>
        <v/>
      </c>
      <c r="O632" s="17">
        <f>IF('ORDENES'!$U628="preventiva",N632,0)</f>
        <v/>
      </c>
      <c r="P632" s="17">
        <f>IF('ORDENES'!$U628="correctiva",N632,0)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22">
        <f>IF(K632=1,'ORDENES'!$J628,"")</f>
        <v/>
      </c>
    </row>
    <row r="633">
      <c r="K633" s="5">
        <f>IF(AND(IF($B$3="(todos)",TRUE,'ORDENES'!$O629=$B$3),IF($D$3="(todos)",TRUE,'ORDENES'!$AH629=$D$3),IF($F$3="(todos)",TRUE,'ORDENES'!$Z629=$F$3),IF($H$3="(todos)",TRUE,'ORDENES'!$Y629=$H$3),'ORDENES'!$AF629=TRUE,'ORDENES'!$A629&lt;&gt;""),1,0)</f>
        <v/>
      </c>
      <c r="L633" s="5">
        <f>IF(K633=1,IFERROR(MATCH('ORDENES'!$S629,lista_dias,0),9)*1000000000+IFERROR(MATCH('ORDENES'!$AH629,lista_turnos,0),9)*10000000+IFERROR(MATCH('ORDENES'!$AG629,tblTecnicos[nombre],0),99)*100000+626,9000000000000+626)</f>
        <v/>
      </c>
      <c r="M633" s="5">
        <f>IF(K633=1,SUMPRODUCT(--($L$8:$L$1207&lt;L633))+1,"")</f>
        <v/>
      </c>
      <c r="N633" s="17">
        <f>IF(K633=1,N('ORDENES'!$M629),0)</f>
        <v/>
      </c>
      <c r="O633" s="17">
        <f>IF('ORDENES'!$U629="preventiva",N633,0)</f>
        <v/>
      </c>
      <c r="P633" s="17">
        <f>IF('ORDENES'!$U629="correctiva",N633,0)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22">
        <f>IF(K633=1,'ORDENES'!$J629,"")</f>
        <v/>
      </c>
    </row>
    <row r="634">
      <c r="K634" s="5">
        <f>IF(AND(IF($B$3="(todos)",TRUE,'ORDENES'!$O630=$B$3),IF($D$3="(todos)",TRUE,'ORDENES'!$AH630=$D$3),IF($F$3="(todos)",TRUE,'ORDENES'!$Z630=$F$3),IF($H$3="(todos)",TRUE,'ORDENES'!$Y630=$H$3),'ORDENES'!$AF630=TRUE,'ORDENES'!$A630&lt;&gt;""),1,0)</f>
        <v/>
      </c>
      <c r="L634" s="5">
        <f>IF(K634=1,IFERROR(MATCH('ORDENES'!$S630,lista_dias,0),9)*1000000000+IFERROR(MATCH('ORDENES'!$AH630,lista_turnos,0),9)*10000000+IFERROR(MATCH('ORDENES'!$AG630,tblTecnicos[nombre],0),99)*100000+627,9000000000000+627)</f>
        <v/>
      </c>
      <c r="M634" s="5">
        <f>IF(K634=1,SUMPRODUCT(--($L$8:$L$1207&lt;L634))+1,"")</f>
        <v/>
      </c>
      <c r="N634" s="17">
        <f>IF(K634=1,N('ORDENES'!$M630),0)</f>
        <v/>
      </c>
      <c r="O634" s="17">
        <f>IF('ORDENES'!$U630="preventiva",N634,0)</f>
        <v/>
      </c>
      <c r="P634" s="17">
        <f>IF('ORDENES'!$U630="correctiva",N634,0)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22">
        <f>IF(K634=1,'ORDENES'!$J630,"")</f>
        <v/>
      </c>
    </row>
    <row r="635">
      <c r="K635" s="5">
        <f>IF(AND(IF($B$3="(todos)",TRUE,'ORDENES'!$O631=$B$3),IF($D$3="(todos)",TRUE,'ORDENES'!$AH631=$D$3),IF($F$3="(todos)",TRUE,'ORDENES'!$Z631=$F$3),IF($H$3="(todos)",TRUE,'ORDENES'!$Y631=$H$3),'ORDENES'!$AF631=TRUE,'ORDENES'!$A631&lt;&gt;""),1,0)</f>
        <v/>
      </c>
      <c r="L635" s="5">
        <f>IF(K635=1,IFERROR(MATCH('ORDENES'!$S631,lista_dias,0),9)*1000000000+IFERROR(MATCH('ORDENES'!$AH631,lista_turnos,0),9)*10000000+IFERROR(MATCH('ORDENES'!$AG631,tblTecnicos[nombre],0),99)*100000+628,9000000000000+628)</f>
        <v/>
      </c>
      <c r="M635" s="5">
        <f>IF(K635=1,SUMPRODUCT(--($L$8:$L$1207&lt;L635))+1,"")</f>
        <v/>
      </c>
      <c r="N635" s="17">
        <f>IF(K635=1,N('ORDENES'!$M631),0)</f>
        <v/>
      </c>
      <c r="O635" s="17">
        <f>IF('ORDENES'!$U631="preventiva",N635,0)</f>
        <v/>
      </c>
      <c r="P635" s="17">
        <f>IF('ORDENES'!$U631="correctiva",N635,0)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22">
        <f>IF(K635=1,'ORDENES'!$J631,"")</f>
        <v/>
      </c>
    </row>
    <row r="636">
      <c r="K636" s="5">
        <f>IF(AND(IF($B$3="(todos)",TRUE,'ORDENES'!$O632=$B$3),IF($D$3="(todos)",TRUE,'ORDENES'!$AH632=$D$3),IF($F$3="(todos)",TRUE,'ORDENES'!$Z632=$F$3),IF($H$3="(todos)",TRUE,'ORDENES'!$Y632=$H$3),'ORDENES'!$AF632=TRUE,'ORDENES'!$A632&lt;&gt;""),1,0)</f>
        <v/>
      </c>
      <c r="L636" s="5">
        <f>IF(K636=1,IFERROR(MATCH('ORDENES'!$S632,lista_dias,0),9)*1000000000+IFERROR(MATCH('ORDENES'!$AH632,lista_turnos,0),9)*10000000+IFERROR(MATCH('ORDENES'!$AG632,tblTecnicos[nombre],0),99)*100000+629,9000000000000+629)</f>
        <v/>
      </c>
      <c r="M636" s="5">
        <f>IF(K636=1,SUMPRODUCT(--($L$8:$L$1207&lt;L636))+1,"")</f>
        <v/>
      </c>
      <c r="N636" s="17">
        <f>IF(K636=1,N('ORDENES'!$M632),0)</f>
        <v/>
      </c>
      <c r="O636" s="17">
        <f>IF('ORDENES'!$U632="preventiva",N636,0)</f>
        <v/>
      </c>
      <c r="P636" s="17">
        <f>IF('ORDENES'!$U632="correctiva",N636,0)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22">
        <f>IF(K636=1,'ORDENES'!$J632,"")</f>
        <v/>
      </c>
    </row>
    <row r="637">
      <c r="K637" s="5">
        <f>IF(AND(IF($B$3="(todos)",TRUE,'ORDENES'!$O633=$B$3),IF($D$3="(todos)",TRUE,'ORDENES'!$AH633=$D$3),IF($F$3="(todos)",TRUE,'ORDENES'!$Z633=$F$3),IF($H$3="(todos)",TRUE,'ORDENES'!$Y633=$H$3),'ORDENES'!$AF633=TRUE,'ORDENES'!$A633&lt;&gt;""),1,0)</f>
        <v/>
      </c>
      <c r="L637" s="5">
        <f>IF(K637=1,IFERROR(MATCH('ORDENES'!$S633,lista_dias,0),9)*1000000000+IFERROR(MATCH('ORDENES'!$AH633,lista_turnos,0),9)*10000000+IFERROR(MATCH('ORDENES'!$AG633,tblTecnicos[nombre],0),99)*100000+630,9000000000000+630)</f>
        <v/>
      </c>
      <c r="M637" s="5">
        <f>IF(K637=1,SUMPRODUCT(--($L$8:$L$1207&lt;L637))+1,"")</f>
        <v/>
      </c>
      <c r="N637" s="17">
        <f>IF(K637=1,N('ORDENES'!$M633),0)</f>
        <v/>
      </c>
      <c r="O637" s="17">
        <f>IF('ORDENES'!$U633="preventiva",N637,0)</f>
        <v/>
      </c>
      <c r="P637" s="17">
        <f>IF('ORDENES'!$U633="correctiva",N637,0)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22">
        <f>IF(K637=1,'ORDENES'!$J633,"")</f>
        <v/>
      </c>
    </row>
    <row r="638">
      <c r="K638" s="5">
        <f>IF(AND(IF($B$3="(todos)",TRUE,'ORDENES'!$O634=$B$3),IF($D$3="(todos)",TRUE,'ORDENES'!$AH634=$D$3),IF($F$3="(todos)",TRUE,'ORDENES'!$Z634=$F$3),IF($H$3="(todos)",TRUE,'ORDENES'!$Y634=$H$3),'ORDENES'!$AF634=TRUE,'ORDENES'!$A634&lt;&gt;""),1,0)</f>
        <v/>
      </c>
      <c r="L638" s="5">
        <f>IF(K638=1,IFERROR(MATCH('ORDENES'!$S634,lista_dias,0),9)*1000000000+IFERROR(MATCH('ORDENES'!$AH634,lista_turnos,0),9)*10000000+IFERROR(MATCH('ORDENES'!$AG634,tblTecnicos[nombre],0),99)*100000+631,9000000000000+631)</f>
        <v/>
      </c>
      <c r="M638" s="5">
        <f>IF(K638=1,SUMPRODUCT(--($L$8:$L$1207&lt;L638))+1,"")</f>
        <v/>
      </c>
      <c r="N638" s="17">
        <f>IF(K638=1,N('ORDENES'!$M634),0)</f>
        <v/>
      </c>
      <c r="O638" s="17">
        <f>IF('ORDENES'!$U634="preventiva",N638,0)</f>
        <v/>
      </c>
      <c r="P638" s="17">
        <f>IF('ORDENES'!$U634="correctiva",N638,0)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22">
        <f>IF(K638=1,'ORDENES'!$J634,"")</f>
        <v/>
      </c>
    </row>
    <row r="639">
      <c r="K639" s="5">
        <f>IF(AND(IF($B$3="(todos)",TRUE,'ORDENES'!$O635=$B$3),IF($D$3="(todos)",TRUE,'ORDENES'!$AH635=$D$3),IF($F$3="(todos)",TRUE,'ORDENES'!$Z635=$F$3),IF($H$3="(todos)",TRUE,'ORDENES'!$Y635=$H$3),'ORDENES'!$AF635=TRUE,'ORDENES'!$A635&lt;&gt;""),1,0)</f>
        <v/>
      </c>
      <c r="L639" s="5">
        <f>IF(K639=1,IFERROR(MATCH('ORDENES'!$S635,lista_dias,0),9)*1000000000+IFERROR(MATCH('ORDENES'!$AH635,lista_turnos,0),9)*10000000+IFERROR(MATCH('ORDENES'!$AG635,tblTecnicos[nombre],0),99)*100000+632,9000000000000+632)</f>
        <v/>
      </c>
      <c r="M639" s="5">
        <f>IF(K639=1,SUMPRODUCT(--($L$8:$L$1207&lt;L639))+1,"")</f>
        <v/>
      </c>
      <c r="N639" s="17">
        <f>IF(K639=1,N('ORDENES'!$M635),0)</f>
        <v/>
      </c>
      <c r="O639" s="17">
        <f>IF('ORDENES'!$U635="preventiva",N639,0)</f>
        <v/>
      </c>
      <c r="P639" s="17">
        <f>IF('ORDENES'!$U635="correctiva",N639,0)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22">
        <f>IF(K639=1,'ORDENES'!$J635,"")</f>
        <v/>
      </c>
    </row>
    <row r="640">
      <c r="K640" s="5">
        <f>IF(AND(IF($B$3="(todos)",TRUE,'ORDENES'!$O636=$B$3),IF($D$3="(todos)",TRUE,'ORDENES'!$AH636=$D$3),IF($F$3="(todos)",TRUE,'ORDENES'!$Z636=$F$3),IF($H$3="(todos)",TRUE,'ORDENES'!$Y636=$H$3),'ORDENES'!$AF636=TRUE,'ORDENES'!$A636&lt;&gt;""),1,0)</f>
        <v/>
      </c>
      <c r="L640" s="5">
        <f>IF(K640=1,IFERROR(MATCH('ORDENES'!$S636,lista_dias,0),9)*1000000000+IFERROR(MATCH('ORDENES'!$AH636,lista_turnos,0),9)*10000000+IFERROR(MATCH('ORDENES'!$AG636,tblTecnicos[nombre],0),99)*100000+633,9000000000000+633)</f>
        <v/>
      </c>
      <c r="M640" s="5">
        <f>IF(K640=1,SUMPRODUCT(--($L$8:$L$1207&lt;L640))+1,"")</f>
        <v/>
      </c>
      <c r="N640" s="17">
        <f>IF(K640=1,N('ORDENES'!$M636),0)</f>
        <v/>
      </c>
      <c r="O640" s="17">
        <f>IF('ORDENES'!$U636="preventiva",N640,0)</f>
        <v/>
      </c>
      <c r="P640" s="17">
        <f>IF('ORDENES'!$U636="correctiva",N640,0)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22">
        <f>IF(K640=1,'ORDENES'!$J636,"")</f>
        <v/>
      </c>
    </row>
    <row r="641">
      <c r="K641" s="5">
        <f>IF(AND(IF($B$3="(todos)",TRUE,'ORDENES'!$O637=$B$3),IF($D$3="(todos)",TRUE,'ORDENES'!$AH637=$D$3),IF($F$3="(todos)",TRUE,'ORDENES'!$Z637=$F$3),IF($H$3="(todos)",TRUE,'ORDENES'!$Y637=$H$3),'ORDENES'!$AF637=TRUE,'ORDENES'!$A637&lt;&gt;""),1,0)</f>
        <v/>
      </c>
      <c r="L641" s="5">
        <f>IF(K641=1,IFERROR(MATCH('ORDENES'!$S637,lista_dias,0),9)*1000000000+IFERROR(MATCH('ORDENES'!$AH637,lista_turnos,0),9)*10000000+IFERROR(MATCH('ORDENES'!$AG637,tblTecnicos[nombre],0),99)*100000+634,9000000000000+634)</f>
        <v/>
      </c>
      <c r="M641" s="5">
        <f>IF(K641=1,SUMPRODUCT(--($L$8:$L$1207&lt;L641))+1,"")</f>
        <v/>
      </c>
      <c r="N641" s="17">
        <f>IF(K641=1,N('ORDENES'!$M637),0)</f>
        <v/>
      </c>
      <c r="O641" s="17">
        <f>IF('ORDENES'!$U637="preventiva",N641,0)</f>
        <v/>
      </c>
      <c r="P641" s="17">
        <f>IF('ORDENES'!$U637="correctiva",N641,0)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22">
        <f>IF(K641=1,'ORDENES'!$J637,"")</f>
        <v/>
      </c>
    </row>
    <row r="642">
      <c r="K642" s="5">
        <f>IF(AND(IF($B$3="(todos)",TRUE,'ORDENES'!$O638=$B$3),IF($D$3="(todos)",TRUE,'ORDENES'!$AH638=$D$3),IF($F$3="(todos)",TRUE,'ORDENES'!$Z638=$F$3),IF($H$3="(todos)",TRUE,'ORDENES'!$Y638=$H$3),'ORDENES'!$AF638=TRUE,'ORDENES'!$A638&lt;&gt;""),1,0)</f>
        <v/>
      </c>
      <c r="L642" s="5">
        <f>IF(K642=1,IFERROR(MATCH('ORDENES'!$S638,lista_dias,0),9)*1000000000+IFERROR(MATCH('ORDENES'!$AH638,lista_turnos,0),9)*10000000+IFERROR(MATCH('ORDENES'!$AG638,tblTecnicos[nombre],0),99)*100000+635,9000000000000+635)</f>
        <v/>
      </c>
      <c r="M642" s="5">
        <f>IF(K642=1,SUMPRODUCT(--($L$8:$L$1207&lt;L642))+1,"")</f>
        <v/>
      </c>
      <c r="N642" s="17">
        <f>IF(K642=1,N('ORDENES'!$M638),0)</f>
        <v/>
      </c>
      <c r="O642" s="17">
        <f>IF('ORDENES'!$U638="preventiva",N642,0)</f>
        <v/>
      </c>
      <c r="P642" s="17">
        <f>IF('ORDENES'!$U638="correctiva",N642,0)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22">
        <f>IF(K642=1,'ORDENES'!$J638,"")</f>
        <v/>
      </c>
    </row>
    <row r="643">
      <c r="K643" s="5">
        <f>IF(AND(IF($B$3="(todos)",TRUE,'ORDENES'!$O639=$B$3),IF($D$3="(todos)",TRUE,'ORDENES'!$AH639=$D$3),IF($F$3="(todos)",TRUE,'ORDENES'!$Z639=$F$3),IF($H$3="(todos)",TRUE,'ORDENES'!$Y639=$H$3),'ORDENES'!$AF639=TRUE,'ORDENES'!$A639&lt;&gt;""),1,0)</f>
        <v/>
      </c>
      <c r="L643" s="5">
        <f>IF(K643=1,IFERROR(MATCH('ORDENES'!$S639,lista_dias,0),9)*1000000000+IFERROR(MATCH('ORDENES'!$AH639,lista_turnos,0),9)*10000000+IFERROR(MATCH('ORDENES'!$AG639,tblTecnicos[nombre],0),99)*100000+636,9000000000000+636)</f>
        <v/>
      </c>
      <c r="M643" s="5">
        <f>IF(K643=1,SUMPRODUCT(--($L$8:$L$1207&lt;L643))+1,"")</f>
        <v/>
      </c>
      <c r="N643" s="17">
        <f>IF(K643=1,N('ORDENES'!$M639),0)</f>
        <v/>
      </c>
      <c r="O643" s="17">
        <f>IF('ORDENES'!$U639="preventiva",N643,0)</f>
        <v/>
      </c>
      <c r="P643" s="17">
        <f>IF('ORDENES'!$U639="correctiva",N643,0)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22">
        <f>IF(K643=1,'ORDENES'!$J639,"")</f>
        <v/>
      </c>
    </row>
    <row r="644">
      <c r="K644" s="5">
        <f>IF(AND(IF($B$3="(todos)",TRUE,'ORDENES'!$O640=$B$3),IF($D$3="(todos)",TRUE,'ORDENES'!$AH640=$D$3),IF($F$3="(todos)",TRUE,'ORDENES'!$Z640=$F$3),IF($H$3="(todos)",TRUE,'ORDENES'!$Y640=$H$3),'ORDENES'!$AF640=TRUE,'ORDENES'!$A640&lt;&gt;""),1,0)</f>
        <v/>
      </c>
      <c r="L644" s="5">
        <f>IF(K644=1,IFERROR(MATCH('ORDENES'!$S640,lista_dias,0),9)*1000000000+IFERROR(MATCH('ORDENES'!$AH640,lista_turnos,0),9)*10000000+IFERROR(MATCH('ORDENES'!$AG640,tblTecnicos[nombre],0),99)*100000+637,9000000000000+637)</f>
        <v/>
      </c>
      <c r="M644" s="5">
        <f>IF(K644=1,SUMPRODUCT(--($L$8:$L$1207&lt;L644))+1,"")</f>
        <v/>
      </c>
      <c r="N644" s="17">
        <f>IF(K644=1,N('ORDENES'!$M640),0)</f>
        <v/>
      </c>
      <c r="O644" s="17">
        <f>IF('ORDENES'!$U640="preventiva",N644,0)</f>
        <v/>
      </c>
      <c r="P644" s="17">
        <f>IF('ORDENES'!$U640="correctiva",N644,0)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22">
        <f>IF(K644=1,'ORDENES'!$J640,"")</f>
        <v/>
      </c>
    </row>
    <row r="645">
      <c r="K645" s="5">
        <f>IF(AND(IF($B$3="(todos)",TRUE,'ORDENES'!$O641=$B$3),IF($D$3="(todos)",TRUE,'ORDENES'!$AH641=$D$3),IF($F$3="(todos)",TRUE,'ORDENES'!$Z641=$F$3),IF($H$3="(todos)",TRUE,'ORDENES'!$Y641=$H$3),'ORDENES'!$AF641=TRUE,'ORDENES'!$A641&lt;&gt;""),1,0)</f>
        <v/>
      </c>
      <c r="L645" s="5">
        <f>IF(K645=1,IFERROR(MATCH('ORDENES'!$S641,lista_dias,0),9)*1000000000+IFERROR(MATCH('ORDENES'!$AH641,lista_turnos,0),9)*10000000+IFERROR(MATCH('ORDENES'!$AG641,tblTecnicos[nombre],0),99)*100000+638,9000000000000+638)</f>
        <v/>
      </c>
      <c r="M645" s="5">
        <f>IF(K645=1,SUMPRODUCT(--($L$8:$L$1207&lt;L645))+1,"")</f>
        <v/>
      </c>
      <c r="N645" s="17">
        <f>IF(K645=1,N('ORDENES'!$M641),0)</f>
        <v/>
      </c>
      <c r="O645" s="17">
        <f>IF('ORDENES'!$U641="preventiva",N645,0)</f>
        <v/>
      </c>
      <c r="P645" s="17">
        <f>IF('ORDENES'!$U641="correctiva",N645,0)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22">
        <f>IF(K645=1,'ORDENES'!$J641,"")</f>
        <v/>
      </c>
    </row>
    <row r="646">
      <c r="K646" s="5">
        <f>IF(AND(IF($B$3="(todos)",TRUE,'ORDENES'!$O642=$B$3),IF($D$3="(todos)",TRUE,'ORDENES'!$AH642=$D$3),IF($F$3="(todos)",TRUE,'ORDENES'!$Z642=$F$3),IF($H$3="(todos)",TRUE,'ORDENES'!$Y642=$H$3),'ORDENES'!$AF642=TRUE,'ORDENES'!$A642&lt;&gt;""),1,0)</f>
        <v/>
      </c>
      <c r="L646" s="5">
        <f>IF(K646=1,IFERROR(MATCH('ORDENES'!$S642,lista_dias,0),9)*1000000000+IFERROR(MATCH('ORDENES'!$AH642,lista_turnos,0),9)*10000000+IFERROR(MATCH('ORDENES'!$AG642,tblTecnicos[nombre],0),99)*100000+639,9000000000000+639)</f>
        <v/>
      </c>
      <c r="M646" s="5">
        <f>IF(K646=1,SUMPRODUCT(--($L$8:$L$1207&lt;L646))+1,"")</f>
        <v/>
      </c>
      <c r="N646" s="17">
        <f>IF(K646=1,N('ORDENES'!$M642),0)</f>
        <v/>
      </c>
      <c r="O646" s="17">
        <f>IF('ORDENES'!$U642="preventiva",N646,0)</f>
        <v/>
      </c>
      <c r="P646" s="17">
        <f>IF('ORDENES'!$U642="correctiva",N646,0)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22">
        <f>IF(K646=1,'ORDENES'!$J642,"")</f>
        <v/>
      </c>
    </row>
    <row r="647">
      <c r="K647" s="5">
        <f>IF(AND(IF($B$3="(todos)",TRUE,'ORDENES'!$O643=$B$3),IF($D$3="(todos)",TRUE,'ORDENES'!$AH643=$D$3),IF($F$3="(todos)",TRUE,'ORDENES'!$Z643=$F$3),IF($H$3="(todos)",TRUE,'ORDENES'!$Y643=$H$3),'ORDENES'!$AF643=TRUE,'ORDENES'!$A643&lt;&gt;""),1,0)</f>
        <v/>
      </c>
      <c r="L647" s="5">
        <f>IF(K647=1,IFERROR(MATCH('ORDENES'!$S643,lista_dias,0),9)*1000000000+IFERROR(MATCH('ORDENES'!$AH643,lista_turnos,0),9)*10000000+IFERROR(MATCH('ORDENES'!$AG643,tblTecnicos[nombre],0),99)*100000+640,9000000000000+640)</f>
        <v/>
      </c>
      <c r="M647" s="5">
        <f>IF(K647=1,SUMPRODUCT(--($L$8:$L$1207&lt;L647))+1,"")</f>
        <v/>
      </c>
      <c r="N647" s="17">
        <f>IF(K647=1,N('ORDENES'!$M643),0)</f>
        <v/>
      </c>
      <c r="O647" s="17">
        <f>IF('ORDENES'!$U643="preventiva",N647,0)</f>
        <v/>
      </c>
      <c r="P647" s="17">
        <f>IF('ORDENES'!$U643="correctiva",N647,0)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22">
        <f>IF(K647=1,'ORDENES'!$J643,"")</f>
        <v/>
      </c>
    </row>
    <row r="648">
      <c r="K648" s="5">
        <f>IF(AND(IF($B$3="(todos)",TRUE,'ORDENES'!$O644=$B$3),IF($D$3="(todos)",TRUE,'ORDENES'!$AH644=$D$3),IF($F$3="(todos)",TRUE,'ORDENES'!$Z644=$F$3),IF($H$3="(todos)",TRUE,'ORDENES'!$Y644=$H$3),'ORDENES'!$AF644=TRUE,'ORDENES'!$A644&lt;&gt;""),1,0)</f>
        <v/>
      </c>
      <c r="L648" s="5">
        <f>IF(K648=1,IFERROR(MATCH('ORDENES'!$S644,lista_dias,0),9)*1000000000+IFERROR(MATCH('ORDENES'!$AH644,lista_turnos,0),9)*10000000+IFERROR(MATCH('ORDENES'!$AG644,tblTecnicos[nombre],0),99)*100000+641,9000000000000+641)</f>
        <v/>
      </c>
      <c r="M648" s="5">
        <f>IF(K648=1,SUMPRODUCT(--($L$8:$L$1207&lt;L648))+1,"")</f>
        <v/>
      </c>
      <c r="N648" s="17">
        <f>IF(K648=1,N('ORDENES'!$M644),0)</f>
        <v/>
      </c>
      <c r="O648" s="17">
        <f>IF('ORDENES'!$U644="preventiva",N648,0)</f>
        <v/>
      </c>
      <c r="P648" s="17">
        <f>IF('ORDENES'!$U644="correctiva",N648,0)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22">
        <f>IF(K648=1,'ORDENES'!$J644,"")</f>
        <v/>
      </c>
    </row>
    <row r="649">
      <c r="K649" s="5">
        <f>IF(AND(IF($B$3="(todos)",TRUE,'ORDENES'!$O645=$B$3),IF($D$3="(todos)",TRUE,'ORDENES'!$AH645=$D$3),IF($F$3="(todos)",TRUE,'ORDENES'!$Z645=$F$3),IF($H$3="(todos)",TRUE,'ORDENES'!$Y645=$H$3),'ORDENES'!$AF645=TRUE,'ORDENES'!$A645&lt;&gt;""),1,0)</f>
        <v/>
      </c>
      <c r="L649" s="5">
        <f>IF(K649=1,IFERROR(MATCH('ORDENES'!$S645,lista_dias,0),9)*1000000000+IFERROR(MATCH('ORDENES'!$AH645,lista_turnos,0),9)*10000000+IFERROR(MATCH('ORDENES'!$AG645,tblTecnicos[nombre],0),99)*100000+642,9000000000000+642)</f>
        <v/>
      </c>
      <c r="M649" s="5">
        <f>IF(K649=1,SUMPRODUCT(--($L$8:$L$1207&lt;L649))+1,"")</f>
        <v/>
      </c>
      <c r="N649" s="17">
        <f>IF(K649=1,N('ORDENES'!$M645),0)</f>
        <v/>
      </c>
      <c r="O649" s="17">
        <f>IF('ORDENES'!$U645="preventiva",N649,0)</f>
        <v/>
      </c>
      <c r="P649" s="17">
        <f>IF('ORDENES'!$U645="correctiva",N649,0)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22">
        <f>IF(K649=1,'ORDENES'!$J645,"")</f>
        <v/>
      </c>
    </row>
    <row r="650">
      <c r="K650" s="5">
        <f>IF(AND(IF($B$3="(todos)",TRUE,'ORDENES'!$O646=$B$3),IF($D$3="(todos)",TRUE,'ORDENES'!$AH646=$D$3),IF($F$3="(todos)",TRUE,'ORDENES'!$Z646=$F$3),IF($H$3="(todos)",TRUE,'ORDENES'!$Y646=$H$3),'ORDENES'!$AF646=TRUE,'ORDENES'!$A646&lt;&gt;""),1,0)</f>
        <v/>
      </c>
      <c r="L650" s="5">
        <f>IF(K650=1,IFERROR(MATCH('ORDENES'!$S646,lista_dias,0),9)*1000000000+IFERROR(MATCH('ORDENES'!$AH646,lista_turnos,0),9)*10000000+IFERROR(MATCH('ORDENES'!$AG646,tblTecnicos[nombre],0),99)*100000+643,9000000000000+643)</f>
        <v/>
      </c>
      <c r="M650" s="5">
        <f>IF(K650=1,SUMPRODUCT(--($L$8:$L$1207&lt;L650))+1,"")</f>
        <v/>
      </c>
      <c r="N650" s="17">
        <f>IF(K650=1,N('ORDENES'!$M646),0)</f>
        <v/>
      </c>
      <c r="O650" s="17">
        <f>IF('ORDENES'!$U646="preventiva",N650,0)</f>
        <v/>
      </c>
      <c r="P650" s="17">
        <f>IF('ORDENES'!$U646="correctiva",N650,0)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22">
        <f>IF(K650=1,'ORDENES'!$J646,"")</f>
        <v/>
      </c>
    </row>
    <row r="651">
      <c r="K651" s="5">
        <f>IF(AND(IF($B$3="(todos)",TRUE,'ORDENES'!$O647=$B$3),IF($D$3="(todos)",TRUE,'ORDENES'!$AH647=$D$3),IF($F$3="(todos)",TRUE,'ORDENES'!$Z647=$F$3),IF($H$3="(todos)",TRUE,'ORDENES'!$Y647=$H$3),'ORDENES'!$AF647=TRUE,'ORDENES'!$A647&lt;&gt;""),1,0)</f>
        <v/>
      </c>
      <c r="L651" s="5">
        <f>IF(K651=1,IFERROR(MATCH('ORDENES'!$S647,lista_dias,0),9)*1000000000+IFERROR(MATCH('ORDENES'!$AH647,lista_turnos,0),9)*10000000+IFERROR(MATCH('ORDENES'!$AG647,tblTecnicos[nombre],0),99)*100000+644,9000000000000+644)</f>
        <v/>
      </c>
      <c r="M651" s="5">
        <f>IF(K651=1,SUMPRODUCT(--($L$8:$L$1207&lt;L651))+1,"")</f>
        <v/>
      </c>
      <c r="N651" s="17">
        <f>IF(K651=1,N('ORDENES'!$M647),0)</f>
        <v/>
      </c>
      <c r="O651" s="17">
        <f>IF('ORDENES'!$U647="preventiva",N651,0)</f>
        <v/>
      </c>
      <c r="P651" s="17">
        <f>IF('ORDENES'!$U647="correctiva",N651,0)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22">
        <f>IF(K651=1,'ORDENES'!$J647,"")</f>
        <v/>
      </c>
    </row>
    <row r="652">
      <c r="K652" s="5">
        <f>IF(AND(IF($B$3="(todos)",TRUE,'ORDENES'!$O648=$B$3),IF($D$3="(todos)",TRUE,'ORDENES'!$AH648=$D$3),IF($F$3="(todos)",TRUE,'ORDENES'!$Z648=$F$3),IF($H$3="(todos)",TRUE,'ORDENES'!$Y648=$H$3),'ORDENES'!$AF648=TRUE,'ORDENES'!$A648&lt;&gt;""),1,0)</f>
        <v/>
      </c>
      <c r="L652" s="5">
        <f>IF(K652=1,IFERROR(MATCH('ORDENES'!$S648,lista_dias,0),9)*1000000000+IFERROR(MATCH('ORDENES'!$AH648,lista_turnos,0),9)*10000000+IFERROR(MATCH('ORDENES'!$AG648,tblTecnicos[nombre],0),99)*100000+645,9000000000000+645)</f>
        <v/>
      </c>
      <c r="M652" s="5">
        <f>IF(K652=1,SUMPRODUCT(--($L$8:$L$1207&lt;L652))+1,"")</f>
        <v/>
      </c>
      <c r="N652" s="17">
        <f>IF(K652=1,N('ORDENES'!$M648),0)</f>
        <v/>
      </c>
      <c r="O652" s="17">
        <f>IF('ORDENES'!$U648="preventiva",N652,0)</f>
        <v/>
      </c>
      <c r="P652" s="17">
        <f>IF('ORDENES'!$U648="correctiva",N652,0)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22">
        <f>IF(K652=1,'ORDENES'!$J648,"")</f>
        <v/>
      </c>
    </row>
    <row r="653">
      <c r="K653" s="5">
        <f>IF(AND(IF($B$3="(todos)",TRUE,'ORDENES'!$O649=$B$3),IF($D$3="(todos)",TRUE,'ORDENES'!$AH649=$D$3),IF($F$3="(todos)",TRUE,'ORDENES'!$Z649=$F$3),IF($H$3="(todos)",TRUE,'ORDENES'!$Y649=$H$3),'ORDENES'!$AF649=TRUE,'ORDENES'!$A649&lt;&gt;""),1,0)</f>
        <v/>
      </c>
      <c r="L653" s="5">
        <f>IF(K653=1,IFERROR(MATCH('ORDENES'!$S649,lista_dias,0),9)*1000000000+IFERROR(MATCH('ORDENES'!$AH649,lista_turnos,0),9)*10000000+IFERROR(MATCH('ORDENES'!$AG649,tblTecnicos[nombre],0),99)*100000+646,9000000000000+646)</f>
        <v/>
      </c>
      <c r="M653" s="5">
        <f>IF(K653=1,SUMPRODUCT(--($L$8:$L$1207&lt;L653))+1,"")</f>
        <v/>
      </c>
      <c r="N653" s="17">
        <f>IF(K653=1,N('ORDENES'!$M649),0)</f>
        <v/>
      </c>
      <c r="O653" s="17">
        <f>IF('ORDENES'!$U649="preventiva",N653,0)</f>
        <v/>
      </c>
      <c r="P653" s="17">
        <f>IF('ORDENES'!$U649="correctiva",N653,0)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22">
        <f>IF(K653=1,'ORDENES'!$J649,"")</f>
        <v/>
      </c>
    </row>
    <row r="654">
      <c r="K654" s="5">
        <f>IF(AND(IF($B$3="(todos)",TRUE,'ORDENES'!$O650=$B$3),IF($D$3="(todos)",TRUE,'ORDENES'!$AH650=$D$3),IF($F$3="(todos)",TRUE,'ORDENES'!$Z650=$F$3),IF($H$3="(todos)",TRUE,'ORDENES'!$Y650=$H$3),'ORDENES'!$AF650=TRUE,'ORDENES'!$A650&lt;&gt;""),1,0)</f>
        <v/>
      </c>
      <c r="L654" s="5">
        <f>IF(K654=1,IFERROR(MATCH('ORDENES'!$S650,lista_dias,0),9)*1000000000+IFERROR(MATCH('ORDENES'!$AH650,lista_turnos,0),9)*10000000+IFERROR(MATCH('ORDENES'!$AG650,tblTecnicos[nombre],0),99)*100000+647,9000000000000+647)</f>
        <v/>
      </c>
      <c r="M654" s="5">
        <f>IF(K654=1,SUMPRODUCT(--($L$8:$L$1207&lt;L654))+1,"")</f>
        <v/>
      </c>
      <c r="N654" s="17">
        <f>IF(K654=1,N('ORDENES'!$M650),0)</f>
        <v/>
      </c>
      <c r="O654" s="17">
        <f>IF('ORDENES'!$U650="preventiva",N654,0)</f>
        <v/>
      </c>
      <c r="P654" s="17">
        <f>IF('ORDENES'!$U650="correctiva",N654,0)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22">
        <f>IF(K654=1,'ORDENES'!$J650,"")</f>
        <v/>
      </c>
    </row>
    <row r="655">
      <c r="K655" s="5">
        <f>IF(AND(IF($B$3="(todos)",TRUE,'ORDENES'!$O651=$B$3),IF($D$3="(todos)",TRUE,'ORDENES'!$AH651=$D$3),IF($F$3="(todos)",TRUE,'ORDENES'!$Z651=$F$3),IF($H$3="(todos)",TRUE,'ORDENES'!$Y651=$H$3),'ORDENES'!$AF651=TRUE,'ORDENES'!$A651&lt;&gt;""),1,0)</f>
        <v/>
      </c>
      <c r="L655" s="5">
        <f>IF(K655=1,IFERROR(MATCH('ORDENES'!$S651,lista_dias,0),9)*1000000000+IFERROR(MATCH('ORDENES'!$AH651,lista_turnos,0),9)*10000000+IFERROR(MATCH('ORDENES'!$AG651,tblTecnicos[nombre],0),99)*100000+648,9000000000000+648)</f>
        <v/>
      </c>
      <c r="M655" s="5">
        <f>IF(K655=1,SUMPRODUCT(--($L$8:$L$1207&lt;L655))+1,"")</f>
        <v/>
      </c>
      <c r="N655" s="17">
        <f>IF(K655=1,N('ORDENES'!$M651),0)</f>
        <v/>
      </c>
      <c r="O655" s="17">
        <f>IF('ORDENES'!$U651="preventiva",N655,0)</f>
        <v/>
      </c>
      <c r="P655" s="17">
        <f>IF('ORDENES'!$U651="correctiva",N655,0)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22">
        <f>IF(K655=1,'ORDENES'!$J651,"")</f>
        <v/>
      </c>
    </row>
    <row r="656">
      <c r="K656" s="5">
        <f>IF(AND(IF($B$3="(todos)",TRUE,'ORDENES'!$O652=$B$3),IF($D$3="(todos)",TRUE,'ORDENES'!$AH652=$D$3),IF($F$3="(todos)",TRUE,'ORDENES'!$Z652=$F$3),IF($H$3="(todos)",TRUE,'ORDENES'!$Y652=$H$3),'ORDENES'!$AF652=TRUE,'ORDENES'!$A652&lt;&gt;""),1,0)</f>
        <v/>
      </c>
      <c r="L656" s="5">
        <f>IF(K656=1,IFERROR(MATCH('ORDENES'!$S652,lista_dias,0),9)*1000000000+IFERROR(MATCH('ORDENES'!$AH652,lista_turnos,0),9)*10000000+IFERROR(MATCH('ORDENES'!$AG652,tblTecnicos[nombre],0),99)*100000+649,9000000000000+649)</f>
        <v/>
      </c>
      <c r="M656" s="5">
        <f>IF(K656=1,SUMPRODUCT(--($L$8:$L$1207&lt;L656))+1,"")</f>
        <v/>
      </c>
      <c r="N656" s="17">
        <f>IF(K656=1,N('ORDENES'!$M652),0)</f>
        <v/>
      </c>
      <c r="O656" s="17">
        <f>IF('ORDENES'!$U652="preventiva",N656,0)</f>
        <v/>
      </c>
      <c r="P656" s="17">
        <f>IF('ORDENES'!$U652="correctiva",N656,0)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22">
        <f>IF(K656=1,'ORDENES'!$J652,"")</f>
        <v/>
      </c>
    </row>
    <row r="657">
      <c r="K657" s="5">
        <f>IF(AND(IF($B$3="(todos)",TRUE,'ORDENES'!$O653=$B$3),IF($D$3="(todos)",TRUE,'ORDENES'!$AH653=$D$3),IF($F$3="(todos)",TRUE,'ORDENES'!$Z653=$F$3),IF($H$3="(todos)",TRUE,'ORDENES'!$Y653=$H$3),'ORDENES'!$AF653=TRUE,'ORDENES'!$A653&lt;&gt;""),1,0)</f>
        <v/>
      </c>
      <c r="L657" s="5">
        <f>IF(K657=1,IFERROR(MATCH('ORDENES'!$S653,lista_dias,0),9)*1000000000+IFERROR(MATCH('ORDENES'!$AH653,lista_turnos,0),9)*10000000+IFERROR(MATCH('ORDENES'!$AG653,tblTecnicos[nombre],0),99)*100000+650,9000000000000+650)</f>
        <v/>
      </c>
      <c r="M657" s="5">
        <f>IF(K657=1,SUMPRODUCT(--($L$8:$L$1207&lt;L657))+1,"")</f>
        <v/>
      </c>
      <c r="N657" s="17">
        <f>IF(K657=1,N('ORDENES'!$M653),0)</f>
        <v/>
      </c>
      <c r="O657" s="17">
        <f>IF('ORDENES'!$U653="preventiva",N657,0)</f>
        <v/>
      </c>
      <c r="P657" s="17">
        <f>IF('ORDENES'!$U653="correctiva",N657,0)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22">
        <f>IF(K657=1,'ORDENES'!$J653,"")</f>
        <v/>
      </c>
    </row>
    <row r="658">
      <c r="K658" s="5">
        <f>IF(AND(IF($B$3="(todos)",TRUE,'ORDENES'!$O654=$B$3),IF($D$3="(todos)",TRUE,'ORDENES'!$AH654=$D$3),IF($F$3="(todos)",TRUE,'ORDENES'!$Z654=$F$3),IF($H$3="(todos)",TRUE,'ORDENES'!$Y654=$H$3),'ORDENES'!$AF654=TRUE,'ORDENES'!$A654&lt;&gt;""),1,0)</f>
        <v/>
      </c>
      <c r="L658" s="5">
        <f>IF(K658=1,IFERROR(MATCH('ORDENES'!$S654,lista_dias,0),9)*1000000000+IFERROR(MATCH('ORDENES'!$AH654,lista_turnos,0),9)*10000000+IFERROR(MATCH('ORDENES'!$AG654,tblTecnicos[nombre],0),99)*100000+651,9000000000000+651)</f>
        <v/>
      </c>
      <c r="M658" s="5">
        <f>IF(K658=1,SUMPRODUCT(--($L$8:$L$1207&lt;L658))+1,"")</f>
        <v/>
      </c>
      <c r="N658" s="17">
        <f>IF(K658=1,N('ORDENES'!$M654),0)</f>
        <v/>
      </c>
      <c r="O658" s="17">
        <f>IF('ORDENES'!$U654="preventiva",N658,0)</f>
        <v/>
      </c>
      <c r="P658" s="17">
        <f>IF('ORDENES'!$U654="correctiva",N658,0)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22">
        <f>IF(K658=1,'ORDENES'!$J654,"")</f>
        <v/>
      </c>
    </row>
    <row r="659">
      <c r="K659" s="5">
        <f>IF(AND(IF($B$3="(todos)",TRUE,'ORDENES'!$O655=$B$3),IF($D$3="(todos)",TRUE,'ORDENES'!$AH655=$D$3),IF($F$3="(todos)",TRUE,'ORDENES'!$Z655=$F$3),IF($H$3="(todos)",TRUE,'ORDENES'!$Y655=$H$3),'ORDENES'!$AF655=TRUE,'ORDENES'!$A655&lt;&gt;""),1,0)</f>
        <v/>
      </c>
      <c r="L659" s="5">
        <f>IF(K659=1,IFERROR(MATCH('ORDENES'!$S655,lista_dias,0),9)*1000000000+IFERROR(MATCH('ORDENES'!$AH655,lista_turnos,0),9)*10000000+IFERROR(MATCH('ORDENES'!$AG655,tblTecnicos[nombre],0),99)*100000+652,9000000000000+652)</f>
        <v/>
      </c>
      <c r="M659" s="5">
        <f>IF(K659=1,SUMPRODUCT(--($L$8:$L$1207&lt;L659))+1,"")</f>
        <v/>
      </c>
      <c r="N659" s="17">
        <f>IF(K659=1,N('ORDENES'!$M655),0)</f>
        <v/>
      </c>
      <c r="O659" s="17">
        <f>IF('ORDENES'!$U655="preventiva",N659,0)</f>
        <v/>
      </c>
      <c r="P659" s="17">
        <f>IF('ORDENES'!$U655="correctiva",N659,0)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22">
        <f>IF(K659=1,'ORDENES'!$J655,"")</f>
        <v/>
      </c>
    </row>
    <row r="660">
      <c r="K660" s="5">
        <f>IF(AND(IF($B$3="(todos)",TRUE,'ORDENES'!$O656=$B$3),IF($D$3="(todos)",TRUE,'ORDENES'!$AH656=$D$3),IF($F$3="(todos)",TRUE,'ORDENES'!$Z656=$F$3),IF($H$3="(todos)",TRUE,'ORDENES'!$Y656=$H$3),'ORDENES'!$AF656=TRUE,'ORDENES'!$A656&lt;&gt;""),1,0)</f>
        <v/>
      </c>
      <c r="L660" s="5">
        <f>IF(K660=1,IFERROR(MATCH('ORDENES'!$S656,lista_dias,0),9)*1000000000+IFERROR(MATCH('ORDENES'!$AH656,lista_turnos,0),9)*10000000+IFERROR(MATCH('ORDENES'!$AG656,tblTecnicos[nombre],0),99)*100000+653,9000000000000+653)</f>
        <v/>
      </c>
      <c r="M660" s="5">
        <f>IF(K660=1,SUMPRODUCT(--($L$8:$L$1207&lt;L660))+1,"")</f>
        <v/>
      </c>
      <c r="N660" s="17">
        <f>IF(K660=1,N('ORDENES'!$M656),0)</f>
        <v/>
      </c>
      <c r="O660" s="17">
        <f>IF('ORDENES'!$U656="preventiva",N660,0)</f>
        <v/>
      </c>
      <c r="P660" s="17">
        <f>IF('ORDENES'!$U656="correctiva",N660,0)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22">
        <f>IF(K660=1,'ORDENES'!$J656,"")</f>
        <v/>
      </c>
    </row>
    <row r="661">
      <c r="K661" s="5">
        <f>IF(AND(IF($B$3="(todos)",TRUE,'ORDENES'!$O657=$B$3),IF($D$3="(todos)",TRUE,'ORDENES'!$AH657=$D$3),IF($F$3="(todos)",TRUE,'ORDENES'!$Z657=$F$3),IF($H$3="(todos)",TRUE,'ORDENES'!$Y657=$H$3),'ORDENES'!$AF657=TRUE,'ORDENES'!$A657&lt;&gt;""),1,0)</f>
        <v/>
      </c>
      <c r="L661" s="5">
        <f>IF(K661=1,IFERROR(MATCH('ORDENES'!$S657,lista_dias,0),9)*1000000000+IFERROR(MATCH('ORDENES'!$AH657,lista_turnos,0),9)*10000000+IFERROR(MATCH('ORDENES'!$AG657,tblTecnicos[nombre],0),99)*100000+654,9000000000000+654)</f>
        <v/>
      </c>
      <c r="M661" s="5">
        <f>IF(K661=1,SUMPRODUCT(--($L$8:$L$1207&lt;L661))+1,"")</f>
        <v/>
      </c>
      <c r="N661" s="17">
        <f>IF(K661=1,N('ORDENES'!$M657),0)</f>
        <v/>
      </c>
      <c r="O661" s="17">
        <f>IF('ORDENES'!$U657="preventiva",N661,0)</f>
        <v/>
      </c>
      <c r="P661" s="17">
        <f>IF('ORDENES'!$U657="correctiva",N661,0)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22">
        <f>IF(K661=1,'ORDENES'!$J657,"")</f>
        <v/>
      </c>
    </row>
    <row r="662">
      <c r="K662" s="5">
        <f>IF(AND(IF($B$3="(todos)",TRUE,'ORDENES'!$O658=$B$3),IF($D$3="(todos)",TRUE,'ORDENES'!$AH658=$D$3),IF($F$3="(todos)",TRUE,'ORDENES'!$Z658=$F$3),IF($H$3="(todos)",TRUE,'ORDENES'!$Y658=$H$3),'ORDENES'!$AF658=TRUE,'ORDENES'!$A658&lt;&gt;""),1,0)</f>
        <v/>
      </c>
      <c r="L662" s="5">
        <f>IF(K662=1,IFERROR(MATCH('ORDENES'!$S658,lista_dias,0),9)*1000000000+IFERROR(MATCH('ORDENES'!$AH658,lista_turnos,0),9)*10000000+IFERROR(MATCH('ORDENES'!$AG658,tblTecnicos[nombre],0),99)*100000+655,9000000000000+655)</f>
        <v/>
      </c>
      <c r="M662" s="5">
        <f>IF(K662=1,SUMPRODUCT(--($L$8:$L$1207&lt;L662))+1,"")</f>
        <v/>
      </c>
      <c r="N662" s="17">
        <f>IF(K662=1,N('ORDENES'!$M658),0)</f>
        <v/>
      </c>
      <c r="O662" s="17">
        <f>IF('ORDENES'!$U658="preventiva",N662,0)</f>
        <v/>
      </c>
      <c r="P662" s="17">
        <f>IF('ORDENES'!$U658="correctiva",N662,0)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22">
        <f>IF(K662=1,'ORDENES'!$J658,"")</f>
        <v/>
      </c>
    </row>
    <row r="663">
      <c r="K663" s="5">
        <f>IF(AND(IF($B$3="(todos)",TRUE,'ORDENES'!$O659=$B$3),IF($D$3="(todos)",TRUE,'ORDENES'!$AH659=$D$3),IF($F$3="(todos)",TRUE,'ORDENES'!$Z659=$F$3),IF($H$3="(todos)",TRUE,'ORDENES'!$Y659=$H$3),'ORDENES'!$AF659=TRUE,'ORDENES'!$A659&lt;&gt;""),1,0)</f>
        <v/>
      </c>
      <c r="L663" s="5">
        <f>IF(K663=1,IFERROR(MATCH('ORDENES'!$S659,lista_dias,0),9)*1000000000+IFERROR(MATCH('ORDENES'!$AH659,lista_turnos,0),9)*10000000+IFERROR(MATCH('ORDENES'!$AG659,tblTecnicos[nombre],0),99)*100000+656,9000000000000+656)</f>
        <v/>
      </c>
      <c r="M663" s="5">
        <f>IF(K663=1,SUMPRODUCT(--($L$8:$L$1207&lt;L663))+1,"")</f>
        <v/>
      </c>
      <c r="N663" s="17">
        <f>IF(K663=1,N('ORDENES'!$M659),0)</f>
        <v/>
      </c>
      <c r="O663" s="17">
        <f>IF('ORDENES'!$U659="preventiva",N663,0)</f>
        <v/>
      </c>
      <c r="P663" s="17">
        <f>IF('ORDENES'!$U659="correctiva",N663,0)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22">
        <f>IF(K663=1,'ORDENES'!$J659,"")</f>
        <v/>
      </c>
    </row>
    <row r="664">
      <c r="K664" s="5">
        <f>IF(AND(IF($B$3="(todos)",TRUE,'ORDENES'!$O660=$B$3),IF($D$3="(todos)",TRUE,'ORDENES'!$AH660=$D$3),IF($F$3="(todos)",TRUE,'ORDENES'!$Z660=$F$3),IF($H$3="(todos)",TRUE,'ORDENES'!$Y660=$H$3),'ORDENES'!$AF660=TRUE,'ORDENES'!$A660&lt;&gt;""),1,0)</f>
        <v/>
      </c>
      <c r="L664" s="5">
        <f>IF(K664=1,IFERROR(MATCH('ORDENES'!$S660,lista_dias,0),9)*1000000000+IFERROR(MATCH('ORDENES'!$AH660,lista_turnos,0),9)*10000000+IFERROR(MATCH('ORDENES'!$AG660,tblTecnicos[nombre],0),99)*100000+657,9000000000000+657)</f>
        <v/>
      </c>
      <c r="M664" s="5">
        <f>IF(K664=1,SUMPRODUCT(--($L$8:$L$1207&lt;L664))+1,"")</f>
        <v/>
      </c>
      <c r="N664" s="17">
        <f>IF(K664=1,N('ORDENES'!$M660),0)</f>
        <v/>
      </c>
      <c r="O664" s="17">
        <f>IF('ORDENES'!$U660="preventiva",N664,0)</f>
        <v/>
      </c>
      <c r="P664" s="17">
        <f>IF('ORDENES'!$U660="correctiva",N664,0)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22">
        <f>IF(K664=1,'ORDENES'!$J660,"")</f>
        <v/>
      </c>
    </row>
    <row r="665">
      <c r="K665" s="5">
        <f>IF(AND(IF($B$3="(todos)",TRUE,'ORDENES'!$O661=$B$3),IF($D$3="(todos)",TRUE,'ORDENES'!$AH661=$D$3),IF($F$3="(todos)",TRUE,'ORDENES'!$Z661=$F$3),IF($H$3="(todos)",TRUE,'ORDENES'!$Y661=$H$3),'ORDENES'!$AF661=TRUE,'ORDENES'!$A661&lt;&gt;""),1,0)</f>
        <v/>
      </c>
      <c r="L665" s="5">
        <f>IF(K665=1,IFERROR(MATCH('ORDENES'!$S661,lista_dias,0),9)*1000000000+IFERROR(MATCH('ORDENES'!$AH661,lista_turnos,0),9)*10000000+IFERROR(MATCH('ORDENES'!$AG661,tblTecnicos[nombre],0),99)*100000+658,9000000000000+658)</f>
        <v/>
      </c>
      <c r="M665" s="5">
        <f>IF(K665=1,SUMPRODUCT(--($L$8:$L$1207&lt;L665))+1,"")</f>
        <v/>
      </c>
      <c r="N665" s="17">
        <f>IF(K665=1,N('ORDENES'!$M661),0)</f>
        <v/>
      </c>
      <c r="O665" s="17">
        <f>IF('ORDENES'!$U661="preventiva",N665,0)</f>
        <v/>
      </c>
      <c r="P665" s="17">
        <f>IF('ORDENES'!$U661="correctiva",N665,0)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22">
        <f>IF(K665=1,'ORDENES'!$J661,"")</f>
        <v/>
      </c>
    </row>
    <row r="666">
      <c r="K666" s="5">
        <f>IF(AND(IF($B$3="(todos)",TRUE,'ORDENES'!$O662=$B$3),IF($D$3="(todos)",TRUE,'ORDENES'!$AH662=$D$3),IF($F$3="(todos)",TRUE,'ORDENES'!$Z662=$F$3),IF($H$3="(todos)",TRUE,'ORDENES'!$Y662=$H$3),'ORDENES'!$AF662=TRUE,'ORDENES'!$A662&lt;&gt;""),1,0)</f>
        <v/>
      </c>
      <c r="L666" s="5">
        <f>IF(K666=1,IFERROR(MATCH('ORDENES'!$S662,lista_dias,0),9)*1000000000+IFERROR(MATCH('ORDENES'!$AH662,lista_turnos,0),9)*10000000+IFERROR(MATCH('ORDENES'!$AG662,tblTecnicos[nombre],0),99)*100000+659,9000000000000+659)</f>
        <v/>
      </c>
      <c r="M666" s="5">
        <f>IF(K666=1,SUMPRODUCT(--($L$8:$L$1207&lt;L666))+1,"")</f>
        <v/>
      </c>
      <c r="N666" s="17">
        <f>IF(K666=1,N('ORDENES'!$M662),0)</f>
        <v/>
      </c>
      <c r="O666" s="17">
        <f>IF('ORDENES'!$U662="preventiva",N666,0)</f>
        <v/>
      </c>
      <c r="P666" s="17">
        <f>IF('ORDENES'!$U662="correctiva",N666,0)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22">
        <f>IF(K666=1,'ORDENES'!$J662,"")</f>
        <v/>
      </c>
    </row>
    <row r="667">
      <c r="K667" s="5">
        <f>IF(AND(IF($B$3="(todos)",TRUE,'ORDENES'!$O663=$B$3),IF($D$3="(todos)",TRUE,'ORDENES'!$AH663=$D$3),IF($F$3="(todos)",TRUE,'ORDENES'!$Z663=$F$3),IF($H$3="(todos)",TRUE,'ORDENES'!$Y663=$H$3),'ORDENES'!$AF663=TRUE,'ORDENES'!$A663&lt;&gt;""),1,0)</f>
        <v/>
      </c>
      <c r="L667" s="5">
        <f>IF(K667=1,IFERROR(MATCH('ORDENES'!$S663,lista_dias,0),9)*1000000000+IFERROR(MATCH('ORDENES'!$AH663,lista_turnos,0),9)*10000000+IFERROR(MATCH('ORDENES'!$AG663,tblTecnicos[nombre],0),99)*100000+660,9000000000000+660)</f>
        <v/>
      </c>
      <c r="M667" s="5">
        <f>IF(K667=1,SUMPRODUCT(--($L$8:$L$1207&lt;L667))+1,"")</f>
        <v/>
      </c>
      <c r="N667" s="17">
        <f>IF(K667=1,N('ORDENES'!$M663),0)</f>
        <v/>
      </c>
      <c r="O667" s="17">
        <f>IF('ORDENES'!$U663="preventiva",N667,0)</f>
        <v/>
      </c>
      <c r="P667" s="17">
        <f>IF('ORDENES'!$U663="correctiva",N667,0)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22">
        <f>IF(K667=1,'ORDENES'!$J663,"")</f>
        <v/>
      </c>
    </row>
    <row r="668">
      <c r="K668" s="5">
        <f>IF(AND(IF($B$3="(todos)",TRUE,'ORDENES'!$O664=$B$3),IF($D$3="(todos)",TRUE,'ORDENES'!$AH664=$D$3),IF($F$3="(todos)",TRUE,'ORDENES'!$Z664=$F$3),IF($H$3="(todos)",TRUE,'ORDENES'!$Y664=$H$3),'ORDENES'!$AF664=TRUE,'ORDENES'!$A664&lt;&gt;""),1,0)</f>
        <v/>
      </c>
      <c r="L668" s="5">
        <f>IF(K668=1,IFERROR(MATCH('ORDENES'!$S664,lista_dias,0),9)*1000000000+IFERROR(MATCH('ORDENES'!$AH664,lista_turnos,0),9)*10000000+IFERROR(MATCH('ORDENES'!$AG664,tblTecnicos[nombre],0),99)*100000+661,9000000000000+661)</f>
        <v/>
      </c>
      <c r="M668" s="5">
        <f>IF(K668=1,SUMPRODUCT(--($L$8:$L$1207&lt;L668))+1,"")</f>
        <v/>
      </c>
      <c r="N668" s="17">
        <f>IF(K668=1,N('ORDENES'!$M664),0)</f>
        <v/>
      </c>
      <c r="O668" s="17">
        <f>IF('ORDENES'!$U664="preventiva",N668,0)</f>
        <v/>
      </c>
      <c r="P668" s="17">
        <f>IF('ORDENES'!$U664="correctiva",N668,0)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22">
        <f>IF(K668=1,'ORDENES'!$J664,"")</f>
        <v/>
      </c>
    </row>
    <row r="669">
      <c r="K669" s="5">
        <f>IF(AND(IF($B$3="(todos)",TRUE,'ORDENES'!$O665=$B$3),IF($D$3="(todos)",TRUE,'ORDENES'!$AH665=$D$3),IF($F$3="(todos)",TRUE,'ORDENES'!$Z665=$F$3),IF($H$3="(todos)",TRUE,'ORDENES'!$Y665=$H$3),'ORDENES'!$AF665=TRUE,'ORDENES'!$A665&lt;&gt;""),1,0)</f>
        <v/>
      </c>
      <c r="L669" s="5">
        <f>IF(K669=1,IFERROR(MATCH('ORDENES'!$S665,lista_dias,0),9)*1000000000+IFERROR(MATCH('ORDENES'!$AH665,lista_turnos,0),9)*10000000+IFERROR(MATCH('ORDENES'!$AG665,tblTecnicos[nombre],0),99)*100000+662,9000000000000+662)</f>
        <v/>
      </c>
      <c r="M669" s="5">
        <f>IF(K669=1,SUMPRODUCT(--($L$8:$L$1207&lt;L669))+1,"")</f>
        <v/>
      </c>
      <c r="N669" s="17">
        <f>IF(K669=1,N('ORDENES'!$M665),0)</f>
        <v/>
      </c>
      <c r="O669" s="17">
        <f>IF('ORDENES'!$U665="preventiva",N669,0)</f>
        <v/>
      </c>
      <c r="P669" s="17">
        <f>IF('ORDENES'!$U665="correctiva",N669,0)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22">
        <f>IF(K669=1,'ORDENES'!$J665,"")</f>
        <v/>
      </c>
    </row>
    <row r="670">
      <c r="K670" s="5">
        <f>IF(AND(IF($B$3="(todos)",TRUE,'ORDENES'!$O666=$B$3),IF($D$3="(todos)",TRUE,'ORDENES'!$AH666=$D$3),IF($F$3="(todos)",TRUE,'ORDENES'!$Z666=$F$3),IF($H$3="(todos)",TRUE,'ORDENES'!$Y666=$H$3),'ORDENES'!$AF666=TRUE,'ORDENES'!$A666&lt;&gt;""),1,0)</f>
        <v/>
      </c>
      <c r="L670" s="5">
        <f>IF(K670=1,IFERROR(MATCH('ORDENES'!$S666,lista_dias,0),9)*1000000000+IFERROR(MATCH('ORDENES'!$AH666,lista_turnos,0),9)*10000000+IFERROR(MATCH('ORDENES'!$AG666,tblTecnicos[nombre],0),99)*100000+663,9000000000000+663)</f>
        <v/>
      </c>
      <c r="M670" s="5">
        <f>IF(K670=1,SUMPRODUCT(--($L$8:$L$1207&lt;L670))+1,"")</f>
        <v/>
      </c>
      <c r="N670" s="17">
        <f>IF(K670=1,N('ORDENES'!$M666),0)</f>
        <v/>
      </c>
      <c r="O670" s="17">
        <f>IF('ORDENES'!$U666="preventiva",N670,0)</f>
        <v/>
      </c>
      <c r="P670" s="17">
        <f>IF('ORDENES'!$U666="correctiva",N670,0)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22">
        <f>IF(K670=1,'ORDENES'!$J666,"")</f>
        <v/>
      </c>
    </row>
    <row r="671">
      <c r="K671" s="5">
        <f>IF(AND(IF($B$3="(todos)",TRUE,'ORDENES'!$O667=$B$3),IF($D$3="(todos)",TRUE,'ORDENES'!$AH667=$D$3),IF($F$3="(todos)",TRUE,'ORDENES'!$Z667=$F$3),IF($H$3="(todos)",TRUE,'ORDENES'!$Y667=$H$3),'ORDENES'!$AF667=TRUE,'ORDENES'!$A667&lt;&gt;""),1,0)</f>
        <v/>
      </c>
      <c r="L671" s="5">
        <f>IF(K671=1,IFERROR(MATCH('ORDENES'!$S667,lista_dias,0),9)*1000000000+IFERROR(MATCH('ORDENES'!$AH667,lista_turnos,0),9)*10000000+IFERROR(MATCH('ORDENES'!$AG667,tblTecnicos[nombre],0),99)*100000+664,9000000000000+664)</f>
        <v/>
      </c>
      <c r="M671" s="5">
        <f>IF(K671=1,SUMPRODUCT(--($L$8:$L$1207&lt;L671))+1,"")</f>
        <v/>
      </c>
      <c r="N671" s="17">
        <f>IF(K671=1,N('ORDENES'!$M667),0)</f>
        <v/>
      </c>
      <c r="O671" s="17">
        <f>IF('ORDENES'!$U667="preventiva",N671,0)</f>
        <v/>
      </c>
      <c r="P671" s="17">
        <f>IF('ORDENES'!$U667="correctiva",N671,0)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22">
        <f>IF(K671=1,'ORDENES'!$J667,"")</f>
        <v/>
      </c>
    </row>
    <row r="672">
      <c r="K672" s="5">
        <f>IF(AND(IF($B$3="(todos)",TRUE,'ORDENES'!$O668=$B$3),IF($D$3="(todos)",TRUE,'ORDENES'!$AH668=$D$3),IF($F$3="(todos)",TRUE,'ORDENES'!$Z668=$F$3),IF($H$3="(todos)",TRUE,'ORDENES'!$Y668=$H$3),'ORDENES'!$AF668=TRUE,'ORDENES'!$A668&lt;&gt;""),1,0)</f>
        <v/>
      </c>
      <c r="L672" s="5">
        <f>IF(K672=1,IFERROR(MATCH('ORDENES'!$S668,lista_dias,0),9)*1000000000+IFERROR(MATCH('ORDENES'!$AH668,lista_turnos,0),9)*10000000+IFERROR(MATCH('ORDENES'!$AG668,tblTecnicos[nombre],0),99)*100000+665,9000000000000+665)</f>
        <v/>
      </c>
      <c r="M672" s="5">
        <f>IF(K672=1,SUMPRODUCT(--($L$8:$L$1207&lt;L672))+1,"")</f>
        <v/>
      </c>
      <c r="N672" s="17">
        <f>IF(K672=1,N('ORDENES'!$M668),0)</f>
        <v/>
      </c>
      <c r="O672" s="17">
        <f>IF('ORDENES'!$U668="preventiva",N672,0)</f>
        <v/>
      </c>
      <c r="P672" s="17">
        <f>IF('ORDENES'!$U668="correctiva",N672,0)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22">
        <f>IF(K672=1,'ORDENES'!$J668,"")</f>
        <v/>
      </c>
    </row>
    <row r="673">
      <c r="K673" s="5">
        <f>IF(AND(IF($B$3="(todos)",TRUE,'ORDENES'!$O669=$B$3),IF($D$3="(todos)",TRUE,'ORDENES'!$AH669=$D$3),IF($F$3="(todos)",TRUE,'ORDENES'!$Z669=$F$3),IF($H$3="(todos)",TRUE,'ORDENES'!$Y669=$H$3),'ORDENES'!$AF669=TRUE,'ORDENES'!$A669&lt;&gt;""),1,0)</f>
        <v/>
      </c>
      <c r="L673" s="5">
        <f>IF(K673=1,IFERROR(MATCH('ORDENES'!$S669,lista_dias,0),9)*1000000000+IFERROR(MATCH('ORDENES'!$AH669,lista_turnos,0),9)*10000000+IFERROR(MATCH('ORDENES'!$AG669,tblTecnicos[nombre],0),99)*100000+666,9000000000000+666)</f>
        <v/>
      </c>
      <c r="M673" s="5">
        <f>IF(K673=1,SUMPRODUCT(--($L$8:$L$1207&lt;L673))+1,"")</f>
        <v/>
      </c>
      <c r="N673" s="17">
        <f>IF(K673=1,N('ORDENES'!$M669),0)</f>
        <v/>
      </c>
      <c r="O673" s="17">
        <f>IF('ORDENES'!$U669="preventiva",N673,0)</f>
        <v/>
      </c>
      <c r="P673" s="17">
        <f>IF('ORDENES'!$U669="correctiva",N673,0)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22">
        <f>IF(K673=1,'ORDENES'!$J669,"")</f>
        <v/>
      </c>
    </row>
    <row r="674">
      <c r="K674" s="5">
        <f>IF(AND(IF($B$3="(todos)",TRUE,'ORDENES'!$O670=$B$3),IF($D$3="(todos)",TRUE,'ORDENES'!$AH670=$D$3),IF($F$3="(todos)",TRUE,'ORDENES'!$Z670=$F$3),IF($H$3="(todos)",TRUE,'ORDENES'!$Y670=$H$3),'ORDENES'!$AF670=TRUE,'ORDENES'!$A670&lt;&gt;""),1,0)</f>
        <v/>
      </c>
      <c r="L674" s="5">
        <f>IF(K674=1,IFERROR(MATCH('ORDENES'!$S670,lista_dias,0),9)*1000000000+IFERROR(MATCH('ORDENES'!$AH670,lista_turnos,0),9)*10000000+IFERROR(MATCH('ORDENES'!$AG670,tblTecnicos[nombre],0),99)*100000+667,9000000000000+667)</f>
        <v/>
      </c>
      <c r="M674" s="5">
        <f>IF(K674=1,SUMPRODUCT(--($L$8:$L$1207&lt;L674))+1,"")</f>
        <v/>
      </c>
      <c r="N674" s="17">
        <f>IF(K674=1,N('ORDENES'!$M670),0)</f>
        <v/>
      </c>
      <c r="O674" s="17">
        <f>IF('ORDENES'!$U670="preventiva",N674,0)</f>
        <v/>
      </c>
      <c r="P674" s="17">
        <f>IF('ORDENES'!$U670="correctiva",N674,0)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22">
        <f>IF(K674=1,'ORDENES'!$J670,"")</f>
        <v/>
      </c>
    </row>
    <row r="675">
      <c r="K675" s="5">
        <f>IF(AND(IF($B$3="(todos)",TRUE,'ORDENES'!$O671=$B$3),IF($D$3="(todos)",TRUE,'ORDENES'!$AH671=$D$3),IF($F$3="(todos)",TRUE,'ORDENES'!$Z671=$F$3),IF($H$3="(todos)",TRUE,'ORDENES'!$Y671=$H$3),'ORDENES'!$AF671=TRUE,'ORDENES'!$A671&lt;&gt;""),1,0)</f>
        <v/>
      </c>
      <c r="L675" s="5">
        <f>IF(K675=1,IFERROR(MATCH('ORDENES'!$S671,lista_dias,0),9)*1000000000+IFERROR(MATCH('ORDENES'!$AH671,lista_turnos,0),9)*10000000+IFERROR(MATCH('ORDENES'!$AG671,tblTecnicos[nombre],0),99)*100000+668,9000000000000+668)</f>
        <v/>
      </c>
      <c r="M675" s="5">
        <f>IF(K675=1,SUMPRODUCT(--($L$8:$L$1207&lt;L675))+1,"")</f>
        <v/>
      </c>
      <c r="N675" s="17">
        <f>IF(K675=1,N('ORDENES'!$M671),0)</f>
        <v/>
      </c>
      <c r="O675" s="17">
        <f>IF('ORDENES'!$U671="preventiva",N675,0)</f>
        <v/>
      </c>
      <c r="P675" s="17">
        <f>IF('ORDENES'!$U671="correctiva",N675,0)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22">
        <f>IF(K675=1,'ORDENES'!$J671,"")</f>
        <v/>
      </c>
    </row>
    <row r="676">
      <c r="K676" s="5">
        <f>IF(AND(IF($B$3="(todos)",TRUE,'ORDENES'!$O672=$B$3),IF($D$3="(todos)",TRUE,'ORDENES'!$AH672=$D$3),IF($F$3="(todos)",TRUE,'ORDENES'!$Z672=$F$3),IF($H$3="(todos)",TRUE,'ORDENES'!$Y672=$H$3),'ORDENES'!$AF672=TRUE,'ORDENES'!$A672&lt;&gt;""),1,0)</f>
        <v/>
      </c>
      <c r="L676" s="5">
        <f>IF(K676=1,IFERROR(MATCH('ORDENES'!$S672,lista_dias,0),9)*1000000000+IFERROR(MATCH('ORDENES'!$AH672,lista_turnos,0),9)*10000000+IFERROR(MATCH('ORDENES'!$AG672,tblTecnicos[nombre],0),99)*100000+669,9000000000000+669)</f>
        <v/>
      </c>
      <c r="M676" s="5">
        <f>IF(K676=1,SUMPRODUCT(--($L$8:$L$1207&lt;L676))+1,"")</f>
        <v/>
      </c>
      <c r="N676" s="17">
        <f>IF(K676=1,N('ORDENES'!$M672),0)</f>
        <v/>
      </c>
      <c r="O676" s="17">
        <f>IF('ORDENES'!$U672="preventiva",N676,0)</f>
        <v/>
      </c>
      <c r="P676" s="17">
        <f>IF('ORDENES'!$U672="correctiva",N676,0)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22">
        <f>IF(K676=1,'ORDENES'!$J672,"")</f>
        <v/>
      </c>
    </row>
    <row r="677">
      <c r="K677" s="5">
        <f>IF(AND(IF($B$3="(todos)",TRUE,'ORDENES'!$O673=$B$3),IF($D$3="(todos)",TRUE,'ORDENES'!$AH673=$D$3),IF($F$3="(todos)",TRUE,'ORDENES'!$Z673=$F$3),IF($H$3="(todos)",TRUE,'ORDENES'!$Y673=$H$3),'ORDENES'!$AF673=TRUE,'ORDENES'!$A673&lt;&gt;""),1,0)</f>
        <v/>
      </c>
      <c r="L677" s="5">
        <f>IF(K677=1,IFERROR(MATCH('ORDENES'!$S673,lista_dias,0),9)*1000000000+IFERROR(MATCH('ORDENES'!$AH673,lista_turnos,0),9)*10000000+IFERROR(MATCH('ORDENES'!$AG673,tblTecnicos[nombre],0),99)*100000+670,9000000000000+670)</f>
        <v/>
      </c>
      <c r="M677" s="5">
        <f>IF(K677=1,SUMPRODUCT(--($L$8:$L$1207&lt;L677))+1,"")</f>
        <v/>
      </c>
      <c r="N677" s="17">
        <f>IF(K677=1,N('ORDENES'!$M673),0)</f>
        <v/>
      </c>
      <c r="O677" s="17">
        <f>IF('ORDENES'!$U673="preventiva",N677,0)</f>
        <v/>
      </c>
      <c r="P677" s="17">
        <f>IF('ORDENES'!$U673="correctiva",N677,0)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22">
        <f>IF(K677=1,'ORDENES'!$J673,"")</f>
        <v/>
      </c>
    </row>
    <row r="678">
      <c r="K678" s="5">
        <f>IF(AND(IF($B$3="(todos)",TRUE,'ORDENES'!$O674=$B$3),IF($D$3="(todos)",TRUE,'ORDENES'!$AH674=$D$3),IF($F$3="(todos)",TRUE,'ORDENES'!$Z674=$F$3),IF($H$3="(todos)",TRUE,'ORDENES'!$Y674=$H$3),'ORDENES'!$AF674=TRUE,'ORDENES'!$A674&lt;&gt;""),1,0)</f>
        <v/>
      </c>
      <c r="L678" s="5">
        <f>IF(K678=1,IFERROR(MATCH('ORDENES'!$S674,lista_dias,0),9)*1000000000+IFERROR(MATCH('ORDENES'!$AH674,lista_turnos,0),9)*10000000+IFERROR(MATCH('ORDENES'!$AG674,tblTecnicos[nombre],0),99)*100000+671,9000000000000+671)</f>
        <v/>
      </c>
      <c r="M678" s="5">
        <f>IF(K678=1,SUMPRODUCT(--($L$8:$L$1207&lt;L678))+1,"")</f>
        <v/>
      </c>
      <c r="N678" s="17">
        <f>IF(K678=1,N('ORDENES'!$M674),0)</f>
        <v/>
      </c>
      <c r="O678" s="17">
        <f>IF('ORDENES'!$U674="preventiva",N678,0)</f>
        <v/>
      </c>
      <c r="P678" s="17">
        <f>IF('ORDENES'!$U674="correctiva",N678,0)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22">
        <f>IF(K678=1,'ORDENES'!$J674,"")</f>
        <v/>
      </c>
    </row>
    <row r="679">
      <c r="K679" s="5">
        <f>IF(AND(IF($B$3="(todos)",TRUE,'ORDENES'!$O675=$B$3),IF($D$3="(todos)",TRUE,'ORDENES'!$AH675=$D$3),IF($F$3="(todos)",TRUE,'ORDENES'!$Z675=$F$3),IF($H$3="(todos)",TRUE,'ORDENES'!$Y675=$H$3),'ORDENES'!$AF675=TRUE,'ORDENES'!$A675&lt;&gt;""),1,0)</f>
        <v/>
      </c>
      <c r="L679" s="5">
        <f>IF(K679=1,IFERROR(MATCH('ORDENES'!$S675,lista_dias,0),9)*1000000000+IFERROR(MATCH('ORDENES'!$AH675,lista_turnos,0),9)*10000000+IFERROR(MATCH('ORDENES'!$AG675,tblTecnicos[nombre],0),99)*100000+672,9000000000000+672)</f>
        <v/>
      </c>
      <c r="M679" s="5">
        <f>IF(K679=1,SUMPRODUCT(--($L$8:$L$1207&lt;L679))+1,"")</f>
        <v/>
      </c>
      <c r="N679" s="17">
        <f>IF(K679=1,N('ORDENES'!$M675),0)</f>
        <v/>
      </c>
      <c r="O679" s="17">
        <f>IF('ORDENES'!$U675="preventiva",N679,0)</f>
        <v/>
      </c>
      <c r="P679" s="17">
        <f>IF('ORDENES'!$U675="correctiva",N679,0)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22">
        <f>IF(K679=1,'ORDENES'!$J675,"")</f>
        <v/>
      </c>
    </row>
    <row r="680">
      <c r="K680" s="5">
        <f>IF(AND(IF($B$3="(todos)",TRUE,'ORDENES'!$O676=$B$3),IF($D$3="(todos)",TRUE,'ORDENES'!$AH676=$D$3),IF($F$3="(todos)",TRUE,'ORDENES'!$Z676=$F$3),IF($H$3="(todos)",TRUE,'ORDENES'!$Y676=$H$3),'ORDENES'!$AF676=TRUE,'ORDENES'!$A676&lt;&gt;""),1,0)</f>
        <v/>
      </c>
      <c r="L680" s="5">
        <f>IF(K680=1,IFERROR(MATCH('ORDENES'!$S676,lista_dias,0),9)*1000000000+IFERROR(MATCH('ORDENES'!$AH676,lista_turnos,0),9)*10000000+IFERROR(MATCH('ORDENES'!$AG676,tblTecnicos[nombre],0),99)*100000+673,9000000000000+673)</f>
        <v/>
      </c>
      <c r="M680" s="5">
        <f>IF(K680=1,SUMPRODUCT(--($L$8:$L$1207&lt;L680))+1,"")</f>
        <v/>
      </c>
      <c r="N680" s="17">
        <f>IF(K680=1,N('ORDENES'!$M676),0)</f>
        <v/>
      </c>
      <c r="O680" s="17">
        <f>IF('ORDENES'!$U676="preventiva",N680,0)</f>
        <v/>
      </c>
      <c r="P680" s="17">
        <f>IF('ORDENES'!$U676="correctiva",N680,0)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22">
        <f>IF(K680=1,'ORDENES'!$J676,"")</f>
        <v/>
      </c>
    </row>
    <row r="681">
      <c r="K681" s="5">
        <f>IF(AND(IF($B$3="(todos)",TRUE,'ORDENES'!$O677=$B$3),IF($D$3="(todos)",TRUE,'ORDENES'!$AH677=$D$3),IF($F$3="(todos)",TRUE,'ORDENES'!$Z677=$F$3),IF($H$3="(todos)",TRUE,'ORDENES'!$Y677=$H$3),'ORDENES'!$AF677=TRUE,'ORDENES'!$A677&lt;&gt;""),1,0)</f>
        <v/>
      </c>
      <c r="L681" s="5">
        <f>IF(K681=1,IFERROR(MATCH('ORDENES'!$S677,lista_dias,0),9)*1000000000+IFERROR(MATCH('ORDENES'!$AH677,lista_turnos,0),9)*10000000+IFERROR(MATCH('ORDENES'!$AG677,tblTecnicos[nombre],0),99)*100000+674,9000000000000+674)</f>
        <v/>
      </c>
      <c r="M681" s="5">
        <f>IF(K681=1,SUMPRODUCT(--($L$8:$L$1207&lt;L681))+1,"")</f>
        <v/>
      </c>
      <c r="N681" s="17">
        <f>IF(K681=1,N('ORDENES'!$M677),0)</f>
        <v/>
      </c>
      <c r="O681" s="17">
        <f>IF('ORDENES'!$U677="preventiva",N681,0)</f>
        <v/>
      </c>
      <c r="P681" s="17">
        <f>IF('ORDENES'!$U677="correctiva",N681,0)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22">
        <f>IF(K681=1,'ORDENES'!$J677,"")</f>
        <v/>
      </c>
    </row>
    <row r="682">
      <c r="K682" s="5">
        <f>IF(AND(IF($B$3="(todos)",TRUE,'ORDENES'!$O678=$B$3),IF($D$3="(todos)",TRUE,'ORDENES'!$AH678=$D$3),IF($F$3="(todos)",TRUE,'ORDENES'!$Z678=$F$3),IF($H$3="(todos)",TRUE,'ORDENES'!$Y678=$H$3),'ORDENES'!$AF678=TRUE,'ORDENES'!$A678&lt;&gt;""),1,0)</f>
        <v/>
      </c>
      <c r="L682" s="5">
        <f>IF(K682=1,IFERROR(MATCH('ORDENES'!$S678,lista_dias,0),9)*1000000000+IFERROR(MATCH('ORDENES'!$AH678,lista_turnos,0),9)*10000000+IFERROR(MATCH('ORDENES'!$AG678,tblTecnicos[nombre],0),99)*100000+675,9000000000000+675)</f>
        <v/>
      </c>
      <c r="M682" s="5">
        <f>IF(K682=1,SUMPRODUCT(--($L$8:$L$1207&lt;L682))+1,"")</f>
        <v/>
      </c>
      <c r="N682" s="17">
        <f>IF(K682=1,N('ORDENES'!$M678),0)</f>
        <v/>
      </c>
      <c r="O682" s="17">
        <f>IF('ORDENES'!$U678="preventiva",N682,0)</f>
        <v/>
      </c>
      <c r="P682" s="17">
        <f>IF('ORDENES'!$U678="correctiva",N682,0)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22">
        <f>IF(K682=1,'ORDENES'!$J678,"")</f>
        <v/>
      </c>
    </row>
    <row r="683">
      <c r="K683" s="5">
        <f>IF(AND(IF($B$3="(todos)",TRUE,'ORDENES'!$O679=$B$3),IF($D$3="(todos)",TRUE,'ORDENES'!$AH679=$D$3),IF($F$3="(todos)",TRUE,'ORDENES'!$Z679=$F$3),IF($H$3="(todos)",TRUE,'ORDENES'!$Y679=$H$3),'ORDENES'!$AF679=TRUE,'ORDENES'!$A679&lt;&gt;""),1,0)</f>
        <v/>
      </c>
      <c r="L683" s="5">
        <f>IF(K683=1,IFERROR(MATCH('ORDENES'!$S679,lista_dias,0),9)*1000000000+IFERROR(MATCH('ORDENES'!$AH679,lista_turnos,0),9)*10000000+IFERROR(MATCH('ORDENES'!$AG679,tblTecnicos[nombre],0),99)*100000+676,9000000000000+676)</f>
        <v/>
      </c>
      <c r="M683" s="5">
        <f>IF(K683=1,SUMPRODUCT(--($L$8:$L$1207&lt;L683))+1,"")</f>
        <v/>
      </c>
      <c r="N683" s="17">
        <f>IF(K683=1,N('ORDENES'!$M679),0)</f>
        <v/>
      </c>
      <c r="O683" s="17">
        <f>IF('ORDENES'!$U679="preventiva",N683,0)</f>
        <v/>
      </c>
      <c r="P683" s="17">
        <f>IF('ORDENES'!$U679="correctiva",N683,0)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22">
        <f>IF(K683=1,'ORDENES'!$J679,"")</f>
        <v/>
      </c>
    </row>
    <row r="684">
      <c r="K684" s="5">
        <f>IF(AND(IF($B$3="(todos)",TRUE,'ORDENES'!$O680=$B$3),IF($D$3="(todos)",TRUE,'ORDENES'!$AH680=$D$3),IF($F$3="(todos)",TRUE,'ORDENES'!$Z680=$F$3),IF($H$3="(todos)",TRUE,'ORDENES'!$Y680=$H$3),'ORDENES'!$AF680=TRUE,'ORDENES'!$A680&lt;&gt;""),1,0)</f>
        <v/>
      </c>
      <c r="L684" s="5">
        <f>IF(K684=1,IFERROR(MATCH('ORDENES'!$S680,lista_dias,0),9)*1000000000+IFERROR(MATCH('ORDENES'!$AH680,lista_turnos,0),9)*10000000+IFERROR(MATCH('ORDENES'!$AG680,tblTecnicos[nombre],0),99)*100000+677,9000000000000+677)</f>
        <v/>
      </c>
      <c r="M684" s="5">
        <f>IF(K684=1,SUMPRODUCT(--($L$8:$L$1207&lt;L684))+1,"")</f>
        <v/>
      </c>
      <c r="N684" s="17">
        <f>IF(K684=1,N('ORDENES'!$M680),0)</f>
        <v/>
      </c>
      <c r="O684" s="17">
        <f>IF('ORDENES'!$U680="preventiva",N684,0)</f>
        <v/>
      </c>
      <c r="P684" s="17">
        <f>IF('ORDENES'!$U680="correctiva",N684,0)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22">
        <f>IF(K684=1,'ORDENES'!$J680,"")</f>
        <v/>
      </c>
    </row>
    <row r="685">
      <c r="K685" s="5">
        <f>IF(AND(IF($B$3="(todos)",TRUE,'ORDENES'!$O681=$B$3),IF($D$3="(todos)",TRUE,'ORDENES'!$AH681=$D$3),IF($F$3="(todos)",TRUE,'ORDENES'!$Z681=$F$3),IF($H$3="(todos)",TRUE,'ORDENES'!$Y681=$H$3),'ORDENES'!$AF681=TRUE,'ORDENES'!$A681&lt;&gt;""),1,0)</f>
        <v/>
      </c>
      <c r="L685" s="5">
        <f>IF(K685=1,IFERROR(MATCH('ORDENES'!$S681,lista_dias,0),9)*1000000000+IFERROR(MATCH('ORDENES'!$AH681,lista_turnos,0),9)*10000000+IFERROR(MATCH('ORDENES'!$AG681,tblTecnicos[nombre],0),99)*100000+678,9000000000000+678)</f>
        <v/>
      </c>
      <c r="M685" s="5">
        <f>IF(K685=1,SUMPRODUCT(--($L$8:$L$1207&lt;L685))+1,"")</f>
        <v/>
      </c>
      <c r="N685" s="17">
        <f>IF(K685=1,N('ORDENES'!$M681),0)</f>
        <v/>
      </c>
      <c r="O685" s="17">
        <f>IF('ORDENES'!$U681="preventiva",N685,0)</f>
        <v/>
      </c>
      <c r="P685" s="17">
        <f>IF('ORDENES'!$U681="correctiva",N685,0)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22">
        <f>IF(K685=1,'ORDENES'!$J681,"")</f>
        <v/>
      </c>
    </row>
    <row r="686">
      <c r="K686" s="5">
        <f>IF(AND(IF($B$3="(todos)",TRUE,'ORDENES'!$O682=$B$3),IF($D$3="(todos)",TRUE,'ORDENES'!$AH682=$D$3),IF($F$3="(todos)",TRUE,'ORDENES'!$Z682=$F$3),IF($H$3="(todos)",TRUE,'ORDENES'!$Y682=$H$3),'ORDENES'!$AF682=TRUE,'ORDENES'!$A682&lt;&gt;""),1,0)</f>
        <v/>
      </c>
      <c r="L686" s="5">
        <f>IF(K686=1,IFERROR(MATCH('ORDENES'!$S682,lista_dias,0),9)*1000000000+IFERROR(MATCH('ORDENES'!$AH682,lista_turnos,0),9)*10000000+IFERROR(MATCH('ORDENES'!$AG682,tblTecnicos[nombre],0),99)*100000+679,9000000000000+679)</f>
        <v/>
      </c>
      <c r="M686" s="5">
        <f>IF(K686=1,SUMPRODUCT(--($L$8:$L$1207&lt;L686))+1,"")</f>
        <v/>
      </c>
      <c r="N686" s="17">
        <f>IF(K686=1,N('ORDENES'!$M682),0)</f>
        <v/>
      </c>
      <c r="O686" s="17">
        <f>IF('ORDENES'!$U682="preventiva",N686,0)</f>
        <v/>
      </c>
      <c r="P686" s="17">
        <f>IF('ORDENES'!$U682="correctiva",N686,0)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22">
        <f>IF(K686=1,'ORDENES'!$J682,"")</f>
        <v/>
      </c>
    </row>
    <row r="687">
      <c r="K687" s="5">
        <f>IF(AND(IF($B$3="(todos)",TRUE,'ORDENES'!$O683=$B$3),IF($D$3="(todos)",TRUE,'ORDENES'!$AH683=$D$3),IF($F$3="(todos)",TRUE,'ORDENES'!$Z683=$F$3),IF($H$3="(todos)",TRUE,'ORDENES'!$Y683=$H$3),'ORDENES'!$AF683=TRUE,'ORDENES'!$A683&lt;&gt;""),1,0)</f>
        <v/>
      </c>
      <c r="L687" s="5">
        <f>IF(K687=1,IFERROR(MATCH('ORDENES'!$S683,lista_dias,0),9)*1000000000+IFERROR(MATCH('ORDENES'!$AH683,lista_turnos,0),9)*10000000+IFERROR(MATCH('ORDENES'!$AG683,tblTecnicos[nombre],0),99)*100000+680,9000000000000+680)</f>
        <v/>
      </c>
      <c r="M687" s="5">
        <f>IF(K687=1,SUMPRODUCT(--($L$8:$L$1207&lt;L687))+1,"")</f>
        <v/>
      </c>
      <c r="N687" s="17">
        <f>IF(K687=1,N('ORDENES'!$M683),0)</f>
        <v/>
      </c>
      <c r="O687" s="17">
        <f>IF('ORDENES'!$U683="preventiva",N687,0)</f>
        <v/>
      </c>
      <c r="P687" s="17">
        <f>IF('ORDENES'!$U683="correctiva",N687,0)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22">
        <f>IF(K687=1,'ORDENES'!$J683,"")</f>
        <v/>
      </c>
    </row>
    <row r="688">
      <c r="K688" s="5">
        <f>IF(AND(IF($B$3="(todos)",TRUE,'ORDENES'!$O684=$B$3),IF($D$3="(todos)",TRUE,'ORDENES'!$AH684=$D$3),IF($F$3="(todos)",TRUE,'ORDENES'!$Z684=$F$3),IF($H$3="(todos)",TRUE,'ORDENES'!$Y684=$H$3),'ORDENES'!$AF684=TRUE,'ORDENES'!$A684&lt;&gt;""),1,0)</f>
        <v/>
      </c>
      <c r="L688" s="5">
        <f>IF(K688=1,IFERROR(MATCH('ORDENES'!$S684,lista_dias,0),9)*1000000000+IFERROR(MATCH('ORDENES'!$AH684,lista_turnos,0),9)*10000000+IFERROR(MATCH('ORDENES'!$AG684,tblTecnicos[nombre],0),99)*100000+681,9000000000000+681)</f>
        <v/>
      </c>
      <c r="M688" s="5">
        <f>IF(K688=1,SUMPRODUCT(--($L$8:$L$1207&lt;L688))+1,"")</f>
        <v/>
      </c>
      <c r="N688" s="17">
        <f>IF(K688=1,N('ORDENES'!$M684),0)</f>
        <v/>
      </c>
      <c r="O688" s="17">
        <f>IF('ORDENES'!$U684="preventiva",N688,0)</f>
        <v/>
      </c>
      <c r="P688" s="17">
        <f>IF('ORDENES'!$U684="correctiva",N688,0)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22">
        <f>IF(K688=1,'ORDENES'!$J684,"")</f>
        <v/>
      </c>
    </row>
    <row r="689">
      <c r="K689" s="5">
        <f>IF(AND(IF($B$3="(todos)",TRUE,'ORDENES'!$O685=$B$3),IF($D$3="(todos)",TRUE,'ORDENES'!$AH685=$D$3),IF($F$3="(todos)",TRUE,'ORDENES'!$Z685=$F$3),IF($H$3="(todos)",TRUE,'ORDENES'!$Y685=$H$3),'ORDENES'!$AF685=TRUE,'ORDENES'!$A685&lt;&gt;""),1,0)</f>
        <v/>
      </c>
      <c r="L689" s="5">
        <f>IF(K689=1,IFERROR(MATCH('ORDENES'!$S685,lista_dias,0),9)*1000000000+IFERROR(MATCH('ORDENES'!$AH685,lista_turnos,0),9)*10000000+IFERROR(MATCH('ORDENES'!$AG685,tblTecnicos[nombre],0),99)*100000+682,9000000000000+682)</f>
        <v/>
      </c>
      <c r="M689" s="5">
        <f>IF(K689=1,SUMPRODUCT(--($L$8:$L$1207&lt;L689))+1,"")</f>
        <v/>
      </c>
      <c r="N689" s="17">
        <f>IF(K689=1,N('ORDENES'!$M685),0)</f>
        <v/>
      </c>
      <c r="O689" s="17">
        <f>IF('ORDENES'!$U685="preventiva",N689,0)</f>
        <v/>
      </c>
      <c r="P689" s="17">
        <f>IF('ORDENES'!$U685="correctiva",N689,0)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22">
        <f>IF(K689=1,'ORDENES'!$J685,"")</f>
        <v/>
      </c>
    </row>
    <row r="690">
      <c r="K690" s="5">
        <f>IF(AND(IF($B$3="(todos)",TRUE,'ORDENES'!$O686=$B$3),IF($D$3="(todos)",TRUE,'ORDENES'!$AH686=$D$3),IF($F$3="(todos)",TRUE,'ORDENES'!$Z686=$F$3),IF($H$3="(todos)",TRUE,'ORDENES'!$Y686=$H$3),'ORDENES'!$AF686=TRUE,'ORDENES'!$A686&lt;&gt;""),1,0)</f>
        <v/>
      </c>
      <c r="L690" s="5">
        <f>IF(K690=1,IFERROR(MATCH('ORDENES'!$S686,lista_dias,0),9)*1000000000+IFERROR(MATCH('ORDENES'!$AH686,lista_turnos,0),9)*10000000+IFERROR(MATCH('ORDENES'!$AG686,tblTecnicos[nombre],0),99)*100000+683,9000000000000+683)</f>
        <v/>
      </c>
      <c r="M690" s="5">
        <f>IF(K690=1,SUMPRODUCT(--($L$8:$L$1207&lt;L690))+1,"")</f>
        <v/>
      </c>
      <c r="N690" s="17">
        <f>IF(K690=1,N('ORDENES'!$M686),0)</f>
        <v/>
      </c>
      <c r="O690" s="17">
        <f>IF('ORDENES'!$U686="preventiva",N690,0)</f>
        <v/>
      </c>
      <c r="P690" s="17">
        <f>IF('ORDENES'!$U686="correctiva",N690,0)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22">
        <f>IF(K690=1,'ORDENES'!$J686,"")</f>
        <v/>
      </c>
    </row>
    <row r="691">
      <c r="K691" s="5">
        <f>IF(AND(IF($B$3="(todos)",TRUE,'ORDENES'!$O687=$B$3),IF($D$3="(todos)",TRUE,'ORDENES'!$AH687=$D$3),IF($F$3="(todos)",TRUE,'ORDENES'!$Z687=$F$3),IF($H$3="(todos)",TRUE,'ORDENES'!$Y687=$H$3),'ORDENES'!$AF687=TRUE,'ORDENES'!$A687&lt;&gt;""),1,0)</f>
        <v/>
      </c>
      <c r="L691" s="5">
        <f>IF(K691=1,IFERROR(MATCH('ORDENES'!$S687,lista_dias,0),9)*1000000000+IFERROR(MATCH('ORDENES'!$AH687,lista_turnos,0),9)*10000000+IFERROR(MATCH('ORDENES'!$AG687,tblTecnicos[nombre],0),99)*100000+684,9000000000000+684)</f>
        <v/>
      </c>
      <c r="M691" s="5">
        <f>IF(K691=1,SUMPRODUCT(--($L$8:$L$1207&lt;L691))+1,"")</f>
        <v/>
      </c>
      <c r="N691" s="17">
        <f>IF(K691=1,N('ORDENES'!$M687),0)</f>
        <v/>
      </c>
      <c r="O691" s="17">
        <f>IF('ORDENES'!$U687="preventiva",N691,0)</f>
        <v/>
      </c>
      <c r="P691" s="17">
        <f>IF('ORDENES'!$U687="correctiva",N691,0)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22">
        <f>IF(K691=1,'ORDENES'!$J687,"")</f>
        <v/>
      </c>
    </row>
    <row r="692">
      <c r="K692" s="5">
        <f>IF(AND(IF($B$3="(todos)",TRUE,'ORDENES'!$O688=$B$3),IF($D$3="(todos)",TRUE,'ORDENES'!$AH688=$D$3),IF($F$3="(todos)",TRUE,'ORDENES'!$Z688=$F$3),IF($H$3="(todos)",TRUE,'ORDENES'!$Y688=$H$3),'ORDENES'!$AF688=TRUE,'ORDENES'!$A688&lt;&gt;""),1,0)</f>
        <v/>
      </c>
      <c r="L692" s="5">
        <f>IF(K692=1,IFERROR(MATCH('ORDENES'!$S688,lista_dias,0),9)*1000000000+IFERROR(MATCH('ORDENES'!$AH688,lista_turnos,0),9)*10000000+IFERROR(MATCH('ORDENES'!$AG688,tblTecnicos[nombre],0),99)*100000+685,9000000000000+685)</f>
        <v/>
      </c>
      <c r="M692" s="5">
        <f>IF(K692=1,SUMPRODUCT(--($L$8:$L$1207&lt;L692))+1,"")</f>
        <v/>
      </c>
      <c r="N692" s="17">
        <f>IF(K692=1,N('ORDENES'!$M688),0)</f>
        <v/>
      </c>
      <c r="O692" s="17">
        <f>IF('ORDENES'!$U688="preventiva",N692,0)</f>
        <v/>
      </c>
      <c r="P692" s="17">
        <f>IF('ORDENES'!$U688="correctiva",N692,0)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22">
        <f>IF(K692=1,'ORDENES'!$J688,"")</f>
        <v/>
      </c>
    </row>
    <row r="693">
      <c r="K693" s="5">
        <f>IF(AND(IF($B$3="(todos)",TRUE,'ORDENES'!$O689=$B$3),IF($D$3="(todos)",TRUE,'ORDENES'!$AH689=$D$3),IF($F$3="(todos)",TRUE,'ORDENES'!$Z689=$F$3),IF($H$3="(todos)",TRUE,'ORDENES'!$Y689=$H$3),'ORDENES'!$AF689=TRUE,'ORDENES'!$A689&lt;&gt;""),1,0)</f>
        <v/>
      </c>
      <c r="L693" s="5">
        <f>IF(K693=1,IFERROR(MATCH('ORDENES'!$S689,lista_dias,0),9)*1000000000+IFERROR(MATCH('ORDENES'!$AH689,lista_turnos,0),9)*10000000+IFERROR(MATCH('ORDENES'!$AG689,tblTecnicos[nombre],0),99)*100000+686,9000000000000+686)</f>
        <v/>
      </c>
      <c r="M693" s="5">
        <f>IF(K693=1,SUMPRODUCT(--($L$8:$L$1207&lt;L693))+1,"")</f>
        <v/>
      </c>
      <c r="N693" s="17">
        <f>IF(K693=1,N('ORDENES'!$M689),0)</f>
        <v/>
      </c>
      <c r="O693" s="17">
        <f>IF('ORDENES'!$U689="preventiva",N693,0)</f>
        <v/>
      </c>
      <c r="P693" s="17">
        <f>IF('ORDENES'!$U689="correctiva",N693,0)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22">
        <f>IF(K693=1,'ORDENES'!$J689,"")</f>
        <v/>
      </c>
    </row>
    <row r="694">
      <c r="K694" s="5">
        <f>IF(AND(IF($B$3="(todos)",TRUE,'ORDENES'!$O690=$B$3),IF($D$3="(todos)",TRUE,'ORDENES'!$AH690=$D$3),IF($F$3="(todos)",TRUE,'ORDENES'!$Z690=$F$3),IF($H$3="(todos)",TRUE,'ORDENES'!$Y690=$H$3),'ORDENES'!$AF690=TRUE,'ORDENES'!$A690&lt;&gt;""),1,0)</f>
        <v/>
      </c>
      <c r="L694" s="5">
        <f>IF(K694=1,IFERROR(MATCH('ORDENES'!$S690,lista_dias,0),9)*1000000000+IFERROR(MATCH('ORDENES'!$AH690,lista_turnos,0),9)*10000000+IFERROR(MATCH('ORDENES'!$AG690,tblTecnicos[nombre],0),99)*100000+687,9000000000000+687)</f>
        <v/>
      </c>
      <c r="M694" s="5">
        <f>IF(K694=1,SUMPRODUCT(--($L$8:$L$1207&lt;L694))+1,"")</f>
        <v/>
      </c>
      <c r="N694" s="17">
        <f>IF(K694=1,N('ORDENES'!$M690),0)</f>
        <v/>
      </c>
      <c r="O694" s="17">
        <f>IF('ORDENES'!$U690="preventiva",N694,0)</f>
        <v/>
      </c>
      <c r="P694" s="17">
        <f>IF('ORDENES'!$U690="correctiva",N694,0)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22">
        <f>IF(K694=1,'ORDENES'!$J690,"")</f>
        <v/>
      </c>
    </row>
    <row r="695">
      <c r="K695" s="5">
        <f>IF(AND(IF($B$3="(todos)",TRUE,'ORDENES'!$O691=$B$3),IF($D$3="(todos)",TRUE,'ORDENES'!$AH691=$D$3),IF($F$3="(todos)",TRUE,'ORDENES'!$Z691=$F$3),IF($H$3="(todos)",TRUE,'ORDENES'!$Y691=$H$3),'ORDENES'!$AF691=TRUE,'ORDENES'!$A691&lt;&gt;""),1,0)</f>
        <v/>
      </c>
      <c r="L695" s="5">
        <f>IF(K695=1,IFERROR(MATCH('ORDENES'!$S691,lista_dias,0),9)*1000000000+IFERROR(MATCH('ORDENES'!$AH691,lista_turnos,0),9)*10000000+IFERROR(MATCH('ORDENES'!$AG691,tblTecnicos[nombre],0),99)*100000+688,9000000000000+688)</f>
        <v/>
      </c>
      <c r="M695" s="5">
        <f>IF(K695=1,SUMPRODUCT(--($L$8:$L$1207&lt;L695))+1,"")</f>
        <v/>
      </c>
      <c r="N695" s="17">
        <f>IF(K695=1,N('ORDENES'!$M691),0)</f>
        <v/>
      </c>
      <c r="O695" s="17">
        <f>IF('ORDENES'!$U691="preventiva",N695,0)</f>
        <v/>
      </c>
      <c r="P695" s="17">
        <f>IF('ORDENES'!$U691="correctiva",N695,0)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22">
        <f>IF(K695=1,'ORDENES'!$J691,"")</f>
        <v/>
      </c>
    </row>
    <row r="696">
      <c r="K696" s="5">
        <f>IF(AND(IF($B$3="(todos)",TRUE,'ORDENES'!$O692=$B$3),IF($D$3="(todos)",TRUE,'ORDENES'!$AH692=$D$3),IF($F$3="(todos)",TRUE,'ORDENES'!$Z692=$F$3),IF($H$3="(todos)",TRUE,'ORDENES'!$Y692=$H$3),'ORDENES'!$AF692=TRUE,'ORDENES'!$A692&lt;&gt;""),1,0)</f>
        <v/>
      </c>
      <c r="L696" s="5">
        <f>IF(K696=1,IFERROR(MATCH('ORDENES'!$S692,lista_dias,0),9)*1000000000+IFERROR(MATCH('ORDENES'!$AH692,lista_turnos,0),9)*10000000+IFERROR(MATCH('ORDENES'!$AG692,tblTecnicos[nombre],0),99)*100000+689,9000000000000+689)</f>
        <v/>
      </c>
      <c r="M696" s="5">
        <f>IF(K696=1,SUMPRODUCT(--($L$8:$L$1207&lt;L696))+1,"")</f>
        <v/>
      </c>
      <c r="N696" s="17">
        <f>IF(K696=1,N('ORDENES'!$M692),0)</f>
        <v/>
      </c>
      <c r="O696" s="17">
        <f>IF('ORDENES'!$U692="preventiva",N696,0)</f>
        <v/>
      </c>
      <c r="P696" s="17">
        <f>IF('ORDENES'!$U692="correctiva",N696,0)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22">
        <f>IF(K696=1,'ORDENES'!$J692,"")</f>
        <v/>
      </c>
    </row>
    <row r="697">
      <c r="K697" s="5">
        <f>IF(AND(IF($B$3="(todos)",TRUE,'ORDENES'!$O693=$B$3),IF($D$3="(todos)",TRUE,'ORDENES'!$AH693=$D$3),IF($F$3="(todos)",TRUE,'ORDENES'!$Z693=$F$3),IF($H$3="(todos)",TRUE,'ORDENES'!$Y693=$H$3),'ORDENES'!$AF693=TRUE,'ORDENES'!$A693&lt;&gt;""),1,0)</f>
        <v/>
      </c>
      <c r="L697" s="5">
        <f>IF(K697=1,IFERROR(MATCH('ORDENES'!$S693,lista_dias,0),9)*1000000000+IFERROR(MATCH('ORDENES'!$AH693,lista_turnos,0),9)*10000000+IFERROR(MATCH('ORDENES'!$AG693,tblTecnicos[nombre],0),99)*100000+690,9000000000000+690)</f>
        <v/>
      </c>
      <c r="M697" s="5">
        <f>IF(K697=1,SUMPRODUCT(--($L$8:$L$1207&lt;L697))+1,"")</f>
        <v/>
      </c>
      <c r="N697" s="17">
        <f>IF(K697=1,N('ORDENES'!$M693),0)</f>
        <v/>
      </c>
      <c r="O697" s="17">
        <f>IF('ORDENES'!$U693="preventiva",N697,0)</f>
        <v/>
      </c>
      <c r="P697" s="17">
        <f>IF('ORDENES'!$U693="correctiva",N697,0)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22">
        <f>IF(K697=1,'ORDENES'!$J693,"")</f>
        <v/>
      </c>
    </row>
    <row r="698">
      <c r="K698" s="5">
        <f>IF(AND(IF($B$3="(todos)",TRUE,'ORDENES'!$O694=$B$3),IF($D$3="(todos)",TRUE,'ORDENES'!$AH694=$D$3),IF($F$3="(todos)",TRUE,'ORDENES'!$Z694=$F$3),IF($H$3="(todos)",TRUE,'ORDENES'!$Y694=$H$3),'ORDENES'!$AF694=TRUE,'ORDENES'!$A694&lt;&gt;""),1,0)</f>
        <v/>
      </c>
      <c r="L698" s="5">
        <f>IF(K698=1,IFERROR(MATCH('ORDENES'!$S694,lista_dias,0),9)*1000000000+IFERROR(MATCH('ORDENES'!$AH694,lista_turnos,0),9)*10000000+IFERROR(MATCH('ORDENES'!$AG694,tblTecnicos[nombre],0),99)*100000+691,9000000000000+691)</f>
        <v/>
      </c>
      <c r="M698" s="5">
        <f>IF(K698=1,SUMPRODUCT(--($L$8:$L$1207&lt;L698))+1,"")</f>
        <v/>
      </c>
      <c r="N698" s="17">
        <f>IF(K698=1,N('ORDENES'!$M694),0)</f>
        <v/>
      </c>
      <c r="O698" s="17">
        <f>IF('ORDENES'!$U694="preventiva",N698,0)</f>
        <v/>
      </c>
      <c r="P698" s="17">
        <f>IF('ORDENES'!$U694="correctiva",N698,0)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22">
        <f>IF(K698=1,'ORDENES'!$J694,"")</f>
        <v/>
      </c>
    </row>
    <row r="699">
      <c r="K699" s="5">
        <f>IF(AND(IF($B$3="(todos)",TRUE,'ORDENES'!$O695=$B$3),IF($D$3="(todos)",TRUE,'ORDENES'!$AH695=$D$3),IF($F$3="(todos)",TRUE,'ORDENES'!$Z695=$F$3),IF($H$3="(todos)",TRUE,'ORDENES'!$Y695=$H$3),'ORDENES'!$AF695=TRUE,'ORDENES'!$A695&lt;&gt;""),1,0)</f>
        <v/>
      </c>
      <c r="L699" s="5">
        <f>IF(K699=1,IFERROR(MATCH('ORDENES'!$S695,lista_dias,0),9)*1000000000+IFERROR(MATCH('ORDENES'!$AH695,lista_turnos,0),9)*10000000+IFERROR(MATCH('ORDENES'!$AG695,tblTecnicos[nombre],0),99)*100000+692,9000000000000+692)</f>
        <v/>
      </c>
      <c r="M699" s="5">
        <f>IF(K699=1,SUMPRODUCT(--($L$8:$L$1207&lt;L699))+1,"")</f>
        <v/>
      </c>
      <c r="N699" s="17">
        <f>IF(K699=1,N('ORDENES'!$M695),0)</f>
        <v/>
      </c>
      <c r="O699" s="17">
        <f>IF('ORDENES'!$U695="preventiva",N699,0)</f>
        <v/>
      </c>
      <c r="P699" s="17">
        <f>IF('ORDENES'!$U695="correctiva",N699,0)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22">
        <f>IF(K699=1,'ORDENES'!$J695,"")</f>
        <v/>
      </c>
    </row>
    <row r="700">
      <c r="K700" s="5">
        <f>IF(AND(IF($B$3="(todos)",TRUE,'ORDENES'!$O696=$B$3),IF($D$3="(todos)",TRUE,'ORDENES'!$AH696=$D$3),IF($F$3="(todos)",TRUE,'ORDENES'!$Z696=$F$3),IF($H$3="(todos)",TRUE,'ORDENES'!$Y696=$H$3),'ORDENES'!$AF696=TRUE,'ORDENES'!$A696&lt;&gt;""),1,0)</f>
        <v/>
      </c>
      <c r="L700" s="5">
        <f>IF(K700=1,IFERROR(MATCH('ORDENES'!$S696,lista_dias,0),9)*1000000000+IFERROR(MATCH('ORDENES'!$AH696,lista_turnos,0),9)*10000000+IFERROR(MATCH('ORDENES'!$AG696,tblTecnicos[nombre],0),99)*100000+693,9000000000000+693)</f>
        <v/>
      </c>
      <c r="M700" s="5">
        <f>IF(K700=1,SUMPRODUCT(--($L$8:$L$1207&lt;L700))+1,"")</f>
        <v/>
      </c>
      <c r="N700" s="17">
        <f>IF(K700=1,N('ORDENES'!$M696),0)</f>
        <v/>
      </c>
      <c r="O700" s="17">
        <f>IF('ORDENES'!$U696="preventiva",N700,0)</f>
        <v/>
      </c>
      <c r="P700" s="17">
        <f>IF('ORDENES'!$U696="correctiva",N700,0)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22">
        <f>IF(K700=1,'ORDENES'!$J696,"")</f>
        <v/>
      </c>
    </row>
    <row r="701">
      <c r="K701" s="5">
        <f>IF(AND(IF($B$3="(todos)",TRUE,'ORDENES'!$O697=$B$3),IF($D$3="(todos)",TRUE,'ORDENES'!$AH697=$D$3),IF($F$3="(todos)",TRUE,'ORDENES'!$Z697=$F$3),IF($H$3="(todos)",TRUE,'ORDENES'!$Y697=$H$3),'ORDENES'!$AF697=TRUE,'ORDENES'!$A697&lt;&gt;""),1,0)</f>
        <v/>
      </c>
      <c r="L701" s="5">
        <f>IF(K701=1,IFERROR(MATCH('ORDENES'!$S697,lista_dias,0),9)*1000000000+IFERROR(MATCH('ORDENES'!$AH697,lista_turnos,0),9)*10000000+IFERROR(MATCH('ORDENES'!$AG697,tblTecnicos[nombre],0),99)*100000+694,9000000000000+694)</f>
        <v/>
      </c>
      <c r="M701" s="5">
        <f>IF(K701=1,SUMPRODUCT(--($L$8:$L$1207&lt;L701))+1,"")</f>
        <v/>
      </c>
      <c r="N701" s="17">
        <f>IF(K701=1,N('ORDENES'!$M697),0)</f>
        <v/>
      </c>
      <c r="O701" s="17">
        <f>IF('ORDENES'!$U697="preventiva",N701,0)</f>
        <v/>
      </c>
      <c r="P701" s="17">
        <f>IF('ORDENES'!$U697="correctiva",N701,0)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22">
        <f>IF(K701=1,'ORDENES'!$J697,"")</f>
        <v/>
      </c>
    </row>
    <row r="702">
      <c r="K702" s="5">
        <f>IF(AND(IF($B$3="(todos)",TRUE,'ORDENES'!$O698=$B$3),IF($D$3="(todos)",TRUE,'ORDENES'!$AH698=$D$3),IF($F$3="(todos)",TRUE,'ORDENES'!$Z698=$F$3),IF($H$3="(todos)",TRUE,'ORDENES'!$Y698=$H$3),'ORDENES'!$AF698=TRUE,'ORDENES'!$A698&lt;&gt;""),1,0)</f>
        <v/>
      </c>
      <c r="L702" s="5">
        <f>IF(K702=1,IFERROR(MATCH('ORDENES'!$S698,lista_dias,0),9)*1000000000+IFERROR(MATCH('ORDENES'!$AH698,lista_turnos,0),9)*10000000+IFERROR(MATCH('ORDENES'!$AG698,tblTecnicos[nombre],0),99)*100000+695,9000000000000+695)</f>
        <v/>
      </c>
      <c r="M702" s="5">
        <f>IF(K702=1,SUMPRODUCT(--($L$8:$L$1207&lt;L702))+1,"")</f>
        <v/>
      </c>
      <c r="N702" s="17">
        <f>IF(K702=1,N('ORDENES'!$M698),0)</f>
        <v/>
      </c>
      <c r="O702" s="17">
        <f>IF('ORDENES'!$U698="preventiva",N702,0)</f>
        <v/>
      </c>
      <c r="P702" s="17">
        <f>IF('ORDENES'!$U698="correctiva",N702,0)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22">
        <f>IF(K702=1,'ORDENES'!$J698,"")</f>
        <v/>
      </c>
    </row>
    <row r="703">
      <c r="K703" s="5">
        <f>IF(AND(IF($B$3="(todos)",TRUE,'ORDENES'!$O699=$B$3),IF($D$3="(todos)",TRUE,'ORDENES'!$AH699=$D$3),IF($F$3="(todos)",TRUE,'ORDENES'!$Z699=$F$3),IF($H$3="(todos)",TRUE,'ORDENES'!$Y699=$H$3),'ORDENES'!$AF699=TRUE,'ORDENES'!$A699&lt;&gt;""),1,0)</f>
        <v/>
      </c>
      <c r="L703" s="5">
        <f>IF(K703=1,IFERROR(MATCH('ORDENES'!$S699,lista_dias,0),9)*1000000000+IFERROR(MATCH('ORDENES'!$AH699,lista_turnos,0),9)*10000000+IFERROR(MATCH('ORDENES'!$AG699,tblTecnicos[nombre],0),99)*100000+696,9000000000000+696)</f>
        <v/>
      </c>
      <c r="M703" s="5">
        <f>IF(K703=1,SUMPRODUCT(--($L$8:$L$1207&lt;L703))+1,"")</f>
        <v/>
      </c>
      <c r="N703" s="17">
        <f>IF(K703=1,N('ORDENES'!$M699),0)</f>
        <v/>
      </c>
      <c r="O703" s="17">
        <f>IF('ORDENES'!$U699="preventiva",N703,0)</f>
        <v/>
      </c>
      <c r="P703" s="17">
        <f>IF('ORDENES'!$U699="correctiva",N703,0)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22">
        <f>IF(K703=1,'ORDENES'!$J699,"")</f>
        <v/>
      </c>
    </row>
    <row r="704">
      <c r="K704" s="5">
        <f>IF(AND(IF($B$3="(todos)",TRUE,'ORDENES'!$O700=$B$3),IF($D$3="(todos)",TRUE,'ORDENES'!$AH700=$D$3),IF($F$3="(todos)",TRUE,'ORDENES'!$Z700=$F$3),IF($H$3="(todos)",TRUE,'ORDENES'!$Y700=$H$3),'ORDENES'!$AF700=TRUE,'ORDENES'!$A700&lt;&gt;""),1,0)</f>
        <v/>
      </c>
      <c r="L704" s="5">
        <f>IF(K704=1,IFERROR(MATCH('ORDENES'!$S700,lista_dias,0),9)*1000000000+IFERROR(MATCH('ORDENES'!$AH700,lista_turnos,0),9)*10000000+IFERROR(MATCH('ORDENES'!$AG700,tblTecnicos[nombre],0),99)*100000+697,9000000000000+697)</f>
        <v/>
      </c>
      <c r="M704" s="5">
        <f>IF(K704=1,SUMPRODUCT(--($L$8:$L$1207&lt;L704))+1,"")</f>
        <v/>
      </c>
      <c r="N704" s="17">
        <f>IF(K704=1,N('ORDENES'!$M700),0)</f>
        <v/>
      </c>
      <c r="O704" s="17">
        <f>IF('ORDENES'!$U700="preventiva",N704,0)</f>
        <v/>
      </c>
      <c r="P704" s="17">
        <f>IF('ORDENES'!$U700="correctiva",N704,0)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22">
        <f>IF(K704=1,'ORDENES'!$J700,"")</f>
        <v/>
      </c>
    </row>
    <row r="705">
      <c r="K705" s="5">
        <f>IF(AND(IF($B$3="(todos)",TRUE,'ORDENES'!$O701=$B$3),IF($D$3="(todos)",TRUE,'ORDENES'!$AH701=$D$3),IF($F$3="(todos)",TRUE,'ORDENES'!$Z701=$F$3),IF($H$3="(todos)",TRUE,'ORDENES'!$Y701=$H$3),'ORDENES'!$AF701=TRUE,'ORDENES'!$A701&lt;&gt;""),1,0)</f>
        <v/>
      </c>
      <c r="L705" s="5">
        <f>IF(K705=1,IFERROR(MATCH('ORDENES'!$S701,lista_dias,0),9)*1000000000+IFERROR(MATCH('ORDENES'!$AH701,lista_turnos,0),9)*10000000+IFERROR(MATCH('ORDENES'!$AG701,tblTecnicos[nombre],0),99)*100000+698,9000000000000+698)</f>
        <v/>
      </c>
      <c r="M705" s="5">
        <f>IF(K705=1,SUMPRODUCT(--($L$8:$L$1207&lt;L705))+1,"")</f>
        <v/>
      </c>
      <c r="N705" s="17">
        <f>IF(K705=1,N('ORDENES'!$M701),0)</f>
        <v/>
      </c>
      <c r="O705" s="17">
        <f>IF('ORDENES'!$U701="preventiva",N705,0)</f>
        <v/>
      </c>
      <c r="P705" s="17">
        <f>IF('ORDENES'!$U701="correctiva",N705,0)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22">
        <f>IF(K705=1,'ORDENES'!$J701,"")</f>
        <v/>
      </c>
    </row>
    <row r="706">
      <c r="K706" s="5">
        <f>IF(AND(IF($B$3="(todos)",TRUE,'ORDENES'!$O702=$B$3),IF($D$3="(todos)",TRUE,'ORDENES'!$AH702=$D$3),IF($F$3="(todos)",TRUE,'ORDENES'!$Z702=$F$3),IF($H$3="(todos)",TRUE,'ORDENES'!$Y702=$H$3),'ORDENES'!$AF702=TRUE,'ORDENES'!$A702&lt;&gt;""),1,0)</f>
        <v/>
      </c>
      <c r="L706" s="5">
        <f>IF(K706=1,IFERROR(MATCH('ORDENES'!$S702,lista_dias,0),9)*1000000000+IFERROR(MATCH('ORDENES'!$AH702,lista_turnos,0),9)*10000000+IFERROR(MATCH('ORDENES'!$AG702,tblTecnicos[nombre],0),99)*100000+699,9000000000000+699)</f>
        <v/>
      </c>
      <c r="M706" s="5">
        <f>IF(K706=1,SUMPRODUCT(--($L$8:$L$1207&lt;L706))+1,"")</f>
        <v/>
      </c>
      <c r="N706" s="17">
        <f>IF(K706=1,N('ORDENES'!$M702),0)</f>
        <v/>
      </c>
      <c r="O706" s="17">
        <f>IF('ORDENES'!$U702="preventiva",N706,0)</f>
        <v/>
      </c>
      <c r="P706" s="17">
        <f>IF('ORDENES'!$U702="correctiva",N706,0)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22">
        <f>IF(K706=1,'ORDENES'!$J702,"")</f>
        <v/>
      </c>
    </row>
    <row r="707">
      <c r="K707" s="5">
        <f>IF(AND(IF($B$3="(todos)",TRUE,'ORDENES'!$O703=$B$3),IF($D$3="(todos)",TRUE,'ORDENES'!$AH703=$D$3),IF($F$3="(todos)",TRUE,'ORDENES'!$Z703=$F$3),IF($H$3="(todos)",TRUE,'ORDENES'!$Y703=$H$3),'ORDENES'!$AF703=TRUE,'ORDENES'!$A703&lt;&gt;""),1,0)</f>
        <v/>
      </c>
      <c r="L707" s="5">
        <f>IF(K707=1,IFERROR(MATCH('ORDENES'!$S703,lista_dias,0),9)*1000000000+IFERROR(MATCH('ORDENES'!$AH703,lista_turnos,0),9)*10000000+IFERROR(MATCH('ORDENES'!$AG703,tblTecnicos[nombre],0),99)*100000+700,9000000000000+700)</f>
        <v/>
      </c>
      <c r="M707" s="5">
        <f>IF(K707=1,SUMPRODUCT(--($L$8:$L$1207&lt;L707))+1,"")</f>
        <v/>
      </c>
      <c r="N707" s="17">
        <f>IF(K707=1,N('ORDENES'!$M703),0)</f>
        <v/>
      </c>
      <c r="O707" s="17">
        <f>IF('ORDENES'!$U703="preventiva",N707,0)</f>
        <v/>
      </c>
      <c r="P707" s="17">
        <f>IF('ORDENES'!$U703="correctiva",N707,0)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22">
        <f>IF(K707=1,'ORDENES'!$J703,"")</f>
        <v/>
      </c>
    </row>
    <row r="708">
      <c r="K708" s="5">
        <f>IF(AND(IF($B$3="(todos)",TRUE,'ORDENES'!$O704=$B$3),IF($D$3="(todos)",TRUE,'ORDENES'!$AH704=$D$3),IF($F$3="(todos)",TRUE,'ORDENES'!$Z704=$F$3),IF($H$3="(todos)",TRUE,'ORDENES'!$Y704=$H$3),'ORDENES'!$AF704=TRUE,'ORDENES'!$A704&lt;&gt;""),1,0)</f>
        <v/>
      </c>
      <c r="L708" s="5">
        <f>IF(K708=1,IFERROR(MATCH('ORDENES'!$S704,lista_dias,0),9)*1000000000+IFERROR(MATCH('ORDENES'!$AH704,lista_turnos,0),9)*10000000+IFERROR(MATCH('ORDENES'!$AG704,tblTecnicos[nombre],0),99)*100000+701,9000000000000+701)</f>
        <v/>
      </c>
      <c r="M708" s="5">
        <f>IF(K708=1,SUMPRODUCT(--($L$8:$L$1207&lt;L708))+1,"")</f>
        <v/>
      </c>
      <c r="N708" s="17">
        <f>IF(K708=1,N('ORDENES'!$M704),0)</f>
        <v/>
      </c>
      <c r="O708" s="17">
        <f>IF('ORDENES'!$U704="preventiva",N708,0)</f>
        <v/>
      </c>
      <c r="P708" s="17">
        <f>IF('ORDENES'!$U704="correctiva",N708,0)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22">
        <f>IF(K708=1,'ORDENES'!$J704,"")</f>
        <v/>
      </c>
    </row>
    <row r="709">
      <c r="K709" s="5">
        <f>IF(AND(IF($B$3="(todos)",TRUE,'ORDENES'!$O705=$B$3),IF($D$3="(todos)",TRUE,'ORDENES'!$AH705=$D$3),IF($F$3="(todos)",TRUE,'ORDENES'!$Z705=$F$3),IF($H$3="(todos)",TRUE,'ORDENES'!$Y705=$H$3),'ORDENES'!$AF705=TRUE,'ORDENES'!$A705&lt;&gt;""),1,0)</f>
        <v/>
      </c>
      <c r="L709" s="5">
        <f>IF(K709=1,IFERROR(MATCH('ORDENES'!$S705,lista_dias,0),9)*1000000000+IFERROR(MATCH('ORDENES'!$AH705,lista_turnos,0),9)*10000000+IFERROR(MATCH('ORDENES'!$AG705,tblTecnicos[nombre],0),99)*100000+702,9000000000000+702)</f>
        <v/>
      </c>
      <c r="M709" s="5">
        <f>IF(K709=1,SUMPRODUCT(--($L$8:$L$1207&lt;L709))+1,"")</f>
        <v/>
      </c>
      <c r="N709" s="17">
        <f>IF(K709=1,N('ORDENES'!$M705),0)</f>
        <v/>
      </c>
      <c r="O709" s="17">
        <f>IF('ORDENES'!$U705="preventiva",N709,0)</f>
        <v/>
      </c>
      <c r="P709" s="17">
        <f>IF('ORDENES'!$U705="correctiva",N709,0)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22">
        <f>IF(K709=1,'ORDENES'!$J705,"")</f>
        <v/>
      </c>
    </row>
    <row r="710">
      <c r="K710" s="5">
        <f>IF(AND(IF($B$3="(todos)",TRUE,'ORDENES'!$O706=$B$3),IF($D$3="(todos)",TRUE,'ORDENES'!$AH706=$D$3),IF($F$3="(todos)",TRUE,'ORDENES'!$Z706=$F$3),IF($H$3="(todos)",TRUE,'ORDENES'!$Y706=$H$3),'ORDENES'!$AF706=TRUE,'ORDENES'!$A706&lt;&gt;""),1,0)</f>
        <v/>
      </c>
      <c r="L710" s="5">
        <f>IF(K710=1,IFERROR(MATCH('ORDENES'!$S706,lista_dias,0),9)*1000000000+IFERROR(MATCH('ORDENES'!$AH706,lista_turnos,0),9)*10000000+IFERROR(MATCH('ORDENES'!$AG706,tblTecnicos[nombre],0),99)*100000+703,9000000000000+703)</f>
        <v/>
      </c>
      <c r="M710" s="5">
        <f>IF(K710=1,SUMPRODUCT(--($L$8:$L$1207&lt;L710))+1,"")</f>
        <v/>
      </c>
      <c r="N710" s="17">
        <f>IF(K710=1,N('ORDENES'!$M706),0)</f>
        <v/>
      </c>
      <c r="O710" s="17">
        <f>IF('ORDENES'!$U706="preventiva",N710,0)</f>
        <v/>
      </c>
      <c r="P710" s="17">
        <f>IF('ORDENES'!$U706="correctiva",N710,0)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22">
        <f>IF(K710=1,'ORDENES'!$J706,"")</f>
        <v/>
      </c>
    </row>
    <row r="711">
      <c r="K711" s="5">
        <f>IF(AND(IF($B$3="(todos)",TRUE,'ORDENES'!$O707=$B$3),IF($D$3="(todos)",TRUE,'ORDENES'!$AH707=$D$3),IF($F$3="(todos)",TRUE,'ORDENES'!$Z707=$F$3),IF($H$3="(todos)",TRUE,'ORDENES'!$Y707=$H$3),'ORDENES'!$AF707=TRUE,'ORDENES'!$A707&lt;&gt;""),1,0)</f>
        <v/>
      </c>
      <c r="L711" s="5">
        <f>IF(K711=1,IFERROR(MATCH('ORDENES'!$S707,lista_dias,0),9)*1000000000+IFERROR(MATCH('ORDENES'!$AH707,lista_turnos,0),9)*10000000+IFERROR(MATCH('ORDENES'!$AG707,tblTecnicos[nombre],0),99)*100000+704,9000000000000+704)</f>
        <v/>
      </c>
      <c r="M711" s="5">
        <f>IF(K711=1,SUMPRODUCT(--($L$8:$L$1207&lt;L711))+1,"")</f>
        <v/>
      </c>
      <c r="N711" s="17">
        <f>IF(K711=1,N('ORDENES'!$M707),0)</f>
        <v/>
      </c>
      <c r="O711" s="17">
        <f>IF('ORDENES'!$U707="preventiva",N711,0)</f>
        <v/>
      </c>
      <c r="P711" s="17">
        <f>IF('ORDENES'!$U707="correctiva",N711,0)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22">
        <f>IF(K711=1,'ORDENES'!$J707,"")</f>
        <v/>
      </c>
    </row>
    <row r="712">
      <c r="K712" s="5">
        <f>IF(AND(IF($B$3="(todos)",TRUE,'ORDENES'!$O708=$B$3),IF($D$3="(todos)",TRUE,'ORDENES'!$AH708=$D$3),IF($F$3="(todos)",TRUE,'ORDENES'!$Z708=$F$3),IF($H$3="(todos)",TRUE,'ORDENES'!$Y708=$H$3),'ORDENES'!$AF708=TRUE,'ORDENES'!$A708&lt;&gt;""),1,0)</f>
        <v/>
      </c>
      <c r="L712" s="5">
        <f>IF(K712=1,IFERROR(MATCH('ORDENES'!$S708,lista_dias,0),9)*1000000000+IFERROR(MATCH('ORDENES'!$AH708,lista_turnos,0),9)*10000000+IFERROR(MATCH('ORDENES'!$AG708,tblTecnicos[nombre],0),99)*100000+705,9000000000000+705)</f>
        <v/>
      </c>
      <c r="M712" s="5">
        <f>IF(K712=1,SUMPRODUCT(--($L$8:$L$1207&lt;L712))+1,"")</f>
        <v/>
      </c>
      <c r="N712" s="17">
        <f>IF(K712=1,N('ORDENES'!$M708),0)</f>
        <v/>
      </c>
      <c r="O712" s="17">
        <f>IF('ORDENES'!$U708="preventiva",N712,0)</f>
        <v/>
      </c>
      <c r="P712" s="17">
        <f>IF('ORDENES'!$U708="correctiva",N712,0)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22">
        <f>IF(K712=1,'ORDENES'!$J708,"")</f>
        <v/>
      </c>
    </row>
    <row r="713">
      <c r="K713" s="5">
        <f>IF(AND(IF($B$3="(todos)",TRUE,'ORDENES'!$O709=$B$3),IF($D$3="(todos)",TRUE,'ORDENES'!$AH709=$D$3),IF($F$3="(todos)",TRUE,'ORDENES'!$Z709=$F$3),IF($H$3="(todos)",TRUE,'ORDENES'!$Y709=$H$3),'ORDENES'!$AF709=TRUE,'ORDENES'!$A709&lt;&gt;""),1,0)</f>
        <v/>
      </c>
      <c r="L713" s="5">
        <f>IF(K713=1,IFERROR(MATCH('ORDENES'!$S709,lista_dias,0),9)*1000000000+IFERROR(MATCH('ORDENES'!$AH709,lista_turnos,0),9)*10000000+IFERROR(MATCH('ORDENES'!$AG709,tblTecnicos[nombre],0),99)*100000+706,9000000000000+706)</f>
        <v/>
      </c>
      <c r="M713" s="5">
        <f>IF(K713=1,SUMPRODUCT(--($L$8:$L$1207&lt;L713))+1,"")</f>
        <v/>
      </c>
      <c r="N713" s="17">
        <f>IF(K713=1,N('ORDENES'!$M709),0)</f>
        <v/>
      </c>
      <c r="O713" s="17">
        <f>IF('ORDENES'!$U709="preventiva",N713,0)</f>
        <v/>
      </c>
      <c r="P713" s="17">
        <f>IF('ORDENES'!$U709="correctiva",N713,0)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22">
        <f>IF(K713=1,'ORDENES'!$J709,"")</f>
        <v/>
      </c>
    </row>
    <row r="714">
      <c r="K714" s="5">
        <f>IF(AND(IF($B$3="(todos)",TRUE,'ORDENES'!$O710=$B$3),IF($D$3="(todos)",TRUE,'ORDENES'!$AH710=$D$3),IF($F$3="(todos)",TRUE,'ORDENES'!$Z710=$F$3),IF($H$3="(todos)",TRUE,'ORDENES'!$Y710=$H$3),'ORDENES'!$AF710=TRUE,'ORDENES'!$A710&lt;&gt;""),1,0)</f>
        <v/>
      </c>
      <c r="L714" s="5">
        <f>IF(K714=1,IFERROR(MATCH('ORDENES'!$S710,lista_dias,0),9)*1000000000+IFERROR(MATCH('ORDENES'!$AH710,lista_turnos,0),9)*10000000+IFERROR(MATCH('ORDENES'!$AG710,tblTecnicos[nombre],0),99)*100000+707,9000000000000+707)</f>
        <v/>
      </c>
      <c r="M714" s="5">
        <f>IF(K714=1,SUMPRODUCT(--($L$8:$L$1207&lt;L714))+1,"")</f>
        <v/>
      </c>
      <c r="N714" s="17">
        <f>IF(K714=1,N('ORDENES'!$M710),0)</f>
        <v/>
      </c>
      <c r="O714" s="17">
        <f>IF('ORDENES'!$U710="preventiva",N714,0)</f>
        <v/>
      </c>
      <c r="P714" s="17">
        <f>IF('ORDENES'!$U710="correctiva",N714,0)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22">
        <f>IF(K714=1,'ORDENES'!$J710,"")</f>
        <v/>
      </c>
    </row>
    <row r="715">
      <c r="K715" s="5">
        <f>IF(AND(IF($B$3="(todos)",TRUE,'ORDENES'!$O711=$B$3),IF($D$3="(todos)",TRUE,'ORDENES'!$AH711=$D$3),IF($F$3="(todos)",TRUE,'ORDENES'!$Z711=$F$3),IF($H$3="(todos)",TRUE,'ORDENES'!$Y711=$H$3),'ORDENES'!$AF711=TRUE,'ORDENES'!$A711&lt;&gt;""),1,0)</f>
        <v/>
      </c>
      <c r="L715" s="5">
        <f>IF(K715=1,IFERROR(MATCH('ORDENES'!$S711,lista_dias,0),9)*1000000000+IFERROR(MATCH('ORDENES'!$AH711,lista_turnos,0),9)*10000000+IFERROR(MATCH('ORDENES'!$AG711,tblTecnicos[nombre],0),99)*100000+708,9000000000000+708)</f>
        <v/>
      </c>
      <c r="M715" s="5">
        <f>IF(K715=1,SUMPRODUCT(--($L$8:$L$1207&lt;L715))+1,"")</f>
        <v/>
      </c>
      <c r="N715" s="17">
        <f>IF(K715=1,N('ORDENES'!$M711),0)</f>
        <v/>
      </c>
      <c r="O715" s="17">
        <f>IF('ORDENES'!$U711="preventiva",N715,0)</f>
        <v/>
      </c>
      <c r="P715" s="17">
        <f>IF('ORDENES'!$U711="correctiva",N715,0)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22">
        <f>IF(K715=1,'ORDENES'!$J711,"")</f>
        <v/>
      </c>
    </row>
    <row r="716">
      <c r="K716" s="5">
        <f>IF(AND(IF($B$3="(todos)",TRUE,'ORDENES'!$O712=$B$3),IF($D$3="(todos)",TRUE,'ORDENES'!$AH712=$D$3),IF($F$3="(todos)",TRUE,'ORDENES'!$Z712=$F$3),IF($H$3="(todos)",TRUE,'ORDENES'!$Y712=$H$3),'ORDENES'!$AF712=TRUE,'ORDENES'!$A712&lt;&gt;""),1,0)</f>
        <v/>
      </c>
      <c r="L716" s="5">
        <f>IF(K716=1,IFERROR(MATCH('ORDENES'!$S712,lista_dias,0),9)*1000000000+IFERROR(MATCH('ORDENES'!$AH712,lista_turnos,0),9)*10000000+IFERROR(MATCH('ORDENES'!$AG712,tblTecnicos[nombre],0),99)*100000+709,9000000000000+709)</f>
        <v/>
      </c>
      <c r="M716" s="5">
        <f>IF(K716=1,SUMPRODUCT(--($L$8:$L$1207&lt;L716))+1,"")</f>
        <v/>
      </c>
      <c r="N716" s="17">
        <f>IF(K716=1,N('ORDENES'!$M712),0)</f>
        <v/>
      </c>
      <c r="O716" s="17">
        <f>IF('ORDENES'!$U712="preventiva",N716,0)</f>
        <v/>
      </c>
      <c r="P716" s="17">
        <f>IF('ORDENES'!$U712="correctiva",N716,0)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22">
        <f>IF(K716=1,'ORDENES'!$J712,"")</f>
        <v/>
      </c>
    </row>
    <row r="717">
      <c r="K717" s="5">
        <f>IF(AND(IF($B$3="(todos)",TRUE,'ORDENES'!$O713=$B$3),IF($D$3="(todos)",TRUE,'ORDENES'!$AH713=$D$3),IF($F$3="(todos)",TRUE,'ORDENES'!$Z713=$F$3),IF($H$3="(todos)",TRUE,'ORDENES'!$Y713=$H$3),'ORDENES'!$AF713=TRUE,'ORDENES'!$A713&lt;&gt;""),1,0)</f>
        <v/>
      </c>
      <c r="L717" s="5">
        <f>IF(K717=1,IFERROR(MATCH('ORDENES'!$S713,lista_dias,0),9)*1000000000+IFERROR(MATCH('ORDENES'!$AH713,lista_turnos,0),9)*10000000+IFERROR(MATCH('ORDENES'!$AG713,tblTecnicos[nombre],0),99)*100000+710,9000000000000+710)</f>
        <v/>
      </c>
      <c r="M717" s="5">
        <f>IF(K717=1,SUMPRODUCT(--($L$8:$L$1207&lt;L717))+1,"")</f>
        <v/>
      </c>
      <c r="N717" s="17">
        <f>IF(K717=1,N('ORDENES'!$M713),0)</f>
        <v/>
      </c>
      <c r="O717" s="17">
        <f>IF('ORDENES'!$U713="preventiva",N717,0)</f>
        <v/>
      </c>
      <c r="P717" s="17">
        <f>IF('ORDENES'!$U713="correctiva",N717,0)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22">
        <f>IF(K717=1,'ORDENES'!$J713,"")</f>
        <v/>
      </c>
    </row>
    <row r="718">
      <c r="K718" s="5">
        <f>IF(AND(IF($B$3="(todos)",TRUE,'ORDENES'!$O714=$B$3),IF($D$3="(todos)",TRUE,'ORDENES'!$AH714=$D$3),IF($F$3="(todos)",TRUE,'ORDENES'!$Z714=$F$3),IF($H$3="(todos)",TRUE,'ORDENES'!$Y714=$H$3),'ORDENES'!$AF714=TRUE,'ORDENES'!$A714&lt;&gt;""),1,0)</f>
        <v/>
      </c>
      <c r="L718" s="5">
        <f>IF(K718=1,IFERROR(MATCH('ORDENES'!$S714,lista_dias,0),9)*1000000000+IFERROR(MATCH('ORDENES'!$AH714,lista_turnos,0),9)*10000000+IFERROR(MATCH('ORDENES'!$AG714,tblTecnicos[nombre],0),99)*100000+711,9000000000000+711)</f>
        <v/>
      </c>
      <c r="M718" s="5">
        <f>IF(K718=1,SUMPRODUCT(--($L$8:$L$1207&lt;L718))+1,"")</f>
        <v/>
      </c>
      <c r="N718" s="17">
        <f>IF(K718=1,N('ORDENES'!$M714),0)</f>
        <v/>
      </c>
      <c r="O718" s="17">
        <f>IF('ORDENES'!$U714="preventiva",N718,0)</f>
        <v/>
      </c>
      <c r="P718" s="17">
        <f>IF('ORDENES'!$U714="correctiva",N718,0)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22">
        <f>IF(K718=1,'ORDENES'!$J714,"")</f>
        <v/>
      </c>
    </row>
    <row r="719">
      <c r="K719" s="5">
        <f>IF(AND(IF($B$3="(todos)",TRUE,'ORDENES'!$O715=$B$3),IF($D$3="(todos)",TRUE,'ORDENES'!$AH715=$D$3),IF($F$3="(todos)",TRUE,'ORDENES'!$Z715=$F$3),IF($H$3="(todos)",TRUE,'ORDENES'!$Y715=$H$3),'ORDENES'!$AF715=TRUE,'ORDENES'!$A715&lt;&gt;""),1,0)</f>
        <v/>
      </c>
      <c r="L719" s="5">
        <f>IF(K719=1,IFERROR(MATCH('ORDENES'!$S715,lista_dias,0),9)*1000000000+IFERROR(MATCH('ORDENES'!$AH715,lista_turnos,0),9)*10000000+IFERROR(MATCH('ORDENES'!$AG715,tblTecnicos[nombre],0),99)*100000+712,9000000000000+712)</f>
        <v/>
      </c>
      <c r="M719" s="5">
        <f>IF(K719=1,SUMPRODUCT(--($L$8:$L$1207&lt;L719))+1,"")</f>
        <v/>
      </c>
      <c r="N719" s="17">
        <f>IF(K719=1,N('ORDENES'!$M715),0)</f>
        <v/>
      </c>
      <c r="O719" s="17">
        <f>IF('ORDENES'!$U715="preventiva",N719,0)</f>
        <v/>
      </c>
      <c r="P719" s="17">
        <f>IF('ORDENES'!$U715="correctiva",N719,0)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22">
        <f>IF(K719=1,'ORDENES'!$J715,"")</f>
        <v/>
      </c>
    </row>
    <row r="720">
      <c r="K720" s="5">
        <f>IF(AND(IF($B$3="(todos)",TRUE,'ORDENES'!$O716=$B$3),IF($D$3="(todos)",TRUE,'ORDENES'!$AH716=$D$3),IF($F$3="(todos)",TRUE,'ORDENES'!$Z716=$F$3),IF($H$3="(todos)",TRUE,'ORDENES'!$Y716=$H$3),'ORDENES'!$AF716=TRUE,'ORDENES'!$A716&lt;&gt;""),1,0)</f>
        <v/>
      </c>
      <c r="L720" s="5">
        <f>IF(K720=1,IFERROR(MATCH('ORDENES'!$S716,lista_dias,0),9)*1000000000+IFERROR(MATCH('ORDENES'!$AH716,lista_turnos,0),9)*10000000+IFERROR(MATCH('ORDENES'!$AG716,tblTecnicos[nombre],0),99)*100000+713,9000000000000+713)</f>
        <v/>
      </c>
      <c r="M720" s="5">
        <f>IF(K720=1,SUMPRODUCT(--($L$8:$L$1207&lt;L720))+1,"")</f>
        <v/>
      </c>
      <c r="N720" s="17">
        <f>IF(K720=1,N('ORDENES'!$M716),0)</f>
        <v/>
      </c>
      <c r="O720" s="17">
        <f>IF('ORDENES'!$U716="preventiva",N720,0)</f>
        <v/>
      </c>
      <c r="P720" s="17">
        <f>IF('ORDENES'!$U716="correctiva",N720,0)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22">
        <f>IF(K720=1,'ORDENES'!$J716,"")</f>
        <v/>
      </c>
    </row>
    <row r="721">
      <c r="K721" s="5">
        <f>IF(AND(IF($B$3="(todos)",TRUE,'ORDENES'!$O717=$B$3),IF($D$3="(todos)",TRUE,'ORDENES'!$AH717=$D$3),IF($F$3="(todos)",TRUE,'ORDENES'!$Z717=$F$3),IF($H$3="(todos)",TRUE,'ORDENES'!$Y717=$H$3),'ORDENES'!$AF717=TRUE,'ORDENES'!$A717&lt;&gt;""),1,0)</f>
        <v/>
      </c>
      <c r="L721" s="5">
        <f>IF(K721=1,IFERROR(MATCH('ORDENES'!$S717,lista_dias,0),9)*1000000000+IFERROR(MATCH('ORDENES'!$AH717,lista_turnos,0),9)*10000000+IFERROR(MATCH('ORDENES'!$AG717,tblTecnicos[nombre],0),99)*100000+714,9000000000000+714)</f>
        <v/>
      </c>
      <c r="M721" s="5">
        <f>IF(K721=1,SUMPRODUCT(--($L$8:$L$1207&lt;L721))+1,"")</f>
        <v/>
      </c>
      <c r="N721" s="17">
        <f>IF(K721=1,N('ORDENES'!$M717),0)</f>
        <v/>
      </c>
      <c r="O721" s="17">
        <f>IF('ORDENES'!$U717="preventiva",N721,0)</f>
        <v/>
      </c>
      <c r="P721" s="17">
        <f>IF('ORDENES'!$U717="correctiva",N721,0)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22">
        <f>IF(K721=1,'ORDENES'!$J717,"")</f>
        <v/>
      </c>
    </row>
    <row r="722">
      <c r="K722" s="5">
        <f>IF(AND(IF($B$3="(todos)",TRUE,'ORDENES'!$O718=$B$3),IF($D$3="(todos)",TRUE,'ORDENES'!$AH718=$D$3),IF($F$3="(todos)",TRUE,'ORDENES'!$Z718=$F$3),IF($H$3="(todos)",TRUE,'ORDENES'!$Y718=$H$3),'ORDENES'!$AF718=TRUE,'ORDENES'!$A718&lt;&gt;""),1,0)</f>
        <v/>
      </c>
      <c r="L722" s="5">
        <f>IF(K722=1,IFERROR(MATCH('ORDENES'!$S718,lista_dias,0),9)*1000000000+IFERROR(MATCH('ORDENES'!$AH718,lista_turnos,0),9)*10000000+IFERROR(MATCH('ORDENES'!$AG718,tblTecnicos[nombre],0),99)*100000+715,9000000000000+715)</f>
        <v/>
      </c>
      <c r="M722" s="5">
        <f>IF(K722=1,SUMPRODUCT(--($L$8:$L$1207&lt;L722))+1,"")</f>
        <v/>
      </c>
      <c r="N722" s="17">
        <f>IF(K722=1,N('ORDENES'!$M718),0)</f>
        <v/>
      </c>
      <c r="O722" s="17">
        <f>IF('ORDENES'!$U718="preventiva",N722,0)</f>
        <v/>
      </c>
      <c r="P722" s="17">
        <f>IF('ORDENES'!$U718="correctiva",N722,0)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22">
        <f>IF(K722=1,'ORDENES'!$J718,"")</f>
        <v/>
      </c>
    </row>
    <row r="723">
      <c r="K723" s="5">
        <f>IF(AND(IF($B$3="(todos)",TRUE,'ORDENES'!$O719=$B$3),IF($D$3="(todos)",TRUE,'ORDENES'!$AH719=$D$3),IF($F$3="(todos)",TRUE,'ORDENES'!$Z719=$F$3),IF($H$3="(todos)",TRUE,'ORDENES'!$Y719=$H$3),'ORDENES'!$AF719=TRUE,'ORDENES'!$A719&lt;&gt;""),1,0)</f>
        <v/>
      </c>
      <c r="L723" s="5">
        <f>IF(K723=1,IFERROR(MATCH('ORDENES'!$S719,lista_dias,0),9)*1000000000+IFERROR(MATCH('ORDENES'!$AH719,lista_turnos,0),9)*10000000+IFERROR(MATCH('ORDENES'!$AG719,tblTecnicos[nombre],0),99)*100000+716,9000000000000+716)</f>
        <v/>
      </c>
      <c r="M723" s="5">
        <f>IF(K723=1,SUMPRODUCT(--($L$8:$L$1207&lt;L723))+1,"")</f>
        <v/>
      </c>
      <c r="N723" s="17">
        <f>IF(K723=1,N('ORDENES'!$M719),0)</f>
        <v/>
      </c>
      <c r="O723" s="17">
        <f>IF('ORDENES'!$U719="preventiva",N723,0)</f>
        <v/>
      </c>
      <c r="P723" s="17">
        <f>IF('ORDENES'!$U719="correctiva",N723,0)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22">
        <f>IF(K723=1,'ORDENES'!$J719,"")</f>
        <v/>
      </c>
    </row>
    <row r="724">
      <c r="K724" s="5">
        <f>IF(AND(IF($B$3="(todos)",TRUE,'ORDENES'!$O720=$B$3),IF($D$3="(todos)",TRUE,'ORDENES'!$AH720=$D$3),IF($F$3="(todos)",TRUE,'ORDENES'!$Z720=$F$3),IF($H$3="(todos)",TRUE,'ORDENES'!$Y720=$H$3),'ORDENES'!$AF720=TRUE,'ORDENES'!$A720&lt;&gt;""),1,0)</f>
        <v/>
      </c>
      <c r="L724" s="5">
        <f>IF(K724=1,IFERROR(MATCH('ORDENES'!$S720,lista_dias,0),9)*1000000000+IFERROR(MATCH('ORDENES'!$AH720,lista_turnos,0),9)*10000000+IFERROR(MATCH('ORDENES'!$AG720,tblTecnicos[nombre],0),99)*100000+717,9000000000000+717)</f>
        <v/>
      </c>
      <c r="M724" s="5">
        <f>IF(K724=1,SUMPRODUCT(--($L$8:$L$1207&lt;L724))+1,"")</f>
        <v/>
      </c>
      <c r="N724" s="17">
        <f>IF(K724=1,N('ORDENES'!$M720),0)</f>
        <v/>
      </c>
      <c r="O724" s="17">
        <f>IF('ORDENES'!$U720="preventiva",N724,0)</f>
        <v/>
      </c>
      <c r="P724" s="17">
        <f>IF('ORDENES'!$U720="correctiva",N724,0)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22">
        <f>IF(K724=1,'ORDENES'!$J720,"")</f>
        <v/>
      </c>
    </row>
    <row r="725">
      <c r="K725" s="5">
        <f>IF(AND(IF($B$3="(todos)",TRUE,'ORDENES'!$O721=$B$3),IF($D$3="(todos)",TRUE,'ORDENES'!$AH721=$D$3),IF($F$3="(todos)",TRUE,'ORDENES'!$Z721=$F$3),IF($H$3="(todos)",TRUE,'ORDENES'!$Y721=$H$3),'ORDENES'!$AF721=TRUE,'ORDENES'!$A721&lt;&gt;""),1,0)</f>
        <v/>
      </c>
      <c r="L725" s="5">
        <f>IF(K725=1,IFERROR(MATCH('ORDENES'!$S721,lista_dias,0),9)*1000000000+IFERROR(MATCH('ORDENES'!$AH721,lista_turnos,0),9)*10000000+IFERROR(MATCH('ORDENES'!$AG721,tblTecnicos[nombre],0),99)*100000+718,9000000000000+718)</f>
        <v/>
      </c>
      <c r="M725" s="5">
        <f>IF(K725=1,SUMPRODUCT(--($L$8:$L$1207&lt;L725))+1,"")</f>
        <v/>
      </c>
      <c r="N725" s="17">
        <f>IF(K725=1,N('ORDENES'!$M721),0)</f>
        <v/>
      </c>
      <c r="O725" s="17">
        <f>IF('ORDENES'!$U721="preventiva",N725,0)</f>
        <v/>
      </c>
      <c r="P725" s="17">
        <f>IF('ORDENES'!$U721="correctiva",N725,0)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22">
        <f>IF(K725=1,'ORDENES'!$J721,"")</f>
        <v/>
      </c>
    </row>
    <row r="726">
      <c r="K726" s="5">
        <f>IF(AND(IF($B$3="(todos)",TRUE,'ORDENES'!$O722=$B$3),IF($D$3="(todos)",TRUE,'ORDENES'!$AH722=$D$3),IF($F$3="(todos)",TRUE,'ORDENES'!$Z722=$F$3),IF($H$3="(todos)",TRUE,'ORDENES'!$Y722=$H$3),'ORDENES'!$AF722=TRUE,'ORDENES'!$A722&lt;&gt;""),1,0)</f>
        <v/>
      </c>
      <c r="L726" s="5">
        <f>IF(K726=1,IFERROR(MATCH('ORDENES'!$S722,lista_dias,0),9)*1000000000+IFERROR(MATCH('ORDENES'!$AH722,lista_turnos,0),9)*10000000+IFERROR(MATCH('ORDENES'!$AG722,tblTecnicos[nombre],0),99)*100000+719,9000000000000+719)</f>
        <v/>
      </c>
      <c r="M726" s="5">
        <f>IF(K726=1,SUMPRODUCT(--($L$8:$L$1207&lt;L726))+1,"")</f>
        <v/>
      </c>
      <c r="N726" s="17">
        <f>IF(K726=1,N('ORDENES'!$M722),0)</f>
        <v/>
      </c>
      <c r="O726" s="17">
        <f>IF('ORDENES'!$U722="preventiva",N726,0)</f>
        <v/>
      </c>
      <c r="P726" s="17">
        <f>IF('ORDENES'!$U722="correctiva",N726,0)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22">
        <f>IF(K726=1,'ORDENES'!$J722,"")</f>
        <v/>
      </c>
    </row>
    <row r="727">
      <c r="K727" s="5">
        <f>IF(AND(IF($B$3="(todos)",TRUE,'ORDENES'!$O723=$B$3),IF($D$3="(todos)",TRUE,'ORDENES'!$AH723=$D$3),IF($F$3="(todos)",TRUE,'ORDENES'!$Z723=$F$3),IF($H$3="(todos)",TRUE,'ORDENES'!$Y723=$H$3),'ORDENES'!$AF723=TRUE,'ORDENES'!$A723&lt;&gt;""),1,0)</f>
        <v/>
      </c>
      <c r="L727" s="5">
        <f>IF(K727=1,IFERROR(MATCH('ORDENES'!$S723,lista_dias,0),9)*1000000000+IFERROR(MATCH('ORDENES'!$AH723,lista_turnos,0),9)*10000000+IFERROR(MATCH('ORDENES'!$AG723,tblTecnicos[nombre],0),99)*100000+720,9000000000000+720)</f>
        <v/>
      </c>
      <c r="M727" s="5">
        <f>IF(K727=1,SUMPRODUCT(--($L$8:$L$1207&lt;L727))+1,"")</f>
        <v/>
      </c>
      <c r="N727" s="17">
        <f>IF(K727=1,N('ORDENES'!$M723),0)</f>
        <v/>
      </c>
      <c r="O727" s="17">
        <f>IF('ORDENES'!$U723="preventiva",N727,0)</f>
        <v/>
      </c>
      <c r="P727" s="17">
        <f>IF('ORDENES'!$U723="correctiva",N727,0)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22">
        <f>IF(K727=1,'ORDENES'!$J723,"")</f>
        <v/>
      </c>
    </row>
    <row r="728">
      <c r="K728" s="5">
        <f>IF(AND(IF($B$3="(todos)",TRUE,'ORDENES'!$O724=$B$3),IF($D$3="(todos)",TRUE,'ORDENES'!$AH724=$D$3),IF($F$3="(todos)",TRUE,'ORDENES'!$Z724=$F$3),IF($H$3="(todos)",TRUE,'ORDENES'!$Y724=$H$3),'ORDENES'!$AF724=TRUE,'ORDENES'!$A724&lt;&gt;""),1,0)</f>
        <v/>
      </c>
      <c r="L728" s="5">
        <f>IF(K728=1,IFERROR(MATCH('ORDENES'!$S724,lista_dias,0),9)*1000000000+IFERROR(MATCH('ORDENES'!$AH724,lista_turnos,0),9)*10000000+IFERROR(MATCH('ORDENES'!$AG724,tblTecnicos[nombre],0),99)*100000+721,9000000000000+721)</f>
        <v/>
      </c>
      <c r="M728" s="5">
        <f>IF(K728=1,SUMPRODUCT(--($L$8:$L$1207&lt;L728))+1,"")</f>
        <v/>
      </c>
      <c r="N728" s="17">
        <f>IF(K728=1,N('ORDENES'!$M724),0)</f>
        <v/>
      </c>
      <c r="O728" s="17">
        <f>IF('ORDENES'!$U724="preventiva",N728,0)</f>
        <v/>
      </c>
      <c r="P728" s="17">
        <f>IF('ORDENES'!$U724="correctiva",N728,0)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22">
        <f>IF(K728=1,'ORDENES'!$J724,"")</f>
        <v/>
      </c>
    </row>
    <row r="729">
      <c r="K729" s="5">
        <f>IF(AND(IF($B$3="(todos)",TRUE,'ORDENES'!$O725=$B$3),IF($D$3="(todos)",TRUE,'ORDENES'!$AH725=$D$3),IF($F$3="(todos)",TRUE,'ORDENES'!$Z725=$F$3),IF($H$3="(todos)",TRUE,'ORDENES'!$Y725=$H$3),'ORDENES'!$AF725=TRUE,'ORDENES'!$A725&lt;&gt;""),1,0)</f>
        <v/>
      </c>
      <c r="L729" s="5">
        <f>IF(K729=1,IFERROR(MATCH('ORDENES'!$S725,lista_dias,0),9)*1000000000+IFERROR(MATCH('ORDENES'!$AH725,lista_turnos,0),9)*10000000+IFERROR(MATCH('ORDENES'!$AG725,tblTecnicos[nombre],0),99)*100000+722,9000000000000+722)</f>
        <v/>
      </c>
      <c r="M729" s="5">
        <f>IF(K729=1,SUMPRODUCT(--($L$8:$L$1207&lt;L729))+1,"")</f>
        <v/>
      </c>
      <c r="N729" s="17">
        <f>IF(K729=1,N('ORDENES'!$M725),0)</f>
        <v/>
      </c>
      <c r="O729" s="17">
        <f>IF('ORDENES'!$U725="preventiva",N729,0)</f>
        <v/>
      </c>
      <c r="P729" s="17">
        <f>IF('ORDENES'!$U725="correctiva",N729,0)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22">
        <f>IF(K729=1,'ORDENES'!$J725,"")</f>
        <v/>
      </c>
    </row>
    <row r="730">
      <c r="K730" s="5">
        <f>IF(AND(IF($B$3="(todos)",TRUE,'ORDENES'!$O726=$B$3),IF($D$3="(todos)",TRUE,'ORDENES'!$AH726=$D$3),IF($F$3="(todos)",TRUE,'ORDENES'!$Z726=$F$3),IF($H$3="(todos)",TRUE,'ORDENES'!$Y726=$H$3),'ORDENES'!$AF726=TRUE,'ORDENES'!$A726&lt;&gt;""),1,0)</f>
        <v/>
      </c>
      <c r="L730" s="5">
        <f>IF(K730=1,IFERROR(MATCH('ORDENES'!$S726,lista_dias,0),9)*1000000000+IFERROR(MATCH('ORDENES'!$AH726,lista_turnos,0),9)*10000000+IFERROR(MATCH('ORDENES'!$AG726,tblTecnicos[nombre],0),99)*100000+723,9000000000000+723)</f>
        <v/>
      </c>
      <c r="M730" s="5">
        <f>IF(K730=1,SUMPRODUCT(--($L$8:$L$1207&lt;L730))+1,"")</f>
        <v/>
      </c>
      <c r="N730" s="17">
        <f>IF(K730=1,N('ORDENES'!$M726),0)</f>
        <v/>
      </c>
      <c r="O730" s="17">
        <f>IF('ORDENES'!$U726="preventiva",N730,0)</f>
        <v/>
      </c>
      <c r="P730" s="17">
        <f>IF('ORDENES'!$U726="correctiva",N730,0)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22">
        <f>IF(K730=1,'ORDENES'!$J726,"")</f>
        <v/>
      </c>
    </row>
    <row r="731">
      <c r="K731" s="5">
        <f>IF(AND(IF($B$3="(todos)",TRUE,'ORDENES'!$O727=$B$3),IF($D$3="(todos)",TRUE,'ORDENES'!$AH727=$D$3),IF($F$3="(todos)",TRUE,'ORDENES'!$Z727=$F$3),IF($H$3="(todos)",TRUE,'ORDENES'!$Y727=$H$3),'ORDENES'!$AF727=TRUE,'ORDENES'!$A727&lt;&gt;""),1,0)</f>
        <v/>
      </c>
      <c r="L731" s="5">
        <f>IF(K731=1,IFERROR(MATCH('ORDENES'!$S727,lista_dias,0),9)*1000000000+IFERROR(MATCH('ORDENES'!$AH727,lista_turnos,0),9)*10000000+IFERROR(MATCH('ORDENES'!$AG727,tblTecnicos[nombre],0),99)*100000+724,9000000000000+724)</f>
        <v/>
      </c>
      <c r="M731" s="5">
        <f>IF(K731=1,SUMPRODUCT(--($L$8:$L$1207&lt;L731))+1,"")</f>
        <v/>
      </c>
      <c r="N731" s="17">
        <f>IF(K731=1,N('ORDENES'!$M727),0)</f>
        <v/>
      </c>
      <c r="O731" s="17">
        <f>IF('ORDENES'!$U727="preventiva",N731,0)</f>
        <v/>
      </c>
      <c r="P731" s="17">
        <f>IF('ORDENES'!$U727="correctiva",N731,0)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22">
        <f>IF(K731=1,'ORDENES'!$J727,"")</f>
        <v/>
      </c>
    </row>
    <row r="732">
      <c r="K732" s="5">
        <f>IF(AND(IF($B$3="(todos)",TRUE,'ORDENES'!$O728=$B$3),IF($D$3="(todos)",TRUE,'ORDENES'!$AH728=$D$3),IF($F$3="(todos)",TRUE,'ORDENES'!$Z728=$F$3),IF($H$3="(todos)",TRUE,'ORDENES'!$Y728=$H$3),'ORDENES'!$AF728=TRUE,'ORDENES'!$A728&lt;&gt;""),1,0)</f>
        <v/>
      </c>
      <c r="L732" s="5">
        <f>IF(K732=1,IFERROR(MATCH('ORDENES'!$S728,lista_dias,0),9)*1000000000+IFERROR(MATCH('ORDENES'!$AH728,lista_turnos,0),9)*10000000+IFERROR(MATCH('ORDENES'!$AG728,tblTecnicos[nombre],0),99)*100000+725,9000000000000+725)</f>
        <v/>
      </c>
      <c r="M732" s="5">
        <f>IF(K732=1,SUMPRODUCT(--($L$8:$L$1207&lt;L732))+1,"")</f>
        <v/>
      </c>
      <c r="N732" s="17">
        <f>IF(K732=1,N('ORDENES'!$M728),0)</f>
        <v/>
      </c>
      <c r="O732" s="17">
        <f>IF('ORDENES'!$U728="preventiva",N732,0)</f>
        <v/>
      </c>
      <c r="P732" s="17">
        <f>IF('ORDENES'!$U728="correctiva",N732,0)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22">
        <f>IF(K732=1,'ORDENES'!$J728,"")</f>
        <v/>
      </c>
    </row>
    <row r="733">
      <c r="K733" s="5">
        <f>IF(AND(IF($B$3="(todos)",TRUE,'ORDENES'!$O729=$B$3),IF($D$3="(todos)",TRUE,'ORDENES'!$AH729=$D$3),IF($F$3="(todos)",TRUE,'ORDENES'!$Z729=$F$3),IF($H$3="(todos)",TRUE,'ORDENES'!$Y729=$H$3),'ORDENES'!$AF729=TRUE,'ORDENES'!$A729&lt;&gt;""),1,0)</f>
        <v/>
      </c>
      <c r="L733" s="5">
        <f>IF(K733=1,IFERROR(MATCH('ORDENES'!$S729,lista_dias,0),9)*1000000000+IFERROR(MATCH('ORDENES'!$AH729,lista_turnos,0),9)*10000000+IFERROR(MATCH('ORDENES'!$AG729,tblTecnicos[nombre],0),99)*100000+726,9000000000000+726)</f>
        <v/>
      </c>
      <c r="M733" s="5">
        <f>IF(K733=1,SUMPRODUCT(--($L$8:$L$1207&lt;L733))+1,"")</f>
        <v/>
      </c>
      <c r="N733" s="17">
        <f>IF(K733=1,N('ORDENES'!$M729),0)</f>
        <v/>
      </c>
      <c r="O733" s="17">
        <f>IF('ORDENES'!$U729="preventiva",N733,0)</f>
        <v/>
      </c>
      <c r="P733" s="17">
        <f>IF('ORDENES'!$U729="correctiva",N733,0)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22">
        <f>IF(K733=1,'ORDENES'!$J729,"")</f>
        <v/>
      </c>
    </row>
    <row r="734">
      <c r="K734" s="5">
        <f>IF(AND(IF($B$3="(todos)",TRUE,'ORDENES'!$O730=$B$3),IF($D$3="(todos)",TRUE,'ORDENES'!$AH730=$D$3),IF($F$3="(todos)",TRUE,'ORDENES'!$Z730=$F$3),IF($H$3="(todos)",TRUE,'ORDENES'!$Y730=$H$3),'ORDENES'!$AF730=TRUE,'ORDENES'!$A730&lt;&gt;""),1,0)</f>
        <v/>
      </c>
      <c r="L734" s="5">
        <f>IF(K734=1,IFERROR(MATCH('ORDENES'!$S730,lista_dias,0),9)*1000000000+IFERROR(MATCH('ORDENES'!$AH730,lista_turnos,0),9)*10000000+IFERROR(MATCH('ORDENES'!$AG730,tblTecnicos[nombre],0),99)*100000+727,9000000000000+727)</f>
        <v/>
      </c>
      <c r="M734" s="5">
        <f>IF(K734=1,SUMPRODUCT(--($L$8:$L$1207&lt;L734))+1,"")</f>
        <v/>
      </c>
      <c r="N734" s="17">
        <f>IF(K734=1,N('ORDENES'!$M730),0)</f>
        <v/>
      </c>
      <c r="O734" s="17">
        <f>IF('ORDENES'!$U730="preventiva",N734,0)</f>
        <v/>
      </c>
      <c r="P734" s="17">
        <f>IF('ORDENES'!$U730="correctiva",N734,0)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22">
        <f>IF(K734=1,'ORDENES'!$J730,"")</f>
        <v/>
      </c>
    </row>
    <row r="735">
      <c r="K735" s="5">
        <f>IF(AND(IF($B$3="(todos)",TRUE,'ORDENES'!$O731=$B$3),IF($D$3="(todos)",TRUE,'ORDENES'!$AH731=$D$3),IF($F$3="(todos)",TRUE,'ORDENES'!$Z731=$F$3),IF($H$3="(todos)",TRUE,'ORDENES'!$Y731=$H$3),'ORDENES'!$AF731=TRUE,'ORDENES'!$A731&lt;&gt;""),1,0)</f>
        <v/>
      </c>
      <c r="L735" s="5">
        <f>IF(K735=1,IFERROR(MATCH('ORDENES'!$S731,lista_dias,0),9)*1000000000+IFERROR(MATCH('ORDENES'!$AH731,lista_turnos,0),9)*10000000+IFERROR(MATCH('ORDENES'!$AG731,tblTecnicos[nombre],0),99)*100000+728,9000000000000+728)</f>
        <v/>
      </c>
      <c r="M735" s="5">
        <f>IF(K735=1,SUMPRODUCT(--($L$8:$L$1207&lt;L735))+1,"")</f>
        <v/>
      </c>
      <c r="N735" s="17">
        <f>IF(K735=1,N('ORDENES'!$M731),0)</f>
        <v/>
      </c>
      <c r="O735" s="17">
        <f>IF('ORDENES'!$U731="preventiva",N735,0)</f>
        <v/>
      </c>
      <c r="P735" s="17">
        <f>IF('ORDENES'!$U731="correctiva",N735,0)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22">
        <f>IF(K735=1,'ORDENES'!$J731,"")</f>
        <v/>
      </c>
    </row>
    <row r="736">
      <c r="K736" s="5">
        <f>IF(AND(IF($B$3="(todos)",TRUE,'ORDENES'!$O732=$B$3),IF($D$3="(todos)",TRUE,'ORDENES'!$AH732=$D$3),IF($F$3="(todos)",TRUE,'ORDENES'!$Z732=$F$3),IF($H$3="(todos)",TRUE,'ORDENES'!$Y732=$H$3),'ORDENES'!$AF732=TRUE,'ORDENES'!$A732&lt;&gt;""),1,0)</f>
        <v/>
      </c>
      <c r="L736" s="5">
        <f>IF(K736=1,IFERROR(MATCH('ORDENES'!$S732,lista_dias,0),9)*1000000000+IFERROR(MATCH('ORDENES'!$AH732,lista_turnos,0),9)*10000000+IFERROR(MATCH('ORDENES'!$AG732,tblTecnicos[nombre],0),99)*100000+729,9000000000000+729)</f>
        <v/>
      </c>
      <c r="M736" s="5">
        <f>IF(K736=1,SUMPRODUCT(--($L$8:$L$1207&lt;L736))+1,"")</f>
        <v/>
      </c>
      <c r="N736" s="17">
        <f>IF(K736=1,N('ORDENES'!$M732),0)</f>
        <v/>
      </c>
      <c r="O736" s="17">
        <f>IF('ORDENES'!$U732="preventiva",N736,0)</f>
        <v/>
      </c>
      <c r="P736" s="17">
        <f>IF('ORDENES'!$U732="correctiva",N736,0)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22">
        <f>IF(K736=1,'ORDENES'!$J732,"")</f>
        <v/>
      </c>
    </row>
    <row r="737">
      <c r="K737" s="5">
        <f>IF(AND(IF($B$3="(todos)",TRUE,'ORDENES'!$O733=$B$3),IF($D$3="(todos)",TRUE,'ORDENES'!$AH733=$D$3),IF($F$3="(todos)",TRUE,'ORDENES'!$Z733=$F$3),IF($H$3="(todos)",TRUE,'ORDENES'!$Y733=$H$3),'ORDENES'!$AF733=TRUE,'ORDENES'!$A733&lt;&gt;""),1,0)</f>
        <v/>
      </c>
      <c r="L737" s="5">
        <f>IF(K737=1,IFERROR(MATCH('ORDENES'!$S733,lista_dias,0),9)*1000000000+IFERROR(MATCH('ORDENES'!$AH733,lista_turnos,0),9)*10000000+IFERROR(MATCH('ORDENES'!$AG733,tblTecnicos[nombre],0),99)*100000+730,9000000000000+730)</f>
        <v/>
      </c>
      <c r="M737" s="5">
        <f>IF(K737=1,SUMPRODUCT(--($L$8:$L$1207&lt;L737))+1,"")</f>
        <v/>
      </c>
      <c r="N737" s="17">
        <f>IF(K737=1,N('ORDENES'!$M733),0)</f>
        <v/>
      </c>
      <c r="O737" s="17">
        <f>IF('ORDENES'!$U733="preventiva",N737,0)</f>
        <v/>
      </c>
      <c r="P737" s="17">
        <f>IF('ORDENES'!$U733="correctiva",N737,0)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22">
        <f>IF(K737=1,'ORDENES'!$J733,"")</f>
        <v/>
      </c>
    </row>
    <row r="738">
      <c r="K738" s="5">
        <f>IF(AND(IF($B$3="(todos)",TRUE,'ORDENES'!$O734=$B$3),IF($D$3="(todos)",TRUE,'ORDENES'!$AH734=$D$3),IF($F$3="(todos)",TRUE,'ORDENES'!$Z734=$F$3),IF($H$3="(todos)",TRUE,'ORDENES'!$Y734=$H$3),'ORDENES'!$AF734=TRUE,'ORDENES'!$A734&lt;&gt;""),1,0)</f>
        <v/>
      </c>
      <c r="L738" s="5">
        <f>IF(K738=1,IFERROR(MATCH('ORDENES'!$S734,lista_dias,0),9)*1000000000+IFERROR(MATCH('ORDENES'!$AH734,lista_turnos,0),9)*10000000+IFERROR(MATCH('ORDENES'!$AG734,tblTecnicos[nombre],0),99)*100000+731,9000000000000+731)</f>
        <v/>
      </c>
      <c r="M738" s="5">
        <f>IF(K738=1,SUMPRODUCT(--($L$8:$L$1207&lt;L738))+1,"")</f>
        <v/>
      </c>
      <c r="N738" s="17">
        <f>IF(K738=1,N('ORDENES'!$M734),0)</f>
        <v/>
      </c>
      <c r="O738" s="17">
        <f>IF('ORDENES'!$U734="preventiva",N738,0)</f>
        <v/>
      </c>
      <c r="P738" s="17">
        <f>IF('ORDENES'!$U734="correctiva",N738,0)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22">
        <f>IF(K738=1,'ORDENES'!$J734,"")</f>
        <v/>
      </c>
    </row>
    <row r="739">
      <c r="K739" s="5">
        <f>IF(AND(IF($B$3="(todos)",TRUE,'ORDENES'!$O735=$B$3),IF($D$3="(todos)",TRUE,'ORDENES'!$AH735=$D$3),IF($F$3="(todos)",TRUE,'ORDENES'!$Z735=$F$3),IF($H$3="(todos)",TRUE,'ORDENES'!$Y735=$H$3),'ORDENES'!$AF735=TRUE,'ORDENES'!$A735&lt;&gt;""),1,0)</f>
        <v/>
      </c>
      <c r="L739" s="5">
        <f>IF(K739=1,IFERROR(MATCH('ORDENES'!$S735,lista_dias,0),9)*1000000000+IFERROR(MATCH('ORDENES'!$AH735,lista_turnos,0),9)*10000000+IFERROR(MATCH('ORDENES'!$AG735,tblTecnicos[nombre],0),99)*100000+732,9000000000000+732)</f>
        <v/>
      </c>
      <c r="M739" s="5">
        <f>IF(K739=1,SUMPRODUCT(--($L$8:$L$1207&lt;L739))+1,"")</f>
        <v/>
      </c>
      <c r="N739" s="17">
        <f>IF(K739=1,N('ORDENES'!$M735),0)</f>
        <v/>
      </c>
      <c r="O739" s="17">
        <f>IF('ORDENES'!$U735="preventiva",N739,0)</f>
        <v/>
      </c>
      <c r="P739" s="17">
        <f>IF('ORDENES'!$U735="correctiva",N739,0)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22">
        <f>IF(K739=1,'ORDENES'!$J735,"")</f>
        <v/>
      </c>
    </row>
    <row r="740">
      <c r="K740" s="5">
        <f>IF(AND(IF($B$3="(todos)",TRUE,'ORDENES'!$O736=$B$3),IF($D$3="(todos)",TRUE,'ORDENES'!$AH736=$D$3),IF($F$3="(todos)",TRUE,'ORDENES'!$Z736=$F$3),IF($H$3="(todos)",TRUE,'ORDENES'!$Y736=$H$3),'ORDENES'!$AF736=TRUE,'ORDENES'!$A736&lt;&gt;""),1,0)</f>
        <v/>
      </c>
      <c r="L740" s="5">
        <f>IF(K740=1,IFERROR(MATCH('ORDENES'!$S736,lista_dias,0),9)*1000000000+IFERROR(MATCH('ORDENES'!$AH736,lista_turnos,0),9)*10000000+IFERROR(MATCH('ORDENES'!$AG736,tblTecnicos[nombre],0),99)*100000+733,9000000000000+733)</f>
        <v/>
      </c>
      <c r="M740" s="5">
        <f>IF(K740=1,SUMPRODUCT(--($L$8:$L$1207&lt;L740))+1,"")</f>
        <v/>
      </c>
      <c r="N740" s="17">
        <f>IF(K740=1,N('ORDENES'!$M736),0)</f>
        <v/>
      </c>
      <c r="O740" s="17">
        <f>IF('ORDENES'!$U736="preventiva",N740,0)</f>
        <v/>
      </c>
      <c r="P740" s="17">
        <f>IF('ORDENES'!$U736="correctiva",N740,0)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22">
        <f>IF(K740=1,'ORDENES'!$J736,"")</f>
        <v/>
      </c>
    </row>
    <row r="741">
      <c r="K741" s="5">
        <f>IF(AND(IF($B$3="(todos)",TRUE,'ORDENES'!$O737=$B$3),IF($D$3="(todos)",TRUE,'ORDENES'!$AH737=$D$3),IF($F$3="(todos)",TRUE,'ORDENES'!$Z737=$F$3),IF($H$3="(todos)",TRUE,'ORDENES'!$Y737=$H$3),'ORDENES'!$AF737=TRUE,'ORDENES'!$A737&lt;&gt;""),1,0)</f>
        <v/>
      </c>
      <c r="L741" s="5">
        <f>IF(K741=1,IFERROR(MATCH('ORDENES'!$S737,lista_dias,0),9)*1000000000+IFERROR(MATCH('ORDENES'!$AH737,lista_turnos,0),9)*10000000+IFERROR(MATCH('ORDENES'!$AG737,tblTecnicos[nombre],0),99)*100000+734,9000000000000+734)</f>
        <v/>
      </c>
      <c r="M741" s="5">
        <f>IF(K741=1,SUMPRODUCT(--($L$8:$L$1207&lt;L741))+1,"")</f>
        <v/>
      </c>
      <c r="N741" s="17">
        <f>IF(K741=1,N('ORDENES'!$M737),0)</f>
        <v/>
      </c>
      <c r="O741" s="17">
        <f>IF('ORDENES'!$U737="preventiva",N741,0)</f>
        <v/>
      </c>
      <c r="P741" s="17">
        <f>IF('ORDENES'!$U737="correctiva",N741,0)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22">
        <f>IF(K741=1,'ORDENES'!$J737,"")</f>
        <v/>
      </c>
    </row>
    <row r="742">
      <c r="K742" s="5">
        <f>IF(AND(IF($B$3="(todos)",TRUE,'ORDENES'!$O738=$B$3),IF($D$3="(todos)",TRUE,'ORDENES'!$AH738=$D$3),IF($F$3="(todos)",TRUE,'ORDENES'!$Z738=$F$3),IF($H$3="(todos)",TRUE,'ORDENES'!$Y738=$H$3),'ORDENES'!$AF738=TRUE,'ORDENES'!$A738&lt;&gt;""),1,0)</f>
        <v/>
      </c>
      <c r="L742" s="5">
        <f>IF(K742=1,IFERROR(MATCH('ORDENES'!$S738,lista_dias,0),9)*1000000000+IFERROR(MATCH('ORDENES'!$AH738,lista_turnos,0),9)*10000000+IFERROR(MATCH('ORDENES'!$AG738,tblTecnicos[nombre],0),99)*100000+735,9000000000000+735)</f>
        <v/>
      </c>
      <c r="M742" s="5">
        <f>IF(K742=1,SUMPRODUCT(--($L$8:$L$1207&lt;L742))+1,"")</f>
        <v/>
      </c>
      <c r="N742" s="17">
        <f>IF(K742=1,N('ORDENES'!$M738),0)</f>
        <v/>
      </c>
      <c r="O742" s="17">
        <f>IF('ORDENES'!$U738="preventiva",N742,0)</f>
        <v/>
      </c>
      <c r="P742" s="17">
        <f>IF('ORDENES'!$U738="correctiva",N742,0)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22">
        <f>IF(K742=1,'ORDENES'!$J738,"")</f>
        <v/>
      </c>
    </row>
    <row r="743">
      <c r="K743" s="5">
        <f>IF(AND(IF($B$3="(todos)",TRUE,'ORDENES'!$O739=$B$3),IF($D$3="(todos)",TRUE,'ORDENES'!$AH739=$D$3),IF($F$3="(todos)",TRUE,'ORDENES'!$Z739=$F$3),IF($H$3="(todos)",TRUE,'ORDENES'!$Y739=$H$3),'ORDENES'!$AF739=TRUE,'ORDENES'!$A739&lt;&gt;""),1,0)</f>
        <v/>
      </c>
      <c r="L743" s="5">
        <f>IF(K743=1,IFERROR(MATCH('ORDENES'!$S739,lista_dias,0),9)*1000000000+IFERROR(MATCH('ORDENES'!$AH739,lista_turnos,0),9)*10000000+IFERROR(MATCH('ORDENES'!$AG739,tblTecnicos[nombre],0),99)*100000+736,9000000000000+736)</f>
        <v/>
      </c>
      <c r="M743" s="5">
        <f>IF(K743=1,SUMPRODUCT(--($L$8:$L$1207&lt;L743))+1,"")</f>
        <v/>
      </c>
      <c r="N743" s="17">
        <f>IF(K743=1,N('ORDENES'!$M739),0)</f>
        <v/>
      </c>
      <c r="O743" s="17">
        <f>IF('ORDENES'!$U739="preventiva",N743,0)</f>
        <v/>
      </c>
      <c r="P743" s="17">
        <f>IF('ORDENES'!$U739="correctiva",N743,0)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22">
        <f>IF(K743=1,'ORDENES'!$J739,"")</f>
        <v/>
      </c>
    </row>
    <row r="744">
      <c r="K744" s="5">
        <f>IF(AND(IF($B$3="(todos)",TRUE,'ORDENES'!$O740=$B$3),IF($D$3="(todos)",TRUE,'ORDENES'!$AH740=$D$3),IF($F$3="(todos)",TRUE,'ORDENES'!$Z740=$F$3),IF($H$3="(todos)",TRUE,'ORDENES'!$Y740=$H$3),'ORDENES'!$AF740=TRUE,'ORDENES'!$A740&lt;&gt;""),1,0)</f>
        <v/>
      </c>
      <c r="L744" s="5">
        <f>IF(K744=1,IFERROR(MATCH('ORDENES'!$S740,lista_dias,0),9)*1000000000+IFERROR(MATCH('ORDENES'!$AH740,lista_turnos,0),9)*10000000+IFERROR(MATCH('ORDENES'!$AG740,tblTecnicos[nombre],0),99)*100000+737,9000000000000+737)</f>
        <v/>
      </c>
      <c r="M744" s="5">
        <f>IF(K744=1,SUMPRODUCT(--($L$8:$L$1207&lt;L744))+1,"")</f>
        <v/>
      </c>
      <c r="N744" s="17">
        <f>IF(K744=1,N('ORDENES'!$M740),0)</f>
        <v/>
      </c>
      <c r="O744" s="17">
        <f>IF('ORDENES'!$U740="preventiva",N744,0)</f>
        <v/>
      </c>
      <c r="P744" s="17">
        <f>IF('ORDENES'!$U740="correctiva",N744,0)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22">
        <f>IF(K744=1,'ORDENES'!$J740,"")</f>
        <v/>
      </c>
    </row>
    <row r="745">
      <c r="K745" s="5">
        <f>IF(AND(IF($B$3="(todos)",TRUE,'ORDENES'!$O741=$B$3),IF($D$3="(todos)",TRUE,'ORDENES'!$AH741=$D$3),IF($F$3="(todos)",TRUE,'ORDENES'!$Z741=$F$3),IF($H$3="(todos)",TRUE,'ORDENES'!$Y741=$H$3),'ORDENES'!$AF741=TRUE,'ORDENES'!$A741&lt;&gt;""),1,0)</f>
        <v/>
      </c>
      <c r="L745" s="5">
        <f>IF(K745=1,IFERROR(MATCH('ORDENES'!$S741,lista_dias,0),9)*1000000000+IFERROR(MATCH('ORDENES'!$AH741,lista_turnos,0),9)*10000000+IFERROR(MATCH('ORDENES'!$AG741,tblTecnicos[nombre],0),99)*100000+738,9000000000000+738)</f>
        <v/>
      </c>
      <c r="M745" s="5">
        <f>IF(K745=1,SUMPRODUCT(--($L$8:$L$1207&lt;L745))+1,"")</f>
        <v/>
      </c>
      <c r="N745" s="17">
        <f>IF(K745=1,N('ORDENES'!$M741),0)</f>
        <v/>
      </c>
      <c r="O745" s="17">
        <f>IF('ORDENES'!$U741="preventiva",N745,0)</f>
        <v/>
      </c>
      <c r="P745" s="17">
        <f>IF('ORDENES'!$U741="correctiva",N745,0)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22">
        <f>IF(K745=1,'ORDENES'!$J741,"")</f>
        <v/>
      </c>
    </row>
    <row r="746">
      <c r="K746" s="5">
        <f>IF(AND(IF($B$3="(todos)",TRUE,'ORDENES'!$O742=$B$3),IF($D$3="(todos)",TRUE,'ORDENES'!$AH742=$D$3),IF($F$3="(todos)",TRUE,'ORDENES'!$Z742=$F$3),IF($H$3="(todos)",TRUE,'ORDENES'!$Y742=$H$3),'ORDENES'!$AF742=TRUE,'ORDENES'!$A742&lt;&gt;""),1,0)</f>
        <v/>
      </c>
      <c r="L746" s="5">
        <f>IF(K746=1,IFERROR(MATCH('ORDENES'!$S742,lista_dias,0),9)*1000000000+IFERROR(MATCH('ORDENES'!$AH742,lista_turnos,0),9)*10000000+IFERROR(MATCH('ORDENES'!$AG742,tblTecnicos[nombre],0),99)*100000+739,9000000000000+739)</f>
        <v/>
      </c>
      <c r="M746" s="5">
        <f>IF(K746=1,SUMPRODUCT(--($L$8:$L$1207&lt;L746))+1,"")</f>
        <v/>
      </c>
      <c r="N746" s="17">
        <f>IF(K746=1,N('ORDENES'!$M742),0)</f>
        <v/>
      </c>
      <c r="O746" s="17">
        <f>IF('ORDENES'!$U742="preventiva",N746,0)</f>
        <v/>
      </c>
      <c r="P746" s="17">
        <f>IF('ORDENES'!$U742="correctiva",N746,0)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22">
        <f>IF(K746=1,'ORDENES'!$J742,"")</f>
        <v/>
      </c>
    </row>
    <row r="747">
      <c r="K747" s="5">
        <f>IF(AND(IF($B$3="(todos)",TRUE,'ORDENES'!$O743=$B$3),IF($D$3="(todos)",TRUE,'ORDENES'!$AH743=$D$3),IF($F$3="(todos)",TRUE,'ORDENES'!$Z743=$F$3),IF($H$3="(todos)",TRUE,'ORDENES'!$Y743=$H$3),'ORDENES'!$AF743=TRUE,'ORDENES'!$A743&lt;&gt;""),1,0)</f>
        <v/>
      </c>
      <c r="L747" s="5">
        <f>IF(K747=1,IFERROR(MATCH('ORDENES'!$S743,lista_dias,0),9)*1000000000+IFERROR(MATCH('ORDENES'!$AH743,lista_turnos,0),9)*10000000+IFERROR(MATCH('ORDENES'!$AG743,tblTecnicos[nombre],0),99)*100000+740,9000000000000+740)</f>
        <v/>
      </c>
      <c r="M747" s="5">
        <f>IF(K747=1,SUMPRODUCT(--($L$8:$L$1207&lt;L747))+1,"")</f>
        <v/>
      </c>
      <c r="N747" s="17">
        <f>IF(K747=1,N('ORDENES'!$M743),0)</f>
        <v/>
      </c>
      <c r="O747" s="17">
        <f>IF('ORDENES'!$U743="preventiva",N747,0)</f>
        <v/>
      </c>
      <c r="P747" s="17">
        <f>IF('ORDENES'!$U743="correctiva",N747,0)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22">
        <f>IF(K747=1,'ORDENES'!$J743,"")</f>
        <v/>
      </c>
    </row>
    <row r="748">
      <c r="K748" s="5">
        <f>IF(AND(IF($B$3="(todos)",TRUE,'ORDENES'!$O744=$B$3),IF($D$3="(todos)",TRUE,'ORDENES'!$AH744=$D$3),IF($F$3="(todos)",TRUE,'ORDENES'!$Z744=$F$3),IF($H$3="(todos)",TRUE,'ORDENES'!$Y744=$H$3),'ORDENES'!$AF744=TRUE,'ORDENES'!$A744&lt;&gt;""),1,0)</f>
        <v/>
      </c>
      <c r="L748" s="5">
        <f>IF(K748=1,IFERROR(MATCH('ORDENES'!$S744,lista_dias,0),9)*1000000000+IFERROR(MATCH('ORDENES'!$AH744,lista_turnos,0),9)*10000000+IFERROR(MATCH('ORDENES'!$AG744,tblTecnicos[nombre],0),99)*100000+741,9000000000000+741)</f>
        <v/>
      </c>
      <c r="M748" s="5">
        <f>IF(K748=1,SUMPRODUCT(--($L$8:$L$1207&lt;L748))+1,"")</f>
        <v/>
      </c>
      <c r="N748" s="17">
        <f>IF(K748=1,N('ORDENES'!$M744),0)</f>
        <v/>
      </c>
      <c r="O748" s="17">
        <f>IF('ORDENES'!$U744="preventiva",N748,0)</f>
        <v/>
      </c>
      <c r="P748" s="17">
        <f>IF('ORDENES'!$U744="correctiva",N748,0)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22">
        <f>IF(K748=1,'ORDENES'!$J744,"")</f>
        <v/>
      </c>
    </row>
    <row r="749">
      <c r="K749" s="5">
        <f>IF(AND(IF($B$3="(todos)",TRUE,'ORDENES'!$O745=$B$3),IF($D$3="(todos)",TRUE,'ORDENES'!$AH745=$D$3),IF($F$3="(todos)",TRUE,'ORDENES'!$Z745=$F$3),IF($H$3="(todos)",TRUE,'ORDENES'!$Y745=$H$3),'ORDENES'!$AF745=TRUE,'ORDENES'!$A745&lt;&gt;""),1,0)</f>
        <v/>
      </c>
      <c r="L749" s="5">
        <f>IF(K749=1,IFERROR(MATCH('ORDENES'!$S745,lista_dias,0),9)*1000000000+IFERROR(MATCH('ORDENES'!$AH745,lista_turnos,0),9)*10000000+IFERROR(MATCH('ORDENES'!$AG745,tblTecnicos[nombre],0),99)*100000+742,9000000000000+742)</f>
        <v/>
      </c>
      <c r="M749" s="5">
        <f>IF(K749=1,SUMPRODUCT(--($L$8:$L$1207&lt;L749))+1,"")</f>
        <v/>
      </c>
      <c r="N749" s="17">
        <f>IF(K749=1,N('ORDENES'!$M745),0)</f>
        <v/>
      </c>
      <c r="O749" s="17">
        <f>IF('ORDENES'!$U745="preventiva",N749,0)</f>
        <v/>
      </c>
      <c r="P749" s="17">
        <f>IF('ORDENES'!$U745="correctiva",N749,0)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22">
        <f>IF(K749=1,'ORDENES'!$J745,"")</f>
        <v/>
      </c>
    </row>
    <row r="750">
      <c r="K750" s="5">
        <f>IF(AND(IF($B$3="(todos)",TRUE,'ORDENES'!$O746=$B$3),IF($D$3="(todos)",TRUE,'ORDENES'!$AH746=$D$3),IF($F$3="(todos)",TRUE,'ORDENES'!$Z746=$F$3),IF($H$3="(todos)",TRUE,'ORDENES'!$Y746=$H$3),'ORDENES'!$AF746=TRUE,'ORDENES'!$A746&lt;&gt;""),1,0)</f>
        <v/>
      </c>
      <c r="L750" s="5">
        <f>IF(K750=1,IFERROR(MATCH('ORDENES'!$S746,lista_dias,0),9)*1000000000+IFERROR(MATCH('ORDENES'!$AH746,lista_turnos,0),9)*10000000+IFERROR(MATCH('ORDENES'!$AG746,tblTecnicos[nombre],0),99)*100000+743,9000000000000+743)</f>
        <v/>
      </c>
      <c r="M750" s="5">
        <f>IF(K750=1,SUMPRODUCT(--($L$8:$L$1207&lt;L750))+1,"")</f>
        <v/>
      </c>
      <c r="N750" s="17">
        <f>IF(K750=1,N('ORDENES'!$M746),0)</f>
        <v/>
      </c>
      <c r="O750" s="17">
        <f>IF('ORDENES'!$U746="preventiva",N750,0)</f>
        <v/>
      </c>
      <c r="P750" s="17">
        <f>IF('ORDENES'!$U746="correctiva",N750,0)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22">
        <f>IF(K750=1,'ORDENES'!$J746,"")</f>
        <v/>
      </c>
    </row>
    <row r="751">
      <c r="K751" s="5">
        <f>IF(AND(IF($B$3="(todos)",TRUE,'ORDENES'!$O747=$B$3),IF($D$3="(todos)",TRUE,'ORDENES'!$AH747=$D$3),IF($F$3="(todos)",TRUE,'ORDENES'!$Z747=$F$3),IF($H$3="(todos)",TRUE,'ORDENES'!$Y747=$H$3),'ORDENES'!$AF747=TRUE,'ORDENES'!$A747&lt;&gt;""),1,0)</f>
        <v/>
      </c>
      <c r="L751" s="5">
        <f>IF(K751=1,IFERROR(MATCH('ORDENES'!$S747,lista_dias,0),9)*1000000000+IFERROR(MATCH('ORDENES'!$AH747,lista_turnos,0),9)*10000000+IFERROR(MATCH('ORDENES'!$AG747,tblTecnicos[nombre],0),99)*100000+744,9000000000000+744)</f>
        <v/>
      </c>
      <c r="M751" s="5">
        <f>IF(K751=1,SUMPRODUCT(--($L$8:$L$1207&lt;L751))+1,"")</f>
        <v/>
      </c>
      <c r="N751" s="17">
        <f>IF(K751=1,N('ORDENES'!$M747),0)</f>
        <v/>
      </c>
      <c r="O751" s="17">
        <f>IF('ORDENES'!$U747="preventiva",N751,0)</f>
        <v/>
      </c>
      <c r="P751" s="17">
        <f>IF('ORDENES'!$U747="correctiva",N751,0)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22">
        <f>IF(K751=1,'ORDENES'!$J747,"")</f>
        <v/>
      </c>
    </row>
    <row r="752">
      <c r="K752" s="5">
        <f>IF(AND(IF($B$3="(todos)",TRUE,'ORDENES'!$O748=$B$3),IF($D$3="(todos)",TRUE,'ORDENES'!$AH748=$D$3),IF($F$3="(todos)",TRUE,'ORDENES'!$Z748=$F$3),IF($H$3="(todos)",TRUE,'ORDENES'!$Y748=$H$3),'ORDENES'!$AF748=TRUE,'ORDENES'!$A748&lt;&gt;""),1,0)</f>
        <v/>
      </c>
      <c r="L752" s="5">
        <f>IF(K752=1,IFERROR(MATCH('ORDENES'!$S748,lista_dias,0),9)*1000000000+IFERROR(MATCH('ORDENES'!$AH748,lista_turnos,0),9)*10000000+IFERROR(MATCH('ORDENES'!$AG748,tblTecnicos[nombre],0),99)*100000+745,9000000000000+745)</f>
        <v/>
      </c>
      <c r="M752" s="5">
        <f>IF(K752=1,SUMPRODUCT(--($L$8:$L$1207&lt;L752))+1,"")</f>
        <v/>
      </c>
      <c r="N752" s="17">
        <f>IF(K752=1,N('ORDENES'!$M748),0)</f>
        <v/>
      </c>
      <c r="O752" s="17">
        <f>IF('ORDENES'!$U748="preventiva",N752,0)</f>
        <v/>
      </c>
      <c r="P752" s="17">
        <f>IF('ORDENES'!$U748="correctiva",N752,0)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22">
        <f>IF(K752=1,'ORDENES'!$J748,"")</f>
        <v/>
      </c>
    </row>
    <row r="753">
      <c r="K753" s="5">
        <f>IF(AND(IF($B$3="(todos)",TRUE,'ORDENES'!$O749=$B$3),IF($D$3="(todos)",TRUE,'ORDENES'!$AH749=$D$3),IF($F$3="(todos)",TRUE,'ORDENES'!$Z749=$F$3),IF($H$3="(todos)",TRUE,'ORDENES'!$Y749=$H$3),'ORDENES'!$AF749=TRUE,'ORDENES'!$A749&lt;&gt;""),1,0)</f>
        <v/>
      </c>
      <c r="L753" s="5">
        <f>IF(K753=1,IFERROR(MATCH('ORDENES'!$S749,lista_dias,0),9)*1000000000+IFERROR(MATCH('ORDENES'!$AH749,lista_turnos,0),9)*10000000+IFERROR(MATCH('ORDENES'!$AG749,tblTecnicos[nombre],0),99)*100000+746,9000000000000+746)</f>
        <v/>
      </c>
      <c r="M753" s="5">
        <f>IF(K753=1,SUMPRODUCT(--($L$8:$L$1207&lt;L753))+1,"")</f>
        <v/>
      </c>
      <c r="N753" s="17">
        <f>IF(K753=1,N('ORDENES'!$M749),0)</f>
        <v/>
      </c>
      <c r="O753" s="17">
        <f>IF('ORDENES'!$U749="preventiva",N753,0)</f>
        <v/>
      </c>
      <c r="P753" s="17">
        <f>IF('ORDENES'!$U749="correctiva",N753,0)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22">
        <f>IF(K753=1,'ORDENES'!$J749,"")</f>
        <v/>
      </c>
    </row>
    <row r="754">
      <c r="K754" s="5">
        <f>IF(AND(IF($B$3="(todos)",TRUE,'ORDENES'!$O750=$B$3),IF($D$3="(todos)",TRUE,'ORDENES'!$AH750=$D$3),IF($F$3="(todos)",TRUE,'ORDENES'!$Z750=$F$3),IF($H$3="(todos)",TRUE,'ORDENES'!$Y750=$H$3),'ORDENES'!$AF750=TRUE,'ORDENES'!$A750&lt;&gt;""),1,0)</f>
        <v/>
      </c>
      <c r="L754" s="5">
        <f>IF(K754=1,IFERROR(MATCH('ORDENES'!$S750,lista_dias,0),9)*1000000000+IFERROR(MATCH('ORDENES'!$AH750,lista_turnos,0),9)*10000000+IFERROR(MATCH('ORDENES'!$AG750,tblTecnicos[nombre],0),99)*100000+747,9000000000000+747)</f>
        <v/>
      </c>
      <c r="M754" s="5">
        <f>IF(K754=1,SUMPRODUCT(--($L$8:$L$1207&lt;L754))+1,"")</f>
        <v/>
      </c>
      <c r="N754" s="17">
        <f>IF(K754=1,N('ORDENES'!$M750),0)</f>
        <v/>
      </c>
      <c r="O754" s="17">
        <f>IF('ORDENES'!$U750="preventiva",N754,0)</f>
        <v/>
      </c>
      <c r="P754" s="17">
        <f>IF('ORDENES'!$U750="correctiva",N754,0)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22">
        <f>IF(K754=1,'ORDENES'!$J750,"")</f>
        <v/>
      </c>
    </row>
    <row r="755">
      <c r="K755" s="5">
        <f>IF(AND(IF($B$3="(todos)",TRUE,'ORDENES'!$O751=$B$3),IF($D$3="(todos)",TRUE,'ORDENES'!$AH751=$D$3),IF($F$3="(todos)",TRUE,'ORDENES'!$Z751=$F$3),IF($H$3="(todos)",TRUE,'ORDENES'!$Y751=$H$3),'ORDENES'!$AF751=TRUE,'ORDENES'!$A751&lt;&gt;""),1,0)</f>
        <v/>
      </c>
      <c r="L755" s="5">
        <f>IF(K755=1,IFERROR(MATCH('ORDENES'!$S751,lista_dias,0),9)*1000000000+IFERROR(MATCH('ORDENES'!$AH751,lista_turnos,0),9)*10000000+IFERROR(MATCH('ORDENES'!$AG751,tblTecnicos[nombre],0),99)*100000+748,9000000000000+748)</f>
        <v/>
      </c>
      <c r="M755" s="5">
        <f>IF(K755=1,SUMPRODUCT(--($L$8:$L$1207&lt;L755))+1,"")</f>
        <v/>
      </c>
      <c r="N755" s="17">
        <f>IF(K755=1,N('ORDENES'!$M751),0)</f>
        <v/>
      </c>
      <c r="O755" s="17">
        <f>IF('ORDENES'!$U751="preventiva",N755,0)</f>
        <v/>
      </c>
      <c r="P755" s="17">
        <f>IF('ORDENES'!$U751="correctiva",N755,0)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22">
        <f>IF(K755=1,'ORDENES'!$J751,"")</f>
        <v/>
      </c>
    </row>
    <row r="756">
      <c r="K756" s="5">
        <f>IF(AND(IF($B$3="(todos)",TRUE,'ORDENES'!$O752=$B$3),IF($D$3="(todos)",TRUE,'ORDENES'!$AH752=$D$3),IF($F$3="(todos)",TRUE,'ORDENES'!$Z752=$F$3),IF($H$3="(todos)",TRUE,'ORDENES'!$Y752=$H$3),'ORDENES'!$AF752=TRUE,'ORDENES'!$A752&lt;&gt;""),1,0)</f>
        <v/>
      </c>
      <c r="L756" s="5">
        <f>IF(K756=1,IFERROR(MATCH('ORDENES'!$S752,lista_dias,0),9)*1000000000+IFERROR(MATCH('ORDENES'!$AH752,lista_turnos,0),9)*10000000+IFERROR(MATCH('ORDENES'!$AG752,tblTecnicos[nombre],0),99)*100000+749,9000000000000+749)</f>
        <v/>
      </c>
      <c r="M756" s="5">
        <f>IF(K756=1,SUMPRODUCT(--($L$8:$L$1207&lt;L756))+1,"")</f>
        <v/>
      </c>
      <c r="N756" s="17">
        <f>IF(K756=1,N('ORDENES'!$M752),0)</f>
        <v/>
      </c>
      <c r="O756" s="17">
        <f>IF('ORDENES'!$U752="preventiva",N756,0)</f>
        <v/>
      </c>
      <c r="P756" s="17">
        <f>IF('ORDENES'!$U752="correctiva",N756,0)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22">
        <f>IF(K756=1,'ORDENES'!$J752,"")</f>
        <v/>
      </c>
    </row>
    <row r="757">
      <c r="K757" s="5">
        <f>IF(AND(IF($B$3="(todos)",TRUE,'ORDENES'!$O753=$B$3),IF($D$3="(todos)",TRUE,'ORDENES'!$AH753=$D$3),IF($F$3="(todos)",TRUE,'ORDENES'!$Z753=$F$3),IF($H$3="(todos)",TRUE,'ORDENES'!$Y753=$H$3),'ORDENES'!$AF753=TRUE,'ORDENES'!$A753&lt;&gt;""),1,0)</f>
        <v/>
      </c>
      <c r="L757" s="5">
        <f>IF(K757=1,IFERROR(MATCH('ORDENES'!$S753,lista_dias,0),9)*1000000000+IFERROR(MATCH('ORDENES'!$AH753,lista_turnos,0),9)*10000000+IFERROR(MATCH('ORDENES'!$AG753,tblTecnicos[nombre],0),99)*100000+750,9000000000000+750)</f>
        <v/>
      </c>
      <c r="M757" s="5">
        <f>IF(K757=1,SUMPRODUCT(--($L$8:$L$1207&lt;L757))+1,"")</f>
        <v/>
      </c>
      <c r="N757" s="17">
        <f>IF(K757=1,N('ORDENES'!$M753),0)</f>
        <v/>
      </c>
      <c r="O757" s="17">
        <f>IF('ORDENES'!$U753="preventiva",N757,0)</f>
        <v/>
      </c>
      <c r="P757" s="17">
        <f>IF('ORDENES'!$U753="correctiva",N757,0)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22">
        <f>IF(K757=1,'ORDENES'!$J753,"")</f>
        <v/>
      </c>
    </row>
    <row r="758">
      <c r="K758" s="5">
        <f>IF(AND(IF($B$3="(todos)",TRUE,'ORDENES'!$O754=$B$3),IF($D$3="(todos)",TRUE,'ORDENES'!$AH754=$D$3),IF($F$3="(todos)",TRUE,'ORDENES'!$Z754=$F$3),IF($H$3="(todos)",TRUE,'ORDENES'!$Y754=$H$3),'ORDENES'!$AF754=TRUE,'ORDENES'!$A754&lt;&gt;""),1,0)</f>
        <v/>
      </c>
      <c r="L758" s="5">
        <f>IF(K758=1,IFERROR(MATCH('ORDENES'!$S754,lista_dias,0),9)*1000000000+IFERROR(MATCH('ORDENES'!$AH754,lista_turnos,0),9)*10000000+IFERROR(MATCH('ORDENES'!$AG754,tblTecnicos[nombre],0),99)*100000+751,9000000000000+751)</f>
        <v/>
      </c>
      <c r="M758" s="5">
        <f>IF(K758=1,SUMPRODUCT(--($L$8:$L$1207&lt;L758))+1,"")</f>
        <v/>
      </c>
      <c r="N758" s="17">
        <f>IF(K758=1,N('ORDENES'!$M754),0)</f>
        <v/>
      </c>
      <c r="O758" s="17">
        <f>IF('ORDENES'!$U754="preventiva",N758,0)</f>
        <v/>
      </c>
      <c r="P758" s="17">
        <f>IF('ORDENES'!$U754="correctiva",N758,0)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22">
        <f>IF(K758=1,'ORDENES'!$J754,"")</f>
        <v/>
      </c>
    </row>
    <row r="759">
      <c r="K759" s="5">
        <f>IF(AND(IF($B$3="(todos)",TRUE,'ORDENES'!$O755=$B$3),IF($D$3="(todos)",TRUE,'ORDENES'!$AH755=$D$3),IF($F$3="(todos)",TRUE,'ORDENES'!$Z755=$F$3),IF($H$3="(todos)",TRUE,'ORDENES'!$Y755=$H$3),'ORDENES'!$AF755=TRUE,'ORDENES'!$A755&lt;&gt;""),1,0)</f>
        <v/>
      </c>
      <c r="L759" s="5">
        <f>IF(K759=1,IFERROR(MATCH('ORDENES'!$S755,lista_dias,0),9)*1000000000+IFERROR(MATCH('ORDENES'!$AH755,lista_turnos,0),9)*10000000+IFERROR(MATCH('ORDENES'!$AG755,tblTecnicos[nombre],0),99)*100000+752,9000000000000+752)</f>
        <v/>
      </c>
      <c r="M759" s="5">
        <f>IF(K759=1,SUMPRODUCT(--($L$8:$L$1207&lt;L759))+1,"")</f>
        <v/>
      </c>
      <c r="N759" s="17">
        <f>IF(K759=1,N('ORDENES'!$M755),0)</f>
        <v/>
      </c>
      <c r="O759" s="17">
        <f>IF('ORDENES'!$U755="preventiva",N759,0)</f>
        <v/>
      </c>
      <c r="P759" s="17">
        <f>IF('ORDENES'!$U755="correctiva",N759,0)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22">
        <f>IF(K759=1,'ORDENES'!$J755,"")</f>
        <v/>
      </c>
    </row>
    <row r="760">
      <c r="K760" s="5">
        <f>IF(AND(IF($B$3="(todos)",TRUE,'ORDENES'!$O756=$B$3),IF($D$3="(todos)",TRUE,'ORDENES'!$AH756=$D$3),IF($F$3="(todos)",TRUE,'ORDENES'!$Z756=$F$3),IF($H$3="(todos)",TRUE,'ORDENES'!$Y756=$H$3),'ORDENES'!$AF756=TRUE,'ORDENES'!$A756&lt;&gt;""),1,0)</f>
        <v/>
      </c>
      <c r="L760" s="5">
        <f>IF(K760=1,IFERROR(MATCH('ORDENES'!$S756,lista_dias,0),9)*1000000000+IFERROR(MATCH('ORDENES'!$AH756,lista_turnos,0),9)*10000000+IFERROR(MATCH('ORDENES'!$AG756,tblTecnicos[nombre],0),99)*100000+753,9000000000000+753)</f>
        <v/>
      </c>
      <c r="M760" s="5">
        <f>IF(K760=1,SUMPRODUCT(--($L$8:$L$1207&lt;L760))+1,"")</f>
        <v/>
      </c>
      <c r="N760" s="17">
        <f>IF(K760=1,N('ORDENES'!$M756),0)</f>
        <v/>
      </c>
      <c r="O760" s="17">
        <f>IF('ORDENES'!$U756="preventiva",N760,0)</f>
        <v/>
      </c>
      <c r="P760" s="17">
        <f>IF('ORDENES'!$U756="correctiva",N760,0)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22">
        <f>IF(K760=1,'ORDENES'!$J756,"")</f>
        <v/>
      </c>
    </row>
    <row r="761">
      <c r="K761" s="5">
        <f>IF(AND(IF($B$3="(todos)",TRUE,'ORDENES'!$O757=$B$3),IF($D$3="(todos)",TRUE,'ORDENES'!$AH757=$D$3),IF($F$3="(todos)",TRUE,'ORDENES'!$Z757=$F$3),IF($H$3="(todos)",TRUE,'ORDENES'!$Y757=$H$3),'ORDENES'!$AF757=TRUE,'ORDENES'!$A757&lt;&gt;""),1,0)</f>
        <v/>
      </c>
      <c r="L761" s="5">
        <f>IF(K761=1,IFERROR(MATCH('ORDENES'!$S757,lista_dias,0),9)*1000000000+IFERROR(MATCH('ORDENES'!$AH757,lista_turnos,0),9)*10000000+IFERROR(MATCH('ORDENES'!$AG757,tblTecnicos[nombre],0),99)*100000+754,9000000000000+754)</f>
        <v/>
      </c>
      <c r="M761" s="5">
        <f>IF(K761=1,SUMPRODUCT(--($L$8:$L$1207&lt;L761))+1,"")</f>
        <v/>
      </c>
      <c r="N761" s="17">
        <f>IF(K761=1,N('ORDENES'!$M757),0)</f>
        <v/>
      </c>
      <c r="O761" s="17">
        <f>IF('ORDENES'!$U757="preventiva",N761,0)</f>
        <v/>
      </c>
      <c r="P761" s="17">
        <f>IF('ORDENES'!$U757="correctiva",N761,0)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22">
        <f>IF(K761=1,'ORDENES'!$J757,"")</f>
        <v/>
      </c>
    </row>
    <row r="762">
      <c r="K762" s="5">
        <f>IF(AND(IF($B$3="(todos)",TRUE,'ORDENES'!$O758=$B$3),IF($D$3="(todos)",TRUE,'ORDENES'!$AH758=$D$3),IF($F$3="(todos)",TRUE,'ORDENES'!$Z758=$F$3),IF($H$3="(todos)",TRUE,'ORDENES'!$Y758=$H$3),'ORDENES'!$AF758=TRUE,'ORDENES'!$A758&lt;&gt;""),1,0)</f>
        <v/>
      </c>
      <c r="L762" s="5">
        <f>IF(K762=1,IFERROR(MATCH('ORDENES'!$S758,lista_dias,0),9)*1000000000+IFERROR(MATCH('ORDENES'!$AH758,lista_turnos,0),9)*10000000+IFERROR(MATCH('ORDENES'!$AG758,tblTecnicos[nombre],0),99)*100000+755,9000000000000+755)</f>
        <v/>
      </c>
      <c r="M762" s="5">
        <f>IF(K762=1,SUMPRODUCT(--($L$8:$L$1207&lt;L762))+1,"")</f>
        <v/>
      </c>
      <c r="N762" s="17">
        <f>IF(K762=1,N('ORDENES'!$M758),0)</f>
        <v/>
      </c>
      <c r="O762" s="17">
        <f>IF('ORDENES'!$U758="preventiva",N762,0)</f>
        <v/>
      </c>
      <c r="P762" s="17">
        <f>IF('ORDENES'!$U758="correctiva",N762,0)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22">
        <f>IF(K762=1,'ORDENES'!$J758,"")</f>
        <v/>
      </c>
    </row>
    <row r="763">
      <c r="K763" s="5">
        <f>IF(AND(IF($B$3="(todos)",TRUE,'ORDENES'!$O759=$B$3),IF($D$3="(todos)",TRUE,'ORDENES'!$AH759=$D$3),IF($F$3="(todos)",TRUE,'ORDENES'!$Z759=$F$3),IF($H$3="(todos)",TRUE,'ORDENES'!$Y759=$H$3),'ORDENES'!$AF759=TRUE,'ORDENES'!$A759&lt;&gt;""),1,0)</f>
        <v/>
      </c>
      <c r="L763" s="5">
        <f>IF(K763=1,IFERROR(MATCH('ORDENES'!$S759,lista_dias,0),9)*1000000000+IFERROR(MATCH('ORDENES'!$AH759,lista_turnos,0),9)*10000000+IFERROR(MATCH('ORDENES'!$AG759,tblTecnicos[nombre],0),99)*100000+756,9000000000000+756)</f>
        <v/>
      </c>
      <c r="M763" s="5">
        <f>IF(K763=1,SUMPRODUCT(--($L$8:$L$1207&lt;L763))+1,"")</f>
        <v/>
      </c>
      <c r="N763" s="17">
        <f>IF(K763=1,N('ORDENES'!$M759),0)</f>
        <v/>
      </c>
      <c r="O763" s="17">
        <f>IF('ORDENES'!$U759="preventiva",N763,0)</f>
        <v/>
      </c>
      <c r="P763" s="17">
        <f>IF('ORDENES'!$U759="correctiva",N763,0)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22">
        <f>IF(K763=1,'ORDENES'!$J759,"")</f>
        <v/>
      </c>
    </row>
    <row r="764">
      <c r="K764" s="5">
        <f>IF(AND(IF($B$3="(todos)",TRUE,'ORDENES'!$O760=$B$3),IF($D$3="(todos)",TRUE,'ORDENES'!$AH760=$D$3),IF($F$3="(todos)",TRUE,'ORDENES'!$Z760=$F$3),IF($H$3="(todos)",TRUE,'ORDENES'!$Y760=$H$3),'ORDENES'!$AF760=TRUE,'ORDENES'!$A760&lt;&gt;""),1,0)</f>
        <v/>
      </c>
      <c r="L764" s="5">
        <f>IF(K764=1,IFERROR(MATCH('ORDENES'!$S760,lista_dias,0),9)*1000000000+IFERROR(MATCH('ORDENES'!$AH760,lista_turnos,0),9)*10000000+IFERROR(MATCH('ORDENES'!$AG760,tblTecnicos[nombre],0),99)*100000+757,9000000000000+757)</f>
        <v/>
      </c>
      <c r="M764" s="5">
        <f>IF(K764=1,SUMPRODUCT(--($L$8:$L$1207&lt;L764))+1,"")</f>
        <v/>
      </c>
      <c r="N764" s="17">
        <f>IF(K764=1,N('ORDENES'!$M760),0)</f>
        <v/>
      </c>
      <c r="O764" s="17">
        <f>IF('ORDENES'!$U760="preventiva",N764,0)</f>
        <v/>
      </c>
      <c r="P764" s="17">
        <f>IF('ORDENES'!$U760="correctiva",N764,0)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22">
        <f>IF(K764=1,'ORDENES'!$J760,"")</f>
        <v/>
      </c>
    </row>
    <row r="765">
      <c r="K765" s="5">
        <f>IF(AND(IF($B$3="(todos)",TRUE,'ORDENES'!$O761=$B$3),IF($D$3="(todos)",TRUE,'ORDENES'!$AH761=$D$3),IF($F$3="(todos)",TRUE,'ORDENES'!$Z761=$F$3),IF($H$3="(todos)",TRUE,'ORDENES'!$Y761=$H$3),'ORDENES'!$AF761=TRUE,'ORDENES'!$A761&lt;&gt;""),1,0)</f>
        <v/>
      </c>
      <c r="L765" s="5">
        <f>IF(K765=1,IFERROR(MATCH('ORDENES'!$S761,lista_dias,0),9)*1000000000+IFERROR(MATCH('ORDENES'!$AH761,lista_turnos,0),9)*10000000+IFERROR(MATCH('ORDENES'!$AG761,tblTecnicos[nombre],0),99)*100000+758,9000000000000+758)</f>
        <v/>
      </c>
      <c r="M765" s="5">
        <f>IF(K765=1,SUMPRODUCT(--($L$8:$L$1207&lt;L765))+1,"")</f>
        <v/>
      </c>
      <c r="N765" s="17">
        <f>IF(K765=1,N('ORDENES'!$M761),0)</f>
        <v/>
      </c>
      <c r="O765" s="17">
        <f>IF('ORDENES'!$U761="preventiva",N765,0)</f>
        <v/>
      </c>
      <c r="P765" s="17">
        <f>IF('ORDENES'!$U761="correctiva",N765,0)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22">
        <f>IF(K765=1,'ORDENES'!$J761,"")</f>
        <v/>
      </c>
    </row>
    <row r="766">
      <c r="K766" s="5">
        <f>IF(AND(IF($B$3="(todos)",TRUE,'ORDENES'!$O762=$B$3),IF($D$3="(todos)",TRUE,'ORDENES'!$AH762=$D$3),IF($F$3="(todos)",TRUE,'ORDENES'!$Z762=$F$3),IF($H$3="(todos)",TRUE,'ORDENES'!$Y762=$H$3),'ORDENES'!$AF762=TRUE,'ORDENES'!$A762&lt;&gt;""),1,0)</f>
        <v/>
      </c>
      <c r="L766" s="5">
        <f>IF(K766=1,IFERROR(MATCH('ORDENES'!$S762,lista_dias,0),9)*1000000000+IFERROR(MATCH('ORDENES'!$AH762,lista_turnos,0),9)*10000000+IFERROR(MATCH('ORDENES'!$AG762,tblTecnicos[nombre],0),99)*100000+759,9000000000000+759)</f>
        <v/>
      </c>
      <c r="M766" s="5">
        <f>IF(K766=1,SUMPRODUCT(--($L$8:$L$1207&lt;L766))+1,"")</f>
        <v/>
      </c>
      <c r="N766" s="17">
        <f>IF(K766=1,N('ORDENES'!$M762),0)</f>
        <v/>
      </c>
      <c r="O766" s="17">
        <f>IF('ORDENES'!$U762="preventiva",N766,0)</f>
        <v/>
      </c>
      <c r="P766" s="17">
        <f>IF('ORDENES'!$U762="correctiva",N766,0)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22">
        <f>IF(K766=1,'ORDENES'!$J762,"")</f>
        <v/>
      </c>
    </row>
    <row r="767">
      <c r="K767" s="5">
        <f>IF(AND(IF($B$3="(todos)",TRUE,'ORDENES'!$O763=$B$3),IF($D$3="(todos)",TRUE,'ORDENES'!$AH763=$D$3),IF($F$3="(todos)",TRUE,'ORDENES'!$Z763=$F$3),IF($H$3="(todos)",TRUE,'ORDENES'!$Y763=$H$3),'ORDENES'!$AF763=TRUE,'ORDENES'!$A763&lt;&gt;""),1,0)</f>
        <v/>
      </c>
      <c r="L767" s="5">
        <f>IF(K767=1,IFERROR(MATCH('ORDENES'!$S763,lista_dias,0),9)*1000000000+IFERROR(MATCH('ORDENES'!$AH763,lista_turnos,0),9)*10000000+IFERROR(MATCH('ORDENES'!$AG763,tblTecnicos[nombre],0),99)*100000+760,9000000000000+760)</f>
        <v/>
      </c>
      <c r="M767" s="5">
        <f>IF(K767=1,SUMPRODUCT(--($L$8:$L$1207&lt;L767))+1,"")</f>
        <v/>
      </c>
      <c r="N767" s="17">
        <f>IF(K767=1,N('ORDENES'!$M763),0)</f>
        <v/>
      </c>
      <c r="O767" s="17">
        <f>IF('ORDENES'!$U763="preventiva",N767,0)</f>
        <v/>
      </c>
      <c r="P767" s="17">
        <f>IF('ORDENES'!$U763="correctiva",N767,0)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22">
        <f>IF(K767=1,'ORDENES'!$J763,"")</f>
        <v/>
      </c>
    </row>
    <row r="768">
      <c r="K768" s="5">
        <f>IF(AND(IF($B$3="(todos)",TRUE,'ORDENES'!$O764=$B$3),IF($D$3="(todos)",TRUE,'ORDENES'!$AH764=$D$3),IF($F$3="(todos)",TRUE,'ORDENES'!$Z764=$F$3),IF($H$3="(todos)",TRUE,'ORDENES'!$Y764=$H$3),'ORDENES'!$AF764=TRUE,'ORDENES'!$A764&lt;&gt;""),1,0)</f>
        <v/>
      </c>
      <c r="L768" s="5">
        <f>IF(K768=1,IFERROR(MATCH('ORDENES'!$S764,lista_dias,0),9)*1000000000+IFERROR(MATCH('ORDENES'!$AH764,lista_turnos,0),9)*10000000+IFERROR(MATCH('ORDENES'!$AG764,tblTecnicos[nombre],0),99)*100000+761,9000000000000+761)</f>
        <v/>
      </c>
      <c r="M768" s="5">
        <f>IF(K768=1,SUMPRODUCT(--($L$8:$L$1207&lt;L768))+1,"")</f>
        <v/>
      </c>
      <c r="N768" s="17">
        <f>IF(K768=1,N('ORDENES'!$M764),0)</f>
        <v/>
      </c>
      <c r="O768" s="17">
        <f>IF('ORDENES'!$U764="preventiva",N768,0)</f>
        <v/>
      </c>
      <c r="P768" s="17">
        <f>IF('ORDENES'!$U764="correctiva",N768,0)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22">
        <f>IF(K768=1,'ORDENES'!$J764,"")</f>
        <v/>
      </c>
    </row>
    <row r="769">
      <c r="K769" s="5">
        <f>IF(AND(IF($B$3="(todos)",TRUE,'ORDENES'!$O765=$B$3),IF($D$3="(todos)",TRUE,'ORDENES'!$AH765=$D$3),IF($F$3="(todos)",TRUE,'ORDENES'!$Z765=$F$3),IF($H$3="(todos)",TRUE,'ORDENES'!$Y765=$H$3),'ORDENES'!$AF765=TRUE,'ORDENES'!$A765&lt;&gt;""),1,0)</f>
        <v/>
      </c>
      <c r="L769" s="5">
        <f>IF(K769=1,IFERROR(MATCH('ORDENES'!$S765,lista_dias,0),9)*1000000000+IFERROR(MATCH('ORDENES'!$AH765,lista_turnos,0),9)*10000000+IFERROR(MATCH('ORDENES'!$AG765,tblTecnicos[nombre],0),99)*100000+762,9000000000000+762)</f>
        <v/>
      </c>
      <c r="M769" s="5">
        <f>IF(K769=1,SUMPRODUCT(--($L$8:$L$1207&lt;L769))+1,"")</f>
        <v/>
      </c>
      <c r="N769" s="17">
        <f>IF(K769=1,N('ORDENES'!$M765),0)</f>
        <v/>
      </c>
      <c r="O769" s="17">
        <f>IF('ORDENES'!$U765="preventiva",N769,0)</f>
        <v/>
      </c>
      <c r="P769" s="17">
        <f>IF('ORDENES'!$U765="correctiva",N769,0)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22">
        <f>IF(K769=1,'ORDENES'!$J765,"")</f>
        <v/>
      </c>
    </row>
    <row r="770">
      <c r="K770" s="5">
        <f>IF(AND(IF($B$3="(todos)",TRUE,'ORDENES'!$O766=$B$3),IF($D$3="(todos)",TRUE,'ORDENES'!$AH766=$D$3),IF($F$3="(todos)",TRUE,'ORDENES'!$Z766=$F$3),IF($H$3="(todos)",TRUE,'ORDENES'!$Y766=$H$3),'ORDENES'!$AF766=TRUE,'ORDENES'!$A766&lt;&gt;""),1,0)</f>
        <v/>
      </c>
      <c r="L770" s="5">
        <f>IF(K770=1,IFERROR(MATCH('ORDENES'!$S766,lista_dias,0),9)*1000000000+IFERROR(MATCH('ORDENES'!$AH766,lista_turnos,0),9)*10000000+IFERROR(MATCH('ORDENES'!$AG766,tblTecnicos[nombre],0),99)*100000+763,9000000000000+763)</f>
        <v/>
      </c>
      <c r="M770" s="5">
        <f>IF(K770=1,SUMPRODUCT(--($L$8:$L$1207&lt;L770))+1,"")</f>
        <v/>
      </c>
      <c r="N770" s="17">
        <f>IF(K770=1,N('ORDENES'!$M766),0)</f>
        <v/>
      </c>
      <c r="O770" s="17">
        <f>IF('ORDENES'!$U766="preventiva",N770,0)</f>
        <v/>
      </c>
      <c r="P770" s="17">
        <f>IF('ORDENES'!$U766="correctiva",N770,0)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22">
        <f>IF(K770=1,'ORDENES'!$J766,"")</f>
        <v/>
      </c>
    </row>
    <row r="771">
      <c r="K771" s="5">
        <f>IF(AND(IF($B$3="(todos)",TRUE,'ORDENES'!$O767=$B$3),IF($D$3="(todos)",TRUE,'ORDENES'!$AH767=$D$3),IF($F$3="(todos)",TRUE,'ORDENES'!$Z767=$F$3),IF($H$3="(todos)",TRUE,'ORDENES'!$Y767=$H$3),'ORDENES'!$AF767=TRUE,'ORDENES'!$A767&lt;&gt;""),1,0)</f>
        <v/>
      </c>
      <c r="L771" s="5">
        <f>IF(K771=1,IFERROR(MATCH('ORDENES'!$S767,lista_dias,0),9)*1000000000+IFERROR(MATCH('ORDENES'!$AH767,lista_turnos,0),9)*10000000+IFERROR(MATCH('ORDENES'!$AG767,tblTecnicos[nombre],0),99)*100000+764,9000000000000+764)</f>
        <v/>
      </c>
      <c r="M771" s="5">
        <f>IF(K771=1,SUMPRODUCT(--($L$8:$L$1207&lt;L771))+1,"")</f>
        <v/>
      </c>
      <c r="N771" s="17">
        <f>IF(K771=1,N('ORDENES'!$M767),0)</f>
        <v/>
      </c>
      <c r="O771" s="17">
        <f>IF('ORDENES'!$U767="preventiva",N771,0)</f>
        <v/>
      </c>
      <c r="P771" s="17">
        <f>IF('ORDENES'!$U767="correctiva",N771,0)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22">
        <f>IF(K771=1,'ORDENES'!$J767,"")</f>
        <v/>
      </c>
    </row>
    <row r="772">
      <c r="K772" s="5">
        <f>IF(AND(IF($B$3="(todos)",TRUE,'ORDENES'!$O768=$B$3),IF($D$3="(todos)",TRUE,'ORDENES'!$AH768=$D$3),IF($F$3="(todos)",TRUE,'ORDENES'!$Z768=$F$3),IF($H$3="(todos)",TRUE,'ORDENES'!$Y768=$H$3),'ORDENES'!$AF768=TRUE,'ORDENES'!$A768&lt;&gt;""),1,0)</f>
        <v/>
      </c>
      <c r="L772" s="5">
        <f>IF(K772=1,IFERROR(MATCH('ORDENES'!$S768,lista_dias,0),9)*1000000000+IFERROR(MATCH('ORDENES'!$AH768,lista_turnos,0),9)*10000000+IFERROR(MATCH('ORDENES'!$AG768,tblTecnicos[nombre],0),99)*100000+765,9000000000000+765)</f>
        <v/>
      </c>
      <c r="M772" s="5">
        <f>IF(K772=1,SUMPRODUCT(--($L$8:$L$1207&lt;L772))+1,"")</f>
        <v/>
      </c>
      <c r="N772" s="17">
        <f>IF(K772=1,N('ORDENES'!$M768),0)</f>
        <v/>
      </c>
      <c r="O772" s="17">
        <f>IF('ORDENES'!$U768="preventiva",N772,0)</f>
        <v/>
      </c>
      <c r="P772" s="17">
        <f>IF('ORDENES'!$U768="correctiva",N772,0)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22">
        <f>IF(K772=1,'ORDENES'!$J768,"")</f>
        <v/>
      </c>
    </row>
    <row r="773">
      <c r="K773" s="5">
        <f>IF(AND(IF($B$3="(todos)",TRUE,'ORDENES'!$O769=$B$3),IF($D$3="(todos)",TRUE,'ORDENES'!$AH769=$D$3),IF($F$3="(todos)",TRUE,'ORDENES'!$Z769=$F$3),IF($H$3="(todos)",TRUE,'ORDENES'!$Y769=$H$3),'ORDENES'!$AF769=TRUE,'ORDENES'!$A769&lt;&gt;""),1,0)</f>
        <v/>
      </c>
      <c r="L773" s="5">
        <f>IF(K773=1,IFERROR(MATCH('ORDENES'!$S769,lista_dias,0),9)*1000000000+IFERROR(MATCH('ORDENES'!$AH769,lista_turnos,0),9)*10000000+IFERROR(MATCH('ORDENES'!$AG769,tblTecnicos[nombre],0),99)*100000+766,9000000000000+766)</f>
        <v/>
      </c>
      <c r="M773" s="5">
        <f>IF(K773=1,SUMPRODUCT(--($L$8:$L$1207&lt;L773))+1,"")</f>
        <v/>
      </c>
      <c r="N773" s="17">
        <f>IF(K773=1,N('ORDENES'!$M769),0)</f>
        <v/>
      </c>
      <c r="O773" s="17">
        <f>IF('ORDENES'!$U769="preventiva",N773,0)</f>
        <v/>
      </c>
      <c r="P773" s="17">
        <f>IF('ORDENES'!$U769="correctiva",N773,0)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22">
        <f>IF(K773=1,'ORDENES'!$J769,"")</f>
        <v/>
      </c>
    </row>
    <row r="774">
      <c r="K774" s="5">
        <f>IF(AND(IF($B$3="(todos)",TRUE,'ORDENES'!$O770=$B$3),IF($D$3="(todos)",TRUE,'ORDENES'!$AH770=$D$3),IF($F$3="(todos)",TRUE,'ORDENES'!$Z770=$F$3),IF($H$3="(todos)",TRUE,'ORDENES'!$Y770=$H$3),'ORDENES'!$AF770=TRUE,'ORDENES'!$A770&lt;&gt;""),1,0)</f>
        <v/>
      </c>
      <c r="L774" s="5">
        <f>IF(K774=1,IFERROR(MATCH('ORDENES'!$S770,lista_dias,0),9)*1000000000+IFERROR(MATCH('ORDENES'!$AH770,lista_turnos,0),9)*10000000+IFERROR(MATCH('ORDENES'!$AG770,tblTecnicos[nombre],0),99)*100000+767,9000000000000+767)</f>
        <v/>
      </c>
      <c r="M774" s="5">
        <f>IF(K774=1,SUMPRODUCT(--($L$8:$L$1207&lt;L774))+1,"")</f>
        <v/>
      </c>
      <c r="N774" s="17">
        <f>IF(K774=1,N('ORDENES'!$M770),0)</f>
        <v/>
      </c>
      <c r="O774" s="17">
        <f>IF('ORDENES'!$U770="preventiva",N774,0)</f>
        <v/>
      </c>
      <c r="P774" s="17">
        <f>IF('ORDENES'!$U770="correctiva",N774,0)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22">
        <f>IF(K774=1,'ORDENES'!$J770,"")</f>
        <v/>
      </c>
    </row>
    <row r="775">
      <c r="K775" s="5">
        <f>IF(AND(IF($B$3="(todos)",TRUE,'ORDENES'!$O771=$B$3),IF($D$3="(todos)",TRUE,'ORDENES'!$AH771=$D$3),IF($F$3="(todos)",TRUE,'ORDENES'!$Z771=$F$3),IF($H$3="(todos)",TRUE,'ORDENES'!$Y771=$H$3),'ORDENES'!$AF771=TRUE,'ORDENES'!$A771&lt;&gt;""),1,0)</f>
        <v/>
      </c>
      <c r="L775" s="5">
        <f>IF(K775=1,IFERROR(MATCH('ORDENES'!$S771,lista_dias,0),9)*1000000000+IFERROR(MATCH('ORDENES'!$AH771,lista_turnos,0),9)*10000000+IFERROR(MATCH('ORDENES'!$AG771,tblTecnicos[nombre],0),99)*100000+768,9000000000000+768)</f>
        <v/>
      </c>
      <c r="M775" s="5">
        <f>IF(K775=1,SUMPRODUCT(--($L$8:$L$1207&lt;L775))+1,"")</f>
        <v/>
      </c>
      <c r="N775" s="17">
        <f>IF(K775=1,N('ORDENES'!$M771),0)</f>
        <v/>
      </c>
      <c r="O775" s="17">
        <f>IF('ORDENES'!$U771="preventiva",N775,0)</f>
        <v/>
      </c>
      <c r="P775" s="17">
        <f>IF('ORDENES'!$U771="correctiva",N775,0)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22">
        <f>IF(K775=1,'ORDENES'!$J771,"")</f>
        <v/>
      </c>
    </row>
    <row r="776">
      <c r="K776" s="5">
        <f>IF(AND(IF($B$3="(todos)",TRUE,'ORDENES'!$O772=$B$3),IF($D$3="(todos)",TRUE,'ORDENES'!$AH772=$D$3),IF($F$3="(todos)",TRUE,'ORDENES'!$Z772=$F$3),IF($H$3="(todos)",TRUE,'ORDENES'!$Y772=$H$3),'ORDENES'!$AF772=TRUE,'ORDENES'!$A772&lt;&gt;""),1,0)</f>
        <v/>
      </c>
      <c r="L776" s="5">
        <f>IF(K776=1,IFERROR(MATCH('ORDENES'!$S772,lista_dias,0),9)*1000000000+IFERROR(MATCH('ORDENES'!$AH772,lista_turnos,0),9)*10000000+IFERROR(MATCH('ORDENES'!$AG772,tblTecnicos[nombre],0),99)*100000+769,9000000000000+769)</f>
        <v/>
      </c>
      <c r="M776" s="5">
        <f>IF(K776=1,SUMPRODUCT(--($L$8:$L$1207&lt;L776))+1,"")</f>
        <v/>
      </c>
      <c r="N776" s="17">
        <f>IF(K776=1,N('ORDENES'!$M772),0)</f>
        <v/>
      </c>
      <c r="O776" s="17">
        <f>IF('ORDENES'!$U772="preventiva",N776,0)</f>
        <v/>
      </c>
      <c r="P776" s="17">
        <f>IF('ORDENES'!$U772="correctiva",N776,0)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22">
        <f>IF(K776=1,'ORDENES'!$J772,"")</f>
        <v/>
      </c>
    </row>
    <row r="777">
      <c r="K777" s="5">
        <f>IF(AND(IF($B$3="(todos)",TRUE,'ORDENES'!$O773=$B$3),IF($D$3="(todos)",TRUE,'ORDENES'!$AH773=$D$3),IF($F$3="(todos)",TRUE,'ORDENES'!$Z773=$F$3),IF($H$3="(todos)",TRUE,'ORDENES'!$Y773=$H$3),'ORDENES'!$AF773=TRUE,'ORDENES'!$A773&lt;&gt;""),1,0)</f>
        <v/>
      </c>
      <c r="L777" s="5">
        <f>IF(K777=1,IFERROR(MATCH('ORDENES'!$S773,lista_dias,0),9)*1000000000+IFERROR(MATCH('ORDENES'!$AH773,lista_turnos,0),9)*10000000+IFERROR(MATCH('ORDENES'!$AG773,tblTecnicos[nombre],0),99)*100000+770,9000000000000+770)</f>
        <v/>
      </c>
      <c r="M777" s="5">
        <f>IF(K777=1,SUMPRODUCT(--($L$8:$L$1207&lt;L777))+1,"")</f>
        <v/>
      </c>
      <c r="N777" s="17">
        <f>IF(K777=1,N('ORDENES'!$M773),0)</f>
        <v/>
      </c>
      <c r="O777" s="17">
        <f>IF('ORDENES'!$U773="preventiva",N777,0)</f>
        <v/>
      </c>
      <c r="P777" s="17">
        <f>IF('ORDENES'!$U773="correctiva",N777,0)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22">
        <f>IF(K777=1,'ORDENES'!$J773,"")</f>
        <v/>
      </c>
    </row>
    <row r="778">
      <c r="K778" s="5">
        <f>IF(AND(IF($B$3="(todos)",TRUE,'ORDENES'!$O774=$B$3),IF($D$3="(todos)",TRUE,'ORDENES'!$AH774=$D$3),IF($F$3="(todos)",TRUE,'ORDENES'!$Z774=$F$3),IF($H$3="(todos)",TRUE,'ORDENES'!$Y774=$H$3),'ORDENES'!$AF774=TRUE,'ORDENES'!$A774&lt;&gt;""),1,0)</f>
        <v/>
      </c>
      <c r="L778" s="5">
        <f>IF(K778=1,IFERROR(MATCH('ORDENES'!$S774,lista_dias,0),9)*1000000000+IFERROR(MATCH('ORDENES'!$AH774,lista_turnos,0),9)*10000000+IFERROR(MATCH('ORDENES'!$AG774,tblTecnicos[nombre],0),99)*100000+771,9000000000000+771)</f>
        <v/>
      </c>
      <c r="M778" s="5">
        <f>IF(K778=1,SUMPRODUCT(--($L$8:$L$1207&lt;L778))+1,"")</f>
        <v/>
      </c>
      <c r="N778" s="17">
        <f>IF(K778=1,N('ORDENES'!$M774),0)</f>
        <v/>
      </c>
      <c r="O778" s="17">
        <f>IF('ORDENES'!$U774="preventiva",N778,0)</f>
        <v/>
      </c>
      <c r="P778" s="17">
        <f>IF('ORDENES'!$U774="correctiva",N778,0)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22">
        <f>IF(K778=1,'ORDENES'!$J774,"")</f>
        <v/>
      </c>
    </row>
    <row r="779">
      <c r="K779" s="5">
        <f>IF(AND(IF($B$3="(todos)",TRUE,'ORDENES'!$O775=$B$3),IF($D$3="(todos)",TRUE,'ORDENES'!$AH775=$D$3),IF($F$3="(todos)",TRUE,'ORDENES'!$Z775=$F$3),IF($H$3="(todos)",TRUE,'ORDENES'!$Y775=$H$3),'ORDENES'!$AF775=TRUE,'ORDENES'!$A775&lt;&gt;""),1,0)</f>
        <v/>
      </c>
      <c r="L779" s="5">
        <f>IF(K779=1,IFERROR(MATCH('ORDENES'!$S775,lista_dias,0),9)*1000000000+IFERROR(MATCH('ORDENES'!$AH775,lista_turnos,0),9)*10000000+IFERROR(MATCH('ORDENES'!$AG775,tblTecnicos[nombre],0),99)*100000+772,9000000000000+772)</f>
        <v/>
      </c>
      <c r="M779" s="5">
        <f>IF(K779=1,SUMPRODUCT(--($L$8:$L$1207&lt;L779))+1,"")</f>
        <v/>
      </c>
      <c r="N779" s="17">
        <f>IF(K779=1,N('ORDENES'!$M775),0)</f>
        <v/>
      </c>
      <c r="O779" s="17">
        <f>IF('ORDENES'!$U775="preventiva",N779,0)</f>
        <v/>
      </c>
      <c r="P779" s="17">
        <f>IF('ORDENES'!$U775="correctiva",N779,0)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22">
        <f>IF(K779=1,'ORDENES'!$J775,"")</f>
        <v/>
      </c>
    </row>
    <row r="780">
      <c r="K780" s="5">
        <f>IF(AND(IF($B$3="(todos)",TRUE,'ORDENES'!$O776=$B$3),IF($D$3="(todos)",TRUE,'ORDENES'!$AH776=$D$3),IF($F$3="(todos)",TRUE,'ORDENES'!$Z776=$F$3),IF($H$3="(todos)",TRUE,'ORDENES'!$Y776=$H$3),'ORDENES'!$AF776=TRUE,'ORDENES'!$A776&lt;&gt;""),1,0)</f>
        <v/>
      </c>
      <c r="L780" s="5">
        <f>IF(K780=1,IFERROR(MATCH('ORDENES'!$S776,lista_dias,0),9)*1000000000+IFERROR(MATCH('ORDENES'!$AH776,lista_turnos,0),9)*10000000+IFERROR(MATCH('ORDENES'!$AG776,tblTecnicos[nombre],0),99)*100000+773,9000000000000+773)</f>
        <v/>
      </c>
      <c r="M780" s="5">
        <f>IF(K780=1,SUMPRODUCT(--($L$8:$L$1207&lt;L780))+1,"")</f>
        <v/>
      </c>
      <c r="N780" s="17">
        <f>IF(K780=1,N('ORDENES'!$M776),0)</f>
        <v/>
      </c>
      <c r="O780" s="17">
        <f>IF('ORDENES'!$U776="preventiva",N780,0)</f>
        <v/>
      </c>
      <c r="P780" s="17">
        <f>IF('ORDENES'!$U776="correctiva",N780,0)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22">
        <f>IF(K780=1,'ORDENES'!$J776,"")</f>
        <v/>
      </c>
    </row>
    <row r="781">
      <c r="K781" s="5">
        <f>IF(AND(IF($B$3="(todos)",TRUE,'ORDENES'!$O777=$B$3),IF($D$3="(todos)",TRUE,'ORDENES'!$AH777=$D$3),IF($F$3="(todos)",TRUE,'ORDENES'!$Z777=$F$3),IF($H$3="(todos)",TRUE,'ORDENES'!$Y777=$H$3),'ORDENES'!$AF777=TRUE,'ORDENES'!$A777&lt;&gt;""),1,0)</f>
        <v/>
      </c>
      <c r="L781" s="5">
        <f>IF(K781=1,IFERROR(MATCH('ORDENES'!$S777,lista_dias,0),9)*1000000000+IFERROR(MATCH('ORDENES'!$AH777,lista_turnos,0),9)*10000000+IFERROR(MATCH('ORDENES'!$AG777,tblTecnicos[nombre],0),99)*100000+774,9000000000000+774)</f>
        <v/>
      </c>
      <c r="M781" s="5">
        <f>IF(K781=1,SUMPRODUCT(--($L$8:$L$1207&lt;L781))+1,"")</f>
        <v/>
      </c>
      <c r="N781" s="17">
        <f>IF(K781=1,N('ORDENES'!$M777),0)</f>
        <v/>
      </c>
      <c r="O781" s="17">
        <f>IF('ORDENES'!$U777="preventiva",N781,0)</f>
        <v/>
      </c>
      <c r="P781" s="17">
        <f>IF('ORDENES'!$U777="correctiva",N781,0)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22">
        <f>IF(K781=1,'ORDENES'!$J777,"")</f>
        <v/>
      </c>
    </row>
    <row r="782">
      <c r="K782" s="5">
        <f>IF(AND(IF($B$3="(todos)",TRUE,'ORDENES'!$O778=$B$3),IF($D$3="(todos)",TRUE,'ORDENES'!$AH778=$D$3),IF($F$3="(todos)",TRUE,'ORDENES'!$Z778=$F$3),IF($H$3="(todos)",TRUE,'ORDENES'!$Y778=$H$3),'ORDENES'!$AF778=TRUE,'ORDENES'!$A778&lt;&gt;""),1,0)</f>
        <v/>
      </c>
      <c r="L782" s="5">
        <f>IF(K782=1,IFERROR(MATCH('ORDENES'!$S778,lista_dias,0),9)*1000000000+IFERROR(MATCH('ORDENES'!$AH778,lista_turnos,0),9)*10000000+IFERROR(MATCH('ORDENES'!$AG778,tblTecnicos[nombre],0),99)*100000+775,9000000000000+775)</f>
        <v/>
      </c>
      <c r="M782" s="5">
        <f>IF(K782=1,SUMPRODUCT(--($L$8:$L$1207&lt;L782))+1,"")</f>
        <v/>
      </c>
      <c r="N782" s="17">
        <f>IF(K782=1,N('ORDENES'!$M778),0)</f>
        <v/>
      </c>
      <c r="O782" s="17">
        <f>IF('ORDENES'!$U778="preventiva",N782,0)</f>
        <v/>
      </c>
      <c r="P782" s="17">
        <f>IF('ORDENES'!$U778="correctiva",N782,0)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22">
        <f>IF(K782=1,'ORDENES'!$J778,"")</f>
        <v/>
      </c>
    </row>
    <row r="783">
      <c r="K783" s="5">
        <f>IF(AND(IF($B$3="(todos)",TRUE,'ORDENES'!$O779=$B$3),IF($D$3="(todos)",TRUE,'ORDENES'!$AH779=$D$3),IF($F$3="(todos)",TRUE,'ORDENES'!$Z779=$F$3),IF($H$3="(todos)",TRUE,'ORDENES'!$Y779=$H$3),'ORDENES'!$AF779=TRUE,'ORDENES'!$A779&lt;&gt;""),1,0)</f>
        <v/>
      </c>
      <c r="L783" s="5">
        <f>IF(K783=1,IFERROR(MATCH('ORDENES'!$S779,lista_dias,0),9)*1000000000+IFERROR(MATCH('ORDENES'!$AH779,lista_turnos,0),9)*10000000+IFERROR(MATCH('ORDENES'!$AG779,tblTecnicos[nombre],0),99)*100000+776,9000000000000+776)</f>
        <v/>
      </c>
      <c r="M783" s="5">
        <f>IF(K783=1,SUMPRODUCT(--($L$8:$L$1207&lt;L783))+1,"")</f>
        <v/>
      </c>
      <c r="N783" s="17">
        <f>IF(K783=1,N('ORDENES'!$M779),0)</f>
        <v/>
      </c>
      <c r="O783" s="17">
        <f>IF('ORDENES'!$U779="preventiva",N783,0)</f>
        <v/>
      </c>
      <c r="P783" s="17">
        <f>IF('ORDENES'!$U779="correctiva",N783,0)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22">
        <f>IF(K783=1,'ORDENES'!$J779,"")</f>
        <v/>
      </c>
    </row>
    <row r="784">
      <c r="K784" s="5">
        <f>IF(AND(IF($B$3="(todos)",TRUE,'ORDENES'!$O780=$B$3),IF($D$3="(todos)",TRUE,'ORDENES'!$AH780=$D$3),IF($F$3="(todos)",TRUE,'ORDENES'!$Z780=$F$3),IF($H$3="(todos)",TRUE,'ORDENES'!$Y780=$H$3),'ORDENES'!$AF780=TRUE,'ORDENES'!$A780&lt;&gt;""),1,0)</f>
        <v/>
      </c>
      <c r="L784" s="5">
        <f>IF(K784=1,IFERROR(MATCH('ORDENES'!$S780,lista_dias,0),9)*1000000000+IFERROR(MATCH('ORDENES'!$AH780,lista_turnos,0),9)*10000000+IFERROR(MATCH('ORDENES'!$AG780,tblTecnicos[nombre],0),99)*100000+777,9000000000000+777)</f>
        <v/>
      </c>
      <c r="M784" s="5">
        <f>IF(K784=1,SUMPRODUCT(--($L$8:$L$1207&lt;L784))+1,"")</f>
        <v/>
      </c>
      <c r="N784" s="17">
        <f>IF(K784=1,N('ORDENES'!$M780),0)</f>
        <v/>
      </c>
      <c r="O784" s="17">
        <f>IF('ORDENES'!$U780="preventiva",N784,0)</f>
        <v/>
      </c>
      <c r="P784" s="17">
        <f>IF('ORDENES'!$U780="correctiva",N784,0)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22">
        <f>IF(K784=1,'ORDENES'!$J780,"")</f>
        <v/>
      </c>
    </row>
    <row r="785">
      <c r="K785" s="5">
        <f>IF(AND(IF($B$3="(todos)",TRUE,'ORDENES'!$O781=$B$3),IF($D$3="(todos)",TRUE,'ORDENES'!$AH781=$D$3),IF($F$3="(todos)",TRUE,'ORDENES'!$Z781=$F$3),IF($H$3="(todos)",TRUE,'ORDENES'!$Y781=$H$3),'ORDENES'!$AF781=TRUE,'ORDENES'!$A781&lt;&gt;""),1,0)</f>
        <v/>
      </c>
      <c r="L785" s="5">
        <f>IF(K785=1,IFERROR(MATCH('ORDENES'!$S781,lista_dias,0),9)*1000000000+IFERROR(MATCH('ORDENES'!$AH781,lista_turnos,0),9)*10000000+IFERROR(MATCH('ORDENES'!$AG781,tblTecnicos[nombre],0),99)*100000+778,9000000000000+778)</f>
        <v/>
      </c>
      <c r="M785" s="5">
        <f>IF(K785=1,SUMPRODUCT(--($L$8:$L$1207&lt;L785))+1,"")</f>
        <v/>
      </c>
      <c r="N785" s="17">
        <f>IF(K785=1,N('ORDENES'!$M781),0)</f>
        <v/>
      </c>
      <c r="O785" s="17">
        <f>IF('ORDENES'!$U781="preventiva",N785,0)</f>
        <v/>
      </c>
      <c r="P785" s="17">
        <f>IF('ORDENES'!$U781="correctiva",N785,0)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22">
        <f>IF(K785=1,'ORDENES'!$J781,"")</f>
        <v/>
      </c>
    </row>
    <row r="786">
      <c r="K786" s="5">
        <f>IF(AND(IF($B$3="(todos)",TRUE,'ORDENES'!$O782=$B$3),IF($D$3="(todos)",TRUE,'ORDENES'!$AH782=$D$3),IF($F$3="(todos)",TRUE,'ORDENES'!$Z782=$F$3),IF($H$3="(todos)",TRUE,'ORDENES'!$Y782=$H$3),'ORDENES'!$AF782=TRUE,'ORDENES'!$A782&lt;&gt;""),1,0)</f>
        <v/>
      </c>
      <c r="L786" s="5">
        <f>IF(K786=1,IFERROR(MATCH('ORDENES'!$S782,lista_dias,0),9)*1000000000+IFERROR(MATCH('ORDENES'!$AH782,lista_turnos,0),9)*10000000+IFERROR(MATCH('ORDENES'!$AG782,tblTecnicos[nombre],0),99)*100000+779,9000000000000+779)</f>
        <v/>
      </c>
      <c r="M786" s="5">
        <f>IF(K786=1,SUMPRODUCT(--($L$8:$L$1207&lt;L786))+1,"")</f>
        <v/>
      </c>
      <c r="N786" s="17">
        <f>IF(K786=1,N('ORDENES'!$M782),0)</f>
        <v/>
      </c>
      <c r="O786" s="17">
        <f>IF('ORDENES'!$U782="preventiva",N786,0)</f>
        <v/>
      </c>
      <c r="P786" s="17">
        <f>IF('ORDENES'!$U782="correctiva",N786,0)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22">
        <f>IF(K786=1,'ORDENES'!$J782,"")</f>
        <v/>
      </c>
    </row>
    <row r="787">
      <c r="K787" s="5">
        <f>IF(AND(IF($B$3="(todos)",TRUE,'ORDENES'!$O783=$B$3),IF($D$3="(todos)",TRUE,'ORDENES'!$AH783=$D$3),IF($F$3="(todos)",TRUE,'ORDENES'!$Z783=$F$3),IF($H$3="(todos)",TRUE,'ORDENES'!$Y783=$H$3),'ORDENES'!$AF783=TRUE,'ORDENES'!$A783&lt;&gt;""),1,0)</f>
        <v/>
      </c>
      <c r="L787" s="5">
        <f>IF(K787=1,IFERROR(MATCH('ORDENES'!$S783,lista_dias,0),9)*1000000000+IFERROR(MATCH('ORDENES'!$AH783,lista_turnos,0),9)*10000000+IFERROR(MATCH('ORDENES'!$AG783,tblTecnicos[nombre],0),99)*100000+780,9000000000000+780)</f>
        <v/>
      </c>
      <c r="M787" s="5">
        <f>IF(K787=1,SUMPRODUCT(--($L$8:$L$1207&lt;L787))+1,"")</f>
        <v/>
      </c>
      <c r="N787" s="17">
        <f>IF(K787=1,N('ORDENES'!$M783),0)</f>
        <v/>
      </c>
      <c r="O787" s="17">
        <f>IF('ORDENES'!$U783="preventiva",N787,0)</f>
        <v/>
      </c>
      <c r="P787" s="17">
        <f>IF('ORDENES'!$U783="correctiva",N787,0)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22">
        <f>IF(K787=1,'ORDENES'!$J783,"")</f>
        <v/>
      </c>
    </row>
    <row r="788">
      <c r="K788" s="5">
        <f>IF(AND(IF($B$3="(todos)",TRUE,'ORDENES'!$O784=$B$3),IF($D$3="(todos)",TRUE,'ORDENES'!$AH784=$D$3),IF($F$3="(todos)",TRUE,'ORDENES'!$Z784=$F$3),IF($H$3="(todos)",TRUE,'ORDENES'!$Y784=$H$3),'ORDENES'!$AF784=TRUE,'ORDENES'!$A784&lt;&gt;""),1,0)</f>
        <v/>
      </c>
      <c r="L788" s="5">
        <f>IF(K788=1,IFERROR(MATCH('ORDENES'!$S784,lista_dias,0),9)*1000000000+IFERROR(MATCH('ORDENES'!$AH784,lista_turnos,0),9)*10000000+IFERROR(MATCH('ORDENES'!$AG784,tblTecnicos[nombre],0),99)*100000+781,9000000000000+781)</f>
        <v/>
      </c>
      <c r="M788" s="5">
        <f>IF(K788=1,SUMPRODUCT(--($L$8:$L$1207&lt;L788))+1,"")</f>
        <v/>
      </c>
      <c r="N788" s="17">
        <f>IF(K788=1,N('ORDENES'!$M784),0)</f>
        <v/>
      </c>
      <c r="O788" s="17">
        <f>IF('ORDENES'!$U784="preventiva",N788,0)</f>
        <v/>
      </c>
      <c r="P788" s="17">
        <f>IF('ORDENES'!$U784="correctiva",N788,0)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22">
        <f>IF(K788=1,'ORDENES'!$J784,"")</f>
        <v/>
      </c>
    </row>
    <row r="789">
      <c r="K789" s="5">
        <f>IF(AND(IF($B$3="(todos)",TRUE,'ORDENES'!$O785=$B$3),IF($D$3="(todos)",TRUE,'ORDENES'!$AH785=$D$3),IF($F$3="(todos)",TRUE,'ORDENES'!$Z785=$F$3),IF($H$3="(todos)",TRUE,'ORDENES'!$Y785=$H$3),'ORDENES'!$AF785=TRUE,'ORDENES'!$A785&lt;&gt;""),1,0)</f>
        <v/>
      </c>
      <c r="L789" s="5">
        <f>IF(K789=1,IFERROR(MATCH('ORDENES'!$S785,lista_dias,0),9)*1000000000+IFERROR(MATCH('ORDENES'!$AH785,lista_turnos,0),9)*10000000+IFERROR(MATCH('ORDENES'!$AG785,tblTecnicos[nombre],0),99)*100000+782,9000000000000+782)</f>
        <v/>
      </c>
      <c r="M789" s="5">
        <f>IF(K789=1,SUMPRODUCT(--($L$8:$L$1207&lt;L789))+1,"")</f>
        <v/>
      </c>
      <c r="N789" s="17">
        <f>IF(K789=1,N('ORDENES'!$M785),0)</f>
        <v/>
      </c>
      <c r="O789" s="17">
        <f>IF('ORDENES'!$U785="preventiva",N789,0)</f>
        <v/>
      </c>
      <c r="P789" s="17">
        <f>IF('ORDENES'!$U785="correctiva",N789,0)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22">
        <f>IF(K789=1,'ORDENES'!$J785,"")</f>
        <v/>
      </c>
    </row>
    <row r="790">
      <c r="K790" s="5">
        <f>IF(AND(IF($B$3="(todos)",TRUE,'ORDENES'!$O786=$B$3),IF($D$3="(todos)",TRUE,'ORDENES'!$AH786=$D$3),IF($F$3="(todos)",TRUE,'ORDENES'!$Z786=$F$3),IF($H$3="(todos)",TRUE,'ORDENES'!$Y786=$H$3),'ORDENES'!$AF786=TRUE,'ORDENES'!$A786&lt;&gt;""),1,0)</f>
        <v/>
      </c>
      <c r="L790" s="5">
        <f>IF(K790=1,IFERROR(MATCH('ORDENES'!$S786,lista_dias,0),9)*1000000000+IFERROR(MATCH('ORDENES'!$AH786,lista_turnos,0),9)*10000000+IFERROR(MATCH('ORDENES'!$AG786,tblTecnicos[nombre],0),99)*100000+783,9000000000000+783)</f>
        <v/>
      </c>
      <c r="M790" s="5">
        <f>IF(K790=1,SUMPRODUCT(--($L$8:$L$1207&lt;L790))+1,"")</f>
        <v/>
      </c>
      <c r="N790" s="17">
        <f>IF(K790=1,N('ORDENES'!$M786),0)</f>
        <v/>
      </c>
      <c r="O790" s="17">
        <f>IF('ORDENES'!$U786="preventiva",N790,0)</f>
        <v/>
      </c>
      <c r="P790" s="17">
        <f>IF('ORDENES'!$U786="correctiva",N790,0)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22">
        <f>IF(K790=1,'ORDENES'!$J786,"")</f>
        <v/>
      </c>
    </row>
    <row r="791">
      <c r="K791" s="5">
        <f>IF(AND(IF($B$3="(todos)",TRUE,'ORDENES'!$O787=$B$3),IF($D$3="(todos)",TRUE,'ORDENES'!$AH787=$D$3),IF($F$3="(todos)",TRUE,'ORDENES'!$Z787=$F$3),IF($H$3="(todos)",TRUE,'ORDENES'!$Y787=$H$3),'ORDENES'!$AF787=TRUE,'ORDENES'!$A787&lt;&gt;""),1,0)</f>
        <v/>
      </c>
      <c r="L791" s="5">
        <f>IF(K791=1,IFERROR(MATCH('ORDENES'!$S787,lista_dias,0),9)*1000000000+IFERROR(MATCH('ORDENES'!$AH787,lista_turnos,0),9)*10000000+IFERROR(MATCH('ORDENES'!$AG787,tblTecnicos[nombre],0),99)*100000+784,9000000000000+784)</f>
        <v/>
      </c>
      <c r="M791" s="5">
        <f>IF(K791=1,SUMPRODUCT(--($L$8:$L$1207&lt;L791))+1,"")</f>
        <v/>
      </c>
      <c r="N791" s="17">
        <f>IF(K791=1,N('ORDENES'!$M787),0)</f>
        <v/>
      </c>
      <c r="O791" s="17">
        <f>IF('ORDENES'!$U787="preventiva",N791,0)</f>
        <v/>
      </c>
      <c r="P791" s="17">
        <f>IF('ORDENES'!$U787="correctiva",N791,0)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22">
        <f>IF(K791=1,'ORDENES'!$J787,"")</f>
        <v/>
      </c>
    </row>
    <row r="792">
      <c r="K792" s="5">
        <f>IF(AND(IF($B$3="(todos)",TRUE,'ORDENES'!$O788=$B$3),IF($D$3="(todos)",TRUE,'ORDENES'!$AH788=$D$3),IF($F$3="(todos)",TRUE,'ORDENES'!$Z788=$F$3),IF($H$3="(todos)",TRUE,'ORDENES'!$Y788=$H$3),'ORDENES'!$AF788=TRUE,'ORDENES'!$A788&lt;&gt;""),1,0)</f>
        <v/>
      </c>
      <c r="L792" s="5">
        <f>IF(K792=1,IFERROR(MATCH('ORDENES'!$S788,lista_dias,0),9)*1000000000+IFERROR(MATCH('ORDENES'!$AH788,lista_turnos,0),9)*10000000+IFERROR(MATCH('ORDENES'!$AG788,tblTecnicos[nombre],0),99)*100000+785,9000000000000+785)</f>
        <v/>
      </c>
      <c r="M792" s="5">
        <f>IF(K792=1,SUMPRODUCT(--($L$8:$L$1207&lt;L792))+1,"")</f>
        <v/>
      </c>
      <c r="N792" s="17">
        <f>IF(K792=1,N('ORDENES'!$M788),0)</f>
        <v/>
      </c>
      <c r="O792" s="17">
        <f>IF('ORDENES'!$U788="preventiva",N792,0)</f>
        <v/>
      </c>
      <c r="P792" s="17">
        <f>IF('ORDENES'!$U788="correctiva",N792,0)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22">
        <f>IF(K792=1,'ORDENES'!$J788,"")</f>
        <v/>
      </c>
    </row>
    <row r="793">
      <c r="K793" s="5">
        <f>IF(AND(IF($B$3="(todos)",TRUE,'ORDENES'!$O789=$B$3),IF($D$3="(todos)",TRUE,'ORDENES'!$AH789=$D$3),IF($F$3="(todos)",TRUE,'ORDENES'!$Z789=$F$3),IF($H$3="(todos)",TRUE,'ORDENES'!$Y789=$H$3),'ORDENES'!$AF789=TRUE,'ORDENES'!$A789&lt;&gt;""),1,0)</f>
        <v/>
      </c>
      <c r="L793" s="5">
        <f>IF(K793=1,IFERROR(MATCH('ORDENES'!$S789,lista_dias,0),9)*1000000000+IFERROR(MATCH('ORDENES'!$AH789,lista_turnos,0),9)*10000000+IFERROR(MATCH('ORDENES'!$AG789,tblTecnicos[nombre],0),99)*100000+786,9000000000000+786)</f>
        <v/>
      </c>
      <c r="M793" s="5">
        <f>IF(K793=1,SUMPRODUCT(--($L$8:$L$1207&lt;L793))+1,"")</f>
        <v/>
      </c>
      <c r="N793" s="17">
        <f>IF(K793=1,N('ORDENES'!$M789),0)</f>
        <v/>
      </c>
      <c r="O793" s="17">
        <f>IF('ORDENES'!$U789="preventiva",N793,0)</f>
        <v/>
      </c>
      <c r="P793" s="17">
        <f>IF('ORDENES'!$U789="correctiva",N793,0)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22">
        <f>IF(K793=1,'ORDENES'!$J789,"")</f>
        <v/>
      </c>
    </row>
    <row r="794">
      <c r="K794" s="5">
        <f>IF(AND(IF($B$3="(todos)",TRUE,'ORDENES'!$O790=$B$3),IF($D$3="(todos)",TRUE,'ORDENES'!$AH790=$D$3),IF($F$3="(todos)",TRUE,'ORDENES'!$Z790=$F$3),IF($H$3="(todos)",TRUE,'ORDENES'!$Y790=$H$3),'ORDENES'!$AF790=TRUE,'ORDENES'!$A790&lt;&gt;""),1,0)</f>
        <v/>
      </c>
      <c r="L794" s="5">
        <f>IF(K794=1,IFERROR(MATCH('ORDENES'!$S790,lista_dias,0),9)*1000000000+IFERROR(MATCH('ORDENES'!$AH790,lista_turnos,0),9)*10000000+IFERROR(MATCH('ORDENES'!$AG790,tblTecnicos[nombre],0),99)*100000+787,9000000000000+787)</f>
        <v/>
      </c>
      <c r="M794" s="5">
        <f>IF(K794=1,SUMPRODUCT(--($L$8:$L$1207&lt;L794))+1,"")</f>
        <v/>
      </c>
      <c r="N794" s="17">
        <f>IF(K794=1,N('ORDENES'!$M790),0)</f>
        <v/>
      </c>
      <c r="O794" s="17">
        <f>IF('ORDENES'!$U790="preventiva",N794,0)</f>
        <v/>
      </c>
      <c r="P794" s="17">
        <f>IF('ORDENES'!$U790="correctiva",N794,0)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22">
        <f>IF(K794=1,'ORDENES'!$J790,"")</f>
        <v/>
      </c>
    </row>
    <row r="795">
      <c r="K795" s="5">
        <f>IF(AND(IF($B$3="(todos)",TRUE,'ORDENES'!$O791=$B$3),IF($D$3="(todos)",TRUE,'ORDENES'!$AH791=$D$3),IF($F$3="(todos)",TRUE,'ORDENES'!$Z791=$F$3),IF($H$3="(todos)",TRUE,'ORDENES'!$Y791=$H$3),'ORDENES'!$AF791=TRUE,'ORDENES'!$A791&lt;&gt;""),1,0)</f>
        <v/>
      </c>
      <c r="L795" s="5">
        <f>IF(K795=1,IFERROR(MATCH('ORDENES'!$S791,lista_dias,0),9)*1000000000+IFERROR(MATCH('ORDENES'!$AH791,lista_turnos,0),9)*10000000+IFERROR(MATCH('ORDENES'!$AG791,tblTecnicos[nombre],0),99)*100000+788,9000000000000+788)</f>
        <v/>
      </c>
      <c r="M795" s="5">
        <f>IF(K795=1,SUMPRODUCT(--($L$8:$L$1207&lt;L795))+1,"")</f>
        <v/>
      </c>
      <c r="N795" s="17">
        <f>IF(K795=1,N('ORDENES'!$M791),0)</f>
        <v/>
      </c>
      <c r="O795" s="17">
        <f>IF('ORDENES'!$U791="preventiva",N795,0)</f>
        <v/>
      </c>
      <c r="P795" s="17">
        <f>IF('ORDENES'!$U791="correctiva",N795,0)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22">
        <f>IF(K795=1,'ORDENES'!$J791,"")</f>
        <v/>
      </c>
    </row>
    <row r="796">
      <c r="K796" s="5">
        <f>IF(AND(IF($B$3="(todos)",TRUE,'ORDENES'!$O792=$B$3),IF($D$3="(todos)",TRUE,'ORDENES'!$AH792=$D$3),IF($F$3="(todos)",TRUE,'ORDENES'!$Z792=$F$3),IF($H$3="(todos)",TRUE,'ORDENES'!$Y792=$H$3),'ORDENES'!$AF792=TRUE,'ORDENES'!$A792&lt;&gt;""),1,0)</f>
        <v/>
      </c>
      <c r="L796" s="5">
        <f>IF(K796=1,IFERROR(MATCH('ORDENES'!$S792,lista_dias,0),9)*1000000000+IFERROR(MATCH('ORDENES'!$AH792,lista_turnos,0),9)*10000000+IFERROR(MATCH('ORDENES'!$AG792,tblTecnicos[nombre],0),99)*100000+789,9000000000000+789)</f>
        <v/>
      </c>
      <c r="M796" s="5">
        <f>IF(K796=1,SUMPRODUCT(--($L$8:$L$1207&lt;L796))+1,"")</f>
        <v/>
      </c>
      <c r="N796" s="17">
        <f>IF(K796=1,N('ORDENES'!$M792),0)</f>
        <v/>
      </c>
      <c r="O796" s="17">
        <f>IF('ORDENES'!$U792="preventiva",N796,0)</f>
        <v/>
      </c>
      <c r="P796" s="17">
        <f>IF('ORDENES'!$U792="correctiva",N796,0)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22">
        <f>IF(K796=1,'ORDENES'!$J792,"")</f>
        <v/>
      </c>
    </row>
    <row r="797">
      <c r="K797" s="5">
        <f>IF(AND(IF($B$3="(todos)",TRUE,'ORDENES'!$O793=$B$3),IF($D$3="(todos)",TRUE,'ORDENES'!$AH793=$D$3),IF($F$3="(todos)",TRUE,'ORDENES'!$Z793=$F$3),IF($H$3="(todos)",TRUE,'ORDENES'!$Y793=$H$3),'ORDENES'!$AF793=TRUE,'ORDENES'!$A793&lt;&gt;""),1,0)</f>
        <v/>
      </c>
      <c r="L797" s="5">
        <f>IF(K797=1,IFERROR(MATCH('ORDENES'!$S793,lista_dias,0),9)*1000000000+IFERROR(MATCH('ORDENES'!$AH793,lista_turnos,0),9)*10000000+IFERROR(MATCH('ORDENES'!$AG793,tblTecnicos[nombre],0),99)*100000+790,9000000000000+790)</f>
        <v/>
      </c>
      <c r="M797" s="5">
        <f>IF(K797=1,SUMPRODUCT(--($L$8:$L$1207&lt;L797))+1,"")</f>
        <v/>
      </c>
      <c r="N797" s="17">
        <f>IF(K797=1,N('ORDENES'!$M793),0)</f>
        <v/>
      </c>
      <c r="O797" s="17">
        <f>IF('ORDENES'!$U793="preventiva",N797,0)</f>
        <v/>
      </c>
      <c r="P797" s="17">
        <f>IF('ORDENES'!$U793="correctiva",N797,0)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22">
        <f>IF(K797=1,'ORDENES'!$J793,"")</f>
        <v/>
      </c>
    </row>
    <row r="798">
      <c r="K798" s="5">
        <f>IF(AND(IF($B$3="(todos)",TRUE,'ORDENES'!$O794=$B$3),IF($D$3="(todos)",TRUE,'ORDENES'!$AH794=$D$3),IF($F$3="(todos)",TRUE,'ORDENES'!$Z794=$F$3),IF($H$3="(todos)",TRUE,'ORDENES'!$Y794=$H$3),'ORDENES'!$AF794=TRUE,'ORDENES'!$A794&lt;&gt;""),1,0)</f>
        <v/>
      </c>
      <c r="L798" s="5">
        <f>IF(K798=1,IFERROR(MATCH('ORDENES'!$S794,lista_dias,0),9)*1000000000+IFERROR(MATCH('ORDENES'!$AH794,lista_turnos,0),9)*10000000+IFERROR(MATCH('ORDENES'!$AG794,tblTecnicos[nombre],0),99)*100000+791,9000000000000+791)</f>
        <v/>
      </c>
      <c r="M798" s="5">
        <f>IF(K798=1,SUMPRODUCT(--($L$8:$L$1207&lt;L798))+1,"")</f>
        <v/>
      </c>
      <c r="N798" s="17">
        <f>IF(K798=1,N('ORDENES'!$M794),0)</f>
        <v/>
      </c>
      <c r="O798" s="17">
        <f>IF('ORDENES'!$U794="preventiva",N798,0)</f>
        <v/>
      </c>
      <c r="P798" s="17">
        <f>IF('ORDENES'!$U794="correctiva",N798,0)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22">
        <f>IF(K798=1,'ORDENES'!$J794,"")</f>
        <v/>
      </c>
    </row>
    <row r="799">
      <c r="K799" s="5">
        <f>IF(AND(IF($B$3="(todos)",TRUE,'ORDENES'!$O795=$B$3),IF($D$3="(todos)",TRUE,'ORDENES'!$AH795=$D$3),IF($F$3="(todos)",TRUE,'ORDENES'!$Z795=$F$3),IF($H$3="(todos)",TRUE,'ORDENES'!$Y795=$H$3),'ORDENES'!$AF795=TRUE,'ORDENES'!$A795&lt;&gt;""),1,0)</f>
        <v/>
      </c>
      <c r="L799" s="5">
        <f>IF(K799=1,IFERROR(MATCH('ORDENES'!$S795,lista_dias,0),9)*1000000000+IFERROR(MATCH('ORDENES'!$AH795,lista_turnos,0),9)*10000000+IFERROR(MATCH('ORDENES'!$AG795,tblTecnicos[nombre],0),99)*100000+792,9000000000000+792)</f>
        <v/>
      </c>
      <c r="M799" s="5">
        <f>IF(K799=1,SUMPRODUCT(--($L$8:$L$1207&lt;L799))+1,"")</f>
        <v/>
      </c>
      <c r="N799" s="17">
        <f>IF(K799=1,N('ORDENES'!$M795),0)</f>
        <v/>
      </c>
      <c r="O799" s="17">
        <f>IF('ORDENES'!$U795="preventiva",N799,0)</f>
        <v/>
      </c>
      <c r="P799" s="17">
        <f>IF('ORDENES'!$U795="correctiva",N799,0)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22">
        <f>IF(K799=1,'ORDENES'!$J795,"")</f>
        <v/>
      </c>
    </row>
    <row r="800">
      <c r="K800" s="5">
        <f>IF(AND(IF($B$3="(todos)",TRUE,'ORDENES'!$O796=$B$3),IF($D$3="(todos)",TRUE,'ORDENES'!$AH796=$D$3),IF($F$3="(todos)",TRUE,'ORDENES'!$Z796=$F$3),IF($H$3="(todos)",TRUE,'ORDENES'!$Y796=$H$3),'ORDENES'!$AF796=TRUE,'ORDENES'!$A796&lt;&gt;""),1,0)</f>
        <v/>
      </c>
      <c r="L800" s="5">
        <f>IF(K800=1,IFERROR(MATCH('ORDENES'!$S796,lista_dias,0),9)*1000000000+IFERROR(MATCH('ORDENES'!$AH796,lista_turnos,0),9)*10000000+IFERROR(MATCH('ORDENES'!$AG796,tblTecnicos[nombre],0),99)*100000+793,9000000000000+793)</f>
        <v/>
      </c>
      <c r="M800" s="5">
        <f>IF(K800=1,SUMPRODUCT(--($L$8:$L$1207&lt;L800))+1,"")</f>
        <v/>
      </c>
      <c r="N800" s="17">
        <f>IF(K800=1,N('ORDENES'!$M796),0)</f>
        <v/>
      </c>
      <c r="O800" s="17">
        <f>IF('ORDENES'!$U796="preventiva",N800,0)</f>
        <v/>
      </c>
      <c r="P800" s="17">
        <f>IF('ORDENES'!$U796="correctiva",N800,0)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22">
        <f>IF(K800=1,'ORDENES'!$J796,"")</f>
        <v/>
      </c>
    </row>
    <row r="801">
      <c r="K801" s="5">
        <f>IF(AND(IF($B$3="(todos)",TRUE,'ORDENES'!$O797=$B$3),IF($D$3="(todos)",TRUE,'ORDENES'!$AH797=$D$3),IF($F$3="(todos)",TRUE,'ORDENES'!$Z797=$F$3),IF($H$3="(todos)",TRUE,'ORDENES'!$Y797=$H$3),'ORDENES'!$AF797=TRUE,'ORDENES'!$A797&lt;&gt;""),1,0)</f>
        <v/>
      </c>
      <c r="L801" s="5">
        <f>IF(K801=1,IFERROR(MATCH('ORDENES'!$S797,lista_dias,0),9)*1000000000+IFERROR(MATCH('ORDENES'!$AH797,lista_turnos,0),9)*10000000+IFERROR(MATCH('ORDENES'!$AG797,tblTecnicos[nombre],0),99)*100000+794,9000000000000+794)</f>
        <v/>
      </c>
      <c r="M801" s="5">
        <f>IF(K801=1,SUMPRODUCT(--($L$8:$L$1207&lt;L801))+1,"")</f>
        <v/>
      </c>
      <c r="N801" s="17">
        <f>IF(K801=1,N('ORDENES'!$M797),0)</f>
        <v/>
      </c>
      <c r="O801" s="17">
        <f>IF('ORDENES'!$U797="preventiva",N801,0)</f>
        <v/>
      </c>
      <c r="P801" s="17">
        <f>IF('ORDENES'!$U797="correctiva",N801,0)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22">
        <f>IF(K801=1,'ORDENES'!$J797,"")</f>
        <v/>
      </c>
    </row>
    <row r="802">
      <c r="K802" s="5">
        <f>IF(AND(IF($B$3="(todos)",TRUE,'ORDENES'!$O798=$B$3),IF($D$3="(todos)",TRUE,'ORDENES'!$AH798=$D$3),IF($F$3="(todos)",TRUE,'ORDENES'!$Z798=$F$3),IF($H$3="(todos)",TRUE,'ORDENES'!$Y798=$H$3),'ORDENES'!$AF798=TRUE,'ORDENES'!$A798&lt;&gt;""),1,0)</f>
        <v/>
      </c>
      <c r="L802" s="5">
        <f>IF(K802=1,IFERROR(MATCH('ORDENES'!$S798,lista_dias,0),9)*1000000000+IFERROR(MATCH('ORDENES'!$AH798,lista_turnos,0),9)*10000000+IFERROR(MATCH('ORDENES'!$AG798,tblTecnicos[nombre],0),99)*100000+795,9000000000000+795)</f>
        <v/>
      </c>
      <c r="M802" s="5">
        <f>IF(K802=1,SUMPRODUCT(--($L$8:$L$1207&lt;L802))+1,"")</f>
        <v/>
      </c>
      <c r="N802" s="17">
        <f>IF(K802=1,N('ORDENES'!$M798),0)</f>
        <v/>
      </c>
      <c r="O802" s="17">
        <f>IF('ORDENES'!$U798="preventiva",N802,0)</f>
        <v/>
      </c>
      <c r="P802" s="17">
        <f>IF('ORDENES'!$U798="correctiva",N802,0)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22">
        <f>IF(K802=1,'ORDENES'!$J798,"")</f>
        <v/>
      </c>
    </row>
    <row r="803">
      <c r="K803" s="5">
        <f>IF(AND(IF($B$3="(todos)",TRUE,'ORDENES'!$O799=$B$3),IF($D$3="(todos)",TRUE,'ORDENES'!$AH799=$D$3),IF($F$3="(todos)",TRUE,'ORDENES'!$Z799=$F$3),IF($H$3="(todos)",TRUE,'ORDENES'!$Y799=$H$3),'ORDENES'!$AF799=TRUE,'ORDENES'!$A799&lt;&gt;""),1,0)</f>
        <v/>
      </c>
      <c r="L803" s="5">
        <f>IF(K803=1,IFERROR(MATCH('ORDENES'!$S799,lista_dias,0),9)*1000000000+IFERROR(MATCH('ORDENES'!$AH799,lista_turnos,0),9)*10000000+IFERROR(MATCH('ORDENES'!$AG799,tblTecnicos[nombre],0),99)*100000+796,9000000000000+796)</f>
        <v/>
      </c>
      <c r="M803" s="5">
        <f>IF(K803=1,SUMPRODUCT(--($L$8:$L$1207&lt;L803))+1,"")</f>
        <v/>
      </c>
      <c r="N803" s="17">
        <f>IF(K803=1,N('ORDENES'!$M799),0)</f>
        <v/>
      </c>
      <c r="O803" s="17">
        <f>IF('ORDENES'!$U799="preventiva",N803,0)</f>
        <v/>
      </c>
      <c r="P803" s="17">
        <f>IF('ORDENES'!$U799="correctiva",N803,0)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22">
        <f>IF(K803=1,'ORDENES'!$J799,"")</f>
        <v/>
      </c>
    </row>
    <row r="804">
      <c r="K804" s="5">
        <f>IF(AND(IF($B$3="(todos)",TRUE,'ORDENES'!$O800=$B$3),IF($D$3="(todos)",TRUE,'ORDENES'!$AH800=$D$3),IF($F$3="(todos)",TRUE,'ORDENES'!$Z800=$F$3),IF($H$3="(todos)",TRUE,'ORDENES'!$Y800=$H$3),'ORDENES'!$AF800=TRUE,'ORDENES'!$A800&lt;&gt;""),1,0)</f>
        <v/>
      </c>
      <c r="L804" s="5">
        <f>IF(K804=1,IFERROR(MATCH('ORDENES'!$S800,lista_dias,0),9)*1000000000+IFERROR(MATCH('ORDENES'!$AH800,lista_turnos,0),9)*10000000+IFERROR(MATCH('ORDENES'!$AG800,tblTecnicos[nombre],0),99)*100000+797,9000000000000+797)</f>
        <v/>
      </c>
      <c r="M804" s="5">
        <f>IF(K804=1,SUMPRODUCT(--($L$8:$L$1207&lt;L804))+1,"")</f>
        <v/>
      </c>
      <c r="N804" s="17">
        <f>IF(K804=1,N('ORDENES'!$M800),0)</f>
        <v/>
      </c>
      <c r="O804" s="17">
        <f>IF('ORDENES'!$U800="preventiva",N804,0)</f>
        <v/>
      </c>
      <c r="P804" s="17">
        <f>IF('ORDENES'!$U800="correctiva",N804,0)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22">
        <f>IF(K804=1,'ORDENES'!$J800,"")</f>
        <v/>
      </c>
    </row>
    <row r="805">
      <c r="K805" s="5">
        <f>IF(AND(IF($B$3="(todos)",TRUE,'ORDENES'!$O801=$B$3),IF($D$3="(todos)",TRUE,'ORDENES'!$AH801=$D$3),IF($F$3="(todos)",TRUE,'ORDENES'!$Z801=$F$3),IF($H$3="(todos)",TRUE,'ORDENES'!$Y801=$H$3),'ORDENES'!$AF801=TRUE,'ORDENES'!$A801&lt;&gt;""),1,0)</f>
        <v/>
      </c>
      <c r="L805" s="5">
        <f>IF(K805=1,IFERROR(MATCH('ORDENES'!$S801,lista_dias,0),9)*1000000000+IFERROR(MATCH('ORDENES'!$AH801,lista_turnos,0),9)*10000000+IFERROR(MATCH('ORDENES'!$AG801,tblTecnicos[nombre],0),99)*100000+798,9000000000000+798)</f>
        <v/>
      </c>
      <c r="M805" s="5">
        <f>IF(K805=1,SUMPRODUCT(--($L$8:$L$1207&lt;L805))+1,"")</f>
        <v/>
      </c>
      <c r="N805" s="17">
        <f>IF(K805=1,N('ORDENES'!$M801),0)</f>
        <v/>
      </c>
      <c r="O805" s="17">
        <f>IF('ORDENES'!$U801="preventiva",N805,0)</f>
        <v/>
      </c>
      <c r="P805" s="17">
        <f>IF('ORDENES'!$U801="correctiva",N805,0)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22">
        <f>IF(K805=1,'ORDENES'!$J801,"")</f>
        <v/>
      </c>
    </row>
    <row r="806">
      <c r="K806" s="5">
        <f>IF(AND(IF($B$3="(todos)",TRUE,'ORDENES'!$O802=$B$3),IF($D$3="(todos)",TRUE,'ORDENES'!$AH802=$D$3),IF($F$3="(todos)",TRUE,'ORDENES'!$Z802=$F$3),IF($H$3="(todos)",TRUE,'ORDENES'!$Y802=$H$3),'ORDENES'!$AF802=TRUE,'ORDENES'!$A802&lt;&gt;""),1,0)</f>
        <v/>
      </c>
      <c r="L806" s="5">
        <f>IF(K806=1,IFERROR(MATCH('ORDENES'!$S802,lista_dias,0),9)*1000000000+IFERROR(MATCH('ORDENES'!$AH802,lista_turnos,0),9)*10000000+IFERROR(MATCH('ORDENES'!$AG802,tblTecnicos[nombre],0),99)*100000+799,9000000000000+799)</f>
        <v/>
      </c>
      <c r="M806" s="5">
        <f>IF(K806=1,SUMPRODUCT(--($L$8:$L$1207&lt;L806))+1,"")</f>
        <v/>
      </c>
      <c r="N806" s="17">
        <f>IF(K806=1,N('ORDENES'!$M802),0)</f>
        <v/>
      </c>
      <c r="O806" s="17">
        <f>IF('ORDENES'!$U802="preventiva",N806,0)</f>
        <v/>
      </c>
      <c r="P806" s="17">
        <f>IF('ORDENES'!$U802="correctiva",N806,0)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22">
        <f>IF(K806=1,'ORDENES'!$J802,"")</f>
        <v/>
      </c>
    </row>
    <row r="807">
      <c r="K807" s="5">
        <f>IF(AND(IF($B$3="(todos)",TRUE,'ORDENES'!$O803=$B$3),IF($D$3="(todos)",TRUE,'ORDENES'!$AH803=$D$3),IF($F$3="(todos)",TRUE,'ORDENES'!$Z803=$F$3),IF($H$3="(todos)",TRUE,'ORDENES'!$Y803=$H$3),'ORDENES'!$AF803=TRUE,'ORDENES'!$A803&lt;&gt;""),1,0)</f>
        <v/>
      </c>
      <c r="L807" s="5">
        <f>IF(K807=1,IFERROR(MATCH('ORDENES'!$S803,lista_dias,0),9)*1000000000+IFERROR(MATCH('ORDENES'!$AH803,lista_turnos,0),9)*10000000+IFERROR(MATCH('ORDENES'!$AG803,tblTecnicos[nombre],0),99)*100000+800,9000000000000+800)</f>
        <v/>
      </c>
      <c r="M807" s="5">
        <f>IF(K807=1,SUMPRODUCT(--($L$8:$L$1207&lt;L807))+1,"")</f>
        <v/>
      </c>
      <c r="N807" s="17">
        <f>IF(K807=1,N('ORDENES'!$M803),0)</f>
        <v/>
      </c>
      <c r="O807" s="17">
        <f>IF('ORDENES'!$U803="preventiva",N807,0)</f>
        <v/>
      </c>
      <c r="P807" s="17">
        <f>IF('ORDENES'!$U803="correctiva",N807,0)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22">
        <f>IF(K807=1,'ORDENES'!$J803,"")</f>
        <v/>
      </c>
    </row>
    <row r="808">
      <c r="K808" s="5">
        <f>IF(AND(IF($B$3="(todos)",TRUE,'ORDENES'!$O804=$B$3),IF($D$3="(todos)",TRUE,'ORDENES'!$AH804=$D$3),IF($F$3="(todos)",TRUE,'ORDENES'!$Z804=$F$3),IF($H$3="(todos)",TRUE,'ORDENES'!$Y804=$H$3),'ORDENES'!$AF804=TRUE,'ORDENES'!$A804&lt;&gt;""),1,0)</f>
        <v/>
      </c>
      <c r="L808" s="5">
        <f>IF(K808=1,IFERROR(MATCH('ORDENES'!$S804,lista_dias,0),9)*1000000000+IFERROR(MATCH('ORDENES'!$AH804,lista_turnos,0),9)*10000000+IFERROR(MATCH('ORDENES'!$AG804,tblTecnicos[nombre],0),99)*100000+801,9000000000000+801)</f>
        <v/>
      </c>
      <c r="M808" s="5">
        <f>IF(K808=1,SUMPRODUCT(--($L$8:$L$1207&lt;L808))+1,"")</f>
        <v/>
      </c>
      <c r="N808" s="17">
        <f>IF(K808=1,N('ORDENES'!$M804),0)</f>
        <v/>
      </c>
      <c r="O808" s="17">
        <f>IF('ORDENES'!$U804="preventiva",N808,0)</f>
        <v/>
      </c>
      <c r="P808" s="17">
        <f>IF('ORDENES'!$U804="correctiva",N808,0)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22">
        <f>IF(K808=1,'ORDENES'!$J804,"")</f>
        <v/>
      </c>
    </row>
    <row r="809">
      <c r="K809" s="5">
        <f>IF(AND(IF($B$3="(todos)",TRUE,'ORDENES'!$O805=$B$3),IF($D$3="(todos)",TRUE,'ORDENES'!$AH805=$D$3),IF($F$3="(todos)",TRUE,'ORDENES'!$Z805=$F$3),IF($H$3="(todos)",TRUE,'ORDENES'!$Y805=$H$3),'ORDENES'!$AF805=TRUE,'ORDENES'!$A805&lt;&gt;""),1,0)</f>
        <v/>
      </c>
      <c r="L809" s="5">
        <f>IF(K809=1,IFERROR(MATCH('ORDENES'!$S805,lista_dias,0),9)*1000000000+IFERROR(MATCH('ORDENES'!$AH805,lista_turnos,0),9)*10000000+IFERROR(MATCH('ORDENES'!$AG805,tblTecnicos[nombre],0),99)*100000+802,9000000000000+802)</f>
        <v/>
      </c>
      <c r="M809" s="5">
        <f>IF(K809=1,SUMPRODUCT(--($L$8:$L$1207&lt;L809))+1,"")</f>
        <v/>
      </c>
      <c r="N809" s="17">
        <f>IF(K809=1,N('ORDENES'!$M805),0)</f>
        <v/>
      </c>
      <c r="O809" s="17">
        <f>IF('ORDENES'!$U805="preventiva",N809,0)</f>
        <v/>
      </c>
      <c r="P809" s="17">
        <f>IF('ORDENES'!$U805="correctiva",N809,0)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22">
        <f>IF(K809=1,'ORDENES'!$J805,"")</f>
        <v/>
      </c>
    </row>
    <row r="810">
      <c r="K810" s="5">
        <f>IF(AND(IF($B$3="(todos)",TRUE,'ORDENES'!$O806=$B$3),IF($D$3="(todos)",TRUE,'ORDENES'!$AH806=$D$3),IF($F$3="(todos)",TRUE,'ORDENES'!$Z806=$F$3),IF($H$3="(todos)",TRUE,'ORDENES'!$Y806=$H$3),'ORDENES'!$AF806=TRUE,'ORDENES'!$A806&lt;&gt;""),1,0)</f>
        <v/>
      </c>
      <c r="L810" s="5">
        <f>IF(K810=1,IFERROR(MATCH('ORDENES'!$S806,lista_dias,0),9)*1000000000+IFERROR(MATCH('ORDENES'!$AH806,lista_turnos,0),9)*10000000+IFERROR(MATCH('ORDENES'!$AG806,tblTecnicos[nombre],0),99)*100000+803,9000000000000+803)</f>
        <v/>
      </c>
      <c r="M810" s="5">
        <f>IF(K810=1,SUMPRODUCT(--($L$8:$L$1207&lt;L810))+1,"")</f>
        <v/>
      </c>
      <c r="N810" s="17">
        <f>IF(K810=1,N('ORDENES'!$M806),0)</f>
        <v/>
      </c>
      <c r="O810" s="17">
        <f>IF('ORDENES'!$U806="preventiva",N810,0)</f>
        <v/>
      </c>
      <c r="P810" s="17">
        <f>IF('ORDENES'!$U806="correctiva",N810,0)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22">
        <f>IF(K810=1,'ORDENES'!$J806,"")</f>
        <v/>
      </c>
    </row>
    <row r="811">
      <c r="K811" s="5">
        <f>IF(AND(IF($B$3="(todos)",TRUE,'ORDENES'!$O807=$B$3),IF($D$3="(todos)",TRUE,'ORDENES'!$AH807=$D$3),IF($F$3="(todos)",TRUE,'ORDENES'!$Z807=$F$3),IF($H$3="(todos)",TRUE,'ORDENES'!$Y807=$H$3),'ORDENES'!$AF807=TRUE,'ORDENES'!$A807&lt;&gt;""),1,0)</f>
        <v/>
      </c>
      <c r="L811" s="5">
        <f>IF(K811=1,IFERROR(MATCH('ORDENES'!$S807,lista_dias,0),9)*1000000000+IFERROR(MATCH('ORDENES'!$AH807,lista_turnos,0),9)*10000000+IFERROR(MATCH('ORDENES'!$AG807,tblTecnicos[nombre],0),99)*100000+804,9000000000000+804)</f>
        <v/>
      </c>
      <c r="M811" s="5">
        <f>IF(K811=1,SUMPRODUCT(--($L$8:$L$1207&lt;L811))+1,"")</f>
        <v/>
      </c>
      <c r="N811" s="17">
        <f>IF(K811=1,N('ORDENES'!$M807),0)</f>
        <v/>
      </c>
      <c r="O811" s="17">
        <f>IF('ORDENES'!$U807="preventiva",N811,0)</f>
        <v/>
      </c>
      <c r="P811" s="17">
        <f>IF('ORDENES'!$U807="correctiva",N811,0)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22">
        <f>IF(K811=1,'ORDENES'!$J807,"")</f>
        <v/>
      </c>
    </row>
    <row r="812">
      <c r="K812" s="5">
        <f>IF(AND(IF($B$3="(todos)",TRUE,'ORDENES'!$O808=$B$3),IF($D$3="(todos)",TRUE,'ORDENES'!$AH808=$D$3),IF($F$3="(todos)",TRUE,'ORDENES'!$Z808=$F$3),IF($H$3="(todos)",TRUE,'ORDENES'!$Y808=$H$3),'ORDENES'!$AF808=TRUE,'ORDENES'!$A808&lt;&gt;""),1,0)</f>
        <v/>
      </c>
      <c r="L812" s="5">
        <f>IF(K812=1,IFERROR(MATCH('ORDENES'!$S808,lista_dias,0),9)*1000000000+IFERROR(MATCH('ORDENES'!$AH808,lista_turnos,0),9)*10000000+IFERROR(MATCH('ORDENES'!$AG808,tblTecnicos[nombre],0),99)*100000+805,9000000000000+805)</f>
        <v/>
      </c>
      <c r="M812" s="5">
        <f>IF(K812=1,SUMPRODUCT(--($L$8:$L$1207&lt;L812))+1,"")</f>
        <v/>
      </c>
      <c r="N812" s="17">
        <f>IF(K812=1,N('ORDENES'!$M808),0)</f>
        <v/>
      </c>
      <c r="O812" s="17">
        <f>IF('ORDENES'!$U808="preventiva",N812,0)</f>
        <v/>
      </c>
      <c r="P812" s="17">
        <f>IF('ORDENES'!$U808="correctiva",N812,0)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22">
        <f>IF(K812=1,'ORDENES'!$J808,"")</f>
        <v/>
      </c>
    </row>
    <row r="813">
      <c r="K813" s="5">
        <f>IF(AND(IF($B$3="(todos)",TRUE,'ORDENES'!$O809=$B$3),IF($D$3="(todos)",TRUE,'ORDENES'!$AH809=$D$3),IF($F$3="(todos)",TRUE,'ORDENES'!$Z809=$F$3),IF($H$3="(todos)",TRUE,'ORDENES'!$Y809=$H$3),'ORDENES'!$AF809=TRUE,'ORDENES'!$A809&lt;&gt;""),1,0)</f>
        <v/>
      </c>
      <c r="L813" s="5">
        <f>IF(K813=1,IFERROR(MATCH('ORDENES'!$S809,lista_dias,0),9)*1000000000+IFERROR(MATCH('ORDENES'!$AH809,lista_turnos,0),9)*10000000+IFERROR(MATCH('ORDENES'!$AG809,tblTecnicos[nombre],0),99)*100000+806,9000000000000+806)</f>
        <v/>
      </c>
      <c r="M813" s="5">
        <f>IF(K813=1,SUMPRODUCT(--($L$8:$L$1207&lt;L813))+1,"")</f>
        <v/>
      </c>
      <c r="N813" s="17">
        <f>IF(K813=1,N('ORDENES'!$M809),0)</f>
        <v/>
      </c>
      <c r="O813" s="17">
        <f>IF('ORDENES'!$U809="preventiva",N813,0)</f>
        <v/>
      </c>
      <c r="P813" s="17">
        <f>IF('ORDENES'!$U809="correctiva",N813,0)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22">
        <f>IF(K813=1,'ORDENES'!$J809,"")</f>
        <v/>
      </c>
    </row>
    <row r="814">
      <c r="K814" s="5">
        <f>IF(AND(IF($B$3="(todos)",TRUE,'ORDENES'!$O810=$B$3),IF($D$3="(todos)",TRUE,'ORDENES'!$AH810=$D$3),IF($F$3="(todos)",TRUE,'ORDENES'!$Z810=$F$3),IF($H$3="(todos)",TRUE,'ORDENES'!$Y810=$H$3),'ORDENES'!$AF810=TRUE,'ORDENES'!$A810&lt;&gt;""),1,0)</f>
        <v/>
      </c>
      <c r="L814" s="5">
        <f>IF(K814=1,IFERROR(MATCH('ORDENES'!$S810,lista_dias,0),9)*1000000000+IFERROR(MATCH('ORDENES'!$AH810,lista_turnos,0),9)*10000000+IFERROR(MATCH('ORDENES'!$AG810,tblTecnicos[nombre],0),99)*100000+807,9000000000000+807)</f>
        <v/>
      </c>
      <c r="M814" s="5">
        <f>IF(K814=1,SUMPRODUCT(--($L$8:$L$1207&lt;L814))+1,"")</f>
        <v/>
      </c>
      <c r="N814" s="17">
        <f>IF(K814=1,N('ORDENES'!$M810),0)</f>
        <v/>
      </c>
      <c r="O814" s="17">
        <f>IF('ORDENES'!$U810="preventiva",N814,0)</f>
        <v/>
      </c>
      <c r="P814" s="17">
        <f>IF('ORDENES'!$U810="correctiva",N814,0)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22">
        <f>IF(K814=1,'ORDENES'!$J810,"")</f>
        <v/>
      </c>
    </row>
    <row r="815">
      <c r="K815" s="5">
        <f>IF(AND(IF($B$3="(todos)",TRUE,'ORDENES'!$O811=$B$3),IF($D$3="(todos)",TRUE,'ORDENES'!$AH811=$D$3),IF($F$3="(todos)",TRUE,'ORDENES'!$Z811=$F$3),IF($H$3="(todos)",TRUE,'ORDENES'!$Y811=$H$3),'ORDENES'!$AF811=TRUE,'ORDENES'!$A811&lt;&gt;""),1,0)</f>
        <v/>
      </c>
      <c r="L815" s="5">
        <f>IF(K815=1,IFERROR(MATCH('ORDENES'!$S811,lista_dias,0),9)*1000000000+IFERROR(MATCH('ORDENES'!$AH811,lista_turnos,0),9)*10000000+IFERROR(MATCH('ORDENES'!$AG811,tblTecnicos[nombre],0),99)*100000+808,9000000000000+808)</f>
        <v/>
      </c>
      <c r="M815" s="5">
        <f>IF(K815=1,SUMPRODUCT(--($L$8:$L$1207&lt;L815))+1,"")</f>
        <v/>
      </c>
      <c r="N815" s="17">
        <f>IF(K815=1,N('ORDENES'!$M811),0)</f>
        <v/>
      </c>
      <c r="O815" s="17">
        <f>IF('ORDENES'!$U811="preventiva",N815,0)</f>
        <v/>
      </c>
      <c r="P815" s="17">
        <f>IF('ORDENES'!$U811="correctiva",N815,0)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22">
        <f>IF(K815=1,'ORDENES'!$J811,"")</f>
        <v/>
      </c>
    </row>
    <row r="816">
      <c r="K816" s="5">
        <f>IF(AND(IF($B$3="(todos)",TRUE,'ORDENES'!$O812=$B$3),IF($D$3="(todos)",TRUE,'ORDENES'!$AH812=$D$3),IF($F$3="(todos)",TRUE,'ORDENES'!$Z812=$F$3),IF($H$3="(todos)",TRUE,'ORDENES'!$Y812=$H$3),'ORDENES'!$AF812=TRUE,'ORDENES'!$A812&lt;&gt;""),1,0)</f>
        <v/>
      </c>
      <c r="L816" s="5">
        <f>IF(K816=1,IFERROR(MATCH('ORDENES'!$S812,lista_dias,0),9)*1000000000+IFERROR(MATCH('ORDENES'!$AH812,lista_turnos,0),9)*10000000+IFERROR(MATCH('ORDENES'!$AG812,tblTecnicos[nombre],0),99)*100000+809,9000000000000+809)</f>
        <v/>
      </c>
      <c r="M816" s="5">
        <f>IF(K816=1,SUMPRODUCT(--($L$8:$L$1207&lt;L816))+1,"")</f>
        <v/>
      </c>
      <c r="N816" s="17">
        <f>IF(K816=1,N('ORDENES'!$M812),0)</f>
        <v/>
      </c>
      <c r="O816" s="17">
        <f>IF('ORDENES'!$U812="preventiva",N816,0)</f>
        <v/>
      </c>
      <c r="P816" s="17">
        <f>IF('ORDENES'!$U812="correctiva",N816,0)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22">
        <f>IF(K816=1,'ORDENES'!$J812,"")</f>
        <v/>
      </c>
    </row>
    <row r="817">
      <c r="K817" s="5">
        <f>IF(AND(IF($B$3="(todos)",TRUE,'ORDENES'!$O813=$B$3),IF($D$3="(todos)",TRUE,'ORDENES'!$AH813=$D$3),IF($F$3="(todos)",TRUE,'ORDENES'!$Z813=$F$3),IF($H$3="(todos)",TRUE,'ORDENES'!$Y813=$H$3),'ORDENES'!$AF813=TRUE,'ORDENES'!$A813&lt;&gt;""),1,0)</f>
        <v/>
      </c>
      <c r="L817" s="5">
        <f>IF(K817=1,IFERROR(MATCH('ORDENES'!$S813,lista_dias,0),9)*1000000000+IFERROR(MATCH('ORDENES'!$AH813,lista_turnos,0),9)*10000000+IFERROR(MATCH('ORDENES'!$AG813,tblTecnicos[nombre],0),99)*100000+810,9000000000000+810)</f>
        <v/>
      </c>
      <c r="M817" s="5">
        <f>IF(K817=1,SUMPRODUCT(--($L$8:$L$1207&lt;L817))+1,"")</f>
        <v/>
      </c>
      <c r="N817" s="17">
        <f>IF(K817=1,N('ORDENES'!$M813),0)</f>
        <v/>
      </c>
      <c r="O817" s="17">
        <f>IF('ORDENES'!$U813="preventiva",N817,0)</f>
        <v/>
      </c>
      <c r="P817" s="17">
        <f>IF('ORDENES'!$U813="correctiva",N817,0)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22">
        <f>IF(K817=1,'ORDENES'!$J813,"")</f>
        <v/>
      </c>
    </row>
    <row r="818">
      <c r="K818" s="5">
        <f>IF(AND(IF($B$3="(todos)",TRUE,'ORDENES'!$O814=$B$3),IF($D$3="(todos)",TRUE,'ORDENES'!$AH814=$D$3),IF($F$3="(todos)",TRUE,'ORDENES'!$Z814=$F$3),IF($H$3="(todos)",TRUE,'ORDENES'!$Y814=$H$3),'ORDENES'!$AF814=TRUE,'ORDENES'!$A814&lt;&gt;""),1,0)</f>
        <v/>
      </c>
      <c r="L818" s="5">
        <f>IF(K818=1,IFERROR(MATCH('ORDENES'!$S814,lista_dias,0),9)*1000000000+IFERROR(MATCH('ORDENES'!$AH814,lista_turnos,0),9)*10000000+IFERROR(MATCH('ORDENES'!$AG814,tblTecnicos[nombre],0),99)*100000+811,9000000000000+811)</f>
        <v/>
      </c>
      <c r="M818" s="5">
        <f>IF(K818=1,SUMPRODUCT(--($L$8:$L$1207&lt;L818))+1,"")</f>
        <v/>
      </c>
      <c r="N818" s="17">
        <f>IF(K818=1,N('ORDENES'!$M814),0)</f>
        <v/>
      </c>
      <c r="O818" s="17">
        <f>IF('ORDENES'!$U814="preventiva",N818,0)</f>
        <v/>
      </c>
      <c r="P818" s="17">
        <f>IF('ORDENES'!$U814="correctiva",N818,0)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22">
        <f>IF(K818=1,'ORDENES'!$J814,"")</f>
        <v/>
      </c>
    </row>
    <row r="819">
      <c r="K819" s="5">
        <f>IF(AND(IF($B$3="(todos)",TRUE,'ORDENES'!$O815=$B$3),IF($D$3="(todos)",TRUE,'ORDENES'!$AH815=$D$3),IF($F$3="(todos)",TRUE,'ORDENES'!$Z815=$F$3),IF($H$3="(todos)",TRUE,'ORDENES'!$Y815=$H$3),'ORDENES'!$AF815=TRUE,'ORDENES'!$A815&lt;&gt;""),1,0)</f>
        <v/>
      </c>
      <c r="L819" s="5">
        <f>IF(K819=1,IFERROR(MATCH('ORDENES'!$S815,lista_dias,0),9)*1000000000+IFERROR(MATCH('ORDENES'!$AH815,lista_turnos,0),9)*10000000+IFERROR(MATCH('ORDENES'!$AG815,tblTecnicos[nombre],0),99)*100000+812,9000000000000+812)</f>
        <v/>
      </c>
      <c r="M819" s="5">
        <f>IF(K819=1,SUMPRODUCT(--($L$8:$L$1207&lt;L819))+1,"")</f>
        <v/>
      </c>
      <c r="N819" s="17">
        <f>IF(K819=1,N('ORDENES'!$M815),0)</f>
        <v/>
      </c>
      <c r="O819" s="17">
        <f>IF('ORDENES'!$U815="preventiva",N819,0)</f>
        <v/>
      </c>
      <c r="P819" s="17">
        <f>IF('ORDENES'!$U815="correctiva",N819,0)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22">
        <f>IF(K819=1,'ORDENES'!$J815,"")</f>
        <v/>
      </c>
    </row>
    <row r="820">
      <c r="K820" s="5">
        <f>IF(AND(IF($B$3="(todos)",TRUE,'ORDENES'!$O816=$B$3),IF($D$3="(todos)",TRUE,'ORDENES'!$AH816=$D$3),IF($F$3="(todos)",TRUE,'ORDENES'!$Z816=$F$3),IF($H$3="(todos)",TRUE,'ORDENES'!$Y816=$H$3),'ORDENES'!$AF816=TRUE,'ORDENES'!$A816&lt;&gt;""),1,0)</f>
        <v/>
      </c>
      <c r="L820" s="5">
        <f>IF(K820=1,IFERROR(MATCH('ORDENES'!$S816,lista_dias,0),9)*1000000000+IFERROR(MATCH('ORDENES'!$AH816,lista_turnos,0),9)*10000000+IFERROR(MATCH('ORDENES'!$AG816,tblTecnicos[nombre],0),99)*100000+813,9000000000000+813)</f>
        <v/>
      </c>
      <c r="M820" s="5">
        <f>IF(K820=1,SUMPRODUCT(--($L$8:$L$1207&lt;L820))+1,"")</f>
        <v/>
      </c>
      <c r="N820" s="17">
        <f>IF(K820=1,N('ORDENES'!$M816),0)</f>
        <v/>
      </c>
      <c r="O820" s="17">
        <f>IF('ORDENES'!$U816="preventiva",N820,0)</f>
        <v/>
      </c>
      <c r="P820" s="17">
        <f>IF('ORDENES'!$U816="correctiva",N820,0)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22">
        <f>IF(K820=1,'ORDENES'!$J816,"")</f>
        <v/>
      </c>
    </row>
    <row r="821">
      <c r="K821" s="5">
        <f>IF(AND(IF($B$3="(todos)",TRUE,'ORDENES'!$O817=$B$3),IF($D$3="(todos)",TRUE,'ORDENES'!$AH817=$D$3),IF($F$3="(todos)",TRUE,'ORDENES'!$Z817=$F$3),IF($H$3="(todos)",TRUE,'ORDENES'!$Y817=$H$3),'ORDENES'!$AF817=TRUE,'ORDENES'!$A817&lt;&gt;""),1,0)</f>
        <v/>
      </c>
      <c r="L821" s="5">
        <f>IF(K821=1,IFERROR(MATCH('ORDENES'!$S817,lista_dias,0),9)*1000000000+IFERROR(MATCH('ORDENES'!$AH817,lista_turnos,0),9)*10000000+IFERROR(MATCH('ORDENES'!$AG817,tblTecnicos[nombre],0),99)*100000+814,9000000000000+814)</f>
        <v/>
      </c>
      <c r="M821" s="5">
        <f>IF(K821=1,SUMPRODUCT(--($L$8:$L$1207&lt;L821))+1,"")</f>
        <v/>
      </c>
      <c r="N821" s="17">
        <f>IF(K821=1,N('ORDENES'!$M817),0)</f>
        <v/>
      </c>
      <c r="O821" s="17">
        <f>IF('ORDENES'!$U817="preventiva",N821,0)</f>
        <v/>
      </c>
      <c r="P821" s="17">
        <f>IF('ORDENES'!$U817="correctiva",N821,0)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22">
        <f>IF(K821=1,'ORDENES'!$J817,"")</f>
        <v/>
      </c>
    </row>
    <row r="822">
      <c r="K822" s="5">
        <f>IF(AND(IF($B$3="(todos)",TRUE,'ORDENES'!$O818=$B$3),IF($D$3="(todos)",TRUE,'ORDENES'!$AH818=$D$3),IF($F$3="(todos)",TRUE,'ORDENES'!$Z818=$F$3),IF($H$3="(todos)",TRUE,'ORDENES'!$Y818=$H$3),'ORDENES'!$AF818=TRUE,'ORDENES'!$A818&lt;&gt;""),1,0)</f>
        <v/>
      </c>
      <c r="L822" s="5">
        <f>IF(K822=1,IFERROR(MATCH('ORDENES'!$S818,lista_dias,0),9)*1000000000+IFERROR(MATCH('ORDENES'!$AH818,lista_turnos,0),9)*10000000+IFERROR(MATCH('ORDENES'!$AG818,tblTecnicos[nombre],0),99)*100000+815,9000000000000+815)</f>
        <v/>
      </c>
      <c r="M822" s="5">
        <f>IF(K822=1,SUMPRODUCT(--($L$8:$L$1207&lt;L822))+1,"")</f>
        <v/>
      </c>
      <c r="N822" s="17">
        <f>IF(K822=1,N('ORDENES'!$M818),0)</f>
        <v/>
      </c>
      <c r="O822" s="17">
        <f>IF('ORDENES'!$U818="preventiva",N822,0)</f>
        <v/>
      </c>
      <c r="P822" s="17">
        <f>IF('ORDENES'!$U818="correctiva",N822,0)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22">
        <f>IF(K822=1,'ORDENES'!$J818,"")</f>
        <v/>
      </c>
    </row>
    <row r="823">
      <c r="K823" s="5">
        <f>IF(AND(IF($B$3="(todos)",TRUE,'ORDENES'!$O819=$B$3),IF($D$3="(todos)",TRUE,'ORDENES'!$AH819=$D$3),IF($F$3="(todos)",TRUE,'ORDENES'!$Z819=$F$3),IF($H$3="(todos)",TRUE,'ORDENES'!$Y819=$H$3),'ORDENES'!$AF819=TRUE,'ORDENES'!$A819&lt;&gt;""),1,0)</f>
        <v/>
      </c>
      <c r="L823" s="5">
        <f>IF(K823=1,IFERROR(MATCH('ORDENES'!$S819,lista_dias,0),9)*1000000000+IFERROR(MATCH('ORDENES'!$AH819,lista_turnos,0),9)*10000000+IFERROR(MATCH('ORDENES'!$AG819,tblTecnicos[nombre],0),99)*100000+816,9000000000000+816)</f>
        <v/>
      </c>
      <c r="M823" s="5">
        <f>IF(K823=1,SUMPRODUCT(--($L$8:$L$1207&lt;L823))+1,"")</f>
        <v/>
      </c>
      <c r="N823" s="17">
        <f>IF(K823=1,N('ORDENES'!$M819),0)</f>
        <v/>
      </c>
      <c r="O823" s="17">
        <f>IF('ORDENES'!$U819="preventiva",N823,0)</f>
        <v/>
      </c>
      <c r="P823" s="17">
        <f>IF('ORDENES'!$U819="correctiva",N823,0)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22">
        <f>IF(K823=1,'ORDENES'!$J819,"")</f>
        <v/>
      </c>
    </row>
    <row r="824">
      <c r="K824" s="5">
        <f>IF(AND(IF($B$3="(todos)",TRUE,'ORDENES'!$O820=$B$3),IF($D$3="(todos)",TRUE,'ORDENES'!$AH820=$D$3),IF($F$3="(todos)",TRUE,'ORDENES'!$Z820=$F$3),IF($H$3="(todos)",TRUE,'ORDENES'!$Y820=$H$3),'ORDENES'!$AF820=TRUE,'ORDENES'!$A820&lt;&gt;""),1,0)</f>
        <v/>
      </c>
      <c r="L824" s="5">
        <f>IF(K824=1,IFERROR(MATCH('ORDENES'!$S820,lista_dias,0),9)*1000000000+IFERROR(MATCH('ORDENES'!$AH820,lista_turnos,0),9)*10000000+IFERROR(MATCH('ORDENES'!$AG820,tblTecnicos[nombre],0),99)*100000+817,9000000000000+817)</f>
        <v/>
      </c>
      <c r="M824" s="5">
        <f>IF(K824=1,SUMPRODUCT(--($L$8:$L$1207&lt;L824))+1,"")</f>
        <v/>
      </c>
      <c r="N824" s="17">
        <f>IF(K824=1,N('ORDENES'!$M820),0)</f>
        <v/>
      </c>
      <c r="O824" s="17">
        <f>IF('ORDENES'!$U820="preventiva",N824,0)</f>
        <v/>
      </c>
      <c r="P824" s="17">
        <f>IF('ORDENES'!$U820="correctiva",N824,0)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22">
        <f>IF(K824=1,'ORDENES'!$J820,"")</f>
        <v/>
      </c>
    </row>
    <row r="825">
      <c r="K825" s="5">
        <f>IF(AND(IF($B$3="(todos)",TRUE,'ORDENES'!$O821=$B$3),IF($D$3="(todos)",TRUE,'ORDENES'!$AH821=$D$3),IF($F$3="(todos)",TRUE,'ORDENES'!$Z821=$F$3),IF($H$3="(todos)",TRUE,'ORDENES'!$Y821=$H$3),'ORDENES'!$AF821=TRUE,'ORDENES'!$A821&lt;&gt;""),1,0)</f>
        <v/>
      </c>
      <c r="L825" s="5">
        <f>IF(K825=1,IFERROR(MATCH('ORDENES'!$S821,lista_dias,0),9)*1000000000+IFERROR(MATCH('ORDENES'!$AH821,lista_turnos,0),9)*10000000+IFERROR(MATCH('ORDENES'!$AG821,tblTecnicos[nombre],0),99)*100000+818,9000000000000+818)</f>
        <v/>
      </c>
      <c r="M825" s="5">
        <f>IF(K825=1,SUMPRODUCT(--($L$8:$L$1207&lt;L825))+1,"")</f>
        <v/>
      </c>
      <c r="N825" s="17">
        <f>IF(K825=1,N('ORDENES'!$M821),0)</f>
        <v/>
      </c>
      <c r="O825" s="17">
        <f>IF('ORDENES'!$U821="preventiva",N825,0)</f>
        <v/>
      </c>
      <c r="P825" s="17">
        <f>IF('ORDENES'!$U821="correctiva",N825,0)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22">
        <f>IF(K825=1,'ORDENES'!$J821,"")</f>
        <v/>
      </c>
    </row>
    <row r="826">
      <c r="K826" s="5">
        <f>IF(AND(IF($B$3="(todos)",TRUE,'ORDENES'!$O822=$B$3),IF($D$3="(todos)",TRUE,'ORDENES'!$AH822=$D$3),IF($F$3="(todos)",TRUE,'ORDENES'!$Z822=$F$3),IF($H$3="(todos)",TRUE,'ORDENES'!$Y822=$H$3),'ORDENES'!$AF822=TRUE,'ORDENES'!$A822&lt;&gt;""),1,0)</f>
        <v/>
      </c>
      <c r="L826" s="5">
        <f>IF(K826=1,IFERROR(MATCH('ORDENES'!$S822,lista_dias,0),9)*1000000000+IFERROR(MATCH('ORDENES'!$AH822,lista_turnos,0),9)*10000000+IFERROR(MATCH('ORDENES'!$AG822,tblTecnicos[nombre],0),99)*100000+819,9000000000000+819)</f>
        <v/>
      </c>
      <c r="M826" s="5">
        <f>IF(K826=1,SUMPRODUCT(--($L$8:$L$1207&lt;L826))+1,"")</f>
        <v/>
      </c>
      <c r="N826" s="17">
        <f>IF(K826=1,N('ORDENES'!$M822),0)</f>
        <v/>
      </c>
      <c r="O826" s="17">
        <f>IF('ORDENES'!$U822="preventiva",N826,0)</f>
        <v/>
      </c>
      <c r="P826" s="17">
        <f>IF('ORDENES'!$U822="correctiva",N826,0)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22">
        <f>IF(K826=1,'ORDENES'!$J822,"")</f>
        <v/>
      </c>
    </row>
    <row r="827">
      <c r="K827" s="5">
        <f>IF(AND(IF($B$3="(todos)",TRUE,'ORDENES'!$O823=$B$3),IF($D$3="(todos)",TRUE,'ORDENES'!$AH823=$D$3),IF($F$3="(todos)",TRUE,'ORDENES'!$Z823=$F$3),IF($H$3="(todos)",TRUE,'ORDENES'!$Y823=$H$3),'ORDENES'!$AF823=TRUE,'ORDENES'!$A823&lt;&gt;""),1,0)</f>
        <v/>
      </c>
      <c r="L827" s="5">
        <f>IF(K827=1,IFERROR(MATCH('ORDENES'!$S823,lista_dias,0),9)*1000000000+IFERROR(MATCH('ORDENES'!$AH823,lista_turnos,0),9)*10000000+IFERROR(MATCH('ORDENES'!$AG823,tblTecnicos[nombre],0),99)*100000+820,9000000000000+820)</f>
        <v/>
      </c>
      <c r="M827" s="5">
        <f>IF(K827=1,SUMPRODUCT(--($L$8:$L$1207&lt;L827))+1,"")</f>
        <v/>
      </c>
      <c r="N827" s="17">
        <f>IF(K827=1,N('ORDENES'!$M823),0)</f>
        <v/>
      </c>
      <c r="O827" s="17">
        <f>IF('ORDENES'!$U823="preventiva",N827,0)</f>
        <v/>
      </c>
      <c r="P827" s="17">
        <f>IF('ORDENES'!$U823="correctiva",N827,0)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22">
        <f>IF(K827=1,'ORDENES'!$J823,"")</f>
        <v/>
      </c>
    </row>
    <row r="828">
      <c r="K828" s="5">
        <f>IF(AND(IF($B$3="(todos)",TRUE,'ORDENES'!$O824=$B$3),IF($D$3="(todos)",TRUE,'ORDENES'!$AH824=$D$3),IF($F$3="(todos)",TRUE,'ORDENES'!$Z824=$F$3),IF($H$3="(todos)",TRUE,'ORDENES'!$Y824=$H$3),'ORDENES'!$AF824=TRUE,'ORDENES'!$A824&lt;&gt;""),1,0)</f>
        <v/>
      </c>
      <c r="L828" s="5">
        <f>IF(K828=1,IFERROR(MATCH('ORDENES'!$S824,lista_dias,0),9)*1000000000+IFERROR(MATCH('ORDENES'!$AH824,lista_turnos,0),9)*10000000+IFERROR(MATCH('ORDENES'!$AG824,tblTecnicos[nombre],0),99)*100000+821,9000000000000+821)</f>
        <v/>
      </c>
      <c r="M828" s="5">
        <f>IF(K828=1,SUMPRODUCT(--($L$8:$L$1207&lt;L828))+1,"")</f>
        <v/>
      </c>
      <c r="N828" s="17">
        <f>IF(K828=1,N('ORDENES'!$M824),0)</f>
        <v/>
      </c>
      <c r="O828" s="17">
        <f>IF('ORDENES'!$U824="preventiva",N828,0)</f>
        <v/>
      </c>
      <c r="P828" s="17">
        <f>IF('ORDENES'!$U824="correctiva",N828,0)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22">
        <f>IF(K828=1,'ORDENES'!$J824,"")</f>
        <v/>
      </c>
    </row>
    <row r="829">
      <c r="K829" s="5">
        <f>IF(AND(IF($B$3="(todos)",TRUE,'ORDENES'!$O825=$B$3),IF($D$3="(todos)",TRUE,'ORDENES'!$AH825=$D$3),IF($F$3="(todos)",TRUE,'ORDENES'!$Z825=$F$3),IF($H$3="(todos)",TRUE,'ORDENES'!$Y825=$H$3),'ORDENES'!$AF825=TRUE,'ORDENES'!$A825&lt;&gt;""),1,0)</f>
        <v/>
      </c>
      <c r="L829" s="5">
        <f>IF(K829=1,IFERROR(MATCH('ORDENES'!$S825,lista_dias,0),9)*1000000000+IFERROR(MATCH('ORDENES'!$AH825,lista_turnos,0),9)*10000000+IFERROR(MATCH('ORDENES'!$AG825,tblTecnicos[nombre],0),99)*100000+822,9000000000000+822)</f>
        <v/>
      </c>
      <c r="M829" s="5">
        <f>IF(K829=1,SUMPRODUCT(--($L$8:$L$1207&lt;L829))+1,"")</f>
        <v/>
      </c>
      <c r="N829" s="17">
        <f>IF(K829=1,N('ORDENES'!$M825),0)</f>
        <v/>
      </c>
      <c r="O829" s="17">
        <f>IF('ORDENES'!$U825="preventiva",N829,0)</f>
        <v/>
      </c>
      <c r="P829" s="17">
        <f>IF('ORDENES'!$U825="correctiva",N829,0)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22">
        <f>IF(K829=1,'ORDENES'!$J825,"")</f>
        <v/>
      </c>
    </row>
    <row r="830">
      <c r="K830" s="5">
        <f>IF(AND(IF($B$3="(todos)",TRUE,'ORDENES'!$O826=$B$3),IF($D$3="(todos)",TRUE,'ORDENES'!$AH826=$D$3),IF($F$3="(todos)",TRUE,'ORDENES'!$Z826=$F$3),IF($H$3="(todos)",TRUE,'ORDENES'!$Y826=$H$3),'ORDENES'!$AF826=TRUE,'ORDENES'!$A826&lt;&gt;""),1,0)</f>
        <v/>
      </c>
      <c r="L830" s="5">
        <f>IF(K830=1,IFERROR(MATCH('ORDENES'!$S826,lista_dias,0),9)*1000000000+IFERROR(MATCH('ORDENES'!$AH826,lista_turnos,0),9)*10000000+IFERROR(MATCH('ORDENES'!$AG826,tblTecnicos[nombre],0),99)*100000+823,9000000000000+823)</f>
        <v/>
      </c>
      <c r="M830" s="5">
        <f>IF(K830=1,SUMPRODUCT(--($L$8:$L$1207&lt;L830))+1,"")</f>
        <v/>
      </c>
      <c r="N830" s="17">
        <f>IF(K830=1,N('ORDENES'!$M826),0)</f>
        <v/>
      </c>
      <c r="O830" s="17">
        <f>IF('ORDENES'!$U826="preventiva",N830,0)</f>
        <v/>
      </c>
      <c r="P830" s="17">
        <f>IF('ORDENES'!$U826="correctiva",N830,0)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22">
        <f>IF(K830=1,'ORDENES'!$J826,"")</f>
        <v/>
      </c>
    </row>
    <row r="831">
      <c r="K831" s="5">
        <f>IF(AND(IF($B$3="(todos)",TRUE,'ORDENES'!$O827=$B$3),IF($D$3="(todos)",TRUE,'ORDENES'!$AH827=$D$3),IF($F$3="(todos)",TRUE,'ORDENES'!$Z827=$F$3),IF($H$3="(todos)",TRUE,'ORDENES'!$Y827=$H$3),'ORDENES'!$AF827=TRUE,'ORDENES'!$A827&lt;&gt;""),1,0)</f>
        <v/>
      </c>
      <c r="L831" s="5">
        <f>IF(K831=1,IFERROR(MATCH('ORDENES'!$S827,lista_dias,0),9)*1000000000+IFERROR(MATCH('ORDENES'!$AH827,lista_turnos,0),9)*10000000+IFERROR(MATCH('ORDENES'!$AG827,tblTecnicos[nombre],0),99)*100000+824,9000000000000+824)</f>
        <v/>
      </c>
      <c r="M831" s="5">
        <f>IF(K831=1,SUMPRODUCT(--($L$8:$L$1207&lt;L831))+1,"")</f>
        <v/>
      </c>
      <c r="N831" s="17">
        <f>IF(K831=1,N('ORDENES'!$M827),0)</f>
        <v/>
      </c>
      <c r="O831" s="17">
        <f>IF('ORDENES'!$U827="preventiva",N831,0)</f>
        <v/>
      </c>
      <c r="P831" s="17">
        <f>IF('ORDENES'!$U827="correctiva",N831,0)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22">
        <f>IF(K831=1,'ORDENES'!$J827,"")</f>
        <v/>
      </c>
    </row>
    <row r="832">
      <c r="K832" s="5">
        <f>IF(AND(IF($B$3="(todos)",TRUE,'ORDENES'!$O828=$B$3),IF($D$3="(todos)",TRUE,'ORDENES'!$AH828=$D$3),IF($F$3="(todos)",TRUE,'ORDENES'!$Z828=$F$3),IF($H$3="(todos)",TRUE,'ORDENES'!$Y828=$H$3),'ORDENES'!$AF828=TRUE,'ORDENES'!$A828&lt;&gt;""),1,0)</f>
        <v/>
      </c>
      <c r="L832" s="5">
        <f>IF(K832=1,IFERROR(MATCH('ORDENES'!$S828,lista_dias,0),9)*1000000000+IFERROR(MATCH('ORDENES'!$AH828,lista_turnos,0),9)*10000000+IFERROR(MATCH('ORDENES'!$AG828,tblTecnicos[nombre],0),99)*100000+825,9000000000000+825)</f>
        <v/>
      </c>
      <c r="M832" s="5">
        <f>IF(K832=1,SUMPRODUCT(--($L$8:$L$1207&lt;L832))+1,"")</f>
        <v/>
      </c>
      <c r="N832" s="17">
        <f>IF(K832=1,N('ORDENES'!$M828),0)</f>
        <v/>
      </c>
      <c r="O832" s="17">
        <f>IF('ORDENES'!$U828="preventiva",N832,0)</f>
        <v/>
      </c>
      <c r="P832" s="17">
        <f>IF('ORDENES'!$U828="correctiva",N832,0)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22">
        <f>IF(K832=1,'ORDENES'!$J828,"")</f>
        <v/>
      </c>
    </row>
    <row r="833">
      <c r="K833" s="5">
        <f>IF(AND(IF($B$3="(todos)",TRUE,'ORDENES'!$O829=$B$3),IF($D$3="(todos)",TRUE,'ORDENES'!$AH829=$D$3),IF($F$3="(todos)",TRUE,'ORDENES'!$Z829=$F$3),IF($H$3="(todos)",TRUE,'ORDENES'!$Y829=$H$3),'ORDENES'!$AF829=TRUE,'ORDENES'!$A829&lt;&gt;""),1,0)</f>
        <v/>
      </c>
      <c r="L833" s="5">
        <f>IF(K833=1,IFERROR(MATCH('ORDENES'!$S829,lista_dias,0),9)*1000000000+IFERROR(MATCH('ORDENES'!$AH829,lista_turnos,0),9)*10000000+IFERROR(MATCH('ORDENES'!$AG829,tblTecnicos[nombre],0),99)*100000+826,9000000000000+826)</f>
        <v/>
      </c>
      <c r="M833" s="5">
        <f>IF(K833=1,SUMPRODUCT(--($L$8:$L$1207&lt;L833))+1,"")</f>
        <v/>
      </c>
      <c r="N833" s="17">
        <f>IF(K833=1,N('ORDENES'!$M829),0)</f>
        <v/>
      </c>
      <c r="O833" s="17">
        <f>IF('ORDENES'!$U829="preventiva",N833,0)</f>
        <v/>
      </c>
      <c r="P833" s="17">
        <f>IF('ORDENES'!$U829="correctiva",N833,0)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22">
        <f>IF(K833=1,'ORDENES'!$J829,"")</f>
        <v/>
      </c>
    </row>
    <row r="834">
      <c r="K834" s="5">
        <f>IF(AND(IF($B$3="(todos)",TRUE,'ORDENES'!$O830=$B$3),IF($D$3="(todos)",TRUE,'ORDENES'!$AH830=$D$3),IF($F$3="(todos)",TRUE,'ORDENES'!$Z830=$F$3),IF($H$3="(todos)",TRUE,'ORDENES'!$Y830=$H$3),'ORDENES'!$AF830=TRUE,'ORDENES'!$A830&lt;&gt;""),1,0)</f>
        <v/>
      </c>
      <c r="L834" s="5">
        <f>IF(K834=1,IFERROR(MATCH('ORDENES'!$S830,lista_dias,0),9)*1000000000+IFERROR(MATCH('ORDENES'!$AH830,lista_turnos,0),9)*10000000+IFERROR(MATCH('ORDENES'!$AG830,tblTecnicos[nombre],0),99)*100000+827,9000000000000+827)</f>
        <v/>
      </c>
      <c r="M834" s="5">
        <f>IF(K834=1,SUMPRODUCT(--($L$8:$L$1207&lt;L834))+1,"")</f>
        <v/>
      </c>
      <c r="N834" s="17">
        <f>IF(K834=1,N('ORDENES'!$M830),0)</f>
        <v/>
      </c>
      <c r="O834" s="17">
        <f>IF('ORDENES'!$U830="preventiva",N834,0)</f>
        <v/>
      </c>
      <c r="P834" s="17">
        <f>IF('ORDENES'!$U830="correctiva",N834,0)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22">
        <f>IF(K834=1,'ORDENES'!$J830,"")</f>
        <v/>
      </c>
    </row>
    <row r="835">
      <c r="K835" s="5">
        <f>IF(AND(IF($B$3="(todos)",TRUE,'ORDENES'!$O831=$B$3),IF($D$3="(todos)",TRUE,'ORDENES'!$AH831=$D$3),IF($F$3="(todos)",TRUE,'ORDENES'!$Z831=$F$3),IF($H$3="(todos)",TRUE,'ORDENES'!$Y831=$H$3),'ORDENES'!$AF831=TRUE,'ORDENES'!$A831&lt;&gt;""),1,0)</f>
        <v/>
      </c>
      <c r="L835" s="5">
        <f>IF(K835=1,IFERROR(MATCH('ORDENES'!$S831,lista_dias,0),9)*1000000000+IFERROR(MATCH('ORDENES'!$AH831,lista_turnos,0),9)*10000000+IFERROR(MATCH('ORDENES'!$AG831,tblTecnicos[nombre],0),99)*100000+828,9000000000000+828)</f>
        <v/>
      </c>
      <c r="M835" s="5">
        <f>IF(K835=1,SUMPRODUCT(--($L$8:$L$1207&lt;L835))+1,"")</f>
        <v/>
      </c>
      <c r="N835" s="17">
        <f>IF(K835=1,N('ORDENES'!$M831),0)</f>
        <v/>
      </c>
      <c r="O835" s="17">
        <f>IF('ORDENES'!$U831="preventiva",N835,0)</f>
        <v/>
      </c>
      <c r="P835" s="17">
        <f>IF('ORDENES'!$U831="correctiva",N835,0)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22">
        <f>IF(K835=1,'ORDENES'!$J831,"")</f>
        <v/>
      </c>
    </row>
    <row r="836">
      <c r="K836" s="5">
        <f>IF(AND(IF($B$3="(todos)",TRUE,'ORDENES'!$O832=$B$3),IF($D$3="(todos)",TRUE,'ORDENES'!$AH832=$D$3),IF($F$3="(todos)",TRUE,'ORDENES'!$Z832=$F$3),IF($H$3="(todos)",TRUE,'ORDENES'!$Y832=$H$3),'ORDENES'!$AF832=TRUE,'ORDENES'!$A832&lt;&gt;""),1,0)</f>
        <v/>
      </c>
      <c r="L836" s="5">
        <f>IF(K836=1,IFERROR(MATCH('ORDENES'!$S832,lista_dias,0),9)*1000000000+IFERROR(MATCH('ORDENES'!$AH832,lista_turnos,0),9)*10000000+IFERROR(MATCH('ORDENES'!$AG832,tblTecnicos[nombre],0),99)*100000+829,9000000000000+829)</f>
        <v/>
      </c>
      <c r="M836" s="5">
        <f>IF(K836=1,SUMPRODUCT(--($L$8:$L$1207&lt;L836))+1,"")</f>
        <v/>
      </c>
      <c r="N836" s="17">
        <f>IF(K836=1,N('ORDENES'!$M832),0)</f>
        <v/>
      </c>
      <c r="O836" s="17">
        <f>IF('ORDENES'!$U832="preventiva",N836,0)</f>
        <v/>
      </c>
      <c r="P836" s="17">
        <f>IF('ORDENES'!$U832="correctiva",N836,0)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22">
        <f>IF(K836=1,'ORDENES'!$J832,"")</f>
        <v/>
      </c>
    </row>
    <row r="837">
      <c r="K837" s="5">
        <f>IF(AND(IF($B$3="(todos)",TRUE,'ORDENES'!$O833=$B$3),IF($D$3="(todos)",TRUE,'ORDENES'!$AH833=$D$3),IF($F$3="(todos)",TRUE,'ORDENES'!$Z833=$F$3),IF($H$3="(todos)",TRUE,'ORDENES'!$Y833=$H$3),'ORDENES'!$AF833=TRUE,'ORDENES'!$A833&lt;&gt;""),1,0)</f>
        <v/>
      </c>
      <c r="L837" s="5">
        <f>IF(K837=1,IFERROR(MATCH('ORDENES'!$S833,lista_dias,0),9)*1000000000+IFERROR(MATCH('ORDENES'!$AH833,lista_turnos,0),9)*10000000+IFERROR(MATCH('ORDENES'!$AG833,tblTecnicos[nombre],0),99)*100000+830,9000000000000+830)</f>
        <v/>
      </c>
      <c r="M837" s="5">
        <f>IF(K837=1,SUMPRODUCT(--($L$8:$L$1207&lt;L837))+1,"")</f>
        <v/>
      </c>
      <c r="N837" s="17">
        <f>IF(K837=1,N('ORDENES'!$M833),0)</f>
        <v/>
      </c>
      <c r="O837" s="17">
        <f>IF('ORDENES'!$U833="preventiva",N837,0)</f>
        <v/>
      </c>
      <c r="P837" s="17">
        <f>IF('ORDENES'!$U833="correctiva",N837,0)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22">
        <f>IF(K837=1,'ORDENES'!$J833,"")</f>
        <v/>
      </c>
    </row>
    <row r="838">
      <c r="K838" s="5">
        <f>IF(AND(IF($B$3="(todos)",TRUE,'ORDENES'!$O834=$B$3),IF($D$3="(todos)",TRUE,'ORDENES'!$AH834=$D$3),IF($F$3="(todos)",TRUE,'ORDENES'!$Z834=$F$3),IF($H$3="(todos)",TRUE,'ORDENES'!$Y834=$H$3),'ORDENES'!$AF834=TRUE,'ORDENES'!$A834&lt;&gt;""),1,0)</f>
        <v/>
      </c>
      <c r="L838" s="5">
        <f>IF(K838=1,IFERROR(MATCH('ORDENES'!$S834,lista_dias,0),9)*1000000000+IFERROR(MATCH('ORDENES'!$AH834,lista_turnos,0),9)*10000000+IFERROR(MATCH('ORDENES'!$AG834,tblTecnicos[nombre],0),99)*100000+831,9000000000000+831)</f>
        <v/>
      </c>
      <c r="M838" s="5">
        <f>IF(K838=1,SUMPRODUCT(--($L$8:$L$1207&lt;L838))+1,"")</f>
        <v/>
      </c>
      <c r="N838" s="17">
        <f>IF(K838=1,N('ORDENES'!$M834),0)</f>
        <v/>
      </c>
      <c r="O838" s="17">
        <f>IF('ORDENES'!$U834="preventiva",N838,0)</f>
        <v/>
      </c>
      <c r="P838" s="17">
        <f>IF('ORDENES'!$U834="correctiva",N838,0)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22">
        <f>IF(K838=1,'ORDENES'!$J834,"")</f>
        <v/>
      </c>
    </row>
    <row r="839">
      <c r="K839" s="5">
        <f>IF(AND(IF($B$3="(todos)",TRUE,'ORDENES'!$O835=$B$3),IF($D$3="(todos)",TRUE,'ORDENES'!$AH835=$D$3),IF($F$3="(todos)",TRUE,'ORDENES'!$Z835=$F$3),IF($H$3="(todos)",TRUE,'ORDENES'!$Y835=$H$3),'ORDENES'!$AF835=TRUE,'ORDENES'!$A835&lt;&gt;""),1,0)</f>
        <v/>
      </c>
      <c r="L839" s="5">
        <f>IF(K839=1,IFERROR(MATCH('ORDENES'!$S835,lista_dias,0),9)*1000000000+IFERROR(MATCH('ORDENES'!$AH835,lista_turnos,0),9)*10000000+IFERROR(MATCH('ORDENES'!$AG835,tblTecnicos[nombre],0),99)*100000+832,9000000000000+832)</f>
        <v/>
      </c>
      <c r="M839" s="5">
        <f>IF(K839=1,SUMPRODUCT(--($L$8:$L$1207&lt;L839))+1,"")</f>
        <v/>
      </c>
      <c r="N839" s="17">
        <f>IF(K839=1,N('ORDENES'!$M835),0)</f>
        <v/>
      </c>
      <c r="O839" s="17">
        <f>IF('ORDENES'!$U835="preventiva",N839,0)</f>
        <v/>
      </c>
      <c r="P839" s="17">
        <f>IF('ORDENES'!$U835="correctiva",N839,0)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22">
        <f>IF(K839=1,'ORDENES'!$J835,"")</f>
        <v/>
      </c>
    </row>
    <row r="840">
      <c r="K840" s="5">
        <f>IF(AND(IF($B$3="(todos)",TRUE,'ORDENES'!$O836=$B$3),IF($D$3="(todos)",TRUE,'ORDENES'!$AH836=$D$3),IF($F$3="(todos)",TRUE,'ORDENES'!$Z836=$F$3),IF($H$3="(todos)",TRUE,'ORDENES'!$Y836=$H$3),'ORDENES'!$AF836=TRUE,'ORDENES'!$A836&lt;&gt;""),1,0)</f>
        <v/>
      </c>
      <c r="L840" s="5">
        <f>IF(K840=1,IFERROR(MATCH('ORDENES'!$S836,lista_dias,0),9)*1000000000+IFERROR(MATCH('ORDENES'!$AH836,lista_turnos,0),9)*10000000+IFERROR(MATCH('ORDENES'!$AG836,tblTecnicos[nombre],0),99)*100000+833,9000000000000+833)</f>
        <v/>
      </c>
      <c r="M840" s="5">
        <f>IF(K840=1,SUMPRODUCT(--($L$8:$L$1207&lt;L840))+1,"")</f>
        <v/>
      </c>
      <c r="N840" s="17">
        <f>IF(K840=1,N('ORDENES'!$M836),0)</f>
        <v/>
      </c>
      <c r="O840" s="17">
        <f>IF('ORDENES'!$U836="preventiva",N840,0)</f>
        <v/>
      </c>
      <c r="P840" s="17">
        <f>IF('ORDENES'!$U836="correctiva",N840,0)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22">
        <f>IF(K840=1,'ORDENES'!$J836,"")</f>
        <v/>
      </c>
    </row>
    <row r="841">
      <c r="K841" s="5">
        <f>IF(AND(IF($B$3="(todos)",TRUE,'ORDENES'!$O837=$B$3),IF($D$3="(todos)",TRUE,'ORDENES'!$AH837=$D$3),IF($F$3="(todos)",TRUE,'ORDENES'!$Z837=$F$3),IF($H$3="(todos)",TRUE,'ORDENES'!$Y837=$H$3),'ORDENES'!$AF837=TRUE,'ORDENES'!$A837&lt;&gt;""),1,0)</f>
        <v/>
      </c>
      <c r="L841" s="5">
        <f>IF(K841=1,IFERROR(MATCH('ORDENES'!$S837,lista_dias,0),9)*1000000000+IFERROR(MATCH('ORDENES'!$AH837,lista_turnos,0),9)*10000000+IFERROR(MATCH('ORDENES'!$AG837,tblTecnicos[nombre],0),99)*100000+834,9000000000000+834)</f>
        <v/>
      </c>
      <c r="M841" s="5">
        <f>IF(K841=1,SUMPRODUCT(--($L$8:$L$1207&lt;L841))+1,"")</f>
        <v/>
      </c>
      <c r="N841" s="17">
        <f>IF(K841=1,N('ORDENES'!$M837),0)</f>
        <v/>
      </c>
      <c r="O841" s="17">
        <f>IF('ORDENES'!$U837="preventiva",N841,0)</f>
        <v/>
      </c>
      <c r="P841" s="17">
        <f>IF('ORDENES'!$U837="correctiva",N841,0)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22">
        <f>IF(K841=1,'ORDENES'!$J837,"")</f>
        <v/>
      </c>
    </row>
    <row r="842">
      <c r="K842" s="5">
        <f>IF(AND(IF($B$3="(todos)",TRUE,'ORDENES'!$O838=$B$3),IF($D$3="(todos)",TRUE,'ORDENES'!$AH838=$D$3),IF($F$3="(todos)",TRUE,'ORDENES'!$Z838=$F$3),IF($H$3="(todos)",TRUE,'ORDENES'!$Y838=$H$3),'ORDENES'!$AF838=TRUE,'ORDENES'!$A838&lt;&gt;""),1,0)</f>
        <v/>
      </c>
      <c r="L842" s="5">
        <f>IF(K842=1,IFERROR(MATCH('ORDENES'!$S838,lista_dias,0),9)*1000000000+IFERROR(MATCH('ORDENES'!$AH838,lista_turnos,0),9)*10000000+IFERROR(MATCH('ORDENES'!$AG838,tblTecnicos[nombre],0),99)*100000+835,9000000000000+835)</f>
        <v/>
      </c>
      <c r="M842" s="5">
        <f>IF(K842=1,SUMPRODUCT(--($L$8:$L$1207&lt;L842))+1,"")</f>
        <v/>
      </c>
      <c r="N842" s="17">
        <f>IF(K842=1,N('ORDENES'!$M838),0)</f>
        <v/>
      </c>
      <c r="O842" s="17">
        <f>IF('ORDENES'!$U838="preventiva",N842,0)</f>
        <v/>
      </c>
      <c r="P842" s="17">
        <f>IF('ORDENES'!$U838="correctiva",N842,0)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22">
        <f>IF(K842=1,'ORDENES'!$J838,"")</f>
        <v/>
      </c>
    </row>
    <row r="843">
      <c r="K843" s="5">
        <f>IF(AND(IF($B$3="(todos)",TRUE,'ORDENES'!$O839=$B$3),IF($D$3="(todos)",TRUE,'ORDENES'!$AH839=$D$3),IF($F$3="(todos)",TRUE,'ORDENES'!$Z839=$F$3),IF($H$3="(todos)",TRUE,'ORDENES'!$Y839=$H$3),'ORDENES'!$AF839=TRUE,'ORDENES'!$A839&lt;&gt;""),1,0)</f>
        <v/>
      </c>
      <c r="L843" s="5">
        <f>IF(K843=1,IFERROR(MATCH('ORDENES'!$S839,lista_dias,0),9)*1000000000+IFERROR(MATCH('ORDENES'!$AH839,lista_turnos,0),9)*10000000+IFERROR(MATCH('ORDENES'!$AG839,tblTecnicos[nombre],0),99)*100000+836,9000000000000+836)</f>
        <v/>
      </c>
      <c r="M843" s="5">
        <f>IF(K843=1,SUMPRODUCT(--($L$8:$L$1207&lt;L843))+1,"")</f>
        <v/>
      </c>
      <c r="N843" s="17">
        <f>IF(K843=1,N('ORDENES'!$M839),0)</f>
        <v/>
      </c>
      <c r="O843" s="17">
        <f>IF('ORDENES'!$U839="preventiva",N843,0)</f>
        <v/>
      </c>
      <c r="P843" s="17">
        <f>IF('ORDENES'!$U839="correctiva",N843,0)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22">
        <f>IF(K843=1,'ORDENES'!$J839,"")</f>
        <v/>
      </c>
    </row>
    <row r="844">
      <c r="K844" s="5">
        <f>IF(AND(IF($B$3="(todos)",TRUE,'ORDENES'!$O840=$B$3),IF($D$3="(todos)",TRUE,'ORDENES'!$AH840=$D$3),IF($F$3="(todos)",TRUE,'ORDENES'!$Z840=$F$3),IF($H$3="(todos)",TRUE,'ORDENES'!$Y840=$H$3),'ORDENES'!$AF840=TRUE,'ORDENES'!$A840&lt;&gt;""),1,0)</f>
        <v/>
      </c>
      <c r="L844" s="5">
        <f>IF(K844=1,IFERROR(MATCH('ORDENES'!$S840,lista_dias,0),9)*1000000000+IFERROR(MATCH('ORDENES'!$AH840,lista_turnos,0),9)*10000000+IFERROR(MATCH('ORDENES'!$AG840,tblTecnicos[nombre],0),99)*100000+837,9000000000000+837)</f>
        <v/>
      </c>
      <c r="M844" s="5">
        <f>IF(K844=1,SUMPRODUCT(--($L$8:$L$1207&lt;L844))+1,"")</f>
        <v/>
      </c>
      <c r="N844" s="17">
        <f>IF(K844=1,N('ORDENES'!$M840),0)</f>
        <v/>
      </c>
      <c r="O844" s="17">
        <f>IF('ORDENES'!$U840="preventiva",N844,0)</f>
        <v/>
      </c>
      <c r="P844" s="17">
        <f>IF('ORDENES'!$U840="correctiva",N844,0)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22">
        <f>IF(K844=1,'ORDENES'!$J840,"")</f>
        <v/>
      </c>
    </row>
    <row r="845">
      <c r="K845" s="5">
        <f>IF(AND(IF($B$3="(todos)",TRUE,'ORDENES'!$O841=$B$3),IF($D$3="(todos)",TRUE,'ORDENES'!$AH841=$D$3),IF($F$3="(todos)",TRUE,'ORDENES'!$Z841=$F$3),IF($H$3="(todos)",TRUE,'ORDENES'!$Y841=$H$3),'ORDENES'!$AF841=TRUE,'ORDENES'!$A841&lt;&gt;""),1,0)</f>
        <v/>
      </c>
      <c r="L845" s="5">
        <f>IF(K845=1,IFERROR(MATCH('ORDENES'!$S841,lista_dias,0),9)*1000000000+IFERROR(MATCH('ORDENES'!$AH841,lista_turnos,0),9)*10000000+IFERROR(MATCH('ORDENES'!$AG841,tblTecnicos[nombre],0),99)*100000+838,9000000000000+838)</f>
        <v/>
      </c>
      <c r="M845" s="5">
        <f>IF(K845=1,SUMPRODUCT(--($L$8:$L$1207&lt;L845))+1,"")</f>
        <v/>
      </c>
      <c r="N845" s="17">
        <f>IF(K845=1,N('ORDENES'!$M841),0)</f>
        <v/>
      </c>
      <c r="O845" s="17">
        <f>IF('ORDENES'!$U841="preventiva",N845,0)</f>
        <v/>
      </c>
      <c r="P845" s="17">
        <f>IF('ORDENES'!$U841="correctiva",N845,0)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22">
        <f>IF(K845=1,'ORDENES'!$J841,"")</f>
        <v/>
      </c>
    </row>
    <row r="846">
      <c r="K846" s="5">
        <f>IF(AND(IF($B$3="(todos)",TRUE,'ORDENES'!$O842=$B$3),IF($D$3="(todos)",TRUE,'ORDENES'!$AH842=$D$3),IF($F$3="(todos)",TRUE,'ORDENES'!$Z842=$F$3),IF($H$3="(todos)",TRUE,'ORDENES'!$Y842=$H$3),'ORDENES'!$AF842=TRUE,'ORDENES'!$A842&lt;&gt;""),1,0)</f>
        <v/>
      </c>
      <c r="L846" s="5">
        <f>IF(K846=1,IFERROR(MATCH('ORDENES'!$S842,lista_dias,0),9)*1000000000+IFERROR(MATCH('ORDENES'!$AH842,lista_turnos,0),9)*10000000+IFERROR(MATCH('ORDENES'!$AG842,tblTecnicos[nombre],0),99)*100000+839,9000000000000+839)</f>
        <v/>
      </c>
      <c r="M846" s="5">
        <f>IF(K846=1,SUMPRODUCT(--($L$8:$L$1207&lt;L846))+1,"")</f>
        <v/>
      </c>
      <c r="N846" s="17">
        <f>IF(K846=1,N('ORDENES'!$M842),0)</f>
        <v/>
      </c>
      <c r="O846" s="17">
        <f>IF('ORDENES'!$U842="preventiva",N846,0)</f>
        <v/>
      </c>
      <c r="P846" s="17">
        <f>IF('ORDENES'!$U842="correctiva",N846,0)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22">
        <f>IF(K846=1,'ORDENES'!$J842,"")</f>
        <v/>
      </c>
    </row>
    <row r="847">
      <c r="K847" s="5">
        <f>IF(AND(IF($B$3="(todos)",TRUE,'ORDENES'!$O843=$B$3),IF($D$3="(todos)",TRUE,'ORDENES'!$AH843=$D$3),IF($F$3="(todos)",TRUE,'ORDENES'!$Z843=$F$3),IF($H$3="(todos)",TRUE,'ORDENES'!$Y843=$H$3),'ORDENES'!$AF843=TRUE,'ORDENES'!$A843&lt;&gt;""),1,0)</f>
        <v/>
      </c>
      <c r="L847" s="5">
        <f>IF(K847=1,IFERROR(MATCH('ORDENES'!$S843,lista_dias,0),9)*1000000000+IFERROR(MATCH('ORDENES'!$AH843,lista_turnos,0),9)*10000000+IFERROR(MATCH('ORDENES'!$AG843,tblTecnicos[nombre],0),99)*100000+840,9000000000000+840)</f>
        <v/>
      </c>
      <c r="M847" s="5">
        <f>IF(K847=1,SUMPRODUCT(--($L$8:$L$1207&lt;L847))+1,"")</f>
        <v/>
      </c>
      <c r="N847" s="17">
        <f>IF(K847=1,N('ORDENES'!$M843),0)</f>
        <v/>
      </c>
      <c r="O847" s="17">
        <f>IF('ORDENES'!$U843="preventiva",N847,0)</f>
        <v/>
      </c>
      <c r="P847" s="17">
        <f>IF('ORDENES'!$U843="correctiva",N847,0)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22">
        <f>IF(K847=1,'ORDENES'!$J843,"")</f>
        <v/>
      </c>
    </row>
    <row r="848">
      <c r="K848" s="5">
        <f>IF(AND(IF($B$3="(todos)",TRUE,'ORDENES'!$O844=$B$3),IF($D$3="(todos)",TRUE,'ORDENES'!$AH844=$D$3),IF($F$3="(todos)",TRUE,'ORDENES'!$Z844=$F$3),IF($H$3="(todos)",TRUE,'ORDENES'!$Y844=$H$3),'ORDENES'!$AF844=TRUE,'ORDENES'!$A844&lt;&gt;""),1,0)</f>
        <v/>
      </c>
      <c r="L848" s="5">
        <f>IF(K848=1,IFERROR(MATCH('ORDENES'!$S844,lista_dias,0),9)*1000000000+IFERROR(MATCH('ORDENES'!$AH844,lista_turnos,0),9)*10000000+IFERROR(MATCH('ORDENES'!$AG844,tblTecnicos[nombre],0),99)*100000+841,9000000000000+841)</f>
        <v/>
      </c>
      <c r="M848" s="5">
        <f>IF(K848=1,SUMPRODUCT(--($L$8:$L$1207&lt;L848))+1,"")</f>
        <v/>
      </c>
      <c r="N848" s="17">
        <f>IF(K848=1,N('ORDENES'!$M844),0)</f>
        <v/>
      </c>
      <c r="O848" s="17">
        <f>IF('ORDENES'!$U844="preventiva",N848,0)</f>
        <v/>
      </c>
      <c r="P848" s="17">
        <f>IF('ORDENES'!$U844="correctiva",N848,0)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22">
        <f>IF(K848=1,'ORDENES'!$J844,"")</f>
        <v/>
      </c>
    </row>
    <row r="849">
      <c r="K849" s="5">
        <f>IF(AND(IF($B$3="(todos)",TRUE,'ORDENES'!$O845=$B$3),IF($D$3="(todos)",TRUE,'ORDENES'!$AH845=$D$3),IF($F$3="(todos)",TRUE,'ORDENES'!$Z845=$F$3),IF($H$3="(todos)",TRUE,'ORDENES'!$Y845=$H$3),'ORDENES'!$AF845=TRUE,'ORDENES'!$A845&lt;&gt;""),1,0)</f>
        <v/>
      </c>
      <c r="L849" s="5">
        <f>IF(K849=1,IFERROR(MATCH('ORDENES'!$S845,lista_dias,0),9)*1000000000+IFERROR(MATCH('ORDENES'!$AH845,lista_turnos,0),9)*10000000+IFERROR(MATCH('ORDENES'!$AG845,tblTecnicos[nombre],0),99)*100000+842,9000000000000+842)</f>
        <v/>
      </c>
      <c r="M849" s="5">
        <f>IF(K849=1,SUMPRODUCT(--($L$8:$L$1207&lt;L849))+1,"")</f>
        <v/>
      </c>
      <c r="N849" s="17">
        <f>IF(K849=1,N('ORDENES'!$M845),0)</f>
        <v/>
      </c>
      <c r="O849" s="17">
        <f>IF('ORDENES'!$U845="preventiva",N849,0)</f>
        <v/>
      </c>
      <c r="P849" s="17">
        <f>IF('ORDENES'!$U845="correctiva",N849,0)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22">
        <f>IF(K849=1,'ORDENES'!$J845,"")</f>
        <v/>
      </c>
    </row>
    <row r="850">
      <c r="K850" s="5">
        <f>IF(AND(IF($B$3="(todos)",TRUE,'ORDENES'!$O846=$B$3),IF($D$3="(todos)",TRUE,'ORDENES'!$AH846=$D$3),IF($F$3="(todos)",TRUE,'ORDENES'!$Z846=$F$3),IF($H$3="(todos)",TRUE,'ORDENES'!$Y846=$H$3),'ORDENES'!$AF846=TRUE,'ORDENES'!$A846&lt;&gt;""),1,0)</f>
        <v/>
      </c>
      <c r="L850" s="5">
        <f>IF(K850=1,IFERROR(MATCH('ORDENES'!$S846,lista_dias,0),9)*1000000000+IFERROR(MATCH('ORDENES'!$AH846,lista_turnos,0),9)*10000000+IFERROR(MATCH('ORDENES'!$AG846,tblTecnicos[nombre],0),99)*100000+843,9000000000000+843)</f>
        <v/>
      </c>
      <c r="M850" s="5">
        <f>IF(K850=1,SUMPRODUCT(--($L$8:$L$1207&lt;L850))+1,"")</f>
        <v/>
      </c>
      <c r="N850" s="17">
        <f>IF(K850=1,N('ORDENES'!$M846),0)</f>
        <v/>
      </c>
      <c r="O850" s="17">
        <f>IF('ORDENES'!$U846="preventiva",N850,0)</f>
        <v/>
      </c>
      <c r="P850" s="17">
        <f>IF('ORDENES'!$U846="correctiva",N850,0)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22">
        <f>IF(K850=1,'ORDENES'!$J846,"")</f>
        <v/>
      </c>
    </row>
    <row r="851">
      <c r="K851" s="5">
        <f>IF(AND(IF($B$3="(todos)",TRUE,'ORDENES'!$O847=$B$3),IF($D$3="(todos)",TRUE,'ORDENES'!$AH847=$D$3),IF($F$3="(todos)",TRUE,'ORDENES'!$Z847=$F$3),IF($H$3="(todos)",TRUE,'ORDENES'!$Y847=$H$3),'ORDENES'!$AF847=TRUE,'ORDENES'!$A847&lt;&gt;""),1,0)</f>
        <v/>
      </c>
      <c r="L851" s="5">
        <f>IF(K851=1,IFERROR(MATCH('ORDENES'!$S847,lista_dias,0),9)*1000000000+IFERROR(MATCH('ORDENES'!$AH847,lista_turnos,0),9)*10000000+IFERROR(MATCH('ORDENES'!$AG847,tblTecnicos[nombre],0),99)*100000+844,9000000000000+844)</f>
        <v/>
      </c>
      <c r="M851" s="5">
        <f>IF(K851=1,SUMPRODUCT(--($L$8:$L$1207&lt;L851))+1,"")</f>
        <v/>
      </c>
      <c r="N851" s="17">
        <f>IF(K851=1,N('ORDENES'!$M847),0)</f>
        <v/>
      </c>
      <c r="O851" s="17">
        <f>IF('ORDENES'!$U847="preventiva",N851,0)</f>
        <v/>
      </c>
      <c r="P851" s="17">
        <f>IF('ORDENES'!$U847="correctiva",N851,0)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22">
        <f>IF(K851=1,'ORDENES'!$J847,"")</f>
        <v/>
      </c>
    </row>
    <row r="852">
      <c r="K852" s="5">
        <f>IF(AND(IF($B$3="(todos)",TRUE,'ORDENES'!$O848=$B$3),IF($D$3="(todos)",TRUE,'ORDENES'!$AH848=$D$3),IF($F$3="(todos)",TRUE,'ORDENES'!$Z848=$F$3),IF($H$3="(todos)",TRUE,'ORDENES'!$Y848=$H$3),'ORDENES'!$AF848=TRUE,'ORDENES'!$A848&lt;&gt;""),1,0)</f>
        <v/>
      </c>
      <c r="L852" s="5">
        <f>IF(K852=1,IFERROR(MATCH('ORDENES'!$S848,lista_dias,0),9)*1000000000+IFERROR(MATCH('ORDENES'!$AH848,lista_turnos,0),9)*10000000+IFERROR(MATCH('ORDENES'!$AG848,tblTecnicos[nombre],0),99)*100000+845,9000000000000+845)</f>
        <v/>
      </c>
      <c r="M852" s="5">
        <f>IF(K852=1,SUMPRODUCT(--($L$8:$L$1207&lt;L852))+1,"")</f>
        <v/>
      </c>
      <c r="N852" s="17">
        <f>IF(K852=1,N('ORDENES'!$M848),0)</f>
        <v/>
      </c>
      <c r="O852" s="17">
        <f>IF('ORDENES'!$U848="preventiva",N852,0)</f>
        <v/>
      </c>
      <c r="P852" s="17">
        <f>IF('ORDENES'!$U848="correctiva",N852,0)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22">
        <f>IF(K852=1,'ORDENES'!$J848,"")</f>
        <v/>
      </c>
    </row>
    <row r="853">
      <c r="K853" s="5">
        <f>IF(AND(IF($B$3="(todos)",TRUE,'ORDENES'!$O849=$B$3),IF($D$3="(todos)",TRUE,'ORDENES'!$AH849=$D$3),IF($F$3="(todos)",TRUE,'ORDENES'!$Z849=$F$3),IF($H$3="(todos)",TRUE,'ORDENES'!$Y849=$H$3),'ORDENES'!$AF849=TRUE,'ORDENES'!$A849&lt;&gt;""),1,0)</f>
        <v/>
      </c>
      <c r="L853" s="5">
        <f>IF(K853=1,IFERROR(MATCH('ORDENES'!$S849,lista_dias,0),9)*1000000000+IFERROR(MATCH('ORDENES'!$AH849,lista_turnos,0),9)*10000000+IFERROR(MATCH('ORDENES'!$AG849,tblTecnicos[nombre],0),99)*100000+846,9000000000000+846)</f>
        <v/>
      </c>
      <c r="M853" s="5">
        <f>IF(K853=1,SUMPRODUCT(--($L$8:$L$1207&lt;L853))+1,"")</f>
        <v/>
      </c>
      <c r="N853" s="17">
        <f>IF(K853=1,N('ORDENES'!$M849),0)</f>
        <v/>
      </c>
      <c r="O853" s="17">
        <f>IF('ORDENES'!$U849="preventiva",N853,0)</f>
        <v/>
      </c>
      <c r="P853" s="17">
        <f>IF('ORDENES'!$U849="correctiva",N853,0)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22">
        <f>IF(K853=1,'ORDENES'!$J849,"")</f>
        <v/>
      </c>
    </row>
    <row r="854">
      <c r="K854" s="5">
        <f>IF(AND(IF($B$3="(todos)",TRUE,'ORDENES'!$O850=$B$3),IF($D$3="(todos)",TRUE,'ORDENES'!$AH850=$D$3),IF($F$3="(todos)",TRUE,'ORDENES'!$Z850=$F$3),IF($H$3="(todos)",TRUE,'ORDENES'!$Y850=$H$3),'ORDENES'!$AF850=TRUE,'ORDENES'!$A850&lt;&gt;""),1,0)</f>
        <v/>
      </c>
      <c r="L854" s="5">
        <f>IF(K854=1,IFERROR(MATCH('ORDENES'!$S850,lista_dias,0),9)*1000000000+IFERROR(MATCH('ORDENES'!$AH850,lista_turnos,0),9)*10000000+IFERROR(MATCH('ORDENES'!$AG850,tblTecnicos[nombre],0),99)*100000+847,9000000000000+847)</f>
        <v/>
      </c>
      <c r="M854" s="5">
        <f>IF(K854=1,SUMPRODUCT(--($L$8:$L$1207&lt;L854))+1,"")</f>
        <v/>
      </c>
      <c r="N854" s="17">
        <f>IF(K854=1,N('ORDENES'!$M850),0)</f>
        <v/>
      </c>
      <c r="O854" s="17">
        <f>IF('ORDENES'!$U850="preventiva",N854,0)</f>
        <v/>
      </c>
      <c r="P854" s="17">
        <f>IF('ORDENES'!$U850="correctiva",N854,0)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22">
        <f>IF(K854=1,'ORDENES'!$J850,"")</f>
        <v/>
      </c>
    </row>
    <row r="855">
      <c r="K855" s="5">
        <f>IF(AND(IF($B$3="(todos)",TRUE,'ORDENES'!$O851=$B$3),IF($D$3="(todos)",TRUE,'ORDENES'!$AH851=$D$3),IF($F$3="(todos)",TRUE,'ORDENES'!$Z851=$F$3),IF($H$3="(todos)",TRUE,'ORDENES'!$Y851=$H$3),'ORDENES'!$AF851=TRUE,'ORDENES'!$A851&lt;&gt;""),1,0)</f>
        <v/>
      </c>
      <c r="L855" s="5">
        <f>IF(K855=1,IFERROR(MATCH('ORDENES'!$S851,lista_dias,0),9)*1000000000+IFERROR(MATCH('ORDENES'!$AH851,lista_turnos,0),9)*10000000+IFERROR(MATCH('ORDENES'!$AG851,tblTecnicos[nombre],0),99)*100000+848,9000000000000+848)</f>
        <v/>
      </c>
      <c r="M855" s="5">
        <f>IF(K855=1,SUMPRODUCT(--($L$8:$L$1207&lt;L855))+1,"")</f>
        <v/>
      </c>
      <c r="N855" s="17">
        <f>IF(K855=1,N('ORDENES'!$M851),0)</f>
        <v/>
      </c>
      <c r="O855" s="17">
        <f>IF('ORDENES'!$U851="preventiva",N855,0)</f>
        <v/>
      </c>
      <c r="P855" s="17">
        <f>IF('ORDENES'!$U851="correctiva",N855,0)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22">
        <f>IF(K855=1,'ORDENES'!$J851,"")</f>
        <v/>
      </c>
    </row>
    <row r="856">
      <c r="K856" s="5">
        <f>IF(AND(IF($B$3="(todos)",TRUE,'ORDENES'!$O852=$B$3),IF($D$3="(todos)",TRUE,'ORDENES'!$AH852=$D$3),IF($F$3="(todos)",TRUE,'ORDENES'!$Z852=$F$3),IF($H$3="(todos)",TRUE,'ORDENES'!$Y852=$H$3),'ORDENES'!$AF852=TRUE,'ORDENES'!$A852&lt;&gt;""),1,0)</f>
        <v/>
      </c>
      <c r="L856" s="5">
        <f>IF(K856=1,IFERROR(MATCH('ORDENES'!$S852,lista_dias,0),9)*1000000000+IFERROR(MATCH('ORDENES'!$AH852,lista_turnos,0),9)*10000000+IFERROR(MATCH('ORDENES'!$AG852,tblTecnicos[nombre],0),99)*100000+849,9000000000000+849)</f>
        <v/>
      </c>
      <c r="M856" s="5">
        <f>IF(K856=1,SUMPRODUCT(--($L$8:$L$1207&lt;L856))+1,"")</f>
        <v/>
      </c>
      <c r="N856" s="17">
        <f>IF(K856=1,N('ORDENES'!$M852),0)</f>
        <v/>
      </c>
      <c r="O856" s="17">
        <f>IF('ORDENES'!$U852="preventiva",N856,0)</f>
        <v/>
      </c>
      <c r="P856" s="17">
        <f>IF('ORDENES'!$U852="correctiva",N856,0)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22">
        <f>IF(K856=1,'ORDENES'!$J852,"")</f>
        <v/>
      </c>
    </row>
    <row r="857">
      <c r="K857" s="5">
        <f>IF(AND(IF($B$3="(todos)",TRUE,'ORDENES'!$O853=$B$3),IF($D$3="(todos)",TRUE,'ORDENES'!$AH853=$D$3),IF($F$3="(todos)",TRUE,'ORDENES'!$Z853=$F$3),IF($H$3="(todos)",TRUE,'ORDENES'!$Y853=$H$3),'ORDENES'!$AF853=TRUE,'ORDENES'!$A853&lt;&gt;""),1,0)</f>
        <v/>
      </c>
      <c r="L857" s="5">
        <f>IF(K857=1,IFERROR(MATCH('ORDENES'!$S853,lista_dias,0),9)*1000000000+IFERROR(MATCH('ORDENES'!$AH853,lista_turnos,0),9)*10000000+IFERROR(MATCH('ORDENES'!$AG853,tblTecnicos[nombre],0),99)*100000+850,9000000000000+850)</f>
        <v/>
      </c>
      <c r="M857" s="5">
        <f>IF(K857=1,SUMPRODUCT(--($L$8:$L$1207&lt;L857))+1,"")</f>
        <v/>
      </c>
      <c r="N857" s="17">
        <f>IF(K857=1,N('ORDENES'!$M853),0)</f>
        <v/>
      </c>
      <c r="O857" s="17">
        <f>IF('ORDENES'!$U853="preventiva",N857,0)</f>
        <v/>
      </c>
      <c r="P857" s="17">
        <f>IF('ORDENES'!$U853="correctiva",N857,0)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22">
        <f>IF(K857=1,'ORDENES'!$J853,"")</f>
        <v/>
      </c>
    </row>
    <row r="858">
      <c r="K858" s="5">
        <f>IF(AND(IF($B$3="(todos)",TRUE,'ORDENES'!$O854=$B$3),IF($D$3="(todos)",TRUE,'ORDENES'!$AH854=$D$3),IF($F$3="(todos)",TRUE,'ORDENES'!$Z854=$F$3),IF($H$3="(todos)",TRUE,'ORDENES'!$Y854=$H$3),'ORDENES'!$AF854=TRUE,'ORDENES'!$A854&lt;&gt;""),1,0)</f>
        <v/>
      </c>
      <c r="L858" s="5">
        <f>IF(K858=1,IFERROR(MATCH('ORDENES'!$S854,lista_dias,0),9)*1000000000+IFERROR(MATCH('ORDENES'!$AH854,lista_turnos,0),9)*10000000+IFERROR(MATCH('ORDENES'!$AG854,tblTecnicos[nombre],0),99)*100000+851,9000000000000+851)</f>
        <v/>
      </c>
      <c r="M858" s="5">
        <f>IF(K858=1,SUMPRODUCT(--($L$8:$L$1207&lt;L858))+1,"")</f>
        <v/>
      </c>
      <c r="N858" s="17">
        <f>IF(K858=1,N('ORDENES'!$M854),0)</f>
        <v/>
      </c>
      <c r="O858" s="17">
        <f>IF('ORDENES'!$U854="preventiva",N858,0)</f>
        <v/>
      </c>
      <c r="P858" s="17">
        <f>IF('ORDENES'!$U854="correctiva",N858,0)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22">
        <f>IF(K858=1,'ORDENES'!$J854,"")</f>
        <v/>
      </c>
    </row>
    <row r="859">
      <c r="K859" s="5">
        <f>IF(AND(IF($B$3="(todos)",TRUE,'ORDENES'!$O855=$B$3),IF($D$3="(todos)",TRUE,'ORDENES'!$AH855=$D$3),IF($F$3="(todos)",TRUE,'ORDENES'!$Z855=$F$3),IF($H$3="(todos)",TRUE,'ORDENES'!$Y855=$H$3),'ORDENES'!$AF855=TRUE,'ORDENES'!$A855&lt;&gt;""),1,0)</f>
        <v/>
      </c>
      <c r="L859" s="5">
        <f>IF(K859=1,IFERROR(MATCH('ORDENES'!$S855,lista_dias,0),9)*1000000000+IFERROR(MATCH('ORDENES'!$AH855,lista_turnos,0),9)*10000000+IFERROR(MATCH('ORDENES'!$AG855,tblTecnicos[nombre],0),99)*100000+852,9000000000000+852)</f>
        <v/>
      </c>
      <c r="M859" s="5">
        <f>IF(K859=1,SUMPRODUCT(--($L$8:$L$1207&lt;L859))+1,"")</f>
        <v/>
      </c>
      <c r="N859" s="17">
        <f>IF(K859=1,N('ORDENES'!$M855),0)</f>
        <v/>
      </c>
      <c r="O859" s="17">
        <f>IF('ORDENES'!$U855="preventiva",N859,0)</f>
        <v/>
      </c>
      <c r="P859" s="17">
        <f>IF('ORDENES'!$U855="correctiva",N859,0)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22">
        <f>IF(K859=1,'ORDENES'!$J855,"")</f>
        <v/>
      </c>
    </row>
    <row r="860">
      <c r="K860" s="5">
        <f>IF(AND(IF($B$3="(todos)",TRUE,'ORDENES'!$O856=$B$3),IF($D$3="(todos)",TRUE,'ORDENES'!$AH856=$D$3),IF($F$3="(todos)",TRUE,'ORDENES'!$Z856=$F$3),IF($H$3="(todos)",TRUE,'ORDENES'!$Y856=$H$3),'ORDENES'!$AF856=TRUE,'ORDENES'!$A856&lt;&gt;""),1,0)</f>
        <v/>
      </c>
      <c r="L860" s="5">
        <f>IF(K860=1,IFERROR(MATCH('ORDENES'!$S856,lista_dias,0),9)*1000000000+IFERROR(MATCH('ORDENES'!$AH856,lista_turnos,0),9)*10000000+IFERROR(MATCH('ORDENES'!$AG856,tblTecnicos[nombre],0),99)*100000+853,9000000000000+853)</f>
        <v/>
      </c>
      <c r="M860" s="5">
        <f>IF(K860=1,SUMPRODUCT(--($L$8:$L$1207&lt;L860))+1,"")</f>
        <v/>
      </c>
      <c r="N860" s="17">
        <f>IF(K860=1,N('ORDENES'!$M856),0)</f>
        <v/>
      </c>
      <c r="O860" s="17">
        <f>IF('ORDENES'!$U856="preventiva",N860,0)</f>
        <v/>
      </c>
      <c r="P860" s="17">
        <f>IF('ORDENES'!$U856="correctiva",N860,0)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22">
        <f>IF(K860=1,'ORDENES'!$J856,"")</f>
        <v/>
      </c>
    </row>
    <row r="861">
      <c r="K861" s="5">
        <f>IF(AND(IF($B$3="(todos)",TRUE,'ORDENES'!$O857=$B$3),IF($D$3="(todos)",TRUE,'ORDENES'!$AH857=$D$3),IF($F$3="(todos)",TRUE,'ORDENES'!$Z857=$F$3),IF($H$3="(todos)",TRUE,'ORDENES'!$Y857=$H$3),'ORDENES'!$AF857=TRUE,'ORDENES'!$A857&lt;&gt;""),1,0)</f>
        <v/>
      </c>
      <c r="L861" s="5">
        <f>IF(K861=1,IFERROR(MATCH('ORDENES'!$S857,lista_dias,0),9)*1000000000+IFERROR(MATCH('ORDENES'!$AH857,lista_turnos,0),9)*10000000+IFERROR(MATCH('ORDENES'!$AG857,tblTecnicos[nombre],0),99)*100000+854,9000000000000+854)</f>
        <v/>
      </c>
      <c r="M861" s="5">
        <f>IF(K861=1,SUMPRODUCT(--($L$8:$L$1207&lt;L861))+1,"")</f>
        <v/>
      </c>
      <c r="N861" s="17">
        <f>IF(K861=1,N('ORDENES'!$M857),0)</f>
        <v/>
      </c>
      <c r="O861" s="17">
        <f>IF('ORDENES'!$U857="preventiva",N861,0)</f>
        <v/>
      </c>
      <c r="P861" s="17">
        <f>IF('ORDENES'!$U857="correctiva",N861,0)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22">
        <f>IF(K861=1,'ORDENES'!$J857,"")</f>
        <v/>
      </c>
    </row>
    <row r="862">
      <c r="K862" s="5">
        <f>IF(AND(IF($B$3="(todos)",TRUE,'ORDENES'!$O858=$B$3),IF($D$3="(todos)",TRUE,'ORDENES'!$AH858=$D$3),IF($F$3="(todos)",TRUE,'ORDENES'!$Z858=$F$3),IF($H$3="(todos)",TRUE,'ORDENES'!$Y858=$H$3),'ORDENES'!$AF858=TRUE,'ORDENES'!$A858&lt;&gt;""),1,0)</f>
        <v/>
      </c>
      <c r="L862" s="5">
        <f>IF(K862=1,IFERROR(MATCH('ORDENES'!$S858,lista_dias,0),9)*1000000000+IFERROR(MATCH('ORDENES'!$AH858,lista_turnos,0),9)*10000000+IFERROR(MATCH('ORDENES'!$AG858,tblTecnicos[nombre],0),99)*100000+855,9000000000000+855)</f>
        <v/>
      </c>
      <c r="M862" s="5">
        <f>IF(K862=1,SUMPRODUCT(--($L$8:$L$1207&lt;L862))+1,"")</f>
        <v/>
      </c>
      <c r="N862" s="17">
        <f>IF(K862=1,N('ORDENES'!$M858),0)</f>
        <v/>
      </c>
      <c r="O862" s="17">
        <f>IF('ORDENES'!$U858="preventiva",N862,0)</f>
        <v/>
      </c>
      <c r="P862" s="17">
        <f>IF('ORDENES'!$U858="correctiva",N862,0)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22">
        <f>IF(K862=1,'ORDENES'!$J858,"")</f>
        <v/>
      </c>
    </row>
    <row r="863">
      <c r="K863" s="5">
        <f>IF(AND(IF($B$3="(todos)",TRUE,'ORDENES'!$O859=$B$3),IF($D$3="(todos)",TRUE,'ORDENES'!$AH859=$D$3),IF($F$3="(todos)",TRUE,'ORDENES'!$Z859=$F$3),IF($H$3="(todos)",TRUE,'ORDENES'!$Y859=$H$3),'ORDENES'!$AF859=TRUE,'ORDENES'!$A859&lt;&gt;""),1,0)</f>
        <v/>
      </c>
      <c r="L863" s="5">
        <f>IF(K863=1,IFERROR(MATCH('ORDENES'!$S859,lista_dias,0),9)*1000000000+IFERROR(MATCH('ORDENES'!$AH859,lista_turnos,0),9)*10000000+IFERROR(MATCH('ORDENES'!$AG859,tblTecnicos[nombre],0),99)*100000+856,9000000000000+856)</f>
        <v/>
      </c>
      <c r="M863" s="5">
        <f>IF(K863=1,SUMPRODUCT(--($L$8:$L$1207&lt;L863))+1,"")</f>
        <v/>
      </c>
      <c r="N863" s="17">
        <f>IF(K863=1,N('ORDENES'!$M859),0)</f>
        <v/>
      </c>
      <c r="O863" s="17">
        <f>IF('ORDENES'!$U859="preventiva",N863,0)</f>
        <v/>
      </c>
      <c r="P863" s="17">
        <f>IF('ORDENES'!$U859="correctiva",N863,0)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22">
        <f>IF(K863=1,'ORDENES'!$J859,"")</f>
        <v/>
      </c>
    </row>
    <row r="864">
      <c r="K864" s="5">
        <f>IF(AND(IF($B$3="(todos)",TRUE,'ORDENES'!$O860=$B$3),IF($D$3="(todos)",TRUE,'ORDENES'!$AH860=$D$3),IF($F$3="(todos)",TRUE,'ORDENES'!$Z860=$F$3),IF($H$3="(todos)",TRUE,'ORDENES'!$Y860=$H$3),'ORDENES'!$AF860=TRUE,'ORDENES'!$A860&lt;&gt;""),1,0)</f>
        <v/>
      </c>
      <c r="L864" s="5">
        <f>IF(K864=1,IFERROR(MATCH('ORDENES'!$S860,lista_dias,0),9)*1000000000+IFERROR(MATCH('ORDENES'!$AH860,lista_turnos,0),9)*10000000+IFERROR(MATCH('ORDENES'!$AG860,tblTecnicos[nombre],0),99)*100000+857,9000000000000+857)</f>
        <v/>
      </c>
      <c r="M864" s="5">
        <f>IF(K864=1,SUMPRODUCT(--($L$8:$L$1207&lt;L864))+1,"")</f>
        <v/>
      </c>
      <c r="N864" s="17">
        <f>IF(K864=1,N('ORDENES'!$M860),0)</f>
        <v/>
      </c>
      <c r="O864" s="17">
        <f>IF('ORDENES'!$U860="preventiva",N864,0)</f>
        <v/>
      </c>
      <c r="P864" s="17">
        <f>IF('ORDENES'!$U860="correctiva",N864,0)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22">
        <f>IF(K864=1,'ORDENES'!$J860,"")</f>
        <v/>
      </c>
    </row>
    <row r="865">
      <c r="K865" s="5">
        <f>IF(AND(IF($B$3="(todos)",TRUE,'ORDENES'!$O861=$B$3),IF($D$3="(todos)",TRUE,'ORDENES'!$AH861=$D$3),IF($F$3="(todos)",TRUE,'ORDENES'!$Z861=$F$3),IF($H$3="(todos)",TRUE,'ORDENES'!$Y861=$H$3),'ORDENES'!$AF861=TRUE,'ORDENES'!$A861&lt;&gt;""),1,0)</f>
        <v/>
      </c>
      <c r="L865" s="5">
        <f>IF(K865=1,IFERROR(MATCH('ORDENES'!$S861,lista_dias,0),9)*1000000000+IFERROR(MATCH('ORDENES'!$AH861,lista_turnos,0),9)*10000000+IFERROR(MATCH('ORDENES'!$AG861,tblTecnicos[nombre],0),99)*100000+858,9000000000000+858)</f>
        <v/>
      </c>
      <c r="M865" s="5">
        <f>IF(K865=1,SUMPRODUCT(--($L$8:$L$1207&lt;L865))+1,"")</f>
        <v/>
      </c>
      <c r="N865" s="17">
        <f>IF(K865=1,N('ORDENES'!$M861),0)</f>
        <v/>
      </c>
      <c r="O865" s="17">
        <f>IF('ORDENES'!$U861="preventiva",N865,0)</f>
        <v/>
      </c>
      <c r="P865" s="17">
        <f>IF('ORDENES'!$U861="correctiva",N865,0)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22">
        <f>IF(K865=1,'ORDENES'!$J861,"")</f>
        <v/>
      </c>
    </row>
    <row r="866">
      <c r="K866" s="5">
        <f>IF(AND(IF($B$3="(todos)",TRUE,'ORDENES'!$O862=$B$3),IF($D$3="(todos)",TRUE,'ORDENES'!$AH862=$D$3),IF($F$3="(todos)",TRUE,'ORDENES'!$Z862=$F$3),IF($H$3="(todos)",TRUE,'ORDENES'!$Y862=$H$3),'ORDENES'!$AF862=TRUE,'ORDENES'!$A862&lt;&gt;""),1,0)</f>
        <v/>
      </c>
      <c r="L866" s="5">
        <f>IF(K866=1,IFERROR(MATCH('ORDENES'!$S862,lista_dias,0),9)*1000000000+IFERROR(MATCH('ORDENES'!$AH862,lista_turnos,0),9)*10000000+IFERROR(MATCH('ORDENES'!$AG862,tblTecnicos[nombre],0),99)*100000+859,9000000000000+859)</f>
        <v/>
      </c>
      <c r="M866" s="5">
        <f>IF(K866=1,SUMPRODUCT(--($L$8:$L$1207&lt;L866))+1,"")</f>
        <v/>
      </c>
      <c r="N866" s="17">
        <f>IF(K866=1,N('ORDENES'!$M862),0)</f>
        <v/>
      </c>
      <c r="O866" s="17">
        <f>IF('ORDENES'!$U862="preventiva",N866,0)</f>
        <v/>
      </c>
      <c r="P866" s="17">
        <f>IF('ORDENES'!$U862="correctiva",N866,0)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22">
        <f>IF(K866=1,'ORDENES'!$J862,"")</f>
        <v/>
      </c>
    </row>
    <row r="867">
      <c r="K867" s="5">
        <f>IF(AND(IF($B$3="(todos)",TRUE,'ORDENES'!$O863=$B$3),IF($D$3="(todos)",TRUE,'ORDENES'!$AH863=$D$3),IF($F$3="(todos)",TRUE,'ORDENES'!$Z863=$F$3),IF($H$3="(todos)",TRUE,'ORDENES'!$Y863=$H$3),'ORDENES'!$AF863=TRUE,'ORDENES'!$A863&lt;&gt;""),1,0)</f>
        <v/>
      </c>
      <c r="L867" s="5">
        <f>IF(K867=1,IFERROR(MATCH('ORDENES'!$S863,lista_dias,0),9)*1000000000+IFERROR(MATCH('ORDENES'!$AH863,lista_turnos,0),9)*10000000+IFERROR(MATCH('ORDENES'!$AG863,tblTecnicos[nombre],0),99)*100000+860,9000000000000+860)</f>
        <v/>
      </c>
      <c r="M867" s="5">
        <f>IF(K867=1,SUMPRODUCT(--($L$8:$L$1207&lt;L867))+1,"")</f>
        <v/>
      </c>
      <c r="N867" s="17">
        <f>IF(K867=1,N('ORDENES'!$M863),0)</f>
        <v/>
      </c>
      <c r="O867" s="17">
        <f>IF('ORDENES'!$U863="preventiva",N867,0)</f>
        <v/>
      </c>
      <c r="P867" s="17">
        <f>IF('ORDENES'!$U863="correctiva",N867,0)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22">
        <f>IF(K867=1,'ORDENES'!$J863,"")</f>
        <v/>
      </c>
    </row>
    <row r="868">
      <c r="K868" s="5">
        <f>IF(AND(IF($B$3="(todos)",TRUE,'ORDENES'!$O864=$B$3),IF($D$3="(todos)",TRUE,'ORDENES'!$AH864=$D$3),IF($F$3="(todos)",TRUE,'ORDENES'!$Z864=$F$3),IF($H$3="(todos)",TRUE,'ORDENES'!$Y864=$H$3),'ORDENES'!$AF864=TRUE,'ORDENES'!$A864&lt;&gt;""),1,0)</f>
        <v/>
      </c>
      <c r="L868" s="5">
        <f>IF(K868=1,IFERROR(MATCH('ORDENES'!$S864,lista_dias,0),9)*1000000000+IFERROR(MATCH('ORDENES'!$AH864,lista_turnos,0),9)*10000000+IFERROR(MATCH('ORDENES'!$AG864,tblTecnicos[nombre],0),99)*100000+861,9000000000000+861)</f>
        <v/>
      </c>
      <c r="M868" s="5">
        <f>IF(K868=1,SUMPRODUCT(--($L$8:$L$1207&lt;L868))+1,"")</f>
        <v/>
      </c>
      <c r="N868" s="17">
        <f>IF(K868=1,N('ORDENES'!$M864),0)</f>
        <v/>
      </c>
      <c r="O868" s="17">
        <f>IF('ORDENES'!$U864="preventiva",N868,0)</f>
        <v/>
      </c>
      <c r="P868" s="17">
        <f>IF('ORDENES'!$U864="correctiva",N868,0)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22">
        <f>IF(K868=1,'ORDENES'!$J864,"")</f>
        <v/>
      </c>
    </row>
    <row r="869">
      <c r="K869" s="5">
        <f>IF(AND(IF($B$3="(todos)",TRUE,'ORDENES'!$O865=$B$3),IF($D$3="(todos)",TRUE,'ORDENES'!$AH865=$D$3),IF($F$3="(todos)",TRUE,'ORDENES'!$Z865=$F$3),IF($H$3="(todos)",TRUE,'ORDENES'!$Y865=$H$3),'ORDENES'!$AF865=TRUE,'ORDENES'!$A865&lt;&gt;""),1,0)</f>
        <v/>
      </c>
      <c r="L869" s="5">
        <f>IF(K869=1,IFERROR(MATCH('ORDENES'!$S865,lista_dias,0),9)*1000000000+IFERROR(MATCH('ORDENES'!$AH865,lista_turnos,0),9)*10000000+IFERROR(MATCH('ORDENES'!$AG865,tblTecnicos[nombre],0),99)*100000+862,9000000000000+862)</f>
        <v/>
      </c>
      <c r="M869" s="5">
        <f>IF(K869=1,SUMPRODUCT(--($L$8:$L$1207&lt;L869))+1,"")</f>
        <v/>
      </c>
      <c r="N869" s="17">
        <f>IF(K869=1,N('ORDENES'!$M865),0)</f>
        <v/>
      </c>
      <c r="O869" s="17">
        <f>IF('ORDENES'!$U865="preventiva",N869,0)</f>
        <v/>
      </c>
      <c r="P869" s="17">
        <f>IF('ORDENES'!$U865="correctiva",N869,0)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22">
        <f>IF(K869=1,'ORDENES'!$J865,"")</f>
        <v/>
      </c>
    </row>
    <row r="870">
      <c r="K870" s="5">
        <f>IF(AND(IF($B$3="(todos)",TRUE,'ORDENES'!$O866=$B$3),IF($D$3="(todos)",TRUE,'ORDENES'!$AH866=$D$3),IF($F$3="(todos)",TRUE,'ORDENES'!$Z866=$F$3),IF($H$3="(todos)",TRUE,'ORDENES'!$Y866=$H$3),'ORDENES'!$AF866=TRUE,'ORDENES'!$A866&lt;&gt;""),1,0)</f>
        <v/>
      </c>
      <c r="L870" s="5">
        <f>IF(K870=1,IFERROR(MATCH('ORDENES'!$S866,lista_dias,0),9)*1000000000+IFERROR(MATCH('ORDENES'!$AH866,lista_turnos,0),9)*10000000+IFERROR(MATCH('ORDENES'!$AG866,tblTecnicos[nombre],0),99)*100000+863,9000000000000+863)</f>
        <v/>
      </c>
      <c r="M870" s="5">
        <f>IF(K870=1,SUMPRODUCT(--($L$8:$L$1207&lt;L870))+1,"")</f>
        <v/>
      </c>
      <c r="N870" s="17">
        <f>IF(K870=1,N('ORDENES'!$M866),0)</f>
        <v/>
      </c>
      <c r="O870" s="17">
        <f>IF('ORDENES'!$U866="preventiva",N870,0)</f>
        <v/>
      </c>
      <c r="P870" s="17">
        <f>IF('ORDENES'!$U866="correctiva",N870,0)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22">
        <f>IF(K870=1,'ORDENES'!$J866,"")</f>
        <v/>
      </c>
    </row>
    <row r="871">
      <c r="K871" s="5">
        <f>IF(AND(IF($B$3="(todos)",TRUE,'ORDENES'!$O867=$B$3),IF($D$3="(todos)",TRUE,'ORDENES'!$AH867=$D$3),IF($F$3="(todos)",TRUE,'ORDENES'!$Z867=$F$3),IF($H$3="(todos)",TRUE,'ORDENES'!$Y867=$H$3),'ORDENES'!$AF867=TRUE,'ORDENES'!$A867&lt;&gt;""),1,0)</f>
        <v/>
      </c>
      <c r="L871" s="5">
        <f>IF(K871=1,IFERROR(MATCH('ORDENES'!$S867,lista_dias,0),9)*1000000000+IFERROR(MATCH('ORDENES'!$AH867,lista_turnos,0),9)*10000000+IFERROR(MATCH('ORDENES'!$AG867,tblTecnicos[nombre],0),99)*100000+864,9000000000000+864)</f>
        <v/>
      </c>
      <c r="M871" s="5">
        <f>IF(K871=1,SUMPRODUCT(--($L$8:$L$1207&lt;L871))+1,"")</f>
        <v/>
      </c>
      <c r="N871" s="17">
        <f>IF(K871=1,N('ORDENES'!$M867),0)</f>
        <v/>
      </c>
      <c r="O871" s="17">
        <f>IF('ORDENES'!$U867="preventiva",N871,0)</f>
        <v/>
      </c>
      <c r="P871" s="17">
        <f>IF('ORDENES'!$U867="correctiva",N871,0)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22">
        <f>IF(K871=1,'ORDENES'!$J867,"")</f>
        <v/>
      </c>
    </row>
    <row r="872">
      <c r="K872" s="5">
        <f>IF(AND(IF($B$3="(todos)",TRUE,'ORDENES'!$O868=$B$3),IF($D$3="(todos)",TRUE,'ORDENES'!$AH868=$D$3),IF($F$3="(todos)",TRUE,'ORDENES'!$Z868=$F$3),IF($H$3="(todos)",TRUE,'ORDENES'!$Y868=$H$3),'ORDENES'!$AF868=TRUE,'ORDENES'!$A868&lt;&gt;""),1,0)</f>
        <v/>
      </c>
      <c r="L872" s="5">
        <f>IF(K872=1,IFERROR(MATCH('ORDENES'!$S868,lista_dias,0),9)*1000000000+IFERROR(MATCH('ORDENES'!$AH868,lista_turnos,0),9)*10000000+IFERROR(MATCH('ORDENES'!$AG868,tblTecnicos[nombre],0),99)*100000+865,9000000000000+865)</f>
        <v/>
      </c>
      <c r="M872" s="5">
        <f>IF(K872=1,SUMPRODUCT(--($L$8:$L$1207&lt;L872))+1,"")</f>
        <v/>
      </c>
      <c r="N872" s="17">
        <f>IF(K872=1,N('ORDENES'!$M868),0)</f>
        <v/>
      </c>
      <c r="O872" s="17">
        <f>IF('ORDENES'!$U868="preventiva",N872,0)</f>
        <v/>
      </c>
      <c r="P872" s="17">
        <f>IF('ORDENES'!$U868="correctiva",N872,0)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22">
        <f>IF(K872=1,'ORDENES'!$J868,"")</f>
        <v/>
      </c>
    </row>
    <row r="873">
      <c r="K873" s="5">
        <f>IF(AND(IF($B$3="(todos)",TRUE,'ORDENES'!$O869=$B$3),IF($D$3="(todos)",TRUE,'ORDENES'!$AH869=$D$3),IF($F$3="(todos)",TRUE,'ORDENES'!$Z869=$F$3),IF($H$3="(todos)",TRUE,'ORDENES'!$Y869=$H$3),'ORDENES'!$AF869=TRUE,'ORDENES'!$A869&lt;&gt;""),1,0)</f>
        <v/>
      </c>
      <c r="L873" s="5">
        <f>IF(K873=1,IFERROR(MATCH('ORDENES'!$S869,lista_dias,0),9)*1000000000+IFERROR(MATCH('ORDENES'!$AH869,lista_turnos,0),9)*10000000+IFERROR(MATCH('ORDENES'!$AG869,tblTecnicos[nombre],0),99)*100000+866,9000000000000+866)</f>
        <v/>
      </c>
      <c r="M873" s="5">
        <f>IF(K873=1,SUMPRODUCT(--($L$8:$L$1207&lt;L873))+1,"")</f>
        <v/>
      </c>
      <c r="N873" s="17">
        <f>IF(K873=1,N('ORDENES'!$M869),0)</f>
        <v/>
      </c>
      <c r="O873" s="17">
        <f>IF('ORDENES'!$U869="preventiva",N873,0)</f>
        <v/>
      </c>
      <c r="P873" s="17">
        <f>IF('ORDENES'!$U869="correctiva",N873,0)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22">
        <f>IF(K873=1,'ORDENES'!$J869,"")</f>
        <v/>
      </c>
    </row>
    <row r="874">
      <c r="K874" s="5">
        <f>IF(AND(IF($B$3="(todos)",TRUE,'ORDENES'!$O870=$B$3),IF($D$3="(todos)",TRUE,'ORDENES'!$AH870=$D$3),IF($F$3="(todos)",TRUE,'ORDENES'!$Z870=$F$3),IF($H$3="(todos)",TRUE,'ORDENES'!$Y870=$H$3),'ORDENES'!$AF870=TRUE,'ORDENES'!$A870&lt;&gt;""),1,0)</f>
        <v/>
      </c>
      <c r="L874" s="5">
        <f>IF(K874=1,IFERROR(MATCH('ORDENES'!$S870,lista_dias,0),9)*1000000000+IFERROR(MATCH('ORDENES'!$AH870,lista_turnos,0),9)*10000000+IFERROR(MATCH('ORDENES'!$AG870,tblTecnicos[nombre],0),99)*100000+867,9000000000000+867)</f>
        <v/>
      </c>
      <c r="M874" s="5">
        <f>IF(K874=1,SUMPRODUCT(--($L$8:$L$1207&lt;L874))+1,"")</f>
        <v/>
      </c>
      <c r="N874" s="17">
        <f>IF(K874=1,N('ORDENES'!$M870),0)</f>
        <v/>
      </c>
      <c r="O874" s="17">
        <f>IF('ORDENES'!$U870="preventiva",N874,0)</f>
        <v/>
      </c>
      <c r="P874" s="17">
        <f>IF('ORDENES'!$U870="correctiva",N874,0)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22">
        <f>IF(K874=1,'ORDENES'!$J870,"")</f>
        <v/>
      </c>
    </row>
    <row r="875">
      <c r="K875" s="5">
        <f>IF(AND(IF($B$3="(todos)",TRUE,'ORDENES'!$O871=$B$3),IF($D$3="(todos)",TRUE,'ORDENES'!$AH871=$D$3),IF($F$3="(todos)",TRUE,'ORDENES'!$Z871=$F$3),IF($H$3="(todos)",TRUE,'ORDENES'!$Y871=$H$3),'ORDENES'!$AF871=TRUE,'ORDENES'!$A871&lt;&gt;""),1,0)</f>
        <v/>
      </c>
      <c r="L875" s="5">
        <f>IF(K875=1,IFERROR(MATCH('ORDENES'!$S871,lista_dias,0),9)*1000000000+IFERROR(MATCH('ORDENES'!$AH871,lista_turnos,0),9)*10000000+IFERROR(MATCH('ORDENES'!$AG871,tblTecnicos[nombre],0),99)*100000+868,9000000000000+868)</f>
        <v/>
      </c>
      <c r="M875" s="5">
        <f>IF(K875=1,SUMPRODUCT(--($L$8:$L$1207&lt;L875))+1,"")</f>
        <v/>
      </c>
      <c r="N875" s="17">
        <f>IF(K875=1,N('ORDENES'!$M871),0)</f>
        <v/>
      </c>
      <c r="O875" s="17">
        <f>IF('ORDENES'!$U871="preventiva",N875,0)</f>
        <v/>
      </c>
      <c r="P875" s="17">
        <f>IF('ORDENES'!$U871="correctiva",N875,0)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22">
        <f>IF(K875=1,'ORDENES'!$J871,"")</f>
        <v/>
      </c>
    </row>
    <row r="876">
      <c r="K876" s="5">
        <f>IF(AND(IF($B$3="(todos)",TRUE,'ORDENES'!$O872=$B$3),IF($D$3="(todos)",TRUE,'ORDENES'!$AH872=$D$3),IF($F$3="(todos)",TRUE,'ORDENES'!$Z872=$F$3),IF($H$3="(todos)",TRUE,'ORDENES'!$Y872=$H$3),'ORDENES'!$AF872=TRUE,'ORDENES'!$A872&lt;&gt;""),1,0)</f>
        <v/>
      </c>
      <c r="L876" s="5">
        <f>IF(K876=1,IFERROR(MATCH('ORDENES'!$S872,lista_dias,0),9)*1000000000+IFERROR(MATCH('ORDENES'!$AH872,lista_turnos,0),9)*10000000+IFERROR(MATCH('ORDENES'!$AG872,tblTecnicos[nombre],0),99)*100000+869,9000000000000+869)</f>
        <v/>
      </c>
      <c r="M876" s="5">
        <f>IF(K876=1,SUMPRODUCT(--($L$8:$L$1207&lt;L876))+1,"")</f>
        <v/>
      </c>
      <c r="N876" s="17">
        <f>IF(K876=1,N('ORDENES'!$M872),0)</f>
        <v/>
      </c>
      <c r="O876" s="17">
        <f>IF('ORDENES'!$U872="preventiva",N876,0)</f>
        <v/>
      </c>
      <c r="P876" s="17">
        <f>IF('ORDENES'!$U872="correctiva",N876,0)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22">
        <f>IF(K876=1,'ORDENES'!$J872,"")</f>
        <v/>
      </c>
    </row>
    <row r="877">
      <c r="K877" s="5">
        <f>IF(AND(IF($B$3="(todos)",TRUE,'ORDENES'!$O873=$B$3),IF($D$3="(todos)",TRUE,'ORDENES'!$AH873=$D$3),IF($F$3="(todos)",TRUE,'ORDENES'!$Z873=$F$3),IF($H$3="(todos)",TRUE,'ORDENES'!$Y873=$H$3),'ORDENES'!$AF873=TRUE,'ORDENES'!$A873&lt;&gt;""),1,0)</f>
        <v/>
      </c>
      <c r="L877" s="5">
        <f>IF(K877=1,IFERROR(MATCH('ORDENES'!$S873,lista_dias,0),9)*1000000000+IFERROR(MATCH('ORDENES'!$AH873,lista_turnos,0),9)*10000000+IFERROR(MATCH('ORDENES'!$AG873,tblTecnicos[nombre],0),99)*100000+870,9000000000000+870)</f>
        <v/>
      </c>
      <c r="M877" s="5">
        <f>IF(K877=1,SUMPRODUCT(--($L$8:$L$1207&lt;L877))+1,"")</f>
        <v/>
      </c>
      <c r="N877" s="17">
        <f>IF(K877=1,N('ORDENES'!$M873),0)</f>
        <v/>
      </c>
      <c r="O877" s="17">
        <f>IF('ORDENES'!$U873="preventiva",N877,0)</f>
        <v/>
      </c>
      <c r="P877" s="17">
        <f>IF('ORDENES'!$U873="correctiva",N877,0)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22">
        <f>IF(K877=1,'ORDENES'!$J873,"")</f>
        <v/>
      </c>
    </row>
    <row r="878">
      <c r="K878" s="5">
        <f>IF(AND(IF($B$3="(todos)",TRUE,'ORDENES'!$O874=$B$3),IF($D$3="(todos)",TRUE,'ORDENES'!$AH874=$D$3),IF($F$3="(todos)",TRUE,'ORDENES'!$Z874=$F$3),IF($H$3="(todos)",TRUE,'ORDENES'!$Y874=$H$3),'ORDENES'!$AF874=TRUE,'ORDENES'!$A874&lt;&gt;""),1,0)</f>
        <v/>
      </c>
      <c r="L878" s="5">
        <f>IF(K878=1,IFERROR(MATCH('ORDENES'!$S874,lista_dias,0),9)*1000000000+IFERROR(MATCH('ORDENES'!$AH874,lista_turnos,0),9)*10000000+IFERROR(MATCH('ORDENES'!$AG874,tblTecnicos[nombre],0),99)*100000+871,9000000000000+871)</f>
        <v/>
      </c>
      <c r="M878" s="5">
        <f>IF(K878=1,SUMPRODUCT(--($L$8:$L$1207&lt;L878))+1,"")</f>
        <v/>
      </c>
      <c r="N878" s="17">
        <f>IF(K878=1,N('ORDENES'!$M874),0)</f>
        <v/>
      </c>
      <c r="O878" s="17">
        <f>IF('ORDENES'!$U874="preventiva",N878,0)</f>
        <v/>
      </c>
      <c r="P878" s="17">
        <f>IF('ORDENES'!$U874="correctiva",N878,0)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22">
        <f>IF(K878=1,'ORDENES'!$J874,"")</f>
        <v/>
      </c>
    </row>
    <row r="879">
      <c r="K879" s="5">
        <f>IF(AND(IF($B$3="(todos)",TRUE,'ORDENES'!$O875=$B$3),IF($D$3="(todos)",TRUE,'ORDENES'!$AH875=$D$3),IF($F$3="(todos)",TRUE,'ORDENES'!$Z875=$F$3),IF($H$3="(todos)",TRUE,'ORDENES'!$Y875=$H$3),'ORDENES'!$AF875=TRUE,'ORDENES'!$A875&lt;&gt;""),1,0)</f>
        <v/>
      </c>
      <c r="L879" s="5">
        <f>IF(K879=1,IFERROR(MATCH('ORDENES'!$S875,lista_dias,0),9)*1000000000+IFERROR(MATCH('ORDENES'!$AH875,lista_turnos,0),9)*10000000+IFERROR(MATCH('ORDENES'!$AG875,tblTecnicos[nombre],0),99)*100000+872,9000000000000+872)</f>
        <v/>
      </c>
      <c r="M879" s="5">
        <f>IF(K879=1,SUMPRODUCT(--($L$8:$L$1207&lt;L879))+1,"")</f>
        <v/>
      </c>
      <c r="N879" s="17">
        <f>IF(K879=1,N('ORDENES'!$M875),0)</f>
        <v/>
      </c>
      <c r="O879" s="17">
        <f>IF('ORDENES'!$U875="preventiva",N879,0)</f>
        <v/>
      </c>
      <c r="P879" s="17">
        <f>IF('ORDENES'!$U875="correctiva",N879,0)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22">
        <f>IF(K879=1,'ORDENES'!$J875,"")</f>
        <v/>
      </c>
    </row>
    <row r="880">
      <c r="K880" s="5">
        <f>IF(AND(IF($B$3="(todos)",TRUE,'ORDENES'!$O876=$B$3),IF($D$3="(todos)",TRUE,'ORDENES'!$AH876=$D$3),IF($F$3="(todos)",TRUE,'ORDENES'!$Z876=$F$3),IF($H$3="(todos)",TRUE,'ORDENES'!$Y876=$H$3),'ORDENES'!$AF876=TRUE,'ORDENES'!$A876&lt;&gt;""),1,0)</f>
        <v/>
      </c>
      <c r="L880" s="5">
        <f>IF(K880=1,IFERROR(MATCH('ORDENES'!$S876,lista_dias,0),9)*1000000000+IFERROR(MATCH('ORDENES'!$AH876,lista_turnos,0),9)*10000000+IFERROR(MATCH('ORDENES'!$AG876,tblTecnicos[nombre],0),99)*100000+873,9000000000000+873)</f>
        <v/>
      </c>
      <c r="M880" s="5">
        <f>IF(K880=1,SUMPRODUCT(--($L$8:$L$1207&lt;L880))+1,"")</f>
        <v/>
      </c>
      <c r="N880" s="17">
        <f>IF(K880=1,N('ORDENES'!$M876),0)</f>
        <v/>
      </c>
      <c r="O880" s="17">
        <f>IF('ORDENES'!$U876="preventiva",N880,0)</f>
        <v/>
      </c>
      <c r="P880" s="17">
        <f>IF('ORDENES'!$U876="correctiva",N880,0)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22">
        <f>IF(K880=1,'ORDENES'!$J876,"")</f>
        <v/>
      </c>
    </row>
    <row r="881">
      <c r="K881" s="5">
        <f>IF(AND(IF($B$3="(todos)",TRUE,'ORDENES'!$O877=$B$3),IF($D$3="(todos)",TRUE,'ORDENES'!$AH877=$D$3),IF($F$3="(todos)",TRUE,'ORDENES'!$Z877=$F$3),IF($H$3="(todos)",TRUE,'ORDENES'!$Y877=$H$3),'ORDENES'!$AF877=TRUE,'ORDENES'!$A877&lt;&gt;""),1,0)</f>
        <v/>
      </c>
      <c r="L881" s="5">
        <f>IF(K881=1,IFERROR(MATCH('ORDENES'!$S877,lista_dias,0),9)*1000000000+IFERROR(MATCH('ORDENES'!$AH877,lista_turnos,0),9)*10000000+IFERROR(MATCH('ORDENES'!$AG877,tblTecnicos[nombre],0),99)*100000+874,9000000000000+874)</f>
        <v/>
      </c>
      <c r="M881" s="5">
        <f>IF(K881=1,SUMPRODUCT(--($L$8:$L$1207&lt;L881))+1,"")</f>
        <v/>
      </c>
      <c r="N881" s="17">
        <f>IF(K881=1,N('ORDENES'!$M877),0)</f>
        <v/>
      </c>
      <c r="O881" s="17">
        <f>IF('ORDENES'!$U877="preventiva",N881,0)</f>
        <v/>
      </c>
      <c r="P881" s="17">
        <f>IF('ORDENES'!$U877="correctiva",N881,0)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22">
        <f>IF(K881=1,'ORDENES'!$J877,"")</f>
        <v/>
      </c>
    </row>
    <row r="882">
      <c r="K882" s="5">
        <f>IF(AND(IF($B$3="(todos)",TRUE,'ORDENES'!$O878=$B$3),IF($D$3="(todos)",TRUE,'ORDENES'!$AH878=$D$3),IF($F$3="(todos)",TRUE,'ORDENES'!$Z878=$F$3),IF($H$3="(todos)",TRUE,'ORDENES'!$Y878=$H$3),'ORDENES'!$AF878=TRUE,'ORDENES'!$A878&lt;&gt;""),1,0)</f>
        <v/>
      </c>
      <c r="L882" s="5">
        <f>IF(K882=1,IFERROR(MATCH('ORDENES'!$S878,lista_dias,0),9)*1000000000+IFERROR(MATCH('ORDENES'!$AH878,lista_turnos,0),9)*10000000+IFERROR(MATCH('ORDENES'!$AG878,tblTecnicos[nombre],0),99)*100000+875,9000000000000+875)</f>
        <v/>
      </c>
      <c r="M882" s="5">
        <f>IF(K882=1,SUMPRODUCT(--($L$8:$L$1207&lt;L882))+1,"")</f>
        <v/>
      </c>
      <c r="N882" s="17">
        <f>IF(K882=1,N('ORDENES'!$M878),0)</f>
        <v/>
      </c>
      <c r="O882" s="17">
        <f>IF('ORDENES'!$U878="preventiva",N882,0)</f>
        <v/>
      </c>
      <c r="P882" s="17">
        <f>IF('ORDENES'!$U878="correctiva",N882,0)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22">
        <f>IF(K882=1,'ORDENES'!$J878,"")</f>
        <v/>
      </c>
    </row>
    <row r="883">
      <c r="K883" s="5">
        <f>IF(AND(IF($B$3="(todos)",TRUE,'ORDENES'!$O879=$B$3),IF($D$3="(todos)",TRUE,'ORDENES'!$AH879=$D$3),IF($F$3="(todos)",TRUE,'ORDENES'!$Z879=$F$3),IF($H$3="(todos)",TRUE,'ORDENES'!$Y879=$H$3),'ORDENES'!$AF879=TRUE,'ORDENES'!$A879&lt;&gt;""),1,0)</f>
        <v/>
      </c>
      <c r="L883" s="5">
        <f>IF(K883=1,IFERROR(MATCH('ORDENES'!$S879,lista_dias,0),9)*1000000000+IFERROR(MATCH('ORDENES'!$AH879,lista_turnos,0),9)*10000000+IFERROR(MATCH('ORDENES'!$AG879,tblTecnicos[nombre],0),99)*100000+876,9000000000000+876)</f>
        <v/>
      </c>
      <c r="M883" s="5">
        <f>IF(K883=1,SUMPRODUCT(--($L$8:$L$1207&lt;L883))+1,"")</f>
        <v/>
      </c>
      <c r="N883" s="17">
        <f>IF(K883=1,N('ORDENES'!$M879),0)</f>
        <v/>
      </c>
      <c r="O883" s="17">
        <f>IF('ORDENES'!$U879="preventiva",N883,0)</f>
        <v/>
      </c>
      <c r="P883" s="17">
        <f>IF('ORDENES'!$U879="correctiva",N883,0)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22">
        <f>IF(K883=1,'ORDENES'!$J879,"")</f>
        <v/>
      </c>
    </row>
    <row r="884">
      <c r="K884" s="5">
        <f>IF(AND(IF($B$3="(todos)",TRUE,'ORDENES'!$O880=$B$3),IF($D$3="(todos)",TRUE,'ORDENES'!$AH880=$D$3),IF($F$3="(todos)",TRUE,'ORDENES'!$Z880=$F$3),IF($H$3="(todos)",TRUE,'ORDENES'!$Y880=$H$3),'ORDENES'!$AF880=TRUE,'ORDENES'!$A880&lt;&gt;""),1,0)</f>
        <v/>
      </c>
      <c r="L884" s="5">
        <f>IF(K884=1,IFERROR(MATCH('ORDENES'!$S880,lista_dias,0),9)*1000000000+IFERROR(MATCH('ORDENES'!$AH880,lista_turnos,0),9)*10000000+IFERROR(MATCH('ORDENES'!$AG880,tblTecnicos[nombre],0),99)*100000+877,9000000000000+877)</f>
        <v/>
      </c>
      <c r="M884" s="5">
        <f>IF(K884=1,SUMPRODUCT(--($L$8:$L$1207&lt;L884))+1,"")</f>
        <v/>
      </c>
      <c r="N884" s="17">
        <f>IF(K884=1,N('ORDENES'!$M880),0)</f>
        <v/>
      </c>
      <c r="O884" s="17">
        <f>IF('ORDENES'!$U880="preventiva",N884,0)</f>
        <v/>
      </c>
      <c r="P884" s="17">
        <f>IF('ORDENES'!$U880="correctiva",N884,0)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22">
        <f>IF(K884=1,'ORDENES'!$J880,"")</f>
        <v/>
      </c>
    </row>
    <row r="885">
      <c r="K885" s="5">
        <f>IF(AND(IF($B$3="(todos)",TRUE,'ORDENES'!$O881=$B$3),IF($D$3="(todos)",TRUE,'ORDENES'!$AH881=$D$3),IF($F$3="(todos)",TRUE,'ORDENES'!$Z881=$F$3),IF($H$3="(todos)",TRUE,'ORDENES'!$Y881=$H$3),'ORDENES'!$AF881=TRUE,'ORDENES'!$A881&lt;&gt;""),1,0)</f>
        <v/>
      </c>
      <c r="L885" s="5">
        <f>IF(K885=1,IFERROR(MATCH('ORDENES'!$S881,lista_dias,0),9)*1000000000+IFERROR(MATCH('ORDENES'!$AH881,lista_turnos,0),9)*10000000+IFERROR(MATCH('ORDENES'!$AG881,tblTecnicos[nombre],0),99)*100000+878,9000000000000+878)</f>
        <v/>
      </c>
      <c r="M885" s="5">
        <f>IF(K885=1,SUMPRODUCT(--($L$8:$L$1207&lt;L885))+1,"")</f>
        <v/>
      </c>
      <c r="N885" s="17">
        <f>IF(K885=1,N('ORDENES'!$M881),0)</f>
        <v/>
      </c>
      <c r="O885" s="17">
        <f>IF('ORDENES'!$U881="preventiva",N885,0)</f>
        <v/>
      </c>
      <c r="P885" s="17">
        <f>IF('ORDENES'!$U881="correctiva",N885,0)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22">
        <f>IF(K885=1,'ORDENES'!$J881,"")</f>
        <v/>
      </c>
    </row>
    <row r="886">
      <c r="K886" s="5">
        <f>IF(AND(IF($B$3="(todos)",TRUE,'ORDENES'!$O882=$B$3),IF($D$3="(todos)",TRUE,'ORDENES'!$AH882=$D$3),IF($F$3="(todos)",TRUE,'ORDENES'!$Z882=$F$3),IF($H$3="(todos)",TRUE,'ORDENES'!$Y882=$H$3),'ORDENES'!$AF882=TRUE,'ORDENES'!$A882&lt;&gt;""),1,0)</f>
        <v/>
      </c>
      <c r="L886" s="5">
        <f>IF(K886=1,IFERROR(MATCH('ORDENES'!$S882,lista_dias,0),9)*1000000000+IFERROR(MATCH('ORDENES'!$AH882,lista_turnos,0),9)*10000000+IFERROR(MATCH('ORDENES'!$AG882,tblTecnicos[nombre],0),99)*100000+879,9000000000000+879)</f>
        <v/>
      </c>
      <c r="M886" s="5">
        <f>IF(K886=1,SUMPRODUCT(--($L$8:$L$1207&lt;L886))+1,"")</f>
        <v/>
      </c>
      <c r="N886" s="17">
        <f>IF(K886=1,N('ORDENES'!$M882),0)</f>
        <v/>
      </c>
      <c r="O886" s="17">
        <f>IF('ORDENES'!$U882="preventiva",N886,0)</f>
        <v/>
      </c>
      <c r="P886" s="17">
        <f>IF('ORDENES'!$U882="correctiva",N886,0)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22">
        <f>IF(K886=1,'ORDENES'!$J882,"")</f>
        <v/>
      </c>
    </row>
    <row r="887">
      <c r="K887" s="5">
        <f>IF(AND(IF($B$3="(todos)",TRUE,'ORDENES'!$O883=$B$3),IF($D$3="(todos)",TRUE,'ORDENES'!$AH883=$D$3),IF($F$3="(todos)",TRUE,'ORDENES'!$Z883=$F$3),IF($H$3="(todos)",TRUE,'ORDENES'!$Y883=$H$3),'ORDENES'!$AF883=TRUE,'ORDENES'!$A883&lt;&gt;""),1,0)</f>
        <v/>
      </c>
      <c r="L887" s="5">
        <f>IF(K887=1,IFERROR(MATCH('ORDENES'!$S883,lista_dias,0),9)*1000000000+IFERROR(MATCH('ORDENES'!$AH883,lista_turnos,0),9)*10000000+IFERROR(MATCH('ORDENES'!$AG883,tblTecnicos[nombre],0),99)*100000+880,9000000000000+880)</f>
        <v/>
      </c>
      <c r="M887" s="5">
        <f>IF(K887=1,SUMPRODUCT(--($L$8:$L$1207&lt;L887))+1,"")</f>
        <v/>
      </c>
      <c r="N887" s="17">
        <f>IF(K887=1,N('ORDENES'!$M883),0)</f>
        <v/>
      </c>
      <c r="O887" s="17">
        <f>IF('ORDENES'!$U883="preventiva",N887,0)</f>
        <v/>
      </c>
      <c r="P887" s="17">
        <f>IF('ORDENES'!$U883="correctiva",N887,0)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22">
        <f>IF(K887=1,'ORDENES'!$J883,"")</f>
        <v/>
      </c>
    </row>
    <row r="888">
      <c r="K888" s="5">
        <f>IF(AND(IF($B$3="(todos)",TRUE,'ORDENES'!$O884=$B$3),IF($D$3="(todos)",TRUE,'ORDENES'!$AH884=$D$3),IF($F$3="(todos)",TRUE,'ORDENES'!$Z884=$F$3),IF($H$3="(todos)",TRUE,'ORDENES'!$Y884=$H$3),'ORDENES'!$AF884=TRUE,'ORDENES'!$A884&lt;&gt;""),1,0)</f>
        <v/>
      </c>
      <c r="L888" s="5">
        <f>IF(K888=1,IFERROR(MATCH('ORDENES'!$S884,lista_dias,0),9)*1000000000+IFERROR(MATCH('ORDENES'!$AH884,lista_turnos,0),9)*10000000+IFERROR(MATCH('ORDENES'!$AG884,tblTecnicos[nombre],0),99)*100000+881,9000000000000+881)</f>
        <v/>
      </c>
      <c r="M888" s="5">
        <f>IF(K888=1,SUMPRODUCT(--($L$8:$L$1207&lt;L888))+1,"")</f>
        <v/>
      </c>
      <c r="N888" s="17">
        <f>IF(K888=1,N('ORDENES'!$M884),0)</f>
        <v/>
      </c>
      <c r="O888" s="17">
        <f>IF('ORDENES'!$U884="preventiva",N888,0)</f>
        <v/>
      </c>
      <c r="P888" s="17">
        <f>IF('ORDENES'!$U884="correctiva",N888,0)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22">
        <f>IF(K888=1,'ORDENES'!$J884,"")</f>
        <v/>
      </c>
    </row>
    <row r="889">
      <c r="K889" s="5">
        <f>IF(AND(IF($B$3="(todos)",TRUE,'ORDENES'!$O885=$B$3),IF($D$3="(todos)",TRUE,'ORDENES'!$AH885=$D$3),IF($F$3="(todos)",TRUE,'ORDENES'!$Z885=$F$3),IF($H$3="(todos)",TRUE,'ORDENES'!$Y885=$H$3),'ORDENES'!$AF885=TRUE,'ORDENES'!$A885&lt;&gt;""),1,0)</f>
        <v/>
      </c>
      <c r="L889" s="5">
        <f>IF(K889=1,IFERROR(MATCH('ORDENES'!$S885,lista_dias,0),9)*1000000000+IFERROR(MATCH('ORDENES'!$AH885,lista_turnos,0),9)*10000000+IFERROR(MATCH('ORDENES'!$AG885,tblTecnicos[nombre],0),99)*100000+882,9000000000000+882)</f>
        <v/>
      </c>
      <c r="M889" s="5">
        <f>IF(K889=1,SUMPRODUCT(--($L$8:$L$1207&lt;L889))+1,"")</f>
        <v/>
      </c>
      <c r="N889" s="17">
        <f>IF(K889=1,N('ORDENES'!$M885),0)</f>
        <v/>
      </c>
      <c r="O889" s="17">
        <f>IF('ORDENES'!$U885="preventiva",N889,0)</f>
        <v/>
      </c>
      <c r="P889" s="17">
        <f>IF('ORDENES'!$U885="correctiva",N889,0)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22">
        <f>IF(K889=1,'ORDENES'!$J885,"")</f>
        <v/>
      </c>
    </row>
    <row r="890">
      <c r="K890" s="5">
        <f>IF(AND(IF($B$3="(todos)",TRUE,'ORDENES'!$O886=$B$3),IF($D$3="(todos)",TRUE,'ORDENES'!$AH886=$D$3),IF($F$3="(todos)",TRUE,'ORDENES'!$Z886=$F$3),IF($H$3="(todos)",TRUE,'ORDENES'!$Y886=$H$3),'ORDENES'!$AF886=TRUE,'ORDENES'!$A886&lt;&gt;""),1,0)</f>
        <v/>
      </c>
      <c r="L890" s="5">
        <f>IF(K890=1,IFERROR(MATCH('ORDENES'!$S886,lista_dias,0),9)*1000000000+IFERROR(MATCH('ORDENES'!$AH886,lista_turnos,0),9)*10000000+IFERROR(MATCH('ORDENES'!$AG886,tblTecnicos[nombre],0),99)*100000+883,9000000000000+883)</f>
        <v/>
      </c>
      <c r="M890" s="5">
        <f>IF(K890=1,SUMPRODUCT(--($L$8:$L$1207&lt;L890))+1,"")</f>
        <v/>
      </c>
      <c r="N890" s="17">
        <f>IF(K890=1,N('ORDENES'!$M886),0)</f>
        <v/>
      </c>
      <c r="O890" s="17">
        <f>IF('ORDENES'!$U886="preventiva",N890,0)</f>
        <v/>
      </c>
      <c r="P890" s="17">
        <f>IF('ORDENES'!$U886="correctiva",N890,0)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22">
        <f>IF(K890=1,'ORDENES'!$J886,"")</f>
        <v/>
      </c>
    </row>
    <row r="891">
      <c r="K891" s="5">
        <f>IF(AND(IF($B$3="(todos)",TRUE,'ORDENES'!$O887=$B$3),IF($D$3="(todos)",TRUE,'ORDENES'!$AH887=$D$3),IF($F$3="(todos)",TRUE,'ORDENES'!$Z887=$F$3),IF($H$3="(todos)",TRUE,'ORDENES'!$Y887=$H$3),'ORDENES'!$AF887=TRUE,'ORDENES'!$A887&lt;&gt;""),1,0)</f>
        <v/>
      </c>
      <c r="L891" s="5">
        <f>IF(K891=1,IFERROR(MATCH('ORDENES'!$S887,lista_dias,0),9)*1000000000+IFERROR(MATCH('ORDENES'!$AH887,lista_turnos,0),9)*10000000+IFERROR(MATCH('ORDENES'!$AG887,tblTecnicos[nombre],0),99)*100000+884,9000000000000+884)</f>
        <v/>
      </c>
      <c r="M891" s="5">
        <f>IF(K891=1,SUMPRODUCT(--($L$8:$L$1207&lt;L891))+1,"")</f>
        <v/>
      </c>
      <c r="N891" s="17">
        <f>IF(K891=1,N('ORDENES'!$M887),0)</f>
        <v/>
      </c>
      <c r="O891" s="17">
        <f>IF('ORDENES'!$U887="preventiva",N891,0)</f>
        <v/>
      </c>
      <c r="P891" s="17">
        <f>IF('ORDENES'!$U887="correctiva",N891,0)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22">
        <f>IF(K891=1,'ORDENES'!$J887,"")</f>
        <v/>
      </c>
    </row>
    <row r="892">
      <c r="K892" s="5">
        <f>IF(AND(IF($B$3="(todos)",TRUE,'ORDENES'!$O888=$B$3),IF($D$3="(todos)",TRUE,'ORDENES'!$AH888=$D$3),IF($F$3="(todos)",TRUE,'ORDENES'!$Z888=$F$3),IF($H$3="(todos)",TRUE,'ORDENES'!$Y888=$H$3),'ORDENES'!$AF888=TRUE,'ORDENES'!$A888&lt;&gt;""),1,0)</f>
        <v/>
      </c>
      <c r="L892" s="5">
        <f>IF(K892=1,IFERROR(MATCH('ORDENES'!$S888,lista_dias,0),9)*1000000000+IFERROR(MATCH('ORDENES'!$AH888,lista_turnos,0),9)*10000000+IFERROR(MATCH('ORDENES'!$AG888,tblTecnicos[nombre],0),99)*100000+885,9000000000000+885)</f>
        <v/>
      </c>
      <c r="M892" s="5">
        <f>IF(K892=1,SUMPRODUCT(--($L$8:$L$1207&lt;L892))+1,"")</f>
        <v/>
      </c>
      <c r="N892" s="17">
        <f>IF(K892=1,N('ORDENES'!$M888),0)</f>
        <v/>
      </c>
      <c r="O892" s="17">
        <f>IF('ORDENES'!$U888="preventiva",N892,0)</f>
        <v/>
      </c>
      <c r="P892" s="17">
        <f>IF('ORDENES'!$U888="correctiva",N892,0)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22">
        <f>IF(K892=1,'ORDENES'!$J888,"")</f>
        <v/>
      </c>
    </row>
    <row r="893">
      <c r="K893" s="5">
        <f>IF(AND(IF($B$3="(todos)",TRUE,'ORDENES'!$O889=$B$3),IF($D$3="(todos)",TRUE,'ORDENES'!$AH889=$D$3),IF($F$3="(todos)",TRUE,'ORDENES'!$Z889=$F$3),IF($H$3="(todos)",TRUE,'ORDENES'!$Y889=$H$3),'ORDENES'!$AF889=TRUE,'ORDENES'!$A889&lt;&gt;""),1,0)</f>
        <v/>
      </c>
      <c r="L893" s="5">
        <f>IF(K893=1,IFERROR(MATCH('ORDENES'!$S889,lista_dias,0),9)*1000000000+IFERROR(MATCH('ORDENES'!$AH889,lista_turnos,0),9)*10000000+IFERROR(MATCH('ORDENES'!$AG889,tblTecnicos[nombre],0),99)*100000+886,9000000000000+886)</f>
        <v/>
      </c>
      <c r="M893" s="5">
        <f>IF(K893=1,SUMPRODUCT(--($L$8:$L$1207&lt;L893))+1,"")</f>
        <v/>
      </c>
      <c r="N893" s="17">
        <f>IF(K893=1,N('ORDENES'!$M889),0)</f>
        <v/>
      </c>
      <c r="O893" s="17">
        <f>IF('ORDENES'!$U889="preventiva",N893,0)</f>
        <v/>
      </c>
      <c r="P893" s="17">
        <f>IF('ORDENES'!$U889="correctiva",N893,0)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22">
        <f>IF(K893=1,'ORDENES'!$J889,"")</f>
        <v/>
      </c>
    </row>
    <row r="894">
      <c r="K894" s="5">
        <f>IF(AND(IF($B$3="(todos)",TRUE,'ORDENES'!$O890=$B$3),IF($D$3="(todos)",TRUE,'ORDENES'!$AH890=$D$3),IF($F$3="(todos)",TRUE,'ORDENES'!$Z890=$F$3),IF($H$3="(todos)",TRUE,'ORDENES'!$Y890=$H$3),'ORDENES'!$AF890=TRUE,'ORDENES'!$A890&lt;&gt;""),1,0)</f>
        <v/>
      </c>
      <c r="L894" s="5">
        <f>IF(K894=1,IFERROR(MATCH('ORDENES'!$S890,lista_dias,0),9)*1000000000+IFERROR(MATCH('ORDENES'!$AH890,lista_turnos,0),9)*10000000+IFERROR(MATCH('ORDENES'!$AG890,tblTecnicos[nombre],0),99)*100000+887,9000000000000+887)</f>
        <v/>
      </c>
      <c r="M894" s="5">
        <f>IF(K894=1,SUMPRODUCT(--($L$8:$L$1207&lt;L894))+1,"")</f>
        <v/>
      </c>
      <c r="N894" s="17">
        <f>IF(K894=1,N('ORDENES'!$M890),0)</f>
        <v/>
      </c>
      <c r="O894" s="17">
        <f>IF('ORDENES'!$U890="preventiva",N894,0)</f>
        <v/>
      </c>
      <c r="P894" s="17">
        <f>IF('ORDENES'!$U890="correctiva",N894,0)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22">
        <f>IF(K894=1,'ORDENES'!$J890,"")</f>
        <v/>
      </c>
    </row>
    <row r="895">
      <c r="K895" s="5">
        <f>IF(AND(IF($B$3="(todos)",TRUE,'ORDENES'!$O891=$B$3),IF($D$3="(todos)",TRUE,'ORDENES'!$AH891=$D$3),IF($F$3="(todos)",TRUE,'ORDENES'!$Z891=$F$3),IF($H$3="(todos)",TRUE,'ORDENES'!$Y891=$H$3),'ORDENES'!$AF891=TRUE,'ORDENES'!$A891&lt;&gt;""),1,0)</f>
        <v/>
      </c>
      <c r="L895" s="5">
        <f>IF(K895=1,IFERROR(MATCH('ORDENES'!$S891,lista_dias,0),9)*1000000000+IFERROR(MATCH('ORDENES'!$AH891,lista_turnos,0),9)*10000000+IFERROR(MATCH('ORDENES'!$AG891,tblTecnicos[nombre],0),99)*100000+888,9000000000000+888)</f>
        <v/>
      </c>
      <c r="M895" s="5">
        <f>IF(K895=1,SUMPRODUCT(--($L$8:$L$1207&lt;L895))+1,"")</f>
        <v/>
      </c>
      <c r="N895" s="17">
        <f>IF(K895=1,N('ORDENES'!$M891),0)</f>
        <v/>
      </c>
      <c r="O895" s="17">
        <f>IF('ORDENES'!$U891="preventiva",N895,0)</f>
        <v/>
      </c>
      <c r="P895" s="17">
        <f>IF('ORDENES'!$U891="correctiva",N895,0)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22">
        <f>IF(K895=1,'ORDENES'!$J891,"")</f>
        <v/>
      </c>
    </row>
    <row r="896">
      <c r="K896" s="5">
        <f>IF(AND(IF($B$3="(todos)",TRUE,'ORDENES'!$O892=$B$3),IF($D$3="(todos)",TRUE,'ORDENES'!$AH892=$D$3),IF($F$3="(todos)",TRUE,'ORDENES'!$Z892=$F$3),IF($H$3="(todos)",TRUE,'ORDENES'!$Y892=$H$3),'ORDENES'!$AF892=TRUE,'ORDENES'!$A892&lt;&gt;""),1,0)</f>
        <v/>
      </c>
      <c r="L896" s="5">
        <f>IF(K896=1,IFERROR(MATCH('ORDENES'!$S892,lista_dias,0),9)*1000000000+IFERROR(MATCH('ORDENES'!$AH892,lista_turnos,0),9)*10000000+IFERROR(MATCH('ORDENES'!$AG892,tblTecnicos[nombre],0),99)*100000+889,9000000000000+889)</f>
        <v/>
      </c>
      <c r="M896" s="5">
        <f>IF(K896=1,SUMPRODUCT(--($L$8:$L$1207&lt;L896))+1,"")</f>
        <v/>
      </c>
      <c r="N896" s="17">
        <f>IF(K896=1,N('ORDENES'!$M892),0)</f>
        <v/>
      </c>
      <c r="O896" s="17">
        <f>IF('ORDENES'!$U892="preventiva",N896,0)</f>
        <v/>
      </c>
      <c r="P896" s="17">
        <f>IF('ORDENES'!$U892="correctiva",N896,0)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22">
        <f>IF(K896=1,'ORDENES'!$J892,"")</f>
        <v/>
      </c>
    </row>
    <row r="897">
      <c r="K897" s="5">
        <f>IF(AND(IF($B$3="(todos)",TRUE,'ORDENES'!$O893=$B$3),IF($D$3="(todos)",TRUE,'ORDENES'!$AH893=$D$3),IF($F$3="(todos)",TRUE,'ORDENES'!$Z893=$F$3),IF($H$3="(todos)",TRUE,'ORDENES'!$Y893=$H$3),'ORDENES'!$AF893=TRUE,'ORDENES'!$A893&lt;&gt;""),1,0)</f>
        <v/>
      </c>
      <c r="L897" s="5">
        <f>IF(K897=1,IFERROR(MATCH('ORDENES'!$S893,lista_dias,0),9)*1000000000+IFERROR(MATCH('ORDENES'!$AH893,lista_turnos,0),9)*10000000+IFERROR(MATCH('ORDENES'!$AG893,tblTecnicos[nombre],0),99)*100000+890,9000000000000+890)</f>
        <v/>
      </c>
      <c r="M897" s="5">
        <f>IF(K897=1,SUMPRODUCT(--($L$8:$L$1207&lt;L897))+1,"")</f>
        <v/>
      </c>
      <c r="N897" s="17">
        <f>IF(K897=1,N('ORDENES'!$M893),0)</f>
        <v/>
      </c>
      <c r="O897" s="17">
        <f>IF('ORDENES'!$U893="preventiva",N897,0)</f>
        <v/>
      </c>
      <c r="P897" s="17">
        <f>IF('ORDENES'!$U893="correctiva",N897,0)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22">
        <f>IF(K897=1,'ORDENES'!$J893,"")</f>
        <v/>
      </c>
    </row>
    <row r="898">
      <c r="K898" s="5">
        <f>IF(AND(IF($B$3="(todos)",TRUE,'ORDENES'!$O894=$B$3),IF($D$3="(todos)",TRUE,'ORDENES'!$AH894=$D$3),IF($F$3="(todos)",TRUE,'ORDENES'!$Z894=$F$3),IF($H$3="(todos)",TRUE,'ORDENES'!$Y894=$H$3),'ORDENES'!$AF894=TRUE,'ORDENES'!$A894&lt;&gt;""),1,0)</f>
        <v/>
      </c>
      <c r="L898" s="5">
        <f>IF(K898=1,IFERROR(MATCH('ORDENES'!$S894,lista_dias,0),9)*1000000000+IFERROR(MATCH('ORDENES'!$AH894,lista_turnos,0),9)*10000000+IFERROR(MATCH('ORDENES'!$AG894,tblTecnicos[nombre],0),99)*100000+891,9000000000000+891)</f>
        <v/>
      </c>
      <c r="M898" s="5">
        <f>IF(K898=1,SUMPRODUCT(--($L$8:$L$1207&lt;L898))+1,"")</f>
        <v/>
      </c>
      <c r="N898" s="17">
        <f>IF(K898=1,N('ORDENES'!$M894),0)</f>
        <v/>
      </c>
      <c r="O898" s="17">
        <f>IF('ORDENES'!$U894="preventiva",N898,0)</f>
        <v/>
      </c>
      <c r="P898" s="17">
        <f>IF('ORDENES'!$U894="correctiva",N898,0)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22">
        <f>IF(K898=1,'ORDENES'!$J894,"")</f>
        <v/>
      </c>
    </row>
    <row r="899">
      <c r="K899" s="5">
        <f>IF(AND(IF($B$3="(todos)",TRUE,'ORDENES'!$O895=$B$3),IF($D$3="(todos)",TRUE,'ORDENES'!$AH895=$D$3),IF($F$3="(todos)",TRUE,'ORDENES'!$Z895=$F$3),IF($H$3="(todos)",TRUE,'ORDENES'!$Y895=$H$3),'ORDENES'!$AF895=TRUE,'ORDENES'!$A895&lt;&gt;""),1,0)</f>
        <v/>
      </c>
      <c r="L899" s="5">
        <f>IF(K899=1,IFERROR(MATCH('ORDENES'!$S895,lista_dias,0),9)*1000000000+IFERROR(MATCH('ORDENES'!$AH895,lista_turnos,0),9)*10000000+IFERROR(MATCH('ORDENES'!$AG895,tblTecnicos[nombre],0),99)*100000+892,9000000000000+892)</f>
        <v/>
      </c>
      <c r="M899" s="5">
        <f>IF(K899=1,SUMPRODUCT(--($L$8:$L$1207&lt;L899))+1,"")</f>
        <v/>
      </c>
      <c r="N899" s="17">
        <f>IF(K899=1,N('ORDENES'!$M895),0)</f>
        <v/>
      </c>
      <c r="O899" s="17">
        <f>IF('ORDENES'!$U895="preventiva",N899,0)</f>
        <v/>
      </c>
      <c r="P899" s="17">
        <f>IF('ORDENES'!$U895="correctiva",N899,0)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22">
        <f>IF(K899=1,'ORDENES'!$J895,"")</f>
        <v/>
      </c>
    </row>
    <row r="900">
      <c r="K900" s="5">
        <f>IF(AND(IF($B$3="(todos)",TRUE,'ORDENES'!$O896=$B$3),IF($D$3="(todos)",TRUE,'ORDENES'!$AH896=$D$3),IF($F$3="(todos)",TRUE,'ORDENES'!$Z896=$F$3),IF($H$3="(todos)",TRUE,'ORDENES'!$Y896=$H$3),'ORDENES'!$AF896=TRUE,'ORDENES'!$A896&lt;&gt;""),1,0)</f>
        <v/>
      </c>
      <c r="L900" s="5">
        <f>IF(K900=1,IFERROR(MATCH('ORDENES'!$S896,lista_dias,0),9)*1000000000+IFERROR(MATCH('ORDENES'!$AH896,lista_turnos,0),9)*10000000+IFERROR(MATCH('ORDENES'!$AG896,tblTecnicos[nombre],0),99)*100000+893,9000000000000+893)</f>
        <v/>
      </c>
      <c r="M900" s="5">
        <f>IF(K900=1,SUMPRODUCT(--($L$8:$L$1207&lt;L900))+1,"")</f>
        <v/>
      </c>
      <c r="N900" s="17">
        <f>IF(K900=1,N('ORDENES'!$M896),0)</f>
        <v/>
      </c>
      <c r="O900" s="17">
        <f>IF('ORDENES'!$U896="preventiva",N900,0)</f>
        <v/>
      </c>
      <c r="P900" s="17">
        <f>IF('ORDENES'!$U896="correctiva",N900,0)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22">
        <f>IF(K900=1,'ORDENES'!$J896,"")</f>
        <v/>
      </c>
    </row>
    <row r="901">
      <c r="K901" s="5">
        <f>IF(AND(IF($B$3="(todos)",TRUE,'ORDENES'!$O897=$B$3),IF($D$3="(todos)",TRUE,'ORDENES'!$AH897=$D$3),IF($F$3="(todos)",TRUE,'ORDENES'!$Z897=$F$3),IF($H$3="(todos)",TRUE,'ORDENES'!$Y897=$H$3),'ORDENES'!$AF897=TRUE,'ORDENES'!$A897&lt;&gt;""),1,0)</f>
        <v/>
      </c>
      <c r="L901" s="5">
        <f>IF(K901=1,IFERROR(MATCH('ORDENES'!$S897,lista_dias,0),9)*1000000000+IFERROR(MATCH('ORDENES'!$AH897,lista_turnos,0),9)*10000000+IFERROR(MATCH('ORDENES'!$AG897,tblTecnicos[nombre],0),99)*100000+894,9000000000000+894)</f>
        <v/>
      </c>
      <c r="M901" s="5">
        <f>IF(K901=1,SUMPRODUCT(--($L$8:$L$1207&lt;L901))+1,"")</f>
        <v/>
      </c>
      <c r="N901" s="17">
        <f>IF(K901=1,N('ORDENES'!$M897),0)</f>
        <v/>
      </c>
      <c r="O901" s="17">
        <f>IF('ORDENES'!$U897="preventiva",N901,0)</f>
        <v/>
      </c>
      <c r="P901" s="17">
        <f>IF('ORDENES'!$U897="correctiva",N901,0)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22">
        <f>IF(K901=1,'ORDENES'!$J897,"")</f>
        <v/>
      </c>
    </row>
    <row r="902">
      <c r="K902" s="5">
        <f>IF(AND(IF($B$3="(todos)",TRUE,'ORDENES'!$O898=$B$3),IF($D$3="(todos)",TRUE,'ORDENES'!$AH898=$D$3),IF($F$3="(todos)",TRUE,'ORDENES'!$Z898=$F$3),IF($H$3="(todos)",TRUE,'ORDENES'!$Y898=$H$3),'ORDENES'!$AF898=TRUE,'ORDENES'!$A898&lt;&gt;""),1,0)</f>
        <v/>
      </c>
      <c r="L902" s="5">
        <f>IF(K902=1,IFERROR(MATCH('ORDENES'!$S898,lista_dias,0),9)*1000000000+IFERROR(MATCH('ORDENES'!$AH898,lista_turnos,0),9)*10000000+IFERROR(MATCH('ORDENES'!$AG898,tblTecnicos[nombre],0),99)*100000+895,9000000000000+895)</f>
        <v/>
      </c>
      <c r="M902" s="5">
        <f>IF(K902=1,SUMPRODUCT(--($L$8:$L$1207&lt;L902))+1,"")</f>
        <v/>
      </c>
      <c r="N902" s="17">
        <f>IF(K902=1,N('ORDENES'!$M898),0)</f>
        <v/>
      </c>
      <c r="O902" s="17">
        <f>IF('ORDENES'!$U898="preventiva",N902,0)</f>
        <v/>
      </c>
      <c r="P902" s="17">
        <f>IF('ORDENES'!$U898="correctiva",N902,0)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22">
        <f>IF(K902=1,'ORDENES'!$J898,"")</f>
        <v/>
      </c>
    </row>
    <row r="903">
      <c r="K903" s="5">
        <f>IF(AND(IF($B$3="(todos)",TRUE,'ORDENES'!$O899=$B$3),IF($D$3="(todos)",TRUE,'ORDENES'!$AH899=$D$3),IF($F$3="(todos)",TRUE,'ORDENES'!$Z899=$F$3),IF($H$3="(todos)",TRUE,'ORDENES'!$Y899=$H$3),'ORDENES'!$AF899=TRUE,'ORDENES'!$A899&lt;&gt;""),1,0)</f>
        <v/>
      </c>
      <c r="L903" s="5">
        <f>IF(K903=1,IFERROR(MATCH('ORDENES'!$S899,lista_dias,0),9)*1000000000+IFERROR(MATCH('ORDENES'!$AH899,lista_turnos,0),9)*10000000+IFERROR(MATCH('ORDENES'!$AG899,tblTecnicos[nombre],0),99)*100000+896,9000000000000+896)</f>
        <v/>
      </c>
      <c r="M903" s="5">
        <f>IF(K903=1,SUMPRODUCT(--($L$8:$L$1207&lt;L903))+1,"")</f>
        <v/>
      </c>
      <c r="N903" s="17">
        <f>IF(K903=1,N('ORDENES'!$M899),0)</f>
        <v/>
      </c>
      <c r="O903" s="17">
        <f>IF('ORDENES'!$U899="preventiva",N903,0)</f>
        <v/>
      </c>
      <c r="P903" s="17">
        <f>IF('ORDENES'!$U899="correctiva",N903,0)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22">
        <f>IF(K903=1,'ORDENES'!$J899,"")</f>
        <v/>
      </c>
    </row>
    <row r="904">
      <c r="K904" s="5">
        <f>IF(AND(IF($B$3="(todos)",TRUE,'ORDENES'!$O900=$B$3),IF($D$3="(todos)",TRUE,'ORDENES'!$AH900=$D$3),IF($F$3="(todos)",TRUE,'ORDENES'!$Z900=$F$3),IF($H$3="(todos)",TRUE,'ORDENES'!$Y900=$H$3),'ORDENES'!$AF900=TRUE,'ORDENES'!$A900&lt;&gt;""),1,0)</f>
        <v/>
      </c>
      <c r="L904" s="5">
        <f>IF(K904=1,IFERROR(MATCH('ORDENES'!$S900,lista_dias,0),9)*1000000000+IFERROR(MATCH('ORDENES'!$AH900,lista_turnos,0),9)*10000000+IFERROR(MATCH('ORDENES'!$AG900,tblTecnicos[nombre],0),99)*100000+897,9000000000000+897)</f>
        <v/>
      </c>
      <c r="M904" s="5">
        <f>IF(K904=1,SUMPRODUCT(--($L$8:$L$1207&lt;L904))+1,"")</f>
        <v/>
      </c>
      <c r="N904" s="17">
        <f>IF(K904=1,N('ORDENES'!$M900),0)</f>
        <v/>
      </c>
      <c r="O904" s="17">
        <f>IF('ORDENES'!$U900="preventiva",N904,0)</f>
        <v/>
      </c>
      <c r="P904" s="17">
        <f>IF('ORDENES'!$U900="correctiva",N904,0)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22">
        <f>IF(K904=1,'ORDENES'!$J900,"")</f>
        <v/>
      </c>
    </row>
    <row r="905">
      <c r="K905" s="5">
        <f>IF(AND(IF($B$3="(todos)",TRUE,'ORDENES'!$O901=$B$3),IF($D$3="(todos)",TRUE,'ORDENES'!$AH901=$D$3),IF($F$3="(todos)",TRUE,'ORDENES'!$Z901=$F$3),IF($H$3="(todos)",TRUE,'ORDENES'!$Y901=$H$3),'ORDENES'!$AF901=TRUE,'ORDENES'!$A901&lt;&gt;""),1,0)</f>
        <v/>
      </c>
      <c r="L905" s="5">
        <f>IF(K905=1,IFERROR(MATCH('ORDENES'!$S901,lista_dias,0),9)*1000000000+IFERROR(MATCH('ORDENES'!$AH901,lista_turnos,0),9)*10000000+IFERROR(MATCH('ORDENES'!$AG901,tblTecnicos[nombre],0),99)*100000+898,9000000000000+898)</f>
        <v/>
      </c>
      <c r="M905" s="5">
        <f>IF(K905=1,SUMPRODUCT(--($L$8:$L$1207&lt;L905))+1,"")</f>
        <v/>
      </c>
      <c r="N905" s="17">
        <f>IF(K905=1,N('ORDENES'!$M901),0)</f>
        <v/>
      </c>
      <c r="O905" s="17">
        <f>IF('ORDENES'!$U901="preventiva",N905,0)</f>
        <v/>
      </c>
      <c r="P905" s="17">
        <f>IF('ORDENES'!$U901="correctiva",N905,0)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22">
        <f>IF(K905=1,'ORDENES'!$J901,"")</f>
        <v/>
      </c>
    </row>
    <row r="906">
      <c r="K906" s="5">
        <f>IF(AND(IF($B$3="(todos)",TRUE,'ORDENES'!$O902=$B$3),IF($D$3="(todos)",TRUE,'ORDENES'!$AH902=$D$3),IF($F$3="(todos)",TRUE,'ORDENES'!$Z902=$F$3),IF($H$3="(todos)",TRUE,'ORDENES'!$Y902=$H$3),'ORDENES'!$AF902=TRUE,'ORDENES'!$A902&lt;&gt;""),1,0)</f>
        <v/>
      </c>
      <c r="L906" s="5">
        <f>IF(K906=1,IFERROR(MATCH('ORDENES'!$S902,lista_dias,0),9)*1000000000+IFERROR(MATCH('ORDENES'!$AH902,lista_turnos,0),9)*10000000+IFERROR(MATCH('ORDENES'!$AG902,tblTecnicos[nombre],0),99)*100000+899,9000000000000+899)</f>
        <v/>
      </c>
      <c r="M906" s="5">
        <f>IF(K906=1,SUMPRODUCT(--($L$8:$L$1207&lt;L906))+1,"")</f>
        <v/>
      </c>
      <c r="N906" s="17">
        <f>IF(K906=1,N('ORDENES'!$M902),0)</f>
        <v/>
      </c>
      <c r="O906" s="17">
        <f>IF('ORDENES'!$U902="preventiva",N906,0)</f>
        <v/>
      </c>
      <c r="P906" s="17">
        <f>IF('ORDENES'!$U902="correctiva",N906,0)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22">
        <f>IF(K906=1,'ORDENES'!$J902,"")</f>
        <v/>
      </c>
    </row>
    <row r="907">
      <c r="K907" s="5">
        <f>IF(AND(IF($B$3="(todos)",TRUE,'ORDENES'!$O903=$B$3),IF($D$3="(todos)",TRUE,'ORDENES'!$AH903=$D$3),IF($F$3="(todos)",TRUE,'ORDENES'!$Z903=$F$3),IF($H$3="(todos)",TRUE,'ORDENES'!$Y903=$H$3),'ORDENES'!$AF903=TRUE,'ORDENES'!$A903&lt;&gt;""),1,0)</f>
        <v/>
      </c>
      <c r="L907" s="5">
        <f>IF(K907=1,IFERROR(MATCH('ORDENES'!$S903,lista_dias,0),9)*1000000000+IFERROR(MATCH('ORDENES'!$AH903,lista_turnos,0),9)*10000000+IFERROR(MATCH('ORDENES'!$AG903,tblTecnicos[nombre],0),99)*100000+900,9000000000000+900)</f>
        <v/>
      </c>
      <c r="M907" s="5">
        <f>IF(K907=1,SUMPRODUCT(--($L$8:$L$1207&lt;L907))+1,"")</f>
        <v/>
      </c>
      <c r="N907" s="17">
        <f>IF(K907=1,N('ORDENES'!$M903),0)</f>
        <v/>
      </c>
      <c r="O907" s="17">
        <f>IF('ORDENES'!$U903="preventiva",N907,0)</f>
        <v/>
      </c>
      <c r="P907" s="17">
        <f>IF('ORDENES'!$U903="correctiva",N907,0)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22">
        <f>IF(K907=1,'ORDENES'!$J903,"")</f>
        <v/>
      </c>
    </row>
    <row r="908">
      <c r="K908" s="5">
        <f>IF(AND(IF($B$3="(todos)",TRUE,'ORDENES'!$O904=$B$3),IF($D$3="(todos)",TRUE,'ORDENES'!$AH904=$D$3),IF($F$3="(todos)",TRUE,'ORDENES'!$Z904=$F$3),IF($H$3="(todos)",TRUE,'ORDENES'!$Y904=$H$3),'ORDENES'!$AF904=TRUE,'ORDENES'!$A904&lt;&gt;""),1,0)</f>
        <v/>
      </c>
      <c r="L908" s="5">
        <f>IF(K908=1,IFERROR(MATCH('ORDENES'!$S904,lista_dias,0),9)*1000000000+IFERROR(MATCH('ORDENES'!$AH904,lista_turnos,0),9)*10000000+IFERROR(MATCH('ORDENES'!$AG904,tblTecnicos[nombre],0),99)*100000+901,9000000000000+901)</f>
        <v/>
      </c>
      <c r="M908" s="5">
        <f>IF(K908=1,SUMPRODUCT(--($L$8:$L$1207&lt;L908))+1,"")</f>
        <v/>
      </c>
      <c r="N908" s="17">
        <f>IF(K908=1,N('ORDENES'!$M904),0)</f>
        <v/>
      </c>
      <c r="O908" s="17">
        <f>IF('ORDENES'!$U904="preventiva",N908,0)</f>
        <v/>
      </c>
      <c r="P908" s="17">
        <f>IF('ORDENES'!$U904="correctiva",N908,0)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22">
        <f>IF(K908=1,'ORDENES'!$J904,"")</f>
        <v/>
      </c>
    </row>
    <row r="909">
      <c r="K909" s="5">
        <f>IF(AND(IF($B$3="(todos)",TRUE,'ORDENES'!$O905=$B$3),IF($D$3="(todos)",TRUE,'ORDENES'!$AH905=$D$3),IF($F$3="(todos)",TRUE,'ORDENES'!$Z905=$F$3),IF($H$3="(todos)",TRUE,'ORDENES'!$Y905=$H$3),'ORDENES'!$AF905=TRUE,'ORDENES'!$A905&lt;&gt;""),1,0)</f>
        <v/>
      </c>
      <c r="L909" s="5">
        <f>IF(K909=1,IFERROR(MATCH('ORDENES'!$S905,lista_dias,0),9)*1000000000+IFERROR(MATCH('ORDENES'!$AH905,lista_turnos,0),9)*10000000+IFERROR(MATCH('ORDENES'!$AG905,tblTecnicos[nombre],0),99)*100000+902,9000000000000+902)</f>
        <v/>
      </c>
      <c r="M909" s="5">
        <f>IF(K909=1,SUMPRODUCT(--($L$8:$L$1207&lt;L909))+1,"")</f>
        <v/>
      </c>
      <c r="N909" s="17">
        <f>IF(K909=1,N('ORDENES'!$M905),0)</f>
        <v/>
      </c>
      <c r="O909" s="17">
        <f>IF('ORDENES'!$U905="preventiva",N909,0)</f>
        <v/>
      </c>
      <c r="P909" s="17">
        <f>IF('ORDENES'!$U905="correctiva",N909,0)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22">
        <f>IF(K909=1,'ORDENES'!$J905,"")</f>
        <v/>
      </c>
    </row>
    <row r="910">
      <c r="K910" s="5">
        <f>IF(AND(IF($B$3="(todos)",TRUE,'ORDENES'!$O906=$B$3),IF($D$3="(todos)",TRUE,'ORDENES'!$AH906=$D$3),IF($F$3="(todos)",TRUE,'ORDENES'!$Z906=$F$3),IF($H$3="(todos)",TRUE,'ORDENES'!$Y906=$H$3),'ORDENES'!$AF906=TRUE,'ORDENES'!$A906&lt;&gt;""),1,0)</f>
        <v/>
      </c>
      <c r="L910" s="5">
        <f>IF(K910=1,IFERROR(MATCH('ORDENES'!$S906,lista_dias,0),9)*1000000000+IFERROR(MATCH('ORDENES'!$AH906,lista_turnos,0),9)*10000000+IFERROR(MATCH('ORDENES'!$AG906,tblTecnicos[nombre],0),99)*100000+903,9000000000000+903)</f>
        <v/>
      </c>
      <c r="M910" s="5">
        <f>IF(K910=1,SUMPRODUCT(--($L$8:$L$1207&lt;L910))+1,"")</f>
        <v/>
      </c>
      <c r="N910" s="17">
        <f>IF(K910=1,N('ORDENES'!$M906),0)</f>
        <v/>
      </c>
      <c r="O910" s="17">
        <f>IF('ORDENES'!$U906="preventiva",N910,0)</f>
        <v/>
      </c>
      <c r="P910" s="17">
        <f>IF('ORDENES'!$U906="correctiva",N910,0)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22">
        <f>IF(K910=1,'ORDENES'!$J906,"")</f>
        <v/>
      </c>
    </row>
    <row r="911">
      <c r="K911" s="5">
        <f>IF(AND(IF($B$3="(todos)",TRUE,'ORDENES'!$O907=$B$3),IF($D$3="(todos)",TRUE,'ORDENES'!$AH907=$D$3),IF($F$3="(todos)",TRUE,'ORDENES'!$Z907=$F$3),IF($H$3="(todos)",TRUE,'ORDENES'!$Y907=$H$3),'ORDENES'!$AF907=TRUE,'ORDENES'!$A907&lt;&gt;""),1,0)</f>
        <v/>
      </c>
      <c r="L911" s="5">
        <f>IF(K911=1,IFERROR(MATCH('ORDENES'!$S907,lista_dias,0),9)*1000000000+IFERROR(MATCH('ORDENES'!$AH907,lista_turnos,0),9)*10000000+IFERROR(MATCH('ORDENES'!$AG907,tblTecnicos[nombre],0),99)*100000+904,9000000000000+904)</f>
        <v/>
      </c>
      <c r="M911" s="5">
        <f>IF(K911=1,SUMPRODUCT(--($L$8:$L$1207&lt;L911))+1,"")</f>
        <v/>
      </c>
      <c r="N911" s="17">
        <f>IF(K911=1,N('ORDENES'!$M907),0)</f>
        <v/>
      </c>
      <c r="O911" s="17">
        <f>IF('ORDENES'!$U907="preventiva",N911,0)</f>
        <v/>
      </c>
      <c r="P911" s="17">
        <f>IF('ORDENES'!$U907="correctiva",N911,0)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22">
        <f>IF(K911=1,'ORDENES'!$J907,"")</f>
        <v/>
      </c>
    </row>
    <row r="912">
      <c r="K912" s="5">
        <f>IF(AND(IF($B$3="(todos)",TRUE,'ORDENES'!$O908=$B$3),IF($D$3="(todos)",TRUE,'ORDENES'!$AH908=$D$3),IF($F$3="(todos)",TRUE,'ORDENES'!$Z908=$F$3),IF($H$3="(todos)",TRUE,'ORDENES'!$Y908=$H$3),'ORDENES'!$AF908=TRUE,'ORDENES'!$A908&lt;&gt;""),1,0)</f>
        <v/>
      </c>
      <c r="L912" s="5">
        <f>IF(K912=1,IFERROR(MATCH('ORDENES'!$S908,lista_dias,0),9)*1000000000+IFERROR(MATCH('ORDENES'!$AH908,lista_turnos,0),9)*10000000+IFERROR(MATCH('ORDENES'!$AG908,tblTecnicos[nombre],0),99)*100000+905,9000000000000+905)</f>
        <v/>
      </c>
      <c r="M912" s="5">
        <f>IF(K912=1,SUMPRODUCT(--($L$8:$L$1207&lt;L912))+1,"")</f>
        <v/>
      </c>
      <c r="N912" s="17">
        <f>IF(K912=1,N('ORDENES'!$M908),0)</f>
        <v/>
      </c>
      <c r="O912" s="17">
        <f>IF('ORDENES'!$U908="preventiva",N912,0)</f>
        <v/>
      </c>
      <c r="P912" s="17">
        <f>IF('ORDENES'!$U908="correctiva",N912,0)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22">
        <f>IF(K912=1,'ORDENES'!$J908,"")</f>
        <v/>
      </c>
    </row>
    <row r="913">
      <c r="K913" s="5">
        <f>IF(AND(IF($B$3="(todos)",TRUE,'ORDENES'!$O909=$B$3),IF($D$3="(todos)",TRUE,'ORDENES'!$AH909=$D$3),IF($F$3="(todos)",TRUE,'ORDENES'!$Z909=$F$3),IF($H$3="(todos)",TRUE,'ORDENES'!$Y909=$H$3),'ORDENES'!$AF909=TRUE,'ORDENES'!$A909&lt;&gt;""),1,0)</f>
        <v/>
      </c>
      <c r="L913" s="5">
        <f>IF(K913=1,IFERROR(MATCH('ORDENES'!$S909,lista_dias,0),9)*1000000000+IFERROR(MATCH('ORDENES'!$AH909,lista_turnos,0),9)*10000000+IFERROR(MATCH('ORDENES'!$AG909,tblTecnicos[nombre],0),99)*100000+906,9000000000000+906)</f>
        <v/>
      </c>
      <c r="M913" s="5">
        <f>IF(K913=1,SUMPRODUCT(--($L$8:$L$1207&lt;L913))+1,"")</f>
        <v/>
      </c>
      <c r="N913" s="17">
        <f>IF(K913=1,N('ORDENES'!$M909),0)</f>
        <v/>
      </c>
      <c r="O913" s="17">
        <f>IF('ORDENES'!$U909="preventiva",N913,0)</f>
        <v/>
      </c>
      <c r="P913" s="17">
        <f>IF('ORDENES'!$U909="correctiva",N913,0)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22">
        <f>IF(K913=1,'ORDENES'!$J909,"")</f>
        <v/>
      </c>
    </row>
    <row r="914">
      <c r="K914" s="5">
        <f>IF(AND(IF($B$3="(todos)",TRUE,'ORDENES'!$O910=$B$3),IF($D$3="(todos)",TRUE,'ORDENES'!$AH910=$D$3),IF($F$3="(todos)",TRUE,'ORDENES'!$Z910=$F$3),IF($H$3="(todos)",TRUE,'ORDENES'!$Y910=$H$3),'ORDENES'!$AF910=TRUE,'ORDENES'!$A910&lt;&gt;""),1,0)</f>
        <v/>
      </c>
      <c r="L914" s="5">
        <f>IF(K914=1,IFERROR(MATCH('ORDENES'!$S910,lista_dias,0),9)*1000000000+IFERROR(MATCH('ORDENES'!$AH910,lista_turnos,0),9)*10000000+IFERROR(MATCH('ORDENES'!$AG910,tblTecnicos[nombre],0),99)*100000+907,9000000000000+907)</f>
        <v/>
      </c>
      <c r="M914" s="5">
        <f>IF(K914=1,SUMPRODUCT(--($L$8:$L$1207&lt;L914))+1,"")</f>
        <v/>
      </c>
      <c r="N914" s="17">
        <f>IF(K914=1,N('ORDENES'!$M910),0)</f>
        <v/>
      </c>
      <c r="O914" s="17">
        <f>IF('ORDENES'!$U910="preventiva",N914,0)</f>
        <v/>
      </c>
      <c r="P914" s="17">
        <f>IF('ORDENES'!$U910="correctiva",N914,0)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22">
        <f>IF(K914=1,'ORDENES'!$J910,"")</f>
        <v/>
      </c>
    </row>
    <row r="915">
      <c r="K915" s="5">
        <f>IF(AND(IF($B$3="(todos)",TRUE,'ORDENES'!$O911=$B$3),IF($D$3="(todos)",TRUE,'ORDENES'!$AH911=$D$3),IF($F$3="(todos)",TRUE,'ORDENES'!$Z911=$F$3),IF($H$3="(todos)",TRUE,'ORDENES'!$Y911=$H$3),'ORDENES'!$AF911=TRUE,'ORDENES'!$A911&lt;&gt;""),1,0)</f>
        <v/>
      </c>
      <c r="L915" s="5">
        <f>IF(K915=1,IFERROR(MATCH('ORDENES'!$S911,lista_dias,0),9)*1000000000+IFERROR(MATCH('ORDENES'!$AH911,lista_turnos,0),9)*10000000+IFERROR(MATCH('ORDENES'!$AG911,tblTecnicos[nombre],0),99)*100000+908,9000000000000+908)</f>
        <v/>
      </c>
      <c r="M915" s="5">
        <f>IF(K915=1,SUMPRODUCT(--($L$8:$L$1207&lt;L915))+1,"")</f>
        <v/>
      </c>
      <c r="N915" s="17">
        <f>IF(K915=1,N('ORDENES'!$M911),0)</f>
        <v/>
      </c>
      <c r="O915" s="17">
        <f>IF('ORDENES'!$U911="preventiva",N915,0)</f>
        <v/>
      </c>
      <c r="P915" s="17">
        <f>IF('ORDENES'!$U911="correctiva",N915,0)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22">
        <f>IF(K915=1,'ORDENES'!$J911,"")</f>
        <v/>
      </c>
    </row>
    <row r="916">
      <c r="K916" s="5">
        <f>IF(AND(IF($B$3="(todos)",TRUE,'ORDENES'!$O912=$B$3),IF($D$3="(todos)",TRUE,'ORDENES'!$AH912=$D$3),IF($F$3="(todos)",TRUE,'ORDENES'!$Z912=$F$3),IF($H$3="(todos)",TRUE,'ORDENES'!$Y912=$H$3),'ORDENES'!$AF912=TRUE,'ORDENES'!$A912&lt;&gt;""),1,0)</f>
        <v/>
      </c>
      <c r="L916" s="5">
        <f>IF(K916=1,IFERROR(MATCH('ORDENES'!$S912,lista_dias,0),9)*1000000000+IFERROR(MATCH('ORDENES'!$AH912,lista_turnos,0),9)*10000000+IFERROR(MATCH('ORDENES'!$AG912,tblTecnicos[nombre],0),99)*100000+909,9000000000000+909)</f>
        <v/>
      </c>
      <c r="M916" s="5">
        <f>IF(K916=1,SUMPRODUCT(--($L$8:$L$1207&lt;L916))+1,"")</f>
        <v/>
      </c>
      <c r="N916" s="17">
        <f>IF(K916=1,N('ORDENES'!$M912),0)</f>
        <v/>
      </c>
      <c r="O916" s="17">
        <f>IF('ORDENES'!$U912="preventiva",N916,0)</f>
        <v/>
      </c>
      <c r="P916" s="17">
        <f>IF('ORDENES'!$U912="correctiva",N916,0)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22">
        <f>IF(K916=1,'ORDENES'!$J912,"")</f>
        <v/>
      </c>
    </row>
    <row r="917">
      <c r="K917" s="5">
        <f>IF(AND(IF($B$3="(todos)",TRUE,'ORDENES'!$O913=$B$3),IF($D$3="(todos)",TRUE,'ORDENES'!$AH913=$D$3),IF($F$3="(todos)",TRUE,'ORDENES'!$Z913=$F$3),IF($H$3="(todos)",TRUE,'ORDENES'!$Y913=$H$3),'ORDENES'!$AF913=TRUE,'ORDENES'!$A913&lt;&gt;""),1,0)</f>
        <v/>
      </c>
      <c r="L917" s="5">
        <f>IF(K917=1,IFERROR(MATCH('ORDENES'!$S913,lista_dias,0),9)*1000000000+IFERROR(MATCH('ORDENES'!$AH913,lista_turnos,0),9)*10000000+IFERROR(MATCH('ORDENES'!$AG913,tblTecnicos[nombre],0),99)*100000+910,9000000000000+910)</f>
        <v/>
      </c>
      <c r="M917" s="5">
        <f>IF(K917=1,SUMPRODUCT(--($L$8:$L$1207&lt;L917))+1,"")</f>
        <v/>
      </c>
      <c r="N917" s="17">
        <f>IF(K917=1,N('ORDENES'!$M913),0)</f>
        <v/>
      </c>
      <c r="O917" s="17">
        <f>IF('ORDENES'!$U913="preventiva",N917,0)</f>
        <v/>
      </c>
      <c r="P917" s="17">
        <f>IF('ORDENES'!$U913="correctiva",N917,0)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22">
        <f>IF(K917=1,'ORDENES'!$J913,"")</f>
        <v/>
      </c>
    </row>
    <row r="918">
      <c r="K918" s="5">
        <f>IF(AND(IF($B$3="(todos)",TRUE,'ORDENES'!$O914=$B$3),IF($D$3="(todos)",TRUE,'ORDENES'!$AH914=$D$3),IF($F$3="(todos)",TRUE,'ORDENES'!$Z914=$F$3),IF($H$3="(todos)",TRUE,'ORDENES'!$Y914=$H$3),'ORDENES'!$AF914=TRUE,'ORDENES'!$A914&lt;&gt;""),1,0)</f>
        <v/>
      </c>
      <c r="L918" s="5">
        <f>IF(K918=1,IFERROR(MATCH('ORDENES'!$S914,lista_dias,0),9)*1000000000+IFERROR(MATCH('ORDENES'!$AH914,lista_turnos,0),9)*10000000+IFERROR(MATCH('ORDENES'!$AG914,tblTecnicos[nombre],0),99)*100000+911,9000000000000+911)</f>
        <v/>
      </c>
      <c r="M918" s="5">
        <f>IF(K918=1,SUMPRODUCT(--($L$8:$L$1207&lt;L918))+1,"")</f>
        <v/>
      </c>
      <c r="N918" s="17">
        <f>IF(K918=1,N('ORDENES'!$M914),0)</f>
        <v/>
      </c>
      <c r="O918" s="17">
        <f>IF('ORDENES'!$U914="preventiva",N918,0)</f>
        <v/>
      </c>
      <c r="P918" s="17">
        <f>IF('ORDENES'!$U914="correctiva",N918,0)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22">
        <f>IF(K918=1,'ORDENES'!$J914,"")</f>
        <v/>
      </c>
    </row>
    <row r="919">
      <c r="K919" s="5">
        <f>IF(AND(IF($B$3="(todos)",TRUE,'ORDENES'!$O915=$B$3),IF($D$3="(todos)",TRUE,'ORDENES'!$AH915=$D$3),IF($F$3="(todos)",TRUE,'ORDENES'!$Z915=$F$3),IF($H$3="(todos)",TRUE,'ORDENES'!$Y915=$H$3),'ORDENES'!$AF915=TRUE,'ORDENES'!$A915&lt;&gt;""),1,0)</f>
        <v/>
      </c>
      <c r="L919" s="5">
        <f>IF(K919=1,IFERROR(MATCH('ORDENES'!$S915,lista_dias,0),9)*1000000000+IFERROR(MATCH('ORDENES'!$AH915,lista_turnos,0),9)*10000000+IFERROR(MATCH('ORDENES'!$AG915,tblTecnicos[nombre],0),99)*100000+912,9000000000000+912)</f>
        <v/>
      </c>
      <c r="M919" s="5">
        <f>IF(K919=1,SUMPRODUCT(--($L$8:$L$1207&lt;L919))+1,"")</f>
        <v/>
      </c>
      <c r="N919" s="17">
        <f>IF(K919=1,N('ORDENES'!$M915),0)</f>
        <v/>
      </c>
      <c r="O919" s="17">
        <f>IF('ORDENES'!$U915="preventiva",N919,0)</f>
        <v/>
      </c>
      <c r="P919" s="17">
        <f>IF('ORDENES'!$U915="correctiva",N919,0)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22">
        <f>IF(K919=1,'ORDENES'!$J915,"")</f>
        <v/>
      </c>
    </row>
    <row r="920">
      <c r="K920" s="5">
        <f>IF(AND(IF($B$3="(todos)",TRUE,'ORDENES'!$O916=$B$3),IF($D$3="(todos)",TRUE,'ORDENES'!$AH916=$D$3),IF($F$3="(todos)",TRUE,'ORDENES'!$Z916=$F$3),IF($H$3="(todos)",TRUE,'ORDENES'!$Y916=$H$3),'ORDENES'!$AF916=TRUE,'ORDENES'!$A916&lt;&gt;""),1,0)</f>
        <v/>
      </c>
      <c r="L920" s="5">
        <f>IF(K920=1,IFERROR(MATCH('ORDENES'!$S916,lista_dias,0),9)*1000000000+IFERROR(MATCH('ORDENES'!$AH916,lista_turnos,0),9)*10000000+IFERROR(MATCH('ORDENES'!$AG916,tblTecnicos[nombre],0),99)*100000+913,9000000000000+913)</f>
        <v/>
      </c>
      <c r="M920" s="5">
        <f>IF(K920=1,SUMPRODUCT(--($L$8:$L$1207&lt;L920))+1,"")</f>
        <v/>
      </c>
      <c r="N920" s="17">
        <f>IF(K920=1,N('ORDENES'!$M916),0)</f>
        <v/>
      </c>
      <c r="O920" s="17">
        <f>IF('ORDENES'!$U916="preventiva",N920,0)</f>
        <v/>
      </c>
      <c r="P920" s="17">
        <f>IF('ORDENES'!$U916="correctiva",N920,0)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22">
        <f>IF(K920=1,'ORDENES'!$J916,"")</f>
        <v/>
      </c>
    </row>
    <row r="921">
      <c r="K921" s="5">
        <f>IF(AND(IF($B$3="(todos)",TRUE,'ORDENES'!$O917=$B$3),IF($D$3="(todos)",TRUE,'ORDENES'!$AH917=$D$3),IF($F$3="(todos)",TRUE,'ORDENES'!$Z917=$F$3),IF($H$3="(todos)",TRUE,'ORDENES'!$Y917=$H$3),'ORDENES'!$AF917=TRUE,'ORDENES'!$A917&lt;&gt;""),1,0)</f>
        <v/>
      </c>
      <c r="L921" s="5">
        <f>IF(K921=1,IFERROR(MATCH('ORDENES'!$S917,lista_dias,0),9)*1000000000+IFERROR(MATCH('ORDENES'!$AH917,lista_turnos,0),9)*10000000+IFERROR(MATCH('ORDENES'!$AG917,tblTecnicos[nombre],0),99)*100000+914,9000000000000+914)</f>
        <v/>
      </c>
      <c r="M921" s="5">
        <f>IF(K921=1,SUMPRODUCT(--($L$8:$L$1207&lt;L921))+1,"")</f>
        <v/>
      </c>
      <c r="N921" s="17">
        <f>IF(K921=1,N('ORDENES'!$M917),0)</f>
        <v/>
      </c>
      <c r="O921" s="17">
        <f>IF('ORDENES'!$U917="preventiva",N921,0)</f>
        <v/>
      </c>
      <c r="P921" s="17">
        <f>IF('ORDENES'!$U917="correctiva",N921,0)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22">
        <f>IF(K921=1,'ORDENES'!$J917,"")</f>
        <v/>
      </c>
    </row>
    <row r="922">
      <c r="K922" s="5">
        <f>IF(AND(IF($B$3="(todos)",TRUE,'ORDENES'!$O918=$B$3),IF($D$3="(todos)",TRUE,'ORDENES'!$AH918=$D$3),IF($F$3="(todos)",TRUE,'ORDENES'!$Z918=$F$3),IF($H$3="(todos)",TRUE,'ORDENES'!$Y918=$H$3),'ORDENES'!$AF918=TRUE,'ORDENES'!$A918&lt;&gt;""),1,0)</f>
        <v/>
      </c>
      <c r="L922" s="5">
        <f>IF(K922=1,IFERROR(MATCH('ORDENES'!$S918,lista_dias,0),9)*1000000000+IFERROR(MATCH('ORDENES'!$AH918,lista_turnos,0),9)*10000000+IFERROR(MATCH('ORDENES'!$AG918,tblTecnicos[nombre],0),99)*100000+915,9000000000000+915)</f>
        <v/>
      </c>
      <c r="M922" s="5">
        <f>IF(K922=1,SUMPRODUCT(--($L$8:$L$1207&lt;L922))+1,"")</f>
        <v/>
      </c>
      <c r="N922" s="17">
        <f>IF(K922=1,N('ORDENES'!$M918),0)</f>
        <v/>
      </c>
      <c r="O922" s="17">
        <f>IF('ORDENES'!$U918="preventiva",N922,0)</f>
        <v/>
      </c>
      <c r="P922" s="17">
        <f>IF('ORDENES'!$U918="correctiva",N922,0)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22">
        <f>IF(K922=1,'ORDENES'!$J918,"")</f>
        <v/>
      </c>
    </row>
    <row r="923">
      <c r="K923" s="5">
        <f>IF(AND(IF($B$3="(todos)",TRUE,'ORDENES'!$O919=$B$3),IF($D$3="(todos)",TRUE,'ORDENES'!$AH919=$D$3),IF($F$3="(todos)",TRUE,'ORDENES'!$Z919=$F$3),IF($H$3="(todos)",TRUE,'ORDENES'!$Y919=$H$3),'ORDENES'!$AF919=TRUE,'ORDENES'!$A919&lt;&gt;""),1,0)</f>
        <v/>
      </c>
      <c r="L923" s="5">
        <f>IF(K923=1,IFERROR(MATCH('ORDENES'!$S919,lista_dias,0),9)*1000000000+IFERROR(MATCH('ORDENES'!$AH919,lista_turnos,0),9)*10000000+IFERROR(MATCH('ORDENES'!$AG919,tblTecnicos[nombre],0),99)*100000+916,9000000000000+916)</f>
        <v/>
      </c>
      <c r="M923" s="5">
        <f>IF(K923=1,SUMPRODUCT(--($L$8:$L$1207&lt;L923))+1,"")</f>
        <v/>
      </c>
      <c r="N923" s="17">
        <f>IF(K923=1,N('ORDENES'!$M919),0)</f>
        <v/>
      </c>
      <c r="O923" s="17">
        <f>IF('ORDENES'!$U919="preventiva",N923,0)</f>
        <v/>
      </c>
      <c r="P923" s="17">
        <f>IF('ORDENES'!$U919="correctiva",N923,0)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22">
        <f>IF(K923=1,'ORDENES'!$J919,"")</f>
        <v/>
      </c>
    </row>
    <row r="924">
      <c r="K924" s="5">
        <f>IF(AND(IF($B$3="(todos)",TRUE,'ORDENES'!$O920=$B$3),IF($D$3="(todos)",TRUE,'ORDENES'!$AH920=$D$3),IF($F$3="(todos)",TRUE,'ORDENES'!$Z920=$F$3),IF($H$3="(todos)",TRUE,'ORDENES'!$Y920=$H$3),'ORDENES'!$AF920=TRUE,'ORDENES'!$A920&lt;&gt;""),1,0)</f>
        <v/>
      </c>
      <c r="L924" s="5">
        <f>IF(K924=1,IFERROR(MATCH('ORDENES'!$S920,lista_dias,0),9)*1000000000+IFERROR(MATCH('ORDENES'!$AH920,lista_turnos,0),9)*10000000+IFERROR(MATCH('ORDENES'!$AG920,tblTecnicos[nombre],0),99)*100000+917,9000000000000+917)</f>
        <v/>
      </c>
      <c r="M924" s="5">
        <f>IF(K924=1,SUMPRODUCT(--($L$8:$L$1207&lt;L924))+1,"")</f>
        <v/>
      </c>
      <c r="N924" s="17">
        <f>IF(K924=1,N('ORDENES'!$M920),0)</f>
        <v/>
      </c>
      <c r="O924" s="17">
        <f>IF('ORDENES'!$U920="preventiva",N924,0)</f>
        <v/>
      </c>
      <c r="P924" s="17">
        <f>IF('ORDENES'!$U920="correctiva",N924,0)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22">
        <f>IF(K924=1,'ORDENES'!$J920,"")</f>
        <v/>
      </c>
    </row>
    <row r="925">
      <c r="K925" s="5">
        <f>IF(AND(IF($B$3="(todos)",TRUE,'ORDENES'!$O921=$B$3),IF($D$3="(todos)",TRUE,'ORDENES'!$AH921=$D$3),IF($F$3="(todos)",TRUE,'ORDENES'!$Z921=$F$3),IF($H$3="(todos)",TRUE,'ORDENES'!$Y921=$H$3),'ORDENES'!$AF921=TRUE,'ORDENES'!$A921&lt;&gt;""),1,0)</f>
        <v/>
      </c>
      <c r="L925" s="5">
        <f>IF(K925=1,IFERROR(MATCH('ORDENES'!$S921,lista_dias,0),9)*1000000000+IFERROR(MATCH('ORDENES'!$AH921,lista_turnos,0),9)*10000000+IFERROR(MATCH('ORDENES'!$AG921,tblTecnicos[nombre],0),99)*100000+918,9000000000000+918)</f>
        <v/>
      </c>
      <c r="M925" s="5">
        <f>IF(K925=1,SUMPRODUCT(--($L$8:$L$1207&lt;L925))+1,"")</f>
        <v/>
      </c>
      <c r="N925" s="17">
        <f>IF(K925=1,N('ORDENES'!$M921),0)</f>
        <v/>
      </c>
      <c r="O925" s="17">
        <f>IF('ORDENES'!$U921="preventiva",N925,0)</f>
        <v/>
      </c>
      <c r="P925" s="17">
        <f>IF('ORDENES'!$U921="correctiva",N925,0)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22">
        <f>IF(K925=1,'ORDENES'!$J921,"")</f>
        <v/>
      </c>
    </row>
    <row r="926">
      <c r="K926" s="5">
        <f>IF(AND(IF($B$3="(todos)",TRUE,'ORDENES'!$O922=$B$3),IF($D$3="(todos)",TRUE,'ORDENES'!$AH922=$D$3),IF($F$3="(todos)",TRUE,'ORDENES'!$Z922=$F$3),IF($H$3="(todos)",TRUE,'ORDENES'!$Y922=$H$3),'ORDENES'!$AF922=TRUE,'ORDENES'!$A922&lt;&gt;""),1,0)</f>
        <v/>
      </c>
      <c r="L926" s="5">
        <f>IF(K926=1,IFERROR(MATCH('ORDENES'!$S922,lista_dias,0),9)*1000000000+IFERROR(MATCH('ORDENES'!$AH922,lista_turnos,0),9)*10000000+IFERROR(MATCH('ORDENES'!$AG922,tblTecnicos[nombre],0),99)*100000+919,9000000000000+919)</f>
        <v/>
      </c>
      <c r="M926" s="5">
        <f>IF(K926=1,SUMPRODUCT(--($L$8:$L$1207&lt;L926))+1,"")</f>
        <v/>
      </c>
      <c r="N926" s="17">
        <f>IF(K926=1,N('ORDENES'!$M922),0)</f>
        <v/>
      </c>
      <c r="O926" s="17">
        <f>IF('ORDENES'!$U922="preventiva",N926,0)</f>
        <v/>
      </c>
      <c r="P926" s="17">
        <f>IF('ORDENES'!$U922="correctiva",N926,0)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22">
        <f>IF(K926=1,'ORDENES'!$J922,"")</f>
        <v/>
      </c>
    </row>
    <row r="927">
      <c r="K927" s="5">
        <f>IF(AND(IF($B$3="(todos)",TRUE,'ORDENES'!$O923=$B$3),IF($D$3="(todos)",TRUE,'ORDENES'!$AH923=$D$3),IF($F$3="(todos)",TRUE,'ORDENES'!$Z923=$F$3),IF($H$3="(todos)",TRUE,'ORDENES'!$Y923=$H$3),'ORDENES'!$AF923=TRUE,'ORDENES'!$A923&lt;&gt;""),1,0)</f>
        <v/>
      </c>
      <c r="L927" s="5">
        <f>IF(K927=1,IFERROR(MATCH('ORDENES'!$S923,lista_dias,0),9)*1000000000+IFERROR(MATCH('ORDENES'!$AH923,lista_turnos,0),9)*10000000+IFERROR(MATCH('ORDENES'!$AG923,tblTecnicos[nombre],0),99)*100000+920,9000000000000+920)</f>
        <v/>
      </c>
      <c r="M927" s="5">
        <f>IF(K927=1,SUMPRODUCT(--($L$8:$L$1207&lt;L927))+1,"")</f>
        <v/>
      </c>
      <c r="N927" s="17">
        <f>IF(K927=1,N('ORDENES'!$M923),0)</f>
        <v/>
      </c>
      <c r="O927" s="17">
        <f>IF('ORDENES'!$U923="preventiva",N927,0)</f>
        <v/>
      </c>
      <c r="P927" s="17">
        <f>IF('ORDENES'!$U923="correctiva",N927,0)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22">
        <f>IF(K927=1,'ORDENES'!$J923,"")</f>
        <v/>
      </c>
    </row>
    <row r="928">
      <c r="K928" s="5">
        <f>IF(AND(IF($B$3="(todos)",TRUE,'ORDENES'!$O924=$B$3),IF($D$3="(todos)",TRUE,'ORDENES'!$AH924=$D$3),IF($F$3="(todos)",TRUE,'ORDENES'!$Z924=$F$3),IF($H$3="(todos)",TRUE,'ORDENES'!$Y924=$H$3),'ORDENES'!$AF924=TRUE,'ORDENES'!$A924&lt;&gt;""),1,0)</f>
        <v/>
      </c>
      <c r="L928" s="5">
        <f>IF(K928=1,IFERROR(MATCH('ORDENES'!$S924,lista_dias,0),9)*1000000000+IFERROR(MATCH('ORDENES'!$AH924,lista_turnos,0),9)*10000000+IFERROR(MATCH('ORDENES'!$AG924,tblTecnicos[nombre],0),99)*100000+921,9000000000000+921)</f>
        <v/>
      </c>
      <c r="M928" s="5">
        <f>IF(K928=1,SUMPRODUCT(--($L$8:$L$1207&lt;L928))+1,"")</f>
        <v/>
      </c>
      <c r="N928" s="17">
        <f>IF(K928=1,N('ORDENES'!$M924),0)</f>
        <v/>
      </c>
      <c r="O928" s="17">
        <f>IF('ORDENES'!$U924="preventiva",N928,0)</f>
        <v/>
      </c>
      <c r="P928" s="17">
        <f>IF('ORDENES'!$U924="correctiva",N928,0)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22">
        <f>IF(K928=1,'ORDENES'!$J924,"")</f>
        <v/>
      </c>
    </row>
    <row r="929">
      <c r="K929" s="5">
        <f>IF(AND(IF($B$3="(todos)",TRUE,'ORDENES'!$O925=$B$3),IF($D$3="(todos)",TRUE,'ORDENES'!$AH925=$D$3),IF($F$3="(todos)",TRUE,'ORDENES'!$Z925=$F$3),IF($H$3="(todos)",TRUE,'ORDENES'!$Y925=$H$3),'ORDENES'!$AF925=TRUE,'ORDENES'!$A925&lt;&gt;""),1,0)</f>
        <v/>
      </c>
      <c r="L929" s="5">
        <f>IF(K929=1,IFERROR(MATCH('ORDENES'!$S925,lista_dias,0),9)*1000000000+IFERROR(MATCH('ORDENES'!$AH925,lista_turnos,0),9)*10000000+IFERROR(MATCH('ORDENES'!$AG925,tblTecnicos[nombre],0),99)*100000+922,9000000000000+922)</f>
        <v/>
      </c>
      <c r="M929" s="5">
        <f>IF(K929=1,SUMPRODUCT(--($L$8:$L$1207&lt;L929))+1,"")</f>
        <v/>
      </c>
      <c r="N929" s="17">
        <f>IF(K929=1,N('ORDENES'!$M925),0)</f>
        <v/>
      </c>
      <c r="O929" s="17">
        <f>IF('ORDENES'!$U925="preventiva",N929,0)</f>
        <v/>
      </c>
      <c r="P929" s="17">
        <f>IF('ORDENES'!$U925="correctiva",N929,0)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22">
        <f>IF(K929=1,'ORDENES'!$J925,"")</f>
        <v/>
      </c>
    </row>
    <row r="930">
      <c r="K930" s="5">
        <f>IF(AND(IF($B$3="(todos)",TRUE,'ORDENES'!$O926=$B$3),IF($D$3="(todos)",TRUE,'ORDENES'!$AH926=$D$3),IF($F$3="(todos)",TRUE,'ORDENES'!$Z926=$F$3),IF($H$3="(todos)",TRUE,'ORDENES'!$Y926=$H$3),'ORDENES'!$AF926=TRUE,'ORDENES'!$A926&lt;&gt;""),1,0)</f>
        <v/>
      </c>
      <c r="L930" s="5">
        <f>IF(K930=1,IFERROR(MATCH('ORDENES'!$S926,lista_dias,0),9)*1000000000+IFERROR(MATCH('ORDENES'!$AH926,lista_turnos,0),9)*10000000+IFERROR(MATCH('ORDENES'!$AG926,tblTecnicos[nombre],0),99)*100000+923,9000000000000+923)</f>
        <v/>
      </c>
      <c r="M930" s="5">
        <f>IF(K930=1,SUMPRODUCT(--($L$8:$L$1207&lt;L930))+1,"")</f>
        <v/>
      </c>
      <c r="N930" s="17">
        <f>IF(K930=1,N('ORDENES'!$M926),0)</f>
        <v/>
      </c>
      <c r="O930" s="17">
        <f>IF('ORDENES'!$U926="preventiva",N930,0)</f>
        <v/>
      </c>
      <c r="P930" s="17">
        <f>IF('ORDENES'!$U926="correctiva",N930,0)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22">
        <f>IF(K930=1,'ORDENES'!$J926,"")</f>
        <v/>
      </c>
    </row>
    <row r="931">
      <c r="K931" s="5">
        <f>IF(AND(IF($B$3="(todos)",TRUE,'ORDENES'!$O927=$B$3),IF($D$3="(todos)",TRUE,'ORDENES'!$AH927=$D$3),IF($F$3="(todos)",TRUE,'ORDENES'!$Z927=$F$3),IF($H$3="(todos)",TRUE,'ORDENES'!$Y927=$H$3),'ORDENES'!$AF927=TRUE,'ORDENES'!$A927&lt;&gt;""),1,0)</f>
        <v/>
      </c>
      <c r="L931" s="5">
        <f>IF(K931=1,IFERROR(MATCH('ORDENES'!$S927,lista_dias,0),9)*1000000000+IFERROR(MATCH('ORDENES'!$AH927,lista_turnos,0),9)*10000000+IFERROR(MATCH('ORDENES'!$AG927,tblTecnicos[nombre],0),99)*100000+924,9000000000000+924)</f>
        <v/>
      </c>
      <c r="M931" s="5">
        <f>IF(K931=1,SUMPRODUCT(--($L$8:$L$1207&lt;L931))+1,"")</f>
        <v/>
      </c>
      <c r="N931" s="17">
        <f>IF(K931=1,N('ORDENES'!$M927),0)</f>
        <v/>
      </c>
      <c r="O931" s="17">
        <f>IF('ORDENES'!$U927="preventiva",N931,0)</f>
        <v/>
      </c>
      <c r="P931" s="17">
        <f>IF('ORDENES'!$U927="correctiva",N931,0)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22">
        <f>IF(K931=1,'ORDENES'!$J927,"")</f>
        <v/>
      </c>
    </row>
    <row r="932">
      <c r="K932" s="5">
        <f>IF(AND(IF($B$3="(todos)",TRUE,'ORDENES'!$O928=$B$3),IF($D$3="(todos)",TRUE,'ORDENES'!$AH928=$D$3),IF($F$3="(todos)",TRUE,'ORDENES'!$Z928=$F$3),IF($H$3="(todos)",TRUE,'ORDENES'!$Y928=$H$3),'ORDENES'!$AF928=TRUE,'ORDENES'!$A928&lt;&gt;""),1,0)</f>
        <v/>
      </c>
      <c r="L932" s="5">
        <f>IF(K932=1,IFERROR(MATCH('ORDENES'!$S928,lista_dias,0),9)*1000000000+IFERROR(MATCH('ORDENES'!$AH928,lista_turnos,0),9)*10000000+IFERROR(MATCH('ORDENES'!$AG928,tblTecnicos[nombre],0),99)*100000+925,9000000000000+925)</f>
        <v/>
      </c>
      <c r="M932" s="5">
        <f>IF(K932=1,SUMPRODUCT(--($L$8:$L$1207&lt;L932))+1,"")</f>
        <v/>
      </c>
      <c r="N932" s="17">
        <f>IF(K932=1,N('ORDENES'!$M928),0)</f>
        <v/>
      </c>
      <c r="O932" s="17">
        <f>IF('ORDENES'!$U928="preventiva",N932,0)</f>
        <v/>
      </c>
      <c r="P932" s="17">
        <f>IF('ORDENES'!$U928="correctiva",N932,0)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22">
        <f>IF(K932=1,'ORDENES'!$J928,"")</f>
        <v/>
      </c>
    </row>
    <row r="933">
      <c r="K933" s="5">
        <f>IF(AND(IF($B$3="(todos)",TRUE,'ORDENES'!$O929=$B$3),IF($D$3="(todos)",TRUE,'ORDENES'!$AH929=$D$3),IF($F$3="(todos)",TRUE,'ORDENES'!$Z929=$F$3),IF($H$3="(todos)",TRUE,'ORDENES'!$Y929=$H$3),'ORDENES'!$AF929=TRUE,'ORDENES'!$A929&lt;&gt;""),1,0)</f>
        <v/>
      </c>
      <c r="L933" s="5">
        <f>IF(K933=1,IFERROR(MATCH('ORDENES'!$S929,lista_dias,0),9)*1000000000+IFERROR(MATCH('ORDENES'!$AH929,lista_turnos,0),9)*10000000+IFERROR(MATCH('ORDENES'!$AG929,tblTecnicos[nombre],0),99)*100000+926,9000000000000+926)</f>
        <v/>
      </c>
      <c r="M933" s="5">
        <f>IF(K933=1,SUMPRODUCT(--($L$8:$L$1207&lt;L933))+1,"")</f>
        <v/>
      </c>
      <c r="N933" s="17">
        <f>IF(K933=1,N('ORDENES'!$M929),0)</f>
        <v/>
      </c>
      <c r="O933" s="17">
        <f>IF('ORDENES'!$U929="preventiva",N933,0)</f>
        <v/>
      </c>
      <c r="P933" s="17">
        <f>IF('ORDENES'!$U929="correctiva",N933,0)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22">
        <f>IF(K933=1,'ORDENES'!$J929,"")</f>
        <v/>
      </c>
    </row>
    <row r="934">
      <c r="K934" s="5">
        <f>IF(AND(IF($B$3="(todos)",TRUE,'ORDENES'!$O930=$B$3),IF($D$3="(todos)",TRUE,'ORDENES'!$AH930=$D$3),IF($F$3="(todos)",TRUE,'ORDENES'!$Z930=$F$3),IF($H$3="(todos)",TRUE,'ORDENES'!$Y930=$H$3),'ORDENES'!$AF930=TRUE,'ORDENES'!$A930&lt;&gt;""),1,0)</f>
        <v/>
      </c>
      <c r="L934" s="5">
        <f>IF(K934=1,IFERROR(MATCH('ORDENES'!$S930,lista_dias,0),9)*1000000000+IFERROR(MATCH('ORDENES'!$AH930,lista_turnos,0),9)*10000000+IFERROR(MATCH('ORDENES'!$AG930,tblTecnicos[nombre],0),99)*100000+927,9000000000000+927)</f>
        <v/>
      </c>
      <c r="M934" s="5">
        <f>IF(K934=1,SUMPRODUCT(--($L$8:$L$1207&lt;L934))+1,"")</f>
        <v/>
      </c>
      <c r="N934" s="17">
        <f>IF(K934=1,N('ORDENES'!$M930),0)</f>
        <v/>
      </c>
      <c r="O934" s="17">
        <f>IF('ORDENES'!$U930="preventiva",N934,0)</f>
        <v/>
      </c>
      <c r="P934" s="17">
        <f>IF('ORDENES'!$U930="correctiva",N934,0)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22">
        <f>IF(K934=1,'ORDENES'!$J930,"")</f>
        <v/>
      </c>
    </row>
    <row r="935">
      <c r="K935" s="5">
        <f>IF(AND(IF($B$3="(todos)",TRUE,'ORDENES'!$O931=$B$3),IF($D$3="(todos)",TRUE,'ORDENES'!$AH931=$D$3),IF($F$3="(todos)",TRUE,'ORDENES'!$Z931=$F$3),IF($H$3="(todos)",TRUE,'ORDENES'!$Y931=$H$3),'ORDENES'!$AF931=TRUE,'ORDENES'!$A931&lt;&gt;""),1,0)</f>
        <v/>
      </c>
      <c r="L935" s="5">
        <f>IF(K935=1,IFERROR(MATCH('ORDENES'!$S931,lista_dias,0),9)*1000000000+IFERROR(MATCH('ORDENES'!$AH931,lista_turnos,0),9)*10000000+IFERROR(MATCH('ORDENES'!$AG931,tblTecnicos[nombre],0),99)*100000+928,9000000000000+928)</f>
        <v/>
      </c>
      <c r="M935" s="5">
        <f>IF(K935=1,SUMPRODUCT(--($L$8:$L$1207&lt;L935))+1,"")</f>
        <v/>
      </c>
      <c r="N935" s="17">
        <f>IF(K935=1,N('ORDENES'!$M931),0)</f>
        <v/>
      </c>
      <c r="O935" s="17">
        <f>IF('ORDENES'!$U931="preventiva",N935,0)</f>
        <v/>
      </c>
      <c r="P935" s="17">
        <f>IF('ORDENES'!$U931="correctiva",N935,0)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22">
        <f>IF(K935=1,'ORDENES'!$J931,"")</f>
        <v/>
      </c>
    </row>
    <row r="936">
      <c r="K936" s="5">
        <f>IF(AND(IF($B$3="(todos)",TRUE,'ORDENES'!$O932=$B$3),IF($D$3="(todos)",TRUE,'ORDENES'!$AH932=$D$3),IF($F$3="(todos)",TRUE,'ORDENES'!$Z932=$F$3),IF($H$3="(todos)",TRUE,'ORDENES'!$Y932=$H$3),'ORDENES'!$AF932=TRUE,'ORDENES'!$A932&lt;&gt;""),1,0)</f>
        <v/>
      </c>
      <c r="L936" s="5">
        <f>IF(K936=1,IFERROR(MATCH('ORDENES'!$S932,lista_dias,0),9)*1000000000+IFERROR(MATCH('ORDENES'!$AH932,lista_turnos,0),9)*10000000+IFERROR(MATCH('ORDENES'!$AG932,tblTecnicos[nombre],0),99)*100000+929,9000000000000+929)</f>
        <v/>
      </c>
      <c r="M936" s="5">
        <f>IF(K936=1,SUMPRODUCT(--($L$8:$L$1207&lt;L936))+1,"")</f>
        <v/>
      </c>
      <c r="N936" s="17">
        <f>IF(K936=1,N('ORDENES'!$M932),0)</f>
        <v/>
      </c>
      <c r="O936" s="17">
        <f>IF('ORDENES'!$U932="preventiva",N936,0)</f>
        <v/>
      </c>
      <c r="P936" s="17">
        <f>IF('ORDENES'!$U932="correctiva",N936,0)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22">
        <f>IF(K936=1,'ORDENES'!$J932,"")</f>
        <v/>
      </c>
    </row>
    <row r="937">
      <c r="K937" s="5">
        <f>IF(AND(IF($B$3="(todos)",TRUE,'ORDENES'!$O933=$B$3),IF($D$3="(todos)",TRUE,'ORDENES'!$AH933=$D$3),IF($F$3="(todos)",TRUE,'ORDENES'!$Z933=$F$3),IF($H$3="(todos)",TRUE,'ORDENES'!$Y933=$H$3),'ORDENES'!$AF933=TRUE,'ORDENES'!$A933&lt;&gt;""),1,0)</f>
        <v/>
      </c>
      <c r="L937" s="5">
        <f>IF(K937=1,IFERROR(MATCH('ORDENES'!$S933,lista_dias,0),9)*1000000000+IFERROR(MATCH('ORDENES'!$AH933,lista_turnos,0),9)*10000000+IFERROR(MATCH('ORDENES'!$AG933,tblTecnicos[nombre],0),99)*100000+930,9000000000000+930)</f>
        <v/>
      </c>
      <c r="M937" s="5">
        <f>IF(K937=1,SUMPRODUCT(--($L$8:$L$1207&lt;L937))+1,"")</f>
        <v/>
      </c>
      <c r="N937" s="17">
        <f>IF(K937=1,N('ORDENES'!$M933),0)</f>
        <v/>
      </c>
      <c r="O937" s="17">
        <f>IF('ORDENES'!$U933="preventiva",N937,0)</f>
        <v/>
      </c>
      <c r="P937" s="17">
        <f>IF('ORDENES'!$U933="correctiva",N937,0)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22">
        <f>IF(K937=1,'ORDENES'!$J933,"")</f>
        <v/>
      </c>
    </row>
    <row r="938">
      <c r="K938" s="5">
        <f>IF(AND(IF($B$3="(todos)",TRUE,'ORDENES'!$O934=$B$3),IF($D$3="(todos)",TRUE,'ORDENES'!$AH934=$D$3),IF($F$3="(todos)",TRUE,'ORDENES'!$Z934=$F$3),IF($H$3="(todos)",TRUE,'ORDENES'!$Y934=$H$3),'ORDENES'!$AF934=TRUE,'ORDENES'!$A934&lt;&gt;""),1,0)</f>
        <v/>
      </c>
      <c r="L938" s="5">
        <f>IF(K938=1,IFERROR(MATCH('ORDENES'!$S934,lista_dias,0),9)*1000000000+IFERROR(MATCH('ORDENES'!$AH934,lista_turnos,0),9)*10000000+IFERROR(MATCH('ORDENES'!$AG934,tblTecnicos[nombre],0),99)*100000+931,9000000000000+931)</f>
        <v/>
      </c>
      <c r="M938" s="5">
        <f>IF(K938=1,SUMPRODUCT(--($L$8:$L$1207&lt;L938))+1,"")</f>
        <v/>
      </c>
      <c r="N938" s="17">
        <f>IF(K938=1,N('ORDENES'!$M934),0)</f>
        <v/>
      </c>
      <c r="O938" s="17">
        <f>IF('ORDENES'!$U934="preventiva",N938,0)</f>
        <v/>
      </c>
      <c r="P938" s="17">
        <f>IF('ORDENES'!$U934="correctiva",N938,0)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22">
        <f>IF(K938=1,'ORDENES'!$J934,"")</f>
        <v/>
      </c>
    </row>
    <row r="939">
      <c r="K939" s="5">
        <f>IF(AND(IF($B$3="(todos)",TRUE,'ORDENES'!$O935=$B$3),IF($D$3="(todos)",TRUE,'ORDENES'!$AH935=$D$3),IF($F$3="(todos)",TRUE,'ORDENES'!$Z935=$F$3),IF($H$3="(todos)",TRUE,'ORDENES'!$Y935=$H$3),'ORDENES'!$AF935=TRUE,'ORDENES'!$A935&lt;&gt;""),1,0)</f>
        <v/>
      </c>
      <c r="L939" s="5">
        <f>IF(K939=1,IFERROR(MATCH('ORDENES'!$S935,lista_dias,0),9)*1000000000+IFERROR(MATCH('ORDENES'!$AH935,lista_turnos,0),9)*10000000+IFERROR(MATCH('ORDENES'!$AG935,tblTecnicos[nombre],0),99)*100000+932,9000000000000+932)</f>
        <v/>
      </c>
      <c r="M939" s="5">
        <f>IF(K939=1,SUMPRODUCT(--($L$8:$L$1207&lt;L939))+1,"")</f>
        <v/>
      </c>
      <c r="N939" s="17">
        <f>IF(K939=1,N('ORDENES'!$M935),0)</f>
        <v/>
      </c>
      <c r="O939" s="17">
        <f>IF('ORDENES'!$U935="preventiva",N939,0)</f>
        <v/>
      </c>
      <c r="P939" s="17">
        <f>IF('ORDENES'!$U935="correctiva",N939,0)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22">
        <f>IF(K939=1,'ORDENES'!$J935,"")</f>
        <v/>
      </c>
    </row>
    <row r="940">
      <c r="K940" s="5">
        <f>IF(AND(IF($B$3="(todos)",TRUE,'ORDENES'!$O936=$B$3),IF($D$3="(todos)",TRUE,'ORDENES'!$AH936=$D$3),IF($F$3="(todos)",TRUE,'ORDENES'!$Z936=$F$3),IF($H$3="(todos)",TRUE,'ORDENES'!$Y936=$H$3),'ORDENES'!$AF936=TRUE,'ORDENES'!$A936&lt;&gt;""),1,0)</f>
        <v/>
      </c>
      <c r="L940" s="5">
        <f>IF(K940=1,IFERROR(MATCH('ORDENES'!$S936,lista_dias,0),9)*1000000000+IFERROR(MATCH('ORDENES'!$AH936,lista_turnos,0),9)*10000000+IFERROR(MATCH('ORDENES'!$AG936,tblTecnicos[nombre],0),99)*100000+933,9000000000000+933)</f>
        <v/>
      </c>
      <c r="M940" s="5">
        <f>IF(K940=1,SUMPRODUCT(--($L$8:$L$1207&lt;L940))+1,"")</f>
        <v/>
      </c>
      <c r="N940" s="17">
        <f>IF(K940=1,N('ORDENES'!$M936),0)</f>
        <v/>
      </c>
      <c r="O940" s="17">
        <f>IF('ORDENES'!$U936="preventiva",N940,0)</f>
        <v/>
      </c>
      <c r="P940" s="17">
        <f>IF('ORDENES'!$U936="correctiva",N940,0)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22">
        <f>IF(K940=1,'ORDENES'!$J936,"")</f>
        <v/>
      </c>
    </row>
    <row r="941">
      <c r="K941" s="5">
        <f>IF(AND(IF($B$3="(todos)",TRUE,'ORDENES'!$O937=$B$3),IF($D$3="(todos)",TRUE,'ORDENES'!$AH937=$D$3),IF($F$3="(todos)",TRUE,'ORDENES'!$Z937=$F$3),IF($H$3="(todos)",TRUE,'ORDENES'!$Y937=$H$3),'ORDENES'!$AF937=TRUE,'ORDENES'!$A937&lt;&gt;""),1,0)</f>
        <v/>
      </c>
      <c r="L941" s="5">
        <f>IF(K941=1,IFERROR(MATCH('ORDENES'!$S937,lista_dias,0),9)*1000000000+IFERROR(MATCH('ORDENES'!$AH937,lista_turnos,0),9)*10000000+IFERROR(MATCH('ORDENES'!$AG937,tblTecnicos[nombre],0),99)*100000+934,9000000000000+934)</f>
        <v/>
      </c>
      <c r="M941" s="5">
        <f>IF(K941=1,SUMPRODUCT(--($L$8:$L$1207&lt;L941))+1,"")</f>
        <v/>
      </c>
      <c r="N941" s="17">
        <f>IF(K941=1,N('ORDENES'!$M937),0)</f>
        <v/>
      </c>
      <c r="O941" s="17">
        <f>IF('ORDENES'!$U937="preventiva",N941,0)</f>
        <v/>
      </c>
      <c r="P941" s="17">
        <f>IF('ORDENES'!$U937="correctiva",N941,0)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22">
        <f>IF(K941=1,'ORDENES'!$J937,"")</f>
        <v/>
      </c>
    </row>
    <row r="942">
      <c r="K942" s="5">
        <f>IF(AND(IF($B$3="(todos)",TRUE,'ORDENES'!$O938=$B$3),IF($D$3="(todos)",TRUE,'ORDENES'!$AH938=$D$3),IF($F$3="(todos)",TRUE,'ORDENES'!$Z938=$F$3),IF($H$3="(todos)",TRUE,'ORDENES'!$Y938=$H$3),'ORDENES'!$AF938=TRUE,'ORDENES'!$A938&lt;&gt;""),1,0)</f>
        <v/>
      </c>
      <c r="L942" s="5">
        <f>IF(K942=1,IFERROR(MATCH('ORDENES'!$S938,lista_dias,0),9)*1000000000+IFERROR(MATCH('ORDENES'!$AH938,lista_turnos,0),9)*10000000+IFERROR(MATCH('ORDENES'!$AG938,tblTecnicos[nombre],0),99)*100000+935,9000000000000+935)</f>
        <v/>
      </c>
      <c r="M942" s="5">
        <f>IF(K942=1,SUMPRODUCT(--($L$8:$L$1207&lt;L942))+1,"")</f>
        <v/>
      </c>
      <c r="N942" s="17">
        <f>IF(K942=1,N('ORDENES'!$M938),0)</f>
        <v/>
      </c>
      <c r="O942" s="17">
        <f>IF('ORDENES'!$U938="preventiva",N942,0)</f>
        <v/>
      </c>
      <c r="P942" s="17">
        <f>IF('ORDENES'!$U938="correctiva",N942,0)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22">
        <f>IF(K942=1,'ORDENES'!$J938,"")</f>
        <v/>
      </c>
    </row>
    <row r="943">
      <c r="K943" s="5">
        <f>IF(AND(IF($B$3="(todos)",TRUE,'ORDENES'!$O939=$B$3),IF($D$3="(todos)",TRUE,'ORDENES'!$AH939=$D$3),IF($F$3="(todos)",TRUE,'ORDENES'!$Z939=$F$3),IF($H$3="(todos)",TRUE,'ORDENES'!$Y939=$H$3),'ORDENES'!$AF939=TRUE,'ORDENES'!$A939&lt;&gt;""),1,0)</f>
        <v/>
      </c>
      <c r="L943" s="5">
        <f>IF(K943=1,IFERROR(MATCH('ORDENES'!$S939,lista_dias,0),9)*1000000000+IFERROR(MATCH('ORDENES'!$AH939,lista_turnos,0),9)*10000000+IFERROR(MATCH('ORDENES'!$AG939,tblTecnicos[nombre],0),99)*100000+936,9000000000000+936)</f>
        <v/>
      </c>
      <c r="M943" s="5">
        <f>IF(K943=1,SUMPRODUCT(--($L$8:$L$1207&lt;L943))+1,"")</f>
        <v/>
      </c>
      <c r="N943" s="17">
        <f>IF(K943=1,N('ORDENES'!$M939),0)</f>
        <v/>
      </c>
      <c r="O943" s="17">
        <f>IF('ORDENES'!$U939="preventiva",N943,0)</f>
        <v/>
      </c>
      <c r="P943" s="17">
        <f>IF('ORDENES'!$U939="correctiva",N943,0)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22">
        <f>IF(K943=1,'ORDENES'!$J939,"")</f>
        <v/>
      </c>
    </row>
    <row r="944">
      <c r="K944" s="5">
        <f>IF(AND(IF($B$3="(todos)",TRUE,'ORDENES'!$O940=$B$3),IF($D$3="(todos)",TRUE,'ORDENES'!$AH940=$D$3),IF($F$3="(todos)",TRUE,'ORDENES'!$Z940=$F$3),IF($H$3="(todos)",TRUE,'ORDENES'!$Y940=$H$3),'ORDENES'!$AF940=TRUE,'ORDENES'!$A940&lt;&gt;""),1,0)</f>
        <v/>
      </c>
      <c r="L944" s="5">
        <f>IF(K944=1,IFERROR(MATCH('ORDENES'!$S940,lista_dias,0),9)*1000000000+IFERROR(MATCH('ORDENES'!$AH940,lista_turnos,0),9)*10000000+IFERROR(MATCH('ORDENES'!$AG940,tblTecnicos[nombre],0),99)*100000+937,9000000000000+937)</f>
        <v/>
      </c>
      <c r="M944" s="5">
        <f>IF(K944=1,SUMPRODUCT(--($L$8:$L$1207&lt;L944))+1,"")</f>
        <v/>
      </c>
      <c r="N944" s="17">
        <f>IF(K944=1,N('ORDENES'!$M940),0)</f>
        <v/>
      </c>
      <c r="O944" s="17">
        <f>IF('ORDENES'!$U940="preventiva",N944,0)</f>
        <v/>
      </c>
      <c r="P944" s="17">
        <f>IF('ORDENES'!$U940="correctiva",N944,0)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22">
        <f>IF(K944=1,'ORDENES'!$J940,"")</f>
        <v/>
      </c>
    </row>
    <row r="945">
      <c r="K945" s="5">
        <f>IF(AND(IF($B$3="(todos)",TRUE,'ORDENES'!$O941=$B$3),IF($D$3="(todos)",TRUE,'ORDENES'!$AH941=$D$3),IF($F$3="(todos)",TRUE,'ORDENES'!$Z941=$F$3),IF($H$3="(todos)",TRUE,'ORDENES'!$Y941=$H$3),'ORDENES'!$AF941=TRUE,'ORDENES'!$A941&lt;&gt;""),1,0)</f>
        <v/>
      </c>
      <c r="L945" s="5">
        <f>IF(K945=1,IFERROR(MATCH('ORDENES'!$S941,lista_dias,0),9)*1000000000+IFERROR(MATCH('ORDENES'!$AH941,lista_turnos,0),9)*10000000+IFERROR(MATCH('ORDENES'!$AG941,tblTecnicos[nombre],0),99)*100000+938,9000000000000+938)</f>
        <v/>
      </c>
      <c r="M945" s="5">
        <f>IF(K945=1,SUMPRODUCT(--($L$8:$L$1207&lt;L945))+1,"")</f>
        <v/>
      </c>
      <c r="N945" s="17">
        <f>IF(K945=1,N('ORDENES'!$M941),0)</f>
        <v/>
      </c>
      <c r="O945" s="17">
        <f>IF('ORDENES'!$U941="preventiva",N945,0)</f>
        <v/>
      </c>
      <c r="P945" s="17">
        <f>IF('ORDENES'!$U941="correctiva",N945,0)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22">
        <f>IF(K945=1,'ORDENES'!$J941,"")</f>
        <v/>
      </c>
    </row>
    <row r="946">
      <c r="K946" s="5">
        <f>IF(AND(IF($B$3="(todos)",TRUE,'ORDENES'!$O942=$B$3),IF($D$3="(todos)",TRUE,'ORDENES'!$AH942=$D$3),IF($F$3="(todos)",TRUE,'ORDENES'!$Z942=$F$3),IF($H$3="(todos)",TRUE,'ORDENES'!$Y942=$H$3),'ORDENES'!$AF942=TRUE,'ORDENES'!$A942&lt;&gt;""),1,0)</f>
        <v/>
      </c>
      <c r="L946" s="5">
        <f>IF(K946=1,IFERROR(MATCH('ORDENES'!$S942,lista_dias,0),9)*1000000000+IFERROR(MATCH('ORDENES'!$AH942,lista_turnos,0),9)*10000000+IFERROR(MATCH('ORDENES'!$AG942,tblTecnicos[nombre],0),99)*100000+939,9000000000000+939)</f>
        <v/>
      </c>
      <c r="M946" s="5">
        <f>IF(K946=1,SUMPRODUCT(--($L$8:$L$1207&lt;L946))+1,"")</f>
        <v/>
      </c>
      <c r="N946" s="17">
        <f>IF(K946=1,N('ORDENES'!$M942),0)</f>
        <v/>
      </c>
      <c r="O946" s="17">
        <f>IF('ORDENES'!$U942="preventiva",N946,0)</f>
        <v/>
      </c>
      <c r="P946" s="17">
        <f>IF('ORDENES'!$U942="correctiva",N946,0)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22">
        <f>IF(K946=1,'ORDENES'!$J942,"")</f>
        <v/>
      </c>
    </row>
    <row r="947">
      <c r="K947" s="5">
        <f>IF(AND(IF($B$3="(todos)",TRUE,'ORDENES'!$O943=$B$3),IF($D$3="(todos)",TRUE,'ORDENES'!$AH943=$D$3),IF($F$3="(todos)",TRUE,'ORDENES'!$Z943=$F$3),IF($H$3="(todos)",TRUE,'ORDENES'!$Y943=$H$3),'ORDENES'!$AF943=TRUE,'ORDENES'!$A943&lt;&gt;""),1,0)</f>
        <v/>
      </c>
      <c r="L947" s="5">
        <f>IF(K947=1,IFERROR(MATCH('ORDENES'!$S943,lista_dias,0),9)*1000000000+IFERROR(MATCH('ORDENES'!$AH943,lista_turnos,0),9)*10000000+IFERROR(MATCH('ORDENES'!$AG943,tblTecnicos[nombre],0),99)*100000+940,9000000000000+940)</f>
        <v/>
      </c>
      <c r="M947" s="5">
        <f>IF(K947=1,SUMPRODUCT(--($L$8:$L$1207&lt;L947))+1,"")</f>
        <v/>
      </c>
      <c r="N947" s="17">
        <f>IF(K947=1,N('ORDENES'!$M943),0)</f>
        <v/>
      </c>
      <c r="O947" s="17">
        <f>IF('ORDENES'!$U943="preventiva",N947,0)</f>
        <v/>
      </c>
      <c r="P947" s="17">
        <f>IF('ORDENES'!$U943="correctiva",N947,0)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22">
        <f>IF(K947=1,'ORDENES'!$J943,"")</f>
        <v/>
      </c>
    </row>
    <row r="948">
      <c r="K948" s="5">
        <f>IF(AND(IF($B$3="(todos)",TRUE,'ORDENES'!$O944=$B$3),IF($D$3="(todos)",TRUE,'ORDENES'!$AH944=$D$3),IF($F$3="(todos)",TRUE,'ORDENES'!$Z944=$F$3),IF($H$3="(todos)",TRUE,'ORDENES'!$Y944=$H$3),'ORDENES'!$AF944=TRUE,'ORDENES'!$A944&lt;&gt;""),1,0)</f>
        <v/>
      </c>
      <c r="L948" s="5">
        <f>IF(K948=1,IFERROR(MATCH('ORDENES'!$S944,lista_dias,0),9)*1000000000+IFERROR(MATCH('ORDENES'!$AH944,lista_turnos,0),9)*10000000+IFERROR(MATCH('ORDENES'!$AG944,tblTecnicos[nombre],0),99)*100000+941,9000000000000+941)</f>
        <v/>
      </c>
      <c r="M948" s="5">
        <f>IF(K948=1,SUMPRODUCT(--($L$8:$L$1207&lt;L948))+1,"")</f>
        <v/>
      </c>
      <c r="N948" s="17">
        <f>IF(K948=1,N('ORDENES'!$M944),0)</f>
        <v/>
      </c>
      <c r="O948" s="17">
        <f>IF('ORDENES'!$U944="preventiva",N948,0)</f>
        <v/>
      </c>
      <c r="P948" s="17">
        <f>IF('ORDENES'!$U944="correctiva",N948,0)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22">
        <f>IF(K948=1,'ORDENES'!$J944,"")</f>
        <v/>
      </c>
    </row>
    <row r="949">
      <c r="K949" s="5">
        <f>IF(AND(IF($B$3="(todos)",TRUE,'ORDENES'!$O945=$B$3),IF($D$3="(todos)",TRUE,'ORDENES'!$AH945=$D$3),IF($F$3="(todos)",TRUE,'ORDENES'!$Z945=$F$3),IF($H$3="(todos)",TRUE,'ORDENES'!$Y945=$H$3),'ORDENES'!$AF945=TRUE,'ORDENES'!$A945&lt;&gt;""),1,0)</f>
        <v/>
      </c>
      <c r="L949" s="5">
        <f>IF(K949=1,IFERROR(MATCH('ORDENES'!$S945,lista_dias,0),9)*1000000000+IFERROR(MATCH('ORDENES'!$AH945,lista_turnos,0),9)*10000000+IFERROR(MATCH('ORDENES'!$AG945,tblTecnicos[nombre],0),99)*100000+942,9000000000000+942)</f>
        <v/>
      </c>
      <c r="M949" s="5">
        <f>IF(K949=1,SUMPRODUCT(--($L$8:$L$1207&lt;L949))+1,"")</f>
        <v/>
      </c>
      <c r="N949" s="17">
        <f>IF(K949=1,N('ORDENES'!$M945),0)</f>
        <v/>
      </c>
      <c r="O949" s="17">
        <f>IF('ORDENES'!$U945="preventiva",N949,0)</f>
        <v/>
      </c>
      <c r="P949" s="17">
        <f>IF('ORDENES'!$U945="correctiva",N949,0)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22">
        <f>IF(K949=1,'ORDENES'!$J945,"")</f>
        <v/>
      </c>
    </row>
    <row r="950">
      <c r="K950" s="5">
        <f>IF(AND(IF($B$3="(todos)",TRUE,'ORDENES'!$O946=$B$3),IF($D$3="(todos)",TRUE,'ORDENES'!$AH946=$D$3),IF($F$3="(todos)",TRUE,'ORDENES'!$Z946=$F$3),IF($H$3="(todos)",TRUE,'ORDENES'!$Y946=$H$3),'ORDENES'!$AF946=TRUE,'ORDENES'!$A946&lt;&gt;""),1,0)</f>
        <v/>
      </c>
      <c r="L950" s="5">
        <f>IF(K950=1,IFERROR(MATCH('ORDENES'!$S946,lista_dias,0),9)*1000000000+IFERROR(MATCH('ORDENES'!$AH946,lista_turnos,0),9)*10000000+IFERROR(MATCH('ORDENES'!$AG946,tblTecnicos[nombre],0),99)*100000+943,9000000000000+943)</f>
        <v/>
      </c>
      <c r="M950" s="5">
        <f>IF(K950=1,SUMPRODUCT(--($L$8:$L$1207&lt;L950))+1,"")</f>
        <v/>
      </c>
      <c r="N950" s="17">
        <f>IF(K950=1,N('ORDENES'!$M946),0)</f>
        <v/>
      </c>
      <c r="O950" s="17">
        <f>IF('ORDENES'!$U946="preventiva",N950,0)</f>
        <v/>
      </c>
      <c r="P950" s="17">
        <f>IF('ORDENES'!$U946="correctiva",N950,0)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22">
        <f>IF(K950=1,'ORDENES'!$J946,"")</f>
        <v/>
      </c>
    </row>
    <row r="951">
      <c r="K951" s="5">
        <f>IF(AND(IF($B$3="(todos)",TRUE,'ORDENES'!$O947=$B$3),IF($D$3="(todos)",TRUE,'ORDENES'!$AH947=$D$3),IF($F$3="(todos)",TRUE,'ORDENES'!$Z947=$F$3),IF($H$3="(todos)",TRUE,'ORDENES'!$Y947=$H$3),'ORDENES'!$AF947=TRUE,'ORDENES'!$A947&lt;&gt;""),1,0)</f>
        <v/>
      </c>
      <c r="L951" s="5">
        <f>IF(K951=1,IFERROR(MATCH('ORDENES'!$S947,lista_dias,0),9)*1000000000+IFERROR(MATCH('ORDENES'!$AH947,lista_turnos,0),9)*10000000+IFERROR(MATCH('ORDENES'!$AG947,tblTecnicos[nombre],0),99)*100000+944,9000000000000+944)</f>
        <v/>
      </c>
      <c r="M951" s="5">
        <f>IF(K951=1,SUMPRODUCT(--($L$8:$L$1207&lt;L951))+1,"")</f>
        <v/>
      </c>
      <c r="N951" s="17">
        <f>IF(K951=1,N('ORDENES'!$M947),0)</f>
        <v/>
      </c>
      <c r="O951" s="17">
        <f>IF('ORDENES'!$U947="preventiva",N951,0)</f>
        <v/>
      </c>
      <c r="P951" s="17">
        <f>IF('ORDENES'!$U947="correctiva",N951,0)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22">
        <f>IF(K951=1,'ORDENES'!$J947,"")</f>
        <v/>
      </c>
    </row>
    <row r="952">
      <c r="K952" s="5">
        <f>IF(AND(IF($B$3="(todos)",TRUE,'ORDENES'!$O948=$B$3),IF($D$3="(todos)",TRUE,'ORDENES'!$AH948=$D$3),IF($F$3="(todos)",TRUE,'ORDENES'!$Z948=$F$3),IF($H$3="(todos)",TRUE,'ORDENES'!$Y948=$H$3),'ORDENES'!$AF948=TRUE,'ORDENES'!$A948&lt;&gt;""),1,0)</f>
        <v/>
      </c>
      <c r="L952" s="5">
        <f>IF(K952=1,IFERROR(MATCH('ORDENES'!$S948,lista_dias,0),9)*1000000000+IFERROR(MATCH('ORDENES'!$AH948,lista_turnos,0),9)*10000000+IFERROR(MATCH('ORDENES'!$AG948,tblTecnicos[nombre],0),99)*100000+945,9000000000000+945)</f>
        <v/>
      </c>
      <c r="M952" s="5">
        <f>IF(K952=1,SUMPRODUCT(--($L$8:$L$1207&lt;L952))+1,"")</f>
        <v/>
      </c>
      <c r="N952" s="17">
        <f>IF(K952=1,N('ORDENES'!$M948),0)</f>
        <v/>
      </c>
      <c r="O952" s="17">
        <f>IF('ORDENES'!$U948="preventiva",N952,0)</f>
        <v/>
      </c>
      <c r="P952" s="17">
        <f>IF('ORDENES'!$U948="correctiva",N952,0)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22">
        <f>IF(K952=1,'ORDENES'!$J948,"")</f>
        <v/>
      </c>
    </row>
    <row r="953">
      <c r="K953" s="5">
        <f>IF(AND(IF($B$3="(todos)",TRUE,'ORDENES'!$O949=$B$3),IF($D$3="(todos)",TRUE,'ORDENES'!$AH949=$D$3),IF($F$3="(todos)",TRUE,'ORDENES'!$Z949=$F$3),IF($H$3="(todos)",TRUE,'ORDENES'!$Y949=$H$3),'ORDENES'!$AF949=TRUE,'ORDENES'!$A949&lt;&gt;""),1,0)</f>
        <v/>
      </c>
      <c r="L953" s="5">
        <f>IF(K953=1,IFERROR(MATCH('ORDENES'!$S949,lista_dias,0),9)*1000000000+IFERROR(MATCH('ORDENES'!$AH949,lista_turnos,0),9)*10000000+IFERROR(MATCH('ORDENES'!$AG949,tblTecnicos[nombre],0),99)*100000+946,9000000000000+946)</f>
        <v/>
      </c>
      <c r="M953" s="5">
        <f>IF(K953=1,SUMPRODUCT(--($L$8:$L$1207&lt;L953))+1,"")</f>
        <v/>
      </c>
      <c r="N953" s="17">
        <f>IF(K953=1,N('ORDENES'!$M949),0)</f>
        <v/>
      </c>
      <c r="O953" s="17">
        <f>IF('ORDENES'!$U949="preventiva",N953,0)</f>
        <v/>
      </c>
      <c r="P953" s="17">
        <f>IF('ORDENES'!$U949="correctiva",N953,0)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22">
        <f>IF(K953=1,'ORDENES'!$J949,"")</f>
        <v/>
      </c>
    </row>
    <row r="954">
      <c r="K954" s="5">
        <f>IF(AND(IF($B$3="(todos)",TRUE,'ORDENES'!$O950=$B$3),IF($D$3="(todos)",TRUE,'ORDENES'!$AH950=$D$3),IF($F$3="(todos)",TRUE,'ORDENES'!$Z950=$F$3),IF($H$3="(todos)",TRUE,'ORDENES'!$Y950=$H$3),'ORDENES'!$AF950=TRUE,'ORDENES'!$A950&lt;&gt;""),1,0)</f>
        <v/>
      </c>
      <c r="L954" s="5">
        <f>IF(K954=1,IFERROR(MATCH('ORDENES'!$S950,lista_dias,0),9)*1000000000+IFERROR(MATCH('ORDENES'!$AH950,lista_turnos,0),9)*10000000+IFERROR(MATCH('ORDENES'!$AG950,tblTecnicos[nombre],0),99)*100000+947,9000000000000+947)</f>
        <v/>
      </c>
      <c r="M954" s="5">
        <f>IF(K954=1,SUMPRODUCT(--($L$8:$L$1207&lt;L954))+1,"")</f>
        <v/>
      </c>
      <c r="N954" s="17">
        <f>IF(K954=1,N('ORDENES'!$M950),0)</f>
        <v/>
      </c>
      <c r="O954" s="17">
        <f>IF('ORDENES'!$U950="preventiva",N954,0)</f>
        <v/>
      </c>
      <c r="P954" s="17">
        <f>IF('ORDENES'!$U950="correctiva",N954,0)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22">
        <f>IF(K954=1,'ORDENES'!$J950,"")</f>
        <v/>
      </c>
    </row>
    <row r="955">
      <c r="K955" s="5">
        <f>IF(AND(IF($B$3="(todos)",TRUE,'ORDENES'!$O951=$B$3),IF($D$3="(todos)",TRUE,'ORDENES'!$AH951=$D$3),IF($F$3="(todos)",TRUE,'ORDENES'!$Z951=$F$3),IF($H$3="(todos)",TRUE,'ORDENES'!$Y951=$H$3),'ORDENES'!$AF951=TRUE,'ORDENES'!$A951&lt;&gt;""),1,0)</f>
        <v/>
      </c>
      <c r="L955" s="5">
        <f>IF(K955=1,IFERROR(MATCH('ORDENES'!$S951,lista_dias,0),9)*1000000000+IFERROR(MATCH('ORDENES'!$AH951,lista_turnos,0),9)*10000000+IFERROR(MATCH('ORDENES'!$AG951,tblTecnicos[nombre],0),99)*100000+948,9000000000000+948)</f>
        <v/>
      </c>
      <c r="M955" s="5">
        <f>IF(K955=1,SUMPRODUCT(--($L$8:$L$1207&lt;L955))+1,"")</f>
        <v/>
      </c>
      <c r="N955" s="17">
        <f>IF(K955=1,N('ORDENES'!$M951),0)</f>
        <v/>
      </c>
      <c r="O955" s="17">
        <f>IF('ORDENES'!$U951="preventiva",N955,0)</f>
        <v/>
      </c>
      <c r="P955" s="17">
        <f>IF('ORDENES'!$U951="correctiva",N955,0)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22">
        <f>IF(K955=1,'ORDENES'!$J951,"")</f>
        <v/>
      </c>
    </row>
    <row r="956">
      <c r="K956" s="5">
        <f>IF(AND(IF($B$3="(todos)",TRUE,'ORDENES'!$O952=$B$3),IF($D$3="(todos)",TRUE,'ORDENES'!$AH952=$D$3),IF($F$3="(todos)",TRUE,'ORDENES'!$Z952=$F$3),IF($H$3="(todos)",TRUE,'ORDENES'!$Y952=$H$3),'ORDENES'!$AF952=TRUE,'ORDENES'!$A952&lt;&gt;""),1,0)</f>
        <v/>
      </c>
      <c r="L956" s="5">
        <f>IF(K956=1,IFERROR(MATCH('ORDENES'!$S952,lista_dias,0),9)*1000000000+IFERROR(MATCH('ORDENES'!$AH952,lista_turnos,0),9)*10000000+IFERROR(MATCH('ORDENES'!$AG952,tblTecnicos[nombre],0),99)*100000+949,9000000000000+949)</f>
        <v/>
      </c>
      <c r="M956" s="5">
        <f>IF(K956=1,SUMPRODUCT(--($L$8:$L$1207&lt;L956))+1,"")</f>
        <v/>
      </c>
      <c r="N956" s="17">
        <f>IF(K956=1,N('ORDENES'!$M952),0)</f>
        <v/>
      </c>
      <c r="O956" s="17">
        <f>IF('ORDENES'!$U952="preventiva",N956,0)</f>
        <v/>
      </c>
      <c r="P956" s="17">
        <f>IF('ORDENES'!$U952="correctiva",N956,0)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22">
        <f>IF(K956=1,'ORDENES'!$J952,"")</f>
        <v/>
      </c>
    </row>
    <row r="957">
      <c r="K957" s="5">
        <f>IF(AND(IF($B$3="(todos)",TRUE,'ORDENES'!$O953=$B$3),IF($D$3="(todos)",TRUE,'ORDENES'!$AH953=$D$3),IF($F$3="(todos)",TRUE,'ORDENES'!$Z953=$F$3),IF($H$3="(todos)",TRUE,'ORDENES'!$Y953=$H$3),'ORDENES'!$AF953=TRUE,'ORDENES'!$A953&lt;&gt;""),1,0)</f>
        <v/>
      </c>
      <c r="L957" s="5">
        <f>IF(K957=1,IFERROR(MATCH('ORDENES'!$S953,lista_dias,0),9)*1000000000+IFERROR(MATCH('ORDENES'!$AH953,lista_turnos,0),9)*10000000+IFERROR(MATCH('ORDENES'!$AG953,tblTecnicos[nombre],0),99)*100000+950,9000000000000+950)</f>
        <v/>
      </c>
      <c r="M957" s="5">
        <f>IF(K957=1,SUMPRODUCT(--($L$8:$L$1207&lt;L957))+1,"")</f>
        <v/>
      </c>
      <c r="N957" s="17">
        <f>IF(K957=1,N('ORDENES'!$M953),0)</f>
        <v/>
      </c>
      <c r="O957" s="17">
        <f>IF('ORDENES'!$U953="preventiva",N957,0)</f>
        <v/>
      </c>
      <c r="P957" s="17">
        <f>IF('ORDENES'!$U953="correctiva",N957,0)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22">
        <f>IF(K957=1,'ORDENES'!$J953,"")</f>
        <v/>
      </c>
    </row>
    <row r="958">
      <c r="K958" s="5">
        <f>IF(AND(IF($B$3="(todos)",TRUE,'ORDENES'!$O954=$B$3),IF($D$3="(todos)",TRUE,'ORDENES'!$AH954=$D$3),IF($F$3="(todos)",TRUE,'ORDENES'!$Z954=$F$3),IF($H$3="(todos)",TRUE,'ORDENES'!$Y954=$H$3),'ORDENES'!$AF954=TRUE,'ORDENES'!$A954&lt;&gt;""),1,0)</f>
        <v/>
      </c>
      <c r="L958" s="5">
        <f>IF(K958=1,IFERROR(MATCH('ORDENES'!$S954,lista_dias,0),9)*1000000000+IFERROR(MATCH('ORDENES'!$AH954,lista_turnos,0),9)*10000000+IFERROR(MATCH('ORDENES'!$AG954,tblTecnicos[nombre],0),99)*100000+951,9000000000000+951)</f>
        <v/>
      </c>
      <c r="M958" s="5">
        <f>IF(K958=1,SUMPRODUCT(--($L$8:$L$1207&lt;L958))+1,"")</f>
        <v/>
      </c>
      <c r="N958" s="17">
        <f>IF(K958=1,N('ORDENES'!$M954),0)</f>
        <v/>
      </c>
      <c r="O958" s="17">
        <f>IF('ORDENES'!$U954="preventiva",N958,0)</f>
        <v/>
      </c>
      <c r="P958" s="17">
        <f>IF('ORDENES'!$U954="correctiva",N958,0)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22">
        <f>IF(K958=1,'ORDENES'!$J954,"")</f>
        <v/>
      </c>
    </row>
    <row r="959">
      <c r="K959" s="5">
        <f>IF(AND(IF($B$3="(todos)",TRUE,'ORDENES'!$O955=$B$3),IF($D$3="(todos)",TRUE,'ORDENES'!$AH955=$D$3),IF($F$3="(todos)",TRUE,'ORDENES'!$Z955=$F$3),IF($H$3="(todos)",TRUE,'ORDENES'!$Y955=$H$3),'ORDENES'!$AF955=TRUE,'ORDENES'!$A955&lt;&gt;""),1,0)</f>
        <v/>
      </c>
      <c r="L959" s="5">
        <f>IF(K959=1,IFERROR(MATCH('ORDENES'!$S955,lista_dias,0),9)*1000000000+IFERROR(MATCH('ORDENES'!$AH955,lista_turnos,0),9)*10000000+IFERROR(MATCH('ORDENES'!$AG955,tblTecnicos[nombre],0),99)*100000+952,9000000000000+952)</f>
        <v/>
      </c>
      <c r="M959" s="5">
        <f>IF(K959=1,SUMPRODUCT(--($L$8:$L$1207&lt;L959))+1,"")</f>
        <v/>
      </c>
      <c r="N959" s="17">
        <f>IF(K959=1,N('ORDENES'!$M955),0)</f>
        <v/>
      </c>
      <c r="O959" s="17">
        <f>IF('ORDENES'!$U955="preventiva",N959,0)</f>
        <v/>
      </c>
      <c r="P959" s="17">
        <f>IF('ORDENES'!$U955="correctiva",N959,0)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22">
        <f>IF(K959=1,'ORDENES'!$J955,"")</f>
        <v/>
      </c>
    </row>
    <row r="960">
      <c r="K960" s="5">
        <f>IF(AND(IF($B$3="(todos)",TRUE,'ORDENES'!$O956=$B$3),IF($D$3="(todos)",TRUE,'ORDENES'!$AH956=$D$3),IF($F$3="(todos)",TRUE,'ORDENES'!$Z956=$F$3),IF($H$3="(todos)",TRUE,'ORDENES'!$Y956=$H$3),'ORDENES'!$AF956=TRUE,'ORDENES'!$A956&lt;&gt;""),1,0)</f>
        <v/>
      </c>
      <c r="L960" s="5">
        <f>IF(K960=1,IFERROR(MATCH('ORDENES'!$S956,lista_dias,0),9)*1000000000+IFERROR(MATCH('ORDENES'!$AH956,lista_turnos,0),9)*10000000+IFERROR(MATCH('ORDENES'!$AG956,tblTecnicos[nombre],0),99)*100000+953,9000000000000+953)</f>
        <v/>
      </c>
      <c r="M960" s="5">
        <f>IF(K960=1,SUMPRODUCT(--($L$8:$L$1207&lt;L960))+1,"")</f>
        <v/>
      </c>
      <c r="N960" s="17">
        <f>IF(K960=1,N('ORDENES'!$M956),0)</f>
        <v/>
      </c>
      <c r="O960" s="17">
        <f>IF('ORDENES'!$U956="preventiva",N960,0)</f>
        <v/>
      </c>
      <c r="P960" s="17">
        <f>IF('ORDENES'!$U956="correctiva",N960,0)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22">
        <f>IF(K960=1,'ORDENES'!$J956,"")</f>
        <v/>
      </c>
    </row>
    <row r="961">
      <c r="K961" s="5">
        <f>IF(AND(IF($B$3="(todos)",TRUE,'ORDENES'!$O957=$B$3),IF($D$3="(todos)",TRUE,'ORDENES'!$AH957=$D$3),IF($F$3="(todos)",TRUE,'ORDENES'!$Z957=$F$3),IF($H$3="(todos)",TRUE,'ORDENES'!$Y957=$H$3),'ORDENES'!$AF957=TRUE,'ORDENES'!$A957&lt;&gt;""),1,0)</f>
        <v/>
      </c>
      <c r="L961" s="5">
        <f>IF(K961=1,IFERROR(MATCH('ORDENES'!$S957,lista_dias,0),9)*1000000000+IFERROR(MATCH('ORDENES'!$AH957,lista_turnos,0),9)*10000000+IFERROR(MATCH('ORDENES'!$AG957,tblTecnicos[nombre],0),99)*100000+954,9000000000000+954)</f>
        <v/>
      </c>
      <c r="M961" s="5">
        <f>IF(K961=1,SUMPRODUCT(--($L$8:$L$1207&lt;L961))+1,"")</f>
        <v/>
      </c>
      <c r="N961" s="17">
        <f>IF(K961=1,N('ORDENES'!$M957),0)</f>
        <v/>
      </c>
      <c r="O961" s="17">
        <f>IF('ORDENES'!$U957="preventiva",N961,0)</f>
        <v/>
      </c>
      <c r="P961" s="17">
        <f>IF('ORDENES'!$U957="correctiva",N961,0)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22">
        <f>IF(K961=1,'ORDENES'!$J957,"")</f>
        <v/>
      </c>
    </row>
    <row r="962">
      <c r="K962" s="5">
        <f>IF(AND(IF($B$3="(todos)",TRUE,'ORDENES'!$O958=$B$3),IF($D$3="(todos)",TRUE,'ORDENES'!$AH958=$D$3),IF($F$3="(todos)",TRUE,'ORDENES'!$Z958=$F$3),IF($H$3="(todos)",TRUE,'ORDENES'!$Y958=$H$3),'ORDENES'!$AF958=TRUE,'ORDENES'!$A958&lt;&gt;""),1,0)</f>
        <v/>
      </c>
      <c r="L962" s="5">
        <f>IF(K962=1,IFERROR(MATCH('ORDENES'!$S958,lista_dias,0),9)*1000000000+IFERROR(MATCH('ORDENES'!$AH958,lista_turnos,0),9)*10000000+IFERROR(MATCH('ORDENES'!$AG958,tblTecnicos[nombre],0),99)*100000+955,9000000000000+955)</f>
        <v/>
      </c>
      <c r="M962" s="5">
        <f>IF(K962=1,SUMPRODUCT(--($L$8:$L$1207&lt;L962))+1,"")</f>
        <v/>
      </c>
      <c r="N962" s="17">
        <f>IF(K962=1,N('ORDENES'!$M958),0)</f>
        <v/>
      </c>
      <c r="O962" s="17">
        <f>IF('ORDENES'!$U958="preventiva",N962,0)</f>
        <v/>
      </c>
      <c r="P962" s="17">
        <f>IF('ORDENES'!$U958="correctiva",N962,0)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22">
        <f>IF(K962=1,'ORDENES'!$J958,"")</f>
        <v/>
      </c>
    </row>
    <row r="963">
      <c r="K963" s="5">
        <f>IF(AND(IF($B$3="(todos)",TRUE,'ORDENES'!$O959=$B$3),IF($D$3="(todos)",TRUE,'ORDENES'!$AH959=$D$3),IF($F$3="(todos)",TRUE,'ORDENES'!$Z959=$F$3),IF($H$3="(todos)",TRUE,'ORDENES'!$Y959=$H$3),'ORDENES'!$AF959=TRUE,'ORDENES'!$A959&lt;&gt;""),1,0)</f>
        <v/>
      </c>
      <c r="L963" s="5">
        <f>IF(K963=1,IFERROR(MATCH('ORDENES'!$S959,lista_dias,0),9)*1000000000+IFERROR(MATCH('ORDENES'!$AH959,lista_turnos,0),9)*10000000+IFERROR(MATCH('ORDENES'!$AG959,tblTecnicos[nombre],0),99)*100000+956,9000000000000+956)</f>
        <v/>
      </c>
      <c r="M963" s="5">
        <f>IF(K963=1,SUMPRODUCT(--($L$8:$L$1207&lt;L963))+1,"")</f>
        <v/>
      </c>
      <c r="N963" s="17">
        <f>IF(K963=1,N('ORDENES'!$M959),0)</f>
        <v/>
      </c>
      <c r="O963" s="17">
        <f>IF('ORDENES'!$U959="preventiva",N963,0)</f>
        <v/>
      </c>
      <c r="P963" s="17">
        <f>IF('ORDENES'!$U959="correctiva",N963,0)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22">
        <f>IF(K963=1,'ORDENES'!$J959,"")</f>
        <v/>
      </c>
    </row>
    <row r="964">
      <c r="K964" s="5">
        <f>IF(AND(IF($B$3="(todos)",TRUE,'ORDENES'!$O960=$B$3),IF($D$3="(todos)",TRUE,'ORDENES'!$AH960=$D$3),IF($F$3="(todos)",TRUE,'ORDENES'!$Z960=$F$3),IF($H$3="(todos)",TRUE,'ORDENES'!$Y960=$H$3),'ORDENES'!$AF960=TRUE,'ORDENES'!$A960&lt;&gt;""),1,0)</f>
        <v/>
      </c>
      <c r="L964" s="5">
        <f>IF(K964=1,IFERROR(MATCH('ORDENES'!$S960,lista_dias,0),9)*1000000000+IFERROR(MATCH('ORDENES'!$AH960,lista_turnos,0),9)*10000000+IFERROR(MATCH('ORDENES'!$AG960,tblTecnicos[nombre],0),99)*100000+957,9000000000000+957)</f>
        <v/>
      </c>
      <c r="M964" s="5">
        <f>IF(K964=1,SUMPRODUCT(--($L$8:$L$1207&lt;L964))+1,"")</f>
        <v/>
      </c>
      <c r="N964" s="17">
        <f>IF(K964=1,N('ORDENES'!$M960),0)</f>
        <v/>
      </c>
      <c r="O964" s="17">
        <f>IF('ORDENES'!$U960="preventiva",N964,0)</f>
        <v/>
      </c>
      <c r="P964" s="17">
        <f>IF('ORDENES'!$U960="correctiva",N964,0)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22">
        <f>IF(K964=1,'ORDENES'!$J960,"")</f>
        <v/>
      </c>
    </row>
    <row r="965">
      <c r="K965" s="5">
        <f>IF(AND(IF($B$3="(todos)",TRUE,'ORDENES'!$O961=$B$3),IF($D$3="(todos)",TRUE,'ORDENES'!$AH961=$D$3),IF($F$3="(todos)",TRUE,'ORDENES'!$Z961=$F$3),IF($H$3="(todos)",TRUE,'ORDENES'!$Y961=$H$3),'ORDENES'!$AF961=TRUE,'ORDENES'!$A961&lt;&gt;""),1,0)</f>
        <v/>
      </c>
      <c r="L965" s="5">
        <f>IF(K965=1,IFERROR(MATCH('ORDENES'!$S961,lista_dias,0),9)*1000000000+IFERROR(MATCH('ORDENES'!$AH961,lista_turnos,0),9)*10000000+IFERROR(MATCH('ORDENES'!$AG961,tblTecnicos[nombre],0),99)*100000+958,9000000000000+958)</f>
        <v/>
      </c>
      <c r="M965" s="5">
        <f>IF(K965=1,SUMPRODUCT(--($L$8:$L$1207&lt;L965))+1,"")</f>
        <v/>
      </c>
      <c r="N965" s="17">
        <f>IF(K965=1,N('ORDENES'!$M961),0)</f>
        <v/>
      </c>
      <c r="O965" s="17">
        <f>IF('ORDENES'!$U961="preventiva",N965,0)</f>
        <v/>
      </c>
      <c r="P965" s="17">
        <f>IF('ORDENES'!$U961="correctiva",N965,0)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22">
        <f>IF(K965=1,'ORDENES'!$J961,"")</f>
        <v/>
      </c>
    </row>
    <row r="966">
      <c r="K966" s="5">
        <f>IF(AND(IF($B$3="(todos)",TRUE,'ORDENES'!$O962=$B$3),IF($D$3="(todos)",TRUE,'ORDENES'!$AH962=$D$3),IF($F$3="(todos)",TRUE,'ORDENES'!$Z962=$F$3),IF($H$3="(todos)",TRUE,'ORDENES'!$Y962=$H$3),'ORDENES'!$AF962=TRUE,'ORDENES'!$A962&lt;&gt;""),1,0)</f>
        <v/>
      </c>
      <c r="L966" s="5">
        <f>IF(K966=1,IFERROR(MATCH('ORDENES'!$S962,lista_dias,0),9)*1000000000+IFERROR(MATCH('ORDENES'!$AH962,lista_turnos,0),9)*10000000+IFERROR(MATCH('ORDENES'!$AG962,tblTecnicos[nombre],0),99)*100000+959,9000000000000+959)</f>
        <v/>
      </c>
      <c r="M966" s="5">
        <f>IF(K966=1,SUMPRODUCT(--($L$8:$L$1207&lt;L966))+1,"")</f>
        <v/>
      </c>
      <c r="N966" s="17">
        <f>IF(K966=1,N('ORDENES'!$M962),0)</f>
        <v/>
      </c>
      <c r="O966" s="17">
        <f>IF('ORDENES'!$U962="preventiva",N966,0)</f>
        <v/>
      </c>
      <c r="P966" s="17">
        <f>IF('ORDENES'!$U962="correctiva",N966,0)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22">
        <f>IF(K966=1,'ORDENES'!$J962,"")</f>
        <v/>
      </c>
    </row>
    <row r="967">
      <c r="K967" s="5">
        <f>IF(AND(IF($B$3="(todos)",TRUE,'ORDENES'!$O963=$B$3),IF($D$3="(todos)",TRUE,'ORDENES'!$AH963=$D$3),IF($F$3="(todos)",TRUE,'ORDENES'!$Z963=$F$3),IF($H$3="(todos)",TRUE,'ORDENES'!$Y963=$H$3),'ORDENES'!$AF963=TRUE,'ORDENES'!$A963&lt;&gt;""),1,0)</f>
        <v/>
      </c>
      <c r="L967" s="5">
        <f>IF(K967=1,IFERROR(MATCH('ORDENES'!$S963,lista_dias,0),9)*1000000000+IFERROR(MATCH('ORDENES'!$AH963,lista_turnos,0),9)*10000000+IFERROR(MATCH('ORDENES'!$AG963,tblTecnicos[nombre],0),99)*100000+960,9000000000000+960)</f>
        <v/>
      </c>
      <c r="M967" s="5">
        <f>IF(K967=1,SUMPRODUCT(--($L$8:$L$1207&lt;L967))+1,"")</f>
        <v/>
      </c>
      <c r="N967" s="17">
        <f>IF(K967=1,N('ORDENES'!$M963),0)</f>
        <v/>
      </c>
      <c r="O967" s="17">
        <f>IF('ORDENES'!$U963="preventiva",N967,0)</f>
        <v/>
      </c>
      <c r="P967" s="17">
        <f>IF('ORDENES'!$U963="correctiva",N967,0)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22">
        <f>IF(K967=1,'ORDENES'!$J963,"")</f>
        <v/>
      </c>
    </row>
    <row r="968">
      <c r="K968" s="5">
        <f>IF(AND(IF($B$3="(todos)",TRUE,'ORDENES'!$O964=$B$3),IF($D$3="(todos)",TRUE,'ORDENES'!$AH964=$D$3),IF($F$3="(todos)",TRUE,'ORDENES'!$Z964=$F$3),IF($H$3="(todos)",TRUE,'ORDENES'!$Y964=$H$3),'ORDENES'!$AF964=TRUE,'ORDENES'!$A964&lt;&gt;""),1,0)</f>
        <v/>
      </c>
      <c r="L968" s="5">
        <f>IF(K968=1,IFERROR(MATCH('ORDENES'!$S964,lista_dias,0),9)*1000000000+IFERROR(MATCH('ORDENES'!$AH964,lista_turnos,0),9)*10000000+IFERROR(MATCH('ORDENES'!$AG964,tblTecnicos[nombre],0),99)*100000+961,9000000000000+961)</f>
        <v/>
      </c>
      <c r="M968" s="5">
        <f>IF(K968=1,SUMPRODUCT(--($L$8:$L$1207&lt;L968))+1,"")</f>
        <v/>
      </c>
      <c r="N968" s="17">
        <f>IF(K968=1,N('ORDENES'!$M964),0)</f>
        <v/>
      </c>
      <c r="O968" s="17">
        <f>IF('ORDENES'!$U964="preventiva",N968,0)</f>
        <v/>
      </c>
      <c r="P968" s="17">
        <f>IF('ORDENES'!$U964="correctiva",N968,0)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22">
        <f>IF(K968=1,'ORDENES'!$J964,"")</f>
        <v/>
      </c>
    </row>
    <row r="969">
      <c r="K969" s="5">
        <f>IF(AND(IF($B$3="(todos)",TRUE,'ORDENES'!$O965=$B$3),IF($D$3="(todos)",TRUE,'ORDENES'!$AH965=$D$3),IF($F$3="(todos)",TRUE,'ORDENES'!$Z965=$F$3),IF($H$3="(todos)",TRUE,'ORDENES'!$Y965=$H$3),'ORDENES'!$AF965=TRUE,'ORDENES'!$A965&lt;&gt;""),1,0)</f>
        <v/>
      </c>
      <c r="L969" s="5">
        <f>IF(K969=1,IFERROR(MATCH('ORDENES'!$S965,lista_dias,0),9)*1000000000+IFERROR(MATCH('ORDENES'!$AH965,lista_turnos,0),9)*10000000+IFERROR(MATCH('ORDENES'!$AG965,tblTecnicos[nombre],0),99)*100000+962,9000000000000+962)</f>
        <v/>
      </c>
      <c r="M969" s="5">
        <f>IF(K969=1,SUMPRODUCT(--($L$8:$L$1207&lt;L969))+1,"")</f>
        <v/>
      </c>
      <c r="N969" s="17">
        <f>IF(K969=1,N('ORDENES'!$M965),0)</f>
        <v/>
      </c>
      <c r="O969" s="17">
        <f>IF('ORDENES'!$U965="preventiva",N969,0)</f>
        <v/>
      </c>
      <c r="P969" s="17">
        <f>IF('ORDENES'!$U965="correctiva",N969,0)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22">
        <f>IF(K969=1,'ORDENES'!$J965,"")</f>
        <v/>
      </c>
    </row>
    <row r="970">
      <c r="K970" s="5">
        <f>IF(AND(IF($B$3="(todos)",TRUE,'ORDENES'!$O966=$B$3),IF($D$3="(todos)",TRUE,'ORDENES'!$AH966=$D$3),IF($F$3="(todos)",TRUE,'ORDENES'!$Z966=$F$3),IF($H$3="(todos)",TRUE,'ORDENES'!$Y966=$H$3),'ORDENES'!$AF966=TRUE,'ORDENES'!$A966&lt;&gt;""),1,0)</f>
        <v/>
      </c>
      <c r="L970" s="5">
        <f>IF(K970=1,IFERROR(MATCH('ORDENES'!$S966,lista_dias,0),9)*1000000000+IFERROR(MATCH('ORDENES'!$AH966,lista_turnos,0),9)*10000000+IFERROR(MATCH('ORDENES'!$AG966,tblTecnicos[nombre],0),99)*100000+963,9000000000000+963)</f>
        <v/>
      </c>
      <c r="M970" s="5">
        <f>IF(K970=1,SUMPRODUCT(--($L$8:$L$1207&lt;L970))+1,"")</f>
        <v/>
      </c>
      <c r="N970" s="17">
        <f>IF(K970=1,N('ORDENES'!$M966),0)</f>
        <v/>
      </c>
      <c r="O970" s="17">
        <f>IF('ORDENES'!$U966="preventiva",N970,0)</f>
        <v/>
      </c>
      <c r="P970" s="17">
        <f>IF('ORDENES'!$U966="correctiva",N970,0)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22">
        <f>IF(K970=1,'ORDENES'!$J966,"")</f>
        <v/>
      </c>
    </row>
    <row r="971">
      <c r="K971" s="5">
        <f>IF(AND(IF($B$3="(todos)",TRUE,'ORDENES'!$O967=$B$3),IF($D$3="(todos)",TRUE,'ORDENES'!$AH967=$D$3),IF($F$3="(todos)",TRUE,'ORDENES'!$Z967=$F$3),IF($H$3="(todos)",TRUE,'ORDENES'!$Y967=$H$3),'ORDENES'!$AF967=TRUE,'ORDENES'!$A967&lt;&gt;""),1,0)</f>
        <v/>
      </c>
      <c r="L971" s="5">
        <f>IF(K971=1,IFERROR(MATCH('ORDENES'!$S967,lista_dias,0),9)*1000000000+IFERROR(MATCH('ORDENES'!$AH967,lista_turnos,0),9)*10000000+IFERROR(MATCH('ORDENES'!$AG967,tblTecnicos[nombre],0),99)*100000+964,9000000000000+964)</f>
        <v/>
      </c>
      <c r="M971" s="5">
        <f>IF(K971=1,SUMPRODUCT(--($L$8:$L$1207&lt;L971))+1,"")</f>
        <v/>
      </c>
      <c r="N971" s="17">
        <f>IF(K971=1,N('ORDENES'!$M967),0)</f>
        <v/>
      </c>
      <c r="O971" s="17">
        <f>IF('ORDENES'!$U967="preventiva",N971,0)</f>
        <v/>
      </c>
      <c r="P971" s="17">
        <f>IF('ORDENES'!$U967="correctiva",N971,0)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22">
        <f>IF(K971=1,'ORDENES'!$J967,"")</f>
        <v/>
      </c>
    </row>
    <row r="972">
      <c r="K972" s="5">
        <f>IF(AND(IF($B$3="(todos)",TRUE,'ORDENES'!$O968=$B$3),IF($D$3="(todos)",TRUE,'ORDENES'!$AH968=$D$3),IF($F$3="(todos)",TRUE,'ORDENES'!$Z968=$F$3),IF($H$3="(todos)",TRUE,'ORDENES'!$Y968=$H$3),'ORDENES'!$AF968=TRUE,'ORDENES'!$A968&lt;&gt;""),1,0)</f>
        <v/>
      </c>
      <c r="L972" s="5">
        <f>IF(K972=1,IFERROR(MATCH('ORDENES'!$S968,lista_dias,0),9)*1000000000+IFERROR(MATCH('ORDENES'!$AH968,lista_turnos,0),9)*10000000+IFERROR(MATCH('ORDENES'!$AG968,tblTecnicos[nombre],0),99)*100000+965,9000000000000+965)</f>
        <v/>
      </c>
      <c r="M972" s="5">
        <f>IF(K972=1,SUMPRODUCT(--($L$8:$L$1207&lt;L972))+1,"")</f>
        <v/>
      </c>
      <c r="N972" s="17">
        <f>IF(K972=1,N('ORDENES'!$M968),0)</f>
        <v/>
      </c>
      <c r="O972" s="17">
        <f>IF('ORDENES'!$U968="preventiva",N972,0)</f>
        <v/>
      </c>
      <c r="P972" s="17">
        <f>IF('ORDENES'!$U968="correctiva",N972,0)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22">
        <f>IF(K972=1,'ORDENES'!$J968,"")</f>
        <v/>
      </c>
    </row>
    <row r="973">
      <c r="K973" s="5">
        <f>IF(AND(IF($B$3="(todos)",TRUE,'ORDENES'!$O969=$B$3),IF($D$3="(todos)",TRUE,'ORDENES'!$AH969=$D$3),IF($F$3="(todos)",TRUE,'ORDENES'!$Z969=$F$3),IF($H$3="(todos)",TRUE,'ORDENES'!$Y969=$H$3),'ORDENES'!$AF969=TRUE,'ORDENES'!$A969&lt;&gt;""),1,0)</f>
        <v/>
      </c>
      <c r="L973" s="5">
        <f>IF(K973=1,IFERROR(MATCH('ORDENES'!$S969,lista_dias,0),9)*1000000000+IFERROR(MATCH('ORDENES'!$AH969,lista_turnos,0),9)*10000000+IFERROR(MATCH('ORDENES'!$AG969,tblTecnicos[nombre],0),99)*100000+966,9000000000000+966)</f>
        <v/>
      </c>
      <c r="M973" s="5">
        <f>IF(K973=1,SUMPRODUCT(--($L$8:$L$1207&lt;L973))+1,"")</f>
        <v/>
      </c>
      <c r="N973" s="17">
        <f>IF(K973=1,N('ORDENES'!$M969),0)</f>
        <v/>
      </c>
      <c r="O973" s="17">
        <f>IF('ORDENES'!$U969="preventiva",N973,0)</f>
        <v/>
      </c>
      <c r="P973" s="17">
        <f>IF('ORDENES'!$U969="correctiva",N973,0)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22">
        <f>IF(K973=1,'ORDENES'!$J969,"")</f>
        <v/>
      </c>
    </row>
    <row r="974">
      <c r="K974" s="5">
        <f>IF(AND(IF($B$3="(todos)",TRUE,'ORDENES'!$O970=$B$3),IF($D$3="(todos)",TRUE,'ORDENES'!$AH970=$D$3),IF($F$3="(todos)",TRUE,'ORDENES'!$Z970=$F$3),IF($H$3="(todos)",TRUE,'ORDENES'!$Y970=$H$3),'ORDENES'!$AF970=TRUE,'ORDENES'!$A970&lt;&gt;""),1,0)</f>
        <v/>
      </c>
      <c r="L974" s="5">
        <f>IF(K974=1,IFERROR(MATCH('ORDENES'!$S970,lista_dias,0),9)*1000000000+IFERROR(MATCH('ORDENES'!$AH970,lista_turnos,0),9)*10000000+IFERROR(MATCH('ORDENES'!$AG970,tblTecnicos[nombre],0),99)*100000+967,9000000000000+967)</f>
        <v/>
      </c>
      <c r="M974" s="5">
        <f>IF(K974=1,SUMPRODUCT(--($L$8:$L$1207&lt;L974))+1,"")</f>
        <v/>
      </c>
      <c r="N974" s="17">
        <f>IF(K974=1,N('ORDENES'!$M970),0)</f>
        <v/>
      </c>
      <c r="O974" s="17">
        <f>IF('ORDENES'!$U970="preventiva",N974,0)</f>
        <v/>
      </c>
      <c r="P974" s="17">
        <f>IF('ORDENES'!$U970="correctiva",N974,0)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22">
        <f>IF(K974=1,'ORDENES'!$J970,"")</f>
        <v/>
      </c>
    </row>
    <row r="975">
      <c r="K975" s="5">
        <f>IF(AND(IF($B$3="(todos)",TRUE,'ORDENES'!$O971=$B$3),IF($D$3="(todos)",TRUE,'ORDENES'!$AH971=$D$3),IF($F$3="(todos)",TRUE,'ORDENES'!$Z971=$F$3),IF($H$3="(todos)",TRUE,'ORDENES'!$Y971=$H$3),'ORDENES'!$AF971=TRUE,'ORDENES'!$A971&lt;&gt;""),1,0)</f>
        <v/>
      </c>
      <c r="L975" s="5">
        <f>IF(K975=1,IFERROR(MATCH('ORDENES'!$S971,lista_dias,0),9)*1000000000+IFERROR(MATCH('ORDENES'!$AH971,lista_turnos,0),9)*10000000+IFERROR(MATCH('ORDENES'!$AG971,tblTecnicos[nombre],0),99)*100000+968,9000000000000+968)</f>
        <v/>
      </c>
      <c r="M975" s="5">
        <f>IF(K975=1,SUMPRODUCT(--($L$8:$L$1207&lt;L975))+1,"")</f>
        <v/>
      </c>
      <c r="N975" s="17">
        <f>IF(K975=1,N('ORDENES'!$M971),0)</f>
        <v/>
      </c>
      <c r="O975" s="17">
        <f>IF('ORDENES'!$U971="preventiva",N975,0)</f>
        <v/>
      </c>
      <c r="P975" s="17">
        <f>IF('ORDENES'!$U971="correctiva",N975,0)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22">
        <f>IF(K975=1,'ORDENES'!$J971,"")</f>
        <v/>
      </c>
    </row>
    <row r="976">
      <c r="K976" s="5">
        <f>IF(AND(IF($B$3="(todos)",TRUE,'ORDENES'!$O972=$B$3),IF($D$3="(todos)",TRUE,'ORDENES'!$AH972=$D$3),IF($F$3="(todos)",TRUE,'ORDENES'!$Z972=$F$3),IF($H$3="(todos)",TRUE,'ORDENES'!$Y972=$H$3),'ORDENES'!$AF972=TRUE,'ORDENES'!$A972&lt;&gt;""),1,0)</f>
        <v/>
      </c>
      <c r="L976" s="5">
        <f>IF(K976=1,IFERROR(MATCH('ORDENES'!$S972,lista_dias,0),9)*1000000000+IFERROR(MATCH('ORDENES'!$AH972,lista_turnos,0),9)*10000000+IFERROR(MATCH('ORDENES'!$AG972,tblTecnicos[nombre],0),99)*100000+969,9000000000000+969)</f>
        <v/>
      </c>
      <c r="M976" s="5">
        <f>IF(K976=1,SUMPRODUCT(--($L$8:$L$1207&lt;L976))+1,"")</f>
        <v/>
      </c>
      <c r="N976" s="17">
        <f>IF(K976=1,N('ORDENES'!$M972),0)</f>
        <v/>
      </c>
      <c r="O976" s="17">
        <f>IF('ORDENES'!$U972="preventiva",N976,0)</f>
        <v/>
      </c>
      <c r="P976" s="17">
        <f>IF('ORDENES'!$U972="correctiva",N976,0)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22">
        <f>IF(K976=1,'ORDENES'!$J972,"")</f>
        <v/>
      </c>
    </row>
    <row r="977">
      <c r="K977" s="5">
        <f>IF(AND(IF($B$3="(todos)",TRUE,'ORDENES'!$O973=$B$3),IF($D$3="(todos)",TRUE,'ORDENES'!$AH973=$D$3),IF($F$3="(todos)",TRUE,'ORDENES'!$Z973=$F$3),IF($H$3="(todos)",TRUE,'ORDENES'!$Y973=$H$3),'ORDENES'!$AF973=TRUE,'ORDENES'!$A973&lt;&gt;""),1,0)</f>
        <v/>
      </c>
      <c r="L977" s="5">
        <f>IF(K977=1,IFERROR(MATCH('ORDENES'!$S973,lista_dias,0),9)*1000000000+IFERROR(MATCH('ORDENES'!$AH973,lista_turnos,0),9)*10000000+IFERROR(MATCH('ORDENES'!$AG973,tblTecnicos[nombre],0),99)*100000+970,9000000000000+970)</f>
        <v/>
      </c>
      <c r="M977" s="5">
        <f>IF(K977=1,SUMPRODUCT(--($L$8:$L$1207&lt;L977))+1,"")</f>
        <v/>
      </c>
      <c r="N977" s="17">
        <f>IF(K977=1,N('ORDENES'!$M973),0)</f>
        <v/>
      </c>
      <c r="O977" s="17">
        <f>IF('ORDENES'!$U973="preventiva",N977,0)</f>
        <v/>
      </c>
      <c r="P977" s="17">
        <f>IF('ORDENES'!$U973="correctiva",N977,0)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22">
        <f>IF(K977=1,'ORDENES'!$J973,"")</f>
        <v/>
      </c>
    </row>
    <row r="978">
      <c r="K978" s="5">
        <f>IF(AND(IF($B$3="(todos)",TRUE,'ORDENES'!$O974=$B$3),IF($D$3="(todos)",TRUE,'ORDENES'!$AH974=$D$3),IF($F$3="(todos)",TRUE,'ORDENES'!$Z974=$F$3),IF($H$3="(todos)",TRUE,'ORDENES'!$Y974=$H$3),'ORDENES'!$AF974=TRUE,'ORDENES'!$A974&lt;&gt;""),1,0)</f>
        <v/>
      </c>
      <c r="L978" s="5">
        <f>IF(K978=1,IFERROR(MATCH('ORDENES'!$S974,lista_dias,0),9)*1000000000+IFERROR(MATCH('ORDENES'!$AH974,lista_turnos,0),9)*10000000+IFERROR(MATCH('ORDENES'!$AG974,tblTecnicos[nombre],0),99)*100000+971,9000000000000+971)</f>
        <v/>
      </c>
      <c r="M978" s="5">
        <f>IF(K978=1,SUMPRODUCT(--($L$8:$L$1207&lt;L978))+1,"")</f>
        <v/>
      </c>
      <c r="N978" s="17">
        <f>IF(K978=1,N('ORDENES'!$M974),0)</f>
        <v/>
      </c>
      <c r="O978" s="17">
        <f>IF('ORDENES'!$U974="preventiva",N978,0)</f>
        <v/>
      </c>
      <c r="P978" s="17">
        <f>IF('ORDENES'!$U974="correctiva",N978,0)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22">
        <f>IF(K978=1,'ORDENES'!$J974,"")</f>
        <v/>
      </c>
    </row>
    <row r="979">
      <c r="K979" s="5">
        <f>IF(AND(IF($B$3="(todos)",TRUE,'ORDENES'!$O975=$B$3),IF($D$3="(todos)",TRUE,'ORDENES'!$AH975=$D$3),IF($F$3="(todos)",TRUE,'ORDENES'!$Z975=$F$3),IF($H$3="(todos)",TRUE,'ORDENES'!$Y975=$H$3),'ORDENES'!$AF975=TRUE,'ORDENES'!$A975&lt;&gt;""),1,0)</f>
        <v/>
      </c>
      <c r="L979" s="5">
        <f>IF(K979=1,IFERROR(MATCH('ORDENES'!$S975,lista_dias,0),9)*1000000000+IFERROR(MATCH('ORDENES'!$AH975,lista_turnos,0),9)*10000000+IFERROR(MATCH('ORDENES'!$AG975,tblTecnicos[nombre],0),99)*100000+972,9000000000000+972)</f>
        <v/>
      </c>
      <c r="M979" s="5">
        <f>IF(K979=1,SUMPRODUCT(--($L$8:$L$1207&lt;L979))+1,"")</f>
        <v/>
      </c>
      <c r="N979" s="17">
        <f>IF(K979=1,N('ORDENES'!$M975),0)</f>
        <v/>
      </c>
      <c r="O979" s="17">
        <f>IF('ORDENES'!$U975="preventiva",N979,0)</f>
        <v/>
      </c>
      <c r="P979" s="17">
        <f>IF('ORDENES'!$U975="correctiva",N979,0)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22">
        <f>IF(K979=1,'ORDENES'!$J975,"")</f>
        <v/>
      </c>
    </row>
    <row r="980">
      <c r="K980" s="5">
        <f>IF(AND(IF($B$3="(todos)",TRUE,'ORDENES'!$O976=$B$3),IF($D$3="(todos)",TRUE,'ORDENES'!$AH976=$D$3),IF($F$3="(todos)",TRUE,'ORDENES'!$Z976=$F$3),IF($H$3="(todos)",TRUE,'ORDENES'!$Y976=$H$3),'ORDENES'!$AF976=TRUE,'ORDENES'!$A976&lt;&gt;""),1,0)</f>
        <v/>
      </c>
      <c r="L980" s="5">
        <f>IF(K980=1,IFERROR(MATCH('ORDENES'!$S976,lista_dias,0),9)*1000000000+IFERROR(MATCH('ORDENES'!$AH976,lista_turnos,0),9)*10000000+IFERROR(MATCH('ORDENES'!$AG976,tblTecnicos[nombre],0),99)*100000+973,9000000000000+973)</f>
        <v/>
      </c>
      <c r="M980" s="5">
        <f>IF(K980=1,SUMPRODUCT(--($L$8:$L$1207&lt;L980))+1,"")</f>
        <v/>
      </c>
      <c r="N980" s="17">
        <f>IF(K980=1,N('ORDENES'!$M976),0)</f>
        <v/>
      </c>
      <c r="O980" s="17">
        <f>IF('ORDENES'!$U976="preventiva",N980,0)</f>
        <v/>
      </c>
      <c r="P980" s="17">
        <f>IF('ORDENES'!$U976="correctiva",N980,0)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22">
        <f>IF(K980=1,'ORDENES'!$J976,"")</f>
        <v/>
      </c>
    </row>
    <row r="981">
      <c r="K981" s="5">
        <f>IF(AND(IF($B$3="(todos)",TRUE,'ORDENES'!$O977=$B$3),IF($D$3="(todos)",TRUE,'ORDENES'!$AH977=$D$3),IF($F$3="(todos)",TRUE,'ORDENES'!$Z977=$F$3),IF($H$3="(todos)",TRUE,'ORDENES'!$Y977=$H$3),'ORDENES'!$AF977=TRUE,'ORDENES'!$A977&lt;&gt;""),1,0)</f>
        <v/>
      </c>
      <c r="L981" s="5">
        <f>IF(K981=1,IFERROR(MATCH('ORDENES'!$S977,lista_dias,0),9)*1000000000+IFERROR(MATCH('ORDENES'!$AH977,lista_turnos,0),9)*10000000+IFERROR(MATCH('ORDENES'!$AG977,tblTecnicos[nombre],0),99)*100000+974,9000000000000+974)</f>
        <v/>
      </c>
      <c r="M981" s="5">
        <f>IF(K981=1,SUMPRODUCT(--($L$8:$L$1207&lt;L981))+1,"")</f>
        <v/>
      </c>
      <c r="N981" s="17">
        <f>IF(K981=1,N('ORDENES'!$M977),0)</f>
        <v/>
      </c>
      <c r="O981" s="17">
        <f>IF('ORDENES'!$U977="preventiva",N981,0)</f>
        <v/>
      </c>
      <c r="P981" s="17">
        <f>IF('ORDENES'!$U977="correctiva",N981,0)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22">
        <f>IF(K981=1,'ORDENES'!$J977,"")</f>
        <v/>
      </c>
    </row>
    <row r="982">
      <c r="K982" s="5">
        <f>IF(AND(IF($B$3="(todos)",TRUE,'ORDENES'!$O978=$B$3),IF($D$3="(todos)",TRUE,'ORDENES'!$AH978=$D$3),IF($F$3="(todos)",TRUE,'ORDENES'!$Z978=$F$3),IF($H$3="(todos)",TRUE,'ORDENES'!$Y978=$H$3),'ORDENES'!$AF978=TRUE,'ORDENES'!$A978&lt;&gt;""),1,0)</f>
        <v/>
      </c>
      <c r="L982" s="5">
        <f>IF(K982=1,IFERROR(MATCH('ORDENES'!$S978,lista_dias,0),9)*1000000000+IFERROR(MATCH('ORDENES'!$AH978,lista_turnos,0),9)*10000000+IFERROR(MATCH('ORDENES'!$AG978,tblTecnicos[nombre],0),99)*100000+975,9000000000000+975)</f>
        <v/>
      </c>
      <c r="M982" s="5">
        <f>IF(K982=1,SUMPRODUCT(--($L$8:$L$1207&lt;L982))+1,"")</f>
        <v/>
      </c>
      <c r="N982" s="17">
        <f>IF(K982=1,N('ORDENES'!$M978),0)</f>
        <v/>
      </c>
      <c r="O982" s="17">
        <f>IF('ORDENES'!$U978="preventiva",N982,0)</f>
        <v/>
      </c>
      <c r="P982" s="17">
        <f>IF('ORDENES'!$U978="correctiva",N982,0)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22">
        <f>IF(K982=1,'ORDENES'!$J978,"")</f>
        <v/>
      </c>
    </row>
    <row r="983">
      <c r="K983" s="5">
        <f>IF(AND(IF($B$3="(todos)",TRUE,'ORDENES'!$O979=$B$3),IF($D$3="(todos)",TRUE,'ORDENES'!$AH979=$D$3),IF($F$3="(todos)",TRUE,'ORDENES'!$Z979=$F$3),IF($H$3="(todos)",TRUE,'ORDENES'!$Y979=$H$3),'ORDENES'!$AF979=TRUE,'ORDENES'!$A979&lt;&gt;""),1,0)</f>
        <v/>
      </c>
      <c r="L983" s="5">
        <f>IF(K983=1,IFERROR(MATCH('ORDENES'!$S979,lista_dias,0),9)*1000000000+IFERROR(MATCH('ORDENES'!$AH979,lista_turnos,0),9)*10000000+IFERROR(MATCH('ORDENES'!$AG979,tblTecnicos[nombre],0),99)*100000+976,9000000000000+976)</f>
        <v/>
      </c>
      <c r="M983" s="5">
        <f>IF(K983=1,SUMPRODUCT(--($L$8:$L$1207&lt;L983))+1,"")</f>
        <v/>
      </c>
      <c r="N983" s="17">
        <f>IF(K983=1,N('ORDENES'!$M979),0)</f>
        <v/>
      </c>
      <c r="O983" s="17">
        <f>IF('ORDENES'!$U979="preventiva",N983,0)</f>
        <v/>
      </c>
      <c r="P983" s="17">
        <f>IF('ORDENES'!$U979="correctiva",N983,0)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22">
        <f>IF(K983=1,'ORDENES'!$J979,"")</f>
        <v/>
      </c>
    </row>
    <row r="984">
      <c r="K984" s="5">
        <f>IF(AND(IF($B$3="(todos)",TRUE,'ORDENES'!$O980=$B$3),IF($D$3="(todos)",TRUE,'ORDENES'!$AH980=$D$3),IF($F$3="(todos)",TRUE,'ORDENES'!$Z980=$F$3),IF($H$3="(todos)",TRUE,'ORDENES'!$Y980=$H$3),'ORDENES'!$AF980=TRUE,'ORDENES'!$A980&lt;&gt;""),1,0)</f>
        <v/>
      </c>
      <c r="L984" s="5">
        <f>IF(K984=1,IFERROR(MATCH('ORDENES'!$S980,lista_dias,0),9)*1000000000+IFERROR(MATCH('ORDENES'!$AH980,lista_turnos,0),9)*10000000+IFERROR(MATCH('ORDENES'!$AG980,tblTecnicos[nombre],0),99)*100000+977,9000000000000+977)</f>
        <v/>
      </c>
      <c r="M984" s="5">
        <f>IF(K984=1,SUMPRODUCT(--($L$8:$L$1207&lt;L984))+1,"")</f>
        <v/>
      </c>
      <c r="N984" s="17">
        <f>IF(K984=1,N('ORDENES'!$M980),0)</f>
        <v/>
      </c>
      <c r="O984" s="17">
        <f>IF('ORDENES'!$U980="preventiva",N984,0)</f>
        <v/>
      </c>
      <c r="P984" s="17">
        <f>IF('ORDENES'!$U980="correctiva",N984,0)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22">
        <f>IF(K984=1,'ORDENES'!$J980,"")</f>
        <v/>
      </c>
    </row>
    <row r="985">
      <c r="K985" s="5">
        <f>IF(AND(IF($B$3="(todos)",TRUE,'ORDENES'!$O981=$B$3),IF($D$3="(todos)",TRUE,'ORDENES'!$AH981=$D$3),IF($F$3="(todos)",TRUE,'ORDENES'!$Z981=$F$3),IF($H$3="(todos)",TRUE,'ORDENES'!$Y981=$H$3),'ORDENES'!$AF981=TRUE,'ORDENES'!$A981&lt;&gt;""),1,0)</f>
        <v/>
      </c>
      <c r="L985" s="5">
        <f>IF(K985=1,IFERROR(MATCH('ORDENES'!$S981,lista_dias,0),9)*1000000000+IFERROR(MATCH('ORDENES'!$AH981,lista_turnos,0),9)*10000000+IFERROR(MATCH('ORDENES'!$AG981,tblTecnicos[nombre],0),99)*100000+978,9000000000000+978)</f>
        <v/>
      </c>
      <c r="M985" s="5">
        <f>IF(K985=1,SUMPRODUCT(--($L$8:$L$1207&lt;L985))+1,"")</f>
        <v/>
      </c>
      <c r="N985" s="17">
        <f>IF(K985=1,N('ORDENES'!$M981),0)</f>
        <v/>
      </c>
      <c r="O985" s="17">
        <f>IF('ORDENES'!$U981="preventiva",N985,0)</f>
        <v/>
      </c>
      <c r="P985" s="17">
        <f>IF('ORDENES'!$U981="correctiva",N985,0)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22">
        <f>IF(K985=1,'ORDENES'!$J981,"")</f>
        <v/>
      </c>
    </row>
    <row r="986">
      <c r="K986" s="5">
        <f>IF(AND(IF($B$3="(todos)",TRUE,'ORDENES'!$O982=$B$3),IF($D$3="(todos)",TRUE,'ORDENES'!$AH982=$D$3),IF($F$3="(todos)",TRUE,'ORDENES'!$Z982=$F$3),IF($H$3="(todos)",TRUE,'ORDENES'!$Y982=$H$3),'ORDENES'!$AF982=TRUE,'ORDENES'!$A982&lt;&gt;""),1,0)</f>
        <v/>
      </c>
      <c r="L986" s="5">
        <f>IF(K986=1,IFERROR(MATCH('ORDENES'!$S982,lista_dias,0),9)*1000000000+IFERROR(MATCH('ORDENES'!$AH982,lista_turnos,0),9)*10000000+IFERROR(MATCH('ORDENES'!$AG982,tblTecnicos[nombre],0),99)*100000+979,9000000000000+979)</f>
        <v/>
      </c>
      <c r="M986" s="5">
        <f>IF(K986=1,SUMPRODUCT(--($L$8:$L$1207&lt;L986))+1,"")</f>
        <v/>
      </c>
      <c r="N986" s="17">
        <f>IF(K986=1,N('ORDENES'!$M982),0)</f>
        <v/>
      </c>
      <c r="O986" s="17">
        <f>IF('ORDENES'!$U982="preventiva",N986,0)</f>
        <v/>
      </c>
      <c r="P986" s="17">
        <f>IF('ORDENES'!$U982="correctiva",N986,0)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22">
        <f>IF(K986=1,'ORDENES'!$J982,"")</f>
        <v/>
      </c>
    </row>
    <row r="987">
      <c r="K987" s="5">
        <f>IF(AND(IF($B$3="(todos)",TRUE,'ORDENES'!$O983=$B$3),IF($D$3="(todos)",TRUE,'ORDENES'!$AH983=$D$3),IF($F$3="(todos)",TRUE,'ORDENES'!$Z983=$F$3),IF($H$3="(todos)",TRUE,'ORDENES'!$Y983=$H$3),'ORDENES'!$AF983=TRUE,'ORDENES'!$A983&lt;&gt;""),1,0)</f>
        <v/>
      </c>
      <c r="L987" s="5">
        <f>IF(K987=1,IFERROR(MATCH('ORDENES'!$S983,lista_dias,0),9)*1000000000+IFERROR(MATCH('ORDENES'!$AH983,lista_turnos,0),9)*10000000+IFERROR(MATCH('ORDENES'!$AG983,tblTecnicos[nombre],0),99)*100000+980,9000000000000+980)</f>
        <v/>
      </c>
      <c r="M987" s="5">
        <f>IF(K987=1,SUMPRODUCT(--($L$8:$L$1207&lt;L987))+1,"")</f>
        <v/>
      </c>
      <c r="N987" s="17">
        <f>IF(K987=1,N('ORDENES'!$M983),0)</f>
        <v/>
      </c>
      <c r="O987" s="17">
        <f>IF('ORDENES'!$U983="preventiva",N987,0)</f>
        <v/>
      </c>
      <c r="P987" s="17">
        <f>IF('ORDENES'!$U983="correctiva",N987,0)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22">
        <f>IF(K987=1,'ORDENES'!$J983,"")</f>
        <v/>
      </c>
    </row>
    <row r="988">
      <c r="K988" s="5">
        <f>IF(AND(IF($B$3="(todos)",TRUE,'ORDENES'!$O984=$B$3),IF($D$3="(todos)",TRUE,'ORDENES'!$AH984=$D$3),IF($F$3="(todos)",TRUE,'ORDENES'!$Z984=$F$3),IF($H$3="(todos)",TRUE,'ORDENES'!$Y984=$H$3),'ORDENES'!$AF984=TRUE,'ORDENES'!$A984&lt;&gt;""),1,0)</f>
        <v/>
      </c>
      <c r="L988" s="5">
        <f>IF(K988=1,IFERROR(MATCH('ORDENES'!$S984,lista_dias,0),9)*1000000000+IFERROR(MATCH('ORDENES'!$AH984,lista_turnos,0),9)*10000000+IFERROR(MATCH('ORDENES'!$AG984,tblTecnicos[nombre],0),99)*100000+981,9000000000000+981)</f>
        <v/>
      </c>
      <c r="M988" s="5">
        <f>IF(K988=1,SUMPRODUCT(--($L$8:$L$1207&lt;L988))+1,"")</f>
        <v/>
      </c>
      <c r="N988" s="17">
        <f>IF(K988=1,N('ORDENES'!$M984),0)</f>
        <v/>
      </c>
      <c r="O988" s="17">
        <f>IF('ORDENES'!$U984="preventiva",N988,0)</f>
        <v/>
      </c>
      <c r="P988" s="17">
        <f>IF('ORDENES'!$U984="correctiva",N988,0)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22">
        <f>IF(K988=1,'ORDENES'!$J984,"")</f>
        <v/>
      </c>
    </row>
    <row r="989">
      <c r="K989" s="5">
        <f>IF(AND(IF($B$3="(todos)",TRUE,'ORDENES'!$O985=$B$3),IF($D$3="(todos)",TRUE,'ORDENES'!$AH985=$D$3),IF($F$3="(todos)",TRUE,'ORDENES'!$Z985=$F$3),IF($H$3="(todos)",TRUE,'ORDENES'!$Y985=$H$3),'ORDENES'!$AF985=TRUE,'ORDENES'!$A985&lt;&gt;""),1,0)</f>
        <v/>
      </c>
      <c r="L989" s="5">
        <f>IF(K989=1,IFERROR(MATCH('ORDENES'!$S985,lista_dias,0),9)*1000000000+IFERROR(MATCH('ORDENES'!$AH985,lista_turnos,0),9)*10000000+IFERROR(MATCH('ORDENES'!$AG985,tblTecnicos[nombre],0),99)*100000+982,9000000000000+982)</f>
        <v/>
      </c>
      <c r="M989" s="5">
        <f>IF(K989=1,SUMPRODUCT(--($L$8:$L$1207&lt;L989))+1,"")</f>
        <v/>
      </c>
      <c r="N989" s="17">
        <f>IF(K989=1,N('ORDENES'!$M985),0)</f>
        <v/>
      </c>
      <c r="O989" s="17">
        <f>IF('ORDENES'!$U985="preventiva",N989,0)</f>
        <v/>
      </c>
      <c r="P989" s="17">
        <f>IF('ORDENES'!$U985="correctiva",N989,0)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22">
        <f>IF(K989=1,'ORDENES'!$J985,"")</f>
        <v/>
      </c>
    </row>
    <row r="990">
      <c r="K990" s="5">
        <f>IF(AND(IF($B$3="(todos)",TRUE,'ORDENES'!$O986=$B$3),IF($D$3="(todos)",TRUE,'ORDENES'!$AH986=$D$3),IF($F$3="(todos)",TRUE,'ORDENES'!$Z986=$F$3),IF($H$3="(todos)",TRUE,'ORDENES'!$Y986=$H$3),'ORDENES'!$AF986=TRUE,'ORDENES'!$A986&lt;&gt;""),1,0)</f>
        <v/>
      </c>
      <c r="L990" s="5">
        <f>IF(K990=1,IFERROR(MATCH('ORDENES'!$S986,lista_dias,0),9)*1000000000+IFERROR(MATCH('ORDENES'!$AH986,lista_turnos,0),9)*10000000+IFERROR(MATCH('ORDENES'!$AG986,tblTecnicos[nombre],0),99)*100000+983,9000000000000+983)</f>
        <v/>
      </c>
      <c r="M990" s="5">
        <f>IF(K990=1,SUMPRODUCT(--($L$8:$L$1207&lt;L990))+1,"")</f>
        <v/>
      </c>
      <c r="N990" s="17">
        <f>IF(K990=1,N('ORDENES'!$M986),0)</f>
        <v/>
      </c>
      <c r="O990" s="17">
        <f>IF('ORDENES'!$U986="preventiva",N990,0)</f>
        <v/>
      </c>
      <c r="P990" s="17">
        <f>IF('ORDENES'!$U986="correctiva",N990,0)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22">
        <f>IF(K990=1,'ORDENES'!$J986,"")</f>
        <v/>
      </c>
    </row>
    <row r="991">
      <c r="K991" s="5">
        <f>IF(AND(IF($B$3="(todos)",TRUE,'ORDENES'!$O987=$B$3),IF($D$3="(todos)",TRUE,'ORDENES'!$AH987=$D$3),IF($F$3="(todos)",TRUE,'ORDENES'!$Z987=$F$3),IF($H$3="(todos)",TRUE,'ORDENES'!$Y987=$H$3),'ORDENES'!$AF987=TRUE,'ORDENES'!$A987&lt;&gt;""),1,0)</f>
        <v/>
      </c>
      <c r="L991" s="5">
        <f>IF(K991=1,IFERROR(MATCH('ORDENES'!$S987,lista_dias,0),9)*1000000000+IFERROR(MATCH('ORDENES'!$AH987,lista_turnos,0),9)*10000000+IFERROR(MATCH('ORDENES'!$AG987,tblTecnicos[nombre],0),99)*100000+984,9000000000000+984)</f>
        <v/>
      </c>
      <c r="M991" s="5">
        <f>IF(K991=1,SUMPRODUCT(--($L$8:$L$1207&lt;L991))+1,"")</f>
        <v/>
      </c>
      <c r="N991" s="17">
        <f>IF(K991=1,N('ORDENES'!$M987),0)</f>
        <v/>
      </c>
      <c r="O991" s="17">
        <f>IF('ORDENES'!$U987="preventiva",N991,0)</f>
        <v/>
      </c>
      <c r="P991" s="17">
        <f>IF('ORDENES'!$U987="correctiva",N991,0)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22">
        <f>IF(K991=1,'ORDENES'!$J987,"")</f>
        <v/>
      </c>
    </row>
    <row r="992">
      <c r="K992" s="5">
        <f>IF(AND(IF($B$3="(todos)",TRUE,'ORDENES'!$O988=$B$3),IF($D$3="(todos)",TRUE,'ORDENES'!$AH988=$D$3),IF($F$3="(todos)",TRUE,'ORDENES'!$Z988=$F$3),IF($H$3="(todos)",TRUE,'ORDENES'!$Y988=$H$3),'ORDENES'!$AF988=TRUE,'ORDENES'!$A988&lt;&gt;""),1,0)</f>
        <v/>
      </c>
      <c r="L992" s="5">
        <f>IF(K992=1,IFERROR(MATCH('ORDENES'!$S988,lista_dias,0),9)*1000000000+IFERROR(MATCH('ORDENES'!$AH988,lista_turnos,0),9)*10000000+IFERROR(MATCH('ORDENES'!$AG988,tblTecnicos[nombre],0),99)*100000+985,9000000000000+985)</f>
        <v/>
      </c>
      <c r="M992" s="5">
        <f>IF(K992=1,SUMPRODUCT(--($L$8:$L$1207&lt;L992))+1,"")</f>
        <v/>
      </c>
      <c r="N992" s="17">
        <f>IF(K992=1,N('ORDENES'!$M988),0)</f>
        <v/>
      </c>
      <c r="O992" s="17">
        <f>IF('ORDENES'!$U988="preventiva",N992,0)</f>
        <v/>
      </c>
      <c r="P992" s="17">
        <f>IF('ORDENES'!$U988="correctiva",N992,0)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22">
        <f>IF(K992=1,'ORDENES'!$J988,"")</f>
        <v/>
      </c>
    </row>
    <row r="993">
      <c r="K993" s="5">
        <f>IF(AND(IF($B$3="(todos)",TRUE,'ORDENES'!$O989=$B$3),IF($D$3="(todos)",TRUE,'ORDENES'!$AH989=$D$3),IF($F$3="(todos)",TRUE,'ORDENES'!$Z989=$F$3),IF($H$3="(todos)",TRUE,'ORDENES'!$Y989=$H$3),'ORDENES'!$AF989=TRUE,'ORDENES'!$A989&lt;&gt;""),1,0)</f>
        <v/>
      </c>
      <c r="L993" s="5">
        <f>IF(K993=1,IFERROR(MATCH('ORDENES'!$S989,lista_dias,0),9)*1000000000+IFERROR(MATCH('ORDENES'!$AH989,lista_turnos,0),9)*10000000+IFERROR(MATCH('ORDENES'!$AG989,tblTecnicos[nombre],0),99)*100000+986,9000000000000+986)</f>
        <v/>
      </c>
      <c r="M993" s="5">
        <f>IF(K993=1,SUMPRODUCT(--($L$8:$L$1207&lt;L993))+1,"")</f>
        <v/>
      </c>
      <c r="N993" s="17">
        <f>IF(K993=1,N('ORDENES'!$M989),0)</f>
        <v/>
      </c>
      <c r="O993" s="17">
        <f>IF('ORDENES'!$U989="preventiva",N993,0)</f>
        <v/>
      </c>
      <c r="P993" s="17">
        <f>IF('ORDENES'!$U989="correctiva",N993,0)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22">
        <f>IF(K993=1,'ORDENES'!$J989,"")</f>
        <v/>
      </c>
    </row>
    <row r="994">
      <c r="K994" s="5">
        <f>IF(AND(IF($B$3="(todos)",TRUE,'ORDENES'!$O990=$B$3),IF($D$3="(todos)",TRUE,'ORDENES'!$AH990=$D$3),IF($F$3="(todos)",TRUE,'ORDENES'!$Z990=$F$3),IF($H$3="(todos)",TRUE,'ORDENES'!$Y990=$H$3),'ORDENES'!$AF990=TRUE,'ORDENES'!$A990&lt;&gt;""),1,0)</f>
        <v/>
      </c>
      <c r="L994" s="5">
        <f>IF(K994=1,IFERROR(MATCH('ORDENES'!$S990,lista_dias,0),9)*1000000000+IFERROR(MATCH('ORDENES'!$AH990,lista_turnos,0),9)*10000000+IFERROR(MATCH('ORDENES'!$AG990,tblTecnicos[nombre],0),99)*100000+987,9000000000000+987)</f>
        <v/>
      </c>
      <c r="M994" s="5">
        <f>IF(K994=1,SUMPRODUCT(--($L$8:$L$1207&lt;L994))+1,"")</f>
        <v/>
      </c>
      <c r="N994" s="17">
        <f>IF(K994=1,N('ORDENES'!$M990),0)</f>
        <v/>
      </c>
      <c r="O994" s="17">
        <f>IF('ORDENES'!$U990="preventiva",N994,0)</f>
        <v/>
      </c>
      <c r="P994" s="17">
        <f>IF('ORDENES'!$U990="correctiva",N994,0)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22">
        <f>IF(K994=1,'ORDENES'!$J990,"")</f>
        <v/>
      </c>
    </row>
    <row r="995">
      <c r="K995" s="5">
        <f>IF(AND(IF($B$3="(todos)",TRUE,'ORDENES'!$O991=$B$3),IF($D$3="(todos)",TRUE,'ORDENES'!$AH991=$D$3),IF($F$3="(todos)",TRUE,'ORDENES'!$Z991=$F$3),IF($H$3="(todos)",TRUE,'ORDENES'!$Y991=$H$3),'ORDENES'!$AF991=TRUE,'ORDENES'!$A991&lt;&gt;""),1,0)</f>
        <v/>
      </c>
      <c r="L995" s="5">
        <f>IF(K995=1,IFERROR(MATCH('ORDENES'!$S991,lista_dias,0),9)*1000000000+IFERROR(MATCH('ORDENES'!$AH991,lista_turnos,0),9)*10000000+IFERROR(MATCH('ORDENES'!$AG991,tblTecnicos[nombre],0),99)*100000+988,9000000000000+988)</f>
        <v/>
      </c>
      <c r="M995" s="5">
        <f>IF(K995=1,SUMPRODUCT(--($L$8:$L$1207&lt;L995))+1,"")</f>
        <v/>
      </c>
      <c r="N995" s="17">
        <f>IF(K995=1,N('ORDENES'!$M991),0)</f>
        <v/>
      </c>
      <c r="O995" s="17">
        <f>IF('ORDENES'!$U991="preventiva",N995,0)</f>
        <v/>
      </c>
      <c r="P995" s="17">
        <f>IF('ORDENES'!$U991="correctiva",N995,0)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22">
        <f>IF(K995=1,'ORDENES'!$J991,"")</f>
        <v/>
      </c>
    </row>
    <row r="996">
      <c r="K996" s="5">
        <f>IF(AND(IF($B$3="(todos)",TRUE,'ORDENES'!$O992=$B$3),IF($D$3="(todos)",TRUE,'ORDENES'!$AH992=$D$3),IF($F$3="(todos)",TRUE,'ORDENES'!$Z992=$F$3),IF($H$3="(todos)",TRUE,'ORDENES'!$Y992=$H$3),'ORDENES'!$AF992=TRUE,'ORDENES'!$A992&lt;&gt;""),1,0)</f>
        <v/>
      </c>
      <c r="L996" s="5">
        <f>IF(K996=1,IFERROR(MATCH('ORDENES'!$S992,lista_dias,0),9)*1000000000+IFERROR(MATCH('ORDENES'!$AH992,lista_turnos,0),9)*10000000+IFERROR(MATCH('ORDENES'!$AG992,tblTecnicos[nombre],0),99)*100000+989,9000000000000+989)</f>
        <v/>
      </c>
      <c r="M996" s="5">
        <f>IF(K996=1,SUMPRODUCT(--($L$8:$L$1207&lt;L996))+1,"")</f>
        <v/>
      </c>
      <c r="N996" s="17">
        <f>IF(K996=1,N('ORDENES'!$M992),0)</f>
        <v/>
      </c>
      <c r="O996" s="17">
        <f>IF('ORDENES'!$U992="preventiva",N996,0)</f>
        <v/>
      </c>
      <c r="P996" s="17">
        <f>IF('ORDENES'!$U992="correctiva",N996,0)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22">
        <f>IF(K996=1,'ORDENES'!$J992,"")</f>
        <v/>
      </c>
    </row>
    <row r="997">
      <c r="K997" s="5">
        <f>IF(AND(IF($B$3="(todos)",TRUE,'ORDENES'!$O993=$B$3),IF($D$3="(todos)",TRUE,'ORDENES'!$AH993=$D$3),IF($F$3="(todos)",TRUE,'ORDENES'!$Z993=$F$3),IF($H$3="(todos)",TRUE,'ORDENES'!$Y993=$H$3),'ORDENES'!$AF993=TRUE,'ORDENES'!$A993&lt;&gt;""),1,0)</f>
        <v/>
      </c>
      <c r="L997" s="5">
        <f>IF(K997=1,IFERROR(MATCH('ORDENES'!$S993,lista_dias,0),9)*1000000000+IFERROR(MATCH('ORDENES'!$AH993,lista_turnos,0),9)*10000000+IFERROR(MATCH('ORDENES'!$AG993,tblTecnicos[nombre],0),99)*100000+990,9000000000000+990)</f>
        <v/>
      </c>
      <c r="M997" s="5">
        <f>IF(K997=1,SUMPRODUCT(--($L$8:$L$1207&lt;L997))+1,"")</f>
        <v/>
      </c>
      <c r="N997" s="17">
        <f>IF(K997=1,N('ORDENES'!$M993),0)</f>
        <v/>
      </c>
      <c r="O997" s="17">
        <f>IF('ORDENES'!$U993="preventiva",N997,0)</f>
        <v/>
      </c>
      <c r="P997" s="17">
        <f>IF('ORDENES'!$U993="correctiva",N997,0)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22">
        <f>IF(K997=1,'ORDENES'!$J993,"")</f>
        <v/>
      </c>
    </row>
    <row r="998">
      <c r="K998" s="5">
        <f>IF(AND(IF($B$3="(todos)",TRUE,'ORDENES'!$O994=$B$3),IF($D$3="(todos)",TRUE,'ORDENES'!$AH994=$D$3),IF($F$3="(todos)",TRUE,'ORDENES'!$Z994=$F$3),IF($H$3="(todos)",TRUE,'ORDENES'!$Y994=$H$3),'ORDENES'!$AF994=TRUE,'ORDENES'!$A994&lt;&gt;""),1,0)</f>
        <v/>
      </c>
      <c r="L998" s="5">
        <f>IF(K998=1,IFERROR(MATCH('ORDENES'!$S994,lista_dias,0),9)*1000000000+IFERROR(MATCH('ORDENES'!$AH994,lista_turnos,0),9)*10000000+IFERROR(MATCH('ORDENES'!$AG994,tblTecnicos[nombre],0),99)*100000+991,9000000000000+991)</f>
        <v/>
      </c>
      <c r="M998" s="5">
        <f>IF(K998=1,SUMPRODUCT(--($L$8:$L$1207&lt;L998))+1,"")</f>
        <v/>
      </c>
      <c r="N998" s="17">
        <f>IF(K998=1,N('ORDENES'!$M994),0)</f>
        <v/>
      </c>
      <c r="O998" s="17">
        <f>IF('ORDENES'!$U994="preventiva",N998,0)</f>
        <v/>
      </c>
      <c r="P998" s="17">
        <f>IF('ORDENES'!$U994="correctiva",N998,0)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22">
        <f>IF(K998=1,'ORDENES'!$J994,"")</f>
        <v/>
      </c>
    </row>
    <row r="999">
      <c r="K999" s="5">
        <f>IF(AND(IF($B$3="(todos)",TRUE,'ORDENES'!$O995=$B$3),IF($D$3="(todos)",TRUE,'ORDENES'!$AH995=$D$3),IF($F$3="(todos)",TRUE,'ORDENES'!$Z995=$F$3),IF($H$3="(todos)",TRUE,'ORDENES'!$Y995=$H$3),'ORDENES'!$AF995=TRUE,'ORDENES'!$A995&lt;&gt;""),1,0)</f>
        <v/>
      </c>
      <c r="L999" s="5">
        <f>IF(K999=1,IFERROR(MATCH('ORDENES'!$S995,lista_dias,0),9)*1000000000+IFERROR(MATCH('ORDENES'!$AH995,lista_turnos,0),9)*10000000+IFERROR(MATCH('ORDENES'!$AG995,tblTecnicos[nombre],0),99)*100000+992,9000000000000+992)</f>
        <v/>
      </c>
      <c r="M999" s="5">
        <f>IF(K999=1,SUMPRODUCT(--($L$8:$L$1207&lt;L999))+1,"")</f>
        <v/>
      </c>
      <c r="N999" s="17">
        <f>IF(K999=1,N('ORDENES'!$M995),0)</f>
        <v/>
      </c>
      <c r="O999" s="17">
        <f>IF('ORDENES'!$U995="preventiva",N999,0)</f>
        <v/>
      </c>
      <c r="P999" s="17">
        <f>IF('ORDENES'!$U995="correctiva",N999,0)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22">
        <f>IF(K999=1,'ORDENES'!$J995,"")</f>
        <v/>
      </c>
    </row>
    <row r="1000">
      <c r="K1000" s="5">
        <f>IF(AND(IF($B$3="(todos)",TRUE,'ORDENES'!$O996=$B$3),IF($D$3="(todos)",TRUE,'ORDENES'!$AH996=$D$3),IF($F$3="(todos)",TRUE,'ORDENES'!$Z996=$F$3),IF($H$3="(todos)",TRUE,'ORDENES'!$Y996=$H$3),'ORDENES'!$AF996=TRUE,'ORDENES'!$A996&lt;&gt;""),1,0)</f>
        <v/>
      </c>
      <c r="L1000" s="5">
        <f>IF(K1000=1,IFERROR(MATCH('ORDENES'!$S996,lista_dias,0),9)*1000000000+IFERROR(MATCH('ORDENES'!$AH996,lista_turnos,0),9)*10000000+IFERROR(MATCH('ORDENES'!$AG996,tblTecnicos[nombre],0),99)*100000+993,9000000000000+993)</f>
        <v/>
      </c>
      <c r="M1000" s="5">
        <f>IF(K1000=1,SUMPRODUCT(--($L$8:$L$1207&lt;L1000))+1,"")</f>
        <v/>
      </c>
      <c r="N1000" s="17">
        <f>IF(K1000=1,N('ORDENES'!$M996),0)</f>
        <v/>
      </c>
      <c r="O1000" s="17">
        <f>IF('ORDENES'!$U996="preventiva",N1000,0)</f>
        <v/>
      </c>
      <c r="P1000" s="17">
        <f>IF('ORDENES'!$U996="correctiva",N1000,0)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22">
        <f>IF(K1000=1,'ORDENES'!$J996,"")</f>
        <v/>
      </c>
    </row>
    <row r="1001">
      <c r="K1001" s="5">
        <f>IF(AND(IF($B$3="(todos)",TRUE,'ORDENES'!$O997=$B$3),IF($D$3="(todos)",TRUE,'ORDENES'!$AH997=$D$3),IF($F$3="(todos)",TRUE,'ORDENES'!$Z997=$F$3),IF($H$3="(todos)",TRUE,'ORDENES'!$Y997=$H$3),'ORDENES'!$AF997=TRUE,'ORDENES'!$A997&lt;&gt;""),1,0)</f>
        <v/>
      </c>
      <c r="L1001" s="5">
        <f>IF(K1001=1,IFERROR(MATCH('ORDENES'!$S997,lista_dias,0),9)*1000000000+IFERROR(MATCH('ORDENES'!$AH997,lista_turnos,0),9)*10000000+IFERROR(MATCH('ORDENES'!$AG997,tblTecnicos[nombre],0),99)*100000+994,9000000000000+994)</f>
        <v/>
      </c>
      <c r="M1001" s="5">
        <f>IF(K1001=1,SUMPRODUCT(--($L$8:$L$1207&lt;L1001))+1,"")</f>
        <v/>
      </c>
      <c r="N1001" s="17">
        <f>IF(K1001=1,N('ORDENES'!$M997),0)</f>
        <v/>
      </c>
      <c r="O1001" s="17">
        <f>IF('ORDENES'!$U997="preventiva",N1001,0)</f>
        <v/>
      </c>
      <c r="P1001" s="17">
        <f>IF('ORDENES'!$U997="correctiva",N1001,0)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22">
        <f>IF(K1001=1,'ORDENES'!$J997,"")</f>
        <v/>
      </c>
    </row>
    <row r="1002">
      <c r="K1002" s="5">
        <f>IF(AND(IF($B$3="(todos)",TRUE,'ORDENES'!$O998=$B$3),IF($D$3="(todos)",TRUE,'ORDENES'!$AH998=$D$3),IF($F$3="(todos)",TRUE,'ORDENES'!$Z998=$F$3),IF($H$3="(todos)",TRUE,'ORDENES'!$Y998=$H$3),'ORDENES'!$AF998=TRUE,'ORDENES'!$A998&lt;&gt;""),1,0)</f>
        <v/>
      </c>
      <c r="L1002" s="5">
        <f>IF(K1002=1,IFERROR(MATCH('ORDENES'!$S998,lista_dias,0),9)*1000000000+IFERROR(MATCH('ORDENES'!$AH998,lista_turnos,0),9)*10000000+IFERROR(MATCH('ORDENES'!$AG998,tblTecnicos[nombre],0),99)*100000+995,9000000000000+995)</f>
        <v/>
      </c>
      <c r="M1002" s="5">
        <f>IF(K1002=1,SUMPRODUCT(--($L$8:$L$1207&lt;L1002))+1,"")</f>
        <v/>
      </c>
      <c r="N1002" s="17">
        <f>IF(K1002=1,N('ORDENES'!$M998),0)</f>
        <v/>
      </c>
      <c r="O1002" s="17">
        <f>IF('ORDENES'!$U998="preventiva",N1002,0)</f>
        <v/>
      </c>
      <c r="P1002" s="17">
        <f>IF('ORDENES'!$U998="correctiva",N1002,0)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22">
        <f>IF(K1002=1,'ORDENES'!$J998,"")</f>
        <v/>
      </c>
    </row>
    <row r="1003">
      <c r="K1003" s="5">
        <f>IF(AND(IF($B$3="(todos)",TRUE,'ORDENES'!$O999=$B$3),IF($D$3="(todos)",TRUE,'ORDENES'!$AH999=$D$3),IF($F$3="(todos)",TRUE,'ORDENES'!$Z999=$F$3),IF($H$3="(todos)",TRUE,'ORDENES'!$Y999=$H$3),'ORDENES'!$AF999=TRUE,'ORDENES'!$A999&lt;&gt;""),1,0)</f>
        <v/>
      </c>
      <c r="L1003" s="5">
        <f>IF(K1003=1,IFERROR(MATCH('ORDENES'!$S999,lista_dias,0),9)*1000000000+IFERROR(MATCH('ORDENES'!$AH999,lista_turnos,0),9)*10000000+IFERROR(MATCH('ORDENES'!$AG999,tblTecnicos[nombre],0),99)*100000+996,9000000000000+996)</f>
        <v/>
      </c>
      <c r="M1003" s="5">
        <f>IF(K1003=1,SUMPRODUCT(--($L$8:$L$1207&lt;L1003))+1,"")</f>
        <v/>
      </c>
      <c r="N1003" s="17">
        <f>IF(K1003=1,N('ORDENES'!$M999),0)</f>
        <v/>
      </c>
      <c r="O1003" s="17">
        <f>IF('ORDENES'!$U999="preventiva",N1003,0)</f>
        <v/>
      </c>
      <c r="P1003" s="17">
        <f>IF('ORDENES'!$U999="correctiva",N1003,0)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22">
        <f>IF(K1003=1,'ORDENES'!$J999,"")</f>
        <v/>
      </c>
    </row>
    <row r="1004">
      <c r="K1004" s="5">
        <f>IF(AND(IF($B$3="(todos)",TRUE,'ORDENES'!$O1000=$B$3),IF($D$3="(todos)",TRUE,'ORDENES'!$AH1000=$D$3),IF($F$3="(todos)",TRUE,'ORDENES'!$Z1000=$F$3),IF($H$3="(todos)",TRUE,'ORDENES'!$Y1000=$H$3),'ORDENES'!$AF1000=TRUE,'ORDENES'!$A1000&lt;&gt;""),1,0)</f>
        <v/>
      </c>
      <c r="L1004" s="5">
        <f>IF(K1004=1,IFERROR(MATCH('ORDENES'!$S1000,lista_dias,0),9)*1000000000+IFERROR(MATCH('ORDENES'!$AH1000,lista_turnos,0),9)*10000000+IFERROR(MATCH('ORDENES'!$AG1000,tblTecnicos[nombre],0),99)*100000+997,9000000000000+997)</f>
        <v/>
      </c>
      <c r="M1004" s="5">
        <f>IF(K1004=1,SUMPRODUCT(--($L$8:$L$1207&lt;L1004))+1,"")</f>
        <v/>
      </c>
      <c r="N1004" s="17">
        <f>IF(K1004=1,N('ORDENES'!$M1000),0)</f>
        <v/>
      </c>
      <c r="O1004" s="17">
        <f>IF('ORDENES'!$U1000="preventiva",N1004,0)</f>
        <v/>
      </c>
      <c r="P1004" s="17">
        <f>IF('ORDENES'!$U1000="correctiva",N1004,0)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22">
        <f>IF(K1004=1,'ORDENES'!$J1000,"")</f>
        <v/>
      </c>
    </row>
    <row r="1005">
      <c r="K1005" s="5">
        <f>IF(AND(IF($B$3="(todos)",TRUE,'ORDENES'!$O1001=$B$3),IF($D$3="(todos)",TRUE,'ORDENES'!$AH1001=$D$3),IF($F$3="(todos)",TRUE,'ORDENES'!$Z1001=$F$3),IF($H$3="(todos)",TRUE,'ORDENES'!$Y1001=$H$3),'ORDENES'!$AF1001=TRUE,'ORDENES'!$A1001&lt;&gt;""),1,0)</f>
        <v/>
      </c>
      <c r="L1005" s="5">
        <f>IF(K1005=1,IFERROR(MATCH('ORDENES'!$S1001,lista_dias,0),9)*1000000000+IFERROR(MATCH('ORDENES'!$AH1001,lista_turnos,0),9)*10000000+IFERROR(MATCH('ORDENES'!$AG1001,tblTecnicos[nombre],0),99)*100000+998,9000000000000+998)</f>
        <v/>
      </c>
      <c r="M1005" s="5">
        <f>IF(K1005=1,SUMPRODUCT(--($L$8:$L$1207&lt;L1005))+1,"")</f>
        <v/>
      </c>
      <c r="N1005" s="17">
        <f>IF(K1005=1,N('ORDENES'!$M1001),0)</f>
        <v/>
      </c>
      <c r="O1005" s="17">
        <f>IF('ORDENES'!$U1001="preventiva",N1005,0)</f>
        <v/>
      </c>
      <c r="P1005" s="17">
        <f>IF('ORDENES'!$U1001="correctiva",N1005,0)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22">
        <f>IF(K1005=1,'ORDENES'!$J1001,"")</f>
        <v/>
      </c>
    </row>
    <row r="1006">
      <c r="K1006" s="5">
        <f>IF(AND(IF($B$3="(todos)",TRUE,'ORDENES'!$O1002=$B$3),IF($D$3="(todos)",TRUE,'ORDENES'!$AH1002=$D$3),IF($F$3="(todos)",TRUE,'ORDENES'!$Z1002=$F$3),IF($H$3="(todos)",TRUE,'ORDENES'!$Y1002=$H$3),'ORDENES'!$AF1002=TRUE,'ORDENES'!$A1002&lt;&gt;""),1,0)</f>
        <v/>
      </c>
      <c r="L1006" s="5">
        <f>IF(K1006=1,IFERROR(MATCH('ORDENES'!$S1002,lista_dias,0),9)*1000000000+IFERROR(MATCH('ORDENES'!$AH1002,lista_turnos,0),9)*10000000+IFERROR(MATCH('ORDENES'!$AG1002,tblTecnicos[nombre],0),99)*100000+999,9000000000000+999)</f>
        <v/>
      </c>
      <c r="M1006" s="5">
        <f>IF(K1006=1,SUMPRODUCT(--($L$8:$L$1207&lt;L1006))+1,"")</f>
        <v/>
      </c>
      <c r="N1006" s="17">
        <f>IF(K1006=1,N('ORDENES'!$M1002),0)</f>
        <v/>
      </c>
      <c r="O1006" s="17">
        <f>IF('ORDENES'!$U1002="preventiva",N1006,0)</f>
        <v/>
      </c>
      <c r="P1006" s="17">
        <f>IF('ORDENES'!$U1002="correctiva",N1006,0)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22">
        <f>IF(K1006=1,'ORDENES'!$J1002,"")</f>
        <v/>
      </c>
    </row>
    <row r="1007">
      <c r="K1007" s="5">
        <f>IF(AND(IF($B$3="(todos)",TRUE,'ORDENES'!$O1003=$B$3),IF($D$3="(todos)",TRUE,'ORDENES'!$AH1003=$D$3),IF($F$3="(todos)",TRUE,'ORDENES'!$Z1003=$F$3),IF($H$3="(todos)",TRUE,'ORDENES'!$Y1003=$H$3),'ORDENES'!$AF1003=TRUE,'ORDENES'!$A1003&lt;&gt;""),1,0)</f>
        <v/>
      </c>
      <c r="L1007" s="5">
        <f>IF(K1007=1,IFERROR(MATCH('ORDENES'!$S1003,lista_dias,0),9)*1000000000+IFERROR(MATCH('ORDENES'!$AH1003,lista_turnos,0),9)*10000000+IFERROR(MATCH('ORDENES'!$AG1003,tblTecnicos[nombre],0),99)*100000+1000,9000000000000+1000)</f>
        <v/>
      </c>
      <c r="M1007" s="5">
        <f>IF(K1007=1,SUMPRODUCT(--($L$8:$L$1207&lt;L1007))+1,"")</f>
        <v/>
      </c>
      <c r="N1007" s="17">
        <f>IF(K1007=1,N('ORDENES'!$M1003),0)</f>
        <v/>
      </c>
      <c r="O1007" s="17">
        <f>IF('ORDENES'!$U1003="preventiva",N1007,0)</f>
        <v/>
      </c>
      <c r="P1007" s="17">
        <f>IF('ORDENES'!$U1003="correctiva",N1007,0)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22">
        <f>IF(K1007=1,'ORDENES'!$J1003,"")</f>
        <v/>
      </c>
    </row>
    <row r="1008">
      <c r="K1008" s="5">
        <f>IF(AND(IF($B$3="(todos)",TRUE,'ORDENES'!$O1004=$B$3),IF($D$3="(todos)",TRUE,'ORDENES'!$AH1004=$D$3),IF($F$3="(todos)",TRUE,'ORDENES'!$Z1004=$F$3),IF($H$3="(todos)",TRUE,'ORDENES'!$Y1004=$H$3),'ORDENES'!$AF1004=TRUE,'ORDENES'!$A1004&lt;&gt;""),1,0)</f>
        <v/>
      </c>
      <c r="L1008" s="5">
        <f>IF(K1008=1,IFERROR(MATCH('ORDENES'!$S1004,lista_dias,0),9)*1000000000+IFERROR(MATCH('ORDENES'!$AH1004,lista_turnos,0),9)*10000000+IFERROR(MATCH('ORDENES'!$AG1004,tblTecnicos[nombre],0),99)*100000+1001,9000000000000+1001)</f>
        <v/>
      </c>
      <c r="M1008" s="5">
        <f>IF(K1008=1,SUMPRODUCT(--($L$8:$L$1207&lt;L1008))+1,"")</f>
        <v/>
      </c>
      <c r="N1008" s="17">
        <f>IF(K1008=1,N('ORDENES'!$M1004),0)</f>
        <v/>
      </c>
      <c r="O1008" s="17">
        <f>IF('ORDENES'!$U1004="preventiva",N1008,0)</f>
        <v/>
      </c>
      <c r="P1008" s="17">
        <f>IF('ORDENES'!$U1004="correctiva",N1008,0)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22">
        <f>IF(K1008=1,'ORDENES'!$J1004,"")</f>
        <v/>
      </c>
    </row>
    <row r="1009">
      <c r="K1009" s="5">
        <f>IF(AND(IF($B$3="(todos)",TRUE,'ORDENES'!$O1005=$B$3),IF($D$3="(todos)",TRUE,'ORDENES'!$AH1005=$D$3),IF($F$3="(todos)",TRUE,'ORDENES'!$Z1005=$F$3),IF($H$3="(todos)",TRUE,'ORDENES'!$Y1005=$H$3),'ORDENES'!$AF1005=TRUE,'ORDENES'!$A1005&lt;&gt;""),1,0)</f>
        <v/>
      </c>
      <c r="L1009" s="5">
        <f>IF(K1009=1,IFERROR(MATCH('ORDENES'!$S1005,lista_dias,0),9)*1000000000+IFERROR(MATCH('ORDENES'!$AH1005,lista_turnos,0),9)*10000000+IFERROR(MATCH('ORDENES'!$AG1005,tblTecnicos[nombre],0),99)*100000+1002,9000000000000+1002)</f>
        <v/>
      </c>
      <c r="M1009" s="5">
        <f>IF(K1009=1,SUMPRODUCT(--($L$8:$L$1207&lt;L1009))+1,"")</f>
        <v/>
      </c>
      <c r="N1009" s="17">
        <f>IF(K1009=1,N('ORDENES'!$M1005),0)</f>
        <v/>
      </c>
      <c r="O1009" s="17">
        <f>IF('ORDENES'!$U1005="preventiva",N1009,0)</f>
        <v/>
      </c>
      <c r="P1009" s="17">
        <f>IF('ORDENES'!$U1005="correctiva",N1009,0)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22">
        <f>IF(K1009=1,'ORDENES'!$J1005,"")</f>
        <v/>
      </c>
    </row>
    <row r="1010">
      <c r="K1010" s="5">
        <f>IF(AND(IF($B$3="(todos)",TRUE,'ORDENES'!$O1006=$B$3),IF($D$3="(todos)",TRUE,'ORDENES'!$AH1006=$D$3),IF($F$3="(todos)",TRUE,'ORDENES'!$Z1006=$F$3),IF($H$3="(todos)",TRUE,'ORDENES'!$Y1006=$H$3),'ORDENES'!$AF1006=TRUE,'ORDENES'!$A1006&lt;&gt;""),1,0)</f>
        <v/>
      </c>
      <c r="L1010" s="5">
        <f>IF(K1010=1,IFERROR(MATCH('ORDENES'!$S1006,lista_dias,0),9)*1000000000+IFERROR(MATCH('ORDENES'!$AH1006,lista_turnos,0),9)*10000000+IFERROR(MATCH('ORDENES'!$AG1006,tblTecnicos[nombre],0),99)*100000+1003,9000000000000+1003)</f>
        <v/>
      </c>
      <c r="M1010" s="5">
        <f>IF(K1010=1,SUMPRODUCT(--($L$8:$L$1207&lt;L1010))+1,"")</f>
        <v/>
      </c>
      <c r="N1010" s="17">
        <f>IF(K1010=1,N('ORDENES'!$M1006),0)</f>
        <v/>
      </c>
      <c r="O1010" s="17">
        <f>IF('ORDENES'!$U1006="preventiva",N1010,0)</f>
        <v/>
      </c>
      <c r="P1010" s="17">
        <f>IF('ORDENES'!$U1006="correctiva",N1010,0)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22">
        <f>IF(K1010=1,'ORDENES'!$J1006,"")</f>
        <v/>
      </c>
    </row>
    <row r="1011">
      <c r="K1011" s="5">
        <f>IF(AND(IF($B$3="(todos)",TRUE,'ORDENES'!$O1007=$B$3),IF($D$3="(todos)",TRUE,'ORDENES'!$AH1007=$D$3),IF($F$3="(todos)",TRUE,'ORDENES'!$Z1007=$F$3),IF($H$3="(todos)",TRUE,'ORDENES'!$Y1007=$H$3),'ORDENES'!$AF1007=TRUE,'ORDENES'!$A1007&lt;&gt;""),1,0)</f>
        <v/>
      </c>
      <c r="L1011" s="5">
        <f>IF(K1011=1,IFERROR(MATCH('ORDENES'!$S1007,lista_dias,0),9)*1000000000+IFERROR(MATCH('ORDENES'!$AH1007,lista_turnos,0),9)*10000000+IFERROR(MATCH('ORDENES'!$AG1007,tblTecnicos[nombre],0),99)*100000+1004,9000000000000+1004)</f>
        <v/>
      </c>
      <c r="M1011" s="5">
        <f>IF(K1011=1,SUMPRODUCT(--($L$8:$L$1207&lt;L1011))+1,"")</f>
        <v/>
      </c>
      <c r="N1011" s="17">
        <f>IF(K1011=1,N('ORDENES'!$M1007),0)</f>
        <v/>
      </c>
      <c r="O1011" s="17">
        <f>IF('ORDENES'!$U1007="preventiva",N1011,0)</f>
        <v/>
      </c>
      <c r="P1011" s="17">
        <f>IF('ORDENES'!$U1007="correctiva",N1011,0)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22">
        <f>IF(K1011=1,'ORDENES'!$J1007,"")</f>
        <v/>
      </c>
    </row>
    <row r="1012">
      <c r="K1012" s="5">
        <f>IF(AND(IF($B$3="(todos)",TRUE,'ORDENES'!$O1008=$B$3),IF($D$3="(todos)",TRUE,'ORDENES'!$AH1008=$D$3),IF($F$3="(todos)",TRUE,'ORDENES'!$Z1008=$F$3),IF($H$3="(todos)",TRUE,'ORDENES'!$Y1008=$H$3),'ORDENES'!$AF1008=TRUE,'ORDENES'!$A1008&lt;&gt;""),1,0)</f>
        <v/>
      </c>
      <c r="L1012" s="5">
        <f>IF(K1012=1,IFERROR(MATCH('ORDENES'!$S1008,lista_dias,0),9)*1000000000+IFERROR(MATCH('ORDENES'!$AH1008,lista_turnos,0),9)*10000000+IFERROR(MATCH('ORDENES'!$AG1008,tblTecnicos[nombre],0),99)*100000+1005,9000000000000+1005)</f>
        <v/>
      </c>
      <c r="M1012" s="5">
        <f>IF(K1012=1,SUMPRODUCT(--($L$8:$L$1207&lt;L1012))+1,"")</f>
        <v/>
      </c>
      <c r="N1012" s="17">
        <f>IF(K1012=1,N('ORDENES'!$M1008),0)</f>
        <v/>
      </c>
      <c r="O1012" s="17">
        <f>IF('ORDENES'!$U1008="preventiva",N1012,0)</f>
        <v/>
      </c>
      <c r="P1012" s="17">
        <f>IF('ORDENES'!$U1008="correctiva",N1012,0)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22">
        <f>IF(K1012=1,'ORDENES'!$J1008,"")</f>
        <v/>
      </c>
    </row>
    <row r="1013">
      <c r="K1013" s="5">
        <f>IF(AND(IF($B$3="(todos)",TRUE,'ORDENES'!$O1009=$B$3),IF($D$3="(todos)",TRUE,'ORDENES'!$AH1009=$D$3),IF($F$3="(todos)",TRUE,'ORDENES'!$Z1009=$F$3),IF($H$3="(todos)",TRUE,'ORDENES'!$Y1009=$H$3),'ORDENES'!$AF1009=TRUE,'ORDENES'!$A1009&lt;&gt;""),1,0)</f>
        <v/>
      </c>
      <c r="L1013" s="5">
        <f>IF(K1013=1,IFERROR(MATCH('ORDENES'!$S1009,lista_dias,0),9)*1000000000+IFERROR(MATCH('ORDENES'!$AH1009,lista_turnos,0),9)*10000000+IFERROR(MATCH('ORDENES'!$AG1009,tblTecnicos[nombre],0),99)*100000+1006,9000000000000+1006)</f>
        <v/>
      </c>
      <c r="M1013" s="5">
        <f>IF(K1013=1,SUMPRODUCT(--($L$8:$L$1207&lt;L1013))+1,"")</f>
        <v/>
      </c>
      <c r="N1013" s="17">
        <f>IF(K1013=1,N('ORDENES'!$M1009),0)</f>
        <v/>
      </c>
      <c r="O1013" s="17">
        <f>IF('ORDENES'!$U1009="preventiva",N1013,0)</f>
        <v/>
      </c>
      <c r="P1013" s="17">
        <f>IF('ORDENES'!$U1009="correctiva",N1013,0)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22">
        <f>IF(K1013=1,'ORDENES'!$J1009,"")</f>
        <v/>
      </c>
    </row>
    <row r="1014">
      <c r="K1014" s="5">
        <f>IF(AND(IF($B$3="(todos)",TRUE,'ORDENES'!$O1010=$B$3),IF($D$3="(todos)",TRUE,'ORDENES'!$AH1010=$D$3),IF($F$3="(todos)",TRUE,'ORDENES'!$Z1010=$F$3),IF($H$3="(todos)",TRUE,'ORDENES'!$Y1010=$H$3),'ORDENES'!$AF1010=TRUE,'ORDENES'!$A1010&lt;&gt;""),1,0)</f>
        <v/>
      </c>
      <c r="L1014" s="5">
        <f>IF(K1014=1,IFERROR(MATCH('ORDENES'!$S1010,lista_dias,0),9)*1000000000+IFERROR(MATCH('ORDENES'!$AH1010,lista_turnos,0),9)*10000000+IFERROR(MATCH('ORDENES'!$AG1010,tblTecnicos[nombre],0),99)*100000+1007,9000000000000+1007)</f>
        <v/>
      </c>
      <c r="M1014" s="5">
        <f>IF(K1014=1,SUMPRODUCT(--($L$8:$L$1207&lt;L1014))+1,"")</f>
        <v/>
      </c>
      <c r="N1014" s="17">
        <f>IF(K1014=1,N('ORDENES'!$M1010),0)</f>
        <v/>
      </c>
      <c r="O1014" s="17">
        <f>IF('ORDENES'!$U1010="preventiva",N1014,0)</f>
        <v/>
      </c>
      <c r="P1014" s="17">
        <f>IF('ORDENES'!$U1010="correctiva",N1014,0)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22">
        <f>IF(K1014=1,'ORDENES'!$J1010,"")</f>
        <v/>
      </c>
    </row>
    <row r="1015">
      <c r="K1015" s="5">
        <f>IF(AND(IF($B$3="(todos)",TRUE,'ORDENES'!$O1011=$B$3),IF($D$3="(todos)",TRUE,'ORDENES'!$AH1011=$D$3),IF($F$3="(todos)",TRUE,'ORDENES'!$Z1011=$F$3),IF($H$3="(todos)",TRUE,'ORDENES'!$Y1011=$H$3),'ORDENES'!$AF1011=TRUE,'ORDENES'!$A1011&lt;&gt;""),1,0)</f>
        <v/>
      </c>
      <c r="L1015" s="5">
        <f>IF(K1015=1,IFERROR(MATCH('ORDENES'!$S1011,lista_dias,0),9)*1000000000+IFERROR(MATCH('ORDENES'!$AH1011,lista_turnos,0),9)*10000000+IFERROR(MATCH('ORDENES'!$AG1011,tblTecnicos[nombre],0),99)*100000+1008,9000000000000+1008)</f>
        <v/>
      </c>
      <c r="M1015" s="5">
        <f>IF(K1015=1,SUMPRODUCT(--($L$8:$L$1207&lt;L1015))+1,"")</f>
        <v/>
      </c>
      <c r="N1015" s="17">
        <f>IF(K1015=1,N('ORDENES'!$M1011),0)</f>
        <v/>
      </c>
      <c r="O1015" s="17">
        <f>IF('ORDENES'!$U1011="preventiva",N1015,0)</f>
        <v/>
      </c>
      <c r="P1015" s="17">
        <f>IF('ORDENES'!$U1011="correctiva",N1015,0)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22">
        <f>IF(K1015=1,'ORDENES'!$J1011,"")</f>
        <v/>
      </c>
    </row>
    <row r="1016">
      <c r="K1016" s="5">
        <f>IF(AND(IF($B$3="(todos)",TRUE,'ORDENES'!$O1012=$B$3),IF($D$3="(todos)",TRUE,'ORDENES'!$AH1012=$D$3),IF($F$3="(todos)",TRUE,'ORDENES'!$Z1012=$F$3),IF($H$3="(todos)",TRUE,'ORDENES'!$Y1012=$H$3),'ORDENES'!$AF1012=TRUE,'ORDENES'!$A1012&lt;&gt;""),1,0)</f>
        <v/>
      </c>
      <c r="L1016" s="5">
        <f>IF(K1016=1,IFERROR(MATCH('ORDENES'!$S1012,lista_dias,0),9)*1000000000+IFERROR(MATCH('ORDENES'!$AH1012,lista_turnos,0),9)*10000000+IFERROR(MATCH('ORDENES'!$AG1012,tblTecnicos[nombre],0),99)*100000+1009,9000000000000+1009)</f>
        <v/>
      </c>
      <c r="M1016" s="5">
        <f>IF(K1016=1,SUMPRODUCT(--($L$8:$L$1207&lt;L1016))+1,"")</f>
        <v/>
      </c>
      <c r="N1016" s="17">
        <f>IF(K1016=1,N('ORDENES'!$M1012),0)</f>
        <v/>
      </c>
      <c r="O1016" s="17">
        <f>IF('ORDENES'!$U1012="preventiva",N1016,0)</f>
        <v/>
      </c>
      <c r="P1016" s="17">
        <f>IF('ORDENES'!$U1012="correctiva",N1016,0)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22">
        <f>IF(K1016=1,'ORDENES'!$J1012,"")</f>
        <v/>
      </c>
    </row>
    <row r="1017">
      <c r="K1017" s="5">
        <f>IF(AND(IF($B$3="(todos)",TRUE,'ORDENES'!$O1013=$B$3),IF($D$3="(todos)",TRUE,'ORDENES'!$AH1013=$D$3),IF($F$3="(todos)",TRUE,'ORDENES'!$Z1013=$F$3),IF($H$3="(todos)",TRUE,'ORDENES'!$Y1013=$H$3),'ORDENES'!$AF1013=TRUE,'ORDENES'!$A1013&lt;&gt;""),1,0)</f>
        <v/>
      </c>
      <c r="L1017" s="5">
        <f>IF(K1017=1,IFERROR(MATCH('ORDENES'!$S1013,lista_dias,0),9)*1000000000+IFERROR(MATCH('ORDENES'!$AH1013,lista_turnos,0),9)*10000000+IFERROR(MATCH('ORDENES'!$AG1013,tblTecnicos[nombre],0),99)*100000+1010,9000000000000+1010)</f>
        <v/>
      </c>
      <c r="M1017" s="5">
        <f>IF(K1017=1,SUMPRODUCT(--($L$8:$L$1207&lt;L1017))+1,"")</f>
        <v/>
      </c>
      <c r="N1017" s="17">
        <f>IF(K1017=1,N('ORDENES'!$M1013),0)</f>
        <v/>
      </c>
      <c r="O1017" s="17">
        <f>IF('ORDENES'!$U1013="preventiva",N1017,0)</f>
        <v/>
      </c>
      <c r="P1017" s="17">
        <f>IF('ORDENES'!$U1013="correctiva",N1017,0)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22">
        <f>IF(K1017=1,'ORDENES'!$J1013,"")</f>
        <v/>
      </c>
    </row>
    <row r="1018">
      <c r="K1018" s="5">
        <f>IF(AND(IF($B$3="(todos)",TRUE,'ORDENES'!$O1014=$B$3),IF($D$3="(todos)",TRUE,'ORDENES'!$AH1014=$D$3),IF($F$3="(todos)",TRUE,'ORDENES'!$Z1014=$F$3),IF($H$3="(todos)",TRUE,'ORDENES'!$Y1014=$H$3),'ORDENES'!$AF1014=TRUE,'ORDENES'!$A1014&lt;&gt;""),1,0)</f>
        <v/>
      </c>
      <c r="L1018" s="5">
        <f>IF(K1018=1,IFERROR(MATCH('ORDENES'!$S1014,lista_dias,0),9)*1000000000+IFERROR(MATCH('ORDENES'!$AH1014,lista_turnos,0),9)*10000000+IFERROR(MATCH('ORDENES'!$AG1014,tblTecnicos[nombre],0),99)*100000+1011,9000000000000+1011)</f>
        <v/>
      </c>
      <c r="M1018" s="5">
        <f>IF(K1018=1,SUMPRODUCT(--($L$8:$L$1207&lt;L1018))+1,"")</f>
        <v/>
      </c>
      <c r="N1018" s="17">
        <f>IF(K1018=1,N('ORDENES'!$M1014),0)</f>
        <v/>
      </c>
      <c r="O1018" s="17">
        <f>IF('ORDENES'!$U1014="preventiva",N1018,0)</f>
        <v/>
      </c>
      <c r="P1018" s="17">
        <f>IF('ORDENES'!$U1014="correctiva",N1018,0)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22">
        <f>IF(K1018=1,'ORDENES'!$J1014,"")</f>
        <v/>
      </c>
    </row>
    <row r="1019">
      <c r="K1019" s="5">
        <f>IF(AND(IF($B$3="(todos)",TRUE,'ORDENES'!$O1015=$B$3),IF($D$3="(todos)",TRUE,'ORDENES'!$AH1015=$D$3),IF($F$3="(todos)",TRUE,'ORDENES'!$Z1015=$F$3),IF($H$3="(todos)",TRUE,'ORDENES'!$Y1015=$H$3),'ORDENES'!$AF1015=TRUE,'ORDENES'!$A1015&lt;&gt;""),1,0)</f>
        <v/>
      </c>
      <c r="L1019" s="5">
        <f>IF(K1019=1,IFERROR(MATCH('ORDENES'!$S1015,lista_dias,0),9)*1000000000+IFERROR(MATCH('ORDENES'!$AH1015,lista_turnos,0),9)*10000000+IFERROR(MATCH('ORDENES'!$AG1015,tblTecnicos[nombre],0),99)*100000+1012,9000000000000+1012)</f>
        <v/>
      </c>
      <c r="M1019" s="5">
        <f>IF(K1019=1,SUMPRODUCT(--($L$8:$L$1207&lt;L1019))+1,"")</f>
        <v/>
      </c>
      <c r="N1019" s="17">
        <f>IF(K1019=1,N('ORDENES'!$M1015),0)</f>
        <v/>
      </c>
      <c r="O1019" s="17">
        <f>IF('ORDENES'!$U1015="preventiva",N1019,0)</f>
        <v/>
      </c>
      <c r="P1019" s="17">
        <f>IF('ORDENES'!$U1015="correctiva",N1019,0)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22">
        <f>IF(K1019=1,'ORDENES'!$J1015,"")</f>
        <v/>
      </c>
    </row>
    <row r="1020">
      <c r="K1020" s="5">
        <f>IF(AND(IF($B$3="(todos)",TRUE,'ORDENES'!$O1016=$B$3),IF($D$3="(todos)",TRUE,'ORDENES'!$AH1016=$D$3),IF($F$3="(todos)",TRUE,'ORDENES'!$Z1016=$F$3),IF($H$3="(todos)",TRUE,'ORDENES'!$Y1016=$H$3),'ORDENES'!$AF1016=TRUE,'ORDENES'!$A1016&lt;&gt;""),1,0)</f>
        <v/>
      </c>
      <c r="L1020" s="5">
        <f>IF(K1020=1,IFERROR(MATCH('ORDENES'!$S1016,lista_dias,0),9)*1000000000+IFERROR(MATCH('ORDENES'!$AH1016,lista_turnos,0),9)*10000000+IFERROR(MATCH('ORDENES'!$AG1016,tblTecnicos[nombre],0),99)*100000+1013,9000000000000+1013)</f>
        <v/>
      </c>
      <c r="M1020" s="5">
        <f>IF(K1020=1,SUMPRODUCT(--($L$8:$L$1207&lt;L1020))+1,"")</f>
        <v/>
      </c>
      <c r="N1020" s="17">
        <f>IF(K1020=1,N('ORDENES'!$M1016),0)</f>
        <v/>
      </c>
      <c r="O1020" s="17">
        <f>IF('ORDENES'!$U1016="preventiva",N1020,0)</f>
        <v/>
      </c>
      <c r="P1020" s="17">
        <f>IF('ORDENES'!$U1016="correctiva",N1020,0)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22">
        <f>IF(K1020=1,'ORDENES'!$J1016,"")</f>
        <v/>
      </c>
    </row>
    <row r="1021">
      <c r="K1021" s="5">
        <f>IF(AND(IF($B$3="(todos)",TRUE,'ORDENES'!$O1017=$B$3),IF($D$3="(todos)",TRUE,'ORDENES'!$AH1017=$D$3),IF($F$3="(todos)",TRUE,'ORDENES'!$Z1017=$F$3),IF($H$3="(todos)",TRUE,'ORDENES'!$Y1017=$H$3),'ORDENES'!$AF1017=TRUE,'ORDENES'!$A1017&lt;&gt;""),1,0)</f>
        <v/>
      </c>
      <c r="L1021" s="5">
        <f>IF(K1021=1,IFERROR(MATCH('ORDENES'!$S1017,lista_dias,0),9)*1000000000+IFERROR(MATCH('ORDENES'!$AH1017,lista_turnos,0),9)*10000000+IFERROR(MATCH('ORDENES'!$AG1017,tblTecnicos[nombre],0),99)*100000+1014,9000000000000+1014)</f>
        <v/>
      </c>
      <c r="M1021" s="5">
        <f>IF(K1021=1,SUMPRODUCT(--($L$8:$L$1207&lt;L1021))+1,"")</f>
        <v/>
      </c>
      <c r="N1021" s="17">
        <f>IF(K1021=1,N('ORDENES'!$M1017),0)</f>
        <v/>
      </c>
      <c r="O1021" s="17">
        <f>IF('ORDENES'!$U1017="preventiva",N1021,0)</f>
        <v/>
      </c>
      <c r="P1021" s="17">
        <f>IF('ORDENES'!$U1017="correctiva",N1021,0)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22">
        <f>IF(K1021=1,'ORDENES'!$J1017,"")</f>
        <v/>
      </c>
    </row>
    <row r="1022">
      <c r="K1022" s="5">
        <f>IF(AND(IF($B$3="(todos)",TRUE,'ORDENES'!$O1018=$B$3),IF($D$3="(todos)",TRUE,'ORDENES'!$AH1018=$D$3),IF($F$3="(todos)",TRUE,'ORDENES'!$Z1018=$F$3),IF($H$3="(todos)",TRUE,'ORDENES'!$Y1018=$H$3),'ORDENES'!$AF1018=TRUE,'ORDENES'!$A1018&lt;&gt;""),1,0)</f>
        <v/>
      </c>
      <c r="L1022" s="5">
        <f>IF(K1022=1,IFERROR(MATCH('ORDENES'!$S1018,lista_dias,0),9)*1000000000+IFERROR(MATCH('ORDENES'!$AH1018,lista_turnos,0),9)*10000000+IFERROR(MATCH('ORDENES'!$AG1018,tblTecnicos[nombre],0),99)*100000+1015,9000000000000+1015)</f>
        <v/>
      </c>
      <c r="M1022" s="5">
        <f>IF(K1022=1,SUMPRODUCT(--($L$8:$L$1207&lt;L1022))+1,"")</f>
        <v/>
      </c>
      <c r="N1022" s="17">
        <f>IF(K1022=1,N('ORDENES'!$M1018),0)</f>
        <v/>
      </c>
      <c r="O1022" s="17">
        <f>IF('ORDENES'!$U1018="preventiva",N1022,0)</f>
        <v/>
      </c>
      <c r="P1022" s="17">
        <f>IF('ORDENES'!$U1018="correctiva",N1022,0)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22">
        <f>IF(K1022=1,'ORDENES'!$J1018,"")</f>
        <v/>
      </c>
    </row>
    <row r="1023">
      <c r="K1023" s="5">
        <f>IF(AND(IF($B$3="(todos)",TRUE,'ORDENES'!$O1019=$B$3),IF($D$3="(todos)",TRUE,'ORDENES'!$AH1019=$D$3),IF($F$3="(todos)",TRUE,'ORDENES'!$Z1019=$F$3),IF($H$3="(todos)",TRUE,'ORDENES'!$Y1019=$H$3),'ORDENES'!$AF1019=TRUE,'ORDENES'!$A1019&lt;&gt;""),1,0)</f>
        <v/>
      </c>
      <c r="L1023" s="5">
        <f>IF(K1023=1,IFERROR(MATCH('ORDENES'!$S1019,lista_dias,0),9)*1000000000+IFERROR(MATCH('ORDENES'!$AH1019,lista_turnos,0),9)*10000000+IFERROR(MATCH('ORDENES'!$AG1019,tblTecnicos[nombre],0),99)*100000+1016,9000000000000+1016)</f>
        <v/>
      </c>
      <c r="M1023" s="5">
        <f>IF(K1023=1,SUMPRODUCT(--($L$8:$L$1207&lt;L1023))+1,"")</f>
        <v/>
      </c>
      <c r="N1023" s="17">
        <f>IF(K1023=1,N('ORDENES'!$M1019),0)</f>
        <v/>
      </c>
      <c r="O1023" s="17">
        <f>IF('ORDENES'!$U1019="preventiva",N1023,0)</f>
        <v/>
      </c>
      <c r="P1023" s="17">
        <f>IF('ORDENES'!$U1019="correctiva",N1023,0)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22">
        <f>IF(K1023=1,'ORDENES'!$J1019,"")</f>
        <v/>
      </c>
    </row>
    <row r="1024">
      <c r="K1024" s="5">
        <f>IF(AND(IF($B$3="(todos)",TRUE,'ORDENES'!$O1020=$B$3),IF($D$3="(todos)",TRUE,'ORDENES'!$AH1020=$D$3),IF($F$3="(todos)",TRUE,'ORDENES'!$Z1020=$F$3),IF($H$3="(todos)",TRUE,'ORDENES'!$Y1020=$H$3),'ORDENES'!$AF1020=TRUE,'ORDENES'!$A1020&lt;&gt;""),1,0)</f>
        <v/>
      </c>
      <c r="L1024" s="5">
        <f>IF(K1024=1,IFERROR(MATCH('ORDENES'!$S1020,lista_dias,0),9)*1000000000+IFERROR(MATCH('ORDENES'!$AH1020,lista_turnos,0),9)*10000000+IFERROR(MATCH('ORDENES'!$AG1020,tblTecnicos[nombre],0),99)*100000+1017,9000000000000+1017)</f>
        <v/>
      </c>
      <c r="M1024" s="5">
        <f>IF(K1024=1,SUMPRODUCT(--($L$8:$L$1207&lt;L1024))+1,"")</f>
        <v/>
      </c>
      <c r="N1024" s="17">
        <f>IF(K1024=1,N('ORDENES'!$M1020),0)</f>
        <v/>
      </c>
      <c r="O1024" s="17">
        <f>IF('ORDENES'!$U1020="preventiva",N1024,0)</f>
        <v/>
      </c>
      <c r="P1024" s="17">
        <f>IF('ORDENES'!$U1020="correctiva",N1024,0)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22">
        <f>IF(K1024=1,'ORDENES'!$J1020,"")</f>
        <v/>
      </c>
    </row>
    <row r="1025">
      <c r="K1025" s="5">
        <f>IF(AND(IF($B$3="(todos)",TRUE,'ORDENES'!$O1021=$B$3),IF($D$3="(todos)",TRUE,'ORDENES'!$AH1021=$D$3),IF($F$3="(todos)",TRUE,'ORDENES'!$Z1021=$F$3),IF($H$3="(todos)",TRUE,'ORDENES'!$Y1021=$H$3),'ORDENES'!$AF1021=TRUE,'ORDENES'!$A1021&lt;&gt;""),1,0)</f>
        <v/>
      </c>
      <c r="L1025" s="5">
        <f>IF(K1025=1,IFERROR(MATCH('ORDENES'!$S1021,lista_dias,0),9)*1000000000+IFERROR(MATCH('ORDENES'!$AH1021,lista_turnos,0),9)*10000000+IFERROR(MATCH('ORDENES'!$AG1021,tblTecnicos[nombre],0),99)*100000+1018,9000000000000+1018)</f>
        <v/>
      </c>
      <c r="M1025" s="5">
        <f>IF(K1025=1,SUMPRODUCT(--($L$8:$L$1207&lt;L1025))+1,"")</f>
        <v/>
      </c>
      <c r="N1025" s="17">
        <f>IF(K1025=1,N('ORDENES'!$M1021),0)</f>
        <v/>
      </c>
      <c r="O1025" s="17">
        <f>IF('ORDENES'!$U1021="preventiva",N1025,0)</f>
        <v/>
      </c>
      <c r="P1025" s="17">
        <f>IF('ORDENES'!$U1021="correctiva",N1025,0)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22">
        <f>IF(K1025=1,'ORDENES'!$J1021,"")</f>
        <v/>
      </c>
    </row>
    <row r="1026">
      <c r="K1026" s="5">
        <f>IF(AND(IF($B$3="(todos)",TRUE,'ORDENES'!$O1022=$B$3),IF($D$3="(todos)",TRUE,'ORDENES'!$AH1022=$D$3),IF($F$3="(todos)",TRUE,'ORDENES'!$Z1022=$F$3),IF($H$3="(todos)",TRUE,'ORDENES'!$Y1022=$H$3),'ORDENES'!$AF1022=TRUE,'ORDENES'!$A1022&lt;&gt;""),1,0)</f>
        <v/>
      </c>
      <c r="L1026" s="5">
        <f>IF(K1026=1,IFERROR(MATCH('ORDENES'!$S1022,lista_dias,0),9)*1000000000+IFERROR(MATCH('ORDENES'!$AH1022,lista_turnos,0),9)*10000000+IFERROR(MATCH('ORDENES'!$AG1022,tblTecnicos[nombre],0),99)*100000+1019,9000000000000+1019)</f>
        <v/>
      </c>
      <c r="M1026" s="5">
        <f>IF(K1026=1,SUMPRODUCT(--($L$8:$L$1207&lt;L1026))+1,"")</f>
        <v/>
      </c>
      <c r="N1026" s="17">
        <f>IF(K1026=1,N('ORDENES'!$M1022),0)</f>
        <v/>
      </c>
      <c r="O1026" s="17">
        <f>IF('ORDENES'!$U1022="preventiva",N1026,0)</f>
        <v/>
      </c>
      <c r="P1026" s="17">
        <f>IF('ORDENES'!$U1022="correctiva",N1026,0)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22">
        <f>IF(K1026=1,'ORDENES'!$J1022,"")</f>
        <v/>
      </c>
    </row>
    <row r="1027">
      <c r="K1027" s="5">
        <f>IF(AND(IF($B$3="(todos)",TRUE,'ORDENES'!$O1023=$B$3),IF($D$3="(todos)",TRUE,'ORDENES'!$AH1023=$D$3),IF($F$3="(todos)",TRUE,'ORDENES'!$Z1023=$F$3),IF($H$3="(todos)",TRUE,'ORDENES'!$Y1023=$H$3),'ORDENES'!$AF1023=TRUE,'ORDENES'!$A1023&lt;&gt;""),1,0)</f>
        <v/>
      </c>
      <c r="L1027" s="5">
        <f>IF(K1027=1,IFERROR(MATCH('ORDENES'!$S1023,lista_dias,0),9)*1000000000+IFERROR(MATCH('ORDENES'!$AH1023,lista_turnos,0),9)*10000000+IFERROR(MATCH('ORDENES'!$AG1023,tblTecnicos[nombre],0),99)*100000+1020,9000000000000+1020)</f>
        <v/>
      </c>
      <c r="M1027" s="5">
        <f>IF(K1027=1,SUMPRODUCT(--($L$8:$L$1207&lt;L1027))+1,"")</f>
        <v/>
      </c>
      <c r="N1027" s="17">
        <f>IF(K1027=1,N('ORDENES'!$M1023),0)</f>
        <v/>
      </c>
      <c r="O1027" s="17">
        <f>IF('ORDENES'!$U1023="preventiva",N1027,0)</f>
        <v/>
      </c>
      <c r="P1027" s="17">
        <f>IF('ORDENES'!$U1023="correctiva",N1027,0)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22">
        <f>IF(K1027=1,'ORDENES'!$J1023,"")</f>
        <v/>
      </c>
    </row>
    <row r="1028">
      <c r="K1028" s="5">
        <f>IF(AND(IF($B$3="(todos)",TRUE,'ORDENES'!$O1024=$B$3),IF($D$3="(todos)",TRUE,'ORDENES'!$AH1024=$D$3),IF($F$3="(todos)",TRUE,'ORDENES'!$Z1024=$F$3),IF($H$3="(todos)",TRUE,'ORDENES'!$Y1024=$H$3),'ORDENES'!$AF1024=TRUE,'ORDENES'!$A1024&lt;&gt;""),1,0)</f>
        <v/>
      </c>
      <c r="L1028" s="5">
        <f>IF(K1028=1,IFERROR(MATCH('ORDENES'!$S1024,lista_dias,0),9)*1000000000+IFERROR(MATCH('ORDENES'!$AH1024,lista_turnos,0),9)*10000000+IFERROR(MATCH('ORDENES'!$AG1024,tblTecnicos[nombre],0),99)*100000+1021,9000000000000+1021)</f>
        <v/>
      </c>
      <c r="M1028" s="5">
        <f>IF(K1028=1,SUMPRODUCT(--($L$8:$L$1207&lt;L1028))+1,"")</f>
        <v/>
      </c>
      <c r="N1028" s="17">
        <f>IF(K1028=1,N('ORDENES'!$M1024),0)</f>
        <v/>
      </c>
      <c r="O1028" s="17">
        <f>IF('ORDENES'!$U1024="preventiva",N1028,0)</f>
        <v/>
      </c>
      <c r="P1028" s="17">
        <f>IF('ORDENES'!$U1024="correctiva",N1028,0)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22">
        <f>IF(K1028=1,'ORDENES'!$J1024,"")</f>
        <v/>
      </c>
    </row>
    <row r="1029">
      <c r="K1029" s="5">
        <f>IF(AND(IF($B$3="(todos)",TRUE,'ORDENES'!$O1025=$B$3),IF($D$3="(todos)",TRUE,'ORDENES'!$AH1025=$D$3),IF($F$3="(todos)",TRUE,'ORDENES'!$Z1025=$F$3),IF($H$3="(todos)",TRUE,'ORDENES'!$Y1025=$H$3),'ORDENES'!$AF1025=TRUE,'ORDENES'!$A1025&lt;&gt;""),1,0)</f>
        <v/>
      </c>
      <c r="L1029" s="5">
        <f>IF(K1029=1,IFERROR(MATCH('ORDENES'!$S1025,lista_dias,0),9)*1000000000+IFERROR(MATCH('ORDENES'!$AH1025,lista_turnos,0),9)*10000000+IFERROR(MATCH('ORDENES'!$AG1025,tblTecnicos[nombre],0),99)*100000+1022,9000000000000+1022)</f>
        <v/>
      </c>
      <c r="M1029" s="5">
        <f>IF(K1029=1,SUMPRODUCT(--($L$8:$L$1207&lt;L1029))+1,"")</f>
        <v/>
      </c>
      <c r="N1029" s="17">
        <f>IF(K1029=1,N('ORDENES'!$M1025),0)</f>
        <v/>
      </c>
      <c r="O1029" s="17">
        <f>IF('ORDENES'!$U1025="preventiva",N1029,0)</f>
        <v/>
      </c>
      <c r="P1029" s="17">
        <f>IF('ORDENES'!$U1025="correctiva",N1029,0)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22">
        <f>IF(K1029=1,'ORDENES'!$J1025,"")</f>
        <v/>
      </c>
    </row>
    <row r="1030">
      <c r="K1030" s="5">
        <f>IF(AND(IF($B$3="(todos)",TRUE,'ORDENES'!$O1026=$B$3),IF($D$3="(todos)",TRUE,'ORDENES'!$AH1026=$D$3),IF($F$3="(todos)",TRUE,'ORDENES'!$Z1026=$F$3),IF($H$3="(todos)",TRUE,'ORDENES'!$Y1026=$H$3),'ORDENES'!$AF1026=TRUE,'ORDENES'!$A1026&lt;&gt;""),1,0)</f>
        <v/>
      </c>
      <c r="L1030" s="5">
        <f>IF(K1030=1,IFERROR(MATCH('ORDENES'!$S1026,lista_dias,0),9)*1000000000+IFERROR(MATCH('ORDENES'!$AH1026,lista_turnos,0),9)*10000000+IFERROR(MATCH('ORDENES'!$AG1026,tblTecnicos[nombre],0),99)*100000+1023,9000000000000+1023)</f>
        <v/>
      </c>
      <c r="M1030" s="5">
        <f>IF(K1030=1,SUMPRODUCT(--($L$8:$L$1207&lt;L1030))+1,"")</f>
        <v/>
      </c>
      <c r="N1030" s="17">
        <f>IF(K1030=1,N('ORDENES'!$M1026),0)</f>
        <v/>
      </c>
      <c r="O1030" s="17">
        <f>IF('ORDENES'!$U1026="preventiva",N1030,0)</f>
        <v/>
      </c>
      <c r="P1030" s="17">
        <f>IF('ORDENES'!$U1026="correctiva",N1030,0)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22">
        <f>IF(K1030=1,'ORDENES'!$J1026,"")</f>
        <v/>
      </c>
    </row>
    <row r="1031">
      <c r="K1031" s="5">
        <f>IF(AND(IF($B$3="(todos)",TRUE,'ORDENES'!$O1027=$B$3),IF($D$3="(todos)",TRUE,'ORDENES'!$AH1027=$D$3),IF($F$3="(todos)",TRUE,'ORDENES'!$Z1027=$F$3),IF($H$3="(todos)",TRUE,'ORDENES'!$Y1027=$H$3),'ORDENES'!$AF1027=TRUE,'ORDENES'!$A1027&lt;&gt;""),1,0)</f>
        <v/>
      </c>
      <c r="L1031" s="5">
        <f>IF(K1031=1,IFERROR(MATCH('ORDENES'!$S1027,lista_dias,0),9)*1000000000+IFERROR(MATCH('ORDENES'!$AH1027,lista_turnos,0),9)*10000000+IFERROR(MATCH('ORDENES'!$AG1027,tblTecnicos[nombre],0),99)*100000+1024,9000000000000+1024)</f>
        <v/>
      </c>
      <c r="M1031" s="5">
        <f>IF(K1031=1,SUMPRODUCT(--($L$8:$L$1207&lt;L1031))+1,"")</f>
        <v/>
      </c>
      <c r="N1031" s="17">
        <f>IF(K1031=1,N('ORDENES'!$M1027),0)</f>
        <v/>
      </c>
      <c r="O1031" s="17">
        <f>IF('ORDENES'!$U1027="preventiva",N1031,0)</f>
        <v/>
      </c>
      <c r="P1031" s="17">
        <f>IF('ORDENES'!$U1027="correctiva",N1031,0)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22">
        <f>IF(K1031=1,'ORDENES'!$J1027,"")</f>
        <v/>
      </c>
    </row>
    <row r="1032">
      <c r="K1032" s="5">
        <f>IF(AND(IF($B$3="(todos)",TRUE,'ORDENES'!$O1028=$B$3),IF($D$3="(todos)",TRUE,'ORDENES'!$AH1028=$D$3),IF($F$3="(todos)",TRUE,'ORDENES'!$Z1028=$F$3),IF($H$3="(todos)",TRUE,'ORDENES'!$Y1028=$H$3),'ORDENES'!$AF1028=TRUE,'ORDENES'!$A1028&lt;&gt;""),1,0)</f>
        <v/>
      </c>
      <c r="L1032" s="5">
        <f>IF(K1032=1,IFERROR(MATCH('ORDENES'!$S1028,lista_dias,0),9)*1000000000+IFERROR(MATCH('ORDENES'!$AH1028,lista_turnos,0),9)*10000000+IFERROR(MATCH('ORDENES'!$AG1028,tblTecnicos[nombre],0),99)*100000+1025,9000000000000+1025)</f>
        <v/>
      </c>
      <c r="M1032" s="5">
        <f>IF(K1032=1,SUMPRODUCT(--($L$8:$L$1207&lt;L1032))+1,"")</f>
        <v/>
      </c>
      <c r="N1032" s="17">
        <f>IF(K1032=1,N('ORDENES'!$M1028),0)</f>
        <v/>
      </c>
      <c r="O1032" s="17">
        <f>IF('ORDENES'!$U1028="preventiva",N1032,0)</f>
        <v/>
      </c>
      <c r="P1032" s="17">
        <f>IF('ORDENES'!$U1028="correctiva",N1032,0)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22">
        <f>IF(K1032=1,'ORDENES'!$J1028,"")</f>
        <v/>
      </c>
    </row>
    <row r="1033">
      <c r="K1033" s="5">
        <f>IF(AND(IF($B$3="(todos)",TRUE,'ORDENES'!$O1029=$B$3),IF($D$3="(todos)",TRUE,'ORDENES'!$AH1029=$D$3),IF($F$3="(todos)",TRUE,'ORDENES'!$Z1029=$F$3),IF($H$3="(todos)",TRUE,'ORDENES'!$Y1029=$H$3),'ORDENES'!$AF1029=TRUE,'ORDENES'!$A1029&lt;&gt;""),1,0)</f>
        <v/>
      </c>
      <c r="L1033" s="5">
        <f>IF(K1033=1,IFERROR(MATCH('ORDENES'!$S1029,lista_dias,0),9)*1000000000+IFERROR(MATCH('ORDENES'!$AH1029,lista_turnos,0),9)*10000000+IFERROR(MATCH('ORDENES'!$AG1029,tblTecnicos[nombre],0),99)*100000+1026,9000000000000+1026)</f>
        <v/>
      </c>
      <c r="M1033" s="5">
        <f>IF(K1033=1,SUMPRODUCT(--($L$8:$L$1207&lt;L1033))+1,"")</f>
        <v/>
      </c>
      <c r="N1033" s="17">
        <f>IF(K1033=1,N('ORDENES'!$M1029),0)</f>
        <v/>
      </c>
      <c r="O1033" s="17">
        <f>IF('ORDENES'!$U1029="preventiva",N1033,0)</f>
        <v/>
      </c>
      <c r="P1033" s="17">
        <f>IF('ORDENES'!$U1029="correctiva",N1033,0)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22">
        <f>IF(K1033=1,'ORDENES'!$J1029,"")</f>
        <v/>
      </c>
    </row>
    <row r="1034">
      <c r="K1034" s="5">
        <f>IF(AND(IF($B$3="(todos)",TRUE,'ORDENES'!$O1030=$B$3),IF($D$3="(todos)",TRUE,'ORDENES'!$AH1030=$D$3),IF($F$3="(todos)",TRUE,'ORDENES'!$Z1030=$F$3),IF($H$3="(todos)",TRUE,'ORDENES'!$Y1030=$H$3),'ORDENES'!$AF1030=TRUE,'ORDENES'!$A1030&lt;&gt;""),1,0)</f>
        <v/>
      </c>
      <c r="L1034" s="5">
        <f>IF(K1034=1,IFERROR(MATCH('ORDENES'!$S1030,lista_dias,0),9)*1000000000+IFERROR(MATCH('ORDENES'!$AH1030,lista_turnos,0),9)*10000000+IFERROR(MATCH('ORDENES'!$AG1030,tblTecnicos[nombre],0),99)*100000+1027,9000000000000+1027)</f>
        <v/>
      </c>
      <c r="M1034" s="5">
        <f>IF(K1034=1,SUMPRODUCT(--($L$8:$L$1207&lt;L1034))+1,"")</f>
        <v/>
      </c>
      <c r="N1034" s="17">
        <f>IF(K1034=1,N('ORDENES'!$M1030),0)</f>
        <v/>
      </c>
      <c r="O1034" s="17">
        <f>IF('ORDENES'!$U1030="preventiva",N1034,0)</f>
        <v/>
      </c>
      <c r="P1034" s="17">
        <f>IF('ORDENES'!$U1030="correctiva",N1034,0)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22">
        <f>IF(K1034=1,'ORDENES'!$J1030,"")</f>
        <v/>
      </c>
    </row>
    <row r="1035">
      <c r="K1035" s="5">
        <f>IF(AND(IF($B$3="(todos)",TRUE,'ORDENES'!$O1031=$B$3),IF($D$3="(todos)",TRUE,'ORDENES'!$AH1031=$D$3),IF($F$3="(todos)",TRUE,'ORDENES'!$Z1031=$F$3),IF($H$3="(todos)",TRUE,'ORDENES'!$Y1031=$H$3),'ORDENES'!$AF1031=TRUE,'ORDENES'!$A1031&lt;&gt;""),1,0)</f>
        <v/>
      </c>
      <c r="L1035" s="5">
        <f>IF(K1035=1,IFERROR(MATCH('ORDENES'!$S1031,lista_dias,0),9)*1000000000+IFERROR(MATCH('ORDENES'!$AH1031,lista_turnos,0),9)*10000000+IFERROR(MATCH('ORDENES'!$AG1031,tblTecnicos[nombre],0),99)*100000+1028,9000000000000+1028)</f>
        <v/>
      </c>
      <c r="M1035" s="5">
        <f>IF(K1035=1,SUMPRODUCT(--($L$8:$L$1207&lt;L1035))+1,"")</f>
        <v/>
      </c>
      <c r="N1035" s="17">
        <f>IF(K1035=1,N('ORDENES'!$M1031),0)</f>
        <v/>
      </c>
      <c r="O1035" s="17">
        <f>IF('ORDENES'!$U1031="preventiva",N1035,0)</f>
        <v/>
      </c>
      <c r="P1035" s="17">
        <f>IF('ORDENES'!$U1031="correctiva",N1035,0)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22">
        <f>IF(K1035=1,'ORDENES'!$J1031,"")</f>
        <v/>
      </c>
    </row>
    <row r="1036">
      <c r="K1036" s="5">
        <f>IF(AND(IF($B$3="(todos)",TRUE,'ORDENES'!$O1032=$B$3),IF($D$3="(todos)",TRUE,'ORDENES'!$AH1032=$D$3),IF($F$3="(todos)",TRUE,'ORDENES'!$Z1032=$F$3),IF($H$3="(todos)",TRUE,'ORDENES'!$Y1032=$H$3),'ORDENES'!$AF1032=TRUE,'ORDENES'!$A1032&lt;&gt;""),1,0)</f>
        <v/>
      </c>
      <c r="L1036" s="5">
        <f>IF(K1036=1,IFERROR(MATCH('ORDENES'!$S1032,lista_dias,0),9)*1000000000+IFERROR(MATCH('ORDENES'!$AH1032,lista_turnos,0),9)*10000000+IFERROR(MATCH('ORDENES'!$AG1032,tblTecnicos[nombre],0),99)*100000+1029,9000000000000+1029)</f>
        <v/>
      </c>
      <c r="M1036" s="5">
        <f>IF(K1036=1,SUMPRODUCT(--($L$8:$L$1207&lt;L1036))+1,"")</f>
        <v/>
      </c>
      <c r="N1036" s="17">
        <f>IF(K1036=1,N('ORDENES'!$M1032),0)</f>
        <v/>
      </c>
      <c r="O1036" s="17">
        <f>IF('ORDENES'!$U1032="preventiva",N1036,0)</f>
        <v/>
      </c>
      <c r="P1036" s="17">
        <f>IF('ORDENES'!$U1032="correctiva",N1036,0)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22">
        <f>IF(K1036=1,'ORDENES'!$J1032,"")</f>
        <v/>
      </c>
    </row>
    <row r="1037">
      <c r="K1037" s="5">
        <f>IF(AND(IF($B$3="(todos)",TRUE,'ORDENES'!$O1033=$B$3),IF($D$3="(todos)",TRUE,'ORDENES'!$AH1033=$D$3),IF($F$3="(todos)",TRUE,'ORDENES'!$Z1033=$F$3),IF($H$3="(todos)",TRUE,'ORDENES'!$Y1033=$H$3),'ORDENES'!$AF1033=TRUE,'ORDENES'!$A1033&lt;&gt;""),1,0)</f>
        <v/>
      </c>
      <c r="L1037" s="5">
        <f>IF(K1037=1,IFERROR(MATCH('ORDENES'!$S1033,lista_dias,0),9)*1000000000+IFERROR(MATCH('ORDENES'!$AH1033,lista_turnos,0),9)*10000000+IFERROR(MATCH('ORDENES'!$AG1033,tblTecnicos[nombre],0),99)*100000+1030,9000000000000+1030)</f>
        <v/>
      </c>
      <c r="M1037" s="5">
        <f>IF(K1037=1,SUMPRODUCT(--($L$8:$L$1207&lt;L1037))+1,"")</f>
        <v/>
      </c>
      <c r="N1037" s="17">
        <f>IF(K1037=1,N('ORDENES'!$M1033),0)</f>
        <v/>
      </c>
      <c r="O1037" s="17">
        <f>IF('ORDENES'!$U1033="preventiva",N1037,0)</f>
        <v/>
      </c>
      <c r="P1037" s="17">
        <f>IF('ORDENES'!$U1033="correctiva",N1037,0)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22">
        <f>IF(K1037=1,'ORDENES'!$J1033,"")</f>
        <v/>
      </c>
    </row>
    <row r="1038">
      <c r="K1038" s="5">
        <f>IF(AND(IF($B$3="(todos)",TRUE,'ORDENES'!$O1034=$B$3),IF($D$3="(todos)",TRUE,'ORDENES'!$AH1034=$D$3),IF($F$3="(todos)",TRUE,'ORDENES'!$Z1034=$F$3),IF($H$3="(todos)",TRUE,'ORDENES'!$Y1034=$H$3),'ORDENES'!$AF1034=TRUE,'ORDENES'!$A1034&lt;&gt;""),1,0)</f>
        <v/>
      </c>
      <c r="L1038" s="5">
        <f>IF(K1038=1,IFERROR(MATCH('ORDENES'!$S1034,lista_dias,0),9)*1000000000+IFERROR(MATCH('ORDENES'!$AH1034,lista_turnos,0),9)*10000000+IFERROR(MATCH('ORDENES'!$AG1034,tblTecnicos[nombre],0),99)*100000+1031,9000000000000+1031)</f>
        <v/>
      </c>
      <c r="M1038" s="5">
        <f>IF(K1038=1,SUMPRODUCT(--($L$8:$L$1207&lt;L1038))+1,"")</f>
        <v/>
      </c>
      <c r="N1038" s="17">
        <f>IF(K1038=1,N('ORDENES'!$M1034),0)</f>
        <v/>
      </c>
      <c r="O1038" s="17">
        <f>IF('ORDENES'!$U1034="preventiva",N1038,0)</f>
        <v/>
      </c>
      <c r="P1038" s="17">
        <f>IF('ORDENES'!$U1034="correctiva",N1038,0)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22">
        <f>IF(K1038=1,'ORDENES'!$J1034,"")</f>
        <v/>
      </c>
    </row>
    <row r="1039">
      <c r="K1039" s="5">
        <f>IF(AND(IF($B$3="(todos)",TRUE,'ORDENES'!$O1035=$B$3),IF($D$3="(todos)",TRUE,'ORDENES'!$AH1035=$D$3),IF($F$3="(todos)",TRUE,'ORDENES'!$Z1035=$F$3),IF($H$3="(todos)",TRUE,'ORDENES'!$Y1035=$H$3),'ORDENES'!$AF1035=TRUE,'ORDENES'!$A1035&lt;&gt;""),1,0)</f>
        <v/>
      </c>
      <c r="L1039" s="5">
        <f>IF(K1039=1,IFERROR(MATCH('ORDENES'!$S1035,lista_dias,0),9)*1000000000+IFERROR(MATCH('ORDENES'!$AH1035,lista_turnos,0),9)*10000000+IFERROR(MATCH('ORDENES'!$AG1035,tblTecnicos[nombre],0),99)*100000+1032,9000000000000+1032)</f>
        <v/>
      </c>
      <c r="M1039" s="5">
        <f>IF(K1039=1,SUMPRODUCT(--($L$8:$L$1207&lt;L1039))+1,"")</f>
        <v/>
      </c>
      <c r="N1039" s="17">
        <f>IF(K1039=1,N('ORDENES'!$M1035),0)</f>
        <v/>
      </c>
      <c r="O1039" s="17">
        <f>IF('ORDENES'!$U1035="preventiva",N1039,0)</f>
        <v/>
      </c>
      <c r="P1039" s="17">
        <f>IF('ORDENES'!$U1035="correctiva",N1039,0)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22">
        <f>IF(K1039=1,'ORDENES'!$J1035,"")</f>
        <v/>
      </c>
    </row>
    <row r="1040">
      <c r="K1040" s="5">
        <f>IF(AND(IF($B$3="(todos)",TRUE,'ORDENES'!$O1036=$B$3),IF($D$3="(todos)",TRUE,'ORDENES'!$AH1036=$D$3),IF($F$3="(todos)",TRUE,'ORDENES'!$Z1036=$F$3),IF($H$3="(todos)",TRUE,'ORDENES'!$Y1036=$H$3),'ORDENES'!$AF1036=TRUE,'ORDENES'!$A1036&lt;&gt;""),1,0)</f>
        <v/>
      </c>
      <c r="L1040" s="5">
        <f>IF(K1040=1,IFERROR(MATCH('ORDENES'!$S1036,lista_dias,0),9)*1000000000+IFERROR(MATCH('ORDENES'!$AH1036,lista_turnos,0),9)*10000000+IFERROR(MATCH('ORDENES'!$AG1036,tblTecnicos[nombre],0),99)*100000+1033,9000000000000+1033)</f>
        <v/>
      </c>
      <c r="M1040" s="5">
        <f>IF(K1040=1,SUMPRODUCT(--($L$8:$L$1207&lt;L1040))+1,"")</f>
        <v/>
      </c>
      <c r="N1040" s="17">
        <f>IF(K1040=1,N('ORDENES'!$M1036),0)</f>
        <v/>
      </c>
      <c r="O1040" s="17">
        <f>IF('ORDENES'!$U1036="preventiva",N1040,0)</f>
        <v/>
      </c>
      <c r="P1040" s="17">
        <f>IF('ORDENES'!$U1036="correctiva",N1040,0)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22">
        <f>IF(K1040=1,'ORDENES'!$J1036,"")</f>
        <v/>
      </c>
    </row>
    <row r="1041">
      <c r="K1041" s="5">
        <f>IF(AND(IF($B$3="(todos)",TRUE,'ORDENES'!$O1037=$B$3),IF($D$3="(todos)",TRUE,'ORDENES'!$AH1037=$D$3),IF($F$3="(todos)",TRUE,'ORDENES'!$Z1037=$F$3),IF($H$3="(todos)",TRUE,'ORDENES'!$Y1037=$H$3),'ORDENES'!$AF1037=TRUE,'ORDENES'!$A1037&lt;&gt;""),1,0)</f>
        <v/>
      </c>
      <c r="L1041" s="5">
        <f>IF(K1041=1,IFERROR(MATCH('ORDENES'!$S1037,lista_dias,0),9)*1000000000+IFERROR(MATCH('ORDENES'!$AH1037,lista_turnos,0),9)*10000000+IFERROR(MATCH('ORDENES'!$AG1037,tblTecnicos[nombre],0),99)*100000+1034,9000000000000+1034)</f>
        <v/>
      </c>
      <c r="M1041" s="5">
        <f>IF(K1041=1,SUMPRODUCT(--($L$8:$L$1207&lt;L1041))+1,"")</f>
        <v/>
      </c>
      <c r="N1041" s="17">
        <f>IF(K1041=1,N('ORDENES'!$M1037),0)</f>
        <v/>
      </c>
      <c r="O1041" s="17">
        <f>IF('ORDENES'!$U1037="preventiva",N1041,0)</f>
        <v/>
      </c>
      <c r="P1041" s="17">
        <f>IF('ORDENES'!$U1037="correctiva",N1041,0)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22">
        <f>IF(K1041=1,'ORDENES'!$J1037,"")</f>
        <v/>
      </c>
    </row>
    <row r="1042">
      <c r="K1042" s="5">
        <f>IF(AND(IF($B$3="(todos)",TRUE,'ORDENES'!$O1038=$B$3),IF($D$3="(todos)",TRUE,'ORDENES'!$AH1038=$D$3),IF($F$3="(todos)",TRUE,'ORDENES'!$Z1038=$F$3),IF($H$3="(todos)",TRUE,'ORDENES'!$Y1038=$H$3),'ORDENES'!$AF1038=TRUE,'ORDENES'!$A1038&lt;&gt;""),1,0)</f>
        <v/>
      </c>
      <c r="L1042" s="5">
        <f>IF(K1042=1,IFERROR(MATCH('ORDENES'!$S1038,lista_dias,0),9)*1000000000+IFERROR(MATCH('ORDENES'!$AH1038,lista_turnos,0),9)*10000000+IFERROR(MATCH('ORDENES'!$AG1038,tblTecnicos[nombre],0),99)*100000+1035,9000000000000+1035)</f>
        <v/>
      </c>
      <c r="M1042" s="5">
        <f>IF(K1042=1,SUMPRODUCT(--($L$8:$L$1207&lt;L1042))+1,"")</f>
        <v/>
      </c>
      <c r="N1042" s="17">
        <f>IF(K1042=1,N('ORDENES'!$M1038),0)</f>
        <v/>
      </c>
      <c r="O1042" s="17">
        <f>IF('ORDENES'!$U1038="preventiva",N1042,0)</f>
        <v/>
      </c>
      <c r="P1042" s="17">
        <f>IF('ORDENES'!$U1038="correctiva",N1042,0)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22">
        <f>IF(K1042=1,'ORDENES'!$J1038,"")</f>
        <v/>
      </c>
    </row>
    <row r="1043">
      <c r="K1043" s="5">
        <f>IF(AND(IF($B$3="(todos)",TRUE,'ORDENES'!$O1039=$B$3),IF($D$3="(todos)",TRUE,'ORDENES'!$AH1039=$D$3),IF($F$3="(todos)",TRUE,'ORDENES'!$Z1039=$F$3),IF($H$3="(todos)",TRUE,'ORDENES'!$Y1039=$H$3),'ORDENES'!$AF1039=TRUE,'ORDENES'!$A1039&lt;&gt;""),1,0)</f>
        <v/>
      </c>
      <c r="L1043" s="5">
        <f>IF(K1043=1,IFERROR(MATCH('ORDENES'!$S1039,lista_dias,0),9)*1000000000+IFERROR(MATCH('ORDENES'!$AH1039,lista_turnos,0),9)*10000000+IFERROR(MATCH('ORDENES'!$AG1039,tblTecnicos[nombre],0),99)*100000+1036,9000000000000+1036)</f>
        <v/>
      </c>
      <c r="M1043" s="5">
        <f>IF(K1043=1,SUMPRODUCT(--($L$8:$L$1207&lt;L1043))+1,"")</f>
        <v/>
      </c>
      <c r="N1043" s="17">
        <f>IF(K1043=1,N('ORDENES'!$M1039),0)</f>
        <v/>
      </c>
      <c r="O1043" s="17">
        <f>IF('ORDENES'!$U1039="preventiva",N1043,0)</f>
        <v/>
      </c>
      <c r="P1043" s="17">
        <f>IF('ORDENES'!$U1039="correctiva",N1043,0)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22">
        <f>IF(K1043=1,'ORDENES'!$J1039,"")</f>
        <v/>
      </c>
    </row>
    <row r="1044">
      <c r="K1044" s="5">
        <f>IF(AND(IF($B$3="(todos)",TRUE,'ORDENES'!$O1040=$B$3),IF($D$3="(todos)",TRUE,'ORDENES'!$AH1040=$D$3),IF($F$3="(todos)",TRUE,'ORDENES'!$Z1040=$F$3),IF($H$3="(todos)",TRUE,'ORDENES'!$Y1040=$H$3),'ORDENES'!$AF1040=TRUE,'ORDENES'!$A1040&lt;&gt;""),1,0)</f>
        <v/>
      </c>
      <c r="L1044" s="5">
        <f>IF(K1044=1,IFERROR(MATCH('ORDENES'!$S1040,lista_dias,0),9)*1000000000+IFERROR(MATCH('ORDENES'!$AH1040,lista_turnos,0),9)*10000000+IFERROR(MATCH('ORDENES'!$AG1040,tblTecnicos[nombre],0),99)*100000+1037,9000000000000+1037)</f>
        <v/>
      </c>
      <c r="M1044" s="5">
        <f>IF(K1044=1,SUMPRODUCT(--($L$8:$L$1207&lt;L1044))+1,"")</f>
        <v/>
      </c>
      <c r="N1044" s="17">
        <f>IF(K1044=1,N('ORDENES'!$M1040),0)</f>
        <v/>
      </c>
      <c r="O1044" s="17">
        <f>IF('ORDENES'!$U1040="preventiva",N1044,0)</f>
        <v/>
      </c>
      <c r="P1044" s="17">
        <f>IF('ORDENES'!$U1040="correctiva",N1044,0)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22">
        <f>IF(K1044=1,'ORDENES'!$J1040,"")</f>
        <v/>
      </c>
    </row>
    <row r="1045">
      <c r="K1045" s="5">
        <f>IF(AND(IF($B$3="(todos)",TRUE,'ORDENES'!$O1041=$B$3),IF($D$3="(todos)",TRUE,'ORDENES'!$AH1041=$D$3),IF($F$3="(todos)",TRUE,'ORDENES'!$Z1041=$F$3),IF($H$3="(todos)",TRUE,'ORDENES'!$Y1041=$H$3),'ORDENES'!$AF1041=TRUE,'ORDENES'!$A1041&lt;&gt;""),1,0)</f>
        <v/>
      </c>
      <c r="L1045" s="5">
        <f>IF(K1045=1,IFERROR(MATCH('ORDENES'!$S1041,lista_dias,0),9)*1000000000+IFERROR(MATCH('ORDENES'!$AH1041,lista_turnos,0),9)*10000000+IFERROR(MATCH('ORDENES'!$AG1041,tblTecnicos[nombre],0),99)*100000+1038,9000000000000+1038)</f>
        <v/>
      </c>
      <c r="M1045" s="5">
        <f>IF(K1045=1,SUMPRODUCT(--($L$8:$L$1207&lt;L1045))+1,"")</f>
        <v/>
      </c>
      <c r="N1045" s="17">
        <f>IF(K1045=1,N('ORDENES'!$M1041),0)</f>
        <v/>
      </c>
      <c r="O1045" s="17">
        <f>IF('ORDENES'!$U1041="preventiva",N1045,0)</f>
        <v/>
      </c>
      <c r="P1045" s="17">
        <f>IF('ORDENES'!$U1041="correctiva",N1045,0)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22">
        <f>IF(K1045=1,'ORDENES'!$J1041,"")</f>
        <v/>
      </c>
    </row>
    <row r="1046">
      <c r="K1046" s="5">
        <f>IF(AND(IF($B$3="(todos)",TRUE,'ORDENES'!$O1042=$B$3),IF($D$3="(todos)",TRUE,'ORDENES'!$AH1042=$D$3),IF($F$3="(todos)",TRUE,'ORDENES'!$Z1042=$F$3),IF($H$3="(todos)",TRUE,'ORDENES'!$Y1042=$H$3),'ORDENES'!$AF1042=TRUE,'ORDENES'!$A1042&lt;&gt;""),1,0)</f>
        <v/>
      </c>
      <c r="L1046" s="5">
        <f>IF(K1046=1,IFERROR(MATCH('ORDENES'!$S1042,lista_dias,0),9)*1000000000+IFERROR(MATCH('ORDENES'!$AH1042,lista_turnos,0),9)*10000000+IFERROR(MATCH('ORDENES'!$AG1042,tblTecnicos[nombre],0),99)*100000+1039,9000000000000+1039)</f>
        <v/>
      </c>
      <c r="M1046" s="5">
        <f>IF(K1046=1,SUMPRODUCT(--($L$8:$L$1207&lt;L1046))+1,"")</f>
        <v/>
      </c>
      <c r="N1046" s="17">
        <f>IF(K1046=1,N('ORDENES'!$M1042),0)</f>
        <v/>
      </c>
      <c r="O1046" s="17">
        <f>IF('ORDENES'!$U1042="preventiva",N1046,0)</f>
        <v/>
      </c>
      <c r="P1046" s="17">
        <f>IF('ORDENES'!$U1042="correctiva",N1046,0)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22">
        <f>IF(K1046=1,'ORDENES'!$J1042,"")</f>
        <v/>
      </c>
    </row>
    <row r="1047">
      <c r="K1047" s="5">
        <f>IF(AND(IF($B$3="(todos)",TRUE,'ORDENES'!$O1043=$B$3),IF($D$3="(todos)",TRUE,'ORDENES'!$AH1043=$D$3),IF($F$3="(todos)",TRUE,'ORDENES'!$Z1043=$F$3),IF($H$3="(todos)",TRUE,'ORDENES'!$Y1043=$H$3),'ORDENES'!$AF1043=TRUE,'ORDENES'!$A1043&lt;&gt;""),1,0)</f>
        <v/>
      </c>
      <c r="L1047" s="5">
        <f>IF(K1047=1,IFERROR(MATCH('ORDENES'!$S1043,lista_dias,0),9)*1000000000+IFERROR(MATCH('ORDENES'!$AH1043,lista_turnos,0),9)*10000000+IFERROR(MATCH('ORDENES'!$AG1043,tblTecnicos[nombre],0),99)*100000+1040,9000000000000+1040)</f>
        <v/>
      </c>
      <c r="M1047" s="5">
        <f>IF(K1047=1,SUMPRODUCT(--($L$8:$L$1207&lt;L1047))+1,"")</f>
        <v/>
      </c>
      <c r="N1047" s="17">
        <f>IF(K1047=1,N('ORDENES'!$M1043),0)</f>
        <v/>
      </c>
      <c r="O1047" s="17">
        <f>IF('ORDENES'!$U1043="preventiva",N1047,0)</f>
        <v/>
      </c>
      <c r="P1047" s="17">
        <f>IF('ORDENES'!$U1043="correctiva",N1047,0)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22">
        <f>IF(K1047=1,'ORDENES'!$J1043,"")</f>
        <v/>
      </c>
    </row>
    <row r="1048">
      <c r="K1048" s="5">
        <f>IF(AND(IF($B$3="(todos)",TRUE,'ORDENES'!$O1044=$B$3),IF($D$3="(todos)",TRUE,'ORDENES'!$AH1044=$D$3),IF($F$3="(todos)",TRUE,'ORDENES'!$Z1044=$F$3),IF($H$3="(todos)",TRUE,'ORDENES'!$Y1044=$H$3),'ORDENES'!$AF1044=TRUE,'ORDENES'!$A1044&lt;&gt;""),1,0)</f>
        <v/>
      </c>
      <c r="L1048" s="5">
        <f>IF(K1048=1,IFERROR(MATCH('ORDENES'!$S1044,lista_dias,0),9)*1000000000+IFERROR(MATCH('ORDENES'!$AH1044,lista_turnos,0),9)*10000000+IFERROR(MATCH('ORDENES'!$AG1044,tblTecnicos[nombre],0),99)*100000+1041,9000000000000+1041)</f>
        <v/>
      </c>
      <c r="M1048" s="5">
        <f>IF(K1048=1,SUMPRODUCT(--($L$8:$L$1207&lt;L1048))+1,"")</f>
        <v/>
      </c>
      <c r="N1048" s="17">
        <f>IF(K1048=1,N('ORDENES'!$M1044),0)</f>
        <v/>
      </c>
      <c r="O1048" s="17">
        <f>IF('ORDENES'!$U1044="preventiva",N1048,0)</f>
        <v/>
      </c>
      <c r="P1048" s="17">
        <f>IF('ORDENES'!$U1044="correctiva",N1048,0)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22">
        <f>IF(K1048=1,'ORDENES'!$J1044,"")</f>
        <v/>
      </c>
    </row>
    <row r="1049">
      <c r="K1049" s="5">
        <f>IF(AND(IF($B$3="(todos)",TRUE,'ORDENES'!$O1045=$B$3),IF($D$3="(todos)",TRUE,'ORDENES'!$AH1045=$D$3),IF($F$3="(todos)",TRUE,'ORDENES'!$Z1045=$F$3),IF($H$3="(todos)",TRUE,'ORDENES'!$Y1045=$H$3),'ORDENES'!$AF1045=TRUE,'ORDENES'!$A1045&lt;&gt;""),1,0)</f>
        <v/>
      </c>
      <c r="L1049" s="5">
        <f>IF(K1049=1,IFERROR(MATCH('ORDENES'!$S1045,lista_dias,0),9)*1000000000+IFERROR(MATCH('ORDENES'!$AH1045,lista_turnos,0),9)*10000000+IFERROR(MATCH('ORDENES'!$AG1045,tblTecnicos[nombre],0),99)*100000+1042,9000000000000+1042)</f>
        <v/>
      </c>
      <c r="M1049" s="5">
        <f>IF(K1049=1,SUMPRODUCT(--($L$8:$L$1207&lt;L1049))+1,"")</f>
        <v/>
      </c>
      <c r="N1049" s="17">
        <f>IF(K1049=1,N('ORDENES'!$M1045),0)</f>
        <v/>
      </c>
      <c r="O1049" s="17">
        <f>IF('ORDENES'!$U1045="preventiva",N1049,0)</f>
        <v/>
      </c>
      <c r="P1049" s="17">
        <f>IF('ORDENES'!$U1045="correctiva",N1049,0)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22">
        <f>IF(K1049=1,'ORDENES'!$J1045,"")</f>
        <v/>
      </c>
    </row>
    <row r="1050">
      <c r="K1050" s="5">
        <f>IF(AND(IF($B$3="(todos)",TRUE,'ORDENES'!$O1046=$B$3),IF($D$3="(todos)",TRUE,'ORDENES'!$AH1046=$D$3),IF($F$3="(todos)",TRUE,'ORDENES'!$Z1046=$F$3),IF($H$3="(todos)",TRUE,'ORDENES'!$Y1046=$H$3),'ORDENES'!$AF1046=TRUE,'ORDENES'!$A1046&lt;&gt;""),1,0)</f>
        <v/>
      </c>
      <c r="L1050" s="5">
        <f>IF(K1050=1,IFERROR(MATCH('ORDENES'!$S1046,lista_dias,0),9)*1000000000+IFERROR(MATCH('ORDENES'!$AH1046,lista_turnos,0),9)*10000000+IFERROR(MATCH('ORDENES'!$AG1046,tblTecnicos[nombre],0),99)*100000+1043,9000000000000+1043)</f>
        <v/>
      </c>
      <c r="M1050" s="5">
        <f>IF(K1050=1,SUMPRODUCT(--($L$8:$L$1207&lt;L1050))+1,"")</f>
        <v/>
      </c>
      <c r="N1050" s="17">
        <f>IF(K1050=1,N('ORDENES'!$M1046),0)</f>
        <v/>
      </c>
      <c r="O1050" s="17">
        <f>IF('ORDENES'!$U1046="preventiva",N1050,0)</f>
        <v/>
      </c>
      <c r="P1050" s="17">
        <f>IF('ORDENES'!$U1046="correctiva",N1050,0)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22">
        <f>IF(K1050=1,'ORDENES'!$J1046,"")</f>
        <v/>
      </c>
    </row>
    <row r="1051">
      <c r="K1051" s="5">
        <f>IF(AND(IF($B$3="(todos)",TRUE,'ORDENES'!$O1047=$B$3),IF($D$3="(todos)",TRUE,'ORDENES'!$AH1047=$D$3),IF($F$3="(todos)",TRUE,'ORDENES'!$Z1047=$F$3),IF($H$3="(todos)",TRUE,'ORDENES'!$Y1047=$H$3),'ORDENES'!$AF1047=TRUE,'ORDENES'!$A1047&lt;&gt;""),1,0)</f>
        <v/>
      </c>
      <c r="L1051" s="5">
        <f>IF(K1051=1,IFERROR(MATCH('ORDENES'!$S1047,lista_dias,0),9)*1000000000+IFERROR(MATCH('ORDENES'!$AH1047,lista_turnos,0),9)*10000000+IFERROR(MATCH('ORDENES'!$AG1047,tblTecnicos[nombre],0),99)*100000+1044,9000000000000+1044)</f>
        <v/>
      </c>
      <c r="M1051" s="5">
        <f>IF(K1051=1,SUMPRODUCT(--($L$8:$L$1207&lt;L1051))+1,"")</f>
        <v/>
      </c>
      <c r="N1051" s="17">
        <f>IF(K1051=1,N('ORDENES'!$M1047),0)</f>
        <v/>
      </c>
      <c r="O1051" s="17">
        <f>IF('ORDENES'!$U1047="preventiva",N1051,0)</f>
        <v/>
      </c>
      <c r="P1051" s="17">
        <f>IF('ORDENES'!$U1047="correctiva",N1051,0)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22">
        <f>IF(K1051=1,'ORDENES'!$J1047,"")</f>
        <v/>
      </c>
    </row>
    <row r="1052">
      <c r="K1052" s="5">
        <f>IF(AND(IF($B$3="(todos)",TRUE,'ORDENES'!$O1048=$B$3),IF($D$3="(todos)",TRUE,'ORDENES'!$AH1048=$D$3),IF($F$3="(todos)",TRUE,'ORDENES'!$Z1048=$F$3),IF($H$3="(todos)",TRUE,'ORDENES'!$Y1048=$H$3),'ORDENES'!$AF1048=TRUE,'ORDENES'!$A1048&lt;&gt;""),1,0)</f>
        <v/>
      </c>
      <c r="L1052" s="5">
        <f>IF(K1052=1,IFERROR(MATCH('ORDENES'!$S1048,lista_dias,0),9)*1000000000+IFERROR(MATCH('ORDENES'!$AH1048,lista_turnos,0),9)*10000000+IFERROR(MATCH('ORDENES'!$AG1048,tblTecnicos[nombre],0),99)*100000+1045,9000000000000+1045)</f>
        <v/>
      </c>
      <c r="M1052" s="5">
        <f>IF(K1052=1,SUMPRODUCT(--($L$8:$L$1207&lt;L1052))+1,"")</f>
        <v/>
      </c>
      <c r="N1052" s="17">
        <f>IF(K1052=1,N('ORDENES'!$M1048),0)</f>
        <v/>
      </c>
      <c r="O1052" s="17">
        <f>IF('ORDENES'!$U1048="preventiva",N1052,0)</f>
        <v/>
      </c>
      <c r="P1052" s="17">
        <f>IF('ORDENES'!$U1048="correctiva",N1052,0)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22">
        <f>IF(K1052=1,'ORDENES'!$J1048,"")</f>
        <v/>
      </c>
    </row>
    <row r="1053">
      <c r="K1053" s="5">
        <f>IF(AND(IF($B$3="(todos)",TRUE,'ORDENES'!$O1049=$B$3),IF($D$3="(todos)",TRUE,'ORDENES'!$AH1049=$D$3),IF($F$3="(todos)",TRUE,'ORDENES'!$Z1049=$F$3),IF($H$3="(todos)",TRUE,'ORDENES'!$Y1049=$H$3),'ORDENES'!$AF1049=TRUE,'ORDENES'!$A1049&lt;&gt;""),1,0)</f>
        <v/>
      </c>
      <c r="L1053" s="5">
        <f>IF(K1053=1,IFERROR(MATCH('ORDENES'!$S1049,lista_dias,0),9)*1000000000+IFERROR(MATCH('ORDENES'!$AH1049,lista_turnos,0),9)*10000000+IFERROR(MATCH('ORDENES'!$AG1049,tblTecnicos[nombre],0),99)*100000+1046,9000000000000+1046)</f>
        <v/>
      </c>
      <c r="M1053" s="5">
        <f>IF(K1053=1,SUMPRODUCT(--($L$8:$L$1207&lt;L1053))+1,"")</f>
        <v/>
      </c>
      <c r="N1053" s="17">
        <f>IF(K1053=1,N('ORDENES'!$M1049),0)</f>
        <v/>
      </c>
      <c r="O1053" s="17">
        <f>IF('ORDENES'!$U1049="preventiva",N1053,0)</f>
        <v/>
      </c>
      <c r="P1053" s="17">
        <f>IF('ORDENES'!$U1049="correctiva",N1053,0)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22">
        <f>IF(K1053=1,'ORDENES'!$J1049,"")</f>
        <v/>
      </c>
    </row>
    <row r="1054">
      <c r="K1054" s="5">
        <f>IF(AND(IF($B$3="(todos)",TRUE,'ORDENES'!$O1050=$B$3),IF($D$3="(todos)",TRUE,'ORDENES'!$AH1050=$D$3),IF($F$3="(todos)",TRUE,'ORDENES'!$Z1050=$F$3),IF($H$3="(todos)",TRUE,'ORDENES'!$Y1050=$H$3),'ORDENES'!$AF1050=TRUE,'ORDENES'!$A1050&lt;&gt;""),1,0)</f>
        <v/>
      </c>
      <c r="L1054" s="5">
        <f>IF(K1054=1,IFERROR(MATCH('ORDENES'!$S1050,lista_dias,0),9)*1000000000+IFERROR(MATCH('ORDENES'!$AH1050,lista_turnos,0),9)*10000000+IFERROR(MATCH('ORDENES'!$AG1050,tblTecnicos[nombre],0),99)*100000+1047,9000000000000+1047)</f>
        <v/>
      </c>
      <c r="M1054" s="5">
        <f>IF(K1054=1,SUMPRODUCT(--($L$8:$L$1207&lt;L1054))+1,"")</f>
        <v/>
      </c>
      <c r="N1054" s="17">
        <f>IF(K1054=1,N('ORDENES'!$M1050),0)</f>
        <v/>
      </c>
      <c r="O1054" s="17">
        <f>IF('ORDENES'!$U1050="preventiva",N1054,0)</f>
        <v/>
      </c>
      <c r="P1054" s="17">
        <f>IF('ORDENES'!$U1050="correctiva",N1054,0)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22">
        <f>IF(K1054=1,'ORDENES'!$J1050,"")</f>
        <v/>
      </c>
    </row>
    <row r="1055">
      <c r="K1055" s="5">
        <f>IF(AND(IF($B$3="(todos)",TRUE,'ORDENES'!$O1051=$B$3),IF($D$3="(todos)",TRUE,'ORDENES'!$AH1051=$D$3),IF($F$3="(todos)",TRUE,'ORDENES'!$Z1051=$F$3),IF($H$3="(todos)",TRUE,'ORDENES'!$Y1051=$H$3),'ORDENES'!$AF1051=TRUE,'ORDENES'!$A1051&lt;&gt;""),1,0)</f>
        <v/>
      </c>
      <c r="L1055" s="5">
        <f>IF(K1055=1,IFERROR(MATCH('ORDENES'!$S1051,lista_dias,0),9)*1000000000+IFERROR(MATCH('ORDENES'!$AH1051,lista_turnos,0),9)*10000000+IFERROR(MATCH('ORDENES'!$AG1051,tblTecnicos[nombre],0),99)*100000+1048,9000000000000+1048)</f>
        <v/>
      </c>
      <c r="M1055" s="5">
        <f>IF(K1055=1,SUMPRODUCT(--($L$8:$L$1207&lt;L1055))+1,"")</f>
        <v/>
      </c>
      <c r="N1055" s="17">
        <f>IF(K1055=1,N('ORDENES'!$M1051),0)</f>
        <v/>
      </c>
      <c r="O1055" s="17">
        <f>IF('ORDENES'!$U1051="preventiva",N1055,0)</f>
        <v/>
      </c>
      <c r="P1055" s="17">
        <f>IF('ORDENES'!$U1051="correctiva",N1055,0)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22">
        <f>IF(K1055=1,'ORDENES'!$J1051,"")</f>
        <v/>
      </c>
    </row>
    <row r="1056">
      <c r="K1056" s="5">
        <f>IF(AND(IF($B$3="(todos)",TRUE,'ORDENES'!$O1052=$B$3),IF($D$3="(todos)",TRUE,'ORDENES'!$AH1052=$D$3),IF($F$3="(todos)",TRUE,'ORDENES'!$Z1052=$F$3),IF($H$3="(todos)",TRUE,'ORDENES'!$Y1052=$H$3),'ORDENES'!$AF1052=TRUE,'ORDENES'!$A1052&lt;&gt;""),1,0)</f>
        <v/>
      </c>
      <c r="L1056" s="5">
        <f>IF(K1056=1,IFERROR(MATCH('ORDENES'!$S1052,lista_dias,0),9)*1000000000+IFERROR(MATCH('ORDENES'!$AH1052,lista_turnos,0),9)*10000000+IFERROR(MATCH('ORDENES'!$AG1052,tblTecnicos[nombre],0),99)*100000+1049,9000000000000+1049)</f>
        <v/>
      </c>
      <c r="M1056" s="5">
        <f>IF(K1056=1,SUMPRODUCT(--($L$8:$L$1207&lt;L1056))+1,"")</f>
        <v/>
      </c>
      <c r="N1056" s="17">
        <f>IF(K1056=1,N('ORDENES'!$M1052),0)</f>
        <v/>
      </c>
      <c r="O1056" s="17">
        <f>IF('ORDENES'!$U1052="preventiva",N1056,0)</f>
        <v/>
      </c>
      <c r="P1056" s="17">
        <f>IF('ORDENES'!$U1052="correctiva",N1056,0)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22">
        <f>IF(K1056=1,'ORDENES'!$J1052,"")</f>
        <v/>
      </c>
    </row>
    <row r="1057">
      <c r="K1057" s="5">
        <f>IF(AND(IF($B$3="(todos)",TRUE,'ORDENES'!$O1053=$B$3),IF($D$3="(todos)",TRUE,'ORDENES'!$AH1053=$D$3),IF($F$3="(todos)",TRUE,'ORDENES'!$Z1053=$F$3),IF($H$3="(todos)",TRUE,'ORDENES'!$Y1053=$H$3),'ORDENES'!$AF1053=TRUE,'ORDENES'!$A1053&lt;&gt;""),1,0)</f>
        <v/>
      </c>
      <c r="L1057" s="5">
        <f>IF(K1057=1,IFERROR(MATCH('ORDENES'!$S1053,lista_dias,0),9)*1000000000+IFERROR(MATCH('ORDENES'!$AH1053,lista_turnos,0),9)*10000000+IFERROR(MATCH('ORDENES'!$AG1053,tblTecnicos[nombre],0),99)*100000+1050,9000000000000+1050)</f>
        <v/>
      </c>
      <c r="M1057" s="5">
        <f>IF(K1057=1,SUMPRODUCT(--($L$8:$L$1207&lt;L1057))+1,"")</f>
        <v/>
      </c>
      <c r="N1057" s="17">
        <f>IF(K1057=1,N('ORDENES'!$M1053),0)</f>
        <v/>
      </c>
      <c r="O1057" s="17">
        <f>IF('ORDENES'!$U1053="preventiva",N1057,0)</f>
        <v/>
      </c>
      <c r="P1057" s="17">
        <f>IF('ORDENES'!$U1053="correctiva",N1057,0)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22">
        <f>IF(K1057=1,'ORDENES'!$J1053,"")</f>
        <v/>
      </c>
    </row>
    <row r="1058">
      <c r="K1058" s="5">
        <f>IF(AND(IF($B$3="(todos)",TRUE,'ORDENES'!$O1054=$B$3),IF($D$3="(todos)",TRUE,'ORDENES'!$AH1054=$D$3),IF($F$3="(todos)",TRUE,'ORDENES'!$Z1054=$F$3),IF($H$3="(todos)",TRUE,'ORDENES'!$Y1054=$H$3),'ORDENES'!$AF1054=TRUE,'ORDENES'!$A1054&lt;&gt;""),1,0)</f>
        <v/>
      </c>
      <c r="L1058" s="5">
        <f>IF(K1058=1,IFERROR(MATCH('ORDENES'!$S1054,lista_dias,0),9)*1000000000+IFERROR(MATCH('ORDENES'!$AH1054,lista_turnos,0),9)*10000000+IFERROR(MATCH('ORDENES'!$AG1054,tblTecnicos[nombre],0),99)*100000+1051,9000000000000+1051)</f>
        <v/>
      </c>
      <c r="M1058" s="5">
        <f>IF(K1058=1,SUMPRODUCT(--($L$8:$L$1207&lt;L1058))+1,"")</f>
        <v/>
      </c>
      <c r="N1058" s="17">
        <f>IF(K1058=1,N('ORDENES'!$M1054),0)</f>
        <v/>
      </c>
      <c r="O1058" s="17">
        <f>IF('ORDENES'!$U1054="preventiva",N1058,0)</f>
        <v/>
      </c>
      <c r="P1058" s="17">
        <f>IF('ORDENES'!$U1054="correctiva",N1058,0)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22">
        <f>IF(K1058=1,'ORDENES'!$J1054,"")</f>
        <v/>
      </c>
    </row>
    <row r="1059">
      <c r="K1059" s="5">
        <f>IF(AND(IF($B$3="(todos)",TRUE,'ORDENES'!$O1055=$B$3),IF($D$3="(todos)",TRUE,'ORDENES'!$AH1055=$D$3),IF($F$3="(todos)",TRUE,'ORDENES'!$Z1055=$F$3),IF($H$3="(todos)",TRUE,'ORDENES'!$Y1055=$H$3),'ORDENES'!$AF1055=TRUE,'ORDENES'!$A1055&lt;&gt;""),1,0)</f>
        <v/>
      </c>
      <c r="L1059" s="5">
        <f>IF(K1059=1,IFERROR(MATCH('ORDENES'!$S1055,lista_dias,0),9)*1000000000+IFERROR(MATCH('ORDENES'!$AH1055,lista_turnos,0),9)*10000000+IFERROR(MATCH('ORDENES'!$AG1055,tblTecnicos[nombre],0),99)*100000+1052,9000000000000+1052)</f>
        <v/>
      </c>
      <c r="M1059" s="5">
        <f>IF(K1059=1,SUMPRODUCT(--($L$8:$L$1207&lt;L1059))+1,"")</f>
        <v/>
      </c>
      <c r="N1059" s="17">
        <f>IF(K1059=1,N('ORDENES'!$M1055),0)</f>
        <v/>
      </c>
      <c r="O1059" s="17">
        <f>IF('ORDENES'!$U1055="preventiva",N1059,0)</f>
        <v/>
      </c>
      <c r="P1059" s="17">
        <f>IF('ORDENES'!$U1055="correctiva",N1059,0)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22">
        <f>IF(K1059=1,'ORDENES'!$J1055,"")</f>
        <v/>
      </c>
    </row>
    <row r="1060">
      <c r="K1060" s="5">
        <f>IF(AND(IF($B$3="(todos)",TRUE,'ORDENES'!$O1056=$B$3),IF($D$3="(todos)",TRUE,'ORDENES'!$AH1056=$D$3),IF($F$3="(todos)",TRUE,'ORDENES'!$Z1056=$F$3),IF($H$3="(todos)",TRUE,'ORDENES'!$Y1056=$H$3),'ORDENES'!$AF1056=TRUE,'ORDENES'!$A1056&lt;&gt;""),1,0)</f>
        <v/>
      </c>
      <c r="L1060" s="5">
        <f>IF(K1060=1,IFERROR(MATCH('ORDENES'!$S1056,lista_dias,0),9)*1000000000+IFERROR(MATCH('ORDENES'!$AH1056,lista_turnos,0),9)*10000000+IFERROR(MATCH('ORDENES'!$AG1056,tblTecnicos[nombre],0),99)*100000+1053,9000000000000+1053)</f>
        <v/>
      </c>
      <c r="M1060" s="5">
        <f>IF(K1060=1,SUMPRODUCT(--($L$8:$L$1207&lt;L1060))+1,"")</f>
        <v/>
      </c>
      <c r="N1060" s="17">
        <f>IF(K1060=1,N('ORDENES'!$M1056),0)</f>
        <v/>
      </c>
      <c r="O1060" s="17">
        <f>IF('ORDENES'!$U1056="preventiva",N1060,0)</f>
        <v/>
      </c>
      <c r="P1060" s="17">
        <f>IF('ORDENES'!$U1056="correctiva",N1060,0)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22">
        <f>IF(K1060=1,'ORDENES'!$J1056,"")</f>
        <v/>
      </c>
    </row>
    <row r="1061">
      <c r="K1061" s="5">
        <f>IF(AND(IF($B$3="(todos)",TRUE,'ORDENES'!$O1057=$B$3),IF($D$3="(todos)",TRUE,'ORDENES'!$AH1057=$D$3),IF($F$3="(todos)",TRUE,'ORDENES'!$Z1057=$F$3),IF($H$3="(todos)",TRUE,'ORDENES'!$Y1057=$H$3),'ORDENES'!$AF1057=TRUE,'ORDENES'!$A1057&lt;&gt;""),1,0)</f>
        <v/>
      </c>
      <c r="L1061" s="5">
        <f>IF(K1061=1,IFERROR(MATCH('ORDENES'!$S1057,lista_dias,0),9)*1000000000+IFERROR(MATCH('ORDENES'!$AH1057,lista_turnos,0),9)*10000000+IFERROR(MATCH('ORDENES'!$AG1057,tblTecnicos[nombre],0),99)*100000+1054,9000000000000+1054)</f>
        <v/>
      </c>
      <c r="M1061" s="5">
        <f>IF(K1061=1,SUMPRODUCT(--($L$8:$L$1207&lt;L1061))+1,"")</f>
        <v/>
      </c>
      <c r="N1061" s="17">
        <f>IF(K1061=1,N('ORDENES'!$M1057),0)</f>
        <v/>
      </c>
      <c r="O1061" s="17">
        <f>IF('ORDENES'!$U1057="preventiva",N1061,0)</f>
        <v/>
      </c>
      <c r="P1061" s="17">
        <f>IF('ORDENES'!$U1057="correctiva",N1061,0)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22">
        <f>IF(K1061=1,'ORDENES'!$J1057,"")</f>
        <v/>
      </c>
    </row>
    <row r="1062">
      <c r="K1062" s="5">
        <f>IF(AND(IF($B$3="(todos)",TRUE,'ORDENES'!$O1058=$B$3),IF($D$3="(todos)",TRUE,'ORDENES'!$AH1058=$D$3),IF($F$3="(todos)",TRUE,'ORDENES'!$Z1058=$F$3),IF($H$3="(todos)",TRUE,'ORDENES'!$Y1058=$H$3),'ORDENES'!$AF1058=TRUE,'ORDENES'!$A1058&lt;&gt;""),1,0)</f>
        <v/>
      </c>
      <c r="L1062" s="5">
        <f>IF(K1062=1,IFERROR(MATCH('ORDENES'!$S1058,lista_dias,0),9)*1000000000+IFERROR(MATCH('ORDENES'!$AH1058,lista_turnos,0),9)*10000000+IFERROR(MATCH('ORDENES'!$AG1058,tblTecnicos[nombre],0),99)*100000+1055,9000000000000+1055)</f>
        <v/>
      </c>
      <c r="M1062" s="5">
        <f>IF(K1062=1,SUMPRODUCT(--($L$8:$L$1207&lt;L1062))+1,"")</f>
        <v/>
      </c>
      <c r="N1062" s="17">
        <f>IF(K1062=1,N('ORDENES'!$M1058),0)</f>
        <v/>
      </c>
      <c r="O1062" s="17">
        <f>IF('ORDENES'!$U1058="preventiva",N1062,0)</f>
        <v/>
      </c>
      <c r="P1062" s="17">
        <f>IF('ORDENES'!$U1058="correctiva",N1062,0)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22">
        <f>IF(K1062=1,'ORDENES'!$J1058,"")</f>
        <v/>
      </c>
    </row>
    <row r="1063">
      <c r="K1063" s="5">
        <f>IF(AND(IF($B$3="(todos)",TRUE,'ORDENES'!$O1059=$B$3),IF($D$3="(todos)",TRUE,'ORDENES'!$AH1059=$D$3),IF($F$3="(todos)",TRUE,'ORDENES'!$Z1059=$F$3),IF($H$3="(todos)",TRUE,'ORDENES'!$Y1059=$H$3),'ORDENES'!$AF1059=TRUE,'ORDENES'!$A1059&lt;&gt;""),1,0)</f>
        <v/>
      </c>
      <c r="L1063" s="5">
        <f>IF(K1063=1,IFERROR(MATCH('ORDENES'!$S1059,lista_dias,0),9)*1000000000+IFERROR(MATCH('ORDENES'!$AH1059,lista_turnos,0),9)*10000000+IFERROR(MATCH('ORDENES'!$AG1059,tblTecnicos[nombre],0),99)*100000+1056,9000000000000+1056)</f>
        <v/>
      </c>
      <c r="M1063" s="5">
        <f>IF(K1063=1,SUMPRODUCT(--($L$8:$L$1207&lt;L1063))+1,"")</f>
        <v/>
      </c>
      <c r="N1063" s="17">
        <f>IF(K1063=1,N('ORDENES'!$M1059),0)</f>
        <v/>
      </c>
      <c r="O1063" s="17">
        <f>IF('ORDENES'!$U1059="preventiva",N1063,0)</f>
        <v/>
      </c>
      <c r="P1063" s="17">
        <f>IF('ORDENES'!$U1059="correctiva",N1063,0)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22">
        <f>IF(K1063=1,'ORDENES'!$J1059,"")</f>
        <v/>
      </c>
    </row>
    <row r="1064">
      <c r="K1064" s="5">
        <f>IF(AND(IF($B$3="(todos)",TRUE,'ORDENES'!$O1060=$B$3),IF($D$3="(todos)",TRUE,'ORDENES'!$AH1060=$D$3),IF($F$3="(todos)",TRUE,'ORDENES'!$Z1060=$F$3),IF($H$3="(todos)",TRUE,'ORDENES'!$Y1060=$H$3),'ORDENES'!$AF1060=TRUE,'ORDENES'!$A1060&lt;&gt;""),1,0)</f>
        <v/>
      </c>
      <c r="L1064" s="5">
        <f>IF(K1064=1,IFERROR(MATCH('ORDENES'!$S1060,lista_dias,0),9)*1000000000+IFERROR(MATCH('ORDENES'!$AH1060,lista_turnos,0),9)*10000000+IFERROR(MATCH('ORDENES'!$AG1060,tblTecnicos[nombre],0),99)*100000+1057,9000000000000+1057)</f>
        <v/>
      </c>
      <c r="M1064" s="5">
        <f>IF(K1064=1,SUMPRODUCT(--($L$8:$L$1207&lt;L1064))+1,"")</f>
        <v/>
      </c>
      <c r="N1064" s="17">
        <f>IF(K1064=1,N('ORDENES'!$M1060),0)</f>
        <v/>
      </c>
      <c r="O1064" s="17">
        <f>IF('ORDENES'!$U1060="preventiva",N1064,0)</f>
        <v/>
      </c>
      <c r="P1064" s="17">
        <f>IF('ORDENES'!$U1060="correctiva",N1064,0)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22">
        <f>IF(K1064=1,'ORDENES'!$J1060,"")</f>
        <v/>
      </c>
    </row>
    <row r="1065">
      <c r="K1065" s="5">
        <f>IF(AND(IF($B$3="(todos)",TRUE,'ORDENES'!$O1061=$B$3),IF($D$3="(todos)",TRUE,'ORDENES'!$AH1061=$D$3),IF($F$3="(todos)",TRUE,'ORDENES'!$Z1061=$F$3),IF($H$3="(todos)",TRUE,'ORDENES'!$Y1061=$H$3),'ORDENES'!$AF1061=TRUE,'ORDENES'!$A1061&lt;&gt;""),1,0)</f>
        <v/>
      </c>
      <c r="L1065" s="5">
        <f>IF(K1065=1,IFERROR(MATCH('ORDENES'!$S1061,lista_dias,0),9)*1000000000+IFERROR(MATCH('ORDENES'!$AH1061,lista_turnos,0),9)*10000000+IFERROR(MATCH('ORDENES'!$AG1061,tblTecnicos[nombre],0),99)*100000+1058,9000000000000+1058)</f>
        <v/>
      </c>
      <c r="M1065" s="5">
        <f>IF(K1065=1,SUMPRODUCT(--($L$8:$L$1207&lt;L1065))+1,"")</f>
        <v/>
      </c>
      <c r="N1065" s="17">
        <f>IF(K1065=1,N('ORDENES'!$M1061),0)</f>
        <v/>
      </c>
      <c r="O1065" s="17">
        <f>IF('ORDENES'!$U1061="preventiva",N1065,0)</f>
        <v/>
      </c>
      <c r="P1065" s="17">
        <f>IF('ORDENES'!$U1061="correctiva",N1065,0)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22">
        <f>IF(K1065=1,'ORDENES'!$J1061,"")</f>
        <v/>
      </c>
    </row>
    <row r="1066">
      <c r="K1066" s="5">
        <f>IF(AND(IF($B$3="(todos)",TRUE,'ORDENES'!$O1062=$B$3),IF($D$3="(todos)",TRUE,'ORDENES'!$AH1062=$D$3),IF($F$3="(todos)",TRUE,'ORDENES'!$Z1062=$F$3),IF($H$3="(todos)",TRUE,'ORDENES'!$Y1062=$H$3),'ORDENES'!$AF1062=TRUE,'ORDENES'!$A1062&lt;&gt;""),1,0)</f>
        <v/>
      </c>
      <c r="L1066" s="5">
        <f>IF(K1066=1,IFERROR(MATCH('ORDENES'!$S1062,lista_dias,0),9)*1000000000+IFERROR(MATCH('ORDENES'!$AH1062,lista_turnos,0),9)*10000000+IFERROR(MATCH('ORDENES'!$AG1062,tblTecnicos[nombre],0),99)*100000+1059,9000000000000+1059)</f>
        <v/>
      </c>
      <c r="M1066" s="5">
        <f>IF(K1066=1,SUMPRODUCT(--($L$8:$L$1207&lt;L1066))+1,"")</f>
        <v/>
      </c>
      <c r="N1066" s="17">
        <f>IF(K1066=1,N('ORDENES'!$M1062),0)</f>
        <v/>
      </c>
      <c r="O1066" s="17">
        <f>IF('ORDENES'!$U1062="preventiva",N1066,0)</f>
        <v/>
      </c>
      <c r="P1066" s="17">
        <f>IF('ORDENES'!$U1062="correctiva",N1066,0)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22">
        <f>IF(K1066=1,'ORDENES'!$J1062,"")</f>
        <v/>
      </c>
    </row>
    <row r="1067">
      <c r="K1067" s="5">
        <f>IF(AND(IF($B$3="(todos)",TRUE,'ORDENES'!$O1063=$B$3),IF($D$3="(todos)",TRUE,'ORDENES'!$AH1063=$D$3),IF($F$3="(todos)",TRUE,'ORDENES'!$Z1063=$F$3),IF($H$3="(todos)",TRUE,'ORDENES'!$Y1063=$H$3),'ORDENES'!$AF1063=TRUE,'ORDENES'!$A1063&lt;&gt;""),1,0)</f>
        <v/>
      </c>
      <c r="L1067" s="5">
        <f>IF(K1067=1,IFERROR(MATCH('ORDENES'!$S1063,lista_dias,0),9)*1000000000+IFERROR(MATCH('ORDENES'!$AH1063,lista_turnos,0),9)*10000000+IFERROR(MATCH('ORDENES'!$AG1063,tblTecnicos[nombre],0),99)*100000+1060,9000000000000+1060)</f>
        <v/>
      </c>
      <c r="M1067" s="5">
        <f>IF(K1067=1,SUMPRODUCT(--($L$8:$L$1207&lt;L1067))+1,"")</f>
        <v/>
      </c>
      <c r="N1067" s="17">
        <f>IF(K1067=1,N('ORDENES'!$M1063),0)</f>
        <v/>
      </c>
      <c r="O1067" s="17">
        <f>IF('ORDENES'!$U1063="preventiva",N1067,0)</f>
        <v/>
      </c>
      <c r="P1067" s="17">
        <f>IF('ORDENES'!$U1063="correctiva",N1067,0)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22">
        <f>IF(K1067=1,'ORDENES'!$J1063,"")</f>
        <v/>
      </c>
    </row>
    <row r="1068">
      <c r="K1068" s="5">
        <f>IF(AND(IF($B$3="(todos)",TRUE,'ORDENES'!$O1064=$B$3),IF($D$3="(todos)",TRUE,'ORDENES'!$AH1064=$D$3),IF($F$3="(todos)",TRUE,'ORDENES'!$Z1064=$F$3),IF($H$3="(todos)",TRUE,'ORDENES'!$Y1064=$H$3),'ORDENES'!$AF1064=TRUE,'ORDENES'!$A1064&lt;&gt;""),1,0)</f>
        <v/>
      </c>
      <c r="L1068" s="5">
        <f>IF(K1068=1,IFERROR(MATCH('ORDENES'!$S1064,lista_dias,0),9)*1000000000+IFERROR(MATCH('ORDENES'!$AH1064,lista_turnos,0),9)*10000000+IFERROR(MATCH('ORDENES'!$AG1064,tblTecnicos[nombre],0),99)*100000+1061,9000000000000+1061)</f>
        <v/>
      </c>
      <c r="M1068" s="5">
        <f>IF(K1068=1,SUMPRODUCT(--($L$8:$L$1207&lt;L1068))+1,"")</f>
        <v/>
      </c>
      <c r="N1068" s="17">
        <f>IF(K1068=1,N('ORDENES'!$M1064),0)</f>
        <v/>
      </c>
      <c r="O1068" s="17">
        <f>IF('ORDENES'!$U1064="preventiva",N1068,0)</f>
        <v/>
      </c>
      <c r="P1068" s="17">
        <f>IF('ORDENES'!$U1064="correctiva",N1068,0)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22">
        <f>IF(K1068=1,'ORDENES'!$J1064,"")</f>
        <v/>
      </c>
    </row>
    <row r="1069">
      <c r="K1069" s="5">
        <f>IF(AND(IF($B$3="(todos)",TRUE,'ORDENES'!$O1065=$B$3),IF($D$3="(todos)",TRUE,'ORDENES'!$AH1065=$D$3),IF($F$3="(todos)",TRUE,'ORDENES'!$Z1065=$F$3),IF($H$3="(todos)",TRUE,'ORDENES'!$Y1065=$H$3),'ORDENES'!$AF1065=TRUE,'ORDENES'!$A1065&lt;&gt;""),1,0)</f>
        <v/>
      </c>
      <c r="L1069" s="5">
        <f>IF(K1069=1,IFERROR(MATCH('ORDENES'!$S1065,lista_dias,0),9)*1000000000+IFERROR(MATCH('ORDENES'!$AH1065,lista_turnos,0),9)*10000000+IFERROR(MATCH('ORDENES'!$AG1065,tblTecnicos[nombre],0),99)*100000+1062,9000000000000+1062)</f>
        <v/>
      </c>
      <c r="M1069" s="5">
        <f>IF(K1069=1,SUMPRODUCT(--($L$8:$L$1207&lt;L1069))+1,"")</f>
        <v/>
      </c>
      <c r="N1069" s="17">
        <f>IF(K1069=1,N('ORDENES'!$M1065),0)</f>
        <v/>
      </c>
      <c r="O1069" s="17">
        <f>IF('ORDENES'!$U1065="preventiva",N1069,0)</f>
        <v/>
      </c>
      <c r="P1069" s="17">
        <f>IF('ORDENES'!$U1065="correctiva",N1069,0)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22">
        <f>IF(K1069=1,'ORDENES'!$J1065,"")</f>
        <v/>
      </c>
    </row>
    <row r="1070">
      <c r="K1070" s="5">
        <f>IF(AND(IF($B$3="(todos)",TRUE,'ORDENES'!$O1066=$B$3),IF($D$3="(todos)",TRUE,'ORDENES'!$AH1066=$D$3),IF($F$3="(todos)",TRUE,'ORDENES'!$Z1066=$F$3),IF($H$3="(todos)",TRUE,'ORDENES'!$Y1066=$H$3),'ORDENES'!$AF1066=TRUE,'ORDENES'!$A1066&lt;&gt;""),1,0)</f>
        <v/>
      </c>
      <c r="L1070" s="5">
        <f>IF(K1070=1,IFERROR(MATCH('ORDENES'!$S1066,lista_dias,0),9)*1000000000+IFERROR(MATCH('ORDENES'!$AH1066,lista_turnos,0),9)*10000000+IFERROR(MATCH('ORDENES'!$AG1066,tblTecnicos[nombre],0),99)*100000+1063,9000000000000+1063)</f>
        <v/>
      </c>
      <c r="M1070" s="5">
        <f>IF(K1070=1,SUMPRODUCT(--($L$8:$L$1207&lt;L1070))+1,"")</f>
        <v/>
      </c>
      <c r="N1070" s="17">
        <f>IF(K1070=1,N('ORDENES'!$M1066),0)</f>
        <v/>
      </c>
      <c r="O1070" s="17">
        <f>IF('ORDENES'!$U1066="preventiva",N1070,0)</f>
        <v/>
      </c>
      <c r="P1070" s="17">
        <f>IF('ORDENES'!$U1066="correctiva",N1070,0)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22">
        <f>IF(K1070=1,'ORDENES'!$J1066,"")</f>
        <v/>
      </c>
    </row>
    <row r="1071">
      <c r="K1071" s="5">
        <f>IF(AND(IF($B$3="(todos)",TRUE,'ORDENES'!$O1067=$B$3),IF($D$3="(todos)",TRUE,'ORDENES'!$AH1067=$D$3),IF($F$3="(todos)",TRUE,'ORDENES'!$Z1067=$F$3),IF($H$3="(todos)",TRUE,'ORDENES'!$Y1067=$H$3),'ORDENES'!$AF1067=TRUE,'ORDENES'!$A1067&lt;&gt;""),1,0)</f>
        <v/>
      </c>
      <c r="L1071" s="5">
        <f>IF(K1071=1,IFERROR(MATCH('ORDENES'!$S1067,lista_dias,0),9)*1000000000+IFERROR(MATCH('ORDENES'!$AH1067,lista_turnos,0),9)*10000000+IFERROR(MATCH('ORDENES'!$AG1067,tblTecnicos[nombre],0),99)*100000+1064,9000000000000+1064)</f>
        <v/>
      </c>
      <c r="M1071" s="5">
        <f>IF(K1071=1,SUMPRODUCT(--($L$8:$L$1207&lt;L1071))+1,"")</f>
        <v/>
      </c>
      <c r="N1071" s="17">
        <f>IF(K1071=1,N('ORDENES'!$M1067),0)</f>
        <v/>
      </c>
      <c r="O1071" s="17">
        <f>IF('ORDENES'!$U1067="preventiva",N1071,0)</f>
        <v/>
      </c>
      <c r="P1071" s="17">
        <f>IF('ORDENES'!$U1067="correctiva",N1071,0)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22">
        <f>IF(K1071=1,'ORDENES'!$J1067,"")</f>
        <v/>
      </c>
    </row>
    <row r="1072">
      <c r="K1072" s="5">
        <f>IF(AND(IF($B$3="(todos)",TRUE,'ORDENES'!$O1068=$B$3),IF($D$3="(todos)",TRUE,'ORDENES'!$AH1068=$D$3),IF($F$3="(todos)",TRUE,'ORDENES'!$Z1068=$F$3),IF($H$3="(todos)",TRUE,'ORDENES'!$Y1068=$H$3),'ORDENES'!$AF1068=TRUE,'ORDENES'!$A1068&lt;&gt;""),1,0)</f>
        <v/>
      </c>
      <c r="L1072" s="5">
        <f>IF(K1072=1,IFERROR(MATCH('ORDENES'!$S1068,lista_dias,0),9)*1000000000+IFERROR(MATCH('ORDENES'!$AH1068,lista_turnos,0),9)*10000000+IFERROR(MATCH('ORDENES'!$AG1068,tblTecnicos[nombre],0),99)*100000+1065,9000000000000+1065)</f>
        <v/>
      </c>
      <c r="M1072" s="5">
        <f>IF(K1072=1,SUMPRODUCT(--($L$8:$L$1207&lt;L1072))+1,"")</f>
        <v/>
      </c>
      <c r="N1072" s="17">
        <f>IF(K1072=1,N('ORDENES'!$M1068),0)</f>
        <v/>
      </c>
      <c r="O1072" s="17">
        <f>IF('ORDENES'!$U1068="preventiva",N1072,0)</f>
        <v/>
      </c>
      <c r="P1072" s="17">
        <f>IF('ORDENES'!$U1068="correctiva",N1072,0)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22">
        <f>IF(K1072=1,'ORDENES'!$J1068,"")</f>
        <v/>
      </c>
    </row>
    <row r="1073">
      <c r="K1073" s="5">
        <f>IF(AND(IF($B$3="(todos)",TRUE,'ORDENES'!$O1069=$B$3),IF($D$3="(todos)",TRUE,'ORDENES'!$AH1069=$D$3),IF($F$3="(todos)",TRUE,'ORDENES'!$Z1069=$F$3),IF($H$3="(todos)",TRUE,'ORDENES'!$Y1069=$H$3),'ORDENES'!$AF1069=TRUE,'ORDENES'!$A1069&lt;&gt;""),1,0)</f>
        <v/>
      </c>
      <c r="L1073" s="5">
        <f>IF(K1073=1,IFERROR(MATCH('ORDENES'!$S1069,lista_dias,0),9)*1000000000+IFERROR(MATCH('ORDENES'!$AH1069,lista_turnos,0),9)*10000000+IFERROR(MATCH('ORDENES'!$AG1069,tblTecnicos[nombre],0),99)*100000+1066,9000000000000+1066)</f>
        <v/>
      </c>
      <c r="M1073" s="5">
        <f>IF(K1073=1,SUMPRODUCT(--($L$8:$L$1207&lt;L1073))+1,"")</f>
        <v/>
      </c>
      <c r="N1073" s="17">
        <f>IF(K1073=1,N('ORDENES'!$M1069),0)</f>
        <v/>
      </c>
      <c r="O1073" s="17">
        <f>IF('ORDENES'!$U1069="preventiva",N1073,0)</f>
        <v/>
      </c>
      <c r="P1073" s="17">
        <f>IF('ORDENES'!$U1069="correctiva",N1073,0)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22">
        <f>IF(K1073=1,'ORDENES'!$J1069,"")</f>
        <v/>
      </c>
    </row>
    <row r="1074">
      <c r="K1074" s="5">
        <f>IF(AND(IF($B$3="(todos)",TRUE,'ORDENES'!$O1070=$B$3),IF($D$3="(todos)",TRUE,'ORDENES'!$AH1070=$D$3),IF($F$3="(todos)",TRUE,'ORDENES'!$Z1070=$F$3),IF($H$3="(todos)",TRUE,'ORDENES'!$Y1070=$H$3),'ORDENES'!$AF1070=TRUE,'ORDENES'!$A1070&lt;&gt;""),1,0)</f>
        <v/>
      </c>
      <c r="L1074" s="5">
        <f>IF(K1074=1,IFERROR(MATCH('ORDENES'!$S1070,lista_dias,0),9)*1000000000+IFERROR(MATCH('ORDENES'!$AH1070,lista_turnos,0),9)*10000000+IFERROR(MATCH('ORDENES'!$AG1070,tblTecnicos[nombre],0),99)*100000+1067,9000000000000+1067)</f>
        <v/>
      </c>
      <c r="M1074" s="5">
        <f>IF(K1074=1,SUMPRODUCT(--($L$8:$L$1207&lt;L1074))+1,"")</f>
        <v/>
      </c>
      <c r="N1074" s="17">
        <f>IF(K1074=1,N('ORDENES'!$M1070),0)</f>
        <v/>
      </c>
      <c r="O1074" s="17">
        <f>IF('ORDENES'!$U1070="preventiva",N1074,0)</f>
        <v/>
      </c>
      <c r="P1074" s="17">
        <f>IF('ORDENES'!$U1070="correctiva",N1074,0)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22">
        <f>IF(K1074=1,'ORDENES'!$J1070,"")</f>
        <v/>
      </c>
    </row>
    <row r="1075">
      <c r="K1075" s="5">
        <f>IF(AND(IF($B$3="(todos)",TRUE,'ORDENES'!$O1071=$B$3),IF($D$3="(todos)",TRUE,'ORDENES'!$AH1071=$D$3),IF($F$3="(todos)",TRUE,'ORDENES'!$Z1071=$F$3),IF($H$3="(todos)",TRUE,'ORDENES'!$Y1071=$H$3),'ORDENES'!$AF1071=TRUE,'ORDENES'!$A1071&lt;&gt;""),1,0)</f>
        <v/>
      </c>
      <c r="L1075" s="5">
        <f>IF(K1075=1,IFERROR(MATCH('ORDENES'!$S1071,lista_dias,0),9)*1000000000+IFERROR(MATCH('ORDENES'!$AH1071,lista_turnos,0),9)*10000000+IFERROR(MATCH('ORDENES'!$AG1071,tblTecnicos[nombre],0),99)*100000+1068,9000000000000+1068)</f>
        <v/>
      </c>
      <c r="M1075" s="5">
        <f>IF(K1075=1,SUMPRODUCT(--($L$8:$L$1207&lt;L1075))+1,"")</f>
        <v/>
      </c>
      <c r="N1075" s="17">
        <f>IF(K1075=1,N('ORDENES'!$M1071),0)</f>
        <v/>
      </c>
      <c r="O1075" s="17">
        <f>IF('ORDENES'!$U1071="preventiva",N1075,0)</f>
        <v/>
      </c>
      <c r="P1075" s="17">
        <f>IF('ORDENES'!$U1071="correctiva",N1075,0)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22">
        <f>IF(K1075=1,'ORDENES'!$J1071,"")</f>
        <v/>
      </c>
    </row>
    <row r="1076">
      <c r="K1076" s="5">
        <f>IF(AND(IF($B$3="(todos)",TRUE,'ORDENES'!$O1072=$B$3),IF($D$3="(todos)",TRUE,'ORDENES'!$AH1072=$D$3),IF($F$3="(todos)",TRUE,'ORDENES'!$Z1072=$F$3),IF($H$3="(todos)",TRUE,'ORDENES'!$Y1072=$H$3),'ORDENES'!$AF1072=TRUE,'ORDENES'!$A1072&lt;&gt;""),1,0)</f>
        <v/>
      </c>
      <c r="L1076" s="5">
        <f>IF(K1076=1,IFERROR(MATCH('ORDENES'!$S1072,lista_dias,0),9)*1000000000+IFERROR(MATCH('ORDENES'!$AH1072,lista_turnos,0),9)*10000000+IFERROR(MATCH('ORDENES'!$AG1072,tblTecnicos[nombre],0),99)*100000+1069,9000000000000+1069)</f>
        <v/>
      </c>
      <c r="M1076" s="5">
        <f>IF(K1076=1,SUMPRODUCT(--($L$8:$L$1207&lt;L1076))+1,"")</f>
        <v/>
      </c>
      <c r="N1076" s="17">
        <f>IF(K1076=1,N('ORDENES'!$M1072),0)</f>
        <v/>
      </c>
      <c r="O1076" s="17">
        <f>IF('ORDENES'!$U1072="preventiva",N1076,0)</f>
        <v/>
      </c>
      <c r="P1076" s="17">
        <f>IF('ORDENES'!$U1072="correctiva",N1076,0)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22">
        <f>IF(K1076=1,'ORDENES'!$J1072,"")</f>
        <v/>
      </c>
    </row>
    <row r="1077">
      <c r="K1077" s="5">
        <f>IF(AND(IF($B$3="(todos)",TRUE,'ORDENES'!$O1073=$B$3),IF($D$3="(todos)",TRUE,'ORDENES'!$AH1073=$D$3),IF($F$3="(todos)",TRUE,'ORDENES'!$Z1073=$F$3),IF($H$3="(todos)",TRUE,'ORDENES'!$Y1073=$H$3),'ORDENES'!$AF1073=TRUE,'ORDENES'!$A1073&lt;&gt;""),1,0)</f>
        <v/>
      </c>
      <c r="L1077" s="5">
        <f>IF(K1077=1,IFERROR(MATCH('ORDENES'!$S1073,lista_dias,0),9)*1000000000+IFERROR(MATCH('ORDENES'!$AH1073,lista_turnos,0),9)*10000000+IFERROR(MATCH('ORDENES'!$AG1073,tblTecnicos[nombre],0),99)*100000+1070,9000000000000+1070)</f>
        <v/>
      </c>
      <c r="M1077" s="5">
        <f>IF(K1077=1,SUMPRODUCT(--($L$8:$L$1207&lt;L1077))+1,"")</f>
        <v/>
      </c>
      <c r="N1077" s="17">
        <f>IF(K1077=1,N('ORDENES'!$M1073),0)</f>
        <v/>
      </c>
      <c r="O1077" s="17">
        <f>IF('ORDENES'!$U1073="preventiva",N1077,0)</f>
        <v/>
      </c>
      <c r="P1077" s="17">
        <f>IF('ORDENES'!$U1073="correctiva",N1077,0)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22">
        <f>IF(K1077=1,'ORDENES'!$J1073,"")</f>
        <v/>
      </c>
    </row>
    <row r="1078">
      <c r="K1078" s="5">
        <f>IF(AND(IF($B$3="(todos)",TRUE,'ORDENES'!$O1074=$B$3),IF($D$3="(todos)",TRUE,'ORDENES'!$AH1074=$D$3),IF($F$3="(todos)",TRUE,'ORDENES'!$Z1074=$F$3),IF($H$3="(todos)",TRUE,'ORDENES'!$Y1074=$H$3),'ORDENES'!$AF1074=TRUE,'ORDENES'!$A1074&lt;&gt;""),1,0)</f>
        <v/>
      </c>
      <c r="L1078" s="5">
        <f>IF(K1078=1,IFERROR(MATCH('ORDENES'!$S1074,lista_dias,0),9)*1000000000+IFERROR(MATCH('ORDENES'!$AH1074,lista_turnos,0),9)*10000000+IFERROR(MATCH('ORDENES'!$AG1074,tblTecnicos[nombre],0),99)*100000+1071,9000000000000+1071)</f>
        <v/>
      </c>
      <c r="M1078" s="5">
        <f>IF(K1078=1,SUMPRODUCT(--($L$8:$L$1207&lt;L1078))+1,"")</f>
        <v/>
      </c>
      <c r="N1078" s="17">
        <f>IF(K1078=1,N('ORDENES'!$M1074),0)</f>
        <v/>
      </c>
      <c r="O1078" s="17">
        <f>IF('ORDENES'!$U1074="preventiva",N1078,0)</f>
        <v/>
      </c>
      <c r="P1078" s="17">
        <f>IF('ORDENES'!$U1074="correctiva",N1078,0)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22">
        <f>IF(K1078=1,'ORDENES'!$J1074,"")</f>
        <v/>
      </c>
    </row>
    <row r="1079">
      <c r="K1079" s="5">
        <f>IF(AND(IF($B$3="(todos)",TRUE,'ORDENES'!$O1075=$B$3),IF($D$3="(todos)",TRUE,'ORDENES'!$AH1075=$D$3),IF($F$3="(todos)",TRUE,'ORDENES'!$Z1075=$F$3),IF($H$3="(todos)",TRUE,'ORDENES'!$Y1075=$H$3),'ORDENES'!$AF1075=TRUE,'ORDENES'!$A1075&lt;&gt;""),1,0)</f>
        <v/>
      </c>
      <c r="L1079" s="5">
        <f>IF(K1079=1,IFERROR(MATCH('ORDENES'!$S1075,lista_dias,0),9)*1000000000+IFERROR(MATCH('ORDENES'!$AH1075,lista_turnos,0),9)*10000000+IFERROR(MATCH('ORDENES'!$AG1075,tblTecnicos[nombre],0),99)*100000+1072,9000000000000+1072)</f>
        <v/>
      </c>
      <c r="M1079" s="5">
        <f>IF(K1079=1,SUMPRODUCT(--($L$8:$L$1207&lt;L1079))+1,"")</f>
        <v/>
      </c>
      <c r="N1079" s="17">
        <f>IF(K1079=1,N('ORDENES'!$M1075),0)</f>
        <v/>
      </c>
      <c r="O1079" s="17">
        <f>IF('ORDENES'!$U1075="preventiva",N1079,0)</f>
        <v/>
      </c>
      <c r="P1079" s="17">
        <f>IF('ORDENES'!$U1075="correctiva",N1079,0)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22">
        <f>IF(K1079=1,'ORDENES'!$J1075,"")</f>
        <v/>
      </c>
    </row>
    <row r="1080">
      <c r="K1080" s="5">
        <f>IF(AND(IF($B$3="(todos)",TRUE,'ORDENES'!$O1076=$B$3),IF($D$3="(todos)",TRUE,'ORDENES'!$AH1076=$D$3),IF($F$3="(todos)",TRUE,'ORDENES'!$Z1076=$F$3),IF($H$3="(todos)",TRUE,'ORDENES'!$Y1076=$H$3),'ORDENES'!$AF1076=TRUE,'ORDENES'!$A1076&lt;&gt;""),1,0)</f>
        <v/>
      </c>
      <c r="L1080" s="5">
        <f>IF(K1080=1,IFERROR(MATCH('ORDENES'!$S1076,lista_dias,0),9)*1000000000+IFERROR(MATCH('ORDENES'!$AH1076,lista_turnos,0),9)*10000000+IFERROR(MATCH('ORDENES'!$AG1076,tblTecnicos[nombre],0),99)*100000+1073,9000000000000+1073)</f>
        <v/>
      </c>
      <c r="M1080" s="5">
        <f>IF(K1080=1,SUMPRODUCT(--($L$8:$L$1207&lt;L1080))+1,"")</f>
        <v/>
      </c>
      <c r="N1080" s="17">
        <f>IF(K1080=1,N('ORDENES'!$M1076),0)</f>
        <v/>
      </c>
      <c r="O1080" s="17">
        <f>IF('ORDENES'!$U1076="preventiva",N1080,0)</f>
        <v/>
      </c>
      <c r="P1080" s="17">
        <f>IF('ORDENES'!$U1076="correctiva",N1080,0)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22">
        <f>IF(K1080=1,'ORDENES'!$J1076,"")</f>
        <v/>
      </c>
    </row>
    <row r="1081">
      <c r="K1081" s="5">
        <f>IF(AND(IF($B$3="(todos)",TRUE,'ORDENES'!$O1077=$B$3),IF($D$3="(todos)",TRUE,'ORDENES'!$AH1077=$D$3),IF($F$3="(todos)",TRUE,'ORDENES'!$Z1077=$F$3),IF($H$3="(todos)",TRUE,'ORDENES'!$Y1077=$H$3),'ORDENES'!$AF1077=TRUE,'ORDENES'!$A1077&lt;&gt;""),1,0)</f>
        <v/>
      </c>
      <c r="L1081" s="5">
        <f>IF(K1081=1,IFERROR(MATCH('ORDENES'!$S1077,lista_dias,0),9)*1000000000+IFERROR(MATCH('ORDENES'!$AH1077,lista_turnos,0),9)*10000000+IFERROR(MATCH('ORDENES'!$AG1077,tblTecnicos[nombre],0),99)*100000+1074,9000000000000+1074)</f>
        <v/>
      </c>
      <c r="M1081" s="5">
        <f>IF(K1081=1,SUMPRODUCT(--($L$8:$L$1207&lt;L1081))+1,"")</f>
        <v/>
      </c>
      <c r="N1081" s="17">
        <f>IF(K1081=1,N('ORDENES'!$M1077),0)</f>
        <v/>
      </c>
      <c r="O1081" s="17">
        <f>IF('ORDENES'!$U1077="preventiva",N1081,0)</f>
        <v/>
      </c>
      <c r="P1081" s="17">
        <f>IF('ORDENES'!$U1077="correctiva",N1081,0)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22">
        <f>IF(K1081=1,'ORDENES'!$J1077,"")</f>
        <v/>
      </c>
    </row>
    <row r="1082">
      <c r="K1082" s="5">
        <f>IF(AND(IF($B$3="(todos)",TRUE,'ORDENES'!$O1078=$B$3),IF($D$3="(todos)",TRUE,'ORDENES'!$AH1078=$D$3),IF($F$3="(todos)",TRUE,'ORDENES'!$Z1078=$F$3),IF($H$3="(todos)",TRUE,'ORDENES'!$Y1078=$H$3),'ORDENES'!$AF1078=TRUE,'ORDENES'!$A1078&lt;&gt;""),1,0)</f>
        <v/>
      </c>
      <c r="L1082" s="5">
        <f>IF(K1082=1,IFERROR(MATCH('ORDENES'!$S1078,lista_dias,0),9)*1000000000+IFERROR(MATCH('ORDENES'!$AH1078,lista_turnos,0),9)*10000000+IFERROR(MATCH('ORDENES'!$AG1078,tblTecnicos[nombre],0),99)*100000+1075,9000000000000+1075)</f>
        <v/>
      </c>
      <c r="M1082" s="5">
        <f>IF(K1082=1,SUMPRODUCT(--($L$8:$L$1207&lt;L1082))+1,"")</f>
        <v/>
      </c>
      <c r="N1082" s="17">
        <f>IF(K1082=1,N('ORDENES'!$M1078),0)</f>
        <v/>
      </c>
      <c r="O1082" s="17">
        <f>IF('ORDENES'!$U1078="preventiva",N1082,0)</f>
        <v/>
      </c>
      <c r="P1082" s="17">
        <f>IF('ORDENES'!$U1078="correctiva",N1082,0)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22">
        <f>IF(K1082=1,'ORDENES'!$J1078,"")</f>
        <v/>
      </c>
    </row>
    <row r="1083">
      <c r="K1083" s="5">
        <f>IF(AND(IF($B$3="(todos)",TRUE,'ORDENES'!$O1079=$B$3),IF($D$3="(todos)",TRUE,'ORDENES'!$AH1079=$D$3),IF($F$3="(todos)",TRUE,'ORDENES'!$Z1079=$F$3),IF($H$3="(todos)",TRUE,'ORDENES'!$Y1079=$H$3),'ORDENES'!$AF1079=TRUE,'ORDENES'!$A1079&lt;&gt;""),1,0)</f>
        <v/>
      </c>
      <c r="L1083" s="5">
        <f>IF(K1083=1,IFERROR(MATCH('ORDENES'!$S1079,lista_dias,0),9)*1000000000+IFERROR(MATCH('ORDENES'!$AH1079,lista_turnos,0),9)*10000000+IFERROR(MATCH('ORDENES'!$AG1079,tblTecnicos[nombre],0),99)*100000+1076,9000000000000+1076)</f>
        <v/>
      </c>
      <c r="M1083" s="5">
        <f>IF(K1083=1,SUMPRODUCT(--($L$8:$L$1207&lt;L1083))+1,"")</f>
        <v/>
      </c>
      <c r="N1083" s="17">
        <f>IF(K1083=1,N('ORDENES'!$M1079),0)</f>
        <v/>
      </c>
      <c r="O1083" s="17">
        <f>IF('ORDENES'!$U1079="preventiva",N1083,0)</f>
        <v/>
      </c>
      <c r="P1083" s="17">
        <f>IF('ORDENES'!$U1079="correctiva",N1083,0)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22">
        <f>IF(K1083=1,'ORDENES'!$J1079,"")</f>
        <v/>
      </c>
    </row>
    <row r="1084">
      <c r="K1084" s="5">
        <f>IF(AND(IF($B$3="(todos)",TRUE,'ORDENES'!$O1080=$B$3),IF($D$3="(todos)",TRUE,'ORDENES'!$AH1080=$D$3),IF($F$3="(todos)",TRUE,'ORDENES'!$Z1080=$F$3),IF($H$3="(todos)",TRUE,'ORDENES'!$Y1080=$H$3),'ORDENES'!$AF1080=TRUE,'ORDENES'!$A1080&lt;&gt;""),1,0)</f>
        <v/>
      </c>
      <c r="L1084" s="5">
        <f>IF(K1084=1,IFERROR(MATCH('ORDENES'!$S1080,lista_dias,0),9)*1000000000+IFERROR(MATCH('ORDENES'!$AH1080,lista_turnos,0),9)*10000000+IFERROR(MATCH('ORDENES'!$AG1080,tblTecnicos[nombre],0),99)*100000+1077,9000000000000+1077)</f>
        <v/>
      </c>
      <c r="M1084" s="5">
        <f>IF(K1084=1,SUMPRODUCT(--($L$8:$L$1207&lt;L1084))+1,"")</f>
        <v/>
      </c>
      <c r="N1084" s="17">
        <f>IF(K1084=1,N('ORDENES'!$M1080),0)</f>
        <v/>
      </c>
      <c r="O1084" s="17">
        <f>IF('ORDENES'!$U1080="preventiva",N1084,0)</f>
        <v/>
      </c>
      <c r="P1084" s="17">
        <f>IF('ORDENES'!$U1080="correctiva",N1084,0)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22">
        <f>IF(K1084=1,'ORDENES'!$J1080,"")</f>
        <v/>
      </c>
    </row>
    <row r="1085">
      <c r="K1085" s="5">
        <f>IF(AND(IF($B$3="(todos)",TRUE,'ORDENES'!$O1081=$B$3),IF($D$3="(todos)",TRUE,'ORDENES'!$AH1081=$D$3),IF($F$3="(todos)",TRUE,'ORDENES'!$Z1081=$F$3),IF($H$3="(todos)",TRUE,'ORDENES'!$Y1081=$H$3),'ORDENES'!$AF1081=TRUE,'ORDENES'!$A1081&lt;&gt;""),1,0)</f>
        <v/>
      </c>
      <c r="L1085" s="5">
        <f>IF(K1085=1,IFERROR(MATCH('ORDENES'!$S1081,lista_dias,0),9)*1000000000+IFERROR(MATCH('ORDENES'!$AH1081,lista_turnos,0),9)*10000000+IFERROR(MATCH('ORDENES'!$AG1081,tblTecnicos[nombre],0),99)*100000+1078,9000000000000+1078)</f>
        <v/>
      </c>
      <c r="M1085" s="5">
        <f>IF(K1085=1,SUMPRODUCT(--($L$8:$L$1207&lt;L1085))+1,"")</f>
        <v/>
      </c>
      <c r="N1085" s="17">
        <f>IF(K1085=1,N('ORDENES'!$M1081),0)</f>
        <v/>
      </c>
      <c r="O1085" s="17">
        <f>IF('ORDENES'!$U1081="preventiva",N1085,0)</f>
        <v/>
      </c>
      <c r="P1085" s="17">
        <f>IF('ORDENES'!$U1081="correctiva",N1085,0)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22">
        <f>IF(K1085=1,'ORDENES'!$J1081,"")</f>
        <v/>
      </c>
    </row>
    <row r="1086">
      <c r="K1086" s="5">
        <f>IF(AND(IF($B$3="(todos)",TRUE,'ORDENES'!$O1082=$B$3),IF($D$3="(todos)",TRUE,'ORDENES'!$AH1082=$D$3),IF($F$3="(todos)",TRUE,'ORDENES'!$Z1082=$F$3),IF($H$3="(todos)",TRUE,'ORDENES'!$Y1082=$H$3),'ORDENES'!$AF1082=TRUE,'ORDENES'!$A1082&lt;&gt;""),1,0)</f>
        <v/>
      </c>
      <c r="L1086" s="5">
        <f>IF(K1086=1,IFERROR(MATCH('ORDENES'!$S1082,lista_dias,0),9)*1000000000+IFERROR(MATCH('ORDENES'!$AH1082,lista_turnos,0),9)*10000000+IFERROR(MATCH('ORDENES'!$AG1082,tblTecnicos[nombre],0),99)*100000+1079,9000000000000+1079)</f>
        <v/>
      </c>
      <c r="M1086" s="5">
        <f>IF(K1086=1,SUMPRODUCT(--($L$8:$L$1207&lt;L1086))+1,"")</f>
        <v/>
      </c>
      <c r="N1086" s="17">
        <f>IF(K1086=1,N('ORDENES'!$M1082),0)</f>
        <v/>
      </c>
      <c r="O1086" s="17">
        <f>IF('ORDENES'!$U1082="preventiva",N1086,0)</f>
        <v/>
      </c>
      <c r="P1086" s="17">
        <f>IF('ORDENES'!$U1082="correctiva",N1086,0)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22">
        <f>IF(K1086=1,'ORDENES'!$J1082,"")</f>
        <v/>
      </c>
    </row>
    <row r="1087">
      <c r="K1087" s="5">
        <f>IF(AND(IF($B$3="(todos)",TRUE,'ORDENES'!$O1083=$B$3),IF($D$3="(todos)",TRUE,'ORDENES'!$AH1083=$D$3),IF($F$3="(todos)",TRUE,'ORDENES'!$Z1083=$F$3),IF($H$3="(todos)",TRUE,'ORDENES'!$Y1083=$H$3),'ORDENES'!$AF1083=TRUE,'ORDENES'!$A1083&lt;&gt;""),1,0)</f>
        <v/>
      </c>
      <c r="L1087" s="5">
        <f>IF(K1087=1,IFERROR(MATCH('ORDENES'!$S1083,lista_dias,0),9)*1000000000+IFERROR(MATCH('ORDENES'!$AH1083,lista_turnos,0),9)*10000000+IFERROR(MATCH('ORDENES'!$AG1083,tblTecnicos[nombre],0),99)*100000+1080,9000000000000+1080)</f>
        <v/>
      </c>
      <c r="M1087" s="5">
        <f>IF(K1087=1,SUMPRODUCT(--($L$8:$L$1207&lt;L1087))+1,"")</f>
        <v/>
      </c>
      <c r="N1087" s="17">
        <f>IF(K1087=1,N('ORDENES'!$M1083),0)</f>
        <v/>
      </c>
      <c r="O1087" s="17">
        <f>IF('ORDENES'!$U1083="preventiva",N1087,0)</f>
        <v/>
      </c>
      <c r="P1087" s="17">
        <f>IF('ORDENES'!$U1083="correctiva",N1087,0)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22">
        <f>IF(K1087=1,'ORDENES'!$J1083,"")</f>
        <v/>
      </c>
    </row>
    <row r="1088">
      <c r="K1088" s="5">
        <f>IF(AND(IF($B$3="(todos)",TRUE,'ORDENES'!$O1084=$B$3),IF($D$3="(todos)",TRUE,'ORDENES'!$AH1084=$D$3),IF($F$3="(todos)",TRUE,'ORDENES'!$Z1084=$F$3),IF($H$3="(todos)",TRUE,'ORDENES'!$Y1084=$H$3),'ORDENES'!$AF1084=TRUE,'ORDENES'!$A1084&lt;&gt;""),1,0)</f>
        <v/>
      </c>
      <c r="L1088" s="5">
        <f>IF(K1088=1,IFERROR(MATCH('ORDENES'!$S1084,lista_dias,0),9)*1000000000+IFERROR(MATCH('ORDENES'!$AH1084,lista_turnos,0),9)*10000000+IFERROR(MATCH('ORDENES'!$AG1084,tblTecnicos[nombre],0),99)*100000+1081,9000000000000+1081)</f>
        <v/>
      </c>
      <c r="M1088" s="5">
        <f>IF(K1088=1,SUMPRODUCT(--($L$8:$L$1207&lt;L1088))+1,"")</f>
        <v/>
      </c>
      <c r="N1088" s="17">
        <f>IF(K1088=1,N('ORDENES'!$M1084),0)</f>
        <v/>
      </c>
      <c r="O1088" s="17">
        <f>IF('ORDENES'!$U1084="preventiva",N1088,0)</f>
        <v/>
      </c>
      <c r="P1088" s="17">
        <f>IF('ORDENES'!$U1084="correctiva",N1088,0)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22">
        <f>IF(K1088=1,'ORDENES'!$J1084,"")</f>
        <v/>
      </c>
    </row>
    <row r="1089">
      <c r="K1089" s="5">
        <f>IF(AND(IF($B$3="(todos)",TRUE,'ORDENES'!$O1085=$B$3),IF($D$3="(todos)",TRUE,'ORDENES'!$AH1085=$D$3),IF($F$3="(todos)",TRUE,'ORDENES'!$Z1085=$F$3),IF($H$3="(todos)",TRUE,'ORDENES'!$Y1085=$H$3),'ORDENES'!$AF1085=TRUE,'ORDENES'!$A1085&lt;&gt;""),1,0)</f>
        <v/>
      </c>
      <c r="L1089" s="5">
        <f>IF(K1089=1,IFERROR(MATCH('ORDENES'!$S1085,lista_dias,0),9)*1000000000+IFERROR(MATCH('ORDENES'!$AH1085,lista_turnos,0),9)*10000000+IFERROR(MATCH('ORDENES'!$AG1085,tblTecnicos[nombre],0),99)*100000+1082,9000000000000+1082)</f>
        <v/>
      </c>
      <c r="M1089" s="5">
        <f>IF(K1089=1,SUMPRODUCT(--($L$8:$L$1207&lt;L1089))+1,"")</f>
        <v/>
      </c>
      <c r="N1089" s="17">
        <f>IF(K1089=1,N('ORDENES'!$M1085),0)</f>
        <v/>
      </c>
      <c r="O1089" s="17">
        <f>IF('ORDENES'!$U1085="preventiva",N1089,0)</f>
        <v/>
      </c>
      <c r="P1089" s="17">
        <f>IF('ORDENES'!$U1085="correctiva",N1089,0)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22">
        <f>IF(K1089=1,'ORDENES'!$J1085,"")</f>
        <v/>
      </c>
    </row>
    <row r="1090">
      <c r="K1090" s="5">
        <f>IF(AND(IF($B$3="(todos)",TRUE,'ORDENES'!$O1086=$B$3),IF($D$3="(todos)",TRUE,'ORDENES'!$AH1086=$D$3),IF($F$3="(todos)",TRUE,'ORDENES'!$Z1086=$F$3),IF($H$3="(todos)",TRUE,'ORDENES'!$Y1086=$H$3),'ORDENES'!$AF1086=TRUE,'ORDENES'!$A1086&lt;&gt;""),1,0)</f>
        <v/>
      </c>
      <c r="L1090" s="5">
        <f>IF(K1090=1,IFERROR(MATCH('ORDENES'!$S1086,lista_dias,0),9)*1000000000+IFERROR(MATCH('ORDENES'!$AH1086,lista_turnos,0),9)*10000000+IFERROR(MATCH('ORDENES'!$AG1086,tblTecnicos[nombre],0),99)*100000+1083,9000000000000+1083)</f>
        <v/>
      </c>
      <c r="M1090" s="5">
        <f>IF(K1090=1,SUMPRODUCT(--($L$8:$L$1207&lt;L1090))+1,"")</f>
        <v/>
      </c>
      <c r="N1090" s="17">
        <f>IF(K1090=1,N('ORDENES'!$M1086),0)</f>
        <v/>
      </c>
      <c r="O1090" s="17">
        <f>IF('ORDENES'!$U1086="preventiva",N1090,0)</f>
        <v/>
      </c>
      <c r="P1090" s="17">
        <f>IF('ORDENES'!$U1086="correctiva",N1090,0)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22">
        <f>IF(K1090=1,'ORDENES'!$J1086,"")</f>
        <v/>
      </c>
    </row>
    <row r="1091">
      <c r="K1091" s="5">
        <f>IF(AND(IF($B$3="(todos)",TRUE,'ORDENES'!$O1087=$B$3),IF($D$3="(todos)",TRUE,'ORDENES'!$AH1087=$D$3),IF($F$3="(todos)",TRUE,'ORDENES'!$Z1087=$F$3),IF($H$3="(todos)",TRUE,'ORDENES'!$Y1087=$H$3),'ORDENES'!$AF1087=TRUE,'ORDENES'!$A1087&lt;&gt;""),1,0)</f>
        <v/>
      </c>
      <c r="L1091" s="5">
        <f>IF(K1091=1,IFERROR(MATCH('ORDENES'!$S1087,lista_dias,0),9)*1000000000+IFERROR(MATCH('ORDENES'!$AH1087,lista_turnos,0),9)*10000000+IFERROR(MATCH('ORDENES'!$AG1087,tblTecnicos[nombre],0),99)*100000+1084,9000000000000+1084)</f>
        <v/>
      </c>
      <c r="M1091" s="5">
        <f>IF(K1091=1,SUMPRODUCT(--($L$8:$L$1207&lt;L1091))+1,"")</f>
        <v/>
      </c>
      <c r="N1091" s="17">
        <f>IF(K1091=1,N('ORDENES'!$M1087),0)</f>
        <v/>
      </c>
      <c r="O1091" s="17">
        <f>IF('ORDENES'!$U1087="preventiva",N1091,0)</f>
        <v/>
      </c>
      <c r="P1091" s="17">
        <f>IF('ORDENES'!$U1087="correctiva",N1091,0)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22">
        <f>IF(K1091=1,'ORDENES'!$J1087,"")</f>
        <v/>
      </c>
    </row>
    <row r="1092">
      <c r="K1092" s="5">
        <f>IF(AND(IF($B$3="(todos)",TRUE,'ORDENES'!$O1088=$B$3),IF($D$3="(todos)",TRUE,'ORDENES'!$AH1088=$D$3),IF($F$3="(todos)",TRUE,'ORDENES'!$Z1088=$F$3),IF($H$3="(todos)",TRUE,'ORDENES'!$Y1088=$H$3),'ORDENES'!$AF1088=TRUE,'ORDENES'!$A1088&lt;&gt;""),1,0)</f>
        <v/>
      </c>
      <c r="L1092" s="5">
        <f>IF(K1092=1,IFERROR(MATCH('ORDENES'!$S1088,lista_dias,0),9)*1000000000+IFERROR(MATCH('ORDENES'!$AH1088,lista_turnos,0),9)*10000000+IFERROR(MATCH('ORDENES'!$AG1088,tblTecnicos[nombre],0),99)*100000+1085,9000000000000+1085)</f>
        <v/>
      </c>
      <c r="M1092" s="5">
        <f>IF(K1092=1,SUMPRODUCT(--($L$8:$L$1207&lt;L1092))+1,"")</f>
        <v/>
      </c>
      <c r="N1092" s="17">
        <f>IF(K1092=1,N('ORDENES'!$M1088),0)</f>
        <v/>
      </c>
      <c r="O1092" s="17">
        <f>IF('ORDENES'!$U1088="preventiva",N1092,0)</f>
        <v/>
      </c>
      <c r="P1092" s="17">
        <f>IF('ORDENES'!$U1088="correctiva",N1092,0)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22">
        <f>IF(K1092=1,'ORDENES'!$J1088,"")</f>
        <v/>
      </c>
    </row>
    <row r="1093">
      <c r="K1093" s="5">
        <f>IF(AND(IF($B$3="(todos)",TRUE,'ORDENES'!$O1089=$B$3),IF($D$3="(todos)",TRUE,'ORDENES'!$AH1089=$D$3),IF($F$3="(todos)",TRUE,'ORDENES'!$Z1089=$F$3),IF($H$3="(todos)",TRUE,'ORDENES'!$Y1089=$H$3),'ORDENES'!$AF1089=TRUE,'ORDENES'!$A1089&lt;&gt;""),1,0)</f>
        <v/>
      </c>
      <c r="L1093" s="5">
        <f>IF(K1093=1,IFERROR(MATCH('ORDENES'!$S1089,lista_dias,0),9)*1000000000+IFERROR(MATCH('ORDENES'!$AH1089,lista_turnos,0),9)*10000000+IFERROR(MATCH('ORDENES'!$AG1089,tblTecnicos[nombre],0),99)*100000+1086,9000000000000+1086)</f>
        <v/>
      </c>
      <c r="M1093" s="5">
        <f>IF(K1093=1,SUMPRODUCT(--($L$8:$L$1207&lt;L1093))+1,"")</f>
        <v/>
      </c>
      <c r="N1093" s="17">
        <f>IF(K1093=1,N('ORDENES'!$M1089),0)</f>
        <v/>
      </c>
      <c r="O1093" s="17">
        <f>IF('ORDENES'!$U1089="preventiva",N1093,0)</f>
        <v/>
      </c>
      <c r="P1093" s="17">
        <f>IF('ORDENES'!$U1089="correctiva",N1093,0)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22">
        <f>IF(K1093=1,'ORDENES'!$J1089,"")</f>
        <v/>
      </c>
    </row>
    <row r="1094">
      <c r="K1094" s="5">
        <f>IF(AND(IF($B$3="(todos)",TRUE,'ORDENES'!$O1090=$B$3),IF($D$3="(todos)",TRUE,'ORDENES'!$AH1090=$D$3),IF($F$3="(todos)",TRUE,'ORDENES'!$Z1090=$F$3),IF($H$3="(todos)",TRUE,'ORDENES'!$Y1090=$H$3),'ORDENES'!$AF1090=TRUE,'ORDENES'!$A1090&lt;&gt;""),1,0)</f>
        <v/>
      </c>
      <c r="L1094" s="5">
        <f>IF(K1094=1,IFERROR(MATCH('ORDENES'!$S1090,lista_dias,0),9)*1000000000+IFERROR(MATCH('ORDENES'!$AH1090,lista_turnos,0),9)*10000000+IFERROR(MATCH('ORDENES'!$AG1090,tblTecnicos[nombre],0),99)*100000+1087,9000000000000+1087)</f>
        <v/>
      </c>
      <c r="M1094" s="5">
        <f>IF(K1094=1,SUMPRODUCT(--($L$8:$L$1207&lt;L1094))+1,"")</f>
        <v/>
      </c>
      <c r="N1094" s="17">
        <f>IF(K1094=1,N('ORDENES'!$M1090),0)</f>
        <v/>
      </c>
      <c r="O1094" s="17">
        <f>IF('ORDENES'!$U1090="preventiva",N1094,0)</f>
        <v/>
      </c>
      <c r="P1094" s="17">
        <f>IF('ORDENES'!$U1090="correctiva",N1094,0)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22">
        <f>IF(K1094=1,'ORDENES'!$J1090,"")</f>
        <v/>
      </c>
    </row>
    <row r="1095">
      <c r="K1095" s="5">
        <f>IF(AND(IF($B$3="(todos)",TRUE,'ORDENES'!$O1091=$B$3),IF($D$3="(todos)",TRUE,'ORDENES'!$AH1091=$D$3),IF($F$3="(todos)",TRUE,'ORDENES'!$Z1091=$F$3),IF($H$3="(todos)",TRUE,'ORDENES'!$Y1091=$H$3),'ORDENES'!$AF1091=TRUE,'ORDENES'!$A1091&lt;&gt;""),1,0)</f>
        <v/>
      </c>
      <c r="L1095" s="5">
        <f>IF(K1095=1,IFERROR(MATCH('ORDENES'!$S1091,lista_dias,0),9)*1000000000+IFERROR(MATCH('ORDENES'!$AH1091,lista_turnos,0),9)*10000000+IFERROR(MATCH('ORDENES'!$AG1091,tblTecnicos[nombre],0),99)*100000+1088,9000000000000+1088)</f>
        <v/>
      </c>
      <c r="M1095" s="5">
        <f>IF(K1095=1,SUMPRODUCT(--($L$8:$L$1207&lt;L1095))+1,"")</f>
        <v/>
      </c>
      <c r="N1095" s="17">
        <f>IF(K1095=1,N('ORDENES'!$M1091),0)</f>
        <v/>
      </c>
      <c r="O1095" s="17">
        <f>IF('ORDENES'!$U1091="preventiva",N1095,0)</f>
        <v/>
      </c>
      <c r="P1095" s="17">
        <f>IF('ORDENES'!$U1091="correctiva",N1095,0)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22">
        <f>IF(K1095=1,'ORDENES'!$J1091,"")</f>
        <v/>
      </c>
    </row>
    <row r="1096">
      <c r="K1096" s="5">
        <f>IF(AND(IF($B$3="(todos)",TRUE,'ORDENES'!$O1092=$B$3),IF($D$3="(todos)",TRUE,'ORDENES'!$AH1092=$D$3),IF($F$3="(todos)",TRUE,'ORDENES'!$Z1092=$F$3),IF($H$3="(todos)",TRUE,'ORDENES'!$Y1092=$H$3),'ORDENES'!$AF1092=TRUE,'ORDENES'!$A1092&lt;&gt;""),1,0)</f>
        <v/>
      </c>
      <c r="L1096" s="5">
        <f>IF(K1096=1,IFERROR(MATCH('ORDENES'!$S1092,lista_dias,0),9)*1000000000+IFERROR(MATCH('ORDENES'!$AH1092,lista_turnos,0),9)*10000000+IFERROR(MATCH('ORDENES'!$AG1092,tblTecnicos[nombre],0),99)*100000+1089,9000000000000+1089)</f>
        <v/>
      </c>
      <c r="M1096" s="5">
        <f>IF(K1096=1,SUMPRODUCT(--($L$8:$L$1207&lt;L1096))+1,"")</f>
        <v/>
      </c>
      <c r="N1096" s="17">
        <f>IF(K1096=1,N('ORDENES'!$M1092),0)</f>
        <v/>
      </c>
      <c r="O1096" s="17">
        <f>IF('ORDENES'!$U1092="preventiva",N1096,0)</f>
        <v/>
      </c>
      <c r="P1096" s="17">
        <f>IF('ORDENES'!$U1092="correctiva",N1096,0)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22">
        <f>IF(K1096=1,'ORDENES'!$J1092,"")</f>
        <v/>
      </c>
    </row>
    <row r="1097">
      <c r="K1097" s="5">
        <f>IF(AND(IF($B$3="(todos)",TRUE,'ORDENES'!$O1093=$B$3),IF($D$3="(todos)",TRUE,'ORDENES'!$AH1093=$D$3),IF($F$3="(todos)",TRUE,'ORDENES'!$Z1093=$F$3),IF($H$3="(todos)",TRUE,'ORDENES'!$Y1093=$H$3),'ORDENES'!$AF1093=TRUE,'ORDENES'!$A1093&lt;&gt;""),1,0)</f>
        <v/>
      </c>
      <c r="L1097" s="5">
        <f>IF(K1097=1,IFERROR(MATCH('ORDENES'!$S1093,lista_dias,0),9)*1000000000+IFERROR(MATCH('ORDENES'!$AH1093,lista_turnos,0),9)*10000000+IFERROR(MATCH('ORDENES'!$AG1093,tblTecnicos[nombre],0),99)*100000+1090,9000000000000+1090)</f>
        <v/>
      </c>
      <c r="M1097" s="5">
        <f>IF(K1097=1,SUMPRODUCT(--($L$8:$L$1207&lt;L1097))+1,"")</f>
        <v/>
      </c>
      <c r="N1097" s="17">
        <f>IF(K1097=1,N('ORDENES'!$M1093),0)</f>
        <v/>
      </c>
      <c r="O1097" s="17">
        <f>IF('ORDENES'!$U1093="preventiva",N1097,0)</f>
        <v/>
      </c>
      <c r="P1097" s="17">
        <f>IF('ORDENES'!$U1093="correctiva",N1097,0)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22">
        <f>IF(K1097=1,'ORDENES'!$J1093,"")</f>
        <v/>
      </c>
    </row>
    <row r="1098">
      <c r="K1098" s="5">
        <f>IF(AND(IF($B$3="(todos)",TRUE,'ORDENES'!$O1094=$B$3),IF($D$3="(todos)",TRUE,'ORDENES'!$AH1094=$D$3),IF($F$3="(todos)",TRUE,'ORDENES'!$Z1094=$F$3),IF($H$3="(todos)",TRUE,'ORDENES'!$Y1094=$H$3),'ORDENES'!$AF1094=TRUE,'ORDENES'!$A1094&lt;&gt;""),1,0)</f>
        <v/>
      </c>
      <c r="L1098" s="5">
        <f>IF(K1098=1,IFERROR(MATCH('ORDENES'!$S1094,lista_dias,0),9)*1000000000+IFERROR(MATCH('ORDENES'!$AH1094,lista_turnos,0),9)*10000000+IFERROR(MATCH('ORDENES'!$AG1094,tblTecnicos[nombre],0),99)*100000+1091,9000000000000+1091)</f>
        <v/>
      </c>
      <c r="M1098" s="5">
        <f>IF(K1098=1,SUMPRODUCT(--($L$8:$L$1207&lt;L1098))+1,"")</f>
        <v/>
      </c>
      <c r="N1098" s="17">
        <f>IF(K1098=1,N('ORDENES'!$M1094),0)</f>
        <v/>
      </c>
      <c r="O1098" s="17">
        <f>IF('ORDENES'!$U1094="preventiva",N1098,0)</f>
        <v/>
      </c>
      <c r="P1098" s="17">
        <f>IF('ORDENES'!$U1094="correctiva",N1098,0)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22">
        <f>IF(K1098=1,'ORDENES'!$J1094,"")</f>
        <v/>
      </c>
    </row>
    <row r="1099">
      <c r="K1099" s="5">
        <f>IF(AND(IF($B$3="(todos)",TRUE,'ORDENES'!$O1095=$B$3),IF($D$3="(todos)",TRUE,'ORDENES'!$AH1095=$D$3),IF($F$3="(todos)",TRUE,'ORDENES'!$Z1095=$F$3),IF($H$3="(todos)",TRUE,'ORDENES'!$Y1095=$H$3),'ORDENES'!$AF1095=TRUE,'ORDENES'!$A1095&lt;&gt;""),1,0)</f>
        <v/>
      </c>
      <c r="L1099" s="5">
        <f>IF(K1099=1,IFERROR(MATCH('ORDENES'!$S1095,lista_dias,0),9)*1000000000+IFERROR(MATCH('ORDENES'!$AH1095,lista_turnos,0),9)*10000000+IFERROR(MATCH('ORDENES'!$AG1095,tblTecnicos[nombre],0),99)*100000+1092,9000000000000+1092)</f>
        <v/>
      </c>
      <c r="M1099" s="5">
        <f>IF(K1099=1,SUMPRODUCT(--($L$8:$L$1207&lt;L1099))+1,"")</f>
        <v/>
      </c>
      <c r="N1099" s="17">
        <f>IF(K1099=1,N('ORDENES'!$M1095),0)</f>
        <v/>
      </c>
      <c r="O1099" s="17">
        <f>IF('ORDENES'!$U1095="preventiva",N1099,0)</f>
        <v/>
      </c>
      <c r="P1099" s="17">
        <f>IF('ORDENES'!$U1095="correctiva",N1099,0)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22">
        <f>IF(K1099=1,'ORDENES'!$J1095,"")</f>
        <v/>
      </c>
    </row>
    <row r="1100">
      <c r="K1100" s="5">
        <f>IF(AND(IF($B$3="(todos)",TRUE,'ORDENES'!$O1096=$B$3),IF($D$3="(todos)",TRUE,'ORDENES'!$AH1096=$D$3),IF($F$3="(todos)",TRUE,'ORDENES'!$Z1096=$F$3),IF($H$3="(todos)",TRUE,'ORDENES'!$Y1096=$H$3),'ORDENES'!$AF1096=TRUE,'ORDENES'!$A1096&lt;&gt;""),1,0)</f>
        <v/>
      </c>
      <c r="L1100" s="5">
        <f>IF(K1100=1,IFERROR(MATCH('ORDENES'!$S1096,lista_dias,0),9)*1000000000+IFERROR(MATCH('ORDENES'!$AH1096,lista_turnos,0),9)*10000000+IFERROR(MATCH('ORDENES'!$AG1096,tblTecnicos[nombre],0),99)*100000+1093,9000000000000+1093)</f>
        <v/>
      </c>
      <c r="M1100" s="5">
        <f>IF(K1100=1,SUMPRODUCT(--($L$8:$L$1207&lt;L1100))+1,"")</f>
        <v/>
      </c>
      <c r="N1100" s="17">
        <f>IF(K1100=1,N('ORDENES'!$M1096),0)</f>
        <v/>
      </c>
      <c r="O1100" s="17">
        <f>IF('ORDENES'!$U1096="preventiva",N1100,0)</f>
        <v/>
      </c>
      <c r="P1100" s="17">
        <f>IF('ORDENES'!$U1096="correctiva",N1100,0)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22">
        <f>IF(K1100=1,'ORDENES'!$J1096,"")</f>
        <v/>
      </c>
    </row>
    <row r="1101">
      <c r="K1101" s="5">
        <f>IF(AND(IF($B$3="(todos)",TRUE,'ORDENES'!$O1097=$B$3),IF($D$3="(todos)",TRUE,'ORDENES'!$AH1097=$D$3),IF($F$3="(todos)",TRUE,'ORDENES'!$Z1097=$F$3),IF($H$3="(todos)",TRUE,'ORDENES'!$Y1097=$H$3),'ORDENES'!$AF1097=TRUE,'ORDENES'!$A1097&lt;&gt;""),1,0)</f>
        <v/>
      </c>
      <c r="L1101" s="5">
        <f>IF(K1101=1,IFERROR(MATCH('ORDENES'!$S1097,lista_dias,0),9)*1000000000+IFERROR(MATCH('ORDENES'!$AH1097,lista_turnos,0),9)*10000000+IFERROR(MATCH('ORDENES'!$AG1097,tblTecnicos[nombre],0),99)*100000+1094,9000000000000+1094)</f>
        <v/>
      </c>
      <c r="M1101" s="5">
        <f>IF(K1101=1,SUMPRODUCT(--($L$8:$L$1207&lt;L1101))+1,"")</f>
        <v/>
      </c>
      <c r="N1101" s="17">
        <f>IF(K1101=1,N('ORDENES'!$M1097),0)</f>
        <v/>
      </c>
      <c r="O1101" s="17">
        <f>IF('ORDENES'!$U1097="preventiva",N1101,0)</f>
        <v/>
      </c>
      <c r="P1101" s="17">
        <f>IF('ORDENES'!$U1097="correctiva",N1101,0)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22">
        <f>IF(K1101=1,'ORDENES'!$J1097,"")</f>
        <v/>
      </c>
    </row>
    <row r="1102">
      <c r="K1102" s="5">
        <f>IF(AND(IF($B$3="(todos)",TRUE,'ORDENES'!$O1098=$B$3),IF($D$3="(todos)",TRUE,'ORDENES'!$AH1098=$D$3),IF($F$3="(todos)",TRUE,'ORDENES'!$Z1098=$F$3),IF($H$3="(todos)",TRUE,'ORDENES'!$Y1098=$H$3),'ORDENES'!$AF1098=TRUE,'ORDENES'!$A1098&lt;&gt;""),1,0)</f>
        <v/>
      </c>
      <c r="L1102" s="5">
        <f>IF(K1102=1,IFERROR(MATCH('ORDENES'!$S1098,lista_dias,0),9)*1000000000+IFERROR(MATCH('ORDENES'!$AH1098,lista_turnos,0),9)*10000000+IFERROR(MATCH('ORDENES'!$AG1098,tblTecnicos[nombre],0),99)*100000+1095,9000000000000+1095)</f>
        <v/>
      </c>
      <c r="M1102" s="5">
        <f>IF(K1102=1,SUMPRODUCT(--($L$8:$L$1207&lt;L1102))+1,"")</f>
        <v/>
      </c>
      <c r="N1102" s="17">
        <f>IF(K1102=1,N('ORDENES'!$M1098),0)</f>
        <v/>
      </c>
      <c r="O1102" s="17">
        <f>IF('ORDENES'!$U1098="preventiva",N1102,0)</f>
        <v/>
      </c>
      <c r="P1102" s="17">
        <f>IF('ORDENES'!$U1098="correctiva",N1102,0)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22">
        <f>IF(K1102=1,'ORDENES'!$J1098,"")</f>
        <v/>
      </c>
    </row>
    <row r="1103">
      <c r="K1103" s="5">
        <f>IF(AND(IF($B$3="(todos)",TRUE,'ORDENES'!$O1099=$B$3),IF($D$3="(todos)",TRUE,'ORDENES'!$AH1099=$D$3),IF($F$3="(todos)",TRUE,'ORDENES'!$Z1099=$F$3),IF($H$3="(todos)",TRUE,'ORDENES'!$Y1099=$H$3),'ORDENES'!$AF1099=TRUE,'ORDENES'!$A1099&lt;&gt;""),1,0)</f>
        <v/>
      </c>
      <c r="L1103" s="5">
        <f>IF(K1103=1,IFERROR(MATCH('ORDENES'!$S1099,lista_dias,0),9)*1000000000+IFERROR(MATCH('ORDENES'!$AH1099,lista_turnos,0),9)*10000000+IFERROR(MATCH('ORDENES'!$AG1099,tblTecnicos[nombre],0),99)*100000+1096,9000000000000+1096)</f>
        <v/>
      </c>
      <c r="M1103" s="5">
        <f>IF(K1103=1,SUMPRODUCT(--($L$8:$L$1207&lt;L1103))+1,"")</f>
        <v/>
      </c>
      <c r="N1103" s="17">
        <f>IF(K1103=1,N('ORDENES'!$M1099),0)</f>
        <v/>
      </c>
      <c r="O1103" s="17">
        <f>IF('ORDENES'!$U1099="preventiva",N1103,0)</f>
        <v/>
      </c>
      <c r="P1103" s="17">
        <f>IF('ORDENES'!$U1099="correctiva",N1103,0)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22">
        <f>IF(K1103=1,'ORDENES'!$J1099,"")</f>
        <v/>
      </c>
    </row>
    <row r="1104">
      <c r="K1104" s="5">
        <f>IF(AND(IF($B$3="(todos)",TRUE,'ORDENES'!$O1100=$B$3),IF($D$3="(todos)",TRUE,'ORDENES'!$AH1100=$D$3),IF($F$3="(todos)",TRUE,'ORDENES'!$Z1100=$F$3),IF($H$3="(todos)",TRUE,'ORDENES'!$Y1100=$H$3),'ORDENES'!$AF1100=TRUE,'ORDENES'!$A1100&lt;&gt;""),1,0)</f>
        <v/>
      </c>
      <c r="L1104" s="5">
        <f>IF(K1104=1,IFERROR(MATCH('ORDENES'!$S1100,lista_dias,0),9)*1000000000+IFERROR(MATCH('ORDENES'!$AH1100,lista_turnos,0),9)*10000000+IFERROR(MATCH('ORDENES'!$AG1100,tblTecnicos[nombre],0),99)*100000+1097,9000000000000+1097)</f>
        <v/>
      </c>
      <c r="M1104" s="5">
        <f>IF(K1104=1,SUMPRODUCT(--($L$8:$L$1207&lt;L1104))+1,"")</f>
        <v/>
      </c>
      <c r="N1104" s="17">
        <f>IF(K1104=1,N('ORDENES'!$M1100),0)</f>
        <v/>
      </c>
      <c r="O1104" s="17">
        <f>IF('ORDENES'!$U1100="preventiva",N1104,0)</f>
        <v/>
      </c>
      <c r="P1104" s="17">
        <f>IF('ORDENES'!$U1100="correctiva",N1104,0)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22">
        <f>IF(K1104=1,'ORDENES'!$J1100,"")</f>
        <v/>
      </c>
    </row>
    <row r="1105">
      <c r="K1105" s="5">
        <f>IF(AND(IF($B$3="(todos)",TRUE,'ORDENES'!$O1101=$B$3),IF($D$3="(todos)",TRUE,'ORDENES'!$AH1101=$D$3),IF($F$3="(todos)",TRUE,'ORDENES'!$Z1101=$F$3),IF($H$3="(todos)",TRUE,'ORDENES'!$Y1101=$H$3),'ORDENES'!$AF1101=TRUE,'ORDENES'!$A1101&lt;&gt;""),1,0)</f>
        <v/>
      </c>
      <c r="L1105" s="5">
        <f>IF(K1105=1,IFERROR(MATCH('ORDENES'!$S1101,lista_dias,0),9)*1000000000+IFERROR(MATCH('ORDENES'!$AH1101,lista_turnos,0),9)*10000000+IFERROR(MATCH('ORDENES'!$AG1101,tblTecnicos[nombre],0),99)*100000+1098,9000000000000+1098)</f>
        <v/>
      </c>
      <c r="M1105" s="5">
        <f>IF(K1105=1,SUMPRODUCT(--($L$8:$L$1207&lt;L1105))+1,"")</f>
        <v/>
      </c>
      <c r="N1105" s="17">
        <f>IF(K1105=1,N('ORDENES'!$M1101),0)</f>
        <v/>
      </c>
      <c r="O1105" s="17">
        <f>IF('ORDENES'!$U1101="preventiva",N1105,0)</f>
        <v/>
      </c>
      <c r="P1105" s="17">
        <f>IF('ORDENES'!$U1101="correctiva",N1105,0)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22">
        <f>IF(K1105=1,'ORDENES'!$J1101,"")</f>
        <v/>
      </c>
    </row>
    <row r="1106">
      <c r="K1106" s="5">
        <f>IF(AND(IF($B$3="(todos)",TRUE,'ORDENES'!$O1102=$B$3),IF($D$3="(todos)",TRUE,'ORDENES'!$AH1102=$D$3),IF($F$3="(todos)",TRUE,'ORDENES'!$Z1102=$F$3),IF($H$3="(todos)",TRUE,'ORDENES'!$Y1102=$H$3),'ORDENES'!$AF1102=TRUE,'ORDENES'!$A1102&lt;&gt;""),1,0)</f>
        <v/>
      </c>
      <c r="L1106" s="5">
        <f>IF(K1106=1,IFERROR(MATCH('ORDENES'!$S1102,lista_dias,0),9)*1000000000+IFERROR(MATCH('ORDENES'!$AH1102,lista_turnos,0),9)*10000000+IFERROR(MATCH('ORDENES'!$AG1102,tblTecnicos[nombre],0),99)*100000+1099,9000000000000+1099)</f>
        <v/>
      </c>
      <c r="M1106" s="5">
        <f>IF(K1106=1,SUMPRODUCT(--($L$8:$L$1207&lt;L1106))+1,"")</f>
        <v/>
      </c>
      <c r="N1106" s="17">
        <f>IF(K1106=1,N('ORDENES'!$M1102),0)</f>
        <v/>
      </c>
      <c r="O1106" s="17">
        <f>IF('ORDENES'!$U1102="preventiva",N1106,0)</f>
        <v/>
      </c>
      <c r="P1106" s="17">
        <f>IF('ORDENES'!$U1102="correctiva",N1106,0)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22">
        <f>IF(K1106=1,'ORDENES'!$J1102,"")</f>
        <v/>
      </c>
    </row>
    <row r="1107">
      <c r="K1107" s="5">
        <f>IF(AND(IF($B$3="(todos)",TRUE,'ORDENES'!$O1103=$B$3),IF($D$3="(todos)",TRUE,'ORDENES'!$AH1103=$D$3),IF($F$3="(todos)",TRUE,'ORDENES'!$Z1103=$F$3),IF($H$3="(todos)",TRUE,'ORDENES'!$Y1103=$H$3),'ORDENES'!$AF1103=TRUE,'ORDENES'!$A1103&lt;&gt;""),1,0)</f>
        <v/>
      </c>
      <c r="L1107" s="5">
        <f>IF(K1107=1,IFERROR(MATCH('ORDENES'!$S1103,lista_dias,0),9)*1000000000+IFERROR(MATCH('ORDENES'!$AH1103,lista_turnos,0),9)*10000000+IFERROR(MATCH('ORDENES'!$AG1103,tblTecnicos[nombre],0),99)*100000+1100,9000000000000+1100)</f>
        <v/>
      </c>
      <c r="M1107" s="5">
        <f>IF(K1107=1,SUMPRODUCT(--($L$8:$L$1207&lt;L1107))+1,"")</f>
        <v/>
      </c>
      <c r="N1107" s="17">
        <f>IF(K1107=1,N('ORDENES'!$M1103),0)</f>
        <v/>
      </c>
      <c r="O1107" s="17">
        <f>IF('ORDENES'!$U1103="preventiva",N1107,0)</f>
        <v/>
      </c>
      <c r="P1107" s="17">
        <f>IF('ORDENES'!$U1103="correctiva",N1107,0)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22">
        <f>IF(K1107=1,'ORDENES'!$J1103,"")</f>
        <v/>
      </c>
    </row>
    <row r="1108">
      <c r="K1108" s="5">
        <f>IF(AND(IF($B$3="(todos)",TRUE,'ORDENES'!$O1104=$B$3),IF($D$3="(todos)",TRUE,'ORDENES'!$AH1104=$D$3),IF($F$3="(todos)",TRUE,'ORDENES'!$Z1104=$F$3),IF($H$3="(todos)",TRUE,'ORDENES'!$Y1104=$H$3),'ORDENES'!$AF1104=TRUE,'ORDENES'!$A1104&lt;&gt;""),1,0)</f>
        <v/>
      </c>
      <c r="L1108" s="5">
        <f>IF(K1108=1,IFERROR(MATCH('ORDENES'!$S1104,lista_dias,0),9)*1000000000+IFERROR(MATCH('ORDENES'!$AH1104,lista_turnos,0),9)*10000000+IFERROR(MATCH('ORDENES'!$AG1104,tblTecnicos[nombre],0),99)*100000+1101,9000000000000+1101)</f>
        <v/>
      </c>
      <c r="M1108" s="5">
        <f>IF(K1108=1,SUMPRODUCT(--($L$8:$L$1207&lt;L1108))+1,"")</f>
        <v/>
      </c>
      <c r="N1108" s="17">
        <f>IF(K1108=1,N('ORDENES'!$M1104),0)</f>
        <v/>
      </c>
      <c r="O1108" s="17">
        <f>IF('ORDENES'!$U1104="preventiva",N1108,0)</f>
        <v/>
      </c>
      <c r="P1108" s="17">
        <f>IF('ORDENES'!$U1104="correctiva",N1108,0)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22">
        <f>IF(K1108=1,'ORDENES'!$J1104,"")</f>
        <v/>
      </c>
    </row>
    <row r="1109">
      <c r="K1109" s="5">
        <f>IF(AND(IF($B$3="(todos)",TRUE,'ORDENES'!$O1105=$B$3),IF($D$3="(todos)",TRUE,'ORDENES'!$AH1105=$D$3),IF($F$3="(todos)",TRUE,'ORDENES'!$Z1105=$F$3),IF($H$3="(todos)",TRUE,'ORDENES'!$Y1105=$H$3),'ORDENES'!$AF1105=TRUE,'ORDENES'!$A1105&lt;&gt;""),1,0)</f>
        <v/>
      </c>
      <c r="L1109" s="5">
        <f>IF(K1109=1,IFERROR(MATCH('ORDENES'!$S1105,lista_dias,0),9)*1000000000+IFERROR(MATCH('ORDENES'!$AH1105,lista_turnos,0),9)*10000000+IFERROR(MATCH('ORDENES'!$AG1105,tblTecnicos[nombre],0),99)*100000+1102,9000000000000+1102)</f>
        <v/>
      </c>
      <c r="M1109" s="5">
        <f>IF(K1109=1,SUMPRODUCT(--($L$8:$L$1207&lt;L1109))+1,"")</f>
        <v/>
      </c>
      <c r="N1109" s="17">
        <f>IF(K1109=1,N('ORDENES'!$M1105),0)</f>
        <v/>
      </c>
      <c r="O1109" s="17">
        <f>IF('ORDENES'!$U1105="preventiva",N1109,0)</f>
        <v/>
      </c>
      <c r="P1109" s="17">
        <f>IF('ORDENES'!$U1105="correctiva",N1109,0)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22">
        <f>IF(K1109=1,'ORDENES'!$J1105,"")</f>
        <v/>
      </c>
    </row>
    <row r="1110">
      <c r="K1110" s="5">
        <f>IF(AND(IF($B$3="(todos)",TRUE,'ORDENES'!$O1106=$B$3),IF($D$3="(todos)",TRUE,'ORDENES'!$AH1106=$D$3),IF($F$3="(todos)",TRUE,'ORDENES'!$Z1106=$F$3),IF($H$3="(todos)",TRUE,'ORDENES'!$Y1106=$H$3),'ORDENES'!$AF1106=TRUE,'ORDENES'!$A1106&lt;&gt;""),1,0)</f>
        <v/>
      </c>
      <c r="L1110" s="5">
        <f>IF(K1110=1,IFERROR(MATCH('ORDENES'!$S1106,lista_dias,0),9)*1000000000+IFERROR(MATCH('ORDENES'!$AH1106,lista_turnos,0),9)*10000000+IFERROR(MATCH('ORDENES'!$AG1106,tblTecnicos[nombre],0),99)*100000+1103,9000000000000+1103)</f>
        <v/>
      </c>
      <c r="M1110" s="5">
        <f>IF(K1110=1,SUMPRODUCT(--($L$8:$L$1207&lt;L1110))+1,"")</f>
        <v/>
      </c>
      <c r="N1110" s="17">
        <f>IF(K1110=1,N('ORDENES'!$M1106),0)</f>
        <v/>
      </c>
      <c r="O1110" s="17">
        <f>IF('ORDENES'!$U1106="preventiva",N1110,0)</f>
        <v/>
      </c>
      <c r="P1110" s="17">
        <f>IF('ORDENES'!$U1106="correctiva",N1110,0)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22">
        <f>IF(K1110=1,'ORDENES'!$J1106,"")</f>
        <v/>
      </c>
    </row>
    <row r="1111">
      <c r="K1111" s="5">
        <f>IF(AND(IF($B$3="(todos)",TRUE,'ORDENES'!$O1107=$B$3),IF($D$3="(todos)",TRUE,'ORDENES'!$AH1107=$D$3),IF($F$3="(todos)",TRUE,'ORDENES'!$Z1107=$F$3),IF($H$3="(todos)",TRUE,'ORDENES'!$Y1107=$H$3),'ORDENES'!$AF1107=TRUE,'ORDENES'!$A1107&lt;&gt;""),1,0)</f>
        <v/>
      </c>
      <c r="L1111" s="5">
        <f>IF(K1111=1,IFERROR(MATCH('ORDENES'!$S1107,lista_dias,0),9)*1000000000+IFERROR(MATCH('ORDENES'!$AH1107,lista_turnos,0),9)*10000000+IFERROR(MATCH('ORDENES'!$AG1107,tblTecnicos[nombre],0),99)*100000+1104,9000000000000+1104)</f>
        <v/>
      </c>
      <c r="M1111" s="5">
        <f>IF(K1111=1,SUMPRODUCT(--($L$8:$L$1207&lt;L1111))+1,"")</f>
        <v/>
      </c>
      <c r="N1111" s="17">
        <f>IF(K1111=1,N('ORDENES'!$M1107),0)</f>
        <v/>
      </c>
      <c r="O1111" s="17">
        <f>IF('ORDENES'!$U1107="preventiva",N1111,0)</f>
        <v/>
      </c>
      <c r="P1111" s="17">
        <f>IF('ORDENES'!$U1107="correctiva",N1111,0)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22">
        <f>IF(K1111=1,'ORDENES'!$J1107,"")</f>
        <v/>
      </c>
    </row>
    <row r="1112">
      <c r="K1112" s="5">
        <f>IF(AND(IF($B$3="(todos)",TRUE,'ORDENES'!$O1108=$B$3),IF($D$3="(todos)",TRUE,'ORDENES'!$AH1108=$D$3),IF($F$3="(todos)",TRUE,'ORDENES'!$Z1108=$F$3),IF($H$3="(todos)",TRUE,'ORDENES'!$Y1108=$H$3),'ORDENES'!$AF1108=TRUE,'ORDENES'!$A1108&lt;&gt;""),1,0)</f>
        <v/>
      </c>
      <c r="L1112" s="5">
        <f>IF(K1112=1,IFERROR(MATCH('ORDENES'!$S1108,lista_dias,0),9)*1000000000+IFERROR(MATCH('ORDENES'!$AH1108,lista_turnos,0),9)*10000000+IFERROR(MATCH('ORDENES'!$AG1108,tblTecnicos[nombre],0),99)*100000+1105,9000000000000+1105)</f>
        <v/>
      </c>
      <c r="M1112" s="5">
        <f>IF(K1112=1,SUMPRODUCT(--($L$8:$L$1207&lt;L1112))+1,"")</f>
        <v/>
      </c>
      <c r="N1112" s="17">
        <f>IF(K1112=1,N('ORDENES'!$M1108),0)</f>
        <v/>
      </c>
      <c r="O1112" s="17">
        <f>IF('ORDENES'!$U1108="preventiva",N1112,0)</f>
        <v/>
      </c>
      <c r="P1112" s="17">
        <f>IF('ORDENES'!$U1108="correctiva",N1112,0)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22">
        <f>IF(K1112=1,'ORDENES'!$J1108,"")</f>
        <v/>
      </c>
    </row>
    <row r="1113">
      <c r="K1113" s="5">
        <f>IF(AND(IF($B$3="(todos)",TRUE,'ORDENES'!$O1109=$B$3),IF($D$3="(todos)",TRUE,'ORDENES'!$AH1109=$D$3),IF($F$3="(todos)",TRUE,'ORDENES'!$Z1109=$F$3),IF($H$3="(todos)",TRUE,'ORDENES'!$Y1109=$H$3),'ORDENES'!$AF1109=TRUE,'ORDENES'!$A1109&lt;&gt;""),1,0)</f>
        <v/>
      </c>
      <c r="L1113" s="5">
        <f>IF(K1113=1,IFERROR(MATCH('ORDENES'!$S1109,lista_dias,0),9)*1000000000+IFERROR(MATCH('ORDENES'!$AH1109,lista_turnos,0),9)*10000000+IFERROR(MATCH('ORDENES'!$AG1109,tblTecnicos[nombre],0),99)*100000+1106,9000000000000+1106)</f>
        <v/>
      </c>
      <c r="M1113" s="5">
        <f>IF(K1113=1,SUMPRODUCT(--($L$8:$L$1207&lt;L1113))+1,"")</f>
        <v/>
      </c>
      <c r="N1113" s="17">
        <f>IF(K1113=1,N('ORDENES'!$M1109),0)</f>
        <v/>
      </c>
      <c r="O1113" s="17">
        <f>IF('ORDENES'!$U1109="preventiva",N1113,0)</f>
        <v/>
      </c>
      <c r="P1113" s="17">
        <f>IF('ORDENES'!$U1109="correctiva",N1113,0)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22">
        <f>IF(K1113=1,'ORDENES'!$J1109,"")</f>
        <v/>
      </c>
    </row>
    <row r="1114">
      <c r="K1114" s="5">
        <f>IF(AND(IF($B$3="(todos)",TRUE,'ORDENES'!$O1110=$B$3),IF($D$3="(todos)",TRUE,'ORDENES'!$AH1110=$D$3),IF($F$3="(todos)",TRUE,'ORDENES'!$Z1110=$F$3),IF($H$3="(todos)",TRUE,'ORDENES'!$Y1110=$H$3),'ORDENES'!$AF1110=TRUE,'ORDENES'!$A1110&lt;&gt;""),1,0)</f>
        <v/>
      </c>
      <c r="L1114" s="5">
        <f>IF(K1114=1,IFERROR(MATCH('ORDENES'!$S1110,lista_dias,0),9)*1000000000+IFERROR(MATCH('ORDENES'!$AH1110,lista_turnos,0),9)*10000000+IFERROR(MATCH('ORDENES'!$AG1110,tblTecnicos[nombre],0),99)*100000+1107,9000000000000+1107)</f>
        <v/>
      </c>
      <c r="M1114" s="5">
        <f>IF(K1114=1,SUMPRODUCT(--($L$8:$L$1207&lt;L1114))+1,"")</f>
        <v/>
      </c>
      <c r="N1114" s="17">
        <f>IF(K1114=1,N('ORDENES'!$M1110),0)</f>
        <v/>
      </c>
      <c r="O1114" s="17">
        <f>IF('ORDENES'!$U1110="preventiva",N1114,0)</f>
        <v/>
      </c>
      <c r="P1114" s="17">
        <f>IF('ORDENES'!$U1110="correctiva",N1114,0)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22">
        <f>IF(K1114=1,'ORDENES'!$J1110,"")</f>
        <v/>
      </c>
    </row>
    <row r="1115">
      <c r="K1115" s="5">
        <f>IF(AND(IF($B$3="(todos)",TRUE,'ORDENES'!$O1111=$B$3),IF($D$3="(todos)",TRUE,'ORDENES'!$AH1111=$D$3),IF($F$3="(todos)",TRUE,'ORDENES'!$Z1111=$F$3),IF($H$3="(todos)",TRUE,'ORDENES'!$Y1111=$H$3),'ORDENES'!$AF1111=TRUE,'ORDENES'!$A1111&lt;&gt;""),1,0)</f>
        <v/>
      </c>
      <c r="L1115" s="5">
        <f>IF(K1115=1,IFERROR(MATCH('ORDENES'!$S1111,lista_dias,0),9)*1000000000+IFERROR(MATCH('ORDENES'!$AH1111,lista_turnos,0),9)*10000000+IFERROR(MATCH('ORDENES'!$AG1111,tblTecnicos[nombre],0),99)*100000+1108,9000000000000+1108)</f>
        <v/>
      </c>
      <c r="M1115" s="5">
        <f>IF(K1115=1,SUMPRODUCT(--($L$8:$L$1207&lt;L1115))+1,"")</f>
        <v/>
      </c>
      <c r="N1115" s="17">
        <f>IF(K1115=1,N('ORDENES'!$M1111),0)</f>
        <v/>
      </c>
      <c r="O1115" s="17">
        <f>IF('ORDENES'!$U1111="preventiva",N1115,0)</f>
        <v/>
      </c>
      <c r="P1115" s="17">
        <f>IF('ORDENES'!$U1111="correctiva",N1115,0)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22">
        <f>IF(K1115=1,'ORDENES'!$J1111,"")</f>
        <v/>
      </c>
    </row>
    <row r="1116">
      <c r="K1116" s="5">
        <f>IF(AND(IF($B$3="(todos)",TRUE,'ORDENES'!$O1112=$B$3),IF($D$3="(todos)",TRUE,'ORDENES'!$AH1112=$D$3),IF($F$3="(todos)",TRUE,'ORDENES'!$Z1112=$F$3),IF($H$3="(todos)",TRUE,'ORDENES'!$Y1112=$H$3),'ORDENES'!$AF1112=TRUE,'ORDENES'!$A1112&lt;&gt;""),1,0)</f>
        <v/>
      </c>
      <c r="L1116" s="5">
        <f>IF(K1116=1,IFERROR(MATCH('ORDENES'!$S1112,lista_dias,0),9)*1000000000+IFERROR(MATCH('ORDENES'!$AH1112,lista_turnos,0),9)*10000000+IFERROR(MATCH('ORDENES'!$AG1112,tblTecnicos[nombre],0),99)*100000+1109,9000000000000+1109)</f>
        <v/>
      </c>
      <c r="M1116" s="5">
        <f>IF(K1116=1,SUMPRODUCT(--($L$8:$L$1207&lt;L1116))+1,"")</f>
        <v/>
      </c>
      <c r="N1116" s="17">
        <f>IF(K1116=1,N('ORDENES'!$M1112),0)</f>
        <v/>
      </c>
      <c r="O1116" s="17">
        <f>IF('ORDENES'!$U1112="preventiva",N1116,0)</f>
        <v/>
      </c>
      <c r="P1116" s="17">
        <f>IF('ORDENES'!$U1112="correctiva",N1116,0)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22">
        <f>IF(K1116=1,'ORDENES'!$J1112,"")</f>
        <v/>
      </c>
    </row>
    <row r="1117">
      <c r="K1117" s="5">
        <f>IF(AND(IF($B$3="(todos)",TRUE,'ORDENES'!$O1113=$B$3),IF($D$3="(todos)",TRUE,'ORDENES'!$AH1113=$D$3),IF($F$3="(todos)",TRUE,'ORDENES'!$Z1113=$F$3),IF($H$3="(todos)",TRUE,'ORDENES'!$Y1113=$H$3),'ORDENES'!$AF1113=TRUE,'ORDENES'!$A1113&lt;&gt;""),1,0)</f>
        <v/>
      </c>
      <c r="L1117" s="5">
        <f>IF(K1117=1,IFERROR(MATCH('ORDENES'!$S1113,lista_dias,0),9)*1000000000+IFERROR(MATCH('ORDENES'!$AH1113,lista_turnos,0),9)*10000000+IFERROR(MATCH('ORDENES'!$AG1113,tblTecnicos[nombre],0),99)*100000+1110,9000000000000+1110)</f>
        <v/>
      </c>
      <c r="M1117" s="5">
        <f>IF(K1117=1,SUMPRODUCT(--($L$8:$L$1207&lt;L1117))+1,"")</f>
        <v/>
      </c>
      <c r="N1117" s="17">
        <f>IF(K1117=1,N('ORDENES'!$M1113),0)</f>
        <v/>
      </c>
      <c r="O1117" s="17">
        <f>IF('ORDENES'!$U1113="preventiva",N1117,0)</f>
        <v/>
      </c>
      <c r="P1117" s="17">
        <f>IF('ORDENES'!$U1113="correctiva",N1117,0)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22">
        <f>IF(K1117=1,'ORDENES'!$J1113,"")</f>
        <v/>
      </c>
    </row>
    <row r="1118">
      <c r="K1118" s="5">
        <f>IF(AND(IF($B$3="(todos)",TRUE,'ORDENES'!$O1114=$B$3),IF($D$3="(todos)",TRUE,'ORDENES'!$AH1114=$D$3),IF($F$3="(todos)",TRUE,'ORDENES'!$Z1114=$F$3),IF($H$3="(todos)",TRUE,'ORDENES'!$Y1114=$H$3),'ORDENES'!$AF1114=TRUE,'ORDENES'!$A1114&lt;&gt;""),1,0)</f>
        <v/>
      </c>
      <c r="L1118" s="5">
        <f>IF(K1118=1,IFERROR(MATCH('ORDENES'!$S1114,lista_dias,0),9)*1000000000+IFERROR(MATCH('ORDENES'!$AH1114,lista_turnos,0),9)*10000000+IFERROR(MATCH('ORDENES'!$AG1114,tblTecnicos[nombre],0),99)*100000+1111,9000000000000+1111)</f>
        <v/>
      </c>
      <c r="M1118" s="5">
        <f>IF(K1118=1,SUMPRODUCT(--($L$8:$L$1207&lt;L1118))+1,"")</f>
        <v/>
      </c>
      <c r="N1118" s="17">
        <f>IF(K1118=1,N('ORDENES'!$M1114),0)</f>
        <v/>
      </c>
      <c r="O1118" s="17">
        <f>IF('ORDENES'!$U1114="preventiva",N1118,0)</f>
        <v/>
      </c>
      <c r="P1118" s="17">
        <f>IF('ORDENES'!$U1114="correctiva",N1118,0)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22">
        <f>IF(K1118=1,'ORDENES'!$J1114,"")</f>
        <v/>
      </c>
    </row>
    <row r="1119">
      <c r="K1119" s="5">
        <f>IF(AND(IF($B$3="(todos)",TRUE,'ORDENES'!$O1115=$B$3),IF($D$3="(todos)",TRUE,'ORDENES'!$AH1115=$D$3),IF($F$3="(todos)",TRUE,'ORDENES'!$Z1115=$F$3),IF($H$3="(todos)",TRUE,'ORDENES'!$Y1115=$H$3),'ORDENES'!$AF1115=TRUE,'ORDENES'!$A1115&lt;&gt;""),1,0)</f>
        <v/>
      </c>
      <c r="L1119" s="5">
        <f>IF(K1119=1,IFERROR(MATCH('ORDENES'!$S1115,lista_dias,0),9)*1000000000+IFERROR(MATCH('ORDENES'!$AH1115,lista_turnos,0),9)*10000000+IFERROR(MATCH('ORDENES'!$AG1115,tblTecnicos[nombre],0),99)*100000+1112,9000000000000+1112)</f>
        <v/>
      </c>
      <c r="M1119" s="5">
        <f>IF(K1119=1,SUMPRODUCT(--($L$8:$L$1207&lt;L1119))+1,"")</f>
        <v/>
      </c>
      <c r="N1119" s="17">
        <f>IF(K1119=1,N('ORDENES'!$M1115),0)</f>
        <v/>
      </c>
      <c r="O1119" s="17">
        <f>IF('ORDENES'!$U1115="preventiva",N1119,0)</f>
        <v/>
      </c>
      <c r="P1119" s="17">
        <f>IF('ORDENES'!$U1115="correctiva",N1119,0)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22">
        <f>IF(K1119=1,'ORDENES'!$J1115,"")</f>
        <v/>
      </c>
    </row>
    <row r="1120">
      <c r="K1120" s="5">
        <f>IF(AND(IF($B$3="(todos)",TRUE,'ORDENES'!$O1116=$B$3),IF($D$3="(todos)",TRUE,'ORDENES'!$AH1116=$D$3),IF($F$3="(todos)",TRUE,'ORDENES'!$Z1116=$F$3),IF($H$3="(todos)",TRUE,'ORDENES'!$Y1116=$H$3),'ORDENES'!$AF1116=TRUE,'ORDENES'!$A1116&lt;&gt;""),1,0)</f>
        <v/>
      </c>
      <c r="L1120" s="5">
        <f>IF(K1120=1,IFERROR(MATCH('ORDENES'!$S1116,lista_dias,0),9)*1000000000+IFERROR(MATCH('ORDENES'!$AH1116,lista_turnos,0),9)*10000000+IFERROR(MATCH('ORDENES'!$AG1116,tblTecnicos[nombre],0),99)*100000+1113,9000000000000+1113)</f>
        <v/>
      </c>
      <c r="M1120" s="5">
        <f>IF(K1120=1,SUMPRODUCT(--($L$8:$L$1207&lt;L1120))+1,"")</f>
        <v/>
      </c>
      <c r="N1120" s="17">
        <f>IF(K1120=1,N('ORDENES'!$M1116),0)</f>
        <v/>
      </c>
      <c r="O1120" s="17">
        <f>IF('ORDENES'!$U1116="preventiva",N1120,0)</f>
        <v/>
      </c>
      <c r="P1120" s="17">
        <f>IF('ORDENES'!$U1116="correctiva",N1120,0)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22">
        <f>IF(K1120=1,'ORDENES'!$J1116,"")</f>
        <v/>
      </c>
    </row>
    <row r="1121">
      <c r="K1121" s="5">
        <f>IF(AND(IF($B$3="(todos)",TRUE,'ORDENES'!$O1117=$B$3),IF($D$3="(todos)",TRUE,'ORDENES'!$AH1117=$D$3),IF($F$3="(todos)",TRUE,'ORDENES'!$Z1117=$F$3),IF($H$3="(todos)",TRUE,'ORDENES'!$Y1117=$H$3),'ORDENES'!$AF1117=TRUE,'ORDENES'!$A1117&lt;&gt;""),1,0)</f>
        <v/>
      </c>
      <c r="L1121" s="5">
        <f>IF(K1121=1,IFERROR(MATCH('ORDENES'!$S1117,lista_dias,0),9)*1000000000+IFERROR(MATCH('ORDENES'!$AH1117,lista_turnos,0),9)*10000000+IFERROR(MATCH('ORDENES'!$AG1117,tblTecnicos[nombre],0),99)*100000+1114,9000000000000+1114)</f>
        <v/>
      </c>
      <c r="M1121" s="5">
        <f>IF(K1121=1,SUMPRODUCT(--($L$8:$L$1207&lt;L1121))+1,"")</f>
        <v/>
      </c>
      <c r="N1121" s="17">
        <f>IF(K1121=1,N('ORDENES'!$M1117),0)</f>
        <v/>
      </c>
      <c r="O1121" s="17">
        <f>IF('ORDENES'!$U1117="preventiva",N1121,0)</f>
        <v/>
      </c>
      <c r="P1121" s="17">
        <f>IF('ORDENES'!$U1117="correctiva",N1121,0)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22">
        <f>IF(K1121=1,'ORDENES'!$J1117,"")</f>
        <v/>
      </c>
    </row>
    <row r="1122">
      <c r="K1122" s="5">
        <f>IF(AND(IF($B$3="(todos)",TRUE,'ORDENES'!$O1118=$B$3),IF($D$3="(todos)",TRUE,'ORDENES'!$AH1118=$D$3),IF($F$3="(todos)",TRUE,'ORDENES'!$Z1118=$F$3),IF($H$3="(todos)",TRUE,'ORDENES'!$Y1118=$H$3),'ORDENES'!$AF1118=TRUE,'ORDENES'!$A1118&lt;&gt;""),1,0)</f>
        <v/>
      </c>
      <c r="L1122" s="5">
        <f>IF(K1122=1,IFERROR(MATCH('ORDENES'!$S1118,lista_dias,0),9)*1000000000+IFERROR(MATCH('ORDENES'!$AH1118,lista_turnos,0),9)*10000000+IFERROR(MATCH('ORDENES'!$AG1118,tblTecnicos[nombre],0),99)*100000+1115,9000000000000+1115)</f>
        <v/>
      </c>
      <c r="M1122" s="5">
        <f>IF(K1122=1,SUMPRODUCT(--($L$8:$L$1207&lt;L1122))+1,"")</f>
        <v/>
      </c>
      <c r="N1122" s="17">
        <f>IF(K1122=1,N('ORDENES'!$M1118),0)</f>
        <v/>
      </c>
      <c r="O1122" s="17">
        <f>IF('ORDENES'!$U1118="preventiva",N1122,0)</f>
        <v/>
      </c>
      <c r="P1122" s="17">
        <f>IF('ORDENES'!$U1118="correctiva",N1122,0)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22">
        <f>IF(K1122=1,'ORDENES'!$J1118,"")</f>
        <v/>
      </c>
    </row>
    <row r="1123">
      <c r="K1123" s="5">
        <f>IF(AND(IF($B$3="(todos)",TRUE,'ORDENES'!$O1119=$B$3),IF($D$3="(todos)",TRUE,'ORDENES'!$AH1119=$D$3),IF($F$3="(todos)",TRUE,'ORDENES'!$Z1119=$F$3),IF($H$3="(todos)",TRUE,'ORDENES'!$Y1119=$H$3),'ORDENES'!$AF1119=TRUE,'ORDENES'!$A1119&lt;&gt;""),1,0)</f>
        <v/>
      </c>
      <c r="L1123" s="5">
        <f>IF(K1123=1,IFERROR(MATCH('ORDENES'!$S1119,lista_dias,0),9)*1000000000+IFERROR(MATCH('ORDENES'!$AH1119,lista_turnos,0),9)*10000000+IFERROR(MATCH('ORDENES'!$AG1119,tblTecnicos[nombre],0),99)*100000+1116,9000000000000+1116)</f>
        <v/>
      </c>
      <c r="M1123" s="5">
        <f>IF(K1123=1,SUMPRODUCT(--($L$8:$L$1207&lt;L1123))+1,"")</f>
        <v/>
      </c>
      <c r="N1123" s="17">
        <f>IF(K1123=1,N('ORDENES'!$M1119),0)</f>
        <v/>
      </c>
      <c r="O1123" s="17">
        <f>IF('ORDENES'!$U1119="preventiva",N1123,0)</f>
        <v/>
      </c>
      <c r="P1123" s="17">
        <f>IF('ORDENES'!$U1119="correctiva",N1123,0)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22">
        <f>IF(K1123=1,'ORDENES'!$J1119,"")</f>
        <v/>
      </c>
    </row>
    <row r="1124">
      <c r="K1124" s="5">
        <f>IF(AND(IF($B$3="(todos)",TRUE,'ORDENES'!$O1120=$B$3),IF($D$3="(todos)",TRUE,'ORDENES'!$AH1120=$D$3),IF($F$3="(todos)",TRUE,'ORDENES'!$Z1120=$F$3),IF($H$3="(todos)",TRUE,'ORDENES'!$Y1120=$H$3),'ORDENES'!$AF1120=TRUE,'ORDENES'!$A1120&lt;&gt;""),1,0)</f>
        <v/>
      </c>
      <c r="L1124" s="5">
        <f>IF(K1124=1,IFERROR(MATCH('ORDENES'!$S1120,lista_dias,0),9)*1000000000+IFERROR(MATCH('ORDENES'!$AH1120,lista_turnos,0),9)*10000000+IFERROR(MATCH('ORDENES'!$AG1120,tblTecnicos[nombre],0),99)*100000+1117,9000000000000+1117)</f>
        <v/>
      </c>
      <c r="M1124" s="5">
        <f>IF(K1124=1,SUMPRODUCT(--($L$8:$L$1207&lt;L1124))+1,"")</f>
        <v/>
      </c>
      <c r="N1124" s="17">
        <f>IF(K1124=1,N('ORDENES'!$M1120),0)</f>
        <v/>
      </c>
      <c r="O1124" s="17">
        <f>IF('ORDENES'!$U1120="preventiva",N1124,0)</f>
        <v/>
      </c>
      <c r="P1124" s="17">
        <f>IF('ORDENES'!$U1120="correctiva",N1124,0)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22">
        <f>IF(K1124=1,'ORDENES'!$J1120,"")</f>
        <v/>
      </c>
    </row>
    <row r="1125">
      <c r="K1125" s="5">
        <f>IF(AND(IF($B$3="(todos)",TRUE,'ORDENES'!$O1121=$B$3),IF($D$3="(todos)",TRUE,'ORDENES'!$AH1121=$D$3),IF($F$3="(todos)",TRUE,'ORDENES'!$Z1121=$F$3),IF($H$3="(todos)",TRUE,'ORDENES'!$Y1121=$H$3),'ORDENES'!$AF1121=TRUE,'ORDENES'!$A1121&lt;&gt;""),1,0)</f>
        <v/>
      </c>
      <c r="L1125" s="5">
        <f>IF(K1125=1,IFERROR(MATCH('ORDENES'!$S1121,lista_dias,0),9)*1000000000+IFERROR(MATCH('ORDENES'!$AH1121,lista_turnos,0),9)*10000000+IFERROR(MATCH('ORDENES'!$AG1121,tblTecnicos[nombre],0),99)*100000+1118,9000000000000+1118)</f>
        <v/>
      </c>
      <c r="M1125" s="5">
        <f>IF(K1125=1,SUMPRODUCT(--($L$8:$L$1207&lt;L1125))+1,"")</f>
        <v/>
      </c>
      <c r="N1125" s="17">
        <f>IF(K1125=1,N('ORDENES'!$M1121),0)</f>
        <v/>
      </c>
      <c r="O1125" s="17">
        <f>IF('ORDENES'!$U1121="preventiva",N1125,0)</f>
        <v/>
      </c>
      <c r="P1125" s="17">
        <f>IF('ORDENES'!$U1121="correctiva",N1125,0)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22">
        <f>IF(K1125=1,'ORDENES'!$J1121,"")</f>
        <v/>
      </c>
    </row>
    <row r="1126">
      <c r="K1126" s="5">
        <f>IF(AND(IF($B$3="(todos)",TRUE,'ORDENES'!$O1122=$B$3),IF($D$3="(todos)",TRUE,'ORDENES'!$AH1122=$D$3),IF($F$3="(todos)",TRUE,'ORDENES'!$Z1122=$F$3),IF($H$3="(todos)",TRUE,'ORDENES'!$Y1122=$H$3),'ORDENES'!$AF1122=TRUE,'ORDENES'!$A1122&lt;&gt;""),1,0)</f>
        <v/>
      </c>
      <c r="L1126" s="5">
        <f>IF(K1126=1,IFERROR(MATCH('ORDENES'!$S1122,lista_dias,0),9)*1000000000+IFERROR(MATCH('ORDENES'!$AH1122,lista_turnos,0),9)*10000000+IFERROR(MATCH('ORDENES'!$AG1122,tblTecnicos[nombre],0),99)*100000+1119,9000000000000+1119)</f>
        <v/>
      </c>
      <c r="M1126" s="5">
        <f>IF(K1126=1,SUMPRODUCT(--($L$8:$L$1207&lt;L1126))+1,"")</f>
        <v/>
      </c>
      <c r="N1126" s="17">
        <f>IF(K1126=1,N('ORDENES'!$M1122),0)</f>
        <v/>
      </c>
      <c r="O1126" s="17">
        <f>IF('ORDENES'!$U1122="preventiva",N1126,0)</f>
        <v/>
      </c>
      <c r="P1126" s="17">
        <f>IF('ORDENES'!$U1122="correctiva",N1126,0)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22">
        <f>IF(K1126=1,'ORDENES'!$J1122,"")</f>
        <v/>
      </c>
    </row>
    <row r="1127">
      <c r="K1127" s="5">
        <f>IF(AND(IF($B$3="(todos)",TRUE,'ORDENES'!$O1123=$B$3),IF($D$3="(todos)",TRUE,'ORDENES'!$AH1123=$D$3),IF($F$3="(todos)",TRUE,'ORDENES'!$Z1123=$F$3),IF($H$3="(todos)",TRUE,'ORDENES'!$Y1123=$H$3),'ORDENES'!$AF1123=TRUE,'ORDENES'!$A1123&lt;&gt;""),1,0)</f>
        <v/>
      </c>
      <c r="L1127" s="5">
        <f>IF(K1127=1,IFERROR(MATCH('ORDENES'!$S1123,lista_dias,0),9)*1000000000+IFERROR(MATCH('ORDENES'!$AH1123,lista_turnos,0),9)*10000000+IFERROR(MATCH('ORDENES'!$AG1123,tblTecnicos[nombre],0),99)*100000+1120,9000000000000+1120)</f>
        <v/>
      </c>
      <c r="M1127" s="5">
        <f>IF(K1127=1,SUMPRODUCT(--($L$8:$L$1207&lt;L1127))+1,"")</f>
        <v/>
      </c>
      <c r="N1127" s="17">
        <f>IF(K1127=1,N('ORDENES'!$M1123),0)</f>
        <v/>
      </c>
      <c r="O1127" s="17">
        <f>IF('ORDENES'!$U1123="preventiva",N1127,0)</f>
        <v/>
      </c>
      <c r="P1127" s="17">
        <f>IF('ORDENES'!$U1123="correctiva",N1127,0)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22">
        <f>IF(K1127=1,'ORDENES'!$J1123,"")</f>
        <v/>
      </c>
    </row>
    <row r="1128">
      <c r="K1128" s="5">
        <f>IF(AND(IF($B$3="(todos)",TRUE,'ORDENES'!$O1124=$B$3),IF($D$3="(todos)",TRUE,'ORDENES'!$AH1124=$D$3),IF($F$3="(todos)",TRUE,'ORDENES'!$Z1124=$F$3),IF($H$3="(todos)",TRUE,'ORDENES'!$Y1124=$H$3),'ORDENES'!$AF1124=TRUE,'ORDENES'!$A1124&lt;&gt;""),1,0)</f>
        <v/>
      </c>
      <c r="L1128" s="5">
        <f>IF(K1128=1,IFERROR(MATCH('ORDENES'!$S1124,lista_dias,0),9)*1000000000+IFERROR(MATCH('ORDENES'!$AH1124,lista_turnos,0),9)*10000000+IFERROR(MATCH('ORDENES'!$AG1124,tblTecnicos[nombre],0),99)*100000+1121,9000000000000+1121)</f>
        <v/>
      </c>
      <c r="M1128" s="5">
        <f>IF(K1128=1,SUMPRODUCT(--($L$8:$L$1207&lt;L1128))+1,"")</f>
        <v/>
      </c>
      <c r="N1128" s="17">
        <f>IF(K1128=1,N('ORDENES'!$M1124),0)</f>
        <v/>
      </c>
      <c r="O1128" s="17">
        <f>IF('ORDENES'!$U1124="preventiva",N1128,0)</f>
        <v/>
      </c>
      <c r="P1128" s="17">
        <f>IF('ORDENES'!$U1124="correctiva",N1128,0)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22">
        <f>IF(K1128=1,'ORDENES'!$J1124,"")</f>
        <v/>
      </c>
    </row>
    <row r="1129">
      <c r="K1129" s="5">
        <f>IF(AND(IF($B$3="(todos)",TRUE,'ORDENES'!$O1125=$B$3),IF($D$3="(todos)",TRUE,'ORDENES'!$AH1125=$D$3),IF($F$3="(todos)",TRUE,'ORDENES'!$Z1125=$F$3),IF($H$3="(todos)",TRUE,'ORDENES'!$Y1125=$H$3),'ORDENES'!$AF1125=TRUE,'ORDENES'!$A1125&lt;&gt;""),1,0)</f>
        <v/>
      </c>
      <c r="L1129" s="5">
        <f>IF(K1129=1,IFERROR(MATCH('ORDENES'!$S1125,lista_dias,0),9)*1000000000+IFERROR(MATCH('ORDENES'!$AH1125,lista_turnos,0),9)*10000000+IFERROR(MATCH('ORDENES'!$AG1125,tblTecnicos[nombre],0),99)*100000+1122,9000000000000+1122)</f>
        <v/>
      </c>
      <c r="M1129" s="5">
        <f>IF(K1129=1,SUMPRODUCT(--($L$8:$L$1207&lt;L1129))+1,"")</f>
        <v/>
      </c>
      <c r="N1129" s="17">
        <f>IF(K1129=1,N('ORDENES'!$M1125),0)</f>
        <v/>
      </c>
      <c r="O1129" s="17">
        <f>IF('ORDENES'!$U1125="preventiva",N1129,0)</f>
        <v/>
      </c>
      <c r="P1129" s="17">
        <f>IF('ORDENES'!$U1125="correctiva",N1129,0)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22">
        <f>IF(K1129=1,'ORDENES'!$J1125,"")</f>
        <v/>
      </c>
    </row>
    <row r="1130">
      <c r="K1130" s="5">
        <f>IF(AND(IF($B$3="(todos)",TRUE,'ORDENES'!$O1126=$B$3),IF($D$3="(todos)",TRUE,'ORDENES'!$AH1126=$D$3),IF($F$3="(todos)",TRUE,'ORDENES'!$Z1126=$F$3),IF($H$3="(todos)",TRUE,'ORDENES'!$Y1126=$H$3),'ORDENES'!$AF1126=TRUE,'ORDENES'!$A1126&lt;&gt;""),1,0)</f>
        <v/>
      </c>
      <c r="L1130" s="5">
        <f>IF(K1130=1,IFERROR(MATCH('ORDENES'!$S1126,lista_dias,0),9)*1000000000+IFERROR(MATCH('ORDENES'!$AH1126,lista_turnos,0),9)*10000000+IFERROR(MATCH('ORDENES'!$AG1126,tblTecnicos[nombre],0),99)*100000+1123,9000000000000+1123)</f>
        <v/>
      </c>
      <c r="M1130" s="5">
        <f>IF(K1130=1,SUMPRODUCT(--($L$8:$L$1207&lt;L1130))+1,"")</f>
        <v/>
      </c>
      <c r="N1130" s="17">
        <f>IF(K1130=1,N('ORDENES'!$M1126),0)</f>
        <v/>
      </c>
      <c r="O1130" s="17">
        <f>IF('ORDENES'!$U1126="preventiva",N1130,0)</f>
        <v/>
      </c>
      <c r="P1130" s="17">
        <f>IF('ORDENES'!$U1126="correctiva",N1130,0)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22">
        <f>IF(K1130=1,'ORDENES'!$J1126,"")</f>
        <v/>
      </c>
    </row>
    <row r="1131">
      <c r="K1131" s="5">
        <f>IF(AND(IF($B$3="(todos)",TRUE,'ORDENES'!$O1127=$B$3),IF($D$3="(todos)",TRUE,'ORDENES'!$AH1127=$D$3),IF($F$3="(todos)",TRUE,'ORDENES'!$Z1127=$F$3),IF($H$3="(todos)",TRUE,'ORDENES'!$Y1127=$H$3),'ORDENES'!$AF1127=TRUE,'ORDENES'!$A1127&lt;&gt;""),1,0)</f>
        <v/>
      </c>
      <c r="L1131" s="5">
        <f>IF(K1131=1,IFERROR(MATCH('ORDENES'!$S1127,lista_dias,0),9)*1000000000+IFERROR(MATCH('ORDENES'!$AH1127,lista_turnos,0),9)*10000000+IFERROR(MATCH('ORDENES'!$AG1127,tblTecnicos[nombre],0),99)*100000+1124,9000000000000+1124)</f>
        <v/>
      </c>
      <c r="M1131" s="5">
        <f>IF(K1131=1,SUMPRODUCT(--($L$8:$L$1207&lt;L1131))+1,"")</f>
        <v/>
      </c>
      <c r="N1131" s="17">
        <f>IF(K1131=1,N('ORDENES'!$M1127),0)</f>
        <v/>
      </c>
      <c r="O1131" s="17">
        <f>IF('ORDENES'!$U1127="preventiva",N1131,0)</f>
        <v/>
      </c>
      <c r="P1131" s="17">
        <f>IF('ORDENES'!$U1127="correctiva",N1131,0)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22">
        <f>IF(K1131=1,'ORDENES'!$J1127,"")</f>
        <v/>
      </c>
    </row>
    <row r="1132">
      <c r="K1132" s="5">
        <f>IF(AND(IF($B$3="(todos)",TRUE,'ORDENES'!$O1128=$B$3),IF($D$3="(todos)",TRUE,'ORDENES'!$AH1128=$D$3),IF($F$3="(todos)",TRUE,'ORDENES'!$Z1128=$F$3),IF($H$3="(todos)",TRUE,'ORDENES'!$Y1128=$H$3),'ORDENES'!$AF1128=TRUE,'ORDENES'!$A1128&lt;&gt;""),1,0)</f>
        <v/>
      </c>
      <c r="L1132" s="5">
        <f>IF(K1132=1,IFERROR(MATCH('ORDENES'!$S1128,lista_dias,0),9)*1000000000+IFERROR(MATCH('ORDENES'!$AH1128,lista_turnos,0),9)*10000000+IFERROR(MATCH('ORDENES'!$AG1128,tblTecnicos[nombre],0),99)*100000+1125,9000000000000+1125)</f>
        <v/>
      </c>
      <c r="M1132" s="5">
        <f>IF(K1132=1,SUMPRODUCT(--($L$8:$L$1207&lt;L1132))+1,"")</f>
        <v/>
      </c>
      <c r="N1132" s="17">
        <f>IF(K1132=1,N('ORDENES'!$M1128),0)</f>
        <v/>
      </c>
      <c r="O1132" s="17">
        <f>IF('ORDENES'!$U1128="preventiva",N1132,0)</f>
        <v/>
      </c>
      <c r="P1132" s="17">
        <f>IF('ORDENES'!$U1128="correctiva",N1132,0)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22">
        <f>IF(K1132=1,'ORDENES'!$J1128,"")</f>
        <v/>
      </c>
    </row>
    <row r="1133">
      <c r="K1133" s="5">
        <f>IF(AND(IF($B$3="(todos)",TRUE,'ORDENES'!$O1129=$B$3),IF($D$3="(todos)",TRUE,'ORDENES'!$AH1129=$D$3),IF($F$3="(todos)",TRUE,'ORDENES'!$Z1129=$F$3),IF($H$3="(todos)",TRUE,'ORDENES'!$Y1129=$H$3),'ORDENES'!$AF1129=TRUE,'ORDENES'!$A1129&lt;&gt;""),1,0)</f>
        <v/>
      </c>
      <c r="L1133" s="5">
        <f>IF(K1133=1,IFERROR(MATCH('ORDENES'!$S1129,lista_dias,0),9)*1000000000+IFERROR(MATCH('ORDENES'!$AH1129,lista_turnos,0),9)*10000000+IFERROR(MATCH('ORDENES'!$AG1129,tblTecnicos[nombre],0),99)*100000+1126,9000000000000+1126)</f>
        <v/>
      </c>
      <c r="M1133" s="5">
        <f>IF(K1133=1,SUMPRODUCT(--($L$8:$L$1207&lt;L1133))+1,"")</f>
        <v/>
      </c>
      <c r="N1133" s="17">
        <f>IF(K1133=1,N('ORDENES'!$M1129),0)</f>
        <v/>
      </c>
      <c r="O1133" s="17">
        <f>IF('ORDENES'!$U1129="preventiva",N1133,0)</f>
        <v/>
      </c>
      <c r="P1133" s="17">
        <f>IF('ORDENES'!$U1129="correctiva",N1133,0)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22">
        <f>IF(K1133=1,'ORDENES'!$J1129,"")</f>
        <v/>
      </c>
    </row>
    <row r="1134">
      <c r="K1134" s="5">
        <f>IF(AND(IF($B$3="(todos)",TRUE,'ORDENES'!$O1130=$B$3),IF($D$3="(todos)",TRUE,'ORDENES'!$AH1130=$D$3),IF($F$3="(todos)",TRUE,'ORDENES'!$Z1130=$F$3),IF($H$3="(todos)",TRUE,'ORDENES'!$Y1130=$H$3),'ORDENES'!$AF1130=TRUE,'ORDENES'!$A1130&lt;&gt;""),1,0)</f>
        <v/>
      </c>
      <c r="L1134" s="5">
        <f>IF(K1134=1,IFERROR(MATCH('ORDENES'!$S1130,lista_dias,0),9)*1000000000+IFERROR(MATCH('ORDENES'!$AH1130,lista_turnos,0),9)*10000000+IFERROR(MATCH('ORDENES'!$AG1130,tblTecnicos[nombre],0),99)*100000+1127,9000000000000+1127)</f>
        <v/>
      </c>
      <c r="M1134" s="5">
        <f>IF(K1134=1,SUMPRODUCT(--($L$8:$L$1207&lt;L1134))+1,"")</f>
        <v/>
      </c>
      <c r="N1134" s="17">
        <f>IF(K1134=1,N('ORDENES'!$M1130),0)</f>
        <v/>
      </c>
      <c r="O1134" s="17">
        <f>IF('ORDENES'!$U1130="preventiva",N1134,0)</f>
        <v/>
      </c>
      <c r="P1134" s="17">
        <f>IF('ORDENES'!$U1130="correctiva",N1134,0)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22">
        <f>IF(K1134=1,'ORDENES'!$J1130,"")</f>
        <v/>
      </c>
    </row>
    <row r="1135">
      <c r="K1135" s="5">
        <f>IF(AND(IF($B$3="(todos)",TRUE,'ORDENES'!$O1131=$B$3),IF($D$3="(todos)",TRUE,'ORDENES'!$AH1131=$D$3),IF($F$3="(todos)",TRUE,'ORDENES'!$Z1131=$F$3),IF($H$3="(todos)",TRUE,'ORDENES'!$Y1131=$H$3),'ORDENES'!$AF1131=TRUE,'ORDENES'!$A1131&lt;&gt;""),1,0)</f>
        <v/>
      </c>
      <c r="L1135" s="5">
        <f>IF(K1135=1,IFERROR(MATCH('ORDENES'!$S1131,lista_dias,0),9)*1000000000+IFERROR(MATCH('ORDENES'!$AH1131,lista_turnos,0),9)*10000000+IFERROR(MATCH('ORDENES'!$AG1131,tblTecnicos[nombre],0),99)*100000+1128,9000000000000+1128)</f>
        <v/>
      </c>
      <c r="M1135" s="5">
        <f>IF(K1135=1,SUMPRODUCT(--($L$8:$L$1207&lt;L1135))+1,"")</f>
        <v/>
      </c>
      <c r="N1135" s="17">
        <f>IF(K1135=1,N('ORDENES'!$M1131),0)</f>
        <v/>
      </c>
      <c r="O1135" s="17">
        <f>IF('ORDENES'!$U1131="preventiva",N1135,0)</f>
        <v/>
      </c>
      <c r="P1135" s="17">
        <f>IF('ORDENES'!$U1131="correctiva",N1135,0)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22">
        <f>IF(K1135=1,'ORDENES'!$J1131,"")</f>
        <v/>
      </c>
    </row>
    <row r="1136">
      <c r="K1136" s="5">
        <f>IF(AND(IF($B$3="(todos)",TRUE,'ORDENES'!$O1132=$B$3),IF($D$3="(todos)",TRUE,'ORDENES'!$AH1132=$D$3),IF($F$3="(todos)",TRUE,'ORDENES'!$Z1132=$F$3),IF($H$3="(todos)",TRUE,'ORDENES'!$Y1132=$H$3),'ORDENES'!$AF1132=TRUE,'ORDENES'!$A1132&lt;&gt;""),1,0)</f>
        <v/>
      </c>
      <c r="L1136" s="5">
        <f>IF(K1136=1,IFERROR(MATCH('ORDENES'!$S1132,lista_dias,0),9)*1000000000+IFERROR(MATCH('ORDENES'!$AH1132,lista_turnos,0),9)*10000000+IFERROR(MATCH('ORDENES'!$AG1132,tblTecnicos[nombre],0),99)*100000+1129,9000000000000+1129)</f>
        <v/>
      </c>
      <c r="M1136" s="5">
        <f>IF(K1136=1,SUMPRODUCT(--($L$8:$L$1207&lt;L1136))+1,"")</f>
        <v/>
      </c>
      <c r="N1136" s="17">
        <f>IF(K1136=1,N('ORDENES'!$M1132),0)</f>
        <v/>
      </c>
      <c r="O1136" s="17">
        <f>IF('ORDENES'!$U1132="preventiva",N1136,0)</f>
        <v/>
      </c>
      <c r="P1136" s="17">
        <f>IF('ORDENES'!$U1132="correctiva",N1136,0)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22">
        <f>IF(K1136=1,'ORDENES'!$J1132,"")</f>
        <v/>
      </c>
    </row>
    <row r="1137">
      <c r="K1137" s="5">
        <f>IF(AND(IF($B$3="(todos)",TRUE,'ORDENES'!$O1133=$B$3),IF($D$3="(todos)",TRUE,'ORDENES'!$AH1133=$D$3),IF($F$3="(todos)",TRUE,'ORDENES'!$Z1133=$F$3),IF($H$3="(todos)",TRUE,'ORDENES'!$Y1133=$H$3),'ORDENES'!$AF1133=TRUE,'ORDENES'!$A1133&lt;&gt;""),1,0)</f>
        <v/>
      </c>
      <c r="L1137" s="5">
        <f>IF(K1137=1,IFERROR(MATCH('ORDENES'!$S1133,lista_dias,0),9)*1000000000+IFERROR(MATCH('ORDENES'!$AH1133,lista_turnos,0),9)*10000000+IFERROR(MATCH('ORDENES'!$AG1133,tblTecnicos[nombre],0),99)*100000+1130,9000000000000+1130)</f>
        <v/>
      </c>
      <c r="M1137" s="5">
        <f>IF(K1137=1,SUMPRODUCT(--($L$8:$L$1207&lt;L1137))+1,"")</f>
        <v/>
      </c>
      <c r="N1137" s="17">
        <f>IF(K1137=1,N('ORDENES'!$M1133),0)</f>
        <v/>
      </c>
      <c r="O1137" s="17">
        <f>IF('ORDENES'!$U1133="preventiva",N1137,0)</f>
        <v/>
      </c>
      <c r="P1137" s="17">
        <f>IF('ORDENES'!$U1133="correctiva",N1137,0)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22">
        <f>IF(K1137=1,'ORDENES'!$J1133,"")</f>
        <v/>
      </c>
    </row>
    <row r="1138">
      <c r="K1138" s="5">
        <f>IF(AND(IF($B$3="(todos)",TRUE,'ORDENES'!$O1134=$B$3),IF($D$3="(todos)",TRUE,'ORDENES'!$AH1134=$D$3),IF($F$3="(todos)",TRUE,'ORDENES'!$Z1134=$F$3),IF($H$3="(todos)",TRUE,'ORDENES'!$Y1134=$H$3),'ORDENES'!$AF1134=TRUE,'ORDENES'!$A1134&lt;&gt;""),1,0)</f>
        <v/>
      </c>
      <c r="L1138" s="5">
        <f>IF(K1138=1,IFERROR(MATCH('ORDENES'!$S1134,lista_dias,0),9)*1000000000+IFERROR(MATCH('ORDENES'!$AH1134,lista_turnos,0),9)*10000000+IFERROR(MATCH('ORDENES'!$AG1134,tblTecnicos[nombre],0),99)*100000+1131,9000000000000+1131)</f>
        <v/>
      </c>
      <c r="M1138" s="5">
        <f>IF(K1138=1,SUMPRODUCT(--($L$8:$L$1207&lt;L1138))+1,"")</f>
        <v/>
      </c>
      <c r="N1138" s="17">
        <f>IF(K1138=1,N('ORDENES'!$M1134),0)</f>
        <v/>
      </c>
      <c r="O1138" s="17">
        <f>IF('ORDENES'!$U1134="preventiva",N1138,0)</f>
        <v/>
      </c>
      <c r="P1138" s="17">
        <f>IF('ORDENES'!$U1134="correctiva",N1138,0)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22">
        <f>IF(K1138=1,'ORDENES'!$J1134,"")</f>
        <v/>
      </c>
    </row>
    <row r="1139">
      <c r="K1139" s="5">
        <f>IF(AND(IF($B$3="(todos)",TRUE,'ORDENES'!$O1135=$B$3),IF($D$3="(todos)",TRUE,'ORDENES'!$AH1135=$D$3),IF($F$3="(todos)",TRUE,'ORDENES'!$Z1135=$F$3),IF($H$3="(todos)",TRUE,'ORDENES'!$Y1135=$H$3),'ORDENES'!$AF1135=TRUE,'ORDENES'!$A1135&lt;&gt;""),1,0)</f>
        <v/>
      </c>
      <c r="L1139" s="5">
        <f>IF(K1139=1,IFERROR(MATCH('ORDENES'!$S1135,lista_dias,0),9)*1000000000+IFERROR(MATCH('ORDENES'!$AH1135,lista_turnos,0),9)*10000000+IFERROR(MATCH('ORDENES'!$AG1135,tblTecnicos[nombre],0),99)*100000+1132,9000000000000+1132)</f>
        <v/>
      </c>
      <c r="M1139" s="5">
        <f>IF(K1139=1,SUMPRODUCT(--($L$8:$L$1207&lt;L1139))+1,"")</f>
        <v/>
      </c>
      <c r="N1139" s="17">
        <f>IF(K1139=1,N('ORDENES'!$M1135),0)</f>
        <v/>
      </c>
      <c r="O1139" s="17">
        <f>IF('ORDENES'!$U1135="preventiva",N1139,0)</f>
        <v/>
      </c>
      <c r="P1139" s="17">
        <f>IF('ORDENES'!$U1135="correctiva",N1139,0)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22">
        <f>IF(K1139=1,'ORDENES'!$J1135,"")</f>
        <v/>
      </c>
    </row>
    <row r="1140">
      <c r="K1140" s="5">
        <f>IF(AND(IF($B$3="(todos)",TRUE,'ORDENES'!$O1136=$B$3),IF($D$3="(todos)",TRUE,'ORDENES'!$AH1136=$D$3),IF($F$3="(todos)",TRUE,'ORDENES'!$Z1136=$F$3),IF($H$3="(todos)",TRUE,'ORDENES'!$Y1136=$H$3),'ORDENES'!$AF1136=TRUE,'ORDENES'!$A1136&lt;&gt;""),1,0)</f>
        <v/>
      </c>
      <c r="L1140" s="5">
        <f>IF(K1140=1,IFERROR(MATCH('ORDENES'!$S1136,lista_dias,0),9)*1000000000+IFERROR(MATCH('ORDENES'!$AH1136,lista_turnos,0),9)*10000000+IFERROR(MATCH('ORDENES'!$AG1136,tblTecnicos[nombre],0),99)*100000+1133,9000000000000+1133)</f>
        <v/>
      </c>
      <c r="M1140" s="5">
        <f>IF(K1140=1,SUMPRODUCT(--($L$8:$L$1207&lt;L1140))+1,"")</f>
        <v/>
      </c>
      <c r="N1140" s="17">
        <f>IF(K1140=1,N('ORDENES'!$M1136),0)</f>
        <v/>
      </c>
      <c r="O1140" s="17">
        <f>IF('ORDENES'!$U1136="preventiva",N1140,0)</f>
        <v/>
      </c>
      <c r="P1140" s="17">
        <f>IF('ORDENES'!$U1136="correctiva",N1140,0)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22">
        <f>IF(K1140=1,'ORDENES'!$J1136,"")</f>
        <v/>
      </c>
    </row>
    <row r="1141">
      <c r="K1141" s="5">
        <f>IF(AND(IF($B$3="(todos)",TRUE,'ORDENES'!$O1137=$B$3),IF($D$3="(todos)",TRUE,'ORDENES'!$AH1137=$D$3),IF($F$3="(todos)",TRUE,'ORDENES'!$Z1137=$F$3),IF($H$3="(todos)",TRUE,'ORDENES'!$Y1137=$H$3),'ORDENES'!$AF1137=TRUE,'ORDENES'!$A1137&lt;&gt;""),1,0)</f>
        <v/>
      </c>
      <c r="L1141" s="5">
        <f>IF(K1141=1,IFERROR(MATCH('ORDENES'!$S1137,lista_dias,0),9)*1000000000+IFERROR(MATCH('ORDENES'!$AH1137,lista_turnos,0),9)*10000000+IFERROR(MATCH('ORDENES'!$AG1137,tblTecnicos[nombre],0),99)*100000+1134,9000000000000+1134)</f>
        <v/>
      </c>
      <c r="M1141" s="5">
        <f>IF(K1141=1,SUMPRODUCT(--($L$8:$L$1207&lt;L1141))+1,"")</f>
        <v/>
      </c>
      <c r="N1141" s="17">
        <f>IF(K1141=1,N('ORDENES'!$M1137),0)</f>
        <v/>
      </c>
      <c r="O1141" s="17">
        <f>IF('ORDENES'!$U1137="preventiva",N1141,0)</f>
        <v/>
      </c>
      <c r="P1141" s="17">
        <f>IF('ORDENES'!$U1137="correctiva",N1141,0)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22">
        <f>IF(K1141=1,'ORDENES'!$J1137,"")</f>
        <v/>
      </c>
    </row>
    <row r="1142">
      <c r="K1142" s="5">
        <f>IF(AND(IF($B$3="(todos)",TRUE,'ORDENES'!$O1138=$B$3),IF($D$3="(todos)",TRUE,'ORDENES'!$AH1138=$D$3),IF($F$3="(todos)",TRUE,'ORDENES'!$Z1138=$F$3),IF($H$3="(todos)",TRUE,'ORDENES'!$Y1138=$H$3),'ORDENES'!$AF1138=TRUE,'ORDENES'!$A1138&lt;&gt;""),1,0)</f>
        <v/>
      </c>
      <c r="L1142" s="5">
        <f>IF(K1142=1,IFERROR(MATCH('ORDENES'!$S1138,lista_dias,0),9)*1000000000+IFERROR(MATCH('ORDENES'!$AH1138,lista_turnos,0),9)*10000000+IFERROR(MATCH('ORDENES'!$AG1138,tblTecnicos[nombre],0),99)*100000+1135,9000000000000+1135)</f>
        <v/>
      </c>
      <c r="M1142" s="5">
        <f>IF(K1142=1,SUMPRODUCT(--($L$8:$L$1207&lt;L1142))+1,"")</f>
        <v/>
      </c>
      <c r="N1142" s="17">
        <f>IF(K1142=1,N('ORDENES'!$M1138),0)</f>
        <v/>
      </c>
      <c r="O1142" s="17">
        <f>IF('ORDENES'!$U1138="preventiva",N1142,0)</f>
        <v/>
      </c>
      <c r="P1142" s="17">
        <f>IF('ORDENES'!$U1138="correctiva",N1142,0)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22">
        <f>IF(K1142=1,'ORDENES'!$J1138,"")</f>
        <v/>
      </c>
    </row>
    <row r="1143">
      <c r="K1143" s="5">
        <f>IF(AND(IF($B$3="(todos)",TRUE,'ORDENES'!$O1139=$B$3),IF($D$3="(todos)",TRUE,'ORDENES'!$AH1139=$D$3),IF($F$3="(todos)",TRUE,'ORDENES'!$Z1139=$F$3),IF($H$3="(todos)",TRUE,'ORDENES'!$Y1139=$H$3),'ORDENES'!$AF1139=TRUE,'ORDENES'!$A1139&lt;&gt;""),1,0)</f>
        <v/>
      </c>
      <c r="L1143" s="5">
        <f>IF(K1143=1,IFERROR(MATCH('ORDENES'!$S1139,lista_dias,0),9)*1000000000+IFERROR(MATCH('ORDENES'!$AH1139,lista_turnos,0),9)*10000000+IFERROR(MATCH('ORDENES'!$AG1139,tblTecnicos[nombre],0),99)*100000+1136,9000000000000+1136)</f>
        <v/>
      </c>
      <c r="M1143" s="5">
        <f>IF(K1143=1,SUMPRODUCT(--($L$8:$L$1207&lt;L1143))+1,"")</f>
        <v/>
      </c>
      <c r="N1143" s="17">
        <f>IF(K1143=1,N('ORDENES'!$M1139),0)</f>
        <v/>
      </c>
      <c r="O1143" s="17">
        <f>IF('ORDENES'!$U1139="preventiva",N1143,0)</f>
        <v/>
      </c>
      <c r="P1143" s="17">
        <f>IF('ORDENES'!$U1139="correctiva",N1143,0)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22">
        <f>IF(K1143=1,'ORDENES'!$J1139,"")</f>
        <v/>
      </c>
    </row>
    <row r="1144">
      <c r="K1144" s="5">
        <f>IF(AND(IF($B$3="(todos)",TRUE,'ORDENES'!$O1140=$B$3),IF($D$3="(todos)",TRUE,'ORDENES'!$AH1140=$D$3),IF($F$3="(todos)",TRUE,'ORDENES'!$Z1140=$F$3),IF($H$3="(todos)",TRUE,'ORDENES'!$Y1140=$H$3),'ORDENES'!$AF1140=TRUE,'ORDENES'!$A1140&lt;&gt;""),1,0)</f>
        <v/>
      </c>
      <c r="L1144" s="5">
        <f>IF(K1144=1,IFERROR(MATCH('ORDENES'!$S1140,lista_dias,0),9)*1000000000+IFERROR(MATCH('ORDENES'!$AH1140,lista_turnos,0),9)*10000000+IFERROR(MATCH('ORDENES'!$AG1140,tblTecnicos[nombre],0),99)*100000+1137,9000000000000+1137)</f>
        <v/>
      </c>
      <c r="M1144" s="5">
        <f>IF(K1144=1,SUMPRODUCT(--($L$8:$L$1207&lt;L1144))+1,"")</f>
        <v/>
      </c>
      <c r="N1144" s="17">
        <f>IF(K1144=1,N('ORDENES'!$M1140),0)</f>
        <v/>
      </c>
      <c r="O1144" s="17">
        <f>IF('ORDENES'!$U1140="preventiva",N1144,0)</f>
        <v/>
      </c>
      <c r="P1144" s="17">
        <f>IF('ORDENES'!$U1140="correctiva",N1144,0)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22">
        <f>IF(K1144=1,'ORDENES'!$J1140,"")</f>
        <v/>
      </c>
    </row>
    <row r="1145">
      <c r="K1145" s="5">
        <f>IF(AND(IF($B$3="(todos)",TRUE,'ORDENES'!$O1141=$B$3),IF($D$3="(todos)",TRUE,'ORDENES'!$AH1141=$D$3),IF($F$3="(todos)",TRUE,'ORDENES'!$Z1141=$F$3),IF($H$3="(todos)",TRUE,'ORDENES'!$Y1141=$H$3),'ORDENES'!$AF1141=TRUE,'ORDENES'!$A1141&lt;&gt;""),1,0)</f>
        <v/>
      </c>
      <c r="L1145" s="5">
        <f>IF(K1145=1,IFERROR(MATCH('ORDENES'!$S1141,lista_dias,0),9)*1000000000+IFERROR(MATCH('ORDENES'!$AH1141,lista_turnos,0),9)*10000000+IFERROR(MATCH('ORDENES'!$AG1141,tblTecnicos[nombre],0),99)*100000+1138,9000000000000+1138)</f>
        <v/>
      </c>
      <c r="M1145" s="5">
        <f>IF(K1145=1,SUMPRODUCT(--($L$8:$L$1207&lt;L1145))+1,"")</f>
        <v/>
      </c>
      <c r="N1145" s="17">
        <f>IF(K1145=1,N('ORDENES'!$M1141),0)</f>
        <v/>
      </c>
      <c r="O1145" s="17">
        <f>IF('ORDENES'!$U1141="preventiva",N1145,0)</f>
        <v/>
      </c>
      <c r="P1145" s="17">
        <f>IF('ORDENES'!$U1141="correctiva",N1145,0)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22">
        <f>IF(K1145=1,'ORDENES'!$J1141,"")</f>
        <v/>
      </c>
    </row>
    <row r="1146">
      <c r="K1146" s="5">
        <f>IF(AND(IF($B$3="(todos)",TRUE,'ORDENES'!$O1142=$B$3),IF($D$3="(todos)",TRUE,'ORDENES'!$AH1142=$D$3),IF($F$3="(todos)",TRUE,'ORDENES'!$Z1142=$F$3),IF($H$3="(todos)",TRUE,'ORDENES'!$Y1142=$H$3),'ORDENES'!$AF1142=TRUE,'ORDENES'!$A1142&lt;&gt;""),1,0)</f>
        <v/>
      </c>
      <c r="L1146" s="5">
        <f>IF(K1146=1,IFERROR(MATCH('ORDENES'!$S1142,lista_dias,0),9)*1000000000+IFERROR(MATCH('ORDENES'!$AH1142,lista_turnos,0),9)*10000000+IFERROR(MATCH('ORDENES'!$AG1142,tblTecnicos[nombre],0),99)*100000+1139,9000000000000+1139)</f>
        <v/>
      </c>
      <c r="M1146" s="5">
        <f>IF(K1146=1,SUMPRODUCT(--($L$8:$L$1207&lt;L1146))+1,"")</f>
        <v/>
      </c>
      <c r="N1146" s="17">
        <f>IF(K1146=1,N('ORDENES'!$M1142),0)</f>
        <v/>
      </c>
      <c r="O1146" s="17">
        <f>IF('ORDENES'!$U1142="preventiva",N1146,0)</f>
        <v/>
      </c>
      <c r="P1146" s="17">
        <f>IF('ORDENES'!$U1142="correctiva",N1146,0)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22">
        <f>IF(K1146=1,'ORDENES'!$J1142,"")</f>
        <v/>
      </c>
    </row>
    <row r="1147">
      <c r="K1147" s="5">
        <f>IF(AND(IF($B$3="(todos)",TRUE,'ORDENES'!$O1143=$B$3),IF($D$3="(todos)",TRUE,'ORDENES'!$AH1143=$D$3),IF($F$3="(todos)",TRUE,'ORDENES'!$Z1143=$F$3),IF($H$3="(todos)",TRUE,'ORDENES'!$Y1143=$H$3),'ORDENES'!$AF1143=TRUE,'ORDENES'!$A1143&lt;&gt;""),1,0)</f>
        <v/>
      </c>
      <c r="L1147" s="5">
        <f>IF(K1147=1,IFERROR(MATCH('ORDENES'!$S1143,lista_dias,0),9)*1000000000+IFERROR(MATCH('ORDENES'!$AH1143,lista_turnos,0),9)*10000000+IFERROR(MATCH('ORDENES'!$AG1143,tblTecnicos[nombre],0),99)*100000+1140,9000000000000+1140)</f>
        <v/>
      </c>
      <c r="M1147" s="5">
        <f>IF(K1147=1,SUMPRODUCT(--($L$8:$L$1207&lt;L1147))+1,"")</f>
        <v/>
      </c>
      <c r="N1147" s="17">
        <f>IF(K1147=1,N('ORDENES'!$M1143),0)</f>
        <v/>
      </c>
      <c r="O1147" s="17">
        <f>IF('ORDENES'!$U1143="preventiva",N1147,0)</f>
        <v/>
      </c>
      <c r="P1147" s="17">
        <f>IF('ORDENES'!$U1143="correctiva",N1147,0)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22">
        <f>IF(K1147=1,'ORDENES'!$J1143,"")</f>
        <v/>
      </c>
    </row>
    <row r="1148">
      <c r="K1148" s="5">
        <f>IF(AND(IF($B$3="(todos)",TRUE,'ORDENES'!$O1144=$B$3),IF($D$3="(todos)",TRUE,'ORDENES'!$AH1144=$D$3),IF($F$3="(todos)",TRUE,'ORDENES'!$Z1144=$F$3),IF($H$3="(todos)",TRUE,'ORDENES'!$Y1144=$H$3),'ORDENES'!$AF1144=TRUE,'ORDENES'!$A1144&lt;&gt;""),1,0)</f>
        <v/>
      </c>
      <c r="L1148" s="5">
        <f>IF(K1148=1,IFERROR(MATCH('ORDENES'!$S1144,lista_dias,0),9)*1000000000+IFERROR(MATCH('ORDENES'!$AH1144,lista_turnos,0),9)*10000000+IFERROR(MATCH('ORDENES'!$AG1144,tblTecnicos[nombre],0),99)*100000+1141,9000000000000+1141)</f>
        <v/>
      </c>
      <c r="M1148" s="5">
        <f>IF(K1148=1,SUMPRODUCT(--($L$8:$L$1207&lt;L1148))+1,"")</f>
        <v/>
      </c>
      <c r="N1148" s="17">
        <f>IF(K1148=1,N('ORDENES'!$M1144),0)</f>
        <v/>
      </c>
      <c r="O1148" s="17">
        <f>IF('ORDENES'!$U1144="preventiva",N1148,0)</f>
        <v/>
      </c>
      <c r="P1148" s="17">
        <f>IF('ORDENES'!$U1144="correctiva",N1148,0)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22">
        <f>IF(K1148=1,'ORDENES'!$J1144,"")</f>
        <v/>
      </c>
    </row>
    <row r="1149">
      <c r="K1149" s="5">
        <f>IF(AND(IF($B$3="(todos)",TRUE,'ORDENES'!$O1145=$B$3),IF($D$3="(todos)",TRUE,'ORDENES'!$AH1145=$D$3),IF($F$3="(todos)",TRUE,'ORDENES'!$Z1145=$F$3),IF($H$3="(todos)",TRUE,'ORDENES'!$Y1145=$H$3),'ORDENES'!$AF1145=TRUE,'ORDENES'!$A1145&lt;&gt;""),1,0)</f>
        <v/>
      </c>
      <c r="L1149" s="5">
        <f>IF(K1149=1,IFERROR(MATCH('ORDENES'!$S1145,lista_dias,0),9)*1000000000+IFERROR(MATCH('ORDENES'!$AH1145,lista_turnos,0),9)*10000000+IFERROR(MATCH('ORDENES'!$AG1145,tblTecnicos[nombre],0),99)*100000+1142,9000000000000+1142)</f>
        <v/>
      </c>
      <c r="M1149" s="5">
        <f>IF(K1149=1,SUMPRODUCT(--($L$8:$L$1207&lt;L1149))+1,"")</f>
        <v/>
      </c>
      <c r="N1149" s="17">
        <f>IF(K1149=1,N('ORDENES'!$M1145),0)</f>
        <v/>
      </c>
      <c r="O1149" s="17">
        <f>IF('ORDENES'!$U1145="preventiva",N1149,0)</f>
        <v/>
      </c>
      <c r="P1149" s="17">
        <f>IF('ORDENES'!$U1145="correctiva",N1149,0)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22">
        <f>IF(K1149=1,'ORDENES'!$J1145,"")</f>
        <v/>
      </c>
    </row>
    <row r="1150">
      <c r="K1150" s="5">
        <f>IF(AND(IF($B$3="(todos)",TRUE,'ORDENES'!$O1146=$B$3),IF($D$3="(todos)",TRUE,'ORDENES'!$AH1146=$D$3),IF($F$3="(todos)",TRUE,'ORDENES'!$Z1146=$F$3),IF($H$3="(todos)",TRUE,'ORDENES'!$Y1146=$H$3),'ORDENES'!$AF1146=TRUE,'ORDENES'!$A1146&lt;&gt;""),1,0)</f>
        <v/>
      </c>
      <c r="L1150" s="5">
        <f>IF(K1150=1,IFERROR(MATCH('ORDENES'!$S1146,lista_dias,0),9)*1000000000+IFERROR(MATCH('ORDENES'!$AH1146,lista_turnos,0),9)*10000000+IFERROR(MATCH('ORDENES'!$AG1146,tblTecnicos[nombre],0),99)*100000+1143,9000000000000+1143)</f>
        <v/>
      </c>
      <c r="M1150" s="5">
        <f>IF(K1150=1,SUMPRODUCT(--($L$8:$L$1207&lt;L1150))+1,"")</f>
        <v/>
      </c>
      <c r="N1150" s="17">
        <f>IF(K1150=1,N('ORDENES'!$M1146),0)</f>
        <v/>
      </c>
      <c r="O1150" s="17">
        <f>IF('ORDENES'!$U1146="preventiva",N1150,0)</f>
        <v/>
      </c>
      <c r="P1150" s="17">
        <f>IF('ORDENES'!$U1146="correctiva",N1150,0)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22">
        <f>IF(K1150=1,'ORDENES'!$J1146,"")</f>
        <v/>
      </c>
    </row>
    <row r="1151">
      <c r="K1151" s="5">
        <f>IF(AND(IF($B$3="(todos)",TRUE,'ORDENES'!$O1147=$B$3),IF($D$3="(todos)",TRUE,'ORDENES'!$AH1147=$D$3),IF($F$3="(todos)",TRUE,'ORDENES'!$Z1147=$F$3),IF($H$3="(todos)",TRUE,'ORDENES'!$Y1147=$H$3),'ORDENES'!$AF1147=TRUE,'ORDENES'!$A1147&lt;&gt;""),1,0)</f>
        <v/>
      </c>
      <c r="L1151" s="5">
        <f>IF(K1151=1,IFERROR(MATCH('ORDENES'!$S1147,lista_dias,0),9)*1000000000+IFERROR(MATCH('ORDENES'!$AH1147,lista_turnos,0),9)*10000000+IFERROR(MATCH('ORDENES'!$AG1147,tblTecnicos[nombre],0),99)*100000+1144,9000000000000+1144)</f>
        <v/>
      </c>
      <c r="M1151" s="5">
        <f>IF(K1151=1,SUMPRODUCT(--($L$8:$L$1207&lt;L1151))+1,"")</f>
        <v/>
      </c>
      <c r="N1151" s="17">
        <f>IF(K1151=1,N('ORDENES'!$M1147),0)</f>
        <v/>
      </c>
      <c r="O1151" s="17">
        <f>IF('ORDENES'!$U1147="preventiva",N1151,0)</f>
        <v/>
      </c>
      <c r="P1151" s="17">
        <f>IF('ORDENES'!$U1147="correctiva",N1151,0)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22">
        <f>IF(K1151=1,'ORDENES'!$J1147,"")</f>
        <v/>
      </c>
    </row>
    <row r="1152">
      <c r="K1152" s="5">
        <f>IF(AND(IF($B$3="(todos)",TRUE,'ORDENES'!$O1148=$B$3),IF($D$3="(todos)",TRUE,'ORDENES'!$AH1148=$D$3),IF($F$3="(todos)",TRUE,'ORDENES'!$Z1148=$F$3),IF($H$3="(todos)",TRUE,'ORDENES'!$Y1148=$H$3),'ORDENES'!$AF1148=TRUE,'ORDENES'!$A1148&lt;&gt;""),1,0)</f>
        <v/>
      </c>
      <c r="L1152" s="5">
        <f>IF(K1152=1,IFERROR(MATCH('ORDENES'!$S1148,lista_dias,0),9)*1000000000+IFERROR(MATCH('ORDENES'!$AH1148,lista_turnos,0),9)*10000000+IFERROR(MATCH('ORDENES'!$AG1148,tblTecnicos[nombre],0),99)*100000+1145,9000000000000+1145)</f>
        <v/>
      </c>
      <c r="M1152" s="5">
        <f>IF(K1152=1,SUMPRODUCT(--($L$8:$L$1207&lt;L1152))+1,"")</f>
        <v/>
      </c>
      <c r="N1152" s="17">
        <f>IF(K1152=1,N('ORDENES'!$M1148),0)</f>
        <v/>
      </c>
      <c r="O1152" s="17">
        <f>IF('ORDENES'!$U1148="preventiva",N1152,0)</f>
        <v/>
      </c>
      <c r="P1152" s="17">
        <f>IF('ORDENES'!$U1148="correctiva",N1152,0)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22">
        <f>IF(K1152=1,'ORDENES'!$J1148,"")</f>
        <v/>
      </c>
    </row>
    <row r="1153">
      <c r="K1153" s="5">
        <f>IF(AND(IF($B$3="(todos)",TRUE,'ORDENES'!$O1149=$B$3),IF($D$3="(todos)",TRUE,'ORDENES'!$AH1149=$D$3),IF($F$3="(todos)",TRUE,'ORDENES'!$Z1149=$F$3),IF($H$3="(todos)",TRUE,'ORDENES'!$Y1149=$H$3),'ORDENES'!$AF1149=TRUE,'ORDENES'!$A1149&lt;&gt;""),1,0)</f>
        <v/>
      </c>
      <c r="L1153" s="5">
        <f>IF(K1153=1,IFERROR(MATCH('ORDENES'!$S1149,lista_dias,0),9)*1000000000+IFERROR(MATCH('ORDENES'!$AH1149,lista_turnos,0),9)*10000000+IFERROR(MATCH('ORDENES'!$AG1149,tblTecnicos[nombre],0),99)*100000+1146,9000000000000+1146)</f>
        <v/>
      </c>
      <c r="M1153" s="5">
        <f>IF(K1153=1,SUMPRODUCT(--($L$8:$L$1207&lt;L1153))+1,"")</f>
        <v/>
      </c>
      <c r="N1153" s="17">
        <f>IF(K1153=1,N('ORDENES'!$M1149),0)</f>
        <v/>
      </c>
      <c r="O1153" s="17">
        <f>IF('ORDENES'!$U1149="preventiva",N1153,0)</f>
        <v/>
      </c>
      <c r="P1153" s="17">
        <f>IF('ORDENES'!$U1149="correctiva",N1153,0)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22">
        <f>IF(K1153=1,'ORDENES'!$J1149,"")</f>
        <v/>
      </c>
    </row>
    <row r="1154">
      <c r="K1154" s="5">
        <f>IF(AND(IF($B$3="(todos)",TRUE,'ORDENES'!$O1150=$B$3),IF($D$3="(todos)",TRUE,'ORDENES'!$AH1150=$D$3),IF($F$3="(todos)",TRUE,'ORDENES'!$Z1150=$F$3),IF($H$3="(todos)",TRUE,'ORDENES'!$Y1150=$H$3),'ORDENES'!$AF1150=TRUE,'ORDENES'!$A1150&lt;&gt;""),1,0)</f>
        <v/>
      </c>
      <c r="L1154" s="5">
        <f>IF(K1154=1,IFERROR(MATCH('ORDENES'!$S1150,lista_dias,0),9)*1000000000+IFERROR(MATCH('ORDENES'!$AH1150,lista_turnos,0),9)*10000000+IFERROR(MATCH('ORDENES'!$AG1150,tblTecnicos[nombre],0),99)*100000+1147,9000000000000+1147)</f>
        <v/>
      </c>
      <c r="M1154" s="5">
        <f>IF(K1154=1,SUMPRODUCT(--($L$8:$L$1207&lt;L1154))+1,"")</f>
        <v/>
      </c>
      <c r="N1154" s="17">
        <f>IF(K1154=1,N('ORDENES'!$M1150),0)</f>
        <v/>
      </c>
      <c r="O1154" s="17">
        <f>IF('ORDENES'!$U1150="preventiva",N1154,0)</f>
        <v/>
      </c>
      <c r="P1154" s="17">
        <f>IF('ORDENES'!$U1150="correctiva",N1154,0)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22">
        <f>IF(K1154=1,'ORDENES'!$J1150,"")</f>
        <v/>
      </c>
    </row>
    <row r="1155">
      <c r="K1155" s="5">
        <f>IF(AND(IF($B$3="(todos)",TRUE,'ORDENES'!$O1151=$B$3),IF($D$3="(todos)",TRUE,'ORDENES'!$AH1151=$D$3),IF($F$3="(todos)",TRUE,'ORDENES'!$Z1151=$F$3),IF($H$3="(todos)",TRUE,'ORDENES'!$Y1151=$H$3),'ORDENES'!$AF1151=TRUE,'ORDENES'!$A1151&lt;&gt;""),1,0)</f>
        <v/>
      </c>
      <c r="L1155" s="5">
        <f>IF(K1155=1,IFERROR(MATCH('ORDENES'!$S1151,lista_dias,0),9)*1000000000+IFERROR(MATCH('ORDENES'!$AH1151,lista_turnos,0),9)*10000000+IFERROR(MATCH('ORDENES'!$AG1151,tblTecnicos[nombre],0),99)*100000+1148,9000000000000+1148)</f>
        <v/>
      </c>
      <c r="M1155" s="5">
        <f>IF(K1155=1,SUMPRODUCT(--($L$8:$L$1207&lt;L1155))+1,"")</f>
        <v/>
      </c>
      <c r="N1155" s="17">
        <f>IF(K1155=1,N('ORDENES'!$M1151),0)</f>
        <v/>
      </c>
      <c r="O1155" s="17">
        <f>IF('ORDENES'!$U1151="preventiva",N1155,0)</f>
        <v/>
      </c>
      <c r="P1155" s="17">
        <f>IF('ORDENES'!$U1151="correctiva",N1155,0)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22">
        <f>IF(K1155=1,'ORDENES'!$J1151,"")</f>
        <v/>
      </c>
    </row>
    <row r="1156">
      <c r="K1156" s="5">
        <f>IF(AND(IF($B$3="(todos)",TRUE,'ORDENES'!$O1152=$B$3),IF($D$3="(todos)",TRUE,'ORDENES'!$AH1152=$D$3),IF($F$3="(todos)",TRUE,'ORDENES'!$Z1152=$F$3),IF($H$3="(todos)",TRUE,'ORDENES'!$Y1152=$H$3),'ORDENES'!$AF1152=TRUE,'ORDENES'!$A1152&lt;&gt;""),1,0)</f>
        <v/>
      </c>
      <c r="L1156" s="5">
        <f>IF(K1156=1,IFERROR(MATCH('ORDENES'!$S1152,lista_dias,0),9)*1000000000+IFERROR(MATCH('ORDENES'!$AH1152,lista_turnos,0),9)*10000000+IFERROR(MATCH('ORDENES'!$AG1152,tblTecnicos[nombre],0),99)*100000+1149,9000000000000+1149)</f>
        <v/>
      </c>
      <c r="M1156" s="5">
        <f>IF(K1156=1,SUMPRODUCT(--($L$8:$L$1207&lt;L1156))+1,"")</f>
        <v/>
      </c>
      <c r="N1156" s="17">
        <f>IF(K1156=1,N('ORDENES'!$M1152),0)</f>
        <v/>
      </c>
      <c r="O1156" s="17">
        <f>IF('ORDENES'!$U1152="preventiva",N1156,0)</f>
        <v/>
      </c>
      <c r="P1156" s="17">
        <f>IF('ORDENES'!$U1152="correctiva",N1156,0)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22">
        <f>IF(K1156=1,'ORDENES'!$J1152,"")</f>
        <v/>
      </c>
    </row>
    <row r="1157">
      <c r="K1157" s="5">
        <f>IF(AND(IF($B$3="(todos)",TRUE,'ORDENES'!$O1153=$B$3),IF($D$3="(todos)",TRUE,'ORDENES'!$AH1153=$D$3),IF($F$3="(todos)",TRUE,'ORDENES'!$Z1153=$F$3),IF($H$3="(todos)",TRUE,'ORDENES'!$Y1153=$H$3),'ORDENES'!$AF1153=TRUE,'ORDENES'!$A1153&lt;&gt;""),1,0)</f>
        <v/>
      </c>
      <c r="L1157" s="5">
        <f>IF(K1157=1,IFERROR(MATCH('ORDENES'!$S1153,lista_dias,0),9)*1000000000+IFERROR(MATCH('ORDENES'!$AH1153,lista_turnos,0),9)*10000000+IFERROR(MATCH('ORDENES'!$AG1153,tblTecnicos[nombre],0),99)*100000+1150,9000000000000+1150)</f>
        <v/>
      </c>
      <c r="M1157" s="5">
        <f>IF(K1157=1,SUMPRODUCT(--($L$8:$L$1207&lt;L1157))+1,"")</f>
        <v/>
      </c>
      <c r="N1157" s="17">
        <f>IF(K1157=1,N('ORDENES'!$M1153),0)</f>
        <v/>
      </c>
      <c r="O1157" s="17">
        <f>IF('ORDENES'!$U1153="preventiva",N1157,0)</f>
        <v/>
      </c>
      <c r="P1157" s="17">
        <f>IF('ORDENES'!$U1153="correctiva",N1157,0)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22">
        <f>IF(K1157=1,'ORDENES'!$J1153,"")</f>
        <v/>
      </c>
    </row>
    <row r="1158">
      <c r="K1158" s="5">
        <f>IF(AND(IF($B$3="(todos)",TRUE,'ORDENES'!$O1154=$B$3),IF($D$3="(todos)",TRUE,'ORDENES'!$AH1154=$D$3),IF($F$3="(todos)",TRUE,'ORDENES'!$Z1154=$F$3),IF($H$3="(todos)",TRUE,'ORDENES'!$Y1154=$H$3),'ORDENES'!$AF1154=TRUE,'ORDENES'!$A1154&lt;&gt;""),1,0)</f>
        <v/>
      </c>
      <c r="L1158" s="5">
        <f>IF(K1158=1,IFERROR(MATCH('ORDENES'!$S1154,lista_dias,0),9)*1000000000+IFERROR(MATCH('ORDENES'!$AH1154,lista_turnos,0),9)*10000000+IFERROR(MATCH('ORDENES'!$AG1154,tblTecnicos[nombre],0),99)*100000+1151,9000000000000+1151)</f>
        <v/>
      </c>
      <c r="M1158" s="5">
        <f>IF(K1158=1,SUMPRODUCT(--($L$8:$L$1207&lt;L1158))+1,"")</f>
        <v/>
      </c>
      <c r="N1158" s="17">
        <f>IF(K1158=1,N('ORDENES'!$M1154),0)</f>
        <v/>
      </c>
      <c r="O1158" s="17">
        <f>IF('ORDENES'!$U1154="preventiva",N1158,0)</f>
        <v/>
      </c>
      <c r="P1158" s="17">
        <f>IF('ORDENES'!$U1154="correctiva",N1158,0)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22">
        <f>IF(K1158=1,'ORDENES'!$J1154,"")</f>
        <v/>
      </c>
    </row>
    <row r="1159">
      <c r="K1159" s="5">
        <f>IF(AND(IF($B$3="(todos)",TRUE,'ORDENES'!$O1155=$B$3),IF($D$3="(todos)",TRUE,'ORDENES'!$AH1155=$D$3),IF($F$3="(todos)",TRUE,'ORDENES'!$Z1155=$F$3),IF($H$3="(todos)",TRUE,'ORDENES'!$Y1155=$H$3),'ORDENES'!$AF1155=TRUE,'ORDENES'!$A1155&lt;&gt;""),1,0)</f>
        <v/>
      </c>
      <c r="L1159" s="5">
        <f>IF(K1159=1,IFERROR(MATCH('ORDENES'!$S1155,lista_dias,0),9)*1000000000+IFERROR(MATCH('ORDENES'!$AH1155,lista_turnos,0),9)*10000000+IFERROR(MATCH('ORDENES'!$AG1155,tblTecnicos[nombre],0),99)*100000+1152,9000000000000+1152)</f>
        <v/>
      </c>
      <c r="M1159" s="5">
        <f>IF(K1159=1,SUMPRODUCT(--($L$8:$L$1207&lt;L1159))+1,"")</f>
        <v/>
      </c>
      <c r="N1159" s="17">
        <f>IF(K1159=1,N('ORDENES'!$M1155),0)</f>
        <v/>
      </c>
      <c r="O1159" s="17">
        <f>IF('ORDENES'!$U1155="preventiva",N1159,0)</f>
        <v/>
      </c>
      <c r="P1159" s="17">
        <f>IF('ORDENES'!$U1155="correctiva",N1159,0)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22">
        <f>IF(K1159=1,'ORDENES'!$J1155,"")</f>
        <v/>
      </c>
    </row>
    <row r="1160">
      <c r="K1160" s="5">
        <f>IF(AND(IF($B$3="(todos)",TRUE,'ORDENES'!$O1156=$B$3),IF($D$3="(todos)",TRUE,'ORDENES'!$AH1156=$D$3),IF($F$3="(todos)",TRUE,'ORDENES'!$Z1156=$F$3),IF($H$3="(todos)",TRUE,'ORDENES'!$Y1156=$H$3),'ORDENES'!$AF1156=TRUE,'ORDENES'!$A1156&lt;&gt;""),1,0)</f>
        <v/>
      </c>
      <c r="L1160" s="5">
        <f>IF(K1160=1,IFERROR(MATCH('ORDENES'!$S1156,lista_dias,0),9)*1000000000+IFERROR(MATCH('ORDENES'!$AH1156,lista_turnos,0),9)*10000000+IFERROR(MATCH('ORDENES'!$AG1156,tblTecnicos[nombre],0),99)*100000+1153,9000000000000+1153)</f>
        <v/>
      </c>
      <c r="M1160" s="5">
        <f>IF(K1160=1,SUMPRODUCT(--($L$8:$L$1207&lt;L1160))+1,"")</f>
        <v/>
      </c>
      <c r="N1160" s="17">
        <f>IF(K1160=1,N('ORDENES'!$M1156),0)</f>
        <v/>
      </c>
      <c r="O1160" s="17">
        <f>IF('ORDENES'!$U1156="preventiva",N1160,0)</f>
        <v/>
      </c>
      <c r="P1160" s="17">
        <f>IF('ORDENES'!$U1156="correctiva",N1160,0)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22">
        <f>IF(K1160=1,'ORDENES'!$J1156,"")</f>
        <v/>
      </c>
    </row>
    <row r="1161">
      <c r="K1161" s="5">
        <f>IF(AND(IF($B$3="(todos)",TRUE,'ORDENES'!$O1157=$B$3),IF($D$3="(todos)",TRUE,'ORDENES'!$AH1157=$D$3),IF($F$3="(todos)",TRUE,'ORDENES'!$Z1157=$F$3),IF($H$3="(todos)",TRUE,'ORDENES'!$Y1157=$H$3),'ORDENES'!$AF1157=TRUE,'ORDENES'!$A1157&lt;&gt;""),1,0)</f>
        <v/>
      </c>
      <c r="L1161" s="5">
        <f>IF(K1161=1,IFERROR(MATCH('ORDENES'!$S1157,lista_dias,0),9)*1000000000+IFERROR(MATCH('ORDENES'!$AH1157,lista_turnos,0),9)*10000000+IFERROR(MATCH('ORDENES'!$AG1157,tblTecnicos[nombre],0),99)*100000+1154,9000000000000+1154)</f>
        <v/>
      </c>
      <c r="M1161" s="5">
        <f>IF(K1161=1,SUMPRODUCT(--($L$8:$L$1207&lt;L1161))+1,"")</f>
        <v/>
      </c>
      <c r="N1161" s="17">
        <f>IF(K1161=1,N('ORDENES'!$M1157),0)</f>
        <v/>
      </c>
      <c r="O1161" s="17">
        <f>IF('ORDENES'!$U1157="preventiva",N1161,0)</f>
        <v/>
      </c>
      <c r="P1161" s="17">
        <f>IF('ORDENES'!$U1157="correctiva",N1161,0)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22">
        <f>IF(K1161=1,'ORDENES'!$J1157,"")</f>
        <v/>
      </c>
    </row>
    <row r="1162">
      <c r="K1162" s="5">
        <f>IF(AND(IF($B$3="(todos)",TRUE,'ORDENES'!$O1158=$B$3),IF($D$3="(todos)",TRUE,'ORDENES'!$AH1158=$D$3),IF($F$3="(todos)",TRUE,'ORDENES'!$Z1158=$F$3),IF($H$3="(todos)",TRUE,'ORDENES'!$Y1158=$H$3),'ORDENES'!$AF1158=TRUE,'ORDENES'!$A1158&lt;&gt;""),1,0)</f>
        <v/>
      </c>
      <c r="L1162" s="5">
        <f>IF(K1162=1,IFERROR(MATCH('ORDENES'!$S1158,lista_dias,0),9)*1000000000+IFERROR(MATCH('ORDENES'!$AH1158,lista_turnos,0),9)*10000000+IFERROR(MATCH('ORDENES'!$AG1158,tblTecnicos[nombre],0),99)*100000+1155,9000000000000+1155)</f>
        <v/>
      </c>
      <c r="M1162" s="5">
        <f>IF(K1162=1,SUMPRODUCT(--($L$8:$L$1207&lt;L1162))+1,"")</f>
        <v/>
      </c>
      <c r="N1162" s="17">
        <f>IF(K1162=1,N('ORDENES'!$M1158),0)</f>
        <v/>
      </c>
      <c r="O1162" s="17">
        <f>IF('ORDENES'!$U1158="preventiva",N1162,0)</f>
        <v/>
      </c>
      <c r="P1162" s="17">
        <f>IF('ORDENES'!$U1158="correctiva",N1162,0)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22">
        <f>IF(K1162=1,'ORDENES'!$J1158,"")</f>
        <v/>
      </c>
    </row>
    <row r="1163">
      <c r="K1163" s="5">
        <f>IF(AND(IF($B$3="(todos)",TRUE,'ORDENES'!$O1159=$B$3),IF($D$3="(todos)",TRUE,'ORDENES'!$AH1159=$D$3),IF($F$3="(todos)",TRUE,'ORDENES'!$Z1159=$F$3),IF($H$3="(todos)",TRUE,'ORDENES'!$Y1159=$H$3),'ORDENES'!$AF1159=TRUE,'ORDENES'!$A1159&lt;&gt;""),1,0)</f>
        <v/>
      </c>
      <c r="L1163" s="5">
        <f>IF(K1163=1,IFERROR(MATCH('ORDENES'!$S1159,lista_dias,0),9)*1000000000+IFERROR(MATCH('ORDENES'!$AH1159,lista_turnos,0),9)*10000000+IFERROR(MATCH('ORDENES'!$AG1159,tblTecnicos[nombre],0),99)*100000+1156,9000000000000+1156)</f>
        <v/>
      </c>
      <c r="M1163" s="5">
        <f>IF(K1163=1,SUMPRODUCT(--($L$8:$L$1207&lt;L1163))+1,"")</f>
        <v/>
      </c>
      <c r="N1163" s="17">
        <f>IF(K1163=1,N('ORDENES'!$M1159),0)</f>
        <v/>
      </c>
      <c r="O1163" s="17">
        <f>IF('ORDENES'!$U1159="preventiva",N1163,0)</f>
        <v/>
      </c>
      <c r="P1163" s="17">
        <f>IF('ORDENES'!$U1159="correctiva",N1163,0)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22">
        <f>IF(K1163=1,'ORDENES'!$J1159,"")</f>
        <v/>
      </c>
    </row>
    <row r="1164">
      <c r="K1164" s="5">
        <f>IF(AND(IF($B$3="(todos)",TRUE,'ORDENES'!$O1160=$B$3),IF($D$3="(todos)",TRUE,'ORDENES'!$AH1160=$D$3),IF($F$3="(todos)",TRUE,'ORDENES'!$Z1160=$F$3),IF($H$3="(todos)",TRUE,'ORDENES'!$Y1160=$H$3),'ORDENES'!$AF1160=TRUE,'ORDENES'!$A1160&lt;&gt;""),1,0)</f>
        <v/>
      </c>
      <c r="L1164" s="5">
        <f>IF(K1164=1,IFERROR(MATCH('ORDENES'!$S1160,lista_dias,0),9)*1000000000+IFERROR(MATCH('ORDENES'!$AH1160,lista_turnos,0),9)*10000000+IFERROR(MATCH('ORDENES'!$AG1160,tblTecnicos[nombre],0),99)*100000+1157,9000000000000+1157)</f>
        <v/>
      </c>
      <c r="M1164" s="5">
        <f>IF(K1164=1,SUMPRODUCT(--($L$8:$L$1207&lt;L1164))+1,"")</f>
        <v/>
      </c>
      <c r="N1164" s="17">
        <f>IF(K1164=1,N('ORDENES'!$M1160),0)</f>
        <v/>
      </c>
      <c r="O1164" s="17">
        <f>IF('ORDENES'!$U1160="preventiva",N1164,0)</f>
        <v/>
      </c>
      <c r="P1164" s="17">
        <f>IF('ORDENES'!$U1160="correctiva",N1164,0)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22">
        <f>IF(K1164=1,'ORDENES'!$J1160,"")</f>
        <v/>
      </c>
    </row>
    <row r="1165">
      <c r="K1165" s="5">
        <f>IF(AND(IF($B$3="(todos)",TRUE,'ORDENES'!$O1161=$B$3),IF($D$3="(todos)",TRUE,'ORDENES'!$AH1161=$D$3),IF($F$3="(todos)",TRUE,'ORDENES'!$Z1161=$F$3),IF($H$3="(todos)",TRUE,'ORDENES'!$Y1161=$H$3),'ORDENES'!$AF1161=TRUE,'ORDENES'!$A1161&lt;&gt;""),1,0)</f>
        <v/>
      </c>
      <c r="L1165" s="5">
        <f>IF(K1165=1,IFERROR(MATCH('ORDENES'!$S1161,lista_dias,0),9)*1000000000+IFERROR(MATCH('ORDENES'!$AH1161,lista_turnos,0),9)*10000000+IFERROR(MATCH('ORDENES'!$AG1161,tblTecnicos[nombre],0),99)*100000+1158,9000000000000+1158)</f>
        <v/>
      </c>
      <c r="M1165" s="5">
        <f>IF(K1165=1,SUMPRODUCT(--($L$8:$L$1207&lt;L1165))+1,"")</f>
        <v/>
      </c>
      <c r="N1165" s="17">
        <f>IF(K1165=1,N('ORDENES'!$M1161),0)</f>
        <v/>
      </c>
      <c r="O1165" s="17">
        <f>IF('ORDENES'!$U1161="preventiva",N1165,0)</f>
        <v/>
      </c>
      <c r="P1165" s="17">
        <f>IF('ORDENES'!$U1161="correctiva",N1165,0)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22">
        <f>IF(K1165=1,'ORDENES'!$J1161,"")</f>
        <v/>
      </c>
    </row>
    <row r="1166">
      <c r="K1166" s="5">
        <f>IF(AND(IF($B$3="(todos)",TRUE,'ORDENES'!$O1162=$B$3),IF($D$3="(todos)",TRUE,'ORDENES'!$AH1162=$D$3),IF($F$3="(todos)",TRUE,'ORDENES'!$Z1162=$F$3),IF($H$3="(todos)",TRUE,'ORDENES'!$Y1162=$H$3),'ORDENES'!$AF1162=TRUE,'ORDENES'!$A1162&lt;&gt;""),1,0)</f>
        <v/>
      </c>
      <c r="L1166" s="5">
        <f>IF(K1166=1,IFERROR(MATCH('ORDENES'!$S1162,lista_dias,0),9)*1000000000+IFERROR(MATCH('ORDENES'!$AH1162,lista_turnos,0),9)*10000000+IFERROR(MATCH('ORDENES'!$AG1162,tblTecnicos[nombre],0),99)*100000+1159,9000000000000+1159)</f>
        <v/>
      </c>
      <c r="M1166" s="5">
        <f>IF(K1166=1,SUMPRODUCT(--($L$8:$L$1207&lt;L1166))+1,"")</f>
        <v/>
      </c>
      <c r="N1166" s="17">
        <f>IF(K1166=1,N('ORDENES'!$M1162),0)</f>
        <v/>
      </c>
      <c r="O1166" s="17">
        <f>IF('ORDENES'!$U1162="preventiva",N1166,0)</f>
        <v/>
      </c>
      <c r="P1166" s="17">
        <f>IF('ORDENES'!$U1162="correctiva",N1166,0)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22">
        <f>IF(K1166=1,'ORDENES'!$J1162,"")</f>
        <v/>
      </c>
    </row>
    <row r="1167">
      <c r="K1167" s="5">
        <f>IF(AND(IF($B$3="(todos)",TRUE,'ORDENES'!$O1163=$B$3),IF($D$3="(todos)",TRUE,'ORDENES'!$AH1163=$D$3),IF($F$3="(todos)",TRUE,'ORDENES'!$Z1163=$F$3),IF($H$3="(todos)",TRUE,'ORDENES'!$Y1163=$H$3),'ORDENES'!$AF1163=TRUE,'ORDENES'!$A1163&lt;&gt;""),1,0)</f>
        <v/>
      </c>
      <c r="L1167" s="5">
        <f>IF(K1167=1,IFERROR(MATCH('ORDENES'!$S1163,lista_dias,0),9)*1000000000+IFERROR(MATCH('ORDENES'!$AH1163,lista_turnos,0),9)*10000000+IFERROR(MATCH('ORDENES'!$AG1163,tblTecnicos[nombre],0),99)*100000+1160,9000000000000+1160)</f>
        <v/>
      </c>
      <c r="M1167" s="5">
        <f>IF(K1167=1,SUMPRODUCT(--($L$8:$L$1207&lt;L1167))+1,"")</f>
        <v/>
      </c>
      <c r="N1167" s="17">
        <f>IF(K1167=1,N('ORDENES'!$M1163),0)</f>
        <v/>
      </c>
      <c r="O1167" s="17">
        <f>IF('ORDENES'!$U1163="preventiva",N1167,0)</f>
        <v/>
      </c>
      <c r="P1167" s="17">
        <f>IF('ORDENES'!$U1163="correctiva",N1167,0)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22">
        <f>IF(K1167=1,'ORDENES'!$J1163,"")</f>
        <v/>
      </c>
    </row>
    <row r="1168">
      <c r="K1168" s="5">
        <f>IF(AND(IF($B$3="(todos)",TRUE,'ORDENES'!$O1164=$B$3),IF($D$3="(todos)",TRUE,'ORDENES'!$AH1164=$D$3),IF($F$3="(todos)",TRUE,'ORDENES'!$Z1164=$F$3),IF($H$3="(todos)",TRUE,'ORDENES'!$Y1164=$H$3),'ORDENES'!$AF1164=TRUE,'ORDENES'!$A1164&lt;&gt;""),1,0)</f>
        <v/>
      </c>
      <c r="L1168" s="5">
        <f>IF(K1168=1,IFERROR(MATCH('ORDENES'!$S1164,lista_dias,0),9)*1000000000+IFERROR(MATCH('ORDENES'!$AH1164,lista_turnos,0),9)*10000000+IFERROR(MATCH('ORDENES'!$AG1164,tblTecnicos[nombre],0),99)*100000+1161,9000000000000+1161)</f>
        <v/>
      </c>
      <c r="M1168" s="5">
        <f>IF(K1168=1,SUMPRODUCT(--($L$8:$L$1207&lt;L1168))+1,"")</f>
        <v/>
      </c>
      <c r="N1168" s="17">
        <f>IF(K1168=1,N('ORDENES'!$M1164),0)</f>
        <v/>
      </c>
      <c r="O1168" s="17">
        <f>IF('ORDENES'!$U1164="preventiva",N1168,0)</f>
        <v/>
      </c>
      <c r="P1168" s="17">
        <f>IF('ORDENES'!$U1164="correctiva",N1168,0)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22">
        <f>IF(K1168=1,'ORDENES'!$J1164,"")</f>
        <v/>
      </c>
    </row>
    <row r="1169">
      <c r="K1169" s="5">
        <f>IF(AND(IF($B$3="(todos)",TRUE,'ORDENES'!$O1165=$B$3),IF($D$3="(todos)",TRUE,'ORDENES'!$AH1165=$D$3),IF($F$3="(todos)",TRUE,'ORDENES'!$Z1165=$F$3),IF($H$3="(todos)",TRUE,'ORDENES'!$Y1165=$H$3),'ORDENES'!$AF1165=TRUE,'ORDENES'!$A1165&lt;&gt;""),1,0)</f>
        <v/>
      </c>
      <c r="L1169" s="5">
        <f>IF(K1169=1,IFERROR(MATCH('ORDENES'!$S1165,lista_dias,0),9)*1000000000+IFERROR(MATCH('ORDENES'!$AH1165,lista_turnos,0),9)*10000000+IFERROR(MATCH('ORDENES'!$AG1165,tblTecnicos[nombre],0),99)*100000+1162,9000000000000+1162)</f>
        <v/>
      </c>
      <c r="M1169" s="5">
        <f>IF(K1169=1,SUMPRODUCT(--($L$8:$L$1207&lt;L1169))+1,"")</f>
        <v/>
      </c>
      <c r="N1169" s="17">
        <f>IF(K1169=1,N('ORDENES'!$M1165),0)</f>
        <v/>
      </c>
      <c r="O1169" s="17">
        <f>IF('ORDENES'!$U1165="preventiva",N1169,0)</f>
        <v/>
      </c>
      <c r="P1169" s="17">
        <f>IF('ORDENES'!$U1165="correctiva",N1169,0)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22">
        <f>IF(K1169=1,'ORDENES'!$J1165,"")</f>
        <v/>
      </c>
    </row>
    <row r="1170">
      <c r="K1170" s="5">
        <f>IF(AND(IF($B$3="(todos)",TRUE,'ORDENES'!$O1166=$B$3),IF($D$3="(todos)",TRUE,'ORDENES'!$AH1166=$D$3),IF($F$3="(todos)",TRUE,'ORDENES'!$Z1166=$F$3),IF($H$3="(todos)",TRUE,'ORDENES'!$Y1166=$H$3),'ORDENES'!$AF1166=TRUE,'ORDENES'!$A1166&lt;&gt;""),1,0)</f>
        <v/>
      </c>
      <c r="L1170" s="5">
        <f>IF(K1170=1,IFERROR(MATCH('ORDENES'!$S1166,lista_dias,0),9)*1000000000+IFERROR(MATCH('ORDENES'!$AH1166,lista_turnos,0),9)*10000000+IFERROR(MATCH('ORDENES'!$AG1166,tblTecnicos[nombre],0),99)*100000+1163,9000000000000+1163)</f>
        <v/>
      </c>
      <c r="M1170" s="5">
        <f>IF(K1170=1,SUMPRODUCT(--($L$8:$L$1207&lt;L1170))+1,"")</f>
        <v/>
      </c>
      <c r="N1170" s="17">
        <f>IF(K1170=1,N('ORDENES'!$M1166),0)</f>
        <v/>
      </c>
      <c r="O1170" s="17">
        <f>IF('ORDENES'!$U1166="preventiva",N1170,0)</f>
        <v/>
      </c>
      <c r="P1170" s="17">
        <f>IF('ORDENES'!$U1166="correctiva",N1170,0)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22">
        <f>IF(K1170=1,'ORDENES'!$J1166,"")</f>
        <v/>
      </c>
    </row>
    <row r="1171">
      <c r="K1171" s="5">
        <f>IF(AND(IF($B$3="(todos)",TRUE,'ORDENES'!$O1167=$B$3),IF($D$3="(todos)",TRUE,'ORDENES'!$AH1167=$D$3),IF($F$3="(todos)",TRUE,'ORDENES'!$Z1167=$F$3),IF($H$3="(todos)",TRUE,'ORDENES'!$Y1167=$H$3),'ORDENES'!$AF1167=TRUE,'ORDENES'!$A1167&lt;&gt;""),1,0)</f>
        <v/>
      </c>
      <c r="L1171" s="5">
        <f>IF(K1171=1,IFERROR(MATCH('ORDENES'!$S1167,lista_dias,0),9)*1000000000+IFERROR(MATCH('ORDENES'!$AH1167,lista_turnos,0),9)*10000000+IFERROR(MATCH('ORDENES'!$AG1167,tblTecnicos[nombre],0),99)*100000+1164,9000000000000+1164)</f>
        <v/>
      </c>
      <c r="M1171" s="5">
        <f>IF(K1171=1,SUMPRODUCT(--($L$8:$L$1207&lt;L1171))+1,"")</f>
        <v/>
      </c>
      <c r="N1171" s="17">
        <f>IF(K1171=1,N('ORDENES'!$M1167),0)</f>
        <v/>
      </c>
      <c r="O1171" s="17">
        <f>IF('ORDENES'!$U1167="preventiva",N1171,0)</f>
        <v/>
      </c>
      <c r="P1171" s="17">
        <f>IF('ORDENES'!$U1167="correctiva",N1171,0)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22">
        <f>IF(K1171=1,'ORDENES'!$J1167,"")</f>
        <v/>
      </c>
    </row>
    <row r="1172">
      <c r="K1172" s="5">
        <f>IF(AND(IF($B$3="(todos)",TRUE,'ORDENES'!$O1168=$B$3),IF($D$3="(todos)",TRUE,'ORDENES'!$AH1168=$D$3),IF($F$3="(todos)",TRUE,'ORDENES'!$Z1168=$F$3),IF($H$3="(todos)",TRUE,'ORDENES'!$Y1168=$H$3),'ORDENES'!$AF1168=TRUE,'ORDENES'!$A1168&lt;&gt;""),1,0)</f>
        <v/>
      </c>
      <c r="L1172" s="5">
        <f>IF(K1172=1,IFERROR(MATCH('ORDENES'!$S1168,lista_dias,0),9)*1000000000+IFERROR(MATCH('ORDENES'!$AH1168,lista_turnos,0),9)*10000000+IFERROR(MATCH('ORDENES'!$AG1168,tblTecnicos[nombre],0),99)*100000+1165,9000000000000+1165)</f>
        <v/>
      </c>
      <c r="M1172" s="5">
        <f>IF(K1172=1,SUMPRODUCT(--($L$8:$L$1207&lt;L1172))+1,"")</f>
        <v/>
      </c>
      <c r="N1172" s="17">
        <f>IF(K1172=1,N('ORDENES'!$M1168),0)</f>
        <v/>
      </c>
      <c r="O1172" s="17">
        <f>IF('ORDENES'!$U1168="preventiva",N1172,0)</f>
        <v/>
      </c>
      <c r="P1172" s="17">
        <f>IF('ORDENES'!$U1168="correctiva",N1172,0)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22">
        <f>IF(K1172=1,'ORDENES'!$J1168,"")</f>
        <v/>
      </c>
    </row>
    <row r="1173">
      <c r="K1173" s="5">
        <f>IF(AND(IF($B$3="(todos)",TRUE,'ORDENES'!$O1169=$B$3),IF($D$3="(todos)",TRUE,'ORDENES'!$AH1169=$D$3),IF($F$3="(todos)",TRUE,'ORDENES'!$Z1169=$F$3),IF($H$3="(todos)",TRUE,'ORDENES'!$Y1169=$H$3),'ORDENES'!$AF1169=TRUE,'ORDENES'!$A1169&lt;&gt;""),1,0)</f>
        <v/>
      </c>
      <c r="L1173" s="5">
        <f>IF(K1173=1,IFERROR(MATCH('ORDENES'!$S1169,lista_dias,0),9)*1000000000+IFERROR(MATCH('ORDENES'!$AH1169,lista_turnos,0),9)*10000000+IFERROR(MATCH('ORDENES'!$AG1169,tblTecnicos[nombre],0),99)*100000+1166,9000000000000+1166)</f>
        <v/>
      </c>
      <c r="M1173" s="5">
        <f>IF(K1173=1,SUMPRODUCT(--($L$8:$L$1207&lt;L1173))+1,"")</f>
        <v/>
      </c>
      <c r="N1173" s="17">
        <f>IF(K1173=1,N('ORDENES'!$M1169),0)</f>
        <v/>
      </c>
      <c r="O1173" s="17">
        <f>IF('ORDENES'!$U1169="preventiva",N1173,0)</f>
        <v/>
      </c>
      <c r="P1173" s="17">
        <f>IF('ORDENES'!$U1169="correctiva",N1173,0)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22">
        <f>IF(K1173=1,'ORDENES'!$J1169,"")</f>
        <v/>
      </c>
    </row>
    <row r="1174">
      <c r="K1174" s="5">
        <f>IF(AND(IF($B$3="(todos)",TRUE,'ORDENES'!$O1170=$B$3),IF($D$3="(todos)",TRUE,'ORDENES'!$AH1170=$D$3),IF($F$3="(todos)",TRUE,'ORDENES'!$Z1170=$F$3),IF($H$3="(todos)",TRUE,'ORDENES'!$Y1170=$H$3),'ORDENES'!$AF1170=TRUE,'ORDENES'!$A1170&lt;&gt;""),1,0)</f>
        <v/>
      </c>
      <c r="L1174" s="5">
        <f>IF(K1174=1,IFERROR(MATCH('ORDENES'!$S1170,lista_dias,0),9)*1000000000+IFERROR(MATCH('ORDENES'!$AH1170,lista_turnos,0),9)*10000000+IFERROR(MATCH('ORDENES'!$AG1170,tblTecnicos[nombre],0),99)*100000+1167,9000000000000+1167)</f>
        <v/>
      </c>
      <c r="M1174" s="5">
        <f>IF(K1174=1,SUMPRODUCT(--($L$8:$L$1207&lt;L1174))+1,"")</f>
        <v/>
      </c>
      <c r="N1174" s="17">
        <f>IF(K1174=1,N('ORDENES'!$M1170),0)</f>
        <v/>
      </c>
      <c r="O1174" s="17">
        <f>IF('ORDENES'!$U1170="preventiva",N1174,0)</f>
        <v/>
      </c>
      <c r="P1174" s="17">
        <f>IF('ORDENES'!$U1170="correctiva",N1174,0)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22">
        <f>IF(K1174=1,'ORDENES'!$J1170,"")</f>
        <v/>
      </c>
    </row>
    <row r="1175">
      <c r="K1175" s="5">
        <f>IF(AND(IF($B$3="(todos)",TRUE,'ORDENES'!$O1171=$B$3),IF($D$3="(todos)",TRUE,'ORDENES'!$AH1171=$D$3),IF($F$3="(todos)",TRUE,'ORDENES'!$Z1171=$F$3),IF($H$3="(todos)",TRUE,'ORDENES'!$Y1171=$H$3),'ORDENES'!$AF1171=TRUE,'ORDENES'!$A1171&lt;&gt;""),1,0)</f>
        <v/>
      </c>
      <c r="L1175" s="5">
        <f>IF(K1175=1,IFERROR(MATCH('ORDENES'!$S1171,lista_dias,0),9)*1000000000+IFERROR(MATCH('ORDENES'!$AH1171,lista_turnos,0),9)*10000000+IFERROR(MATCH('ORDENES'!$AG1171,tblTecnicos[nombre],0),99)*100000+1168,9000000000000+1168)</f>
        <v/>
      </c>
      <c r="M1175" s="5">
        <f>IF(K1175=1,SUMPRODUCT(--($L$8:$L$1207&lt;L1175))+1,"")</f>
        <v/>
      </c>
      <c r="N1175" s="17">
        <f>IF(K1175=1,N('ORDENES'!$M1171),0)</f>
        <v/>
      </c>
      <c r="O1175" s="17">
        <f>IF('ORDENES'!$U1171="preventiva",N1175,0)</f>
        <v/>
      </c>
      <c r="P1175" s="17">
        <f>IF('ORDENES'!$U1171="correctiva",N1175,0)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22">
        <f>IF(K1175=1,'ORDENES'!$J1171,"")</f>
        <v/>
      </c>
    </row>
    <row r="1176">
      <c r="K1176" s="5">
        <f>IF(AND(IF($B$3="(todos)",TRUE,'ORDENES'!$O1172=$B$3),IF($D$3="(todos)",TRUE,'ORDENES'!$AH1172=$D$3),IF($F$3="(todos)",TRUE,'ORDENES'!$Z1172=$F$3),IF($H$3="(todos)",TRUE,'ORDENES'!$Y1172=$H$3),'ORDENES'!$AF1172=TRUE,'ORDENES'!$A1172&lt;&gt;""),1,0)</f>
        <v/>
      </c>
      <c r="L1176" s="5">
        <f>IF(K1176=1,IFERROR(MATCH('ORDENES'!$S1172,lista_dias,0),9)*1000000000+IFERROR(MATCH('ORDENES'!$AH1172,lista_turnos,0),9)*10000000+IFERROR(MATCH('ORDENES'!$AG1172,tblTecnicos[nombre],0),99)*100000+1169,9000000000000+1169)</f>
        <v/>
      </c>
      <c r="M1176" s="5">
        <f>IF(K1176=1,SUMPRODUCT(--($L$8:$L$1207&lt;L1176))+1,"")</f>
        <v/>
      </c>
      <c r="N1176" s="17">
        <f>IF(K1176=1,N('ORDENES'!$M1172),0)</f>
        <v/>
      </c>
      <c r="O1176" s="17">
        <f>IF('ORDENES'!$U1172="preventiva",N1176,0)</f>
        <v/>
      </c>
      <c r="P1176" s="17">
        <f>IF('ORDENES'!$U1172="correctiva",N1176,0)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22">
        <f>IF(K1176=1,'ORDENES'!$J1172,"")</f>
        <v/>
      </c>
    </row>
    <row r="1177">
      <c r="K1177" s="5">
        <f>IF(AND(IF($B$3="(todos)",TRUE,'ORDENES'!$O1173=$B$3),IF($D$3="(todos)",TRUE,'ORDENES'!$AH1173=$D$3),IF($F$3="(todos)",TRUE,'ORDENES'!$Z1173=$F$3),IF($H$3="(todos)",TRUE,'ORDENES'!$Y1173=$H$3),'ORDENES'!$AF1173=TRUE,'ORDENES'!$A1173&lt;&gt;""),1,0)</f>
        <v/>
      </c>
      <c r="L1177" s="5">
        <f>IF(K1177=1,IFERROR(MATCH('ORDENES'!$S1173,lista_dias,0),9)*1000000000+IFERROR(MATCH('ORDENES'!$AH1173,lista_turnos,0),9)*10000000+IFERROR(MATCH('ORDENES'!$AG1173,tblTecnicos[nombre],0),99)*100000+1170,9000000000000+1170)</f>
        <v/>
      </c>
      <c r="M1177" s="5">
        <f>IF(K1177=1,SUMPRODUCT(--($L$8:$L$1207&lt;L1177))+1,"")</f>
        <v/>
      </c>
      <c r="N1177" s="17">
        <f>IF(K1177=1,N('ORDENES'!$M1173),0)</f>
        <v/>
      </c>
      <c r="O1177" s="17">
        <f>IF('ORDENES'!$U1173="preventiva",N1177,0)</f>
        <v/>
      </c>
      <c r="P1177" s="17">
        <f>IF('ORDENES'!$U1173="correctiva",N1177,0)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22">
        <f>IF(K1177=1,'ORDENES'!$J1173,"")</f>
        <v/>
      </c>
    </row>
    <row r="1178">
      <c r="K1178" s="5">
        <f>IF(AND(IF($B$3="(todos)",TRUE,'ORDENES'!$O1174=$B$3),IF($D$3="(todos)",TRUE,'ORDENES'!$AH1174=$D$3),IF($F$3="(todos)",TRUE,'ORDENES'!$Z1174=$F$3),IF($H$3="(todos)",TRUE,'ORDENES'!$Y1174=$H$3),'ORDENES'!$AF1174=TRUE,'ORDENES'!$A1174&lt;&gt;""),1,0)</f>
        <v/>
      </c>
      <c r="L1178" s="5">
        <f>IF(K1178=1,IFERROR(MATCH('ORDENES'!$S1174,lista_dias,0),9)*1000000000+IFERROR(MATCH('ORDENES'!$AH1174,lista_turnos,0),9)*10000000+IFERROR(MATCH('ORDENES'!$AG1174,tblTecnicos[nombre],0),99)*100000+1171,9000000000000+1171)</f>
        <v/>
      </c>
      <c r="M1178" s="5">
        <f>IF(K1178=1,SUMPRODUCT(--($L$8:$L$1207&lt;L1178))+1,"")</f>
        <v/>
      </c>
      <c r="N1178" s="17">
        <f>IF(K1178=1,N('ORDENES'!$M1174),0)</f>
        <v/>
      </c>
      <c r="O1178" s="17">
        <f>IF('ORDENES'!$U1174="preventiva",N1178,0)</f>
        <v/>
      </c>
      <c r="P1178" s="17">
        <f>IF('ORDENES'!$U1174="correctiva",N1178,0)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22">
        <f>IF(K1178=1,'ORDENES'!$J1174,"")</f>
        <v/>
      </c>
    </row>
    <row r="1179">
      <c r="K1179" s="5">
        <f>IF(AND(IF($B$3="(todos)",TRUE,'ORDENES'!$O1175=$B$3),IF($D$3="(todos)",TRUE,'ORDENES'!$AH1175=$D$3),IF($F$3="(todos)",TRUE,'ORDENES'!$Z1175=$F$3),IF($H$3="(todos)",TRUE,'ORDENES'!$Y1175=$H$3),'ORDENES'!$AF1175=TRUE,'ORDENES'!$A1175&lt;&gt;""),1,0)</f>
        <v/>
      </c>
      <c r="L1179" s="5">
        <f>IF(K1179=1,IFERROR(MATCH('ORDENES'!$S1175,lista_dias,0),9)*1000000000+IFERROR(MATCH('ORDENES'!$AH1175,lista_turnos,0),9)*10000000+IFERROR(MATCH('ORDENES'!$AG1175,tblTecnicos[nombre],0),99)*100000+1172,9000000000000+1172)</f>
        <v/>
      </c>
      <c r="M1179" s="5">
        <f>IF(K1179=1,SUMPRODUCT(--($L$8:$L$1207&lt;L1179))+1,"")</f>
        <v/>
      </c>
      <c r="N1179" s="17">
        <f>IF(K1179=1,N('ORDENES'!$M1175),0)</f>
        <v/>
      </c>
      <c r="O1179" s="17">
        <f>IF('ORDENES'!$U1175="preventiva",N1179,0)</f>
        <v/>
      </c>
      <c r="P1179" s="17">
        <f>IF('ORDENES'!$U1175="correctiva",N1179,0)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22">
        <f>IF(K1179=1,'ORDENES'!$J1175,"")</f>
        <v/>
      </c>
    </row>
    <row r="1180">
      <c r="K1180" s="5">
        <f>IF(AND(IF($B$3="(todos)",TRUE,'ORDENES'!$O1176=$B$3),IF($D$3="(todos)",TRUE,'ORDENES'!$AH1176=$D$3),IF($F$3="(todos)",TRUE,'ORDENES'!$Z1176=$F$3),IF($H$3="(todos)",TRUE,'ORDENES'!$Y1176=$H$3),'ORDENES'!$AF1176=TRUE,'ORDENES'!$A1176&lt;&gt;""),1,0)</f>
        <v/>
      </c>
      <c r="L1180" s="5">
        <f>IF(K1180=1,IFERROR(MATCH('ORDENES'!$S1176,lista_dias,0),9)*1000000000+IFERROR(MATCH('ORDENES'!$AH1176,lista_turnos,0),9)*10000000+IFERROR(MATCH('ORDENES'!$AG1176,tblTecnicos[nombre],0),99)*100000+1173,9000000000000+1173)</f>
        <v/>
      </c>
      <c r="M1180" s="5">
        <f>IF(K1180=1,SUMPRODUCT(--($L$8:$L$1207&lt;L1180))+1,"")</f>
        <v/>
      </c>
      <c r="N1180" s="17">
        <f>IF(K1180=1,N('ORDENES'!$M1176),0)</f>
        <v/>
      </c>
      <c r="O1180" s="17">
        <f>IF('ORDENES'!$U1176="preventiva",N1180,0)</f>
        <v/>
      </c>
      <c r="P1180" s="17">
        <f>IF('ORDENES'!$U1176="correctiva",N1180,0)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22">
        <f>IF(K1180=1,'ORDENES'!$J1176,"")</f>
        <v/>
      </c>
    </row>
    <row r="1181">
      <c r="K1181" s="5">
        <f>IF(AND(IF($B$3="(todos)",TRUE,'ORDENES'!$O1177=$B$3),IF($D$3="(todos)",TRUE,'ORDENES'!$AH1177=$D$3),IF($F$3="(todos)",TRUE,'ORDENES'!$Z1177=$F$3),IF($H$3="(todos)",TRUE,'ORDENES'!$Y1177=$H$3),'ORDENES'!$AF1177=TRUE,'ORDENES'!$A1177&lt;&gt;""),1,0)</f>
        <v/>
      </c>
      <c r="L1181" s="5">
        <f>IF(K1181=1,IFERROR(MATCH('ORDENES'!$S1177,lista_dias,0),9)*1000000000+IFERROR(MATCH('ORDENES'!$AH1177,lista_turnos,0),9)*10000000+IFERROR(MATCH('ORDENES'!$AG1177,tblTecnicos[nombre],0),99)*100000+1174,9000000000000+1174)</f>
        <v/>
      </c>
      <c r="M1181" s="5">
        <f>IF(K1181=1,SUMPRODUCT(--($L$8:$L$1207&lt;L1181))+1,"")</f>
        <v/>
      </c>
      <c r="N1181" s="17">
        <f>IF(K1181=1,N('ORDENES'!$M1177),0)</f>
        <v/>
      </c>
      <c r="O1181" s="17">
        <f>IF('ORDENES'!$U1177="preventiva",N1181,0)</f>
        <v/>
      </c>
      <c r="P1181" s="17">
        <f>IF('ORDENES'!$U1177="correctiva",N1181,0)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22">
        <f>IF(K1181=1,'ORDENES'!$J1177,"")</f>
        <v/>
      </c>
    </row>
    <row r="1182">
      <c r="K1182" s="5">
        <f>IF(AND(IF($B$3="(todos)",TRUE,'ORDENES'!$O1178=$B$3),IF($D$3="(todos)",TRUE,'ORDENES'!$AH1178=$D$3),IF($F$3="(todos)",TRUE,'ORDENES'!$Z1178=$F$3),IF($H$3="(todos)",TRUE,'ORDENES'!$Y1178=$H$3),'ORDENES'!$AF1178=TRUE,'ORDENES'!$A1178&lt;&gt;""),1,0)</f>
        <v/>
      </c>
      <c r="L1182" s="5">
        <f>IF(K1182=1,IFERROR(MATCH('ORDENES'!$S1178,lista_dias,0),9)*1000000000+IFERROR(MATCH('ORDENES'!$AH1178,lista_turnos,0),9)*10000000+IFERROR(MATCH('ORDENES'!$AG1178,tblTecnicos[nombre],0),99)*100000+1175,9000000000000+1175)</f>
        <v/>
      </c>
      <c r="M1182" s="5">
        <f>IF(K1182=1,SUMPRODUCT(--($L$8:$L$1207&lt;L1182))+1,"")</f>
        <v/>
      </c>
      <c r="N1182" s="17">
        <f>IF(K1182=1,N('ORDENES'!$M1178),0)</f>
        <v/>
      </c>
      <c r="O1182" s="17">
        <f>IF('ORDENES'!$U1178="preventiva",N1182,0)</f>
        <v/>
      </c>
      <c r="P1182" s="17">
        <f>IF('ORDENES'!$U1178="correctiva",N1182,0)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22">
        <f>IF(K1182=1,'ORDENES'!$J1178,"")</f>
        <v/>
      </c>
    </row>
    <row r="1183">
      <c r="K1183" s="5">
        <f>IF(AND(IF($B$3="(todos)",TRUE,'ORDENES'!$O1179=$B$3),IF($D$3="(todos)",TRUE,'ORDENES'!$AH1179=$D$3),IF($F$3="(todos)",TRUE,'ORDENES'!$Z1179=$F$3),IF($H$3="(todos)",TRUE,'ORDENES'!$Y1179=$H$3),'ORDENES'!$AF1179=TRUE,'ORDENES'!$A1179&lt;&gt;""),1,0)</f>
        <v/>
      </c>
      <c r="L1183" s="5">
        <f>IF(K1183=1,IFERROR(MATCH('ORDENES'!$S1179,lista_dias,0),9)*1000000000+IFERROR(MATCH('ORDENES'!$AH1179,lista_turnos,0),9)*10000000+IFERROR(MATCH('ORDENES'!$AG1179,tblTecnicos[nombre],0),99)*100000+1176,9000000000000+1176)</f>
        <v/>
      </c>
      <c r="M1183" s="5">
        <f>IF(K1183=1,SUMPRODUCT(--($L$8:$L$1207&lt;L1183))+1,"")</f>
        <v/>
      </c>
      <c r="N1183" s="17">
        <f>IF(K1183=1,N('ORDENES'!$M1179),0)</f>
        <v/>
      </c>
      <c r="O1183" s="17">
        <f>IF('ORDENES'!$U1179="preventiva",N1183,0)</f>
        <v/>
      </c>
      <c r="P1183" s="17">
        <f>IF('ORDENES'!$U1179="correctiva",N1183,0)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22">
        <f>IF(K1183=1,'ORDENES'!$J1179,"")</f>
        <v/>
      </c>
    </row>
    <row r="1184">
      <c r="K1184" s="5">
        <f>IF(AND(IF($B$3="(todos)",TRUE,'ORDENES'!$O1180=$B$3),IF($D$3="(todos)",TRUE,'ORDENES'!$AH1180=$D$3),IF($F$3="(todos)",TRUE,'ORDENES'!$Z1180=$F$3),IF($H$3="(todos)",TRUE,'ORDENES'!$Y1180=$H$3),'ORDENES'!$AF1180=TRUE,'ORDENES'!$A1180&lt;&gt;""),1,0)</f>
        <v/>
      </c>
      <c r="L1184" s="5">
        <f>IF(K1184=1,IFERROR(MATCH('ORDENES'!$S1180,lista_dias,0),9)*1000000000+IFERROR(MATCH('ORDENES'!$AH1180,lista_turnos,0),9)*10000000+IFERROR(MATCH('ORDENES'!$AG1180,tblTecnicos[nombre],0),99)*100000+1177,9000000000000+1177)</f>
        <v/>
      </c>
      <c r="M1184" s="5">
        <f>IF(K1184=1,SUMPRODUCT(--($L$8:$L$1207&lt;L1184))+1,"")</f>
        <v/>
      </c>
      <c r="N1184" s="17">
        <f>IF(K1184=1,N('ORDENES'!$M1180),0)</f>
        <v/>
      </c>
      <c r="O1184" s="17">
        <f>IF('ORDENES'!$U1180="preventiva",N1184,0)</f>
        <v/>
      </c>
      <c r="P1184" s="17">
        <f>IF('ORDENES'!$U1180="correctiva",N1184,0)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22">
        <f>IF(K1184=1,'ORDENES'!$J1180,"")</f>
        <v/>
      </c>
    </row>
    <row r="1185">
      <c r="K1185" s="5">
        <f>IF(AND(IF($B$3="(todos)",TRUE,'ORDENES'!$O1181=$B$3),IF($D$3="(todos)",TRUE,'ORDENES'!$AH1181=$D$3),IF($F$3="(todos)",TRUE,'ORDENES'!$Z1181=$F$3),IF($H$3="(todos)",TRUE,'ORDENES'!$Y1181=$H$3),'ORDENES'!$AF1181=TRUE,'ORDENES'!$A1181&lt;&gt;""),1,0)</f>
        <v/>
      </c>
      <c r="L1185" s="5">
        <f>IF(K1185=1,IFERROR(MATCH('ORDENES'!$S1181,lista_dias,0),9)*1000000000+IFERROR(MATCH('ORDENES'!$AH1181,lista_turnos,0),9)*10000000+IFERROR(MATCH('ORDENES'!$AG1181,tblTecnicos[nombre],0),99)*100000+1178,9000000000000+1178)</f>
        <v/>
      </c>
      <c r="M1185" s="5">
        <f>IF(K1185=1,SUMPRODUCT(--($L$8:$L$1207&lt;L1185))+1,"")</f>
        <v/>
      </c>
      <c r="N1185" s="17">
        <f>IF(K1185=1,N('ORDENES'!$M1181),0)</f>
        <v/>
      </c>
      <c r="O1185" s="17">
        <f>IF('ORDENES'!$U1181="preventiva",N1185,0)</f>
        <v/>
      </c>
      <c r="P1185" s="17">
        <f>IF('ORDENES'!$U1181="correctiva",N1185,0)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22">
        <f>IF(K1185=1,'ORDENES'!$J1181,"")</f>
        <v/>
      </c>
    </row>
    <row r="1186">
      <c r="K1186" s="5">
        <f>IF(AND(IF($B$3="(todos)",TRUE,'ORDENES'!$O1182=$B$3),IF($D$3="(todos)",TRUE,'ORDENES'!$AH1182=$D$3),IF($F$3="(todos)",TRUE,'ORDENES'!$Z1182=$F$3),IF($H$3="(todos)",TRUE,'ORDENES'!$Y1182=$H$3),'ORDENES'!$AF1182=TRUE,'ORDENES'!$A1182&lt;&gt;""),1,0)</f>
        <v/>
      </c>
      <c r="L1186" s="5">
        <f>IF(K1186=1,IFERROR(MATCH('ORDENES'!$S1182,lista_dias,0),9)*1000000000+IFERROR(MATCH('ORDENES'!$AH1182,lista_turnos,0),9)*10000000+IFERROR(MATCH('ORDENES'!$AG1182,tblTecnicos[nombre],0),99)*100000+1179,9000000000000+1179)</f>
        <v/>
      </c>
      <c r="M1186" s="5">
        <f>IF(K1186=1,SUMPRODUCT(--($L$8:$L$1207&lt;L1186))+1,"")</f>
        <v/>
      </c>
      <c r="N1186" s="17">
        <f>IF(K1186=1,N('ORDENES'!$M1182),0)</f>
        <v/>
      </c>
      <c r="O1186" s="17">
        <f>IF('ORDENES'!$U1182="preventiva",N1186,0)</f>
        <v/>
      </c>
      <c r="P1186" s="17">
        <f>IF('ORDENES'!$U1182="correctiva",N1186,0)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22">
        <f>IF(K1186=1,'ORDENES'!$J1182,"")</f>
        <v/>
      </c>
    </row>
    <row r="1187">
      <c r="K1187" s="5">
        <f>IF(AND(IF($B$3="(todos)",TRUE,'ORDENES'!$O1183=$B$3),IF($D$3="(todos)",TRUE,'ORDENES'!$AH1183=$D$3),IF($F$3="(todos)",TRUE,'ORDENES'!$Z1183=$F$3),IF($H$3="(todos)",TRUE,'ORDENES'!$Y1183=$H$3),'ORDENES'!$AF1183=TRUE,'ORDENES'!$A1183&lt;&gt;""),1,0)</f>
        <v/>
      </c>
      <c r="L1187" s="5">
        <f>IF(K1187=1,IFERROR(MATCH('ORDENES'!$S1183,lista_dias,0),9)*1000000000+IFERROR(MATCH('ORDENES'!$AH1183,lista_turnos,0),9)*10000000+IFERROR(MATCH('ORDENES'!$AG1183,tblTecnicos[nombre],0),99)*100000+1180,9000000000000+1180)</f>
        <v/>
      </c>
      <c r="M1187" s="5">
        <f>IF(K1187=1,SUMPRODUCT(--($L$8:$L$1207&lt;L1187))+1,"")</f>
        <v/>
      </c>
      <c r="N1187" s="17">
        <f>IF(K1187=1,N('ORDENES'!$M1183),0)</f>
        <v/>
      </c>
      <c r="O1187" s="17">
        <f>IF('ORDENES'!$U1183="preventiva",N1187,0)</f>
        <v/>
      </c>
      <c r="P1187" s="17">
        <f>IF('ORDENES'!$U1183="correctiva",N1187,0)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22">
        <f>IF(K1187=1,'ORDENES'!$J1183,"")</f>
        <v/>
      </c>
    </row>
    <row r="1188">
      <c r="K1188" s="5">
        <f>IF(AND(IF($B$3="(todos)",TRUE,'ORDENES'!$O1184=$B$3),IF($D$3="(todos)",TRUE,'ORDENES'!$AH1184=$D$3),IF($F$3="(todos)",TRUE,'ORDENES'!$Z1184=$F$3),IF($H$3="(todos)",TRUE,'ORDENES'!$Y1184=$H$3),'ORDENES'!$AF1184=TRUE,'ORDENES'!$A1184&lt;&gt;""),1,0)</f>
        <v/>
      </c>
      <c r="L1188" s="5">
        <f>IF(K1188=1,IFERROR(MATCH('ORDENES'!$S1184,lista_dias,0),9)*1000000000+IFERROR(MATCH('ORDENES'!$AH1184,lista_turnos,0),9)*10000000+IFERROR(MATCH('ORDENES'!$AG1184,tblTecnicos[nombre],0),99)*100000+1181,9000000000000+1181)</f>
        <v/>
      </c>
      <c r="M1188" s="5">
        <f>IF(K1188=1,SUMPRODUCT(--($L$8:$L$1207&lt;L1188))+1,"")</f>
        <v/>
      </c>
      <c r="N1188" s="17">
        <f>IF(K1188=1,N('ORDENES'!$M1184),0)</f>
        <v/>
      </c>
      <c r="O1188" s="17">
        <f>IF('ORDENES'!$U1184="preventiva",N1188,0)</f>
        <v/>
      </c>
      <c r="P1188" s="17">
        <f>IF('ORDENES'!$U1184="correctiva",N1188,0)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22">
        <f>IF(K1188=1,'ORDENES'!$J1184,"")</f>
        <v/>
      </c>
    </row>
    <row r="1189">
      <c r="K1189" s="5">
        <f>IF(AND(IF($B$3="(todos)",TRUE,'ORDENES'!$O1185=$B$3),IF($D$3="(todos)",TRUE,'ORDENES'!$AH1185=$D$3),IF($F$3="(todos)",TRUE,'ORDENES'!$Z1185=$F$3),IF($H$3="(todos)",TRUE,'ORDENES'!$Y1185=$H$3),'ORDENES'!$AF1185=TRUE,'ORDENES'!$A1185&lt;&gt;""),1,0)</f>
        <v/>
      </c>
      <c r="L1189" s="5">
        <f>IF(K1189=1,IFERROR(MATCH('ORDENES'!$S1185,lista_dias,0),9)*1000000000+IFERROR(MATCH('ORDENES'!$AH1185,lista_turnos,0),9)*10000000+IFERROR(MATCH('ORDENES'!$AG1185,tblTecnicos[nombre],0),99)*100000+1182,9000000000000+1182)</f>
        <v/>
      </c>
      <c r="M1189" s="5">
        <f>IF(K1189=1,SUMPRODUCT(--($L$8:$L$1207&lt;L1189))+1,"")</f>
        <v/>
      </c>
      <c r="N1189" s="17">
        <f>IF(K1189=1,N('ORDENES'!$M1185),0)</f>
        <v/>
      </c>
      <c r="O1189" s="17">
        <f>IF('ORDENES'!$U1185="preventiva",N1189,0)</f>
        <v/>
      </c>
      <c r="P1189" s="17">
        <f>IF('ORDENES'!$U1185="correctiva",N1189,0)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22">
        <f>IF(K1189=1,'ORDENES'!$J1185,"")</f>
        <v/>
      </c>
    </row>
    <row r="1190">
      <c r="K1190" s="5">
        <f>IF(AND(IF($B$3="(todos)",TRUE,'ORDENES'!$O1186=$B$3),IF($D$3="(todos)",TRUE,'ORDENES'!$AH1186=$D$3),IF($F$3="(todos)",TRUE,'ORDENES'!$Z1186=$F$3),IF($H$3="(todos)",TRUE,'ORDENES'!$Y1186=$H$3),'ORDENES'!$AF1186=TRUE,'ORDENES'!$A1186&lt;&gt;""),1,0)</f>
        <v/>
      </c>
      <c r="L1190" s="5">
        <f>IF(K1190=1,IFERROR(MATCH('ORDENES'!$S1186,lista_dias,0),9)*1000000000+IFERROR(MATCH('ORDENES'!$AH1186,lista_turnos,0),9)*10000000+IFERROR(MATCH('ORDENES'!$AG1186,tblTecnicos[nombre],0),99)*100000+1183,9000000000000+1183)</f>
        <v/>
      </c>
      <c r="M1190" s="5">
        <f>IF(K1190=1,SUMPRODUCT(--($L$8:$L$1207&lt;L1190))+1,"")</f>
        <v/>
      </c>
      <c r="N1190" s="17">
        <f>IF(K1190=1,N('ORDENES'!$M1186),0)</f>
        <v/>
      </c>
      <c r="O1190" s="17">
        <f>IF('ORDENES'!$U1186="preventiva",N1190,0)</f>
        <v/>
      </c>
      <c r="P1190" s="17">
        <f>IF('ORDENES'!$U1186="correctiva",N1190,0)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22">
        <f>IF(K1190=1,'ORDENES'!$J1186,"")</f>
        <v/>
      </c>
    </row>
    <row r="1191">
      <c r="K1191" s="5">
        <f>IF(AND(IF($B$3="(todos)",TRUE,'ORDENES'!$O1187=$B$3),IF($D$3="(todos)",TRUE,'ORDENES'!$AH1187=$D$3),IF($F$3="(todos)",TRUE,'ORDENES'!$Z1187=$F$3),IF($H$3="(todos)",TRUE,'ORDENES'!$Y1187=$H$3),'ORDENES'!$AF1187=TRUE,'ORDENES'!$A1187&lt;&gt;""),1,0)</f>
        <v/>
      </c>
      <c r="L1191" s="5">
        <f>IF(K1191=1,IFERROR(MATCH('ORDENES'!$S1187,lista_dias,0),9)*1000000000+IFERROR(MATCH('ORDENES'!$AH1187,lista_turnos,0),9)*10000000+IFERROR(MATCH('ORDENES'!$AG1187,tblTecnicos[nombre],0),99)*100000+1184,9000000000000+1184)</f>
        <v/>
      </c>
      <c r="M1191" s="5">
        <f>IF(K1191=1,SUMPRODUCT(--($L$8:$L$1207&lt;L1191))+1,"")</f>
        <v/>
      </c>
      <c r="N1191" s="17">
        <f>IF(K1191=1,N('ORDENES'!$M1187),0)</f>
        <v/>
      </c>
      <c r="O1191" s="17">
        <f>IF('ORDENES'!$U1187="preventiva",N1191,0)</f>
        <v/>
      </c>
      <c r="P1191" s="17">
        <f>IF('ORDENES'!$U1187="correctiva",N1191,0)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22">
        <f>IF(K1191=1,'ORDENES'!$J1187,"")</f>
        <v/>
      </c>
    </row>
    <row r="1192">
      <c r="K1192" s="5">
        <f>IF(AND(IF($B$3="(todos)",TRUE,'ORDENES'!$O1188=$B$3),IF($D$3="(todos)",TRUE,'ORDENES'!$AH1188=$D$3),IF($F$3="(todos)",TRUE,'ORDENES'!$Z1188=$F$3),IF($H$3="(todos)",TRUE,'ORDENES'!$Y1188=$H$3),'ORDENES'!$AF1188=TRUE,'ORDENES'!$A1188&lt;&gt;""),1,0)</f>
        <v/>
      </c>
      <c r="L1192" s="5">
        <f>IF(K1192=1,IFERROR(MATCH('ORDENES'!$S1188,lista_dias,0),9)*1000000000+IFERROR(MATCH('ORDENES'!$AH1188,lista_turnos,0),9)*10000000+IFERROR(MATCH('ORDENES'!$AG1188,tblTecnicos[nombre],0),99)*100000+1185,9000000000000+1185)</f>
        <v/>
      </c>
      <c r="M1192" s="5">
        <f>IF(K1192=1,SUMPRODUCT(--($L$8:$L$1207&lt;L1192))+1,"")</f>
        <v/>
      </c>
      <c r="N1192" s="17">
        <f>IF(K1192=1,N('ORDENES'!$M1188),0)</f>
        <v/>
      </c>
      <c r="O1192" s="17">
        <f>IF('ORDENES'!$U1188="preventiva",N1192,0)</f>
        <v/>
      </c>
      <c r="P1192" s="17">
        <f>IF('ORDENES'!$U1188="correctiva",N1192,0)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22">
        <f>IF(K1192=1,'ORDENES'!$J1188,"")</f>
        <v/>
      </c>
    </row>
    <row r="1193">
      <c r="K1193" s="5">
        <f>IF(AND(IF($B$3="(todos)",TRUE,'ORDENES'!$O1189=$B$3),IF($D$3="(todos)",TRUE,'ORDENES'!$AH1189=$D$3),IF($F$3="(todos)",TRUE,'ORDENES'!$Z1189=$F$3),IF($H$3="(todos)",TRUE,'ORDENES'!$Y1189=$H$3),'ORDENES'!$AF1189=TRUE,'ORDENES'!$A1189&lt;&gt;""),1,0)</f>
        <v/>
      </c>
      <c r="L1193" s="5">
        <f>IF(K1193=1,IFERROR(MATCH('ORDENES'!$S1189,lista_dias,0),9)*1000000000+IFERROR(MATCH('ORDENES'!$AH1189,lista_turnos,0),9)*10000000+IFERROR(MATCH('ORDENES'!$AG1189,tblTecnicos[nombre],0),99)*100000+1186,9000000000000+1186)</f>
        <v/>
      </c>
      <c r="M1193" s="5">
        <f>IF(K1193=1,SUMPRODUCT(--($L$8:$L$1207&lt;L1193))+1,"")</f>
        <v/>
      </c>
      <c r="N1193" s="17">
        <f>IF(K1193=1,N('ORDENES'!$M1189),0)</f>
        <v/>
      </c>
      <c r="O1193" s="17">
        <f>IF('ORDENES'!$U1189="preventiva",N1193,0)</f>
        <v/>
      </c>
      <c r="P1193" s="17">
        <f>IF('ORDENES'!$U1189="correctiva",N1193,0)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22">
        <f>IF(K1193=1,'ORDENES'!$J1189,"")</f>
        <v/>
      </c>
    </row>
    <row r="1194">
      <c r="K1194" s="5">
        <f>IF(AND(IF($B$3="(todos)",TRUE,'ORDENES'!$O1190=$B$3),IF($D$3="(todos)",TRUE,'ORDENES'!$AH1190=$D$3),IF($F$3="(todos)",TRUE,'ORDENES'!$Z1190=$F$3),IF($H$3="(todos)",TRUE,'ORDENES'!$Y1190=$H$3),'ORDENES'!$AF1190=TRUE,'ORDENES'!$A1190&lt;&gt;""),1,0)</f>
        <v/>
      </c>
      <c r="L1194" s="5">
        <f>IF(K1194=1,IFERROR(MATCH('ORDENES'!$S1190,lista_dias,0),9)*1000000000+IFERROR(MATCH('ORDENES'!$AH1190,lista_turnos,0),9)*10000000+IFERROR(MATCH('ORDENES'!$AG1190,tblTecnicos[nombre],0),99)*100000+1187,9000000000000+1187)</f>
        <v/>
      </c>
      <c r="M1194" s="5">
        <f>IF(K1194=1,SUMPRODUCT(--($L$8:$L$1207&lt;L1194))+1,"")</f>
        <v/>
      </c>
      <c r="N1194" s="17">
        <f>IF(K1194=1,N('ORDENES'!$M1190),0)</f>
        <v/>
      </c>
      <c r="O1194" s="17">
        <f>IF('ORDENES'!$U1190="preventiva",N1194,0)</f>
        <v/>
      </c>
      <c r="P1194" s="17">
        <f>IF('ORDENES'!$U1190="correctiva",N1194,0)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22">
        <f>IF(K1194=1,'ORDENES'!$J1190,"")</f>
        <v/>
      </c>
    </row>
    <row r="1195">
      <c r="K1195" s="5">
        <f>IF(AND(IF($B$3="(todos)",TRUE,'ORDENES'!$O1191=$B$3),IF($D$3="(todos)",TRUE,'ORDENES'!$AH1191=$D$3),IF($F$3="(todos)",TRUE,'ORDENES'!$Z1191=$F$3),IF($H$3="(todos)",TRUE,'ORDENES'!$Y1191=$H$3),'ORDENES'!$AF1191=TRUE,'ORDENES'!$A1191&lt;&gt;""),1,0)</f>
        <v/>
      </c>
      <c r="L1195" s="5">
        <f>IF(K1195=1,IFERROR(MATCH('ORDENES'!$S1191,lista_dias,0),9)*1000000000+IFERROR(MATCH('ORDENES'!$AH1191,lista_turnos,0),9)*10000000+IFERROR(MATCH('ORDENES'!$AG1191,tblTecnicos[nombre],0),99)*100000+1188,9000000000000+1188)</f>
        <v/>
      </c>
      <c r="M1195" s="5">
        <f>IF(K1195=1,SUMPRODUCT(--($L$8:$L$1207&lt;L1195))+1,"")</f>
        <v/>
      </c>
      <c r="N1195" s="17">
        <f>IF(K1195=1,N('ORDENES'!$M1191),0)</f>
        <v/>
      </c>
      <c r="O1195" s="17">
        <f>IF('ORDENES'!$U1191="preventiva",N1195,0)</f>
        <v/>
      </c>
      <c r="P1195" s="17">
        <f>IF('ORDENES'!$U1191="correctiva",N1195,0)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22">
        <f>IF(K1195=1,'ORDENES'!$J1191,"")</f>
        <v/>
      </c>
    </row>
    <row r="1196">
      <c r="K1196" s="5">
        <f>IF(AND(IF($B$3="(todos)",TRUE,'ORDENES'!$O1192=$B$3),IF($D$3="(todos)",TRUE,'ORDENES'!$AH1192=$D$3),IF($F$3="(todos)",TRUE,'ORDENES'!$Z1192=$F$3),IF($H$3="(todos)",TRUE,'ORDENES'!$Y1192=$H$3),'ORDENES'!$AF1192=TRUE,'ORDENES'!$A1192&lt;&gt;""),1,0)</f>
        <v/>
      </c>
      <c r="L1196" s="5">
        <f>IF(K1196=1,IFERROR(MATCH('ORDENES'!$S1192,lista_dias,0),9)*1000000000+IFERROR(MATCH('ORDENES'!$AH1192,lista_turnos,0),9)*10000000+IFERROR(MATCH('ORDENES'!$AG1192,tblTecnicos[nombre],0),99)*100000+1189,9000000000000+1189)</f>
        <v/>
      </c>
      <c r="M1196" s="5">
        <f>IF(K1196=1,SUMPRODUCT(--($L$8:$L$1207&lt;L1196))+1,"")</f>
        <v/>
      </c>
      <c r="N1196" s="17">
        <f>IF(K1196=1,N('ORDENES'!$M1192),0)</f>
        <v/>
      </c>
      <c r="O1196" s="17">
        <f>IF('ORDENES'!$U1192="preventiva",N1196,0)</f>
        <v/>
      </c>
      <c r="P1196" s="17">
        <f>IF('ORDENES'!$U1192="correctiva",N1196,0)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22">
        <f>IF(K1196=1,'ORDENES'!$J1192,"")</f>
        <v/>
      </c>
    </row>
    <row r="1197">
      <c r="K1197" s="5">
        <f>IF(AND(IF($B$3="(todos)",TRUE,'ORDENES'!$O1193=$B$3),IF($D$3="(todos)",TRUE,'ORDENES'!$AH1193=$D$3),IF($F$3="(todos)",TRUE,'ORDENES'!$Z1193=$F$3),IF($H$3="(todos)",TRUE,'ORDENES'!$Y1193=$H$3),'ORDENES'!$AF1193=TRUE,'ORDENES'!$A1193&lt;&gt;""),1,0)</f>
        <v/>
      </c>
      <c r="L1197" s="5">
        <f>IF(K1197=1,IFERROR(MATCH('ORDENES'!$S1193,lista_dias,0),9)*1000000000+IFERROR(MATCH('ORDENES'!$AH1193,lista_turnos,0),9)*10000000+IFERROR(MATCH('ORDENES'!$AG1193,tblTecnicos[nombre],0),99)*100000+1190,9000000000000+1190)</f>
        <v/>
      </c>
      <c r="M1197" s="5">
        <f>IF(K1197=1,SUMPRODUCT(--($L$8:$L$1207&lt;L1197))+1,"")</f>
        <v/>
      </c>
      <c r="N1197" s="17">
        <f>IF(K1197=1,N('ORDENES'!$M1193),0)</f>
        <v/>
      </c>
      <c r="O1197" s="17">
        <f>IF('ORDENES'!$U1193="preventiva",N1197,0)</f>
        <v/>
      </c>
      <c r="P1197" s="17">
        <f>IF('ORDENES'!$U1193="correctiva",N1197,0)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22">
        <f>IF(K1197=1,'ORDENES'!$J1193,"")</f>
        <v/>
      </c>
    </row>
    <row r="1198">
      <c r="K1198" s="5">
        <f>IF(AND(IF($B$3="(todos)",TRUE,'ORDENES'!$O1194=$B$3),IF($D$3="(todos)",TRUE,'ORDENES'!$AH1194=$D$3),IF($F$3="(todos)",TRUE,'ORDENES'!$Z1194=$F$3),IF($H$3="(todos)",TRUE,'ORDENES'!$Y1194=$H$3),'ORDENES'!$AF1194=TRUE,'ORDENES'!$A1194&lt;&gt;""),1,0)</f>
        <v/>
      </c>
      <c r="L1198" s="5">
        <f>IF(K1198=1,IFERROR(MATCH('ORDENES'!$S1194,lista_dias,0),9)*1000000000+IFERROR(MATCH('ORDENES'!$AH1194,lista_turnos,0),9)*10000000+IFERROR(MATCH('ORDENES'!$AG1194,tblTecnicos[nombre],0),99)*100000+1191,9000000000000+1191)</f>
        <v/>
      </c>
      <c r="M1198" s="5">
        <f>IF(K1198=1,SUMPRODUCT(--($L$8:$L$1207&lt;L1198))+1,"")</f>
        <v/>
      </c>
      <c r="N1198" s="17">
        <f>IF(K1198=1,N('ORDENES'!$M1194),0)</f>
        <v/>
      </c>
      <c r="O1198" s="17">
        <f>IF('ORDENES'!$U1194="preventiva",N1198,0)</f>
        <v/>
      </c>
      <c r="P1198" s="17">
        <f>IF('ORDENES'!$U1194="correctiva",N1198,0)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22">
        <f>IF(K1198=1,'ORDENES'!$J1194,"")</f>
        <v/>
      </c>
    </row>
    <row r="1199">
      <c r="K1199" s="5">
        <f>IF(AND(IF($B$3="(todos)",TRUE,'ORDENES'!$O1195=$B$3),IF($D$3="(todos)",TRUE,'ORDENES'!$AH1195=$D$3),IF($F$3="(todos)",TRUE,'ORDENES'!$Z1195=$F$3),IF($H$3="(todos)",TRUE,'ORDENES'!$Y1195=$H$3),'ORDENES'!$AF1195=TRUE,'ORDENES'!$A1195&lt;&gt;""),1,0)</f>
        <v/>
      </c>
      <c r="L1199" s="5">
        <f>IF(K1199=1,IFERROR(MATCH('ORDENES'!$S1195,lista_dias,0),9)*1000000000+IFERROR(MATCH('ORDENES'!$AH1195,lista_turnos,0),9)*10000000+IFERROR(MATCH('ORDENES'!$AG1195,tblTecnicos[nombre],0),99)*100000+1192,9000000000000+1192)</f>
        <v/>
      </c>
      <c r="M1199" s="5">
        <f>IF(K1199=1,SUMPRODUCT(--($L$8:$L$1207&lt;L1199))+1,"")</f>
        <v/>
      </c>
      <c r="N1199" s="17">
        <f>IF(K1199=1,N('ORDENES'!$M1195),0)</f>
        <v/>
      </c>
      <c r="O1199" s="17">
        <f>IF('ORDENES'!$U1195="preventiva",N1199,0)</f>
        <v/>
      </c>
      <c r="P1199" s="17">
        <f>IF('ORDENES'!$U1195="correctiva",N1199,0)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22">
        <f>IF(K1199=1,'ORDENES'!$J1195,"")</f>
        <v/>
      </c>
    </row>
    <row r="1200">
      <c r="K1200" s="5">
        <f>IF(AND(IF($B$3="(todos)",TRUE,'ORDENES'!$O1196=$B$3),IF($D$3="(todos)",TRUE,'ORDENES'!$AH1196=$D$3),IF($F$3="(todos)",TRUE,'ORDENES'!$Z1196=$F$3),IF($H$3="(todos)",TRUE,'ORDENES'!$Y1196=$H$3),'ORDENES'!$AF1196=TRUE,'ORDENES'!$A1196&lt;&gt;""),1,0)</f>
        <v/>
      </c>
      <c r="L1200" s="5">
        <f>IF(K1200=1,IFERROR(MATCH('ORDENES'!$S1196,lista_dias,0),9)*1000000000+IFERROR(MATCH('ORDENES'!$AH1196,lista_turnos,0),9)*10000000+IFERROR(MATCH('ORDENES'!$AG1196,tblTecnicos[nombre],0),99)*100000+1193,9000000000000+1193)</f>
        <v/>
      </c>
      <c r="M1200" s="5">
        <f>IF(K1200=1,SUMPRODUCT(--($L$8:$L$1207&lt;L1200))+1,"")</f>
        <v/>
      </c>
      <c r="N1200" s="17">
        <f>IF(K1200=1,N('ORDENES'!$M1196),0)</f>
        <v/>
      </c>
      <c r="O1200" s="17">
        <f>IF('ORDENES'!$U1196="preventiva",N1200,0)</f>
        <v/>
      </c>
      <c r="P1200" s="17">
        <f>IF('ORDENES'!$U1196="correctiva",N1200,0)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22">
        <f>IF(K1200=1,'ORDENES'!$J1196,"")</f>
        <v/>
      </c>
    </row>
    <row r="1201">
      <c r="K1201" s="5">
        <f>IF(AND(IF($B$3="(todos)",TRUE,'ORDENES'!$O1197=$B$3),IF($D$3="(todos)",TRUE,'ORDENES'!$AH1197=$D$3),IF($F$3="(todos)",TRUE,'ORDENES'!$Z1197=$F$3),IF($H$3="(todos)",TRUE,'ORDENES'!$Y1197=$H$3),'ORDENES'!$AF1197=TRUE,'ORDENES'!$A1197&lt;&gt;""),1,0)</f>
        <v/>
      </c>
      <c r="L1201" s="5">
        <f>IF(K1201=1,IFERROR(MATCH('ORDENES'!$S1197,lista_dias,0),9)*1000000000+IFERROR(MATCH('ORDENES'!$AH1197,lista_turnos,0),9)*10000000+IFERROR(MATCH('ORDENES'!$AG1197,tblTecnicos[nombre],0),99)*100000+1194,9000000000000+1194)</f>
        <v/>
      </c>
      <c r="M1201" s="5">
        <f>IF(K1201=1,SUMPRODUCT(--($L$8:$L$1207&lt;L1201))+1,"")</f>
        <v/>
      </c>
      <c r="N1201" s="17">
        <f>IF(K1201=1,N('ORDENES'!$M1197),0)</f>
        <v/>
      </c>
      <c r="O1201" s="17">
        <f>IF('ORDENES'!$U1197="preventiva",N1201,0)</f>
        <v/>
      </c>
      <c r="P1201" s="17">
        <f>IF('ORDENES'!$U1197="correctiva",N1201,0)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22">
        <f>IF(K1201=1,'ORDENES'!$J1197,"")</f>
        <v/>
      </c>
    </row>
    <row r="1202">
      <c r="K1202" s="5">
        <f>IF(AND(IF($B$3="(todos)",TRUE,'ORDENES'!$O1198=$B$3),IF($D$3="(todos)",TRUE,'ORDENES'!$AH1198=$D$3),IF($F$3="(todos)",TRUE,'ORDENES'!$Z1198=$F$3),IF($H$3="(todos)",TRUE,'ORDENES'!$Y1198=$H$3),'ORDENES'!$AF1198=TRUE,'ORDENES'!$A1198&lt;&gt;""),1,0)</f>
        <v/>
      </c>
      <c r="L1202" s="5">
        <f>IF(K1202=1,IFERROR(MATCH('ORDENES'!$S1198,lista_dias,0),9)*1000000000+IFERROR(MATCH('ORDENES'!$AH1198,lista_turnos,0),9)*10000000+IFERROR(MATCH('ORDENES'!$AG1198,tblTecnicos[nombre],0),99)*100000+1195,9000000000000+1195)</f>
        <v/>
      </c>
      <c r="M1202" s="5">
        <f>IF(K1202=1,SUMPRODUCT(--($L$8:$L$1207&lt;L1202))+1,"")</f>
        <v/>
      </c>
      <c r="N1202" s="17">
        <f>IF(K1202=1,N('ORDENES'!$M1198),0)</f>
        <v/>
      </c>
      <c r="O1202" s="17">
        <f>IF('ORDENES'!$U1198="preventiva",N1202,0)</f>
        <v/>
      </c>
      <c r="P1202" s="17">
        <f>IF('ORDENES'!$U1198="correctiva",N1202,0)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22">
        <f>IF(K1202=1,'ORDENES'!$J1198,"")</f>
        <v/>
      </c>
    </row>
    <row r="1203">
      <c r="K1203" s="5">
        <f>IF(AND(IF($B$3="(todos)",TRUE,'ORDENES'!$O1199=$B$3),IF($D$3="(todos)",TRUE,'ORDENES'!$AH1199=$D$3),IF($F$3="(todos)",TRUE,'ORDENES'!$Z1199=$F$3),IF($H$3="(todos)",TRUE,'ORDENES'!$Y1199=$H$3),'ORDENES'!$AF1199=TRUE,'ORDENES'!$A1199&lt;&gt;""),1,0)</f>
        <v/>
      </c>
      <c r="L1203" s="5">
        <f>IF(K1203=1,IFERROR(MATCH('ORDENES'!$S1199,lista_dias,0),9)*1000000000+IFERROR(MATCH('ORDENES'!$AH1199,lista_turnos,0),9)*10000000+IFERROR(MATCH('ORDENES'!$AG1199,tblTecnicos[nombre],0),99)*100000+1196,9000000000000+1196)</f>
        <v/>
      </c>
      <c r="M1203" s="5">
        <f>IF(K1203=1,SUMPRODUCT(--($L$8:$L$1207&lt;L1203))+1,"")</f>
        <v/>
      </c>
      <c r="N1203" s="17">
        <f>IF(K1203=1,N('ORDENES'!$M1199),0)</f>
        <v/>
      </c>
      <c r="O1203" s="17">
        <f>IF('ORDENES'!$U1199="preventiva",N1203,0)</f>
        <v/>
      </c>
      <c r="P1203" s="17">
        <f>IF('ORDENES'!$U1199="correctiva",N1203,0)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22">
        <f>IF(K1203=1,'ORDENES'!$J1199,"")</f>
        <v/>
      </c>
    </row>
    <row r="1204">
      <c r="K1204" s="5">
        <f>IF(AND(IF($B$3="(todos)",TRUE,'ORDENES'!$O1200=$B$3),IF($D$3="(todos)",TRUE,'ORDENES'!$AH1200=$D$3),IF($F$3="(todos)",TRUE,'ORDENES'!$Z1200=$F$3),IF($H$3="(todos)",TRUE,'ORDENES'!$Y1200=$H$3),'ORDENES'!$AF1200=TRUE,'ORDENES'!$A1200&lt;&gt;""),1,0)</f>
        <v/>
      </c>
      <c r="L1204" s="5">
        <f>IF(K1204=1,IFERROR(MATCH('ORDENES'!$S1200,lista_dias,0),9)*1000000000+IFERROR(MATCH('ORDENES'!$AH1200,lista_turnos,0),9)*10000000+IFERROR(MATCH('ORDENES'!$AG1200,tblTecnicos[nombre],0),99)*100000+1197,9000000000000+1197)</f>
        <v/>
      </c>
      <c r="M1204" s="5">
        <f>IF(K1204=1,SUMPRODUCT(--($L$8:$L$1207&lt;L1204))+1,"")</f>
        <v/>
      </c>
      <c r="N1204" s="17">
        <f>IF(K1204=1,N('ORDENES'!$M1200),0)</f>
        <v/>
      </c>
      <c r="O1204" s="17">
        <f>IF('ORDENES'!$U1200="preventiva",N1204,0)</f>
        <v/>
      </c>
      <c r="P1204" s="17">
        <f>IF('ORDENES'!$U1200="correctiva",N1204,0)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22">
        <f>IF(K1204=1,'ORDENES'!$J1200,"")</f>
        <v/>
      </c>
    </row>
    <row r="1205">
      <c r="K1205" s="5">
        <f>IF(AND(IF($B$3="(todos)",TRUE,'ORDENES'!$O1201=$B$3),IF($D$3="(todos)",TRUE,'ORDENES'!$AH1201=$D$3),IF($F$3="(todos)",TRUE,'ORDENES'!$Z1201=$F$3),IF($H$3="(todos)",TRUE,'ORDENES'!$Y1201=$H$3),'ORDENES'!$AF1201=TRUE,'ORDENES'!$A1201&lt;&gt;""),1,0)</f>
        <v/>
      </c>
      <c r="L1205" s="5">
        <f>IF(K1205=1,IFERROR(MATCH('ORDENES'!$S1201,lista_dias,0),9)*1000000000+IFERROR(MATCH('ORDENES'!$AH1201,lista_turnos,0),9)*10000000+IFERROR(MATCH('ORDENES'!$AG1201,tblTecnicos[nombre],0),99)*100000+1198,9000000000000+1198)</f>
        <v/>
      </c>
      <c r="M1205" s="5">
        <f>IF(K1205=1,SUMPRODUCT(--($L$8:$L$1207&lt;L1205))+1,"")</f>
        <v/>
      </c>
      <c r="N1205" s="17">
        <f>IF(K1205=1,N('ORDENES'!$M1201),0)</f>
        <v/>
      </c>
      <c r="O1205" s="17">
        <f>IF('ORDENES'!$U1201="preventiva",N1205,0)</f>
        <v/>
      </c>
      <c r="P1205" s="17">
        <f>IF('ORDENES'!$U1201="correctiva",N1205,0)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22">
        <f>IF(K1205=1,'ORDENES'!$J1201,"")</f>
        <v/>
      </c>
    </row>
    <row r="1206">
      <c r="K1206" s="5">
        <f>IF(AND(IF($B$3="(todos)",TRUE,'ORDENES'!$O1202=$B$3),IF($D$3="(todos)",TRUE,'ORDENES'!$AH1202=$D$3),IF($F$3="(todos)",TRUE,'ORDENES'!$Z1202=$F$3),IF($H$3="(todos)",TRUE,'ORDENES'!$Y1202=$H$3),'ORDENES'!$AF1202=TRUE,'ORDENES'!$A1202&lt;&gt;""),1,0)</f>
        <v/>
      </c>
      <c r="L1206" s="5">
        <f>IF(K1206=1,IFERROR(MATCH('ORDENES'!$S1202,lista_dias,0),9)*1000000000+IFERROR(MATCH('ORDENES'!$AH1202,lista_turnos,0),9)*10000000+IFERROR(MATCH('ORDENES'!$AG1202,tblTecnicos[nombre],0),99)*100000+1199,9000000000000+1199)</f>
        <v/>
      </c>
      <c r="M1206" s="5">
        <f>IF(K1206=1,SUMPRODUCT(--($L$8:$L$1207&lt;L1206))+1,"")</f>
        <v/>
      </c>
      <c r="N1206" s="17">
        <f>IF(K1206=1,N('ORDENES'!$M1202),0)</f>
        <v/>
      </c>
      <c r="O1206" s="17">
        <f>IF('ORDENES'!$U1202="preventiva",N1206,0)</f>
        <v/>
      </c>
      <c r="P1206" s="17">
        <f>IF('ORDENES'!$U1202="correctiva",N1206,0)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22">
        <f>IF(K1206=1,'ORDENES'!$J1202,"")</f>
        <v/>
      </c>
    </row>
    <row r="1207">
      <c r="K1207" s="5">
        <f>IF(AND(IF($B$3="(todos)",TRUE,'ORDENES'!$O1203=$B$3),IF($D$3="(todos)",TRUE,'ORDENES'!$AH1203=$D$3),IF($F$3="(todos)",TRUE,'ORDENES'!$Z1203=$F$3),IF($H$3="(todos)",TRUE,'ORDENES'!$Y1203=$H$3),'ORDENES'!$AF1203=TRUE,'ORDENES'!$A1203&lt;&gt;""),1,0)</f>
        <v/>
      </c>
      <c r="L1207" s="5">
        <f>IF(K1207=1,IFERROR(MATCH('ORDENES'!$S1203,lista_dias,0),9)*1000000000+IFERROR(MATCH('ORDENES'!$AH1203,lista_turnos,0),9)*10000000+IFERROR(MATCH('ORDENES'!$AG1203,tblTecnicos[nombre],0),99)*100000+1200,9000000000000+1200)</f>
        <v/>
      </c>
      <c r="M1207" s="5">
        <f>IF(K1207=1,SUMPRODUCT(--($L$8:$L$1207&lt;L1207))+1,"")</f>
        <v/>
      </c>
      <c r="N1207" s="17">
        <f>IF(K1207=1,N('ORDENES'!$M1203),0)</f>
        <v/>
      </c>
      <c r="O1207" s="17">
        <f>IF('ORDENES'!$U1203="preventiva",N1207,0)</f>
        <v/>
      </c>
      <c r="P1207" s="17">
        <f>IF('ORDENES'!$U1203="correctiva",N1207,0)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2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T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4" customWidth="1" min="31" max="31"/>
    <col width="12" customWidth="1" min="32" max="32"/>
    <col width="14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5" customWidth="1" min="46" max="46"/>
  </cols>
  <sheetData>
    <row r="1">
      <c r="A1" s="3" t="inlineStr">
        <is>
          <t>ORDENES — tabla madre (tblOrdenes). Azul = editable; el resto se calcula solo.</t>
        </is>
      </c>
    </row>
    <row r="3">
      <c r="A3" s="15" t="inlineStr">
        <is>
          <t>orden</t>
        </is>
      </c>
      <c r="B3" s="15" t="inlineStr">
        <is>
          <t>operacion</t>
        </is>
      </c>
      <c r="C3" s="15" t="inlineStr">
        <is>
          <t>descripcion_general</t>
        </is>
      </c>
      <c r="D3" s="15" t="inlineStr">
        <is>
          <t>descripcion_operacion</t>
        </is>
      </c>
      <c r="E3" s="15" t="inlineStr">
        <is>
          <t>equipo</t>
        </is>
      </c>
      <c r="F3" s="15" t="inlineStr">
        <is>
          <t>centro_costo</t>
        </is>
      </c>
      <c r="G3" s="15" t="inlineStr">
        <is>
          <t>puesto_trabajo</t>
        </is>
      </c>
      <c r="H3" s="15" t="inlineStr">
        <is>
          <t>cod_actividad</t>
        </is>
      </c>
      <c r="I3" s="15" t="inlineStr">
        <is>
          <t>tipo_ot</t>
        </is>
      </c>
      <c r="J3" s="15" t="inlineStr">
        <is>
          <t>fecha_inicio</t>
        </is>
      </c>
      <c r="K3" s="15" t="inlineStr">
        <is>
          <t>horas_estimadas</t>
        </is>
      </c>
      <c r="L3" s="15" t="inlineStr">
        <is>
          <t>costo_plan</t>
        </is>
      </c>
      <c r="M3" s="15" t="inlineStr">
        <is>
          <t>horas_efectivas</t>
        </is>
      </c>
      <c r="N3" s="15" t="inlineStr">
        <is>
          <t>estado</t>
        </is>
      </c>
      <c r="O3" s="15" t="inlineStr">
        <is>
          <t>semana</t>
        </is>
      </c>
      <c r="P3" s="15" t="inlineStr">
        <is>
          <t>anio</t>
        </is>
      </c>
      <c r="Q3" s="15" t="inlineStr">
        <is>
          <t>mes</t>
        </is>
      </c>
      <c r="R3" s="15" t="inlineStr">
        <is>
          <t>mes_clave</t>
        </is>
      </c>
      <c r="S3" s="15" t="inlineStr">
        <is>
          <t>dia_semana</t>
        </is>
      </c>
      <c r="T3" s="15" t="inlineStr">
        <is>
          <t>es_habil</t>
        </is>
      </c>
      <c r="U3" s="15" t="inlineStr">
        <is>
          <t>clasificacion</t>
        </is>
      </c>
      <c r="V3" s="15" t="inlineStr">
        <is>
          <t>clase_mantenimiento</t>
        </is>
      </c>
      <c r="W3" s="15" t="inlineStr">
        <is>
          <t>linea</t>
        </is>
      </c>
      <c r="X3" s="15" t="inlineStr">
        <is>
          <t>area</t>
        </is>
      </c>
      <c r="Y3" s="15" t="inlineStr">
        <is>
          <t>sub_area</t>
        </is>
      </c>
      <c r="Z3" s="15" t="inlineStr">
        <is>
          <t>coordinador</t>
        </is>
      </c>
      <c r="AA3" s="15" t="inlineStr">
        <is>
          <t>especialidad</t>
        </is>
      </c>
      <c r="AB3" s="15" t="inlineStr">
        <is>
          <t>actividad</t>
        </is>
      </c>
      <c r="AC3" s="15" t="inlineStr">
        <is>
          <t>backlog_dias</t>
        </is>
      </c>
      <c r="AD3" s="15" t="inlineStr">
        <is>
          <t>backlog_habiles</t>
        </is>
      </c>
      <c r="AE3" s="15" t="inlineStr">
        <is>
          <t>estado_backlog</t>
        </is>
      </c>
      <c r="AF3" s="15" t="inlineStr">
        <is>
          <t>en_plan</t>
        </is>
      </c>
      <c r="AG3" s="15" t="inlineStr">
        <is>
          <t>tecnico_asignado</t>
        </is>
      </c>
      <c r="AH3" s="15" t="inlineStr">
        <is>
          <t>turno_asignado</t>
        </is>
      </c>
      <c r="AI3" s="15" t="inlineStr">
        <is>
          <t>HHA</t>
        </is>
      </c>
      <c r="AJ3" s="15" t="inlineStr">
        <is>
          <t>HHD</t>
        </is>
      </c>
      <c r="AK3" s="15" t="inlineStr">
        <is>
          <t>costo_servicio</t>
        </is>
      </c>
      <c r="AL3" s="15" t="inlineStr">
        <is>
          <t>costo_materiales</t>
        </is>
      </c>
      <c r="AM3" s="15" t="inlineStr">
        <is>
          <t>costo_total</t>
        </is>
      </c>
      <c r="AN3" s="15" t="inlineStr">
        <is>
          <t>categoria_presupuesto</t>
        </is>
      </c>
      <c r="AO3" s="15" t="inlineStr">
        <is>
          <t>permiso_requerido</t>
        </is>
      </c>
      <c r="AP3" s="15" t="inlineStr">
        <is>
          <t>bloqueo_energia</t>
        </is>
      </c>
      <c r="AQ3" s="15" t="inlineStr">
        <is>
          <t>link_checklist</t>
        </is>
      </c>
      <c r="AR3" s="15" t="inlineStr">
        <is>
          <t>abrir_checklist</t>
        </is>
      </c>
      <c r="AS3" s="15" t="inlineStr">
        <is>
          <t>observaciones</t>
        </is>
      </c>
      <c r="AT3" s="15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TIPO-P1</t>
        </is>
      </c>
      <c r="J4" s="22" t="n">
        <v>46223</v>
      </c>
      <c r="K4" s="5" t="n">
        <v>10</v>
      </c>
      <c r="L4" s="18" t="n">
        <v>250</v>
      </c>
      <c r="M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5">
        <f>IF(tblOrdenes[[#This Row],[fecha_inicio]]="","",YEAR(tblOrdenes[[#This Row],[fecha_inicio]]))</f>
        <v/>
      </c>
      <c r="Q4" s="5">
        <f>IF(tblOrdenes[[#This Row],[fecha_inicio]]="","",MONTH(tblOrdenes[[#This Row],[fecha_inicio]]))</f>
        <v/>
      </c>
      <c r="R4" s="5">
        <f>IF(tblOrdenes[[#This Row],[fecha_inicio]]="","",tblOrdenes[[#This Row],[anio]]&amp;"-"&amp;TEXT(tblOrdenes[[#This Row],[mes]],"00"))</f>
        <v/>
      </c>
      <c r="S4" s="5">
        <f>IF(tblOrdenes[[#This Row],[fecha_inicio]]="","",INDEX(lista_dias,WEEKDAY(tblOrdenes[[#This Row],[fecha_inicio]],2)))</f>
        <v/>
      </c>
      <c r="T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" s="5">
        <f>IF(tblOrdenes[[#This Row],[tipo_ot]]="","",_xlfn.XLOOKUP(tblOrdenes[[#This Row],[tipo_ot]],tblTiposOT[codigo],tblTiposOT[clasificacion],"sin_clasificar"))</f>
        <v/>
      </c>
      <c r="V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" s="5">
        <f>IF(tblOrdenes[[#This Row],[centro_costo]]="","",_xlfn.XLOOKUP(tblOrdenes[[#This Row],[centro_costo]],tblCECO[codigo],tblCECO[linea],"(sin catálogo)"))</f>
        <v/>
      </c>
      <c r="X4" s="5">
        <f>IF(tblOrdenes[[#This Row],[centro_costo]]="","",_xlfn.XLOOKUP(tblOrdenes[[#This Row],[centro_costo]],tblCECO[codigo],tblCECO[area],"(sin catálogo)"))</f>
        <v/>
      </c>
      <c r="Y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" s="5">
        <f>IF(tblOrdenes[[#This Row],[centro_costo]]="","",_xlfn.XLOOKUP(tblOrdenes[[#This Row],[centro_costo]],tblCECO[codigo],tblCECO[coordinador],"(sin catálogo)"))</f>
        <v/>
      </c>
      <c r="AA4" s="5">
        <f>IF(tblOrdenes[[#This Row],[puesto_trabajo]]="","",_xlfn.XLOOKUP(tblOrdenes[[#This Row],[puesto_trabajo]],tblPuestos[codigo],tblPuestos[especialidad],"(sin catálogo)"))</f>
        <v/>
      </c>
      <c r="AB4" s="5">
        <f>IF(tblOrdenes[[#This Row],[cod_actividad]]="","",_xlfn.XLOOKUP(tblOrdenes[[#This Row],[cod_actividad]],tblActividades[codigo],tblActividades[descripcion],"(sin catálogo)"))</f>
        <v/>
      </c>
      <c r="AC4" s="20">
        <f>IF(tblOrdenes[[#This Row],[fecha_inicio]]="","",TODAY()-tblOrdenes[[#This Row],[fecha_inicio]])</f>
        <v/>
      </c>
      <c r="AD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" s="5">
        <f>IF(tblOrdenes[[#This Row],[backlog_habiles]]="","",IF(tblOrdenes[[#This Row],[backlog_habiles]]&lt;0,"FUTURO",IF(tblOrdenes[[#This Row],[backlog_habiles]]&gt;p_dias_backlog_max,"BACKLOG","MES CORRIENTE")))</f>
        <v/>
      </c>
      <c r="AF4" s="5">
        <f>IF(tblOrdenes[[#This Row],[backlog_habiles]]="",FALSE,AND(tblOrdenes[[#This Row],[backlog_habiles]]&gt;p_dias_backlog_min,tblOrdenes[[#This Row],[backlog_habiles]]&lt;=p_dias_backlog_max))</f>
        <v/>
      </c>
      <c r="AG4" s="4" t="inlineStr">
        <is>
          <t>Carlos Pérez</t>
        </is>
      </c>
      <c r="AH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" s="18">
        <f>IF(tblOrdenes[[#This Row],[orden]]="","",_xlfn.XLOOKUP(tblOrdenes[[#This Row],[id_operacion]],tblEjecucion[id_operacion],tblEjecucion[precio],0))</f>
        <v/>
      </c>
      <c r="AL4" s="18">
        <f>IF(tblOrdenes[[#This Row],[orden]]="","",MAX(0,_xlfn.XLOOKUP(tblOrdenes[[#This Row],[id_operacion]],tblEjecucion[id_operacion],tblEjecucion[costo_plan_total],0)-tblOrdenes[[#This Row],[costo_servicio]]))</f>
        <v/>
      </c>
      <c r="AM4" s="18">
        <f>IF(tblOrdenes[[#This Row],[orden]]="","",tblOrdenes[[#This Row],[costo_servicio]]+tblOrdenes[[#This Row],[costo_materiales]])</f>
        <v/>
      </c>
      <c r="AN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" s="4" t="inlineStr"/>
      <c r="AP4" s="4" t="inlineStr"/>
      <c r="AQ4" s="4" t="inlineStr">
        <is>
          <t>ACT-02.pdf</t>
        </is>
      </c>
      <c r="AR4" s="5">
        <f>IF(tblOrdenes[[#This Row],[link_checklist]]="","",HYPERLINK(p_ruta_base_checklists&amp;tblOrdenes[[#This Row],[link_checklist]],"abrir"))</f>
        <v/>
      </c>
      <c r="AS4" s="4" t="inlineStr"/>
      <c r="AT4" s="5">
        <f>IF(tblOrdenes[[#This Row],[orden]]="","",tblOrdenes[[#This Row],[orden]]&amp;IF(tblOrdenes[[#This Row],[operacion]]="","0010",tblOrdenes[[#This Row],[operacion]]))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TIPO-P2</t>
        </is>
      </c>
      <c r="J5" s="22" t="n">
        <v>46224</v>
      </c>
      <c r="K5" s="5" t="n">
        <v>8</v>
      </c>
      <c r="L5" s="18" t="n">
        <v>200</v>
      </c>
      <c r="M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5">
        <f>IF(tblOrdenes[[#This Row],[fecha_inicio]]="","",YEAR(tblOrdenes[[#This Row],[fecha_inicio]]))</f>
        <v/>
      </c>
      <c r="Q5" s="5">
        <f>IF(tblOrdenes[[#This Row],[fecha_inicio]]="","",MONTH(tblOrdenes[[#This Row],[fecha_inicio]]))</f>
        <v/>
      </c>
      <c r="R5" s="5">
        <f>IF(tblOrdenes[[#This Row],[fecha_inicio]]="","",tblOrdenes[[#This Row],[anio]]&amp;"-"&amp;TEXT(tblOrdenes[[#This Row],[mes]],"00"))</f>
        <v/>
      </c>
      <c r="S5" s="5">
        <f>IF(tblOrdenes[[#This Row],[fecha_inicio]]="","",INDEX(lista_dias,WEEKDAY(tblOrdenes[[#This Row],[fecha_inicio]],2)))</f>
        <v/>
      </c>
      <c r="T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" s="5">
        <f>IF(tblOrdenes[[#This Row],[tipo_ot]]="","",_xlfn.XLOOKUP(tblOrdenes[[#This Row],[tipo_ot]],tblTiposOT[codigo],tblTiposOT[clasificacion],"sin_clasificar"))</f>
        <v/>
      </c>
      <c r="V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" s="5">
        <f>IF(tblOrdenes[[#This Row],[centro_costo]]="","",_xlfn.XLOOKUP(tblOrdenes[[#This Row],[centro_costo]],tblCECO[codigo],tblCECO[linea],"(sin catálogo)"))</f>
        <v/>
      </c>
      <c r="X5" s="5">
        <f>IF(tblOrdenes[[#This Row],[centro_costo]]="","",_xlfn.XLOOKUP(tblOrdenes[[#This Row],[centro_costo]],tblCECO[codigo],tblCECO[area],"(sin catálogo)"))</f>
        <v/>
      </c>
      <c r="Y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" s="5">
        <f>IF(tblOrdenes[[#This Row],[centro_costo]]="","",_xlfn.XLOOKUP(tblOrdenes[[#This Row],[centro_costo]],tblCECO[codigo],tblCECO[coordinador],"(sin catálogo)"))</f>
        <v/>
      </c>
      <c r="AA5" s="5">
        <f>IF(tblOrdenes[[#This Row],[puesto_trabajo]]="","",_xlfn.XLOOKUP(tblOrdenes[[#This Row],[puesto_trabajo]],tblPuestos[codigo],tblPuestos[especialidad],"(sin catálogo)"))</f>
        <v/>
      </c>
      <c r="AB5" s="5">
        <f>IF(tblOrdenes[[#This Row],[cod_actividad]]="","",_xlfn.XLOOKUP(tblOrdenes[[#This Row],[cod_actividad]],tblActividades[codigo],tblActividades[descripcion],"(sin catálogo)"))</f>
        <v/>
      </c>
      <c r="AC5" s="20">
        <f>IF(tblOrdenes[[#This Row],[fecha_inicio]]="","",TODAY()-tblOrdenes[[#This Row],[fecha_inicio]])</f>
        <v/>
      </c>
      <c r="AD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" s="5">
        <f>IF(tblOrdenes[[#This Row],[backlog_habiles]]="","",IF(tblOrdenes[[#This Row],[backlog_habiles]]&lt;0,"FUTURO",IF(tblOrdenes[[#This Row],[backlog_habiles]]&gt;p_dias_backlog_max,"BACKLOG","MES CORRIENTE")))</f>
        <v/>
      </c>
      <c r="AF5" s="5">
        <f>IF(tblOrdenes[[#This Row],[backlog_habiles]]="",FALSE,AND(tblOrdenes[[#This Row],[backlog_habiles]]&gt;p_dias_backlog_min,tblOrdenes[[#This Row],[backlog_habiles]]&lt;=p_dias_backlog_max))</f>
        <v/>
      </c>
      <c r="AG5" s="4" t="inlineStr">
        <is>
          <t>María Gómez</t>
        </is>
      </c>
      <c r="AH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" s="18">
        <f>IF(tblOrdenes[[#This Row],[orden]]="","",_xlfn.XLOOKUP(tblOrdenes[[#This Row],[id_operacion]],tblEjecucion[id_operacion],tblEjecucion[precio],0))</f>
        <v/>
      </c>
      <c r="AL5" s="18">
        <f>IF(tblOrdenes[[#This Row],[orden]]="","",MAX(0,_xlfn.XLOOKUP(tblOrdenes[[#This Row],[id_operacion]],tblEjecucion[id_operacion],tblEjecucion[costo_plan_total],0)-tblOrdenes[[#This Row],[costo_servicio]]))</f>
        <v/>
      </c>
      <c r="AM5" s="18">
        <f>IF(tblOrdenes[[#This Row],[orden]]="","",tblOrdenes[[#This Row],[costo_servicio]]+tblOrdenes[[#This Row],[costo_materiales]])</f>
        <v/>
      </c>
      <c r="AN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" s="4" t="inlineStr"/>
      <c r="AP5" s="4" t="inlineStr"/>
      <c r="AQ5" s="4" t="inlineStr">
        <is>
          <t>ACT-04.pdf</t>
        </is>
      </c>
      <c r="AR5" s="5">
        <f>IF(tblOrdenes[[#This Row],[link_checklist]]="","",HYPERLINK(p_ruta_base_checklists&amp;tblOrdenes[[#This Row],[link_checklist]],"abrir"))</f>
        <v/>
      </c>
      <c r="AS5" s="4" t="inlineStr"/>
      <c r="AT5" s="5">
        <f>IF(tblOrdenes[[#This Row],[orden]]="","",tblOrdenes[[#This Row],[orden]]&amp;IF(tblOrdenes[[#This Row],[operacion]]="","0010",tblOrdenes[[#This Row],[operacion]]))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TIPO-P1</t>
        </is>
      </c>
      <c r="J6" s="22" t="n">
        <v>46225</v>
      </c>
      <c r="K6" s="5" t="n">
        <v>6</v>
      </c>
      <c r="L6" s="18" t="n">
        <v>150</v>
      </c>
      <c r="M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5">
        <f>IF(tblOrdenes[[#This Row],[fecha_inicio]]="","",YEAR(tblOrdenes[[#This Row],[fecha_inicio]]))</f>
        <v/>
      </c>
      <c r="Q6" s="5">
        <f>IF(tblOrdenes[[#This Row],[fecha_inicio]]="","",MONTH(tblOrdenes[[#This Row],[fecha_inicio]]))</f>
        <v/>
      </c>
      <c r="R6" s="5">
        <f>IF(tblOrdenes[[#This Row],[fecha_inicio]]="","",tblOrdenes[[#This Row],[anio]]&amp;"-"&amp;TEXT(tblOrdenes[[#This Row],[mes]],"00"))</f>
        <v/>
      </c>
      <c r="S6" s="5">
        <f>IF(tblOrdenes[[#This Row],[fecha_inicio]]="","",INDEX(lista_dias,WEEKDAY(tblOrdenes[[#This Row],[fecha_inicio]],2)))</f>
        <v/>
      </c>
      <c r="T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" s="5">
        <f>IF(tblOrdenes[[#This Row],[tipo_ot]]="","",_xlfn.XLOOKUP(tblOrdenes[[#This Row],[tipo_ot]],tblTiposOT[codigo],tblTiposOT[clasificacion],"sin_clasificar"))</f>
        <v/>
      </c>
      <c r="V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" s="5">
        <f>IF(tblOrdenes[[#This Row],[centro_costo]]="","",_xlfn.XLOOKUP(tblOrdenes[[#This Row],[centro_costo]],tblCECO[codigo],tblCECO[linea],"(sin catálogo)"))</f>
        <v/>
      </c>
      <c r="X6" s="5">
        <f>IF(tblOrdenes[[#This Row],[centro_costo]]="","",_xlfn.XLOOKUP(tblOrdenes[[#This Row],[centro_costo]],tblCECO[codigo],tblCECO[area],"(sin catálogo)"))</f>
        <v/>
      </c>
      <c r="Y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" s="5">
        <f>IF(tblOrdenes[[#This Row],[centro_costo]]="","",_xlfn.XLOOKUP(tblOrdenes[[#This Row],[centro_costo]],tblCECO[codigo],tblCECO[coordinador],"(sin catálogo)"))</f>
        <v/>
      </c>
      <c r="AA6" s="5">
        <f>IF(tblOrdenes[[#This Row],[puesto_trabajo]]="","",_xlfn.XLOOKUP(tblOrdenes[[#This Row],[puesto_trabajo]],tblPuestos[codigo],tblPuestos[especialidad],"(sin catálogo)"))</f>
        <v/>
      </c>
      <c r="AB6" s="5">
        <f>IF(tblOrdenes[[#This Row],[cod_actividad]]="","",_xlfn.XLOOKUP(tblOrdenes[[#This Row],[cod_actividad]],tblActividades[codigo],tblActividades[descripcion],"(sin catálogo)"))</f>
        <v/>
      </c>
      <c r="AC6" s="20">
        <f>IF(tblOrdenes[[#This Row],[fecha_inicio]]="","",TODAY()-tblOrdenes[[#This Row],[fecha_inicio]])</f>
        <v/>
      </c>
      <c r="AD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" s="5">
        <f>IF(tblOrdenes[[#This Row],[backlog_habiles]]="","",IF(tblOrdenes[[#This Row],[backlog_habiles]]&lt;0,"FUTURO",IF(tblOrdenes[[#This Row],[backlog_habiles]]&gt;p_dias_backlog_max,"BACKLOG","MES CORRIENTE")))</f>
        <v/>
      </c>
      <c r="AF6" s="5">
        <f>IF(tblOrdenes[[#This Row],[backlog_habiles]]="",FALSE,AND(tblOrdenes[[#This Row],[backlog_habiles]]&gt;p_dias_backlog_min,tblOrdenes[[#This Row],[backlog_habiles]]&lt;=p_dias_backlog_max))</f>
        <v/>
      </c>
      <c r="AG6" s="4" t="inlineStr">
        <is>
          <t>Luis Rodríguez</t>
        </is>
      </c>
      <c r="AH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" s="18">
        <f>IF(tblOrdenes[[#This Row],[orden]]="","",_xlfn.XLOOKUP(tblOrdenes[[#This Row],[id_operacion]],tblEjecucion[id_operacion],tblEjecucion[precio],0))</f>
        <v/>
      </c>
      <c r="AL6" s="18">
        <f>IF(tblOrdenes[[#This Row],[orden]]="","",MAX(0,_xlfn.XLOOKUP(tblOrdenes[[#This Row],[id_operacion]],tblEjecucion[id_operacion],tblEjecucion[costo_plan_total],0)-tblOrdenes[[#This Row],[costo_servicio]]))</f>
        <v/>
      </c>
      <c r="AM6" s="18">
        <f>IF(tblOrdenes[[#This Row],[orden]]="","",tblOrdenes[[#This Row],[costo_servicio]]+tblOrdenes[[#This Row],[costo_materiales]])</f>
        <v/>
      </c>
      <c r="AN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" s="4" t="inlineStr"/>
      <c r="AP6" s="4" t="inlineStr"/>
      <c r="AQ6" s="4" t="inlineStr">
        <is>
          <t>ACT-01.pdf</t>
        </is>
      </c>
      <c r="AR6" s="5">
        <f>IF(tblOrdenes[[#This Row],[link_checklist]]="","",HYPERLINK(p_ruta_base_checklists&amp;tblOrdenes[[#This Row],[link_checklist]],"abrir"))</f>
        <v/>
      </c>
      <c r="AS6" s="4" t="inlineStr"/>
      <c r="AT6" s="5">
        <f>IF(tblOrdenes[[#This Row],[orden]]="","",tblOrdenes[[#This Row],[orden]]&amp;IF(tblOrdenes[[#This Row],[operacion]]="","0010",tblOrdenes[[#This Row],[operacion]]))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22" t="n">
        <v>46226</v>
      </c>
      <c r="K7" s="5" t="n">
        <v>10</v>
      </c>
      <c r="L7" s="18" t="n">
        <v>250</v>
      </c>
      <c r="M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5">
        <f>IF(tblOrdenes[[#This Row],[fecha_inicio]]="","",YEAR(tblOrdenes[[#This Row],[fecha_inicio]]))</f>
        <v/>
      </c>
      <c r="Q7" s="5">
        <f>IF(tblOrdenes[[#This Row],[fecha_inicio]]="","",MONTH(tblOrdenes[[#This Row],[fecha_inicio]]))</f>
        <v/>
      </c>
      <c r="R7" s="5">
        <f>IF(tblOrdenes[[#This Row],[fecha_inicio]]="","",tblOrdenes[[#This Row],[anio]]&amp;"-"&amp;TEXT(tblOrdenes[[#This Row],[mes]],"00"))</f>
        <v/>
      </c>
      <c r="S7" s="5">
        <f>IF(tblOrdenes[[#This Row],[fecha_inicio]]="","",INDEX(lista_dias,WEEKDAY(tblOrdenes[[#This Row],[fecha_inicio]],2)))</f>
        <v/>
      </c>
      <c r="T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" s="5">
        <f>IF(tblOrdenes[[#This Row],[tipo_ot]]="","",_xlfn.XLOOKUP(tblOrdenes[[#This Row],[tipo_ot]],tblTiposOT[codigo],tblTiposOT[clasificacion],"sin_clasificar"))</f>
        <v/>
      </c>
      <c r="V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" s="5">
        <f>IF(tblOrdenes[[#This Row],[centro_costo]]="","",_xlfn.XLOOKUP(tblOrdenes[[#This Row],[centro_costo]],tblCECO[codigo],tblCECO[linea],"(sin catálogo)"))</f>
        <v/>
      </c>
      <c r="X7" s="5">
        <f>IF(tblOrdenes[[#This Row],[centro_costo]]="","",_xlfn.XLOOKUP(tblOrdenes[[#This Row],[centro_costo]],tblCECO[codigo],tblCECO[area],"(sin catálogo)"))</f>
        <v/>
      </c>
      <c r="Y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" s="5">
        <f>IF(tblOrdenes[[#This Row],[centro_costo]]="","",_xlfn.XLOOKUP(tblOrdenes[[#This Row],[centro_costo]],tblCECO[codigo],tblCECO[coordinador],"(sin catálogo)"))</f>
        <v/>
      </c>
      <c r="AA7" s="5">
        <f>IF(tblOrdenes[[#This Row],[puesto_trabajo]]="","",_xlfn.XLOOKUP(tblOrdenes[[#This Row],[puesto_trabajo]],tblPuestos[codigo],tblPuestos[especialidad],"(sin catálogo)"))</f>
        <v/>
      </c>
      <c r="AB7" s="5">
        <f>IF(tblOrdenes[[#This Row],[cod_actividad]]="","",_xlfn.XLOOKUP(tblOrdenes[[#This Row],[cod_actividad]],tblActividades[codigo],tblActividades[descripcion],"(sin catálogo)"))</f>
        <v/>
      </c>
      <c r="AC7" s="20">
        <f>IF(tblOrdenes[[#This Row],[fecha_inicio]]="","",TODAY()-tblOrdenes[[#This Row],[fecha_inicio]])</f>
        <v/>
      </c>
      <c r="AD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" s="5">
        <f>IF(tblOrdenes[[#This Row],[backlog_habiles]]="","",IF(tblOrdenes[[#This Row],[backlog_habiles]]&lt;0,"FUTURO",IF(tblOrdenes[[#This Row],[backlog_habiles]]&gt;p_dias_backlog_max,"BACKLOG","MES CORRIENTE")))</f>
        <v/>
      </c>
      <c r="AF7" s="5">
        <f>IF(tblOrdenes[[#This Row],[backlog_habiles]]="",FALSE,AND(tblOrdenes[[#This Row],[backlog_habiles]]&gt;p_dias_backlog_min,tblOrdenes[[#This Row],[backlog_habiles]]&lt;=p_dias_backlog_max))</f>
        <v/>
      </c>
      <c r="AG7" s="4" t="inlineStr">
        <is>
          <t>Miguel Martínez</t>
        </is>
      </c>
      <c r="AH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" s="18">
        <f>IF(tblOrdenes[[#This Row],[orden]]="","",_xlfn.XLOOKUP(tblOrdenes[[#This Row],[id_operacion]],tblEjecucion[id_operacion],tblEjecucion[precio],0))</f>
        <v/>
      </c>
      <c r="AL7" s="18">
        <f>IF(tblOrdenes[[#This Row],[orden]]="","",MAX(0,_xlfn.XLOOKUP(tblOrdenes[[#This Row],[id_operacion]],tblEjecucion[id_operacion],tblEjecucion[costo_plan_total],0)-tblOrdenes[[#This Row],[costo_servicio]]))</f>
        <v/>
      </c>
      <c r="AM7" s="18">
        <f>IF(tblOrdenes[[#This Row],[orden]]="","",tblOrdenes[[#This Row],[costo_servicio]]+tblOrdenes[[#This Row],[costo_materiales]])</f>
        <v/>
      </c>
      <c r="AN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" s="4" t="inlineStr"/>
      <c r="AP7" s="4" t="inlineStr"/>
      <c r="AQ7" s="4" t="inlineStr">
        <is>
          <t>ACT-02.pdf</t>
        </is>
      </c>
      <c r="AR7" s="5">
        <f>IF(tblOrdenes[[#This Row],[link_checklist]]="","",HYPERLINK(p_ruta_base_checklists&amp;tblOrdenes[[#This Row],[link_checklist]],"abrir"))</f>
        <v/>
      </c>
      <c r="AS7" s="4" t="inlineStr"/>
      <c r="AT7" s="5">
        <f>IF(tblOrdenes[[#This Row],[orden]]="","",tblOrdenes[[#This Row],[orden]]&amp;IF(tblOrdenes[[#This Row],[operacion]]="","0010",tblOrdenes[[#This Row],[operacion]]))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22" t="n">
        <v>46227</v>
      </c>
      <c r="K8" s="5" t="n">
        <v>8</v>
      </c>
      <c r="L8" s="18" t="n">
        <v>200</v>
      </c>
      <c r="M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5">
        <f>IF(tblOrdenes[[#This Row],[fecha_inicio]]="","",YEAR(tblOrdenes[[#This Row],[fecha_inicio]]))</f>
        <v/>
      </c>
      <c r="Q8" s="5">
        <f>IF(tblOrdenes[[#This Row],[fecha_inicio]]="","",MONTH(tblOrdenes[[#This Row],[fecha_inicio]]))</f>
        <v/>
      </c>
      <c r="R8" s="5">
        <f>IF(tblOrdenes[[#This Row],[fecha_inicio]]="","",tblOrdenes[[#This Row],[anio]]&amp;"-"&amp;TEXT(tblOrdenes[[#This Row],[mes]],"00"))</f>
        <v/>
      </c>
      <c r="S8" s="5">
        <f>IF(tblOrdenes[[#This Row],[fecha_inicio]]="","",INDEX(lista_dias,WEEKDAY(tblOrdenes[[#This Row],[fecha_inicio]],2)))</f>
        <v/>
      </c>
      <c r="T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" s="5">
        <f>IF(tblOrdenes[[#This Row],[tipo_ot]]="","",_xlfn.XLOOKUP(tblOrdenes[[#This Row],[tipo_ot]],tblTiposOT[codigo],tblTiposOT[clasificacion],"sin_clasificar"))</f>
        <v/>
      </c>
      <c r="V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" s="5">
        <f>IF(tblOrdenes[[#This Row],[centro_costo]]="","",_xlfn.XLOOKUP(tblOrdenes[[#This Row],[centro_costo]],tblCECO[codigo],tblCECO[linea],"(sin catálogo)"))</f>
        <v/>
      </c>
      <c r="X8" s="5">
        <f>IF(tblOrdenes[[#This Row],[centro_costo]]="","",_xlfn.XLOOKUP(tblOrdenes[[#This Row],[centro_costo]],tblCECO[codigo],tblCECO[area],"(sin catálogo)"))</f>
        <v/>
      </c>
      <c r="Y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" s="5">
        <f>IF(tblOrdenes[[#This Row],[centro_costo]]="","",_xlfn.XLOOKUP(tblOrdenes[[#This Row],[centro_costo]],tblCECO[codigo],tblCECO[coordinador],"(sin catálogo)"))</f>
        <v/>
      </c>
      <c r="AA8" s="5">
        <f>IF(tblOrdenes[[#This Row],[puesto_trabajo]]="","",_xlfn.XLOOKUP(tblOrdenes[[#This Row],[puesto_trabajo]],tblPuestos[codigo],tblPuestos[especialidad],"(sin catálogo)"))</f>
        <v/>
      </c>
      <c r="AB8" s="5">
        <f>IF(tblOrdenes[[#This Row],[cod_actividad]]="","",_xlfn.XLOOKUP(tblOrdenes[[#This Row],[cod_actividad]],tblActividades[codigo],tblActividades[descripcion],"(sin catálogo)"))</f>
        <v/>
      </c>
      <c r="AC8" s="20">
        <f>IF(tblOrdenes[[#This Row],[fecha_inicio]]="","",TODAY()-tblOrdenes[[#This Row],[fecha_inicio]])</f>
        <v/>
      </c>
      <c r="AD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" s="5">
        <f>IF(tblOrdenes[[#This Row],[backlog_habiles]]="","",IF(tblOrdenes[[#This Row],[backlog_habiles]]&lt;0,"FUTURO",IF(tblOrdenes[[#This Row],[backlog_habiles]]&gt;p_dias_backlog_max,"BACKLOG","MES CORRIENTE")))</f>
        <v/>
      </c>
      <c r="AF8" s="5">
        <f>IF(tblOrdenes[[#This Row],[backlog_habiles]]="",FALSE,AND(tblOrdenes[[#This Row],[backlog_habiles]]&gt;p_dias_backlog_min,tblOrdenes[[#This Row],[backlog_habiles]]&lt;=p_dias_backlog_max))</f>
        <v/>
      </c>
      <c r="AG8" s="4" t="inlineStr">
        <is>
          <t>Ana Sánchez</t>
        </is>
      </c>
      <c r="AH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" s="18">
        <f>IF(tblOrdenes[[#This Row],[orden]]="","",_xlfn.XLOOKUP(tblOrdenes[[#This Row],[id_operacion]],tblEjecucion[id_operacion],tblEjecucion[precio],0))</f>
        <v/>
      </c>
      <c r="AL8" s="18">
        <f>IF(tblOrdenes[[#This Row],[orden]]="","",MAX(0,_xlfn.XLOOKUP(tblOrdenes[[#This Row],[id_operacion]],tblEjecucion[id_operacion],tblEjecucion[costo_plan_total],0)-tblOrdenes[[#This Row],[costo_servicio]]))</f>
        <v/>
      </c>
      <c r="AM8" s="18">
        <f>IF(tblOrdenes[[#This Row],[orden]]="","",tblOrdenes[[#This Row],[costo_servicio]]+tblOrdenes[[#This Row],[costo_materiales]])</f>
        <v/>
      </c>
      <c r="AN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" s="4" t="inlineStr"/>
      <c r="AP8" s="4" t="inlineStr"/>
      <c r="AQ8" s="4" t="inlineStr">
        <is>
          <t>ACT-04.pdf</t>
        </is>
      </c>
      <c r="AR8" s="5">
        <f>IF(tblOrdenes[[#This Row],[link_checklist]]="","",HYPERLINK(p_ruta_base_checklists&amp;tblOrdenes[[#This Row],[link_checklist]],"abrir"))</f>
        <v/>
      </c>
      <c r="AS8" s="4" t="inlineStr"/>
      <c r="AT8" s="5">
        <f>IF(tblOrdenes[[#This Row],[orden]]="","",tblOrdenes[[#This Row],[orden]]&amp;IF(tblOrdenes[[#This Row],[operacion]]="","0010",tblOrdenes[[#This Row],[operacion]]))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22" t="n">
        <v>46223</v>
      </c>
      <c r="K9" s="5" t="n">
        <v>6</v>
      </c>
      <c r="L9" s="18" t="n">
        <v>150</v>
      </c>
      <c r="M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5">
        <f>IF(tblOrdenes[[#This Row],[fecha_inicio]]="","",YEAR(tblOrdenes[[#This Row],[fecha_inicio]]))</f>
        <v/>
      </c>
      <c r="Q9" s="5">
        <f>IF(tblOrdenes[[#This Row],[fecha_inicio]]="","",MONTH(tblOrdenes[[#This Row],[fecha_inicio]]))</f>
        <v/>
      </c>
      <c r="R9" s="5">
        <f>IF(tblOrdenes[[#This Row],[fecha_inicio]]="","",tblOrdenes[[#This Row],[anio]]&amp;"-"&amp;TEXT(tblOrdenes[[#This Row],[mes]],"00"))</f>
        <v/>
      </c>
      <c r="S9" s="5">
        <f>IF(tblOrdenes[[#This Row],[fecha_inicio]]="","",INDEX(lista_dias,WEEKDAY(tblOrdenes[[#This Row],[fecha_inicio]],2)))</f>
        <v/>
      </c>
      <c r="T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" s="5">
        <f>IF(tblOrdenes[[#This Row],[tipo_ot]]="","",_xlfn.XLOOKUP(tblOrdenes[[#This Row],[tipo_ot]],tblTiposOT[codigo],tblTiposOT[clasificacion],"sin_clasificar"))</f>
        <v/>
      </c>
      <c r="V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" s="5">
        <f>IF(tblOrdenes[[#This Row],[centro_costo]]="","",_xlfn.XLOOKUP(tblOrdenes[[#This Row],[centro_costo]],tblCECO[codigo],tblCECO[linea],"(sin catálogo)"))</f>
        <v/>
      </c>
      <c r="X9" s="5">
        <f>IF(tblOrdenes[[#This Row],[centro_costo]]="","",_xlfn.XLOOKUP(tblOrdenes[[#This Row],[centro_costo]],tblCECO[codigo],tblCECO[area],"(sin catálogo)"))</f>
        <v/>
      </c>
      <c r="Y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" s="5">
        <f>IF(tblOrdenes[[#This Row],[centro_costo]]="","",_xlfn.XLOOKUP(tblOrdenes[[#This Row],[centro_costo]],tblCECO[codigo],tblCECO[coordinador],"(sin catálogo)"))</f>
        <v/>
      </c>
      <c r="AA9" s="5">
        <f>IF(tblOrdenes[[#This Row],[puesto_trabajo]]="","",_xlfn.XLOOKUP(tblOrdenes[[#This Row],[puesto_trabajo]],tblPuestos[codigo],tblPuestos[especialidad],"(sin catálogo)"))</f>
        <v/>
      </c>
      <c r="AB9" s="5">
        <f>IF(tblOrdenes[[#This Row],[cod_actividad]]="","",_xlfn.XLOOKUP(tblOrdenes[[#This Row],[cod_actividad]],tblActividades[codigo],tblActividades[descripcion],"(sin catálogo)"))</f>
        <v/>
      </c>
      <c r="AC9" s="20">
        <f>IF(tblOrdenes[[#This Row],[fecha_inicio]]="","",TODAY()-tblOrdenes[[#This Row],[fecha_inicio]])</f>
        <v/>
      </c>
      <c r="AD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" s="5">
        <f>IF(tblOrdenes[[#This Row],[backlog_habiles]]="","",IF(tblOrdenes[[#This Row],[backlog_habiles]]&lt;0,"FUTURO",IF(tblOrdenes[[#This Row],[backlog_habiles]]&gt;p_dias_backlog_max,"BACKLOG","MES CORRIENTE")))</f>
        <v/>
      </c>
      <c r="AF9" s="5">
        <f>IF(tblOrdenes[[#This Row],[backlog_habiles]]="",FALSE,AND(tblOrdenes[[#This Row],[backlog_habiles]]&gt;p_dias_backlog_min,tblOrdenes[[#This Row],[backlog_habiles]]&lt;=p_dias_backlog_max))</f>
        <v/>
      </c>
      <c r="AG9" s="4" t="inlineStr">
        <is>
          <t>David Torres</t>
        </is>
      </c>
      <c r="AH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" s="18">
        <f>IF(tblOrdenes[[#This Row],[orden]]="","",_xlfn.XLOOKUP(tblOrdenes[[#This Row],[id_operacion]],tblEjecucion[id_operacion],tblEjecucion[precio],0))</f>
        <v/>
      </c>
      <c r="AL9" s="18">
        <f>IF(tblOrdenes[[#This Row],[orden]]="","",MAX(0,_xlfn.XLOOKUP(tblOrdenes[[#This Row],[id_operacion]],tblEjecucion[id_operacion],tblEjecucion[costo_plan_total],0)-tblOrdenes[[#This Row],[costo_servicio]]))</f>
        <v/>
      </c>
      <c r="AM9" s="18">
        <f>IF(tblOrdenes[[#This Row],[orden]]="","",tblOrdenes[[#This Row],[costo_servicio]]+tblOrdenes[[#This Row],[costo_materiales]])</f>
        <v/>
      </c>
      <c r="AN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" s="4" t="inlineStr"/>
      <c r="AP9" s="4" t="inlineStr"/>
      <c r="AQ9" s="4" t="inlineStr">
        <is>
          <t>ACT-01.pdf</t>
        </is>
      </c>
      <c r="AR9" s="5">
        <f>IF(tblOrdenes[[#This Row],[link_checklist]]="","",HYPERLINK(p_ruta_base_checklists&amp;tblOrdenes[[#This Row],[link_checklist]],"abrir"))</f>
        <v/>
      </c>
      <c r="AS9" s="4" t="inlineStr"/>
      <c r="AT9" s="5">
        <f>IF(tblOrdenes[[#This Row],[orden]]="","",tblOrdenes[[#This Row],[orden]]&amp;IF(tblOrdenes[[#This Row],[operacion]]="","0010",tblOrdenes[[#This Row],[operacion]]))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TIPO-P1</t>
        </is>
      </c>
      <c r="J10" s="22" t="n">
        <v>46224</v>
      </c>
      <c r="K10" s="5" t="n">
        <v>10</v>
      </c>
      <c r="L10" s="18" t="n">
        <v>250</v>
      </c>
      <c r="M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5">
        <f>IF(tblOrdenes[[#This Row],[fecha_inicio]]="","",YEAR(tblOrdenes[[#This Row],[fecha_inicio]]))</f>
        <v/>
      </c>
      <c r="Q10" s="5">
        <f>IF(tblOrdenes[[#This Row],[fecha_inicio]]="","",MONTH(tblOrdenes[[#This Row],[fecha_inicio]]))</f>
        <v/>
      </c>
      <c r="R10" s="5">
        <f>IF(tblOrdenes[[#This Row],[fecha_inicio]]="","",tblOrdenes[[#This Row],[anio]]&amp;"-"&amp;TEXT(tblOrdenes[[#This Row],[mes]],"00"))</f>
        <v/>
      </c>
      <c r="S10" s="5">
        <f>IF(tblOrdenes[[#This Row],[fecha_inicio]]="","",INDEX(lista_dias,WEEKDAY(tblOrdenes[[#This Row],[fecha_inicio]],2)))</f>
        <v/>
      </c>
      <c r="T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" s="5">
        <f>IF(tblOrdenes[[#This Row],[tipo_ot]]="","",_xlfn.XLOOKUP(tblOrdenes[[#This Row],[tipo_ot]],tblTiposOT[codigo],tblTiposOT[clasificacion],"sin_clasificar"))</f>
        <v/>
      </c>
      <c r="V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" s="5">
        <f>IF(tblOrdenes[[#This Row],[centro_costo]]="","",_xlfn.XLOOKUP(tblOrdenes[[#This Row],[centro_costo]],tblCECO[codigo],tblCECO[linea],"(sin catálogo)"))</f>
        <v/>
      </c>
      <c r="X10" s="5">
        <f>IF(tblOrdenes[[#This Row],[centro_costo]]="","",_xlfn.XLOOKUP(tblOrdenes[[#This Row],[centro_costo]],tblCECO[codigo],tblCECO[area],"(sin catálogo)"))</f>
        <v/>
      </c>
      <c r="Y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" s="5">
        <f>IF(tblOrdenes[[#This Row],[centro_costo]]="","",_xlfn.XLOOKUP(tblOrdenes[[#This Row],[centro_costo]],tblCECO[codigo],tblCECO[coordinador],"(sin catálogo)"))</f>
        <v/>
      </c>
      <c r="AA10" s="5">
        <f>IF(tblOrdenes[[#This Row],[puesto_trabajo]]="","",_xlfn.XLOOKUP(tblOrdenes[[#This Row],[puesto_trabajo]],tblPuestos[codigo],tblPuestos[especialidad],"(sin catálogo)"))</f>
        <v/>
      </c>
      <c r="AB10" s="5">
        <f>IF(tblOrdenes[[#This Row],[cod_actividad]]="","",_xlfn.XLOOKUP(tblOrdenes[[#This Row],[cod_actividad]],tblActividades[codigo],tblActividades[descripcion],"(sin catálogo)"))</f>
        <v/>
      </c>
      <c r="AC10" s="20">
        <f>IF(tblOrdenes[[#This Row],[fecha_inicio]]="","",TODAY()-tblOrdenes[[#This Row],[fecha_inicio]])</f>
        <v/>
      </c>
      <c r="AD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" s="5">
        <f>IF(tblOrdenes[[#This Row],[backlog_habiles]]="","",IF(tblOrdenes[[#This Row],[backlog_habiles]]&lt;0,"FUTURO",IF(tblOrdenes[[#This Row],[backlog_habiles]]&gt;p_dias_backlog_max,"BACKLOG","MES CORRIENTE")))</f>
        <v/>
      </c>
      <c r="AF10" s="5">
        <f>IF(tblOrdenes[[#This Row],[backlog_habiles]]="",FALSE,AND(tblOrdenes[[#This Row],[backlog_habiles]]&gt;p_dias_backlog_min,tblOrdenes[[#This Row],[backlog_habiles]]&lt;=p_dias_backlog_max))</f>
        <v/>
      </c>
      <c r="AG10" s="4" t="inlineStr">
        <is>
          <t>Francisco Ramírez</t>
        </is>
      </c>
      <c r="AH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" s="18">
        <f>IF(tblOrdenes[[#This Row],[orden]]="","",_xlfn.XLOOKUP(tblOrdenes[[#This Row],[id_operacion]],tblEjecucion[id_operacion],tblEjecucion[precio],0))</f>
        <v/>
      </c>
      <c r="AL10" s="18">
        <f>IF(tblOrdenes[[#This Row],[orden]]="","",MAX(0,_xlfn.XLOOKUP(tblOrdenes[[#This Row],[id_operacion]],tblEjecucion[id_operacion],tblEjecucion[costo_plan_total],0)-tblOrdenes[[#This Row],[costo_servicio]]))</f>
        <v/>
      </c>
      <c r="AM10" s="18">
        <f>IF(tblOrdenes[[#This Row],[orden]]="","",tblOrdenes[[#This Row],[costo_servicio]]+tblOrdenes[[#This Row],[costo_materiales]])</f>
        <v/>
      </c>
      <c r="AN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" s="4" t="inlineStr"/>
      <c r="AP10" s="4" t="inlineStr"/>
      <c r="AQ10" s="4" t="inlineStr">
        <is>
          <t>ACT-02.pdf</t>
        </is>
      </c>
      <c r="AR10" s="5">
        <f>IF(tblOrdenes[[#This Row],[link_checklist]]="","",HYPERLINK(p_ruta_base_checklists&amp;tblOrdenes[[#This Row],[link_checklist]],"abrir"))</f>
        <v/>
      </c>
      <c r="AS10" s="4" t="inlineStr"/>
      <c r="AT10" s="5">
        <f>IF(tblOrdenes[[#This Row],[orden]]="","",tblOrdenes[[#This Row],[orden]]&amp;IF(tblOrdenes[[#This Row],[operacion]]="","0010",tblOrdenes[[#This Row],[operacion]]))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TIPO-P2</t>
        </is>
      </c>
      <c r="J11" s="22" t="n">
        <v>46225</v>
      </c>
      <c r="K11" s="5" t="n">
        <v>8</v>
      </c>
      <c r="L11" s="18" t="n">
        <v>200</v>
      </c>
      <c r="M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5">
        <f>IF(tblOrdenes[[#This Row],[fecha_inicio]]="","",YEAR(tblOrdenes[[#This Row],[fecha_inicio]]))</f>
        <v/>
      </c>
      <c r="Q11" s="5">
        <f>IF(tblOrdenes[[#This Row],[fecha_inicio]]="","",MONTH(tblOrdenes[[#This Row],[fecha_inicio]]))</f>
        <v/>
      </c>
      <c r="R11" s="5">
        <f>IF(tblOrdenes[[#This Row],[fecha_inicio]]="","",tblOrdenes[[#This Row],[anio]]&amp;"-"&amp;TEXT(tblOrdenes[[#This Row],[mes]],"00"))</f>
        <v/>
      </c>
      <c r="S11" s="5">
        <f>IF(tblOrdenes[[#This Row],[fecha_inicio]]="","",INDEX(lista_dias,WEEKDAY(tblOrdenes[[#This Row],[fecha_inicio]],2)))</f>
        <v/>
      </c>
      <c r="T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" s="5">
        <f>IF(tblOrdenes[[#This Row],[tipo_ot]]="","",_xlfn.XLOOKUP(tblOrdenes[[#This Row],[tipo_ot]],tblTiposOT[codigo],tblTiposOT[clasificacion],"sin_clasificar"))</f>
        <v/>
      </c>
      <c r="V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" s="5">
        <f>IF(tblOrdenes[[#This Row],[centro_costo]]="","",_xlfn.XLOOKUP(tblOrdenes[[#This Row],[centro_costo]],tblCECO[codigo],tblCECO[linea],"(sin catálogo)"))</f>
        <v/>
      </c>
      <c r="X11" s="5">
        <f>IF(tblOrdenes[[#This Row],[centro_costo]]="","",_xlfn.XLOOKUP(tblOrdenes[[#This Row],[centro_costo]],tblCECO[codigo],tblCECO[area],"(sin catálogo)"))</f>
        <v/>
      </c>
      <c r="Y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" s="5">
        <f>IF(tblOrdenes[[#This Row],[centro_costo]]="","",_xlfn.XLOOKUP(tblOrdenes[[#This Row],[centro_costo]],tblCECO[codigo],tblCECO[coordinador],"(sin catálogo)"))</f>
        <v/>
      </c>
      <c r="AA11" s="5">
        <f>IF(tblOrdenes[[#This Row],[puesto_trabajo]]="","",_xlfn.XLOOKUP(tblOrdenes[[#This Row],[puesto_trabajo]],tblPuestos[codigo],tblPuestos[especialidad],"(sin catálogo)"))</f>
        <v/>
      </c>
      <c r="AB11" s="5">
        <f>IF(tblOrdenes[[#This Row],[cod_actividad]]="","",_xlfn.XLOOKUP(tblOrdenes[[#This Row],[cod_actividad]],tblActividades[codigo],tblActividades[descripcion],"(sin catálogo)"))</f>
        <v/>
      </c>
      <c r="AC11" s="20">
        <f>IF(tblOrdenes[[#This Row],[fecha_inicio]]="","",TODAY()-tblOrdenes[[#This Row],[fecha_inicio]])</f>
        <v/>
      </c>
      <c r="AD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" s="5">
        <f>IF(tblOrdenes[[#This Row],[backlog_habiles]]="","",IF(tblOrdenes[[#This Row],[backlog_habiles]]&lt;0,"FUTURO",IF(tblOrdenes[[#This Row],[backlog_habiles]]&gt;p_dias_backlog_max,"BACKLOG","MES CORRIENTE")))</f>
        <v/>
      </c>
      <c r="AF11" s="5">
        <f>IF(tblOrdenes[[#This Row],[backlog_habiles]]="",FALSE,AND(tblOrdenes[[#This Row],[backlog_habiles]]&gt;p_dias_backlog_min,tblOrdenes[[#This Row],[backlog_habiles]]&lt;=p_dias_backlog_max))</f>
        <v/>
      </c>
      <c r="AG11" s="4" t="inlineStr">
        <is>
          <t>Carlos Pérez</t>
        </is>
      </c>
      <c r="AH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" s="18">
        <f>IF(tblOrdenes[[#This Row],[orden]]="","",_xlfn.XLOOKUP(tblOrdenes[[#This Row],[id_operacion]],tblEjecucion[id_operacion],tblEjecucion[precio],0))</f>
        <v/>
      </c>
      <c r="AL11" s="18">
        <f>IF(tblOrdenes[[#This Row],[orden]]="","",MAX(0,_xlfn.XLOOKUP(tblOrdenes[[#This Row],[id_operacion]],tblEjecucion[id_operacion],tblEjecucion[costo_plan_total],0)-tblOrdenes[[#This Row],[costo_servicio]]))</f>
        <v/>
      </c>
      <c r="AM11" s="18">
        <f>IF(tblOrdenes[[#This Row],[orden]]="","",tblOrdenes[[#This Row],[costo_servicio]]+tblOrdenes[[#This Row],[costo_materiales]])</f>
        <v/>
      </c>
      <c r="AN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" s="4" t="inlineStr"/>
      <c r="AP11" s="4" t="inlineStr"/>
      <c r="AQ11" s="4" t="inlineStr">
        <is>
          <t>ACT-04.pdf</t>
        </is>
      </c>
      <c r="AR11" s="5">
        <f>IF(tblOrdenes[[#This Row],[link_checklist]]="","",HYPERLINK(p_ruta_base_checklists&amp;tblOrdenes[[#This Row],[link_checklist]],"abrir"))</f>
        <v/>
      </c>
      <c r="AS11" s="4" t="inlineStr"/>
      <c r="AT11" s="5">
        <f>IF(tblOrdenes[[#This Row],[orden]]="","",tblOrdenes[[#This Row],[orden]]&amp;IF(tblOrdenes[[#This Row],[operacion]]="","0010",tblOrdenes[[#This Row],[operacion]]))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TIPO-P1</t>
        </is>
      </c>
      <c r="J12" s="22" t="n">
        <v>46226</v>
      </c>
      <c r="K12" s="5" t="n">
        <v>6</v>
      </c>
      <c r="L12" s="18" t="n">
        <v>150</v>
      </c>
      <c r="M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5">
        <f>IF(tblOrdenes[[#This Row],[fecha_inicio]]="","",YEAR(tblOrdenes[[#This Row],[fecha_inicio]]))</f>
        <v/>
      </c>
      <c r="Q12" s="5">
        <f>IF(tblOrdenes[[#This Row],[fecha_inicio]]="","",MONTH(tblOrdenes[[#This Row],[fecha_inicio]]))</f>
        <v/>
      </c>
      <c r="R12" s="5">
        <f>IF(tblOrdenes[[#This Row],[fecha_inicio]]="","",tblOrdenes[[#This Row],[anio]]&amp;"-"&amp;TEXT(tblOrdenes[[#This Row],[mes]],"00"))</f>
        <v/>
      </c>
      <c r="S12" s="5">
        <f>IF(tblOrdenes[[#This Row],[fecha_inicio]]="","",INDEX(lista_dias,WEEKDAY(tblOrdenes[[#This Row],[fecha_inicio]],2)))</f>
        <v/>
      </c>
      <c r="T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" s="5">
        <f>IF(tblOrdenes[[#This Row],[tipo_ot]]="","",_xlfn.XLOOKUP(tblOrdenes[[#This Row],[tipo_ot]],tblTiposOT[codigo],tblTiposOT[clasificacion],"sin_clasificar"))</f>
        <v/>
      </c>
      <c r="V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" s="5">
        <f>IF(tblOrdenes[[#This Row],[centro_costo]]="","",_xlfn.XLOOKUP(tblOrdenes[[#This Row],[centro_costo]],tblCECO[codigo],tblCECO[linea],"(sin catálogo)"))</f>
        <v/>
      </c>
      <c r="X12" s="5">
        <f>IF(tblOrdenes[[#This Row],[centro_costo]]="","",_xlfn.XLOOKUP(tblOrdenes[[#This Row],[centro_costo]],tblCECO[codigo],tblCECO[area],"(sin catálogo)"))</f>
        <v/>
      </c>
      <c r="Y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" s="5">
        <f>IF(tblOrdenes[[#This Row],[centro_costo]]="","",_xlfn.XLOOKUP(tblOrdenes[[#This Row],[centro_costo]],tblCECO[codigo],tblCECO[coordinador],"(sin catálogo)"))</f>
        <v/>
      </c>
      <c r="AA12" s="5">
        <f>IF(tblOrdenes[[#This Row],[puesto_trabajo]]="","",_xlfn.XLOOKUP(tblOrdenes[[#This Row],[puesto_trabajo]],tblPuestos[codigo],tblPuestos[especialidad],"(sin catálogo)"))</f>
        <v/>
      </c>
      <c r="AB12" s="5">
        <f>IF(tblOrdenes[[#This Row],[cod_actividad]]="","",_xlfn.XLOOKUP(tblOrdenes[[#This Row],[cod_actividad]],tblActividades[codigo],tblActividades[descripcion],"(sin catálogo)"))</f>
        <v/>
      </c>
      <c r="AC12" s="20">
        <f>IF(tblOrdenes[[#This Row],[fecha_inicio]]="","",TODAY()-tblOrdenes[[#This Row],[fecha_inicio]])</f>
        <v/>
      </c>
      <c r="AD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" s="5">
        <f>IF(tblOrdenes[[#This Row],[backlog_habiles]]="","",IF(tblOrdenes[[#This Row],[backlog_habiles]]&lt;0,"FUTURO",IF(tblOrdenes[[#This Row],[backlog_habiles]]&gt;p_dias_backlog_max,"BACKLOG","MES CORRIENTE")))</f>
        <v/>
      </c>
      <c r="AF12" s="5">
        <f>IF(tblOrdenes[[#This Row],[backlog_habiles]]="",FALSE,AND(tblOrdenes[[#This Row],[backlog_habiles]]&gt;p_dias_backlog_min,tblOrdenes[[#This Row],[backlog_habiles]]&lt;=p_dias_backlog_max))</f>
        <v/>
      </c>
      <c r="AG12" s="4" t="inlineStr">
        <is>
          <t>María Gómez</t>
        </is>
      </c>
      <c r="AH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" s="18">
        <f>IF(tblOrdenes[[#This Row],[orden]]="","",_xlfn.XLOOKUP(tblOrdenes[[#This Row],[id_operacion]],tblEjecucion[id_operacion],tblEjecucion[precio],0))</f>
        <v/>
      </c>
      <c r="AL12" s="18">
        <f>IF(tblOrdenes[[#This Row],[orden]]="","",MAX(0,_xlfn.XLOOKUP(tblOrdenes[[#This Row],[id_operacion]],tblEjecucion[id_operacion],tblEjecucion[costo_plan_total],0)-tblOrdenes[[#This Row],[costo_servicio]]))</f>
        <v/>
      </c>
      <c r="AM12" s="18">
        <f>IF(tblOrdenes[[#This Row],[orden]]="","",tblOrdenes[[#This Row],[costo_servicio]]+tblOrdenes[[#This Row],[costo_materiales]])</f>
        <v/>
      </c>
      <c r="AN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" s="4" t="inlineStr"/>
      <c r="AP12" s="4" t="inlineStr"/>
      <c r="AQ12" s="4" t="inlineStr">
        <is>
          <t>ACT-01.pdf</t>
        </is>
      </c>
      <c r="AR12" s="5">
        <f>IF(tblOrdenes[[#This Row],[link_checklist]]="","",HYPERLINK(p_ruta_base_checklists&amp;tblOrdenes[[#This Row],[link_checklist]],"abrir"))</f>
        <v/>
      </c>
      <c r="AS12" s="4" t="inlineStr"/>
      <c r="AT12" s="5">
        <f>IF(tblOrdenes[[#This Row],[orden]]="","",tblOrdenes[[#This Row],[orden]]&amp;IF(tblOrdenes[[#This Row],[operacion]]="","0010",tblOrdenes[[#This Row],[operacion]]))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22" t="n">
        <v>46227</v>
      </c>
      <c r="K13" s="5" t="n">
        <v>8</v>
      </c>
      <c r="L13" s="18" t="n">
        <v>200</v>
      </c>
      <c r="M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5">
        <f>IF(tblOrdenes[[#This Row],[fecha_inicio]]="","",YEAR(tblOrdenes[[#This Row],[fecha_inicio]]))</f>
        <v/>
      </c>
      <c r="Q13" s="5">
        <f>IF(tblOrdenes[[#This Row],[fecha_inicio]]="","",MONTH(tblOrdenes[[#This Row],[fecha_inicio]]))</f>
        <v/>
      </c>
      <c r="R13" s="5">
        <f>IF(tblOrdenes[[#This Row],[fecha_inicio]]="","",tblOrdenes[[#This Row],[anio]]&amp;"-"&amp;TEXT(tblOrdenes[[#This Row],[mes]],"00"))</f>
        <v/>
      </c>
      <c r="S13" s="5">
        <f>IF(tblOrdenes[[#This Row],[fecha_inicio]]="","",INDEX(lista_dias,WEEKDAY(tblOrdenes[[#This Row],[fecha_inicio]],2)))</f>
        <v/>
      </c>
      <c r="T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" s="5">
        <f>IF(tblOrdenes[[#This Row],[tipo_ot]]="","",_xlfn.XLOOKUP(tblOrdenes[[#This Row],[tipo_ot]],tblTiposOT[codigo],tblTiposOT[clasificacion],"sin_clasificar"))</f>
        <v/>
      </c>
      <c r="V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" s="5">
        <f>IF(tblOrdenes[[#This Row],[centro_costo]]="","",_xlfn.XLOOKUP(tblOrdenes[[#This Row],[centro_costo]],tblCECO[codigo],tblCECO[linea],"(sin catálogo)"))</f>
        <v/>
      </c>
      <c r="X13" s="5">
        <f>IF(tblOrdenes[[#This Row],[centro_costo]]="","",_xlfn.XLOOKUP(tblOrdenes[[#This Row],[centro_costo]],tblCECO[codigo],tblCECO[area],"(sin catálogo)"))</f>
        <v/>
      </c>
      <c r="Y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" s="5">
        <f>IF(tblOrdenes[[#This Row],[centro_costo]]="","",_xlfn.XLOOKUP(tblOrdenes[[#This Row],[centro_costo]],tblCECO[codigo],tblCECO[coordinador],"(sin catálogo)"))</f>
        <v/>
      </c>
      <c r="AA13" s="5">
        <f>IF(tblOrdenes[[#This Row],[puesto_trabajo]]="","",_xlfn.XLOOKUP(tblOrdenes[[#This Row],[puesto_trabajo]],tblPuestos[codigo],tblPuestos[especialidad],"(sin catálogo)"))</f>
        <v/>
      </c>
      <c r="AB13" s="5">
        <f>IF(tblOrdenes[[#This Row],[cod_actividad]]="","",_xlfn.XLOOKUP(tblOrdenes[[#This Row],[cod_actividad]],tblActividades[codigo],tblActividades[descripcion],"(sin catálogo)"))</f>
        <v/>
      </c>
      <c r="AC13" s="20">
        <f>IF(tblOrdenes[[#This Row],[fecha_inicio]]="","",TODAY()-tblOrdenes[[#This Row],[fecha_inicio]])</f>
        <v/>
      </c>
      <c r="AD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" s="5">
        <f>IF(tblOrdenes[[#This Row],[backlog_habiles]]="","",IF(tblOrdenes[[#This Row],[backlog_habiles]]&lt;0,"FUTURO",IF(tblOrdenes[[#This Row],[backlog_habiles]]&gt;p_dias_backlog_max,"BACKLOG","MES CORRIENTE")))</f>
        <v/>
      </c>
      <c r="AF13" s="5">
        <f>IF(tblOrdenes[[#This Row],[backlog_habiles]]="",FALSE,AND(tblOrdenes[[#This Row],[backlog_habiles]]&gt;p_dias_backlog_min,tblOrdenes[[#This Row],[backlog_habiles]]&lt;=p_dias_backlog_max))</f>
        <v/>
      </c>
      <c r="AG13" s="4" t="inlineStr">
        <is>
          <t>Luis Rodríguez</t>
        </is>
      </c>
      <c r="AH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" s="18">
        <f>IF(tblOrdenes[[#This Row],[orden]]="","",_xlfn.XLOOKUP(tblOrdenes[[#This Row],[id_operacion]],tblEjecucion[id_operacion],tblEjecucion[precio],0))</f>
        <v/>
      </c>
      <c r="AL13" s="18">
        <f>IF(tblOrdenes[[#This Row],[orden]]="","",MAX(0,_xlfn.XLOOKUP(tblOrdenes[[#This Row],[id_operacion]],tblEjecucion[id_operacion],tblEjecucion[costo_plan_total],0)-tblOrdenes[[#This Row],[costo_servicio]]))</f>
        <v/>
      </c>
      <c r="AM13" s="18">
        <f>IF(tblOrdenes[[#This Row],[orden]]="","",tblOrdenes[[#This Row],[costo_servicio]]+tblOrdenes[[#This Row],[costo_materiales]])</f>
        <v/>
      </c>
      <c r="AN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" s="4" t="inlineStr"/>
      <c r="AP13" s="4" t="inlineStr"/>
      <c r="AQ13" s="4" t="inlineStr">
        <is>
          <t>ACT-02.pdf</t>
        </is>
      </c>
      <c r="AR13" s="5">
        <f>IF(tblOrdenes[[#This Row],[link_checklist]]="","",HYPERLINK(p_ruta_base_checklists&amp;tblOrdenes[[#This Row],[link_checklist]],"abrir"))</f>
        <v/>
      </c>
      <c r="AS13" s="4" t="inlineStr"/>
      <c r="AT13" s="5">
        <f>IF(tblOrdenes[[#This Row],[orden]]="","",tblOrdenes[[#This Row],[orden]]&amp;IF(tblOrdenes[[#This Row],[operacion]]="","0010",tblOrdenes[[#This Row],[operacion]]))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22" t="n">
        <v>46223</v>
      </c>
      <c r="K14" s="5" t="n">
        <v>10</v>
      </c>
      <c r="L14" s="18" t="n">
        <v>400</v>
      </c>
      <c r="M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5">
        <f>IF(tblOrdenes[[#This Row],[fecha_inicio]]="","",YEAR(tblOrdenes[[#This Row],[fecha_inicio]]))</f>
        <v/>
      </c>
      <c r="Q14" s="5">
        <f>IF(tblOrdenes[[#This Row],[fecha_inicio]]="","",MONTH(tblOrdenes[[#This Row],[fecha_inicio]]))</f>
        <v/>
      </c>
      <c r="R14" s="5">
        <f>IF(tblOrdenes[[#This Row],[fecha_inicio]]="","",tblOrdenes[[#This Row],[anio]]&amp;"-"&amp;TEXT(tblOrdenes[[#This Row],[mes]],"00"))</f>
        <v/>
      </c>
      <c r="S14" s="5">
        <f>IF(tblOrdenes[[#This Row],[fecha_inicio]]="","",INDEX(lista_dias,WEEKDAY(tblOrdenes[[#This Row],[fecha_inicio]],2)))</f>
        <v/>
      </c>
      <c r="T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" s="5">
        <f>IF(tblOrdenes[[#This Row],[tipo_ot]]="","",_xlfn.XLOOKUP(tblOrdenes[[#This Row],[tipo_ot]],tblTiposOT[codigo],tblTiposOT[clasificacion],"sin_clasificar"))</f>
        <v/>
      </c>
      <c r="V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" s="5">
        <f>IF(tblOrdenes[[#This Row],[centro_costo]]="","",_xlfn.XLOOKUP(tblOrdenes[[#This Row],[centro_costo]],tblCECO[codigo],tblCECO[linea],"(sin catálogo)"))</f>
        <v/>
      </c>
      <c r="X14" s="5">
        <f>IF(tblOrdenes[[#This Row],[centro_costo]]="","",_xlfn.XLOOKUP(tblOrdenes[[#This Row],[centro_costo]],tblCECO[codigo],tblCECO[area],"(sin catálogo)"))</f>
        <v/>
      </c>
      <c r="Y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" s="5">
        <f>IF(tblOrdenes[[#This Row],[centro_costo]]="","",_xlfn.XLOOKUP(tblOrdenes[[#This Row],[centro_costo]],tblCECO[codigo],tblCECO[coordinador],"(sin catálogo)"))</f>
        <v/>
      </c>
      <c r="AA14" s="5">
        <f>IF(tblOrdenes[[#This Row],[puesto_trabajo]]="","",_xlfn.XLOOKUP(tblOrdenes[[#This Row],[puesto_trabajo]],tblPuestos[codigo],tblPuestos[especialidad],"(sin catálogo)"))</f>
        <v/>
      </c>
      <c r="AB14" s="5">
        <f>IF(tblOrdenes[[#This Row],[cod_actividad]]="","",_xlfn.XLOOKUP(tblOrdenes[[#This Row],[cod_actividad]],tblActividades[codigo],tblActividades[descripcion],"(sin catálogo)"))</f>
        <v/>
      </c>
      <c r="AC14" s="20">
        <f>IF(tblOrdenes[[#This Row],[fecha_inicio]]="","",TODAY()-tblOrdenes[[#This Row],[fecha_inicio]])</f>
        <v/>
      </c>
      <c r="AD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" s="5">
        <f>IF(tblOrdenes[[#This Row],[backlog_habiles]]="","",IF(tblOrdenes[[#This Row],[backlog_habiles]]&lt;0,"FUTURO",IF(tblOrdenes[[#This Row],[backlog_habiles]]&gt;p_dias_backlog_max,"BACKLOG","MES CORRIENTE")))</f>
        <v/>
      </c>
      <c r="AF14" s="5">
        <f>IF(tblOrdenes[[#This Row],[backlog_habiles]]="",FALSE,AND(tblOrdenes[[#This Row],[backlog_habiles]]&gt;p_dias_backlog_min,tblOrdenes[[#This Row],[backlog_habiles]]&lt;=p_dias_backlog_max))</f>
        <v/>
      </c>
      <c r="AG14" s="4" t="inlineStr">
        <is>
          <t>Miguel Martínez</t>
        </is>
      </c>
      <c r="AH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" s="18">
        <f>IF(tblOrdenes[[#This Row],[orden]]="","",_xlfn.XLOOKUP(tblOrdenes[[#This Row],[id_operacion]],tblEjecucion[id_operacion],tblEjecucion[precio],0))</f>
        <v/>
      </c>
      <c r="AL14" s="18">
        <f>IF(tblOrdenes[[#This Row],[orden]]="","",MAX(0,_xlfn.XLOOKUP(tblOrdenes[[#This Row],[id_operacion]],tblEjecucion[id_operacion],tblEjecucion[costo_plan_total],0)-tblOrdenes[[#This Row],[costo_servicio]]))</f>
        <v/>
      </c>
      <c r="AM14" s="18">
        <f>IF(tblOrdenes[[#This Row],[orden]]="","",tblOrdenes[[#This Row],[costo_servicio]]+tblOrdenes[[#This Row],[costo_materiales]])</f>
        <v/>
      </c>
      <c r="AN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" s="4" t="inlineStr"/>
      <c r="AP14" s="4" t="inlineStr"/>
      <c r="AQ14" s="4" t="inlineStr"/>
      <c r="AR14" s="5">
        <f>IF(tblOrdenes[[#This Row],[link_checklist]]="","",HYPERLINK(p_ruta_base_checklists&amp;tblOrdenes[[#This Row],[link_checklist]],"abrir"))</f>
        <v/>
      </c>
      <c r="AS14" s="4" t="inlineStr"/>
      <c r="AT14" s="5">
        <f>IF(tblOrdenes[[#This Row],[orden]]="","",tblOrdenes[[#This Row],[orden]]&amp;IF(tblOrdenes[[#This Row],[operacion]]="","0010",tblOrdenes[[#This Row],[operacion]]))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22" t="n">
        <v>46224</v>
      </c>
      <c r="K15" s="5" t="n">
        <v>10</v>
      </c>
      <c r="L15" s="18" t="n">
        <v>400</v>
      </c>
      <c r="M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5">
        <f>IF(tblOrdenes[[#This Row],[fecha_inicio]]="","",YEAR(tblOrdenes[[#This Row],[fecha_inicio]]))</f>
        <v/>
      </c>
      <c r="Q15" s="5">
        <f>IF(tblOrdenes[[#This Row],[fecha_inicio]]="","",MONTH(tblOrdenes[[#This Row],[fecha_inicio]]))</f>
        <v/>
      </c>
      <c r="R15" s="5">
        <f>IF(tblOrdenes[[#This Row],[fecha_inicio]]="","",tblOrdenes[[#This Row],[anio]]&amp;"-"&amp;TEXT(tblOrdenes[[#This Row],[mes]],"00"))</f>
        <v/>
      </c>
      <c r="S15" s="5">
        <f>IF(tblOrdenes[[#This Row],[fecha_inicio]]="","",INDEX(lista_dias,WEEKDAY(tblOrdenes[[#This Row],[fecha_inicio]],2)))</f>
        <v/>
      </c>
      <c r="T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" s="5">
        <f>IF(tblOrdenes[[#This Row],[tipo_ot]]="","",_xlfn.XLOOKUP(tblOrdenes[[#This Row],[tipo_ot]],tblTiposOT[codigo],tblTiposOT[clasificacion],"sin_clasificar"))</f>
        <v/>
      </c>
      <c r="V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" s="5">
        <f>IF(tblOrdenes[[#This Row],[centro_costo]]="","",_xlfn.XLOOKUP(tblOrdenes[[#This Row],[centro_costo]],tblCECO[codigo],tblCECO[linea],"(sin catálogo)"))</f>
        <v/>
      </c>
      <c r="X15" s="5">
        <f>IF(tblOrdenes[[#This Row],[centro_costo]]="","",_xlfn.XLOOKUP(tblOrdenes[[#This Row],[centro_costo]],tblCECO[codigo],tblCECO[area],"(sin catálogo)"))</f>
        <v/>
      </c>
      <c r="Y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" s="5">
        <f>IF(tblOrdenes[[#This Row],[centro_costo]]="","",_xlfn.XLOOKUP(tblOrdenes[[#This Row],[centro_costo]],tblCECO[codigo],tblCECO[coordinador],"(sin catálogo)"))</f>
        <v/>
      </c>
      <c r="AA15" s="5">
        <f>IF(tblOrdenes[[#This Row],[puesto_trabajo]]="","",_xlfn.XLOOKUP(tblOrdenes[[#This Row],[puesto_trabajo]],tblPuestos[codigo],tblPuestos[especialidad],"(sin catálogo)"))</f>
        <v/>
      </c>
      <c r="AB15" s="5">
        <f>IF(tblOrdenes[[#This Row],[cod_actividad]]="","",_xlfn.XLOOKUP(tblOrdenes[[#This Row],[cod_actividad]],tblActividades[codigo],tblActividades[descripcion],"(sin catálogo)"))</f>
        <v/>
      </c>
      <c r="AC15" s="20">
        <f>IF(tblOrdenes[[#This Row],[fecha_inicio]]="","",TODAY()-tblOrdenes[[#This Row],[fecha_inicio]])</f>
        <v/>
      </c>
      <c r="AD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" s="5">
        <f>IF(tblOrdenes[[#This Row],[backlog_habiles]]="","",IF(tblOrdenes[[#This Row],[backlog_habiles]]&lt;0,"FUTURO",IF(tblOrdenes[[#This Row],[backlog_habiles]]&gt;p_dias_backlog_max,"BACKLOG","MES CORRIENTE")))</f>
        <v/>
      </c>
      <c r="AF15" s="5">
        <f>IF(tblOrdenes[[#This Row],[backlog_habiles]]="",FALSE,AND(tblOrdenes[[#This Row],[backlog_habiles]]&gt;p_dias_backlog_min,tblOrdenes[[#This Row],[backlog_habiles]]&lt;=p_dias_backlog_max))</f>
        <v/>
      </c>
      <c r="AG15" s="4" t="inlineStr"/>
      <c r="AH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" s="18">
        <f>IF(tblOrdenes[[#This Row],[orden]]="","",_xlfn.XLOOKUP(tblOrdenes[[#This Row],[id_operacion]],tblEjecucion[id_operacion],tblEjecucion[precio],0))</f>
        <v/>
      </c>
      <c r="AL15" s="18">
        <f>IF(tblOrdenes[[#This Row],[orden]]="","",MAX(0,_xlfn.XLOOKUP(tblOrdenes[[#This Row],[id_operacion]],tblEjecucion[id_operacion],tblEjecucion[costo_plan_total],0)-tblOrdenes[[#This Row],[costo_servicio]]))</f>
        <v/>
      </c>
      <c r="AM15" s="18">
        <f>IF(tblOrdenes[[#This Row],[orden]]="","",tblOrdenes[[#This Row],[costo_servicio]]+tblOrdenes[[#This Row],[costo_materiales]])</f>
        <v/>
      </c>
      <c r="AN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" s="4" t="inlineStr">
        <is>
          <t>PT-CALIENTE</t>
        </is>
      </c>
      <c r="AP15" s="4" t="inlineStr">
        <is>
          <t>LOTO</t>
        </is>
      </c>
      <c r="AQ15" s="4" t="inlineStr"/>
      <c r="AR15" s="5">
        <f>IF(tblOrdenes[[#This Row],[link_checklist]]="","",HYPERLINK(p_ruta_base_checklists&amp;tblOrdenes[[#This Row],[link_checklist]],"abrir"))</f>
        <v/>
      </c>
      <c r="AS15" s="4" t="inlineStr"/>
      <c r="AT15" s="5">
        <f>IF(tblOrdenes[[#This Row],[orden]]="","",tblOrdenes[[#This Row],[orden]]&amp;IF(tblOrdenes[[#This Row],[operacion]]="","0010",tblOrdenes[[#This Row],[operacion]]))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TIPO-P1</t>
        </is>
      </c>
      <c r="J16" s="22" t="n">
        <v>46232</v>
      </c>
      <c r="K16" s="5" t="n">
        <v>8</v>
      </c>
      <c r="L16" s="18" t="n">
        <v>200</v>
      </c>
      <c r="M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5">
        <f>IF(tblOrdenes[[#This Row],[fecha_inicio]]="","",YEAR(tblOrdenes[[#This Row],[fecha_inicio]]))</f>
        <v/>
      </c>
      <c r="Q16" s="5">
        <f>IF(tblOrdenes[[#This Row],[fecha_inicio]]="","",MONTH(tblOrdenes[[#This Row],[fecha_inicio]]))</f>
        <v/>
      </c>
      <c r="R16" s="5">
        <f>IF(tblOrdenes[[#This Row],[fecha_inicio]]="","",tblOrdenes[[#This Row],[anio]]&amp;"-"&amp;TEXT(tblOrdenes[[#This Row],[mes]],"00"))</f>
        <v/>
      </c>
      <c r="S16" s="5">
        <f>IF(tblOrdenes[[#This Row],[fecha_inicio]]="","",INDEX(lista_dias,WEEKDAY(tblOrdenes[[#This Row],[fecha_inicio]],2)))</f>
        <v/>
      </c>
      <c r="T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" s="5">
        <f>IF(tblOrdenes[[#This Row],[tipo_ot]]="","",_xlfn.XLOOKUP(tblOrdenes[[#This Row],[tipo_ot]],tblTiposOT[codigo],tblTiposOT[clasificacion],"sin_clasificar"))</f>
        <v/>
      </c>
      <c r="V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" s="5">
        <f>IF(tblOrdenes[[#This Row],[centro_costo]]="","",_xlfn.XLOOKUP(tblOrdenes[[#This Row],[centro_costo]],tblCECO[codigo],tblCECO[linea],"(sin catálogo)"))</f>
        <v/>
      </c>
      <c r="X16" s="5">
        <f>IF(tblOrdenes[[#This Row],[centro_costo]]="","",_xlfn.XLOOKUP(tblOrdenes[[#This Row],[centro_costo]],tblCECO[codigo],tblCECO[area],"(sin catálogo)"))</f>
        <v/>
      </c>
      <c r="Y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" s="5">
        <f>IF(tblOrdenes[[#This Row],[centro_costo]]="","",_xlfn.XLOOKUP(tblOrdenes[[#This Row],[centro_costo]],tblCECO[codigo],tblCECO[coordinador],"(sin catálogo)"))</f>
        <v/>
      </c>
      <c r="AA16" s="5">
        <f>IF(tblOrdenes[[#This Row],[puesto_trabajo]]="","",_xlfn.XLOOKUP(tblOrdenes[[#This Row],[puesto_trabajo]],tblPuestos[codigo],tblPuestos[especialidad],"(sin catálogo)"))</f>
        <v/>
      </c>
      <c r="AB16" s="5">
        <f>IF(tblOrdenes[[#This Row],[cod_actividad]]="","",_xlfn.XLOOKUP(tblOrdenes[[#This Row],[cod_actividad]],tblActividades[codigo],tblActividades[descripcion],"(sin catálogo)"))</f>
        <v/>
      </c>
      <c r="AC16" s="20">
        <f>IF(tblOrdenes[[#This Row],[fecha_inicio]]="","",TODAY()-tblOrdenes[[#This Row],[fecha_inicio]])</f>
        <v/>
      </c>
      <c r="AD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" s="5">
        <f>IF(tblOrdenes[[#This Row],[backlog_habiles]]="","",IF(tblOrdenes[[#This Row],[backlog_habiles]]&lt;0,"FUTURO",IF(tblOrdenes[[#This Row],[backlog_habiles]]&gt;p_dias_backlog_max,"BACKLOG","MES CORRIENTE")))</f>
        <v/>
      </c>
      <c r="AF16" s="5">
        <f>IF(tblOrdenes[[#This Row],[backlog_habiles]]="",FALSE,AND(tblOrdenes[[#This Row],[backlog_habiles]]&gt;p_dias_backlog_min,tblOrdenes[[#This Row],[backlog_habiles]]&lt;=p_dias_backlog_max))</f>
        <v/>
      </c>
      <c r="AG16" s="4" t="inlineStr">
        <is>
          <t>Carlos Pérez</t>
        </is>
      </c>
      <c r="AH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" s="18">
        <f>IF(tblOrdenes[[#This Row],[orden]]="","",_xlfn.XLOOKUP(tblOrdenes[[#This Row],[id_operacion]],tblEjecucion[id_operacion],tblEjecucion[precio],0))</f>
        <v/>
      </c>
      <c r="AL16" s="18">
        <f>IF(tblOrdenes[[#This Row],[orden]]="","",MAX(0,_xlfn.XLOOKUP(tblOrdenes[[#This Row],[id_operacion]],tblEjecucion[id_operacion],tblEjecucion[costo_plan_total],0)-tblOrdenes[[#This Row],[costo_servicio]]))</f>
        <v/>
      </c>
      <c r="AM16" s="18">
        <f>IF(tblOrdenes[[#This Row],[orden]]="","",tblOrdenes[[#This Row],[costo_servicio]]+tblOrdenes[[#This Row],[costo_materiales]])</f>
        <v/>
      </c>
      <c r="AN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" s="4" t="inlineStr"/>
      <c r="AP16" s="4" t="inlineStr"/>
      <c r="AQ16" s="4" t="inlineStr">
        <is>
          <t>ACT-02.pdf</t>
        </is>
      </c>
      <c r="AR16" s="5">
        <f>IF(tblOrdenes[[#This Row],[link_checklist]]="","",HYPERLINK(p_ruta_base_checklists&amp;tblOrdenes[[#This Row],[link_checklist]],"abrir"))</f>
        <v/>
      </c>
      <c r="AS16" s="4" t="inlineStr">
        <is>
          <t>Ajuste 8 → 12 h en hoja AJUSTES</t>
        </is>
      </c>
      <c r="AT16" s="5">
        <f>IF(tblOrdenes[[#This Row],[orden]]="","",tblOrdenes[[#This Row],[orden]]&amp;IF(tblOrdenes[[#This Row],[operacion]]="","0010",tblOrdenes[[#This Row],[operacion]]))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TIPO-P2</t>
        </is>
      </c>
      <c r="J17" s="22" t="n">
        <v>46233</v>
      </c>
      <c r="K17" s="5" t="n">
        <v>8</v>
      </c>
      <c r="L17" s="18" t="n">
        <v>200</v>
      </c>
      <c r="M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5">
        <f>IF(tblOrdenes[[#This Row],[fecha_inicio]]="","",YEAR(tblOrdenes[[#This Row],[fecha_inicio]]))</f>
        <v/>
      </c>
      <c r="Q17" s="5">
        <f>IF(tblOrdenes[[#This Row],[fecha_inicio]]="","",MONTH(tblOrdenes[[#This Row],[fecha_inicio]]))</f>
        <v/>
      </c>
      <c r="R17" s="5">
        <f>IF(tblOrdenes[[#This Row],[fecha_inicio]]="","",tblOrdenes[[#This Row],[anio]]&amp;"-"&amp;TEXT(tblOrdenes[[#This Row],[mes]],"00"))</f>
        <v/>
      </c>
      <c r="S17" s="5">
        <f>IF(tblOrdenes[[#This Row],[fecha_inicio]]="","",INDEX(lista_dias,WEEKDAY(tblOrdenes[[#This Row],[fecha_inicio]],2)))</f>
        <v/>
      </c>
      <c r="T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" s="5">
        <f>IF(tblOrdenes[[#This Row],[tipo_ot]]="","",_xlfn.XLOOKUP(tblOrdenes[[#This Row],[tipo_ot]],tblTiposOT[codigo],tblTiposOT[clasificacion],"sin_clasificar"))</f>
        <v/>
      </c>
      <c r="V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" s="5">
        <f>IF(tblOrdenes[[#This Row],[centro_costo]]="","",_xlfn.XLOOKUP(tblOrdenes[[#This Row],[centro_costo]],tblCECO[codigo],tblCECO[linea],"(sin catálogo)"))</f>
        <v/>
      </c>
      <c r="X17" s="5">
        <f>IF(tblOrdenes[[#This Row],[centro_costo]]="","",_xlfn.XLOOKUP(tblOrdenes[[#This Row],[centro_costo]],tblCECO[codigo],tblCECO[area],"(sin catálogo)"))</f>
        <v/>
      </c>
      <c r="Y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" s="5">
        <f>IF(tblOrdenes[[#This Row],[centro_costo]]="","",_xlfn.XLOOKUP(tblOrdenes[[#This Row],[centro_costo]],tblCECO[codigo],tblCECO[coordinador],"(sin catálogo)"))</f>
        <v/>
      </c>
      <c r="AA17" s="5">
        <f>IF(tblOrdenes[[#This Row],[puesto_trabajo]]="","",_xlfn.XLOOKUP(tblOrdenes[[#This Row],[puesto_trabajo]],tblPuestos[codigo],tblPuestos[especialidad],"(sin catálogo)"))</f>
        <v/>
      </c>
      <c r="AB17" s="5">
        <f>IF(tblOrdenes[[#This Row],[cod_actividad]]="","",_xlfn.XLOOKUP(tblOrdenes[[#This Row],[cod_actividad]],tblActividades[codigo],tblActividades[descripcion],"(sin catálogo)"))</f>
        <v/>
      </c>
      <c r="AC17" s="20">
        <f>IF(tblOrdenes[[#This Row],[fecha_inicio]]="","",TODAY()-tblOrdenes[[#This Row],[fecha_inicio]])</f>
        <v/>
      </c>
      <c r="AD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" s="5">
        <f>IF(tblOrdenes[[#This Row],[backlog_habiles]]="","",IF(tblOrdenes[[#This Row],[backlog_habiles]]&lt;0,"FUTURO",IF(tblOrdenes[[#This Row],[backlog_habiles]]&gt;p_dias_backlog_max,"BACKLOG","MES CORRIENTE")))</f>
        <v/>
      </c>
      <c r="AF17" s="5">
        <f>IF(tblOrdenes[[#This Row],[backlog_habiles]]="",FALSE,AND(tblOrdenes[[#This Row],[backlog_habiles]]&gt;p_dias_backlog_min,tblOrdenes[[#This Row],[backlog_habiles]]&lt;=p_dias_backlog_max))</f>
        <v/>
      </c>
      <c r="AG17" s="4" t="inlineStr">
        <is>
          <t>Francisco Ramírez</t>
        </is>
      </c>
      <c r="AH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" s="18">
        <f>IF(tblOrdenes[[#This Row],[orden]]="","",_xlfn.XLOOKUP(tblOrdenes[[#This Row],[id_operacion]],tblEjecucion[id_operacion],tblEjecucion[precio],0))</f>
        <v/>
      </c>
      <c r="AL17" s="18">
        <f>IF(tblOrdenes[[#This Row],[orden]]="","",MAX(0,_xlfn.XLOOKUP(tblOrdenes[[#This Row],[id_operacion]],tblEjecucion[id_operacion],tblEjecucion[costo_plan_total],0)-tblOrdenes[[#This Row],[costo_servicio]]))</f>
        <v/>
      </c>
      <c r="AM17" s="18">
        <f>IF(tblOrdenes[[#This Row],[orden]]="","",tblOrdenes[[#This Row],[costo_servicio]]+tblOrdenes[[#This Row],[costo_materiales]])</f>
        <v/>
      </c>
      <c r="AN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" s="4" t="inlineStr"/>
      <c r="AP17" s="4" t="inlineStr"/>
      <c r="AQ17" s="4" t="inlineStr">
        <is>
          <t>ACT-04.pdf</t>
        </is>
      </c>
      <c r="AR17" s="5">
        <f>IF(tblOrdenes[[#This Row],[link_checklist]]="","",HYPERLINK(p_ruta_base_checklists&amp;tblOrdenes[[#This Row],[link_checklist]],"abrir"))</f>
        <v/>
      </c>
      <c r="AS17" s="4" t="inlineStr"/>
      <c r="AT17" s="5">
        <f>IF(tblOrdenes[[#This Row],[orden]]="","",tblOrdenes[[#This Row],[orden]]&amp;IF(tblOrdenes[[#This Row],[operacion]]="","0010",tblOrdenes[[#This Row],[operacion]]))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TIPO-P1</t>
        </is>
      </c>
      <c r="J18" s="22" t="n">
        <v>46234</v>
      </c>
      <c r="K18" s="5" t="n">
        <v>6</v>
      </c>
      <c r="L18" s="18" t="n">
        <v>150</v>
      </c>
      <c r="M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5">
        <f>IF(tblOrdenes[[#This Row],[fecha_inicio]]="","",YEAR(tblOrdenes[[#This Row],[fecha_inicio]]))</f>
        <v/>
      </c>
      <c r="Q18" s="5">
        <f>IF(tblOrdenes[[#This Row],[fecha_inicio]]="","",MONTH(tblOrdenes[[#This Row],[fecha_inicio]]))</f>
        <v/>
      </c>
      <c r="R18" s="5">
        <f>IF(tblOrdenes[[#This Row],[fecha_inicio]]="","",tblOrdenes[[#This Row],[anio]]&amp;"-"&amp;TEXT(tblOrdenes[[#This Row],[mes]],"00"))</f>
        <v/>
      </c>
      <c r="S18" s="5">
        <f>IF(tblOrdenes[[#This Row],[fecha_inicio]]="","",INDEX(lista_dias,WEEKDAY(tblOrdenes[[#This Row],[fecha_inicio]],2)))</f>
        <v/>
      </c>
      <c r="T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" s="5">
        <f>IF(tblOrdenes[[#This Row],[tipo_ot]]="","",_xlfn.XLOOKUP(tblOrdenes[[#This Row],[tipo_ot]],tblTiposOT[codigo],tblTiposOT[clasificacion],"sin_clasificar"))</f>
        <v/>
      </c>
      <c r="V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" s="5">
        <f>IF(tblOrdenes[[#This Row],[centro_costo]]="","",_xlfn.XLOOKUP(tblOrdenes[[#This Row],[centro_costo]],tblCECO[codigo],tblCECO[linea],"(sin catálogo)"))</f>
        <v/>
      </c>
      <c r="X18" s="5">
        <f>IF(tblOrdenes[[#This Row],[centro_costo]]="","",_xlfn.XLOOKUP(tblOrdenes[[#This Row],[centro_costo]],tblCECO[codigo],tblCECO[area],"(sin catálogo)"))</f>
        <v/>
      </c>
      <c r="Y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" s="5">
        <f>IF(tblOrdenes[[#This Row],[centro_costo]]="","",_xlfn.XLOOKUP(tblOrdenes[[#This Row],[centro_costo]],tblCECO[codigo],tblCECO[coordinador],"(sin catálogo)"))</f>
        <v/>
      </c>
      <c r="AA18" s="5">
        <f>IF(tblOrdenes[[#This Row],[puesto_trabajo]]="","",_xlfn.XLOOKUP(tblOrdenes[[#This Row],[puesto_trabajo]],tblPuestos[codigo],tblPuestos[especialidad],"(sin catálogo)"))</f>
        <v/>
      </c>
      <c r="AB18" s="5">
        <f>IF(tblOrdenes[[#This Row],[cod_actividad]]="","",_xlfn.XLOOKUP(tblOrdenes[[#This Row],[cod_actividad]],tblActividades[codigo],tblActividades[descripcion],"(sin catálogo)"))</f>
        <v/>
      </c>
      <c r="AC18" s="20">
        <f>IF(tblOrdenes[[#This Row],[fecha_inicio]]="","",TODAY()-tblOrdenes[[#This Row],[fecha_inicio]])</f>
        <v/>
      </c>
      <c r="AD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" s="5">
        <f>IF(tblOrdenes[[#This Row],[backlog_habiles]]="","",IF(tblOrdenes[[#This Row],[backlog_habiles]]&lt;0,"FUTURO",IF(tblOrdenes[[#This Row],[backlog_habiles]]&gt;p_dias_backlog_max,"BACKLOG","MES CORRIENTE")))</f>
        <v/>
      </c>
      <c r="AF18" s="5">
        <f>IF(tblOrdenes[[#This Row],[backlog_habiles]]="",FALSE,AND(tblOrdenes[[#This Row],[backlog_habiles]]&gt;p_dias_backlog_min,tblOrdenes[[#This Row],[backlog_habiles]]&lt;=p_dias_backlog_max))</f>
        <v/>
      </c>
      <c r="AG18" s="4" t="inlineStr">
        <is>
          <t>Carlos Pérez</t>
        </is>
      </c>
      <c r="AH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" s="18">
        <f>IF(tblOrdenes[[#This Row],[orden]]="","",_xlfn.XLOOKUP(tblOrdenes[[#This Row],[id_operacion]],tblEjecucion[id_operacion],tblEjecucion[precio],0))</f>
        <v/>
      </c>
      <c r="AL18" s="18">
        <f>IF(tblOrdenes[[#This Row],[orden]]="","",MAX(0,_xlfn.XLOOKUP(tblOrdenes[[#This Row],[id_operacion]],tblEjecucion[id_operacion],tblEjecucion[costo_plan_total],0)-tblOrdenes[[#This Row],[costo_servicio]]))</f>
        <v/>
      </c>
      <c r="AM18" s="18">
        <f>IF(tblOrdenes[[#This Row],[orden]]="","",tblOrdenes[[#This Row],[costo_servicio]]+tblOrdenes[[#This Row],[costo_materiales]])</f>
        <v/>
      </c>
      <c r="AN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" s="4" t="inlineStr"/>
      <c r="AP18" s="4" t="inlineStr"/>
      <c r="AQ18" s="4" t="inlineStr">
        <is>
          <t>ACT-01.pdf</t>
        </is>
      </c>
      <c r="AR18" s="5">
        <f>IF(tblOrdenes[[#This Row],[link_checklist]]="","",HYPERLINK(p_ruta_base_checklists&amp;tblOrdenes[[#This Row],[link_checklist]],"abrir"))</f>
        <v/>
      </c>
      <c r="AS18" s="4" t="inlineStr"/>
      <c r="AT18" s="5">
        <f>IF(tblOrdenes[[#This Row],[orden]]="","",tblOrdenes[[#This Row],[orden]]&amp;IF(tblOrdenes[[#This Row],[operacion]]="","0010",tblOrdenes[[#This Row],[operacion]]))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22" t="n">
        <v>46230</v>
      </c>
      <c r="K19" s="5" t="n">
        <v>10</v>
      </c>
      <c r="L19" s="18" t="n">
        <v>250</v>
      </c>
      <c r="M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5">
        <f>IF(tblOrdenes[[#This Row],[fecha_inicio]]="","",YEAR(tblOrdenes[[#This Row],[fecha_inicio]]))</f>
        <v/>
      </c>
      <c r="Q19" s="5">
        <f>IF(tblOrdenes[[#This Row],[fecha_inicio]]="","",MONTH(tblOrdenes[[#This Row],[fecha_inicio]]))</f>
        <v/>
      </c>
      <c r="R19" s="5">
        <f>IF(tblOrdenes[[#This Row],[fecha_inicio]]="","",tblOrdenes[[#This Row],[anio]]&amp;"-"&amp;TEXT(tblOrdenes[[#This Row],[mes]],"00"))</f>
        <v/>
      </c>
      <c r="S19" s="5">
        <f>IF(tblOrdenes[[#This Row],[fecha_inicio]]="","",INDEX(lista_dias,WEEKDAY(tblOrdenes[[#This Row],[fecha_inicio]],2)))</f>
        <v/>
      </c>
      <c r="T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" s="5">
        <f>IF(tblOrdenes[[#This Row],[tipo_ot]]="","",_xlfn.XLOOKUP(tblOrdenes[[#This Row],[tipo_ot]],tblTiposOT[codigo],tblTiposOT[clasificacion],"sin_clasificar"))</f>
        <v/>
      </c>
      <c r="V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" s="5">
        <f>IF(tblOrdenes[[#This Row],[centro_costo]]="","",_xlfn.XLOOKUP(tblOrdenes[[#This Row],[centro_costo]],tblCECO[codigo],tblCECO[linea],"(sin catálogo)"))</f>
        <v/>
      </c>
      <c r="X19" s="5">
        <f>IF(tblOrdenes[[#This Row],[centro_costo]]="","",_xlfn.XLOOKUP(tblOrdenes[[#This Row],[centro_costo]],tblCECO[codigo],tblCECO[area],"(sin catálogo)"))</f>
        <v/>
      </c>
      <c r="Y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" s="5">
        <f>IF(tblOrdenes[[#This Row],[centro_costo]]="","",_xlfn.XLOOKUP(tblOrdenes[[#This Row],[centro_costo]],tblCECO[codigo],tblCECO[coordinador],"(sin catálogo)"))</f>
        <v/>
      </c>
      <c r="AA19" s="5">
        <f>IF(tblOrdenes[[#This Row],[puesto_trabajo]]="","",_xlfn.XLOOKUP(tblOrdenes[[#This Row],[puesto_trabajo]],tblPuestos[codigo],tblPuestos[especialidad],"(sin catálogo)"))</f>
        <v/>
      </c>
      <c r="AB19" s="5">
        <f>IF(tblOrdenes[[#This Row],[cod_actividad]]="","",_xlfn.XLOOKUP(tblOrdenes[[#This Row],[cod_actividad]],tblActividades[codigo],tblActividades[descripcion],"(sin catálogo)"))</f>
        <v/>
      </c>
      <c r="AC19" s="20">
        <f>IF(tblOrdenes[[#This Row],[fecha_inicio]]="","",TODAY()-tblOrdenes[[#This Row],[fecha_inicio]])</f>
        <v/>
      </c>
      <c r="AD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" s="5">
        <f>IF(tblOrdenes[[#This Row],[backlog_habiles]]="","",IF(tblOrdenes[[#This Row],[backlog_habiles]]&lt;0,"FUTURO",IF(tblOrdenes[[#This Row],[backlog_habiles]]&gt;p_dias_backlog_max,"BACKLOG","MES CORRIENTE")))</f>
        <v/>
      </c>
      <c r="AF19" s="5">
        <f>IF(tblOrdenes[[#This Row],[backlog_habiles]]="",FALSE,AND(tblOrdenes[[#This Row],[backlog_habiles]]&gt;p_dias_backlog_min,tblOrdenes[[#This Row],[backlog_habiles]]&lt;=p_dias_backlog_max))</f>
        <v/>
      </c>
      <c r="AG19" s="4" t="inlineStr">
        <is>
          <t>María Gómez</t>
        </is>
      </c>
      <c r="AH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" s="18">
        <f>IF(tblOrdenes[[#This Row],[orden]]="","",_xlfn.XLOOKUP(tblOrdenes[[#This Row],[id_operacion]],tblEjecucion[id_operacion],tblEjecucion[precio],0))</f>
        <v/>
      </c>
      <c r="AL19" s="18">
        <f>IF(tblOrdenes[[#This Row],[orden]]="","",MAX(0,_xlfn.XLOOKUP(tblOrdenes[[#This Row],[id_operacion]],tblEjecucion[id_operacion],tblEjecucion[costo_plan_total],0)-tblOrdenes[[#This Row],[costo_servicio]]))</f>
        <v/>
      </c>
      <c r="AM19" s="18">
        <f>IF(tblOrdenes[[#This Row],[orden]]="","",tblOrdenes[[#This Row],[costo_servicio]]+tblOrdenes[[#This Row],[costo_materiales]])</f>
        <v/>
      </c>
      <c r="AN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" s="4" t="inlineStr"/>
      <c r="AP19" s="4" t="inlineStr"/>
      <c r="AQ19" s="4" t="inlineStr">
        <is>
          <t>ACT-02.pdf</t>
        </is>
      </c>
      <c r="AR19" s="5">
        <f>IF(tblOrdenes[[#This Row],[link_checklist]]="","",HYPERLINK(p_ruta_base_checklists&amp;tblOrdenes[[#This Row],[link_checklist]],"abrir"))</f>
        <v/>
      </c>
      <c r="AS19" s="4" t="inlineStr"/>
      <c r="AT19" s="5">
        <f>IF(tblOrdenes[[#This Row],[orden]]="","",tblOrdenes[[#This Row],[orden]]&amp;IF(tblOrdenes[[#This Row],[operacion]]="","0010",tblOrdenes[[#This Row],[operacion]]))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22" t="n">
        <v>46231</v>
      </c>
      <c r="K20" s="5" t="n">
        <v>8</v>
      </c>
      <c r="L20" s="18" t="n">
        <v>200</v>
      </c>
      <c r="M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5">
        <f>IF(tblOrdenes[[#This Row],[fecha_inicio]]="","",YEAR(tblOrdenes[[#This Row],[fecha_inicio]]))</f>
        <v/>
      </c>
      <c r="Q20" s="5">
        <f>IF(tblOrdenes[[#This Row],[fecha_inicio]]="","",MONTH(tblOrdenes[[#This Row],[fecha_inicio]]))</f>
        <v/>
      </c>
      <c r="R20" s="5">
        <f>IF(tblOrdenes[[#This Row],[fecha_inicio]]="","",tblOrdenes[[#This Row],[anio]]&amp;"-"&amp;TEXT(tblOrdenes[[#This Row],[mes]],"00"))</f>
        <v/>
      </c>
      <c r="S20" s="5">
        <f>IF(tblOrdenes[[#This Row],[fecha_inicio]]="","",INDEX(lista_dias,WEEKDAY(tblOrdenes[[#This Row],[fecha_inicio]],2)))</f>
        <v/>
      </c>
      <c r="T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" s="5">
        <f>IF(tblOrdenes[[#This Row],[tipo_ot]]="","",_xlfn.XLOOKUP(tblOrdenes[[#This Row],[tipo_ot]],tblTiposOT[codigo],tblTiposOT[clasificacion],"sin_clasificar"))</f>
        <v/>
      </c>
      <c r="V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" s="5">
        <f>IF(tblOrdenes[[#This Row],[centro_costo]]="","",_xlfn.XLOOKUP(tblOrdenes[[#This Row],[centro_costo]],tblCECO[codigo],tblCECO[linea],"(sin catálogo)"))</f>
        <v/>
      </c>
      <c r="X20" s="5">
        <f>IF(tblOrdenes[[#This Row],[centro_costo]]="","",_xlfn.XLOOKUP(tblOrdenes[[#This Row],[centro_costo]],tblCECO[codigo],tblCECO[area],"(sin catálogo)"))</f>
        <v/>
      </c>
      <c r="Y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" s="5">
        <f>IF(tblOrdenes[[#This Row],[centro_costo]]="","",_xlfn.XLOOKUP(tblOrdenes[[#This Row],[centro_costo]],tblCECO[codigo],tblCECO[coordinador],"(sin catálogo)"))</f>
        <v/>
      </c>
      <c r="AA20" s="5">
        <f>IF(tblOrdenes[[#This Row],[puesto_trabajo]]="","",_xlfn.XLOOKUP(tblOrdenes[[#This Row],[puesto_trabajo]],tblPuestos[codigo],tblPuestos[especialidad],"(sin catálogo)"))</f>
        <v/>
      </c>
      <c r="AB20" s="5">
        <f>IF(tblOrdenes[[#This Row],[cod_actividad]]="","",_xlfn.XLOOKUP(tblOrdenes[[#This Row],[cod_actividad]],tblActividades[codigo],tblActividades[descripcion],"(sin catálogo)"))</f>
        <v/>
      </c>
      <c r="AC20" s="20">
        <f>IF(tblOrdenes[[#This Row],[fecha_inicio]]="","",TODAY()-tblOrdenes[[#This Row],[fecha_inicio]])</f>
        <v/>
      </c>
      <c r="AD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" s="5">
        <f>IF(tblOrdenes[[#This Row],[backlog_habiles]]="","",IF(tblOrdenes[[#This Row],[backlog_habiles]]&lt;0,"FUTURO",IF(tblOrdenes[[#This Row],[backlog_habiles]]&gt;p_dias_backlog_max,"BACKLOG","MES CORRIENTE")))</f>
        <v/>
      </c>
      <c r="AF20" s="5">
        <f>IF(tblOrdenes[[#This Row],[backlog_habiles]]="",FALSE,AND(tblOrdenes[[#This Row],[backlog_habiles]]&gt;p_dias_backlog_min,tblOrdenes[[#This Row],[backlog_habiles]]&lt;=p_dias_backlog_max))</f>
        <v/>
      </c>
      <c r="AG20" s="4" t="inlineStr">
        <is>
          <t>Luis Rodríguez</t>
        </is>
      </c>
      <c r="AH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" s="18">
        <f>IF(tblOrdenes[[#This Row],[orden]]="","",_xlfn.XLOOKUP(tblOrdenes[[#This Row],[id_operacion]],tblEjecucion[id_operacion],tblEjecucion[precio],0))</f>
        <v/>
      </c>
      <c r="AL20" s="18">
        <f>IF(tblOrdenes[[#This Row],[orden]]="","",MAX(0,_xlfn.XLOOKUP(tblOrdenes[[#This Row],[id_operacion]],tblEjecucion[id_operacion],tblEjecucion[costo_plan_total],0)-tblOrdenes[[#This Row],[costo_servicio]]))</f>
        <v/>
      </c>
      <c r="AM20" s="18">
        <f>IF(tblOrdenes[[#This Row],[orden]]="","",tblOrdenes[[#This Row],[costo_servicio]]+tblOrdenes[[#This Row],[costo_materiales]])</f>
        <v/>
      </c>
      <c r="AN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" s="4" t="inlineStr"/>
      <c r="AP20" s="4" t="inlineStr"/>
      <c r="AQ20" s="4" t="inlineStr">
        <is>
          <t>ACT-04.pdf</t>
        </is>
      </c>
      <c r="AR20" s="5">
        <f>IF(tblOrdenes[[#This Row],[link_checklist]]="","",HYPERLINK(p_ruta_base_checklists&amp;tblOrdenes[[#This Row],[link_checklist]],"abrir"))</f>
        <v/>
      </c>
      <c r="AS20" s="4" t="inlineStr"/>
      <c r="AT20" s="5">
        <f>IF(tblOrdenes[[#This Row],[orden]]="","",tblOrdenes[[#This Row],[orden]]&amp;IF(tblOrdenes[[#This Row],[operacion]]="","0010",tblOrdenes[[#This Row],[operacion]]))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22" t="n">
        <v>46232</v>
      </c>
      <c r="K21" s="5" t="n">
        <v>6</v>
      </c>
      <c r="L21" s="18" t="n">
        <v>150</v>
      </c>
      <c r="M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5">
        <f>IF(tblOrdenes[[#This Row],[fecha_inicio]]="","",YEAR(tblOrdenes[[#This Row],[fecha_inicio]]))</f>
        <v/>
      </c>
      <c r="Q21" s="5">
        <f>IF(tblOrdenes[[#This Row],[fecha_inicio]]="","",MONTH(tblOrdenes[[#This Row],[fecha_inicio]]))</f>
        <v/>
      </c>
      <c r="R21" s="5">
        <f>IF(tblOrdenes[[#This Row],[fecha_inicio]]="","",tblOrdenes[[#This Row],[anio]]&amp;"-"&amp;TEXT(tblOrdenes[[#This Row],[mes]],"00"))</f>
        <v/>
      </c>
      <c r="S21" s="5">
        <f>IF(tblOrdenes[[#This Row],[fecha_inicio]]="","",INDEX(lista_dias,WEEKDAY(tblOrdenes[[#This Row],[fecha_inicio]],2)))</f>
        <v/>
      </c>
      <c r="T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" s="5">
        <f>IF(tblOrdenes[[#This Row],[tipo_ot]]="","",_xlfn.XLOOKUP(tblOrdenes[[#This Row],[tipo_ot]],tblTiposOT[codigo],tblTiposOT[clasificacion],"sin_clasificar"))</f>
        <v/>
      </c>
      <c r="V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" s="5">
        <f>IF(tblOrdenes[[#This Row],[centro_costo]]="","",_xlfn.XLOOKUP(tblOrdenes[[#This Row],[centro_costo]],tblCECO[codigo],tblCECO[linea],"(sin catálogo)"))</f>
        <v/>
      </c>
      <c r="X21" s="5">
        <f>IF(tblOrdenes[[#This Row],[centro_costo]]="","",_xlfn.XLOOKUP(tblOrdenes[[#This Row],[centro_costo]],tblCECO[codigo],tblCECO[area],"(sin catálogo)"))</f>
        <v/>
      </c>
      <c r="Y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" s="5">
        <f>IF(tblOrdenes[[#This Row],[centro_costo]]="","",_xlfn.XLOOKUP(tblOrdenes[[#This Row],[centro_costo]],tblCECO[codigo],tblCECO[coordinador],"(sin catálogo)"))</f>
        <v/>
      </c>
      <c r="AA21" s="5">
        <f>IF(tblOrdenes[[#This Row],[puesto_trabajo]]="","",_xlfn.XLOOKUP(tblOrdenes[[#This Row],[puesto_trabajo]],tblPuestos[codigo],tblPuestos[especialidad],"(sin catálogo)"))</f>
        <v/>
      </c>
      <c r="AB21" s="5">
        <f>IF(tblOrdenes[[#This Row],[cod_actividad]]="","",_xlfn.XLOOKUP(tblOrdenes[[#This Row],[cod_actividad]],tblActividades[codigo],tblActividades[descripcion],"(sin catálogo)"))</f>
        <v/>
      </c>
      <c r="AC21" s="20">
        <f>IF(tblOrdenes[[#This Row],[fecha_inicio]]="","",TODAY()-tblOrdenes[[#This Row],[fecha_inicio]])</f>
        <v/>
      </c>
      <c r="AD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" s="5">
        <f>IF(tblOrdenes[[#This Row],[backlog_habiles]]="","",IF(tblOrdenes[[#This Row],[backlog_habiles]]&lt;0,"FUTURO",IF(tblOrdenes[[#This Row],[backlog_habiles]]&gt;p_dias_backlog_max,"BACKLOG","MES CORRIENTE")))</f>
        <v/>
      </c>
      <c r="AF21" s="5">
        <f>IF(tblOrdenes[[#This Row],[backlog_habiles]]="",FALSE,AND(tblOrdenes[[#This Row],[backlog_habiles]]&gt;p_dias_backlog_min,tblOrdenes[[#This Row],[backlog_habiles]]&lt;=p_dias_backlog_max))</f>
        <v/>
      </c>
      <c r="AG21" s="4" t="inlineStr">
        <is>
          <t>Miguel Martínez</t>
        </is>
      </c>
      <c r="AH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" s="18">
        <f>IF(tblOrdenes[[#This Row],[orden]]="","",_xlfn.XLOOKUP(tblOrdenes[[#This Row],[id_operacion]],tblEjecucion[id_operacion],tblEjecucion[precio],0))</f>
        <v/>
      </c>
      <c r="AL21" s="18">
        <f>IF(tblOrdenes[[#This Row],[orden]]="","",MAX(0,_xlfn.XLOOKUP(tblOrdenes[[#This Row],[id_operacion]],tblEjecucion[id_operacion],tblEjecucion[costo_plan_total],0)-tblOrdenes[[#This Row],[costo_servicio]]))</f>
        <v/>
      </c>
      <c r="AM21" s="18">
        <f>IF(tblOrdenes[[#This Row],[orden]]="","",tblOrdenes[[#This Row],[costo_servicio]]+tblOrdenes[[#This Row],[costo_materiales]])</f>
        <v/>
      </c>
      <c r="AN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" s="4" t="inlineStr"/>
      <c r="AP21" s="4" t="inlineStr"/>
      <c r="AQ21" s="4" t="inlineStr">
        <is>
          <t>ACT-01.pdf</t>
        </is>
      </c>
      <c r="AR21" s="5">
        <f>IF(tblOrdenes[[#This Row],[link_checklist]]="","",HYPERLINK(p_ruta_base_checklists&amp;tblOrdenes[[#This Row],[link_checklist]],"abrir"))</f>
        <v/>
      </c>
      <c r="AS21" s="4" t="inlineStr"/>
      <c r="AT21" s="5">
        <f>IF(tblOrdenes[[#This Row],[orden]]="","",tblOrdenes[[#This Row],[orden]]&amp;IF(tblOrdenes[[#This Row],[operacion]]="","0010",tblOrdenes[[#This Row],[operacion]]))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TIPO-P1</t>
        </is>
      </c>
      <c r="J22" s="22" t="n">
        <v>46233</v>
      </c>
      <c r="K22" s="5" t="n">
        <v>10</v>
      </c>
      <c r="L22" s="18" t="n">
        <v>250</v>
      </c>
      <c r="M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5">
        <f>IF(tblOrdenes[[#This Row],[fecha_inicio]]="","",YEAR(tblOrdenes[[#This Row],[fecha_inicio]]))</f>
        <v/>
      </c>
      <c r="Q22" s="5">
        <f>IF(tblOrdenes[[#This Row],[fecha_inicio]]="","",MONTH(tblOrdenes[[#This Row],[fecha_inicio]]))</f>
        <v/>
      </c>
      <c r="R22" s="5">
        <f>IF(tblOrdenes[[#This Row],[fecha_inicio]]="","",tblOrdenes[[#This Row],[anio]]&amp;"-"&amp;TEXT(tblOrdenes[[#This Row],[mes]],"00"))</f>
        <v/>
      </c>
      <c r="S22" s="5">
        <f>IF(tblOrdenes[[#This Row],[fecha_inicio]]="","",INDEX(lista_dias,WEEKDAY(tblOrdenes[[#This Row],[fecha_inicio]],2)))</f>
        <v/>
      </c>
      <c r="T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" s="5">
        <f>IF(tblOrdenes[[#This Row],[tipo_ot]]="","",_xlfn.XLOOKUP(tblOrdenes[[#This Row],[tipo_ot]],tblTiposOT[codigo],tblTiposOT[clasificacion],"sin_clasificar"))</f>
        <v/>
      </c>
      <c r="V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" s="5">
        <f>IF(tblOrdenes[[#This Row],[centro_costo]]="","",_xlfn.XLOOKUP(tblOrdenes[[#This Row],[centro_costo]],tblCECO[codigo],tblCECO[linea],"(sin catálogo)"))</f>
        <v/>
      </c>
      <c r="X22" s="5">
        <f>IF(tblOrdenes[[#This Row],[centro_costo]]="","",_xlfn.XLOOKUP(tblOrdenes[[#This Row],[centro_costo]],tblCECO[codigo],tblCECO[area],"(sin catálogo)"))</f>
        <v/>
      </c>
      <c r="Y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" s="5">
        <f>IF(tblOrdenes[[#This Row],[centro_costo]]="","",_xlfn.XLOOKUP(tblOrdenes[[#This Row],[centro_costo]],tblCECO[codigo],tblCECO[coordinador],"(sin catálogo)"))</f>
        <v/>
      </c>
      <c r="AA22" s="5">
        <f>IF(tblOrdenes[[#This Row],[puesto_trabajo]]="","",_xlfn.XLOOKUP(tblOrdenes[[#This Row],[puesto_trabajo]],tblPuestos[codigo],tblPuestos[especialidad],"(sin catálogo)"))</f>
        <v/>
      </c>
      <c r="AB22" s="5">
        <f>IF(tblOrdenes[[#This Row],[cod_actividad]]="","",_xlfn.XLOOKUP(tblOrdenes[[#This Row],[cod_actividad]],tblActividades[codigo],tblActividades[descripcion],"(sin catálogo)"))</f>
        <v/>
      </c>
      <c r="AC22" s="20">
        <f>IF(tblOrdenes[[#This Row],[fecha_inicio]]="","",TODAY()-tblOrdenes[[#This Row],[fecha_inicio]])</f>
        <v/>
      </c>
      <c r="AD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" s="5">
        <f>IF(tblOrdenes[[#This Row],[backlog_habiles]]="","",IF(tblOrdenes[[#This Row],[backlog_habiles]]&lt;0,"FUTURO",IF(tblOrdenes[[#This Row],[backlog_habiles]]&gt;p_dias_backlog_max,"BACKLOG","MES CORRIENTE")))</f>
        <v/>
      </c>
      <c r="AF22" s="5">
        <f>IF(tblOrdenes[[#This Row],[backlog_habiles]]="",FALSE,AND(tblOrdenes[[#This Row],[backlog_habiles]]&gt;p_dias_backlog_min,tblOrdenes[[#This Row],[backlog_habiles]]&lt;=p_dias_backlog_max))</f>
        <v/>
      </c>
      <c r="AG22" s="4" t="inlineStr"/>
      <c r="AH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" s="18">
        <f>IF(tblOrdenes[[#This Row],[orden]]="","",_xlfn.XLOOKUP(tblOrdenes[[#This Row],[id_operacion]],tblEjecucion[id_operacion],tblEjecucion[precio],0))</f>
        <v/>
      </c>
      <c r="AL22" s="18">
        <f>IF(tblOrdenes[[#This Row],[orden]]="","",MAX(0,_xlfn.XLOOKUP(tblOrdenes[[#This Row],[id_operacion]],tblEjecucion[id_operacion],tblEjecucion[costo_plan_total],0)-tblOrdenes[[#This Row],[costo_servicio]]))</f>
        <v/>
      </c>
      <c r="AM22" s="18">
        <f>IF(tblOrdenes[[#This Row],[orden]]="","",tblOrdenes[[#This Row],[costo_servicio]]+tblOrdenes[[#This Row],[costo_materiales]])</f>
        <v/>
      </c>
      <c r="AN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" s="4" t="inlineStr"/>
      <c r="AP22" s="4" t="inlineStr"/>
      <c r="AQ22" s="4" t="inlineStr">
        <is>
          <t>ACT-02.pdf</t>
        </is>
      </c>
      <c r="AR22" s="5">
        <f>IF(tblOrdenes[[#This Row],[link_checklist]]="","",HYPERLINK(p_ruta_base_checklists&amp;tblOrdenes[[#This Row],[link_checklist]],"abrir"))</f>
        <v/>
      </c>
      <c r="AS22" s="4" t="inlineStr"/>
      <c r="AT22" s="5">
        <f>IF(tblOrdenes[[#This Row],[orden]]="","",tblOrdenes[[#This Row],[orden]]&amp;IF(tblOrdenes[[#This Row],[operacion]]="","0010",tblOrdenes[[#This Row],[operacion]]))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TIPO-P2</t>
        </is>
      </c>
      <c r="J23" s="22" t="n">
        <v>46234</v>
      </c>
      <c r="K23" s="5" t="n">
        <v>8</v>
      </c>
      <c r="L23" s="18" t="n">
        <v>200</v>
      </c>
      <c r="M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5">
        <f>IF(tblOrdenes[[#This Row],[fecha_inicio]]="","",YEAR(tblOrdenes[[#This Row],[fecha_inicio]]))</f>
        <v/>
      </c>
      <c r="Q23" s="5">
        <f>IF(tblOrdenes[[#This Row],[fecha_inicio]]="","",MONTH(tblOrdenes[[#This Row],[fecha_inicio]]))</f>
        <v/>
      </c>
      <c r="R23" s="5">
        <f>IF(tblOrdenes[[#This Row],[fecha_inicio]]="","",tblOrdenes[[#This Row],[anio]]&amp;"-"&amp;TEXT(tblOrdenes[[#This Row],[mes]],"00"))</f>
        <v/>
      </c>
      <c r="S23" s="5">
        <f>IF(tblOrdenes[[#This Row],[fecha_inicio]]="","",INDEX(lista_dias,WEEKDAY(tblOrdenes[[#This Row],[fecha_inicio]],2)))</f>
        <v/>
      </c>
      <c r="T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" s="5">
        <f>IF(tblOrdenes[[#This Row],[tipo_ot]]="","",_xlfn.XLOOKUP(tblOrdenes[[#This Row],[tipo_ot]],tblTiposOT[codigo],tblTiposOT[clasificacion],"sin_clasificar"))</f>
        <v/>
      </c>
      <c r="V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" s="5">
        <f>IF(tblOrdenes[[#This Row],[centro_costo]]="","",_xlfn.XLOOKUP(tblOrdenes[[#This Row],[centro_costo]],tblCECO[codigo],tblCECO[linea],"(sin catálogo)"))</f>
        <v/>
      </c>
      <c r="X23" s="5">
        <f>IF(tblOrdenes[[#This Row],[centro_costo]]="","",_xlfn.XLOOKUP(tblOrdenes[[#This Row],[centro_costo]],tblCECO[codigo],tblCECO[area],"(sin catálogo)"))</f>
        <v/>
      </c>
      <c r="Y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" s="5">
        <f>IF(tblOrdenes[[#This Row],[centro_costo]]="","",_xlfn.XLOOKUP(tblOrdenes[[#This Row],[centro_costo]],tblCECO[codigo],tblCECO[coordinador],"(sin catálogo)"))</f>
        <v/>
      </c>
      <c r="AA23" s="5">
        <f>IF(tblOrdenes[[#This Row],[puesto_trabajo]]="","",_xlfn.XLOOKUP(tblOrdenes[[#This Row],[puesto_trabajo]],tblPuestos[codigo],tblPuestos[especialidad],"(sin catálogo)"))</f>
        <v/>
      </c>
      <c r="AB23" s="5">
        <f>IF(tblOrdenes[[#This Row],[cod_actividad]]="","",_xlfn.XLOOKUP(tblOrdenes[[#This Row],[cod_actividad]],tblActividades[codigo],tblActividades[descripcion],"(sin catálogo)"))</f>
        <v/>
      </c>
      <c r="AC23" s="20">
        <f>IF(tblOrdenes[[#This Row],[fecha_inicio]]="","",TODAY()-tblOrdenes[[#This Row],[fecha_inicio]])</f>
        <v/>
      </c>
      <c r="AD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" s="5">
        <f>IF(tblOrdenes[[#This Row],[backlog_habiles]]="","",IF(tblOrdenes[[#This Row],[backlog_habiles]]&lt;0,"FUTURO",IF(tblOrdenes[[#This Row],[backlog_habiles]]&gt;p_dias_backlog_max,"BACKLOG","MES CORRIENTE")))</f>
        <v/>
      </c>
      <c r="AF23" s="5">
        <f>IF(tblOrdenes[[#This Row],[backlog_habiles]]="",FALSE,AND(tblOrdenes[[#This Row],[backlog_habiles]]&gt;p_dias_backlog_min,tblOrdenes[[#This Row],[backlog_habiles]]&lt;=p_dias_backlog_max))</f>
        <v/>
      </c>
      <c r="AG23" s="4" t="inlineStr">
        <is>
          <t>David Torres</t>
        </is>
      </c>
      <c r="AH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" s="18">
        <f>IF(tblOrdenes[[#This Row],[orden]]="","",_xlfn.XLOOKUP(tblOrdenes[[#This Row],[id_operacion]],tblEjecucion[id_operacion],tblEjecucion[precio],0))</f>
        <v/>
      </c>
      <c r="AL23" s="18">
        <f>IF(tblOrdenes[[#This Row],[orden]]="","",MAX(0,_xlfn.XLOOKUP(tblOrdenes[[#This Row],[id_operacion]],tblEjecucion[id_operacion],tblEjecucion[costo_plan_total],0)-tblOrdenes[[#This Row],[costo_servicio]]))</f>
        <v/>
      </c>
      <c r="AM23" s="18">
        <f>IF(tblOrdenes[[#This Row],[orden]]="","",tblOrdenes[[#This Row],[costo_servicio]]+tblOrdenes[[#This Row],[costo_materiales]])</f>
        <v/>
      </c>
      <c r="AN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" s="4" t="inlineStr"/>
      <c r="AP23" s="4" t="inlineStr"/>
      <c r="AQ23" s="4" t="inlineStr">
        <is>
          <t>ACT-04.pdf</t>
        </is>
      </c>
      <c r="AR23" s="5">
        <f>IF(tblOrdenes[[#This Row],[link_checklist]]="","",HYPERLINK(p_ruta_base_checklists&amp;tblOrdenes[[#This Row],[link_checklist]],"abrir"))</f>
        <v/>
      </c>
      <c r="AS23" s="4" t="inlineStr"/>
      <c r="AT23" s="5">
        <f>IF(tblOrdenes[[#This Row],[orden]]="","",tblOrdenes[[#This Row],[orden]]&amp;IF(tblOrdenes[[#This Row],[operacion]]="","0010",tblOrdenes[[#This Row],[operacion]]))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TIPO-P1</t>
        </is>
      </c>
      <c r="J24" s="22" t="n">
        <v>46230</v>
      </c>
      <c r="K24" s="5" t="n">
        <v>6</v>
      </c>
      <c r="L24" s="18" t="n">
        <v>150</v>
      </c>
      <c r="M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5">
        <f>IF(tblOrdenes[[#This Row],[fecha_inicio]]="","",YEAR(tblOrdenes[[#This Row],[fecha_inicio]]))</f>
        <v/>
      </c>
      <c r="Q24" s="5">
        <f>IF(tblOrdenes[[#This Row],[fecha_inicio]]="","",MONTH(tblOrdenes[[#This Row],[fecha_inicio]]))</f>
        <v/>
      </c>
      <c r="R24" s="5">
        <f>IF(tblOrdenes[[#This Row],[fecha_inicio]]="","",tblOrdenes[[#This Row],[anio]]&amp;"-"&amp;TEXT(tblOrdenes[[#This Row],[mes]],"00"))</f>
        <v/>
      </c>
      <c r="S24" s="5">
        <f>IF(tblOrdenes[[#This Row],[fecha_inicio]]="","",INDEX(lista_dias,WEEKDAY(tblOrdenes[[#This Row],[fecha_inicio]],2)))</f>
        <v/>
      </c>
      <c r="T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" s="5">
        <f>IF(tblOrdenes[[#This Row],[tipo_ot]]="","",_xlfn.XLOOKUP(tblOrdenes[[#This Row],[tipo_ot]],tblTiposOT[codigo],tblTiposOT[clasificacion],"sin_clasificar"))</f>
        <v/>
      </c>
      <c r="V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" s="5">
        <f>IF(tblOrdenes[[#This Row],[centro_costo]]="","",_xlfn.XLOOKUP(tblOrdenes[[#This Row],[centro_costo]],tblCECO[codigo],tblCECO[linea],"(sin catálogo)"))</f>
        <v/>
      </c>
      <c r="X24" s="5">
        <f>IF(tblOrdenes[[#This Row],[centro_costo]]="","",_xlfn.XLOOKUP(tblOrdenes[[#This Row],[centro_costo]],tblCECO[codigo],tblCECO[area],"(sin catálogo)"))</f>
        <v/>
      </c>
      <c r="Y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" s="5">
        <f>IF(tblOrdenes[[#This Row],[centro_costo]]="","",_xlfn.XLOOKUP(tblOrdenes[[#This Row],[centro_costo]],tblCECO[codigo],tblCECO[coordinador],"(sin catálogo)"))</f>
        <v/>
      </c>
      <c r="AA24" s="5">
        <f>IF(tblOrdenes[[#This Row],[puesto_trabajo]]="","",_xlfn.XLOOKUP(tblOrdenes[[#This Row],[puesto_trabajo]],tblPuestos[codigo],tblPuestos[especialidad],"(sin catálogo)"))</f>
        <v/>
      </c>
      <c r="AB24" s="5">
        <f>IF(tblOrdenes[[#This Row],[cod_actividad]]="","",_xlfn.XLOOKUP(tblOrdenes[[#This Row],[cod_actividad]],tblActividades[codigo],tblActividades[descripcion],"(sin catálogo)"))</f>
        <v/>
      </c>
      <c r="AC24" s="20">
        <f>IF(tblOrdenes[[#This Row],[fecha_inicio]]="","",TODAY()-tblOrdenes[[#This Row],[fecha_inicio]])</f>
        <v/>
      </c>
      <c r="AD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" s="5">
        <f>IF(tblOrdenes[[#This Row],[backlog_habiles]]="","",IF(tblOrdenes[[#This Row],[backlog_habiles]]&lt;0,"FUTURO",IF(tblOrdenes[[#This Row],[backlog_habiles]]&gt;p_dias_backlog_max,"BACKLOG","MES CORRIENTE")))</f>
        <v/>
      </c>
      <c r="AF24" s="5">
        <f>IF(tblOrdenes[[#This Row],[backlog_habiles]]="",FALSE,AND(tblOrdenes[[#This Row],[backlog_habiles]]&gt;p_dias_backlog_min,tblOrdenes[[#This Row],[backlog_habiles]]&lt;=p_dias_backlog_max))</f>
        <v/>
      </c>
      <c r="AG24" s="4" t="inlineStr">
        <is>
          <t>Francisco Ramírez</t>
        </is>
      </c>
      <c r="AH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" s="18">
        <f>IF(tblOrdenes[[#This Row],[orden]]="","",_xlfn.XLOOKUP(tblOrdenes[[#This Row],[id_operacion]],tblEjecucion[id_operacion],tblEjecucion[precio],0))</f>
        <v/>
      </c>
      <c r="AL24" s="18">
        <f>IF(tblOrdenes[[#This Row],[orden]]="","",MAX(0,_xlfn.XLOOKUP(tblOrdenes[[#This Row],[id_operacion]],tblEjecucion[id_operacion],tblEjecucion[costo_plan_total],0)-tblOrdenes[[#This Row],[costo_servicio]]))</f>
        <v/>
      </c>
      <c r="AM24" s="18">
        <f>IF(tblOrdenes[[#This Row],[orden]]="","",tblOrdenes[[#This Row],[costo_servicio]]+tblOrdenes[[#This Row],[costo_materiales]])</f>
        <v/>
      </c>
      <c r="AN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" s="4" t="inlineStr"/>
      <c r="AP24" s="4" t="inlineStr"/>
      <c r="AQ24" s="4" t="inlineStr">
        <is>
          <t>ACT-01.pdf</t>
        </is>
      </c>
      <c r="AR24" s="5">
        <f>IF(tblOrdenes[[#This Row],[link_checklist]]="","",HYPERLINK(p_ruta_base_checklists&amp;tblOrdenes[[#This Row],[link_checklist]],"abrir"))</f>
        <v/>
      </c>
      <c r="AS24" s="4" t="inlineStr"/>
      <c r="AT24" s="5">
        <f>IF(tblOrdenes[[#This Row],[orden]]="","",tblOrdenes[[#This Row],[orden]]&amp;IF(tblOrdenes[[#This Row],[operacion]]="","0010",tblOrdenes[[#This Row],[operacion]]))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22" t="n">
        <v>46231</v>
      </c>
      <c r="K25" s="5" t="n">
        <v>8</v>
      </c>
      <c r="L25" s="18" t="n">
        <v>200</v>
      </c>
      <c r="M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5">
        <f>IF(tblOrdenes[[#This Row],[fecha_inicio]]="","",YEAR(tblOrdenes[[#This Row],[fecha_inicio]]))</f>
        <v/>
      </c>
      <c r="Q25" s="5">
        <f>IF(tblOrdenes[[#This Row],[fecha_inicio]]="","",MONTH(tblOrdenes[[#This Row],[fecha_inicio]]))</f>
        <v/>
      </c>
      <c r="R25" s="5">
        <f>IF(tblOrdenes[[#This Row],[fecha_inicio]]="","",tblOrdenes[[#This Row],[anio]]&amp;"-"&amp;TEXT(tblOrdenes[[#This Row],[mes]],"00"))</f>
        <v/>
      </c>
      <c r="S25" s="5">
        <f>IF(tblOrdenes[[#This Row],[fecha_inicio]]="","",INDEX(lista_dias,WEEKDAY(tblOrdenes[[#This Row],[fecha_inicio]],2)))</f>
        <v/>
      </c>
      <c r="T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" s="5">
        <f>IF(tblOrdenes[[#This Row],[tipo_ot]]="","",_xlfn.XLOOKUP(tblOrdenes[[#This Row],[tipo_ot]],tblTiposOT[codigo],tblTiposOT[clasificacion],"sin_clasificar"))</f>
        <v/>
      </c>
      <c r="V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" s="5">
        <f>IF(tblOrdenes[[#This Row],[centro_costo]]="","",_xlfn.XLOOKUP(tblOrdenes[[#This Row],[centro_costo]],tblCECO[codigo],tblCECO[linea],"(sin catálogo)"))</f>
        <v/>
      </c>
      <c r="X25" s="5">
        <f>IF(tblOrdenes[[#This Row],[centro_costo]]="","",_xlfn.XLOOKUP(tblOrdenes[[#This Row],[centro_costo]],tblCECO[codigo],tblCECO[area],"(sin catálogo)"))</f>
        <v/>
      </c>
      <c r="Y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" s="5">
        <f>IF(tblOrdenes[[#This Row],[centro_costo]]="","",_xlfn.XLOOKUP(tblOrdenes[[#This Row],[centro_costo]],tblCECO[codigo],tblCECO[coordinador],"(sin catálogo)"))</f>
        <v/>
      </c>
      <c r="AA25" s="5">
        <f>IF(tblOrdenes[[#This Row],[puesto_trabajo]]="","",_xlfn.XLOOKUP(tblOrdenes[[#This Row],[puesto_trabajo]],tblPuestos[codigo],tblPuestos[especialidad],"(sin catálogo)"))</f>
        <v/>
      </c>
      <c r="AB25" s="5">
        <f>IF(tblOrdenes[[#This Row],[cod_actividad]]="","",_xlfn.XLOOKUP(tblOrdenes[[#This Row],[cod_actividad]],tblActividades[codigo],tblActividades[descripcion],"(sin catálogo)"))</f>
        <v/>
      </c>
      <c r="AC25" s="20">
        <f>IF(tblOrdenes[[#This Row],[fecha_inicio]]="","",TODAY()-tblOrdenes[[#This Row],[fecha_inicio]])</f>
        <v/>
      </c>
      <c r="AD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" s="5">
        <f>IF(tblOrdenes[[#This Row],[backlog_habiles]]="","",IF(tblOrdenes[[#This Row],[backlog_habiles]]&lt;0,"FUTURO",IF(tblOrdenes[[#This Row],[backlog_habiles]]&gt;p_dias_backlog_max,"BACKLOG","MES CORRIENTE")))</f>
        <v/>
      </c>
      <c r="AF25" s="5">
        <f>IF(tblOrdenes[[#This Row],[backlog_habiles]]="",FALSE,AND(tblOrdenes[[#This Row],[backlog_habiles]]&gt;p_dias_backlog_min,tblOrdenes[[#This Row],[backlog_habiles]]&lt;=p_dias_backlog_max))</f>
        <v/>
      </c>
      <c r="AG25" s="4" t="inlineStr">
        <is>
          <t>Carlos Pérez</t>
        </is>
      </c>
      <c r="AH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" s="18">
        <f>IF(tblOrdenes[[#This Row],[orden]]="","",_xlfn.XLOOKUP(tblOrdenes[[#This Row],[id_operacion]],tblEjecucion[id_operacion],tblEjecucion[precio],0))</f>
        <v/>
      </c>
      <c r="AL25" s="18">
        <f>IF(tblOrdenes[[#This Row],[orden]]="","",MAX(0,_xlfn.XLOOKUP(tblOrdenes[[#This Row],[id_operacion]],tblEjecucion[id_operacion],tblEjecucion[costo_plan_total],0)-tblOrdenes[[#This Row],[costo_servicio]]))</f>
        <v/>
      </c>
      <c r="AM25" s="18">
        <f>IF(tblOrdenes[[#This Row],[orden]]="","",tblOrdenes[[#This Row],[costo_servicio]]+tblOrdenes[[#This Row],[costo_materiales]])</f>
        <v/>
      </c>
      <c r="AN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" s="4" t="inlineStr"/>
      <c r="AP25" s="4" t="inlineStr"/>
      <c r="AQ25" s="4" t="inlineStr">
        <is>
          <t>ACT-02.pdf</t>
        </is>
      </c>
      <c r="AR25" s="5">
        <f>IF(tblOrdenes[[#This Row],[link_checklist]]="","",HYPERLINK(p_ruta_base_checklists&amp;tblOrdenes[[#This Row],[link_checklist]],"abrir"))</f>
        <v/>
      </c>
      <c r="AS25" s="4" t="inlineStr"/>
      <c r="AT25" s="5">
        <f>IF(tblOrdenes[[#This Row],[orden]]="","",tblOrdenes[[#This Row],[orden]]&amp;IF(tblOrdenes[[#This Row],[operacion]]="","0010",tblOrdenes[[#This Row],[operacion]]))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22" t="n">
        <v>46232</v>
      </c>
      <c r="K26" s="5" t="n">
        <v>10</v>
      </c>
      <c r="L26" s="18" t="n">
        <v>400</v>
      </c>
      <c r="M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5">
        <f>IF(tblOrdenes[[#This Row],[fecha_inicio]]="","",YEAR(tblOrdenes[[#This Row],[fecha_inicio]]))</f>
        <v/>
      </c>
      <c r="Q26" s="5">
        <f>IF(tblOrdenes[[#This Row],[fecha_inicio]]="","",MONTH(tblOrdenes[[#This Row],[fecha_inicio]]))</f>
        <v/>
      </c>
      <c r="R26" s="5">
        <f>IF(tblOrdenes[[#This Row],[fecha_inicio]]="","",tblOrdenes[[#This Row],[anio]]&amp;"-"&amp;TEXT(tblOrdenes[[#This Row],[mes]],"00"))</f>
        <v/>
      </c>
      <c r="S26" s="5">
        <f>IF(tblOrdenes[[#This Row],[fecha_inicio]]="","",INDEX(lista_dias,WEEKDAY(tblOrdenes[[#This Row],[fecha_inicio]],2)))</f>
        <v/>
      </c>
      <c r="T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" s="5">
        <f>IF(tblOrdenes[[#This Row],[tipo_ot]]="","",_xlfn.XLOOKUP(tblOrdenes[[#This Row],[tipo_ot]],tblTiposOT[codigo],tblTiposOT[clasificacion],"sin_clasificar"))</f>
        <v/>
      </c>
      <c r="V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" s="5">
        <f>IF(tblOrdenes[[#This Row],[centro_costo]]="","",_xlfn.XLOOKUP(tblOrdenes[[#This Row],[centro_costo]],tblCECO[codigo],tblCECO[linea],"(sin catálogo)"))</f>
        <v/>
      </c>
      <c r="X26" s="5">
        <f>IF(tblOrdenes[[#This Row],[centro_costo]]="","",_xlfn.XLOOKUP(tblOrdenes[[#This Row],[centro_costo]],tblCECO[codigo],tblCECO[area],"(sin catálogo)"))</f>
        <v/>
      </c>
      <c r="Y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" s="5">
        <f>IF(tblOrdenes[[#This Row],[centro_costo]]="","",_xlfn.XLOOKUP(tblOrdenes[[#This Row],[centro_costo]],tblCECO[codigo],tblCECO[coordinador],"(sin catálogo)"))</f>
        <v/>
      </c>
      <c r="AA26" s="5">
        <f>IF(tblOrdenes[[#This Row],[puesto_trabajo]]="","",_xlfn.XLOOKUP(tblOrdenes[[#This Row],[puesto_trabajo]],tblPuestos[codigo],tblPuestos[especialidad],"(sin catálogo)"))</f>
        <v/>
      </c>
      <c r="AB26" s="5">
        <f>IF(tblOrdenes[[#This Row],[cod_actividad]]="","",_xlfn.XLOOKUP(tblOrdenes[[#This Row],[cod_actividad]],tblActividades[codigo],tblActividades[descripcion],"(sin catálogo)"))</f>
        <v/>
      </c>
      <c r="AC26" s="20">
        <f>IF(tblOrdenes[[#This Row],[fecha_inicio]]="","",TODAY()-tblOrdenes[[#This Row],[fecha_inicio]])</f>
        <v/>
      </c>
      <c r="AD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" s="5">
        <f>IF(tblOrdenes[[#This Row],[backlog_habiles]]="","",IF(tblOrdenes[[#This Row],[backlog_habiles]]&lt;0,"FUTURO",IF(tblOrdenes[[#This Row],[backlog_habiles]]&gt;p_dias_backlog_max,"BACKLOG","MES CORRIENTE")))</f>
        <v/>
      </c>
      <c r="AF26" s="5">
        <f>IF(tblOrdenes[[#This Row],[backlog_habiles]]="",FALSE,AND(tblOrdenes[[#This Row],[backlog_habiles]]&gt;p_dias_backlog_min,tblOrdenes[[#This Row],[backlog_habiles]]&lt;=p_dias_backlog_max))</f>
        <v/>
      </c>
      <c r="AG26" s="4" t="inlineStr">
        <is>
          <t>María Gómez</t>
        </is>
      </c>
      <c r="AH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" s="18">
        <f>IF(tblOrdenes[[#This Row],[orden]]="","",_xlfn.XLOOKUP(tblOrdenes[[#This Row],[id_operacion]],tblEjecucion[id_operacion],tblEjecucion[precio],0))</f>
        <v/>
      </c>
      <c r="AL26" s="18">
        <f>IF(tblOrdenes[[#This Row],[orden]]="","",MAX(0,_xlfn.XLOOKUP(tblOrdenes[[#This Row],[id_operacion]],tblEjecucion[id_operacion],tblEjecucion[costo_plan_total],0)-tblOrdenes[[#This Row],[costo_servicio]]))</f>
        <v/>
      </c>
      <c r="AM26" s="18">
        <f>IF(tblOrdenes[[#This Row],[orden]]="","",tblOrdenes[[#This Row],[costo_servicio]]+tblOrdenes[[#This Row],[costo_materiales]])</f>
        <v/>
      </c>
      <c r="AN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" s="4" t="inlineStr"/>
      <c r="AP26" s="4" t="inlineStr"/>
      <c r="AQ26" s="4" t="inlineStr"/>
      <c r="AR26" s="5">
        <f>IF(tblOrdenes[[#This Row],[link_checklist]]="","",HYPERLINK(p_ruta_base_checklists&amp;tblOrdenes[[#This Row],[link_checklist]],"abrir"))</f>
        <v/>
      </c>
      <c r="AS26" s="4" t="inlineStr"/>
      <c r="AT26" s="5">
        <f>IF(tblOrdenes[[#This Row],[orden]]="","",tblOrdenes[[#This Row],[orden]]&amp;IF(tblOrdenes[[#This Row],[operacion]]="","0010",tblOrdenes[[#This Row],[operacion]]))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22" t="n">
        <v>46233</v>
      </c>
      <c r="K27" s="5" t="n">
        <v>8</v>
      </c>
      <c r="L27" s="18" t="n">
        <v>320</v>
      </c>
      <c r="M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5">
        <f>IF(tblOrdenes[[#This Row],[fecha_inicio]]="","",YEAR(tblOrdenes[[#This Row],[fecha_inicio]]))</f>
        <v/>
      </c>
      <c r="Q27" s="5">
        <f>IF(tblOrdenes[[#This Row],[fecha_inicio]]="","",MONTH(tblOrdenes[[#This Row],[fecha_inicio]]))</f>
        <v/>
      </c>
      <c r="R27" s="5">
        <f>IF(tblOrdenes[[#This Row],[fecha_inicio]]="","",tblOrdenes[[#This Row],[anio]]&amp;"-"&amp;TEXT(tblOrdenes[[#This Row],[mes]],"00"))</f>
        <v/>
      </c>
      <c r="S27" s="5">
        <f>IF(tblOrdenes[[#This Row],[fecha_inicio]]="","",INDEX(lista_dias,WEEKDAY(tblOrdenes[[#This Row],[fecha_inicio]],2)))</f>
        <v/>
      </c>
      <c r="T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" s="5">
        <f>IF(tblOrdenes[[#This Row],[tipo_ot]]="","",_xlfn.XLOOKUP(tblOrdenes[[#This Row],[tipo_ot]],tblTiposOT[codigo],tblTiposOT[clasificacion],"sin_clasificar"))</f>
        <v/>
      </c>
      <c r="V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" s="5">
        <f>IF(tblOrdenes[[#This Row],[centro_costo]]="","",_xlfn.XLOOKUP(tblOrdenes[[#This Row],[centro_costo]],tblCECO[codigo],tblCECO[linea],"(sin catálogo)"))</f>
        <v/>
      </c>
      <c r="X27" s="5">
        <f>IF(tblOrdenes[[#This Row],[centro_costo]]="","",_xlfn.XLOOKUP(tblOrdenes[[#This Row],[centro_costo]],tblCECO[codigo],tblCECO[area],"(sin catálogo)"))</f>
        <v/>
      </c>
      <c r="Y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" s="5">
        <f>IF(tblOrdenes[[#This Row],[centro_costo]]="","",_xlfn.XLOOKUP(tblOrdenes[[#This Row],[centro_costo]],tblCECO[codigo],tblCECO[coordinador],"(sin catálogo)"))</f>
        <v/>
      </c>
      <c r="AA27" s="5">
        <f>IF(tblOrdenes[[#This Row],[puesto_trabajo]]="","",_xlfn.XLOOKUP(tblOrdenes[[#This Row],[puesto_trabajo]],tblPuestos[codigo],tblPuestos[especialidad],"(sin catálogo)"))</f>
        <v/>
      </c>
      <c r="AB27" s="5">
        <f>IF(tblOrdenes[[#This Row],[cod_actividad]]="","",_xlfn.XLOOKUP(tblOrdenes[[#This Row],[cod_actividad]],tblActividades[codigo],tblActividades[descripcion],"(sin catálogo)"))</f>
        <v/>
      </c>
      <c r="AC27" s="20">
        <f>IF(tblOrdenes[[#This Row],[fecha_inicio]]="","",TODAY()-tblOrdenes[[#This Row],[fecha_inicio]])</f>
        <v/>
      </c>
      <c r="AD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" s="5">
        <f>IF(tblOrdenes[[#This Row],[backlog_habiles]]="","",IF(tblOrdenes[[#This Row],[backlog_habiles]]&lt;0,"FUTURO",IF(tblOrdenes[[#This Row],[backlog_habiles]]&gt;p_dias_backlog_max,"BACKLOG","MES CORRIENTE")))</f>
        <v/>
      </c>
      <c r="AF27" s="5">
        <f>IF(tblOrdenes[[#This Row],[backlog_habiles]]="",FALSE,AND(tblOrdenes[[#This Row],[backlog_habiles]]&gt;p_dias_backlog_min,tblOrdenes[[#This Row],[backlog_habiles]]&lt;=p_dias_backlog_max))</f>
        <v/>
      </c>
      <c r="AG27" s="4" t="inlineStr"/>
      <c r="AH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" s="18">
        <f>IF(tblOrdenes[[#This Row],[orden]]="","",_xlfn.XLOOKUP(tblOrdenes[[#This Row],[id_operacion]],tblEjecucion[id_operacion],tblEjecucion[precio],0))</f>
        <v/>
      </c>
      <c r="AL27" s="18">
        <f>IF(tblOrdenes[[#This Row],[orden]]="","",MAX(0,_xlfn.XLOOKUP(tblOrdenes[[#This Row],[id_operacion]],tblEjecucion[id_operacion],tblEjecucion[costo_plan_total],0)-tblOrdenes[[#This Row],[costo_servicio]]))</f>
        <v/>
      </c>
      <c r="AM27" s="18">
        <f>IF(tblOrdenes[[#This Row],[orden]]="","",tblOrdenes[[#This Row],[costo_servicio]]+tblOrdenes[[#This Row],[costo_materiales]])</f>
        <v/>
      </c>
      <c r="AN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" s="4" t="inlineStr">
        <is>
          <t>PT-CALIENTE</t>
        </is>
      </c>
      <c r="AP27" s="4" t="inlineStr">
        <is>
          <t>LOTO</t>
        </is>
      </c>
      <c r="AQ27" s="4" t="inlineStr"/>
      <c r="AR27" s="5">
        <f>IF(tblOrdenes[[#This Row],[link_checklist]]="","",HYPERLINK(p_ruta_base_checklists&amp;tblOrdenes[[#This Row],[link_checklist]],"abrir"))</f>
        <v/>
      </c>
      <c r="AS27" s="4" t="inlineStr"/>
      <c r="AT27" s="5">
        <f>IF(tblOrdenes[[#This Row],[orden]]="","",tblOrdenes[[#This Row],[orden]]&amp;IF(tblOrdenes[[#This Row],[operacion]]="","0010",tblOrdenes[[#This Row],[operacion]]))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22" t="n">
        <v>46234</v>
      </c>
      <c r="K28" s="5" t="n">
        <v>7</v>
      </c>
      <c r="L28" s="18" t="n">
        <v>280</v>
      </c>
      <c r="M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5">
        <f>IF(tblOrdenes[[#This Row],[fecha_inicio]]="","",YEAR(tblOrdenes[[#This Row],[fecha_inicio]]))</f>
        <v/>
      </c>
      <c r="Q28" s="5">
        <f>IF(tblOrdenes[[#This Row],[fecha_inicio]]="","",MONTH(tblOrdenes[[#This Row],[fecha_inicio]]))</f>
        <v/>
      </c>
      <c r="R28" s="5">
        <f>IF(tblOrdenes[[#This Row],[fecha_inicio]]="","",tblOrdenes[[#This Row],[anio]]&amp;"-"&amp;TEXT(tblOrdenes[[#This Row],[mes]],"00"))</f>
        <v/>
      </c>
      <c r="S28" s="5">
        <f>IF(tblOrdenes[[#This Row],[fecha_inicio]]="","",INDEX(lista_dias,WEEKDAY(tblOrdenes[[#This Row],[fecha_inicio]],2)))</f>
        <v/>
      </c>
      <c r="T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" s="5">
        <f>IF(tblOrdenes[[#This Row],[tipo_ot]]="","",_xlfn.XLOOKUP(tblOrdenes[[#This Row],[tipo_ot]],tblTiposOT[codigo],tblTiposOT[clasificacion],"sin_clasificar"))</f>
        <v/>
      </c>
      <c r="V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" s="5">
        <f>IF(tblOrdenes[[#This Row],[centro_costo]]="","",_xlfn.XLOOKUP(tblOrdenes[[#This Row],[centro_costo]],tblCECO[codigo],tblCECO[linea],"(sin catálogo)"))</f>
        <v/>
      </c>
      <c r="X28" s="5">
        <f>IF(tblOrdenes[[#This Row],[centro_costo]]="","",_xlfn.XLOOKUP(tblOrdenes[[#This Row],[centro_costo]],tblCECO[codigo],tblCECO[area],"(sin catálogo)"))</f>
        <v/>
      </c>
      <c r="Y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" s="5">
        <f>IF(tblOrdenes[[#This Row],[centro_costo]]="","",_xlfn.XLOOKUP(tblOrdenes[[#This Row],[centro_costo]],tblCECO[codigo],tblCECO[coordinador],"(sin catálogo)"))</f>
        <v/>
      </c>
      <c r="AA28" s="5">
        <f>IF(tblOrdenes[[#This Row],[puesto_trabajo]]="","",_xlfn.XLOOKUP(tblOrdenes[[#This Row],[puesto_trabajo]],tblPuestos[codigo],tblPuestos[especialidad],"(sin catálogo)"))</f>
        <v/>
      </c>
      <c r="AB28" s="5">
        <f>IF(tblOrdenes[[#This Row],[cod_actividad]]="","",_xlfn.XLOOKUP(tblOrdenes[[#This Row],[cod_actividad]],tblActividades[codigo],tblActividades[descripcion],"(sin catálogo)"))</f>
        <v/>
      </c>
      <c r="AC28" s="20">
        <f>IF(tblOrdenes[[#This Row],[fecha_inicio]]="","",TODAY()-tblOrdenes[[#This Row],[fecha_inicio]])</f>
        <v/>
      </c>
      <c r="AD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" s="5">
        <f>IF(tblOrdenes[[#This Row],[backlog_habiles]]="","",IF(tblOrdenes[[#This Row],[backlog_habiles]]&lt;0,"FUTURO",IF(tblOrdenes[[#This Row],[backlog_habiles]]&gt;p_dias_backlog_max,"BACKLOG","MES CORRIENTE")))</f>
        <v/>
      </c>
      <c r="AF28" s="5">
        <f>IF(tblOrdenes[[#This Row],[backlog_habiles]]="",FALSE,AND(tblOrdenes[[#This Row],[backlog_habiles]]&gt;p_dias_backlog_min,tblOrdenes[[#This Row],[backlog_habiles]]&lt;=p_dias_backlog_max))</f>
        <v/>
      </c>
      <c r="AG28" s="4" t="inlineStr">
        <is>
          <t>Miguel Martínez</t>
        </is>
      </c>
      <c r="AH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" s="18">
        <f>IF(tblOrdenes[[#This Row],[orden]]="","",_xlfn.XLOOKUP(tblOrdenes[[#This Row],[id_operacion]],tblEjecucion[id_operacion],tblEjecucion[precio],0))</f>
        <v/>
      </c>
      <c r="AL28" s="18">
        <f>IF(tblOrdenes[[#This Row],[orden]]="","",MAX(0,_xlfn.XLOOKUP(tblOrdenes[[#This Row],[id_operacion]],tblEjecucion[id_operacion],tblEjecucion[costo_plan_total],0)-tblOrdenes[[#This Row],[costo_servicio]]))</f>
        <v/>
      </c>
      <c r="AM28" s="18">
        <f>IF(tblOrdenes[[#This Row],[orden]]="","",tblOrdenes[[#This Row],[costo_servicio]]+tblOrdenes[[#This Row],[costo_materiales]])</f>
        <v/>
      </c>
      <c r="AN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" s="4" t="inlineStr"/>
      <c r="AP28" s="4" t="inlineStr"/>
      <c r="AQ28" s="4" t="inlineStr"/>
      <c r="AR28" s="5">
        <f>IF(tblOrdenes[[#This Row],[link_checklist]]="","",HYPERLINK(p_ruta_base_checklists&amp;tblOrdenes[[#This Row],[link_checklist]],"abrir"))</f>
        <v/>
      </c>
      <c r="AS28" s="4" t="inlineStr"/>
      <c r="AT28" s="5">
        <f>IF(tblOrdenes[[#This Row],[orden]]="","",tblOrdenes[[#This Row],[orden]]&amp;IF(tblOrdenes[[#This Row],[operacion]]="","0010",tblOrdenes[[#This Row],[operacion]]))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TIPO-P2</t>
        </is>
      </c>
      <c r="J29" s="22" t="n">
        <v>46237</v>
      </c>
      <c r="K29" s="5" t="n">
        <v>10</v>
      </c>
      <c r="L29" s="18" t="n">
        <v>250</v>
      </c>
      <c r="M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5">
        <f>IF(tblOrdenes[[#This Row],[fecha_inicio]]="","",YEAR(tblOrdenes[[#This Row],[fecha_inicio]]))</f>
        <v/>
      </c>
      <c r="Q29" s="5">
        <f>IF(tblOrdenes[[#This Row],[fecha_inicio]]="","",MONTH(tblOrdenes[[#This Row],[fecha_inicio]]))</f>
        <v/>
      </c>
      <c r="R29" s="5">
        <f>IF(tblOrdenes[[#This Row],[fecha_inicio]]="","",tblOrdenes[[#This Row],[anio]]&amp;"-"&amp;TEXT(tblOrdenes[[#This Row],[mes]],"00"))</f>
        <v/>
      </c>
      <c r="S29" s="5">
        <f>IF(tblOrdenes[[#This Row],[fecha_inicio]]="","",INDEX(lista_dias,WEEKDAY(tblOrdenes[[#This Row],[fecha_inicio]],2)))</f>
        <v/>
      </c>
      <c r="T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" s="5">
        <f>IF(tblOrdenes[[#This Row],[tipo_ot]]="","",_xlfn.XLOOKUP(tblOrdenes[[#This Row],[tipo_ot]],tblTiposOT[codigo],tblTiposOT[clasificacion],"sin_clasificar"))</f>
        <v/>
      </c>
      <c r="V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" s="5">
        <f>IF(tblOrdenes[[#This Row],[centro_costo]]="","",_xlfn.XLOOKUP(tblOrdenes[[#This Row],[centro_costo]],tblCECO[codigo],tblCECO[linea],"(sin catálogo)"))</f>
        <v/>
      </c>
      <c r="X29" s="5">
        <f>IF(tblOrdenes[[#This Row],[centro_costo]]="","",_xlfn.XLOOKUP(tblOrdenes[[#This Row],[centro_costo]],tblCECO[codigo],tblCECO[area],"(sin catálogo)"))</f>
        <v/>
      </c>
      <c r="Y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" s="5">
        <f>IF(tblOrdenes[[#This Row],[centro_costo]]="","",_xlfn.XLOOKUP(tblOrdenes[[#This Row],[centro_costo]],tblCECO[codigo],tblCECO[coordinador],"(sin catálogo)"))</f>
        <v/>
      </c>
      <c r="AA29" s="5">
        <f>IF(tblOrdenes[[#This Row],[puesto_trabajo]]="","",_xlfn.XLOOKUP(tblOrdenes[[#This Row],[puesto_trabajo]],tblPuestos[codigo],tblPuestos[especialidad],"(sin catálogo)"))</f>
        <v/>
      </c>
      <c r="AB29" s="5">
        <f>IF(tblOrdenes[[#This Row],[cod_actividad]]="","",_xlfn.XLOOKUP(tblOrdenes[[#This Row],[cod_actividad]],tblActividades[codigo],tblActividades[descripcion],"(sin catálogo)"))</f>
        <v/>
      </c>
      <c r="AC29" s="20">
        <f>IF(tblOrdenes[[#This Row],[fecha_inicio]]="","",TODAY()-tblOrdenes[[#This Row],[fecha_inicio]])</f>
        <v/>
      </c>
      <c r="AD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" s="5">
        <f>IF(tblOrdenes[[#This Row],[backlog_habiles]]="","",IF(tblOrdenes[[#This Row],[backlog_habiles]]&lt;0,"FUTURO",IF(tblOrdenes[[#This Row],[backlog_habiles]]&gt;p_dias_backlog_max,"BACKLOG","MES CORRIENTE")))</f>
        <v/>
      </c>
      <c r="AF29" s="5">
        <f>IF(tblOrdenes[[#This Row],[backlog_habiles]]="",FALSE,AND(tblOrdenes[[#This Row],[backlog_habiles]]&gt;p_dias_backlog_min,tblOrdenes[[#This Row],[backlog_habiles]]&lt;=p_dias_backlog_max))</f>
        <v/>
      </c>
      <c r="AG29" s="4" t="inlineStr">
        <is>
          <t>María Gómez</t>
        </is>
      </c>
      <c r="AH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" s="18">
        <f>IF(tblOrdenes[[#This Row],[orden]]="","",_xlfn.XLOOKUP(tblOrdenes[[#This Row],[id_operacion]],tblEjecucion[id_operacion],tblEjecucion[precio],0))</f>
        <v/>
      </c>
      <c r="AL29" s="18">
        <f>IF(tblOrdenes[[#This Row],[orden]]="","",MAX(0,_xlfn.XLOOKUP(tblOrdenes[[#This Row],[id_operacion]],tblEjecucion[id_operacion],tblEjecucion[costo_plan_total],0)-tblOrdenes[[#This Row],[costo_servicio]]))</f>
        <v/>
      </c>
      <c r="AM29" s="18">
        <f>IF(tblOrdenes[[#This Row],[orden]]="","",tblOrdenes[[#This Row],[costo_servicio]]+tblOrdenes[[#This Row],[costo_materiales]])</f>
        <v/>
      </c>
      <c r="AN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" s="4" t="inlineStr"/>
      <c r="AP29" s="4" t="inlineStr"/>
      <c r="AQ29" s="4" t="inlineStr">
        <is>
          <t>ACT-04.pdf</t>
        </is>
      </c>
      <c r="AR29" s="5">
        <f>IF(tblOrdenes[[#This Row],[link_checklist]]="","",HYPERLINK(p_ruta_base_checklists&amp;tblOrdenes[[#This Row],[link_checklist]],"abrir"))</f>
        <v/>
      </c>
      <c r="AS29" s="4" t="inlineStr"/>
      <c r="AT29" s="5">
        <f>IF(tblOrdenes[[#This Row],[orden]]="","",tblOrdenes[[#This Row],[orden]]&amp;IF(tblOrdenes[[#This Row],[operacion]]="","0010",tblOrdenes[[#This Row],[operacion]]))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TIPO-P1</t>
        </is>
      </c>
      <c r="J30" s="22" t="n">
        <v>46238</v>
      </c>
      <c r="K30" s="5" t="n">
        <v>8</v>
      </c>
      <c r="L30" s="18" t="n">
        <v>200</v>
      </c>
      <c r="M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5">
        <f>IF(tblOrdenes[[#This Row],[fecha_inicio]]="","",YEAR(tblOrdenes[[#This Row],[fecha_inicio]]))</f>
        <v/>
      </c>
      <c r="Q30" s="5">
        <f>IF(tblOrdenes[[#This Row],[fecha_inicio]]="","",MONTH(tblOrdenes[[#This Row],[fecha_inicio]]))</f>
        <v/>
      </c>
      <c r="R30" s="5">
        <f>IF(tblOrdenes[[#This Row],[fecha_inicio]]="","",tblOrdenes[[#This Row],[anio]]&amp;"-"&amp;TEXT(tblOrdenes[[#This Row],[mes]],"00"))</f>
        <v/>
      </c>
      <c r="S30" s="5">
        <f>IF(tblOrdenes[[#This Row],[fecha_inicio]]="","",INDEX(lista_dias,WEEKDAY(tblOrdenes[[#This Row],[fecha_inicio]],2)))</f>
        <v/>
      </c>
      <c r="T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" s="5">
        <f>IF(tblOrdenes[[#This Row],[tipo_ot]]="","",_xlfn.XLOOKUP(tblOrdenes[[#This Row],[tipo_ot]],tblTiposOT[codigo],tblTiposOT[clasificacion],"sin_clasificar"))</f>
        <v/>
      </c>
      <c r="V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" s="5">
        <f>IF(tblOrdenes[[#This Row],[centro_costo]]="","",_xlfn.XLOOKUP(tblOrdenes[[#This Row],[centro_costo]],tblCECO[codigo],tblCECO[linea],"(sin catálogo)"))</f>
        <v/>
      </c>
      <c r="X30" s="5">
        <f>IF(tblOrdenes[[#This Row],[centro_costo]]="","",_xlfn.XLOOKUP(tblOrdenes[[#This Row],[centro_costo]],tblCECO[codigo],tblCECO[area],"(sin catálogo)"))</f>
        <v/>
      </c>
      <c r="Y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" s="5">
        <f>IF(tblOrdenes[[#This Row],[centro_costo]]="","",_xlfn.XLOOKUP(tblOrdenes[[#This Row],[centro_costo]],tblCECO[codigo],tblCECO[coordinador],"(sin catálogo)"))</f>
        <v/>
      </c>
      <c r="AA30" s="5">
        <f>IF(tblOrdenes[[#This Row],[puesto_trabajo]]="","",_xlfn.XLOOKUP(tblOrdenes[[#This Row],[puesto_trabajo]],tblPuestos[codigo],tblPuestos[especialidad],"(sin catálogo)"))</f>
        <v/>
      </c>
      <c r="AB30" s="5">
        <f>IF(tblOrdenes[[#This Row],[cod_actividad]]="","",_xlfn.XLOOKUP(tblOrdenes[[#This Row],[cod_actividad]],tblActividades[codigo],tblActividades[descripcion],"(sin catálogo)"))</f>
        <v/>
      </c>
      <c r="AC30" s="20">
        <f>IF(tblOrdenes[[#This Row],[fecha_inicio]]="","",TODAY()-tblOrdenes[[#This Row],[fecha_inicio]])</f>
        <v/>
      </c>
      <c r="AD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" s="5">
        <f>IF(tblOrdenes[[#This Row],[backlog_habiles]]="","",IF(tblOrdenes[[#This Row],[backlog_habiles]]&lt;0,"FUTURO",IF(tblOrdenes[[#This Row],[backlog_habiles]]&gt;p_dias_backlog_max,"BACKLOG","MES CORRIENTE")))</f>
        <v/>
      </c>
      <c r="AF30" s="5">
        <f>IF(tblOrdenes[[#This Row],[backlog_habiles]]="",FALSE,AND(tblOrdenes[[#This Row],[backlog_habiles]]&gt;p_dias_backlog_min,tblOrdenes[[#This Row],[backlog_habiles]]&lt;=p_dias_backlog_max))</f>
        <v/>
      </c>
      <c r="AG30" s="4" t="inlineStr">
        <is>
          <t>Luis Rodríguez</t>
        </is>
      </c>
      <c r="AH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" s="18">
        <f>IF(tblOrdenes[[#This Row],[orden]]="","",_xlfn.XLOOKUP(tblOrdenes[[#This Row],[id_operacion]],tblEjecucion[id_operacion],tblEjecucion[precio],0))</f>
        <v/>
      </c>
      <c r="AL30" s="18">
        <f>IF(tblOrdenes[[#This Row],[orden]]="","",MAX(0,_xlfn.XLOOKUP(tblOrdenes[[#This Row],[id_operacion]],tblEjecucion[id_operacion],tblEjecucion[costo_plan_total],0)-tblOrdenes[[#This Row],[costo_servicio]]))</f>
        <v/>
      </c>
      <c r="AM30" s="18">
        <f>IF(tblOrdenes[[#This Row],[orden]]="","",tblOrdenes[[#This Row],[costo_servicio]]+tblOrdenes[[#This Row],[costo_materiales]])</f>
        <v/>
      </c>
      <c r="AN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" s="4" t="inlineStr"/>
      <c r="AP30" s="4" t="inlineStr"/>
      <c r="AQ30" s="4" t="inlineStr">
        <is>
          <t>ACT-01.pdf</t>
        </is>
      </c>
      <c r="AR30" s="5">
        <f>IF(tblOrdenes[[#This Row],[link_checklist]]="","",HYPERLINK(p_ruta_base_checklists&amp;tblOrdenes[[#This Row],[link_checklist]],"abrir"))</f>
        <v/>
      </c>
      <c r="AS30" s="4" t="inlineStr"/>
      <c r="AT30" s="5">
        <f>IF(tblOrdenes[[#This Row],[orden]]="","",tblOrdenes[[#This Row],[orden]]&amp;IF(tblOrdenes[[#This Row],[operacion]]="","0010",tblOrdenes[[#This Row],[operacion]]))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22" t="n">
        <v>46239</v>
      </c>
      <c r="K31" s="5" t="n">
        <v>6</v>
      </c>
      <c r="L31" s="18" t="n">
        <v>150</v>
      </c>
      <c r="M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5">
        <f>IF(tblOrdenes[[#This Row],[fecha_inicio]]="","",YEAR(tblOrdenes[[#This Row],[fecha_inicio]]))</f>
        <v/>
      </c>
      <c r="Q31" s="5">
        <f>IF(tblOrdenes[[#This Row],[fecha_inicio]]="","",MONTH(tblOrdenes[[#This Row],[fecha_inicio]]))</f>
        <v/>
      </c>
      <c r="R31" s="5">
        <f>IF(tblOrdenes[[#This Row],[fecha_inicio]]="","",tblOrdenes[[#This Row],[anio]]&amp;"-"&amp;TEXT(tblOrdenes[[#This Row],[mes]],"00"))</f>
        <v/>
      </c>
      <c r="S31" s="5">
        <f>IF(tblOrdenes[[#This Row],[fecha_inicio]]="","",INDEX(lista_dias,WEEKDAY(tblOrdenes[[#This Row],[fecha_inicio]],2)))</f>
        <v/>
      </c>
      <c r="T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" s="5">
        <f>IF(tblOrdenes[[#This Row],[tipo_ot]]="","",_xlfn.XLOOKUP(tblOrdenes[[#This Row],[tipo_ot]],tblTiposOT[codigo],tblTiposOT[clasificacion],"sin_clasificar"))</f>
        <v/>
      </c>
      <c r="V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" s="5">
        <f>IF(tblOrdenes[[#This Row],[centro_costo]]="","",_xlfn.XLOOKUP(tblOrdenes[[#This Row],[centro_costo]],tblCECO[codigo],tblCECO[linea],"(sin catálogo)"))</f>
        <v/>
      </c>
      <c r="X31" s="5">
        <f>IF(tblOrdenes[[#This Row],[centro_costo]]="","",_xlfn.XLOOKUP(tblOrdenes[[#This Row],[centro_costo]],tblCECO[codigo],tblCECO[area],"(sin catálogo)"))</f>
        <v/>
      </c>
      <c r="Y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" s="5">
        <f>IF(tblOrdenes[[#This Row],[centro_costo]]="","",_xlfn.XLOOKUP(tblOrdenes[[#This Row],[centro_costo]],tblCECO[codigo],tblCECO[coordinador],"(sin catálogo)"))</f>
        <v/>
      </c>
      <c r="AA31" s="5">
        <f>IF(tblOrdenes[[#This Row],[puesto_trabajo]]="","",_xlfn.XLOOKUP(tblOrdenes[[#This Row],[puesto_trabajo]],tblPuestos[codigo],tblPuestos[especialidad],"(sin catálogo)"))</f>
        <v/>
      </c>
      <c r="AB31" s="5">
        <f>IF(tblOrdenes[[#This Row],[cod_actividad]]="","",_xlfn.XLOOKUP(tblOrdenes[[#This Row],[cod_actividad]],tblActividades[codigo],tblActividades[descripcion],"(sin catálogo)"))</f>
        <v/>
      </c>
      <c r="AC31" s="20">
        <f>IF(tblOrdenes[[#This Row],[fecha_inicio]]="","",TODAY()-tblOrdenes[[#This Row],[fecha_inicio]])</f>
        <v/>
      </c>
      <c r="AD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" s="5">
        <f>IF(tblOrdenes[[#This Row],[backlog_habiles]]="","",IF(tblOrdenes[[#This Row],[backlog_habiles]]&lt;0,"FUTURO",IF(tblOrdenes[[#This Row],[backlog_habiles]]&gt;p_dias_backlog_max,"BACKLOG","MES CORRIENTE")))</f>
        <v/>
      </c>
      <c r="AF31" s="5">
        <f>IF(tblOrdenes[[#This Row],[backlog_habiles]]="",FALSE,AND(tblOrdenes[[#This Row],[backlog_habiles]]&gt;p_dias_backlog_min,tblOrdenes[[#This Row],[backlog_habiles]]&lt;=p_dias_backlog_max))</f>
        <v/>
      </c>
      <c r="AG31" s="4" t="inlineStr"/>
      <c r="AH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" s="18">
        <f>IF(tblOrdenes[[#This Row],[orden]]="","",_xlfn.XLOOKUP(tblOrdenes[[#This Row],[id_operacion]],tblEjecucion[id_operacion],tblEjecucion[precio],0))</f>
        <v/>
      </c>
      <c r="AL31" s="18">
        <f>IF(tblOrdenes[[#This Row],[orden]]="","",MAX(0,_xlfn.XLOOKUP(tblOrdenes[[#This Row],[id_operacion]],tblEjecucion[id_operacion],tblEjecucion[costo_plan_total],0)-tblOrdenes[[#This Row],[costo_servicio]]))</f>
        <v/>
      </c>
      <c r="AM31" s="18">
        <f>IF(tblOrdenes[[#This Row],[orden]]="","",tblOrdenes[[#This Row],[costo_servicio]]+tblOrdenes[[#This Row],[costo_materiales]])</f>
        <v/>
      </c>
      <c r="AN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" s="4" t="inlineStr"/>
      <c r="AP31" s="4" t="inlineStr"/>
      <c r="AQ31" s="4" t="inlineStr">
        <is>
          <t>ACT-02.pdf</t>
        </is>
      </c>
      <c r="AR31" s="5">
        <f>IF(tblOrdenes[[#This Row],[link_checklist]]="","",HYPERLINK(p_ruta_base_checklists&amp;tblOrdenes[[#This Row],[link_checklist]],"abrir"))</f>
        <v/>
      </c>
      <c r="AS31" s="4" t="inlineStr"/>
      <c r="AT31" s="5">
        <f>IF(tblOrdenes[[#This Row],[orden]]="","",tblOrdenes[[#This Row],[orden]]&amp;IF(tblOrdenes[[#This Row],[operacion]]="","0010",tblOrdenes[[#This Row],[operacion]]))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22" t="n">
        <v>46240</v>
      </c>
      <c r="K32" s="5" t="n">
        <v>10</v>
      </c>
      <c r="L32" s="18" t="n">
        <v>250</v>
      </c>
      <c r="M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5">
        <f>IF(tblOrdenes[[#This Row],[fecha_inicio]]="","",YEAR(tblOrdenes[[#This Row],[fecha_inicio]]))</f>
        <v/>
      </c>
      <c r="Q32" s="5">
        <f>IF(tblOrdenes[[#This Row],[fecha_inicio]]="","",MONTH(tblOrdenes[[#This Row],[fecha_inicio]]))</f>
        <v/>
      </c>
      <c r="R32" s="5">
        <f>IF(tblOrdenes[[#This Row],[fecha_inicio]]="","",tblOrdenes[[#This Row],[anio]]&amp;"-"&amp;TEXT(tblOrdenes[[#This Row],[mes]],"00"))</f>
        <v/>
      </c>
      <c r="S32" s="5">
        <f>IF(tblOrdenes[[#This Row],[fecha_inicio]]="","",INDEX(lista_dias,WEEKDAY(tblOrdenes[[#This Row],[fecha_inicio]],2)))</f>
        <v/>
      </c>
      <c r="T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" s="5">
        <f>IF(tblOrdenes[[#This Row],[tipo_ot]]="","",_xlfn.XLOOKUP(tblOrdenes[[#This Row],[tipo_ot]],tblTiposOT[codigo],tblTiposOT[clasificacion],"sin_clasificar"))</f>
        <v/>
      </c>
      <c r="V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" s="5">
        <f>IF(tblOrdenes[[#This Row],[centro_costo]]="","",_xlfn.XLOOKUP(tblOrdenes[[#This Row],[centro_costo]],tblCECO[codigo],tblCECO[linea],"(sin catálogo)"))</f>
        <v/>
      </c>
      <c r="X32" s="5">
        <f>IF(tblOrdenes[[#This Row],[centro_costo]]="","",_xlfn.XLOOKUP(tblOrdenes[[#This Row],[centro_costo]],tblCECO[codigo],tblCECO[area],"(sin catálogo)"))</f>
        <v/>
      </c>
      <c r="Y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" s="5">
        <f>IF(tblOrdenes[[#This Row],[centro_costo]]="","",_xlfn.XLOOKUP(tblOrdenes[[#This Row],[centro_costo]],tblCECO[codigo],tblCECO[coordinador],"(sin catálogo)"))</f>
        <v/>
      </c>
      <c r="AA32" s="5">
        <f>IF(tblOrdenes[[#This Row],[puesto_trabajo]]="","",_xlfn.XLOOKUP(tblOrdenes[[#This Row],[puesto_trabajo]],tblPuestos[codigo],tblPuestos[especialidad],"(sin catálogo)"))</f>
        <v/>
      </c>
      <c r="AB32" s="5">
        <f>IF(tblOrdenes[[#This Row],[cod_actividad]]="","",_xlfn.XLOOKUP(tblOrdenes[[#This Row],[cod_actividad]],tblActividades[codigo],tblActividades[descripcion],"(sin catálogo)"))</f>
        <v/>
      </c>
      <c r="AC32" s="20">
        <f>IF(tblOrdenes[[#This Row],[fecha_inicio]]="","",TODAY()-tblOrdenes[[#This Row],[fecha_inicio]])</f>
        <v/>
      </c>
      <c r="AD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" s="5">
        <f>IF(tblOrdenes[[#This Row],[backlog_habiles]]="","",IF(tblOrdenes[[#This Row],[backlog_habiles]]&lt;0,"FUTURO",IF(tblOrdenes[[#This Row],[backlog_habiles]]&gt;p_dias_backlog_max,"BACKLOG","MES CORRIENTE")))</f>
        <v/>
      </c>
      <c r="AF32" s="5">
        <f>IF(tblOrdenes[[#This Row],[backlog_habiles]]="",FALSE,AND(tblOrdenes[[#This Row],[backlog_habiles]]&gt;p_dias_backlog_min,tblOrdenes[[#This Row],[backlog_habiles]]&lt;=p_dias_backlog_max))</f>
        <v/>
      </c>
      <c r="AG32" s="4" t="inlineStr">
        <is>
          <t>David Torres</t>
        </is>
      </c>
      <c r="AH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" s="18">
        <f>IF(tblOrdenes[[#This Row],[orden]]="","",_xlfn.XLOOKUP(tblOrdenes[[#This Row],[id_operacion]],tblEjecucion[id_operacion],tblEjecucion[precio],0))</f>
        <v/>
      </c>
      <c r="AL32" s="18">
        <f>IF(tblOrdenes[[#This Row],[orden]]="","",MAX(0,_xlfn.XLOOKUP(tblOrdenes[[#This Row],[id_operacion]],tblEjecucion[id_operacion],tblEjecucion[costo_plan_total],0)-tblOrdenes[[#This Row],[costo_servicio]]))</f>
        <v/>
      </c>
      <c r="AM32" s="18">
        <f>IF(tblOrdenes[[#This Row],[orden]]="","",tblOrdenes[[#This Row],[costo_servicio]]+tblOrdenes[[#This Row],[costo_materiales]])</f>
        <v/>
      </c>
      <c r="AN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" s="4" t="inlineStr"/>
      <c r="AP32" s="4" t="inlineStr"/>
      <c r="AQ32" s="4" t="inlineStr">
        <is>
          <t>ACT-04.pdf</t>
        </is>
      </c>
      <c r="AR32" s="5">
        <f>IF(tblOrdenes[[#This Row],[link_checklist]]="","",HYPERLINK(p_ruta_base_checklists&amp;tblOrdenes[[#This Row],[link_checklist]],"abrir"))</f>
        <v/>
      </c>
      <c r="AS32" s="4" t="inlineStr"/>
      <c r="AT32" s="5">
        <f>IF(tblOrdenes[[#This Row],[orden]]="","",tblOrdenes[[#This Row],[orden]]&amp;IF(tblOrdenes[[#This Row],[operacion]]="","0010",tblOrdenes[[#This Row],[operacion]]))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22" t="n">
        <v>46241</v>
      </c>
      <c r="K33" s="5" t="n">
        <v>8</v>
      </c>
      <c r="L33" s="18" t="n">
        <v>200</v>
      </c>
      <c r="M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5">
        <f>IF(tblOrdenes[[#This Row],[fecha_inicio]]="","",YEAR(tblOrdenes[[#This Row],[fecha_inicio]]))</f>
        <v/>
      </c>
      <c r="Q33" s="5">
        <f>IF(tblOrdenes[[#This Row],[fecha_inicio]]="","",MONTH(tblOrdenes[[#This Row],[fecha_inicio]]))</f>
        <v/>
      </c>
      <c r="R33" s="5">
        <f>IF(tblOrdenes[[#This Row],[fecha_inicio]]="","",tblOrdenes[[#This Row],[anio]]&amp;"-"&amp;TEXT(tblOrdenes[[#This Row],[mes]],"00"))</f>
        <v/>
      </c>
      <c r="S33" s="5">
        <f>IF(tblOrdenes[[#This Row],[fecha_inicio]]="","",INDEX(lista_dias,WEEKDAY(tblOrdenes[[#This Row],[fecha_inicio]],2)))</f>
        <v/>
      </c>
      <c r="T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" s="5">
        <f>IF(tblOrdenes[[#This Row],[tipo_ot]]="","",_xlfn.XLOOKUP(tblOrdenes[[#This Row],[tipo_ot]],tblTiposOT[codigo],tblTiposOT[clasificacion],"sin_clasificar"))</f>
        <v/>
      </c>
      <c r="V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" s="5">
        <f>IF(tblOrdenes[[#This Row],[centro_costo]]="","",_xlfn.XLOOKUP(tblOrdenes[[#This Row],[centro_costo]],tblCECO[codigo],tblCECO[linea],"(sin catálogo)"))</f>
        <v/>
      </c>
      <c r="X33" s="5">
        <f>IF(tblOrdenes[[#This Row],[centro_costo]]="","",_xlfn.XLOOKUP(tblOrdenes[[#This Row],[centro_costo]],tblCECO[codigo],tblCECO[area],"(sin catálogo)"))</f>
        <v/>
      </c>
      <c r="Y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" s="5">
        <f>IF(tblOrdenes[[#This Row],[centro_costo]]="","",_xlfn.XLOOKUP(tblOrdenes[[#This Row],[centro_costo]],tblCECO[codigo],tblCECO[coordinador],"(sin catálogo)"))</f>
        <v/>
      </c>
      <c r="AA33" s="5">
        <f>IF(tblOrdenes[[#This Row],[puesto_trabajo]]="","",_xlfn.XLOOKUP(tblOrdenes[[#This Row],[puesto_trabajo]],tblPuestos[codigo],tblPuestos[especialidad],"(sin catálogo)"))</f>
        <v/>
      </c>
      <c r="AB33" s="5">
        <f>IF(tblOrdenes[[#This Row],[cod_actividad]]="","",_xlfn.XLOOKUP(tblOrdenes[[#This Row],[cod_actividad]],tblActividades[codigo],tblActividades[descripcion],"(sin catálogo)"))</f>
        <v/>
      </c>
      <c r="AC33" s="20">
        <f>IF(tblOrdenes[[#This Row],[fecha_inicio]]="","",TODAY()-tblOrdenes[[#This Row],[fecha_inicio]])</f>
        <v/>
      </c>
      <c r="AD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" s="5">
        <f>IF(tblOrdenes[[#This Row],[backlog_habiles]]="","",IF(tblOrdenes[[#This Row],[backlog_habiles]]&lt;0,"FUTURO",IF(tblOrdenes[[#This Row],[backlog_habiles]]&gt;p_dias_backlog_max,"BACKLOG","MES CORRIENTE")))</f>
        <v/>
      </c>
      <c r="AF33" s="5">
        <f>IF(tblOrdenes[[#This Row],[backlog_habiles]]="",FALSE,AND(tblOrdenes[[#This Row],[backlog_habiles]]&gt;p_dias_backlog_min,tblOrdenes[[#This Row],[backlog_habiles]]&lt;=p_dias_backlog_max))</f>
        <v/>
      </c>
      <c r="AG33" s="4" t="inlineStr">
        <is>
          <t>Francisco Ramírez</t>
        </is>
      </c>
      <c r="AH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" s="18">
        <f>IF(tblOrdenes[[#This Row],[orden]]="","",_xlfn.XLOOKUP(tblOrdenes[[#This Row],[id_operacion]],tblEjecucion[id_operacion],tblEjecucion[precio],0))</f>
        <v/>
      </c>
      <c r="AL33" s="18">
        <f>IF(tblOrdenes[[#This Row],[orden]]="","",MAX(0,_xlfn.XLOOKUP(tblOrdenes[[#This Row],[id_operacion]],tblEjecucion[id_operacion],tblEjecucion[costo_plan_total],0)-tblOrdenes[[#This Row],[costo_servicio]]))</f>
        <v/>
      </c>
      <c r="AM33" s="18">
        <f>IF(tblOrdenes[[#This Row],[orden]]="","",tblOrdenes[[#This Row],[costo_servicio]]+tblOrdenes[[#This Row],[costo_materiales]])</f>
        <v/>
      </c>
      <c r="AN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" s="4" t="inlineStr"/>
      <c r="AP33" s="4" t="inlineStr"/>
      <c r="AQ33" s="4" t="inlineStr">
        <is>
          <t>ACT-01.pdf</t>
        </is>
      </c>
      <c r="AR33" s="5">
        <f>IF(tblOrdenes[[#This Row],[link_checklist]]="","",HYPERLINK(p_ruta_base_checklists&amp;tblOrdenes[[#This Row],[link_checklist]],"abrir"))</f>
        <v/>
      </c>
      <c r="AS33" s="4" t="inlineStr"/>
      <c r="AT33" s="5">
        <f>IF(tblOrdenes[[#This Row],[orden]]="","",tblOrdenes[[#This Row],[orden]]&amp;IF(tblOrdenes[[#This Row],[operacion]]="","0010",tblOrdenes[[#This Row],[operacion]]))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TIPO-P1</t>
        </is>
      </c>
      <c r="J34" s="22" t="n">
        <v>46237</v>
      </c>
      <c r="K34" s="5" t="n">
        <v>6</v>
      </c>
      <c r="L34" s="18" t="n">
        <v>150</v>
      </c>
      <c r="M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5">
        <f>IF(tblOrdenes[[#This Row],[fecha_inicio]]="","",YEAR(tblOrdenes[[#This Row],[fecha_inicio]]))</f>
        <v/>
      </c>
      <c r="Q34" s="5">
        <f>IF(tblOrdenes[[#This Row],[fecha_inicio]]="","",MONTH(tblOrdenes[[#This Row],[fecha_inicio]]))</f>
        <v/>
      </c>
      <c r="R34" s="5">
        <f>IF(tblOrdenes[[#This Row],[fecha_inicio]]="","",tblOrdenes[[#This Row],[anio]]&amp;"-"&amp;TEXT(tblOrdenes[[#This Row],[mes]],"00"))</f>
        <v/>
      </c>
      <c r="S34" s="5">
        <f>IF(tblOrdenes[[#This Row],[fecha_inicio]]="","",INDEX(lista_dias,WEEKDAY(tblOrdenes[[#This Row],[fecha_inicio]],2)))</f>
        <v/>
      </c>
      <c r="T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" s="5">
        <f>IF(tblOrdenes[[#This Row],[tipo_ot]]="","",_xlfn.XLOOKUP(tblOrdenes[[#This Row],[tipo_ot]],tblTiposOT[codigo],tblTiposOT[clasificacion],"sin_clasificar"))</f>
        <v/>
      </c>
      <c r="V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" s="5">
        <f>IF(tblOrdenes[[#This Row],[centro_costo]]="","",_xlfn.XLOOKUP(tblOrdenes[[#This Row],[centro_costo]],tblCECO[codigo],tblCECO[linea],"(sin catálogo)"))</f>
        <v/>
      </c>
      <c r="X34" s="5">
        <f>IF(tblOrdenes[[#This Row],[centro_costo]]="","",_xlfn.XLOOKUP(tblOrdenes[[#This Row],[centro_costo]],tblCECO[codigo],tblCECO[area],"(sin catálogo)"))</f>
        <v/>
      </c>
      <c r="Y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" s="5">
        <f>IF(tblOrdenes[[#This Row],[centro_costo]]="","",_xlfn.XLOOKUP(tblOrdenes[[#This Row],[centro_costo]],tblCECO[codigo],tblCECO[coordinador],"(sin catálogo)"))</f>
        <v/>
      </c>
      <c r="AA34" s="5">
        <f>IF(tblOrdenes[[#This Row],[puesto_trabajo]]="","",_xlfn.XLOOKUP(tblOrdenes[[#This Row],[puesto_trabajo]],tblPuestos[codigo],tblPuestos[especialidad],"(sin catálogo)"))</f>
        <v/>
      </c>
      <c r="AB34" s="5">
        <f>IF(tblOrdenes[[#This Row],[cod_actividad]]="","",_xlfn.XLOOKUP(tblOrdenes[[#This Row],[cod_actividad]],tblActividades[codigo],tblActividades[descripcion],"(sin catálogo)"))</f>
        <v/>
      </c>
      <c r="AC34" s="20">
        <f>IF(tblOrdenes[[#This Row],[fecha_inicio]]="","",TODAY()-tblOrdenes[[#This Row],[fecha_inicio]])</f>
        <v/>
      </c>
      <c r="AD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" s="5">
        <f>IF(tblOrdenes[[#This Row],[backlog_habiles]]="","",IF(tblOrdenes[[#This Row],[backlog_habiles]]&lt;0,"FUTURO",IF(tblOrdenes[[#This Row],[backlog_habiles]]&gt;p_dias_backlog_max,"BACKLOG","MES CORRIENTE")))</f>
        <v/>
      </c>
      <c r="AF34" s="5">
        <f>IF(tblOrdenes[[#This Row],[backlog_habiles]]="",FALSE,AND(tblOrdenes[[#This Row],[backlog_habiles]]&gt;p_dias_backlog_min,tblOrdenes[[#This Row],[backlog_habiles]]&lt;=p_dias_backlog_max))</f>
        <v/>
      </c>
      <c r="AG34" s="4" t="inlineStr">
        <is>
          <t>Carlos Pérez</t>
        </is>
      </c>
      <c r="AH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" s="18">
        <f>IF(tblOrdenes[[#This Row],[orden]]="","",_xlfn.XLOOKUP(tblOrdenes[[#This Row],[id_operacion]],tblEjecucion[id_operacion],tblEjecucion[precio],0))</f>
        <v/>
      </c>
      <c r="AL34" s="18">
        <f>IF(tblOrdenes[[#This Row],[orden]]="","",MAX(0,_xlfn.XLOOKUP(tblOrdenes[[#This Row],[id_operacion]],tblEjecucion[id_operacion],tblEjecucion[costo_plan_total],0)-tblOrdenes[[#This Row],[costo_servicio]]))</f>
        <v/>
      </c>
      <c r="AM34" s="18">
        <f>IF(tblOrdenes[[#This Row],[orden]]="","",tblOrdenes[[#This Row],[costo_servicio]]+tblOrdenes[[#This Row],[costo_materiales]])</f>
        <v/>
      </c>
      <c r="AN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" s="4" t="inlineStr"/>
      <c r="AP34" s="4" t="inlineStr"/>
      <c r="AQ34" s="4" t="inlineStr">
        <is>
          <t>ACT-02.pdf</t>
        </is>
      </c>
      <c r="AR34" s="5">
        <f>IF(tblOrdenes[[#This Row],[link_checklist]]="","",HYPERLINK(p_ruta_base_checklists&amp;tblOrdenes[[#This Row],[link_checklist]],"abrir"))</f>
        <v/>
      </c>
      <c r="AS34" s="4" t="inlineStr"/>
      <c r="AT34" s="5">
        <f>IF(tblOrdenes[[#This Row],[orden]]="","",tblOrdenes[[#This Row],[orden]]&amp;IF(tblOrdenes[[#This Row],[operacion]]="","0010",tblOrdenes[[#This Row],[operacion]]))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TIPO-P2</t>
        </is>
      </c>
      <c r="J35" s="22" t="n">
        <v>46238</v>
      </c>
      <c r="K35" s="5" t="n">
        <v>10</v>
      </c>
      <c r="L35" s="18" t="n">
        <v>250</v>
      </c>
      <c r="M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5">
        <f>IF(tblOrdenes[[#This Row],[fecha_inicio]]="","",YEAR(tblOrdenes[[#This Row],[fecha_inicio]]))</f>
        <v/>
      </c>
      <c r="Q35" s="5">
        <f>IF(tblOrdenes[[#This Row],[fecha_inicio]]="","",MONTH(tblOrdenes[[#This Row],[fecha_inicio]]))</f>
        <v/>
      </c>
      <c r="R35" s="5">
        <f>IF(tblOrdenes[[#This Row],[fecha_inicio]]="","",tblOrdenes[[#This Row],[anio]]&amp;"-"&amp;TEXT(tblOrdenes[[#This Row],[mes]],"00"))</f>
        <v/>
      </c>
      <c r="S35" s="5">
        <f>IF(tblOrdenes[[#This Row],[fecha_inicio]]="","",INDEX(lista_dias,WEEKDAY(tblOrdenes[[#This Row],[fecha_inicio]],2)))</f>
        <v/>
      </c>
      <c r="T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" s="5">
        <f>IF(tblOrdenes[[#This Row],[tipo_ot]]="","",_xlfn.XLOOKUP(tblOrdenes[[#This Row],[tipo_ot]],tblTiposOT[codigo],tblTiposOT[clasificacion],"sin_clasificar"))</f>
        <v/>
      </c>
      <c r="V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" s="5">
        <f>IF(tblOrdenes[[#This Row],[centro_costo]]="","",_xlfn.XLOOKUP(tblOrdenes[[#This Row],[centro_costo]],tblCECO[codigo],tblCECO[linea],"(sin catálogo)"))</f>
        <v/>
      </c>
      <c r="X35" s="5">
        <f>IF(tblOrdenes[[#This Row],[centro_costo]]="","",_xlfn.XLOOKUP(tblOrdenes[[#This Row],[centro_costo]],tblCECO[codigo],tblCECO[area],"(sin catálogo)"))</f>
        <v/>
      </c>
      <c r="Y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" s="5">
        <f>IF(tblOrdenes[[#This Row],[centro_costo]]="","",_xlfn.XLOOKUP(tblOrdenes[[#This Row],[centro_costo]],tblCECO[codigo],tblCECO[coordinador],"(sin catálogo)"))</f>
        <v/>
      </c>
      <c r="AA35" s="5">
        <f>IF(tblOrdenes[[#This Row],[puesto_trabajo]]="","",_xlfn.XLOOKUP(tblOrdenes[[#This Row],[puesto_trabajo]],tblPuestos[codigo],tblPuestos[especialidad],"(sin catálogo)"))</f>
        <v/>
      </c>
      <c r="AB35" s="5">
        <f>IF(tblOrdenes[[#This Row],[cod_actividad]]="","",_xlfn.XLOOKUP(tblOrdenes[[#This Row],[cod_actividad]],tblActividades[codigo],tblActividades[descripcion],"(sin catálogo)"))</f>
        <v/>
      </c>
      <c r="AC35" s="20">
        <f>IF(tblOrdenes[[#This Row],[fecha_inicio]]="","",TODAY()-tblOrdenes[[#This Row],[fecha_inicio]])</f>
        <v/>
      </c>
      <c r="AD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" s="5">
        <f>IF(tblOrdenes[[#This Row],[backlog_habiles]]="","",IF(tblOrdenes[[#This Row],[backlog_habiles]]&lt;0,"FUTURO",IF(tblOrdenes[[#This Row],[backlog_habiles]]&gt;p_dias_backlog_max,"BACKLOG","MES CORRIENTE")))</f>
        <v/>
      </c>
      <c r="AF35" s="5">
        <f>IF(tblOrdenes[[#This Row],[backlog_habiles]]="",FALSE,AND(tblOrdenes[[#This Row],[backlog_habiles]]&gt;p_dias_backlog_min,tblOrdenes[[#This Row],[backlog_habiles]]&lt;=p_dias_backlog_max))</f>
        <v/>
      </c>
      <c r="AG35" s="4" t="inlineStr">
        <is>
          <t>María Gómez</t>
        </is>
      </c>
      <c r="AH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" s="18">
        <f>IF(tblOrdenes[[#This Row],[orden]]="","",_xlfn.XLOOKUP(tblOrdenes[[#This Row],[id_operacion]],tblEjecucion[id_operacion],tblEjecucion[precio],0))</f>
        <v/>
      </c>
      <c r="AL35" s="18">
        <f>IF(tblOrdenes[[#This Row],[orden]]="","",MAX(0,_xlfn.XLOOKUP(tblOrdenes[[#This Row],[id_operacion]],tblEjecucion[id_operacion],tblEjecucion[costo_plan_total],0)-tblOrdenes[[#This Row],[costo_servicio]]))</f>
        <v/>
      </c>
      <c r="AM35" s="18">
        <f>IF(tblOrdenes[[#This Row],[orden]]="","",tblOrdenes[[#This Row],[costo_servicio]]+tblOrdenes[[#This Row],[costo_materiales]])</f>
        <v/>
      </c>
      <c r="AN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" s="4" t="inlineStr"/>
      <c r="AP35" s="4" t="inlineStr"/>
      <c r="AQ35" s="4" t="inlineStr">
        <is>
          <t>ACT-04.pdf</t>
        </is>
      </c>
      <c r="AR35" s="5">
        <f>IF(tblOrdenes[[#This Row],[link_checklist]]="","",HYPERLINK(p_ruta_base_checklists&amp;tblOrdenes[[#This Row],[link_checklist]],"abrir"))</f>
        <v/>
      </c>
      <c r="AS35" s="4" t="inlineStr"/>
      <c r="AT35" s="5">
        <f>IF(tblOrdenes[[#This Row],[orden]]="","",tblOrdenes[[#This Row],[orden]]&amp;IF(tblOrdenes[[#This Row],[operacion]]="","0010",tblOrdenes[[#This Row],[operacion]]))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TIPO-P1</t>
        </is>
      </c>
      <c r="J36" s="22" t="n">
        <v>46239</v>
      </c>
      <c r="K36" s="5" t="n">
        <v>8</v>
      </c>
      <c r="L36" s="18" t="n">
        <v>200</v>
      </c>
      <c r="M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5">
        <f>IF(tblOrdenes[[#This Row],[fecha_inicio]]="","",YEAR(tblOrdenes[[#This Row],[fecha_inicio]]))</f>
        <v/>
      </c>
      <c r="Q36" s="5">
        <f>IF(tblOrdenes[[#This Row],[fecha_inicio]]="","",MONTH(tblOrdenes[[#This Row],[fecha_inicio]]))</f>
        <v/>
      </c>
      <c r="R36" s="5">
        <f>IF(tblOrdenes[[#This Row],[fecha_inicio]]="","",tblOrdenes[[#This Row],[anio]]&amp;"-"&amp;TEXT(tblOrdenes[[#This Row],[mes]],"00"))</f>
        <v/>
      </c>
      <c r="S36" s="5">
        <f>IF(tblOrdenes[[#This Row],[fecha_inicio]]="","",INDEX(lista_dias,WEEKDAY(tblOrdenes[[#This Row],[fecha_inicio]],2)))</f>
        <v/>
      </c>
      <c r="T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" s="5">
        <f>IF(tblOrdenes[[#This Row],[tipo_ot]]="","",_xlfn.XLOOKUP(tblOrdenes[[#This Row],[tipo_ot]],tblTiposOT[codigo],tblTiposOT[clasificacion],"sin_clasificar"))</f>
        <v/>
      </c>
      <c r="V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" s="5">
        <f>IF(tblOrdenes[[#This Row],[centro_costo]]="","",_xlfn.XLOOKUP(tblOrdenes[[#This Row],[centro_costo]],tblCECO[codigo],tblCECO[linea],"(sin catálogo)"))</f>
        <v/>
      </c>
      <c r="X36" s="5">
        <f>IF(tblOrdenes[[#This Row],[centro_costo]]="","",_xlfn.XLOOKUP(tblOrdenes[[#This Row],[centro_costo]],tblCECO[codigo],tblCECO[area],"(sin catálogo)"))</f>
        <v/>
      </c>
      <c r="Y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" s="5">
        <f>IF(tblOrdenes[[#This Row],[centro_costo]]="","",_xlfn.XLOOKUP(tblOrdenes[[#This Row],[centro_costo]],tblCECO[codigo],tblCECO[coordinador],"(sin catálogo)"))</f>
        <v/>
      </c>
      <c r="AA36" s="5">
        <f>IF(tblOrdenes[[#This Row],[puesto_trabajo]]="","",_xlfn.XLOOKUP(tblOrdenes[[#This Row],[puesto_trabajo]],tblPuestos[codigo],tblPuestos[especialidad],"(sin catálogo)"))</f>
        <v/>
      </c>
      <c r="AB36" s="5">
        <f>IF(tblOrdenes[[#This Row],[cod_actividad]]="","",_xlfn.XLOOKUP(tblOrdenes[[#This Row],[cod_actividad]],tblActividades[codigo],tblActividades[descripcion],"(sin catálogo)"))</f>
        <v/>
      </c>
      <c r="AC36" s="20">
        <f>IF(tblOrdenes[[#This Row],[fecha_inicio]]="","",TODAY()-tblOrdenes[[#This Row],[fecha_inicio]])</f>
        <v/>
      </c>
      <c r="AD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" s="5">
        <f>IF(tblOrdenes[[#This Row],[backlog_habiles]]="","",IF(tblOrdenes[[#This Row],[backlog_habiles]]&lt;0,"FUTURO",IF(tblOrdenes[[#This Row],[backlog_habiles]]&gt;p_dias_backlog_max,"BACKLOG","MES CORRIENTE")))</f>
        <v/>
      </c>
      <c r="AF36" s="5">
        <f>IF(tblOrdenes[[#This Row],[backlog_habiles]]="",FALSE,AND(tblOrdenes[[#This Row],[backlog_habiles]]&gt;p_dias_backlog_min,tblOrdenes[[#This Row],[backlog_habiles]]&lt;=p_dias_backlog_max))</f>
        <v/>
      </c>
      <c r="AG36" s="4" t="inlineStr">
        <is>
          <t>Luis Rodríguez</t>
        </is>
      </c>
      <c r="AH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" s="18">
        <f>IF(tblOrdenes[[#This Row],[orden]]="","",_xlfn.XLOOKUP(tblOrdenes[[#This Row],[id_operacion]],tblEjecucion[id_operacion],tblEjecucion[precio],0))</f>
        <v/>
      </c>
      <c r="AL36" s="18">
        <f>IF(tblOrdenes[[#This Row],[orden]]="","",MAX(0,_xlfn.XLOOKUP(tblOrdenes[[#This Row],[id_operacion]],tblEjecucion[id_operacion],tblEjecucion[costo_plan_total],0)-tblOrdenes[[#This Row],[costo_servicio]]))</f>
        <v/>
      </c>
      <c r="AM36" s="18">
        <f>IF(tblOrdenes[[#This Row],[orden]]="","",tblOrdenes[[#This Row],[costo_servicio]]+tblOrdenes[[#This Row],[costo_materiales]])</f>
        <v/>
      </c>
      <c r="AN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" s="4" t="inlineStr"/>
      <c r="AP36" s="4" t="inlineStr"/>
      <c r="AQ36" s="4" t="inlineStr">
        <is>
          <t>ACT-01.pdf</t>
        </is>
      </c>
      <c r="AR36" s="5">
        <f>IF(tblOrdenes[[#This Row],[link_checklist]]="","",HYPERLINK(p_ruta_base_checklists&amp;tblOrdenes[[#This Row],[link_checklist]],"abrir"))</f>
        <v/>
      </c>
      <c r="AS36" s="4" t="inlineStr"/>
      <c r="AT36" s="5">
        <f>IF(tblOrdenes[[#This Row],[orden]]="","",tblOrdenes[[#This Row],[orden]]&amp;IF(tblOrdenes[[#This Row],[operacion]]="","0010",tblOrdenes[[#This Row],[operacion]]))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22" t="n">
        <v>46240</v>
      </c>
      <c r="K37" s="5" t="n">
        <v>6</v>
      </c>
      <c r="L37" s="18" t="n">
        <v>150</v>
      </c>
      <c r="M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5">
        <f>IF(tblOrdenes[[#This Row],[fecha_inicio]]="","",YEAR(tblOrdenes[[#This Row],[fecha_inicio]]))</f>
        <v/>
      </c>
      <c r="Q37" s="5">
        <f>IF(tblOrdenes[[#This Row],[fecha_inicio]]="","",MONTH(tblOrdenes[[#This Row],[fecha_inicio]]))</f>
        <v/>
      </c>
      <c r="R37" s="5">
        <f>IF(tblOrdenes[[#This Row],[fecha_inicio]]="","",tblOrdenes[[#This Row],[anio]]&amp;"-"&amp;TEXT(tblOrdenes[[#This Row],[mes]],"00"))</f>
        <v/>
      </c>
      <c r="S37" s="5">
        <f>IF(tblOrdenes[[#This Row],[fecha_inicio]]="","",INDEX(lista_dias,WEEKDAY(tblOrdenes[[#This Row],[fecha_inicio]],2)))</f>
        <v/>
      </c>
      <c r="T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" s="5">
        <f>IF(tblOrdenes[[#This Row],[tipo_ot]]="","",_xlfn.XLOOKUP(tblOrdenes[[#This Row],[tipo_ot]],tblTiposOT[codigo],tblTiposOT[clasificacion],"sin_clasificar"))</f>
        <v/>
      </c>
      <c r="V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" s="5">
        <f>IF(tblOrdenes[[#This Row],[centro_costo]]="","",_xlfn.XLOOKUP(tblOrdenes[[#This Row],[centro_costo]],tblCECO[codigo],tblCECO[linea],"(sin catálogo)"))</f>
        <v/>
      </c>
      <c r="X37" s="5">
        <f>IF(tblOrdenes[[#This Row],[centro_costo]]="","",_xlfn.XLOOKUP(tblOrdenes[[#This Row],[centro_costo]],tblCECO[codigo],tblCECO[area],"(sin catálogo)"))</f>
        <v/>
      </c>
      <c r="Y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" s="5">
        <f>IF(tblOrdenes[[#This Row],[centro_costo]]="","",_xlfn.XLOOKUP(tblOrdenes[[#This Row],[centro_costo]],tblCECO[codigo],tblCECO[coordinador],"(sin catálogo)"))</f>
        <v/>
      </c>
      <c r="AA37" s="5">
        <f>IF(tblOrdenes[[#This Row],[puesto_trabajo]]="","",_xlfn.XLOOKUP(tblOrdenes[[#This Row],[puesto_trabajo]],tblPuestos[codigo],tblPuestos[especialidad],"(sin catálogo)"))</f>
        <v/>
      </c>
      <c r="AB37" s="5">
        <f>IF(tblOrdenes[[#This Row],[cod_actividad]]="","",_xlfn.XLOOKUP(tblOrdenes[[#This Row],[cod_actividad]],tblActividades[codigo],tblActividades[descripcion],"(sin catálogo)"))</f>
        <v/>
      </c>
      <c r="AC37" s="20">
        <f>IF(tblOrdenes[[#This Row],[fecha_inicio]]="","",TODAY()-tblOrdenes[[#This Row],[fecha_inicio]])</f>
        <v/>
      </c>
      <c r="AD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" s="5">
        <f>IF(tblOrdenes[[#This Row],[backlog_habiles]]="","",IF(tblOrdenes[[#This Row],[backlog_habiles]]&lt;0,"FUTURO",IF(tblOrdenes[[#This Row],[backlog_habiles]]&gt;p_dias_backlog_max,"BACKLOG","MES CORRIENTE")))</f>
        <v/>
      </c>
      <c r="AF37" s="5">
        <f>IF(tblOrdenes[[#This Row],[backlog_habiles]]="",FALSE,AND(tblOrdenes[[#This Row],[backlog_habiles]]&gt;p_dias_backlog_min,tblOrdenes[[#This Row],[backlog_habiles]]&lt;=p_dias_backlog_max))</f>
        <v/>
      </c>
      <c r="AG37" s="4" t="inlineStr"/>
      <c r="AH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" s="18">
        <f>IF(tblOrdenes[[#This Row],[orden]]="","",_xlfn.XLOOKUP(tblOrdenes[[#This Row],[id_operacion]],tblEjecucion[id_operacion],tblEjecucion[precio],0))</f>
        <v/>
      </c>
      <c r="AL37" s="18">
        <f>IF(tblOrdenes[[#This Row],[orden]]="","",MAX(0,_xlfn.XLOOKUP(tblOrdenes[[#This Row],[id_operacion]],tblEjecucion[id_operacion],tblEjecucion[costo_plan_total],0)-tblOrdenes[[#This Row],[costo_servicio]]))</f>
        <v/>
      </c>
      <c r="AM37" s="18">
        <f>IF(tblOrdenes[[#This Row],[orden]]="","",tblOrdenes[[#This Row],[costo_servicio]]+tblOrdenes[[#This Row],[costo_materiales]])</f>
        <v/>
      </c>
      <c r="AN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" s="4" t="inlineStr"/>
      <c r="AP37" s="4" t="inlineStr"/>
      <c r="AQ37" s="4" t="inlineStr">
        <is>
          <t>ACT-02.pdf</t>
        </is>
      </c>
      <c r="AR37" s="5">
        <f>IF(tblOrdenes[[#This Row],[link_checklist]]="","",HYPERLINK(p_ruta_base_checklists&amp;tblOrdenes[[#This Row],[link_checklist]],"abrir"))</f>
        <v/>
      </c>
      <c r="AS37" s="4" t="inlineStr"/>
      <c r="AT37" s="5">
        <f>IF(tblOrdenes[[#This Row],[orden]]="","",tblOrdenes[[#This Row],[orden]]&amp;IF(tblOrdenes[[#This Row],[operacion]]="","0010",tblOrdenes[[#This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22" t="n">
        <v>46241</v>
      </c>
      <c r="K38" s="5" t="n">
        <v>8</v>
      </c>
      <c r="L38" s="18" t="n">
        <v>200</v>
      </c>
      <c r="M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5">
        <f>IF(tblOrdenes[[#This Row],[fecha_inicio]]="","",YEAR(tblOrdenes[[#This Row],[fecha_inicio]]))</f>
        <v/>
      </c>
      <c r="Q38" s="5">
        <f>IF(tblOrdenes[[#This Row],[fecha_inicio]]="","",MONTH(tblOrdenes[[#This Row],[fecha_inicio]]))</f>
        <v/>
      </c>
      <c r="R38" s="5">
        <f>IF(tblOrdenes[[#This Row],[fecha_inicio]]="","",tblOrdenes[[#This Row],[anio]]&amp;"-"&amp;TEXT(tblOrdenes[[#This Row],[mes]],"00"))</f>
        <v/>
      </c>
      <c r="S38" s="5">
        <f>IF(tblOrdenes[[#This Row],[fecha_inicio]]="","",INDEX(lista_dias,WEEKDAY(tblOrdenes[[#This Row],[fecha_inicio]],2)))</f>
        <v/>
      </c>
      <c r="T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" s="5">
        <f>IF(tblOrdenes[[#This Row],[tipo_ot]]="","",_xlfn.XLOOKUP(tblOrdenes[[#This Row],[tipo_ot]],tblTiposOT[codigo],tblTiposOT[clasificacion],"sin_clasificar"))</f>
        <v/>
      </c>
      <c r="V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" s="5">
        <f>IF(tblOrdenes[[#This Row],[centro_costo]]="","",_xlfn.XLOOKUP(tblOrdenes[[#This Row],[centro_costo]],tblCECO[codigo],tblCECO[linea],"(sin catálogo)"))</f>
        <v/>
      </c>
      <c r="X38" s="5">
        <f>IF(tblOrdenes[[#This Row],[centro_costo]]="","",_xlfn.XLOOKUP(tblOrdenes[[#This Row],[centro_costo]],tblCECO[codigo],tblCECO[area],"(sin catálogo)"))</f>
        <v/>
      </c>
      <c r="Y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" s="5">
        <f>IF(tblOrdenes[[#This Row],[centro_costo]]="","",_xlfn.XLOOKUP(tblOrdenes[[#This Row],[centro_costo]],tblCECO[codigo],tblCECO[coordinador],"(sin catálogo)"))</f>
        <v/>
      </c>
      <c r="AA38" s="5">
        <f>IF(tblOrdenes[[#This Row],[puesto_trabajo]]="","",_xlfn.XLOOKUP(tblOrdenes[[#This Row],[puesto_trabajo]],tblPuestos[codigo],tblPuestos[especialidad],"(sin catálogo)"))</f>
        <v/>
      </c>
      <c r="AB38" s="5">
        <f>IF(tblOrdenes[[#This Row],[cod_actividad]]="","",_xlfn.XLOOKUP(tblOrdenes[[#This Row],[cod_actividad]],tblActividades[codigo],tblActividades[descripcion],"(sin catálogo)"))</f>
        <v/>
      </c>
      <c r="AC38" s="20">
        <f>IF(tblOrdenes[[#This Row],[fecha_inicio]]="","",TODAY()-tblOrdenes[[#This Row],[fecha_inicio]])</f>
        <v/>
      </c>
      <c r="AD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" s="5">
        <f>IF(tblOrdenes[[#This Row],[backlog_habiles]]="","",IF(tblOrdenes[[#This Row],[backlog_habiles]]&lt;0,"FUTURO",IF(tblOrdenes[[#This Row],[backlog_habiles]]&gt;p_dias_backlog_max,"BACKLOG","MES CORRIENTE")))</f>
        <v/>
      </c>
      <c r="AF38" s="5">
        <f>IF(tblOrdenes[[#This Row],[backlog_habiles]]="",FALSE,AND(tblOrdenes[[#This Row],[backlog_habiles]]&gt;p_dias_backlog_min,tblOrdenes[[#This Row],[backlog_habiles]]&lt;=p_dias_backlog_max))</f>
        <v/>
      </c>
      <c r="AG38" s="4" t="inlineStr">
        <is>
          <t>David Torres</t>
        </is>
      </c>
      <c r="AH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" s="18">
        <f>IF(tblOrdenes[[#This Row],[orden]]="","",_xlfn.XLOOKUP(tblOrdenes[[#This Row],[id_operacion]],tblEjecucion[id_operacion],tblEjecucion[precio],0))</f>
        <v/>
      </c>
      <c r="AL38" s="18">
        <f>IF(tblOrdenes[[#This Row],[orden]]="","",MAX(0,_xlfn.XLOOKUP(tblOrdenes[[#This Row],[id_operacion]],tblEjecucion[id_operacion],tblEjecucion[costo_plan_total],0)-tblOrdenes[[#This Row],[costo_servicio]]))</f>
        <v/>
      </c>
      <c r="AM38" s="18">
        <f>IF(tblOrdenes[[#This Row],[orden]]="","",tblOrdenes[[#This Row],[costo_servicio]]+tblOrdenes[[#This Row],[costo_materiales]])</f>
        <v/>
      </c>
      <c r="AN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" s="4" t="inlineStr"/>
      <c r="AP38" s="4" t="inlineStr"/>
      <c r="AQ38" s="4" t="inlineStr">
        <is>
          <t>ACT-04.pdf</t>
        </is>
      </c>
      <c r="AR38" s="5">
        <f>IF(tblOrdenes[[#This Row],[link_checklist]]="","",HYPERLINK(p_ruta_base_checklists&amp;tblOrdenes[[#This Row],[link_checklist]],"abrir"))</f>
        <v/>
      </c>
      <c r="AS38" s="4" t="inlineStr"/>
      <c r="AT38" s="5">
        <f>IF(tblOrdenes[[#This Row],[orden]]="","",tblOrdenes[[#This Row],[orden]]&amp;IF(tblOrdenes[[#This Row],[operacion]]="","0010",tblOrdenes[[#This Row],[operacion]]))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22" t="n">
        <v>46237</v>
      </c>
      <c r="K39" s="5" t="n">
        <v>10</v>
      </c>
      <c r="L39" s="18" t="n">
        <v>400</v>
      </c>
      <c r="M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5">
        <f>IF(tblOrdenes[[#This Row],[fecha_inicio]]="","",YEAR(tblOrdenes[[#This Row],[fecha_inicio]]))</f>
        <v/>
      </c>
      <c r="Q39" s="5">
        <f>IF(tblOrdenes[[#This Row],[fecha_inicio]]="","",MONTH(tblOrdenes[[#This Row],[fecha_inicio]]))</f>
        <v/>
      </c>
      <c r="R39" s="5">
        <f>IF(tblOrdenes[[#This Row],[fecha_inicio]]="","",tblOrdenes[[#This Row],[anio]]&amp;"-"&amp;TEXT(tblOrdenes[[#This Row],[mes]],"00"))</f>
        <v/>
      </c>
      <c r="S39" s="5">
        <f>IF(tblOrdenes[[#This Row],[fecha_inicio]]="","",INDEX(lista_dias,WEEKDAY(tblOrdenes[[#This Row],[fecha_inicio]],2)))</f>
        <v/>
      </c>
      <c r="T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" s="5">
        <f>IF(tblOrdenes[[#This Row],[tipo_ot]]="","",_xlfn.XLOOKUP(tblOrdenes[[#This Row],[tipo_ot]],tblTiposOT[codigo],tblTiposOT[clasificacion],"sin_clasificar"))</f>
        <v/>
      </c>
      <c r="V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" s="5">
        <f>IF(tblOrdenes[[#This Row],[centro_costo]]="","",_xlfn.XLOOKUP(tblOrdenes[[#This Row],[centro_costo]],tblCECO[codigo],tblCECO[linea],"(sin catálogo)"))</f>
        <v/>
      </c>
      <c r="X39" s="5">
        <f>IF(tblOrdenes[[#This Row],[centro_costo]]="","",_xlfn.XLOOKUP(tblOrdenes[[#This Row],[centro_costo]],tblCECO[codigo],tblCECO[area],"(sin catálogo)"))</f>
        <v/>
      </c>
      <c r="Y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" s="5">
        <f>IF(tblOrdenes[[#This Row],[centro_costo]]="","",_xlfn.XLOOKUP(tblOrdenes[[#This Row],[centro_costo]],tblCECO[codigo],tblCECO[coordinador],"(sin catálogo)"))</f>
        <v/>
      </c>
      <c r="AA39" s="5">
        <f>IF(tblOrdenes[[#This Row],[puesto_trabajo]]="","",_xlfn.XLOOKUP(tblOrdenes[[#This Row],[puesto_trabajo]],tblPuestos[codigo],tblPuestos[especialidad],"(sin catálogo)"))</f>
        <v/>
      </c>
      <c r="AB39" s="5">
        <f>IF(tblOrdenes[[#This Row],[cod_actividad]]="","",_xlfn.XLOOKUP(tblOrdenes[[#This Row],[cod_actividad]],tblActividades[codigo],tblActividades[descripcion],"(sin catálogo)"))</f>
        <v/>
      </c>
      <c r="AC39" s="20">
        <f>IF(tblOrdenes[[#This Row],[fecha_inicio]]="","",TODAY()-tblOrdenes[[#This Row],[fecha_inicio]])</f>
        <v/>
      </c>
      <c r="AD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" s="5">
        <f>IF(tblOrdenes[[#This Row],[backlog_habiles]]="","",IF(tblOrdenes[[#This Row],[backlog_habiles]]&lt;0,"FUTURO",IF(tblOrdenes[[#This Row],[backlog_habiles]]&gt;p_dias_backlog_max,"BACKLOG","MES CORRIENTE")))</f>
        <v/>
      </c>
      <c r="AF39" s="5">
        <f>IF(tblOrdenes[[#This Row],[backlog_habiles]]="",FALSE,AND(tblOrdenes[[#This Row],[backlog_habiles]]&gt;p_dias_backlog_min,tblOrdenes[[#This Row],[backlog_habiles]]&lt;=p_dias_backlog_max))</f>
        <v/>
      </c>
      <c r="AG39" s="4" t="inlineStr"/>
      <c r="AH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" s="18">
        <f>IF(tblOrdenes[[#This Row],[orden]]="","",_xlfn.XLOOKUP(tblOrdenes[[#This Row],[id_operacion]],tblEjecucion[id_operacion],tblEjecucion[precio],0))</f>
        <v/>
      </c>
      <c r="AL39" s="18">
        <f>IF(tblOrdenes[[#This Row],[orden]]="","",MAX(0,_xlfn.XLOOKUP(tblOrdenes[[#This Row],[id_operacion]],tblEjecucion[id_operacion],tblEjecucion[costo_plan_total],0)-tblOrdenes[[#This Row],[costo_servicio]]))</f>
        <v/>
      </c>
      <c r="AM39" s="18">
        <f>IF(tblOrdenes[[#This Row],[orden]]="","",tblOrdenes[[#This Row],[costo_servicio]]+tblOrdenes[[#This Row],[costo_materiales]])</f>
        <v/>
      </c>
      <c r="AN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" s="4" t="inlineStr">
        <is>
          <t>PT-CALIENTE</t>
        </is>
      </c>
      <c r="AP39" s="4" t="inlineStr">
        <is>
          <t>LOTO</t>
        </is>
      </c>
      <c r="AQ39" s="4" t="inlineStr"/>
      <c r="AR39" s="5">
        <f>IF(tblOrdenes[[#This Row],[link_checklist]]="","",HYPERLINK(p_ruta_base_checklists&amp;tblOrdenes[[#This Row],[link_checklist]],"abrir"))</f>
        <v/>
      </c>
      <c r="AS39" s="4" t="inlineStr"/>
      <c r="AT39" s="5">
        <f>IF(tblOrdenes[[#This Row],[orden]]="","",tblOrdenes[[#This Row],[orden]]&amp;IF(tblOrdenes[[#This Row],[operacion]]="","0010",tblOrdenes[[#This Row],[operacion]]))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22" t="n">
        <v>46238</v>
      </c>
      <c r="K40" s="5" t="n">
        <v>10</v>
      </c>
      <c r="L40" s="18" t="n">
        <v>400</v>
      </c>
      <c r="M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5">
        <f>IF(tblOrdenes[[#This Row],[fecha_inicio]]="","",YEAR(tblOrdenes[[#This Row],[fecha_inicio]]))</f>
        <v/>
      </c>
      <c r="Q40" s="5">
        <f>IF(tblOrdenes[[#This Row],[fecha_inicio]]="","",MONTH(tblOrdenes[[#This Row],[fecha_inicio]]))</f>
        <v/>
      </c>
      <c r="R40" s="5">
        <f>IF(tblOrdenes[[#This Row],[fecha_inicio]]="","",tblOrdenes[[#This Row],[anio]]&amp;"-"&amp;TEXT(tblOrdenes[[#This Row],[mes]],"00"))</f>
        <v/>
      </c>
      <c r="S40" s="5">
        <f>IF(tblOrdenes[[#This Row],[fecha_inicio]]="","",INDEX(lista_dias,WEEKDAY(tblOrdenes[[#This Row],[fecha_inicio]],2)))</f>
        <v/>
      </c>
      <c r="T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" s="5">
        <f>IF(tblOrdenes[[#This Row],[tipo_ot]]="","",_xlfn.XLOOKUP(tblOrdenes[[#This Row],[tipo_ot]],tblTiposOT[codigo],tblTiposOT[clasificacion],"sin_clasificar"))</f>
        <v/>
      </c>
      <c r="V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" s="5">
        <f>IF(tblOrdenes[[#This Row],[centro_costo]]="","",_xlfn.XLOOKUP(tblOrdenes[[#This Row],[centro_costo]],tblCECO[codigo],tblCECO[linea],"(sin catálogo)"))</f>
        <v/>
      </c>
      <c r="X40" s="5">
        <f>IF(tblOrdenes[[#This Row],[centro_costo]]="","",_xlfn.XLOOKUP(tblOrdenes[[#This Row],[centro_costo]],tblCECO[codigo],tblCECO[area],"(sin catálogo)"))</f>
        <v/>
      </c>
      <c r="Y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" s="5">
        <f>IF(tblOrdenes[[#This Row],[centro_costo]]="","",_xlfn.XLOOKUP(tblOrdenes[[#This Row],[centro_costo]],tblCECO[codigo],tblCECO[coordinador],"(sin catálogo)"))</f>
        <v/>
      </c>
      <c r="AA40" s="5">
        <f>IF(tblOrdenes[[#This Row],[puesto_trabajo]]="","",_xlfn.XLOOKUP(tblOrdenes[[#This Row],[puesto_trabajo]],tblPuestos[codigo],tblPuestos[especialidad],"(sin catálogo)"))</f>
        <v/>
      </c>
      <c r="AB40" s="5">
        <f>IF(tblOrdenes[[#This Row],[cod_actividad]]="","",_xlfn.XLOOKUP(tblOrdenes[[#This Row],[cod_actividad]],tblActividades[codigo],tblActividades[descripcion],"(sin catálogo)"))</f>
        <v/>
      </c>
      <c r="AC40" s="20">
        <f>IF(tblOrdenes[[#This Row],[fecha_inicio]]="","",TODAY()-tblOrdenes[[#This Row],[fecha_inicio]])</f>
        <v/>
      </c>
      <c r="AD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" s="5">
        <f>IF(tblOrdenes[[#This Row],[backlog_habiles]]="","",IF(tblOrdenes[[#This Row],[backlog_habiles]]&lt;0,"FUTURO",IF(tblOrdenes[[#This Row],[backlog_habiles]]&gt;p_dias_backlog_max,"BACKLOG","MES CORRIENTE")))</f>
        <v/>
      </c>
      <c r="AF40" s="5">
        <f>IF(tblOrdenes[[#This Row],[backlog_habiles]]="",FALSE,AND(tblOrdenes[[#This Row],[backlog_habiles]]&gt;p_dias_backlog_min,tblOrdenes[[#This Row],[backlog_habiles]]&lt;=p_dias_backlog_max))</f>
        <v/>
      </c>
      <c r="AG40" s="4" t="inlineStr">
        <is>
          <t>Carlos Pérez</t>
        </is>
      </c>
      <c r="AH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" s="18">
        <f>IF(tblOrdenes[[#This Row],[orden]]="","",_xlfn.XLOOKUP(tblOrdenes[[#This Row],[id_operacion]],tblEjecucion[id_operacion],tblEjecucion[precio],0))</f>
        <v/>
      </c>
      <c r="AL40" s="18">
        <f>IF(tblOrdenes[[#This Row],[orden]]="","",MAX(0,_xlfn.XLOOKUP(tblOrdenes[[#This Row],[id_operacion]],tblEjecucion[id_operacion],tblEjecucion[costo_plan_total],0)-tblOrdenes[[#This Row],[costo_servicio]]))</f>
        <v/>
      </c>
      <c r="AM40" s="18">
        <f>IF(tblOrdenes[[#This Row],[orden]]="","",tblOrdenes[[#This Row],[costo_servicio]]+tblOrdenes[[#This Row],[costo_materiales]])</f>
        <v/>
      </c>
      <c r="AN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" s="4" t="inlineStr"/>
      <c r="AP40" s="4" t="inlineStr"/>
      <c r="AQ40" s="4" t="inlineStr"/>
      <c r="AR40" s="5">
        <f>IF(tblOrdenes[[#This Row],[link_checklist]]="","",HYPERLINK(p_ruta_base_checklists&amp;tblOrdenes[[#This Row],[link_checklist]],"abrir"))</f>
        <v/>
      </c>
      <c r="AS40" s="4" t="inlineStr"/>
      <c r="AT40" s="5">
        <f>IF(tblOrdenes[[#This Row],[orden]]="","",tblOrdenes[[#This Row],[orden]]&amp;IF(tblOrdenes[[#This Row],[operacion]]="","0010",tblOrdenes[[#This Row],[operacion]]))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TIPO-P2</t>
        </is>
      </c>
      <c r="J41" s="22" t="n">
        <v>46246</v>
      </c>
      <c r="K41" s="5" t="n">
        <v>10</v>
      </c>
      <c r="L41" s="18" t="n">
        <v>250</v>
      </c>
      <c r="M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5">
        <f>IF(tblOrdenes[[#This Row],[fecha_inicio]]="","",YEAR(tblOrdenes[[#This Row],[fecha_inicio]]))</f>
        <v/>
      </c>
      <c r="Q41" s="5">
        <f>IF(tblOrdenes[[#This Row],[fecha_inicio]]="","",MONTH(tblOrdenes[[#This Row],[fecha_inicio]]))</f>
        <v/>
      </c>
      <c r="R41" s="5">
        <f>IF(tblOrdenes[[#This Row],[fecha_inicio]]="","",tblOrdenes[[#This Row],[anio]]&amp;"-"&amp;TEXT(tblOrdenes[[#This Row],[mes]],"00"))</f>
        <v/>
      </c>
      <c r="S41" s="5">
        <f>IF(tblOrdenes[[#This Row],[fecha_inicio]]="","",INDEX(lista_dias,WEEKDAY(tblOrdenes[[#This Row],[fecha_inicio]],2)))</f>
        <v/>
      </c>
      <c r="T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" s="5">
        <f>IF(tblOrdenes[[#This Row],[tipo_ot]]="","",_xlfn.XLOOKUP(tblOrdenes[[#This Row],[tipo_ot]],tblTiposOT[codigo],tblTiposOT[clasificacion],"sin_clasificar"))</f>
        <v/>
      </c>
      <c r="V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" s="5">
        <f>IF(tblOrdenes[[#This Row],[centro_costo]]="","",_xlfn.XLOOKUP(tblOrdenes[[#This Row],[centro_costo]],tblCECO[codigo],tblCECO[linea],"(sin catálogo)"))</f>
        <v/>
      </c>
      <c r="X41" s="5">
        <f>IF(tblOrdenes[[#This Row],[centro_costo]]="","",_xlfn.XLOOKUP(tblOrdenes[[#This Row],[centro_costo]],tblCECO[codigo],tblCECO[area],"(sin catálogo)"))</f>
        <v/>
      </c>
      <c r="Y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" s="5">
        <f>IF(tblOrdenes[[#This Row],[centro_costo]]="","",_xlfn.XLOOKUP(tblOrdenes[[#This Row],[centro_costo]],tblCECO[codigo],tblCECO[coordinador],"(sin catálogo)"))</f>
        <v/>
      </c>
      <c r="AA41" s="5">
        <f>IF(tblOrdenes[[#This Row],[puesto_trabajo]]="","",_xlfn.XLOOKUP(tblOrdenes[[#This Row],[puesto_trabajo]],tblPuestos[codigo],tblPuestos[especialidad],"(sin catálogo)"))</f>
        <v/>
      </c>
      <c r="AB41" s="5">
        <f>IF(tblOrdenes[[#This Row],[cod_actividad]]="","",_xlfn.XLOOKUP(tblOrdenes[[#This Row],[cod_actividad]],tblActividades[codigo],tblActividades[descripcion],"(sin catálogo)"))</f>
        <v/>
      </c>
      <c r="AC41" s="20">
        <f>IF(tblOrdenes[[#This Row],[fecha_inicio]]="","",TODAY()-tblOrdenes[[#This Row],[fecha_inicio]])</f>
        <v/>
      </c>
      <c r="AD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" s="5">
        <f>IF(tblOrdenes[[#This Row],[backlog_habiles]]="","",IF(tblOrdenes[[#This Row],[backlog_habiles]]&lt;0,"FUTURO",IF(tblOrdenes[[#This Row],[backlog_habiles]]&gt;p_dias_backlog_max,"BACKLOG","MES CORRIENTE")))</f>
        <v/>
      </c>
      <c r="AF41" s="5">
        <f>IF(tblOrdenes[[#This Row],[backlog_habiles]]="",FALSE,AND(tblOrdenes[[#This Row],[backlog_habiles]]&gt;p_dias_backlog_min,tblOrdenes[[#This Row],[backlog_habiles]]&lt;=p_dias_backlog_max))</f>
        <v/>
      </c>
      <c r="AG41" s="4" t="inlineStr">
        <is>
          <t>Luis Rodríguez</t>
        </is>
      </c>
      <c r="AH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" s="18">
        <f>IF(tblOrdenes[[#This Row],[orden]]="","",_xlfn.XLOOKUP(tblOrdenes[[#This Row],[id_operacion]],tblEjecucion[id_operacion],tblEjecucion[precio],0))</f>
        <v/>
      </c>
      <c r="AL41" s="18">
        <f>IF(tblOrdenes[[#This Row],[orden]]="","",MAX(0,_xlfn.XLOOKUP(tblOrdenes[[#This Row],[id_operacion]],tblEjecucion[id_operacion],tblEjecucion[costo_plan_total],0)-tblOrdenes[[#This Row],[costo_servicio]]))</f>
        <v/>
      </c>
      <c r="AM41" s="18">
        <f>IF(tblOrdenes[[#This Row],[orden]]="","",tblOrdenes[[#This Row],[costo_servicio]]+tblOrdenes[[#This Row],[costo_materiales]])</f>
        <v/>
      </c>
      <c r="AN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" s="4" t="inlineStr"/>
      <c r="AP41" s="4" t="inlineStr"/>
      <c r="AQ41" s="4" t="inlineStr">
        <is>
          <t>ACT-04.pdf</t>
        </is>
      </c>
      <c r="AR41" s="5">
        <f>IF(tblOrdenes[[#This Row],[link_checklist]]="","",HYPERLINK(p_ruta_base_checklists&amp;tblOrdenes[[#This Row],[link_checklist]],"abrir"))</f>
        <v/>
      </c>
      <c r="AS41" s="4" t="inlineStr"/>
      <c r="AT41" s="5">
        <f>IF(tblOrdenes[[#This Row],[orden]]="","",tblOrdenes[[#This Row],[orden]]&amp;IF(tblOrdenes[[#This Row],[operacion]]="","0010",tblOrdenes[[#This Row],[operacion]]))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TIPO-P1</t>
        </is>
      </c>
      <c r="J42" s="22" t="n">
        <v>46247</v>
      </c>
      <c r="K42" s="5" t="n">
        <v>8</v>
      </c>
      <c r="L42" s="18" t="n">
        <v>200</v>
      </c>
      <c r="M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5">
        <f>IF(tblOrdenes[[#This Row],[fecha_inicio]]="","",YEAR(tblOrdenes[[#This Row],[fecha_inicio]]))</f>
        <v/>
      </c>
      <c r="Q42" s="5">
        <f>IF(tblOrdenes[[#This Row],[fecha_inicio]]="","",MONTH(tblOrdenes[[#This Row],[fecha_inicio]]))</f>
        <v/>
      </c>
      <c r="R42" s="5">
        <f>IF(tblOrdenes[[#This Row],[fecha_inicio]]="","",tblOrdenes[[#This Row],[anio]]&amp;"-"&amp;TEXT(tblOrdenes[[#This Row],[mes]],"00"))</f>
        <v/>
      </c>
      <c r="S42" s="5">
        <f>IF(tblOrdenes[[#This Row],[fecha_inicio]]="","",INDEX(lista_dias,WEEKDAY(tblOrdenes[[#This Row],[fecha_inicio]],2)))</f>
        <v/>
      </c>
      <c r="T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" s="5">
        <f>IF(tblOrdenes[[#This Row],[tipo_ot]]="","",_xlfn.XLOOKUP(tblOrdenes[[#This Row],[tipo_ot]],tblTiposOT[codigo],tblTiposOT[clasificacion],"sin_clasificar"))</f>
        <v/>
      </c>
      <c r="V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" s="5">
        <f>IF(tblOrdenes[[#This Row],[centro_costo]]="","",_xlfn.XLOOKUP(tblOrdenes[[#This Row],[centro_costo]],tblCECO[codigo],tblCECO[linea],"(sin catálogo)"))</f>
        <v/>
      </c>
      <c r="X42" s="5">
        <f>IF(tblOrdenes[[#This Row],[centro_costo]]="","",_xlfn.XLOOKUP(tblOrdenes[[#This Row],[centro_costo]],tblCECO[codigo],tblCECO[area],"(sin catálogo)"))</f>
        <v/>
      </c>
      <c r="Y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" s="5">
        <f>IF(tblOrdenes[[#This Row],[centro_costo]]="","",_xlfn.XLOOKUP(tblOrdenes[[#This Row],[centro_costo]],tblCECO[codigo],tblCECO[coordinador],"(sin catálogo)"))</f>
        <v/>
      </c>
      <c r="AA42" s="5">
        <f>IF(tblOrdenes[[#This Row],[puesto_trabajo]]="","",_xlfn.XLOOKUP(tblOrdenes[[#This Row],[puesto_trabajo]],tblPuestos[codigo],tblPuestos[especialidad],"(sin catálogo)"))</f>
        <v/>
      </c>
      <c r="AB42" s="5">
        <f>IF(tblOrdenes[[#This Row],[cod_actividad]]="","",_xlfn.XLOOKUP(tblOrdenes[[#This Row],[cod_actividad]],tblActividades[codigo],tblActividades[descripcion],"(sin catálogo)"))</f>
        <v/>
      </c>
      <c r="AC42" s="20">
        <f>IF(tblOrdenes[[#This Row],[fecha_inicio]]="","",TODAY()-tblOrdenes[[#This Row],[fecha_inicio]])</f>
        <v/>
      </c>
      <c r="AD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" s="5">
        <f>IF(tblOrdenes[[#This Row],[backlog_habiles]]="","",IF(tblOrdenes[[#This Row],[backlog_habiles]]&lt;0,"FUTURO",IF(tblOrdenes[[#This Row],[backlog_habiles]]&gt;p_dias_backlog_max,"BACKLOG","MES CORRIENTE")))</f>
        <v/>
      </c>
      <c r="AF42" s="5">
        <f>IF(tblOrdenes[[#This Row],[backlog_habiles]]="",FALSE,AND(tblOrdenes[[#This Row],[backlog_habiles]]&gt;p_dias_backlog_min,tblOrdenes[[#This Row],[backlog_habiles]]&lt;=p_dias_backlog_max))</f>
        <v/>
      </c>
      <c r="AG42" s="4" t="inlineStr">
        <is>
          <t>Miguel Martínez</t>
        </is>
      </c>
      <c r="AH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" s="18">
        <f>IF(tblOrdenes[[#This Row],[orden]]="","",_xlfn.XLOOKUP(tblOrdenes[[#This Row],[id_operacion]],tblEjecucion[id_operacion],tblEjecucion[precio],0))</f>
        <v/>
      </c>
      <c r="AL42" s="18">
        <f>IF(tblOrdenes[[#This Row],[orden]]="","",MAX(0,_xlfn.XLOOKUP(tblOrdenes[[#This Row],[id_operacion]],tblEjecucion[id_operacion],tblEjecucion[costo_plan_total],0)-tblOrdenes[[#This Row],[costo_servicio]]))</f>
        <v/>
      </c>
      <c r="AM42" s="18">
        <f>IF(tblOrdenes[[#This Row],[orden]]="","",tblOrdenes[[#This Row],[costo_servicio]]+tblOrdenes[[#This Row],[costo_materiales]])</f>
        <v/>
      </c>
      <c r="AN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" s="4" t="inlineStr"/>
      <c r="AP42" s="4" t="inlineStr"/>
      <c r="AQ42" s="4" t="inlineStr">
        <is>
          <t>ACT-01.pdf</t>
        </is>
      </c>
      <c r="AR42" s="5">
        <f>IF(tblOrdenes[[#This Row],[link_checklist]]="","",HYPERLINK(p_ruta_base_checklists&amp;tblOrdenes[[#This Row],[link_checklist]],"abrir"))</f>
        <v/>
      </c>
      <c r="AS42" s="4" t="inlineStr"/>
      <c r="AT42" s="5">
        <f>IF(tblOrdenes[[#This Row],[orden]]="","",tblOrdenes[[#This Row],[orden]]&amp;IF(tblOrdenes[[#This Row],[operacion]]="","0010",tblOrdenes[[#This Row],[operacion]]))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22" t="n">
        <v>46248</v>
      </c>
      <c r="K43" s="5" t="n">
        <v>6</v>
      </c>
      <c r="L43" s="18" t="n">
        <v>150</v>
      </c>
      <c r="M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5">
        <f>IF(tblOrdenes[[#This Row],[fecha_inicio]]="","",YEAR(tblOrdenes[[#This Row],[fecha_inicio]]))</f>
        <v/>
      </c>
      <c r="Q43" s="5">
        <f>IF(tblOrdenes[[#This Row],[fecha_inicio]]="","",MONTH(tblOrdenes[[#This Row],[fecha_inicio]]))</f>
        <v/>
      </c>
      <c r="R43" s="5">
        <f>IF(tblOrdenes[[#This Row],[fecha_inicio]]="","",tblOrdenes[[#This Row],[anio]]&amp;"-"&amp;TEXT(tblOrdenes[[#This Row],[mes]],"00"))</f>
        <v/>
      </c>
      <c r="S43" s="5">
        <f>IF(tblOrdenes[[#This Row],[fecha_inicio]]="","",INDEX(lista_dias,WEEKDAY(tblOrdenes[[#This Row],[fecha_inicio]],2)))</f>
        <v/>
      </c>
      <c r="T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" s="5">
        <f>IF(tblOrdenes[[#This Row],[tipo_ot]]="","",_xlfn.XLOOKUP(tblOrdenes[[#This Row],[tipo_ot]],tblTiposOT[codigo],tblTiposOT[clasificacion],"sin_clasificar"))</f>
        <v/>
      </c>
      <c r="V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" s="5">
        <f>IF(tblOrdenes[[#This Row],[centro_costo]]="","",_xlfn.XLOOKUP(tblOrdenes[[#This Row],[centro_costo]],tblCECO[codigo],tblCECO[linea],"(sin catálogo)"))</f>
        <v/>
      </c>
      <c r="X43" s="5">
        <f>IF(tblOrdenes[[#This Row],[centro_costo]]="","",_xlfn.XLOOKUP(tblOrdenes[[#This Row],[centro_costo]],tblCECO[codigo],tblCECO[area],"(sin catálogo)"))</f>
        <v/>
      </c>
      <c r="Y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" s="5">
        <f>IF(tblOrdenes[[#This Row],[centro_costo]]="","",_xlfn.XLOOKUP(tblOrdenes[[#This Row],[centro_costo]],tblCECO[codigo],tblCECO[coordinador],"(sin catálogo)"))</f>
        <v/>
      </c>
      <c r="AA43" s="5">
        <f>IF(tblOrdenes[[#This Row],[puesto_trabajo]]="","",_xlfn.XLOOKUP(tblOrdenes[[#This Row],[puesto_trabajo]],tblPuestos[codigo],tblPuestos[especialidad],"(sin catálogo)"))</f>
        <v/>
      </c>
      <c r="AB43" s="5">
        <f>IF(tblOrdenes[[#This Row],[cod_actividad]]="","",_xlfn.XLOOKUP(tblOrdenes[[#This Row],[cod_actividad]],tblActividades[codigo],tblActividades[descripcion],"(sin catálogo)"))</f>
        <v/>
      </c>
      <c r="AC43" s="20">
        <f>IF(tblOrdenes[[#This Row],[fecha_inicio]]="","",TODAY()-tblOrdenes[[#This Row],[fecha_inicio]])</f>
        <v/>
      </c>
      <c r="AD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" s="5">
        <f>IF(tblOrdenes[[#This Row],[backlog_habiles]]="","",IF(tblOrdenes[[#This Row],[backlog_habiles]]&lt;0,"FUTURO",IF(tblOrdenes[[#This Row],[backlog_habiles]]&gt;p_dias_backlog_max,"BACKLOG","MES CORRIENTE")))</f>
        <v/>
      </c>
      <c r="AF43" s="5">
        <f>IF(tblOrdenes[[#This Row],[backlog_habiles]]="",FALSE,AND(tblOrdenes[[#This Row],[backlog_habiles]]&gt;p_dias_backlog_min,tblOrdenes[[#This Row],[backlog_habiles]]&lt;=p_dias_backlog_max))</f>
        <v/>
      </c>
      <c r="AG43" s="4" t="inlineStr"/>
      <c r="AH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" s="18">
        <f>IF(tblOrdenes[[#This Row],[orden]]="","",_xlfn.XLOOKUP(tblOrdenes[[#This Row],[id_operacion]],tblEjecucion[id_operacion],tblEjecucion[precio],0))</f>
        <v/>
      </c>
      <c r="AL43" s="18">
        <f>IF(tblOrdenes[[#This Row],[orden]]="","",MAX(0,_xlfn.XLOOKUP(tblOrdenes[[#This Row],[id_operacion]],tblEjecucion[id_operacion],tblEjecucion[costo_plan_total],0)-tblOrdenes[[#This Row],[costo_servicio]]))</f>
        <v/>
      </c>
      <c r="AM43" s="18">
        <f>IF(tblOrdenes[[#This Row],[orden]]="","",tblOrdenes[[#This Row],[costo_servicio]]+tblOrdenes[[#This Row],[costo_materiales]])</f>
        <v/>
      </c>
      <c r="AN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" s="4" t="inlineStr"/>
      <c r="AP43" s="4" t="inlineStr"/>
      <c r="AQ43" s="4" t="inlineStr">
        <is>
          <t>ACT-02.pdf</t>
        </is>
      </c>
      <c r="AR43" s="5">
        <f>IF(tblOrdenes[[#This Row],[link_checklist]]="","",HYPERLINK(p_ruta_base_checklists&amp;tblOrdenes[[#This Row],[link_checklist]],"abrir"))</f>
        <v/>
      </c>
      <c r="AS43" s="4" t="inlineStr"/>
      <c r="AT43" s="5">
        <f>IF(tblOrdenes[[#This Row],[orden]]="","",tblOrdenes[[#This Row],[orden]]&amp;IF(tblOrdenes[[#This Row],[operacion]]="","0010",tblOrdenes[[#This Row],[operacion]]))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22" t="n">
        <v>46244</v>
      </c>
      <c r="K44" s="5" t="n">
        <v>10</v>
      </c>
      <c r="L44" s="18" t="n">
        <v>250</v>
      </c>
      <c r="M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5">
        <f>IF(tblOrdenes[[#This Row],[fecha_inicio]]="","",YEAR(tblOrdenes[[#This Row],[fecha_inicio]]))</f>
        <v/>
      </c>
      <c r="Q44" s="5">
        <f>IF(tblOrdenes[[#This Row],[fecha_inicio]]="","",MONTH(tblOrdenes[[#This Row],[fecha_inicio]]))</f>
        <v/>
      </c>
      <c r="R44" s="5">
        <f>IF(tblOrdenes[[#This Row],[fecha_inicio]]="","",tblOrdenes[[#This Row],[anio]]&amp;"-"&amp;TEXT(tblOrdenes[[#This Row],[mes]],"00"))</f>
        <v/>
      </c>
      <c r="S44" s="5">
        <f>IF(tblOrdenes[[#This Row],[fecha_inicio]]="","",INDEX(lista_dias,WEEKDAY(tblOrdenes[[#This Row],[fecha_inicio]],2)))</f>
        <v/>
      </c>
      <c r="T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" s="5">
        <f>IF(tblOrdenes[[#This Row],[tipo_ot]]="","",_xlfn.XLOOKUP(tblOrdenes[[#This Row],[tipo_ot]],tblTiposOT[codigo],tblTiposOT[clasificacion],"sin_clasificar"))</f>
        <v/>
      </c>
      <c r="V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" s="5">
        <f>IF(tblOrdenes[[#This Row],[centro_costo]]="","",_xlfn.XLOOKUP(tblOrdenes[[#This Row],[centro_costo]],tblCECO[codigo],tblCECO[linea],"(sin catálogo)"))</f>
        <v/>
      </c>
      <c r="X44" s="5">
        <f>IF(tblOrdenes[[#This Row],[centro_costo]]="","",_xlfn.XLOOKUP(tblOrdenes[[#This Row],[centro_costo]],tblCECO[codigo],tblCECO[area],"(sin catálogo)"))</f>
        <v/>
      </c>
      <c r="Y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" s="5">
        <f>IF(tblOrdenes[[#This Row],[centro_costo]]="","",_xlfn.XLOOKUP(tblOrdenes[[#This Row],[centro_costo]],tblCECO[codigo],tblCECO[coordinador],"(sin catálogo)"))</f>
        <v/>
      </c>
      <c r="AA44" s="5">
        <f>IF(tblOrdenes[[#This Row],[puesto_trabajo]]="","",_xlfn.XLOOKUP(tblOrdenes[[#This Row],[puesto_trabajo]],tblPuestos[codigo],tblPuestos[especialidad],"(sin catálogo)"))</f>
        <v/>
      </c>
      <c r="AB44" s="5">
        <f>IF(tblOrdenes[[#This Row],[cod_actividad]]="","",_xlfn.XLOOKUP(tblOrdenes[[#This Row],[cod_actividad]],tblActividades[codigo],tblActividades[descripcion],"(sin catálogo)"))</f>
        <v/>
      </c>
      <c r="AC44" s="20">
        <f>IF(tblOrdenes[[#This Row],[fecha_inicio]]="","",TODAY()-tblOrdenes[[#This Row],[fecha_inicio]])</f>
        <v/>
      </c>
      <c r="AD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" s="5">
        <f>IF(tblOrdenes[[#This Row],[backlog_habiles]]="","",IF(tblOrdenes[[#This Row],[backlog_habiles]]&lt;0,"FUTURO",IF(tblOrdenes[[#This Row],[backlog_habiles]]&gt;p_dias_backlog_max,"BACKLOG","MES CORRIENTE")))</f>
        <v/>
      </c>
      <c r="AF44" s="5">
        <f>IF(tblOrdenes[[#This Row],[backlog_habiles]]="",FALSE,AND(tblOrdenes[[#This Row],[backlog_habiles]]&gt;p_dias_backlog_min,tblOrdenes[[#This Row],[backlog_habiles]]&lt;=p_dias_backlog_max))</f>
        <v/>
      </c>
      <c r="AG44" s="4" t="inlineStr">
        <is>
          <t>David Torres</t>
        </is>
      </c>
      <c r="AH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" s="18">
        <f>IF(tblOrdenes[[#This Row],[orden]]="","",_xlfn.XLOOKUP(tblOrdenes[[#This Row],[id_operacion]],tblEjecucion[id_operacion],tblEjecucion[precio],0))</f>
        <v/>
      </c>
      <c r="AL44" s="18">
        <f>IF(tblOrdenes[[#This Row],[orden]]="","",MAX(0,_xlfn.XLOOKUP(tblOrdenes[[#This Row],[id_operacion]],tblEjecucion[id_operacion],tblEjecucion[costo_plan_total],0)-tblOrdenes[[#This Row],[costo_servicio]]))</f>
        <v/>
      </c>
      <c r="AM44" s="18">
        <f>IF(tblOrdenes[[#This Row],[orden]]="","",tblOrdenes[[#This Row],[costo_servicio]]+tblOrdenes[[#This Row],[costo_materiales]])</f>
        <v/>
      </c>
      <c r="AN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" s="4" t="inlineStr"/>
      <c r="AP44" s="4" t="inlineStr"/>
      <c r="AQ44" s="4" t="inlineStr">
        <is>
          <t>ACT-04.pdf</t>
        </is>
      </c>
      <c r="AR44" s="5">
        <f>IF(tblOrdenes[[#This Row],[link_checklist]]="","",HYPERLINK(p_ruta_base_checklists&amp;tblOrdenes[[#This Row],[link_checklist]],"abrir"))</f>
        <v/>
      </c>
      <c r="AS44" s="4" t="inlineStr"/>
      <c r="AT44" s="5">
        <f>IF(tblOrdenes[[#This Row],[orden]]="","",tblOrdenes[[#This Row],[orden]]&amp;IF(tblOrdenes[[#This Row],[operacion]]="","0010",tblOrdenes[[#This Row],[operacion]]))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22" t="n">
        <v>46245</v>
      </c>
      <c r="K45" s="5" t="n">
        <v>8</v>
      </c>
      <c r="L45" s="18" t="n">
        <v>200</v>
      </c>
      <c r="M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5">
        <f>IF(tblOrdenes[[#This Row],[fecha_inicio]]="","",YEAR(tblOrdenes[[#This Row],[fecha_inicio]]))</f>
        <v/>
      </c>
      <c r="Q45" s="5">
        <f>IF(tblOrdenes[[#This Row],[fecha_inicio]]="","",MONTH(tblOrdenes[[#This Row],[fecha_inicio]]))</f>
        <v/>
      </c>
      <c r="R45" s="5">
        <f>IF(tblOrdenes[[#This Row],[fecha_inicio]]="","",tblOrdenes[[#This Row],[anio]]&amp;"-"&amp;TEXT(tblOrdenes[[#This Row],[mes]],"00"))</f>
        <v/>
      </c>
      <c r="S45" s="5">
        <f>IF(tblOrdenes[[#This Row],[fecha_inicio]]="","",INDEX(lista_dias,WEEKDAY(tblOrdenes[[#This Row],[fecha_inicio]],2)))</f>
        <v/>
      </c>
      <c r="T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" s="5">
        <f>IF(tblOrdenes[[#This Row],[tipo_ot]]="","",_xlfn.XLOOKUP(tblOrdenes[[#This Row],[tipo_ot]],tblTiposOT[codigo],tblTiposOT[clasificacion],"sin_clasificar"))</f>
        <v/>
      </c>
      <c r="V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" s="5">
        <f>IF(tblOrdenes[[#This Row],[centro_costo]]="","",_xlfn.XLOOKUP(tblOrdenes[[#This Row],[centro_costo]],tblCECO[codigo],tblCECO[linea],"(sin catálogo)"))</f>
        <v/>
      </c>
      <c r="X45" s="5">
        <f>IF(tblOrdenes[[#This Row],[centro_costo]]="","",_xlfn.XLOOKUP(tblOrdenes[[#This Row],[centro_costo]],tblCECO[codigo],tblCECO[area],"(sin catálogo)"))</f>
        <v/>
      </c>
      <c r="Y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" s="5">
        <f>IF(tblOrdenes[[#This Row],[centro_costo]]="","",_xlfn.XLOOKUP(tblOrdenes[[#This Row],[centro_costo]],tblCECO[codigo],tblCECO[coordinador],"(sin catálogo)"))</f>
        <v/>
      </c>
      <c r="AA45" s="5">
        <f>IF(tblOrdenes[[#This Row],[puesto_trabajo]]="","",_xlfn.XLOOKUP(tblOrdenes[[#This Row],[puesto_trabajo]],tblPuestos[codigo],tblPuestos[especialidad],"(sin catálogo)"))</f>
        <v/>
      </c>
      <c r="AB45" s="5">
        <f>IF(tblOrdenes[[#This Row],[cod_actividad]]="","",_xlfn.XLOOKUP(tblOrdenes[[#This Row],[cod_actividad]],tblActividades[codigo],tblActividades[descripcion],"(sin catálogo)"))</f>
        <v/>
      </c>
      <c r="AC45" s="20">
        <f>IF(tblOrdenes[[#This Row],[fecha_inicio]]="","",TODAY()-tblOrdenes[[#This Row],[fecha_inicio]])</f>
        <v/>
      </c>
      <c r="AD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" s="5">
        <f>IF(tblOrdenes[[#This Row],[backlog_habiles]]="","",IF(tblOrdenes[[#This Row],[backlog_habiles]]&lt;0,"FUTURO",IF(tblOrdenes[[#This Row],[backlog_habiles]]&gt;p_dias_backlog_max,"BACKLOG","MES CORRIENTE")))</f>
        <v/>
      </c>
      <c r="AF45" s="5">
        <f>IF(tblOrdenes[[#This Row],[backlog_habiles]]="",FALSE,AND(tblOrdenes[[#This Row],[backlog_habiles]]&gt;p_dias_backlog_min,tblOrdenes[[#This Row],[backlog_habiles]]&lt;=p_dias_backlog_max))</f>
        <v/>
      </c>
      <c r="AG45" s="4" t="inlineStr">
        <is>
          <t>Francisco Ramírez</t>
        </is>
      </c>
      <c r="AH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" s="18">
        <f>IF(tblOrdenes[[#This Row],[orden]]="","",_xlfn.XLOOKUP(tblOrdenes[[#This Row],[id_operacion]],tblEjecucion[id_operacion],tblEjecucion[precio],0))</f>
        <v/>
      </c>
      <c r="AL45" s="18">
        <f>IF(tblOrdenes[[#This Row],[orden]]="","",MAX(0,_xlfn.XLOOKUP(tblOrdenes[[#This Row],[id_operacion]],tblEjecucion[id_operacion],tblEjecucion[costo_plan_total],0)-tblOrdenes[[#This Row],[costo_servicio]]))</f>
        <v/>
      </c>
      <c r="AM45" s="18">
        <f>IF(tblOrdenes[[#This Row],[orden]]="","",tblOrdenes[[#This Row],[costo_servicio]]+tblOrdenes[[#This Row],[costo_materiales]])</f>
        <v/>
      </c>
      <c r="AN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" s="4" t="inlineStr"/>
      <c r="AP45" s="4" t="inlineStr"/>
      <c r="AQ45" s="4" t="inlineStr">
        <is>
          <t>ACT-01.pdf</t>
        </is>
      </c>
      <c r="AR45" s="5">
        <f>IF(tblOrdenes[[#This Row],[link_checklist]]="","",HYPERLINK(p_ruta_base_checklists&amp;tblOrdenes[[#This Row],[link_checklist]],"abrir"))</f>
        <v/>
      </c>
      <c r="AS45" s="4" t="inlineStr"/>
      <c r="AT45" s="5">
        <f>IF(tblOrdenes[[#This Row],[orden]]="","",tblOrdenes[[#This Row],[orden]]&amp;IF(tblOrdenes[[#This Row],[operacion]]="","0010",tblOrdenes[[#This Row],[operacion]]))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TIPO-P1</t>
        </is>
      </c>
      <c r="J46" s="22" t="n">
        <v>46246</v>
      </c>
      <c r="K46" s="5" t="n">
        <v>6</v>
      </c>
      <c r="L46" s="18" t="n">
        <v>150</v>
      </c>
      <c r="M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5">
        <f>IF(tblOrdenes[[#This Row],[fecha_inicio]]="","",YEAR(tblOrdenes[[#This Row],[fecha_inicio]]))</f>
        <v/>
      </c>
      <c r="Q46" s="5">
        <f>IF(tblOrdenes[[#This Row],[fecha_inicio]]="","",MONTH(tblOrdenes[[#This Row],[fecha_inicio]]))</f>
        <v/>
      </c>
      <c r="R46" s="5">
        <f>IF(tblOrdenes[[#This Row],[fecha_inicio]]="","",tblOrdenes[[#This Row],[anio]]&amp;"-"&amp;TEXT(tblOrdenes[[#This Row],[mes]],"00"))</f>
        <v/>
      </c>
      <c r="S46" s="5">
        <f>IF(tblOrdenes[[#This Row],[fecha_inicio]]="","",INDEX(lista_dias,WEEKDAY(tblOrdenes[[#This Row],[fecha_inicio]],2)))</f>
        <v/>
      </c>
      <c r="T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" s="5">
        <f>IF(tblOrdenes[[#This Row],[tipo_ot]]="","",_xlfn.XLOOKUP(tblOrdenes[[#This Row],[tipo_ot]],tblTiposOT[codigo],tblTiposOT[clasificacion],"sin_clasificar"))</f>
        <v/>
      </c>
      <c r="V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" s="5">
        <f>IF(tblOrdenes[[#This Row],[centro_costo]]="","",_xlfn.XLOOKUP(tblOrdenes[[#This Row],[centro_costo]],tblCECO[codigo],tblCECO[linea],"(sin catálogo)"))</f>
        <v/>
      </c>
      <c r="X46" s="5">
        <f>IF(tblOrdenes[[#This Row],[centro_costo]]="","",_xlfn.XLOOKUP(tblOrdenes[[#This Row],[centro_costo]],tblCECO[codigo],tblCECO[area],"(sin catálogo)"))</f>
        <v/>
      </c>
      <c r="Y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" s="5">
        <f>IF(tblOrdenes[[#This Row],[centro_costo]]="","",_xlfn.XLOOKUP(tblOrdenes[[#This Row],[centro_costo]],tblCECO[codigo],tblCECO[coordinador],"(sin catálogo)"))</f>
        <v/>
      </c>
      <c r="AA46" s="5">
        <f>IF(tblOrdenes[[#This Row],[puesto_trabajo]]="","",_xlfn.XLOOKUP(tblOrdenes[[#This Row],[puesto_trabajo]],tblPuestos[codigo],tblPuestos[especialidad],"(sin catálogo)"))</f>
        <v/>
      </c>
      <c r="AB46" s="5">
        <f>IF(tblOrdenes[[#This Row],[cod_actividad]]="","",_xlfn.XLOOKUP(tblOrdenes[[#This Row],[cod_actividad]],tblActividades[codigo],tblActividades[descripcion],"(sin catálogo)"))</f>
        <v/>
      </c>
      <c r="AC46" s="20">
        <f>IF(tblOrdenes[[#This Row],[fecha_inicio]]="","",TODAY()-tblOrdenes[[#This Row],[fecha_inicio]])</f>
        <v/>
      </c>
      <c r="AD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" s="5">
        <f>IF(tblOrdenes[[#This Row],[backlog_habiles]]="","",IF(tblOrdenes[[#This Row],[backlog_habiles]]&lt;0,"FUTURO",IF(tblOrdenes[[#This Row],[backlog_habiles]]&gt;p_dias_backlog_max,"BACKLOG","MES CORRIENTE")))</f>
        <v/>
      </c>
      <c r="AF46" s="5">
        <f>IF(tblOrdenes[[#This Row],[backlog_habiles]]="",FALSE,AND(tblOrdenes[[#This Row],[backlog_habiles]]&gt;p_dias_backlog_min,tblOrdenes[[#This Row],[backlog_habiles]]&lt;=p_dias_backlog_max))</f>
        <v/>
      </c>
      <c r="AG46" s="4" t="inlineStr">
        <is>
          <t>Carlos Pérez</t>
        </is>
      </c>
      <c r="AH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" s="18">
        <f>IF(tblOrdenes[[#This Row],[orden]]="","",_xlfn.XLOOKUP(tblOrdenes[[#This Row],[id_operacion]],tblEjecucion[id_operacion],tblEjecucion[precio],0))</f>
        <v/>
      </c>
      <c r="AL46" s="18">
        <f>IF(tblOrdenes[[#This Row],[orden]]="","",MAX(0,_xlfn.XLOOKUP(tblOrdenes[[#This Row],[id_operacion]],tblEjecucion[id_operacion],tblEjecucion[costo_plan_total],0)-tblOrdenes[[#This Row],[costo_servicio]]))</f>
        <v/>
      </c>
      <c r="AM46" s="18">
        <f>IF(tblOrdenes[[#This Row],[orden]]="","",tblOrdenes[[#This Row],[costo_servicio]]+tblOrdenes[[#This Row],[costo_materiales]])</f>
        <v/>
      </c>
      <c r="AN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" s="4" t="inlineStr"/>
      <c r="AP46" s="4" t="inlineStr"/>
      <c r="AQ46" s="4" t="inlineStr">
        <is>
          <t>ACT-02.pdf</t>
        </is>
      </c>
      <c r="AR46" s="5">
        <f>IF(tblOrdenes[[#This Row],[link_checklist]]="","",HYPERLINK(p_ruta_base_checklists&amp;tblOrdenes[[#This Row],[link_checklist]],"abrir"))</f>
        <v/>
      </c>
      <c r="AS46" s="4" t="inlineStr"/>
      <c r="AT46" s="5">
        <f>IF(tblOrdenes[[#This Row],[orden]]="","",tblOrdenes[[#This Row],[orden]]&amp;IF(tblOrdenes[[#This Row],[operacion]]="","0010",tblOrdenes[[#This Row],[operacion]]))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TIPO-P2</t>
        </is>
      </c>
      <c r="J47" s="22" t="n">
        <v>46247</v>
      </c>
      <c r="K47" s="5" t="n">
        <v>10</v>
      </c>
      <c r="L47" s="18" t="n">
        <v>250</v>
      </c>
      <c r="M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5">
        <f>IF(tblOrdenes[[#This Row],[fecha_inicio]]="","",YEAR(tblOrdenes[[#This Row],[fecha_inicio]]))</f>
        <v/>
      </c>
      <c r="Q47" s="5">
        <f>IF(tblOrdenes[[#This Row],[fecha_inicio]]="","",MONTH(tblOrdenes[[#This Row],[fecha_inicio]]))</f>
        <v/>
      </c>
      <c r="R47" s="5">
        <f>IF(tblOrdenes[[#This Row],[fecha_inicio]]="","",tblOrdenes[[#This Row],[anio]]&amp;"-"&amp;TEXT(tblOrdenes[[#This Row],[mes]],"00"))</f>
        <v/>
      </c>
      <c r="S47" s="5">
        <f>IF(tblOrdenes[[#This Row],[fecha_inicio]]="","",INDEX(lista_dias,WEEKDAY(tblOrdenes[[#This Row],[fecha_inicio]],2)))</f>
        <v/>
      </c>
      <c r="T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" s="5">
        <f>IF(tblOrdenes[[#This Row],[tipo_ot]]="","",_xlfn.XLOOKUP(tblOrdenes[[#This Row],[tipo_ot]],tblTiposOT[codigo],tblTiposOT[clasificacion],"sin_clasificar"))</f>
        <v/>
      </c>
      <c r="V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" s="5">
        <f>IF(tblOrdenes[[#This Row],[centro_costo]]="","",_xlfn.XLOOKUP(tblOrdenes[[#This Row],[centro_costo]],tblCECO[codigo],tblCECO[linea],"(sin catálogo)"))</f>
        <v/>
      </c>
      <c r="X47" s="5">
        <f>IF(tblOrdenes[[#This Row],[centro_costo]]="","",_xlfn.XLOOKUP(tblOrdenes[[#This Row],[centro_costo]],tblCECO[codigo],tblCECO[area],"(sin catálogo)"))</f>
        <v/>
      </c>
      <c r="Y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" s="5">
        <f>IF(tblOrdenes[[#This Row],[centro_costo]]="","",_xlfn.XLOOKUP(tblOrdenes[[#This Row],[centro_costo]],tblCECO[codigo],tblCECO[coordinador],"(sin catálogo)"))</f>
        <v/>
      </c>
      <c r="AA47" s="5">
        <f>IF(tblOrdenes[[#This Row],[puesto_trabajo]]="","",_xlfn.XLOOKUP(tblOrdenes[[#This Row],[puesto_trabajo]],tblPuestos[codigo],tblPuestos[especialidad],"(sin catálogo)"))</f>
        <v/>
      </c>
      <c r="AB47" s="5">
        <f>IF(tblOrdenes[[#This Row],[cod_actividad]]="","",_xlfn.XLOOKUP(tblOrdenes[[#This Row],[cod_actividad]],tblActividades[codigo],tblActividades[descripcion],"(sin catálogo)"))</f>
        <v/>
      </c>
      <c r="AC47" s="20">
        <f>IF(tblOrdenes[[#This Row],[fecha_inicio]]="","",TODAY()-tblOrdenes[[#This Row],[fecha_inicio]])</f>
        <v/>
      </c>
      <c r="AD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" s="5">
        <f>IF(tblOrdenes[[#This Row],[backlog_habiles]]="","",IF(tblOrdenes[[#This Row],[backlog_habiles]]&lt;0,"FUTURO",IF(tblOrdenes[[#This Row],[backlog_habiles]]&gt;p_dias_backlog_max,"BACKLOG","MES CORRIENTE")))</f>
        <v/>
      </c>
      <c r="AF47" s="5">
        <f>IF(tblOrdenes[[#This Row],[backlog_habiles]]="",FALSE,AND(tblOrdenes[[#This Row],[backlog_habiles]]&gt;p_dias_backlog_min,tblOrdenes[[#This Row],[backlog_habiles]]&lt;=p_dias_backlog_max))</f>
        <v/>
      </c>
      <c r="AG47" s="4" t="inlineStr">
        <is>
          <t>María Gómez</t>
        </is>
      </c>
      <c r="AH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" s="18">
        <f>IF(tblOrdenes[[#This Row],[orden]]="","",_xlfn.XLOOKUP(tblOrdenes[[#This Row],[id_operacion]],tblEjecucion[id_operacion],tblEjecucion[precio],0))</f>
        <v/>
      </c>
      <c r="AL47" s="18">
        <f>IF(tblOrdenes[[#This Row],[orden]]="","",MAX(0,_xlfn.XLOOKUP(tblOrdenes[[#This Row],[id_operacion]],tblEjecucion[id_operacion],tblEjecucion[costo_plan_total],0)-tblOrdenes[[#This Row],[costo_servicio]]))</f>
        <v/>
      </c>
      <c r="AM47" s="18">
        <f>IF(tblOrdenes[[#This Row],[orden]]="","",tblOrdenes[[#This Row],[costo_servicio]]+tblOrdenes[[#This Row],[costo_materiales]])</f>
        <v/>
      </c>
      <c r="AN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" s="4" t="inlineStr"/>
      <c r="AP47" s="4" t="inlineStr"/>
      <c r="AQ47" s="4" t="inlineStr">
        <is>
          <t>ACT-04.pdf</t>
        </is>
      </c>
      <c r="AR47" s="5">
        <f>IF(tblOrdenes[[#This Row],[link_checklist]]="","",HYPERLINK(p_ruta_base_checklists&amp;tblOrdenes[[#This Row],[link_checklist]],"abrir"))</f>
        <v/>
      </c>
      <c r="AS47" s="4" t="inlineStr"/>
      <c r="AT47" s="5">
        <f>IF(tblOrdenes[[#This Row],[orden]]="","",tblOrdenes[[#This Row],[orden]]&amp;IF(tblOrdenes[[#This Row],[operacion]]="","0010",tblOrdenes[[#This Row],[operacion]]))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TIPO-P1</t>
        </is>
      </c>
      <c r="J48" s="22" t="n">
        <v>46248</v>
      </c>
      <c r="K48" s="5" t="n">
        <v>8</v>
      </c>
      <c r="L48" s="18" t="n">
        <v>200</v>
      </c>
      <c r="M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5">
        <f>IF(tblOrdenes[[#This Row],[fecha_inicio]]="","",YEAR(tblOrdenes[[#This Row],[fecha_inicio]]))</f>
        <v/>
      </c>
      <c r="Q48" s="5">
        <f>IF(tblOrdenes[[#This Row],[fecha_inicio]]="","",MONTH(tblOrdenes[[#This Row],[fecha_inicio]]))</f>
        <v/>
      </c>
      <c r="R48" s="5">
        <f>IF(tblOrdenes[[#This Row],[fecha_inicio]]="","",tblOrdenes[[#This Row],[anio]]&amp;"-"&amp;TEXT(tblOrdenes[[#This Row],[mes]],"00"))</f>
        <v/>
      </c>
      <c r="S48" s="5">
        <f>IF(tblOrdenes[[#This Row],[fecha_inicio]]="","",INDEX(lista_dias,WEEKDAY(tblOrdenes[[#This Row],[fecha_inicio]],2)))</f>
        <v/>
      </c>
      <c r="T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" s="5">
        <f>IF(tblOrdenes[[#This Row],[tipo_ot]]="","",_xlfn.XLOOKUP(tblOrdenes[[#This Row],[tipo_ot]],tblTiposOT[codigo],tblTiposOT[clasificacion],"sin_clasificar"))</f>
        <v/>
      </c>
      <c r="V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" s="5">
        <f>IF(tblOrdenes[[#This Row],[centro_costo]]="","",_xlfn.XLOOKUP(tblOrdenes[[#This Row],[centro_costo]],tblCECO[codigo],tblCECO[linea],"(sin catálogo)"))</f>
        <v/>
      </c>
      <c r="X48" s="5">
        <f>IF(tblOrdenes[[#This Row],[centro_costo]]="","",_xlfn.XLOOKUP(tblOrdenes[[#This Row],[centro_costo]],tblCECO[codigo],tblCECO[area],"(sin catálogo)"))</f>
        <v/>
      </c>
      <c r="Y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" s="5">
        <f>IF(tblOrdenes[[#This Row],[centro_costo]]="","",_xlfn.XLOOKUP(tblOrdenes[[#This Row],[centro_costo]],tblCECO[codigo],tblCECO[coordinador],"(sin catálogo)"))</f>
        <v/>
      </c>
      <c r="AA48" s="5">
        <f>IF(tblOrdenes[[#This Row],[puesto_trabajo]]="","",_xlfn.XLOOKUP(tblOrdenes[[#This Row],[puesto_trabajo]],tblPuestos[codigo],tblPuestos[especialidad],"(sin catálogo)"))</f>
        <v/>
      </c>
      <c r="AB48" s="5">
        <f>IF(tblOrdenes[[#This Row],[cod_actividad]]="","",_xlfn.XLOOKUP(tblOrdenes[[#This Row],[cod_actividad]],tblActividades[codigo],tblActividades[descripcion],"(sin catálogo)"))</f>
        <v/>
      </c>
      <c r="AC48" s="20">
        <f>IF(tblOrdenes[[#This Row],[fecha_inicio]]="","",TODAY()-tblOrdenes[[#This Row],[fecha_inicio]])</f>
        <v/>
      </c>
      <c r="AD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" s="5">
        <f>IF(tblOrdenes[[#This Row],[backlog_habiles]]="","",IF(tblOrdenes[[#This Row],[backlog_habiles]]&lt;0,"FUTURO",IF(tblOrdenes[[#This Row],[backlog_habiles]]&gt;p_dias_backlog_max,"BACKLOG","MES CORRIENTE")))</f>
        <v/>
      </c>
      <c r="AF48" s="5">
        <f>IF(tblOrdenes[[#This Row],[backlog_habiles]]="",FALSE,AND(tblOrdenes[[#This Row],[backlog_habiles]]&gt;p_dias_backlog_min,tblOrdenes[[#This Row],[backlog_habiles]]&lt;=p_dias_backlog_max))</f>
        <v/>
      </c>
      <c r="AG48" s="4" t="inlineStr">
        <is>
          <t>Luis Rodríguez</t>
        </is>
      </c>
      <c r="AH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" s="18">
        <f>IF(tblOrdenes[[#This Row],[orden]]="","",_xlfn.XLOOKUP(tblOrdenes[[#This Row],[id_operacion]],tblEjecucion[id_operacion],tblEjecucion[precio],0))</f>
        <v/>
      </c>
      <c r="AL48" s="18">
        <f>IF(tblOrdenes[[#This Row],[orden]]="","",MAX(0,_xlfn.XLOOKUP(tblOrdenes[[#This Row],[id_operacion]],tblEjecucion[id_operacion],tblEjecucion[costo_plan_total],0)-tblOrdenes[[#This Row],[costo_servicio]]))</f>
        <v/>
      </c>
      <c r="AM48" s="18">
        <f>IF(tblOrdenes[[#This Row],[orden]]="","",tblOrdenes[[#This Row],[costo_servicio]]+tblOrdenes[[#This Row],[costo_materiales]])</f>
        <v/>
      </c>
      <c r="AN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" s="4" t="inlineStr"/>
      <c r="AP48" s="4" t="inlineStr"/>
      <c r="AQ48" s="4" t="inlineStr">
        <is>
          <t>ACT-01.pdf</t>
        </is>
      </c>
      <c r="AR48" s="5">
        <f>IF(tblOrdenes[[#This Row],[link_checklist]]="","",HYPERLINK(p_ruta_base_checklists&amp;tblOrdenes[[#This Row],[link_checklist]],"abrir"))</f>
        <v/>
      </c>
      <c r="AS48" s="4" t="inlineStr"/>
      <c r="AT48" s="5">
        <f>IF(tblOrdenes[[#This Row],[orden]]="","",tblOrdenes[[#This Row],[orden]]&amp;IF(tblOrdenes[[#This Row],[operacion]]="","0010",tblOrdenes[[#This Row],[operacion]]))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22" t="n">
        <v>46244</v>
      </c>
      <c r="K49" s="5" t="n">
        <v>4</v>
      </c>
      <c r="L49" s="18" t="n">
        <v>100</v>
      </c>
      <c r="M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5">
        <f>IF(tblOrdenes[[#This Row],[fecha_inicio]]="","",YEAR(tblOrdenes[[#This Row],[fecha_inicio]]))</f>
        <v/>
      </c>
      <c r="Q49" s="5">
        <f>IF(tblOrdenes[[#This Row],[fecha_inicio]]="","",MONTH(tblOrdenes[[#This Row],[fecha_inicio]]))</f>
        <v/>
      </c>
      <c r="R49" s="5">
        <f>IF(tblOrdenes[[#This Row],[fecha_inicio]]="","",tblOrdenes[[#This Row],[anio]]&amp;"-"&amp;TEXT(tblOrdenes[[#This Row],[mes]],"00"))</f>
        <v/>
      </c>
      <c r="S49" s="5">
        <f>IF(tblOrdenes[[#This Row],[fecha_inicio]]="","",INDEX(lista_dias,WEEKDAY(tblOrdenes[[#This Row],[fecha_inicio]],2)))</f>
        <v/>
      </c>
      <c r="T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" s="5">
        <f>IF(tblOrdenes[[#This Row],[tipo_ot]]="","",_xlfn.XLOOKUP(tblOrdenes[[#This Row],[tipo_ot]],tblTiposOT[codigo],tblTiposOT[clasificacion],"sin_clasificar"))</f>
        <v/>
      </c>
      <c r="V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" s="5">
        <f>IF(tblOrdenes[[#This Row],[centro_costo]]="","",_xlfn.XLOOKUP(tblOrdenes[[#This Row],[centro_costo]],tblCECO[codigo],tblCECO[linea],"(sin catálogo)"))</f>
        <v/>
      </c>
      <c r="X49" s="5">
        <f>IF(tblOrdenes[[#This Row],[centro_costo]]="","",_xlfn.XLOOKUP(tblOrdenes[[#This Row],[centro_costo]],tblCECO[codigo],tblCECO[area],"(sin catálogo)"))</f>
        <v/>
      </c>
      <c r="Y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" s="5">
        <f>IF(tblOrdenes[[#This Row],[centro_costo]]="","",_xlfn.XLOOKUP(tblOrdenes[[#This Row],[centro_costo]],tblCECO[codigo],tblCECO[coordinador],"(sin catálogo)"))</f>
        <v/>
      </c>
      <c r="AA49" s="5">
        <f>IF(tblOrdenes[[#This Row],[puesto_trabajo]]="","",_xlfn.XLOOKUP(tblOrdenes[[#This Row],[puesto_trabajo]],tblPuestos[codigo],tblPuestos[especialidad],"(sin catálogo)"))</f>
        <v/>
      </c>
      <c r="AB49" s="5">
        <f>IF(tblOrdenes[[#This Row],[cod_actividad]]="","",_xlfn.XLOOKUP(tblOrdenes[[#This Row],[cod_actividad]],tblActividades[codigo],tblActividades[descripcion],"(sin catálogo)"))</f>
        <v/>
      </c>
      <c r="AC49" s="20">
        <f>IF(tblOrdenes[[#This Row],[fecha_inicio]]="","",TODAY()-tblOrdenes[[#This Row],[fecha_inicio]])</f>
        <v/>
      </c>
      <c r="AD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" s="5">
        <f>IF(tblOrdenes[[#This Row],[backlog_habiles]]="","",IF(tblOrdenes[[#This Row],[backlog_habiles]]&lt;0,"FUTURO",IF(tblOrdenes[[#This Row],[backlog_habiles]]&gt;p_dias_backlog_max,"BACKLOG","MES CORRIENTE")))</f>
        <v/>
      </c>
      <c r="AF49" s="5">
        <f>IF(tblOrdenes[[#This Row],[backlog_habiles]]="",FALSE,AND(tblOrdenes[[#This Row],[backlog_habiles]]&gt;p_dias_backlog_min,tblOrdenes[[#This Row],[backlog_habiles]]&lt;=p_dias_backlog_max))</f>
        <v/>
      </c>
      <c r="AG49" s="4" t="inlineStr">
        <is>
          <t>Miguel Martínez</t>
        </is>
      </c>
      <c r="AH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" s="18">
        <f>IF(tblOrdenes[[#This Row],[orden]]="","",_xlfn.XLOOKUP(tblOrdenes[[#This Row],[id_operacion]],tblEjecucion[id_operacion],tblEjecucion[precio],0))</f>
        <v/>
      </c>
      <c r="AL49" s="18">
        <f>IF(tblOrdenes[[#This Row],[orden]]="","",MAX(0,_xlfn.XLOOKUP(tblOrdenes[[#This Row],[id_operacion]],tblEjecucion[id_operacion],tblEjecucion[costo_plan_total],0)-tblOrdenes[[#This Row],[costo_servicio]]))</f>
        <v/>
      </c>
      <c r="AM49" s="18">
        <f>IF(tblOrdenes[[#This Row],[orden]]="","",tblOrdenes[[#This Row],[costo_servicio]]+tblOrdenes[[#This Row],[costo_materiales]])</f>
        <v/>
      </c>
      <c r="AN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" s="4" t="inlineStr"/>
      <c r="AP49" s="4" t="inlineStr"/>
      <c r="AQ49" s="4" t="inlineStr">
        <is>
          <t>ACT-02.pdf</t>
        </is>
      </c>
      <c r="AR49" s="5">
        <f>IF(tblOrdenes[[#This Row],[link_checklist]]="","",HYPERLINK(p_ruta_base_checklists&amp;tblOrdenes[[#This Row],[link_checklist]],"abrir"))</f>
        <v/>
      </c>
      <c r="AS49" s="4" t="inlineStr"/>
      <c r="AT49" s="5">
        <f>IF(tblOrdenes[[#This Row],[orden]]="","",tblOrdenes[[#This Row],[orden]]&amp;IF(tblOrdenes[[#This Row],[operacion]]="","0010",tblOrdenes[[#This Row],[operacion]]))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22" t="n">
        <v>46245</v>
      </c>
      <c r="K50" s="5" t="n">
        <v>10</v>
      </c>
      <c r="L50" s="18" t="n">
        <v>400</v>
      </c>
      <c r="M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5">
        <f>IF(tblOrdenes[[#This Row],[fecha_inicio]]="","",YEAR(tblOrdenes[[#This Row],[fecha_inicio]]))</f>
        <v/>
      </c>
      <c r="Q50" s="5">
        <f>IF(tblOrdenes[[#This Row],[fecha_inicio]]="","",MONTH(tblOrdenes[[#This Row],[fecha_inicio]]))</f>
        <v/>
      </c>
      <c r="R50" s="5">
        <f>IF(tblOrdenes[[#This Row],[fecha_inicio]]="","",tblOrdenes[[#This Row],[anio]]&amp;"-"&amp;TEXT(tblOrdenes[[#This Row],[mes]],"00"))</f>
        <v/>
      </c>
      <c r="S50" s="5">
        <f>IF(tblOrdenes[[#This Row],[fecha_inicio]]="","",INDEX(lista_dias,WEEKDAY(tblOrdenes[[#This Row],[fecha_inicio]],2)))</f>
        <v/>
      </c>
      <c r="T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" s="5">
        <f>IF(tblOrdenes[[#This Row],[tipo_ot]]="","",_xlfn.XLOOKUP(tblOrdenes[[#This Row],[tipo_ot]],tblTiposOT[codigo],tblTiposOT[clasificacion],"sin_clasificar"))</f>
        <v/>
      </c>
      <c r="V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" s="5">
        <f>IF(tblOrdenes[[#This Row],[centro_costo]]="","",_xlfn.XLOOKUP(tblOrdenes[[#This Row],[centro_costo]],tblCECO[codigo],tblCECO[linea],"(sin catálogo)"))</f>
        <v/>
      </c>
      <c r="X50" s="5">
        <f>IF(tblOrdenes[[#This Row],[centro_costo]]="","",_xlfn.XLOOKUP(tblOrdenes[[#This Row],[centro_costo]],tblCECO[codigo],tblCECO[area],"(sin catálogo)"))</f>
        <v/>
      </c>
      <c r="Y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" s="5">
        <f>IF(tblOrdenes[[#This Row],[centro_costo]]="","",_xlfn.XLOOKUP(tblOrdenes[[#This Row],[centro_costo]],tblCECO[codigo],tblCECO[coordinador],"(sin catálogo)"))</f>
        <v/>
      </c>
      <c r="AA50" s="5">
        <f>IF(tblOrdenes[[#This Row],[puesto_trabajo]]="","",_xlfn.XLOOKUP(tblOrdenes[[#This Row],[puesto_trabajo]],tblPuestos[codigo],tblPuestos[especialidad],"(sin catálogo)"))</f>
        <v/>
      </c>
      <c r="AB50" s="5">
        <f>IF(tblOrdenes[[#This Row],[cod_actividad]]="","",_xlfn.XLOOKUP(tblOrdenes[[#This Row],[cod_actividad]],tblActividades[codigo],tblActividades[descripcion],"(sin catálogo)"))</f>
        <v/>
      </c>
      <c r="AC50" s="20">
        <f>IF(tblOrdenes[[#This Row],[fecha_inicio]]="","",TODAY()-tblOrdenes[[#This Row],[fecha_inicio]])</f>
        <v/>
      </c>
      <c r="AD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" s="5">
        <f>IF(tblOrdenes[[#This Row],[backlog_habiles]]="","",IF(tblOrdenes[[#This Row],[backlog_habiles]]&lt;0,"FUTURO",IF(tblOrdenes[[#This Row],[backlog_habiles]]&gt;p_dias_backlog_max,"BACKLOG","MES CORRIENTE")))</f>
        <v/>
      </c>
      <c r="AF50" s="5">
        <f>IF(tblOrdenes[[#This Row],[backlog_habiles]]="",FALSE,AND(tblOrdenes[[#This Row],[backlog_habiles]]&gt;p_dias_backlog_min,tblOrdenes[[#This Row],[backlog_habiles]]&lt;=p_dias_backlog_max))</f>
        <v/>
      </c>
      <c r="AG50" s="4" t="inlineStr"/>
      <c r="AH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" s="18">
        <f>IF(tblOrdenes[[#This Row],[orden]]="","",_xlfn.XLOOKUP(tblOrdenes[[#This Row],[id_operacion]],tblEjecucion[id_operacion],tblEjecucion[precio],0))</f>
        <v/>
      </c>
      <c r="AL50" s="18">
        <f>IF(tblOrdenes[[#This Row],[orden]]="","",MAX(0,_xlfn.XLOOKUP(tblOrdenes[[#This Row],[id_operacion]],tblEjecucion[id_operacion],tblEjecucion[costo_plan_total],0)-tblOrdenes[[#This Row],[costo_servicio]]))</f>
        <v/>
      </c>
      <c r="AM50" s="18">
        <f>IF(tblOrdenes[[#This Row],[orden]]="","",tblOrdenes[[#This Row],[costo_servicio]]+tblOrdenes[[#This Row],[costo_materiales]])</f>
        <v/>
      </c>
      <c r="AN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" s="4" t="inlineStr"/>
      <c r="AP50" s="4" t="inlineStr"/>
      <c r="AQ50" s="4" t="inlineStr"/>
      <c r="AR50" s="5">
        <f>IF(tblOrdenes[[#This Row],[link_checklist]]="","",HYPERLINK(p_ruta_base_checklists&amp;tblOrdenes[[#This Row],[link_checklist]],"abrir"))</f>
        <v/>
      </c>
      <c r="AS50" s="4" t="inlineStr"/>
      <c r="AT50" s="5">
        <f>IF(tblOrdenes[[#This Row],[orden]]="","",tblOrdenes[[#This Row],[orden]]&amp;IF(tblOrdenes[[#This Row],[operacion]]="","0010",tblOrdenes[[#This Row],[operacion]]))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22" t="n">
        <v>46246</v>
      </c>
      <c r="K51" s="5" t="n">
        <v>4</v>
      </c>
      <c r="L51" s="18" t="n">
        <v>160</v>
      </c>
      <c r="M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5">
        <f>IF(tblOrdenes[[#This Row],[fecha_inicio]]="","",YEAR(tblOrdenes[[#This Row],[fecha_inicio]]))</f>
        <v/>
      </c>
      <c r="Q51" s="5">
        <f>IF(tblOrdenes[[#This Row],[fecha_inicio]]="","",MONTH(tblOrdenes[[#This Row],[fecha_inicio]]))</f>
        <v/>
      </c>
      <c r="R51" s="5">
        <f>IF(tblOrdenes[[#This Row],[fecha_inicio]]="","",tblOrdenes[[#This Row],[anio]]&amp;"-"&amp;TEXT(tblOrdenes[[#This Row],[mes]],"00"))</f>
        <v/>
      </c>
      <c r="S51" s="5">
        <f>IF(tblOrdenes[[#This Row],[fecha_inicio]]="","",INDEX(lista_dias,WEEKDAY(tblOrdenes[[#This Row],[fecha_inicio]],2)))</f>
        <v/>
      </c>
      <c r="T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" s="5">
        <f>IF(tblOrdenes[[#This Row],[tipo_ot]]="","",_xlfn.XLOOKUP(tblOrdenes[[#This Row],[tipo_ot]],tblTiposOT[codigo],tblTiposOT[clasificacion],"sin_clasificar"))</f>
        <v/>
      </c>
      <c r="V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" s="5">
        <f>IF(tblOrdenes[[#This Row],[centro_costo]]="","",_xlfn.XLOOKUP(tblOrdenes[[#This Row],[centro_costo]],tblCECO[codigo],tblCECO[linea],"(sin catálogo)"))</f>
        <v/>
      </c>
      <c r="X51" s="5">
        <f>IF(tblOrdenes[[#This Row],[centro_costo]]="","",_xlfn.XLOOKUP(tblOrdenes[[#This Row],[centro_costo]],tblCECO[codigo],tblCECO[area],"(sin catálogo)"))</f>
        <v/>
      </c>
      <c r="Y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" s="5">
        <f>IF(tblOrdenes[[#This Row],[centro_costo]]="","",_xlfn.XLOOKUP(tblOrdenes[[#This Row],[centro_costo]],tblCECO[codigo],tblCECO[coordinador],"(sin catálogo)"))</f>
        <v/>
      </c>
      <c r="AA51" s="5">
        <f>IF(tblOrdenes[[#This Row],[puesto_trabajo]]="","",_xlfn.XLOOKUP(tblOrdenes[[#This Row],[puesto_trabajo]],tblPuestos[codigo],tblPuestos[especialidad],"(sin catálogo)"))</f>
        <v/>
      </c>
      <c r="AB51" s="5">
        <f>IF(tblOrdenes[[#This Row],[cod_actividad]]="","",_xlfn.XLOOKUP(tblOrdenes[[#This Row],[cod_actividad]],tblActividades[codigo],tblActividades[descripcion],"(sin catálogo)"))</f>
        <v/>
      </c>
      <c r="AC51" s="20">
        <f>IF(tblOrdenes[[#This Row],[fecha_inicio]]="","",TODAY()-tblOrdenes[[#This Row],[fecha_inicio]])</f>
        <v/>
      </c>
      <c r="AD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" s="5">
        <f>IF(tblOrdenes[[#This Row],[backlog_habiles]]="","",IF(tblOrdenes[[#This Row],[backlog_habiles]]&lt;0,"FUTURO",IF(tblOrdenes[[#This Row],[backlog_habiles]]&gt;p_dias_backlog_max,"BACKLOG","MES CORRIENTE")))</f>
        <v/>
      </c>
      <c r="AF51" s="5">
        <f>IF(tblOrdenes[[#This Row],[backlog_habiles]]="",FALSE,AND(tblOrdenes[[#This Row],[backlog_habiles]]&gt;p_dias_backlog_min,tblOrdenes[[#This Row],[backlog_habiles]]&lt;=p_dias_backlog_max))</f>
        <v/>
      </c>
      <c r="AG51" s="4" t="inlineStr"/>
      <c r="AH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" s="18">
        <f>IF(tblOrdenes[[#This Row],[orden]]="","",_xlfn.XLOOKUP(tblOrdenes[[#This Row],[id_operacion]],tblEjecucion[id_operacion],tblEjecucion[precio],0))</f>
        <v/>
      </c>
      <c r="AL51" s="18">
        <f>IF(tblOrdenes[[#This Row],[orden]]="","",MAX(0,_xlfn.XLOOKUP(tblOrdenes[[#This Row],[id_operacion]],tblEjecucion[id_operacion],tblEjecucion[costo_plan_total],0)-tblOrdenes[[#This Row],[costo_servicio]]))</f>
        <v/>
      </c>
      <c r="AM51" s="18">
        <f>IF(tblOrdenes[[#This Row],[orden]]="","",tblOrdenes[[#This Row],[costo_servicio]]+tblOrdenes[[#This Row],[costo_materiales]])</f>
        <v/>
      </c>
      <c r="AN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" s="4" t="inlineStr">
        <is>
          <t>PT-CALIENTE</t>
        </is>
      </c>
      <c r="AP51" s="4" t="inlineStr">
        <is>
          <t>LOTO</t>
        </is>
      </c>
      <c r="AQ51" s="4" t="inlineStr"/>
      <c r="AR51" s="5">
        <f>IF(tblOrdenes[[#This Row],[link_checklist]]="","",HYPERLINK(p_ruta_base_checklists&amp;tblOrdenes[[#This Row],[link_checklist]],"abrir"))</f>
        <v/>
      </c>
      <c r="AS51" s="4" t="inlineStr"/>
      <c r="AT51" s="5">
        <f>IF(tblOrdenes[[#This Row],[orden]]="","",tblOrdenes[[#This Row],[orden]]&amp;IF(tblOrdenes[[#This Row],[operacion]]="","0010",tblOrdenes[[#This Row],[operacion]]))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TIPO-P1</t>
        </is>
      </c>
      <c r="J52" s="22" t="n">
        <v>46226</v>
      </c>
      <c r="K52" s="5" t="n">
        <v>10</v>
      </c>
      <c r="L52" s="18" t="n">
        <v>250</v>
      </c>
      <c r="M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5">
        <f>IF(tblOrdenes[[#This Row],[fecha_inicio]]="","",YEAR(tblOrdenes[[#This Row],[fecha_inicio]]))</f>
        <v/>
      </c>
      <c r="Q52" s="5">
        <f>IF(tblOrdenes[[#This Row],[fecha_inicio]]="","",MONTH(tblOrdenes[[#This Row],[fecha_inicio]]))</f>
        <v/>
      </c>
      <c r="R52" s="5">
        <f>IF(tblOrdenes[[#This Row],[fecha_inicio]]="","",tblOrdenes[[#This Row],[anio]]&amp;"-"&amp;TEXT(tblOrdenes[[#This Row],[mes]],"00"))</f>
        <v/>
      </c>
      <c r="S52" s="5">
        <f>IF(tblOrdenes[[#This Row],[fecha_inicio]]="","",INDEX(lista_dias,WEEKDAY(tblOrdenes[[#This Row],[fecha_inicio]],2)))</f>
        <v/>
      </c>
      <c r="T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" s="5">
        <f>IF(tblOrdenes[[#This Row],[tipo_ot]]="","",_xlfn.XLOOKUP(tblOrdenes[[#This Row],[tipo_ot]],tblTiposOT[codigo],tblTiposOT[clasificacion],"sin_clasificar"))</f>
        <v/>
      </c>
      <c r="V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" s="5">
        <f>IF(tblOrdenes[[#This Row],[centro_costo]]="","",_xlfn.XLOOKUP(tblOrdenes[[#This Row],[centro_costo]],tblCECO[codigo],tblCECO[linea],"(sin catálogo)"))</f>
        <v/>
      </c>
      <c r="X52" s="5">
        <f>IF(tblOrdenes[[#This Row],[centro_costo]]="","",_xlfn.XLOOKUP(tblOrdenes[[#This Row],[centro_costo]],tblCECO[codigo],tblCECO[area],"(sin catálogo)"))</f>
        <v/>
      </c>
      <c r="Y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" s="5">
        <f>IF(tblOrdenes[[#This Row],[centro_costo]]="","",_xlfn.XLOOKUP(tblOrdenes[[#This Row],[centro_costo]],tblCECO[codigo],tblCECO[coordinador],"(sin catálogo)"))</f>
        <v/>
      </c>
      <c r="AA52" s="5">
        <f>IF(tblOrdenes[[#This Row],[puesto_trabajo]]="","",_xlfn.XLOOKUP(tblOrdenes[[#This Row],[puesto_trabajo]],tblPuestos[codigo],tblPuestos[especialidad],"(sin catálogo)"))</f>
        <v/>
      </c>
      <c r="AB52" s="5">
        <f>IF(tblOrdenes[[#This Row],[cod_actividad]]="","",_xlfn.XLOOKUP(tblOrdenes[[#This Row],[cod_actividad]],tblActividades[codigo],tblActividades[descripcion],"(sin catálogo)"))</f>
        <v/>
      </c>
      <c r="AC52" s="20">
        <f>IF(tblOrdenes[[#This Row],[fecha_inicio]]="","",TODAY()-tblOrdenes[[#This Row],[fecha_inicio]])</f>
        <v/>
      </c>
      <c r="AD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" s="5">
        <f>IF(tblOrdenes[[#This Row],[backlog_habiles]]="","",IF(tblOrdenes[[#This Row],[backlog_habiles]]&lt;0,"FUTURO",IF(tblOrdenes[[#This Row],[backlog_habiles]]&gt;p_dias_backlog_max,"BACKLOG","MES CORRIENTE")))</f>
        <v/>
      </c>
      <c r="AF52" s="5">
        <f>IF(tblOrdenes[[#This Row],[backlog_habiles]]="",FALSE,AND(tblOrdenes[[#This Row],[backlog_habiles]]&gt;p_dias_backlog_min,tblOrdenes[[#This Row],[backlog_habiles]]&lt;=p_dias_backlog_max))</f>
        <v/>
      </c>
      <c r="AG52" s="4" t="inlineStr">
        <is>
          <t>Fernando Mendoza</t>
        </is>
      </c>
      <c r="AH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" s="18">
        <f>IF(tblOrdenes[[#This Row],[orden]]="","",_xlfn.XLOOKUP(tblOrdenes[[#This Row],[id_operacion]],tblEjecucion[id_operacion],tblEjecucion[precio],0))</f>
        <v/>
      </c>
      <c r="AL52" s="18">
        <f>IF(tblOrdenes[[#This Row],[orden]]="","",MAX(0,_xlfn.XLOOKUP(tblOrdenes[[#This Row],[id_operacion]],tblEjecucion[id_operacion],tblEjecucion[costo_plan_total],0)-tblOrdenes[[#This Row],[costo_servicio]]))</f>
        <v/>
      </c>
      <c r="AM52" s="18">
        <f>IF(tblOrdenes[[#This Row],[orden]]="","",tblOrdenes[[#This Row],[costo_servicio]]+tblOrdenes[[#This Row],[costo_materiales]])</f>
        <v/>
      </c>
      <c r="AN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" s="4" t="inlineStr"/>
      <c r="AP52" s="4" t="inlineStr"/>
      <c r="AQ52" s="4" t="inlineStr">
        <is>
          <t>ACT-02.pdf</t>
        </is>
      </c>
      <c r="AR52" s="5">
        <f>IF(tblOrdenes[[#This Row],[link_checklist]]="","",HYPERLINK(p_ruta_base_checklists&amp;tblOrdenes[[#This Row],[link_checklist]],"abrir"))</f>
        <v/>
      </c>
      <c r="AS52" s="4" t="inlineStr"/>
      <c r="AT52" s="5">
        <f>IF(tblOrdenes[[#This Row],[orden]]="","",tblOrdenes[[#This Row],[orden]]&amp;IF(tblOrdenes[[#This Row],[operacion]]="","0010",tblOrdenes[[#This Row],[operacion]]))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TIPO-P2</t>
        </is>
      </c>
      <c r="J53" s="22" t="n">
        <v>46227</v>
      </c>
      <c r="K53" s="5" t="n">
        <v>8</v>
      </c>
      <c r="L53" s="18" t="n">
        <v>200</v>
      </c>
      <c r="M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5">
        <f>IF(tblOrdenes[[#This Row],[fecha_inicio]]="","",YEAR(tblOrdenes[[#This Row],[fecha_inicio]]))</f>
        <v/>
      </c>
      <c r="Q53" s="5">
        <f>IF(tblOrdenes[[#This Row],[fecha_inicio]]="","",MONTH(tblOrdenes[[#This Row],[fecha_inicio]]))</f>
        <v/>
      </c>
      <c r="R53" s="5">
        <f>IF(tblOrdenes[[#This Row],[fecha_inicio]]="","",tblOrdenes[[#This Row],[anio]]&amp;"-"&amp;TEXT(tblOrdenes[[#This Row],[mes]],"00"))</f>
        <v/>
      </c>
      <c r="S53" s="5">
        <f>IF(tblOrdenes[[#This Row],[fecha_inicio]]="","",INDEX(lista_dias,WEEKDAY(tblOrdenes[[#This Row],[fecha_inicio]],2)))</f>
        <v/>
      </c>
      <c r="T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" s="5">
        <f>IF(tblOrdenes[[#This Row],[tipo_ot]]="","",_xlfn.XLOOKUP(tblOrdenes[[#This Row],[tipo_ot]],tblTiposOT[codigo],tblTiposOT[clasificacion],"sin_clasificar"))</f>
        <v/>
      </c>
      <c r="V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" s="5">
        <f>IF(tblOrdenes[[#This Row],[centro_costo]]="","",_xlfn.XLOOKUP(tblOrdenes[[#This Row],[centro_costo]],tblCECO[codigo],tblCECO[linea],"(sin catálogo)"))</f>
        <v/>
      </c>
      <c r="X53" s="5">
        <f>IF(tblOrdenes[[#This Row],[centro_costo]]="","",_xlfn.XLOOKUP(tblOrdenes[[#This Row],[centro_costo]],tblCECO[codigo],tblCECO[area],"(sin catálogo)"))</f>
        <v/>
      </c>
      <c r="Y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" s="5">
        <f>IF(tblOrdenes[[#This Row],[centro_costo]]="","",_xlfn.XLOOKUP(tblOrdenes[[#This Row],[centro_costo]],tblCECO[codigo],tblCECO[coordinador],"(sin catálogo)"))</f>
        <v/>
      </c>
      <c r="AA53" s="5">
        <f>IF(tblOrdenes[[#This Row],[puesto_trabajo]]="","",_xlfn.XLOOKUP(tblOrdenes[[#This Row],[puesto_trabajo]],tblPuestos[codigo],tblPuestos[especialidad],"(sin catálogo)"))</f>
        <v/>
      </c>
      <c r="AB53" s="5">
        <f>IF(tblOrdenes[[#This Row],[cod_actividad]]="","",_xlfn.XLOOKUP(tblOrdenes[[#This Row],[cod_actividad]],tblActividades[codigo],tblActividades[descripcion],"(sin catálogo)"))</f>
        <v/>
      </c>
      <c r="AC53" s="20">
        <f>IF(tblOrdenes[[#This Row],[fecha_inicio]]="","",TODAY()-tblOrdenes[[#This Row],[fecha_inicio]])</f>
        <v/>
      </c>
      <c r="AD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" s="5">
        <f>IF(tblOrdenes[[#This Row],[backlog_habiles]]="","",IF(tblOrdenes[[#This Row],[backlog_habiles]]&lt;0,"FUTURO",IF(tblOrdenes[[#This Row],[backlog_habiles]]&gt;p_dias_backlog_max,"BACKLOG","MES CORRIENTE")))</f>
        <v/>
      </c>
      <c r="AF53" s="5">
        <f>IF(tblOrdenes[[#This Row],[backlog_habiles]]="",FALSE,AND(tblOrdenes[[#This Row],[backlog_habiles]]&gt;p_dias_backlog_min,tblOrdenes[[#This Row],[backlog_habiles]]&lt;=p_dias_backlog_max))</f>
        <v/>
      </c>
      <c r="AG53" s="4" t="inlineStr">
        <is>
          <t>Jorge Díaz</t>
        </is>
      </c>
      <c r="AH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" s="18">
        <f>IF(tblOrdenes[[#This Row],[orden]]="","",_xlfn.XLOOKUP(tblOrdenes[[#This Row],[id_operacion]],tblEjecucion[id_operacion],tblEjecucion[precio],0))</f>
        <v/>
      </c>
      <c r="AL53" s="18">
        <f>IF(tblOrdenes[[#This Row],[orden]]="","",MAX(0,_xlfn.XLOOKUP(tblOrdenes[[#This Row],[id_operacion]],tblEjecucion[id_operacion],tblEjecucion[costo_plan_total],0)-tblOrdenes[[#This Row],[costo_servicio]]))</f>
        <v/>
      </c>
      <c r="AM53" s="18">
        <f>IF(tblOrdenes[[#This Row],[orden]]="","",tblOrdenes[[#This Row],[costo_servicio]]+tblOrdenes[[#This Row],[costo_materiales]])</f>
        <v/>
      </c>
      <c r="AN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" s="4" t="inlineStr"/>
      <c r="AP53" s="4" t="inlineStr"/>
      <c r="AQ53" s="4" t="inlineStr">
        <is>
          <t>ACT-04.pdf</t>
        </is>
      </c>
      <c r="AR53" s="5">
        <f>IF(tblOrdenes[[#This Row],[link_checklist]]="","",HYPERLINK(p_ruta_base_checklists&amp;tblOrdenes[[#This Row],[link_checklist]],"abrir"))</f>
        <v/>
      </c>
      <c r="AS53" s="4" t="inlineStr"/>
      <c r="AT53" s="5">
        <f>IF(tblOrdenes[[#This Row],[orden]]="","",tblOrdenes[[#This Row],[orden]]&amp;IF(tblOrdenes[[#This Row],[operacion]]="","0010",tblOrdenes[[#This Row],[operacion]]))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TIPO-P1</t>
        </is>
      </c>
      <c r="J54" s="22" t="n">
        <v>46223</v>
      </c>
      <c r="K54" s="5" t="n">
        <v>6</v>
      </c>
      <c r="L54" s="18" t="n">
        <v>150</v>
      </c>
      <c r="M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5">
        <f>IF(tblOrdenes[[#This Row],[fecha_inicio]]="","",YEAR(tblOrdenes[[#This Row],[fecha_inicio]]))</f>
        <v/>
      </c>
      <c r="Q54" s="5">
        <f>IF(tblOrdenes[[#This Row],[fecha_inicio]]="","",MONTH(tblOrdenes[[#This Row],[fecha_inicio]]))</f>
        <v/>
      </c>
      <c r="R54" s="5">
        <f>IF(tblOrdenes[[#This Row],[fecha_inicio]]="","",tblOrdenes[[#This Row],[anio]]&amp;"-"&amp;TEXT(tblOrdenes[[#This Row],[mes]],"00"))</f>
        <v/>
      </c>
      <c r="S54" s="5">
        <f>IF(tblOrdenes[[#This Row],[fecha_inicio]]="","",INDEX(lista_dias,WEEKDAY(tblOrdenes[[#This Row],[fecha_inicio]],2)))</f>
        <v/>
      </c>
      <c r="T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" s="5">
        <f>IF(tblOrdenes[[#This Row],[tipo_ot]]="","",_xlfn.XLOOKUP(tblOrdenes[[#This Row],[tipo_ot]],tblTiposOT[codigo],tblTiposOT[clasificacion],"sin_clasificar"))</f>
        <v/>
      </c>
      <c r="V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" s="5">
        <f>IF(tblOrdenes[[#This Row],[centro_costo]]="","",_xlfn.XLOOKUP(tblOrdenes[[#This Row],[centro_costo]],tblCECO[codigo],tblCECO[linea],"(sin catálogo)"))</f>
        <v/>
      </c>
      <c r="X54" s="5">
        <f>IF(tblOrdenes[[#This Row],[centro_costo]]="","",_xlfn.XLOOKUP(tblOrdenes[[#This Row],[centro_costo]],tblCECO[codigo],tblCECO[area],"(sin catálogo)"))</f>
        <v/>
      </c>
      <c r="Y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" s="5">
        <f>IF(tblOrdenes[[#This Row],[centro_costo]]="","",_xlfn.XLOOKUP(tblOrdenes[[#This Row],[centro_costo]],tblCECO[codigo],tblCECO[coordinador],"(sin catálogo)"))</f>
        <v/>
      </c>
      <c r="AA54" s="5">
        <f>IF(tblOrdenes[[#This Row],[puesto_trabajo]]="","",_xlfn.XLOOKUP(tblOrdenes[[#This Row],[puesto_trabajo]],tblPuestos[codigo],tblPuestos[especialidad],"(sin catálogo)"))</f>
        <v/>
      </c>
      <c r="AB54" s="5">
        <f>IF(tblOrdenes[[#This Row],[cod_actividad]]="","",_xlfn.XLOOKUP(tblOrdenes[[#This Row],[cod_actividad]],tblActividades[codigo],tblActividades[descripcion],"(sin catálogo)"))</f>
        <v/>
      </c>
      <c r="AC54" s="20">
        <f>IF(tblOrdenes[[#This Row],[fecha_inicio]]="","",TODAY()-tblOrdenes[[#This Row],[fecha_inicio]])</f>
        <v/>
      </c>
      <c r="AD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" s="5">
        <f>IF(tblOrdenes[[#This Row],[backlog_habiles]]="","",IF(tblOrdenes[[#This Row],[backlog_habiles]]&lt;0,"FUTURO",IF(tblOrdenes[[#This Row],[backlog_habiles]]&gt;p_dias_backlog_max,"BACKLOG","MES CORRIENTE")))</f>
        <v/>
      </c>
      <c r="AF54" s="5">
        <f>IF(tblOrdenes[[#This Row],[backlog_habiles]]="",FALSE,AND(tblOrdenes[[#This Row],[backlog_habiles]]&gt;p_dias_backlog_min,tblOrdenes[[#This Row],[backlog_habiles]]&lt;=p_dias_backlog_max))</f>
        <v/>
      </c>
      <c r="AG54" s="4" t="inlineStr">
        <is>
          <t>Roberto Castro</t>
        </is>
      </c>
      <c r="AH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" s="18">
        <f>IF(tblOrdenes[[#This Row],[orden]]="","",_xlfn.XLOOKUP(tblOrdenes[[#This Row],[id_operacion]],tblEjecucion[id_operacion],tblEjecucion[precio],0))</f>
        <v/>
      </c>
      <c r="AL54" s="18">
        <f>IF(tblOrdenes[[#This Row],[orden]]="","",MAX(0,_xlfn.XLOOKUP(tblOrdenes[[#This Row],[id_operacion]],tblEjecucion[id_operacion],tblEjecucion[costo_plan_total],0)-tblOrdenes[[#This Row],[costo_servicio]]))</f>
        <v/>
      </c>
      <c r="AM54" s="18">
        <f>IF(tblOrdenes[[#This Row],[orden]]="","",tblOrdenes[[#This Row],[costo_servicio]]+tblOrdenes[[#This Row],[costo_materiales]])</f>
        <v/>
      </c>
      <c r="AN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" s="4" t="inlineStr"/>
      <c r="AP54" s="4" t="inlineStr"/>
      <c r="AQ54" s="4" t="inlineStr">
        <is>
          <t>ACT-01.pdf</t>
        </is>
      </c>
      <c r="AR54" s="5">
        <f>IF(tblOrdenes[[#This Row],[link_checklist]]="","",HYPERLINK(p_ruta_base_checklists&amp;tblOrdenes[[#This Row],[link_checklist]],"abrir"))</f>
        <v/>
      </c>
      <c r="AS54" s="4" t="inlineStr"/>
      <c r="AT54" s="5">
        <f>IF(tblOrdenes[[#This Row],[orden]]="","",tblOrdenes[[#This Row],[orden]]&amp;IF(tblOrdenes[[#This Row],[operacion]]="","0010",tblOrdenes[[#This Row],[operacion]]))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22" t="n">
        <v>46224</v>
      </c>
      <c r="K55" s="5" t="n">
        <v>10</v>
      </c>
      <c r="L55" s="18" t="n">
        <v>250</v>
      </c>
      <c r="M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5">
        <f>IF(tblOrdenes[[#This Row],[fecha_inicio]]="","",YEAR(tblOrdenes[[#This Row],[fecha_inicio]]))</f>
        <v/>
      </c>
      <c r="Q55" s="5">
        <f>IF(tblOrdenes[[#This Row],[fecha_inicio]]="","",MONTH(tblOrdenes[[#This Row],[fecha_inicio]]))</f>
        <v/>
      </c>
      <c r="R55" s="5">
        <f>IF(tblOrdenes[[#This Row],[fecha_inicio]]="","",tblOrdenes[[#This Row],[anio]]&amp;"-"&amp;TEXT(tblOrdenes[[#This Row],[mes]],"00"))</f>
        <v/>
      </c>
      <c r="S55" s="5">
        <f>IF(tblOrdenes[[#This Row],[fecha_inicio]]="","",INDEX(lista_dias,WEEKDAY(tblOrdenes[[#This Row],[fecha_inicio]],2)))</f>
        <v/>
      </c>
      <c r="T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" s="5">
        <f>IF(tblOrdenes[[#This Row],[tipo_ot]]="","",_xlfn.XLOOKUP(tblOrdenes[[#This Row],[tipo_ot]],tblTiposOT[codigo],tblTiposOT[clasificacion],"sin_clasificar"))</f>
        <v/>
      </c>
      <c r="V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" s="5">
        <f>IF(tblOrdenes[[#This Row],[centro_costo]]="","",_xlfn.XLOOKUP(tblOrdenes[[#This Row],[centro_costo]],tblCECO[codigo],tblCECO[linea],"(sin catálogo)"))</f>
        <v/>
      </c>
      <c r="X55" s="5">
        <f>IF(tblOrdenes[[#This Row],[centro_costo]]="","",_xlfn.XLOOKUP(tblOrdenes[[#This Row],[centro_costo]],tblCECO[codigo],tblCECO[area],"(sin catálogo)"))</f>
        <v/>
      </c>
      <c r="Y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" s="5">
        <f>IF(tblOrdenes[[#This Row],[centro_costo]]="","",_xlfn.XLOOKUP(tblOrdenes[[#This Row],[centro_costo]],tblCECO[codigo],tblCECO[coordinador],"(sin catálogo)"))</f>
        <v/>
      </c>
      <c r="AA55" s="5">
        <f>IF(tblOrdenes[[#This Row],[puesto_trabajo]]="","",_xlfn.XLOOKUP(tblOrdenes[[#This Row],[puesto_trabajo]],tblPuestos[codigo],tblPuestos[especialidad],"(sin catálogo)"))</f>
        <v/>
      </c>
      <c r="AB55" s="5">
        <f>IF(tblOrdenes[[#This Row],[cod_actividad]]="","",_xlfn.XLOOKUP(tblOrdenes[[#This Row],[cod_actividad]],tblActividades[codigo],tblActividades[descripcion],"(sin catálogo)"))</f>
        <v/>
      </c>
      <c r="AC55" s="20">
        <f>IF(tblOrdenes[[#This Row],[fecha_inicio]]="","",TODAY()-tblOrdenes[[#This Row],[fecha_inicio]])</f>
        <v/>
      </c>
      <c r="AD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" s="5">
        <f>IF(tblOrdenes[[#This Row],[backlog_habiles]]="","",IF(tblOrdenes[[#This Row],[backlog_habiles]]&lt;0,"FUTURO",IF(tblOrdenes[[#This Row],[backlog_habiles]]&gt;p_dias_backlog_max,"BACKLOG","MES CORRIENTE")))</f>
        <v/>
      </c>
      <c r="AF55" s="5">
        <f>IF(tblOrdenes[[#This Row],[backlog_habiles]]="",FALSE,AND(tblOrdenes[[#This Row],[backlog_habiles]]&gt;p_dias_backlog_min,tblOrdenes[[#This Row],[backlog_habiles]]&lt;=p_dias_backlog_max))</f>
        <v/>
      </c>
      <c r="AG55" s="4" t="inlineStr">
        <is>
          <t>Laura Morales</t>
        </is>
      </c>
      <c r="AH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" s="18">
        <f>IF(tblOrdenes[[#This Row],[orden]]="","",_xlfn.XLOOKUP(tblOrdenes[[#This Row],[id_operacion]],tblEjecucion[id_operacion],tblEjecucion[precio],0))</f>
        <v/>
      </c>
      <c r="AL55" s="18">
        <f>IF(tblOrdenes[[#This Row],[orden]]="","",MAX(0,_xlfn.XLOOKUP(tblOrdenes[[#This Row],[id_operacion]],tblEjecucion[id_operacion],tblEjecucion[costo_plan_total],0)-tblOrdenes[[#This Row],[costo_servicio]]))</f>
        <v/>
      </c>
      <c r="AM55" s="18">
        <f>IF(tblOrdenes[[#This Row],[orden]]="","",tblOrdenes[[#This Row],[costo_servicio]]+tblOrdenes[[#This Row],[costo_materiales]])</f>
        <v/>
      </c>
      <c r="AN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" s="4" t="inlineStr"/>
      <c r="AP55" s="4" t="inlineStr"/>
      <c r="AQ55" s="4" t="inlineStr">
        <is>
          <t>ACT-02.pdf</t>
        </is>
      </c>
      <c r="AR55" s="5">
        <f>IF(tblOrdenes[[#This Row],[link_checklist]]="","",HYPERLINK(p_ruta_base_checklists&amp;tblOrdenes[[#This Row],[link_checklist]],"abrir"))</f>
        <v/>
      </c>
      <c r="AS55" s="4" t="inlineStr"/>
      <c r="AT55" s="5">
        <f>IF(tblOrdenes[[#This Row],[orden]]="","",tblOrdenes[[#This Row],[orden]]&amp;IF(tblOrdenes[[#This Row],[operacion]]="","0010",tblOrdenes[[#This Row],[operacion]]))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22" t="n">
        <v>46225</v>
      </c>
      <c r="K56" s="5" t="n">
        <v>8</v>
      </c>
      <c r="L56" s="18" t="n">
        <v>200</v>
      </c>
      <c r="M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5">
        <f>IF(tblOrdenes[[#This Row],[fecha_inicio]]="","",YEAR(tblOrdenes[[#This Row],[fecha_inicio]]))</f>
        <v/>
      </c>
      <c r="Q56" s="5">
        <f>IF(tblOrdenes[[#This Row],[fecha_inicio]]="","",MONTH(tblOrdenes[[#This Row],[fecha_inicio]]))</f>
        <v/>
      </c>
      <c r="R56" s="5">
        <f>IF(tblOrdenes[[#This Row],[fecha_inicio]]="","",tblOrdenes[[#This Row],[anio]]&amp;"-"&amp;TEXT(tblOrdenes[[#This Row],[mes]],"00"))</f>
        <v/>
      </c>
      <c r="S56" s="5">
        <f>IF(tblOrdenes[[#This Row],[fecha_inicio]]="","",INDEX(lista_dias,WEEKDAY(tblOrdenes[[#This Row],[fecha_inicio]],2)))</f>
        <v/>
      </c>
      <c r="T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" s="5">
        <f>IF(tblOrdenes[[#This Row],[tipo_ot]]="","",_xlfn.XLOOKUP(tblOrdenes[[#This Row],[tipo_ot]],tblTiposOT[codigo],tblTiposOT[clasificacion],"sin_clasificar"))</f>
        <v/>
      </c>
      <c r="V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" s="5">
        <f>IF(tblOrdenes[[#This Row],[centro_costo]]="","",_xlfn.XLOOKUP(tblOrdenes[[#This Row],[centro_costo]],tblCECO[codigo],tblCECO[linea],"(sin catálogo)"))</f>
        <v/>
      </c>
      <c r="X56" s="5">
        <f>IF(tblOrdenes[[#This Row],[centro_costo]]="","",_xlfn.XLOOKUP(tblOrdenes[[#This Row],[centro_costo]],tblCECO[codigo],tblCECO[area],"(sin catálogo)"))</f>
        <v/>
      </c>
      <c r="Y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" s="5">
        <f>IF(tblOrdenes[[#This Row],[centro_costo]]="","",_xlfn.XLOOKUP(tblOrdenes[[#This Row],[centro_costo]],tblCECO[codigo],tblCECO[coordinador],"(sin catálogo)"))</f>
        <v/>
      </c>
      <c r="AA56" s="5">
        <f>IF(tblOrdenes[[#This Row],[puesto_trabajo]]="","",_xlfn.XLOOKUP(tblOrdenes[[#This Row],[puesto_trabajo]],tblPuestos[codigo],tblPuestos[especialidad],"(sin catálogo)"))</f>
        <v/>
      </c>
      <c r="AB56" s="5">
        <f>IF(tblOrdenes[[#This Row],[cod_actividad]]="","",_xlfn.XLOOKUP(tblOrdenes[[#This Row],[cod_actividad]],tblActividades[codigo],tblActividades[descripcion],"(sin catálogo)"))</f>
        <v/>
      </c>
      <c r="AC56" s="20">
        <f>IF(tblOrdenes[[#This Row],[fecha_inicio]]="","",TODAY()-tblOrdenes[[#This Row],[fecha_inicio]])</f>
        <v/>
      </c>
      <c r="AD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" s="5">
        <f>IF(tblOrdenes[[#This Row],[backlog_habiles]]="","",IF(tblOrdenes[[#This Row],[backlog_habiles]]&lt;0,"FUTURO",IF(tblOrdenes[[#This Row],[backlog_habiles]]&gt;p_dias_backlog_max,"BACKLOG","MES CORRIENTE")))</f>
        <v/>
      </c>
      <c r="AF56" s="5">
        <f>IF(tblOrdenes[[#This Row],[backlog_habiles]]="",FALSE,AND(tblOrdenes[[#This Row],[backlog_habiles]]&gt;p_dias_backlog_min,tblOrdenes[[#This Row],[backlog_habiles]]&lt;=p_dias_backlog_max))</f>
        <v/>
      </c>
      <c r="AG56" s="4" t="inlineStr">
        <is>
          <t>Ricardo Ortiz</t>
        </is>
      </c>
      <c r="AH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" s="18">
        <f>IF(tblOrdenes[[#This Row],[orden]]="","",_xlfn.XLOOKUP(tblOrdenes[[#This Row],[id_operacion]],tblEjecucion[id_operacion],tblEjecucion[precio],0))</f>
        <v/>
      </c>
      <c r="AL56" s="18">
        <f>IF(tblOrdenes[[#This Row],[orden]]="","",MAX(0,_xlfn.XLOOKUP(tblOrdenes[[#This Row],[id_operacion]],tblEjecucion[id_operacion],tblEjecucion[costo_plan_total],0)-tblOrdenes[[#This Row],[costo_servicio]]))</f>
        <v/>
      </c>
      <c r="AM56" s="18">
        <f>IF(tblOrdenes[[#This Row],[orden]]="","",tblOrdenes[[#This Row],[costo_servicio]]+tblOrdenes[[#This Row],[costo_materiales]])</f>
        <v/>
      </c>
      <c r="AN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" s="4" t="inlineStr"/>
      <c r="AP56" s="4" t="inlineStr"/>
      <c r="AQ56" s="4" t="inlineStr">
        <is>
          <t>ACT-04.pdf</t>
        </is>
      </c>
      <c r="AR56" s="5">
        <f>IF(tblOrdenes[[#This Row],[link_checklist]]="","",HYPERLINK(p_ruta_base_checklists&amp;tblOrdenes[[#This Row],[link_checklist]],"abrir"))</f>
        <v/>
      </c>
      <c r="AS56" s="4" t="inlineStr"/>
      <c r="AT56" s="5">
        <f>IF(tblOrdenes[[#This Row],[orden]]="","",tblOrdenes[[#This Row],[orden]]&amp;IF(tblOrdenes[[#This Row],[operacion]]="","0010",tblOrdenes[[#This Row],[operacion]]))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22" t="n">
        <v>46226</v>
      </c>
      <c r="K57" s="5" t="n">
        <v>6</v>
      </c>
      <c r="L57" s="18" t="n">
        <v>150</v>
      </c>
      <c r="M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5">
        <f>IF(tblOrdenes[[#This Row],[fecha_inicio]]="","",YEAR(tblOrdenes[[#This Row],[fecha_inicio]]))</f>
        <v/>
      </c>
      <c r="Q57" s="5">
        <f>IF(tblOrdenes[[#This Row],[fecha_inicio]]="","",MONTH(tblOrdenes[[#This Row],[fecha_inicio]]))</f>
        <v/>
      </c>
      <c r="R57" s="5">
        <f>IF(tblOrdenes[[#This Row],[fecha_inicio]]="","",tblOrdenes[[#This Row],[anio]]&amp;"-"&amp;TEXT(tblOrdenes[[#This Row],[mes]],"00"))</f>
        <v/>
      </c>
      <c r="S57" s="5">
        <f>IF(tblOrdenes[[#This Row],[fecha_inicio]]="","",INDEX(lista_dias,WEEKDAY(tblOrdenes[[#This Row],[fecha_inicio]],2)))</f>
        <v/>
      </c>
      <c r="T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" s="5">
        <f>IF(tblOrdenes[[#This Row],[tipo_ot]]="","",_xlfn.XLOOKUP(tblOrdenes[[#This Row],[tipo_ot]],tblTiposOT[codigo],tblTiposOT[clasificacion],"sin_clasificar"))</f>
        <v/>
      </c>
      <c r="V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" s="5">
        <f>IF(tblOrdenes[[#This Row],[centro_costo]]="","",_xlfn.XLOOKUP(tblOrdenes[[#This Row],[centro_costo]],tblCECO[codigo],tblCECO[linea],"(sin catálogo)"))</f>
        <v/>
      </c>
      <c r="X57" s="5">
        <f>IF(tblOrdenes[[#This Row],[centro_costo]]="","",_xlfn.XLOOKUP(tblOrdenes[[#This Row],[centro_costo]],tblCECO[codigo],tblCECO[area],"(sin catálogo)"))</f>
        <v/>
      </c>
      <c r="Y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" s="5">
        <f>IF(tblOrdenes[[#This Row],[centro_costo]]="","",_xlfn.XLOOKUP(tblOrdenes[[#This Row],[centro_costo]],tblCECO[codigo],tblCECO[coordinador],"(sin catálogo)"))</f>
        <v/>
      </c>
      <c r="AA57" s="5">
        <f>IF(tblOrdenes[[#This Row],[puesto_trabajo]]="","",_xlfn.XLOOKUP(tblOrdenes[[#This Row],[puesto_trabajo]],tblPuestos[codigo],tblPuestos[especialidad],"(sin catálogo)"))</f>
        <v/>
      </c>
      <c r="AB57" s="5">
        <f>IF(tblOrdenes[[#This Row],[cod_actividad]]="","",_xlfn.XLOOKUP(tblOrdenes[[#This Row],[cod_actividad]],tblActividades[codigo],tblActividades[descripcion],"(sin catálogo)"))</f>
        <v/>
      </c>
      <c r="AC57" s="20">
        <f>IF(tblOrdenes[[#This Row],[fecha_inicio]]="","",TODAY()-tblOrdenes[[#This Row],[fecha_inicio]])</f>
        <v/>
      </c>
      <c r="AD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" s="5">
        <f>IF(tblOrdenes[[#This Row],[backlog_habiles]]="","",IF(tblOrdenes[[#This Row],[backlog_habiles]]&lt;0,"FUTURO",IF(tblOrdenes[[#This Row],[backlog_habiles]]&gt;p_dias_backlog_max,"BACKLOG","MES CORRIENTE")))</f>
        <v/>
      </c>
      <c r="AF57" s="5">
        <f>IF(tblOrdenes[[#This Row],[backlog_habiles]]="",FALSE,AND(tblOrdenes[[#This Row],[backlog_habiles]]&gt;p_dias_backlog_min,tblOrdenes[[#This Row],[backlog_habiles]]&lt;=p_dias_backlog_max))</f>
        <v/>
      </c>
      <c r="AG57" s="4" t="inlineStr">
        <is>
          <t>Eduardo Silva</t>
        </is>
      </c>
      <c r="AH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" s="18">
        <f>IF(tblOrdenes[[#This Row],[orden]]="","",_xlfn.XLOOKUP(tblOrdenes[[#This Row],[id_operacion]],tblEjecucion[id_operacion],tblEjecucion[precio],0))</f>
        <v/>
      </c>
      <c r="AL57" s="18">
        <f>IF(tblOrdenes[[#This Row],[orden]]="","",MAX(0,_xlfn.XLOOKUP(tblOrdenes[[#This Row],[id_operacion]],tblEjecucion[id_operacion],tblEjecucion[costo_plan_total],0)-tblOrdenes[[#This Row],[costo_servicio]]))</f>
        <v/>
      </c>
      <c r="AM57" s="18">
        <f>IF(tblOrdenes[[#This Row],[orden]]="","",tblOrdenes[[#This Row],[costo_servicio]]+tblOrdenes[[#This Row],[costo_materiales]])</f>
        <v/>
      </c>
      <c r="AN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" s="4" t="inlineStr"/>
      <c r="AP57" s="4" t="inlineStr"/>
      <c r="AQ57" s="4" t="inlineStr">
        <is>
          <t>ACT-01.pdf</t>
        </is>
      </c>
      <c r="AR57" s="5">
        <f>IF(tblOrdenes[[#This Row],[link_checklist]]="","",HYPERLINK(p_ruta_base_checklists&amp;tblOrdenes[[#This Row],[link_checklist]],"abrir"))</f>
        <v/>
      </c>
      <c r="AS57" s="4" t="inlineStr"/>
      <c r="AT57" s="5">
        <f>IF(tblOrdenes[[#This Row],[orden]]="","",tblOrdenes[[#This Row],[orden]]&amp;IF(tblOrdenes[[#This Row],[operacion]]="","0010",tblOrdenes[[#This Row],[operacion]]))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TIPO-P1</t>
        </is>
      </c>
      <c r="J58" s="22" t="n">
        <v>46227</v>
      </c>
      <c r="K58" s="5" t="n">
        <v>10</v>
      </c>
      <c r="L58" s="18" t="n">
        <v>250</v>
      </c>
      <c r="M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5">
        <f>IF(tblOrdenes[[#This Row],[fecha_inicio]]="","",YEAR(tblOrdenes[[#This Row],[fecha_inicio]]))</f>
        <v/>
      </c>
      <c r="Q58" s="5">
        <f>IF(tblOrdenes[[#This Row],[fecha_inicio]]="","",MONTH(tblOrdenes[[#This Row],[fecha_inicio]]))</f>
        <v/>
      </c>
      <c r="R58" s="5">
        <f>IF(tblOrdenes[[#This Row],[fecha_inicio]]="","",tblOrdenes[[#This Row],[anio]]&amp;"-"&amp;TEXT(tblOrdenes[[#This Row],[mes]],"00"))</f>
        <v/>
      </c>
      <c r="S58" s="5">
        <f>IF(tblOrdenes[[#This Row],[fecha_inicio]]="","",INDEX(lista_dias,WEEKDAY(tblOrdenes[[#This Row],[fecha_inicio]],2)))</f>
        <v/>
      </c>
      <c r="T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" s="5">
        <f>IF(tblOrdenes[[#This Row],[tipo_ot]]="","",_xlfn.XLOOKUP(tblOrdenes[[#This Row],[tipo_ot]],tblTiposOT[codigo],tblTiposOT[clasificacion],"sin_clasificar"))</f>
        <v/>
      </c>
      <c r="V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" s="5">
        <f>IF(tblOrdenes[[#This Row],[centro_costo]]="","",_xlfn.XLOOKUP(tblOrdenes[[#This Row],[centro_costo]],tblCECO[codigo],tblCECO[linea],"(sin catálogo)"))</f>
        <v/>
      </c>
      <c r="X58" s="5">
        <f>IF(tblOrdenes[[#This Row],[centro_costo]]="","",_xlfn.XLOOKUP(tblOrdenes[[#This Row],[centro_costo]],tblCECO[codigo],tblCECO[area],"(sin catálogo)"))</f>
        <v/>
      </c>
      <c r="Y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" s="5">
        <f>IF(tblOrdenes[[#This Row],[centro_costo]]="","",_xlfn.XLOOKUP(tblOrdenes[[#This Row],[centro_costo]],tblCECO[codigo],tblCECO[coordinador],"(sin catálogo)"))</f>
        <v/>
      </c>
      <c r="AA58" s="5">
        <f>IF(tblOrdenes[[#This Row],[puesto_trabajo]]="","",_xlfn.XLOOKUP(tblOrdenes[[#This Row],[puesto_trabajo]],tblPuestos[codigo],tblPuestos[especialidad],"(sin catálogo)"))</f>
        <v/>
      </c>
      <c r="AB58" s="5">
        <f>IF(tblOrdenes[[#This Row],[cod_actividad]]="","",_xlfn.XLOOKUP(tblOrdenes[[#This Row],[cod_actividad]],tblActividades[codigo],tblActividades[descripcion],"(sin catálogo)"))</f>
        <v/>
      </c>
      <c r="AC58" s="20">
        <f>IF(tblOrdenes[[#This Row],[fecha_inicio]]="","",TODAY()-tblOrdenes[[#This Row],[fecha_inicio]])</f>
        <v/>
      </c>
      <c r="AD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" s="5">
        <f>IF(tblOrdenes[[#This Row],[backlog_habiles]]="","",IF(tblOrdenes[[#This Row],[backlog_habiles]]&lt;0,"FUTURO",IF(tblOrdenes[[#This Row],[backlog_habiles]]&gt;p_dias_backlog_max,"BACKLOG","MES CORRIENTE")))</f>
        <v/>
      </c>
      <c r="AF58" s="5">
        <f>IF(tblOrdenes[[#This Row],[backlog_habiles]]="",FALSE,AND(tblOrdenes[[#This Row],[backlog_habiles]]&gt;p_dias_backlog_min,tblOrdenes[[#This Row],[backlog_habiles]]&lt;=p_dias_backlog_max))</f>
        <v/>
      </c>
      <c r="AG58" s="4" t="inlineStr">
        <is>
          <t>Gabriela Rojas</t>
        </is>
      </c>
      <c r="AH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" s="18">
        <f>IF(tblOrdenes[[#This Row],[orden]]="","",_xlfn.XLOOKUP(tblOrdenes[[#This Row],[id_operacion]],tblEjecucion[id_operacion],tblEjecucion[precio],0))</f>
        <v/>
      </c>
      <c r="AL58" s="18">
        <f>IF(tblOrdenes[[#This Row],[orden]]="","",MAX(0,_xlfn.XLOOKUP(tblOrdenes[[#This Row],[id_operacion]],tblEjecucion[id_operacion],tblEjecucion[costo_plan_total],0)-tblOrdenes[[#This Row],[costo_servicio]]))</f>
        <v/>
      </c>
      <c r="AM58" s="18">
        <f>IF(tblOrdenes[[#This Row],[orden]]="","",tblOrdenes[[#This Row],[costo_servicio]]+tblOrdenes[[#This Row],[costo_materiales]])</f>
        <v/>
      </c>
      <c r="AN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" s="4" t="inlineStr"/>
      <c r="AP58" s="4" t="inlineStr"/>
      <c r="AQ58" s="4" t="inlineStr">
        <is>
          <t>ACT-02.pdf</t>
        </is>
      </c>
      <c r="AR58" s="5">
        <f>IF(tblOrdenes[[#This Row],[link_checklist]]="","",HYPERLINK(p_ruta_base_checklists&amp;tblOrdenes[[#This Row],[link_checklist]],"abrir"))</f>
        <v/>
      </c>
      <c r="AS58" s="4" t="inlineStr"/>
      <c r="AT58" s="5">
        <f>IF(tblOrdenes[[#This Row],[orden]]="","",tblOrdenes[[#This Row],[orden]]&amp;IF(tblOrdenes[[#This Row],[operacion]]="","0010",tblOrdenes[[#This Row],[operacion]]))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TIPO-P2</t>
        </is>
      </c>
      <c r="J59" s="22" t="n">
        <v>46223</v>
      </c>
      <c r="K59" s="5" t="n">
        <v>2</v>
      </c>
      <c r="L59" s="18" t="n">
        <v>50</v>
      </c>
      <c r="M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5">
        <f>IF(tblOrdenes[[#This Row],[fecha_inicio]]="","",YEAR(tblOrdenes[[#This Row],[fecha_inicio]]))</f>
        <v/>
      </c>
      <c r="Q59" s="5">
        <f>IF(tblOrdenes[[#This Row],[fecha_inicio]]="","",MONTH(tblOrdenes[[#This Row],[fecha_inicio]]))</f>
        <v/>
      </c>
      <c r="R59" s="5">
        <f>IF(tblOrdenes[[#This Row],[fecha_inicio]]="","",tblOrdenes[[#This Row],[anio]]&amp;"-"&amp;TEXT(tblOrdenes[[#This Row],[mes]],"00"))</f>
        <v/>
      </c>
      <c r="S59" s="5">
        <f>IF(tblOrdenes[[#This Row],[fecha_inicio]]="","",INDEX(lista_dias,WEEKDAY(tblOrdenes[[#This Row],[fecha_inicio]],2)))</f>
        <v/>
      </c>
      <c r="T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" s="5">
        <f>IF(tblOrdenes[[#This Row],[tipo_ot]]="","",_xlfn.XLOOKUP(tblOrdenes[[#This Row],[tipo_ot]],tblTiposOT[codigo],tblTiposOT[clasificacion],"sin_clasificar"))</f>
        <v/>
      </c>
      <c r="V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" s="5">
        <f>IF(tblOrdenes[[#This Row],[centro_costo]]="","",_xlfn.XLOOKUP(tblOrdenes[[#This Row],[centro_costo]],tblCECO[codigo],tblCECO[linea],"(sin catálogo)"))</f>
        <v/>
      </c>
      <c r="X59" s="5">
        <f>IF(tblOrdenes[[#This Row],[centro_costo]]="","",_xlfn.XLOOKUP(tblOrdenes[[#This Row],[centro_costo]],tblCECO[codigo],tblCECO[area],"(sin catálogo)"))</f>
        <v/>
      </c>
      <c r="Y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" s="5">
        <f>IF(tblOrdenes[[#This Row],[centro_costo]]="","",_xlfn.XLOOKUP(tblOrdenes[[#This Row],[centro_costo]],tblCECO[codigo],tblCECO[coordinador],"(sin catálogo)"))</f>
        <v/>
      </c>
      <c r="AA59" s="5">
        <f>IF(tblOrdenes[[#This Row],[puesto_trabajo]]="","",_xlfn.XLOOKUP(tblOrdenes[[#This Row],[puesto_trabajo]],tblPuestos[codigo],tblPuestos[especialidad],"(sin catálogo)"))</f>
        <v/>
      </c>
      <c r="AB59" s="5">
        <f>IF(tblOrdenes[[#This Row],[cod_actividad]]="","",_xlfn.XLOOKUP(tblOrdenes[[#This Row],[cod_actividad]],tblActividades[codigo],tblActividades[descripcion],"(sin catálogo)"))</f>
        <v/>
      </c>
      <c r="AC59" s="20">
        <f>IF(tblOrdenes[[#This Row],[fecha_inicio]]="","",TODAY()-tblOrdenes[[#This Row],[fecha_inicio]])</f>
        <v/>
      </c>
      <c r="AD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" s="5">
        <f>IF(tblOrdenes[[#This Row],[backlog_habiles]]="","",IF(tblOrdenes[[#This Row],[backlog_habiles]]&lt;0,"FUTURO",IF(tblOrdenes[[#This Row],[backlog_habiles]]&gt;p_dias_backlog_max,"BACKLOG","MES CORRIENTE")))</f>
        <v/>
      </c>
      <c r="AF59" s="5">
        <f>IF(tblOrdenes[[#This Row],[backlog_habiles]]="",FALSE,AND(tblOrdenes[[#This Row],[backlog_habiles]]&gt;p_dias_backlog_min,tblOrdenes[[#This Row],[backlog_habiles]]&lt;=p_dias_backlog_max))</f>
        <v/>
      </c>
      <c r="AG59" s="4" t="inlineStr">
        <is>
          <t>Fernando Mendoza</t>
        </is>
      </c>
      <c r="AH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" s="18">
        <f>IF(tblOrdenes[[#This Row],[orden]]="","",_xlfn.XLOOKUP(tblOrdenes[[#This Row],[id_operacion]],tblEjecucion[id_operacion],tblEjecucion[precio],0))</f>
        <v/>
      </c>
      <c r="AL59" s="18">
        <f>IF(tblOrdenes[[#This Row],[orden]]="","",MAX(0,_xlfn.XLOOKUP(tblOrdenes[[#This Row],[id_operacion]],tblEjecucion[id_operacion],tblEjecucion[costo_plan_total],0)-tblOrdenes[[#This Row],[costo_servicio]]))</f>
        <v/>
      </c>
      <c r="AM59" s="18">
        <f>IF(tblOrdenes[[#This Row],[orden]]="","",tblOrdenes[[#This Row],[costo_servicio]]+tblOrdenes[[#This Row],[costo_materiales]])</f>
        <v/>
      </c>
      <c r="AN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" s="4" t="inlineStr"/>
      <c r="AP59" s="4" t="inlineStr"/>
      <c r="AQ59" s="4" t="inlineStr">
        <is>
          <t>ACT-04.pdf</t>
        </is>
      </c>
      <c r="AR59" s="5">
        <f>IF(tblOrdenes[[#This Row],[link_checklist]]="","",HYPERLINK(p_ruta_base_checklists&amp;tblOrdenes[[#This Row],[link_checklist]],"abrir"))</f>
        <v/>
      </c>
      <c r="AS59" s="4" t="inlineStr"/>
      <c r="AT59" s="5">
        <f>IF(tblOrdenes[[#This Row],[orden]]="","",tblOrdenes[[#This Row],[orden]]&amp;IF(tblOrdenes[[#This Row],[operacion]]="","0010",tblOrdenes[[#This Row],[operacion]]))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22" t="n">
        <v>46224</v>
      </c>
      <c r="K60" s="5" t="n">
        <v>10</v>
      </c>
      <c r="L60" s="18" t="n">
        <v>400</v>
      </c>
      <c r="M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5">
        <f>IF(tblOrdenes[[#This Row],[fecha_inicio]]="","",YEAR(tblOrdenes[[#This Row],[fecha_inicio]]))</f>
        <v/>
      </c>
      <c r="Q60" s="5">
        <f>IF(tblOrdenes[[#This Row],[fecha_inicio]]="","",MONTH(tblOrdenes[[#This Row],[fecha_inicio]]))</f>
        <v/>
      </c>
      <c r="R60" s="5">
        <f>IF(tblOrdenes[[#This Row],[fecha_inicio]]="","",tblOrdenes[[#This Row],[anio]]&amp;"-"&amp;TEXT(tblOrdenes[[#This Row],[mes]],"00"))</f>
        <v/>
      </c>
      <c r="S60" s="5">
        <f>IF(tblOrdenes[[#This Row],[fecha_inicio]]="","",INDEX(lista_dias,WEEKDAY(tblOrdenes[[#This Row],[fecha_inicio]],2)))</f>
        <v/>
      </c>
      <c r="T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" s="5">
        <f>IF(tblOrdenes[[#This Row],[tipo_ot]]="","",_xlfn.XLOOKUP(tblOrdenes[[#This Row],[tipo_ot]],tblTiposOT[codigo],tblTiposOT[clasificacion],"sin_clasificar"))</f>
        <v/>
      </c>
      <c r="V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" s="5">
        <f>IF(tblOrdenes[[#This Row],[centro_costo]]="","",_xlfn.XLOOKUP(tblOrdenes[[#This Row],[centro_costo]],tblCECO[codigo],tblCECO[linea],"(sin catálogo)"))</f>
        <v/>
      </c>
      <c r="X60" s="5">
        <f>IF(tblOrdenes[[#This Row],[centro_costo]]="","",_xlfn.XLOOKUP(tblOrdenes[[#This Row],[centro_costo]],tblCECO[codigo],tblCECO[area],"(sin catálogo)"))</f>
        <v/>
      </c>
      <c r="Y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" s="5">
        <f>IF(tblOrdenes[[#This Row],[centro_costo]]="","",_xlfn.XLOOKUP(tblOrdenes[[#This Row],[centro_costo]],tblCECO[codigo],tblCECO[coordinador],"(sin catálogo)"))</f>
        <v/>
      </c>
      <c r="AA60" s="5">
        <f>IF(tblOrdenes[[#This Row],[puesto_trabajo]]="","",_xlfn.XLOOKUP(tblOrdenes[[#This Row],[puesto_trabajo]],tblPuestos[codigo],tblPuestos[especialidad],"(sin catálogo)"))</f>
        <v/>
      </c>
      <c r="AB60" s="5">
        <f>IF(tblOrdenes[[#This Row],[cod_actividad]]="","",_xlfn.XLOOKUP(tblOrdenes[[#This Row],[cod_actividad]],tblActividades[codigo],tblActividades[descripcion],"(sin catálogo)"))</f>
        <v/>
      </c>
      <c r="AC60" s="20">
        <f>IF(tblOrdenes[[#This Row],[fecha_inicio]]="","",TODAY()-tblOrdenes[[#This Row],[fecha_inicio]])</f>
        <v/>
      </c>
      <c r="AD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" s="5">
        <f>IF(tblOrdenes[[#This Row],[backlog_habiles]]="","",IF(tblOrdenes[[#This Row],[backlog_habiles]]&lt;0,"FUTURO",IF(tblOrdenes[[#This Row],[backlog_habiles]]&gt;p_dias_backlog_max,"BACKLOG","MES CORRIENTE")))</f>
        <v/>
      </c>
      <c r="AF60" s="5">
        <f>IF(tblOrdenes[[#This Row],[backlog_habiles]]="",FALSE,AND(tblOrdenes[[#This Row],[backlog_habiles]]&gt;p_dias_backlog_min,tblOrdenes[[#This Row],[backlog_habiles]]&lt;=p_dias_backlog_max))</f>
        <v/>
      </c>
      <c r="AG60" s="4" t="inlineStr">
        <is>
          <t>Jorge Díaz</t>
        </is>
      </c>
      <c r="AH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" s="18">
        <f>IF(tblOrdenes[[#This Row],[orden]]="","",_xlfn.XLOOKUP(tblOrdenes[[#This Row],[id_operacion]],tblEjecucion[id_operacion],tblEjecucion[precio],0))</f>
        <v/>
      </c>
      <c r="AL60" s="18">
        <f>IF(tblOrdenes[[#This Row],[orden]]="","",MAX(0,_xlfn.XLOOKUP(tblOrdenes[[#This Row],[id_operacion]],tblEjecucion[id_operacion],tblEjecucion[costo_plan_total],0)-tblOrdenes[[#This Row],[costo_servicio]]))</f>
        <v/>
      </c>
      <c r="AM60" s="18">
        <f>IF(tblOrdenes[[#This Row],[orden]]="","",tblOrdenes[[#This Row],[costo_servicio]]+tblOrdenes[[#This Row],[costo_materiales]])</f>
        <v/>
      </c>
      <c r="AN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" s="4" t="inlineStr"/>
      <c r="AP60" s="4" t="inlineStr"/>
      <c r="AQ60" s="4" t="inlineStr"/>
      <c r="AR60" s="5">
        <f>IF(tblOrdenes[[#This Row],[link_checklist]]="","",HYPERLINK(p_ruta_base_checklists&amp;tblOrdenes[[#This Row],[link_checklist]],"abrir"))</f>
        <v/>
      </c>
      <c r="AS60" s="4" t="inlineStr"/>
      <c r="AT60" s="5">
        <f>IF(tblOrdenes[[#This Row],[orden]]="","",tblOrdenes[[#This Row],[orden]]&amp;IF(tblOrdenes[[#This Row],[operacion]]="","0010",tblOrdenes[[#This Row],[operacion]]))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22" t="n">
        <v>46225</v>
      </c>
      <c r="K61" s="5" t="n">
        <v>5</v>
      </c>
      <c r="L61" s="18" t="n">
        <v>200</v>
      </c>
      <c r="M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5">
        <f>IF(tblOrdenes[[#This Row],[fecha_inicio]]="","",YEAR(tblOrdenes[[#This Row],[fecha_inicio]]))</f>
        <v/>
      </c>
      <c r="Q61" s="5">
        <f>IF(tblOrdenes[[#This Row],[fecha_inicio]]="","",MONTH(tblOrdenes[[#This Row],[fecha_inicio]]))</f>
        <v/>
      </c>
      <c r="R61" s="5">
        <f>IF(tblOrdenes[[#This Row],[fecha_inicio]]="","",tblOrdenes[[#This Row],[anio]]&amp;"-"&amp;TEXT(tblOrdenes[[#This Row],[mes]],"00"))</f>
        <v/>
      </c>
      <c r="S61" s="5">
        <f>IF(tblOrdenes[[#This Row],[fecha_inicio]]="","",INDEX(lista_dias,WEEKDAY(tblOrdenes[[#This Row],[fecha_inicio]],2)))</f>
        <v/>
      </c>
      <c r="T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" s="5">
        <f>IF(tblOrdenes[[#This Row],[tipo_ot]]="","",_xlfn.XLOOKUP(tblOrdenes[[#This Row],[tipo_ot]],tblTiposOT[codigo],tblTiposOT[clasificacion],"sin_clasificar"))</f>
        <v/>
      </c>
      <c r="V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" s="5">
        <f>IF(tblOrdenes[[#This Row],[centro_costo]]="","",_xlfn.XLOOKUP(tblOrdenes[[#This Row],[centro_costo]],tblCECO[codigo],tblCECO[linea],"(sin catálogo)"))</f>
        <v/>
      </c>
      <c r="X61" s="5">
        <f>IF(tblOrdenes[[#This Row],[centro_costo]]="","",_xlfn.XLOOKUP(tblOrdenes[[#This Row],[centro_costo]],tblCECO[codigo],tblCECO[area],"(sin catálogo)"))</f>
        <v/>
      </c>
      <c r="Y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" s="5">
        <f>IF(tblOrdenes[[#This Row],[centro_costo]]="","",_xlfn.XLOOKUP(tblOrdenes[[#This Row],[centro_costo]],tblCECO[codigo],tblCECO[coordinador],"(sin catálogo)"))</f>
        <v/>
      </c>
      <c r="AA61" s="5">
        <f>IF(tblOrdenes[[#This Row],[puesto_trabajo]]="","",_xlfn.XLOOKUP(tblOrdenes[[#This Row],[puesto_trabajo]],tblPuestos[codigo],tblPuestos[especialidad],"(sin catálogo)"))</f>
        <v/>
      </c>
      <c r="AB61" s="5">
        <f>IF(tblOrdenes[[#This Row],[cod_actividad]]="","",_xlfn.XLOOKUP(tblOrdenes[[#This Row],[cod_actividad]],tblActividades[codigo],tblActividades[descripcion],"(sin catálogo)"))</f>
        <v/>
      </c>
      <c r="AC61" s="20">
        <f>IF(tblOrdenes[[#This Row],[fecha_inicio]]="","",TODAY()-tblOrdenes[[#This Row],[fecha_inicio]])</f>
        <v/>
      </c>
      <c r="AD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" s="5">
        <f>IF(tblOrdenes[[#This Row],[backlog_habiles]]="","",IF(tblOrdenes[[#This Row],[backlog_habiles]]&lt;0,"FUTURO",IF(tblOrdenes[[#This Row],[backlog_habiles]]&gt;p_dias_backlog_max,"BACKLOG","MES CORRIENTE")))</f>
        <v/>
      </c>
      <c r="AF61" s="5">
        <f>IF(tblOrdenes[[#This Row],[backlog_habiles]]="",FALSE,AND(tblOrdenes[[#This Row],[backlog_habiles]]&gt;p_dias_backlog_min,tblOrdenes[[#This Row],[backlog_habiles]]&lt;=p_dias_backlog_max))</f>
        <v/>
      </c>
      <c r="AG61" s="4" t="inlineStr">
        <is>
          <t>Roberto Castro</t>
        </is>
      </c>
      <c r="AH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" s="18">
        <f>IF(tblOrdenes[[#This Row],[orden]]="","",_xlfn.XLOOKUP(tblOrdenes[[#This Row],[id_operacion]],tblEjecucion[id_operacion],tblEjecucion[precio],0))</f>
        <v/>
      </c>
      <c r="AL61" s="18">
        <f>IF(tblOrdenes[[#This Row],[orden]]="","",MAX(0,_xlfn.XLOOKUP(tblOrdenes[[#This Row],[id_operacion]],tblEjecucion[id_operacion],tblEjecucion[costo_plan_total],0)-tblOrdenes[[#This Row],[costo_servicio]]))</f>
        <v/>
      </c>
      <c r="AM61" s="18">
        <f>IF(tblOrdenes[[#This Row],[orden]]="","",tblOrdenes[[#This Row],[costo_servicio]]+tblOrdenes[[#This Row],[costo_materiales]])</f>
        <v/>
      </c>
      <c r="AN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" s="4" t="inlineStr"/>
      <c r="AP61" s="4" t="inlineStr"/>
      <c r="AQ61" s="4" t="inlineStr"/>
      <c r="AR61" s="5">
        <f>IF(tblOrdenes[[#This Row],[link_checklist]]="","",HYPERLINK(p_ruta_base_checklists&amp;tblOrdenes[[#This Row],[link_checklist]],"abrir"))</f>
        <v/>
      </c>
      <c r="AS61" s="4" t="inlineStr"/>
      <c r="AT61" s="5">
        <f>IF(tblOrdenes[[#This Row],[orden]]="","",tblOrdenes[[#This Row],[orden]]&amp;IF(tblOrdenes[[#This Row],[operacion]]="","0010",tblOrdenes[[#This Row],[operacion]]))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22" t="n">
        <v>46233</v>
      </c>
      <c r="K62" s="5" t="n">
        <v>6</v>
      </c>
      <c r="L62" s="18" t="n">
        <v>150</v>
      </c>
      <c r="M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5">
        <f>IF(tblOrdenes[[#This Row],[fecha_inicio]]="","",YEAR(tblOrdenes[[#This Row],[fecha_inicio]]))</f>
        <v/>
      </c>
      <c r="Q62" s="5">
        <f>IF(tblOrdenes[[#This Row],[fecha_inicio]]="","",MONTH(tblOrdenes[[#This Row],[fecha_inicio]]))</f>
        <v/>
      </c>
      <c r="R62" s="5">
        <f>IF(tblOrdenes[[#This Row],[fecha_inicio]]="","",tblOrdenes[[#This Row],[anio]]&amp;"-"&amp;TEXT(tblOrdenes[[#This Row],[mes]],"00"))</f>
        <v/>
      </c>
      <c r="S62" s="5">
        <f>IF(tblOrdenes[[#This Row],[fecha_inicio]]="","",INDEX(lista_dias,WEEKDAY(tblOrdenes[[#This Row],[fecha_inicio]],2)))</f>
        <v/>
      </c>
      <c r="T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" s="5">
        <f>IF(tblOrdenes[[#This Row],[tipo_ot]]="","",_xlfn.XLOOKUP(tblOrdenes[[#This Row],[tipo_ot]],tblTiposOT[codigo],tblTiposOT[clasificacion],"sin_clasificar"))</f>
        <v/>
      </c>
      <c r="V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" s="5">
        <f>IF(tblOrdenes[[#This Row],[centro_costo]]="","",_xlfn.XLOOKUP(tblOrdenes[[#This Row],[centro_costo]],tblCECO[codigo],tblCECO[linea],"(sin catálogo)"))</f>
        <v/>
      </c>
      <c r="X62" s="5">
        <f>IF(tblOrdenes[[#This Row],[centro_costo]]="","",_xlfn.XLOOKUP(tblOrdenes[[#This Row],[centro_costo]],tblCECO[codigo],tblCECO[area],"(sin catálogo)"))</f>
        <v/>
      </c>
      <c r="Y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" s="5">
        <f>IF(tblOrdenes[[#This Row],[centro_costo]]="","",_xlfn.XLOOKUP(tblOrdenes[[#This Row],[centro_costo]],tblCECO[codigo],tblCECO[coordinador],"(sin catálogo)"))</f>
        <v/>
      </c>
      <c r="AA62" s="5">
        <f>IF(tblOrdenes[[#This Row],[puesto_trabajo]]="","",_xlfn.XLOOKUP(tblOrdenes[[#This Row],[puesto_trabajo]],tblPuestos[codigo],tblPuestos[especialidad],"(sin catálogo)"))</f>
        <v/>
      </c>
      <c r="AB62" s="5">
        <f>IF(tblOrdenes[[#This Row],[cod_actividad]]="","",_xlfn.XLOOKUP(tblOrdenes[[#This Row],[cod_actividad]],tblActividades[codigo],tblActividades[descripcion],"(sin catálogo)"))</f>
        <v/>
      </c>
      <c r="AC62" s="20">
        <f>IF(tblOrdenes[[#This Row],[fecha_inicio]]="","",TODAY()-tblOrdenes[[#This Row],[fecha_inicio]])</f>
        <v/>
      </c>
      <c r="AD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" s="5">
        <f>IF(tblOrdenes[[#This Row],[backlog_habiles]]="","",IF(tblOrdenes[[#This Row],[backlog_habiles]]&lt;0,"FUTURO",IF(tblOrdenes[[#This Row],[backlog_habiles]]&gt;p_dias_backlog_max,"BACKLOG","MES CORRIENTE")))</f>
        <v/>
      </c>
      <c r="AF62" s="5">
        <f>IF(tblOrdenes[[#This Row],[backlog_habiles]]="",FALSE,AND(tblOrdenes[[#This Row],[backlog_habiles]]&gt;p_dias_backlog_min,tblOrdenes[[#This Row],[backlog_habiles]]&lt;=p_dias_backlog_max))</f>
        <v/>
      </c>
      <c r="AG62" s="4" t="inlineStr">
        <is>
          <t>Laura Morales</t>
        </is>
      </c>
      <c r="AH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" s="18">
        <f>IF(tblOrdenes[[#This Row],[orden]]="","",_xlfn.XLOOKUP(tblOrdenes[[#This Row],[id_operacion]],tblEjecucion[id_operacion],tblEjecucion[precio],0))</f>
        <v/>
      </c>
      <c r="AL62" s="18">
        <f>IF(tblOrdenes[[#This Row],[orden]]="","",MAX(0,_xlfn.XLOOKUP(tblOrdenes[[#This Row],[id_operacion]],tblEjecucion[id_operacion],tblEjecucion[costo_plan_total],0)-tblOrdenes[[#This Row],[costo_servicio]]))</f>
        <v/>
      </c>
      <c r="AM62" s="18">
        <f>IF(tblOrdenes[[#This Row],[orden]]="","",tblOrdenes[[#This Row],[costo_servicio]]+tblOrdenes[[#This Row],[costo_materiales]])</f>
        <v/>
      </c>
      <c r="AN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" s="4" t="inlineStr"/>
      <c r="AP62" s="4" t="inlineStr"/>
      <c r="AQ62" s="4" t="inlineStr">
        <is>
          <t>ACT-04.pdf</t>
        </is>
      </c>
      <c r="AR62" s="5">
        <f>IF(tblOrdenes[[#This Row],[link_checklist]]="","",HYPERLINK(p_ruta_base_checklists&amp;tblOrdenes[[#This Row],[link_checklist]],"abrir"))</f>
        <v/>
      </c>
      <c r="AS62" s="4" t="inlineStr">
        <is>
          <t>Ajuste 6 → 4 h en hoja AJUSTES</t>
        </is>
      </c>
      <c r="AT62" s="5">
        <f>IF(tblOrdenes[[#This Row],[orden]]="","",tblOrdenes[[#This Row],[orden]]&amp;IF(tblOrdenes[[#This Row],[operacion]]="","0010",tblOrdenes[[#This Row],[operacion]]))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22" t="n">
        <v>46234</v>
      </c>
      <c r="K63" s="5" t="n">
        <v>8</v>
      </c>
      <c r="L63" s="18" t="n">
        <v>200</v>
      </c>
      <c r="M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5">
        <f>IF(tblOrdenes[[#This Row],[fecha_inicio]]="","",YEAR(tblOrdenes[[#This Row],[fecha_inicio]]))</f>
        <v/>
      </c>
      <c r="Q63" s="5">
        <f>IF(tblOrdenes[[#This Row],[fecha_inicio]]="","",MONTH(tblOrdenes[[#This Row],[fecha_inicio]]))</f>
        <v/>
      </c>
      <c r="R63" s="5">
        <f>IF(tblOrdenes[[#This Row],[fecha_inicio]]="","",tblOrdenes[[#This Row],[anio]]&amp;"-"&amp;TEXT(tblOrdenes[[#This Row],[mes]],"00"))</f>
        <v/>
      </c>
      <c r="S63" s="5">
        <f>IF(tblOrdenes[[#This Row],[fecha_inicio]]="","",INDEX(lista_dias,WEEKDAY(tblOrdenes[[#This Row],[fecha_inicio]],2)))</f>
        <v/>
      </c>
      <c r="T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" s="5">
        <f>IF(tblOrdenes[[#This Row],[tipo_ot]]="","",_xlfn.XLOOKUP(tblOrdenes[[#This Row],[tipo_ot]],tblTiposOT[codigo],tblTiposOT[clasificacion],"sin_clasificar"))</f>
        <v/>
      </c>
      <c r="V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" s="5">
        <f>IF(tblOrdenes[[#This Row],[centro_costo]]="","",_xlfn.XLOOKUP(tblOrdenes[[#This Row],[centro_costo]],tblCECO[codigo],tblCECO[linea],"(sin catálogo)"))</f>
        <v/>
      </c>
      <c r="X63" s="5">
        <f>IF(tblOrdenes[[#This Row],[centro_costo]]="","",_xlfn.XLOOKUP(tblOrdenes[[#This Row],[centro_costo]],tblCECO[codigo],tblCECO[area],"(sin catálogo)"))</f>
        <v/>
      </c>
      <c r="Y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" s="5">
        <f>IF(tblOrdenes[[#This Row],[centro_costo]]="","",_xlfn.XLOOKUP(tblOrdenes[[#This Row],[centro_costo]],tblCECO[codigo],tblCECO[coordinador],"(sin catálogo)"))</f>
        <v/>
      </c>
      <c r="AA63" s="5">
        <f>IF(tblOrdenes[[#This Row],[puesto_trabajo]]="","",_xlfn.XLOOKUP(tblOrdenes[[#This Row],[puesto_trabajo]],tblPuestos[codigo],tblPuestos[especialidad],"(sin catálogo)"))</f>
        <v/>
      </c>
      <c r="AB63" s="5">
        <f>IF(tblOrdenes[[#This Row],[cod_actividad]]="","",_xlfn.XLOOKUP(tblOrdenes[[#This Row],[cod_actividad]],tblActividades[codigo],tblActividades[descripcion],"(sin catálogo)"))</f>
        <v/>
      </c>
      <c r="AC63" s="20">
        <f>IF(tblOrdenes[[#This Row],[fecha_inicio]]="","",TODAY()-tblOrdenes[[#This Row],[fecha_inicio]])</f>
        <v/>
      </c>
      <c r="AD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" s="5">
        <f>IF(tblOrdenes[[#This Row],[backlog_habiles]]="","",IF(tblOrdenes[[#This Row],[backlog_habiles]]&lt;0,"FUTURO",IF(tblOrdenes[[#This Row],[backlog_habiles]]&gt;p_dias_backlog_max,"BACKLOG","MES CORRIENTE")))</f>
        <v/>
      </c>
      <c r="AF63" s="5">
        <f>IF(tblOrdenes[[#This Row],[backlog_habiles]]="",FALSE,AND(tblOrdenes[[#This Row],[backlog_habiles]]&gt;p_dias_backlog_min,tblOrdenes[[#This Row],[backlog_habiles]]&lt;=p_dias_backlog_max))</f>
        <v/>
      </c>
      <c r="AG63" s="4" t="inlineStr"/>
      <c r="AH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" s="18">
        <f>IF(tblOrdenes[[#This Row],[orden]]="","",_xlfn.XLOOKUP(tblOrdenes[[#This Row],[id_operacion]],tblEjecucion[id_operacion],tblEjecucion[precio],0))</f>
        <v/>
      </c>
      <c r="AL63" s="18">
        <f>IF(tblOrdenes[[#This Row],[orden]]="","",MAX(0,_xlfn.XLOOKUP(tblOrdenes[[#This Row],[id_operacion]],tblEjecucion[id_operacion],tblEjecucion[costo_plan_total],0)-tblOrdenes[[#This Row],[costo_servicio]]))</f>
        <v/>
      </c>
      <c r="AM63" s="18">
        <f>IF(tblOrdenes[[#This Row],[orden]]="","",tblOrdenes[[#This Row],[costo_servicio]]+tblOrdenes[[#This Row],[costo_materiales]])</f>
        <v/>
      </c>
      <c r="AN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" s="4" t="inlineStr"/>
      <c r="AP63" s="4" t="inlineStr"/>
      <c r="AQ63" s="4" t="inlineStr">
        <is>
          <t>ACT-01.pdf</t>
        </is>
      </c>
      <c r="AR63" s="5">
        <f>IF(tblOrdenes[[#This Row],[link_checklist]]="","",HYPERLINK(p_ruta_base_checklists&amp;tblOrdenes[[#This Row],[link_checklist]],"abrir"))</f>
        <v/>
      </c>
      <c r="AS63" s="4" t="inlineStr"/>
      <c r="AT63" s="5">
        <f>IF(tblOrdenes[[#This Row],[orden]]="","",tblOrdenes[[#This Row],[orden]]&amp;IF(tblOrdenes[[#This Row],[operacion]]="","0010",tblOrdenes[[#This Row],[operacion]]))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TIPO-P1</t>
        </is>
      </c>
      <c r="J64" s="22" t="n">
        <v>46230</v>
      </c>
      <c r="K64" s="5" t="n">
        <v>6</v>
      </c>
      <c r="L64" s="18" t="n">
        <v>150</v>
      </c>
      <c r="M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5">
        <f>IF(tblOrdenes[[#This Row],[fecha_inicio]]="","",YEAR(tblOrdenes[[#This Row],[fecha_inicio]]))</f>
        <v/>
      </c>
      <c r="Q64" s="5">
        <f>IF(tblOrdenes[[#This Row],[fecha_inicio]]="","",MONTH(tblOrdenes[[#This Row],[fecha_inicio]]))</f>
        <v/>
      </c>
      <c r="R64" s="5">
        <f>IF(tblOrdenes[[#This Row],[fecha_inicio]]="","",tblOrdenes[[#This Row],[anio]]&amp;"-"&amp;TEXT(tblOrdenes[[#This Row],[mes]],"00"))</f>
        <v/>
      </c>
      <c r="S64" s="5">
        <f>IF(tblOrdenes[[#This Row],[fecha_inicio]]="","",INDEX(lista_dias,WEEKDAY(tblOrdenes[[#This Row],[fecha_inicio]],2)))</f>
        <v/>
      </c>
      <c r="T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" s="5">
        <f>IF(tblOrdenes[[#This Row],[tipo_ot]]="","",_xlfn.XLOOKUP(tblOrdenes[[#This Row],[tipo_ot]],tblTiposOT[codigo],tblTiposOT[clasificacion],"sin_clasificar"))</f>
        <v/>
      </c>
      <c r="V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" s="5">
        <f>IF(tblOrdenes[[#This Row],[centro_costo]]="","",_xlfn.XLOOKUP(tblOrdenes[[#This Row],[centro_costo]],tblCECO[codigo],tblCECO[linea],"(sin catálogo)"))</f>
        <v/>
      </c>
      <c r="X64" s="5">
        <f>IF(tblOrdenes[[#This Row],[centro_costo]]="","",_xlfn.XLOOKUP(tblOrdenes[[#This Row],[centro_costo]],tblCECO[codigo],tblCECO[area],"(sin catálogo)"))</f>
        <v/>
      </c>
      <c r="Y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" s="5">
        <f>IF(tblOrdenes[[#This Row],[centro_costo]]="","",_xlfn.XLOOKUP(tblOrdenes[[#This Row],[centro_costo]],tblCECO[codigo],tblCECO[coordinador],"(sin catálogo)"))</f>
        <v/>
      </c>
      <c r="AA64" s="5">
        <f>IF(tblOrdenes[[#This Row],[puesto_trabajo]]="","",_xlfn.XLOOKUP(tblOrdenes[[#This Row],[puesto_trabajo]],tblPuestos[codigo],tblPuestos[especialidad],"(sin catálogo)"))</f>
        <v/>
      </c>
      <c r="AB64" s="5">
        <f>IF(tblOrdenes[[#This Row],[cod_actividad]]="","",_xlfn.XLOOKUP(tblOrdenes[[#This Row],[cod_actividad]],tblActividades[codigo],tblActividades[descripcion],"(sin catálogo)"))</f>
        <v/>
      </c>
      <c r="AC64" s="20">
        <f>IF(tblOrdenes[[#This Row],[fecha_inicio]]="","",TODAY()-tblOrdenes[[#This Row],[fecha_inicio]])</f>
        <v/>
      </c>
      <c r="AD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" s="5">
        <f>IF(tblOrdenes[[#This Row],[backlog_habiles]]="","",IF(tblOrdenes[[#This Row],[backlog_habiles]]&lt;0,"FUTURO",IF(tblOrdenes[[#This Row],[backlog_habiles]]&gt;p_dias_backlog_max,"BACKLOG","MES CORRIENTE")))</f>
        <v/>
      </c>
      <c r="AF64" s="5">
        <f>IF(tblOrdenes[[#This Row],[backlog_habiles]]="",FALSE,AND(tblOrdenes[[#This Row],[backlog_habiles]]&gt;p_dias_backlog_min,tblOrdenes[[#This Row],[backlog_habiles]]&lt;=p_dias_backlog_max))</f>
        <v/>
      </c>
      <c r="AG64" s="4" t="inlineStr">
        <is>
          <t>Eduardo Silva</t>
        </is>
      </c>
      <c r="AH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" s="18">
        <f>IF(tblOrdenes[[#This Row],[orden]]="","",_xlfn.XLOOKUP(tblOrdenes[[#This Row],[id_operacion]],tblEjecucion[id_operacion],tblEjecucion[precio],0))</f>
        <v/>
      </c>
      <c r="AL64" s="18">
        <f>IF(tblOrdenes[[#This Row],[orden]]="","",MAX(0,_xlfn.XLOOKUP(tblOrdenes[[#This Row],[id_operacion]],tblEjecucion[id_operacion],tblEjecucion[costo_plan_total],0)-tblOrdenes[[#This Row],[costo_servicio]]))</f>
        <v/>
      </c>
      <c r="AM64" s="18">
        <f>IF(tblOrdenes[[#This Row],[orden]]="","",tblOrdenes[[#This Row],[costo_servicio]]+tblOrdenes[[#This Row],[costo_materiales]])</f>
        <v/>
      </c>
      <c r="AN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" s="4" t="inlineStr"/>
      <c r="AP64" s="4" t="inlineStr"/>
      <c r="AQ64" s="4" t="inlineStr">
        <is>
          <t>ACT-02.pdf</t>
        </is>
      </c>
      <c r="AR64" s="5">
        <f>IF(tblOrdenes[[#This Row],[link_checklist]]="","",HYPERLINK(p_ruta_base_checklists&amp;tblOrdenes[[#This Row],[link_checklist]],"abrir"))</f>
        <v/>
      </c>
      <c r="AS64" s="4" t="inlineStr"/>
      <c r="AT64" s="5">
        <f>IF(tblOrdenes[[#This Row],[orden]]="","",tblOrdenes[[#This Row],[orden]]&amp;IF(tblOrdenes[[#This Row],[operacion]]="","0010",tblOrdenes[[#This Row],[operacion]]))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TIPO-P2</t>
        </is>
      </c>
      <c r="J65" s="22" t="n">
        <v>46231</v>
      </c>
      <c r="K65" s="5" t="n">
        <v>10</v>
      </c>
      <c r="L65" s="18" t="n">
        <v>250</v>
      </c>
      <c r="M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5">
        <f>IF(tblOrdenes[[#This Row],[fecha_inicio]]="","",YEAR(tblOrdenes[[#This Row],[fecha_inicio]]))</f>
        <v/>
      </c>
      <c r="Q65" s="5">
        <f>IF(tblOrdenes[[#This Row],[fecha_inicio]]="","",MONTH(tblOrdenes[[#This Row],[fecha_inicio]]))</f>
        <v/>
      </c>
      <c r="R65" s="5">
        <f>IF(tblOrdenes[[#This Row],[fecha_inicio]]="","",tblOrdenes[[#This Row],[anio]]&amp;"-"&amp;TEXT(tblOrdenes[[#This Row],[mes]],"00"))</f>
        <v/>
      </c>
      <c r="S65" s="5">
        <f>IF(tblOrdenes[[#This Row],[fecha_inicio]]="","",INDEX(lista_dias,WEEKDAY(tblOrdenes[[#This Row],[fecha_inicio]],2)))</f>
        <v/>
      </c>
      <c r="T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" s="5">
        <f>IF(tblOrdenes[[#This Row],[tipo_ot]]="","",_xlfn.XLOOKUP(tblOrdenes[[#This Row],[tipo_ot]],tblTiposOT[codigo],tblTiposOT[clasificacion],"sin_clasificar"))</f>
        <v/>
      </c>
      <c r="V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" s="5">
        <f>IF(tblOrdenes[[#This Row],[centro_costo]]="","",_xlfn.XLOOKUP(tblOrdenes[[#This Row],[centro_costo]],tblCECO[codigo],tblCECO[linea],"(sin catálogo)"))</f>
        <v/>
      </c>
      <c r="X65" s="5">
        <f>IF(tblOrdenes[[#This Row],[centro_costo]]="","",_xlfn.XLOOKUP(tblOrdenes[[#This Row],[centro_costo]],tblCECO[codigo],tblCECO[area],"(sin catálogo)"))</f>
        <v/>
      </c>
      <c r="Y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" s="5">
        <f>IF(tblOrdenes[[#This Row],[centro_costo]]="","",_xlfn.XLOOKUP(tblOrdenes[[#This Row],[centro_costo]],tblCECO[codigo],tblCECO[coordinador],"(sin catálogo)"))</f>
        <v/>
      </c>
      <c r="AA65" s="5">
        <f>IF(tblOrdenes[[#This Row],[puesto_trabajo]]="","",_xlfn.XLOOKUP(tblOrdenes[[#This Row],[puesto_trabajo]],tblPuestos[codigo],tblPuestos[especialidad],"(sin catálogo)"))</f>
        <v/>
      </c>
      <c r="AB65" s="5">
        <f>IF(tblOrdenes[[#This Row],[cod_actividad]]="","",_xlfn.XLOOKUP(tblOrdenes[[#This Row],[cod_actividad]],tblActividades[codigo],tblActividades[descripcion],"(sin catálogo)"))</f>
        <v/>
      </c>
      <c r="AC65" s="20">
        <f>IF(tblOrdenes[[#This Row],[fecha_inicio]]="","",TODAY()-tblOrdenes[[#This Row],[fecha_inicio]])</f>
        <v/>
      </c>
      <c r="AD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" s="5">
        <f>IF(tblOrdenes[[#This Row],[backlog_habiles]]="","",IF(tblOrdenes[[#This Row],[backlog_habiles]]&lt;0,"FUTURO",IF(tblOrdenes[[#This Row],[backlog_habiles]]&gt;p_dias_backlog_max,"BACKLOG","MES CORRIENTE")))</f>
        <v/>
      </c>
      <c r="AF65" s="5">
        <f>IF(tblOrdenes[[#This Row],[backlog_habiles]]="",FALSE,AND(tblOrdenes[[#This Row],[backlog_habiles]]&gt;p_dias_backlog_min,tblOrdenes[[#This Row],[backlog_habiles]]&lt;=p_dias_backlog_max))</f>
        <v/>
      </c>
      <c r="AG65" s="4" t="inlineStr">
        <is>
          <t>Gabriela Rojas</t>
        </is>
      </c>
      <c r="AH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" s="18">
        <f>IF(tblOrdenes[[#This Row],[orden]]="","",_xlfn.XLOOKUP(tblOrdenes[[#This Row],[id_operacion]],tblEjecucion[id_operacion],tblEjecucion[precio],0))</f>
        <v/>
      </c>
      <c r="AL65" s="18">
        <f>IF(tblOrdenes[[#This Row],[orden]]="","",MAX(0,_xlfn.XLOOKUP(tblOrdenes[[#This Row],[id_operacion]],tblEjecucion[id_operacion],tblEjecucion[costo_plan_total],0)-tblOrdenes[[#This Row],[costo_servicio]]))</f>
        <v/>
      </c>
      <c r="AM65" s="18">
        <f>IF(tblOrdenes[[#This Row],[orden]]="","",tblOrdenes[[#This Row],[costo_servicio]]+tblOrdenes[[#This Row],[costo_materiales]])</f>
        <v/>
      </c>
      <c r="AN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" s="4" t="inlineStr"/>
      <c r="AP65" s="4" t="inlineStr"/>
      <c r="AQ65" s="4" t="inlineStr">
        <is>
          <t>ACT-04.pdf</t>
        </is>
      </c>
      <c r="AR65" s="5">
        <f>IF(tblOrdenes[[#This Row],[link_checklist]]="","",HYPERLINK(p_ruta_base_checklists&amp;tblOrdenes[[#This Row],[link_checklist]],"abrir"))</f>
        <v/>
      </c>
      <c r="AS65" s="4" t="inlineStr"/>
      <c r="AT65" s="5">
        <f>IF(tblOrdenes[[#This Row],[orden]]="","",tblOrdenes[[#This Row],[orden]]&amp;IF(tblOrdenes[[#This Row],[operacion]]="","0010",tblOrdenes[[#This Row],[operacion]]))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TIPO-P1</t>
        </is>
      </c>
      <c r="J66" s="22" t="n">
        <v>46232</v>
      </c>
      <c r="K66" s="5" t="n">
        <v>8</v>
      </c>
      <c r="L66" s="18" t="n">
        <v>200</v>
      </c>
      <c r="M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5">
        <f>IF(tblOrdenes[[#This Row],[fecha_inicio]]="","",YEAR(tblOrdenes[[#This Row],[fecha_inicio]]))</f>
        <v/>
      </c>
      <c r="Q66" s="5">
        <f>IF(tblOrdenes[[#This Row],[fecha_inicio]]="","",MONTH(tblOrdenes[[#This Row],[fecha_inicio]]))</f>
        <v/>
      </c>
      <c r="R66" s="5">
        <f>IF(tblOrdenes[[#This Row],[fecha_inicio]]="","",tblOrdenes[[#This Row],[anio]]&amp;"-"&amp;TEXT(tblOrdenes[[#This Row],[mes]],"00"))</f>
        <v/>
      </c>
      <c r="S66" s="5">
        <f>IF(tblOrdenes[[#This Row],[fecha_inicio]]="","",INDEX(lista_dias,WEEKDAY(tblOrdenes[[#This Row],[fecha_inicio]],2)))</f>
        <v/>
      </c>
      <c r="T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" s="5">
        <f>IF(tblOrdenes[[#This Row],[tipo_ot]]="","",_xlfn.XLOOKUP(tblOrdenes[[#This Row],[tipo_ot]],tblTiposOT[codigo],tblTiposOT[clasificacion],"sin_clasificar"))</f>
        <v/>
      </c>
      <c r="V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" s="5">
        <f>IF(tblOrdenes[[#This Row],[centro_costo]]="","",_xlfn.XLOOKUP(tblOrdenes[[#This Row],[centro_costo]],tblCECO[codigo],tblCECO[linea],"(sin catálogo)"))</f>
        <v/>
      </c>
      <c r="X66" s="5">
        <f>IF(tblOrdenes[[#This Row],[centro_costo]]="","",_xlfn.XLOOKUP(tblOrdenes[[#This Row],[centro_costo]],tblCECO[codigo],tblCECO[area],"(sin catálogo)"))</f>
        <v/>
      </c>
      <c r="Y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" s="5">
        <f>IF(tblOrdenes[[#This Row],[centro_costo]]="","",_xlfn.XLOOKUP(tblOrdenes[[#This Row],[centro_costo]],tblCECO[codigo],tblCECO[coordinador],"(sin catálogo)"))</f>
        <v/>
      </c>
      <c r="AA66" s="5">
        <f>IF(tblOrdenes[[#This Row],[puesto_trabajo]]="","",_xlfn.XLOOKUP(tblOrdenes[[#This Row],[puesto_trabajo]],tblPuestos[codigo],tblPuestos[especialidad],"(sin catálogo)"))</f>
        <v/>
      </c>
      <c r="AB66" s="5">
        <f>IF(tblOrdenes[[#This Row],[cod_actividad]]="","",_xlfn.XLOOKUP(tblOrdenes[[#This Row],[cod_actividad]],tblActividades[codigo],tblActividades[descripcion],"(sin catálogo)"))</f>
        <v/>
      </c>
      <c r="AC66" s="20">
        <f>IF(tblOrdenes[[#This Row],[fecha_inicio]]="","",TODAY()-tblOrdenes[[#This Row],[fecha_inicio]])</f>
        <v/>
      </c>
      <c r="AD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" s="5">
        <f>IF(tblOrdenes[[#This Row],[backlog_habiles]]="","",IF(tblOrdenes[[#This Row],[backlog_habiles]]&lt;0,"FUTURO",IF(tblOrdenes[[#This Row],[backlog_habiles]]&gt;p_dias_backlog_max,"BACKLOG","MES CORRIENTE")))</f>
        <v/>
      </c>
      <c r="AF66" s="5">
        <f>IF(tblOrdenes[[#This Row],[backlog_habiles]]="",FALSE,AND(tblOrdenes[[#This Row],[backlog_habiles]]&gt;p_dias_backlog_min,tblOrdenes[[#This Row],[backlog_habiles]]&lt;=p_dias_backlog_max))</f>
        <v/>
      </c>
      <c r="AG66" s="4" t="inlineStr">
        <is>
          <t>Fernando Mendoza</t>
        </is>
      </c>
      <c r="AH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" s="18">
        <f>IF(tblOrdenes[[#This Row],[orden]]="","",_xlfn.XLOOKUP(tblOrdenes[[#This Row],[id_operacion]],tblEjecucion[id_operacion],tblEjecucion[precio],0))</f>
        <v/>
      </c>
      <c r="AL66" s="18">
        <f>IF(tblOrdenes[[#This Row],[orden]]="","",MAX(0,_xlfn.XLOOKUP(tblOrdenes[[#This Row],[id_operacion]],tblEjecucion[id_operacion],tblEjecucion[costo_plan_total],0)-tblOrdenes[[#This Row],[costo_servicio]]))</f>
        <v/>
      </c>
      <c r="AM66" s="18">
        <f>IF(tblOrdenes[[#This Row],[orden]]="","",tblOrdenes[[#This Row],[costo_servicio]]+tblOrdenes[[#This Row],[costo_materiales]])</f>
        <v/>
      </c>
      <c r="AN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" s="4" t="inlineStr"/>
      <c r="AP66" s="4" t="inlineStr"/>
      <c r="AQ66" s="4" t="inlineStr">
        <is>
          <t>ACT-01.pdf</t>
        </is>
      </c>
      <c r="AR66" s="5">
        <f>IF(tblOrdenes[[#This Row],[link_checklist]]="","",HYPERLINK(p_ruta_base_checklists&amp;tblOrdenes[[#This Row],[link_checklist]],"abrir"))</f>
        <v/>
      </c>
      <c r="AS66" s="4" t="inlineStr"/>
      <c r="AT66" s="5">
        <f>IF(tblOrdenes[[#This Row],[orden]]="","",tblOrdenes[[#This Row],[orden]]&amp;IF(tblOrdenes[[#This Row],[operacion]]="","0010",tblOrdenes[[#This Row],[operacion]]))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22" t="n">
        <v>46233</v>
      </c>
      <c r="K67" s="5" t="n">
        <v>6</v>
      </c>
      <c r="L67" s="18" t="n">
        <v>150</v>
      </c>
      <c r="M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5">
        <f>IF(tblOrdenes[[#This Row],[fecha_inicio]]="","",YEAR(tblOrdenes[[#This Row],[fecha_inicio]]))</f>
        <v/>
      </c>
      <c r="Q67" s="5">
        <f>IF(tblOrdenes[[#This Row],[fecha_inicio]]="","",MONTH(tblOrdenes[[#This Row],[fecha_inicio]]))</f>
        <v/>
      </c>
      <c r="R67" s="5">
        <f>IF(tblOrdenes[[#This Row],[fecha_inicio]]="","",tblOrdenes[[#This Row],[anio]]&amp;"-"&amp;TEXT(tblOrdenes[[#This Row],[mes]],"00"))</f>
        <v/>
      </c>
      <c r="S67" s="5">
        <f>IF(tblOrdenes[[#This Row],[fecha_inicio]]="","",INDEX(lista_dias,WEEKDAY(tblOrdenes[[#This Row],[fecha_inicio]],2)))</f>
        <v/>
      </c>
      <c r="T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" s="5">
        <f>IF(tblOrdenes[[#This Row],[tipo_ot]]="","",_xlfn.XLOOKUP(tblOrdenes[[#This Row],[tipo_ot]],tblTiposOT[codigo],tblTiposOT[clasificacion],"sin_clasificar"))</f>
        <v/>
      </c>
      <c r="V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" s="5">
        <f>IF(tblOrdenes[[#This Row],[centro_costo]]="","",_xlfn.XLOOKUP(tblOrdenes[[#This Row],[centro_costo]],tblCECO[codigo],tblCECO[linea],"(sin catálogo)"))</f>
        <v/>
      </c>
      <c r="X67" s="5">
        <f>IF(tblOrdenes[[#This Row],[centro_costo]]="","",_xlfn.XLOOKUP(tblOrdenes[[#This Row],[centro_costo]],tblCECO[codigo],tblCECO[area],"(sin catálogo)"))</f>
        <v/>
      </c>
      <c r="Y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" s="5">
        <f>IF(tblOrdenes[[#This Row],[centro_costo]]="","",_xlfn.XLOOKUP(tblOrdenes[[#This Row],[centro_costo]],tblCECO[codigo],tblCECO[coordinador],"(sin catálogo)"))</f>
        <v/>
      </c>
      <c r="AA67" s="5">
        <f>IF(tblOrdenes[[#This Row],[puesto_trabajo]]="","",_xlfn.XLOOKUP(tblOrdenes[[#This Row],[puesto_trabajo]],tblPuestos[codigo],tblPuestos[especialidad],"(sin catálogo)"))</f>
        <v/>
      </c>
      <c r="AB67" s="5">
        <f>IF(tblOrdenes[[#This Row],[cod_actividad]]="","",_xlfn.XLOOKUP(tblOrdenes[[#This Row],[cod_actividad]],tblActividades[codigo],tblActividades[descripcion],"(sin catálogo)"))</f>
        <v/>
      </c>
      <c r="AC67" s="20">
        <f>IF(tblOrdenes[[#This Row],[fecha_inicio]]="","",TODAY()-tblOrdenes[[#This Row],[fecha_inicio]])</f>
        <v/>
      </c>
      <c r="AD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" s="5">
        <f>IF(tblOrdenes[[#This Row],[backlog_habiles]]="","",IF(tblOrdenes[[#This Row],[backlog_habiles]]&lt;0,"FUTURO",IF(tblOrdenes[[#This Row],[backlog_habiles]]&gt;p_dias_backlog_max,"BACKLOG","MES CORRIENTE")))</f>
        <v/>
      </c>
      <c r="AF67" s="5">
        <f>IF(tblOrdenes[[#This Row],[backlog_habiles]]="",FALSE,AND(tblOrdenes[[#This Row],[backlog_habiles]]&gt;p_dias_backlog_min,tblOrdenes[[#This Row],[backlog_habiles]]&lt;=p_dias_backlog_max))</f>
        <v/>
      </c>
      <c r="AG67" s="4" t="inlineStr">
        <is>
          <t>Jorge Díaz</t>
        </is>
      </c>
      <c r="AH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" s="18">
        <f>IF(tblOrdenes[[#This Row],[orden]]="","",_xlfn.XLOOKUP(tblOrdenes[[#This Row],[id_operacion]],tblEjecucion[id_operacion],tblEjecucion[precio],0))</f>
        <v/>
      </c>
      <c r="AL67" s="18">
        <f>IF(tblOrdenes[[#This Row],[orden]]="","",MAX(0,_xlfn.XLOOKUP(tblOrdenes[[#This Row],[id_operacion]],tblEjecucion[id_operacion],tblEjecucion[costo_plan_total],0)-tblOrdenes[[#This Row],[costo_servicio]]))</f>
        <v/>
      </c>
      <c r="AM67" s="18">
        <f>IF(tblOrdenes[[#This Row],[orden]]="","",tblOrdenes[[#This Row],[costo_servicio]]+tblOrdenes[[#This Row],[costo_materiales]])</f>
        <v/>
      </c>
      <c r="AN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" s="4" t="inlineStr"/>
      <c r="AP67" s="4" t="inlineStr"/>
      <c r="AQ67" s="4" t="inlineStr">
        <is>
          <t>ACT-02.pdf</t>
        </is>
      </c>
      <c r="AR67" s="5">
        <f>IF(tblOrdenes[[#This Row],[link_checklist]]="","",HYPERLINK(p_ruta_base_checklists&amp;tblOrdenes[[#This Row],[link_checklist]],"abrir"))</f>
        <v/>
      </c>
      <c r="AS67" s="4" t="inlineStr"/>
      <c r="AT67" s="5">
        <f>IF(tblOrdenes[[#This Row],[orden]]="","",tblOrdenes[[#This Row],[orden]]&amp;IF(tblOrdenes[[#This Row],[operacion]]="","0010",tblOrdenes[[#This Row],[operacion]]))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22" t="n">
        <v>46234</v>
      </c>
      <c r="K68" s="5" t="n">
        <v>10</v>
      </c>
      <c r="L68" s="18" t="n">
        <v>250</v>
      </c>
      <c r="M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5">
        <f>IF(tblOrdenes[[#This Row],[fecha_inicio]]="","",YEAR(tblOrdenes[[#This Row],[fecha_inicio]]))</f>
        <v/>
      </c>
      <c r="Q68" s="5">
        <f>IF(tblOrdenes[[#This Row],[fecha_inicio]]="","",MONTH(tblOrdenes[[#This Row],[fecha_inicio]]))</f>
        <v/>
      </c>
      <c r="R68" s="5">
        <f>IF(tblOrdenes[[#This Row],[fecha_inicio]]="","",tblOrdenes[[#This Row],[anio]]&amp;"-"&amp;TEXT(tblOrdenes[[#This Row],[mes]],"00"))</f>
        <v/>
      </c>
      <c r="S68" s="5">
        <f>IF(tblOrdenes[[#This Row],[fecha_inicio]]="","",INDEX(lista_dias,WEEKDAY(tblOrdenes[[#This Row],[fecha_inicio]],2)))</f>
        <v/>
      </c>
      <c r="T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" s="5">
        <f>IF(tblOrdenes[[#This Row],[tipo_ot]]="","",_xlfn.XLOOKUP(tblOrdenes[[#This Row],[tipo_ot]],tblTiposOT[codigo],tblTiposOT[clasificacion],"sin_clasificar"))</f>
        <v/>
      </c>
      <c r="V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" s="5">
        <f>IF(tblOrdenes[[#This Row],[centro_costo]]="","",_xlfn.XLOOKUP(tblOrdenes[[#This Row],[centro_costo]],tblCECO[codigo],tblCECO[linea],"(sin catálogo)"))</f>
        <v/>
      </c>
      <c r="X68" s="5">
        <f>IF(tblOrdenes[[#This Row],[centro_costo]]="","",_xlfn.XLOOKUP(tblOrdenes[[#This Row],[centro_costo]],tblCECO[codigo],tblCECO[area],"(sin catálogo)"))</f>
        <v/>
      </c>
      <c r="Y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" s="5">
        <f>IF(tblOrdenes[[#This Row],[centro_costo]]="","",_xlfn.XLOOKUP(tblOrdenes[[#This Row],[centro_costo]],tblCECO[codigo],tblCECO[coordinador],"(sin catálogo)"))</f>
        <v/>
      </c>
      <c r="AA68" s="5">
        <f>IF(tblOrdenes[[#This Row],[puesto_trabajo]]="","",_xlfn.XLOOKUP(tblOrdenes[[#This Row],[puesto_trabajo]],tblPuestos[codigo],tblPuestos[especialidad],"(sin catálogo)"))</f>
        <v/>
      </c>
      <c r="AB68" s="5">
        <f>IF(tblOrdenes[[#This Row],[cod_actividad]]="","",_xlfn.XLOOKUP(tblOrdenes[[#This Row],[cod_actividad]],tblActividades[codigo],tblActividades[descripcion],"(sin catálogo)"))</f>
        <v/>
      </c>
      <c r="AC68" s="20">
        <f>IF(tblOrdenes[[#This Row],[fecha_inicio]]="","",TODAY()-tblOrdenes[[#This Row],[fecha_inicio]])</f>
        <v/>
      </c>
      <c r="AD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" s="5">
        <f>IF(tblOrdenes[[#This Row],[backlog_habiles]]="","",IF(tblOrdenes[[#This Row],[backlog_habiles]]&lt;0,"FUTURO",IF(tblOrdenes[[#This Row],[backlog_habiles]]&gt;p_dias_backlog_max,"BACKLOG","MES CORRIENTE")))</f>
        <v/>
      </c>
      <c r="AF68" s="5">
        <f>IF(tblOrdenes[[#This Row],[backlog_habiles]]="",FALSE,AND(tblOrdenes[[#This Row],[backlog_habiles]]&gt;p_dias_backlog_min,tblOrdenes[[#This Row],[backlog_habiles]]&lt;=p_dias_backlog_max))</f>
        <v/>
      </c>
      <c r="AG68" s="4" t="inlineStr">
        <is>
          <t>Roberto Castro</t>
        </is>
      </c>
      <c r="AH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" s="18">
        <f>IF(tblOrdenes[[#This Row],[orden]]="","",_xlfn.XLOOKUP(tblOrdenes[[#This Row],[id_operacion]],tblEjecucion[id_operacion],tblEjecucion[precio],0))</f>
        <v/>
      </c>
      <c r="AL68" s="18">
        <f>IF(tblOrdenes[[#This Row],[orden]]="","",MAX(0,_xlfn.XLOOKUP(tblOrdenes[[#This Row],[id_operacion]],tblEjecucion[id_operacion],tblEjecucion[costo_plan_total],0)-tblOrdenes[[#This Row],[costo_servicio]]))</f>
        <v/>
      </c>
      <c r="AM68" s="18">
        <f>IF(tblOrdenes[[#This Row],[orden]]="","",tblOrdenes[[#This Row],[costo_servicio]]+tblOrdenes[[#This Row],[costo_materiales]])</f>
        <v/>
      </c>
      <c r="AN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" s="4" t="inlineStr"/>
      <c r="AP68" s="4" t="inlineStr"/>
      <c r="AQ68" s="4" t="inlineStr">
        <is>
          <t>ACT-04.pdf</t>
        </is>
      </c>
      <c r="AR68" s="5">
        <f>IF(tblOrdenes[[#This Row],[link_checklist]]="","",HYPERLINK(p_ruta_base_checklists&amp;tblOrdenes[[#This Row],[link_checklist]],"abrir"))</f>
        <v/>
      </c>
      <c r="AS68" s="4" t="inlineStr"/>
      <c r="AT68" s="5">
        <f>IF(tblOrdenes[[#This Row],[orden]]="","",tblOrdenes[[#This Row],[orden]]&amp;IF(tblOrdenes[[#This Row],[operacion]]="","0010",tblOrdenes[[#This Row],[operacion]]))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22" t="n">
        <v>46230</v>
      </c>
      <c r="K69" s="5" t="n">
        <v>7</v>
      </c>
      <c r="L69" s="18" t="n">
        <v>175</v>
      </c>
      <c r="M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5">
        <f>IF(tblOrdenes[[#This Row],[fecha_inicio]]="","",YEAR(tblOrdenes[[#This Row],[fecha_inicio]]))</f>
        <v/>
      </c>
      <c r="Q69" s="5">
        <f>IF(tblOrdenes[[#This Row],[fecha_inicio]]="","",MONTH(tblOrdenes[[#This Row],[fecha_inicio]]))</f>
        <v/>
      </c>
      <c r="R69" s="5">
        <f>IF(tblOrdenes[[#This Row],[fecha_inicio]]="","",tblOrdenes[[#This Row],[anio]]&amp;"-"&amp;TEXT(tblOrdenes[[#This Row],[mes]],"00"))</f>
        <v/>
      </c>
      <c r="S69" s="5">
        <f>IF(tblOrdenes[[#This Row],[fecha_inicio]]="","",INDEX(lista_dias,WEEKDAY(tblOrdenes[[#This Row],[fecha_inicio]],2)))</f>
        <v/>
      </c>
      <c r="T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" s="5">
        <f>IF(tblOrdenes[[#This Row],[tipo_ot]]="","",_xlfn.XLOOKUP(tblOrdenes[[#This Row],[tipo_ot]],tblTiposOT[codigo],tblTiposOT[clasificacion],"sin_clasificar"))</f>
        <v/>
      </c>
      <c r="V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" s="5">
        <f>IF(tblOrdenes[[#This Row],[centro_costo]]="","",_xlfn.XLOOKUP(tblOrdenes[[#This Row],[centro_costo]],tblCECO[codigo],tblCECO[linea],"(sin catálogo)"))</f>
        <v/>
      </c>
      <c r="X69" s="5">
        <f>IF(tblOrdenes[[#This Row],[centro_costo]]="","",_xlfn.XLOOKUP(tblOrdenes[[#This Row],[centro_costo]],tblCECO[codigo],tblCECO[area],"(sin catálogo)"))</f>
        <v/>
      </c>
      <c r="Y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" s="5">
        <f>IF(tblOrdenes[[#This Row],[centro_costo]]="","",_xlfn.XLOOKUP(tblOrdenes[[#This Row],[centro_costo]],tblCECO[codigo],tblCECO[coordinador],"(sin catálogo)"))</f>
        <v/>
      </c>
      <c r="AA69" s="5">
        <f>IF(tblOrdenes[[#This Row],[puesto_trabajo]]="","",_xlfn.XLOOKUP(tblOrdenes[[#This Row],[puesto_trabajo]],tblPuestos[codigo],tblPuestos[especialidad],"(sin catálogo)"))</f>
        <v/>
      </c>
      <c r="AB69" s="5">
        <f>IF(tblOrdenes[[#This Row],[cod_actividad]]="","",_xlfn.XLOOKUP(tblOrdenes[[#This Row],[cod_actividad]],tblActividades[codigo],tblActividades[descripcion],"(sin catálogo)"))</f>
        <v/>
      </c>
      <c r="AC69" s="20">
        <f>IF(tblOrdenes[[#This Row],[fecha_inicio]]="","",TODAY()-tblOrdenes[[#This Row],[fecha_inicio]])</f>
        <v/>
      </c>
      <c r="AD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" s="5">
        <f>IF(tblOrdenes[[#This Row],[backlog_habiles]]="","",IF(tblOrdenes[[#This Row],[backlog_habiles]]&lt;0,"FUTURO",IF(tblOrdenes[[#This Row],[backlog_habiles]]&gt;p_dias_backlog_max,"BACKLOG","MES CORRIENTE")))</f>
        <v/>
      </c>
      <c r="AF69" s="5">
        <f>IF(tblOrdenes[[#This Row],[backlog_habiles]]="",FALSE,AND(tblOrdenes[[#This Row],[backlog_habiles]]&gt;p_dias_backlog_min,tblOrdenes[[#This Row],[backlog_habiles]]&lt;=p_dias_backlog_max))</f>
        <v/>
      </c>
      <c r="AG69" s="4" t="inlineStr">
        <is>
          <t>Laura Morales</t>
        </is>
      </c>
      <c r="AH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" s="18">
        <f>IF(tblOrdenes[[#This Row],[orden]]="","",_xlfn.XLOOKUP(tblOrdenes[[#This Row],[id_operacion]],tblEjecucion[id_operacion],tblEjecucion[precio],0))</f>
        <v/>
      </c>
      <c r="AL69" s="18">
        <f>IF(tblOrdenes[[#This Row],[orden]]="","",MAX(0,_xlfn.XLOOKUP(tblOrdenes[[#This Row],[id_operacion]],tblEjecucion[id_operacion],tblEjecucion[costo_plan_total],0)-tblOrdenes[[#This Row],[costo_servicio]]))</f>
        <v/>
      </c>
      <c r="AM69" s="18">
        <f>IF(tblOrdenes[[#This Row],[orden]]="","",tblOrdenes[[#This Row],[costo_servicio]]+tblOrdenes[[#This Row],[costo_materiales]])</f>
        <v/>
      </c>
      <c r="AN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" s="4" t="inlineStr"/>
      <c r="AP69" s="4" t="inlineStr"/>
      <c r="AQ69" s="4" t="inlineStr">
        <is>
          <t>ACT-01.pdf</t>
        </is>
      </c>
      <c r="AR69" s="5">
        <f>IF(tblOrdenes[[#This Row],[link_checklist]]="","",HYPERLINK(p_ruta_base_checklists&amp;tblOrdenes[[#This Row],[link_checklist]],"abrir"))</f>
        <v/>
      </c>
      <c r="AS69" s="4" t="inlineStr"/>
      <c r="AT69" s="5">
        <f>IF(tblOrdenes[[#This Row],[orden]]="","",tblOrdenes[[#This Row],[orden]]&amp;IF(tblOrdenes[[#This Row],[operacion]]="","0010",tblOrdenes[[#This Row],[operacion]]))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22" t="n">
        <v>46231</v>
      </c>
      <c r="K70" s="5" t="n">
        <v>10</v>
      </c>
      <c r="L70" s="18" t="n">
        <v>400</v>
      </c>
      <c r="M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5">
        <f>IF(tblOrdenes[[#This Row],[fecha_inicio]]="","",YEAR(tblOrdenes[[#This Row],[fecha_inicio]]))</f>
        <v/>
      </c>
      <c r="Q70" s="5">
        <f>IF(tblOrdenes[[#This Row],[fecha_inicio]]="","",MONTH(tblOrdenes[[#This Row],[fecha_inicio]]))</f>
        <v/>
      </c>
      <c r="R70" s="5">
        <f>IF(tblOrdenes[[#This Row],[fecha_inicio]]="","",tblOrdenes[[#This Row],[anio]]&amp;"-"&amp;TEXT(tblOrdenes[[#This Row],[mes]],"00"))</f>
        <v/>
      </c>
      <c r="S70" s="5">
        <f>IF(tblOrdenes[[#This Row],[fecha_inicio]]="","",INDEX(lista_dias,WEEKDAY(tblOrdenes[[#This Row],[fecha_inicio]],2)))</f>
        <v/>
      </c>
      <c r="T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" s="5">
        <f>IF(tblOrdenes[[#This Row],[tipo_ot]]="","",_xlfn.XLOOKUP(tblOrdenes[[#This Row],[tipo_ot]],tblTiposOT[codigo],tblTiposOT[clasificacion],"sin_clasificar"))</f>
        <v/>
      </c>
      <c r="V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" s="5">
        <f>IF(tblOrdenes[[#This Row],[centro_costo]]="","",_xlfn.XLOOKUP(tblOrdenes[[#This Row],[centro_costo]],tblCECO[codigo],tblCECO[linea],"(sin catálogo)"))</f>
        <v/>
      </c>
      <c r="X70" s="5">
        <f>IF(tblOrdenes[[#This Row],[centro_costo]]="","",_xlfn.XLOOKUP(tblOrdenes[[#This Row],[centro_costo]],tblCECO[codigo],tblCECO[area],"(sin catálogo)"))</f>
        <v/>
      </c>
      <c r="Y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" s="5">
        <f>IF(tblOrdenes[[#This Row],[centro_costo]]="","",_xlfn.XLOOKUP(tblOrdenes[[#This Row],[centro_costo]],tblCECO[codigo],tblCECO[coordinador],"(sin catálogo)"))</f>
        <v/>
      </c>
      <c r="AA70" s="5">
        <f>IF(tblOrdenes[[#This Row],[puesto_trabajo]]="","",_xlfn.XLOOKUP(tblOrdenes[[#This Row],[puesto_trabajo]],tblPuestos[codigo],tblPuestos[especialidad],"(sin catálogo)"))</f>
        <v/>
      </c>
      <c r="AB70" s="5">
        <f>IF(tblOrdenes[[#This Row],[cod_actividad]]="","",_xlfn.XLOOKUP(tblOrdenes[[#This Row],[cod_actividad]],tblActividades[codigo],tblActividades[descripcion],"(sin catálogo)"))</f>
        <v/>
      </c>
      <c r="AC70" s="20">
        <f>IF(tblOrdenes[[#This Row],[fecha_inicio]]="","",TODAY()-tblOrdenes[[#This Row],[fecha_inicio]])</f>
        <v/>
      </c>
      <c r="AD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" s="5">
        <f>IF(tblOrdenes[[#This Row],[backlog_habiles]]="","",IF(tblOrdenes[[#This Row],[backlog_habiles]]&lt;0,"FUTURO",IF(tblOrdenes[[#This Row],[backlog_habiles]]&gt;p_dias_backlog_max,"BACKLOG","MES CORRIENTE")))</f>
        <v/>
      </c>
      <c r="AF70" s="5">
        <f>IF(tblOrdenes[[#This Row],[backlog_habiles]]="",FALSE,AND(tblOrdenes[[#This Row],[backlog_habiles]]&gt;p_dias_backlog_min,tblOrdenes[[#This Row],[backlog_habiles]]&lt;=p_dias_backlog_max))</f>
        <v/>
      </c>
      <c r="AG70" s="4" t="inlineStr">
        <is>
          <t>Ricardo Ortiz</t>
        </is>
      </c>
      <c r="AH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" s="18">
        <f>IF(tblOrdenes[[#This Row],[orden]]="","",_xlfn.XLOOKUP(tblOrdenes[[#This Row],[id_operacion]],tblEjecucion[id_operacion],tblEjecucion[precio],0))</f>
        <v/>
      </c>
      <c r="AL70" s="18">
        <f>IF(tblOrdenes[[#This Row],[orden]]="","",MAX(0,_xlfn.XLOOKUP(tblOrdenes[[#This Row],[id_operacion]],tblEjecucion[id_operacion],tblEjecucion[costo_plan_total],0)-tblOrdenes[[#This Row],[costo_servicio]]))</f>
        <v/>
      </c>
      <c r="AM70" s="18">
        <f>IF(tblOrdenes[[#This Row],[orden]]="","",tblOrdenes[[#This Row],[costo_servicio]]+tblOrdenes[[#This Row],[costo_materiales]])</f>
        <v/>
      </c>
      <c r="AN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" s="4" t="inlineStr"/>
      <c r="AP70" s="4" t="inlineStr"/>
      <c r="AQ70" s="4" t="inlineStr"/>
      <c r="AR70" s="5">
        <f>IF(tblOrdenes[[#This Row],[link_checklist]]="","",HYPERLINK(p_ruta_base_checklists&amp;tblOrdenes[[#This Row],[link_checklist]],"abrir"))</f>
        <v/>
      </c>
      <c r="AS70" s="4" t="inlineStr"/>
      <c r="AT70" s="5">
        <f>IF(tblOrdenes[[#This Row],[orden]]="","",tblOrdenes[[#This Row],[orden]]&amp;IF(tblOrdenes[[#This Row],[operacion]]="","0010",tblOrdenes[[#This Row],[operacion]]))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22" t="n">
        <v>46232</v>
      </c>
      <c r="K71" s="5" t="n">
        <v>10</v>
      </c>
      <c r="L71" s="18" t="n">
        <v>400</v>
      </c>
      <c r="M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5">
        <f>IF(tblOrdenes[[#This Row],[fecha_inicio]]="","",YEAR(tblOrdenes[[#This Row],[fecha_inicio]]))</f>
        <v/>
      </c>
      <c r="Q71" s="5">
        <f>IF(tblOrdenes[[#This Row],[fecha_inicio]]="","",MONTH(tblOrdenes[[#This Row],[fecha_inicio]]))</f>
        <v/>
      </c>
      <c r="R71" s="5">
        <f>IF(tblOrdenes[[#This Row],[fecha_inicio]]="","",tblOrdenes[[#This Row],[anio]]&amp;"-"&amp;TEXT(tblOrdenes[[#This Row],[mes]],"00"))</f>
        <v/>
      </c>
      <c r="S71" s="5">
        <f>IF(tblOrdenes[[#This Row],[fecha_inicio]]="","",INDEX(lista_dias,WEEKDAY(tblOrdenes[[#This Row],[fecha_inicio]],2)))</f>
        <v/>
      </c>
      <c r="T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" s="5">
        <f>IF(tblOrdenes[[#This Row],[tipo_ot]]="","",_xlfn.XLOOKUP(tblOrdenes[[#This Row],[tipo_ot]],tblTiposOT[codigo],tblTiposOT[clasificacion],"sin_clasificar"))</f>
        <v/>
      </c>
      <c r="V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" s="5">
        <f>IF(tblOrdenes[[#This Row],[centro_costo]]="","",_xlfn.XLOOKUP(tblOrdenes[[#This Row],[centro_costo]],tblCECO[codigo],tblCECO[linea],"(sin catálogo)"))</f>
        <v/>
      </c>
      <c r="X71" s="5">
        <f>IF(tblOrdenes[[#This Row],[centro_costo]]="","",_xlfn.XLOOKUP(tblOrdenes[[#This Row],[centro_costo]],tblCECO[codigo],tblCECO[area],"(sin catálogo)"))</f>
        <v/>
      </c>
      <c r="Y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" s="5">
        <f>IF(tblOrdenes[[#This Row],[centro_costo]]="","",_xlfn.XLOOKUP(tblOrdenes[[#This Row],[centro_costo]],tblCECO[codigo],tblCECO[coordinador],"(sin catálogo)"))</f>
        <v/>
      </c>
      <c r="AA71" s="5">
        <f>IF(tblOrdenes[[#This Row],[puesto_trabajo]]="","",_xlfn.XLOOKUP(tblOrdenes[[#This Row],[puesto_trabajo]],tblPuestos[codigo],tblPuestos[especialidad],"(sin catálogo)"))</f>
        <v/>
      </c>
      <c r="AB71" s="5">
        <f>IF(tblOrdenes[[#This Row],[cod_actividad]]="","",_xlfn.XLOOKUP(tblOrdenes[[#This Row],[cod_actividad]],tblActividades[codigo],tblActividades[descripcion],"(sin catálogo)"))</f>
        <v/>
      </c>
      <c r="AC71" s="20">
        <f>IF(tblOrdenes[[#This Row],[fecha_inicio]]="","",TODAY()-tblOrdenes[[#This Row],[fecha_inicio]])</f>
        <v/>
      </c>
      <c r="AD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" s="5">
        <f>IF(tblOrdenes[[#This Row],[backlog_habiles]]="","",IF(tblOrdenes[[#This Row],[backlog_habiles]]&lt;0,"FUTURO",IF(tblOrdenes[[#This Row],[backlog_habiles]]&gt;p_dias_backlog_max,"BACKLOG","MES CORRIENTE")))</f>
        <v/>
      </c>
      <c r="AF71" s="5">
        <f>IF(tblOrdenes[[#This Row],[backlog_habiles]]="",FALSE,AND(tblOrdenes[[#This Row],[backlog_habiles]]&gt;p_dias_backlog_min,tblOrdenes[[#This Row],[backlog_habiles]]&lt;=p_dias_backlog_max))</f>
        <v/>
      </c>
      <c r="AG71" s="4" t="inlineStr">
        <is>
          <t>Eduardo Silva</t>
        </is>
      </c>
      <c r="AH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" s="18">
        <f>IF(tblOrdenes[[#This Row],[orden]]="","",_xlfn.XLOOKUP(tblOrdenes[[#This Row],[id_operacion]],tblEjecucion[id_operacion],tblEjecucion[precio],0))</f>
        <v/>
      </c>
      <c r="AL71" s="18">
        <f>IF(tblOrdenes[[#This Row],[orden]]="","",MAX(0,_xlfn.XLOOKUP(tblOrdenes[[#This Row],[id_operacion]],tblEjecucion[id_operacion],tblEjecucion[costo_plan_total],0)-tblOrdenes[[#This Row],[costo_servicio]]))</f>
        <v/>
      </c>
      <c r="AM71" s="18">
        <f>IF(tblOrdenes[[#This Row],[orden]]="","",tblOrdenes[[#This Row],[costo_servicio]]+tblOrdenes[[#This Row],[costo_materiales]])</f>
        <v/>
      </c>
      <c r="AN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" s="4" t="inlineStr">
        <is>
          <t>PT-CALIENTE</t>
        </is>
      </c>
      <c r="AP71" s="4" t="inlineStr">
        <is>
          <t>LOTO</t>
        </is>
      </c>
      <c r="AQ71" s="4" t="inlineStr"/>
      <c r="AR71" s="5">
        <f>IF(tblOrdenes[[#This Row],[link_checklist]]="","",HYPERLINK(p_ruta_base_checklists&amp;tblOrdenes[[#This Row],[link_checklist]],"abrir"))</f>
        <v/>
      </c>
      <c r="AS71" s="4" t="inlineStr"/>
      <c r="AT71" s="5">
        <f>IF(tblOrdenes[[#This Row],[orden]]="","",tblOrdenes[[#This Row],[orden]]&amp;IF(tblOrdenes[[#This Row],[operacion]]="","0010",tblOrdenes[[#This Row],[operacion]]))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TIPO-P1</t>
        </is>
      </c>
      <c r="J72" s="22" t="n">
        <v>46240</v>
      </c>
      <c r="K72" s="5" t="n">
        <v>10</v>
      </c>
      <c r="L72" s="18" t="n">
        <v>250</v>
      </c>
      <c r="M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5">
        <f>IF(tblOrdenes[[#This Row],[fecha_inicio]]="","",YEAR(tblOrdenes[[#This Row],[fecha_inicio]]))</f>
        <v/>
      </c>
      <c r="Q72" s="5">
        <f>IF(tblOrdenes[[#This Row],[fecha_inicio]]="","",MONTH(tblOrdenes[[#This Row],[fecha_inicio]]))</f>
        <v/>
      </c>
      <c r="R72" s="5">
        <f>IF(tblOrdenes[[#This Row],[fecha_inicio]]="","",tblOrdenes[[#This Row],[anio]]&amp;"-"&amp;TEXT(tblOrdenes[[#This Row],[mes]],"00"))</f>
        <v/>
      </c>
      <c r="S72" s="5">
        <f>IF(tblOrdenes[[#This Row],[fecha_inicio]]="","",INDEX(lista_dias,WEEKDAY(tblOrdenes[[#This Row],[fecha_inicio]],2)))</f>
        <v/>
      </c>
      <c r="T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" s="5">
        <f>IF(tblOrdenes[[#This Row],[tipo_ot]]="","",_xlfn.XLOOKUP(tblOrdenes[[#This Row],[tipo_ot]],tblTiposOT[codigo],tblTiposOT[clasificacion],"sin_clasificar"))</f>
        <v/>
      </c>
      <c r="V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" s="5">
        <f>IF(tblOrdenes[[#This Row],[centro_costo]]="","",_xlfn.XLOOKUP(tblOrdenes[[#This Row],[centro_costo]],tblCECO[codigo],tblCECO[linea],"(sin catálogo)"))</f>
        <v/>
      </c>
      <c r="X72" s="5">
        <f>IF(tblOrdenes[[#This Row],[centro_costo]]="","",_xlfn.XLOOKUP(tblOrdenes[[#This Row],[centro_costo]],tblCECO[codigo],tblCECO[area],"(sin catálogo)"))</f>
        <v/>
      </c>
      <c r="Y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" s="5">
        <f>IF(tblOrdenes[[#This Row],[centro_costo]]="","",_xlfn.XLOOKUP(tblOrdenes[[#This Row],[centro_costo]],tblCECO[codigo],tblCECO[coordinador],"(sin catálogo)"))</f>
        <v/>
      </c>
      <c r="AA72" s="5">
        <f>IF(tblOrdenes[[#This Row],[puesto_trabajo]]="","",_xlfn.XLOOKUP(tblOrdenes[[#This Row],[puesto_trabajo]],tblPuestos[codigo],tblPuestos[especialidad],"(sin catálogo)"))</f>
        <v/>
      </c>
      <c r="AB72" s="5">
        <f>IF(tblOrdenes[[#This Row],[cod_actividad]]="","",_xlfn.XLOOKUP(tblOrdenes[[#This Row],[cod_actividad]],tblActividades[codigo],tblActividades[descripcion],"(sin catálogo)"))</f>
        <v/>
      </c>
      <c r="AC72" s="20">
        <f>IF(tblOrdenes[[#This Row],[fecha_inicio]]="","",TODAY()-tblOrdenes[[#This Row],[fecha_inicio]])</f>
        <v/>
      </c>
      <c r="AD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" s="5">
        <f>IF(tblOrdenes[[#This Row],[backlog_habiles]]="","",IF(tblOrdenes[[#This Row],[backlog_habiles]]&lt;0,"FUTURO",IF(tblOrdenes[[#This Row],[backlog_habiles]]&gt;p_dias_backlog_max,"BACKLOG","MES CORRIENTE")))</f>
        <v/>
      </c>
      <c r="AF72" s="5">
        <f>IF(tblOrdenes[[#This Row],[backlog_habiles]]="",FALSE,AND(tblOrdenes[[#This Row],[backlog_habiles]]&gt;p_dias_backlog_min,tblOrdenes[[#This Row],[backlog_habiles]]&lt;=p_dias_backlog_max))</f>
        <v/>
      </c>
      <c r="AG72" s="4" t="inlineStr">
        <is>
          <t>Gabriela Rojas</t>
        </is>
      </c>
      <c r="AH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" s="18">
        <f>IF(tblOrdenes[[#This Row],[orden]]="","",_xlfn.XLOOKUP(tblOrdenes[[#This Row],[id_operacion]],tblEjecucion[id_operacion],tblEjecucion[precio],0))</f>
        <v/>
      </c>
      <c r="AL72" s="18">
        <f>IF(tblOrdenes[[#This Row],[orden]]="","",MAX(0,_xlfn.XLOOKUP(tblOrdenes[[#This Row],[id_operacion]],tblEjecucion[id_operacion],tblEjecucion[costo_plan_total],0)-tblOrdenes[[#This Row],[costo_servicio]]))</f>
        <v/>
      </c>
      <c r="AM72" s="18">
        <f>IF(tblOrdenes[[#This Row],[orden]]="","",tblOrdenes[[#This Row],[costo_servicio]]+tblOrdenes[[#This Row],[costo_materiales]])</f>
        <v/>
      </c>
      <c r="AN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" s="4" t="inlineStr"/>
      <c r="AP72" s="4" t="inlineStr"/>
      <c r="AQ72" s="4" t="inlineStr">
        <is>
          <t>ACT-01.pdf</t>
        </is>
      </c>
      <c r="AR72" s="5">
        <f>IF(tblOrdenes[[#This Row],[link_checklist]]="","",HYPERLINK(p_ruta_base_checklists&amp;tblOrdenes[[#This Row],[link_checklist]],"abrir"))</f>
        <v/>
      </c>
      <c r="AS72" s="4" t="inlineStr"/>
      <c r="AT72" s="5">
        <f>IF(tblOrdenes[[#This Row],[orden]]="","",tblOrdenes[[#This Row],[orden]]&amp;IF(tblOrdenes[[#This Row],[operacion]]="","0010",tblOrdenes[[#This Row],[operacion]]))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22" t="n">
        <v>46241</v>
      </c>
      <c r="K73" s="5" t="n">
        <v>8</v>
      </c>
      <c r="L73" s="18" t="n">
        <v>200</v>
      </c>
      <c r="M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5">
        <f>IF(tblOrdenes[[#This Row],[fecha_inicio]]="","",YEAR(tblOrdenes[[#This Row],[fecha_inicio]]))</f>
        <v/>
      </c>
      <c r="Q73" s="5">
        <f>IF(tblOrdenes[[#This Row],[fecha_inicio]]="","",MONTH(tblOrdenes[[#This Row],[fecha_inicio]]))</f>
        <v/>
      </c>
      <c r="R73" s="5">
        <f>IF(tblOrdenes[[#This Row],[fecha_inicio]]="","",tblOrdenes[[#This Row],[anio]]&amp;"-"&amp;TEXT(tblOrdenes[[#This Row],[mes]],"00"))</f>
        <v/>
      </c>
      <c r="S73" s="5">
        <f>IF(tblOrdenes[[#This Row],[fecha_inicio]]="","",INDEX(lista_dias,WEEKDAY(tblOrdenes[[#This Row],[fecha_inicio]],2)))</f>
        <v/>
      </c>
      <c r="T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" s="5">
        <f>IF(tblOrdenes[[#This Row],[tipo_ot]]="","",_xlfn.XLOOKUP(tblOrdenes[[#This Row],[tipo_ot]],tblTiposOT[codigo],tblTiposOT[clasificacion],"sin_clasificar"))</f>
        <v/>
      </c>
      <c r="V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" s="5">
        <f>IF(tblOrdenes[[#This Row],[centro_costo]]="","",_xlfn.XLOOKUP(tblOrdenes[[#This Row],[centro_costo]],tblCECO[codigo],tblCECO[linea],"(sin catálogo)"))</f>
        <v/>
      </c>
      <c r="X73" s="5">
        <f>IF(tblOrdenes[[#This Row],[centro_costo]]="","",_xlfn.XLOOKUP(tblOrdenes[[#This Row],[centro_costo]],tblCECO[codigo],tblCECO[area],"(sin catálogo)"))</f>
        <v/>
      </c>
      <c r="Y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" s="5">
        <f>IF(tblOrdenes[[#This Row],[centro_costo]]="","",_xlfn.XLOOKUP(tblOrdenes[[#This Row],[centro_costo]],tblCECO[codigo],tblCECO[coordinador],"(sin catálogo)"))</f>
        <v/>
      </c>
      <c r="AA73" s="5">
        <f>IF(tblOrdenes[[#This Row],[puesto_trabajo]]="","",_xlfn.XLOOKUP(tblOrdenes[[#This Row],[puesto_trabajo]],tblPuestos[codigo],tblPuestos[especialidad],"(sin catálogo)"))</f>
        <v/>
      </c>
      <c r="AB73" s="5">
        <f>IF(tblOrdenes[[#This Row],[cod_actividad]]="","",_xlfn.XLOOKUP(tblOrdenes[[#This Row],[cod_actividad]],tblActividades[codigo],tblActividades[descripcion],"(sin catálogo)"))</f>
        <v/>
      </c>
      <c r="AC73" s="20">
        <f>IF(tblOrdenes[[#This Row],[fecha_inicio]]="","",TODAY()-tblOrdenes[[#This Row],[fecha_inicio]])</f>
        <v/>
      </c>
      <c r="AD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" s="5">
        <f>IF(tblOrdenes[[#This Row],[backlog_habiles]]="","",IF(tblOrdenes[[#This Row],[backlog_habiles]]&lt;0,"FUTURO",IF(tblOrdenes[[#This Row],[backlog_habiles]]&gt;p_dias_backlog_max,"BACKLOG","MES CORRIENTE")))</f>
        <v/>
      </c>
      <c r="AF73" s="5">
        <f>IF(tblOrdenes[[#This Row],[backlog_habiles]]="",FALSE,AND(tblOrdenes[[#This Row],[backlog_habiles]]&gt;p_dias_backlog_min,tblOrdenes[[#This Row],[backlog_habiles]]&lt;=p_dias_backlog_max))</f>
        <v/>
      </c>
      <c r="AG73" s="4" t="inlineStr">
        <is>
          <t>Fernando Mendoza</t>
        </is>
      </c>
      <c r="AH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" s="18">
        <f>IF(tblOrdenes[[#This Row],[orden]]="","",_xlfn.XLOOKUP(tblOrdenes[[#This Row],[id_operacion]],tblEjecucion[id_operacion],tblEjecucion[precio],0))</f>
        <v/>
      </c>
      <c r="AL73" s="18">
        <f>IF(tblOrdenes[[#This Row],[orden]]="","",MAX(0,_xlfn.XLOOKUP(tblOrdenes[[#This Row],[id_operacion]],tblEjecucion[id_operacion],tblEjecucion[costo_plan_total],0)-tblOrdenes[[#This Row],[costo_servicio]]))</f>
        <v/>
      </c>
      <c r="AM73" s="18">
        <f>IF(tblOrdenes[[#This Row],[orden]]="","",tblOrdenes[[#This Row],[costo_servicio]]+tblOrdenes[[#This Row],[costo_materiales]])</f>
        <v/>
      </c>
      <c r="AN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" s="4" t="inlineStr"/>
      <c r="AP73" s="4" t="inlineStr"/>
      <c r="AQ73" s="4" t="inlineStr">
        <is>
          <t>ACT-02.pdf</t>
        </is>
      </c>
      <c r="AR73" s="5">
        <f>IF(tblOrdenes[[#This Row],[link_checklist]]="","",HYPERLINK(p_ruta_base_checklists&amp;tblOrdenes[[#This Row],[link_checklist]],"abrir"))</f>
        <v/>
      </c>
      <c r="AS73" s="4" t="inlineStr"/>
      <c r="AT73" s="5">
        <f>IF(tblOrdenes[[#This Row],[orden]]="","",tblOrdenes[[#This Row],[orden]]&amp;IF(tblOrdenes[[#This Row],[operacion]]="","0010",tblOrdenes[[#This Row],[operacion]]))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22" t="n">
        <v>46237</v>
      </c>
      <c r="K74" s="5" t="n">
        <v>6</v>
      </c>
      <c r="L74" s="18" t="n">
        <v>150</v>
      </c>
      <c r="M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5">
        <f>IF(tblOrdenes[[#This Row],[fecha_inicio]]="","",YEAR(tblOrdenes[[#This Row],[fecha_inicio]]))</f>
        <v/>
      </c>
      <c r="Q74" s="5">
        <f>IF(tblOrdenes[[#This Row],[fecha_inicio]]="","",MONTH(tblOrdenes[[#This Row],[fecha_inicio]]))</f>
        <v/>
      </c>
      <c r="R74" s="5">
        <f>IF(tblOrdenes[[#This Row],[fecha_inicio]]="","",tblOrdenes[[#This Row],[anio]]&amp;"-"&amp;TEXT(tblOrdenes[[#This Row],[mes]],"00"))</f>
        <v/>
      </c>
      <c r="S74" s="5">
        <f>IF(tblOrdenes[[#This Row],[fecha_inicio]]="","",INDEX(lista_dias,WEEKDAY(tblOrdenes[[#This Row],[fecha_inicio]],2)))</f>
        <v/>
      </c>
      <c r="T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" s="5">
        <f>IF(tblOrdenes[[#This Row],[tipo_ot]]="","",_xlfn.XLOOKUP(tblOrdenes[[#This Row],[tipo_ot]],tblTiposOT[codigo],tblTiposOT[clasificacion],"sin_clasificar"))</f>
        <v/>
      </c>
      <c r="V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" s="5">
        <f>IF(tblOrdenes[[#This Row],[centro_costo]]="","",_xlfn.XLOOKUP(tblOrdenes[[#This Row],[centro_costo]],tblCECO[codigo],tblCECO[linea],"(sin catálogo)"))</f>
        <v/>
      </c>
      <c r="X74" s="5">
        <f>IF(tblOrdenes[[#This Row],[centro_costo]]="","",_xlfn.XLOOKUP(tblOrdenes[[#This Row],[centro_costo]],tblCECO[codigo],tblCECO[area],"(sin catálogo)"))</f>
        <v/>
      </c>
      <c r="Y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" s="5">
        <f>IF(tblOrdenes[[#This Row],[centro_costo]]="","",_xlfn.XLOOKUP(tblOrdenes[[#This Row],[centro_costo]],tblCECO[codigo],tblCECO[coordinador],"(sin catálogo)"))</f>
        <v/>
      </c>
      <c r="AA74" s="5">
        <f>IF(tblOrdenes[[#This Row],[puesto_trabajo]]="","",_xlfn.XLOOKUP(tblOrdenes[[#This Row],[puesto_trabajo]],tblPuestos[codigo],tblPuestos[especialidad],"(sin catálogo)"))</f>
        <v/>
      </c>
      <c r="AB74" s="5">
        <f>IF(tblOrdenes[[#This Row],[cod_actividad]]="","",_xlfn.XLOOKUP(tblOrdenes[[#This Row],[cod_actividad]],tblActividades[codigo],tblActividades[descripcion],"(sin catálogo)"))</f>
        <v/>
      </c>
      <c r="AC74" s="20">
        <f>IF(tblOrdenes[[#This Row],[fecha_inicio]]="","",TODAY()-tblOrdenes[[#This Row],[fecha_inicio]])</f>
        <v/>
      </c>
      <c r="AD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" s="5">
        <f>IF(tblOrdenes[[#This Row],[backlog_habiles]]="","",IF(tblOrdenes[[#This Row],[backlog_habiles]]&lt;0,"FUTURO",IF(tblOrdenes[[#This Row],[backlog_habiles]]&gt;p_dias_backlog_max,"BACKLOG","MES CORRIENTE")))</f>
        <v/>
      </c>
      <c r="AF74" s="5">
        <f>IF(tblOrdenes[[#This Row],[backlog_habiles]]="",FALSE,AND(tblOrdenes[[#This Row],[backlog_habiles]]&gt;p_dias_backlog_min,tblOrdenes[[#This Row],[backlog_habiles]]&lt;=p_dias_backlog_max))</f>
        <v/>
      </c>
      <c r="AG74" s="4" t="inlineStr">
        <is>
          <t>Jorge Díaz</t>
        </is>
      </c>
      <c r="AH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" s="18">
        <f>IF(tblOrdenes[[#This Row],[orden]]="","",_xlfn.XLOOKUP(tblOrdenes[[#This Row],[id_operacion]],tblEjecucion[id_operacion],tblEjecucion[precio],0))</f>
        <v/>
      </c>
      <c r="AL74" s="18">
        <f>IF(tblOrdenes[[#This Row],[orden]]="","",MAX(0,_xlfn.XLOOKUP(tblOrdenes[[#This Row],[id_operacion]],tblEjecucion[id_operacion],tblEjecucion[costo_plan_total],0)-tblOrdenes[[#This Row],[costo_servicio]]))</f>
        <v/>
      </c>
      <c r="AM74" s="18">
        <f>IF(tblOrdenes[[#This Row],[orden]]="","",tblOrdenes[[#This Row],[costo_servicio]]+tblOrdenes[[#This Row],[costo_materiales]])</f>
        <v/>
      </c>
      <c r="AN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" s="4" t="inlineStr"/>
      <c r="AP74" s="4" t="inlineStr"/>
      <c r="AQ74" s="4" t="inlineStr">
        <is>
          <t>ACT-04.pdf</t>
        </is>
      </c>
      <c r="AR74" s="5">
        <f>IF(tblOrdenes[[#This Row],[link_checklist]]="","",HYPERLINK(p_ruta_base_checklists&amp;tblOrdenes[[#This Row],[link_checklist]],"abrir"))</f>
        <v/>
      </c>
      <c r="AS74" s="4" t="inlineStr"/>
      <c r="AT74" s="5">
        <f>IF(tblOrdenes[[#This Row],[orden]]="","",tblOrdenes[[#This Row],[orden]]&amp;IF(tblOrdenes[[#This Row],[operacion]]="","0010",tblOrdenes[[#This Row],[operacion]]))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22" t="n">
        <v>46238</v>
      </c>
      <c r="K75" s="5" t="n">
        <v>10</v>
      </c>
      <c r="L75" s="18" t="n">
        <v>250</v>
      </c>
      <c r="M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5">
        <f>IF(tblOrdenes[[#This Row],[fecha_inicio]]="","",YEAR(tblOrdenes[[#This Row],[fecha_inicio]]))</f>
        <v/>
      </c>
      <c r="Q75" s="5">
        <f>IF(tblOrdenes[[#This Row],[fecha_inicio]]="","",MONTH(tblOrdenes[[#This Row],[fecha_inicio]]))</f>
        <v/>
      </c>
      <c r="R75" s="5">
        <f>IF(tblOrdenes[[#This Row],[fecha_inicio]]="","",tblOrdenes[[#This Row],[anio]]&amp;"-"&amp;TEXT(tblOrdenes[[#This Row],[mes]],"00"))</f>
        <v/>
      </c>
      <c r="S75" s="5">
        <f>IF(tblOrdenes[[#This Row],[fecha_inicio]]="","",INDEX(lista_dias,WEEKDAY(tblOrdenes[[#This Row],[fecha_inicio]],2)))</f>
        <v/>
      </c>
      <c r="T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" s="5">
        <f>IF(tblOrdenes[[#This Row],[tipo_ot]]="","",_xlfn.XLOOKUP(tblOrdenes[[#This Row],[tipo_ot]],tblTiposOT[codigo],tblTiposOT[clasificacion],"sin_clasificar"))</f>
        <v/>
      </c>
      <c r="V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" s="5">
        <f>IF(tblOrdenes[[#This Row],[centro_costo]]="","",_xlfn.XLOOKUP(tblOrdenes[[#This Row],[centro_costo]],tblCECO[codigo],tblCECO[linea],"(sin catálogo)"))</f>
        <v/>
      </c>
      <c r="X75" s="5">
        <f>IF(tblOrdenes[[#This Row],[centro_costo]]="","",_xlfn.XLOOKUP(tblOrdenes[[#This Row],[centro_costo]],tblCECO[codigo],tblCECO[area],"(sin catálogo)"))</f>
        <v/>
      </c>
      <c r="Y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" s="5">
        <f>IF(tblOrdenes[[#This Row],[centro_costo]]="","",_xlfn.XLOOKUP(tblOrdenes[[#This Row],[centro_costo]],tblCECO[codigo],tblCECO[coordinador],"(sin catálogo)"))</f>
        <v/>
      </c>
      <c r="AA75" s="5">
        <f>IF(tblOrdenes[[#This Row],[puesto_trabajo]]="","",_xlfn.XLOOKUP(tblOrdenes[[#This Row],[puesto_trabajo]],tblPuestos[codigo],tblPuestos[especialidad],"(sin catálogo)"))</f>
        <v/>
      </c>
      <c r="AB75" s="5">
        <f>IF(tblOrdenes[[#This Row],[cod_actividad]]="","",_xlfn.XLOOKUP(tblOrdenes[[#This Row],[cod_actividad]],tblActividades[codigo],tblActividades[descripcion],"(sin catálogo)"))</f>
        <v/>
      </c>
      <c r="AC75" s="20">
        <f>IF(tblOrdenes[[#This Row],[fecha_inicio]]="","",TODAY()-tblOrdenes[[#This Row],[fecha_inicio]])</f>
        <v/>
      </c>
      <c r="AD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" s="5">
        <f>IF(tblOrdenes[[#This Row],[backlog_habiles]]="","",IF(tblOrdenes[[#This Row],[backlog_habiles]]&lt;0,"FUTURO",IF(tblOrdenes[[#This Row],[backlog_habiles]]&gt;p_dias_backlog_max,"BACKLOG","MES CORRIENTE")))</f>
        <v/>
      </c>
      <c r="AF75" s="5">
        <f>IF(tblOrdenes[[#This Row],[backlog_habiles]]="",FALSE,AND(tblOrdenes[[#This Row],[backlog_habiles]]&gt;p_dias_backlog_min,tblOrdenes[[#This Row],[backlog_habiles]]&lt;=p_dias_backlog_max))</f>
        <v/>
      </c>
      <c r="AG75" s="4" t="inlineStr"/>
      <c r="AH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" s="18">
        <f>IF(tblOrdenes[[#This Row],[orden]]="","",_xlfn.XLOOKUP(tblOrdenes[[#This Row],[id_operacion]],tblEjecucion[id_operacion],tblEjecucion[precio],0))</f>
        <v/>
      </c>
      <c r="AL75" s="18">
        <f>IF(tblOrdenes[[#This Row],[orden]]="","",MAX(0,_xlfn.XLOOKUP(tblOrdenes[[#This Row],[id_operacion]],tblEjecucion[id_operacion],tblEjecucion[costo_plan_total],0)-tblOrdenes[[#This Row],[costo_servicio]]))</f>
        <v/>
      </c>
      <c r="AM75" s="18">
        <f>IF(tblOrdenes[[#This Row],[orden]]="","",tblOrdenes[[#This Row],[costo_servicio]]+tblOrdenes[[#This Row],[costo_materiales]])</f>
        <v/>
      </c>
      <c r="AN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" s="4" t="inlineStr"/>
      <c r="AP75" s="4" t="inlineStr"/>
      <c r="AQ75" s="4" t="inlineStr">
        <is>
          <t>ACT-01.pdf</t>
        </is>
      </c>
      <c r="AR75" s="5">
        <f>IF(tblOrdenes[[#This Row],[link_checklist]]="","",HYPERLINK(p_ruta_base_checklists&amp;tblOrdenes[[#This Row],[link_checklist]],"abrir"))</f>
        <v/>
      </c>
      <c r="AS75" s="4" t="inlineStr"/>
      <c r="AT75" s="5">
        <f>IF(tblOrdenes[[#This Row],[orden]]="","",tblOrdenes[[#This Row],[orden]]&amp;IF(tblOrdenes[[#This Row],[operacion]]="","0010",tblOrdenes[[#This Row],[operacion]]))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TIPO-P1</t>
        </is>
      </c>
      <c r="J76" s="22" t="n">
        <v>46239</v>
      </c>
      <c r="K76" s="5" t="n">
        <v>8</v>
      </c>
      <c r="L76" s="18" t="n">
        <v>200</v>
      </c>
      <c r="M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5">
        <f>IF(tblOrdenes[[#This Row],[fecha_inicio]]="","",YEAR(tblOrdenes[[#This Row],[fecha_inicio]]))</f>
        <v/>
      </c>
      <c r="Q76" s="5">
        <f>IF(tblOrdenes[[#This Row],[fecha_inicio]]="","",MONTH(tblOrdenes[[#This Row],[fecha_inicio]]))</f>
        <v/>
      </c>
      <c r="R76" s="5">
        <f>IF(tblOrdenes[[#This Row],[fecha_inicio]]="","",tblOrdenes[[#This Row],[anio]]&amp;"-"&amp;TEXT(tblOrdenes[[#This Row],[mes]],"00"))</f>
        <v/>
      </c>
      <c r="S76" s="5">
        <f>IF(tblOrdenes[[#This Row],[fecha_inicio]]="","",INDEX(lista_dias,WEEKDAY(tblOrdenes[[#This Row],[fecha_inicio]],2)))</f>
        <v/>
      </c>
      <c r="T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" s="5">
        <f>IF(tblOrdenes[[#This Row],[tipo_ot]]="","",_xlfn.XLOOKUP(tblOrdenes[[#This Row],[tipo_ot]],tblTiposOT[codigo],tblTiposOT[clasificacion],"sin_clasificar"))</f>
        <v/>
      </c>
      <c r="V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" s="5">
        <f>IF(tblOrdenes[[#This Row],[centro_costo]]="","",_xlfn.XLOOKUP(tblOrdenes[[#This Row],[centro_costo]],tblCECO[codigo],tblCECO[linea],"(sin catálogo)"))</f>
        <v/>
      </c>
      <c r="X76" s="5">
        <f>IF(tblOrdenes[[#This Row],[centro_costo]]="","",_xlfn.XLOOKUP(tblOrdenes[[#This Row],[centro_costo]],tblCECO[codigo],tblCECO[area],"(sin catálogo)"))</f>
        <v/>
      </c>
      <c r="Y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" s="5">
        <f>IF(tblOrdenes[[#This Row],[centro_costo]]="","",_xlfn.XLOOKUP(tblOrdenes[[#This Row],[centro_costo]],tblCECO[codigo],tblCECO[coordinador],"(sin catálogo)"))</f>
        <v/>
      </c>
      <c r="AA76" s="5">
        <f>IF(tblOrdenes[[#This Row],[puesto_trabajo]]="","",_xlfn.XLOOKUP(tblOrdenes[[#This Row],[puesto_trabajo]],tblPuestos[codigo],tblPuestos[especialidad],"(sin catálogo)"))</f>
        <v/>
      </c>
      <c r="AB76" s="5">
        <f>IF(tblOrdenes[[#This Row],[cod_actividad]]="","",_xlfn.XLOOKUP(tblOrdenes[[#This Row],[cod_actividad]],tblActividades[codigo],tblActividades[descripcion],"(sin catálogo)"))</f>
        <v/>
      </c>
      <c r="AC76" s="20">
        <f>IF(tblOrdenes[[#This Row],[fecha_inicio]]="","",TODAY()-tblOrdenes[[#This Row],[fecha_inicio]])</f>
        <v/>
      </c>
      <c r="AD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" s="5">
        <f>IF(tblOrdenes[[#This Row],[backlog_habiles]]="","",IF(tblOrdenes[[#This Row],[backlog_habiles]]&lt;0,"FUTURO",IF(tblOrdenes[[#This Row],[backlog_habiles]]&gt;p_dias_backlog_max,"BACKLOG","MES CORRIENTE")))</f>
        <v/>
      </c>
      <c r="AF76" s="5">
        <f>IF(tblOrdenes[[#This Row],[backlog_habiles]]="",FALSE,AND(tblOrdenes[[#This Row],[backlog_habiles]]&gt;p_dias_backlog_min,tblOrdenes[[#This Row],[backlog_habiles]]&lt;=p_dias_backlog_max))</f>
        <v/>
      </c>
      <c r="AG76" s="4" t="inlineStr">
        <is>
          <t>Laura Morales</t>
        </is>
      </c>
      <c r="AH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" s="18">
        <f>IF(tblOrdenes[[#This Row],[orden]]="","",_xlfn.XLOOKUP(tblOrdenes[[#This Row],[id_operacion]],tblEjecucion[id_operacion],tblEjecucion[precio],0))</f>
        <v/>
      </c>
      <c r="AL76" s="18">
        <f>IF(tblOrdenes[[#This Row],[orden]]="","",MAX(0,_xlfn.XLOOKUP(tblOrdenes[[#This Row],[id_operacion]],tblEjecucion[id_operacion],tblEjecucion[costo_plan_total],0)-tblOrdenes[[#This Row],[costo_servicio]]))</f>
        <v/>
      </c>
      <c r="AM76" s="18">
        <f>IF(tblOrdenes[[#This Row],[orden]]="","",tblOrdenes[[#This Row],[costo_servicio]]+tblOrdenes[[#This Row],[costo_materiales]])</f>
        <v/>
      </c>
      <c r="AN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" s="4" t="inlineStr"/>
      <c r="AP76" s="4" t="inlineStr"/>
      <c r="AQ76" s="4" t="inlineStr">
        <is>
          <t>ACT-02.pdf</t>
        </is>
      </c>
      <c r="AR76" s="5">
        <f>IF(tblOrdenes[[#This Row],[link_checklist]]="","",HYPERLINK(p_ruta_base_checklists&amp;tblOrdenes[[#This Row],[link_checklist]],"abrir"))</f>
        <v/>
      </c>
      <c r="AS76" s="4" t="inlineStr"/>
      <c r="AT76" s="5">
        <f>IF(tblOrdenes[[#This Row],[orden]]="","",tblOrdenes[[#This Row],[orden]]&amp;IF(tblOrdenes[[#This Row],[operacion]]="","0010",tblOrdenes[[#This Row],[operacion]]))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TIPO-P2</t>
        </is>
      </c>
      <c r="J77" s="22" t="n">
        <v>46240</v>
      </c>
      <c r="K77" s="5" t="n">
        <v>6</v>
      </c>
      <c r="L77" s="18" t="n">
        <v>150</v>
      </c>
      <c r="M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5">
        <f>IF(tblOrdenes[[#This Row],[fecha_inicio]]="","",YEAR(tblOrdenes[[#This Row],[fecha_inicio]]))</f>
        <v/>
      </c>
      <c r="Q77" s="5">
        <f>IF(tblOrdenes[[#This Row],[fecha_inicio]]="","",MONTH(tblOrdenes[[#This Row],[fecha_inicio]]))</f>
        <v/>
      </c>
      <c r="R77" s="5">
        <f>IF(tblOrdenes[[#This Row],[fecha_inicio]]="","",tblOrdenes[[#This Row],[anio]]&amp;"-"&amp;TEXT(tblOrdenes[[#This Row],[mes]],"00"))</f>
        <v/>
      </c>
      <c r="S77" s="5">
        <f>IF(tblOrdenes[[#This Row],[fecha_inicio]]="","",INDEX(lista_dias,WEEKDAY(tblOrdenes[[#This Row],[fecha_inicio]],2)))</f>
        <v/>
      </c>
      <c r="T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" s="5">
        <f>IF(tblOrdenes[[#This Row],[tipo_ot]]="","",_xlfn.XLOOKUP(tblOrdenes[[#This Row],[tipo_ot]],tblTiposOT[codigo],tblTiposOT[clasificacion],"sin_clasificar"))</f>
        <v/>
      </c>
      <c r="V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" s="5">
        <f>IF(tblOrdenes[[#This Row],[centro_costo]]="","",_xlfn.XLOOKUP(tblOrdenes[[#This Row],[centro_costo]],tblCECO[codigo],tblCECO[linea],"(sin catálogo)"))</f>
        <v/>
      </c>
      <c r="X77" s="5">
        <f>IF(tblOrdenes[[#This Row],[centro_costo]]="","",_xlfn.XLOOKUP(tblOrdenes[[#This Row],[centro_costo]],tblCECO[codigo],tblCECO[area],"(sin catálogo)"))</f>
        <v/>
      </c>
      <c r="Y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" s="5">
        <f>IF(tblOrdenes[[#This Row],[centro_costo]]="","",_xlfn.XLOOKUP(tblOrdenes[[#This Row],[centro_costo]],tblCECO[codigo],tblCECO[coordinador],"(sin catálogo)"))</f>
        <v/>
      </c>
      <c r="AA77" s="5">
        <f>IF(tblOrdenes[[#This Row],[puesto_trabajo]]="","",_xlfn.XLOOKUP(tblOrdenes[[#This Row],[puesto_trabajo]],tblPuestos[codigo],tblPuestos[especialidad],"(sin catálogo)"))</f>
        <v/>
      </c>
      <c r="AB77" s="5">
        <f>IF(tblOrdenes[[#This Row],[cod_actividad]]="","",_xlfn.XLOOKUP(tblOrdenes[[#This Row],[cod_actividad]],tblActividades[codigo],tblActividades[descripcion],"(sin catálogo)"))</f>
        <v/>
      </c>
      <c r="AC77" s="20">
        <f>IF(tblOrdenes[[#This Row],[fecha_inicio]]="","",TODAY()-tblOrdenes[[#This Row],[fecha_inicio]])</f>
        <v/>
      </c>
      <c r="AD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" s="5">
        <f>IF(tblOrdenes[[#This Row],[backlog_habiles]]="","",IF(tblOrdenes[[#This Row],[backlog_habiles]]&lt;0,"FUTURO",IF(tblOrdenes[[#This Row],[backlog_habiles]]&gt;p_dias_backlog_max,"BACKLOG","MES CORRIENTE")))</f>
        <v/>
      </c>
      <c r="AF77" s="5">
        <f>IF(tblOrdenes[[#This Row],[backlog_habiles]]="",FALSE,AND(tblOrdenes[[#This Row],[backlog_habiles]]&gt;p_dias_backlog_min,tblOrdenes[[#This Row],[backlog_habiles]]&lt;=p_dias_backlog_max))</f>
        <v/>
      </c>
      <c r="AG77" s="4" t="inlineStr">
        <is>
          <t>Ricardo Ortiz</t>
        </is>
      </c>
      <c r="AH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" s="18">
        <f>IF(tblOrdenes[[#This Row],[orden]]="","",_xlfn.XLOOKUP(tblOrdenes[[#This Row],[id_operacion]],tblEjecucion[id_operacion],tblEjecucion[precio],0))</f>
        <v/>
      </c>
      <c r="AL77" s="18">
        <f>IF(tblOrdenes[[#This Row],[orden]]="","",MAX(0,_xlfn.XLOOKUP(tblOrdenes[[#This Row],[id_operacion]],tblEjecucion[id_operacion],tblEjecucion[costo_plan_total],0)-tblOrdenes[[#This Row],[costo_servicio]]))</f>
        <v/>
      </c>
      <c r="AM77" s="18">
        <f>IF(tblOrdenes[[#This Row],[orden]]="","",tblOrdenes[[#This Row],[costo_servicio]]+tblOrdenes[[#This Row],[costo_materiales]])</f>
        <v/>
      </c>
      <c r="AN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" s="4" t="inlineStr"/>
      <c r="AP77" s="4" t="inlineStr"/>
      <c r="AQ77" s="4" t="inlineStr">
        <is>
          <t>ACT-04.pdf</t>
        </is>
      </c>
      <c r="AR77" s="5">
        <f>IF(tblOrdenes[[#This Row],[link_checklist]]="","",HYPERLINK(p_ruta_base_checklists&amp;tblOrdenes[[#This Row],[link_checklist]],"abrir"))</f>
        <v/>
      </c>
      <c r="AS77" s="4" t="inlineStr"/>
      <c r="AT77" s="5">
        <f>IF(tblOrdenes[[#This Row],[orden]]="","",tblOrdenes[[#This Row],[orden]]&amp;IF(tblOrdenes[[#This Row],[operacion]]="","0010",tblOrdenes[[#This Row],[operacion]]))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TIPO-P1</t>
        </is>
      </c>
      <c r="J78" s="22" t="n">
        <v>46241</v>
      </c>
      <c r="K78" s="5" t="n">
        <v>10</v>
      </c>
      <c r="L78" s="18" t="n">
        <v>250</v>
      </c>
      <c r="M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5">
        <f>IF(tblOrdenes[[#This Row],[fecha_inicio]]="","",YEAR(tblOrdenes[[#This Row],[fecha_inicio]]))</f>
        <v/>
      </c>
      <c r="Q78" s="5">
        <f>IF(tblOrdenes[[#This Row],[fecha_inicio]]="","",MONTH(tblOrdenes[[#This Row],[fecha_inicio]]))</f>
        <v/>
      </c>
      <c r="R78" s="5">
        <f>IF(tblOrdenes[[#This Row],[fecha_inicio]]="","",tblOrdenes[[#This Row],[anio]]&amp;"-"&amp;TEXT(tblOrdenes[[#This Row],[mes]],"00"))</f>
        <v/>
      </c>
      <c r="S78" s="5">
        <f>IF(tblOrdenes[[#This Row],[fecha_inicio]]="","",INDEX(lista_dias,WEEKDAY(tblOrdenes[[#This Row],[fecha_inicio]],2)))</f>
        <v/>
      </c>
      <c r="T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" s="5">
        <f>IF(tblOrdenes[[#This Row],[tipo_ot]]="","",_xlfn.XLOOKUP(tblOrdenes[[#This Row],[tipo_ot]],tblTiposOT[codigo],tblTiposOT[clasificacion],"sin_clasificar"))</f>
        <v/>
      </c>
      <c r="V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" s="5">
        <f>IF(tblOrdenes[[#This Row],[centro_costo]]="","",_xlfn.XLOOKUP(tblOrdenes[[#This Row],[centro_costo]],tblCECO[codigo],tblCECO[linea],"(sin catálogo)"))</f>
        <v/>
      </c>
      <c r="X78" s="5">
        <f>IF(tblOrdenes[[#This Row],[centro_costo]]="","",_xlfn.XLOOKUP(tblOrdenes[[#This Row],[centro_costo]],tblCECO[codigo],tblCECO[area],"(sin catálogo)"))</f>
        <v/>
      </c>
      <c r="Y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" s="5">
        <f>IF(tblOrdenes[[#This Row],[centro_costo]]="","",_xlfn.XLOOKUP(tblOrdenes[[#This Row],[centro_costo]],tblCECO[codigo],tblCECO[coordinador],"(sin catálogo)"))</f>
        <v/>
      </c>
      <c r="AA78" s="5">
        <f>IF(tblOrdenes[[#This Row],[puesto_trabajo]]="","",_xlfn.XLOOKUP(tblOrdenes[[#This Row],[puesto_trabajo]],tblPuestos[codigo],tblPuestos[especialidad],"(sin catálogo)"))</f>
        <v/>
      </c>
      <c r="AB78" s="5">
        <f>IF(tblOrdenes[[#This Row],[cod_actividad]]="","",_xlfn.XLOOKUP(tblOrdenes[[#This Row],[cod_actividad]],tblActividades[codigo],tblActividades[descripcion],"(sin catálogo)"))</f>
        <v/>
      </c>
      <c r="AC78" s="20">
        <f>IF(tblOrdenes[[#This Row],[fecha_inicio]]="","",TODAY()-tblOrdenes[[#This Row],[fecha_inicio]])</f>
        <v/>
      </c>
      <c r="AD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" s="5">
        <f>IF(tblOrdenes[[#This Row],[backlog_habiles]]="","",IF(tblOrdenes[[#This Row],[backlog_habiles]]&lt;0,"FUTURO",IF(tblOrdenes[[#This Row],[backlog_habiles]]&gt;p_dias_backlog_max,"BACKLOG","MES CORRIENTE")))</f>
        <v/>
      </c>
      <c r="AF78" s="5">
        <f>IF(tblOrdenes[[#This Row],[backlog_habiles]]="",FALSE,AND(tblOrdenes[[#This Row],[backlog_habiles]]&gt;p_dias_backlog_min,tblOrdenes[[#This Row],[backlog_habiles]]&lt;=p_dias_backlog_max))</f>
        <v/>
      </c>
      <c r="AG78" s="4" t="inlineStr">
        <is>
          <t>Eduardo Silva</t>
        </is>
      </c>
      <c r="AH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" s="18">
        <f>IF(tblOrdenes[[#This Row],[orden]]="","",_xlfn.XLOOKUP(tblOrdenes[[#This Row],[id_operacion]],tblEjecucion[id_operacion],tblEjecucion[precio],0))</f>
        <v/>
      </c>
      <c r="AL78" s="18">
        <f>IF(tblOrdenes[[#This Row],[orden]]="","",MAX(0,_xlfn.XLOOKUP(tblOrdenes[[#This Row],[id_operacion]],tblEjecucion[id_operacion],tblEjecucion[costo_plan_total],0)-tblOrdenes[[#This Row],[costo_servicio]]))</f>
        <v/>
      </c>
      <c r="AM78" s="18">
        <f>IF(tblOrdenes[[#This Row],[orden]]="","",tblOrdenes[[#This Row],[costo_servicio]]+tblOrdenes[[#This Row],[costo_materiales]])</f>
        <v/>
      </c>
      <c r="AN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" s="4" t="inlineStr"/>
      <c r="AP78" s="4" t="inlineStr"/>
      <c r="AQ78" s="4" t="inlineStr">
        <is>
          <t>ACT-01.pdf</t>
        </is>
      </c>
      <c r="AR78" s="5">
        <f>IF(tblOrdenes[[#This Row],[link_checklist]]="","",HYPERLINK(p_ruta_base_checklists&amp;tblOrdenes[[#This Row],[link_checklist]],"abrir"))</f>
        <v/>
      </c>
      <c r="AS78" s="4" t="inlineStr"/>
      <c r="AT78" s="5">
        <f>IF(tblOrdenes[[#This Row],[orden]]="","",tblOrdenes[[#This Row],[orden]]&amp;IF(tblOrdenes[[#This Row],[operacion]]="","0010",tblOrdenes[[#This Row],[operacion]]))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22" t="n">
        <v>46237</v>
      </c>
      <c r="K79" s="5" t="n">
        <v>2</v>
      </c>
      <c r="L79" s="18" t="n">
        <v>50</v>
      </c>
      <c r="M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5">
        <f>IF(tblOrdenes[[#This Row],[fecha_inicio]]="","",YEAR(tblOrdenes[[#This Row],[fecha_inicio]]))</f>
        <v/>
      </c>
      <c r="Q79" s="5">
        <f>IF(tblOrdenes[[#This Row],[fecha_inicio]]="","",MONTH(tblOrdenes[[#This Row],[fecha_inicio]]))</f>
        <v/>
      </c>
      <c r="R79" s="5">
        <f>IF(tblOrdenes[[#This Row],[fecha_inicio]]="","",tblOrdenes[[#This Row],[anio]]&amp;"-"&amp;TEXT(tblOrdenes[[#This Row],[mes]],"00"))</f>
        <v/>
      </c>
      <c r="S79" s="5">
        <f>IF(tblOrdenes[[#This Row],[fecha_inicio]]="","",INDEX(lista_dias,WEEKDAY(tblOrdenes[[#This Row],[fecha_inicio]],2)))</f>
        <v/>
      </c>
      <c r="T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" s="5">
        <f>IF(tblOrdenes[[#This Row],[tipo_ot]]="","",_xlfn.XLOOKUP(tblOrdenes[[#This Row],[tipo_ot]],tblTiposOT[codigo],tblTiposOT[clasificacion],"sin_clasificar"))</f>
        <v/>
      </c>
      <c r="V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" s="5">
        <f>IF(tblOrdenes[[#This Row],[centro_costo]]="","",_xlfn.XLOOKUP(tblOrdenes[[#This Row],[centro_costo]],tblCECO[codigo],tblCECO[linea],"(sin catálogo)"))</f>
        <v/>
      </c>
      <c r="X79" s="5">
        <f>IF(tblOrdenes[[#This Row],[centro_costo]]="","",_xlfn.XLOOKUP(tblOrdenes[[#This Row],[centro_costo]],tblCECO[codigo],tblCECO[area],"(sin catálogo)"))</f>
        <v/>
      </c>
      <c r="Y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" s="5">
        <f>IF(tblOrdenes[[#This Row],[centro_costo]]="","",_xlfn.XLOOKUP(tblOrdenes[[#This Row],[centro_costo]],tblCECO[codigo],tblCECO[coordinador],"(sin catálogo)"))</f>
        <v/>
      </c>
      <c r="AA79" s="5">
        <f>IF(tblOrdenes[[#This Row],[puesto_trabajo]]="","",_xlfn.XLOOKUP(tblOrdenes[[#This Row],[puesto_trabajo]],tblPuestos[codigo],tblPuestos[especialidad],"(sin catálogo)"))</f>
        <v/>
      </c>
      <c r="AB79" s="5">
        <f>IF(tblOrdenes[[#This Row],[cod_actividad]]="","",_xlfn.XLOOKUP(tblOrdenes[[#This Row],[cod_actividad]],tblActividades[codigo],tblActividades[descripcion],"(sin catálogo)"))</f>
        <v/>
      </c>
      <c r="AC79" s="20">
        <f>IF(tblOrdenes[[#This Row],[fecha_inicio]]="","",TODAY()-tblOrdenes[[#This Row],[fecha_inicio]])</f>
        <v/>
      </c>
      <c r="AD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" s="5">
        <f>IF(tblOrdenes[[#This Row],[backlog_habiles]]="","",IF(tblOrdenes[[#This Row],[backlog_habiles]]&lt;0,"FUTURO",IF(tblOrdenes[[#This Row],[backlog_habiles]]&gt;p_dias_backlog_max,"BACKLOG","MES CORRIENTE")))</f>
        <v/>
      </c>
      <c r="AF79" s="5">
        <f>IF(tblOrdenes[[#This Row],[backlog_habiles]]="",FALSE,AND(tblOrdenes[[#This Row],[backlog_habiles]]&gt;p_dias_backlog_min,tblOrdenes[[#This Row],[backlog_habiles]]&lt;=p_dias_backlog_max))</f>
        <v/>
      </c>
      <c r="AG79" s="4" t="inlineStr">
        <is>
          <t>Gabriela Rojas</t>
        </is>
      </c>
      <c r="AH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" s="18">
        <f>IF(tblOrdenes[[#This Row],[orden]]="","",_xlfn.XLOOKUP(tblOrdenes[[#This Row],[id_operacion]],tblEjecucion[id_operacion],tblEjecucion[precio],0))</f>
        <v/>
      </c>
      <c r="AL79" s="18">
        <f>IF(tblOrdenes[[#This Row],[orden]]="","",MAX(0,_xlfn.XLOOKUP(tblOrdenes[[#This Row],[id_operacion]],tblEjecucion[id_operacion],tblEjecucion[costo_plan_total],0)-tblOrdenes[[#This Row],[costo_servicio]]))</f>
        <v/>
      </c>
      <c r="AM79" s="18">
        <f>IF(tblOrdenes[[#This Row],[orden]]="","",tblOrdenes[[#This Row],[costo_servicio]]+tblOrdenes[[#This Row],[costo_materiales]])</f>
        <v/>
      </c>
      <c r="AN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" s="4" t="inlineStr"/>
      <c r="AP79" s="4" t="inlineStr"/>
      <c r="AQ79" s="4" t="inlineStr">
        <is>
          <t>ACT-02.pdf</t>
        </is>
      </c>
      <c r="AR79" s="5">
        <f>IF(tblOrdenes[[#This Row],[link_checklist]]="","",HYPERLINK(p_ruta_base_checklists&amp;tblOrdenes[[#This Row],[link_checklist]],"abrir"))</f>
        <v/>
      </c>
      <c r="AS79" s="4" t="inlineStr"/>
      <c r="AT79" s="5">
        <f>IF(tblOrdenes[[#This Row],[orden]]="","",tblOrdenes[[#This Row],[orden]]&amp;IF(tblOrdenes[[#This Row],[operacion]]="","0010",tblOrdenes[[#This Row],[operacion]]))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22" t="n">
        <v>46238</v>
      </c>
      <c r="K80" s="5" t="n">
        <v>10</v>
      </c>
      <c r="L80" s="18" t="n">
        <v>400</v>
      </c>
      <c r="M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5">
        <f>IF(tblOrdenes[[#This Row],[fecha_inicio]]="","",YEAR(tblOrdenes[[#This Row],[fecha_inicio]]))</f>
        <v/>
      </c>
      <c r="Q80" s="5">
        <f>IF(tblOrdenes[[#This Row],[fecha_inicio]]="","",MONTH(tblOrdenes[[#This Row],[fecha_inicio]]))</f>
        <v/>
      </c>
      <c r="R80" s="5">
        <f>IF(tblOrdenes[[#This Row],[fecha_inicio]]="","",tblOrdenes[[#This Row],[anio]]&amp;"-"&amp;TEXT(tblOrdenes[[#This Row],[mes]],"00"))</f>
        <v/>
      </c>
      <c r="S80" s="5">
        <f>IF(tblOrdenes[[#This Row],[fecha_inicio]]="","",INDEX(lista_dias,WEEKDAY(tblOrdenes[[#This Row],[fecha_inicio]],2)))</f>
        <v/>
      </c>
      <c r="T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" s="5">
        <f>IF(tblOrdenes[[#This Row],[tipo_ot]]="","",_xlfn.XLOOKUP(tblOrdenes[[#This Row],[tipo_ot]],tblTiposOT[codigo],tblTiposOT[clasificacion],"sin_clasificar"))</f>
        <v/>
      </c>
      <c r="V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" s="5">
        <f>IF(tblOrdenes[[#This Row],[centro_costo]]="","",_xlfn.XLOOKUP(tblOrdenes[[#This Row],[centro_costo]],tblCECO[codigo],tblCECO[linea],"(sin catálogo)"))</f>
        <v/>
      </c>
      <c r="X80" s="5">
        <f>IF(tblOrdenes[[#This Row],[centro_costo]]="","",_xlfn.XLOOKUP(tblOrdenes[[#This Row],[centro_costo]],tblCECO[codigo],tblCECO[area],"(sin catálogo)"))</f>
        <v/>
      </c>
      <c r="Y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" s="5">
        <f>IF(tblOrdenes[[#This Row],[centro_costo]]="","",_xlfn.XLOOKUP(tblOrdenes[[#This Row],[centro_costo]],tblCECO[codigo],tblCECO[coordinador],"(sin catálogo)"))</f>
        <v/>
      </c>
      <c r="AA80" s="5">
        <f>IF(tblOrdenes[[#This Row],[puesto_trabajo]]="","",_xlfn.XLOOKUP(tblOrdenes[[#This Row],[puesto_trabajo]],tblPuestos[codigo],tblPuestos[especialidad],"(sin catálogo)"))</f>
        <v/>
      </c>
      <c r="AB80" s="5">
        <f>IF(tblOrdenes[[#This Row],[cod_actividad]]="","",_xlfn.XLOOKUP(tblOrdenes[[#This Row],[cod_actividad]],tblActividades[codigo],tblActividades[descripcion],"(sin catálogo)"))</f>
        <v/>
      </c>
      <c r="AC80" s="20">
        <f>IF(tblOrdenes[[#This Row],[fecha_inicio]]="","",TODAY()-tblOrdenes[[#This Row],[fecha_inicio]])</f>
        <v/>
      </c>
      <c r="AD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" s="5">
        <f>IF(tblOrdenes[[#This Row],[backlog_habiles]]="","",IF(tblOrdenes[[#This Row],[backlog_habiles]]&lt;0,"FUTURO",IF(tblOrdenes[[#This Row],[backlog_habiles]]&gt;p_dias_backlog_max,"BACKLOG","MES CORRIENTE")))</f>
        <v/>
      </c>
      <c r="AF80" s="5">
        <f>IF(tblOrdenes[[#This Row],[backlog_habiles]]="",FALSE,AND(tblOrdenes[[#This Row],[backlog_habiles]]&gt;p_dias_backlog_min,tblOrdenes[[#This Row],[backlog_habiles]]&lt;=p_dias_backlog_max))</f>
        <v/>
      </c>
      <c r="AG80" s="4" t="inlineStr">
        <is>
          <t>Fernando Mendoza</t>
        </is>
      </c>
      <c r="AH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" s="18">
        <f>IF(tblOrdenes[[#This Row],[orden]]="","",_xlfn.XLOOKUP(tblOrdenes[[#This Row],[id_operacion]],tblEjecucion[id_operacion],tblEjecucion[precio],0))</f>
        <v/>
      </c>
      <c r="AL80" s="18">
        <f>IF(tblOrdenes[[#This Row],[orden]]="","",MAX(0,_xlfn.XLOOKUP(tblOrdenes[[#This Row],[id_operacion]],tblEjecucion[id_operacion],tblEjecucion[costo_plan_total],0)-tblOrdenes[[#This Row],[costo_servicio]]))</f>
        <v/>
      </c>
      <c r="AM80" s="18">
        <f>IF(tblOrdenes[[#This Row],[orden]]="","",tblOrdenes[[#This Row],[costo_servicio]]+tblOrdenes[[#This Row],[costo_materiales]])</f>
        <v/>
      </c>
      <c r="AN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" s="4" t="inlineStr"/>
      <c r="AP80" s="4" t="inlineStr"/>
      <c r="AQ80" s="4" t="inlineStr"/>
      <c r="AR80" s="5">
        <f>IF(tblOrdenes[[#This Row],[link_checklist]]="","",HYPERLINK(p_ruta_base_checklists&amp;tblOrdenes[[#This Row],[link_checklist]],"abrir"))</f>
        <v/>
      </c>
      <c r="AS80" s="4" t="inlineStr"/>
      <c r="AT80" s="5">
        <f>IF(tblOrdenes[[#This Row],[orden]]="","",tblOrdenes[[#This Row],[orden]]&amp;IF(tblOrdenes[[#This Row],[operacion]]="","0010",tblOrdenes[[#This Row],[operacion]]))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22" t="n">
        <v>46246</v>
      </c>
      <c r="K81" s="5" t="n">
        <v>10</v>
      </c>
      <c r="L81" s="18" t="n">
        <v>250</v>
      </c>
      <c r="M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5">
        <f>IF(tblOrdenes[[#This Row],[fecha_inicio]]="","",YEAR(tblOrdenes[[#This Row],[fecha_inicio]]))</f>
        <v/>
      </c>
      <c r="Q81" s="5">
        <f>IF(tblOrdenes[[#This Row],[fecha_inicio]]="","",MONTH(tblOrdenes[[#This Row],[fecha_inicio]]))</f>
        <v/>
      </c>
      <c r="R81" s="5">
        <f>IF(tblOrdenes[[#This Row],[fecha_inicio]]="","",tblOrdenes[[#This Row],[anio]]&amp;"-"&amp;TEXT(tblOrdenes[[#This Row],[mes]],"00"))</f>
        <v/>
      </c>
      <c r="S81" s="5">
        <f>IF(tblOrdenes[[#This Row],[fecha_inicio]]="","",INDEX(lista_dias,WEEKDAY(tblOrdenes[[#This Row],[fecha_inicio]],2)))</f>
        <v/>
      </c>
      <c r="T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" s="5">
        <f>IF(tblOrdenes[[#This Row],[tipo_ot]]="","",_xlfn.XLOOKUP(tblOrdenes[[#This Row],[tipo_ot]],tblTiposOT[codigo],tblTiposOT[clasificacion],"sin_clasificar"))</f>
        <v/>
      </c>
      <c r="V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" s="5">
        <f>IF(tblOrdenes[[#This Row],[centro_costo]]="","",_xlfn.XLOOKUP(tblOrdenes[[#This Row],[centro_costo]],tblCECO[codigo],tblCECO[linea],"(sin catálogo)"))</f>
        <v/>
      </c>
      <c r="X81" s="5">
        <f>IF(tblOrdenes[[#This Row],[centro_costo]]="","",_xlfn.XLOOKUP(tblOrdenes[[#This Row],[centro_costo]],tblCECO[codigo],tblCECO[area],"(sin catálogo)"))</f>
        <v/>
      </c>
      <c r="Y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" s="5">
        <f>IF(tblOrdenes[[#This Row],[centro_costo]]="","",_xlfn.XLOOKUP(tblOrdenes[[#This Row],[centro_costo]],tblCECO[codigo],tblCECO[coordinador],"(sin catálogo)"))</f>
        <v/>
      </c>
      <c r="AA81" s="5">
        <f>IF(tblOrdenes[[#This Row],[puesto_trabajo]]="","",_xlfn.XLOOKUP(tblOrdenes[[#This Row],[puesto_trabajo]],tblPuestos[codigo],tblPuestos[especialidad],"(sin catálogo)"))</f>
        <v/>
      </c>
      <c r="AB81" s="5">
        <f>IF(tblOrdenes[[#This Row],[cod_actividad]]="","",_xlfn.XLOOKUP(tblOrdenes[[#This Row],[cod_actividad]],tblActividades[codigo],tblActividades[descripcion],"(sin catálogo)"))</f>
        <v/>
      </c>
      <c r="AC81" s="20">
        <f>IF(tblOrdenes[[#This Row],[fecha_inicio]]="","",TODAY()-tblOrdenes[[#This Row],[fecha_inicio]])</f>
        <v/>
      </c>
      <c r="AD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" s="5">
        <f>IF(tblOrdenes[[#This Row],[backlog_habiles]]="","",IF(tblOrdenes[[#This Row],[backlog_habiles]]&lt;0,"FUTURO",IF(tblOrdenes[[#This Row],[backlog_habiles]]&gt;p_dias_backlog_max,"BACKLOG","MES CORRIENTE")))</f>
        <v/>
      </c>
      <c r="AF81" s="5">
        <f>IF(tblOrdenes[[#This Row],[backlog_habiles]]="",FALSE,AND(tblOrdenes[[#This Row],[backlog_habiles]]&gt;p_dias_backlog_min,tblOrdenes[[#This Row],[backlog_habiles]]&lt;=p_dias_backlog_max))</f>
        <v/>
      </c>
      <c r="AG81" s="4" t="inlineStr">
        <is>
          <t>Jorge Díaz</t>
        </is>
      </c>
      <c r="AH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" s="18">
        <f>IF(tblOrdenes[[#This Row],[orden]]="","",_xlfn.XLOOKUP(tblOrdenes[[#This Row],[id_operacion]],tblEjecucion[id_operacion],tblEjecucion[precio],0))</f>
        <v/>
      </c>
      <c r="AL81" s="18">
        <f>IF(tblOrdenes[[#This Row],[orden]]="","",MAX(0,_xlfn.XLOOKUP(tblOrdenes[[#This Row],[id_operacion]],tblEjecucion[id_operacion],tblEjecucion[costo_plan_total],0)-tblOrdenes[[#This Row],[costo_servicio]]))</f>
        <v/>
      </c>
      <c r="AM81" s="18">
        <f>IF(tblOrdenes[[#This Row],[orden]]="","",tblOrdenes[[#This Row],[costo_servicio]]+tblOrdenes[[#This Row],[costo_materiales]])</f>
        <v/>
      </c>
      <c r="AN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" s="4" t="inlineStr"/>
      <c r="AP81" s="4" t="inlineStr"/>
      <c r="AQ81" s="4" t="inlineStr">
        <is>
          <t>ACT-01.pdf</t>
        </is>
      </c>
      <c r="AR81" s="5">
        <f>IF(tblOrdenes[[#This Row],[link_checklist]]="","",HYPERLINK(p_ruta_base_checklists&amp;tblOrdenes[[#This Row],[link_checklist]],"abrir"))</f>
        <v/>
      </c>
      <c r="AS81" s="4" t="inlineStr"/>
      <c r="AT81" s="5">
        <f>IF(tblOrdenes[[#This Row],[orden]]="","",tblOrdenes[[#This Row],[orden]]&amp;IF(tblOrdenes[[#This Row],[operacion]]="","0010",tblOrdenes[[#This Row],[operacion]]))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TIPO-P1</t>
        </is>
      </c>
      <c r="J82" s="22" t="n">
        <v>46247</v>
      </c>
      <c r="K82" s="5" t="n">
        <v>8</v>
      </c>
      <c r="L82" s="18" t="n">
        <v>200</v>
      </c>
      <c r="M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5">
        <f>IF(tblOrdenes[[#This Row],[fecha_inicio]]="","",YEAR(tblOrdenes[[#This Row],[fecha_inicio]]))</f>
        <v/>
      </c>
      <c r="Q82" s="5">
        <f>IF(tblOrdenes[[#This Row],[fecha_inicio]]="","",MONTH(tblOrdenes[[#This Row],[fecha_inicio]]))</f>
        <v/>
      </c>
      <c r="R82" s="5">
        <f>IF(tblOrdenes[[#This Row],[fecha_inicio]]="","",tblOrdenes[[#This Row],[anio]]&amp;"-"&amp;TEXT(tblOrdenes[[#This Row],[mes]],"00"))</f>
        <v/>
      </c>
      <c r="S82" s="5">
        <f>IF(tblOrdenes[[#This Row],[fecha_inicio]]="","",INDEX(lista_dias,WEEKDAY(tblOrdenes[[#This Row],[fecha_inicio]],2)))</f>
        <v/>
      </c>
      <c r="T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" s="5">
        <f>IF(tblOrdenes[[#This Row],[tipo_ot]]="","",_xlfn.XLOOKUP(tblOrdenes[[#This Row],[tipo_ot]],tblTiposOT[codigo],tblTiposOT[clasificacion],"sin_clasificar"))</f>
        <v/>
      </c>
      <c r="V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" s="5">
        <f>IF(tblOrdenes[[#This Row],[centro_costo]]="","",_xlfn.XLOOKUP(tblOrdenes[[#This Row],[centro_costo]],tblCECO[codigo],tblCECO[linea],"(sin catálogo)"))</f>
        <v/>
      </c>
      <c r="X82" s="5">
        <f>IF(tblOrdenes[[#This Row],[centro_costo]]="","",_xlfn.XLOOKUP(tblOrdenes[[#This Row],[centro_costo]],tblCECO[codigo],tblCECO[area],"(sin catálogo)"))</f>
        <v/>
      </c>
      <c r="Y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" s="5">
        <f>IF(tblOrdenes[[#This Row],[centro_costo]]="","",_xlfn.XLOOKUP(tblOrdenes[[#This Row],[centro_costo]],tblCECO[codigo],tblCECO[coordinador],"(sin catálogo)"))</f>
        <v/>
      </c>
      <c r="AA82" s="5">
        <f>IF(tblOrdenes[[#This Row],[puesto_trabajo]]="","",_xlfn.XLOOKUP(tblOrdenes[[#This Row],[puesto_trabajo]],tblPuestos[codigo],tblPuestos[especialidad],"(sin catálogo)"))</f>
        <v/>
      </c>
      <c r="AB82" s="5">
        <f>IF(tblOrdenes[[#This Row],[cod_actividad]]="","",_xlfn.XLOOKUP(tblOrdenes[[#This Row],[cod_actividad]],tblActividades[codigo],tblActividades[descripcion],"(sin catálogo)"))</f>
        <v/>
      </c>
      <c r="AC82" s="20">
        <f>IF(tblOrdenes[[#This Row],[fecha_inicio]]="","",TODAY()-tblOrdenes[[#This Row],[fecha_inicio]])</f>
        <v/>
      </c>
      <c r="AD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" s="5">
        <f>IF(tblOrdenes[[#This Row],[backlog_habiles]]="","",IF(tblOrdenes[[#This Row],[backlog_habiles]]&lt;0,"FUTURO",IF(tblOrdenes[[#This Row],[backlog_habiles]]&gt;p_dias_backlog_max,"BACKLOG","MES CORRIENTE")))</f>
        <v/>
      </c>
      <c r="AF82" s="5">
        <f>IF(tblOrdenes[[#This Row],[backlog_habiles]]="",FALSE,AND(tblOrdenes[[#This Row],[backlog_habiles]]&gt;p_dias_backlog_min,tblOrdenes[[#This Row],[backlog_habiles]]&lt;=p_dias_backlog_max))</f>
        <v/>
      </c>
      <c r="AG82" s="4" t="inlineStr">
        <is>
          <t>Roberto Castro</t>
        </is>
      </c>
      <c r="AH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" s="18">
        <f>IF(tblOrdenes[[#This Row],[orden]]="","",_xlfn.XLOOKUP(tblOrdenes[[#This Row],[id_operacion]],tblEjecucion[id_operacion],tblEjecucion[precio],0))</f>
        <v/>
      </c>
      <c r="AL82" s="18">
        <f>IF(tblOrdenes[[#This Row],[orden]]="","",MAX(0,_xlfn.XLOOKUP(tblOrdenes[[#This Row],[id_operacion]],tblEjecucion[id_operacion],tblEjecucion[costo_plan_total],0)-tblOrdenes[[#This Row],[costo_servicio]]))</f>
        <v/>
      </c>
      <c r="AM82" s="18">
        <f>IF(tblOrdenes[[#This Row],[orden]]="","",tblOrdenes[[#This Row],[costo_servicio]]+tblOrdenes[[#This Row],[costo_materiales]])</f>
        <v/>
      </c>
      <c r="AN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" s="4" t="inlineStr"/>
      <c r="AP82" s="4" t="inlineStr"/>
      <c r="AQ82" s="4" t="inlineStr">
        <is>
          <t>ACT-02.pdf</t>
        </is>
      </c>
      <c r="AR82" s="5">
        <f>IF(tblOrdenes[[#This Row],[link_checklist]]="","",HYPERLINK(p_ruta_base_checklists&amp;tblOrdenes[[#This Row],[link_checklist]],"abrir"))</f>
        <v/>
      </c>
      <c r="AS82" s="4" t="inlineStr"/>
      <c r="AT82" s="5">
        <f>IF(tblOrdenes[[#This Row],[orden]]="","",tblOrdenes[[#This Row],[orden]]&amp;IF(tblOrdenes[[#This Row],[operacion]]="","0010",tblOrdenes[[#This Row],[operacion]]))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TIPO-P2</t>
        </is>
      </c>
      <c r="J83" s="22" t="n">
        <v>46248</v>
      </c>
      <c r="K83" s="5" t="n">
        <v>6</v>
      </c>
      <c r="L83" s="18" t="n">
        <v>150</v>
      </c>
      <c r="M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5">
        <f>IF(tblOrdenes[[#This Row],[fecha_inicio]]="","",YEAR(tblOrdenes[[#This Row],[fecha_inicio]]))</f>
        <v/>
      </c>
      <c r="Q83" s="5">
        <f>IF(tblOrdenes[[#This Row],[fecha_inicio]]="","",MONTH(tblOrdenes[[#This Row],[fecha_inicio]]))</f>
        <v/>
      </c>
      <c r="R83" s="5">
        <f>IF(tblOrdenes[[#This Row],[fecha_inicio]]="","",tblOrdenes[[#This Row],[anio]]&amp;"-"&amp;TEXT(tblOrdenes[[#This Row],[mes]],"00"))</f>
        <v/>
      </c>
      <c r="S83" s="5">
        <f>IF(tblOrdenes[[#This Row],[fecha_inicio]]="","",INDEX(lista_dias,WEEKDAY(tblOrdenes[[#This Row],[fecha_inicio]],2)))</f>
        <v/>
      </c>
      <c r="T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" s="5">
        <f>IF(tblOrdenes[[#This Row],[tipo_ot]]="","",_xlfn.XLOOKUP(tblOrdenes[[#This Row],[tipo_ot]],tblTiposOT[codigo],tblTiposOT[clasificacion],"sin_clasificar"))</f>
        <v/>
      </c>
      <c r="V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" s="5">
        <f>IF(tblOrdenes[[#This Row],[centro_costo]]="","",_xlfn.XLOOKUP(tblOrdenes[[#This Row],[centro_costo]],tblCECO[codigo],tblCECO[linea],"(sin catálogo)"))</f>
        <v/>
      </c>
      <c r="X83" s="5">
        <f>IF(tblOrdenes[[#This Row],[centro_costo]]="","",_xlfn.XLOOKUP(tblOrdenes[[#This Row],[centro_costo]],tblCECO[codigo],tblCECO[area],"(sin catálogo)"))</f>
        <v/>
      </c>
      <c r="Y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" s="5">
        <f>IF(tblOrdenes[[#This Row],[centro_costo]]="","",_xlfn.XLOOKUP(tblOrdenes[[#This Row],[centro_costo]],tblCECO[codigo],tblCECO[coordinador],"(sin catálogo)"))</f>
        <v/>
      </c>
      <c r="AA83" s="5">
        <f>IF(tblOrdenes[[#This Row],[puesto_trabajo]]="","",_xlfn.XLOOKUP(tblOrdenes[[#This Row],[puesto_trabajo]],tblPuestos[codigo],tblPuestos[especialidad],"(sin catálogo)"))</f>
        <v/>
      </c>
      <c r="AB83" s="5">
        <f>IF(tblOrdenes[[#This Row],[cod_actividad]]="","",_xlfn.XLOOKUP(tblOrdenes[[#This Row],[cod_actividad]],tblActividades[codigo],tblActividades[descripcion],"(sin catálogo)"))</f>
        <v/>
      </c>
      <c r="AC83" s="20">
        <f>IF(tblOrdenes[[#This Row],[fecha_inicio]]="","",TODAY()-tblOrdenes[[#This Row],[fecha_inicio]])</f>
        <v/>
      </c>
      <c r="AD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" s="5">
        <f>IF(tblOrdenes[[#This Row],[backlog_habiles]]="","",IF(tblOrdenes[[#This Row],[backlog_habiles]]&lt;0,"FUTURO",IF(tblOrdenes[[#This Row],[backlog_habiles]]&gt;p_dias_backlog_max,"BACKLOG","MES CORRIENTE")))</f>
        <v/>
      </c>
      <c r="AF83" s="5">
        <f>IF(tblOrdenes[[#This Row],[backlog_habiles]]="",FALSE,AND(tblOrdenes[[#This Row],[backlog_habiles]]&gt;p_dias_backlog_min,tblOrdenes[[#This Row],[backlog_habiles]]&lt;=p_dias_backlog_max))</f>
        <v/>
      </c>
      <c r="AG83" s="4" t="inlineStr">
        <is>
          <t>Laura Morales</t>
        </is>
      </c>
      <c r="AH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" s="18">
        <f>IF(tblOrdenes[[#This Row],[orden]]="","",_xlfn.XLOOKUP(tblOrdenes[[#This Row],[id_operacion]],tblEjecucion[id_operacion],tblEjecucion[precio],0))</f>
        <v/>
      </c>
      <c r="AL83" s="18">
        <f>IF(tblOrdenes[[#This Row],[orden]]="","",MAX(0,_xlfn.XLOOKUP(tblOrdenes[[#This Row],[id_operacion]],tblEjecucion[id_operacion],tblEjecucion[costo_plan_total],0)-tblOrdenes[[#This Row],[costo_servicio]]))</f>
        <v/>
      </c>
      <c r="AM83" s="18">
        <f>IF(tblOrdenes[[#This Row],[orden]]="","",tblOrdenes[[#This Row],[costo_servicio]]+tblOrdenes[[#This Row],[costo_materiales]])</f>
        <v/>
      </c>
      <c r="AN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" s="4" t="inlineStr"/>
      <c r="AP83" s="4" t="inlineStr"/>
      <c r="AQ83" s="4" t="inlineStr">
        <is>
          <t>ACT-04.pdf</t>
        </is>
      </c>
      <c r="AR83" s="5">
        <f>IF(tblOrdenes[[#This Row],[link_checklist]]="","",HYPERLINK(p_ruta_base_checklists&amp;tblOrdenes[[#This Row],[link_checklist]],"abrir"))</f>
        <v/>
      </c>
      <c r="AS83" s="4" t="inlineStr"/>
      <c r="AT83" s="5">
        <f>IF(tblOrdenes[[#This Row],[orden]]="","",tblOrdenes[[#This Row],[orden]]&amp;IF(tblOrdenes[[#This Row],[operacion]]="","0010",tblOrdenes[[#This Row],[operacion]]))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TIPO-P1</t>
        </is>
      </c>
      <c r="J84" s="22" t="n">
        <v>46244</v>
      </c>
      <c r="K84" s="5" t="n">
        <v>10</v>
      </c>
      <c r="L84" s="18" t="n">
        <v>250</v>
      </c>
      <c r="M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5">
        <f>IF(tblOrdenes[[#This Row],[fecha_inicio]]="","",YEAR(tblOrdenes[[#This Row],[fecha_inicio]]))</f>
        <v/>
      </c>
      <c r="Q84" s="5">
        <f>IF(tblOrdenes[[#This Row],[fecha_inicio]]="","",MONTH(tblOrdenes[[#This Row],[fecha_inicio]]))</f>
        <v/>
      </c>
      <c r="R84" s="5">
        <f>IF(tblOrdenes[[#This Row],[fecha_inicio]]="","",tblOrdenes[[#This Row],[anio]]&amp;"-"&amp;TEXT(tblOrdenes[[#This Row],[mes]],"00"))</f>
        <v/>
      </c>
      <c r="S84" s="5">
        <f>IF(tblOrdenes[[#This Row],[fecha_inicio]]="","",INDEX(lista_dias,WEEKDAY(tblOrdenes[[#This Row],[fecha_inicio]],2)))</f>
        <v/>
      </c>
      <c r="T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" s="5">
        <f>IF(tblOrdenes[[#This Row],[tipo_ot]]="","",_xlfn.XLOOKUP(tblOrdenes[[#This Row],[tipo_ot]],tblTiposOT[codigo],tblTiposOT[clasificacion],"sin_clasificar"))</f>
        <v/>
      </c>
      <c r="V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" s="5">
        <f>IF(tblOrdenes[[#This Row],[centro_costo]]="","",_xlfn.XLOOKUP(tblOrdenes[[#This Row],[centro_costo]],tblCECO[codigo],tblCECO[linea],"(sin catálogo)"))</f>
        <v/>
      </c>
      <c r="X84" s="5">
        <f>IF(tblOrdenes[[#This Row],[centro_costo]]="","",_xlfn.XLOOKUP(tblOrdenes[[#This Row],[centro_costo]],tblCECO[codigo],tblCECO[area],"(sin catálogo)"))</f>
        <v/>
      </c>
      <c r="Y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" s="5">
        <f>IF(tblOrdenes[[#This Row],[centro_costo]]="","",_xlfn.XLOOKUP(tblOrdenes[[#This Row],[centro_costo]],tblCECO[codigo],tblCECO[coordinador],"(sin catálogo)"))</f>
        <v/>
      </c>
      <c r="AA84" s="5">
        <f>IF(tblOrdenes[[#This Row],[puesto_trabajo]]="","",_xlfn.XLOOKUP(tblOrdenes[[#This Row],[puesto_trabajo]],tblPuestos[codigo],tblPuestos[especialidad],"(sin catálogo)"))</f>
        <v/>
      </c>
      <c r="AB84" s="5">
        <f>IF(tblOrdenes[[#This Row],[cod_actividad]]="","",_xlfn.XLOOKUP(tblOrdenes[[#This Row],[cod_actividad]],tblActividades[codigo],tblActividades[descripcion],"(sin catálogo)"))</f>
        <v/>
      </c>
      <c r="AC84" s="20">
        <f>IF(tblOrdenes[[#This Row],[fecha_inicio]]="","",TODAY()-tblOrdenes[[#This Row],[fecha_inicio]])</f>
        <v/>
      </c>
      <c r="AD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" s="5">
        <f>IF(tblOrdenes[[#This Row],[backlog_habiles]]="","",IF(tblOrdenes[[#This Row],[backlog_habiles]]&lt;0,"FUTURO",IF(tblOrdenes[[#This Row],[backlog_habiles]]&gt;p_dias_backlog_max,"BACKLOG","MES CORRIENTE")))</f>
        <v/>
      </c>
      <c r="AF84" s="5">
        <f>IF(tblOrdenes[[#This Row],[backlog_habiles]]="",FALSE,AND(tblOrdenes[[#This Row],[backlog_habiles]]&gt;p_dias_backlog_min,tblOrdenes[[#This Row],[backlog_habiles]]&lt;=p_dias_backlog_max))</f>
        <v/>
      </c>
      <c r="AG84" s="4" t="inlineStr">
        <is>
          <t>Ricardo Ortiz</t>
        </is>
      </c>
      <c r="AH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" s="18">
        <f>IF(tblOrdenes[[#This Row],[orden]]="","",_xlfn.XLOOKUP(tblOrdenes[[#This Row],[id_operacion]],tblEjecucion[id_operacion],tblEjecucion[precio],0))</f>
        <v/>
      </c>
      <c r="AL84" s="18">
        <f>IF(tblOrdenes[[#This Row],[orden]]="","",MAX(0,_xlfn.XLOOKUP(tblOrdenes[[#This Row],[id_operacion]],tblEjecucion[id_operacion],tblEjecucion[costo_plan_total],0)-tblOrdenes[[#This Row],[costo_servicio]]))</f>
        <v/>
      </c>
      <c r="AM84" s="18">
        <f>IF(tblOrdenes[[#This Row],[orden]]="","",tblOrdenes[[#This Row],[costo_servicio]]+tblOrdenes[[#This Row],[costo_materiales]])</f>
        <v/>
      </c>
      <c r="AN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" s="4" t="inlineStr"/>
      <c r="AP84" s="4" t="inlineStr"/>
      <c r="AQ84" s="4" t="inlineStr">
        <is>
          <t>ACT-01.pdf</t>
        </is>
      </c>
      <c r="AR84" s="5">
        <f>IF(tblOrdenes[[#This Row],[link_checklist]]="","",HYPERLINK(p_ruta_base_checklists&amp;tblOrdenes[[#This Row],[link_checklist]],"abrir"))</f>
        <v/>
      </c>
      <c r="AS84" s="4" t="inlineStr"/>
      <c r="AT84" s="5">
        <f>IF(tblOrdenes[[#This Row],[orden]]="","",tblOrdenes[[#This Row],[orden]]&amp;IF(tblOrdenes[[#This Row],[operacion]]="","0010",tblOrdenes[[#This Row],[operacion]]))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22" t="n">
        <v>46245</v>
      </c>
      <c r="K85" s="5" t="n">
        <v>8</v>
      </c>
      <c r="L85" s="18" t="n">
        <v>200</v>
      </c>
      <c r="M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5">
        <f>IF(tblOrdenes[[#This Row],[fecha_inicio]]="","",YEAR(tblOrdenes[[#This Row],[fecha_inicio]]))</f>
        <v/>
      </c>
      <c r="Q85" s="5">
        <f>IF(tblOrdenes[[#This Row],[fecha_inicio]]="","",MONTH(tblOrdenes[[#This Row],[fecha_inicio]]))</f>
        <v/>
      </c>
      <c r="R85" s="5">
        <f>IF(tblOrdenes[[#This Row],[fecha_inicio]]="","",tblOrdenes[[#This Row],[anio]]&amp;"-"&amp;TEXT(tblOrdenes[[#This Row],[mes]],"00"))</f>
        <v/>
      </c>
      <c r="S85" s="5">
        <f>IF(tblOrdenes[[#This Row],[fecha_inicio]]="","",INDEX(lista_dias,WEEKDAY(tblOrdenes[[#This Row],[fecha_inicio]],2)))</f>
        <v/>
      </c>
      <c r="T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" s="5">
        <f>IF(tblOrdenes[[#This Row],[tipo_ot]]="","",_xlfn.XLOOKUP(tblOrdenes[[#This Row],[tipo_ot]],tblTiposOT[codigo],tblTiposOT[clasificacion],"sin_clasificar"))</f>
        <v/>
      </c>
      <c r="V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" s="5">
        <f>IF(tblOrdenes[[#This Row],[centro_costo]]="","",_xlfn.XLOOKUP(tblOrdenes[[#This Row],[centro_costo]],tblCECO[codigo],tblCECO[linea],"(sin catálogo)"))</f>
        <v/>
      </c>
      <c r="X85" s="5">
        <f>IF(tblOrdenes[[#This Row],[centro_costo]]="","",_xlfn.XLOOKUP(tblOrdenes[[#This Row],[centro_costo]],tblCECO[codigo],tblCECO[area],"(sin catálogo)"))</f>
        <v/>
      </c>
      <c r="Y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" s="5">
        <f>IF(tblOrdenes[[#This Row],[centro_costo]]="","",_xlfn.XLOOKUP(tblOrdenes[[#This Row],[centro_costo]],tblCECO[codigo],tblCECO[coordinador],"(sin catálogo)"))</f>
        <v/>
      </c>
      <c r="AA85" s="5">
        <f>IF(tblOrdenes[[#This Row],[puesto_trabajo]]="","",_xlfn.XLOOKUP(tblOrdenes[[#This Row],[puesto_trabajo]],tblPuestos[codigo],tblPuestos[especialidad],"(sin catálogo)"))</f>
        <v/>
      </c>
      <c r="AB85" s="5">
        <f>IF(tblOrdenes[[#This Row],[cod_actividad]]="","",_xlfn.XLOOKUP(tblOrdenes[[#This Row],[cod_actividad]],tblActividades[codigo],tblActividades[descripcion],"(sin catálogo)"))</f>
        <v/>
      </c>
      <c r="AC85" s="20">
        <f>IF(tblOrdenes[[#This Row],[fecha_inicio]]="","",TODAY()-tblOrdenes[[#This Row],[fecha_inicio]])</f>
        <v/>
      </c>
      <c r="AD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" s="5">
        <f>IF(tblOrdenes[[#This Row],[backlog_habiles]]="","",IF(tblOrdenes[[#This Row],[backlog_habiles]]&lt;0,"FUTURO",IF(tblOrdenes[[#This Row],[backlog_habiles]]&gt;p_dias_backlog_max,"BACKLOG","MES CORRIENTE")))</f>
        <v/>
      </c>
      <c r="AF85" s="5">
        <f>IF(tblOrdenes[[#This Row],[backlog_habiles]]="",FALSE,AND(tblOrdenes[[#This Row],[backlog_habiles]]&gt;p_dias_backlog_min,tblOrdenes[[#This Row],[backlog_habiles]]&lt;=p_dias_backlog_max))</f>
        <v/>
      </c>
      <c r="AG85" s="4" t="inlineStr">
        <is>
          <t>Eduardo Silva</t>
        </is>
      </c>
      <c r="AH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" s="18">
        <f>IF(tblOrdenes[[#This Row],[orden]]="","",_xlfn.XLOOKUP(tblOrdenes[[#This Row],[id_operacion]],tblEjecucion[id_operacion],tblEjecucion[precio],0))</f>
        <v/>
      </c>
      <c r="AL85" s="18">
        <f>IF(tblOrdenes[[#This Row],[orden]]="","",MAX(0,_xlfn.XLOOKUP(tblOrdenes[[#This Row],[id_operacion]],tblEjecucion[id_operacion],tblEjecucion[costo_plan_total],0)-tblOrdenes[[#This Row],[costo_servicio]]))</f>
        <v/>
      </c>
      <c r="AM85" s="18">
        <f>IF(tblOrdenes[[#This Row],[orden]]="","",tblOrdenes[[#This Row],[costo_servicio]]+tblOrdenes[[#This Row],[costo_materiales]])</f>
        <v/>
      </c>
      <c r="AN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" s="4" t="inlineStr"/>
      <c r="AP85" s="4" t="inlineStr"/>
      <c r="AQ85" s="4" t="inlineStr">
        <is>
          <t>ACT-02.pdf</t>
        </is>
      </c>
      <c r="AR85" s="5">
        <f>IF(tblOrdenes[[#This Row],[link_checklist]]="","",HYPERLINK(p_ruta_base_checklists&amp;tblOrdenes[[#This Row],[link_checklist]],"abrir"))</f>
        <v/>
      </c>
      <c r="AS85" s="4" t="inlineStr"/>
      <c r="AT85" s="5">
        <f>IF(tblOrdenes[[#This Row],[orden]]="","",tblOrdenes[[#This Row],[orden]]&amp;IF(tblOrdenes[[#This Row],[operacion]]="","0010",tblOrdenes[[#This Row],[operacion]]))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22" t="n">
        <v>46246</v>
      </c>
      <c r="K86" s="5" t="n">
        <v>8</v>
      </c>
      <c r="L86" s="18" t="n">
        <v>200</v>
      </c>
      <c r="M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5">
        <f>IF(tblOrdenes[[#This Row],[fecha_inicio]]="","",YEAR(tblOrdenes[[#This Row],[fecha_inicio]]))</f>
        <v/>
      </c>
      <c r="Q86" s="5">
        <f>IF(tblOrdenes[[#This Row],[fecha_inicio]]="","",MONTH(tblOrdenes[[#This Row],[fecha_inicio]]))</f>
        <v/>
      </c>
      <c r="R86" s="5">
        <f>IF(tblOrdenes[[#This Row],[fecha_inicio]]="","",tblOrdenes[[#This Row],[anio]]&amp;"-"&amp;TEXT(tblOrdenes[[#This Row],[mes]],"00"))</f>
        <v/>
      </c>
      <c r="S86" s="5">
        <f>IF(tblOrdenes[[#This Row],[fecha_inicio]]="","",INDEX(lista_dias,WEEKDAY(tblOrdenes[[#This Row],[fecha_inicio]],2)))</f>
        <v/>
      </c>
      <c r="T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" s="5">
        <f>IF(tblOrdenes[[#This Row],[tipo_ot]]="","",_xlfn.XLOOKUP(tblOrdenes[[#This Row],[tipo_ot]],tblTiposOT[codigo],tblTiposOT[clasificacion],"sin_clasificar"))</f>
        <v/>
      </c>
      <c r="V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" s="5">
        <f>IF(tblOrdenes[[#This Row],[centro_costo]]="","",_xlfn.XLOOKUP(tblOrdenes[[#This Row],[centro_costo]],tblCECO[codigo],tblCECO[linea],"(sin catálogo)"))</f>
        <v/>
      </c>
      <c r="X86" s="5">
        <f>IF(tblOrdenes[[#This Row],[centro_costo]]="","",_xlfn.XLOOKUP(tblOrdenes[[#This Row],[centro_costo]],tblCECO[codigo],tblCECO[area],"(sin catálogo)"))</f>
        <v/>
      </c>
      <c r="Y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" s="5">
        <f>IF(tblOrdenes[[#This Row],[centro_costo]]="","",_xlfn.XLOOKUP(tblOrdenes[[#This Row],[centro_costo]],tblCECO[codigo],tblCECO[coordinador],"(sin catálogo)"))</f>
        <v/>
      </c>
      <c r="AA86" s="5">
        <f>IF(tblOrdenes[[#This Row],[puesto_trabajo]]="","",_xlfn.XLOOKUP(tblOrdenes[[#This Row],[puesto_trabajo]],tblPuestos[codigo],tblPuestos[especialidad],"(sin catálogo)"))</f>
        <v/>
      </c>
      <c r="AB86" s="5">
        <f>IF(tblOrdenes[[#This Row],[cod_actividad]]="","",_xlfn.XLOOKUP(tblOrdenes[[#This Row],[cod_actividad]],tblActividades[codigo],tblActividades[descripcion],"(sin catálogo)"))</f>
        <v/>
      </c>
      <c r="AC86" s="20">
        <f>IF(tblOrdenes[[#This Row],[fecha_inicio]]="","",TODAY()-tblOrdenes[[#This Row],[fecha_inicio]])</f>
        <v/>
      </c>
      <c r="AD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" s="5">
        <f>IF(tblOrdenes[[#This Row],[backlog_habiles]]="","",IF(tblOrdenes[[#This Row],[backlog_habiles]]&lt;0,"FUTURO",IF(tblOrdenes[[#This Row],[backlog_habiles]]&gt;p_dias_backlog_max,"BACKLOG","MES CORRIENTE")))</f>
        <v/>
      </c>
      <c r="AF86" s="5">
        <f>IF(tblOrdenes[[#This Row],[backlog_habiles]]="",FALSE,AND(tblOrdenes[[#This Row],[backlog_habiles]]&gt;p_dias_backlog_min,tblOrdenes[[#This Row],[backlog_habiles]]&lt;=p_dias_backlog_max))</f>
        <v/>
      </c>
      <c r="AG86" s="4" t="inlineStr">
        <is>
          <t>Gabriela Rojas</t>
        </is>
      </c>
      <c r="AH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" s="18">
        <f>IF(tblOrdenes[[#This Row],[orden]]="","",_xlfn.XLOOKUP(tblOrdenes[[#This Row],[id_operacion]],tblEjecucion[id_operacion],tblEjecucion[precio],0))</f>
        <v/>
      </c>
      <c r="AL86" s="18">
        <f>IF(tblOrdenes[[#This Row],[orden]]="","",MAX(0,_xlfn.XLOOKUP(tblOrdenes[[#This Row],[id_operacion]],tblEjecucion[id_operacion],tblEjecucion[costo_plan_total],0)-tblOrdenes[[#This Row],[costo_servicio]]))</f>
        <v/>
      </c>
      <c r="AM86" s="18">
        <f>IF(tblOrdenes[[#This Row],[orden]]="","",tblOrdenes[[#This Row],[costo_servicio]]+tblOrdenes[[#This Row],[costo_materiales]])</f>
        <v/>
      </c>
      <c r="AN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" s="4" t="inlineStr"/>
      <c r="AP86" s="4" t="inlineStr"/>
      <c r="AQ86" s="4" t="inlineStr">
        <is>
          <t>ACT-04.pdf</t>
        </is>
      </c>
      <c r="AR86" s="5">
        <f>IF(tblOrdenes[[#This Row],[link_checklist]]="","",HYPERLINK(p_ruta_base_checklists&amp;tblOrdenes[[#This Row],[link_checklist]],"abrir"))</f>
        <v/>
      </c>
      <c r="AS86" s="4" t="inlineStr"/>
      <c r="AT86" s="5">
        <f>IF(tblOrdenes[[#This Row],[orden]]="","",tblOrdenes[[#This Row],[orden]]&amp;IF(tblOrdenes[[#This Row],[operacion]]="","0010",tblOrdenes[[#This Row],[operacion]]))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22" t="n">
        <v>46247</v>
      </c>
      <c r="K87" s="5" t="n">
        <v>10</v>
      </c>
      <c r="L87" s="18" t="n">
        <v>400</v>
      </c>
      <c r="M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5">
        <f>IF(tblOrdenes[[#This Row],[fecha_inicio]]="","",YEAR(tblOrdenes[[#This Row],[fecha_inicio]]))</f>
        <v/>
      </c>
      <c r="Q87" s="5">
        <f>IF(tblOrdenes[[#This Row],[fecha_inicio]]="","",MONTH(tblOrdenes[[#This Row],[fecha_inicio]]))</f>
        <v/>
      </c>
      <c r="R87" s="5">
        <f>IF(tblOrdenes[[#This Row],[fecha_inicio]]="","",tblOrdenes[[#This Row],[anio]]&amp;"-"&amp;TEXT(tblOrdenes[[#This Row],[mes]],"00"))</f>
        <v/>
      </c>
      <c r="S87" s="5">
        <f>IF(tblOrdenes[[#This Row],[fecha_inicio]]="","",INDEX(lista_dias,WEEKDAY(tblOrdenes[[#This Row],[fecha_inicio]],2)))</f>
        <v/>
      </c>
      <c r="T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" s="5">
        <f>IF(tblOrdenes[[#This Row],[tipo_ot]]="","",_xlfn.XLOOKUP(tblOrdenes[[#This Row],[tipo_ot]],tblTiposOT[codigo],tblTiposOT[clasificacion],"sin_clasificar"))</f>
        <v/>
      </c>
      <c r="V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" s="5">
        <f>IF(tblOrdenes[[#This Row],[centro_costo]]="","",_xlfn.XLOOKUP(tblOrdenes[[#This Row],[centro_costo]],tblCECO[codigo],tblCECO[linea],"(sin catálogo)"))</f>
        <v/>
      </c>
      <c r="X87" s="5">
        <f>IF(tblOrdenes[[#This Row],[centro_costo]]="","",_xlfn.XLOOKUP(tblOrdenes[[#This Row],[centro_costo]],tblCECO[codigo],tblCECO[area],"(sin catálogo)"))</f>
        <v/>
      </c>
      <c r="Y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" s="5">
        <f>IF(tblOrdenes[[#This Row],[centro_costo]]="","",_xlfn.XLOOKUP(tblOrdenes[[#This Row],[centro_costo]],tblCECO[codigo],tblCECO[coordinador],"(sin catálogo)"))</f>
        <v/>
      </c>
      <c r="AA87" s="5">
        <f>IF(tblOrdenes[[#This Row],[puesto_trabajo]]="","",_xlfn.XLOOKUP(tblOrdenes[[#This Row],[puesto_trabajo]],tblPuestos[codigo],tblPuestos[especialidad],"(sin catálogo)"))</f>
        <v/>
      </c>
      <c r="AB87" s="5">
        <f>IF(tblOrdenes[[#This Row],[cod_actividad]]="","",_xlfn.XLOOKUP(tblOrdenes[[#This Row],[cod_actividad]],tblActividades[codigo],tblActividades[descripcion],"(sin catálogo)"))</f>
        <v/>
      </c>
      <c r="AC87" s="20">
        <f>IF(tblOrdenes[[#This Row],[fecha_inicio]]="","",TODAY()-tblOrdenes[[#This Row],[fecha_inicio]])</f>
        <v/>
      </c>
      <c r="AD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" s="5">
        <f>IF(tblOrdenes[[#This Row],[backlog_habiles]]="","",IF(tblOrdenes[[#This Row],[backlog_habiles]]&lt;0,"FUTURO",IF(tblOrdenes[[#This Row],[backlog_habiles]]&gt;p_dias_backlog_max,"BACKLOG","MES CORRIENTE")))</f>
        <v/>
      </c>
      <c r="AF87" s="5">
        <f>IF(tblOrdenes[[#This Row],[backlog_habiles]]="",FALSE,AND(tblOrdenes[[#This Row],[backlog_habiles]]&gt;p_dias_backlog_min,tblOrdenes[[#This Row],[backlog_habiles]]&lt;=p_dias_backlog_max))</f>
        <v/>
      </c>
      <c r="AG87" s="4" t="inlineStr"/>
      <c r="AH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" s="18">
        <f>IF(tblOrdenes[[#This Row],[orden]]="","",_xlfn.XLOOKUP(tblOrdenes[[#This Row],[id_operacion]],tblEjecucion[id_operacion],tblEjecucion[precio],0))</f>
        <v/>
      </c>
      <c r="AL87" s="18">
        <f>IF(tblOrdenes[[#This Row],[orden]]="","",MAX(0,_xlfn.XLOOKUP(tblOrdenes[[#This Row],[id_operacion]],tblEjecucion[id_operacion],tblEjecucion[costo_plan_total],0)-tblOrdenes[[#This Row],[costo_servicio]]))</f>
        <v/>
      </c>
      <c r="AM87" s="18">
        <f>IF(tblOrdenes[[#This Row],[orden]]="","",tblOrdenes[[#This Row],[costo_servicio]]+tblOrdenes[[#This Row],[costo_materiales]])</f>
        <v/>
      </c>
      <c r="AN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" s="4" t="inlineStr">
        <is>
          <t>PT-CALIENTE</t>
        </is>
      </c>
      <c r="AP87" s="4" t="inlineStr">
        <is>
          <t>LOTO</t>
        </is>
      </c>
      <c r="AQ87" s="4" t="inlineStr"/>
      <c r="AR87" s="5">
        <f>IF(tblOrdenes[[#This Row],[link_checklist]]="","",HYPERLINK(p_ruta_base_checklists&amp;tblOrdenes[[#This Row],[link_checklist]],"abrir"))</f>
        <v/>
      </c>
      <c r="AS87" s="4" t="inlineStr"/>
      <c r="AT87" s="5">
        <f>IF(tblOrdenes[[#This Row],[orden]]="","",tblOrdenes[[#This Row],[orden]]&amp;IF(tblOrdenes[[#This Row],[operacion]]="","0010",tblOrdenes[[#This Row],[operacion]]))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TIPO-P1</t>
        </is>
      </c>
      <c r="J88" s="22" t="n">
        <v>46227</v>
      </c>
      <c r="K88" s="5" t="n">
        <v>10</v>
      </c>
      <c r="L88" s="18" t="n">
        <v>250</v>
      </c>
      <c r="M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5">
        <f>IF(tblOrdenes[[#This Row],[fecha_inicio]]="","",YEAR(tblOrdenes[[#This Row],[fecha_inicio]]))</f>
        <v/>
      </c>
      <c r="Q88" s="5">
        <f>IF(tblOrdenes[[#This Row],[fecha_inicio]]="","",MONTH(tblOrdenes[[#This Row],[fecha_inicio]]))</f>
        <v/>
      </c>
      <c r="R88" s="5">
        <f>IF(tblOrdenes[[#This Row],[fecha_inicio]]="","",tblOrdenes[[#This Row],[anio]]&amp;"-"&amp;TEXT(tblOrdenes[[#This Row],[mes]],"00"))</f>
        <v/>
      </c>
      <c r="S88" s="5">
        <f>IF(tblOrdenes[[#This Row],[fecha_inicio]]="","",INDEX(lista_dias,WEEKDAY(tblOrdenes[[#This Row],[fecha_inicio]],2)))</f>
        <v/>
      </c>
      <c r="T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" s="5">
        <f>IF(tblOrdenes[[#This Row],[tipo_ot]]="","",_xlfn.XLOOKUP(tblOrdenes[[#This Row],[tipo_ot]],tblTiposOT[codigo],tblTiposOT[clasificacion],"sin_clasificar"))</f>
        <v/>
      </c>
      <c r="V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" s="5">
        <f>IF(tblOrdenes[[#This Row],[centro_costo]]="","",_xlfn.XLOOKUP(tblOrdenes[[#This Row],[centro_costo]],tblCECO[codigo],tblCECO[linea],"(sin catálogo)"))</f>
        <v/>
      </c>
      <c r="X88" s="5">
        <f>IF(tblOrdenes[[#This Row],[centro_costo]]="","",_xlfn.XLOOKUP(tblOrdenes[[#This Row],[centro_costo]],tblCECO[codigo],tblCECO[area],"(sin catálogo)"))</f>
        <v/>
      </c>
      <c r="Y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" s="5">
        <f>IF(tblOrdenes[[#This Row],[centro_costo]]="","",_xlfn.XLOOKUP(tblOrdenes[[#This Row],[centro_costo]],tblCECO[codigo],tblCECO[coordinador],"(sin catálogo)"))</f>
        <v/>
      </c>
      <c r="AA88" s="5">
        <f>IF(tblOrdenes[[#This Row],[puesto_trabajo]]="","",_xlfn.XLOOKUP(tblOrdenes[[#This Row],[puesto_trabajo]],tblPuestos[codigo],tblPuestos[especialidad],"(sin catálogo)"))</f>
        <v/>
      </c>
      <c r="AB88" s="5">
        <f>IF(tblOrdenes[[#This Row],[cod_actividad]]="","",_xlfn.XLOOKUP(tblOrdenes[[#This Row],[cod_actividad]],tblActividades[codigo],tblActividades[descripcion],"(sin catálogo)"))</f>
        <v/>
      </c>
      <c r="AC88" s="20">
        <f>IF(tblOrdenes[[#This Row],[fecha_inicio]]="","",TODAY()-tblOrdenes[[#This Row],[fecha_inicio]])</f>
        <v/>
      </c>
      <c r="AD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" s="5">
        <f>IF(tblOrdenes[[#This Row],[backlog_habiles]]="","",IF(tblOrdenes[[#This Row],[backlog_habiles]]&lt;0,"FUTURO",IF(tblOrdenes[[#This Row],[backlog_habiles]]&gt;p_dias_backlog_max,"BACKLOG","MES CORRIENTE")))</f>
        <v/>
      </c>
      <c r="AF88" s="5">
        <f>IF(tblOrdenes[[#This Row],[backlog_habiles]]="",FALSE,AND(tblOrdenes[[#This Row],[backlog_habiles]]&gt;p_dias_backlog_min,tblOrdenes[[#This Row],[backlog_habiles]]&lt;=p_dias_backlog_max))</f>
        <v/>
      </c>
      <c r="AG88" s="4" t="inlineStr">
        <is>
          <t>Alberto Vargas</t>
        </is>
      </c>
      <c r="AH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" s="18">
        <f>IF(tblOrdenes[[#This Row],[orden]]="","",_xlfn.XLOOKUP(tblOrdenes[[#This Row],[id_operacion]],tblEjecucion[id_operacion],tblEjecucion[precio],0))</f>
        <v/>
      </c>
      <c r="AL88" s="18">
        <f>IF(tblOrdenes[[#This Row],[orden]]="","",MAX(0,_xlfn.XLOOKUP(tblOrdenes[[#This Row],[id_operacion]],tblEjecucion[id_operacion],tblEjecucion[costo_plan_total],0)-tblOrdenes[[#This Row],[costo_servicio]]))</f>
        <v/>
      </c>
      <c r="AM88" s="18">
        <f>IF(tblOrdenes[[#This Row],[orden]]="","",tblOrdenes[[#This Row],[costo_servicio]]+tblOrdenes[[#This Row],[costo_materiales]])</f>
        <v/>
      </c>
      <c r="AN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" s="4" t="inlineStr"/>
      <c r="AP88" s="4" t="inlineStr"/>
      <c r="AQ88" s="4" t="inlineStr">
        <is>
          <t>ACT-02.pdf</t>
        </is>
      </c>
      <c r="AR88" s="5">
        <f>IF(tblOrdenes[[#This Row],[link_checklist]]="","",HYPERLINK(p_ruta_base_checklists&amp;tblOrdenes[[#This Row],[link_checklist]],"abrir"))</f>
        <v/>
      </c>
      <c r="AS88" s="4" t="inlineStr"/>
      <c r="AT88" s="5">
        <f>IF(tblOrdenes[[#This Row],[orden]]="","",tblOrdenes[[#This Row],[orden]]&amp;IF(tblOrdenes[[#This Row],[operacion]]="","0010",tblOrdenes[[#This Row],[operacion]]))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TIPO-P2</t>
        </is>
      </c>
      <c r="J89" s="22" t="n">
        <v>46223</v>
      </c>
      <c r="K89" s="5" t="n">
        <v>8</v>
      </c>
      <c r="L89" s="18" t="n">
        <v>200</v>
      </c>
      <c r="M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5">
        <f>IF(tblOrdenes[[#This Row],[fecha_inicio]]="","",YEAR(tblOrdenes[[#This Row],[fecha_inicio]]))</f>
        <v/>
      </c>
      <c r="Q89" s="5">
        <f>IF(tblOrdenes[[#This Row],[fecha_inicio]]="","",MONTH(tblOrdenes[[#This Row],[fecha_inicio]]))</f>
        <v/>
      </c>
      <c r="R89" s="5">
        <f>IF(tblOrdenes[[#This Row],[fecha_inicio]]="","",tblOrdenes[[#This Row],[anio]]&amp;"-"&amp;TEXT(tblOrdenes[[#This Row],[mes]],"00"))</f>
        <v/>
      </c>
      <c r="S89" s="5">
        <f>IF(tblOrdenes[[#This Row],[fecha_inicio]]="","",INDEX(lista_dias,WEEKDAY(tblOrdenes[[#This Row],[fecha_inicio]],2)))</f>
        <v/>
      </c>
      <c r="T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" s="5">
        <f>IF(tblOrdenes[[#This Row],[tipo_ot]]="","",_xlfn.XLOOKUP(tblOrdenes[[#This Row],[tipo_ot]],tblTiposOT[codigo],tblTiposOT[clasificacion],"sin_clasificar"))</f>
        <v/>
      </c>
      <c r="V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" s="5">
        <f>IF(tblOrdenes[[#This Row],[centro_costo]]="","",_xlfn.XLOOKUP(tblOrdenes[[#This Row],[centro_costo]],tblCECO[codigo],tblCECO[linea],"(sin catálogo)"))</f>
        <v/>
      </c>
      <c r="X89" s="5">
        <f>IF(tblOrdenes[[#This Row],[centro_costo]]="","",_xlfn.XLOOKUP(tblOrdenes[[#This Row],[centro_costo]],tblCECO[codigo],tblCECO[area],"(sin catálogo)"))</f>
        <v/>
      </c>
      <c r="Y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" s="5">
        <f>IF(tblOrdenes[[#This Row],[centro_costo]]="","",_xlfn.XLOOKUP(tblOrdenes[[#This Row],[centro_costo]],tblCECO[codigo],tblCECO[coordinador],"(sin catálogo)"))</f>
        <v/>
      </c>
      <c r="AA89" s="5">
        <f>IF(tblOrdenes[[#This Row],[puesto_trabajo]]="","",_xlfn.XLOOKUP(tblOrdenes[[#This Row],[puesto_trabajo]],tblPuestos[codigo],tblPuestos[especialidad],"(sin catálogo)"))</f>
        <v/>
      </c>
      <c r="AB89" s="5">
        <f>IF(tblOrdenes[[#This Row],[cod_actividad]]="","",_xlfn.XLOOKUP(tblOrdenes[[#This Row],[cod_actividad]],tblActividades[codigo],tblActividades[descripcion],"(sin catálogo)"))</f>
        <v/>
      </c>
      <c r="AC89" s="20">
        <f>IF(tblOrdenes[[#This Row],[fecha_inicio]]="","",TODAY()-tblOrdenes[[#This Row],[fecha_inicio]])</f>
        <v/>
      </c>
      <c r="AD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" s="5">
        <f>IF(tblOrdenes[[#This Row],[backlog_habiles]]="","",IF(tblOrdenes[[#This Row],[backlog_habiles]]&lt;0,"FUTURO",IF(tblOrdenes[[#This Row],[backlog_habiles]]&gt;p_dias_backlog_max,"BACKLOG","MES CORRIENTE")))</f>
        <v/>
      </c>
      <c r="AF89" s="5">
        <f>IF(tblOrdenes[[#This Row],[backlog_habiles]]="",FALSE,AND(tblOrdenes[[#This Row],[backlog_habiles]]&gt;p_dias_backlog_min,tblOrdenes[[#This Row],[backlog_habiles]]&lt;=p_dias_backlog_max))</f>
        <v/>
      </c>
      <c r="AG89" s="4" t="inlineStr">
        <is>
          <t>Daniela Medina</t>
        </is>
      </c>
      <c r="AH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" s="18">
        <f>IF(tblOrdenes[[#This Row],[orden]]="","",_xlfn.XLOOKUP(tblOrdenes[[#This Row],[id_operacion]],tblEjecucion[id_operacion],tblEjecucion[precio],0))</f>
        <v/>
      </c>
      <c r="AL89" s="18">
        <f>IF(tblOrdenes[[#This Row],[orden]]="","",MAX(0,_xlfn.XLOOKUP(tblOrdenes[[#This Row],[id_operacion]],tblEjecucion[id_operacion],tblEjecucion[costo_plan_total],0)-tblOrdenes[[#This Row],[costo_servicio]]))</f>
        <v/>
      </c>
      <c r="AM89" s="18">
        <f>IF(tblOrdenes[[#This Row],[orden]]="","",tblOrdenes[[#This Row],[costo_servicio]]+tblOrdenes[[#This Row],[costo_materiales]])</f>
        <v/>
      </c>
      <c r="AN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" s="4" t="inlineStr"/>
      <c r="AP89" s="4" t="inlineStr"/>
      <c r="AQ89" s="4" t="inlineStr">
        <is>
          <t>ACT-04.pdf</t>
        </is>
      </c>
      <c r="AR89" s="5">
        <f>IF(tblOrdenes[[#This Row],[link_checklist]]="","",HYPERLINK(p_ruta_base_checklists&amp;tblOrdenes[[#This Row],[link_checklist]],"abrir"))</f>
        <v/>
      </c>
      <c r="AS89" s="4" t="inlineStr"/>
      <c r="AT89" s="5">
        <f>IF(tblOrdenes[[#This Row],[orden]]="","",tblOrdenes[[#This Row],[orden]]&amp;IF(tblOrdenes[[#This Row],[operacion]]="","0010",tblOrdenes[[#This Row],[operacion]]))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TIPO-P1</t>
        </is>
      </c>
      <c r="J90" s="22" t="n">
        <v>46224</v>
      </c>
      <c r="K90" s="5" t="n">
        <v>6</v>
      </c>
      <c r="L90" s="18" t="n">
        <v>150</v>
      </c>
      <c r="M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5">
        <f>IF(tblOrdenes[[#This Row],[fecha_inicio]]="","",YEAR(tblOrdenes[[#This Row],[fecha_inicio]]))</f>
        <v/>
      </c>
      <c r="Q90" s="5">
        <f>IF(tblOrdenes[[#This Row],[fecha_inicio]]="","",MONTH(tblOrdenes[[#This Row],[fecha_inicio]]))</f>
        <v/>
      </c>
      <c r="R90" s="5">
        <f>IF(tblOrdenes[[#This Row],[fecha_inicio]]="","",tblOrdenes[[#This Row],[anio]]&amp;"-"&amp;TEXT(tblOrdenes[[#This Row],[mes]],"00"))</f>
        <v/>
      </c>
      <c r="S90" s="5">
        <f>IF(tblOrdenes[[#This Row],[fecha_inicio]]="","",INDEX(lista_dias,WEEKDAY(tblOrdenes[[#This Row],[fecha_inicio]],2)))</f>
        <v/>
      </c>
      <c r="T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" s="5">
        <f>IF(tblOrdenes[[#This Row],[tipo_ot]]="","",_xlfn.XLOOKUP(tblOrdenes[[#This Row],[tipo_ot]],tblTiposOT[codigo],tblTiposOT[clasificacion],"sin_clasificar"))</f>
        <v/>
      </c>
      <c r="V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" s="5">
        <f>IF(tblOrdenes[[#This Row],[centro_costo]]="","",_xlfn.XLOOKUP(tblOrdenes[[#This Row],[centro_costo]],tblCECO[codigo],tblCECO[linea],"(sin catálogo)"))</f>
        <v/>
      </c>
      <c r="X90" s="5">
        <f>IF(tblOrdenes[[#This Row],[centro_costo]]="","",_xlfn.XLOOKUP(tblOrdenes[[#This Row],[centro_costo]],tblCECO[codigo],tblCECO[area],"(sin catálogo)"))</f>
        <v/>
      </c>
      <c r="Y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" s="5">
        <f>IF(tblOrdenes[[#This Row],[centro_costo]]="","",_xlfn.XLOOKUP(tblOrdenes[[#This Row],[centro_costo]],tblCECO[codigo],tblCECO[coordinador],"(sin catálogo)"))</f>
        <v/>
      </c>
      <c r="AA90" s="5">
        <f>IF(tblOrdenes[[#This Row],[puesto_trabajo]]="","",_xlfn.XLOOKUP(tblOrdenes[[#This Row],[puesto_trabajo]],tblPuestos[codigo],tblPuestos[especialidad],"(sin catálogo)"))</f>
        <v/>
      </c>
      <c r="AB90" s="5">
        <f>IF(tblOrdenes[[#This Row],[cod_actividad]]="","",_xlfn.XLOOKUP(tblOrdenes[[#This Row],[cod_actividad]],tblActividades[codigo],tblActividades[descripcion],"(sin catálogo)"))</f>
        <v/>
      </c>
      <c r="AC90" s="20">
        <f>IF(tblOrdenes[[#This Row],[fecha_inicio]]="","",TODAY()-tblOrdenes[[#This Row],[fecha_inicio]])</f>
        <v/>
      </c>
      <c r="AD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" s="5">
        <f>IF(tblOrdenes[[#This Row],[backlog_habiles]]="","",IF(tblOrdenes[[#This Row],[backlog_habiles]]&lt;0,"FUTURO",IF(tblOrdenes[[#This Row],[backlog_habiles]]&gt;p_dias_backlog_max,"BACKLOG","MES CORRIENTE")))</f>
        <v/>
      </c>
      <c r="AF90" s="5">
        <f>IF(tblOrdenes[[#This Row],[backlog_habiles]]="",FALSE,AND(tblOrdenes[[#This Row],[backlog_habiles]]&gt;p_dias_backlog_min,tblOrdenes[[#This Row],[backlog_habiles]]&lt;=p_dias_backlog_max))</f>
        <v/>
      </c>
      <c r="AG90" s="4" t="inlineStr">
        <is>
          <t>Alberto Vargas</t>
        </is>
      </c>
      <c r="AH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" s="18">
        <f>IF(tblOrdenes[[#This Row],[orden]]="","",_xlfn.XLOOKUP(tblOrdenes[[#This Row],[id_operacion]],tblEjecucion[id_operacion],tblEjecucion[precio],0))</f>
        <v/>
      </c>
      <c r="AL90" s="18">
        <f>IF(tblOrdenes[[#This Row],[orden]]="","",MAX(0,_xlfn.XLOOKUP(tblOrdenes[[#This Row],[id_operacion]],tblEjecucion[id_operacion],tblEjecucion[costo_plan_total],0)-tblOrdenes[[#This Row],[costo_servicio]]))</f>
        <v/>
      </c>
      <c r="AM90" s="18">
        <f>IF(tblOrdenes[[#This Row],[orden]]="","",tblOrdenes[[#This Row],[costo_servicio]]+tblOrdenes[[#This Row],[costo_materiales]])</f>
        <v/>
      </c>
      <c r="AN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" s="4" t="inlineStr"/>
      <c r="AP90" s="4" t="inlineStr"/>
      <c r="AQ90" s="4" t="inlineStr">
        <is>
          <t>ACT-01.pdf</t>
        </is>
      </c>
      <c r="AR90" s="5">
        <f>IF(tblOrdenes[[#This Row],[link_checklist]]="","",HYPERLINK(p_ruta_base_checklists&amp;tblOrdenes[[#This Row],[link_checklist]],"abrir"))</f>
        <v/>
      </c>
      <c r="AS90" s="4" t="inlineStr"/>
      <c r="AT90" s="5">
        <f>IF(tblOrdenes[[#This Row],[orden]]="","",tblOrdenes[[#This Row],[orden]]&amp;IF(tblOrdenes[[#This Row],[operacion]]="","0010",tblOrdenes[[#This Row],[operacion]]))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22" t="n">
        <v>46225</v>
      </c>
      <c r="K91" s="5" t="n">
        <v>10</v>
      </c>
      <c r="L91" s="18" t="n">
        <v>250</v>
      </c>
      <c r="M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5">
        <f>IF(tblOrdenes[[#This Row],[fecha_inicio]]="","",YEAR(tblOrdenes[[#This Row],[fecha_inicio]]))</f>
        <v/>
      </c>
      <c r="Q91" s="5">
        <f>IF(tblOrdenes[[#This Row],[fecha_inicio]]="","",MONTH(tblOrdenes[[#This Row],[fecha_inicio]]))</f>
        <v/>
      </c>
      <c r="R91" s="5">
        <f>IF(tblOrdenes[[#This Row],[fecha_inicio]]="","",tblOrdenes[[#This Row],[anio]]&amp;"-"&amp;TEXT(tblOrdenes[[#This Row],[mes]],"00"))</f>
        <v/>
      </c>
      <c r="S91" s="5">
        <f>IF(tblOrdenes[[#This Row],[fecha_inicio]]="","",INDEX(lista_dias,WEEKDAY(tblOrdenes[[#This Row],[fecha_inicio]],2)))</f>
        <v/>
      </c>
      <c r="T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" s="5">
        <f>IF(tblOrdenes[[#This Row],[tipo_ot]]="","",_xlfn.XLOOKUP(tblOrdenes[[#This Row],[tipo_ot]],tblTiposOT[codigo],tblTiposOT[clasificacion],"sin_clasificar"))</f>
        <v/>
      </c>
      <c r="V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" s="5">
        <f>IF(tblOrdenes[[#This Row],[centro_costo]]="","",_xlfn.XLOOKUP(tblOrdenes[[#This Row],[centro_costo]],tblCECO[codigo],tblCECO[linea],"(sin catálogo)"))</f>
        <v/>
      </c>
      <c r="X91" s="5">
        <f>IF(tblOrdenes[[#This Row],[centro_costo]]="","",_xlfn.XLOOKUP(tblOrdenes[[#This Row],[centro_costo]],tblCECO[codigo],tblCECO[area],"(sin catálogo)"))</f>
        <v/>
      </c>
      <c r="Y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" s="5">
        <f>IF(tblOrdenes[[#This Row],[centro_costo]]="","",_xlfn.XLOOKUP(tblOrdenes[[#This Row],[centro_costo]],tblCECO[codigo],tblCECO[coordinador],"(sin catálogo)"))</f>
        <v/>
      </c>
      <c r="AA91" s="5">
        <f>IF(tblOrdenes[[#This Row],[puesto_trabajo]]="","",_xlfn.XLOOKUP(tblOrdenes[[#This Row],[puesto_trabajo]],tblPuestos[codigo],tblPuestos[especialidad],"(sin catálogo)"))</f>
        <v/>
      </c>
      <c r="AB91" s="5">
        <f>IF(tblOrdenes[[#This Row],[cod_actividad]]="","",_xlfn.XLOOKUP(tblOrdenes[[#This Row],[cod_actividad]],tblActividades[codigo],tblActividades[descripcion],"(sin catálogo)"))</f>
        <v/>
      </c>
      <c r="AC91" s="20">
        <f>IF(tblOrdenes[[#This Row],[fecha_inicio]]="","",TODAY()-tblOrdenes[[#This Row],[fecha_inicio]])</f>
        <v/>
      </c>
      <c r="AD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" s="5">
        <f>IF(tblOrdenes[[#This Row],[backlog_habiles]]="","",IF(tblOrdenes[[#This Row],[backlog_habiles]]&lt;0,"FUTURO",IF(tblOrdenes[[#This Row],[backlog_habiles]]&gt;p_dias_backlog_max,"BACKLOG","MES CORRIENTE")))</f>
        <v/>
      </c>
      <c r="AF91" s="5">
        <f>IF(tblOrdenes[[#This Row],[backlog_habiles]]="",FALSE,AND(tblOrdenes[[#This Row],[backlog_habiles]]&gt;p_dias_backlog_min,tblOrdenes[[#This Row],[backlog_habiles]]&lt;=p_dias_backlog_max))</f>
        <v/>
      </c>
      <c r="AG91" s="4" t="inlineStr">
        <is>
          <t>Daniela Medina</t>
        </is>
      </c>
      <c r="AH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" s="18">
        <f>IF(tblOrdenes[[#This Row],[orden]]="","",_xlfn.XLOOKUP(tblOrdenes[[#This Row],[id_operacion]],tblEjecucion[id_operacion],tblEjecucion[precio],0))</f>
        <v/>
      </c>
      <c r="AL91" s="18">
        <f>IF(tblOrdenes[[#This Row],[orden]]="","",MAX(0,_xlfn.XLOOKUP(tblOrdenes[[#This Row],[id_operacion]],tblEjecucion[id_operacion],tblEjecucion[costo_plan_total],0)-tblOrdenes[[#This Row],[costo_servicio]]))</f>
        <v/>
      </c>
      <c r="AM91" s="18">
        <f>IF(tblOrdenes[[#This Row],[orden]]="","",tblOrdenes[[#This Row],[costo_servicio]]+tblOrdenes[[#This Row],[costo_materiales]])</f>
        <v/>
      </c>
      <c r="AN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" s="4" t="inlineStr"/>
      <c r="AP91" s="4" t="inlineStr"/>
      <c r="AQ91" s="4" t="inlineStr">
        <is>
          <t>ACT-02.pdf</t>
        </is>
      </c>
      <c r="AR91" s="5">
        <f>IF(tblOrdenes[[#This Row],[link_checklist]]="","",HYPERLINK(p_ruta_base_checklists&amp;tblOrdenes[[#This Row],[link_checklist]],"abrir"))</f>
        <v/>
      </c>
      <c r="AS91" s="4" t="inlineStr"/>
      <c r="AT91" s="5">
        <f>IF(tblOrdenes[[#This Row],[orden]]="","",tblOrdenes[[#This Row],[orden]]&amp;IF(tblOrdenes[[#This Row],[operacion]]="","0010",tblOrdenes[[#This Row],[operacion]]))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22" t="n">
        <v>46226</v>
      </c>
      <c r="K92" s="5" t="n">
        <v>6</v>
      </c>
      <c r="L92" s="18" t="n">
        <v>150</v>
      </c>
      <c r="M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5">
        <f>IF(tblOrdenes[[#This Row],[fecha_inicio]]="","",YEAR(tblOrdenes[[#This Row],[fecha_inicio]]))</f>
        <v/>
      </c>
      <c r="Q92" s="5">
        <f>IF(tblOrdenes[[#This Row],[fecha_inicio]]="","",MONTH(tblOrdenes[[#This Row],[fecha_inicio]]))</f>
        <v/>
      </c>
      <c r="R92" s="5">
        <f>IF(tblOrdenes[[#This Row],[fecha_inicio]]="","",tblOrdenes[[#This Row],[anio]]&amp;"-"&amp;TEXT(tblOrdenes[[#This Row],[mes]],"00"))</f>
        <v/>
      </c>
      <c r="S92" s="5">
        <f>IF(tblOrdenes[[#This Row],[fecha_inicio]]="","",INDEX(lista_dias,WEEKDAY(tblOrdenes[[#This Row],[fecha_inicio]],2)))</f>
        <v/>
      </c>
      <c r="T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" s="5">
        <f>IF(tblOrdenes[[#This Row],[tipo_ot]]="","",_xlfn.XLOOKUP(tblOrdenes[[#This Row],[tipo_ot]],tblTiposOT[codigo],tblTiposOT[clasificacion],"sin_clasificar"))</f>
        <v/>
      </c>
      <c r="V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" s="5">
        <f>IF(tblOrdenes[[#This Row],[centro_costo]]="","",_xlfn.XLOOKUP(tblOrdenes[[#This Row],[centro_costo]],tblCECO[codigo],tblCECO[linea],"(sin catálogo)"))</f>
        <v/>
      </c>
      <c r="X92" s="5">
        <f>IF(tblOrdenes[[#This Row],[centro_costo]]="","",_xlfn.XLOOKUP(tblOrdenes[[#This Row],[centro_costo]],tblCECO[codigo],tblCECO[area],"(sin catálogo)"))</f>
        <v/>
      </c>
      <c r="Y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" s="5">
        <f>IF(tblOrdenes[[#This Row],[centro_costo]]="","",_xlfn.XLOOKUP(tblOrdenes[[#This Row],[centro_costo]],tblCECO[codigo],tblCECO[coordinador],"(sin catálogo)"))</f>
        <v/>
      </c>
      <c r="AA92" s="5">
        <f>IF(tblOrdenes[[#This Row],[puesto_trabajo]]="","",_xlfn.XLOOKUP(tblOrdenes[[#This Row],[puesto_trabajo]],tblPuestos[codigo],tblPuestos[especialidad],"(sin catálogo)"))</f>
        <v/>
      </c>
      <c r="AB92" s="5">
        <f>IF(tblOrdenes[[#This Row],[cod_actividad]]="","",_xlfn.XLOOKUP(tblOrdenes[[#This Row],[cod_actividad]],tblActividades[codigo],tblActividades[descripcion],"(sin catálogo)"))</f>
        <v/>
      </c>
      <c r="AC92" s="20">
        <f>IF(tblOrdenes[[#This Row],[fecha_inicio]]="","",TODAY()-tblOrdenes[[#This Row],[fecha_inicio]])</f>
        <v/>
      </c>
      <c r="AD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" s="5">
        <f>IF(tblOrdenes[[#This Row],[backlog_habiles]]="","",IF(tblOrdenes[[#This Row],[backlog_habiles]]&lt;0,"FUTURO",IF(tblOrdenes[[#This Row],[backlog_habiles]]&gt;p_dias_backlog_max,"BACKLOG","MES CORRIENTE")))</f>
        <v/>
      </c>
      <c r="AF92" s="5">
        <f>IF(tblOrdenes[[#This Row],[backlog_habiles]]="",FALSE,AND(tblOrdenes[[#This Row],[backlog_habiles]]&gt;p_dias_backlog_min,tblOrdenes[[#This Row],[backlog_habiles]]&lt;=p_dias_backlog_max))</f>
        <v/>
      </c>
      <c r="AG92" s="4" t="inlineStr">
        <is>
          <t>Alberto Vargas</t>
        </is>
      </c>
      <c r="AH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" s="18">
        <f>IF(tblOrdenes[[#This Row],[orden]]="","",_xlfn.XLOOKUP(tblOrdenes[[#This Row],[id_operacion]],tblEjecucion[id_operacion],tblEjecucion[precio],0))</f>
        <v/>
      </c>
      <c r="AL92" s="18">
        <f>IF(tblOrdenes[[#This Row],[orden]]="","",MAX(0,_xlfn.XLOOKUP(tblOrdenes[[#This Row],[id_operacion]],tblEjecucion[id_operacion],tblEjecucion[costo_plan_total],0)-tblOrdenes[[#This Row],[costo_servicio]]))</f>
        <v/>
      </c>
      <c r="AM92" s="18">
        <f>IF(tblOrdenes[[#This Row],[orden]]="","",tblOrdenes[[#This Row],[costo_servicio]]+tblOrdenes[[#This Row],[costo_materiales]])</f>
        <v/>
      </c>
      <c r="AN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" s="4" t="inlineStr"/>
      <c r="AP92" s="4" t="inlineStr"/>
      <c r="AQ92" s="4" t="inlineStr">
        <is>
          <t>ACT-04.pdf</t>
        </is>
      </c>
      <c r="AR92" s="5">
        <f>IF(tblOrdenes[[#This Row],[link_checklist]]="","",HYPERLINK(p_ruta_base_checklists&amp;tblOrdenes[[#This Row],[link_checklist]],"abrir"))</f>
        <v/>
      </c>
      <c r="AS92" s="4" t="inlineStr"/>
      <c r="AT92" s="5">
        <f>IF(tblOrdenes[[#This Row],[orden]]="","",tblOrdenes[[#This Row],[orden]]&amp;IF(tblOrdenes[[#This Row],[operacion]]="","0010",tblOrdenes[[#This Row],[operacion]]))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22" t="n">
        <v>46227</v>
      </c>
      <c r="K93" s="5" t="n">
        <v>10</v>
      </c>
      <c r="L93" s="18" t="n">
        <v>400</v>
      </c>
      <c r="M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5">
        <f>IF(tblOrdenes[[#This Row],[fecha_inicio]]="","",YEAR(tblOrdenes[[#This Row],[fecha_inicio]]))</f>
        <v/>
      </c>
      <c r="Q93" s="5">
        <f>IF(tblOrdenes[[#This Row],[fecha_inicio]]="","",MONTH(tblOrdenes[[#This Row],[fecha_inicio]]))</f>
        <v/>
      </c>
      <c r="R93" s="5">
        <f>IF(tblOrdenes[[#This Row],[fecha_inicio]]="","",tblOrdenes[[#This Row],[anio]]&amp;"-"&amp;TEXT(tblOrdenes[[#This Row],[mes]],"00"))</f>
        <v/>
      </c>
      <c r="S93" s="5">
        <f>IF(tblOrdenes[[#This Row],[fecha_inicio]]="","",INDEX(lista_dias,WEEKDAY(tblOrdenes[[#This Row],[fecha_inicio]],2)))</f>
        <v/>
      </c>
      <c r="T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" s="5">
        <f>IF(tblOrdenes[[#This Row],[tipo_ot]]="","",_xlfn.XLOOKUP(tblOrdenes[[#This Row],[tipo_ot]],tblTiposOT[codigo],tblTiposOT[clasificacion],"sin_clasificar"))</f>
        <v/>
      </c>
      <c r="V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" s="5">
        <f>IF(tblOrdenes[[#This Row],[centro_costo]]="","",_xlfn.XLOOKUP(tblOrdenes[[#This Row],[centro_costo]],tblCECO[codigo],tblCECO[linea],"(sin catálogo)"))</f>
        <v/>
      </c>
      <c r="X93" s="5">
        <f>IF(tblOrdenes[[#This Row],[centro_costo]]="","",_xlfn.XLOOKUP(tblOrdenes[[#This Row],[centro_costo]],tblCECO[codigo],tblCECO[area],"(sin catálogo)"))</f>
        <v/>
      </c>
      <c r="Y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" s="5">
        <f>IF(tblOrdenes[[#This Row],[centro_costo]]="","",_xlfn.XLOOKUP(tblOrdenes[[#This Row],[centro_costo]],tblCECO[codigo],tblCECO[coordinador],"(sin catálogo)"))</f>
        <v/>
      </c>
      <c r="AA93" s="5">
        <f>IF(tblOrdenes[[#This Row],[puesto_trabajo]]="","",_xlfn.XLOOKUP(tblOrdenes[[#This Row],[puesto_trabajo]],tblPuestos[codigo],tblPuestos[especialidad],"(sin catálogo)"))</f>
        <v/>
      </c>
      <c r="AB93" s="5">
        <f>IF(tblOrdenes[[#This Row],[cod_actividad]]="","",_xlfn.XLOOKUP(tblOrdenes[[#This Row],[cod_actividad]],tblActividades[codigo],tblActividades[descripcion],"(sin catálogo)"))</f>
        <v/>
      </c>
      <c r="AC93" s="20">
        <f>IF(tblOrdenes[[#This Row],[fecha_inicio]]="","",TODAY()-tblOrdenes[[#This Row],[fecha_inicio]])</f>
        <v/>
      </c>
      <c r="AD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" s="5">
        <f>IF(tblOrdenes[[#This Row],[backlog_habiles]]="","",IF(tblOrdenes[[#This Row],[backlog_habiles]]&lt;0,"FUTURO",IF(tblOrdenes[[#This Row],[backlog_habiles]]&gt;p_dias_backlog_max,"BACKLOG","MES CORRIENTE")))</f>
        <v/>
      </c>
      <c r="AF93" s="5">
        <f>IF(tblOrdenes[[#This Row],[backlog_habiles]]="",FALSE,AND(tblOrdenes[[#This Row],[backlog_habiles]]&gt;p_dias_backlog_min,tblOrdenes[[#This Row],[backlog_habiles]]&lt;=p_dias_backlog_max))</f>
        <v/>
      </c>
      <c r="AG93" s="4" t="inlineStr">
        <is>
          <t>Daniela Medina</t>
        </is>
      </c>
      <c r="AH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" s="18">
        <f>IF(tblOrdenes[[#This Row],[orden]]="","",_xlfn.XLOOKUP(tblOrdenes[[#This Row],[id_operacion]],tblEjecucion[id_operacion],tblEjecucion[precio],0))</f>
        <v/>
      </c>
      <c r="AL93" s="18">
        <f>IF(tblOrdenes[[#This Row],[orden]]="","",MAX(0,_xlfn.XLOOKUP(tblOrdenes[[#This Row],[id_operacion]],tblEjecucion[id_operacion],tblEjecucion[costo_plan_total],0)-tblOrdenes[[#This Row],[costo_servicio]]))</f>
        <v/>
      </c>
      <c r="AM93" s="18">
        <f>IF(tblOrdenes[[#This Row],[orden]]="","",tblOrdenes[[#This Row],[costo_servicio]]+tblOrdenes[[#This Row],[costo_materiales]])</f>
        <v/>
      </c>
      <c r="AN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" s="4" t="inlineStr"/>
      <c r="AP93" s="4" t="inlineStr"/>
      <c r="AQ93" s="4" t="inlineStr"/>
      <c r="AR93" s="5">
        <f>IF(tblOrdenes[[#This Row],[link_checklist]]="","",HYPERLINK(p_ruta_base_checklists&amp;tblOrdenes[[#This Row],[link_checklist]],"abrir"))</f>
        <v/>
      </c>
      <c r="AS93" s="4" t="inlineStr"/>
      <c r="AT93" s="5">
        <f>IF(tblOrdenes[[#This Row],[orden]]="","",tblOrdenes[[#This Row],[orden]]&amp;IF(tblOrdenes[[#This Row],[operacion]]="","0010",tblOrdenes[[#This Row],[operacion]]))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TIPO-P1</t>
        </is>
      </c>
      <c r="J94" s="22" t="n">
        <v>46230</v>
      </c>
      <c r="K94" s="5" t="n">
        <v>10</v>
      </c>
      <c r="L94" s="18" t="n">
        <v>250</v>
      </c>
      <c r="M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5">
        <f>IF(tblOrdenes[[#This Row],[fecha_inicio]]="","",YEAR(tblOrdenes[[#This Row],[fecha_inicio]]))</f>
        <v/>
      </c>
      <c r="Q94" s="5">
        <f>IF(tblOrdenes[[#This Row],[fecha_inicio]]="","",MONTH(tblOrdenes[[#This Row],[fecha_inicio]]))</f>
        <v/>
      </c>
      <c r="R94" s="5">
        <f>IF(tblOrdenes[[#This Row],[fecha_inicio]]="","",tblOrdenes[[#This Row],[anio]]&amp;"-"&amp;TEXT(tblOrdenes[[#This Row],[mes]],"00"))</f>
        <v/>
      </c>
      <c r="S94" s="5">
        <f>IF(tblOrdenes[[#This Row],[fecha_inicio]]="","",INDEX(lista_dias,WEEKDAY(tblOrdenes[[#This Row],[fecha_inicio]],2)))</f>
        <v/>
      </c>
      <c r="T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" s="5">
        <f>IF(tblOrdenes[[#This Row],[tipo_ot]]="","",_xlfn.XLOOKUP(tblOrdenes[[#This Row],[tipo_ot]],tblTiposOT[codigo],tblTiposOT[clasificacion],"sin_clasificar"))</f>
        <v/>
      </c>
      <c r="V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" s="5">
        <f>IF(tblOrdenes[[#This Row],[centro_costo]]="","",_xlfn.XLOOKUP(tblOrdenes[[#This Row],[centro_costo]],tblCECO[codigo],tblCECO[linea],"(sin catálogo)"))</f>
        <v/>
      </c>
      <c r="X94" s="5">
        <f>IF(tblOrdenes[[#This Row],[centro_costo]]="","",_xlfn.XLOOKUP(tblOrdenes[[#This Row],[centro_costo]],tblCECO[codigo],tblCECO[area],"(sin catálogo)"))</f>
        <v/>
      </c>
      <c r="Y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" s="5">
        <f>IF(tblOrdenes[[#This Row],[centro_costo]]="","",_xlfn.XLOOKUP(tblOrdenes[[#This Row],[centro_costo]],tblCECO[codigo],tblCECO[coordinador],"(sin catálogo)"))</f>
        <v/>
      </c>
      <c r="AA94" s="5">
        <f>IF(tblOrdenes[[#This Row],[puesto_trabajo]]="","",_xlfn.XLOOKUP(tblOrdenes[[#This Row],[puesto_trabajo]],tblPuestos[codigo],tblPuestos[especialidad],"(sin catálogo)"))</f>
        <v/>
      </c>
      <c r="AB94" s="5">
        <f>IF(tblOrdenes[[#This Row],[cod_actividad]]="","",_xlfn.XLOOKUP(tblOrdenes[[#This Row],[cod_actividad]],tblActividades[codigo],tblActividades[descripcion],"(sin catálogo)"))</f>
        <v/>
      </c>
      <c r="AC94" s="20">
        <f>IF(tblOrdenes[[#This Row],[fecha_inicio]]="","",TODAY()-tblOrdenes[[#This Row],[fecha_inicio]])</f>
        <v/>
      </c>
      <c r="AD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" s="5">
        <f>IF(tblOrdenes[[#This Row],[backlog_habiles]]="","",IF(tblOrdenes[[#This Row],[backlog_habiles]]&lt;0,"FUTURO",IF(tblOrdenes[[#This Row],[backlog_habiles]]&gt;p_dias_backlog_max,"BACKLOG","MES CORRIENTE")))</f>
        <v/>
      </c>
      <c r="AF94" s="5">
        <f>IF(tblOrdenes[[#This Row],[backlog_habiles]]="",FALSE,AND(tblOrdenes[[#This Row],[backlog_habiles]]&gt;p_dias_backlog_min,tblOrdenes[[#This Row],[backlog_habiles]]&lt;=p_dias_backlog_max))</f>
        <v/>
      </c>
      <c r="AG94" s="4" t="inlineStr">
        <is>
          <t>Alberto Vargas</t>
        </is>
      </c>
      <c r="AH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" s="18">
        <f>IF(tblOrdenes[[#This Row],[orden]]="","",_xlfn.XLOOKUP(tblOrdenes[[#This Row],[id_operacion]],tblEjecucion[id_operacion],tblEjecucion[precio],0))</f>
        <v/>
      </c>
      <c r="AL94" s="18">
        <f>IF(tblOrdenes[[#This Row],[orden]]="","",MAX(0,_xlfn.XLOOKUP(tblOrdenes[[#This Row],[id_operacion]],tblEjecucion[id_operacion],tblEjecucion[costo_plan_total],0)-tblOrdenes[[#This Row],[costo_servicio]]))</f>
        <v/>
      </c>
      <c r="AM94" s="18">
        <f>IF(tblOrdenes[[#This Row],[orden]]="","",tblOrdenes[[#This Row],[costo_servicio]]+tblOrdenes[[#This Row],[costo_materiales]])</f>
        <v/>
      </c>
      <c r="AN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" s="4" t="inlineStr"/>
      <c r="AP94" s="4" t="inlineStr"/>
      <c r="AQ94" s="4" t="inlineStr">
        <is>
          <t>ACT-02.pdf</t>
        </is>
      </c>
      <c r="AR94" s="5">
        <f>IF(tblOrdenes[[#This Row],[link_checklist]]="","",HYPERLINK(p_ruta_base_checklists&amp;tblOrdenes[[#This Row],[link_checklist]],"abrir"))</f>
        <v/>
      </c>
      <c r="AS94" s="4" t="inlineStr"/>
      <c r="AT94" s="5">
        <f>IF(tblOrdenes[[#This Row],[orden]]="","",tblOrdenes[[#This Row],[orden]]&amp;IF(tblOrdenes[[#This Row],[operacion]]="","0010",tblOrdenes[[#This Row],[operacion]]))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TIPO-P2</t>
        </is>
      </c>
      <c r="J95" s="22" t="n">
        <v>46231</v>
      </c>
      <c r="K95" s="5" t="n">
        <v>8</v>
      </c>
      <c r="L95" s="18" t="n">
        <v>200</v>
      </c>
      <c r="M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5">
        <f>IF(tblOrdenes[[#This Row],[fecha_inicio]]="","",YEAR(tblOrdenes[[#This Row],[fecha_inicio]]))</f>
        <v/>
      </c>
      <c r="Q95" s="5">
        <f>IF(tblOrdenes[[#This Row],[fecha_inicio]]="","",MONTH(tblOrdenes[[#This Row],[fecha_inicio]]))</f>
        <v/>
      </c>
      <c r="R95" s="5">
        <f>IF(tblOrdenes[[#This Row],[fecha_inicio]]="","",tblOrdenes[[#This Row],[anio]]&amp;"-"&amp;TEXT(tblOrdenes[[#This Row],[mes]],"00"))</f>
        <v/>
      </c>
      <c r="S95" s="5">
        <f>IF(tblOrdenes[[#This Row],[fecha_inicio]]="","",INDEX(lista_dias,WEEKDAY(tblOrdenes[[#This Row],[fecha_inicio]],2)))</f>
        <v/>
      </c>
      <c r="T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" s="5">
        <f>IF(tblOrdenes[[#This Row],[tipo_ot]]="","",_xlfn.XLOOKUP(tblOrdenes[[#This Row],[tipo_ot]],tblTiposOT[codigo],tblTiposOT[clasificacion],"sin_clasificar"))</f>
        <v/>
      </c>
      <c r="V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" s="5">
        <f>IF(tblOrdenes[[#This Row],[centro_costo]]="","",_xlfn.XLOOKUP(tblOrdenes[[#This Row],[centro_costo]],tblCECO[codigo],tblCECO[linea],"(sin catálogo)"))</f>
        <v/>
      </c>
      <c r="X95" s="5">
        <f>IF(tblOrdenes[[#This Row],[centro_costo]]="","",_xlfn.XLOOKUP(tblOrdenes[[#This Row],[centro_costo]],tblCECO[codigo],tblCECO[area],"(sin catálogo)"))</f>
        <v/>
      </c>
      <c r="Y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" s="5">
        <f>IF(tblOrdenes[[#This Row],[centro_costo]]="","",_xlfn.XLOOKUP(tblOrdenes[[#This Row],[centro_costo]],tblCECO[codigo],tblCECO[coordinador],"(sin catálogo)"))</f>
        <v/>
      </c>
      <c r="AA95" s="5">
        <f>IF(tblOrdenes[[#This Row],[puesto_trabajo]]="","",_xlfn.XLOOKUP(tblOrdenes[[#This Row],[puesto_trabajo]],tblPuestos[codigo],tblPuestos[especialidad],"(sin catálogo)"))</f>
        <v/>
      </c>
      <c r="AB95" s="5">
        <f>IF(tblOrdenes[[#This Row],[cod_actividad]]="","",_xlfn.XLOOKUP(tblOrdenes[[#This Row],[cod_actividad]],tblActividades[codigo],tblActividades[descripcion],"(sin catálogo)"))</f>
        <v/>
      </c>
      <c r="AC95" s="20">
        <f>IF(tblOrdenes[[#This Row],[fecha_inicio]]="","",TODAY()-tblOrdenes[[#This Row],[fecha_inicio]])</f>
        <v/>
      </c>
      <c r="AD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" s="5">
        <f>IF(tblOrdenes[[#This Row],[backlog_habiles]]="","",IF(tblOrdenes[[#This Row],[backlog_habiles]]&lt;0,"FUTURO",IF(tblOrdenes[[#This Row],[backlog_habiles]]&gt;p_dias_backlog_max,"BACKLOG","MES CORRIENTE")))</f>
        <v/>
      </c>
      <c r="AF95" s="5">
        <f>IF(tblOrdenes[[#This Row],[backlog_habiles]]="",FALSE,AND(tblOrdenes[[#This Row],[backlog_habiles]]&gt;p_dias_backlog_min,tblOrdenes[[#This Row],[backlog_habiles]]&lt;=p_dias_backlog_max))</f>
        <v/>
      </c>
      <c r="AG95" s="4" t="inlineStr">
        <is>
          <t>Daniela Medina</t>
        </is>
      </c>
      <c r="AH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" s="18">
        <f>IF(tblOrdenes[[#This Row],[orden]]="","",_xlfn.XLOOKUP(tblOrdenes[[#This Row],[id_operacion]],tblEjecucion[id_operacion],tblEjecucion[precio],0))</f>
        <v/>
      </c>
      <c r="AL95" s="18">
        <f>IF(tblOrdenes[[#This Row],[orden]]="","",MAX(0,_xlfn.XLOOKUP(tblOrdenes[[#This Row],[id_operacion]],tblEjecucion[id_operacion],tblEjecucion[costo_plan_total],0)-tblOrdenes[[#This Row],[costo_servicio]]))</f>
        <v/>
      </c>
      <c r="AM95" s="18">
        <f>IF(tblOrdenes[[#This Row],[orden]]="","",tblOrdenes[[#This Row],[costo_servicio]]+tblOrdenes[[#This Row],[costo_materiales]])</f>
        <v/>
      </c>
      <c r="AN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" s="4" t="inlineStr"/>
      <c r="AP95" s="4" t="inlineStr"/>
      <c r="AQ95" s="4" t="inlineStr">
        <is>
          <t>ACT-04.pdf</t>
        </is>
      </c>
      <c r="AR95" s="5">
        <f>IF(tblOrdenes[[#This Row],[link_checklist]]="","",HYPERLINK(p_ruta_base_checklists&amp;tblOrdenes[[#This Row],[link_checklist]],"abrir"))</f>
        <v/>
      </c>
      <c r="AS95" s="4" t="inlineStr"/>
      <c r="AT95" s="5">
        <f>IF(tblOrdenes[[#This Row],[orden]]="","",tblOrdenes[[#This Row],[orden]]&amp;IF(tblOrdenes[[#This Row],[operacion]]="","0010",tblOrdenes[[#This Row],[operacion]]))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TIPO-P1</t>
        </is>
      </c>
      <c r="J96" s="22" t="n">
        <v>46232</v>
      </c>
      <c r="K96" s="5" t="n">
        <v>6</v>
      </c>
      <c r="L96" s="18" t="n">
        <v>150</v>
      </c>
      <c r="M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5">
        <f>IF(tblOrdenes[[#This Row],[fecha_inicio]]="","",YEAR(tblOrdenes[[#This Row],[fecha_inicio]]))</f>
        <v/>
      </c>
      <c r="Q96" s="5">
        <f>IF(tblOrdenes[[#This Row],[fecha_inicio]]="","",MONTH(tblOrdenes[[#This Row],[fecha_inicio]]))</f>
        <v/>
      </c>
      <c r="R96" s="5">
        <f>IF(tblOrdenes[[#This Row],[fecha_inicio]]="","",tblOrdenes[[#This Row],[anio]]&amp;"-"&amp;TEXT(tblOrdenes[[#This Row],[mes]],"00"))</f>
        <v/>
      </c>
      <c r="S96" s="5">
        <f>IF(tblOrdenes[[#This Row],[fecha_inicio]]="","",INDEX(lista_dias,WEEKDAY(tblOrdenes[[#This Row],[fecha_inicio]],2)))</f>
        <v/>
      </c>
      <c r="T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" s="5">
        <f>IF(tblOrdenes[[#This Row],[tipo_ot]]="","",_xlfn.XLOOKUP(tblOrdenes[[#This Row],[tipo_ot]],tblTiposOT[codigo],tblTiposOT[clasificacion],"sin_clasificar"))</f>
        <v/>
      </c>
      <c r="V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" s="5">
        <f>IF(tblOrdenes[[#This Row],[centro_costo]]="","",_xlfn.XLOOKUP(tblOrdenes[[#This Row],[centro_costo]],tblCECO[codigo],tblCECO[linea],"(sin catálogo)"))</f>
        <v/>
      </c>
      <c r="X96" s="5">
        <f>IF(tblOrdenes[[#This Row],[centro_costo]]="","",_xlfn.XLOOKUP(tblOrdenes[[#This Row],[centro_costo]],tblCECO[codigo],tblCECO[area],"(sin catálogo)"))</f>
        <v/>
      </c>
      <c r="Y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" s="5">
        <f>IF(tblOrdenes[[#This Row],[centro_costo]]="","",_xlfn.XLOOKUP(tblOrdenes[[#This Row],[centro_costo]],tblCECO[codigo],tblCECO[coordinador],"(sin catálogo)"))</f>
        <v/>
      </c>
      <c r="AA96" s="5">
        <f>IF(tblOrdenes[[#This Row],[puesto_trabajo]]="","",_xlfn.XLOOKUP(tblOrdenes[[#This Row],[puesto_trabajo]],tblPuestos[codigo],tblPuestos[especialidad],"(sin catálogo)"))</f>
        <v/>
      </c>
      <c r="AB96" s="5">
        <f>IF(tblOrdenes[[#This Row],[cod_actividad]]="","",_xlfn.XLOOKUP(tblOrdenes[[#This Row],[cod_actividad]],tblActividades[codigo],tblActividades[descripcion],"(sin catálogo)"))</f>
        <v/>
      </c>
      <c r="AC96" s="20">
        <f>IF(tblOrdenes[[#This Row],[fecha_inicio]]="","",TODAY()-tblOrdenes[[#This Row],[fecha_inicio]])</f>
        <v/>
      </c>
      <c r="AD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" s="5">
        <f>IF(tblOrdenes[[#This Row],[backlog_habiles]]="","",IF(tblOrdenes[[#This Row],[backlog_habiles]]&lt;0,"FUTURO",IF(tblOrdenes[[#This Row],[backlog_habiles]]&gt;p_dias_backlog_max,"BACKLOG","MES CORRIENTE")))</f>
        <v/>
      </c>
      <c r="AF96" s="5">
        <f>IF(tblOrdenes[[#This Row],[backlog_habiles]]="",FALSE,AND(tblOrdenes[[#This Row],[backlog_habiles]]&gt;p_dias_backlog_min,tblOrdenes[[#This Row],[backlog_habiles]]&lt;=p_dias_backlog_max))</f>
        <v/>
      </c>
      <c r="AG96" s="4" t="inlineStr">
        <is>
          <t>Alberto Vargas</t>
        </is>
      </c>
      <c r="AH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" s="18">
        <f>IF(tblOrdenes[[#This Row],[orden]]="","",_xlfn.XLOOKUP(tblOrdenes[[#This Row],[id_operacion]],tblEjecucion[id_operacion],tblEjecucion[precio],0))</f>
        <v/>
      </c>
      <c r="AL96" s="18">
        <f>IF(tblOrdenes[[#This Row],[orden]]="","",MAX(0,_xlfn.XLOOKUP(tblOrdenes[[#This Row],[id_operacion]],tblEjecucion[id_operacion],tblEjecucion[costo_plan_total],0)-tblOrdenes[[#This Row],[costo_servicio]]))</f>
        <v/>
      </c>
      <c r="AM96" s="18">
        <f>IF(tblOrdenes[[#This Row],[orden]]="","",tblOrdenes[[#This Row],[costo_servicio]]+tblOrdenes[[#This Row],[costo_materiales]])</f>
        <v/>
      </c>
      <c r="AN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" s="4" t="inlineStr"/>
      <c r="AP96" s="4" t="inlineStr"/>
      <c r="AQ96" s="4" t="inlineStr">
        <is>
          <t>ACT-01.pdf</t>
        </is>
      </c>
      <c r="AR96" s="5">
        <f>IF(tblOrdenes[[#This Row],[link_checklist]]="","",HYPERLINK(p_ruta_base_checklists&amp;tblOrdenes[[#This Row],[link_checklist]],"abrir"))</f>
        <v/>
      </c>
      <c r="AS96" s="4" t="inlineStr"/>
      <c r="AT96" s="5">
        <f>IF(tblOrdenes[[#This Row],[orden]]="","",tblOrdenes[[#This Row],[orden]]&amp;IF(tblOrdenes[[#This Row],[operacion]]="","0010",tblOrdenes[[#This Row],[operacion]]))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22" t="n">
        <v>46233</v>
      </c>
      <c r="K97" s="5" t="n">
        <v>10</v>
      </c>
      <c r="L97" s="18" t="n">
        <v>250</v>
      </c>
      <c r="M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5">
        <f>IF(tblOrdenes[[#This Row],[fecha_inicio]]="","",YEAR(tblOrdenes[[#This Row],[fecha_inicio]]))</f>
        <v/>
      </c>
      <c r="Q97" s="5">
        <f>IF(tblOrdenes[[#This Row],[fecha_inicio]]="","",MONTH(tblOrdenes[[#This Row],[fecha_inicio]]))</f>
        <v/>
      </c>
      <c r="R97" s="5">
        <f>IF(tblOrdenes[[#This Row],[fecha_inicio]]="","",tblOrdenes[[#This Row],[anio]]&amp;"-"&amp;TEXT(tblOrdenes[[#This Row],[mes]],"00"))</f>
        <v/>
      </c>
      <c r="S97" s="5">
        <f>IF(tblOrdenes[[#This Row],[fecha_inicio]]="","",INDEX(lista_dias,WEEKDAY(tblOrdenes[[#This Row],[fecha_inicio]],2)))</f>
        <v/>
      </c>
      <c r="T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" s="5">
        <f>IF(tblOrdenes[[#This Row],[tipo_ot]]="","",_xlfn.XLOOKUP(tblOrdenes[[#This Row],[tipo_ot]],tblTiposOT[codigo],tblTiposOT[clasificacion],"sin_clasificar"))</f>
        <v/>
      </c>
      <c r="V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" s="5">
        <f>IF(tblOrdenes[[#This Row],[centro_costo]]="","",_xlfn.XLOOKUP(tblOrdenes[[#This Row],[centro_costo]],tblCECO[codigo],tblCECO[linea],"(sin catálogo)"))</f>
        <v/>
      </c>
      <c r="X97" s="5">
        <f>IF(tblOrdenes[[#This Row],[centro_costo]]="","",_xlfn.XLOOKUP(tblOrdenes[[#This Row],[centro_costo]],tblCECO[codigo],tblCECO[area],"(sin catálogo)"))</f>
        <v/>
      </c>
      <c r="Y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" s="5">
        <f>IF(tblOrdenes[[#This Row],[centro_costo]]="","",_xlfn.XLOOKUP(tblOrdenes[[#This Row],[centro_costo]],tblCECO[codigo],tblCECO[coordinador],"(sin catálogo)"))</f>
        <v/>
      </c>
      <c r="AA97" s="5">
        <f>IF(tblOrdenes[[#This Row],[puesto_trabajo]]="","",_xlfn.XLOOKUP(tblOrdenes[[#This Row],[puesto_trabajo]],tblPuestos[codigo],tblPuestos[especialidad],"(sin catálogo)"))</f>
        <v/>
      </c>
      <c r="AB97" s="5">
        <f>IF(tblOrdenes[[#This Row],[cod_actividad]]="","",_xlfn.XLOOKUP(tblOrdenes[[#This Row],[cod_actividad]],tblActividades[codigo],tblActividades[descripcion],"(sin catálogo)"))</f>
        <v/>
      </c>
      <c r="AC97" s="20">
        <f>IF(tblOrdenes[[#This Row],[fecha_inicio]]="","",TODAY()-tblOrdenes[[#This Row],[fecha_inicio]])</f>
        <v/>
      </c>
      <c r="AD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" s="5">
        <f>IF(tblOrdenes[[#This Row],[backlog_habiles]]="","",IF(tblOrdenes[[#This Row],[backlog_habiles]]&lt;0,"FUTURO",IF(tblOrdenes[[#This Row],[backlog_habiles]]&gt;p_dias_backlog_max,"BACKLOG","MES CORRIENTE")))</f>
        <v/>
      </c>
      <c r="AF97" s="5">
        <f>IF(tblOrdenes[[#This Row],[backlog_habiles]]="",FALSE,AND(tblOrdenes[[#This Row],[backlog_habiles]]&gt;p_dias_backlog_min,tblOrdenes[[#This Row],[backlog_habiles]]&lt;=p_dias_backlog_max))</f>
        <v/>
      </c>
      <c r="AG97" s="4" t="inlineStr">
        <is>
          <t>Daniela Medina</t>
        </is>
      </c>
      <c r="AH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" s="18">
        <f>IF(tblOrdenes[[#This Row],[orden]]="","",_xlfn.XLOOKUP(tblOrdenes[[#This Row],[id_operacion]],tblEjecucion[id_operacion],tblEjecucion[precio],0))</f>
        <v/>
      </c>
      <c r="AL97" s="18">
        <f>IF(tblOrdenes[[#This Row],[orden]]="","",MAX(0,_xlfn.XLOOKUP(tblOrdenes[[#This Row],[id_operacion]],tblEjecucion[id_operacion],tblEjecucion[costo_plan_total],0)-tblOrdenes[[#This Row],[costo_servicio]]))</f>
        <v/>
      </c>
      <c r="AM97" s="18">
        <f>IF(tblOrdenes[[#This Row],[orden]]="","",tblOrdenes[[#This Row],[costo_servicio]]+tblOrdenes[[#This Row],[costo_materiales]])</f>
        <v/>
      </c>
      <c r="AN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" s="4" t="inlineStr"/>
      <c r="AP97" s="4" t="inlineStr"/>
      <c r="AQ97" s="4" t="inlineStr">
        <is>
          <t>ACT-02.pdf</t>
        </is>
      </c>
      <c r="AR97" s="5">
        <f>IF(tblOrdenes[[#This Row],[link_checklist]]="","",HYPERLINK(p_ruta_base_checklists&amp;tblOrdenes[[#This Row],[link_checklist]],"abrir"))</f>
        <v/>
      </c>
      <c r="AS97" s="4" t="inlineStr"/>
      <c r="AT97" s="5">
        <f>IF(tblOrdenes[[#This Row],[orden]]="","",tblOrdenes[[#This Row],[orden]]&amp;IF(tblOrdenes[[#This Row],[operacion]]="","0010",tblOrdenes[[#This Row],[operacion]]))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22" t="n">
        <v>46234</v>
      </c>
      <c r="K98" s="5" t="n">
        <v>11</v>
      </c>
      <c r="L98" s="18" t="n">
        <v>275</v>
      </c>
      <c r="M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5">
        <f>IF(tblOrdenes[[#This Row],[fecha_inicio]]="","",YEAR(tblOrdenes[[#This Row],[fecha_inicio]]))</f>
        <v/>
      </c>
      <c r="Q98" s="5">
        <f>IF(tblOrdenes[[#This Row],[fecha_inicio]]="","",MONTH(tblOrdenes[[#This Row],[fecha_inicio]]))</f>
        <v/>
      </c>
      <c r="R98" s="5">
        <f>IF(tblOrdenes[[#This Row],[fecha_inicio]]="","",tblOrdenes[[#This Row],[anio]]&amp;"-"&amp;TEXT(tblOrdenes[[#This Row],[mes]],"00"))</f>
        <v/>
      </c>
      <c r="S98" s="5">
        <f>IF(tblOrdenes[[#This Row],[fecha_inicio]]="","",INDEX(lista_dias,WEEKDAY(tblOrdenes[[#This Row],[fecha_inicio]],2)))</f>
        <v/>
      </c>
      <c r="T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" s="5">
        <f>IF(tblOrdenes[[#This Row],[tipo_ot]]="","",_xlfn.XLOOKUP(tblOrdenes[[#This Row],[tipo_ot]],tblTiposOT[codigo],tblTiposOT[clasificacion],"sin_clasificar"))</f>
        <v/>
      </c>
      <c r="V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" s="5">
        <f>IF(tblOrdenes[[#This Row],[centro_costo]]="","",_xlfn.XLOOKUP(tblOrdenes[[#This Row],[centro_costo]],tblCECO[codigo],tblCECO[linea],"(sin catálogo)"))</f>
        <v/>
      </c>
      <c r="X98" s="5">
        <f>IF(tblOrdenes[[#This Row],[centro_costo]]="","",_xlfn.XLOOKUP(tblOrdenes[[#This Row],[centro_costo]],tblCECO[codigo],tblCECO[area],"(sin catálogo)"))</f>
        <v/>
      </c>
      <c r="Y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" s="5">
        <f>IF(tblOrdenes[[#This Row],[centro_costo]]="","",_xlfn.XLOOKUP(tblOrdenes[[#This Row],[centro_costo]],tblCECO[codigo],tblCECO[coordinador],"(sin catálogo)"))</f>
        <v/>
      </c>
      <c r="AA98" s="5">
        <f>IF(tblOrdenes[[#This Row],[puesto_trabajo]]="","",_xlfn.XLOOKUP(tblOrdenes[[#This Row],[puesto_trabajo]],tblPuestos[codigo],tblPuestos[especialidad],"(sin catálogo)"))</f>
        <v/>
      </c>
      <c r="AB98" s="5">
        <f>IF(tblOrdenes[[#This Row],[cod_actividad]]="","",_xlfn.XLOOKUP(tblOrdenes[[#This Row],[cod_actividad]],tblActividades[codigo],tblActividades[descripcion],"(sin catálogo)"))</f>
        <v/>
      </c>
      <c r="AC98" s="20">
        <f>IF(tblOrdenes[[#This Row],[fecha_inicio]]="","",TODAY()-tblOrdenes[[#This Row],[fecha_inicio]])</f>
        <v/>
      </c>
      <c r="AD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" s="5">
        <f>IF(tblOrdenes[[#This Row],[backlog_habiles]]="","",IF(tblOrdenes[[#This Row],[backlog_habiles]]&lt;0,"FUTURO",IF(tblOrdenes[[#This Row],[backlog_habiles]]&gt;p_dias_backlog_max,"BACKLOG","MES CORRIENTE")))</f>
        <v/>
      </c>
      <c r="AF98" s="5">
        <f>IF(tblOrdenes[[#This Row],[backlog_habiles]]="",FALSE,AND(tblOrdenes[[#This Row],[backlog_habiles]]&gt;p_dias_backlog_min,tblOrdenes[[#This Row],[backlog_habiles]]&lt;=p_dias_backlog_max))</f>
        <v/>
      </c>
      <c r="AG98" s="4" t="inlineStr">
        <is>
          <t>Alberto Vargas</t>
        </is>
      </c>
      <c r="AH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" s="18">
        <f>IF(tblOrdenes[[#This Row],[orden]]="","",_xlfn.XLOOKUP(tblOrdenes[[#This Row],[id_operacion]],tblEjecucion[id_operacion],tblEjecucion[precio],0))</f>
        <v/>
      </c>
      <c r="AL98" s="18">
        <f>IF(tblOrdenes[[#This Row],[orden]]="","",MAX(0,_xlfn.XLOOKUP(tblOrdenes[[#This Row],[id_operacion]],tblEjecucion[id_operacion],tblEjecucion[costo_plan_total],0)-tblOrdenes[[#This Row],[costo_servicio]]))</f>
        <v/>
      </c>
      <c r="AM98" s="18">
        <f>IF(tblOrdenes[[#This Row],[orden]]="","",tblOrdenes[[#This Row],[costo_servicio]]+tblOrdenes[[#This Row],[costo_materiales]])</f>
        <v/>
      </c>
      <c r="AN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" s="4" t="inlineStr"/>
      <c r="AP98" s="4" t="inlineStr"/>
      <c r="AQ98" s="4" t="inlineStr">
        <is>
          <t>ACT-04.pdf</t>
        </is>
      </c>
      <c r="AR98" s="5">
        <f>IF(tblOrdenes[[#This Row],[link_checklist]]="","",HYPERLINK(p_ruta_base_checklists&amp;tblOrdenes[[#This Row],[link_checklist]],"abrir"))</f>
        <v/>
      </c>
      <c r="AS98" s="4" t="inlineStr"/>
      <c r="AT98" s="5">
        <f>IF(tblOrdenes[[#This Row],[orden]]="","",tblOrdenes[[#This Row],[orden]]&amp;IF(tblOrdenes[[#This Row],[operacion]]="","0010",tblOrdenes[[#This Row],[operacion]]))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22" t="n">
        <v>46230</v>
      </c>
      <c r="K99" s="5" t="n">
        <v>10</v>
      </c>
      <c r="L99" s="18" t="n">
        <v>400</v>
      </c>
      <c r="M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5">
        <f>IF(tblOrdenes[[#This Row],[fecha_inicio]]="","",YEAR(tblOrdenes[[#This Row],[fecha_inicio]]))</f>
        <v/>
      </c>
      <c r="Q99" s="5">
        <f>IF(tblOrdenes[[#This Row],[fecha_inicio]]="","",MONTH(tblOrdenes[[#This Row],[fecha_inicio]]))</f>
        <v/>
      </c>
      <c r="R99" s="5">
        <f>IF(tblOrdenes[[#This Row],[fecha_inicio]]="","",tblOrdenes[[#This Row],[anio]]&amp;"-"&amp;TEXT(tblOrdenes[[#This Row],[mes]],"00"))</f>
        <v/>
      </c>
      <c r="S99" s="5">
        <f>IF(tblOrdenes[[#This Row],[fecha_inicio]]="","",INDEX(lista_dias,WEEKDAY(tblOrdenes[[#This Row],[fecha_inicio]],2)))</f>
        <v/>
      </c>
      <c r="T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" s="5">
        <f>IF(tblOrdenes[[#This Row],[tipo_ot]]="","",_xlfn.XLOOKUP(tblOrdenes[[#This Row],[tipo_ot]],tblTiposOT[codigo],tblTiposOT[clasificacion],"sin_clasificar"))</f>
        <v/>
      </c>
      <c r="V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" s="5">
        <f>IF(tblOrdenes[[#This Row],[centro_costo]]="","",_xlfn.XLOOKUP(tblOrdenes[[#This Row],[centro_costo]],tblCECO[codigo],tblCECO[linea],"(sin catálogo)"))</f>
        <v/>
      </c>
      <c r="X99" s="5">
        <f>IF(tblOrdenes[[#This Row],[centro_costo]]="","",_xlfn.XLOOKUP(tblOrdenes[[#This Row],[centro_costo]],tblCECO[codigo],tblCECO[area],"(sin catálogo)"))</f>
        <v/>
      </c>
      <c r="Y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" s="5">
        <f>IF(tblOrdenes[[#This Row],[centro_costo]]="","",_xlfn.XLOOKUP(tblOrdenes[[#This Row],[centro_costo]],tblCECO[codigo],tblCECO[coordinador],"(sin catálogo)"))</f>
        <v/>
      </c>
      <c r="AA99" s="5">
        <f>IF(tblOrdenes[[#This Row],[puesto_trabajo]]="","",_xlfn.XLOOKUP(tblOrdenes[[#This Row],[puesto_trabajo]],tblPuestos[codigo],tblPuestos[especialidad],"(sin catálogo)"))</f>
        <v/>
      </c>
      <c r="AB99" s="5">
        <f>IF(tblOrdenes[[#This Row],[cod_actividad]]="","",_xlfn.XLOOKUP(tblOrdenes[[#This Row],[cod_actividad]],tblActividades[codigo],tblActividades[descripcion],"(sin catálogo)"))</f>
        <v/>
      </c>
      <c r="AC99" s="20">
        <f>IF(tblOrdenes[[#This Row],[fecha_inicio]]="","",TODAY()-tblOrdenes[[#This Row],[fecha_inicio]])</f>
        <v/>
      </c>
      <c r="AD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" s="5">
        <f>IF(tblOrdenes[[#This Row],[backlog_habiles]]="","",IF(tblOrdenes[[#This Row],[backlog_habiles]]&lt;0,"FUTURO",IF(tblOrdenes[[#This Row],[backlog_habiles]]&gt;p_dias_backlog_max,"BACKLOG","MES CORRIENTE")))</f>
        <v/>
      </c>
      <c r="AF99" s="5">
        <f>IF(tblOrdenes[[#This Row],[backlog_habiles]]="",FALSE,AND(tblOrdenes[[#This Row],[backlog_habiles]]&gt;p_dias_backlog_min,tblOrdenes[[#This Row],[backlog_habiles]]&lt;=p_dias_backlog_max))</f>
        <v/>
      </c>
      <c r="AG99" s="4" t="inlineStr"/>
      <c r="AH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" s="18">
        <f>IF(tblOrdenes[[#This Row],[orden]]="","",_xlfn.XLOOKUP(tblOrdenes[[#This Row],[id_operacion]],tblEjecucion[id_operacion],tblEjecucion[precio],0))</f>
        <v/>
      </c>
      <c r="AL99" s="18">
        <f>IF(tblOrdenes[[#This Row],[orden]]="","",MAX(0,_xlfn.XLOOKUP(tblOrdenes[[#This Row],[id_operacion]],tblEjecucion[id_operacion],tblEjecucion[costo_plan_total],0)-tblOrdenes[[#This Row],[costo_servicio]]))</f>
        <v/>
      </c>
      <c r="AM99" s="18">
        <f>IF(tblOrdenes[[#This Row],[orden]]="","",tblOrdenes[[#This Row],[costo_servicio]]+tblOrdenes[[#This Row],[costo_materiales]])</f>
        <v/>
      </c>
      <c r="AN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" s="4" t="inlineStr">
        <is>
          <t>PT-CALIENTE</t>
        </is>
      </c>
      <c r="AP99" s="4" t="inlineStr">
        <is>
          <t>LOTO</t>
        </is>
      </c>
      <c r="AQ99" s="4" t="inlineStr"/>
      <c r="AR99" s="5">
        <f>IF(tblOrdenes[[#This Row],[link_checklist]]="","",HYPERLINK(p_ruta_base_checklists&amp;tblOrdenes[[#This Row],[link_checklist]],"abrir"))</f>
        <v/>
      </c>
      <c r="AS99" s="4" t="inlineStr"/>
      <c r="AT99" s="5">
        <f>IF(tblOrdenes[[#This Row],[orden]]="","",tblOrdenes[[#This Row],[orden]]&amp;IF(tblOrdenes[[#This Row],[operacion]]="","0010",tblOrdenes[[#This Row],[operacion]]))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TIPO-P1</t>
        </is>
      </c>
      <c r="J100" s="22" t="n">
        <v>46238</v>
      </c>
      <c r="K100" s="5" t="n">
        <v>10</v>
      </c>
      <c r="L100" s="18" t="n">
        <v>250</v>
      </c>
      <c r="M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5">
        <f>IF(tblOrdenes[[#This Row],[fecha_inicio]]="","",YEAR(tblOrdenes[[#This Row],[fecha_inicio]]))</f>
        <v/>
      </c>
      <c r="Q100" s="5">
        <f>IF(tblOrdenes[[#This Row],[fecha_inicio]]="","",MONTH(tblOrdenes[[#This Row],[fecha_inicio]]))</f>
        <v/>
      </c>
      <c r="R100" s="5">
        <f>IF(tblOrdenes[[#This Row],[fecha_inicio]]="","",tblOrdenes[[#This Row],[anio]]&amp;"-"&amp;TEXT(tblOrdenes[[#This Row],[mes]],"00"))</f>
        <v/>
      </c>
      <c r="S100" s="5">
        <f>IF(tblOrdenes[[#This Row],[fecha_inicio]]="","",INDEX(lista_dias,WEEKDAY(tblOrdenes[[#This Row],[fecha_inicio]],2)))</f>
        <v/>
      </c>
      <c r="T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" s="5">
        <f>IF(tblOrdenes[[#This Row],[tipo_ot]]="","",_xlfn.XLOOKUP(tblOrdenes[[#This Row],[tipo_ot]],tblTiposOT[codigo],tblTiposOT[clasificacion],"sin_clasificar"))</f>
        <v/>
      </c>
      <c r="V1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" s="5">
        <f>IF(tblOrdenes[[#This Row],[centro_costo]]="","",_xlfn.XLOOKUP(tblOrdenes[[#This Row],[centro_costo]],tblCECO[codigo],tblCECO[linea],"(sin catálogo)"))</f>
        <v/>
      </c>
      <c r="X100" s="5">
        <f>IF(tblOrdenes[[#This Row],[centro_costo]]="","",_xlfn.XLOOKUP(tblOrdenes[[#This Row],[centro_costo]],tblCECO[codigo],tblCECO[area],"(sin catálogo)"))</f>
        <v/>
      </c>
      <c r="Y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" s="5">
        <f>IF(tblOrdenes[[#This Row],[centro_costo]]="","",_xlfn.XLOOKUP(tblOrdenes[[#This Row],[centro_costo]],tblCECO[codigo],tblCECO[coordinador],"(sin catálogo)"))</f>
        <v/>
      </c>
      <c r="AA100" s="5">
        <f>IF(tblOrdenes[[#This Row],[puesto_trabajo]]="","",_xlfn.XLOOKUP(tblOrdenes[[#This Row],[puesto_trabajo]],tblPuestos[codigo],tblPuestos[especialidad],"(sin catálogo)"))</f>
        <v/>
      </c>
      <c r="AB100" s="5">
        <f>IF(tblOrdenes[[#This Row],[cod_actividad]]="","",_xlfn.XLOOKUP(tblOrdenes[[#This Row],[cod_actividad]],tblActividades[codigo],tblActividades[descripcion],"(sin catálogo)"))</f>
        <v/>
      </c>
      <c r="AC100" s="20">
        <f>IF(tblOrdenes[[#This Row],[fecha_inicio]]="","",TODAY()-tblOrdenes[[#This Row],[fecha_inicio]])</f>
        <v/>
      </c>
      <c r="AD1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" s="5">
        <f>IF(tblOrdenes[[#This Row],[backlog_habiles]]="","",IF(tblOrdenes[[#This Row],[backlog_habiles]]&lt;0,"FUTURO",IF(tblOrdenes[[#This Row],[backlog_habiles]]&gt;p_dias_backlog_max,"BACKLOG","MES CORRIENTE")))</f>
        <v/>
      </c>
      <c r="AF100" s="5">
        <f>IF(tblOrdenes[[#This Row],[backlog_habiles]]="",FALSE,AND(tblOrdenes[[#This Row],[backlog_habiles]]&gt;p_dias_backlog_min,tblOrdenes[[#This Row],[backlog_habiles]]&lt;=p_dias_backlog_max))</f>
        <v/>
      </c>
      <c r="AG100" s="4" t="inlineStr">
        <is>
          <t>Alberto Vargas</t>
        </is>
      </c>
      <c r="AH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" s="18">
        <f>IF(tblOrdenes[[#This Row],[orden]]="","",_xlfn.XLOOKUP(tblOrdenes[[#This Row],[id_operacion]],tblEjecucion[id_operacion],tblEjecucion[precio],0))</f>
        <v/>
      </c>
      <c r="AL100" s="18">
        <f>IF(tblOrdenes[[#This Row],[orden]]="","",MAX(0,_xlfn.XLOOKUP(tblOrdenes[[#This Row],[id_operacion]],tblEjecucion[id_operacion],tblEjecucion[costo_plan_total],0)-tblOrdenes[[#This Row],[costo_servicio]]))</f>
        <v/>
      </c>
      <c r="AM100" s="18">
        <f>IF(tblOrdenes[[#This Row],[orden]]="","",tblOrdenes[[#This Row],[costo_servicio]]+tblOrdenes[[#This Row],[costo_materiales]])</f>
        <v/>
      </c>
      <c r="AN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" s="4" t="inlineStr"/>
      <c r="AP100" s="4" t="inlineStr"/>
      <c r="AQ100" s="4" t="inlineStr">
        <is>
          <t>ACT-02.pdf</t>
        </is>
      </c>
      <c r="AR100" s="5">
        <f>IF(tblOrdenes[[#This Row],[link_checklist]]="","",HYPERLINK(p_ruta_base_checklists&amp;tblOrdenes[[#This Row],[link_checklist]],"abrir"))</f>
        <v/>
      </c>
      <c r="AS100" s="4" t="inlineStr"/>
      <c r="AT100" s="5">
        <f>IF(tblOrdenes[[#This Row],[orden]]="","",tblOrdenes[[#This Row],[orden]]&amp;IF(tblOrdenes[[#This Row],[operacion]]="","0010",tblOrdenes[[#This Row],[operacion]]))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TIPO-P2</t>
        </is>
      </c>
      <c r="J101" s="22" t="n">
        <v>46239</v>
      </c>
      <c r="K101" s="5" t="n">
        <v>8</v>
      </c>
      <c r="L101" s="18" t="n">
        <v>200</v>
      </c>
      <c r="M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5">
        <f>IF(tblOrdenes[[#This Row],[fecha_inicio]]="","",YEAR(tblOrdenes[[#This Row],[fecha_inicio]]))</f>
        <v/>
      </c>
      <c r="Q101" s="5">
        <f>IF(tblOrdenes[[#This Row],[fecha_inicio]]="","",MONTH(tblOrdenes[[#This Row],[fecha_inicio]]))</f>
        <v/>
      </c>
      <c r="R101" s="5">
        <f>IF(tblOrdenes[[#This Row],[fecha_inicio]]="","",tblOrdenes[[#This Row],[anio]]&amp;"-"&amp;TEXT(tblOrdenes[[#This Row],[mes]],"00"))</f>
        <v/>
      </c>
      <c r="S101" s="5">
        <f>IF(tblOrdenes[[#This Row],[fecha_inicio]]="","",INDEX(lista_dias,WEEKDAY(tblOrdenes[[#This Row],[fecha_inicio]],2)))</f>
        <v/>
      </c>
      <c r="T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" s="5">
        <f>IF(tblOrdenes[[#This Row],[tipo_ot]]="","",_xlfn.XLOOKUP(tblOrdenes[[#This Row],[tipo_ot]],tblTiposOT[codigo],tblTiposOT[clasificacion],"sin_clasificar"))</f>
        <v/>
      </c>
      <c r="V1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" s="5">
        <f>IF(tblOrdenes[[#This Row],[centro_costo]]="","",_xlfn.XLOOKUP(tblOrdenes[[#This Row],[centro_costo]],tblCECO[codigo],tblCECO[linea],"(sin catálogo)"))</f>
        <v/>
      </c>
      <c r="X101" s="5">
        <f>IF(tblOrdenes[[#This Row],[centro_costo]]="","",_xlfn.XLOOKUP(tblOrdenes[[#This Row],[centro_costo]],tblCECO[codigo],tblCECO[area],"(sin catálogo)"))</f>
        <v/>
      </c>
      <c r="Y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" s="5">
        <f>IF(tblOrdenes[[#This Row],[centro_costo]]="","",_xlfn.XLOOKUP(tblOrdenes[[#This Row],[centro_costo]],tblCECO[codigo],tblCECO[coordinador],"(sin catálogo)"))</f>
        <v/>
      </c>
      <c r="AA101" s="5">
        <f>IF(tblOrdenes[[#This Row],[puesto_trabajo]]="","",_xlfn.XLOOKUP(tblOrdenes[[#This Row],[puesto_trabajo]],tblPuestos[codigo],tblPuestos[especialidad],"(sin catálogo)"))</f>
        <v/>
      </c>
      <c r="AB101" s="5">
        <f>IF(tblOrdenes[[#This Row],[cod_actividad]]="","",_xlfn.XLOOKUP(tblOrdenes[[#This Row],[cod_actividad]],tblActividades[codigo],tblActividades[descripcion],"(sin catálogo)"))</f>
        <v/>
      </c>
      <c r="AC101" s="20">
        <f>IF(tblOrdenes[[#This Row],[fecha_inicio]]="","",TODAY()-tblOrdenes[[#This Row],[fecha_inicio]])</f>
        <v/>
      </c>
      <c r="AD1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" s="5">
        <f>IF(tblOrdenes[[#This Row],[backlog_habiles]]="","",IF(tblOrdenes[[#This Row],[backlog_habiles]]&lt;0,"FUTURO",IF(tblOrdenes[[#This Row],[backlog_habiles]]&gt;p_dias_backlog_max,"BACKLOG","MES CORRIENTE")))</f>
        <v/>
      </c>
      <c r="AF101" s="5">
        <f>IF(tblOrdenes[[#This Row],[backlog_habiles]]="",FALSE,AND(tblOrdenes[[#This Row],[backlog_habiles]]&gt;p_dias_backlog_min,tblOrdenes[[#This Row],[backlog_habiles]]&lt;=p_dias_backlog_max))</f>
        <v/>
      </c>
      <c r="AG101" s="4" t="inlineStr">
        <is>
          <t>Daniela Medina</t>
        </is>
      </c>
      <c r="AH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" s="18">
        <f>IF(tblOrdenes[[#This Row],[orden]]="","",_xlfn.XLOOKUP(tblOrdenes[[#This Row],[id_operacion]],tblEjecucion[id_operacion],tblEjecucion[precio],0))</f>
        <v/>
      </c>
      <c r="AL101" s="18">
        <f>IF(tblOrdenes[[#This Row],[orden]]="","",MAX(0,_xlfn.XLOOKUP(tblOrdenes[[#This Row],[id_operacion]],tblEjecucion[id_operacion],tblEjecucion[costo_plan_total],0)-tblOrdenes[[#This Row],[costo_servicio]]))</f>
        <v/>
      </c>
      <c r="AM101" s="18">
        <f>IF(tblOrdenes[[#This Row],[orden]]="","",tblOrdenes[[#This Row],[costo_servicio]]+tblOrdenes[[#This Row],[costo_materiales]])</f>
        <v/>
      </c>
      <c r="AN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" s="4" t="inlineStr"/>
      <c r="AP101" s="4" t="inlineStr"/>
      <c r="AQ101" s="4" t="inlineStr">
        <is>
          <t>ACT-04.pdf</t>
        </is>
      </c>
      <c r="AR101" s="5">
        <f>IF(tblOrdenes[[#This Row],[link_checklist]]="","",HYPERLINK(p_ruta_base_checklists&amp;tblOrdenes[[#This Row],[link_checklist]],"abrir"))</f>
        <v/>
      </c>
      <c r="AS101" s="4" t="inlineStr"/>
      <c r="AT101" s="5">
        <f>IF(tblOrdenes[[#This Row],[orden]]="","",tblOrdenes[[#This Row],[orden]]&amp;IF(tblOrdenes[[#This Row],[operacion]]="","0010",tblOrdenes[[#This Row],[operacion]]))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TIPO-P1</t>
        </is>
      </c>
      <c r="J102" s="22" t="n">
        <v>46240</v>
      </c>
      <c r="K102" s="5" t="n">
        <v>6</v>
      </c>
      <c r="L102" s="18" t="n">
        <v>150</v>
      </c>
      <c r="M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5">
        <f>IF(tblOrdenes[[#This Row],[fecha_inicio]]="","",YEAR(tblOrdenes[[#This Row],[fecha_inicio]]))</f>
        <v/>
      </c>
      <c r="Q102" s="5">
        <f>IF(tblOrdenes[[#This Row],[fecha_inicio]]="","",MONTH(tblOrdenes[[#This Row],[fecha_inicio]]))</f>
        <v/>
      </c>
      <c r="R102" s="5">
        <f>IF(tblOrdenes[[#This Row],[fecha_inicio]]="","",tblOrdenes[[#This Row],[anio]]&amp;"-"&amp;TEXT(tblOrdenes[[#This Row],[mes]],"00"))</f>
        <v/>
      </c>
      <c r="S102" s="5">
        <f>IF(tblOrdenes[[#This Row],[fecha_inicio]]="","",INDEX(lista_dias,WEEKDAY(tblOrdenes[[#This Row],[fecha_inicio]],2)))</f>
        <v/>
      </c>
      <c r="T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" s="5">
        <f>IF(tblOrdenes[[#This Row],[tipo_ot]]="","",_xlfn.XLOOKUP(tblOrdenes[[#This Row],[tipo_ot]],tblTiposOT[codigo],tblTiposOT[clasificacion],"sin_clasificar"))</f>
        <v/>
      </c>
      <c r="V1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" s="5">
        <f>IF(tblOrdenes[[#This Row],[centro_costo]]="","",_xlfn.XLOOKUP(tblOrdenes[[#This Row],[centro_costo]],tblCECO[codigo],tblCECO[linea],"(sin catálogo)"))</f>
        <v/>
      </c>
      <c r="X102" s="5">
        <f>IF(tblOrdenes[[#This Row],[centro_costo]]="","",_xlfn.XLOOKUP(tblOrdenes[[#This Row],[centro_costo]],tblCECO[codigo],tblCECO[area],"(sin catálogo)"))</f>
        <v/>
      </c>
      <c r="Y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" s="5">
        <f>IF(tblOrdenes[[#This Row],[centro_costo]]="","",_xlfn.XLOOKUP(tblOrdenes[[#This Row],[centro_costo]],tblCECO[codigo],tblCECO[coordinador],"(sin catálogo)"))</f>
        <v/>
      </c>
      <c r="AA102" s="5">
        <f>IF(tblOrdenes[[#This Row],[puesto_trabajo]]="","",_xlfn.XLOOKUP(tblOrdenes[[#This Row],[puesto_trabajo]],tblPuestos[codigo],tblPuestos[especialidad],"(sin catálogo)"))</f>
        <v/>
      </c>
      <c r="AB102" s="5">
        <f>IF(tblOrdenes[[#This Row],[cod_actividad]]="","",_xlfn.XLOOKUP(tblOrdenes[[#This Row],[cod_actividad]],tblActividades[codigo],tblActividades[descripcion],"(sin catálogo)"))</f>
        <v/>
      </c>
      <c r="AC102" s="20">
        <f>IF(tblOrdenes[[#This Row],[fecha_inicio]]="","",TODAY()-tblOrdenes[[#This Row],[fecha_inicio]])</f>
        <v/>
      </c>
      <c r="AD1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" s="5">
        <f>IF(tblOrdenes[[#This Row],[backlog_habiles]]="","",IF(tblOrdenes[[#This Row],[backlog_habiles]]&lt;0,"FUTURO",IF(tblOrdenes[[#This Row],[backlog_habiles]]&gt;p_dias_backlog_max,"BACKLOG","MES CORRIENTE")))</f>
        <v/>
      </c>
      <c r="AF102" s="5">
        <f>IF(tblOrdenes[[#This Row],[backlog_habiles]]="",FALSE,AND(tblOrdenes[[#This Row],[backlog_habiles]]&gt;p_dias_backlog_min,tblOrdenes[[#This Row],[backlog_habiles]]&lt;=p_dias_backlog_max))</f>
        <v/>
      </c>
      <c r="AG102" s="4" t="inlineStr">
        <is>
          <t>Alberto Vargas</t>
        </is>
      </c>
      <c r="AH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" s="18">
        <f>IF(tblOrdenes[[#This Row],[orden]]="","",_xlfn.XLOOKUP(tblOrdenes[[#This Row],[id_operacion]],tblEjecucion[id_operacion],tblEjecucion[precio],0))</f>
        <v/>
      </c>
      <c r="AL102" s="18">
        <f>IF(tblOrdenes[[#This Row],[orden]]="","",MAX(0,_xlfn.XLOOKUP(tblOrdenes[[#This Row],[id_operacion]],tblEjecucion[id_operacion],tblEjecucion[costo_plan_total],0)-tblOrdenes[[#This Row],[costo_servicio]]))</f>
        <v/>
      </c>
      <c r="AM102" s="18">
        <f>IF(tblOrdenes[[#This Row],[orden]]="","",tblOrdenes[[#This Row],[costo_servicio]]+tblOrdenes[[#This Row],[costo_materiales]])</f>
        <v/>
      </c>
      <c r="AN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" s="4" t="inlineStr"/>
      <c r="AP102" s="4" t="inlineStr"/>
      <c r="AQ102" s="4" t="inlineStr">
        <is>
          <t>ACT-01.pdf</t>
        </is>
      </c>
      <c r="AR102" s="5">
        <f>IF(tblOrdenes[[#This Row],[link_checklist]]="","",HYPERLINK(p_ruta_base_checklists&amp;tblOrdenes[[#This Row],[link_checklist]],"abrir"))</f>
        <v/>
      </c>
      <c r="AS102" s="4" t="inlineStr"/>
      <c r="AT102" s="5">
        <f>IF(tblOrdenes[[#This Row],[orden]]="","",tblOrdenes[[#This Row],[orden]]&amp;IF(tblOrdenes[[#This Row],[operacion]]="","0010",tblOrdenes[[#This Row],[operacion]]))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22" t="n">
        <v>46241</v>
      </c>
      <c r="K103" s="5" t="n">
        <v>11</v>
      </c>
      <c r="L103" s="18" t="n">
        <v>275</v>
      </c>
      <c r="M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5">
        <f>IF(tblOrdenes[[#This Row],[fecha_inicio]]="","",YEAR(tblOrdenes[[#This Row],[fecha_inicio]]))</f>
        <v/>
      </c>
      <c r="Q103" s="5">
        <f>IF(tblOrdenes[[#This Row],[fecha_inicio]]="","",MONTH(tblOrdenes[[#This Row],[fecha_inicio]]))</f>
        <v/>
      </c>
      <c r="R103" s="5">
        <f>IF(tblOrdenes[[#This Row],[fecha_inicio]]="","",tblOrdenes[[#This Row],[anio]]&amp;"-"&amp;TEXT(tblOrdenes[[#This Row],[mes]],"00"))</f>
        <v/>
      </c>
      <c r="S103" s="5">
        <f>IF(tblOrdenes[[#This Row],[fecha_inicio]]="","",INDEX(lista_dias,WEEKDAY(tblOrdenes[[#This Row],[fecha_inicio]],2)))</f>
        <v/>
      </c>
      <c r="T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" s="5">
        <f>IF(tblOrdenes[[#This Row],[tipo_ot]]="","",_xlfn.XLOOKUP(tblOrdenes[[#This Row],[tipo_ot]],tblTiposOT[codigo],tblTiposOT[clasificacion],"sin_clasificar"))</f>
        <v/>
      </c>
      <c r="V1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" s="5">
        <f>IF(tblOrdenes[[#This Row],[centro_costo]]="","",_xlfn.XLOOKUP(tblOrdenes[[#This Row],[centro_costo]],tblCECO[codigo],tblCECO[linea],"(sin catálogo)"))</f>
        <v/>
      </c>
      <c r="X103" s="5">
        <f>IF(tblOrdenes[[#This Row],[centro_costo]]="","",_xlfn.XLOOKUP(tblOrdenes[[#This Row],[centro_costo]],tblCECO[codigo],tblCECO[area],"(sin catálogo)"))</f>
        <v/>
      </c>
      <c r="Y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" s="5">
        <f>IF(tblOrdenes[[#This Row],[centro_costo]]="","",_xlfn.XLOOKUP(tblOrdenes[[#This Row],[centro_costo]],tblCECO[codigo],tblCECO[coordinador],"(sin catálogo)"))</f>
        <v/>
      </c>
      <c r="AA103" s="5">
        <f>IF(tblOrdenes[[#This Row],[puesto_trabajo]]="","",_xlfn.XLOOKUP(tblOrdenes[[#This Row],[puesto_trabajo]],tblPuestos[codigo],tblPuestos[especialidad],"(sin catálogo)"))</f>
        <v/>
      </c>
      <c r="AB103" s="5">
        <f>IF(tblOrdenes[[#This Row],[cod_actividad]]="","",_xlfn.XLOOKUP(tblOrdenes[[#This Row],[cod_actividad]],tblActividades[codigo],tblActividades[descripcion],"(sin catálogo)"))</f>
        <v/>
      </c>
      <c r="AC103" s="20">
        <f>IF(tblOrdenes[[#This Row],[fecha_inicio]]="","",TODAY()-tblOrdenes[[#This Row],[fecha_inicio]])</f>
        <v/>
      </c>
      <c r="AD1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" s="5">
        <f>IF(tblOrdenes[[#This Row],[backlog_habiles]]="","",IF(tblOrdenes[[#This Row],[backlog_habiles]]&lt;0,"FUTURO",IF(tblOrdenes[[#This Row],[backlog_habiles]]&gt;p_dias_backlog_max,"BACKLOG","MES CORRIENTE")))</f>
        <v/>
      </c>
      <c r="AF103" s="5">
        <f>IF(tblOrdenes[[#This Row],[backlog_habiles]]="",FALSE,AND(tblOrdenes[[#This Row],[backlog_habiles]]&gt;p_dias_backlog_min,tblOrdenes[[#This Row],[backlog_habiles]]&lt;=p_dias_backlog_max))</f>
        <v/>
      </c>
      <c r="AG103" s="4" t="inlineStr">
        <is>
          <t>Daniela Medina</t>
        </is>
      </c>
      <c r="AH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" s="18">
        <f>IF(tblOrdenes[[#This Row],[orden]]="","",_xlfn.XLOOKUP(tblOrdenes[[#This Row],[id_operacion]],tblEjecucion[id_operacion],tblEjecucion[precio],0))</f>
        <v/>
      </c>
      <c r="AL103" s="18">
        <f>IF(tblOrdenes[[#This Row],[orden]]="","",MAX(0,_xlfn.XLOOKUP(tblOrdenes[[#This Row],[id_operacion]],tblEjecucion[id_operacion],tblEjecucion[costo_plan_total],0)-tblOrdenes[[#This Row],[costo_servicio]]))</f>
        <v/>
      </c>
      <c r="AM103" s="18">
        <f>IF(tblOrdenes[[#This Row],[orden]]="","",tblOrdenes[[#This Row],[costo_servicio]]+tblOrdenes[[#This Row],[costo_materiales]])</f>
        <v/>
      </c>
      <c r="AN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" s="4" t="inlineStr"/>
      <c r="AP103" s="4" t="inlineStr"/>
      <c r="AQ103" s="4" t="inlineStr">
        <is>
          <t>ACT-02.pdf</t>
        </is>
      </c>
      <c r="AR103" s="5">
        <f>IF(tblOrdenes[[#This Row],[link_checklist]]="","",HYPERLINK(p_ruta_base_checklists&amp;tblOrdenes[[#This Row],[link_checklist]],"abrir"))</f>
        <v/>
      </c>
      <c r="AS103" s="4" t="inlineStr"/>
      <c r="AT103" s="5">
        <f>IF(tblOrdenes[[#This Row],[orden]]="","",tblOrdenes[[#This Row],[orden]]&amp;IF(tblOrdenes[[#This Row],[operacion]]="","0010",tblOrdenes[[#This Row],[operacion]]))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22" t="n">
        <v>46237</v>
      </c>
      <c r="K104" s="5" t="n">
        <v>7</v>
      </c>
      <c r="L104" s="18" t="n">
        <v>280</v>
      </c>
      <c r="M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5">
        <f>IF(tblOrdenes[[#This Row],[fecha_inicio]]="","",YEAR(tblOrdenes[[#This Row],[fecha_inicio]]))</f>
        <v/>
      </c>
      <c r="Q104" s="5">
        <f>IF(tblOrdenes[[#This Row],[fecha_inicio]]="","",MONTH(tblOrdenes[[#This Row],[fecha_inicio]]))</f>
        <v/>
      </c>
      <c r="R104" s="5">
        <f>IF(tblOrdenes[[#This Row],[fecha_inicio]]="","",tblOrdenes[[#This Row],[anio]]&amp;"-"&amp;TEXT(tblOrdenes[[#This Row],[mes]],"00"))</f>
        <v/>
      </c>
      <c r="S104" s="5">
        <f>IF(tblOrdenes[[#This Row],[fecha_inicio]]="","",INDEX(lista_dias,WEEKDAY(tblOrdenes[[#This Row],[fecha_inicio]],2)))</f>
        <v/>
      </c>
      <c r="T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" s="5">
        <f>IF(tblOrdenes[[#This Row],[tipo_ot]]="","",_xlfn.XLOOKUP(tblOrdenes[[#This Row],[tipo_ot]],tblTiposOT[codigo],tblTiposOT[clasificacion],"sin_clasificar"))</f>
        <v/>
      </c>
      <c r="V1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" s="5">
        <f>IF(tblOrdenes[[#This Row],[centro_costo]]="","",_xlfn.XLOOKUP(tblOrdenes[[#This Row],[centro_costo]],tblCECO[codigo],tblCECO[linea],"(sin catálogo)"))</f>
        <v/>
      </c>
      <c r="X104" s="5">
        <f>IF(tblOrdenes[[#This Row],[centro_costo]]="","",_xlfn.XLOOKUP(tblOrdenes[[#This Row],[centro_costo]],tblCECO[codigo],tblCECO[area],"(sin catálogo)"))</f>
        <v/>
      </c>
      <c r="Y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" s="5">
        <f>IF(tblOrdenes[[#This Row],[centro_costo]]="","",_xlfn.XLOOKUP(tblOrdenes[[#This Row],[centro_costo]],tblCECO[codigo],tblCECO[coordinador],"(sin catálogo)"))</f>
        <v/>
      </c>
      <c r="AA104" s="5">
        <f>IF(tblOrdenes[[#This Row],[puesto_trabajo]]="","",_xlfn.XLOOKUP(tblOrdenes[[#This Row],[puesto_trabajo]],tblPuestos[codigo],tblPuestos[especialidad],"(sin catálogo)"))</f>
        <v/>
      </c>
      <c r="AB104" s="5">
        <f>IF(tblOrdenes[[#This Row],[cod_actividad]]="","",_xlfn.XLOOKUP(tblOrdenes[[#This Row],[cod_actividad]],tblActividades[codigo],tblActividades[descripcion],"(sin catálogo)"))</f>
        <v/>
      </c>
      <c r="AC104" s="20">
        <f>IF(tblOrdenes[[#This Row],[fecha_inicio]]="","",TODAY()-tblOrdenes[[#This Row],[fecha_inicio]])</f>
        <v/>
      </c>
      <c r="AD1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" s="5">
        <f>IF(tblOrdenes[[#This Row],[backlog_habiles]]="","",IF(tblOrdenes[[#This Row],[backlog_habiles]]&lt;0,"FUTURO",IF(tblOrdenes[[#This Row],[backlog_habiles]]&gt;p_dias_backlog_max,"BACKLOG","MES CORRIENTE")))</f>
        <v/>
      </c>
      <c r="AF104" s="5">
        <f>IF(tblOrdenes[[#This Row],[backlog_habiles]]="",FALSE,AND(tblOrdenes[[#This Row],[backlog_habiles]]&gt;p_dias_backlog_min,tblOrdenes[[#This Row],[backlog_habiles]]&lt;=p_dias_backlog_max))</f>
        <v/>
      </c>
      <c r="AG104" s="4" t="inlineStr">
        <is>
          <t>Alberto Vargas</t>
        </is>
      </c>
      <c r="AH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" s="18">
        <f>IF(tblOrdenes[[#This Row],[orden]]="","",_xlfn.XLOOKUP(tblOrdenes[[#This Row],[id_operacion]],tblEjecucion[id_operacion],tblEjecucion[precio],0))</f>
        <v/>
      </c>
      <c r="AL104" s="18">
        <f>IF(tblOrdenes[[#This Row],[orden]]="","",MAX(0,_xlfn.XLOOKUP(tblOrdenes[[#This Row],[id_operacion]],tblEjecucion[id_operacion],tblEjecucion[costo_plan_total],0)-tblOrdenes[[#This Row],[costo_servicio]]))</f>
        <v/>
      </c>
      <c r="AM104" s="18">
        <f>IF(tblOrdenes[[#This Row],[orden]]="","",tblOrdenes[[#This Row],[costo_servicio]]+tblOrdenes[[#This Row],[costo_materiales]])</f>
        <v/>
      </c>
      <c r="AN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" s="4" t="inlineStr"/>
      <c r="AP104" s="4" t="inlineStr"/>
      <c r="AQ104" s="4" t="inlineStr"/>
      <c r="AR104" s="5">
        <f>IF(tblOrdenes[[#This Row],[link_checklist]]="","",HYPERLINK(p_ruta_base_checklists&amp;tblOrdenes[[#This Row],[link_checklist]],"abrir"))</f>
        <v/>
      </c>
      <c r="AS104" s="4" t="inlineStr"/>
      <c r="AT104" s="5">
        <f>IF(tblOrdenes[[#This Row],[orden]]="","",tblOrdenes[[#This Row],[orden]]&amp;IF(tblOrdenes[[#This Row],[operacion]]="","0010",tblOrdenes[[#This Row],[operacion]]))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22" t="n">
        <v>46245</v>
      </c>
      <c r="K105" s="5" t="n">
        <v>10</v>
      </c>
      <c r="L105" s="18" t="n">
        <v>250</v>
      </c>
      <c r="M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5">
        <f>IF(tblOrdenes[[#This Row],[fecha_inicio]]="","",YEAR(tblOrdenes[[#This Row],[fecha_inicio]]))</f>
        <v/>
      </c>
      <c r="Q105" s="5">
        <f>IF(tblOrdenes[[#This Row],[fecha_inicio]]="","",MONTH(tblOrdenes[[#This Row],[fecha_inicio]]))</f>
        <v/>
      </c>
      <c r="R105" s="5">
        <f>IF(tblOrdenes[[#This Row],[fecha_inicio]]="","",tblOrdenes[[#This Row],[anio]]&amp;"-"&amp;TEXT(tblOrdenes[[#This Row],[mes]],"00"))</f>
        <v/>
      </c>
      <c r="S105" s="5">
        <f>IF(tblOrdenes[[#This Row],[fecha_inicio]]="","",INDEX(lista_dias,WEEKDAY(tblOrdenes[[#This Row],[fecha_inicio]],2)))</f>
        <v/>
      </c>
      <c r="T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" s="5">
        <f>IF(tblOrdenes[[#This Row],[tipo_ot]]="","",_xlfn.XLOOKUP(tblOrdenes[[#This Row],[tipo_ot]],tblTiposOT[codigo],tblTiposOT[clasificacion],"sin_clasificar"))</f>
        <v/>
      </c>
      <c r="V1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" s="5">
        <f>IF(tblOrdenes[[#This Row],[centro_costo]]="","",_xlfn.XLOOKUP(tblOrdenes[[#This Row],[centro_costo]],tblCECO[codigo],tblCECO[linea],"(sin catálogo)"))</f>
        <v/>
      </c>
      <c r="X105" s="5">
        <f>IF(tblOrdenes[[#This Row],[centro_costo]]="","",_xlfn.XLOOKUP(tblOrdenes[[#This Row],[centro_costo]],tblCECO[codigo],tblCECO[area],"(sin catálogo)"))</f>
        <v/>
      </c>
      <c r="Y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" s="5">
        <f>IF(tblOrdenes[[#This Row],[centro_costo]]="","",_xlfn.XLOOKUP(tblOrdenes[[#This Row],[centro_costo]],tblCECO[codigo],tblCECO[coordinador],"(sin catálogo)"))</f>
        <v/>
      </c>
      <c r="AA105" s="5">
        <f>IF(tblOrdenes[[#This Row],[puesto_trabajo]]="","",_xlfn.XLOOKUP(tblOrdenes[[#This Row],[puesto_trabajo]],tblPuestos[codigo],tblPuestos[especialidad],"(sin catálogo)"))</f>
        <v/>
      </c>
      <c r="AB105" s="5">
        <f>IF(tblOrdenes[[#This Row],[cod_actividad]]="","",_xlfn.XLOOKUP(tblOrdenes[[#This Row],[cod_actividad]],tblActividades[codigo],tblActividades[descripcion],"(sin catálogo)"))</f>
        <v/>
      </c>
      <c r="AC105" s="20">
        <f>IF(tblOrdenes[[#This Row],[fecha_inicio]]="","",TODAY()-tblOrdenes[[#This Row],[fecha_inicio]])</f>
        <v/>
      </c>
      <c r="AD1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" s="5">
        <f>IF(tblOrdenes[[#This Row],[backlog_habiles]]="","",IF(tblOrdenes[[#This Row],[backlog_habiles]]&lt;0,"FUTURO",IF(tblOrdenes[[#This Row],[backlog_habiles]]&gt;p_dias_backlog_max,"BACKLOG","MES CORRIENTE")))</f>
        <v/>
      </c>
      <c r="AF105" s="5">
        <f>IF(tblOrdenes[[#This Row],[backlog_habiles]]="",FALSE,AND(tblOrdenes[[#This Row],[backlog_habiles]]&gt;p_dias_backlog_min,tblOrdenes[[#This Row],[backlog_habiles]]&lt;=p_dias_backlog_max))</f>
        <v/>
      </c>
      <c r="AG105" s="4" t="inlineStr">
        <is>
          <t>Daniela Medina</t>
        </is>
      </c>
      <c r="AH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" s="18">
        <f>IF(tblOrdenes[[#This Row],[orden]]="","",_xlfn.XLOOKUP(tblOrdenes[[#This Row],[id_operacion]],tblEjecucion[id_operacion],tblEjecucion[precio],0))</f>
        <v/>
      </c>
      <c r="AL105" s="18">
        <f>IF(tblOrdenes[[#This Row],[orden]]="","",MAX(0,_xlfn.XLOOKUP(tblOrdenes[[#This Row],[id_operacion]],tblEjecucion[id_operacion],tblEjecucion[costo_plan_total],0)-tblOrdenes[[#This Row],[costo_servicio]]))</f>
        <v/>
      </c>
      <c r="AM105" s="18">
        <f>IF(tblOrdenes[[#This Row],[orden]]="","",tblOrdenes[[#This Row],[costo_servicio]]+tblOrdenes[[#This Row],[costo_materiales]])</f>
        <v/>
      </c>
      <c r="AN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" s="4" t="inlineStr"/>
      <c r="AP105" s="4" t="inlineStr"/>
      <c r="AQ105" s="4" t="inlineStr">
        <is>
          <t>ACT-01.pdf</t>
        </is>
      </c>
      <c r="AR105" s="5">
        <f>IF(tblOrdenes[[#This Row],[link_checklist]]="","",HYPERLINK(p_ruta_base_checklists&amp;tblOrdenes[[#This Row],[link_checklist]],"abrir"))</f>
        <v/>
      </c>
      <c r="AS105" s="4" t="inlineStr"/>
      <c r="AT105" s="5">
        <f>IF(tblOrdenes[[#This Row],[orden]]="","",tblOrdenes[[#This Row],[orden]]&amp;IF(tblOrdenes[[#This Row],[operacion]]="","0010",tblOrdenes[[#This Row],[operacion]]))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TIPO-P1</t>
        </is>
      </c>
      <c r="J106" s="22" t="n">
        <v>46246</v>
      </c>
      <c r="K106" s="5" t="n">
        <v>8</v>
      </c>
      <c r="L106" s="18" t="n">
        <v>200</v>
      </c>
      <c r="M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5">
        <f>IF(tblOrdenes[[#This Row],[fecha_inicio]]="","",YEAR(tblOrdenes[[#This Row],[fecha_inicio]]))</f>
        <v/>
      </c>
      <c r="Q106" s="5">
        <f>IF(tblOrdenes[[#This Row],[fecha_inicio]]="","",MONTH(tblOrdenes[[#This Row],[fecha_inicio]]))</f>
        <v/>
      </c>
      <c r="R106" s="5">
        <f>IF(tblOrdenes[[#This Row],[fecha_inicio]]="","",tblOrdenes[[#This Row],[anio]]&amp;"-"&amp;TEXT(tblOrdenes[[#This Row],[mes]],"00"))</f>
        <v/>
      </c>
      <c r="S106" s="5">
        <f>IF(tblOrdenes[[#This Row],[fecha_inicio]]="","",INDEX(lista_dias,WEEKDAY(tblOrdenes[[#This Row],[fecha_inicio]],2)))</f>
        <v/>
      </c>
      <c r="T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" s="5">
        <f>IF(tblOrdenes[[#This Row],[tipo_ot]]="","",_xlfn.XLOOKUP(tblOrdenes[[#This Row],[tipo_ot]],tblTiposOT[codigo],tblTiposOT[clasificacion],"sin_clasificar"))</f>
        <v/>
      </c>
      <c r="V1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" s="5">
        <f>IF(tblOrdenes[[#This Row],[centro_costo]]="","",_xlfn.XLOOKUP(tblOrdenes[[#This Row],[centro_costo]],tblCECO[codigo],tblCECO[linea],"(sin catálogo)"))</f>
        <v/>
      </c>
      <c r="X106" s="5">
        <f>IF(tblOrdenes[[#This Row],[centro_costo]]="","",_xlfn.XLOOKUP(tblOrdenes[[#This Row],[centro_costo]],tblCECO[codigo],tblCECO[area],"(sin catálogo)"))</f>
        <v/>
      </c>
      <c r="Y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" s="5">
        <f>IF(tblOrdenes[[#This Row],[centro_costo]]="","",_xlfn.XLOOKUP(tblOrdenes[[#This Row],[centro_costo]],tblCECO[codigo],tblCECO[coordinador],"(sin catálogo)"))</f>
        <v/>
      </c>
      <c r="AA106" s="5">
        <f>IF(tblOrdenes[[#This Row],[puesto_trabajo]]="","",_xlfn.XLOOKUP(tblOrdenes[[#This Row],[puesto_trabajo]],tblPuestos[codigo],tblPuestos[especialidad],"(sin catálogo)"))</f>
        <v/>
      </c>
      <c r="AB106" s="5">
        <f>IF(tblOrdenes[[#This Row],[cod_actividad]]="","",_xlfn.XLOOKUP(tblOrdenes[[#This Row],[cod_actividad]],tblActividades[codigo],tblActividades[descripcion],"(sin catálogo)"))</f>
        <v/>
      </c>
      <c r="AC106" s="20">
        <f>IF(tblOrdenes[[#This Row],[fecha_inicio]]="","",TODAY()-tblOrdenes[[#This Row],[fecha_inicio]])</f>
        <v/>
      </c>
      <c r="AD1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" s="5">
        <f>IF(tblOrdenes[[#This Row],[backlog_habiles]]="","",IF(tblOrdenes[[#This Row],[backlog_habiles]]&lt;0,"FUTURO",IF(tblOrdenes[[#This Row],[backlog_habiles]]&gt;p_dias_backlog_max,"BACKLOG","MES CORRIENTE")))</f>
        <v/>
      </c>
      <c r="AF106" s="5">
        <f>IF(tblOrdenes[[#This Row],[backlog_habiles]]="",FALSE,AND(tblOrdenes[[#This Row],[backlog_habiles]]&gt;p_dias_backlog_min,tblOrdenes[[#This Row],[backlog_habiles]]&lt;=p_dias_backlog_max))</f>
        <v/>
      </c>
      <c r="AG106" s="4" t="inlineStr">
        <is>
          <t>Alberto Vargas</t>
        </is>
      </c>
      <c r="AH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" s="18">
        <f>IF(tblOrdenes[[#This Row],[orden]]="","",_xlfn.XLOOKUP(tblOrdenes[[#This Row],[id_operacion]],tblEjecucion[id_operacion],tblEjecucion[precio],0))</f>
        <v/>
      </c>
      <c r="AL106" s="18">
        <f>IF(tblOrdenes[[#This Row],[orden]]="","",MAX(0,_xlfn.XLOOKUP(tblOrdenes[[#This Row],[id_operacion]],tblEjecucion[id_operacion],tblEjecucion[costo_plan_total],0)-tblOrdenes[[#This Row],[costo_servicio]]))</f>
        <v/>
      </c>
      <c r="AM106" s="18">
        <f>IF(tblOrdenes[[#This Row],[orden]]="","",tblOrdenes[[#This Row],[costo_servicio]]+tblOrdenes[[#This Row],[costo_materiales]])</f>
        <v/>
      </c>
      <c r="AN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" s="4" t="inlineStr"/>
      <c r="AP106" s="4" t="inlineStr"/>
      <c r="AQ106" s="4" t="inlineStr">
        <is>
          <t>ACT-02.pdf</t>
        </is>
      </c>
      <c r="AR106" s="5">
        <f>IF(tblOrdenes[[#This Row],[link_checklist]]="","",HYPERLINK(p_ruta_base_checklists&amp;tblOrdenes[[#This Row],[link_checklist]],"abrir"))</f>
        <v/>
      </c>
      <c r="AS106" s="4" t="inlineStr"/>
      <c r="AT106" s="5">
        <f>IF(tblOrdenes[[#This Row],[orden]]="","",tblOrdenes[[#This Row],[orden]]&amp;IF(tblOrdenes[[#This Row],[operacion]]="","0010",tblOrdenes[[#This Row],[operacion]]))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TIPO-P2</t>
        </is>
      </c>
      <c r="J107" s="22" t="n">
        <v>46247</v>
      </c>
      <c r="K107" s="5" t="n">
        <v>6</v>
      </c>
      <c r="L107" s="18" t="n">
        <v>150</v>
      </c>
      <c r="M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5">
        <f>IF(tblOrdenes[[#This Row],[fecha_inicio]]="","",YEAR(tblOrdenes[[#This Row],[fecha_inicio]]))</f>
        <v/>
      </c>
      <c r="Q107" s="5">
        <f>IF(tblOrdenes[[#This Row],[fecha_inicio]]="","",MONTH(tblOrdenes[[#This Row],[fecha_inicio]]))</f>
        <v/>
      </c>
      <c r="R107" s="5">
        <f>IF(tblOrdenes[[#This Row],[fecha_inicio]]="","",tblOrdenes[[#This Row],[anio]]&amp;"-"&amp;TEXT(tblOrdenes[[#This Row],[mes]],"00"))</f>
        <v/>
      </c>
      <c r="S107" s="5">
        <f>IF(tblOrdenes[[#This Row],[fecha_inicio]]="","",INDEX(lista_dias,WEEKDAY(tblOrdenes[[#This Row],[fecha_inicio]],2)))</f>
        <v/>
      </c>
      <c r="T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" s="5">
        <f>IF(tblOrdenes[[#This Row],[tipo_ot]]="","",_xlfn.XLOOKUP(tblOrdenes[[#This Row],[tipo_ot]],tblTiposOT[codigo],tblTiposOT[clasificacion],"sin_clasificar"))</f>
        <v/>
      </c>
      <c r="V1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" s="5">
        <f>IF(tblOrdenes[[#This Row],[centro_costo]]="","",_xlfn.XLOOKUP(tblOrdenes[[#This Row],[centro_costo]],tblCECO[codigo],tblCECO[linea],"(sin catálogo)"))</f>
        <v/>
      </c>
      <c r="X107" s="5">
        <f>IF(tblOrdenes[[#This Row],[centro_costo]]="","",_xlfn.XLOOKUP(tblOrdenes[[#This Row],[centro_costo]],tblCECO[codigo],tblCECO[area],"(sin catálogo)"))</f>
        <v/>
      </c>
      <c r="Y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" s="5">
        <f>IF(tblOrdenes[[#This Row],[centro_costo]]="","",_xlfn.XLOOKUP(tblOrdenes[[#This Row],[centro_costo]],tblCECO[codigo],tblCECO[coordinador],"(sin catálogo)"))</f>
        <v/>
      </c>
      <c r="AA107" s="5">
        <f>IF(tblOrdenes[[#This Row],[puesto_trabajo]]="","",_xlfn.XLOOKUP(tblOrdenes[[#This Row],[puesto_trabajo]],tblPuestos[codigo],tblPuestos[especialidad],"(sin catálogo)"))</f>
        <v/>
      </c>
      <c r="AB107" s="5">
        <f>IF(tblOrdenes[[#This Row],[cod_actividad]]="","",_xlfn.XLOOKUP(tblOrdenes[[#This Row],[cod_actividad]],tblActividades[codigo],tblActividades[descripcion],"(sin catálogo)"))</f>
        <v/>
      </c>
      <c r="AC107" s="20">
        <f>IF(tblOrdenes[[#This Row],[fecha_inicio]]="","",TODAY()-tblOrdenes[[#This Row],[fecha_inicio]])</f>
        <v/>
      </c>
      <c r="AD1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" s="5">
        <f>IF(tblOrdenes[[#This Row],[backlog_habiles]]="","",IF(tblOrdenes[[#This Row],[backlog_habiles]]&lt;0,"FUTURO",IF(tblOrdenes[[#This Row],[backlog_habiles]]&gt;p_dias_backlog_max,"BACKLOG","MES CORRIENTE")))</f>
        <v/>
      </c>
      <c r="AF107" s="5">
        <f>IF(tblOrdenes[[#This Row],[backlog_habiles]]="",FALSE,AND(tblOrdenes[[#This Row],[backlog_habiles]]&gt;p_dias_backlog_min,tblOrdenes[[#This Row],[backlog_habiles]]&lt;=p_dias_backlog_max))</f>
        <v/>
      </c>
      <c r="AG107" s="4" t="inlineStr">
        <is>
          <t>Daniela Medina</t>
        </is>
      </c>
      <c r="AH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" s="18">
        <f>IF(tblOrdenes[[#This Row],[orden]]="","",_xlfn.XLOOKUP(tblOrdenes[[#This Row],[id_operacion]],tblEjecucion[id_operacion],tblEjecucion[precio],0))</f>
        <v/>
      </c>
      <c r="AL107" s="18">
        <f>IF(tblOrdenes[[#This Row],[orden]]="","",MAX(0,_xlfn.XLOOKUP(tblOrdenes[[#This Row],[id_operacion]],tblEjecucion[id_operacion],tblEjecucion[costo_plan_total],0)-tblOrdenes[[#This Row],[costo_servicio]]))</f>
        <v/>
      </c>
      <c r="AM107" s="18">
        <f>IF(tblOrdenes[[#This Row],[orden]]="","",tblOrdenes[[#This Row],[costo_servicio]]+tblOrdenes[[#This Row],[costo_materiales]])</f>
        <v/>
      </c>
      <c r="AN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" s="4" t="inlineStr"/>
      <c r="AP107" s="4" t="inlineStr"/>
      <c r="AQ107" s="4" t="inlineStr">
        <is>
          <t>ACT-04.pdf</t>
        </is>
      </c>
      <c r="AR107" s="5">
        <f>IF(tblOrdenes[[#This Row],[link_checklist]]="","",HYPERLINK(p_ruta_base_checklists&amp;tblOrdenes[[#This Row],[link_checklist]],"abrir"))</f>
        <v/>
      </c>
      <c r="AS107" s="4" t="inlineStr"/>
      <c r="AT107" s="5">
        <f>IF(tblOrdenes[[#This Row],[orden]]="","",tblOrdenes[[#This Row],[orden]]&amp;IF(tblOrdenes[[#This Row],[operacion]]="","0010",tblOrdenes[[#This Row],[operacion]]))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TIPO-P1</t>
        </is>
      </c>
      <c r="J108" s="22" t="n">
        <v>46248</v>
      </c>
      <c r="K108" s="5" t="n">
        <v>6</v>
      </c>
      <c r="L108" s="18" t="n">
        <v>150</v>
      </c>
      <c r="M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5">
        <f>IF(tblOrdenes[[#This Row],[fecha_inicio]]="","",YEAR(tblOrdenes[[#This Row],[fecha_inicio]]))</f>
        <v/>
      </c>
      <c r="Q108" s="5">
        <f>IF(tblOrdenes[[#This Row],[fecha_inicio]]="","",MONTH(tblOrdenes[[#This Row],[fecha_inicio]]))</f>
        <v/>
      </c>
      <c r="R108" s="5">
        <f>IF(tblOrdenes[[#This Row],[fecha_inicio]]="","",tblOrdenes[[#This Row],[anio]]&amp;"-"&amp;TEXT(tblOrdenes[[#This Row],[mes]],"00"))</f>
        <v/>
      </c>
      <c r="S108" s="5">
        <f>IF(tblOrdenes[[#This Row],[fecha_inicio]]="","",INDEX(lista_dias,WEEKDAY(tblOrdenes[[#This Row],[fecha_inicio]],2)))</f>
        <v/>
      </c>
      <c r="T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" s="5">
        <f>IF(tblOrdenes[[#This Row],[tipo_ot]]="","",_xlfn.XLOOKUP(tblOrdenes[[#This Row],[tipo_ot]],tblTiposOT[codigo],tblTiposOT[clasificacion],"sin_clasificar"))</f>
        <v/>
      </c>
      <c r="V1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" s="5">
        <f>IF(tblOrdenes[[#This Row],[centro_costo]]="","",_xlfn.XLOOKUP(tblOrdenes[[#This Row],[centro_costo]],tblCECO[codigo],tblCECO[linea],"(sin catálogo)"))</f>
        <v/>
      </c>
      <c r="X108" s="5">
        <f>IF(tblOrdenes[[#This Row],[centro_costo]]="","",_xlfn.XLOOKUP(tblOrdenes[[#This Row],[centro_costo]],tblCECO[codigo],tblCECO[area],"(sin catálogo)"))</f>
        <v/>
      </c>
      <c r="Y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" s="5">
        <f>IF(tblOrdenes[[#This Row],[centro_costo]]="","",_xlfn.XLOOKUP(tblOrdenes[[#This Row],[centro_costo]],tblCECO[codigo],tblCECO[coordinador],"(sin catálogo)"))</f>
        <v/>
      </c>
      <c r="AA108" s="5">
        <f>IF(tblOrdenes[[#This Row],[puesto_trabajo]]="","",_xlfn.XLOOKUP(tblOrdenes[[#This Row],[puesto_trabajo]],tblPuestos[codigo],tblPuestos[especialidad],"(sin catálogo)"))</f>
        <v/>
      </c>
      <c r="AB108" s="5">
        <f>IF(tblOrdenes[[#This Row],[cod_actividad]]="","",_xlfn.XLOOKUP(tblOrdenes[[#This Row],[cod_actividad]],tblActividades[codigo],tblActividades[descripcion],"(sin catálogo)"))</f>
        <v/>
      </c>
      <c r="AC108" s="20">
        <f>IF(tblOrdenes[[#This Row],[fecha_inicio]]="","",TODAY()-tblOrdenes[[#This Row],[fecha_inicio]])</f>
        <v/>
      </c>
      <c r="AD1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" s="5">
        <f>IF(tblOrdenes[[#This Row],[backlog_habiles]]="","",IF(tblOrdenes[[#This Row],[backlog_habiles]]&lt;0,"FUTURO",IF(tblOrdenes[[#This Row],[backlog_habiles]]&gt;p_dias_backlog_max,"BACKLOG","MES CORRIENTE")))</f>
        <v/>
      </c>
      <c r="AF108" s="5">
        <f>IF(tblOrdenes[[#This Row],[backlog_habiles]]="",FALSE,AND(tblOrdenes[[#This Row],[backlog_habiles]]&gt;p_dias_backlog_min,tblOrdenes[[#This Row],[backlog_habiles]]&lt;=p_dias_backlog_max))</f>
        <v/>
      </c>
      <c r="AG108" s="4" t="inlineStr">
        <is>
          <t>Alberto Vargas</t>
        </is>
      </c>
      <c r="AH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" s="18">
        <f>IF(tblOrdenes[[#This Row],[orden]]="","",_xlfn.XLOOKUP(tblOrdenes[[#This Row],[id_operacion]],tblEjecucion[id_operacion],tblEjecucion[precio],0))</f>
        <v/>
      </c>
      <c r="AL108" s="18">
        <f>IF(tblOrdenes[[#This Row],[orden]]="","",MAX(0,_xlfn.XLOOKUP(tblOrdenes[[#This Row],[id_operacion]],tblEjecucion[id_operacion],tblEjecucion[costo_plan_total],0)-tblOrdenes[[#This Row],[costo_servicio]]))</f>
        <v/>
      </c>
      <c r="AM108" s="18">
        <f>IF(tblOrdenes[[#This Row],[orden]]="","",tblOrdenes[[#This Row],[costo_servicio]]+tblOrdenes[[#This Row],[costo_materiales]])</f>
        <v/>
      </c>
      <c r="AN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" s="4" t="inlineStr"/>
      <c r="AP108" s="4" t="inlineStr"/>
      <c r="AQ108" s="4" t="inlineStr">
        <is>
          <t>ACT-01.pdf</t>
        </is>
      </c>
      <c r="AR108" s="5">
        <f>IF(tblOrdenes[[#This Row],[link_checklist]]="","",HYPERLINK(p_ruta_base_checklists&amp;tblOrdenes[[#This Row],[link_checklist]],"abrir"))</f>
        <v/>
      </c>
      <c r="AS108" s="4" t="inlineStr"/>
      <c r="AT108" s="5">
        <f>IF(tblOrdenes[[#This Row],[orden]]="","",tblOrdenes[[#This Row],[orden]]&amp;IF(tblOrdenes[[#This Row],[operacion]]="","0010",tblOrdenes[[#This Row],[operacion]]))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22" t="n">
        <v>46244</v>
      </c>
      <c r="K109" s="5" t="n">
        <v>6</v>
      </c>
      <c r="L109" s="18" t="n">
        <v>240</v>
      </c>
      <c r="M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5">
        <f>IF(tblOrdenes[[#This Row],[fecha_inicio]]="","",YEAR(tblOrdenes[[#This Row],[fecha_inicio]]))</f>
        <v/>
      </c>
      <c r="Q109" s="5">
        <f>IF(tblOrdenes[[#This Row],[fecha_inicio]]="","",MONTH(tblOrdenes[[#This Row],[fecha_inicio]]))</f>
        <v/>
      </c>
      <c r="R109" s="5">
        <f>IF(tblOrdenes[[#This Row],[fecha_inicio]]="","",tblOrdenes[[#This Row],[anio]]&amp;"-"&amp;TEXT(tblOrdenes[[#This Row],[mes]],"00"))</f>
        <v/>
      </c>
      <c r="S109" s="5">
        <f>IF(tblOrdenes[[#This Row],[fecha_inicio]]="","",INDEX(lista_dias,WEEKDAY(tblOrdenes[[#This Row],[fecha_inicio]],2)))</f>
        <v/>
      </c>
      <c r="T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" s="5">
        <f>IF(tblOrdenes[[#This Row],[tipo_ot]]="","",_xlfn.XLOOKUP(tblOrdenes[[#This Row],[tipo_ot]],tblTiposOT[codigo],tblTiposOT[clasificacion],"sin_clasificar"))</f>
        <v/>
      </c>
      <c r="V1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" s="5">
        <f>IF(tblOrdenes[[#This Row],[centro_costo]]="","",_xlfn.XLOOKUP(tblOrdenes[[#This Row],[centro_costo]],tblCECO[codigo],tblCECO[linea],"(sin catálogo)"))</f>
        <v/>
      </c>
      <c r="X109" s="5">
        <f>IF(tblOrdenes[[#This Row],[centro_costo]]="","",_xlfn.XLOOKUP(tblOrdenes[[#This Row],[centro_costo]],tblCECO[codigo],tblCECO[area],"(sin catálogo)"))</f>
        <v/>
      </c>
      <c r="Y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" s="5">
        <f>IF(tblOrdenes[[#This Row],[centro_costo]]="","",_xlfn.XLOOKUP(tblOrdenes[[#This Row],[centro_costo]],tblCECO[codigo],tblCECO[coordinador],"(sin catálogo)"))</f>
        <v/>
      </c>
      <c r="AA109" s="5">
        <f>IF(tblOrdenes[[#This Row],[puesto_trabajo]]="","",_xlfn.XLOOKUP(tblOrdenes[[#This Row],[puesto_trabajo]],tblPuestos[codigo],tblPuestos[especialidad],"(sin catálogo)"))</f>
        <v/>
      </c>
      <c r="AB109" s="5">
        <f>IF(tblOrdenes[[#This Row],[cod_actividad]]="","",_xlfn.XLOOKUP(tblOrdenes[[#This Row],[cod_actividad]],tblActividades[codigo],tblActividades[descripcion],"(sin catálogo)"))</f>
        <v/>
      </c>
      <c r="AC109" s="20">
        <f>IF(tblOrdenes[[#This Row],[fecha_inicio]]="","",TODAY()-tblOrdenes[[#This Row],[fecha_inicio]])</f>
        <v/>
      </c>
      <c r="AD1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" s="5">
        <f>IF(tblOrdenes[[#This Row],[backlog_habiles]]="","",IF(tblOrdenes[[#This Row],[backlog_habiles]]&lt;0,"FUTURO",IF(tblOrdenes[[#This Row],[backlog_habiles]]&gt;p_dias_backlog_max,"BACKLOG","MES CORRIENTE")))</f>
        <v/>
      </c>
      <c r="AF109" s="5">
        <f>IF(tblOrdenes[[#This Row],[backlog_habiles]]="",FALSE,AND(tblOrdenes[[#This Row],[backlog_habiles]]&gt;p_dias_backlog_min,tblOrdenes[[#This Row],[backlog_habiles]]&lt;=p_dias_backlog_max))</f>
        <v/>
      </c>
      <c r="AG109" s="4" t="inlineStr">
        <is>
          <t>Daniela Medina</t>
        </is>
      </c>
      <c r="AH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" s="18">
        <f>IF(tblOrdenes[[#This Row],[orden]]="","",_xlfn.XLOOKUP(tblOrdenes[[#This Row],[id_operacion]],tblEjecucion[id_operacion],tblEjecucion[precio],0))</f>
        <v/>
      </c>
      <c r="AL109" s="18">
        <f>IF(tblOrdenes[[#This Row],[orden]]="","",MAX(0,_xlfn.XLOOKUP(tblOrdenes[[#This Row],[id_operacion]],tblEjecucion[id_operacion],tblEjecucion[costo_plan_total],0)-tblOrdenes[[#This Row],[costo_servicio]]))</f>
        <v/>
      </c>
      <c r="AM109" s="18">
        <f>IF(tblOrdenes[[#This Row],[orden]]="","",tblOrdenes[[#This Row],[costo_servicio]]+tblOrdenes[[#This Row],[costo_materiales]])</f>
        <v/>
      </c>
      <c r="AN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" s="4" t="inlineStr"/>
      <c r="AP109" s="4" t="inlineStr"/>
      <c r="AQ109" s="4" t="inlineStr"/>
      <c r="AR109" s="5">
        <f>IF(tblOrdenes[[#This Row],[link_checklist]]="","",HYPERLINK(p_ruta_base_checklists&amp;tblOrdenes[[#This Row],[link_checklist]],"abrir"))</f>
        <v/>
      </c>
      <c r="AS109" s="4" t="inlineStr"/>
      <c r="AT109" s="5">
        <f>IF(tblOrdenes[[#This Row],[orden]]="","",tblOrdenes[[#This Row],[orden]]&amp;IF(tblOrdenes[[#This Row],[operacion]]="","0010",tblOrdenes[[#This Row],[operacion]]))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TIPO-P3</t>
        </is>
      </c>
      <c r="J110" s="22" t="n">
        <v>46230</v>
      </c>
      <c r="K110" s="5" t="n">
        <v>10</v>
      </c>
      <c r="L110" s="18" t="n">
        <v>250</v>
      </c>
      <c r="M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5">
        <f>IF(tblOrdenes[[#This Row],[fecha_inicio]]="","",YEAR(tblOrdenes[[#This Row],[fecha_inicio]]))</f>
        <v/>
      </c>
      <c r="Q110" s="5">
        <f>IF(tblOrdenes[[#This Row],[fecha_inicio]]="","",MONTH(tblOrdenes[[#This Row],[fecha_inicio]]))</f>
        <v/>
      </c>
      <c r="R110" s="5">
        <f>IF(tblOrdenes[[#This Row],[fecha_inicio]]="","",tblOrdenes[[#This Row],[anio]]&amp;"-"&amp;TEXT(tblOrdenes[[#This Row],[mes]],"00"))</f>
        <v/>
      </c>
      <c r="S110" s="5">
        <f>IF(tblOrdenes[[#This Row],[fecha_inicio]]="","",INDEX(lista_dias,WEEKDAY(tblOrdenes[[#This Row],[fecha_inicio]],2)))</f>
        <v/>
      </c>
      <c r="T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" s="5">
        <f>IF(tblOrdenes[[#This Row],[tipo_ot]]="","",_xlfn.XLOOKUP(tblOrdenes[[#This Row],[tipo_ot]],tblTiposOT[codigo],tblTiposOT[clasificacion],"sin_clasificar"))</f>
        <v/>
      </c>
      <c r="V1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" s="5">
        <f>IF(tblOrdenes[[#This Row],[centro_costo]]="","",_xlfn.XLOOKUP(tblOrdenes[[#This Row],[centro_costo]],tblCECO[codigo],tblCECO[linea],"(sin catálogo)"))</f>
        <v/>
      </c>
      <c r="X110" s="5">
        <f>IF(tblOrdenes[[#This Row],[centro_costo]]="","",_xlfn.XLOOKUP(tblOrdenes[[#This Row],[centro_costo]],tblCECO[codigo],tblCECO[area],"(sin catálogo)"))</f>
        <v/>
      </c>
      <c r="Y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" s="5">
        <f>IF(tblOrdenes[[#This Row],[centro_costo]]="","",_xlfn.XLOOKUP(tblOrdenes[[#This Row],[centro_costo]],tblCECO[codigo],tblCECO[coordinador],"(sin catálogo)"))</f>
        <v/>
      </c>
      <c r="AA110" s="5">
        <f>IF(tblOrdenes[[#This Row],[puesto_trabajo]]="","",_xlfn.XLOOKUP(tblOrdenes[[#This Row],[puesto_trabajo]],tblPuestos[codigo],tblPuestos[especialidad],"(sin catálogo)"))</f>
        <v/>
      </c>
      <c r="AB110" s="5">
        <f>IF(tblOrdenes[[#This Row],[cod_actividad]]="","",_xlfn.XLOOKUP(tblOrdenes[[#This Row],[cod_actividad]],tblActividades[codigo],tblActividades[descripcion],"(sin catálogo)"))</f>
        <v/>
      </c>
      <c r="AC110" s="20">
        <f>IF(tblOrdenes[[#This Row],[fecha_inicio]]="","",TODAY()-tblOrdenes[[#This Row],[fecha_inicio]])</f>
        <v/>
      </c>
      <c r="AD1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" s="5">
        <f>IF(tblOrdenes[[#This Row],[backlog_habiles]]="","",IF(tblOrdenes[[#This Row],[backlog_habiles]]&lt;0,"FUTURO",IF(tblOrdenes[[#This Row],[backlog_habiles]]&gt;p_dias_backlog_max,"BACKLOG","MES CORRIENTE")))</f>
        <v/>
      </c>
      <c r="AF110" s="5">
        <f>IF(tblOrdenes[[#This Row],[backlog_habiles]]="",FALSE,AND(tblOrdenes[[#This Row],[backlog_habiles]]&gt;p_dias_backlog_min,tblOrdenes[[#This Row],[backlog_habiles]]&lt;=p_dias_backlog_max))</f>
        <v/>
      </c>
      <c r="AG110" s="4" t="inlineStr"/>
      <c r="AH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" s="18">
        <f>IF(tblOrdenes[[#This Row],[orden]]="","",_xlfn.XLOOKUP(tblOrdenes[[#This Row],[id_operacion]],tblEjecucion[id_operacion],tblEjecucion[precio],0))</f>
        <v/>
      </c>
      <c r="AL110" s="18">
        <f>IF(tblOrdenes[[#This Row],[orden]]="","",MAX(0,_xlfn.XLOOKUP(tblOrdenes[[#This Row],[id_operacion]],tblEjecucion[id_operacion],tblEjecucion[costo_plan_total],0)-tblOrdenes[[#This Row],[costo_servicio]]))</f>
        <v/>
      </c>
      <c r="AM110" s="18">
        <f>IF(tblOrdenes[[#This Row],[orden]]="","",tblOrdenes[[#This Row],[costo_servicio]]+tblOrdenes[[#This Row],[costo_materiales]])</f>
        <v/>
      </c>
      <c r="AN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" s="4" t="inlineStr"/>
      <c r="AP110" s="4" t="inlineStr"/>
      <c r="AQ110" s="4" t="inlineStr"/>
      <c r="AR110" s="5">
        <f>IF(tblOrdenes[[#This Row],[link_checklist]]="","",HYPERLINK(p_ruta_base_checklists&amp;tblOrdenes[[#This Row],[link_checklist]],"abrir"))</f>
        <v/>
      </c>
      <c r="AS110" s="4" t="inlineStr"/>
      <c r="AT110" s="5">
        <f>IF(tblOrdenes[[#This Row],[orden]]="","",tblOrdenes[[#This Row],[orden]]&amp;IF(tblOrdenes[[#This Row],[operacion]]="","0010",tblOrdenes[[#This Row],[operacion]]))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TIPO-P3</t>
        </is>
      </c>
      <c r="J111" s="22" t="n">
        <v>46231</v>
      </c>
      <c r="K111" s="5" t="n">
        <v>6</v>
      </c>
      <c r="L111" s="18" t="n">
        <v>150</v>
      </c>
      <c r="M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5">
        <f>IF(tblOrdenes[[#This Row],[fecha_inicio]]="","",YEAR(tblOrdenes[[#This Row],[fecha_inicio]]))</f>
        <v/>
      </c>
      <c r="Q111" s="5">
        <f>IF(tblOrdenes[[#This Row],[fecha_inicio]]="","",MONTH(tblOrdenes[[#This Row],[fecha_inicio]]))</f>
        <v/>
      </c>
      <c r="R111" s="5">
        <f>IF(tblOrdenes[[#This Row],[fecha_inicio]]="","",tblOrdenes[[#This Row],[anio]]&amp;"-"&amp;TEXT(tblOrdenes[[#This Row],[mes]],"00"))</f>
        <v/>
      </c>
      <c r="S111" s="5">
        <f>IF(tblOrdenes[[#This Row],[fecha_inicio]]="","",INDEX(lista_dias,WEEKDAY(tblOrdenes[[#This Row],[fecha_inicio]],2)))</f>
        <v/>
      </c>
      <c r="T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" s="5">
        <f>IF(tblOrdenes[[#This Row],[tipo_ot]]="","",_xlfn.XLOOKUP(tblOrdenes[[#This Row],[tipo_ot]],tblTiposOT[codigo],tblTiposOT[clasificacion],"sin_clasificar"))</f>
        <v/>
      </c>
      <c r="V1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" s="5">
        <f>IF(tblOrdenes[[#This Row],[centro_costo]]="","",_xlfn.XLOOKUP(tblOrdenes[[#This Row],[centro_costo]],tblCECO[codigo],tblCECO[linea],"(sin catálogo)"))</f>
        <v/>
      </c>
      <c r="X111" s="5">
        <f>IF(tblOrdenes[[#This Row],[centro_costo]]="","",_xlfn.XLOOKUP(tblOrdenes[[#This Row],[centro_costo]],tblCECO[codigo],tblCECO[area],"(sin catálogo)"))</f>
        <v/>
      </c>
      <c r="Y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" s="5">
        <f>IF(tblOrdenes[[#This Row],[centro_costo]]="","",_xlfn.XLOOKUP(tblOrdenes[[#This Row],[centro_costo]],tblCECO[codigo],tblCECO[coordinador],"(sin catálogo)"))</f>
        <v/>
      </c>
      <c r="AA111" s="5">
        <f>IF(tblOrdenes[[#This Row],[puesto_trabajo]]="","",_xlfn.XLOOKUP(tblOrdenes[[#This Row],[puesto_trabajo]],tblPuestos[codigo],tblPuestos[especialidad],"(sin catálogo)"))</f>
        <v/>
      </c>
      <c r="AB111" s="5">
        <f>IF(tblOrdenes[[#This Row],[cod_actividad]]="","",_xlfn.XLOOKUP(tblOrdenes[[#This Row],[cod_actividad]],tblActividades[codigo],tblActividades[descripcion],"(sin catálogo)"))</f>
        <v/>
      </c>
      <c r="AC111" s="20">
        <f>IF(tblOrdenes[[#This Row],[fecha_inicio]]="","",TODAY()-tblOrdenes[[#This Row],[fecha_inicio]])</f>
        <v/>
      </c>
      <c r="AD1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" s="5">
        <f>IF(tblOrdenes[[#This Row],[backlog_habiles]]="","",IF(tblOrdenes[[#This Row],[backlog_habiles]]&lt;0,"FUTURO",IF(tblOrdenes[[#This Row],[backlog_habiles]]&gt;p_dias_backlog_max,"BACKLOG","MES CORRIENTE")))</f>
        <v/>
      </c>
      <c r="AF111" s="5">
        <f>IF(tblOrdenes[[#This Row],[backlog_habiles]]="",FALSE,AND(tblOrdenes[[#This Row],[backlog_habiles]]&gt;p_dias_backlog_min,tblOrdenes[[#This Row],[backlog_habiles]]&lt;=p_dias_backlog_max))</f>
        <v/>
      </c>
      <c r="AG111" s="4" t="inlineStr"/>
      <c r="AH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" s="18">
        <f>IF(tblOrdenes[[#This Row],[orden]]="","",_xlfn.XLOOKUP(tblOrdenes[[#This Row],[id_operacion]],tblEjecucion[id_operacion],tblEjecucion[precio],0))</f>
        <v/>
      </c>
      <c r="AL111" s="18">
        <f>IF(tblOrdenes[[#This Row],[orden]]="","",MAX(0,_xlfn.XLOOKUP(tblOrdenes[[#This Row],[id_operacion]],tblEjecucion[id_operacion],tblEjecucion[costo_plan_total],0)-tblOrdenes[[#This Row],[costo_servicio]]))</f>
        <v/>
      </c>
      <c r="AM111" s="18">
        <f>IF(tblOrdenes[[#This Row],[orden]]="","",tblOrdenes[[#This Row],[costo_servicio]]+tblOrdenes[[#This Row],[costo_materiales]])</f>
        <v/>
      </c>
      <c r="AN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" s="4" t="inlineStr"/>
      <c r="AP111" s="4" t="inlineStr"/>
      <c r="AQ111" s="4" t="inlineStr"/>
      <c r="AR111" s="5">
        <f>IF(tblOrdenes[[#This Row],[link_checklist]]="","",HYPERLINK(p_ruta_base_checklists&amp;tblOrdenes[[#This Row],[link_checklist]],"abrir"))</f>
        <v/>
      </c>
      <c r="AS111" s="4" t="inlineStr"/>
      <c r="AT111" s="5">
        <f>IF(tblOrdenes[[#This Row],[orden]]="","",tblOrdenes[[#This Row],[orden]]&amp;IF(tblOrdenes[[#This Row],[operacion]]="","0010",tblOrdenes[[#This Row],[operacion]]))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TIPO-P3</t>
        </is>
      </c>
      <c r="J112" s="22" t="n">
        <v>46237</v>
      </c>
      <c r="K112" s="5" t="n">
        <v>10</v>
      </c>
      <c r="L112" s="18" t="n">
        <v>250</v>
      </c>
      <c r="M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5">
        <f>IF(tblOrdenes[[#This Row],[fecha_inicio]]="","",YEAR(tblOrdenes[[#This Row],[fecha_inicio]]))</f>
        <v/>
      </c>
      <c r="Q112" s="5">
        <f>IF(tblOrdenes[[#This Row],[fecha_inicio]]="","",MONTH(tblOrdenes[[#This Row],[fecha_inicio]]))</f>
        <v/>
      </c>
      <c r="R112" s="5">
        <f>IF(tblOrdenes[[#This Row],[fecha_inicio]]="","",tblOrdenes[[#This Row],[anio]]&amp;"-"&amp;TEXT(tblOrdenes[[#This Row],[mes]],"00"))</f>
        <v/>
      </c>
      <c r="S112" s="5">
        <f>IF(tblOrdenes[[#This Row],[fecha_inicio]]="","",INDEX(lista_dias,WEEKDAY(tblOrdenes[[#This Row],[fecha_inicio]],2)))</f>
        <v/>
      </c>
      <c r="T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" s="5">
        <f>IF(tblOrdenes[[#This Row],[tipo_ot]]="","",_xlfn.XLOOKUP(tblOrdenes[[#This Row],[tipo_ot]],tblTiposOT[codigo],tblTiposOT[clasificacion],"sin_clasificar"))</f>
        <v/>
      </c>
      <c r="V1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" s="5">
        <f>IF(tblOrdenes[[#This Row],[centro_costo]]="","",_xlfn.XLOOKUP(tblOrdenes[[#This Row],[centro_costo]],tblCECO[codigo],tblCECO[linea],"(sin catálogo)"))</f>
        <v/>
      </c>
      <c r="X112" s="5">
        <f>IF(tblOrdenes[[#This Row],[centro_costo]]="","",_xlfn.XLOOKUP(tblOrdenes[[#This Row],[centro_costo]],tblCECO[codigo],tblCECO[area],"(sin catálogo)"))</f>
        <v/>
      </c>
      <c r="Y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" s="5">
        <f>IF(tblOrdenes[[#This Row],[centro_costo]]="","",_xlfn.XLOOKUP(tblOrdenes[[#This Row],[centro_costo]],tblCECO[codigo],tblCECO[coordinador],"(sin catálogo)"))</f>
        <v/>
      </c>
      <c r="AA112" s="5">
        <f>IF(tblOrdenes[[#This Row],[puesto_trabajo]]="","",_xlfn.XLOOKUP(tblOrdenes[[#This Row],[puesto_trabajo]],tblPuestos[codigo],tblPuestos[especialidad],"(sin catálogo)"))</f>
        <v/>
      </c>
      <c r="AB112" s="5">
        <f>IF(tblOrdenes[[#This Row],[cod_actividad]]="","",_xlfn.XLOOKUP(tblOrdenes[[#This Row],[cod_actividad]],tblActividades[codigo],tblActividades[descripcion],"(sin catálogo)"))</f>
        <v/>
      </c>
      <c r="AC112" s="20">
        <f>IF(tblOrdenes[[#This Row],[fecha_inicio]]="","",TODAY()-tblOrdenes[[#This Row],[fecha_inicio]])</f>
        <v/>
      </c>
      <c r="AD1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" s="5">
        <f>IF(tblOrdenes[[#This Row],[backlog_habiles]]="","",IF(tblOrdenes[[#This Row],[backlog_habiles]]&lt;0,"FUTURO",IF(tblOrdenes[[#This Row],[backlog_habiles]]&gt;p_dias_backlog_max,"BACKLOG","MES CORRIENTE")))</f>
        <v/>
      </c>
      <c r="AF112" s="5">
        <f>IF(tblOrdenes[[#This Row],[backlog_habiles]]="",FALSE,AND(tblOrdenes[[#This Row],[backlog_habiles]]&gt;p_dias_backlog_min,tblOrdenes[[#This Row],[backlog_habiles]]&lt;=p_dias_backlog_max))</f>
        <v/>
      </c>
      <c r="AG112" s="4" t="inlineStr"/>
      <c r="AH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" s="18">
        <f>IF(tblOrdenes[[#This Row],[orden]]="","",_xlfn.XLOOKUP(tblOrdenes[[#This Row],[id_operacion]],tblEjecucion[id_operacion],tblEjecucion[precio],0))</f>
        <v/>
      </c>
      <c r="AL112" s="18">
        <f>IF(tblOrdenes[[#This Row],[orden]]="","",MAX(0,_xlfn.XLOOKUP(tblOrdenes[[#This Row],[id_operacion]],tblEjecucion[id_operacion],tblEjecucion[costo_plan_total],0)-tblOrdenes[[#This Row],[costo_servicio]]))</f>
        <v/>
      </c>
      <c r="AM112" s="18">
        <f>IF(tblOrdenes[[#This Row],[orden]]="","",tblOrdenes[[#This Row],[costo_servicio]]+tblOrdenes[[#This Row],[costo_materiales]])</f>
        <v/>
      </c>
      <c r="AN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" s="4" t="inlineStr"/>
      <c r="AP112" s="4" t="inlineStr"/>
      <c r="AQ112" s="4" t="inlineStr"/>
      <c r="AR112" s="5">
        <f>IF(tblOrdenes[[#This Row],[link_checklist]]="","",HYPERLINK(p_ruta_base_checklists&amp;tblOrdenes[[#This Row],[link_checklist]],"abrir"))</f>
        <v/>
      </c>
      <c r="AS112" s="4" t="inlineStr"/>
      <c r="AT112" s="5">
        <f>IF(tblOrdenes[[#This Row],[orden]]="","",tblOrdenes[[#This Row],[orden]]&amp;IF(tblOrdenes[[#This Row],[operacion]]="","0010",tblOrdenes[[#This Row],[operacion]]))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TIPO-P3</t>
        </is>
      </c>
      <c r="J113" s="22" t="n">
        <v>46238</v>
      </c>
      <c r="K113" s="5" t="n">
        <v>2</v>
      </c>
      <c r="L113" s="18" t="n">
        <v>50</v>
      </c>
      <c r="M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5">
        <f>IF(tblOrdenes[[#This Row],[fecha_inicio]]="","",YEAR(tblOrdenes[[#This Row],[fecha_inicio]]))</f>
        <v/>
      </c>
      <c r="Q113" s="5">
        <f>IF(tblOrdenes[[#This Row],[fecha_inicio]]="","",MONTH(tblOrdenes[[#This Row],[fecha_inicio]]))</f>
        <v/>
      </c>
      <c r="R113" s="5">
        <f>IF(tblOrdenes[[#This Row],[fecha_inicio]]="","",tblOrdenes[[#This Row],[anio]]&amp;"-"&amp;TEXT(tblOrdenes[[#This Row],[mes]],"00"))</f>
        <v/>
      </c>
      <c r="S113" s="5">
        <f>IF(tblOrdenes[[#This Row],[fecha_inicio]]="","",INDEX(lista_dias,WEEKDAY(tblOrdenes[[#This Row],[fecha_inicio]],2)))</f>
        <v/>
      </c>
      <c r="T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" s="5">
        <f>IF(tblOrdenes[[#This Row],[tipo_ot]]="","",_xlfn.XLOOKUP(tblOrdenes[[#This Row],[tipo_ot]],tblTiposOT[codigo],tblTiposOT[clasificacion],"sin_clasificar"))</f>
        <v/>
      </c>
      <c r="V1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" s="5">
        <f>IF(tblOrdenes[[#This Row],[centro_costo]]="","",_xlfn.XLOOKUP(tblOrdenes[[#This Row],[centro_costo]],tblCECO[codigo],tblCECO[linea],"(sin catálogo)"))</f>
        <v/>
      </c>
      <c r="X113" s="5">
        <f>IF(tblOrdenes[[#This Row],[centro_costo]]="","",_xlfn.XLOOKUP(tblOrdenes[[#This Row],[centro_costo]],tblCECO[codigo],tblCECO[area],"(sin catálogo)"))</f>
        <v/>
      </c>
      <c r="Y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" s="5">
        <f>IF(tblOrdenes[[#This Row],[centro_costo]]="","",_xlfn.XLOOKUP(tblOrdenes[[#This Row],[centro_costo]],tblCECO[codigo],tblCECO[coordinador],"(sin catálogo)"))</f>
        <v/>
      </c>
      <c r="AA113" s="5">
        <f>IF(tblOrdenes[[#This Row],[puesto_trabajo]]="","",_xlfn.XLOOKUP(tblOrdenes[[#This Row],[puesto_trabajo]],tblPuestos[codigo],tblPuestos[especialidad],"(sin catálogo)"))</f>
        <v/>
      </c>
      <c r="AB113" s="5">
        <f>IF(tblOrdenes[[#This Row],[cod_actividad]]="","",_xlfn.XLOOKUP(tblOrdenes[[#This Row],[cod_actividad]],tblActividades[codigo],tblActividades[descripcion],"(sin catálogo)"))</f>
        <v/>
      </c>
      <c r="AC113" s="20">
        <f>IF(tblOrdenes[[#This Row],[fecha_inicio]]="","",TODAY()-tblOrdenes[[#This Row],[fecha_inicio]])</f>
        <v/>
      </c>
      <c r="AD1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" s="5">
        <f>IF(tblOrdenes[[#This Row],[backlog_habiles]]="","",IF(tblOrdenes[[#This Row],[backlog_habiles]]&lt;0,"FUTURO",IF(tblOrdenes[[#This Row],[backlog_habiles]]&gt;p_dias_backlog_max,"BACKLOG","MES CORRIENTE")))</f>
        <v/>
      </c>
      <c r="AF113" s="5">
        <f>IF(tblOrdenes[[#This Row],[backlog_habiles]]="",FALSE,AND(tblOrdenes[[#This Row],[backlog_habiles]]&gt;p_dias_backlog_min,tblOrdenes[[#This Row],[backlog_habiles]]&lt;=p_dias_backlog_max))</f>
        <v/>
      </c>
      <c r="AG113" s="4" t="inlineStr"/>
      <c r="AH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" s="18">
        <f>IF(tblOrdenes[[#This Row],[orden]]="","",_xlfn.XLOOKUP(tblOrdenes[[#This Row],[id_operacion]],tblEjecucion[id_operacion],tblEjecucion[precio],0))</f>
        <v/>
      </c>
      <c r="AL113" s="18">
        <f>IF(tblOrdenes[[#This Row],[orden]]="","",MAX(0,_xlfn.XLOOKUP(tblOrdenes[[#This Row],[id_operacion]],tblEjecucion[id_operacion],tblEjecucion[costo_plan_total],0)-tblOrdenes[[#This Row],[costo_servicio]]))</f>
        <v/>
      </c>
      <c r="AM113" s="18">
        <f>IF(tblOrdenes[[#This Row],[orden]]="","",tblOrdenes[[#This Row],[costo_servicio]]+tblOrdenes[[#This Row],[costo_materiales]])</f>
        <v/>
      </c>
      <c r="AN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" s="4" t="inlineStr"/>
      <c r="AP113" s="4" t="inlineStr"/>
      <c r="AQ113" s="4" t="inlineStr"/>
      <c r="AR113" s="5">
        <f>IF(tblOrdenes[[#This Row],[link_checklist]]="","",HYPERLINK(p_ruta_base_checklists&amp;tblOrdenes[[#This Row],[link_checklist]],"abrir"))</f>
        <v/>
      </c>
      <c r="AS113" s="4" t="inlineStr"/>
      <c r="AT113" s="5">
        <f>IF(tblOrdenes[[#This Row],[orden]]="","",tblOrdenes[[#This Row],[orden]]&amp;IF(tblOrdenes[[#This Row],[operacion]]="","0010",tblOrdenes[[#This Row],[operacion]]))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22" t="n">
        <v>46235</v>
      </c>
      <c r="K114" s="5" t="n">
        <v>6</v>
      </c>
      <c r="L114" s="18" t="n">
        <v>240</v>
      </c>
      <c r="M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5">
        <f>IF(tblOrdenes[[#This Row],[fecha_inicio]]="","",YEAR(tblOrdenes[[#This Row],[fecha_inicio]]))</f>
        <v/>
      </c>
      <c r="Q114" s="5">
        <f>IF(tblOrdenes[[#This Row],[fecha_inicio]]="","",MONTH(tblOrdenes[[#This Row],[fecha_inicio]]))</f>
        <v/>
      </c>
      <c r="R114" s="5">
        <f>IF(tblOrdenes[[#This Row],[fecha_inicio]]="","",tblOrdenes[[#This Row],[anio]]&amp;"-"&amp;TEXT(tblOrdenes[[#This Row],[mes]],"00"))</f>
        <v/>
      </c>
      <c r="S114" s="5">
        <f>IF(tblOrdenes[[#This Row],[fecha_inicio]]="","",INDEX(lista_dias,WEEKDAY(tblOrdenes[[#This Row],[fecha_inicio]],2)))</f>
        <v/>
      </c>
      <c r="T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" s="5">
        <f>IF(tblOrdenes[[#This Row],[tipo_ot]]="","",_xlfn.XLOOKUP(tblOrdenes[[#This Row],[tipo_ot]],tblTiposOT[codigo],tblTiposOT[clasificacion],"sin_clasificar"))</f>
        <v/>
      </c>
      <c r="V1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" s="5">
        <f>IF(tblOrdenes[[#This Row],[centro_costo]]="","",_xlfn.XLOOKUP(tblOrdenes[[#This Row],[centro_costo]],tblCECO[codigo],tblCECO[linea],"(sin catálogo)"))</f>
        <v/>
      </c>
      <c r="X114" s="5">
        <f>IF(tblOrdenes[[#This Row],[centro_costo]]="","",_xlfn.XLOOKUP(tblOrdenes[[#This Row],[centro_costo]],tblCECO[codigo],tblCECO[area],"(sin catálogo)"))</f>
        <v/>
      </c>
      <c r="Y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" s="5">
        <f>IF(tblOrdenes[[#This Row],[centro_costo]]="","",_xlfn.XLOOKUP(tblOrdenes[[#This Row],[centro_costo]],tblCECO[codigo],tblCECO[coordinador],"(sin catálogo)"))</f>
        <v/>
      </c>
      <c r="AA114" s="5">
        <f>IF(tblOrdenes[[#This Row],[puesto_trabajo]]="","",_xlfn.XLOOKUP(tblOrdenes[[#This Row],[puesto_trabajo]],tblPuestos[codigo],tblPuestos[especialidad],"(sin catálogo)"))</f>
        <v/>
      </c>
      <c r="AB114" s="5">
        <f>IF(tblOrdenes[[#This Row],[cod_actividad]]="","",_xlfn.XLOOKUP(tblOrdenes[[#This Row],[cod_actividad]],tblActividades[codigo],tblActividades[descripcion],"(sin catálogo)"))</f>
        <v/>
      </c>
      <c r="AC114" s="20">
        <f>IF(tblOrdenes[[#This Row],[fecha_inicio]]="","",TODAY()-tblOrdenes[[#This Row],[fecha_inicio]])</f>
        <v/>
      </c>
      <c r="AD1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" s="5">
        <f>IF(tblOrdenes[[#This Row],[backlog_habiles]]="","",IF(tblOrdenes[[#This Row],[backlog_habiles]]&lt;0,"FUTURO",IF(tblOrdenes[[#This Row],[backlog_habiles]]&gt;p_dias_backlog_max,"BACKLOG","MES CORRIENTE")))</f>
        <v/>
      </c>
      <c r="AF114" s="5">
        <f>IF(tblOrdenes[[#This Row],[backlog_habiles]]="",FALSE,AND(tblOrdenes[[#This Row],[backlog_habiles]]&gt;p_dias_backlog_min,tblOrdenes[[#This Row],[backlog_habiles]]&lt;=p_dias_backlog_max))</f>
        <v/>
      </c>
      <c r="AG114" s="4" t="inlineStr">
        <is>
          <t>Carlos Pérez</t>
        </is>
      </c>
      <c r="AH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" s="18">
        <f>IF(tblOrdenes[[#This Row],[orden]]="","",_xlfn.XLOOKUP(tblOrdenes[[#This Row],[id_operacion]],tblEjecucion[id_operacion],tblEjecucion[precio],0))</f>
        <v/>
      </c>
      <c r="AL114" s="18">
        <f>IF(tblOrdenes[[#This Row],[orden]]="","",MAX(0,_xlfn.XLOOKUP(tblOrdenes[[#This Row],[id_operacion]],tblEjecucion[id_operacion],tblEjecucion[costo_plan_total],0)-tblOrdenes[[#This Row],[costo_servicio]]))</f>
        <v/>
      </c>
      <c r="AM114" s="18">
        <f>IF(tblOrdenes[[#This Row],[orden]]="","",tblOrdenes[[#This Row],[costo_servicio]]+tblOrdenes[[#This Row],[costo_materiales]])</f>
        <v/>
      </c>
      <c r="AN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" s="4" t="inlineStr"/>
      <c r="AP114" s="4" t="inlineStr"/>
      <c r="AQ114" s="4" t="inlineStr"/>
      <c r="AR114" s="5">
        <f>IF(tblOrdenes[[#This Row],[link_checklist]]="","",HYPERLINK(p_ruta_base_checklists&amp;tblOrdenes[[#This Row],[link_checklist]],"abrir"))</f>
        <v/>
      </c>
      <c r="AS114" s="4" t="inlineStr"/>
      <c r="AT114" s="5">
        <f>IF(tblOrdenes[[#This Row],[orden]]="","",tblOrdenes[[#This Row],[orden]]&amp;IF(tblOrdenes[[#This Row],[operacion]]="","0010",tblOrdenes[[#This Row],[operacion]]))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22" t="n">
        <v>46235</v>
      </c>
      <c r="K115" s="5" t="n">
        <v>4</v>
      </c>
      <c r="L115" s="18" t="n">
        <v>160</v>
      </c>
      <c r="M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5">
        <f>IF(tblOrdenes[[#This Row],[fecha_inicio]]="","",YEAR(tblOrdenes[[#This Row],[fecha_inicio]]))</f>
        <v/>
      </c>
      <c r="Q115" s="5">
        <f>IF(tblOrdenes[[#This Row],[fecha_inicio]]="","",MONTH(tblOrdenes[[#This Row],[fecha_inicio]]))</f>
        <v/>
      </c>
      <c r="R115" s="5">
        <f>IF(tblOrdenes[[#This Row],[fecha_inicio]]="","",tblOrdenes[[#This Row],[anio]]&amp;"-"&amp;TEXT(tblOrdenes[[#This Row],[mes]],"00"))</f>
        <v/>
      </c>
      <c r="S115" s="5">
        <f>IF(tblOrdenes[[#This Row],[fecha_inicio]]="","",INDEX(lista_dias,WEEKDAY(tblOrdenes[[#This Row],[fecha_inicio]],2)))</f>
        <v/>
      </c>
      <c r="T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" s="5">
        <f>IF(tblOrdenes[[#This Row],[tipo_ot]]="","",_xlfn.XLOOKUP(tblOrdenes[[#This Row],[tipo_ot]],tblTiposOT[codigo],tblTiposOT[clasificacion],"sin_clasificar"))</f>
        <v/>
      </c>
      <c r="V1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" s="5">
        <f>IF(tblOrdenes[[#This Row],[centro_costo]]="","",_xlfn.XLOOKUP(tblOrdenes[[#This Row],[centro_costo]],tblCECO[codigo],tblCECO[linea],"(sin catálogo)"))</f>
        <v/>
      </c>
      <c r="X115" s="5">
        <f>IF(tblOrdenes[[#This Row],[centro_costo]]="","",_xlfn.XLOOKUP(tblOrdenes[[#This Row],[centro_costo]],tblCECO[codigo],tblCECO[area],"(sin catálogo)"))</f>
        <v/>
      </c>
      <c r="Y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" s="5">
        <f>IF(tblOrdenes[[#This Row],[centro_costo]]="","",_xlfn.XLOOKUP(tblOrdenes[[#This Row],[centro_costo]],tblCECO[codigo],tblCECO[coordinador],"(sin catálogo)"))</f>
        <v/>
      </c>
      <c r="AA115" s="5">
        <f>IF(tblOrdenes[[#This Row],[puesto_trabajo]]="","",_xlfn.XLOOKUP(tblOrdenes[[#This Row],[puesto_trabajo]],tblPuestos[codigo],tblPuestos[especialidad],"(sin catálogo)"))</f>
        <v/>
      </c>
      <c r="AB115" s="5">
        <f>IF(tblOrdenes[[#This Row],[cod_actividad]]="","",_xlfn.XLOOKUP(tblOrdenes[[#This Row],[cod_actividad]],tblActividades[codigo],tblActividades[descripcion],"(sin catálogo)"))</f>
        <v/>
      </c>
      <c r="AC115" s="20">
        <f>IF(tblOrdenes[[#This Row],[fecha_inicio]]="","",TODAY()-tblOrdenes[[#This Row],[fecha_inicio]])</f>
        <v/>
      </c>
      <c r="AD1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" s="5">
        <f>IF(tblOrdenes[[#This Row],[backlog_habiles]]="","",IF(tblOrdenes[[#This Row],[backlog_habiles]]&lt;0,"FUTURO",IF(tblOrdenes[[#This Row],[backlog_habiles]]&gt;p_dias_backlog_max,"BACKLOG","MES CORRIENTE")))</f>
        <v/>
      </c>
      <c r="AF115" s="5">
        <f>IF(tblOrdenes[[#This Row],[backlog_habiles]]="",FALSE,AND(tblOrdenes[[#This Row],[backlog_habiles]]&gt;p_dias_backlog_min,tblOrdenes[[#This Row],[backlog_habiles]]&lt;=p_dias_backlog_max))</f>
        <v/>
      </c>
      <c r="AG115" s="4" t="inlineStr">
        <is>
          <t>Jorge Díaz</t>
        </is>
      </c>
      <c r="AH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" s="18">
        <f>IF(tblOrdenes[[#This Row],[orden]]="","",_xlfn.XLOOKUP(tblOrdenes[[#This Row],[id_operacion]],tblEjecucion[id_operacion],tblEjecucion[precio],0))</f>
        <v/>
      </c>
      <c r="AL115" s="18">
        <f>IF(tblOrdenes[[#This Row],[orden]]="","",MAX(0,_xlfn.XLOOKUP(tblOrdenes[[#This Row],[id_operacion]],tblEjecucion[id_operacion],tblEjecucion[costo_plan_total],0)-tblOrdenes[[#This Row],[costo_servicio]]))</f>
        <v/>
      </c>
      <c r="AM115" s="18">
        <f>IF(tblOrdenes[[#This Row],[orden]]="","",tblOrdenes[[#This Row],[costo_servicio]]+tblOrdenes[[#This Row],[costo_materiales]])</f>
        <v/>
      </c>
      <c r="AN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" s="4" t="inlineStr"/>
      <c r="AP115" s="4" t="inlineStr"/>
      <c r="AQ115" s="4" t="inlineStr"/>
      <c r="AR115" s="5">
        <f>IF(tblOrdenes[[#This Row],[link_checklist]]="","",HYPERLINK(p_ruta_base_checklists&amp;tblOrdenes[[#This Row],[link_checklist]],"abrir"))</f>
        <v/>
      </c>
      <c r="AS115" s="4" t="inlineStr"/>
      <c r="AT115" s="5">
        <f>IF(tblOrdenes[[#This Row],[orden]]="","",tblOrdenes[[#This Row],[orden]]&amp;IF(tblOrdenes[[#This Row],[operacion]]="","0010",tblOrdenes[[#This Row],[operacion]]))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22" t="n">
        <v>46236</v>
      </c>
      <c r="K116" s="5" t="n">
        <v>8</v>
      </c>
      <c r="L116" s="18" t="n">
        <v>320</v>
      </c>
      <c r="M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5">
        <f>IF(tblOrdenes[[#This Row],[fecha_inicio]]="","",YEAR(tblOrdenes[[#This Row],[fecha_inicio]]))</f>
        <v/>
      </c>
      <c r="Q116" s="5">
        <f>IF(tblOrdenes[[#This Row],[fecha_inicio]]="","",MONTH(tblOrdenes[[#This Row],[fecha_inicio]]))</f>
        <v/>
      </c>
      <c r="R116" s="5">
        <f>IF(tblOrdenes[[#This Row],[fecha_inicio]]="","",tblOrdenes[[#This Row],[anio]]&amp;"-"&amp;TEXT(tblOrdenes[[#This Row],[mes]],"00"))</f>
        <v/>
      </c>
      <c r="S116" s="5">
        <f>IF(tblOrdenes[[#This Row],[fecha_inicio]]="","",INDEX(lista_dias,WEEKDAY(tblOrdenes[[#This Row],[fecha_inicio]],2)))</f>
        <v/>
      </c>
      <c r="T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" s="5">
        <f>IF(tblOrdenes[[#This Row],[tipo_ot]]="","",_xlfn.XLOOKUP(tblOrdenes[[#This Row],[tipo_ot]],tblTiposOT[codigo],tblTiposOT[clasificacion],"sin_clasificar"))</f>
        <v/>
      </c>
      <c r="V1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" s="5">
        <f>IF(tblOrdenes[[#This Row],[centro_costo]]="","",_xlfn.XLOOKUP(tblOrdenes[[#This Row],[centro_costo]],tblCECO[codigo],tblCECO[linea],"(sin catálogo)"))</f>
        <v/>
      </c>
      <c r="X116" s="5">
        <f>IF(tblOrdenes[[#This Row],[centro_costo]]="","",_xlfn.XLOOKUP(tblOrdenes[[#This Row],[centro_costo]],tblCECO[codigo],tblCECO[area],"(sin catálogo)"))</f>
        <v/>
      </c>
      <c r="Y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" s="5">
        <f>IF(tblOrdenes[[#This Row],[centro_costo]]="","",_xlfn.XLOOKUP(tblOrdenes[[#This Row],[centro_costo]],tblCECO[codigo],tblCECO[coordinador],"(sin catálogo)"))</f>
        <v/>
      </c>
      <c r="AA116" s="5">
        <f>IF(tblOrdenes[[#This Row],[puesto_trabajo]]="","",_xlfn.XLOOKUP(tblOrdenes[[#This Row],[puesto_trabajo]],tblPuestos[codigo],tblPuestos[especialidad],"(sin catálogo)"))</f>
        <v/>
      </c>
      <c r="AB116" s="5">
        <f>IF(tblOrdenes[[#This Row],[cod_actividad]]="","",_xlfn.XLOOKUP(tblOrdenes[[#This Row],[cod_actividad]],tblActividades[codigo],tblActividades[descripcion],"(sin catálogo)"))</f>
        <v/>
      </c>
      <c r="AC116" s="20">
        <f>IF(tblOrdenes[[#This Row],[fecha_inicio]]="","",TODAY()-tblOrdenes[[#This Row],[fecha_inicio]])</f>
        <v/>
      </c>
      <c r="AD1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" s="5">
        <f>IF(tblOrdenes[[#This Row],[backlog_habiles]]="","",IF(tblOrdenes[[#This Row],[backlog_habiles]]&lt;0,"FUTURO",IF(tblOrdenes[[#This Row],[backlog_habiles]]&gt;p_dias_backlog_max,"BACKLOG","MES CORRIENTE")))</f>
        <v/>
      </c>
      <c r="AF116" s="5">
        <f>IF(tblOrdenes[[#This Row],[backlog_habiles]]="",FALSE,AND(tblOrdenes[[#This Row],[backlog_habiles]]&gt;p_dias_backlog_min,tblOrdenes[[#This Row],[backlog_habiles]]&lt;=p_dias_backlog_max))</f>
        <v/>
      </c>
      <c r="AG116" s="4" t="inlineStr"/>
      <c r="AH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" s="18">
        <f>IF(tblOrdenes[[#This Row],[orden]]="","",_xlfn.XLOOKUP(tblOrdenes[[#This Row],[id_operacion]],tblEjecucion[id_operacion],tblEjecucion[precio],0))</f>
        <v/>
      </c>
      <c r="AL116" s="18">
        <f>IF(tblOrdenes[[#This Row],[orden]]="","",MAX(0,_xlfn.XLOOKUP(tblOrdenes[[#This Row],[id_operacion]],tblEjecucion[id_operacion],tblEjecucion[costo_plan_total],0)-tblOrdenes[[#This Row],[costo_servicio]]))</f>
        <v/>
      </c>
      <c r="AM116" s="18">
        <f>IF(tblOrdenes[[#This Row],[orden]]="","",tblOrdenes[[#This Row],[costo_servicio]]+tblOrdenes[[#This Row],[costo_materiales]])</f>
        <v/>
      </c>
      <c r="AN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" s="4" t="inlineStr"/>
      <c r="AP116" s="4" t="inlineStr"/>
      <c r="AQ116" s="4" t="inlineStr"/>
      <c r="AR116" s="5">
        <f>IF(tblOrdenes[[#This Row],[link_checklist]]="","",HYPERLINK(p_ruta_base_checklists&amp;tblOrdenes[[#This Row],[link_checklist]],"abrir"))</f>
        <v/>
      </c>
      <c r="AS116" s="4" t="inlineStr"/>
      <c r="AT116" s="5">
        <f>IF(tblOrdenes[[#This Row],[orden]]="","",tblOrdenes[[#This Row],[orden]]&amp;IF(tblOrdenes[[#This Row],[operacion]]="","0010",tblOrdenes[[#This Row],[operacion]]))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TIPO-P1</t>
        </is>
      </c>
      <c r="J117" s="22" t="n">
        <v>46223</v>
      </c>
      <c r="K117" s="5" t="n">
        <v>2</v>
      </c>
      <c r="L117" s="18" t="n">
        <v>50</v>
      </c>
      <c r="M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5">
        <f>IF(tblOrdenes[[#This Row],[fecha_inicio]]="","",YEAR(tblOrdenes[[#This Row],[fecha_inicio]]))</f>
        <v/>
      </c>
      <c r="Q117" s="5">
        <f>IF(tblOrdenes[[#This Row],[fecha_inicio]]="","",MONTH(tblOrdenes[[#This Row],[fecha_inicio]]))</f>
        <v/>
      </c>
      <c r="R117" s="5">
        <f>IF(tblOrdenes[[#This Row],[fecha_inicio]]="","",tblOrdenes[[#This Row],[anio]]&amp;"-"&amp;TEXT(tblOrdenes[[#This Row],[mes]],"00"))</f>
        <v/>
      </c>
      <c r="S117" s="5">
        <f>IF(tblOrdenes[[#This Row],[fecha_inicio]]="","",INDEX(lista_dias,WEEKDAY(tblOrdenes[[#This Row],[fecha_inicio]],2)))</f>
        <v/>
      </c>
      <c r="T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" s="5">
        <f>IF(tblOrdenes[[#This Row],[tipo_ot]]="","",_xlfn.XLOOKUP(tblOrdenes[[#This Row],[tipo_ot]],tblTiposOT[codigo],tblTiposOT[clasificacion],"sin_clasificar"))</f>
        <v/>
      </c>
      <c r="V1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" s="5">
        <f>IF(tblOrdenes[[#This Row],[centro_costo]]="","",_xlfn.XLOOKUP(tblOrdenes[[#This Row],[centro_costo]],tblCECO[codigo],tblCECO[linea],"(sin catálogo)"))</f>
        <v/>
      </c>
      <c r="X117" s="5">
        <f>IF(tblOrdenes[[#This Row],[centro_costo]]="","",_xlfn.XLOOKUP(tblOrdenes[[#This Row],[centro_costo]],tblCECO[codigo],tblCECO[area],"(sin catálogo)"))</f>
        <v/>
      </c>
      <c r="Y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" s="5">
        <f>IF(tblOrdenes[[#This Row],[centro_costo]]="","",_xlfn.XLOOKUP(tblOrdenes[[#This Row],[centro_costo]],tblCECO[codigo],tblCECO[coordinador],"(sin catálogo)"))</f>
        <v/>
      </c>
      <c r="AA117" s="5">
        <f>IF(tblOrdenes[[#This Row],[puesto_trabajo]]="","",_xlfn.XLOOKUP(tblOrdenes[[#This Row],[puesto_trabajo]],tblPuestos[codigo],tblPuestos[especialidad],"(sin catálogo)"))</f>
        <v/>
      </c>
      <c r="AB117" s="5">
        <f>IF(tblOrdenes[[#This Row],[cod_actividad]]="","",_xlfn.XLOOKUP(tblOrdenes[[#This Row],[cod_actividad]],tblActividades[codigo],tblActividades[descripcion],"(sin catálogo)"))</f>
        <v/>
      </c>
      <c r="AC117" s="20">
        <f>IF(tblOrdenes[[#This Row],[fecha_inicio]]="","",TODAY()-tblOrdenes[[#This Row],[fecha_inicio]])</f>
        <v/>
      </c>
      <c r="AD1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" s="5">
        <f>IF(tblOrdenes[[#This Row],[backlog_habiles]]="","",IF(tblOrdenes[[#This Row],[backlog_habiles]]&lt;0,"FUTURO",IF(tblOrdenes[[#This Row],[backlog_habiles]]&gt;p_dias_backlog_max,"BACKLOG","MES CORRIENTE")))</f>
        <v/>
      </c>
      <c r="AF117" s="5">
        <f>IF(tblOrdenes[[#This Row],[backlog_habiles]]="",FALSE,AND(tblOrdenes[[#This Row],[backlog_habiles]]&gt;p_dias_backlog_min,tblOrdenes[[#This Row],[backlog_habiles]]&lt;=p_dias_backlog_max))</f>
        <v/>
      </c>
      <c r="AG117" s="4" t="inlineStr">
        <is>
          <t>Carlos Pérez</t>
        </is>
      </c>
      <c r="AH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" s="18">
        <f>IF(tblOrdenes[[#This Row],[orden]]="","",_xlfn.XLOOKUP(tblOrdenes[[#This Row],[id_operacion]],tblEjecucion[id_operacion],tblEjecucion[precio],0))</f>
        <v/>
      </c>
      <c r="AL117" s="18">
        <f>IF(tblOrdenes[[#This Row],[orden]]="","",MAX(0,_xlfn.XLOOKUP(tblOrdenes[[#This Row],[id_operacion]],tblEjecucion[id_operacion],tblEjecucion[costo_plan_total],0)-tblOrdenes[[#This Row],[costo_servicio]]))</f>
        <v/>
      </c>
      <c r="AM117" s="18">
        <f>IF(tblOrdenes[[#This Row],[orden]]="","",tblOrdenes[[#This Row],[costo_servicio]]+tblOrdenes[[#This Row],[costo_materiales]])</f>
        <v/>
      </c>
      <c r="AN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" s="4" t="inlineStr"/>
      <c r="AP117" s="4" t="inlineStr"/>
      <c r="AQ117" s="4" t="inlineStr"/>
      <c r="AR117" s="5">
        <f>IF(tblOrdenes[[#This Row],[link_checklist]]="","",HYPERLINK(p_ruta_base_checklists&amp;tblOrdenes[[#This Row],[link_checklist]],"abrir"))</f>
        <v/>
      </c>
      <c r="AS117" s="4" t="inlineStr"/>
      <c r="AT117" s="5">
        <f>IF(tblOrdenes[[#This Row],[orden]]="","",tblOrdenes[[#This Row],[orden]]&amp;IF(tblOrdenes[[#This Row],[operacion]]="","0010",tblOrdenes[[#This Row],[operacion]]))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22" t="n">
        <v>46244</v>
      </c>
      <c r="K118" s="5" t="n">
        <v>2</v>
      </c>
      <c r="L118" s="18" t="n">
        <v>50</v>
      </c>
      <c r="M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5">
        <f>IF(tblOrdenes[[#This Row],[fecha_inicio]]="","",YEAR(tblOrdenes[[#This Row],[fecha_inicio]]))</f>
        <v/>
      </c>
      <c r="Q118" s="5">
        <f>IF(tblOrdenes[[#This Row],[fecha_inicio]]="","",MONTH(tblOrdenes[[#This Row],[fecha_inicio]]))</f>
        <v/>
      </c>
      <c r="R118" s="5">
        <f>IF(tblOrdenes[[#This Row],[fecha_inicio]]="","",tblOrdenes[[#This Row],[anio]]&amp;"-"&amp;TEXT(tblOrdenes[[#This Row],[mes]],"00"))</f>
        <v/>
      </c>
      <c r="S118" s="5">
        <f>IF(tblOrdenes[[#This Row],[fecha_inicio]]="","",INDEX(lista_dias,WEEKDAY(tblOrdenes[[#This Row],[fecha_inicio]],2)))</f>
        <v/>
      </c>
      <c r="T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" s="5">
        <f>IF(tblOrdenes[[#This Row],[tipo_ot]]="","",_xlfn.XLOOKUP(tblOrdenes[[#This Row],[tipo_ot]],tblTiposOT[codigo],tblTiposOT[clasificacion],"sin_clasificar"))</f>
        <v/>
      </c>
      <c r="V1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" s="5">
        <f>IF(tblOrdenes[[#This Row],[centro_costo]]="","",_xlfn.XLOOKUP(tblOrdenes[[#This Row],[centro_costo]],tblCECO[codigo],tblCECO[linea],"(sin catálogo)"))</f>
        <v/>
      </c>
      <c r="X118" s="5">
        <f>IF(tblOrdenes[[#This Row],[centro_costo]]="","",_xlfn.XLOOKUP(tblOrdenes[[#This Row],[centro_costo]],tblCECO[codigo],tblCECO[area],"(sin catálogo)"))</f>
        <v/>
      </c>
      <c r="Y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" s="5">
        <f>IF(tblOrdenes[[#This Row],[centro_costo]]="","",_xlfn.XLOOKUP(tblOrdenes[[#This Row],[centro_costo]],tblCECO[codigo],tblCECO[coordinador],"(sin catálogo)"))</f>
        <v/>
      </c>
      <c r="AA118" s="5">
        <f>IF(tblOrdenes[[#This Row],[puesto_trabajo]]="","",_xlfn.XLOOKUP(tblOrdenes[[#This Row],[puesto_trabajo]],tblPuestos[codigo],tblPuestos[especialidad],"(sin catálogo)"))</f>
        <v/>
      </c>
      <c r="AB118" s="5">
        <f>IF(tblOrdenes[[#This Row],[cod_actividad]]="","",_xlfn.XLOOKUP(tblOrdenes[[#This Row],[cod_actividad]],tblActividades[codigo],tblActividades[descripcion],"(sin catálogo)"))</f>
        <v/>
      </c>
      <c r="AC118" s="20">
        <f>IF(tblOrdenes[[#This Row],[fecha_inicio]]="","",TODAY()-tblOrdenes[[#This Row],[fecha_inicio]])</f>
        <v/>
      </c>
      <c r="AD1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" s="5">
        <f>IF(tblOrdenes[[#This Row],[backlog_habiles]]="","",IF(tblOrdenes[[#This Row],[backlog_habiles]]&lt;0,"FUTURO",IF(tblOrdenes[[#This Row],[backlog_habiles]]&gt;p_dias_backlog_max,"BACKLOG","MES CORRIENTE")))</f>
        <v/>
      </c>
      <c r="AF118" s="5">
        <f>IF(tblOrdenes[[#This Row],[backlog_habiles]]="",FALSE,AND(tblOrdenes[[#This Row],[backlog_habiles]]&gt;p_dias_backlog_min,tblOrdenes[[#This Row],[backlog_habiles]]&lt;=p_dias_backlog_max))</f>
        <v/>
      </c>
      <c r="AG118" s="4" t="inlineStr">
        <is>
          <t>David Torres</t>
        </is>
      </c>
      <c r="AH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" s="18">
        <f>IF(tblOrdenes[[#This Row],[orden]]="","",_xlfn.XLOOKUP(tblOrdenes[[#This Row],[id_operacion]],tblEjecucion[id_operacion],tblEjecucion[precio],0))</f>
        <v/>
      </c>
      <c r="AL118" s="18">
        <f>IF(tblOrdenes[[#This Row],[orden]]="","",MAX(0,_xlfn.XLOOKUP(tblOrdenes[[#This Row],[id_operacion]],tblEjecucion[id_operacion],tblEjecucion[costo_plan_total],0)-tblOrdenes[[#This Row],[costo_servicio]]))</f>
        <v/>
      </c>
      <c r="AM118" s="18">
        <f>IF(tblOrdenes[[#This Row],[orden]]="","",tblOrdenes[[#This Row],[costo_servicio]]+tblOrdenes[[#This Row],[costo_materiales]])</f>
        <v/>
      </c>
      <c r="AN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" s="4" t="inlineStr"/>
      <c r="AP118" s="4" t="inlineStr"/>
      <c r="AQ118" s="4" t="inlineStr"/>
      <c r="AR118" s="5">
        <f>IF(tblOrdenes[[#This Row],[link_checklist]]="","",HYPERLINK(p_ruta_base_checklists&amp;tblOrdenes[[#This Row],[link_checklist]],"abrir"))</f>
        <v/>
      </c>
      <c r="AS118" s="4" t="inlineStr"/>
      <c r="AT118" s="5">
        <f>IF(tblOrdenes[[#This Row],[orden]]="","",tblOrdenes[[#This Row],[orden]]&amp;IF(tblOrdenes[[#This Row],[operacion]]="","0010",tblOrdenes[[#This Row],[operacion]]))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TIPO-P1</t>
        </is>
      </c>
      <c r="J119" s="22" t="n">
        <v>46244</v>
      </c>
      <c r="K119" s="5" t="n">
        <v>2</v>
      </c>
      <c r="L119" s="18" t="n">
        <v>50</v>
      </c>
      <c r="M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5">
        <f>IF(tblOrdenes[[#This Row],[fecha_inicio]]="","",YEAR(tblOrdenes[[#This Row],[fecha_inicio]]))</f>
        <v/>
      </c>
      <c r="Q119" s="5">
        <f>IF(tblOrdenes[[#This Row],[fecha_inicio]]="","",MONTH(tblOrdenes[[#This Row],[fecha_inicio]]))</f>
        <v/>
      </c>
      <c r="R119" s="5">
        <f>IF(tblOrdenes[[#This Row],[fecha_inicio]]="","",tblOrdenes[[#This Row],[anio]]&amp;"-"&amp;TEXT(tblOrdenes[[#This Row],[mes]],"00"))</f>
        <v/>
      </c>
      <c r="S119" s="5">
        <f>IF(tblOrdenes[[#This Row],[fecha_inicio]]="","",INDEX(lista_dias,WEEKDAY(tblOrdenes[[#This Row],[fecha_inicio]],2)))</f>
        <v/>
      </c>
      <c r="T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" s="5">
        <f>IF(tblOrdenes[[#This Row],[tipo_ot]]="","",_xlfn.XLOOKUP(tblOrdenes[[#This Row],[tipo_ot]],tblTiposOT[codigo],tblTiposOT[clasificacion],"sin_clasificar"))</f>
        <v/>
      </c>
      <c r="V1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" s="5">
        <f>IF(tblOrdenes[[#This Row],[centro_costo]]="","",_xlfn.XLOOKUP(tblOrdenes[[#This Row],[centro_costo]],tblCECO[codigo],tblCECO[linea],"(sin catálogo)"))</f>
        <v/>
      </c>
      <c r="X119" s="5">
        <f>IF(tblOrdenes[[#This Row],[centro_costo]]="","",_xlfn.XLOOKUP(tblOrdenes[[#This Row],[centro_costo]],tblCECO[codigo],tblCECO[area],"(sin catálogo)"))</f>
        <v/>
      </c>
      <c r="Y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" s="5">
        <f>IF(tblOrdenes[[#This Row],[centro_costo]]="","",_xlfn.XLOOKUP(tblOrdenes[[#This Row],[centro_costo]],tblCECO[codigo],tblCECO[coordinador],"(sin catálogo)"))</f>
        <v/>
      </c>
      <c r="AA119" s="5">
        <f>IF(tblOrdenes[[#This Row],[puesto_trabajo]]="","",_xlfn.XLOOKUP(tblOrdenes[[#This Row],[puesto_trabajo]],tblPuestos[codigo],tblPuestos[especialidad],"(sin catálogo)"))</f>
        <v/>
      </c>
      <c r="AB119" s="5">
        <f>IF(tblOrdenes[[#This Row],[cod_actividad]]="","",_xlfn.XLOOKUP(tblOrdenes[[#This Row],[cod_actividad]],tblActividades[codigo],tblActividades[descripcion],"(sin catálogo)"))</f>
        <v/>
      </c>
      <c r="AC119" s="20">
        <f>IF(tblOrdenes[[#This Row],[fecha_inicio]]="","",TODAY()-tblOrdenes[[#This Row],[fecha_inicio]])</f>
        <v/>
      </c>
      <c r="AD1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" s="5">
        <f>IF(tblOrdenes[[#This Row],[backlog_habiles]]="","",IF(tblOrdenes[[#This Row],[backlog_habiles]]&lt;0,"FUTURO",IF(tblOrdenes[[#This Row],[backlog_habiles]]&gt;p_dias_backlog_max,"BACKLOG","MES CORRIENTE")))</f>
        <v/>
      </c>
      <c r="AF119" s="5">
        <f>IF(tblOrdenes[[#This Row],[backlog_habiles]]="",FALSE,AND(tblOrdenes[[#This Row],[backlog_habiles]]&gt;p_dias_backlog_min,tblOrdenes[[#This Row],[backlog_habiles]]&lt;=p_dias_backlog_max))</f>
        <v/>
      </c>
      <c r="AG119" s="4" t="inlineStr">
        <is>
          <t>Ricardo Ortiz</t>
        </is>
      </c>
      <c r="AH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" s="18">
        <f>IF(tblOrdenes[[#This Row],[orden]]="","",_xlfn.XLOOKUP(tblOrdenes[[#This Row],[id_operacion]],tblEjecucion[id_operacion],tblEjecucion[precio],0))</f>
        <v/>
      </c>
      <c r="AL119" s="18">
        <f>IF(tblOrdenes[[#This Row],[orden]]="","",MAX(0,_xlfn.XLOOKUP(tblOrdenes[[#This Row],[id_operacion]],tblEjecucion[id_operacion],tblEjecucion[costo_plan_total],0)-tblOrdenes[[#This Row],[costo_servicio]]))</f>
        <v/>
      </c>
      <c r="AM119" s="18">
        <f>IF(tblOrdenes[[#This Row],[orden]]="","",tblOrdenes[[#This Row],[costo_servicio]]+tblOrdenes[[#This Row],[costo_materiales]])</f>
        <v/>
      </c>
      <c r="AN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" s="4" t="inlineStr"/>
      <c r="AP119" s="4" t="inlineStr"/>
      <c r="AQ119" s="4" t="inlineStr"/>
      <c r="AR119" s="5">
        <f>IF(tblOrdenes[[#This Row],[link_checklist]]="","",HYPERLINK(p_ruta_base_checklists&amp;tblOrdenes[[#This Row],[link_checklist]],"abrir"))</f>
        <v/>
      </c>
      <c r="AS119" s="4" t="inlineStr"/>
      <c r="AT119" s="5">
        <f>IF(tblOrdenes[[#This Row],[orden]]="","",tblOrdenes[[#This Row],[orden]]&amp;IF(tblOrdenes[[#This Row],[operacion]]="","0010",tblOrdenes[[#This Row],[operacion]]))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22" t="n">
        <v>46185</v>
      </c>
      <c r="K120" s="5" t="n">
        <v>4</v>
      </c>
      <c r="L120" s="18" t="n">
        <v>160</v>
      </c>
      <c r="M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5">
        <f>IF(tblOrdenes[[#This Row],[fecha_inicio]]="","",YEAR(tblOrdenes[[#This Row],[fecha_inicio]]))</f>
        <v/>
      </c>
      <c r="Q120" s="5">
        <f>IF(tblOrdenes[[#This Row],[fecha_inicio]]="","",MONTH(tblOrdenes[[#This Row],[fecha_inicio]]))</f>
        <v/>
      </c>
      <c r="R120" s="5">
        <f>IF(tblOrdenes[[#This Row],[fecha_inicio]]="","",tblOrdenes[[#This Row],[anio]]&amp;"-"&amp;TEXT(tblOrdenes[[#This Row],[mes]],"00"))</f>
        <v/>
      </c>
      <c r="S120" s="5">
        <f>IF(tblOrdenes[[#This Row],[fecha_inicio]]="","",INDEX(lista_dias,WEEKDAY(tblOrdenes[[#This Row],[fecha_inicio]],2)))</f>
        <v/>
      </c>
      <c r="T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" s="5">
        <f>IF(tblOrdenes[[#This Row],[tipo_ot]]="","",_xlfn.XLOOKUP(tblOrdenes[[#This Row],[tipo_ot]],tblTiposOT[codigo],tblTiposOT[clasificacion],"sin_clasificar"))</f>
        <v/>
      </c>
      <c r="V1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" s="5">
        <f>IF(tblOrdenes[[#This Row],[centro_costo]]="","",_xlfn.XLOOKUP(tblOrdenes[[#This Row],[centro_costo]],tblCECO[codigo],tblCECO[linea],"(sin catálogo)"))</f>
        <v/>
      </c>
      <c r="X120" s="5">
        <f>IF(tblOrdenes[[#This Row],[centro_costo]]="","",_xlfn.XLOOKUP(tblOrdenes[[#This Row],[centro_costo]],tblCECO[codigo],tblCECO[area],"(sin catálogo)"))</f>
        <v/>
      </c>
      <c r="Y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0" s="5">
        <f>IF(tblOrdenes[[#This Row],[centro_costo]]="","",_xlfn.XLOOKUP(tblOrdenes[[#This Row],[centro_costo]],tblCECO[codigo],tblCECO[coordinador],"(sin catálogo)"))</f>
        <v/>
      </c>
      <c r="AA120" s="5">
        <f>IF(tblOrdenes[[#This Row],[puesto_trabajo]]="","",_xlfn.XLOOKUP(tblOrdenes[[#This Row],[puesto_trabajo]],tblPuestos[codigo],tblPuestos[especialidad],"(sin catálogo)"))</f>
        <v/>
      </c>
      <c r="AB120" s="5">
        <f>IF(tblOrdenes[[#This Row],[cod_actividad]]="","",_xlfn.XLOOKUP(tblOrdenes[[#This Row],[cod_actividad]],tblActividades[codigo],tblActividades[descripcion],"(sin catálogo)"))</f>
        <v/>
      </c>
      <c r="AC120" s="20">
        <f>IF(tblOrdenes[[#This Row],[fecha_inicio]]="","",TODAY()-tblOrdenes[[#This Row],[fecha_inicio]])</f>
        <v/>
      </c>
      <c r="AD1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0" s="5">
        <f>IF(tblOrdenes[[#This Row],[backlog_habiles]]="","",IF(tblOrdenes[[#This Row],[backlog_habiles]]&lt;0,"FUTURO",IF(tblOrdenes[[#This Row],[backlog_habiles]]&gt;p_dias_backlog_max,"BACKLOG","MES CORRIENTE")))</f>
        <v/>
      </c>
      <c r="AF120" s="5">
        <f>IF(tblOrdenes[[#This Row],[backlog_habiles]]="",FALSE,AND(tblOrdenes[[#This Row],[backlog_habiles]]&gt;p_dias_backlog_min,tblOrdenes[[#This Row],[backlog_habiles]]&lt;=p_dias_backlog_max))</f>
        <v/>
      </c>
      <c r="AG120" s="4" t="inlineStr"/>
      <c r="AH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0" s="18">
        <f>IF(tblOrdenes[[#This Row],[orden]]="","",_xlfn.XLOOKUP(tblOrdenes[[#This Row],[id_operacion]],tblEjecucion[id_operacion],tblEjecucion[precio],0))</f>
        <v/>
      </c>
      <c r="AL120" s="18">
        <f>IF(tblOrdenes[[#This Row],[orden]]="","",MAX(0,_xlfn.XLOOKUP(tblOrdenes[[#This Row],[id_operacion]],tblEjecucion[id_operacion],tblEjecucion[costo_plan_total],0)-tblOrdenes[[#This Row],[costo_servicio]]))</f>
        <v/>
      </c>
      <c r="AM120" s="18">
        <f>IF(tblOrdenes[[#This Row],[orden]]="","",tblOrdenes[[#This Row],[costo_servicio]]+tblOrdenes[[#This Row],[costo_materiales]])</f>
        <v/>
      </c>
      <c r="AN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0" s="4" t="inlineStr"/>
      <c r="AP120" s="4" t="inlineStr"/>
      <c r="AQ120" s="4" t="inlineStr"/>
      <c r="AR120" s="5">
        <f>IF(tblOrdenes[[#This Row],[link_checklist]]="","",HYPERLINK(p_ruta_base_checklists&amp;tblOrdenes[[#This Row],[link_checklist]],"abrir"))</f>
        <v/>
      </c>
      <c r="AS120" s="4" t="inlineStr"/>
      <c r="AT120" s="5">
        <f>IF(tblOrdenes[[#This Row],[orden]]="","",tblOrdenes[[#This Row],[orden]]&amp;IF(tblOrdenes[[#This Row],[operacion]]="","0010",tblOrdenes[[#This Row],[operacion]]))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22" t="n">
        <v>46185</v>
      </c>
      <c r="K121" s="5" t="n">
        <v>6</v>
      </c>
      <c r="L121" s="18" t="n">
        <v>240</v>
      </c>
      <c r="M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5">
        <f>IF(tblOrdenes[[#This Row],[fecha_inicio]]="","",YEAR(tblOrdenes[[#This Row],[fecha_inicio]]))</f>
        <v/>
      </c>
      <c r="Q121" s="5">
        <f>IF(tblOrdenes[[#This Row],[fecha_inicio]]="","",MONTH(tblOrdenes[[#This Row],[fecha_inicio]]))</f>
        <v/>
      </c>
      <c r="R121" s="5">
        <f>IF(tblOrdenes[[#This Row],[fecha_inicio]]="","",tblOrdenes[[#This Row],[anio]]&amp;"-"&amp;TEXT(tblOrdenes[[#This Row],[mes]],"00"))</f>
        <v/>
      </c>
      <c r="S121" s="5">
        <f>IF(tblOrdenes[[#This Row],[fecha_inicio]]="","",INDEX(lista_dias,WEEKDAY(tblOrdenes[[#This Row],[fecha_inicio]],2)))</f>
        <v/>
      </c>
      <c r="T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1" s="5">
        <f>IF(tblOrdenes[[#This Row],[tipo_ot]]="","",_xlfn.XLOOKUP(tblOrdenes[[#This Row],[tipo_ot]],tblTiposOT[codigo],tblTiposOT[clasificacion],"sin_clasificar"))</f>
        <v/>
      </c>
      <c r="V1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1" s="5">
        <f>IF(tblOrdenes[[#This Row],[centro_costo]]="","",_xlfn.XLOOKUP(tblOrdenes[[#This Row],[centro_costo]],tblCECO[codigo],tblCECO[linea],"(sin catálogo)"))</f>
        <v/>
      </c>
      <c r="X121" s="5">
        <f>IF(tblOrdenes[[#This Row],[centro_costo]]="","",_xlfn.XLOOKUP(tblOrdenes[[#This Row],[centro_costo]],tblCECO[codigo],tblCECO[area],"(sin catálogo)"))</f>
        <v/>
      </c>
      <c r="Y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1" s="5">
        <f>IF(tblOrdenes[[#This Row],[centro_costo]]="","",_xlfn.XLOOKUP(tblOrdenes[[#This Row],[centro_costo]],tblCECO[codigo],tblCECO[coordinador],"(sin catálogo)"))</f>
        <v/>
      </c>
      <c r="AA121" s="5">
        <f>IF(tblOrdenes[[#This Row],[puesto_trabajo]]="","",_xlfn.XLOOKUP(tblOrdenes[[#This Row],[puesto_trabajo]],tblPuestos[codigo],tblPuestos[especialidad],"(sin catálogo)"))</f>
        <v/>
      </c>
      <c r="AB121" s="5">
        <f>IF(tblOrdenes[[#This Row],[cod_actividad]]="","",_xlfn.XLOOKUP(tblOrdenes[[#This Row],[cod_actividad]],tblActividades[codigo],tblActividades[descripcion],"(sin catálogo)"))</f>
        <v/>
      </c>
      <c r="AC121" s="20">
        <f>IF(tblOrdenes[[#This Row],[fecha_inicio]]="","",TODAY()-tblOrdenes[[#This Row],[fecha_inicio]])</f>
        <v/>
      </c>
      <c r="AD1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1" s="5">
        <f>IF(tblOrdenes[[#This Row],[backlog_habiles]]="","",IF(tblOrdenes[[#This Row],[backlog_habiles]]&lt;0,"FUTURO",IF(tblOrdenes[[#This Row],[backlog_habiles]]&gt;p_dias_backlog_max,"BACKLOG","MES CORRIENTE")))</f>
        <v/>
      </c>
      <c r="AF121" s="5">
        <f>IF(tblOrdenes[[#This Row],[backlog_habiles]]="",FALSE,AND(tblOrdenes[[#This Row],[backlog_habiles]]&gt;p_dias_backlog_min,tblOrdenes[[#This Row],[backlog_habiles]]&lt;=p_dias_backlog_max))</f>
        <v/>
      </c>
      <c r="AG121" s="4" t="inlineStr"/>
      <c r="AH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1" s="18">
        <f>IF(tblOrdenes[[#This Row],[orden]]="","",_xlfn.XLOOKUP(tblOrdenes[[#This Row],[id_operacion]],tblEjecucion[id_operacion],tblEjecucion[precio],0))</f>
        <v/>
      </c>
      <c r="AL121" s="18">
        <f>IF(tblOrdenes[[#This Row],[orden]]="","",MAX(0,_xlfn.XLOOKUP(tblOrdenes[[#This Row],[id_operacion]],tblEjecucion[id_operacion],tblEjecucion[costo_plan_total],0)-tblOrdenes[[#This Row],[costo_servicio]]))</f>
        <v/>
      </c>
      <c r="AM121" s="18">
        <f>IF(tblOrdenes[[#This Row],[orden]]="","",tblOrdenes[[#This Row],[costo_servicio]]+tblOrdenes[[#This Row],[costo_materiales]])</f>
        <v/>
      </c>
      <c r="AN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1" s="4" t="inlineStr"/>
      <c r="AP121" s="4" t="inlineStr"/>
      <c r="AQ121" s="4" t="inlineStr"/>
      <c r="AR121" s="5">
        <f>IF(tblOrdenes[[#This Row],[link_checklist]]="","",HYPERLINK(p_ruta_base_checklists&amp;tblOrdenes[[#This Row],[link_checklist]],"abrir"))</f>
        <v/>
      </c>
      <c r="AS121" s="4" t="inlineStr"/>
      <c r="AT121" s="5">
        <f>IF(tblOrdenes[[#This Row],[orden]]="","",tblOrdenes[[#This Row],[orden]]&amp;IF(tblOrdenes[[#This Row],[operacion]]="","0010",tblOrdenes[[#This Row],[operacion]]))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22" t="n">
        <v>46185</v>
      </c>
      <c r="K122" s="5" t="n">
        <v>8</v>
      </c>
      <c r="L122" s="18" t="n">
        <v>320</v>
      </c>
      <c r="M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5">
        <f>IF(tblOrdenes[[#This Row],[fecha_inicio]]="","",YEAR(tblOrdenes[[#This Row],[fecha_inicio]]))</f>
        <v/>
      </c>
      <c r="Q122" s="5">
        <f>IF(tblOrdenes[[#This Row],[fecha_inicio]]="","",MONTH(tblOrdenes[[#This Row],[fecha_inicio]]))</f>
        <v/>
      </c>
      <c r="R122" s="5">
        <f>IF(tblOrdenes[[#This Row],[fecha_inicio]]="","",tblOrdenes[[#This Row],[anio]]&amp;"-"&amp;TEXT(tblOrdenes[[#This Row],[mes]],"00"))</f>
        <v/>
      </c>
      <c r="S122" s="5">
        <f>IF(tblOrdenes[[#This Row],[fecha_inicio]]="","",INDEX(lista_dias,WEEKDAY(tblOrdenes[[#This Row],[fecha_inicio]],2)))</f>
        <v/>
      </c>
      <c r="T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2" s="5">
        <f>IF(tblOrdenes[[#This Row],[tipo_ot]]="","",_xlfn.XLOOKUP(tblOrdenes[[#This Row],[tipo_ot]],tblTiposOT[codigo],tblTiposOT[clasificacion],"sin_clasificar"))</f>
        <v/>
      </c>
      <c r="V1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2" s="5">
        <f>IF(tblOrdenes[[#This Row],[centro_costo]]="","",_xlfn.XLOOKUP(tblOrdenes[[#This Row],[centro_costo]],tblCECO[codigo],tblCECO[linea],"(sin catálogo)"))</f>
        <v/>
      </c>
      <c r="X122" s="5">
        <f>IF(tblOrdenes[[#This Row],[centro_costo]]="","",_xlfn.XLOOKUP(tblOrdenes[[#This Row],[centro_costo]],tblCECO[codigo],tblCECO[area],"(sin catálogo)"))</f>
        <v/>
      </c>
      <c r="Y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2" s="5">
        <f>IF(tblOrdenes[[#This Row],[centro_costo]]="","",_xlfn.XLOOKUP(tblOrdenes[[#This Row],[centro_costo]],tblCECO[codigo],tblCECO[coordinador],"(sin catálogo)"))</f>
        <v/>
      </c>
      <c r="AA122" s="5">
        <f>IF(tblOrdenes[[#This Row],[puesto_trabajo]]="","",_xlfn.XLOOKUP(tblOrdenes[[#This Row],[puesto_trabajo]],tblPuestos[codigo],tblPuestos[especialidad],"(sin catálogo)"))</f>
        <v/>
      </c>
      <c r="AB122" s="5">
        <f>IF(tblOrdenes[[#This Row],[cod_actividad]]="","",_xlfn.XLOOKUP(tblOrdenes[[#This Row],[cod_actividad]],tblActividades[codigo],tblActividades[descripcion],"(sin catálogo)"))</f>
        <v/>
      </c>
      <c r="AC122" s="20">
        <f>IF(tblOrdenes[[#This Row],[fecha_inicio]]="","",TODAY()-tblOrdenes[[#This Row],[fecha_inicio]])</f>
        <v/>
      </c>
      <c r="AD1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2" s="5">
        <f>IF(tblOrdenes[[#This Row],[backlog_habiles]]="","",IF(tblOrdenes[[#This Row],[backlog_habiles]]&lt;0,"FUTURO",IF(tblOrdenes[[#This Row],[backlog_habiles]]&gt;p_dias_backlog_max,"BACKLOG","MES CORRIENTE")))</f>
        <v/>
      </c>
      <c r="AF122" s="5">
        <f>IF(tblOrdenes[[#This Row],[backlog_habiles]]="",FALSE,AND(tblOrdenes[[#This Row],[backlog_habiles]]&gt;p_dias_backlog_min,tblOrdenes[[#This Row],[backlog_habiles]]&lt;=p_dias_backlog_max))</f>
        <v/>
      </c>
      <c r="AG122" s="4" t="inlineStr"/>
      <c r="AH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2" s="18">
        <f>IF(tblOrdenes[[#This Row],[orden]]="","",_xlfn.XLOOKUP(tblOrdenes[[#This Row],[id_operacion]],tblEjecucion[id_operacion],tblEjecucion[precio],0))</f>
        <v/>
      </c>
      <c r="AL122" s="18">
        <f>IF(tblOrdenes[[#This Row],[orden]]="","",MAX(0,_xlfn.XLOOKUP(tblOrdenes[[#This Row],[id_operacion]],tblEjecucion[id_operacion],tblEjecucion[costo_plan_total],0)-tblOrdenes[[#This Row],[costo_servicio]]))</f>
        <v/>
      </c>
      <c r="AM122" s="18">
        <f>IF(tblOrdenes[[#This Row],[orden]]="","",tblOrdenes[[#This Row],[costo_servicio]]+tblOrdenes[[#This Row],[costo_materiales]])</f>
        <v/>
      </c>
      <c r="AN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2" s="4" t="inlineStr"/>
      <c r="AP122" s="4" t="inlineStr"/>
      <c r="AQ122" s="4" t="inlineStr"/>
      <c r="AR122" s="5">
        <f>IF(tblOrdenes[[#This Row],[link_checklist]]="","",HYPERLINK(p_ruta_base_checklists&amp;tblOrdenes[[#This Row],[link_checklist]],"abrir"))</f>
        <v/>
      </c>
      <c r="AS122" s="4" t="inlineStr"/>
      <c r="AT122" s="5">
        <f>IF(tblOrdenes[[#This Row],[orden]]="","",tblOrdenes[[#This Row],[orden]]&amp;IF(tblOrdenes[[#This Row],[operacion]]="","0010",tblOrdenes[[#This Row],[operacion]]))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22" t="n">
        <v>46185</v>
      </c>
      <c r="K123" s="5" t="n">
        <v>4</v>
      </c>
      <c r="L123" s="18" t="n">
        <v>100</v>
      </c>
      <c r="M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5">
        <f>IF(tblOrdenes[[#This Row],[fecha_inicio]]="","",YEAR(tblOrdenes[[#This Row],[fecha_inicio]]))</f>
        <v/>
      </c>
      <c r="Q123" s="5">
        <f>IF(tblOrdenes[[#This Row],[fecha_inicio]]="","",MONTH(tblOrdenes[[#This Row],[fecha_inicio]]))</f>
        <v/>
      </c>
      <c r="R123" s="5">
        <f>IF(tblOrdenes[[#This Row],[fecha_inicio]]="","",tblOrdenes[[#This Row],[anio]]&amp;"-"&amp;TEXT(tblOrdenes[[#This Row],[mes]],"00"))</f>
        <v/>
      </c>
      <c r="S123" s="5">
        <f>IF(tblOrdenes[[#This Row],[fecha_inicio]]="","",INDEX(lista_dias,WEEKDAY(tblOrdenes[[#This Row],[fecha_inicio]],2)))</f>
        <v/>
      </c>
      <c r="T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3" s="5">
        <f>IF(tblOrdenes[[#This Row],[tipo_ot]]="","",_xlfn.XLOOKUP(tblOrdenes[[#This Row],[tipo_ot]],tblTiposOT[codigo],tblTiposOT[clasificacion],"sin_clasificar"))</f>
        <v/>
      </c>
      <c r="V1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3" s="5">
        <f>IF(tblOrdenes[[#This Row],[centro_costo]]="","",_xlfn.XLOOKUP(tblOrdenes[[#This Row],[centro_costo]],tblCECO[codigo],tblCECO[linea],"(sin catálogo)"))</f>
        <v/>
      </c>
      <c r="X123" s="5">
        <f>IF(tblOrdenes[[#This Row],[centro_costo]]="","",_xlfn.XLOOKUP(tblOrdenes[[#This Row],[centro_costo]],tblCECO[codigo],tblCECO[area],"(sin catálogo)"))</f>
        <v/>
      </c>
      <c r="Y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3" s="5">
        <f>IF(tblOrdenes[[#This Row],[centro_costo]]="","",_xlfn.XLOOKUP(tblOrdenes[[#This Row],[centro_costo]],tblCECO[codigo],tblCECO[coordinador],"(sin catálogo)"))</f>
        <v/>
      </c>
      <c r="AA123" s="5">
        <f>IF(tblOrdenes[[#This Row],[puesto_trabajo]]="","",_xlfn.XLOOKUP(tblOrdenes[[#This Row],[puesto_trabajo]],tblPuestos[codigo],tblPuestos[especialidad],"(sin catálogo)"))</f>
        <v/>
      </c>
      <c r="AB123" s="5">
        <f>IF(tblOrdenes[[#This Row],[cod_actividad]]="","",_xlfn.XLOOKUP(tblOrdenes[[#This Row],[cod_actividad]],tblActividades[codigo],tblActividades[descripcion],"(sin catálogo)"))</f>
        <v/>
      </c>
      <c r="AC123" s="20">
        <f>IF(tblOrdenes[[#This Row],[fecha_inicio]]="","",TODAY()-tblOrdenes[[#This Row],[fecha_inicio]])</f>
        <v/>
      </c>
      <c r="AD1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3" s="5">
        <f>IF(tblOrdenes[[#This Row],[backlog_habiles]]="","",IF(tblOrdenes[[#This Row],[backlog_habiles]]&lt;0,"FUTURO",IF(tblOrdenes[[#This Row],[backlog_habiles]]&gt;p_dias_backlog_max,"BACKLOG","MES CORRIENTE")))</f>
        <v/>
      </c>
      <c r="AF123" s="5">
        <f>IF(tblOrdenes[[#This Row],[backlog_habiles]]="",FALSE,AND(tblOrdenes[[#This Row],[backlog_habiles]]&gt;p_dias_backlog_min,tblOrdenes[[#This Row],[backlog_habiles]]&lt;=p_dias_backlog_max))</f>
        <v/>
      </c>
      <c r="AG123" s="4" t="inlineStr"/>
      <c r="AH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3" s="18">
        <f>IF(tblOrdenes[[#This Row],[orden]]="","",_xlfn.XLOOKUP(tblOrdenes[[#This Row],[id_operacion]],tblEjecucion[id_operacion],tblEjecucion[precio],0))</f>
        <v/>
      </c>
      <c r="AL123" s="18">
        <f>IF(tblOrdenes[[#This Row],[orden]]="","",MAX(0,_xlfn.XLOOKUP(tblOrdenes[[#This Row],[id_operacion]],tblEjecucion[id_operacion],tblEjecucion[costo_plan_total],0)-tblOrdenes[[#This Row],[costo_servicio]]))</f>
        <v/>
      </c>
      <c r="AM123" s="18">
        <f>IF(tblOrdenes[[#This Row],[orden]]="","",tblOrdenes[[#This Row],[costo_servicio]]+tblOrdenes[[#This Row],[costo_materiales]])</f>
        <v/>
      </c>
      <c r="AN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3" s="4" t="inlineStr"/>
      <c r="AP123" s="4" t="inlineStr"/>
      <c r="AQ123" s="4" t="inlineStr"/>
      <c r="AR123" s="5">
        <f>IF(tblOrdenes[[#This Row],[link_checklist]]="","",HYPERLINK(p_ruta_base_checklists&amp;tblOrdenes[[#This Row],[link_checklist]],"abrir"))</f>
        <v/>
      </c>
      <c r="AS123" s="4" t="inlineStr"/>
      <c r="AT123" s="5">
        <f>IF(tblOrdenes[[#This Row],[orden]]="","",tblOrdenes[[#This Row],[orden]]&amp;IF(tblOrdenes[[#This Row],[operacion]]="","0010",tblOrdenes[[#This Row],[operacion]]))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22" t="n">
        <v>46185</v>
      </c>
      <c r="K124" s="5" t="n">
        <v>6</v>
      </c>
      <c r="L124" s="18" t="n">
        <v>240</v>
      </c>
      <c r="M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5">
        <f>IF(tblOrdenes[[#This Row],[fecha_inicio]]="","",YEAR(tblOrdenes[[#This Row],[fecha_inicio]]))</f>
        <v/>
      </c>
      <c r="Q124" s="5">
        <f>IF(tblOrdenes[[#This Row],[fecha_inicio]]="","",MONTH(tblOrdenes[[#This Row],[fecha_inicio]]))</f>
        <v/>
      </c>
      <c r="R124" s="5">
        <f>IF(tblOrdenes[[#This Row],[fecha_inicio]]="","",tblOrdenes[[#This Row],[anio]]&amp;"-"&amp;TEXT(tblOrdenes[[#This Row],[mes]],"00"))</f>
        <v/>
      </c>
      <c r="S124" s="5">
        <f>IF(tblOrdenes[[#This Row],[fecha_inicio]]="","",INDEX(lista_dias,WEEKDAY(tblOrdenes[[#This Row],[fecha_inicio]],2)))</f>
        <v/>
      </c>
      <c r="T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4" s="5">
        <f>IF(tblOrdenes[[#This Row],[tipo_ot]]="","",_xlfn.XLOOKUP(tblOrdenes[[#This Row],[tipo_ot]],tblTiposOT[codigo],tblTiposOT[clasificacion],"sin_clasificar"))</f>
        <v/>
      </c>
      <c r="V1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4" s="5">
        <f>IF(tblOrdenes[[#This Row],[centro_costo]]="","",_xlfn.XLOOKUP(tblOrdenes[[#This Row],[centro_costo]],tblCECO[codigo],tblCECO[linea],"(sin catálogo)"))</f>
        <v/>
      </c>
      <c r="X124" s="5">
        <f>IF(tblOrdenes[[#This Row],[centro_costo]]="","",_xlfn.XLOOKUP(tblOrdenes[[#This Row],[centro_costo]],tblCECO[codigo],tblCECO[area],"(sin catálogo)"))</f>
        <v/>
      </c>
      <c r="Y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4" s="5">
        <f>IF(tblOrdenes[[#This Row],[centro_costo]]="","",_xlfn.XLOOKUP(tblOrdenes[[#This Row],[centro_costo]],tblCECO[codigo],tblCECO[coordinador],"(sin catálogo)"))</f>
        <v/>
      </c>
      <c r="AA124" s="5">
        <f>IF(tblOrdenes[[#This Row],[puesto_trabajo]]="","",_xlfn.XLOOKUP(tblOrdenes[[#This Row],[puesto_trabajo]],tblPuestos[codigo],tblPuestos[especialidad],"(sin catálogo)"))</f>
        <v/>
      </c>
      <c r="AB124" s="5">
        <f>IF(tblOrdenes[[#This Row],[cod_actividad]]="","",_xlfn.XLOOKUP(tblOrdenes[[#This Row],[cod_actividad]],tblActividades[codigo],tblActividades[descripcion],"(sin catálogo)"))</f>
        <v/>
      </c>
      <c r="AC124" s="20">
        <f>IF(tblOrdenes[[#This Row],[fecha_inicio]]="","",TODAY()-tblOrdenes[[#This Row],[fecha_inicio]])</f>
        <v/>
      </c>
      <c r="AD1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4" s="5">
        <f>IF(tblOrdenes[[#This Row],[backlog_habiles]]="","",IF(tblOrdenes[[#This Row],[backlog_habiles]]&lt;0,"FUTURO",IF(tblOrdenes[[#This Row],[backlog_habiles]]&gt;p_dias_backlog_max,"BACKLOG","MES CORRIENTE")))</f>
        <v/>
      </c>
      <c r="AF124" s="5">
        <f>IF(tblOrdenes[[#This Row],[backlog_habiles]]="",FALSE,AND(tblOrdenes[[#This Row],[backlog_habiles]]&gt;p_dias_backlog_min,tblOrdenes[[#This Row],[backlog_habiles]]&lt;=p_dias_backlog_max))</f>
        <v/>
      </c>
      <c r="AG124" s="4" t="inlineStr"/>
      <c r="AH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4" s="18">
        <f>IF(tblOrdenes[[#This Row],[orden]]="","",_xlfn.XLOOKUP(tblOrdenes[[#This Row],[id_operacion]],tblEjecucion[id_operacion],tblEjecucion[precio],0))</f>
        <v/>
      </c>
      <c r="AL124" s="18">
        <f>IF(tblOrdenes[[#This Row],[orden]]="","",MAX(0,_xlfn.XLOOKUP(tblOrdenes[[#This Row],[id_operacion]],tblEjecucion[id_operacion],tblEjecucion[costo_plan_total],0)-tblOrdenes[[#This Row],[costo_servicio]]))</f>
        <v/>
      </c>
      <c r="AM124" s="18">
        <f>IF(tblOrdenes[[#This Row],[orden]]="","",tblOrdenes[[#This Row],[costo_servicio]]+tblOrdenes[[#This Row],[costo_materiales]])</f>
        <v/>
      </c>
      <c r="AN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4" s="4" t="inlineStr"/>
      <c r="AP124" s="4" t="inlineStr"/>
      <c r="AQ124" s="4" t="inlineStr"/>
      <c r="AR124" s="5">
        <f>IF(tblOrdenes[[#This Row],[link_checklist]]="","",HYPERLINK(p_ruta_base_checklists&amp;tblOrdenes[[#This Row],[link_checklist]],"abrir"))</f>
        <v/>
      </c>
      <c r="AS124" s="4" t="inlineStr"/>
      <c r="AT124" s="5">
        <f>IF(tblOrdenes[[#This Row],[orden]]="","",tblOrdenes[[#This Row],[orden]]&amp;IF(tblOrdenes[[#This Row],[operacion]]="","0010",tblOrdenes[[#This Row],[operacion]]))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22" t="n">
        <v>46185</v>
      </c>
      <c r="K125" s="5" t="n">
        <v>8</v>
      </c>
      <c r="L125" s="18" t="n">
        <v>320</v>
      </c>
      <c r="M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5">
        <f>IF(tblOrdenes[[#This Row],[fecha_inicio]]="","",YEAR(tblOrdenes[[#This Row],[fecha_inicio]]))</f>
        <v/>
      </c>
      <c r="Q125" s="5">
        <f>IF(tblOrdenes[[#This Row],[fecha_inicio]]="","",MONTH(tblOrdenes[[#This Row],[fecha_inicio]]))</f>
        <v/>
      </c>
      <c r="R125" s="5">
        <f>IF(tblOrdenes[[#This Row],[fecha_inicio]]="","",tblOrdenes[[#This Row],[anio]]&amp;"-"&amp;TEXT(tblOrdenes[[#This Row],[mes]],"00"))</f>
        <v/>
      </c>
      <c r="S125" s="5">
        <f>IF(tblOrdenes[[#This Row],[fecha_inicio]]="","",INDEX(lista_dias,WEEKDAY(tblOrdenes[[#This Row],[fecha_inicio]],2)))</f>
        <v/>
      </c>
      <c r="T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5" s="5">
        <f>IF(tblOrdenes[[#This Row],[tipo_ot]]="","",_xlfn.XLOOKUP(tblOrdenes[[#This Row],[tipo_ot]],tblTiposOT[codigo],tblTiposOT[clasificacion],"sin_clasificar"))</f>
        <v/>
      </c>
      <c r="V1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5" s="5">
        <f>IF(tblOrdenes[[#This Row],[centro_costo]]="","",_xlfn.XLOOKUP(tblOrdenes[[#This Row],[centro_costo]],tblCECO[codigo],tblCECO[linea],"(sin catálogo)"))</f>
        <v/>
      </c>
      <c r="X125" s="5">
        <f>IF(tblOrdenes[[#This Row],[centro_costo]]="","",_xlfn.XLOOKUP(tblOrdenes[[#This Row],[centro_costo]],tblCECO[codigo],tblCECO[area],"(sin catálogo)"))</f>
        <v/>
      </c>
      <c r="Y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5" s="5">
        <f>IF(tblOrdenes[[#This Row],[centro_costo]]="","",_xlfn.XLOOKUP(tblOrdenes[[#This Row],[centro_costo]],tblCECO[codigo],tblCECO[coordinador],"(sin catálogo)"))</f>
        <v/>
      </c>
      <c r="AA125" s="5">
        <f>IF(tblOrdenes[[#This Row],[puesto_trabajo]]="","",_xlfn.XLOOKUP(tblOrdenes[[#This Row],[puesto_trabajo]],tblPuestos[codigo],tblPuestos[especialidad],"(sin catálogo)"))</f>
        <v/>
      </c>
      <c r="AB125" s="5">
        <f>IF(tblOrdenes[[#This Row],[cod_actividad]]="","",_xlfn.XLOOKUP(tblOrdenes[[#This Row],[cod_actividad]],tblActividades[codigo],tblActividades[descripcion],"(sin catálogo)"))</f>
        <v/>
      </c>
      <c r="AC125" s="20">
        <f>IF(tblOrdenes[[#This Row],[fecha_inicio]]="","",TODAY()-tblOrdenes[[#This Row],[fecha_inicio]])</f>
        <v/>
      </c>
      <c r="AD1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5" s="5">
        <f>IF(tblOrdenes[[#This Row],[backlog_habiles]]="","",IF(tblOrdenes[[#This Row],[backlog_habiles]]&lt;0,"FUTURO",IF(tblOrdenes[[#This Row],[backlog_habiles]]&gt;p_dias_backlog_max,"BACKLOG","MES CORRIENTE")))</f>
        <v/>
      </c>
      <c r="AF125" s="5">
        <f>IF(tblOrdenes[[#This Row],[backlog_habiles]]="",FALSE,AND(tblOrdenes[[#This Row],[backlog_habiles]]&gt;p_dias_backlog_min,tblOrdenes[[#This Row],[backlog_habiles]]&lt;=p_dias_backlog_max))</f>
        <v/>
      </c>
      <c r="AG125" s="4" t="inlineStr"/>
      <c r="AH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5" s="18">
        <f>IF(tblOrdenes[[#This Row],[orden]]="","",_xlfn.XLOOKUP(tblOrdenes[[#This Row],[id_operacion]],tblEjecucion[id_operacion],tblEjecucion[precio],0))</f>
        <v/>
      </c>
      <c r="AL125" s="18">
        <f>IF(tblOrdenes[[#This Row],[orden]]="","",MAX(0,_xlfn.XLOOKUP(tblOrdenes[[#This Row],[id_operacion]],tblEjecucion[id_operacion],tblEjecucion[costo_plan_total],0)-tblOrdenes[[#This Row],[costo_servicio]]))</f>
        <v/>
      </c>
      <c r="AM125" s="18">
        <f>IF(tblOrdenes[[#This Row],[orden]]="","",tblOrdenes[[#This Row],[costo_servicio]]+tblOrdenes[[#This Row],[costo_materiales]])</f>
        <v/>
      </c>
      <c r="AN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5" s="4" t="inlineStr"/>
      <c r="AP125" s="4" t="inlineStr"/>
      <c r="AQ125" s="4" t="inlineStr"/>
      <c r="AR125" s="5">
        <f>IF(tblOrdenes[[#This Row],[link_checklist]]="","",HYPERLINK(p_ruta_base_checklists&amp;tblOrdenes[[#This Row],[link_checklist]],"abrir"))</f>
        <v/>
      </c>
      <c r="AS125" s="4" t="inlineStr"/>
      <c r="AT125" s="5">
        <f>IF(tblOrdenes[[#This Row],[orden]]="","",tblOrdenes[[#This Row],[orden]]&amp;IF(tblOrdenes[[#This Row],[operacion]]="","0010",tblOrdenes[[#This Row],[operacion]]))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22" t="n">
        <v>46185</v>
      </c>
      <c r="K126" s="5" t="n">
        <v>4</v>
      </c>
      <c r="L126" s="18" t="n">
        <v>160</v>
      </c>
      <c r="M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5">
        <f>IF(tblOrdenes[[#This Row],[fecha_inicio]]="","",YEAR(tblOrdenes[[#This Row],[fecha_inicio]]))</f>
        <v/>
      </c>
      <c r="Q126" s="5">
        <f>IF(tblOrdenes[[#This Row],[fecha_inicio]]="","",MONTH(tblOrdenes[[#This Row],[fecha_inicio]]))</f>
        <v/>
      </c>
      <c r="R126" s="5">
        <f>IF(tblOrdenes[[#This Row],[fecha_inicio]]="","",tblOrdenes[[#This Row],[anio]]&amp;"-"&amp;TEXT(tblOrdenes[[#This Row],[mes]],"00"))</f>
        <v/>
      </c>
      <c r="S126" s="5">
        <f>IF(tblOrdenes[[#This Row],[fecha_inicio]]="","",INDEX(lista_dias,WEEKDAY(tblOrdenes[[#This Row],[fecha_inicio]],2)))</f>
        <v/>
      </c>
      <c r="T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6" s="5">
        <f>IF(tblOrdenes[[#This Row],[tipo_ot]]="","",_xlfn.XLOOKUP(tblOrdenes[[#This Row],[tipo_ot]],tblTiposOT[codigo],tblTiposOT[clasificacion],"sin_clasificar"))</f>
        <v/>
      </c>
      <c r="V1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6" s="5">
        <f>IF(tblOrdenes[[#This Row],[centro_costo]]="","",_xlfn.XLOOKUP(tblOrdenes[[#This Row],[centro_costo]],tblCECO[codigo],tblCECO[linea],"(sin catálogo)"))</f>
        <v/>
      </c>
      <c r="X126" s="5">
        <f>IF(tblOrdenes[[#This Row],[centro_costo]]="","",_xlfn.XLOOKUP(tblOrdenes[[#This Row],[centro_costo]],tblCECO[codigo],tblCECO[area],"(sin catálogo)"))</f>
        <v/>
      </c>
      <c r="Y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6" s="5">
        <f>IF(tblOrdenes[[#This Row],[centro_costo]]="","",_xlfn.XLOOKUP(tblOrdenes[[#This Row],[centro_costo]],tblCECO[codigo],tblCECO[coordinador],"(sin catálogo)"))</f>
        <v/>
      </c>
      <c r="AA126" s="5">
        <f>IF(tblOrdenes[[#This Row],[puesto_trabajo]]="","",_xlfn.XLOOKUP(tblOrdenes[[#This Row],[puesto_trabajo]],tblPuestos[codigo],tblPuestos[especialidad],"(sin catálogo)"))</f>
        <v/>
      </c>
      <c r="AB126" s="5">
        <f>IF(tblOrdenes[[#This Row],[cod_actividad]]="","",_xlfn.XLOOKUP(tblOrdenes[[#This Row],[cod_actividad]],tblActividades[codigo],tblActividades[descripcion],"(sin catálogo)"))</f>
        <v/>
      </c>
      <c r="AC126" s="20">
        <f>IF(tblOrdenes[[#This Row],[fecha_inicio]]="","",TODAY()-tblOrdenes[[#This Row],[fecha_inicio]])</f>
        <v/>
      </c>
      <c r="AD1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6" s="5">
        <f>IF(tblOrdenes[[#This Row],[backlog_habiles]]="","",IF(tblOrdenes[[#This Row],[backlog_habiles]]&lt;0,"FUTURO",IF(tblOrdenes[[#This Row],[backlog_habiles]]&gt;p_dias_backlog_max,"BACKLOG","MES CORRIENTE")))</f>
        <v/>
      </c>
      <c r="AF126" s="5">
        <f>IF(tblOrdenes[[#This Row],[backlog_habiles]]="",FALSE,AND(tblOrdenes[[#This Row],[backlog_habiles]]&gt;p_dias_backlog_min,tblOrdenes[[#This Row],[backlog_habiles]]&lt;=p_dias_backlog_max))</f>
        <v/>
      </c>
      <c r="AG126" s="4" t="inlineStr"/>
      <c r="AH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6" s="18">
        <f>IF(tblOrdenes[[#This Row],[orden]]="","",_xlfn.XLOOKUP(tblOrdenes[[#This Row],[id_operacion]],tblEjecucion[id_operacion],tblEjecucion[precio],0))</f>
        <v/>
      </c>
      <c r="AL126" s="18">
        <f>IF(tblOrdenes[[#This Row],[orden]]="","",MAX(0,_xlfn.XLOOKUP(tblOrdenes[[#This Row],[id_operacion]],tblEjecucion[id_operacion],tblEjecucion[costo_plan_total],0)-tblOrdenes[[#This Row],[costo_servicio]]))</f>
        <v/>
      </c>
      <c r="AM126" s="18">
        <f>IF(tblOrdenes[[#This Row],[orden]]="","",tblOrdenes[[#This Row],[costo_servicio]]+tblOrdenes[[#This Row],[costo_materiales]])</f>
        <v/>
      </c>
      <c r="AN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6" s="4" t="inlineStr"/>
      <c r="AP126" s="4" t="inlineStr"/>
      <c r="AQ126" s="4" t="inlineStr"/>
      <c r="AR126" s="5">
        <f>IF(tblOrdenes[[#This Row],[link_checklist]]="","",HYPERLINK(p_ruta_base_checklists&amp;tblOrdenes[[#This Row],[link_checklist]],"abrir"))</f>
        <v/>
      </c>
      <c r="AS126" s="4" t="inlineStr"/>
      <c r="AT126" s="5">
        <f>IF(tblOrdenes[[#This Row],[orden]]="","",tblOrdenes[[#This Row],[orden]]&amp;IF(tblOrdenes[[#This Row],[operacion]]="","0010",tblOrdenes[[#This Row],[operacion]]))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22" t="n">
        <v>46185</v>
      </c>
      <c r="K127" s="5" t="n">
        <v>6</v>
      </c>
      <c r="L127" s="18" t="n">
        <v>150</v>
      </c>
      <c r="M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5">
        <f>IF(tblOrdenes[[#This Row],[fecha_inicio]]="","",YEAR(tblOrdenes[[#This Row],[fecha_inicio]]))</f>
        <v/>
      </c>
      <c r="Q127" s="5">
        <f>IF(tblOrdenes[[#This Row],[fecha_inicio]]="","",MONTH(tblOrdenes[[#This Row],[fecha_inicio]]))</f>
        <v/>
      </c>
      <c r="R127" s="5">
        <f>IF(tblOrdenes[[#This Row],[fecha_inicio]]="","",tblOrdenes[[#This Row],[anio]]&amp;"-"&amp;TEXT(tblOrdenes[[#This Row],[mes]],"00"))</f>
        <v/>
      </c>
      <c r="S127" s="5">
        <f>IF(tblOrdenes[[#This Row],[fecha_inicio]]="","",INDEX(lista_dias,WEEKDAY(tblOrdenes[[#This Row],[fecha_inicio]],2)))</f>
        <v/>
      </c>
      <c r="T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7" s="5">
        <f>IF(tblOrdenes[[#This Row],[tipo_ot]]="","",_xlfn.XLOOKUP(tblOrdenes[[#This Row],[tipo_ot]],tblTiposOT[codigo],tblTiposOT[clasificacion],"sin_clasificar"))</f>
        <v/>
      </c>
      <c r="V1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7" s="5">
        <f>IF(tblOrdenes[[#This Row],[centro_costo]]="","",_xlfn.XLOOKUP(tblOrdenes[[#This Row],[centro_costo]],tblCECO[codigo],tblCECO[linea],"(sin catálogo)"))</f>
        <v/>
      </c>
      <c r="X127" s="5">
        <f>IF(tblOrdenes[[#This Row],[centro_costo]]="","",_xlfn.XLOOKUP(tblOrdenes[[#This Row],[centro_costo]],tblCECO[codigo],tblCECO[area],"(sin catálogo)"))</f>
        <v/>
      </c>
      <c r="Y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7" s="5">
        <f>IF(tblOrdenes[[#This Row],[centro_costo]]="","",_xlfn.XLOOKUP(tblOrdenes[[#This Row],[centro_costo]],tblCECO[codigo],tblCECO[coordinador],"(sin catálogo)"))</f>
        <v/>
      </c>
      <c r="AA127" s="5">
        <f>IF(tblOrdenes[[#This Row],[puesto_trabajo]]="","",_xlfn.XLOOKUP(tblOrdenes[[#This Row],[puesto_trabajo]],tblPuestos[codigo],tblPuestos[especialidad],"(sin catálogo)"))</f>
        <v/>
      </c>
      <c r="AB127" s="5">
        <f>IF(tblOrdenes[[#This Row],[cod_actividad]]="","",_xlfn.XLOOKUP(tblOrdenes[[#This Row],[cod_actividad]],tblActividades[codigo],tblActividades[descripcion],"(sin catálogo)"))</f>
        <v/>
      </c>
      <c r="AC127" s="20">
        <f>IF(tblOrdenes[[#This Row],[fecha_inicio]]="","",TODAY()-tblOrdenes[[#This Row],[fecha_inicio]])</f>
        <v/>
      </c>
      <c r="AD1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7" s="5">
        <f>IF(tblOrdenes[[#This Row],[backlog_habiles]]="","",IF(tblOrdenes[[#This Row],[backlog_habiles]]&lt;0,"FUTURO",IF(tblOrdenes[[#This Row],[backlog_habiles]]&gt;p_dias_backlog_max,"BACKLOG","MES CORRIENTE")))</f>
        <v/>
      </c>
      <c r="AF127" s="5">
        <f>IF(tblOrdenes[[#This Row],[backlog_habiles]]="",FALSE,AND(tblOrdenes[[#This Row],[backlog_habiles]]&gt;p_dias_backlog_min,tblOrdenes[[#This Row],[backlog_habiles]]&lt;=p_dias_backlog_max))</f>
        <v/>
      </c>
      <c r="AG127" s="4" t="inlineStr"/>
      <c r="AH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7" s="18">
        <f>IF(tblOrdenes[[#This Row],[orden]]="","",_xlfn.XLOOKUP(tblOrdenes[[#This Row],[id_operacion]],tblEjecucion[id_operacion],tblEjecucion[precio],0))</f>
        <v/>
      </c>
      <c r="AL127" s="18">
        <f>IF(tblOrdenes[[#This Row],[orden]]="","",MAX(0,_xlfn.XLOOKUP(tblOrdenes[[#This Row],[id_operacion]],tblEjecucion[id_operacion],tblEjecucion[costo_plan_total],0)-tblOrdenes[[#This Row],[costo_servicio]]))</f>
        <v/>
      </c>
      <c r="AM127" s="18">
        <f>IF(tblOrdenes[[#This Row],[orden]]="","",tblOrdenes[[#This Row],[costo_servicio]]+tblOrdenes[[#This Row],[costo_materiales]])</f>
        <v/>
      </c>
      <c r="AN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7" s="4" t="inlineStr"/>
      <c r="AP127" s="4" t="inlineStr"/>
      <c r="AQ127" s="4" t="inlineStr"/>
      <c r="AR127" s="5">
        <f>IF(tblOrdenes[[#This Row],[link_checklist]]="","",HYPERLINK(p_ruta_base_checklists&amp;tblOrdenes[[#This Row],[link_checklist]],"abrir"))</f>
        <v/>
      </c>
      <c r="AS127" s="4" t="inlineStr"/>
      <c r="AT127" s="5">
        <f>IF(tblOrdenes[[#This Row],[orden]]="","",tblOrdenes[[#This Row],[orden]]&amp;IF(tblOrdenes[[#This Row],[operacion]]="","0010",tblOrdenes[[#This Row],[operacion]]))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22" t="n">
        <v>46155</v>
      </c>
      <c r="K128" s="5" t="n">
        <v>4</v>
      </c>
      <c r="L128" s="18" t="n">
        <v>160</v>
      </c>
      <c r="M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5">
        <f>IF(tblOrdenes[[#This Row],[fecha_inicio]]="","",YEAR(tblOrdenes[[#This Row],[fecha_inicio]]))</f>
        <v/>
      </c>
      <c r="Q128" s="5">
        <f>IF(tblOrdenes[[#This Row],[fecha_inicio]]="","",MONTH(tblOrdenes[[#This Row],[fecha_inicio]]))</f>
        <v/>
      </c>
      <c r="R128" s="5">
        <f>IF(tblOrdenes[[#This Row],[fecha_inicio]]="","",tblOrdenes[[#This Row],[anio]]&amp;"-"&amp;TEXT(tblOrdenes[[#This Row],[mes]],"00"))</f>
        <v/>
      </c>
      <c r="S128" s="5">
        <f>IF(tblOrdenes[[#This Row],[fecha_inicio]]="","",INDEX(lista_dias,WEEKDAY(tblOrdenes[[#This Row],[fecha_inicio]],2)))</f>
        <v/>
      </c>
      <c r="T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8" s="5">
        <f>IF(tblOrdenes[[#This Row],[tipo_ot]]="","",_xlfn.XLOOKUP(tblOrdenes[[#This Row],[tipo_ot]],tblTiposOT[codigo],tblTiposOT[clasificacion],"sin_clasificar"))</f>
        <v/>
      </c>
      <c r="V1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8" s="5">
        <f>IF(tblOrdenes[[#This Row],[centro_costo]]="","",_xlfn.XLOOKUP(tblOrdenes[[#This Row],[centro_costo]],tblCECO[codigo],tblCECO[linea],"(sin catálogo)"))</f>
        <v/>
      </c>
      <c r="X128" s="5">
        <f>IF(tblOrdenes[[#This Row],[centro_costo]]="","",_xlfn.XLOOKUP(tblOrdenes[[#This Row],[centro_costo]],tblCECO[codigo],tblCECO[area],"(sin catálogo)"))</f>
        <v/>
      </c>
      <c r="Y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8" s="5">
        <f>IF(tblOrdenes[[#This Row],[centro_costo]]="","",_xlfn.XLOOKUP(tblOrdenes[[#This Row],[centro_costo]],tblCECO[codigo],tblCECO[coordinador],"(sin catálogo)"))</f>
        <v/>
      </c>
      <c r="AA128" s="5">
        <f>IF(tblOrdenes[[#This Row],[puesto_trabajo]]="","",_xlfn.XLOOKUP(tblOrdenes[[#This Row],[puesto_trabajo]],tblPuestos[codigo],tblPuestos[especialidad],"(sin catálogo)"))</f>
        <v/>
      </c>
      <c r="AB128" s="5">
        <f>IF(tblOrdenes[[#This Row],[cod_actividad]]="","",_xlfn.XLOOKUP(tblOrdenes[[#This Row],[cod_actividad]],tblActividades[codigo],tblActividades[descripcion],"(sin catálogo)"))</f>
        <v/>
      </c>
      <c r="AC128" s="20">
        <f>IF(tblOrdenes[[#This Row],[fecha_inicio]]="","",TODAY()-tblOrdenes[[#This Row],[fecha_inicio]])</f>
        <v/>
      </c>
      <c r="AD1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8" s="5">
        <f>IF(tblOrdenes[[#This Row],[backlog_habiles]]="","",IF(tblOrdenes[[#This Row],[backlog_habiles]]&lt;0,"FUTURO",IF(tblOrdenes[[#This Row],[backlog_habiles]]&gt;p_dias_backlog_max,"BACKLOG","MES CORRIENTE")))</f>
        <v/>
      </c>
      <c r="AF128" s="5">
        <f>IF(tblOrdenes[[#This Row],[backlog_habiles]]="",FALSE,AND(tblOrdenes[[#This Row],[backlog_habiles]]&gt;p_dias_backlog_min,tblOrdenes[[#This Row],[backlog_habiles]]&lt;=p_dias_backlog_max))</f>
        <v/>
      </c>
      <c r="AG128" s="4" t="inlineStr"/>
      <c r="AH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8" s="18">
        <f>IF(tblOrdenes[[#This Row],[orden]]="","",_xlfn.XLOOKUP(tblOrdenes[[#This Row],[id_operacion]],tblEjecucion[id_operacion],tblEjecucion[precio],0))</f>
        <v/>
      </c>
      <c r="AL128" s="18">
        <f>IF(tblOrdenes[[#This Row],[orden]]="","",MAX(0,_xlfn.XLOOKUP(tblOrdenes[[#This Row],[id_operacion]],tblEjecucion[id_operacion],tblEjecucion[costo_plan_total],0)-tblOrdenes[[#This Row],[costo_servicio]]))</f>
        <v/>
      </c>
      <c r="AM128" s="18">
        <f>IF(tblOrdenes[[#This Row],[orden]]="","",tblOrdenes[[#This Row],[costo_servicio]]+tblOrdenes[[#This Row],[costo_materiales]])</f>
        <v/>
      </c>
      <c r="AN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8" s="4" t="inlineStr"/>
      <c r="AP128" s="4" t="inlineStr"/>
      <c r="AQ128" s="4" t="inlineStr"/>
      <c r="AR128" s="5">
        <f>IF(tblOrdenes[[#This Row],[link_checklist]]="","",HYPERLINK(p_ruta_base_checklists&amp;tblOrdenes[[#This Row],[link_checklist]],"abrir"))</f>
        <v/>
      </c>
      <c r="AS128" s="4" t="inlineStr"/>
      <c r="AT128" s="5">
        <f>IF(tblOrdenes[[#This Row],[orden]]="","",tblOrdenes[[#This Row],[orden]]&amp;IF(tblOrdenes[[#This Row],[operacion]]="","0010",tblOrdenes[[#This Row],[operacion]]))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22" t="n">
        <v>46155</v>
      </c>
      <c r="K129" s="5" t="n">
        <v>6</v>
      </c>
      <c r="L129" s="18" t="n">
        <v>240</v>
      </c>
      <c r="M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5">
        <f>IF(tblOrdenes[[#This Row],[fecha_inicio]]="","",YEAR(tblOrdenes[[#This Row],[fecha_inicio]]))</f>
        <v/>
      </c>
      <c r="Q129" s="5">
        <f>IF(tblOrdenes[[#This Row],[fecha_inicio]]="","",MONTH(tblOrdenes[[#This Row],[fecha_inicio]]))</f>
        <v/>
      </c>
      <c r="R129" s="5">
        <f>IF(tblOrdenes[[#This Row],[fecha_inicio]]="","",tblOrdenes[[#This Row],[anio]]&amp;"-"&amp;TEXT(tblOrdenes[[#This Row],[mes]],"00"))</f>
        <v/>
      </c>
      <c r="S129" s="5">
        <f>IF(tblOrdenes[[#This Row],[fecha_inicio]]="","",INDEX(lista_dias,WEEKDAY(tblOrdenes[[#This Row],[fecha_inicio]],2)))</f>
        <v/>
      </c>
      <c r="T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9" s="5">
        <f>IF(tblOrdenes[[#This Row],[tipo_ot]]="","",_xlfn.XLOOKUP(tblOrdenes[[#This Row],[tipo_ot]],tblTiposOT[codigo],tblTiposOT[clasificacion],"sin_clasificar"))</f>
        <v/>
      </c>
      <c r="V1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9" s="5">
        <f>IF(tblOrdenes[[#This Row],[centro_costo]]="","",_xlfn.XLOOKUP(tblOrdenes[[#This Row],[centro_costo]],tblCECO[codigo],tblCECO[linea],"(sin catálogo)"))</f>
        <v/>
      </c>
      <c r="X129" s="5">
        <f>IF(tblOrdenes[[#This Row],[centro_costo]]="","",_xlfn.XLOOKUP(tblOrdenes[[#This Row],[centro_costo]],tblCECO[codigo],tblCECO[area],"(sin catálogo)"))</f>
        <v/>
      </c>
      <c r="Y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9" s="5">
        <f>IF(tblOrdenes[[#This Row],[centro_costo]]="","",_xlfn.XLOOKUP(tblOrdenes[[#This Row],[centro_costo]],tblCECO[codigo],tblCECO[coordinador],"(sin catálogo)"))</f>
        <v/>
      </c>
      <c r="AA129" s="5">
        <f>IF(tblOrdenes[[#This Row],[puesto_trabajo]]="","",_xlfn.XLOOKUP(tblOrdenes[[#This Row],[puesto_trabajo]],tblPuestos[codigo],tblPuestos[especialidad],"(sin catálogo)"))</f>
        <v/>
      </c>
      <c r="AB129" s="5">
        <f>IF(tblOrdenes[[#This Row],[cod_actividad]]="","",_xlfn.XLOOKUP(tblOrdenes[[#This Row],[cod_actividad]],tblActividades[codigo],tblActividades[descripcion],"(sin catálogo)"))</f>
        <v/>
      </c>
      <c r="AC129" s="20">
        <f>IF(tblOrdenes[[#This Row],[fecha_inicio]]="","",TODAY()-tblOrdenes[[#This Row],[fecha_inicio]])</f>
        <v/>
      </c>
      <c r="AD1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9" s="5">
        <f>IF(tblOrdenes[[#This Row],[backlog_habiles]]="","",IF(tblOrdenes[[#This Row],[backlog_habiles]]&lt;0,"FUTURO",IF(tblOrdenes[[#This Row],[backlog_habiles]]&gt;p_dias_backlog_max,"BACKLOG","MES CORRIENTE")))</f>
        <v/>
      </c>
      <c r="AF129" s="5">
        <f>IF(tblOrdenes[[#This Row],[backlog_habiles]]="",FALSE,AND(tblOrdenes[[#This Row],[backlog_habiles]]&gt;p_dias_backlog_min,tblOrdenes[[#This Row],[backlog_habiles]]&lt;=p_dias_backlog_max))</f>
        <v/>
      </c>
      <c r="AG129" s="4" t="inlineStr"/>
      <c r="AH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9" s="18">
        <f>IF(tblOrdenes[[#This Row],[orden]]="","",_xlfn.XLOOKUP(tblOrdenes[[#This Row],[id_operacion]],tblEjecucion[id_operacion],tblEjecucion[precio],0))</f>
        <v/>
      </c>
      <c r="AL129" s="18">
        <f>IF(tblOrdenes[[#This Row],[orden]]="","",MAX(0,_xlfn.XLOOKUP(tblOrdenes[[#This Row],[id_operacion]],tblEjecucion[id_operacion],tblEjecucion[costo_plan_total],0)-tblOrdenes[[#This Row],[costo_servicio]]))</f>
        <v/>
      </c>
      <c r="AM129" s="18">
        <f>IF(tblOrdenes[[#This Row],[orden]]="","",tblOrdenes[[#This Row],[costo_servicio]]+tblOrdenes[[#This Row],[costo_materiales]])</f>
        <v/>
      </c>
      <c r="AN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9" s="4" t="inlineStr"/>
      <c r="AP129" s="4" t="inlineStr"/>
      <c r="AQ129" s="4" t="inlineStr"/>
      <c r="AR129" s="5">
        <f>IF(tblOrdenes[[#This Row],[link_checklist]]="","",HYPERLINK(p_ruta_base_checklists&amp;tblOrdenes[[#This Row],[link_checklist]],"abrir"))</f>
        <v/>
      </c>
      <c r="AS129" s="4" t="inlineStr"/>
      <c r="AT129" s="5">
        <f>IF(tblOrdenes[[#This Row],[orden]]="","",tblOrdenes[[#This Row],[orden]]&amp;IF(tblOrdenes[[#This Row],[operacion]]="","0010",tblOrdenes[[#This Row],[operacion]]))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22" t="n">
        <v>46155</v>
      </c>
      <c r="K130" s="5" t="n">
        <v>8</v>
      </c>
      <c r="L130" s="18" t="n">
        <v>320</v>
      </c>
      <c r="M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5">
        <f>IF(tblOrdenes[[#This Row],[fecha_inicio]]="","",YEAR(tblOrdenes[[#This Row],[fecha_inicio]]))</f>
        <v/>
      </c>
      <c r="Q130" s="5">
        <f>IF(tblOrdenes[[#This Row],[fecha_inicio]]="","",MONTH(tblOrdenes[[#This Row],[fecha_inicio]]))</f>
        <v/>
      </c>
      <c r="R130" s="5">
        <f>IF(tblOrdenes[[#This Row],[fecha_inicio]]="","",tblOrdenes[[#This Row],[anio]]&amp;"-"&amp;TEXT(tblOrdenes[[#This Row],[mes]],"00"))</f>
        <v/>
      </c>
      <c r="S130" s="5">
        <f>IF(tblOrdenes[[#This Row],[fecha_inicio]]="","",INDEX(lista_dias,WEEKDAY(tblOrdenes[[#This Row],[fecha_inicio]],2)))</f>
        <v/>
      </c>
      <c r="T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0" s="5">
        <f>IF(tblOrdenes[[#This Row],[tipo_ot]]="","",_xlfn.XLOOKUP(tblOrdenes[[#This Row],[tipo_ot]],tblTiposOT[codigo],tblTiposOT[clasificacion],"sin_clasificar"))</f>
        <v/>
      </c>
      <c r="V1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0" s="5">
        <f>IF(tblOrdenes[[#This Row],[centro_costo]]="","",_xlfn.XLOOKUP(tblOrdenes[[#This Row],[centro_costo]],tblCECO[codigo],tblCECO[linea],"(sin catálogo)"))</f>
        <v/>
      </c>
      <c r="X130" s="5">
        <f>IF(tblOrdenes[[#This Row],[centro_costo]]="","",_xlfn.XLOOKUP(tblOrdenes[[#This Row],[centro_costo]],tblCECO[codigo],tblCECO[area],"(sin catálogo)"))</f>
        <v/>
      </c>
      <c r="Y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0" s="5">
        <f>IF(tblOrdenes[[#This Row],[centro_costo]]="","",_xlfn.XLOOKUP(tblOrdenes[[#This Row],[centro_costo]],tblCECO[codigo],tblCECO[coordinador],"(sin catálogo)"))</f>
        <v/>
      </c>
      <c r="AA130" s="5">
        <f>IF(tblOrdenes[[#This Row],[puesto_trabajo]]="","",_xlfn.XLOOKUP(tblOrdenes[[#This Row],[puesto_trabajo]],tblPuestos[codigo],tblPuestos[especialidad],"(sin catálogo)"))</f>
        <v/>
      </c>
      <c r="AB130" s="5">
        <f>IF(tblOrdenes[[#This Row],[cod_actividad]]="","",_xlfn.XLOOKUP(tblOrdenes[[#This Row],[cod_actividad]],tblActividades[codigo],tblActividades[descripcion],"(sin catálogo)"))</f>
        <v/>
      </c>
      <c r="AC130" s="20">
        <f>IF(tblOrdenes[[#This Row],[fecha_inicio]]="","",TODAY()-tblOrdenes[[#This Row],[fecha_inicio]])</f>
        <v/>
      </c>
      <c r="AD1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0" s="5">
        <f>IF(tblOrdenes[[#This Row],[backlog_habiles]]="","",IF(tblOrdenes[[#This Row],[backlog_habiles]]&lt;0,"FUTURO",IF(tblOrdenes[[#This Row],[backlog_habiles]]&gt;p_dias_backlog_max,"BACKLOG","MES CORRIENTE")))</f>
        <v/>
      </c>
      <c r="AF130" s="5">
        <f>IF(tblOrdenes[[#This Row],[backlog_habiles]]="",FALSE,AND(tblOrdenes[[#This Row],[backlog_habiles]]&gt;p_dias_backlog_min,tblOrdenes[[#This Row],[backlog_habiles]]&lt;=p_dias_backlog_max))</f>
        <v/>
      </c>
      <c r="AG130" s="4" t="inlineStr"/>
      <c r="AH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0" s="18">
        <f>IF(tblOrdenes[[#This Row],[orden]]="","",_xlfn.XLOOKUP(tblOrdenes[[#This Row],[id_operacion]],tblEjecucion[id_operacion],tblEjecucion[precio],0))</f>
        <v/>
      </c>
      <c r="AL130" s="18">
        <f>IF(tblOrdenes[[#This Row],[orden]]="","",MAX(0,_xlfn.XLOOKUP(tblOrdenes[[#This Row],[id_operacion]],tblEjecucion[id_operacion],tblEjecucion[costo_plan_total],0)-tblOrdenes[[#This Row],[costo_servicio]]))</f>
        <v/>
      </c>
      <c r="AM130" s="18">
        <f>IF(tblOrdenes[[#This Row],[orden]]="","",tblOrdenes[[#This Row],[costo_servicio]]+tblOrdenes[[#This Row],[costo_materiales]])</f>
        <v/>
      </c>
      <c r="AN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0" s="4" t="inlineStr"/>
      <c r="AP130" s="4" t="inlineStr"/>
      <c r="AQ130" s="4" t="inlineStr"/>
      <c r="AR130" s="5">
        <f>IF(tblOrdenes[[#This Row],[link_checklist]]="","",HYPERLINK(p_ruta_base_checklists&amp;tblOrdenes[[#This Row],[link_checklist]],"abrir"))</f>
        <v/>
      </c>
      <c r="AS130" s="4" t="inlineStr"/>
      <c r="AT130" s="5">
        <f>IF(tblOrdenes[[#This Row],[orden]]="","",tblOrdenes[[#This Row],[orden]]&amp;IF(tblOrdenes[[#This Row],[operacion]]="","0010",tblOrdenes[[#This Row],[operacion]]))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TIPO-P2</t>
        </is>
      </c>
      <c r="J131" s="22" t="n">
        <v>46155</v>
      </c>
      <c r="K131" s="5" t="n">
        <v>4</v>
      </c>
      <c r="L131" s="18" t="n">
        <v>100</v>
      </c>
      <c r="M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5">
        <f>IF(tblOrdenes[[#This Row],[fecha_inicio]]="","",YEAR(tblOrdenes[[#This Row],[fecha_inicio]]))</f>
        <v/>
      </c>
      <c r="Q131" s="5">
        <f>IF(tblOrdenes[[#This Row],[fecha_inicio]]="","",MONTH(tblOrdenes[[#This Row],[fecha_inicio]]))</f>
        <v/>
      </c>
      <c r="R131" s="5">
        <f>IF(tblOrdenes[[#This Row],[fecha_inicio]]="","",tblOrdenes[[#This Row],[anio]]&amp;"-"&amp;TEXT(tblOrdenes[[#This Row],[mes]],"00"))</f>
        <v/>
      </c>
      <c r="S131" s="5">
        <f>IF(tblOrdenes[[#This Row],[fecha_inicio]]="","",INDEX(lista_dias,WEEKDAY(tblOrdenes[[#This Row],[fecha_inicio]],2)))</f>
        <v/>
      </c>
      <c r="T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1" s="5">
        <f>IF(tblOrdenes[[#This Row],[tipo_ot]]="","",_xlfn.XLOOKUP(tblOrdenes[[#This Row],[tipo_ot]],tblTiposOT[codigo],tblTiposOT[clasificacion],"sin_clasificar"))</f>
        <v/>
      </c>
      <c r="V1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1" s="5">
        <f>IF(tblOrdenes[[#This Row],[centro_costo]]="","",_xlfn.XLOOKUP(tblOrdenes[[#This Row],[centro_costo]],tblCECO[codigo],tblCECO[linea],"(sin catálogo)"))</f>
        <v/>
      </c>
      <c r="X131" s="5">
        <f>IF(tblOrdenes[[#This Row],[centro_costo]]="","",_xlfn.XLOOKUP(tblOrdenes[[#This Row],[centro_costo]],tblCECO[codigo],tblCECO[area],"(sin catálogo)"))</f>
        <v/>
      </c>
      <c r="Y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1" s="5">
        <f>IF(tblOrdenes[[#This Row],[centro_costo]]="","",_xlfn.XLOOKUP(tblOrdenes[[#This Row],[centro_costo]],tblCECO[codigo],tblCECO[coordinador],"(sin catálogo)"))</f>
        <v/>
      </c>
      <c r="AA131" s="5">
        <f>IF(tblOrdenes[[#This Row],[puesto_trabajo]]="","",_xlfn.XLOOKUP(tblOrdenes[[#This Row],[puesto_trabajo]],tblPuestos[codigo],tblPuestos[especialidad],"(sin catálogo)"))</f>
        <v/>
      </c>
      <c r="AB131" s="5">
        <f>IF(tblOrdenes[[#This Row],[cod_actividad]]="","",_xlfn.XLOOKUP(tblOrdenes[[#This Row],[cod_actividad]],tblActividades[codigo],tblActividades[descripcion],"(sin catálogo)"))</f>
        <v/>
      </c>
      <c r="AC131" s="20">
        <f>IF(tblOrdenes[[#This Row],[fecha_inicio]]="","",TODAY()-tblOrdenes[[#This Row],[fecha_inicio]])</f>
        <v/>
      </c>
      <c r="AD1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1" s="5">
        <f>IF(tblOrdenes[[#This Row],[backlog_habiles]]="","",IF(tblOrdenes[[#This Row],[backlog_habiles]]&lt;0,"FUTURO",IF(tblOrdenes[[#This Row],[backlog_habiles]]&gt;p_dias_backlog_max,"BACKLOG","MES CORRIENTE")))</f>
        <v/>
      </c>
      <c r="AF131" s="5">
        <f>IF(tblOrdenes[[#This Row],[backlog_habiles]]="",FALSE,AND(tblOrdenes[[#This Row],[backlog_habiles]]&gt;p_dias_backlog_min,tblOrdenes[[#This Row],[backlog_habiles]]&lt;=p_dias_backlog_max))</f>
        <v/>
      </c>
      <c r="AG131" s="4" t="inlineStr"/>
      <c r="AH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1" s="18">
        <f>IF(tblOrdenes[[#This Row],[orden]]="","",_xlfn.XLOOKUP(tblOrdenes[[#This Row],[id_operacion]],tblEjecucion[id_operacion],tblEjecucion[precio],0))</f>
        <v/>
      </c>
      <c r="AL131" s="18">
        <f>IF(tblOrdenes[[#This Row],[orden]]="","",MAX(0,_xlfn.XLOOKUP(tblOrdenes[[#This Row],[id_operacion]],tblEjecucion[id_operacion],tblEjecucion[costo_plan_total],0)-tblOrdenes[[#This Row],[costo_servicio]]))</f>
        <v/>
      </c>
      <c r="AM131" s="18">
        <f>IF(tblOrdenes[[#This Row],[orden]]="","",tblOrdenes[[#This Row],[costo_servicio]]+tblOrdenes[[#This Row],[costo_materiales]])</f>
        <v/>
      </c>
      <c r="AN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1" s="4" t="inlineStr"/>
      <c r="AP131" s="4" t="inlineStr"/>
      <c r="AQ131" s="4" t="inlineStr"/>
      <c r="AR131" s="5">
        <f>IF(tblOrdenes[[#This Row],[link_checklist]]="","",HYPERLINK(p_ruta_base_checklists&amp;tblOrdenes[[#This Row],[link_checklist]],"abrir"))</f>
        <v/>
      </c>
      <c r="AS131" s="4" t="inlineStr"/>
      <c r="AT131" s="5">
        <f>IF(tblOrdenes[[#This Row],[orden]]="","",tblOrdenes[[#This Row],[orden]]&amp;IF(tblOrdenes[[#This Row],[operacion]]="","0010",tblOrdenes[[#This Row],[operacion]]))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22" t="n">
        <v>46155</v>
      </c>
      <c r="K132" s="5" t="n">
        <v>6</v>
      </c>
      <c r="L132" s="18" t="n">
        <v>240</v>
      </c>
      <c r="M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5">
        <f>IF(tblOrdenes[[#This Row],[fecha_inicio]]="","",YEAR(tblOrdenes[[#This Row],[fecha_inicio]]))</f>
        <v/>
      </c>
      <c r="Q132" s="5">
        <f>IF(tblOrdenes[[#This Row],[fecha_inicio]]="","",MONTH(tblOrdenes[[#This Row],[fecha_inicio]]))</f>
        <v/>
      </c>
      <c r="R132" s="5">
        <f>IF(tblOrdenes[[#This Row],[fecha_inicio]]="","",tblOrdenes[[#This Row],[anio]]&amp;"-"&amp;TEXT(tblOrdenes[[#This Row],[mes]],"00"))</f>
        <v/>
      </c>
      <c r="S132" s="5">
        <f>IF(tblOrdenes[[#This Row],[fecha_inicio]]="","",INDEX(lista_dias,WEEKDAY(tblOrdenes[[#This Row],[fecha_inicio]],2)))</f>
        <v/>
      </c>
      <c r="T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2" s="5">
        <f>IF(tblOrdenes[[#This Row],[tipo_ot]]="","",_xlfn.XLOOKUP(tblOrdenes[[#This Row],[tipo_ot]],tblTiposOT[codigo],tblTiposOT[clasificacion],"sin_clasificar"))</f>
        <v/>
      </c>
      <c r="V1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2" s="5">
        <f>IF(tblOrdenes[[#This Row],[centro_costo]]="","",_xlfn.XLOOKUP(tblOrdenes[[#This Row],[centro_costo]],tblCECO[codigo],tblCECO[linea],"(sin catálogo)"))</f>
        <v/>
      </c>
      <c r="X132" s="5">
        <f>IF(tblOrdenes[[#This Row],[centro_costo]]="","",_xlfn.XLOOKUP(tblOrdenes[[#This Row],[centro_costo]],tblCECO[codigo],tblCECO[area],"(sin catálogo)"))</f>
        <v/>
      </c>
      <c r="Y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2" s="5">
        <f>IF(tblOrdenes[[#This Row],[centro_costo]]="","",_xlfn.XLOOKUP(tblOrdenes[[#This Row],[centro_costo]],tblCECO[codigo],tblCECO[coordinador],"(sin catálogo)"))</f>
        <v/>
      </c>
      <c r="AA132" s="5">
        <f>IF(tblOrdenes[[#This Row],[puesto_trabajo]]="","",_xlfn.XLOOKUP(tblOrdenes[[#This Row],[puesto_trabajo]],tblPuestos[codigo],tblPuestos[especialidad],"(sin catálogo)"))</f>
        <v/>
      </c>
      <c r="AB132" s="5">
        <f>IF(tblOrdenes[[#This Row],[cod_actividad]]="","",_xlfn.XLOOKUP(tblOrdenes[[#This Row],[cod_actividad]],tblActividades[codigo],tblActividades[descripcion],"(sin catálogo)"))</f>
        <v/>
      </c>
      <c r="AC132" s="20">
        <f>IF(tblOrdenes[[#This Row],[fecha_inicio]]="","",TODAY()-tblOrdenes[[#This Row],[fecha_inicio]])</f>
        <v/>
      </c>
      <c r="AD1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2" s="5">
        <f>IF(tblOrdenes[[#This Row],[backlog_habiles]]="","",IF(tblOrdenes[[#This Row],[backlog_habiles]]&lt;0,"FUTURO",IF(tblOrdenes[[#This Row],[backlog_habiles]]&gt;p_dias_backlog_max,"BACKLOG","MES CORRIENTE")))</f>
        <v/>
      </c>
      <c r="AF132" s="5">
        <f>IF(tblOrdenes[[#This Row],[backlog_habiles]]="",FALSE,AND(tblOrdenes[[#This Row],[backlog_habiles]]&gt;p_dias_backlog_min,tblOrdenes[[#This Row],[backlog_habiles]]&lt;=p_dias_backlog_max))</f>
        <v/>
      </c>
      <c r="AG132" s="4" t="inlineStr"/>
      <c r="AH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2" s="18">
        <f>IF(tblOrdenes[[#This Row],[orden]]="","",_xlfn.XLOOKUP(tblOrdenes[[#This Row],[id_operacion]],tblEjecucion[id_operacion],tblEjecucion[precio],0))</f>
        <v/>
      </c>
      <c r="AL132" s="18">
        <f>IF(tblOrdenes[[#This Row],[orden]]="","",MAX(0,_xlfn.XLOOKUP(tblOrdenes[[#This Row],[id_operacion]],tblEjecucion[id_operacion],tblEjecucion[costo_plan_total],0)-tblOrdenes[[#This Row],[costo_servicio]]))</f>
        <v/>
      </c>
      <c r="AM132" s="18">
        <f>IF(tblOrdenes[[#This Row],[orden]]="","",tblOrdenes[[#This Row],[costo_servicio]]+tblOrdenes[[#This Row],[costo_materiales]])</f>
        <v/>
      </c>
      <c r="AN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2" s="4" t="inlineStr"/>
      <c r="AP132" s="4" t="inlineStr"/>
      <c r="AQ132" s="4" t="inlineStr"/>
      <c r="AR132" s="5">
        <f>IF(tblOrdenes[[#This Row],[link_checklist]]="","",HYPERLINK(p_ruta_base_checklists&amp;tblOrdenes[[#This Row],[link_checklist]],"abrir"))</f>
        <v/>
      </c>
      <c r="AS132" s="4" t="inlineStr"/>
      <c r="AT132" s="5">
        <f>IF(tblOrdenes[[#This Row],[orden]]="","",tblOrdenes[[#This Row],[orden]]&amp;IF(tblOrdenes[[#This Row],[operacion]]="","0010",tblOrdenes[[#This Row],[operacion]]))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22" t="n">
        <v>46155</v>
      </c>
      <c r="K133" s="5" t="n">
        <v>8</v>
      </c>
      <c r="L133" s="18" t="n">
        <v>320</v>
      </c>
      <c r="M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5">
        <f>IF(tblOrdenes[[#This Row],[fecha_inicio]]="","",YEAR(tblOrdenes[[#This Row],[fecha_inicio]]))</f>
        <v/>
      </c>
      <c r="Q133" s="5">
        <f>IF(tblOrdenes[[#This Row],[fecha_inicio]]="","",MONTH(tblOrdenes[[#This Row],[fecha_inicio]]))</f>
        <v/>
      </c>
      <c r="R133" s="5">
        <f>IF(tblOrdenes[[#This Row],[fecha_inicio]]="","",tblOrdenes[[#This Row],[anio]]&amp;"-"&amp;TEXT(tblOrdenes[[#This Row],[mes]],"00"))</f>
        <v/>
      </c>
      <c r="S133" s="5">
        <f>IF(tblOrdenes[[#This Row],[fecha_inicio]]="","",INDEX(lista_dias,WEEKDAY(tblOrdenes[[#This Row],[fecha_inicio]],2)))</f>
        <v/>
      </c>
      <c r="T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3" s="5">
        <f>IF(tblOrdenes[[#This Row],[tipo_ot]]="","",_xlfn.XLOOKUP(tblOrdenes[[#This Row],[tipo_ot]],tblTiposOT[codigo],tblTiposOT[clasificacion],"sin_clasificar"))</f>
        <v/>
      </c>
      <c r="V1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3" s="5">
        <f>IF(tblOrdenes[[#This Row],[centro_costo]]="","",_xlfn.XLOOKUP(tblOrdenes[[#This Row],[centro_costo]],tblCECO[codigo],tblCECO[linea],"(sin catálogo)"))</f>
        <v/>
      </c>
      <c r="X133" s="5">
        <f>IF(tblOrdenes[[#This Row],[centro_costo]]="","",_xlfn.XLOOKUP(tblOrdenes[[#This Row],[centro_costo]],tblCECO[codigo],tblCECO[area],"(sin catálogo)"))</f>
        <v/>
      </c>
      <c r="Y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3" s="5">
        <f>IF(tblOrdenes[[#This Row],[centro_costo]]="","",_xlfn.XLOOKUP(tblOrdenes[[#This Row],[centro_costo]],tblCECO[codigo],tblCECO[coordinador],"(sin catálogo)"))</f>
        <v/>
      </c>
      <c r="AA133" s="5">
        <f>IF(tblOrdenes[[#This Row],[puesto_trabajo]]="","",_xlfn.XLOOKUP(tblOrdenes[[#This Row],[puesto_trabajo]],tblPuestos[codigo],tblPuestos[especialidad],"(sin catálogo)"))</f>
        <v/>
      </c>
      <c r="AB133" s="5">
        <f>IF(tblOrdenes[[#This Row],[cod_actividad]]="","",_xlfn.XLOOKUP(tblOrdenes[[#This Row],[cod_actividad]],tblActividades[codigo],tblActividades[descripcion],"(sin catálogo)"))</f>
        <v/>
      </c>
      <c r="AC133" s="20">
        <f>IF(tblOrdenes[[#This Row],[fecha_inicio]]="","",TODAY()-tblOrdenes[[#This Row],[fecha_inicio]])</f>
        <v/>
      </c>
      <c r="AD1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3" s="5">
        <f>IF(tblOrdenes[[#This Row],[backlog_habiles]]="","",IF(tblOrdenes[[#This Row],[backlog_habiles]]&lt;0,"FUTURO",IF(tblOrdenes[[#This Row],[backlog_habiles]]&gt;p_dias_backlog_max,"BACKLOG","MES CORRIENTE")))</f>
        <v/>
      </c>
      <c r="AF133" s="5">
        <f>IF(tblOrdenes[[#This Row],[backlog_habiles]]="",FALSE,AND(tblOrdenes[[#This Row],[backlog_habiles]]&gt;p_dias_backlog_min,tblOrdenes[[#This Row],[backlog_habiles]]&lt;=p_dias_backlog_max))</f>
        <v/>
      </c>
      <c r="AG133" s="4" t="inlineStr"/>
      <c r="AH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3" s="18">
        <f>IF(tblOrdenes[[#This Row],[orden]]="","",_xlfn.XLOOKUP(tblOrdenes[[#This Row],[id_operacion]],tblEjecucion[id_operacion],tblEjecucion[precio],0))</f>
        <v/>
      </c>
      <c r="AL133" s="18">
        <f>IF(tblOrdenes[[#This Row],[orden]]="","",MAX(0,_xlfn.XLOOKUP(tblOrdenes[[#This Row],[id_operacion]],tblEjecucion[id_operacion],tblEjecucion[costo_plan_total],0)-tblOrdenes[[#This Row],[costo_servicio]]))</f>
        <v/>
      </c>
      <c r="AM133" s="18">
        <f>IF(tblOrdenes[[#This Row],[orden]]="","",tblOrdenes[[#This Row],[costo_servicio]]+tblOrdenes[[#This Row],[costo_materiales]])</f>
        <v/>
      </c>
      <c r="AN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3" s="4" t="inlineStr"/>
      <c r="AP133" s="4" t="inlineStr"/>
      <c r="AQ133" s="4" t="inlineStr"/>
      <c r="AR133" s="5">
        <f>IF(tblOrdenes[[#This Row],[link_checklist]]="","",HYPERLINK(p_ruta_base_checklists&amp;tblOrdenes[[#This Row],[link_checklist]],"abrir"))</f>
        <v/>
      </c>
      <c r="AS133" s="4" t="inlineStr"/>
      <c r="AT133" s="5">
        <f>IF(tblOrdenes[[#This Row],[orden]]="","",tblOrdenes[[#This Row],[orden]]&amp;IF(tblOrdenes[[#This Row],[operacion]]="","0010",tblOrdenes[[#This Row],[operacion]]))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22" t="n">
        <v>46130</v>
      </c>
      <c r="K134" s="5" t="n">
        <v>4</v>
      </c>
      <c r="L134" s="18" t="n">
        <v>160</v>
      </c>
      <c r="M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5">
        <f>IF(tblOrdenes[[#This Row],[fecha_inicio]]="","",YEAR(tblOrdenes[[#This Row],[fecha_inicio]]))</f>
        <v/>
      </c>
      <c r="Q134" s="5">
        <f>IF(tblOrdenes[[#This Row],[fecha_inicio]]="","",MONTH(tblOrdenes[[#This Row],[fecha_inicio]]))</f>
        <v/>
      </c>
      <c r="R134" s="5">
        <f>IF(tblOrdenes[[#This Row],[fecha_inicio]]="","",tblOrdenes[[#This Row],[anio]]&amp;"-"&amp;TEXT(tblOrdenes[[#This Row],[mes]],"00"))</f>
        <v/>
      </c>
      <c r="S134" s="5">
        <f>IF(tblOrdenes[[#This Row],[fecha_inicio]]="","",INDEX(lista_dias,WEEKDAY(tblOrdenes[[#This Row],[fecha_inicio]],2)))</f>
        <v/>
      </c>
      <c r="T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4" s="5">
        <f>IF(tblOrdenes[[#This Row],[tipo_ot]]="","",_xlfn.XLOOKUP(tblOrdenes[[#This Row],[tipo_ot]],tblTiposOT[codigo],tblTiposOT[clasificacion],"sin_clasificar"))</f>
        <v/>
      </c>
      <c r="V1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4" s="5">
        <f>IF(tblOrdenes[[#This Row],[centro_costo]]="","",_xlfn.XLOOKUP(tblOrdenes[[#This Row],[centro_costo]],tblCECO[codigo],tblCECO[linea],"(sin catálogo)"))</f>
        <v/>
      </c>
      <c r="X134" s="5">
        <f>IF(tblOrdenes[[#This Row],[centro_costo]]="","",_xlfn.XLOOKUP(tblOrdenes[[#This Row],[centro_costo]],tblCECO[codigo],tblCECO[area],"(sin catálogo)"))</f>
        <v/>
      </c>
      <c r="Y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4" s="5">
        <f>IF(tblOrdenes[[#This Row],[centro_costo]]="","",_xlfn.XLOOKUP(tblOrdenes[[#This Row],[centro_costo]],tblCECO[codigo],tblCECO[coordinador],"(sin catálogo)"))</f>
        <v/>
      </c>
      <c r="AA134" s="5">
        <f>IF(tblOrdenes[[#This Row],[puesto_trabajo]]="","",_xlfn.XLOOKUP(tblOrdenes[[#This Row],[puesto_trabajo]],tblPuestos[codigo],tblPuestos[especialidad],"(sin catálogo)"))</f>
        <v/>
      </c>
      <c r="AB134" s="5">
        <f>IF(tblOrdenes[[#This Row],[cod_actividad]]="","",_xlfn.XLOOKUP(tblOrdenes[[#This Row],[cod_actividad]],tblActividades[codigo],tblActividades[descripcion],"(sin catálogo)"))</f>
        <v/>
      </c>
      <c r="AC134" s="20">
        <f>IF(tblOrdenes[[#This Row],[fecha_inicio]]="","",TODAY()-tblOrdenes[[#This Row],[fecha_inicio]])</f>
        <v/>
      </c>
      <c r="AD1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4" s="5">
        <f>IF(tblOrdenes[[#This Row],[backlog_habiles]]="","",IF(tblOrdenes[[#This Row],[backlog_habiles]]&lt;0,"FUTURO",IF(tblOrdenes[[#This Row],[backlog_habiles]]&gt;p_dias_backlog_max,"BACKLOG","MES CORRIENTE")))</f>
        <v/>
      </c>
      <c r="AF134" s="5">
        <f>IF(tblOrdenes[[#This Row],[backlog_habiles]]="",FALSE,AND(tblOrdenes[[#This Row],[backlog_habiles]]&gt;p_dias_backlog_min,tblOrdenes[[#This Row],[backlog_habiles]]&lt;=p_dias_backlog_max))</f>
        <v/>
      </c>
      <c r="AG134" s="4" t="inlineStr"/>
      <c r="AH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4" s="18">
        <f>IF(tblOrdenes[[#This Row],[orden]]="","",_xlfn.XLOOKUP(tblOrdenes[[#This Row],[id_operacion]],tblEjecucion[id_operacion],tblEjecucion[precio],0))</f>
        <v/>
      </c>
      <c r="AL134" s="18">
        <f>IF(tblOrdenes[[#This Row],[orden]]="","",MAX(0,_xlfn.XLOOKUP(tblOrdenes[[#This Row],[id_operacion]],tblEjecucion[id_operacion],tblEjecucion[costo_plan_total],0)-tblOrdenes[[#This Row],[costo_servicio]]))</f>
        <v/>
      </c>
      <c r="AM134" s="18">
        <f>IF(tblOrdenes[[#This Row],[orden]]="","",tblOrdenes[[#This Row],[costo_servicio]]+tblOrdenes[[#This Row],[costo_materiales]])</f>
        <v/>
      </c>
      <c r="AN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4" s="4" t="inlineStr"/>
      <c r="AP134" s="4" t="inlineStr"/>
      <c r="AQ134" s="4" t="inlineStr"/>
      <c r="AR134" s="5">
        <f>IF(tblOrdenes[[#This Row],[link_checklist]]="","",HYPERLINK(p_ruta_base_checklists&amp;tblOrdenes[[#This Row],[link_checklist]],"abrir"))</f>
        <v/>
      </c>
      <c r="AS134" s="4" t="inlineStr"/>
      <c r="AT134" s="5">
        <f>IF(tblOrdenes[[#This Row],[orden]]="","",tblOrdenes[[#This Row],[orden]]&amp;IF(tblOrdenes[[#This Row],[operacion]]="","0010",tblOrdenes[[#This Row],[operacion]]))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22" t="n">
        <v>46130</v>
      </c>
      <c r="K135" s="5" t="n">
        <v>6</v>
      </c>
      <c r="L135" s="18" t="n">
        <v>240</v>
      </c>
      <c r="M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5">
        <f>IF(tblOrdenes[[#This Row],[fecha_inicio]]="","",YEAR(tblOrdenes[[#This Row],[fecha_inicio]]))</f>
        <v/>
      </c>
      <c r="Q135" s="5">
        <f>IF(tblOrdenes[[#This Row],[fecha_inicio]]="","",MONTH(tblOrdenes[[#This Row],[fecha_inicio]]))</f>
        <v/>
      </c>
      <c r="R135" s="5">
        <f>IF(tblOrdenes[[#This Row],[fecha_inicio]]="","",tblOrdenes[[#This Row],[anio]]&amp;"-"&amp;TEXT(tblOrdenes[[#This Row],[mes]],"00"))</f>
        <v/>
      </c>
      <c r="S135" s="5">
        <f>IF(tblOrdenes[[#This Row],[fecha_inicio]]="","",INDEX(lista_dias,WEEKDAY(tblOrdenes[[#This Row],[fecha_inicio]],2)))</f>
        <v/>
      </c>
      <c r="T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5" s="5">
        <f>IF(tblOrdenes[[#This Row],[tipo_ot]]="","",_xlfn.XLOOKUP(tblOrdenes[[#This Row],[tipo_ot]],tblTiposOT[codigo],tblTiposOT[clasificacion],"sin_clasificar"))</f>
        <v/>
      </c>
      <c r="V1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5" s="5">
        <f>IF(tblOrdenes[[#This Row],[centro_costo]]="","",_xlfn.XLOOKUP(tblOrdenes[[#This Row],[centro_costo]],tblCECO[codigo],tblCECO[linea],"(sin catálogo)"))</f>
        <v/>
      </c>
      <c r="X135" s="5">
        <f>IF(tblOrdenes[[#This Row],[centro_costo]]="","",_xlfn.XLOOKUP(tblOrdenes[[#This Row],[centro_costo]],tblCECO[codigo],tblCECO[area],"(sin catálogo)"))</f>
        <v/>
      </c>
      <c r="Y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5" s="5">
        <f>IF(tblOrdenes[[#This Row],[centro_costo]]="","",_xlfn.XLOOKUP(tblOrdenes[[#This Row],[centro_costo]],tblCECO[codigo],tblCECO[coordinador],"(sin catálogo)"))</f>
        <v/>
      </c>
      <c r="AA135" s="5">
        <f>IF(tblOrdenes[[#This Row],[puesto_trabajo]]="","",_xlfn.XLOOKUP(tblOrdenes[[#This Row],[puesto_trabajo]],tblPuestos[codigo],tblPuestos[especialidad],"(sin catálogo)"))</f>
        <v/>
      </c>
      <c r="AB135" s="5">
        <f>IF(tblOrdenes[[#This Row],[cod_actividad]]="","",_xlfn.XLOOKUP(tblOrdenes[[#This Row],[cod_actividad]],tblActividades[codigo],tblActividades[descripcion],"(sin catálogo)"))</f>
        <v/>
      </c>
      <c r="AC135" s="20">
        <f>IF(tblOrdenes[[#This Row],[fecha_inicio]]="","",TODAY()-tblOrdenes[[#This Row],[fecha_inicio]])</f>
        <v/>
      </c>
      <c r="AD1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5" s="5">
        <f>IF(tblOrdenes[[#This Row],[backlog_habiles]]="","",IF(tblOrdenes[[#This Row],[backlog_habiles]]&lt;0,"FUTURO",IF(tblOrdenes[[#This Row],[backlog_habiles]]&gt;p_dias_backlog_max,"BACKLOG","MES CORRIENTE")))</f>
        <v/>
      </c>
      <c r="AF135" s="5">
        <f>IF(tblOrdenes[[#This Row],[backlog_habiles]]="",FALSE,AND(tblOrdenes[[#This Row],[backlog_habiles]]&gt;p_dias_backlog_min,tblOrdenes[[#This Row],[backlog_habiles]]&lt;=p_dias_backlog_max))</f>
        <v/>
      </c>
      <c r="AG135" s="4" t="inlineStr"/>
      <c r="AH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5" s="18">
        <f>IF(tblOrdenes[[#This Row],[orden]]="","",_xlfn.XLOOKUP(tblOrdenes[[#This Row],[id_operacion]],tblEjecucion[id_operacion],tblEjecucion[precio],0))</f>
        <v/>
      </c>
      <c r="AL135" s="18">
        <f>IF(tblOrdenes[[#This Row],[orden]]="","",MAX(0,_xlfn.XLOOKUP(tblOrdenes[[#This Row],[id_operacion]],tblEjecucion[id_operacion],tblEjecucion[costo_plan_total],0)-tblOrdenes[[#This Row],[costo_servicio]]))</f>
        <v/>
      </c>
      <c r="AM135" s="18">
        <f>IF(tblOrdenes[[#This Row],[orden]]="","",tblOrdenes[[#This Row],[costo_servicio]]+tblOrdenes[[#This Row],[costo_materiales]])</f>
        <v/>
      </c>
      <c r="AN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5" s="4" t="inlineStr"/>
      <c r="AP135" s="4" t="inlineStr"/>
      <c r="AQ135" s="4" t="inlineStr"/>
      <c r="AR135" s="5">
        <f>IF(tblOrdenes[[#This Row],[link_checklist]]="","",HYPERLINK(p_ruta_base_checklists&amp;tblOrdenes[[#This Row],[link_checklist]],"abrir"))</f>
        <v/>
      </c>
      <c r="AS135" s="4" t="inlineStr"/>
      <c r="AT135" s="5">
        <f>IF(tblOrdenes[[#This Row],[orden]]="","",tblOrdenes[[#This Row],[orden]]&amp;IF(tblOrdenes[[#This Row],[operacion]]="","0010",tblOrdenes[[#This Row],[operacion]]))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22" t="n">
        <v>46130</v>
      </c>
      <c r="K136" s="5" t="n">
        <v>8</v>
      </c>
      <c r="L136" s="18" t="n">
        <v>320</v>
      </c>
      <c r="M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5">
        <f>IF(tblOrdenes[[#This Row],[fecha_inicio]]="","",YEAR(tblOrdenes[[#This Row],[fecha_inicio]]))</f>
        <v/>
      </c>
      <c r="Q136" s="5">
        <f>IF(tblOrdenes[[#This Row],[fecha_inicio]]="","",MONTH(tblOrdenes[[#This Row],[fecha_inicio]]))</f>
        <v/>
      </c>
      <c r="R136" s="5">
        <f>IF(tblOrdenes[[#This Row],[fecha_inicio]]="","",tblOrdenes[[#This Row],[anio]]&amp;"-"&amp;TEXT(tblOrdenes[[#This Row],[mes]],"00"))</f>
        <v/>
      </c>
      <c r="S136" s="5">
        <f>IF(tblOrdenes[[#This Row],[fecha_inicio]]="","",INDEX(lista_dias,WEEKDAY(tblOrdenes[[#This Row],[fecha_inicio]],2)))</f>
        <v/>
      </c>
      <c r="T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6" s="5">
        <f>IF(tblOrdenes[[#This Row],[tipo_ot]]="","",_xlfn.XLOOKUP(tblOrdenes[[#This Row],[tipo_ot]],tblTiposOT[codigo],tblTiposOT[clasificacion],"sin_clasificar"))</f>
        <v/>
      </c>
      <c r="V1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6" s="5">
        <f>IF(tblOrdenes[[#This Row],[centro_costo]]="","",_xlfn.XLOOKUP(tblOrdenes[[#This Row],[centro_costo]],tblCECO[codigo],tblCECO[linea],"(sin catálogo)"))</f>
        <v/>
      </c>
      <c r="X136" s="5">
        <f>IF(tblOrdenes[[#This Row],[centro_costo]]="","",_xlfn.XLOOKUP(tblOrdenes[[#This Row],[centro_costo]],tblCECO[codigo],tblCECO[area],"(sin catálogo)"))</f>
        <v/>
      </c>
      <c r="Y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6" s="5">
        <f>IF(tblOrdenes[[#This Row],[centro_costo]]="","",_xlfn.XLOOKUP(tblOrdenes[[#This Row],[centro_costo]],tblCECO[codigo],tblCECO[coordinador],"(sin catálogo)"))</f>
        <v/>
      </c>
      <c r="AA136" s="5">
        <f>IF(tblOrdenes[[#This Row],[puesto_trabajo]]="","",_xlfn.XLOOKUP(tblOrdenes[[#This Row],[puesto_trabajo]],tblPuestos[codigo],tblPuestos[especialidad],"(sin catálogo)"))</f>
        <v/>
      </c>
      <c r="AB136" s="5">
        <f>IF(tblOrdenes[[#This Row],[cod_actividad]]="","",_xlfn.XLOOKUP(tblOrdenes[[#This Row],[cod_actividad]],tblActividades[codigo],tblActividades[descripcion],"(sin catálogo)"))</f>
        <v/>
      </c>
      <c r="AC136" s="20">
        <f>IF(tblOrdenes[[#This Row],[fecha_inicio]]="","",TODAY()-tblOrdenes[[#This Row],[fecha_inicio]])</f>
        <v/>
      </c>
      <c r="AD1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6" s="5">
        <f>IF(tblOrdenes[[#This Row],[backlog_habiles]]="","",IF(tblOrdenes[[#This Row],[backlog_habiles]]&lt;0,"FUTURO",IF(tblOrdenes[[#This Row],[backlog_habiles]]&gt;p_dias_backlog_max,"BACKLOG","MES CORRIENTE")))</f>
        <v/>
      </c>
      <c r="AF136" s="5">
        <f>IF(tblOrdenes[[#This Row],[backlog_habiles]]="",FALSE,AND(tblOrdenes[[#This Row],[backlog_habiles]]&gt;p_dias_backlog_min,tblOrdenes[[#This Row],[backlog_habiles]]&lt;=p_dias_backlog_max))</f>
        <v/>
      </c>
      <c r="AG136" s="4" t="inlineStr"/>
      <c r="AH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6" s="18">
        <f>IF(tblOrdenes[[#This Row],[orden]]="","",_xlfn.XLOOKUP(tblOrdenes[[#This Row],[id_operacion]],tblEjecucion[id_operacion],tblEjecucion[precio],0))</f>
        <v/>
      </c>
      <c r="AL136" s="18">
        <f>IF(tblOrdenes[[#This Row],[orden]]="","",MAX(0,_xlfn.XLOOKUP(tblOrdenes[[#This Row],[id_operacion]],tblEjecucion[id_operacion],tblEjecucion[costo_plan_total],0)-tblOrdenes[[#This Row],[costo_servicio]]))</f>
        <v/>
      </c>
      <c r="AM136" s="18">
        <f>IF(tblOrdenes[[#This Row],[orden]]="","",tblOrdenes[[#This Row],[costo_servicio]]+tblOrdenes[[#This Row],[costo_materiales]])</f>
        <v/>
      </c>
      <c r="AN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6" s="4" t="inlineStr"/>
      <c r="AP136" s="4" t="inlineStr"/>
      <c r="AQ136" s="4" t="inlineStr"/>
      <c r="AR136" s="5">
        <f>IF(tblOrdenes[[#This Row],[link_checklist]]="","",HYPERLINK(p_ruta_base_checklists&amp;tblOrdenes[[#This Row],[link_checklist]],"abrir"))</f>
        <v/>
      </c>
      <c r="AS136" s="4" t="inlineStr"/>
      <c r="AT136" s="5">
        <f>IF(tblOrdenes[[#This Row],[orden]]="","",tblOrdenes[[#This Row],[orden]]&amp;IF(tblOrdenes[[#This Row],[operacion]]="","0010",tblOrdenes[[#This Row],[operacion]]))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TIPO-P2</t>
        </is>
      </c>
      <c r="J137" s="22" t="n">
        <v>46130</v>
      </c>
      <c r="K137" s="5" t="n">
        <v>4</v>
      </c>
      <c r="L137" s="18" t="n">
        <v>100</v>
      </c>
      <c r="M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5">
        <f>IF(tblOrdenes[[#This Row],[fecha_inicio]]="","",YEAR(tblOrdenes[[#This Row],[fecha_inicio]]))</f>
        <v/>
      </c>
      <c r="Q137" s="5">
        <f>IF(tblOrdenes[[#This Row],[fecha_inicio]]="","",MONTH(tblOrdenes[[#This Row],[fecha_inicio]]))</f>
        <v/>
      </c>
      <c r="R137" s="5">
        <f>IF(tblOrdenes[[#This Row],[fecha_inicio]]="","",tblOrdenes[[#This Row],[anio]]&amp;"-"&amp;TEXT(tblOrdenes[[#This Row],[mes]],"00"))</f>
        <v/>
      </c>
      <c r="S137" s="5">
        <f>IF(tblOrdenes[[#This Row],[fecha_inicio]]="","",INDEX(lista_dias,WEEKDAY(tblOrdenes[[#This Row],[fecha_inicio]],2)))</f>
        <v/>
      </c>
      <c r="T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7" s="5">
        <f>IF(tblOrdenes[[#This Row],[tipo_ot]]="","",_xlfn.XLOOKUP(tblOrdenes[[#This Row],[tipo_ot]],tblTiposOT[codigo],tblTiposOT[clasificacion],"sin_clasificar"))</f>
        <v/>
      </c>
      <c r="V1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7" s="5">
        <f>IF(tblOrdenes[[#This Row],[centro_costo]]="","",_xlfn.XLOOKUP(tblOrdenes[[#This Row],[centro_costo]],tblCECO[codigo],tblCECO[linea],"(sin catálogo)"))</f>
        <v/>
      </c>
      <c r="X137" s="5">
        <f>IF(tblOrdenes[[#This Row],[centro_costo]]="","",_xlfn.XLOOKUP(tblOrdenes[[#This Row],[centro_costo]],tblCECO[codigo],tblCECO[area],"(sin catálogo)"))</f>
        <v/>
      </c>
      <c r="Y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7" s="5">
        <f>IF(tblOrdenes[[#This Row],[centro_costo]]="","",_xlfn.XLOOKUP(tblOrdenes[[#This Row],[centro_costo]],tblCECO[codigo],tblCECO[coordinador],"(sin catálogo)"))</f>
        <v/>
      </c>
      <c r="AA137" s="5">
        <f>IF(tblOrdenes[[#This Row],[puesto_trabajo]]="","",_xlfn.XLOOKUP(tblOrdenes[[#This Row],[puesto_trabajo]],tblPuestos[codigo],tblPuestos[especialidad],"(sin catálogo)"))</f>
        <v/>
      </c>
      <c r="AB137" s="5">
        <f>IF(tblOrdenes[[#This Row],[cod_actividad]]="","",_xlfn.XLOOKUP(tblOrdenes[[#This Row],[cod_actividad]],tblActividades[codigo],tblActividades[descripcion],"(sin catálogo)"))</f>
        <v/>
      </c>
      <c r="AC137" s="20">
        <f>IF(tblOrdenes[[#This Row],[fecha_inicio]]="","",TODAY()-tblOrdenes[[#This Row],[fecha_inicio]])</f>
        <v/>
      </c>
      <c r="AD1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7" s="5">
        <f>IF(tblOrdenes[[#This Row],[backlog_habiles]]="","",IF(tblOrdenes[[#This Row],[backlog_habiles]]&lt;0,"FUTURO",IF(tblOrdenes[[#This Row],[backlog_habiles]]&gt;p_dias_backlog_max,"BACKLOG","MES CORRIENTE")))</f>
        <v/>
      </c>
      <c r="AF137" s="5">
        <f>IF(tblOrdenes[[#This Row],[backlog_habiles]]="",FALSE,AND(tblOrdenes[[#This Row],[backlog_habiles]]&gt;p_dias_backlog_min,tblOrdenes[[#This Row],[backlog_habiles]]&lt;=p_dias_backlog_max))</f>
        <v/>
      </c>
      <c r="AG137" s="4" t="inlineStr"/>
      <c r="AH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7" s="18">
        <f>IF(tblOrdenes[[#This Row],[orden]]="","",_xlfn.XLOOKUP(tblOrdenes[[#This Row],[id_operacion]],tblEjecucion[id_operacion],tblEjecucion[precio],0))</f>
        <v/>
      </c>
      <c r="AL137" s="18">
        <f>IF(tblOrdenes[[#This Row],[orden]]="","",MAX(0,_xlfn.XLOOKUP(tblOrdenes[[#This Row],[id_operacion]],tblEjecucion[id_operacion],tblEjecucion[costo_plan_total],0)-tblOrdenes[[#This Row],[costo_servicio]]))</f>
        <v/>
      </c>
      <c r="AM137" s="18">
        <f>IF(tblOrdenes[[#This Row],[orden]]="","",tblOrdenes[[#This Row],[costo_servicio]]+tblOrdenes[[#This Row],[costo_materiales]])</f>
        <v/>
      </c>
      <c r="AN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7" s="4" t="inlineStr"/>
      <c r="AP137" s="4" t="inlineStr"/>
      <c r="AQ137" s="4" t="inlineStr"/>
      <c r="AR137" s="5">
        <f>IF(tblOrdenes[[#This Row],[link_checklist]]="","",HYPERLINK(p_ruta_base_checklists&amp;tblOrdenes[[#This Row],[link_checklist]],"abrir"))</f>
        <v/>
      </c>
      <c r="AS137" s="4" t="inlineStr"/>
      <c r="AT137" s="5">
        <f>IF(tblOrdenes[[#This Row],[orden]]="","",tblOrdenes[[#This Row],[orden]]&amp;IF(tblOrdenes[[#This Row],[operacion]]="","0010",tblOrdenes[[#This Row],[operacion]]))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22" t="n">
        <v>46130</v>
      </c>
      <c r="K138" s="5" t="n">
        <v>6</v>
      </c>
      <c r="L138" s="18" t="n">
        <v>240</v>
      </c>
      <c r="M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5">
        <f>IF(tblOrdenes[[#This Row],[fecha_inicio]]="","",YEAR(tblOrdenes[[#This Row],[fecha_inicio]]))</f>
        <v/>
      </c>
      <c r="Q138" s="5">
        <f>IF(tblOrdenes[[#This Row],[fecha_inicio]]="","",MONTH(tblOrdenes[[#This Row],[fecha_inicio]]))</f>
        <v/>
      </c>
      <c r="R138" s="5">
        <f>IF(tblOrdenes[[#This Row],[fecha_inicio]]="","",tblOrdenes[[#This Row],[anio]]&amp;"-"&amp;TEXT(tblOrdenes[[#This Row],[mes]],"00"))</f>
        <v/>
      </c>
      <c r="S138" s="5">
        <f>IF(tblOrdenes[[#This Row],[fecha_inicio]]="","",INDEX(lista_dias,WEEKDAY(tblOrdenes[[#This Row],[fecha_inicio]],2)))</f>
        <v/>
      </c>
      <c r="T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8" s="5">
        <f>IF(tblOrdenes[[#This Row],[tipo_ot]]="","",_xlfn.XLOOKUP(tblOrdenes[[#This Row],[tipo_ot]],tblTiposOT[codigo],tblTiposOT[clasificacion],"sin_clasificar"))</f>
        <v/>
      </c>
      <c r="V1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8" s="5">
        <f>IF(tblOrdenes[[#This Row],[centro_costo]]="","",_xlfn.XLOOKUP(tblOrdenes[[#This Row],[centro_costo]],tblCECO[codigo],tblCECO[linea],"(sin catálogo)"))</f>
        <v/>
      </c>
      <c r="X138" s="5">
        <f>IF(tblOrdenes[[#This Row],[centro_costo]]="","",_xlfn.XLOOKUP(tblOrdenes[[#This Row],[centro_costo]],tblCECO[codigo],tblCECO[area],"(sin catálogo)"))</f>
        <v/>
      </c>
      <c r="Y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8" s="5">
        <f>IF(tblOrdenes[[#This Row],[centro_costo]]="","",_xlfn.XLOOKUP(tblOrdenes[[#This Row],[centro_costo]],tblCECO[codigo],tblCECO[coordinador],"(sin catálogo)"))</f>
        <v/>
      </c>
      <c r="AA138" s="5">
        <f>IF(tblOrdenes[[#This Row],[puesto_trabajo]]="","",_xlfn.XLOOKUP(tblOrdenes[[#This Row],[puesto_trabajo]],tblPuestos[codigo],tblPuestos[especialidad],"(sin catálogo)"))</f>
        <v/>
      </c>
      <c r="AB138" s="5">
        <f>IF(tblOrdenes[[#This Row],[cod_actividad]]="","",_xlfn.XLOOKUP(tblOrdenes[[#This Row],[cod_actividad]],tblActividades[codigo],tblActividades[descripcion],"(sin catálogo)"))</f>
        <v/>
      </c>
      <c r="AC138" s="20">
        <f>IF(tblOrdenes[[#This Row],[fecha_inicio]]="","",TODAY()-tblOrdenes[[#This Row],[fecha_inicio]])</f>
        <v/>
      </c>
      <c r="AD1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8" s="5">
        <f>IF(tblOrdenes[[#This Row],[backlog_habiles]]="","",IF(tblOrdenes[[#This Row],[backlog_habiles]]&lt;0,"FUTURO",IF(tblOrdenes[[#This Row],[backlog_habiles]]&gt;p_dias_backlog_max,"BACKLOG","MES CORRIENTE")))</f>
        <v/>
      </c>
      <c r="AF138" s="5">
        <f>IF(tblOrdenes[[#This Row],[backlog_habiles]]="",FALSE,AND(tblOrdenes[[#This Row],[backlog_habiles]]&gt;p_dias_backlog_min,tblOrdenes[[#This Row],[backlog_habiles]]&lt;=p_dias_backlog_max))</f>
        <v/>
      </c>
      <c r="AG138" s="4" t="inlineStr"/>
      <c r="AH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8" s="18">
        <f>IF(tblOrdenes[[#This Row],[orden]]="","",_xlfn.XLOOKUP(tblOrdenes[[#This Row],[id_operacion]],tblEjecucion[id_operacion],tblEjecucion[precio],0))</f>
        <v/>
      </c>
      <c r="AL138" s="18">
        <f>IF(tblOrdenes[[#This Row],[orden]]="","",MAX(0,_xlfn.XLOOKUP(tblOrdenes[[#This Row],[id_operacion]],tblEjecucion[id_operacion],tblEjecucion[costo_plan_total],0)-tblOrdenes[[#This Row],[costo_servicio]]))</f>
        <v/>
      </c>
      <c r="AM138" s="18">
        <f>IF(tblOrdenes[[#This Row],[orden]]="","",tblOrdenes[[#This Row],[costo_servicio]]+tblOrdenes[[#This Row],[costo_materiales]])</f>
        <v/>
      </c>
      <c r="AN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8" s="4" t="inlineStr"/>
      <c r="AP138" s="4" t="inlineStr"/>
      <c r="AQ138" s="4" t="inlineStr"/>
      <c r="AR138" s="5">
        <f>IF(tblOrdenes[[#This Row],[link_checklist]]="","",HYPERLINK(p_ruta_base_checklists&amp;tblOrdenes[[#This Row],[link_checklist]],"abrir"))</f>
        <v/>
      </c>
      <c r="AS138" s="4" t="inlineStr"/>
      <c r="AT138" s="5">
        <f>IF(tblOrdenes[[#This Row],[orden]]="","",tblOrdenes[[#This Row],[orden]]&amp;IF(tblOrdenes[[#This Row],[operacion]]="","0010",tblOrdenes[[#This Row],[operacion]]))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22" t="n">
        <v>46130</v>
      </c>
      <c r="K139" s="5" t="n">
        <v>8</v>
      </c>
      <c r="L139" s="18" t="n">
        <v>320</v>
      </c>
      <c r="M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5">
        <f>IF(tblOrdenes[[#This Row],[fecha_inicio]]="","",YEAR(tblOrdenes[[#This Row],[fecha_inicio]]))</f>
        <v/>
      </c>
      <c r="Q139" s="5">
        <f>IF(tblOrdenes[[#This Row],[fecha_inicio]]="","",MONTH(tblOrdenes[[#This Row],[fecha_inicio]]))</f>
        <v/>
      </c>
      <c r="R139" s="5">
        <f>IF(tblOrdenes[[#This Row],[fecha_inicio]]="","",tblOrdenes[[#This Row],[anio]]&amp;"-"&amp;TEXT(tblOrdenes[[#This Row],[mes]],"00"))</f>
        <v/>
      </c>
      <c r="S139" s="5">
        <f>IF(tblOrdenes[[#This Row],[fecha_inicio]]="","",INDEX(lista_dias,WEEKDAY(tblOrdenes[[#This Row],[fecha_inicio]],2)))</f>
        <v/>
      </c>
      <c r="T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9" s="5">
        <f>IF(tblOrdenes[[#This Row],[tipo_ot]]="","",_xlfn.XLOOKUP(tblOrdenes[[#This Row],[tipo_ot]],tblTiposOT[codigo],tblTiposOT[clasificacion],"sin_clasificar"))</f>
        <v/>
      </c>
      <c r="V1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9" s="5">
        <f>IF(tblOrdenes[[#This Row],[centro_costo]]="","",_xlfn.XLOOKUP(tblOrdenes[[#This Row],[centro_costo]],tblCECO[codigo],tblCECO[linea],"(sin catálogo)"))</f>
        <v/>
      </c>
      <c r="X139" s="5">
        <f>IF(tblOrdenes[[#This Row],[centro_costo]]="","",_xlfn.XLOOKUP(tblOrdenes[[#This Row],[centro_costo]],tblCECO[codigo],tblCECO[area],"(sin catálogo)"))</f>
        <v/>
      </c>
      <c r="Y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39" s="5">
        <f>IF(tblOrdenes[[#This Row],[centro_costo]]="","",_xlfn.XLOOKUP(tblOrdenes[[#This Row],[centro_costo]],tblCECO[codigo],tblCECO[coordinador],"(sin catálogo)"))</f>
        <v/>
      </c>
      <c r="AA139" s="5">
        <f>IF(tblOrdenes[[#This Row],[puesto_trabajo]]="","",_xlfn.XLOOKUP(tblOrdenes[[#This Row],[puesto_trabajo]],tblPuestos[codigo],tblPuestos[especialidad],"(sin catálogo)"))</f>
        <v/>
      </c>
      <c r="AB139" s="5">
        <f>IF(tblOrdenes[[#This Row],[cod_actividad]]="","",_xlfn.XLOOKUP(tblOrdenes[[#This Row],[cod_actividad]],tblActividades[codigo],tblActividades[descripcion],"(sin catálogo)"))</f>
        <v/>
      </c>
      <c r="AC139" s="20">
        <f>IF(tblOrdenes[[#This Row],[fecha_inicio]]="","",TODAY()-tblOrdenes[[#This Row],[fecha_inicio]])</f>
        <v/>
      </c>
      <c r="AD1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39" s="5">
        <f>IF(tblOrdenes[[#This Row],[backlog_habiles]]="","",IF(tblOrdenes[[#This Row],[backlog_habiles]]&lt;0,"FUTURO",IF(tblOrdenes[[#This Row],[backlog_habiles]]&gt;p_dias_backlog_max,"BACKLOG","MES CORRIENTE")))</f>
        <v/>
      </c>
      <c r="AF139" s="5">
        <f>IF(tblOrdenes[[#This Row],[backlog_habiles]]="",FALSE,AND(tblOrdenes[[#This Row],[backlog_habiles]]&gt;p_dias_backlog_min,tblOrdenes[[#This Row],[backlog_habiles]]&lt;=p_dias_backlog_max))</f>
        <v/>
      </c>
      <c r="AG139" s="4" t="inlineStr"/>
      <c r="AH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39" s="18">
        <f>IF(tblOrdenes[[#This Row],[orden]]="","",_xlfn.XLOOKUP(tblOrdenes[[#This Row],[id_operacion]],tblEjecucion[id_operacion],tblEjecucion[precio],0))</f>
        <v/>
      </c>
      <c r="AL139" s="18">
        <f>IF(tblOrdenes[[#This Row],[orden]]="","",MAX(0,_xlfn.XLOOKUP(tblOrdenes[[#This Row],[id_operacion]],tblEjecucion[id_operacion],tblEjecucion[costo_plan_total],0)-tblOrdenes[[#This Row],[costo_servicio]]))</f>
        <v/>
      </c>
      <c r="AM139" s="18">
        <f>IF(tblOrdenes[[#This Row],[orden]]="","",tblOrdenes[[#This Row],[costo_servicio]]+tblOrdenes[[#This Row],[costo_materiales]])</f>
        <v/>
      </c>
      <c r="AN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39" s="4" t="inlineStr"/>
      <c r="AP139" s="4" t="inlineStr"/>
      <c r="AQ139" s="4" t="inlineStr"/>
      <c r="AR139" s="5">
        <f>IF(tblOrdenes[[#This Row],[link_checklist]]="","",HYPERLINK(p_ruta_base_checklists&amp;tblOrdenes[[#This Row],[link_checklist]],"abrir"))</f>
        <v/>
      </c>
      <c r="AS139" s="4" t="inlineStr"/>
      <c r="AT139" s="5">
        <f>IF(tblOrdenes[[#This Row],[orden]]="","",tblOrdenes[[#This Row],[orden]]&amp;IF(tblOrdenes[[#This Row],[operacion]]="","0010",tblOrdenes[[#This Row],[operacion]]))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22" t="n">
        <v>46110</v>
      </c>
      <c r="K140" s="5" t="n">
        <v>4</v>
      </c>
      <c r="L140" s="18" t="n">
        <v>160</v>
      </c>
      <c r="M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5">
        <f>IF(tblOrdenes[[#This Row],[fecha_inicio]]="","",YEAR(tblOrdenes[[#This Row],[fecha_inicio]]))</f>
        <v/>
      </c>
      <c r="Q140" s="5">
        <f>IF(tblOrdenes[[#This Row],[fecha_inicio]]="","",MONTH(tblOrdenes[[#This Row],[fecha_inicio]]))</f>
        <v/>
      </c>
      <c r="R140" s="5">
        <f>IF(tblOrdenes[[#This Row],[fecha_inicio]]="","",tblOrdenes[[#This Row],[anio]]&amp;"-"&amp;TEXT(tblOrdenes[[#This Row],[mes]],"00"))</f>
        <v/>
      </c>
      <c r="S140" s="5">
        <f>IF(tblOrdenes[[#This Row],[fecha_inicio]]="","",INDEX(lista_dias,WEEKDAY(tblOrdenes[[#This Row],[fecha_inicio]],2)))</f>
        <v/>
      </c>
      <c r="T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0" s="5">
        <f>IF(tblOrdenes[[#This Row],[tipo_ot]]="","",_xlfn.XLOOKUP(tblOrdenes[[#This Row],[tipo_ot]],tblTiposOT[codigo],tblTiposOT[clasificacion],"sin_clasificar"))</f>
        <v/>
      </c>
      <c r="V1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0" s="5">
        <f>IF(tblOrdenes[[#This Row],[centro_costo]]="","",_xlfn.XLOOKUP(tblOrdenes[[#This Row],[centro_costo]],tblCECO[codigo],tblCECO[linea],"(sin catálogo)"))</f>
        <v/>
      </c>
      <c r="X140" s="5">
        <f>IF(tblOrdenes[[#This Row],[centro_costo]]="","",_xlfn.XLOOKUP(tblOrdenes[[#This Row],[centro_costo]],tblCECO[codigo],tblCECO[area],"(sin catálogo)"))</f>
        <v/>
      </c>
      <c r="Y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0" s="5">
        <f>IF(tblOrdenes[[#This Row],[centro_costo]]="","",_xlfn.XLOOKUP(tblOrdenes[[#This Row],[centro_costo]],tblCECO[codigo],tblCECO[coordinador],"(sin catálogo)"))</f>
        <v/>
      </c>
      <c r="AA140" s="5">
        <f>IF(tblOrdenes[[#This Row],[puesto_trabajo]]="","",_xlfn.XLOOKUP(tblOrdenes[[#This Row],[puesto_trabajo]],tblPuestos[codigo],tblPuestos[especialidad],"(sin catálogo)"))</f>
        <v/>
      </c>
      <c r="AB140" s="5">
        <f>IF(tblOrdenes[[#This Row],[cod_actividad]]="","",_xlfn.XLOOKUP(tblOrdenes[[#This Row],[cod_actividad]],tblActividades[codigo],tblActividades[descripcion],"(sin catálogo)"))</f>
        <v/>
      </c>
      <c r="AC140" s="20">
        <f>IF(tblOrdenes[[#This Row],[fecha_inicio]]="","",TODAY()-tblOrdenes[[#This Row],[fecha_inicio]])</f>
        <v/>
      </c>
      <c r="AD1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0" s="5">
        <f>IF(tblOrdenes[[#This Row],[backlog_habiles]]="","",IF(tblOrdenes[[#This Row],[backlog_habiles]]&lt;0,"FUTURO",IF(tblOrdenes[[#This Row],[backlog_habiles]]&gt;p_dias_backlog_max,"BACKLOG","MES CORRIENTE")))</f>
        <v/>
      </c>
      <c r="AF140" s="5">
        <f>IF(tblOrdenes[[#This Row],[backlog_habiles]]="",FALSE,AND(tblOrdenes[[#This Row],[backlog_habiles]]&gt;p_dias_backlog_min,tblOrdenes[[#This Row],[backlog_habiles]]&lt;=p_dias_backlog_max))</f>
        <v/>
      </c>
      <c r="AG140" s="4" t="inlineStr"/>
      <c r="AH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0" s="18">
        <f>IF(tblOrdenes[[#This Row],[orden]]="","",_xlfn.XLOOKUP(tblOrdenes[[#This Row],[id_operacion]],tblEjecucion[id_operacion],tblEjecucion[precio],0))</f>
        <v/>
      </c>
      <c r="AL140" s="18">
        <f>IF(tblOrdenes[[#This Row],[orden]]="","",MAX(0,_xlfn.XLOOKUP(tblOrdenes[[#This Row],[id_operacion]],tblEjecucion[id_operacion],tblEjecucion[costo_plan_total],0)-tblOrdenes[[#This Row],[costo_servicio]]))</f>
        <v/>
      </c>
      <c r="AM140" s="18">
        <f>IF(tblOrdenes[[#This Row],[orden]]="","",tblOrdenes[[#This Row],[costo_servicio]]+tblOrdenes[[#This Row],[costo_materiales]])</f>
        <v/>
      </c>
      <c r="AN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0" s="4" t="inlineStr"/>
      <c r="AP140" s="4" t="inlineStr"/>
      <c r="AQ140" s="4" t="inlineStr"/>
      <c r="AR140" s="5">
        <f>IF(tblOrdenes[[#This Row],[link_checklist]]="","",HYPERLINK(p_ruta_base_checklists&amp;tblOrdenes[[#This Row],[link_checklist]],"abrir"))</f>
        <v/>
      </c>
      <c r="AS140" s="4" t="inlineStr"/>
      <c r="AT140" s="5">
        <f>IF(tblOrdenes[[#This Row],[orden]]="","",tblOrdenes[[#This Row],[orden]]&amp;IF(tblOrdenes[[#This Row],[operacion]]="","0010",tblOrdenes[[#This Row],[operacion]]))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22" t="n">
        <v>46110</v>
      </c>
      <c r="K141" s="5" t="n">
        <v>6</v>
      </c>
      <c r="L141" s="18" t="n">
        <v>240</v>
      </c>
      <c r="M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5">
        <f>IF(tblOrdenes[[#This Row],[fecha_inicio]]="","",YEAR(tblOrdenes[[#This Row],[fecha_inicio]]))</f>
        <v/>
      </c>
      <c r="Q141" s="5">
        <f>IF(tblOrdenes[[#This Row],[fecha_inicio]]="","",MONTH(tblOrdenes[[#This Row],[fecha_inicio]]))</f>
        <v/>
      </c>
      <c r="R141" s="5">
        <f>IF(tblOrdenes[[#This Row],[fecha_inicio]]="","",tblOrdenes[[#This Row],[anio]]&amp;"-"&amp;TEXT(tblOrdenes[[#This Row],[mes]],"00"))</f>
        <v/>
      </c>
      <c r="S141" s="5">
        <f>IF(tblOrdenes[[#This Row],[fecha_inicio]]="","",INDEX(lista_dias,WEEKDAY(tblOrdenes[[#This Row],[fecha_inicio]],2)))</f>
        <v/>
      </c>
      <c r="T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1" s="5">
        <f>IF(tblOrdenes[[#This Row],[tipo_ot]]="","",_xlfn.XLOOKUP(tblOrdenes[[#This Row],[tipo_ot]],tblTiposOT[codigo],tblTiposOT[clasificacion],"sin_clasificar"))</f>
        <v/>
      </c>
      <c r="V1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1" s="5">
        <f>IF(tblOrdenes[[#This Row],[centro_costo]]="","",_xlfn.XLOOKUP(tblOrdenes[[#This Row],[centro_costo]],tblCECO[codigo],tblCECO[linea],"(sin catálogo)"))</f>
        <v/>
      </c>
      <c r="X141" s="5">
        <f>IF(tblOrdenes[[#This Row],[centro_costo]]="","",_xlfn.XLOOKUP(tblOrdenes[[#This Row],[centro_costo]],tblCECO[codigo],tblCECO[area],"(sin catálogo)"))</f>
        <v/>
      </c>
      <c r="Y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1" s="5">
        <f>IF(tblOrdenes[[#This Row],[centro_costo]]="","",_xlfn.XLOOKUP(tblOrdenes[[#This Row],[centro_costo]],tblCECO[codigo],tblCECO[coordinador],"(sin catálogo)"))</f>
        <v/>
      </c>
      <c r="AA141" s="5">
        <f>IF(tblOrdenes[[#This Row],[puesto_trabajo]]="","",_xlfn.XLOOKUP(tblOrdenes[[#This Row],[puesto_trabajo]],tblPuestos[codigo],tblPuestos[especialidad],"(sin catálogo)"))</f>
        <v/>
      </c>
      <c r="AB141" s="5">
        <f>IF(tblOrdenes[[#This Row],[cod_actividad]]="","",_xlfn.XLOOKUP(tblOrdenes[[#This Row],[cod_actividad]],tblActividades[codigo],tblActividades[descripcion],"(sin catálogo)"))</f>
        <v/>
      </c>
      <c r="AC141" s="20">
        <f>IF(tblOrdenes[[#This Row],[fecha_inicio]]="","",TODAY()-tblOrdenes[[#This Row],[fecha_inicio]])</f>
        <v/>
      </c>
      <c r="AD1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1" s="5">
        <f>IF(tblOrdenes[[#This Row],[backlog_habiles]]="","",IF(tblOrdenes[[#This Row],[backlog_habiles]]&lt;0,"FUTURO",IF(tblOrdenes[[#This Row],[backlog_habiles]]&gt;p_dias_backlog_max,"BACKLOG","MES CORRIENTE")))</f>
        <v/>
      </c>
      <c r="AF141" s="5">
        <f>IF(tblOrdenes[[#This Row],[backlog_habiles]]="",FALSE,AND(tblOrdenes[[#This Row],[backlog_habiles]]&gt;p_dias_backlog_min,tblOrdenes[[#This Row],[backlog_habiles]]&lt;=p_dias_backlog_max))</f>
        <v/>
      </c>
      <c r="AG141" s="4" t="inlineStr"/>
      <c r="AH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1" s="18">
        <f>IF(tblOrdenes[[#This Row],[orden]]="","",_xlfn.XLOOKUP(tblOrdenes[[#This Row],[id_operacion]],tblEjecucion[id_operacion],tblEjecucion[precio],0))</f>
        <v/>
      </c>
      <c r="AL141" s="18">
        <f>IF(tblOrdenes[[#This Row],[orden]]="","",MAX(0,_xlfn.XLOOKUP(tblOrdenes[[#This Row],[id_operacion]],tblEjecucion[id_operacion],tblEjecucion[costo_plan_total],0)-tblOrdenes[[#This Row],[costo_servicio]]))</f>
        <v/>
      </c>
      <c r="AM141" s="18">
        <f>IF(tblOrdenes[[#This Row],[orden]]="","",tblOrdenes[[#This Row],[costo_servicio]]+tblOrdenes[[#This Row],[costo_materiales]])</f>
        <v/>
      </c>
      <c r="AN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1" s="4" t="inlineStr"/>
      <c r="AP141" s="4" t="inlineStr"/>
      <c r="AQ141" s="4" t="inlineStr"/>
      <c r="AR141" s="5">
        <f>IF(tblOrdenes[[#This Row],[link_checklist]]="","",HYPERLINK(p_ruta_base_checklists&amp;tblOrdenes[[#This Row],[link_checklist]],"abrir"))</f>
        <v/>
      </c>
      <c r="AS141" s="4" t="inlineStr"/>
      <c r="AT141" s="5">
        <f>IF(tblOrdenes[[#This Row],[orden]]="","",tblOrdenes[[#This Row],[orden]]&amp;IF(tblOrdenes[[#This Row],[operacion]]="","0010",tblOrdenes[[#This Row],[operacion]]))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22" t="n">
        <v>46110</v>
      </c>
      <c r="K142" s="5" t="n">
        <v>8</v>
      </c>
      <c r="L142" s="18" t="n">
        <v>320</v>
      </c>
      <c r="M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5">
        <f>IF(tblOrdenes[[#This Row],[fecha_inicio]]="","",YEAR(tblOrdenes[[#This Row],[fecha_inicio]]))</f>
        <v/>
      </c>
      <c r="Q142" s="5">
        <f>IF(tblOrdenes[[#This Row],[fecha_inicio]]="","",MONTH(tblOrdenes[[#This Row],[fecha_inicio]]))</f>
        <v/>
      </c>
      <c r="R142" s="5">
        <f>IF(tblOrdenes[[#This Row],[fecha_inicio]]="","",tblOrdenes[[#This Row],[anio]]&amp;"-"&amp;TEXT(tblOrdenes[[#This Row],[mes]],"00"))</f>
        <v/>
      </c>
      <c r="S142" s="5">
        <f>IF(tblOrdenes[[#This Row],[fecha_inicio]]="","",INDEX(lista_dias,WEEKDAY(tblOrdenes[[#This Row],[fecha_inicio]],2)))</f>
        <v/>
      </c>
      <c r="T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2" s="5">
        <f>IF(tblOrdenes[[#This Row],[tipo_ot]]="","",_xlfn.XLOOKUP(tblOrdenes[[#This Row],[tipo_ot]],tblTiposOT[codigo],tblTiposOT[clasificacion],"sin_clasificar"))</f>
        <v/>
      </c>
      <c r="V1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2" s="5">
        <f>IF(tblOrdenes[[#This Row],[centro_costo]]="","",_xlfn.XLOOKUP(tblOrdenes[[#This Row],[centro_costo]],tblCECO[codigo],tblCECO[linea],"(sin catálogo)"))</f>
        <v/>
      </c>
      <c r="X142" s="5">
        <f>IF(tblOrdenes[[#This Row],[centro_costo]]="","",_xlfn.XLOOKUP(tblOrdenes[[#This Row],[centro_costo]],tblCECO[codigo],tblCECO[area],"(sin catálogo)"))</f>
        <v/>
      </c>
      <c r="Y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2" s="5">
        <f>IF(tblOrdenes[[#This Row],[centro_costo]]="","",_xlfn.XLOOKUP(tblOrdenes[[#This Row],[centro_costo]],tblCECO[codigo],tblCECO[coordinador],"(sin catálogo)"))</f>
        <v/>
      </c>
      <c r="AA142" s="5">
        <f>IF(tblOrdenes[[#This Row],[puesto_trabajo]]="","",_xlfn.XLOOKUP(tblOrdenes[[#This Row],[puesto_trabajo]],tblPuestos[codigo],tblPuestos[especialidad],"(sin catálogo)"))</f>
        <v/>
      </c>
      <c r="AB142" s="5">
        <f>IF(tblOrdenes[[#This Row],[cod_actividad]]="","",_xlfn.XLOOKUP(tblOrdenes[[#This Row],[cod_actividad]],tblActividades[codigo],tblActividades[descripcion],"(sin catálogo)"))</f>
        <v/>
      </c>
      <c r="AC142" s="20">
        <f>IF(tblOrdenes[[#This Row],[fecha_inicio]]="","",TODAY()-tblOrdenes[[#This Row],[fecha_inicio]])</f>
        <v/>
      </c>
      <c r="AD1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2" s="5">
        <f>IF(tblOrdenes[[#This Row],[backlog_habiles]]="","",IF(tblOrdenes[[#This Row],[backlog_habiles]]&lt;0,"FUTURO",IF(tblOrdenes[[#This Row],[backlog_habiles]]&gt;p_dias_backlog_max,"BACKLOG","MES CORRIENTE")))</f>
        <v/>
      </c>
      <c r="AF142" s="5">
        <f>IF(tblOrdenes[[#This Row],[backlog_habiles]]="",FALSE,AND(tblOrdenes[[#This Row],[backlog_habiles]]&gt;p_dias_backlog_min,tblOrdenes[[#This Row],[backlog_habiles]]&lt;=p_dias_backlog_max))</f>
        <v/>
      </c>
      <c r="AG142" s="4" t="inlineStr"/>
      <c r="AH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2" s="18">
        <f>IF(tblOrdenes[[#This Row],[orden]]="","",_xlfn.XLOOKUP(tblOrdenes[[#This Row],[id_operacion]],tblEjecucion[id_operacion],tblEjecucion[precio],0))</f>
        <v/>
      </c>
      <c r="AL142" s="18">
        <f>IF(tblOrdenes[[#This Row],[orden]]="","",MAX(0,_xlfn.XLOOKUP(tblOrdenes[[#This Row],[id_operacion]],tblEjecucion[id_operacion],tblEjecucion[costo_plan_total],0)-tblOrdenes[[#This Row],[costo_servicio]]))</f>
        <v/>
      </c>
      <c r="AM142" s="18">
        <f>IF(tblOrdenes[[#This Row],[orden]]="","",tblOrdenes[[#This Row],[costo_servicio]]+tblOrdenes[[#This Row],[costo_materiales]])</f>
        <v/>
      </c>
      <c r="AN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2" s="4" t="inlineStr"/>
      <c r="AP142" s="4" t="inlineStr"/>
      <c r="AQ142" s="4" t="inlineStr"/>
      <c r="AR142" s="5">
        <f>IF(tblOrdenes[[#This Row],[link_checklist]]="","",HYPERLINK(p_ruta_base_checklists&amp;tblOrdenes[[#This Row],[link_checklist]],"abrir"))</f>
        <v/>
      </c>
      <c r="AS142" s="4" t="inlineStr"/>
      <c r="AT142" s="5">
        <f>IF(tblOrdenes[[#This Row],[orden]]="","",tblOrdenes[[#This Row],[orden]]&amp;IF(tblOrdenes[[#This Row],[operacion]]="","0010",tblOrdenes[[#This Row],[operacion]]))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TIPO-P2</t>
        </is>
      </c>
      <c r="J143" s="22" t="n">
        <v>46110</v>
      </c>
      <c r="K143" s="5" t="n">
        <v>4</v>
      </c>
      <c r="L143" s="18" t="n">
        <v>100</v>
      </c>
      <c r="M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5">
        <f>IF(tblOrdenes[[#This Row],[fecha_inicio]]="","",YEAR(tblOrdenes[[#This Row],[fecha_inicio]]))</f>
        <v/>
      </c>
      <c r="Q143" s="5">
        <f>IF(tblOrdenes[[#This Row],[fecha_inicio]]="","",MONTH(tblOrdenes[[#This Row],[fecha_inicio]]))</f>
        <v/>
      </c>
      <c r="R143" s="5">
        <f>IF(tblOrdenes[[#This Row],[fecha_inicio]]="","",tblOrdenes[[#This Row],[anio]]&amp;"-"&amp;TEXT(tblOrdenes[[#This Row],[mes]],"00"))</f>
        <v/>
      </c>
      <c r="S143" s="5">
        <f>IF(tblOrdenes[[#This Row],[fecha_inicio]]="","",INDEX(lista_dias,WEEKDAY(tblOrdenes[[#This Row],[fecha_inicio]],2)))</f>
        <v/>
      </c>
      <c r="T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3" s="5">
        <f>IF(tblOrdenes[[#This Row],[tipo_ot]]="","",_xlfn.XLOOKUP(tblOrdenes[[#This Row],[tipo_ot]],tblTiposOT[codigo],tblTiposOT[clasificacion],"sin_clasificar"))</f>
        <v/>
      </c>
      <c r="V1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3" s="5">
        <f>IF(tblOrdenes[[#This Row],[centro_costo]]="","",_xlfn.XLOOKUP(tblOrdenes[[#This Row],[centro_costo]],tblCECO[codigo],tblCECO[linea],"(sin catálogo)"))</f>
        <v/>
      </c>
      <c r="X143" s="5">
        <f>IF(tblOrdenes[[#This Row],[centro_costo]]="","",_xlfn.XLOOKUP(tblOrdenes[[#This Row],[centro_costo]],tblCECO[codigo],tblCECO[area],"(sin catálogo)"))</f>
        <v/>
      </c>
      <c r="Y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3" s="5">
        <f>IF(tblOrdenes[[#This Row],[centro_costo]]="","",_xlfn.XLOOKUP(tblOrdenes[[#This Row],[centro_costo]],tblCECO[codigo],tblCECO[coordinador],"(sin catálogo)"))</f>
        <v/>
      </c>
      <c r="AA143" s="5">
        <f>IF(tblOrdenes[[#This Row],[puesto_trabajo]]="","",_xlfn.XLOOKUP(tblOrdenes[[#This Row],[puesto_trabajo]],tblPuestos[codigo],tblPuestos[especialidad],"(sin catálogo)"))</f>
        <v/>
      </c>
      <c r="AB143" s="5">
        <f>IF(tblOrdenes[[#This Row],[cod_actividad]]="","",_xlfn.XLOOKUP(tblOrdenes[[#This Row],[cod_actividad]],tblActividades[codigo],tblActividades[descripcion],"(sin catálogo)"))</f>
        <v/>
      </c>
      <c r="AC143" s="20">
        <f>IF(tblOrdenes[[#This Row],[fecha_inicio]]="","",TODAY()-tblOrdenes[[#This Row],[fecha_inicio]])</f>
        <v/>
      </c>
      <c r="AD1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3" s="5">
        <f>IF(tblOrdenes[[#This Row],[backlog_habiles]]="","",IF(tblOrdenes[[#This Row],[backlog_habiles]]&lt;0,"FUTURO",IF(tblOrdenes[[#This Row],[backlog_habiles]]&gt;p_dias_backlog_max,"BACKLOG","MES CORRIENTE")))</f>
        <v/>
      </c>
      <c r="AF143" s="5">
        <f>IF(tblOrdenes[[#This Row],[backlog_habiles]]="",FALSE,AND(tblOrdenes[[#This Row],[backlog_habiles]]&gt;p_dias_backlog_min,tblOrdenes[[#This Row],[backlog_habiles]]&lt;=p_dias_backlog_max))</f>
        <v/>
      </c>
      <c r="AG143" s="4" t="inlineStr"/>
      <c r="AH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3" s="18">
        <f>IF(tblOrdenes[[#This Row],[orden]]="","",_xlfn.XLOOKUP(tblOrdenes[[#This Row],[id_operacion]],tblEjecucion[id_operacion],tblEjecucion[precio],0))</f>
        <v/>
      </c>
      <c r="AL143" s="18">
        <f>IF(tblOrdenes[[#This Row],[orden]]="","",MAX(0,_xlfn.XLOOKUP(tblOrdenes[[#This Row],[id_operacion]],tblEjecucion[id_operacion],tblEjecucion[costo_plan_total],0)-tblOrdenes[[#This Row],[costo_servicio]]))</f>
        <v/>
      </c>
      <c r="AM143" s="18">
        <f>IF(tblOrdenes[[#This Row],[orden]]="","",tblOrdenes[[#This Row],[costo_servicio]]+tblOrdenes[[#This Row],[costo_materiales]])</f>
        <v/>
      </c>
      <c r="AN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3" s="4" t="inlineStr"/>
      <c r="AP143" s="4" t="inlineStr"/>
      <c r="AQ143" s="4" t="inlineStr"/>
      <c r="AR143" s="5">
        <f>IF(tblOrdenes[[#This Row],[link_checklist]]="","",HYPERLINK(p_ruta_base_checklists&amp;tblOrdenes[[#This Row],[link_checklist]],"abrir"))</f>
        <v/>
      </c>
      <c r="AS143" s="4" t="inlineStr"/>
      <c r="AT143" s="5">
        <f>IF(tblOrdenes[[#This Row],[orden]]="","",tblOrdenes[[#This Row],[orden]]&amp;IF(tblOrdenes[[#This Row],[operacion]]="","0010",tblOrdenes[[#This Row],[operacion]]))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22" t="n">
        <v>46080</v>
      </c>
      <c r="K144" s="5" t="n">
        <v>4</v>
      </c>
      <c r="L144" s="18" t="n">
        <v>160</v>
      </c>
      <c r="M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5">
        <f>IF(tblOrdenes[[#This Row],[fecha_inicio]]="","",YEAR(tblOrdenes[[#This Row],[fecha_inicio]]))</f>
        <v/>
      </c>
      <c r="Q144" s="5">
        <f>IF(tblOrdenes[[#This Row],[fecha_inicio]]="","",MONTH(tblOrdenes[[#This Row],[fecha_inicio]]))</f>
        <v/>
      </c>
      <c r="R144" s="5">
        <f>IF(tblOrdenes[[#This Row],[fecha_inicio]]="","",tblOrdenes[[#This Row],[anio]]&amp;"-"&amp;TEXT(tblOrdenes[[#This Row],[mes]],"00"))</f>
        <v/>
      </c>
      <c r="S144" s="5">
        <f>IF(tblOrdenes[[#This Row],[fecha_inicio]]="","",INDEX(lista_dias,WEEKDAY(tblOrdenes[[#This Row],[fecha_inicio]],2)))</f>
        <v/>
      </c>
      <c r="T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4" s="5">
        <f>IF(tblOrdenes[[#This Row],[tipo_ot]]="","",_xlfn.XLOOKUP(tblOrdenes[[#This Row],[tipo_ot]],tblTiposOT[codigo],tblTiposOT[clasificacion],"sin_clasificar"))</f>
        <v/>
      </c>
      <c r="V1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4" s="5">
        <f>IF(tblOrdenes[[#This Row],[centro_costo]]="","",_xlfn.XLOOKUP(tblOrdenes[[#This Row],[centro_costo]],tblCECO[codigo],tblCECO[linea],"(sin catálogo)"))</f>
        <v/>
      </c>
      <c r="X144" s="5">
        <f>IF(tblOrdenes[[#This Row],[centro_costo]]="","",_xlfn.XLOOKUP(tblOrdenes[[#This Row],[centro_costo]],tblCECO[codigo],tblCECO[area],"(sin catálogo)"))</f>
        <v/>
      </c>
      <c r="Y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4" s="5">
        <f>IF(tblOrdenes[[#This Row],[centro_costo]]="","",_xlfn.XLOOKUP(tblOrdenes[[#This Row],[centro_costo]],tblCECO[codigo],tblCECO[coordinador],"(sin catálogo)"))</f>
        <v/>
      </c>
      <c r="AA144" s="5">
        <f>IF(tblOrdenes[[#This Row],[puesto_trabajo]]="","",_xlfn.XLOOKUP(tblOrdenes[[#This Row],[puesto_trabajo]],tblPuestos[codigo],tblPuestos[especialidad],"(sin catálogo)"))</f>
        <v/>
      </c>
      <c r="AB144" s="5">
        <f>IF(tblOrdenes[[#This Row],[cod_actividad]]="","",_xlfn.XLOOKUP(tblOrdenes[[#This Row],[cod_actividad]],tblActividades[codigo],tblActividades[descripcion],"(sin catálogo)"))</f>
        <v/>
      </c>
      <c r="AC144" s="20">
        <f>IF(tblOrdenes[[#This Row],[fecha_inicio]]="","",TODAY()-tblOrdenes[[#This Row],[fecha_inicio]])</f>
        <v/>
      </c>
      <c r="AD1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4" s="5">
        <f>IF(tblOrdenes[[#This Row],[backlog_habiles]]="","",IF(tblOrdenes[[#This Row],[backlog_habiles]]&lt;0,"FUTURO",IF(tblOrdenes[[#This Row],[backlog_habiles]]&gt;p_dias_backlog_max,"BACKLOG","MES CORRIENTE")))</f>
        <v/>
      </c>
      <c r="AF144" s="5">
        <f>IF(tblOrdenes[[#This Row],[backlog_habiles]]="",FALSE,AND(tblOrdenes[[#This Row],[backlog_habiles]]&gt;p_dias_backlog_min,tblOrdenes[[#This Row],[backlog_habiles]]&lt;=p_dias_backlog_max))</f>
        <v/>
      </c>
      <c r="AG144" s="4" t="inlineStr"/>
      <c r="AH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4" s="18">
        <f>IF(tblOrdenes[[#This Row],[orden]]="","",_xlfn.XLOOKUP(tblOrdenes[[#This Row],[id_operacion]],tblEjecucion[id_operacion],tblEjecucion[precio],0))</f>
        <v/>
      </c>
      <c r="AL144" s="18">
        <f>IF(tblOrdenes[[#This Row],[orden]]="","",MAX(0,_xlfn.XLOOKUP(tblOrdenes[[#This Row],[id_operacion]],tblEjecucion[id_operacion],tblEjecucion[costo_plan_total],0)-tblOrdenes[[#This Row],[costo_servicio]]))</f>
        <v/>
      </c>
      <c r="AM144" s="18">
        <f>IF(tblOrdenes[[#This Row],[orden]]="","",tblOrdenes[[#This Row],[costo_servicio]]+tblOrdenes[[#This Row],[costo_materiales]])</f>
        <v/>
      </c>
      <c r="AN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4" s="4" t="inlineStr"/>
      <c r="AP144" s="4" t="inlineStr"/>
      <c r="AQ144" s="4" t="inlineStr"/>
      <c r="AR144" s="5">
        <f>IF(tblOrdenes[[#This Row],[link_checklist]]="","",HYPERLINK(p_ruta_base_checklists&amp;tblOrdenes[[#This Row],[link_checklist]],"abrir"))</f>
        <v/>
      </c>
      <c r="AS144" s="4" t="inlineStr"/>
      <c r="AT144" s="5">
        <f>IF(tblOrdenes[[#This Row],[orden]]="","",tblOrdenes[[#This Row],[orden]]&amp;IF(tblOrdenes[[#This Row],[operacion]]="","0010",tblOrdenes[[#This Row],[operacion]]))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22" t="n">
        <v>46080</v>
      </c>
      <c r="K145" s="5" t="n">
        <v>6</v>
      </c>
      <c r="L145" s="18" t="n">
        <v>240</v>
      </c>
      <c r="M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5">
        <f>IF(tblOrdenes[[#This Row],[fecha_inicio]]="","",YEAR(tblOrdenes[[#This Row],[fecha_inicio]]))</f>
        <v/>
      </c>
      <c r="Q145" s="5">
        <f>IF(tblOrdenes[[#This Row],[fecha_inicio]]="","",MONTH(tblOrdenes[[#This Row],[fecha_inicio]]))</f>
        <v/>
      </c>
      <c r="R145" s="5">
        <f>IF(tblOrdenes[[#This Row],[fecha_inicio]]="","",tblOrdenes[[#This Row],[anio]]&amp;"-"&amp;TEXT(tblOrdenes[[#This Row],[mes]],"00"))</f>
        <v/>
      </c>
      <c r="S145" s="5">
        <f>IF(tblOrdenes[[#This Row],[fecha_inicio]]="","",INDEX(lista_dias,WEEKDAY(tblOrdenes[[#This Row],[fecha_inicio]],2)))</f>
        <v/>
      </c>
      <c r="T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5" s="5">
        <f>IF(tblOrdenes[[#This Row],[tipo_ot]]="","",_xlfn.XLOOKUP(tblOrdenes[[#This Row],[tipo_ot]],tblTiposOT[codigo],tblTiposOT[clasificacion],"sin_clasificar"))</f>
        <v/>
      </c>
      <c r="V1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5" s="5">
        <f>IF(tblOrdenes[[#This Row],[centro_costo]]="","",_xlfn.XLOOKUP(tblOrdenes[[#This Row],[centro_costo]],tblCECO[codigo],tblCECO[linea],"(sin catálogo)"))</f>
        <v/>
      </c>
      <c r="X145" s="5">
        <f>IF(tblOrdenes[[#This Row],[centro_costo]]="","",_xlfn.XLOOKUP(tblOrdenes[[#This Row],[centro_costo]],tblCECO[codigo],tblCECO[area],"(sin catálogo)"))</f>
        <v/>
      </c>
      <c r="Y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5" s="5">
        <f>IF(tblOrdenes[[#This Row],[centro_costo]]="","",_xlfn.XLOOKUP(tblOrdenes[[#This Row],[centro_costo]],tblCECO[codigo],tblCECO[coordinador],"(sin catálogo)"))</f>
        <v/>
      </c>
      <c r="AA145" s="5">
        <f>IF(tblOrdenes[[#This Row],[puesto_trabajo]]="","",_xlfn.XLOOKUP(tblOrdenes[[#This Row],[puesto_trabajo]],tblPuestos[codigo],tblPuestos[especialidad],"(sin catálogo)"))</f>
        <v/>
      </c>
      <c r="AB145" s="5">
        <f>IF(tblOrdenes[[#This Row],[cod_actividad]]="","",_xlfn.XLOOKUP(tblOrdenes[[#This Row],[cod_actividad]],tblActividades[codigo],tblActividades[descripcion],"(sin catálogo)"))</f>
        <v/>
      </c>
      <c r="AC145" s="20">
        <f>IF(tblOrdenes[[#This Row],[fecha_inicio]]="","",TODAY()-tblOrdenes[[#This Row],[fecha_inicio]])</f>
        <v/>
      </c>
      <c r="AD1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5" s="5">
        <f>IF(tblOrdenes[[#This Row],[backlog_habiles]]="","",IF(tblOrdenes[[#This Row],[backlog_habiles]]&lt;0,"FUTURO",IF(tblOrdenes[[#This Row],[backlog_habiles]]&gt;p_dias_backlog_max,"BACKLOG","MES CORRIENTE")))</f>
        <v/>
      </c>
      <c r="AF145" s="5">
        <f>IF(tblOrdenes[[#This Row],[backlog_habiles]]="",FALSE,AND(tblOrdenes[[#This Row],[backlog_habiles]]&gt;p_dias_backlog_min,tblOrdenes[[#This Row],[backlog_habiles]]&lt;=p_dias_backlog_max))</f>
        <v/>
      </c>
      <c r="AG145" s="4" t="inlineStr"/>
      <c r="AH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5" s="18">
        <f>IF(tblOrdenes[[#This Row],[orden]]="","",_xlfn.XLOOKUP(tblOrdenes[[#This Row],[id_operacion]],tblEjecucion[id_operacion],tblEjecucion[precio],0))</f>
        <v/>
      </c>
      <c r="AL145" s="18">
        <f>IF(tblOrdenes[[#This Row],[orden]]="","",MAX(0,_xlfn.XLOOKUP(tblOrdenes[[#This Row],[id_operacion]],tblEjecucion[id_operacion],tblEjecucion[costo_plan_total],0)-tblOrdenes[[#This Row],[costo_servicio]]))</f>
        <v/>
      </c>
      <c r="AM145" s="18">
        <f>IF(tblOrdenes[[#This Row],[orden]]="","",tblOrdenes[[#This Row],[costo_servicio]]+tblOrdenes[[#This Row],[costo_materiales]])</f>
        <v/>
      </c>
      <c r="AN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5" s="4" t="inlineStr"/>
      <c r="AP145" s="4" t="inlineStr"/>
      <c r="AQ145" s="4" t="inlineStr"/>
      <c r="AR145" s="5">
        <f>IF(tblOrdenes[[#This Row],[link_checklist]]="","",HYPERLINK(p_ruta_base_checklists&amp;tblOrdenes[[#This Row],[link_checklist]],"abrir"))</f>
        <v/>
      </c>
      <c r="AS145" s="4" t="inlineStr"/>
      <c r="AT145" s="5">
        <f>IF(tblOrdenes[[#This Row],[orden]]="","",tblOrdenes[[#This Row],[orden]]&amp;IF(tblOrdenes[[#This Row],[operacion]]="","0010",tblOrdenes[[#This Row],[operacion]]))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22" t="n">
        <v>46080</v>
      </c>
      <c r="K146" s="5" t="n">
        <v>8</v>
      </c>
      <c r="L146" s="18" t="n">
        <v>320</v>
      </c>
      <c r="M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5">
        <f>IF(tblOrdenes[[#This Row],[fecha_inicio]]="","",YEAR(tblOrdenes[[#This Row],[fecha_inicio]]))</f>
        <v/>
      </c>
      <c r="Q146" s="5">
        <f>IF(tblOrdenes[[#This Row],[fecha_inicio]]="","",MONTH(tblOrdenes[[#This Row],[fecha_inicio]]))</f>
        <v/>
      </c>
      <c r="R146" s="5">
        <f>IF(tblOrdenes[[#This Row],[fecha_inicio]]="","",tblOrdenes[[#This Row],[anio]]&amp;"-"&amp;TEXT(tblOrdenes[[#This Row],[mes]],"00"))</f>
        <v/>
      </c>
      <c r="S146" s="5">
        <f>IF(tblOrdenes[[#This Row],[fecha_inicio]]="","",INDEX(lista_dias,WEEKDAY(tblOrdenes[[#This Row],[fecha_inicio]],2)))</f>
        <v/>
      </c>
      <c r="T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6" s="5">
        <f>IF(tblOrdenes[[#This Row],[tipo_ot]]="","",_xlfn.XLOOKUP(tblOrdenes[[#This Row],[tipo_ot]],tblTiposOT[codigo],tblTiposOT[clasificacion],"sin_clasificar"))</f>
        <v/>
      </c>
      <c r="V1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6" s="5">
        <f>IF(tblOrdenes[[#This Row],[centro_costo]]="","",_xlfn.XLOOKUP(tblOrdenes[[#This Row],[centro_costo]],tblCECO[codigo],tblCECO[linea],"(sin catálogo)"))</f>
        <v/>
      </c>
      <c r="X146" s="5">
        <f>IF(tblOrdenes[[#This Row],[centro_costo]]="","",_xlfn.XLOOKUP(tblOrdenes[[#This Row],[centro_costo]],tblCECO[codigo],tblCECO[area],"(sin catálogo)"))</f>
        <v/>
      </c>
      <c r="Y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6" s="5">
        <f>IF(tblOrdenes[[#This Row],[centro_costo]]="","",_xlfn.XLOOKUP(tblOrdenes[[#This Row],[centro_costo]],tblCECO[codigo],tblCECO[coordinador],"(sin catálogo)"))</f>
        <v/>
      </c>
      <c r="AA146" s="5">
        <f>IF(tblOrdenes[[#This Row],[puesto_trabajo]]="","",_xlfn.XLOOKUP(tblOrdenes[[#This Row],[puesto_trabajo]],tblPuestos[codigo],tblPuestos[especialidad],"(sin catálogo)"))</f>
        <v/>
      </c>
      <c r="AB146" s="5">
        <f>IF(tblOrdenes[[#This Row],[cod_actividad]]="","",_xlfn.XLOOKUP(tblOrdenes[[#This Row],[cod_actividad]],tblActividades[codigo],tblActividades[descripcion],"(sin catálogo)"))</f>
        <v/>
      </c>
      <c r="AC146" s="20">
        <f>IF(tblOrdenes[[#This Row],[fecha_inicio]]="","",TODAY()-tblOrdenes[[#This Row],[fecha_inicio]])</f>
        <v/>
      </c>
      <c r="AD1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6" s="5">
        <f>IF(tblOrdenes[[#This Row],[backlog_habiles]]="","",IF(tblOrdenes[[#This Row],[backlog_habiles]]&lt;0,"FUTURO",IF(tblOrdenes[[#This Row],[backlog_habiles]]&gt;p_dias_backlog_max,"BACKLOG","MES CORRIENTE")))</f>
        <v/>
      </c>
      <c r="AF146" s="5">
        <f>IF(tblOrdenes[[#This Row],[backlog_habiles]]="",FALSE,AND(tblOrdenes[[#This Row],[backlog_habiles]]&gt;p_dias_backlog_min,tblOrdenes[[#This Row],[backlog_habiles]]&lt;=p_dias_backlog_max))</f>
        <v/>
      </c>
      <c r="AG146" s="4" t="inlineStr"/>
      <c r="AH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6" s="18">
        <f>IF(tblOrdenes[[#This Row],[orden]]="","",_xlfn.XLOOKUP(tblOrdenes[[#This Row],[id_operacion]],tblEjecucion[id_operacion],tblEjecucion[precio],0))</f>
        <v/>
      </c>
      <c r="AL146" s="18">
        <f>IF(tblOrdenes[[#This Row],[orden]]="","",MAX(0,_xlfn.XLOOKUP(tblOrdenes[[#This Row],[id_operacion]],tblEjecucion[id_operacion],tblEjecucion[costo_plan_total],0)-tblOrdenes[[#This Row],[costo_servicio]]))</f>
        <v/>
      </c>
      <c r="AM146" s="18">
        <f>IF(tblOrdenes[[#This Row],[orden]]="","",tblOrdenes[[#This Row],[costo_servicio]]+tblOrdenes[[#This Row],[costo_materiales]])</f>
        <v/>
      </c>
      <c r="AN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6" s="4" t="inlineStr"/>
      <c r="AP146" s="4" t="inlineStr"/>
      <c r="AQ146" s="4" t="inlineStr"/>
      <c r="AR146" s="5">
        <f>IF(tblOrdenes[[#This Row],[link_checklist]]="","",HYPERLINK(p_ruta_base_checklists&amp;tblOrdenes[[#This Row],[link_checklist]],"abrir"))</f>
        <v/>
      </c>
      <c r="AS146" s="4" t="inlineStr"/>
      <c r="AT146" s="5">
        <f>IF(tblOrdenes[[#This Row],[orden]]="","",tblOrdenes[[#This Row],[orden]]&amp;IF(tblOrdenes[[#This Row],[operacion]]="","0010",tblOrdenes[[#This Row],[operacion]]))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22" t="n">
        <v>46080</v>
      </c>
      <c r="K147" s="5" t="n">
        <v>4</v>
      </c>
      <c r="L147" s="18" t="n">
        <v>100</v>
      </c>
      <c r="M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5">
        <f>IF(tblOrdenes[[#This Row],[fecha_inicio]]="","",YEAR(tblOrdenes[[#This Row],[fecha_inicio]]))</f>
        <v/>
      </c>
      <c r="Q147" s="5">
        <f>IF(tblOrdenes[[#This Row],[fecha_inicio]]="","",MONTH(tblOrdenes[[#This Row],[fecha_inicio]]))</f>
        <v/>
      </c>
      <c r="R147" s="5">
        <f>IF(tblOrdenes[[#This Row],[fecha_inicio]]="","",tblOrdenes[[#This Row],[anio]]&amp;"-"&amp;TEXT(tblOrdenes[[#This Row],[mes]],"00"))</f>
        <v/>
      </c>
      <c r="S147" s="5">
        <f>IF(tblOrdenes[[#This Row],[fecha_inicio]]="","",INDEX(lista_dias,WEEKDAY(tblOrdenes[[#This Row],[fecha_inicio]],2)))</f>
        <v/>
      </c>
      <c r="T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7" s="5">
        <f>IF(tblOrdenes[[#This Row],[tipo_ot]]="","",_xlfn.XLOOKUP(tblOrdenes[[#This Row],[tipo_ot]],tblTiposOT[codigo],tblTiposOT[clasificacion],"sin_clasificar"))</f>
        <v/>
      </c>
      <c r="V1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7" s="5">
        <f>IF(tblOrdenes[[#This Row],[centro_costo]]="","",_xlfn.XLOOKUP(tblOrdenes[[#This Row],[centro_costo]],tblCECO[codigo],tblCECO[linea],"(sin catálogo)"))</f>
        <v/>
      </c>
      <c r="X147" s="5">
        <f>IF(tblOrdenes[[#This Row],[centro_costo]]="","",_xlfn.XLOOKUP(tblOrdenes[[#This Row],[centro_costo]],tblCECO[codigo],tblCECO[area],"(sin catálogo)"))</f>
        <v/>
      </c>
      <c r="Y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7" s="5">
        <f>IF(tblOrdenes[[#This Row],[centro_costo]]="","",_xlfn.XLOOKUP(tblOrdenes[[#This Row],[centro_costo]],tblCECO[codigo],tblCECO[coordinador],"(sin catálogo)"))</f>
        <v/>
      </c>
      <c r="AA147" s="5">
        <f>IF(tblOrdenes[[#This Row],[puesto_trabajo]]="","",_xlfn.XLOOKUP(tblOrdenes[[#This Row],[puesto_trabajo]],tblPuestos[codigo],tblPuestos[especialidad],"(sin catálogo)"))</f>
        <v/>
      </c>
      <c r="AB147" s="5">
        <f>IF(tblOrdenes[[#This Row],[cod_actividad]]="","",_xlfn.XLOOKUP(tblOrdenes[[#This Row],[cod_actividad]],tblActividades[codigo],tblActividades[descripcion],"(sin catálogo)"))</f>
        <v/>
      </c>
      <c r="AC147" s="20">
        <f>IF(tblOrdenes[[#This Row],[fecha_inicio]]="","",TODAY()-tblOrdenes[[#This Row],[fecha_inicio]])</f>
        <v/>
      </c>
      <c r="AD1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7" s="5">
        <f>IF(tblOrdenes[[#This Row],[backlog_habiles]]="","",IF(tblOrdenes[[#This Row],[backlog_habiles]]&lt;0,"FUTURO",IF(tblOrdenes[[#This Row],[backlog_habiles]]&gt;p_dias_backlog_max,"BACKLOG","MES CORRIENTE")))</f>
        <v/>
      </c>
      <c r="AF147" s="5">
        <f>IF(tblOrdenes[[#This Row],[backlog_habiles]]="",FALSE,AND(tblOrdenes[[#This Row],[backlog_habiles]]&gt;p_dias_backlog_min,tblOrdenes[[#This Row],[backlog_habiles]]&lt;=p_dias_backlog_max))</f>
        <v/>
      </c>
      <c r="AG147" s="4" t="inlineStr"/>
      <c r="AH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7" s="18">
        <f>IF(tblOrdenes[[#This Row],[orden]]="","",_xlfn.XLOOKUP(tblOrdenes[[#This Row],[id_operacion]],tblEjecucion[id_operacion],tblEjecucion[precio],0))</f>
        <v/>
      </c>
      <c r="AL147" s="18">
        <f>IF(tblOrdenes[[#This Row],[orden]]="","",MAX(0,_xlfn.XLOOKUP(tblOrdenes[[#This Row],[id_operacion]],tblEjecucion[id_operacion],tblEjecucion[costo_plan_total],0)-tblOrdenes[[#This Row],[costo_servicio]]))</f>
        <v/>
      </c>
      <c r="AM147" s="18">
        <f>IF(tblOrdenes[[#This Row],[orden]]="","",tblOrdenes[[#This Row],[costo_servicio]]+tblOrdenes[[#This Row],[costo_materiales]])</f>
        <v/>
      </c>
      <c r="AN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7" s="4" t="inlineStr"/>
      <c r="AP147" s="4" t="inlineStr"/>
      <c r="AQ147" s="4" t="inlineStr"/>
      <c r="AR147" s="5">
        <f>IF(tblOrdenes[[#This Row],[link_checklist]]="","",HYPERLINK(p_ruta_base_checklists&amp;tblOrdenes[[#This Row],[link_checklist]],"abrir"))</f>
        <v/>
      </c>
      <c r="AS147" s="4" t="inlineStr"/>
      <c r="AT147" s="5">
        <f>IF(tblOrdenes[[#This Row],[orden]]="","",tblOrdenes[[#This Row],[orden]]&amp;IF(tblOrdenes[[#This Row],[operacion]]="","0010",tblOrdenes[[#This Row],[operacion]]))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TIPO-P1</t>
        </is>
      </c>
      <c r="J148" s="22" t="n">
        <v>46190</v>
      </c>
      <c r="K148" s="5" t="n">
        <v>4</v>
      </c>
      <c r="L148" s="18" t="n">
        <v>100</v>
      </c>
      <c r="M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5">
        <f>IF(tblOrdenes[[#This Row],[fecha_inicio]]="","",YEAR(tblOrdenes[[#This Row],[fecha_inicio]]))</f>
        <v/>
      </c>
      <c r="Q148" s="5">
        <f>IF(tblOrdenes[[#This Row],[fecha_inicio]]="","",MONTH(tblOrdenes[[#This Row],[fecha_inicio]]))</f>
        <v/>
      </c>
      <c r="R148" s="5">
        <f>IF(tblOrdenes[[#This Row],[fecha_inicio]]="","",tblOrdenes[[#This Row],[anio]]&amp;"-"&amp;TEXT(tblOrdenes[[#This Row],[mes]],"00"))</f>
        <v/>
      </c>
      <c r="S148" s="5">
        <f>IF(tblOrdenes[[#This Row],[fecha_inicio]]="","",INDEX(lista_dias,WEEKDAY(tblOrdenes[[#This Row],[fecha_inicio]],2)))</f>
        <v/>
      </c>
      <c r="T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8" s="5">
        <f>IF(tblOrdenes[[#This Row],[tipo_ot]]="","",_xlfn.XLOOKUP(tblOrdenes[[#This Row],[tipo_ot]],tblTiposOT[codigo],tblTiposOT[clasificacion],"sin_clasificar"))</f>
        <v/>
      </c>
      <c r="V1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8" s="5">
        <f>IF(tblOrdenes[[#This Row],[centro_costo]]="","",_xlfn.XLOOKUP(tblOrdenes[[#This Row],[centro_costo]],tblCECO[codigo],tblCECO[linea],"(sin catálogo)"))</f>
        <v/>
      </c>
      <c r="X148" s="5">
        <f>IF(tblOrdenes[[#This Row],[centro_costo]]="","",_xlfn.XLOOKUP(tblOrdenes[[#This Row],[centro_costo]],tblCECO[codigo],tblCECO[area],"(sin catálogo)"))</f>
        <v/>
      </c>
      <c r="Y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8" s="5">
        <f>IF(tblOrdenes[[#This Row],[centro_costo]]="","",_xlfn.XLOOKUP(tblOrdenes[[#This Row],[centro_costo]],tblCECO[codigo],tblCECO[coordinador],"(sin catálogo)"))</f>
        <v/>
      </c>
      <c r="AA148" s="5">
        <f>IF(tblOrdenes[[#This Row],[puesto_trabajo]]="","",_xlfn.XLOOKUP(tblOrdenes[[#This Row],[puesto_trabajo]],tblPuestos[codigo],tblPuestos[especialidad],"(sin catálogo)"))</f>
        <v/>
      </c>
      <c r="AB148" s="5">
        <f>IF(tblOrdenes[[#This Row],[cod_actividad]]="","",_xlfn.XLOOKUP(tblOrdenes[[#This Row],[cod_actividad]],tblActividades[codigo],tblActividades[descripcion],"(sin catálogo)"))</f>
        <v/>
      </c>
      <c r="AC148" s="20">
        <f>IF(tblOrdenes[[#This Row],[fecha_inicio]]="","",TODAY()-tblOrdenes[[#This Row],[fecha_inicio]])</f>
        <v/>
      </c>
      <c r="AD1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8" s="5">
        <f>IF(tblOrdenes[[#This Row],[backlog_habiles]]="","",IF(tblOrdenes[[#This Row],[backlog_habiles]]&lt;0,"FUTURO",IF(tblOrdenes[[#This Row],[backlog_habiles]]&gt;p_dias_backlog_max,"BACKLOG","MES CORRIENTE")))</f>
        <v/>
      </c>
      <c r="AF148" s="5">
        <f>IF(tblOrdenes[[#This Row],[backlog_habiles]]="",FALSE,AND(tblOrdenes[[#This Row],[backlog_habiles]]&gt;p_dias_backlog_min,tblOrdenes[[#This Row],[backlog_habiles]]&lt;=p_dias_backlog_max))</f>
        <v/>
      </c>
      <c r="AG148" s="4" t="inlineStr"/>
      <c r="AH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8" s="18">
        <f>IF(tblOrdenes[[#This Row],[orden]]="","",_xlfn.XLOOKUP(tblOrdenes[[#This Row],[id_operacion]],tblEjecucion[id_operacion],tblEjecucion[precio],0))</f>
        <v/>
      </c>
      <c r="AL148" s="18">
        <f>IF(tblOrdenes[[#This Row],[orden]]="","",MAX(0,_xlfn.XLOOKUP(tblOrdenes[[#This Row],[id_operacion]],tblEjecucion[id_operacion],tblEjecucion[costo_plan_total],0)-tblOrdenes[[#This Row],[costo_servicio]]))</f>
        <v/>
      </c>
      <c r="AM148" s="18">
        <f>IF(tblOrdenes[[#This Row],[orden]]="","",tblOrdenes[[#This Row],[costo_servicio]]+tblOrdenes[[#This Row],[costo_materiales]])</f>
        <v/>
      </c>
      <c r="AN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8" s="4" t="inlineStr"/>
      <c r="AP148" s="4" t="inlineStr"/>
      <c r="AQ148" s="4" t="inlineStr"/>
      <c r="AR148" s="5">
        <f>IF(tblOrdenes[[#This Row],[link_checklist]]="","",HYPERLINK(p_ruta_base_checklists&amp;tblOrdenes[[#This Row],[link_checklist]],"abrir"))</f>
        <v/>
      </c>
      <c r="AS148" s="4" t="inlineStr"/>
      <c r="AT148" s="5">
        <f>IF(tblOrdenes[[#This Row],[orden]]="","",tblOrdenes[[#This Row],[orden]]&amp;IF(tblOrdenes[[#This Row],[operacion]]="","0010",tblOrdenes[[#This Row],[operacion]]))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22" t="n">
        <v>46183</v>
      </c>
      <c r="K149" s="5" t="n">
        <v>6</v>
      </c>
      <c r="L149" s="18" t="n">
        <v>240</v>
      </c>
      <c r="M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5">
        <f>IF(tblOrdenes[[#This Row],[fecha_inicio]]="","",YEAR(tblOrdenes[[#This Row],[fecha_inicio]]))</f>
        <v/>
      </c>
      <c r="Q149" s="5">
        <f>IF(tblOrdenes[[#This Row],[fecha_inicio]]="","",MONTH(tblOrdenes[[#This Row],[fecha_inicio]]))</f>
        <v/>
      </c>
      <c r="R149" s="5">
        <f>IF(tblOrdenes[[#This Row],[fecha_inicio]]="","",tblOrdenes[[#This Row],[anio]]&amp;"-"&amp;TEXT(tblOrdenes[[#This Row],[mes]],"00"))</f>
        <v/>
      </c>
      <c r="S149" s="5">
        <f>IF(tblOrdenes[[#This Row],[fecha_inicio]]="","",INDEX(lista_dias,WEEKDAY(tblOrdenes[[#This Row],[fecha_inicio]],2)))</f>
        <v/>
      </c>
      <c r="T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9" s="5">
        <f>IF(tblOrdenes[[#This Row],[tipo_ot]]="","",_xlfn.XLOOKUP(tblOrdenes[[#This Row],[tipo_ot]],tblTiposOT[codigo],tblTiposOT[clasificacion],"sin_clasificar"))</f>
        <v/>
      </c>
      <c r="V1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9" s="5">
        <f>IF(tblOrdenes[[#This Row],[centro_costo]]="","",_xlfn.XLOOKUP(tblOrdenes[[#This Row],[centro_costo]],tblCECO[codigo],tblCECO[linea],"(sin catálogo)"))</f>
        <v/>
      </c>
      <c r="X149" s="5">
        <f>IF(tblOrdenes[[#This Row],[centro_costo]]="","",_xlfn.XLOOKUP(tblOrdenes[[#This Row],[centro_costo]],tblCECO[codigo],tblCECO[area],"(sin catálogo)"))</f>
        <v/>
      </c>
      <c r="Y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49" s="5">
        <f>IF(tblOrdenes[[#This Row],[centro_costo]]="","",_xlfn.XLOOKUP(tblOrdenes[[#This Row],[centro_costo]],tblCECO[codigo],tblCECO[coordinador],"(sin catálogo)"))</f>
        <v/>
      </c>
      <c r="AA149" s="5">
        <f>IF(tblOrdenes[[#This Row],[puesto_trabajo]]="","",_xlfn.XLOOKUP(tblOrdenes[[#This Row],[puesto_trabajo]],tblPuestos[codigo],tblPuestos[especialidad],"(sin catálogo)"))</f>
        <v/>
      </c>
      <c r="AB149" s="5">
        <f>IF(tblOrdenes[[#This Row],[cod_actividad]]="","",_xlfn.XLOOKUP(tblOrdenes[[#This Row],[cod_actividad]],tblActividades[codigo],tblActividades[descripcion],"(sin catálogo)"))</f>
        <v/>
      </c>
      <c r="AC149" s="20">
        <f>IF(tblOrdenes[[#This Row],[fecha_inicio]]="","",TODAY()-tblOrdenes[[#This Row],[fecha_inicio]])</f>
        <v/>
      </c>
      <c r="AD1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49" s="5">
        <f>IF(tblOrdenes[[#This Row],[backlog_habiles]]="","",IF(tblOrdenes[[#This Row],[backlog_habiles]]&lt;0,"FUTURO",IF(tblOrdenes[[#This Row],[backlog_habiles]]&gt;p_dias_backlog_max,"BACKLOG","MES CORRIENTE")))</f>
        <v/>
      </c>
      <c r="AF149" s="5">
        <f>IF(tblOrdenes[[#This Row],[backlog_habiles]]="",FALSE,AND(tblOrdenes[[#This Row],[backlog_habiles]]&gt;p_dias_backlog_min,tblOrdenes[[#This Row],[backlog_habiles]]&lt;=p_dias_backlog_max))</f>
        <v/>
      </c>
      <c r="AG149" s="4" t="inlineStr"/>
      <c r="AH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49" s="18">
        <f>IF(tblOrdenes[[#This Row],[orden]]="","",_xlfn.XLOOKUP(tblOrdenes[[#This Row],[id_operacion]],tblEjecucion[id_operacion],tblEjecucion[precio],0))</f>
        <v/>
      </c>
      <c r="AL149" s="18">
        <f>IF(tblOrdenes[[#This Row],[orden]]="","",MAX(0,_xlfn.XLOOKUP(tblOrdenes[[#This Row],[id_operacion]],tblEjecucion[id_operacion],tblEjecucion[costo_plan_total],0)-tblOrdenes[[#This Row],[costo_servicio]]))</f>
        <v/>
      </c>
      <c r="AM149" s="18">
        <f>IF(tblOrdenes[[#This Row],[orden]]="","",tblOrdenes[[#This Row],[costo_servicio]]+tblOrdenes[[#This Row],[costo_materiales]])</f>
        <v/>
      </c>
      <c r="AN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49" s="4" t="inlineStr"/>
      <c r="AP149" s="4" t="inlineStr"/>
      <c r="AQ149" s="4" t="inlineStr"/>
      <c r="AR149" s="5">
        <f>IF(tblOrdenes[[#This Row],[link_checklist]]="","",HYPERLINK(p_ruta_base_checklists&amp;tblOrdenes[[#This Row],[link_checklist]],"abrir"))</f>
        <v/>
      </c>
      <c r="AS149" s="4" t="inlineStr"/>
      <c r="AT149" s="5">
        <f>IF(tblOrdenes[[#This Row],[orden]]="","",tblOrdenes[[#This Row],[orden]]&amp;IF(tblOrdenes[[#This Row],[operacion]]="","0010",tblOrdenes[[#This Row],[operacion]]))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TIPO-P1</t>
        </is>
      </c>
      <c r="J150" s="22" t="n">
        <v>46176</v>
      </c>
      <c r="K150" s="5" t="n">
        <v>8</v>
      </c>
      <c r="L150" s="18" t="n">
        <v>200</v>
      </c>
      <c r="M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5">
        <f>IF(tblOrdenes[[#This Row],[fecha_inicio]]="","",YEAR(tblOrdenes[[#This Row],[fecha_inicio]]))</f>
        <v/>
      </c>
      <c r="Q150" s="5">
        <f>IF(tblOrdenes[[#This Row],[fecha_inicio]]="","",MONTH(tblOrdenes[[#This Row],[fecha_inicio]]))</f>
        <v/>
      </c>
      <c r="R150" s="5">
        <f>IF(tblOrdenes[[#This Row],[fecha_inicio]]="","",tblOrdenes[[#This Row],[anio]]&amp;"-"&amp;TEXT(tblOrdenes[[#This Row],[mes]],"00"))</f>
        <v/>
      </c>
      <c r="S150" s="5">
        <f>IF(tblOrdenes[[#This Row],[fecha_inicio]]="","",INDEX(lista_dias,WEEKDAY(tblOrdenes[[#This Row],[fecha_inicio]],2)))</f>
        <v/>
      </c>
      <c r="T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0" s="5">
        <f>IF(tblOrdenes[[#This Row],[tipo_ot]]="","",_xlfn.XLOOKUP(tblOrdenes[[#This Row],[tipo_ot]],tblTiposOT[codigo],tblTiposOT[clasificacion],"sin_clasificar"))</f>
        <v/>
      </c>
      <c r="V1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0" s="5">
        <f>IF(tblOrdenes[[#This Row],[centro_costo]]="","",_xlfn.XLOOKUP(tblOrdenes[[#This Row],[centro_costo]],tblCECO[codigo],tblCECO[linea],"(sin catálogo)"))</f>
        <v/>
      </c>
      <c r="X150" s="5">
        <f>IF(tblOrdenes[[#This Row],[centro_costo]]="","",_xlfn.XLOOKUP(tblOrdenes[[#This Row],[centro_costo]],tblCECO[codigo],tblCECO[area],"(sin catálogo)"))</f>
        <v/>
      </c>
      <c r="Y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0" s="5">
        <f>IF(tblOrdenes[[#This Row],[centro_costo]]="","",_xlfn.XLOOKUP(tblOrdenes[[#This Row],[centro_costo]],tblCECO[codigo],tblCECO[coordinador],"(sin catálogo)"))</f>
        <v/>
      </c>
      <c r="AA150" s="5">
        <f>IF(tblOrdenes[[#This Row],[puesto_trabajo]]="","",_xlfn.XLOOKUP(tblOrdenes[[#This Row],[puesto_trabajo]],tblPuestos[codigo],tblPuestos[especialidad],"(sin catálogo)"))</f>
        <v/>
      </c>
      <c r="AB150" s="5">
        <f>IF(tblOrdenes[[#This Row],[cod_actividad]]="","",_xlfn.XLOOKUP(tblOrdenes[[#This Row],[cod_actividad]],tblActividades[codigo],tblActividades[descripcion],"(sin catálogo)"))</f>
        <v/>
      </c>
      <c r="AC150" s="20">
        <f>IF(tblOrdenes[[#This Row],[fecha_inicio]]="","",TODAY()-tblOrdenes[[#This Row],[fecha_inicio]])</f>
        <v/>
      </c>
      <c r="AD1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0" s="5">
        <f>IF(tblOrdenes[[#This Row],[backlog_habiles]]="","",IF(tblOrdenes[[#This Row],[backlog_habiles]]&lt;0,"FUTURO",IF(tblOrdenes[[#This Row],[backlog_habiles]]&gt;p_dias_backlog_max,"BACKLOG","MES CORRIENTE")))</f>
        <v/>
      </c>
      <c r="AF150" s="5">
        <f>IF(tblOrdenes[[#This Row],[backlog_habiles]]="",FALSE,AND(tblOrdenes[[#This Row],[backlog_habiles]]&gt;p_dias_backlog_min,tblOrdenes[[#This Row],[backlog_habiles]]&lt;=p_dias_backlog_max))</f>
        <v/>
      </c>
      <c r="AG150" s="4" t="inlineStr"/>
      <c r="AH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0" s="18">
        <f>IF(tblOrdenes[[#This Row],[orden]]="","",_xlfn.XLOOKUP(tblOrdenes[[#This Row],[id_operacion]],tblEjecucion[id_operacion],tblEjecucion[precio],0))</f>
        <v/>
      </c>
      <c r="AL150" s="18">
        <f>IF(tblOrdenes[[#This Row],[orden]]="","",MAX(0,_xlfn.XLOOKUP(tblOrdenes[[#This Row],[id_operacion]],tblEjecucion[id_operacion],tblEjecucion[costo_plan_total],0)-tblOrdenes[[#This Row],[costo_servicio]]))</f>
        <v/>
      </c>
      <c r="AM150" s="18">
        <f>IF(tblOrdenes[[#This Row],[orden]]="","",tblOrdenes[[#This Row],[costo_servicio]]+tblOrdenes[[#This Row],[costo_materiales]])</f>
        <v/>
      </c>
      <c r="AN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0" s="4" t="inlineStr"/>
      <c r="AP150" s="4" t="inlineStr"/>
      <c r="AQ150" s="4" t="inlineStr"/>
      <c r="AR150" s="5">
        <f>IF(tblOrdenes[[#This Row],[link_checklist]]="","",HYPERLINK(p_ruta_base_checklists&amp;tblOrdenes[[#This Row],[link_checklist]],"abrir"))</f>
        <v/>
      </c>
      <c r="AS150" s="4" t="inlineStr"/>
      <c r="AT150" s="5">
        <f>IF(tblOrdenes[[#This Row],[orden]]="","",tblOrdenes[[#This Row],[orden]]&amp;IF(tblOrdenes[[#This Row],[operacion]]="","0010",tblOrdenes[[#This Row],[operacion]]))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22" t="n">
        <v>46169</v>
      </c>
      <c r="K151" s="5" t="n">
        <v>4</v>
      </c>
      <c r="L151" s="18" t="n">
        <v>160</v>
      </c>
      <c r="M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5">
        <f>IF(tblOrdenes[[#This Row],[fecha_inicio]]="","",YEAR(tblOrdenes[[#This Row],[fecha_inicio]]))</f>
        <v/>
      </c>
      <c r="Q151" s="5">
        <f>IF(tblOrdenes[[#This Row],[fecha_inicio]]="","",MONTH(tblOrdenes[[#This Row],[fecha_inicio]]))</f>
        <v/>
      </c>
      <c r="R151" s="5">
        <f>IF(tblOrdenes[[#This Row],[fecha_inicio]]="","",tblOrdenes[[#This Row],[anio]]&amp;"-"&amp;TEXT(tblOrdenes[[#This Row],[mes]],"00"))</f>
        <v/>
      </c>
      <c r="S151" s="5">
        <f>IF(tblOrdenes[[#This Row],[fecha_inicio]]="","",INDEX(lista_dias,WEEKDAY(tblOrdenes[[#This Row],[fecha_inicio]],2)))</f>
        <v/>
      </c>
      <c r="T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1" s="5">
        <f>IF(tblOrdenes[[#This Row],[tipo_ot]]="","",_xlfn.XLOOKUP(tblOrdenes[[#This Row],[tipo_ot]],tblTiposOT[codigo],tblTiposOT[clasificacion],"sin_clasificar"))</f>
        <v/>
      </c>
      <c r="V1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1" s="5">
        <f>IF(tblOrdenes[[#This Row],[centro_costo]]="","",_xlfn.XLOOKUP(tblOrdenes[[#This Row],[centro_costo]],tblCECO[codigo],tblCECO[linea],"(sin catálogo)"))</f>
        <v/>
      </c>
      <c r="X151" s="5">
        <f>IF(tblOrdenes[[#This Row],[centro_costo]]="","",_xlfn.XLOOKUP(tblOrdenes[[#This Row],[centro_costo]],tblCECO[codigo],tblCECO[area],"(sin catálogo)"))</f>
        <v/>
      </c>
      <c r="Y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1" s="5">
        <f>IF(tblOrdenes[[#This Row],[centro_costo]]="","",_xlfn.XLOOKUP(tblOrdenes[[#This Row],[centro_costo]],tblCECO[codigo],tblCECO[coordinador],"(sin catálogo)"))</f>
        <v/>
      </c>
      <c r="AA151" s="5">
        <f>IF(tblOrdenes[[#This Row],[puesto_trabajo]]="","",_xlfn.XLOOKUP(tblOrdenes[[#This Row],[puesto_trabajo]],tblPuestos[codigo],tblPuestos[especialidad],"(sin catálogo)"))</f>
        <v/>
      </c>
      <c r="AB151" s="5">
        <f>IF(tblOrdenes[[#This Row],[cod_actividad]]="","",_xlfn.XLOOKUP(tblOrdenes[[#This Row],[cod_actividad]],tblActividades[codigo],tblActividades[descripcion],"(sin catálogo)"))</f>
        <v/>
      </c>
      <c r="AC151" s="20">
        <f>IF(tblOrdenes[[#This Row],[fecha_inicio]]="","",TODAY()-tblOrdenes[[#This Row],[fecha_inicio]])</f>
        <v/>
      </c>
      <c r="AD1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1" s="5">
        <f>IF(tblOrdenes[[#This Row],[backlog_habiles]]="","",IF(tblOrdenes[[#This Row],[backlog_habiles]]&lt;0,"FUTURO",IF(tblOrdenes[[#This Row],[backlog_habiles]]&gt;p_dias_backlog_max,"BACKLOG","MES CORRIENTE")))</f>
        <v/>
      </c>
      <c r="AF151" s="5">
        <f>IF(tblOrdenes[[#This Row],[backlog_habiles]]="",FALSE,AND(tblOrdenes[[#This Row],[backlog_habiles]]&gt;p_dias_backlog_min,tblOrdenes[[#This Row],[backlog_habiles]]&lt;=p_dias_backlog_max))</f>
        <v/>
      </c>
      <c r="AG151" s="4" t="inlineStr"/>
      <c r="AH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1" s="18">
        <f>IF(tblOrdenes[[#This Row],[orden]]="","",_xlfn.XLOOKUP(tblOrdenes[[#This Row],[id_operacion]],tblEjecucion[id_operacion],tblEjecucion[precio],0))</f>
        <v/>
      </c>
      <c r="AL151" s="18">
        <f>IF(tblOrdenes[[#This Row],[orden]]="","",MAX(0,_xlfn.XLOOKUP(tblOrdenes[[#This Row],[id_operacion]],tblEjecucion[id_operacion],tblEjecucion[costo_plan_total],0)-tblOrdenes[[#This Row],[costo_servicio]]))</f>
        <v/>
      </c>
      <c r="AM151" s="18">
        <f>IF(tblOrdenes[[#This Row],[orden]]="","",tblOrdenes[[#This Row],[costo_servicio]]+tblOrdenes[[#This Row],[costo_materiales]])</f>
        <v/>
      </c>
      <c r="AN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1" s="4" t="inlineStr"/>
      <c r="AP151" s="4" t="inlineStr"/>
      <c r="AQ151" s="4" t="inlineStr"/>
      <c r="AR151" s="5">
        <f>IF(tblOrdenes[[#This Row],[link_checklist]]="","",HYPERLINK(p_ruta_base_checklists&amp;tblOrdenes[[#This Row],[link_checklist]],"abrir"))</f>
        <v/>
      </c>
      <c r="AS151" s="4" t="inlineStr"/>
      <c r="AT151" s="5">
        <f>IF(tblOrdenes[[#This Row],[orden]]="","",tblOrdenes[[#This Row],[orden]]&amp;IF(tblOrdenes[[#This Row],[operacion]]="","0010",tblOrdenes[[#This Row],[operacion]]))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22" t="n">
        <v>46162</v>
      </c>
      <c r="K152" s="5" t="n">
        <v>6</v>
      </c>
      <c r="L152" s="18" t="n">
        <v>150</v>
      </c>
      <c r="M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5">
        <f>IF(tblOrdenes[[#This Row],[fecha_inicio]]="","",YEAR(tblOrdenes[[#This Row],[fecha_inicio]]))</f>
        <v/>
      </c>
      <c r="Q152" s="5">
        <f>IF(tblOrdenes[[#This Row],[fecha_inicio]]="","",MONTH(tblOrdenes[[#This Row],[fecha_inicio]]))</f>
        <v/>
      </c>
      <c r="R152" s="5">
        <f>IF(tblOrdenes[[#This Row],[fecha_inicio]]="","",tblOrdenes[[#This Row],[anio]]&amp;"-"&amp;TEXT(tblOrdenes[[#This Row],[mes]],"00"))</f>
        <v/>
      </c>
      <c r="S152" s="5">
        <f>IF(tblOrdenes[[#This Row],[fecha_inicio]]="","",INDEX(lista_dias,WEEKDAY(tblOrdenes[[#This Row],[fecha_inicio]],2)))</f>
        <v/>
      </c>
      <c r="T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2" s="5">
        <f>IF(tblOrdenes[[#This Row],[tipo_ot]]="","",_xlfn.XLOOKUP(tblOrdenes[[#This Row],[tipo_ot]],tblTiposOT[codigo],tblTiposOT[clasificacion],"sin_clasificar"))</f>
        <v/>
      </c>
      <c r="V1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2" s="5">
        <f>IF(tblOrdenes[[#This Row],[centro_costo]]="","",_xlfn.XLOOKUP(tblOrdenes[[#This Row],[centro_costo]],tblCECO[codigo],tblCECO[linea],"(sin catálogo)"))</f>
        <v/>
      </c>
      <c r="X152" s="5">
        <f>IF(tblOrdenes[[#This Row],[centro_costo]]="","",_xlfn.XLOOKUP(tblOrdenes[[#This Row],[centro_costo]],tblCECO[codigo],tblCECO[area],"(sin catálogo)"))</f>
        <v/>
      </c>
      <c r="Y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2" s="5">
        <f>IF(tblOrdenes[[#This Row],[centro_costo]]="","",_xlfn.XLOOKUP(tblOrdenes[[#This Row],[centro_costo]],tblCECO[codigo],tblCECO[coordinador],"(sin catálogo)"))</f>
        <v/>
      </c>
      <c r="AA152" s="5">
        <f>IF(tblOrdenes[[#This Row],[puesto_trabajo]]="","",_xlfn.XLOOKUP(tblOrdenes[[#This Row],[puesto_trabajo]],tblPuestos[codigo],tblPuestos[especialidad],"(sin catálogo)"))</f>
        <v/>
      </c>
      <c r="AB152" s="5">
        <f>IF(tblOrdenes[[#This Row],[cod_actividad]]="","",_xlfn.XLOOKUP(tblOrdenes[[#This Row],[cod_actividad]],tblActividades[codigo],tblActividades[descripcion],"(sin catálogo)"))</f>
        <v/>
      </c>
      <c r="AC152" s="20">
        <f>IF(tblOrdenes[[#This Row],[fecha_inicio]]="","",TODAY()-tblOrdenes[[#This Row],[fecha_inicio]])</f>
        <v/>
      </c>
      <c r="AD1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2" s="5">
        <f>IF(tblOrdenes[[#This Row],[backlog_habiles]]="","",IF(tblOrdenes[[#This Row],[backlog_habiles]]&lt;0,"FUTURO",IF(tblOrdenes[[#This Row],[backlog_habiles]]&gt;p_dias_backlog_max,"BACKLOG","MES CORRIENTE")))</f>
        <v/>
      </c>
      <c r="AF152" s="5">
        <f>IF(tblOrdenes[[#This Row],[backlog_habiles]]="",FALSE,AND(tblOrdenes[[#This Row],[backlog_habiles]]&gt;p_dias_backlog_min,tblOrdenes[[#This Row],[backlog_habiles]]&lt;=p_dias_backlog_max))</f>
        <v/>
      </c>
      <c r="AG152" s="4" t="inlineStr"/>
      <c r="AH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2" s="18">
        <f>IF(tblOrdenes[[#This Row],[orden]]="","",_xlfn.XLOOKUP(tblOrdenes[[#This Row],[id_operacion]],tblEjecucion[id_operacion],tblEjecucion[precio],0))</f>
        <v/>
      </c>
      <c r="AL152" s="18">
        <f>IF(tblOrdenes[[#This Row],[orden]]="","",MAX(0,_xlfn.XLOOKUP(tblOrdenes[[#This Row],[id_operacion]],tblEjecucion[id_operacion],tblEjecucion[costo_plan_total],0)-tblOrdenes[[#This Row],[costo_servicio]]))</f>
        <v/>
      </c>
      <c r="AM152" s="18">
        <f>IF(tblOrdenes[[#This Row],[orden]]="","",tblOrdenes[[#This Row],[costo_servicio]]+tblOrdenes[[#This Row],[costo_materiales]])</f>
        <v/>
      </c>
      <c r="AN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2" s="4" t="inlineStr"/>
      <c r="AP152" s="4" t="inlineStr"/>
      <c r="AQ152" s="4" t="inlineStr"/>
      <c r="AR152" s="5">
        <f>IF(tblOrdenes[[#This Row],[link_checklist]]="","",HYPERLINK(p_ruta_base_checklists&amp;tblOrdenes[[#This Row],[link_checklist]],"abrir"))</f>
        <v/>
      </c>
      <c r="AS152" s="4" t="inlineStr"/>
      <c r="AT152" s="5">
        <f>IF(tblOrdenes[[#This Row],[orden]]="","",tblOrdenes[[#This Row],[orden]]&amp;IF(tblOrdenes[[#This Row],[operacion]]="","0010",tblOrdenes[[#This Row],[operacion]]))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22" t="n">
        <v>46155</v>
      </c>
      <c r="K153" s="5" t="n">
        <v>8</v>
      </c>
      <c r="L153" s="18" t="n">
        <v>320</v>
      </c>
      <c r="M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5">
        <f>IF(tblOrdenes[[#This Row],[fecha_inicio]]="","",YEAR(tblOrdenes[[#This Row],[fecha_inicio]]))</f>
        <v/>
      </c>
      <c r="Q153" s="5">
        <f>IF(tblOrdenes[[#This Row],[fecha_inicio]]="","",MONTH(tblOrdenes[[#This Row],[fecha_inicio]]))</f>
        <v/>
      </c>
      <c r="R153" s="5">
        <f>IF(tblOrdenes[[#This Row],[fecha_inicio]]="","",tblOrdenes[[#This Row],[anio]]&amp;"-"&amp;TEXT(tblOrdenes[[#This Row],[mes]],"00"))</f>
        <v/>
      </c>
      <c r="S153" s="5">
        <f>IF(tblOrdenes[[#This Row],[fecha_inicio]]="","",INDEX(lista_dias,WEEKDAY(tblOrdenes[[#This Row],[fecha_inicio]],2)))</f>
        <v/>
      </c>
      <c r="T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3" s="5">
        <f>IF(tblOrdenes[[#This Row],[tipo_ot]]="","",_xlfn.XLOOKUP(tblOrdenes[[#This Row],[tipo_ot]],tblTiposOT[codigo],tblTiposOT[clasificacion],"sin_clasificar"))</f>
        <v/>
      </c>
      <c r="V1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3" s="5">
        <f>IF(tblOrdenes[[#This Row],[centro_costo]]="","",_xlfn.XLOOKUP(tblOrdenes[[#This Row],[centro_costo]],tblCECO[codigo],tblCECO[linea],"(sin catálogo)"))</f>
        <v/>
      </c>
      <c r="X153" s="5">
        <f>IF(tblOrdenes[[#This Row],[centro_costo]]="","",_xlfn.XLOOKUP(tblOrdenes[[#This Row],[centro_costo]],tblCECO[codigo],tblCECO[area],"(sin catálogo)"))</f>
        <v/>
      </c>
      <c r="Y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3" s="5">
        <f>IF(tblOrdenes[[#This Row],[centro_costo]]="","",_xlfn.XLOOKUP(tblOrdenes[[#This Row],[centro_costo]],tblCECO[codigo],tblCECO[coordinador],"(sin catálogo)"))</f>
        <v/>
      </c>
      <c r="AA153" s="5">
        <f>IF(tblOrdenes[[#This Row],[puesto_trabajo]]="","",_xlfn.XLOOKUP(tblOrdenes[[#This Row],[puesto_trabajo]],tblPuestos[codigo],tblPuestos[especialidad],"(sin catálogo)"))</f>
        <v/>
      </c>
      <c r="AB153" s="5">
        <f>IF(tblOrdenes[[#This Row],[cod_actividad]]="","",_xlfn.XLOOKUP(tblOrdenes[[#This Row],[cod_actividad]],tblActividades[codigo],tblActividades[descripcion],"(sin catálogo)"))</f>
        <v/>
      </c>
      <c r="AC153" s="20">
        <f>IF(tblOrdenes[[#This Row],[fecha_inicio]]="","",TODAY()-tblOrdenes[[#This Row],[fecha_inicio]])</f>
        <v/>
      </c>
      <c r="AD1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3" s="5">
        <f>IF(tblOrdenes[[#This Row],[backlog_habiles]]="","",IF(tblOrdenes[[#This Row],[backlog_habiles]]&lt;0,"FUTURO",IF(tblOrdenes[[#This Row],[backlog_habiles]]&gt;p_dias_backlog_max,"BACKLOG","MES CORRIENTE")))</f>
        <v/>
      </c>
      <c r="AF153" s="5">
        <f>IF(tblOrdenes[[#This Row],[backlog_habiles]]="",FALSE,AND(tblOrdenes[[#This Row],[backlog_habiles]]&gt;p_dias_backlog_min,tblOrdenes[[#This Row],[backlog_habiles]]&lt;=p_dias_backlog_max))</f>
        <v/>
      </c>
      <c r="AG153" s="4" t="inlineStr"/>
      <c r="AH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3" s="18">
        <f>IF(tblOrdenes[[#This Row],[orden]]="","",_xlfn.XLOOKUP(tblOrdenes[[#This Row],[id_operacion]],tblEjecucion[id_operacion],tblEjecucion[precio],0))</f>
        <v/>
      </c>
      <c r="AL153" s="18">
        <f>IF(tblOrdenes[[#This Row],[orden]]="","",MAX(0,_xlfn.XLOOKUP(tblOrdenes[[#This Row],[id_operacion]],tblEjecucion[id_operacion],tblEjecucion[costo_plan_total],0)-tblOrdenes[[#This Row],[costo_servicio]]))</f>
        <v/>
      </c>
      <c r="AM153" s="18">
        <f>IF(tblOrdenes[[#This Row],[orden]]="","",tblOrdenes[[#This Row],[costo_servicio]]+tblOrdenes[[#This Row],[costo_materiales]])</f>
        <v/>
      </c>
      <c r="AN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3" s="4" t="inlineStr"/>
      <c r="AP153" s="4" t="inlineStr"/>
      <c r="AQ153" s="4" t="inlineStr"/>
      <c r="AR153" s="5">
        <f>IF(tblOrdenes[[#This Row],[link_checklist]]="","",HYPERLINK(p_ruta_base_checklists&amp;tblOrdenes[[#This Row],[link_checklist]],"abrir"))</f>
        <v/>
      </c>
      <c r="AS153" s="4" t="inlineStr"/>
      <c r="AT153" s="5">
        <f>IF(tblOrdenes[[#This Row],[orden]]="","",tblOrdenes[[#This Row],[orden]]&amp;IF(tblOrdenes[[#This Row],[operacion]]="","0010",tblOrdenes[[#This Row],[operacion]]))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TIPO-P1</t>
        </is>
      </c>
      <c r="J154" s="22" t="n">
        <v>46148</v>
      </c>
      <c r="K154" s="5" t="n">
        <v>4</v>
      </c>
      <c r="L154" s="18" t="n">
        <v>100</v>
      </c>
      <c r="M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5">
        <f>IF(tblOrdenes[[#This Row],[fecha_inicio]]="","",YEAR(tblOrdenes[[#This Row],[fecha_inicio]]))</f>
        <v/>
      </c>
      <c r="Q154" s="5">
        <f>IF(tblOrdenes[[#This Row],[fecha_inicio]]="","",MONTH(tblOrdenes[[#This Row],[fecha_inicio]]))</f>
        <v/>
      </c>
      <c r="R154" s="5">
        <f>IF(tblOrdenes[[#This Row],[fecha_inicio]]="","",tblOrdenes[[#This Row],[anio]]&amp;"-"&amp;TEXT(tblOrdenes[[#This Row],[mes]],"00"))</f>
        <v/>
      </c>
      <c r="S154" s="5">
        <f>IF(tblOrdenes[[#This Row],[fecha_inicio]]="","",INDEX(lista_dias,WEEKDAY(tblOrdenes[[#This Row],[fecha_inicio]],2)))</f>
        <v/>
      </c>
      <c r="T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4" s="5">
        <f>IF(tblOrdenes[[#This Row],[tipo_ot]]="","",_xlfn.XLOOKUP(tblOrdenes[[#This Row],[tipo_ot]],tblTiposOT[codigo],tblTiposOT[clasificacion],"sin_clasificar"))</f>
        <v/>
      </c>
      <c r="V1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4" s="5">
        <f>IF(tblOrdenes[[#This Row],[centro_costo]]="","",_xlfn.XLOOKUP(tblOrdenes[[#This Row],[centro_costo]],tblCECO[codigo],tblCECO[linea],"(sin catálogo)"))</f>
        <v/>
      </c>
      <c r="X154" s="5">
        <f>IF(tblOrdenes[[#This Row],[centro_costo]]="","",_xlfn.XLOOKUP(tblOrdenes[[#This Row],[centro_costo]],tblCECO[codigo],tblCECO[area],"(sin catálogo)"))</f>
        <v/>
      </c>
      <c r="Y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4" s="5">
        <f>IF(tblOrdenes[[#This Row],[centro_costo]]="","",_xlfn.XLOOKUP(tblOrdenes[[#This Row],[centro_costo]],tblCECO[codigo],tblCECO[coordinador],"(sin catálogo)"))</f>
        <v/>
      </c>
      <c r="AA154" s="5">
        <f>IF(tblOrdenes[[#This Row],[puesto_trabajo]]="","",_xlfn.XLOOKUP(tblOrdenes[[#This Row],[puesto_trabajo]],tblPuestos[codigo],tblPuestos[especialidad],"(sin catálogo)"))</f>
        <v/>
      </c>
      <c r="AB154" s="5">
        <f>IF(tblOrdenes[[#This Row],[cod_actividad]]="","",_xlfn.XLOOKUP(tblOrdenes[[#This Row],[cod_actividad]],tblActividades[codigo],tblActividades[descripcion],"(sin catálogo)"))</f>
        <v/>
      </c>
      <c r="AC154" s="20">
        <f>IF(tblOrdenes[[#This Row],[fecha_inicio]]="","",TODAY()-tblOrdenes[[#This Row],[fecha_inicio]])</f>
        <v/>
      </c>
      <c r="AD1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4" s="5">
        <f>IF(tblOrdenes[[#This Row],[backlog_habiles]]="","",IF(tblOrdenes[[#This Row],[backlog_habiles]]&lt;0,"FUTURO",IF(tblOrdenes[[#This Row],[backlog_habiles]]&gt;p_dias_backlog_max,"BACKLOG","MES CORRIENTE")))</f>
        <v/>
      </c>
      <c r="AF154" s="5">
        <f>IF(tblOrdenes[[#This Row],[backlog_habiles]]="",FALSE,AND(tblOrdenes[[#This Row],[backlog_habiles]]&gt;p_dias_backlog_min,tblOrdenes[[#This Row],[backlog_habiles]]&lt;=p_dias_backlog_max))</f>
        <v/>
      </c>
      <c r="AG154" s="4" t="inlineStr"/>
      <c r="AH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4" s="18">
        <f>IF(tblOrdenes[[#This Row],[orden]]="","",_xlfn.XLOOKUP(tblOrdenes[[#This Row],[id_operacion]],tblEjecucion[id_operacion],tblEjecucion[precio],0))</f>
        <v/>
      </c>
      <c r="AL154" s="18">
        <f>IF(tblOrdenes[[#This Row],[orden]]="","",MAX(0,_xlfn.XLOOKUP(tblOrdenes[[#This Row],[id_operacion]],tblEjecucion[id_operacion],tblEjecucion[costo_plan_total],0)-tblOrdenes[[#This Row],[costo_servicio]]))</f>
        <v/>
      </c>
      <c r="AM154" s="18">
        <f>IF(tblOrdenes[[#This Row],[orden]]="","",tblOrdenes[[#This Row],[costo_servicio]]+tblOrdenes[[#This Row],[costo_materiales]])</f>
        <v/>
      </c>
      <c r="AN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4" s="4" t="inlineStr"/>
      <c r="AP154" s="4" t="inlineStr"/>
      <c r="AQ154" s="4" t="inlineStr"/>
      <c r="AR154" s="5">
        <f>IF(tblOrdenes[[#This Row],[link_checklist]]="","",HYPERLINK(p_ruta_base_checklists&amp;tblOrdenes[[#This Row],[link_checklist]],"abrir"))</f>
        <v/>
      </c>
      <c r="AS154" s="4" t="inlineStr"/>
      <c r="AT154" s="5">
        <f>IF(tblOrdenes[[#This Row],[orden]]="","",tblOrdenes[[#This Row],[orden]]&amp;IF(tblOrdenes[[#This Row],[operacion]]="","0010",tblOrdenes[[#This Row],[operacion]]))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22" t="n">
        <v>46141</v>
      </c>
      <c r="K155" s="5" t="n">
        <v>6</v>
      </c>
      <c r="L155" s="18" t="n">
        <v>240</v>
      </c>
      <c r="M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5">
        <f>IF(tblOrdenes[[#This Row],[fecha_inicio]]="","",YEAR(tblOrdenes[[#This Row],[fecha_inicio]]))</f>
        <v/>
      </c>
      <c r="Q155" s="5">
        <f>IF(tblOrdenes[[#This Row],[fecha_inicio]]="","",MONTH(tblOrdenes[[#This Row],[fecha_inicio]]))</f>
        <v/>
      </c>
      <c r="R155" s="5">
        <f>IF(tblOrdenes[[#This Row],[fecha_inicio]]="","",tblOrdenes[[#This Row],[anio]]&amp;"-"&amp;TEXT(tblOrdenes[[#This Row],[mes]],"00"))</f>
        <v/>
      </c>
      <c r="S155" s="5">
        <f>IF(tblOrdenes[[#This Row],[fecha_inicio]]="","",INDEX(lista_dias,WEEKDAY(tblOrdenes[[#This Row],[fecha_inicio]],2)))</f>
        <v/>
      </c>
      <c r="T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5" s="5">
        <f>IF(tblOrdenes[[#This Row],[tipo_ot]]="","",_xlfn.XLOOKUP(tblOrdenes[[#This Row],[tipo_ot]],tblTiposOT[codigo],tblTiposOT[clasificacion],"sin_clasificar"))</f>
        <v/>
      </c>
      <c r="V1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5" s="5">
        <f>IF(tblOrdenes[[#This Row],[centro_costo]]="","",_xlfn.XLOOKUP(tblOrdenes[[#This Row],[centro_costo]],tblCECO[codigo],tblCECO[linea],"(sin catálogo)"))</f>
        <v/>
      </c>
      <c r="X155" s="5">
        <f>IF(tblOrdenes[[#This Row],[centro_costo]]="","",_xlfn.XLOOKUP(tblOrdenes[[#This Row],[centro_costo]],tblCECO[codigo],tblCECO[area],"(sin catálogo)"))</f>
        <v/>
      </c>
      <c r="Y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5" s="5">
        <f>IF(tblOrdenes[[#This Row],[centro_costo]]="","",_xlfn.XLOOKUP(tblOrdenes[[#This Row],[centro_costo]],tblCECO[codigo],tblCECO[coordinador],"(sin catálogo)"))</f>
        <v/>
      </c>
      <c r="AA155" s="5">
        <f>IF(tblOrdenes[[#This Row],[puesto_trabajo]]="","",_xlfn.XLOOKUP(tblOrdenes[[#This Row],[puesto_trabajo]],tblPuestos[codigo],tblPuestos[especialidad],"(sin catálogo)"))</f>
        <v/>
      </c>
      <c r="AB155" s="5">
        <f>IF(tblOrdenes[[#This Row],[cod_actividad]]="","",_xlfn.XLOOKUP(tblOrdenes[[#This Row],[cod_actividad]],tblActividades[codigo],tblActividades[descripcion],"(sin catálogo)"))</f>
        <v/>
      </c>
      <c r="AC155" s="20">
        <f>IF(tblOrdenes[[#This Row],[fecha_inicio]]="","",TODAY()-tblOrdenes[[#This Row],[fecha_inicio]])</f>
        <v/>
      </c>
      <c r="AD1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5" s="5">
        <f>IF(tblOrdenes[[#This Row],[backlog_habiles]]="","",IF(tblOrdenes[[#This Row],[backlog_habiles]]&lt;0,"FUTURO",IF(tblOrdenes[[#This Row],[backlog_habiles]]&gt;p_dias_backlog_max,"BACKLOG","MES CORRIENTE")))</f>
        <v/>
      </c>
      <c r="AF155" s="5">
        <f>IF(tblOrdenes[[#This Row],[backlog_habiles]]="",FALSE,AND(tblOrdenes[[#This Row],[backlog_habiles]]&gt;p_dias_backlog_min,tblOrdenes[[#This Row],[backlog_habiles]]&lt;=p_dias_backlog_max))</f>
        <v/>
      </c>
      <c r="AG155" s="4" t="inlineStr"/>
      <c r="AH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5" s="18">
        <f>IF(tblOrdenes[[#This Row],[orden]]="","",_xlfn.XLOOKUP(tblOrdenes[[#This Row],[id_operacion]],tblEjecucion[id_operacion],tblEjecucion[precio],0))</f>
        <v/>
      </c>
      <c r="AL155" s="18">
        <f>IF(tblOrdenes[[#This Row],[orden]]="","",MAX(0,_xlfn.XLOOKUP(tblOrdenes[[#This Row],[id_operacion]],tblEjecucion[id_operacion],tblEjecucion[costo_plan_total],0)-tblOrdenes[[#This Row],[costo_servicio]]))</f>
        <v/>
      </c>
      <c r="AM155" s="18">
        <f>IF(tblOrdenes[[#This Row],[orden]]="","",tblOrdenes[[#This Row],[costo_servicio]]+tblOrdenes[[#This Row],[costo_materiales]])</f>
        <v/>
      </c>
      <c r="AN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5" s="4" t="inlineStr"/>
      <c r="AP155" s="4" t="inlineStr"/>
      <c r="AQ155" s="4" t="inlineStr"/>
      <c r="AR155" s="5">
        <f>IF(tblOrdenes[[#This Row],[link_checklist]]="","",HYPERLINK(p_ruta_base_checklists&amp;tblOrdenes[[#This Row],[link_checklist]],"abrir"))</f>
        <v/>
      </c>
      <c r="AS155" s="4" t="inlineStr"/>
      <c r="AT155" s="5">
        <f>IF(tblOrdenes[[#This Row],[orden]]="","",tblOrdenes[[#This Row],[orden]]&amp;IF(tblOrdenes[[#This Row],[operacion]]="","0010",tblOrdenes[[#This Row],[operacion]]))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TIPO-P1</t>
        </is>
      </c>
      <c r="J156" s="22" t="n">
        <v>46134</v>
      </c>
      <c r="K156" s="5" t="n">
        <v>8</v>
      </c>
      <c r="L156" s="18" t="n">
        <v>200</v>
      </c>
      <c r="M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5">
        <f>IF(tblOrdenes[[#This Row],[fecha_inicio]]="","",YEAR(tblOrdenes[[#This Row],[fecha_inicio]]))</f>
        <v/>
      </c>
      <c r="Q156" s="5">
        <f>IF(tblOrdenes[[#This Row],[fecha_inicio]]="","",MONTH(tblOrdenes[[#This Row],[fecha_inicio]]))</f>
        <v/>
      </c>
      <c r="R156" s="5">
        <f>IF(tblOrdenes[[#This Row],[fecha_inicio]]="","",tblOrdenes[[#This Row],[anio]]&amp;"-"&amp;TEXT(tblOrdenes[[#This Row],[mes]],"00"))</f>
        <v/>
      </c>
      <c r="S156" s="5">
        <f>IF(tblOrdenes[[#This Row],[fecha_inicio]]="","",INDEX(lista_dias,WEEKDAY(tblOrdenes[[#This Row],[fecha_inicio]],2)))</f>
        <v/>
      </c>
      <c r="T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6" s="5">
        <f>IF(tblOrdenes[[#This Row],[tipo_ot]]="","",_xlfn.XLOOKUP(tblOrdenes[[#This Row],[tipo_ot]],tblTiposOT[codigo],tblTiposOT[clasificacion],"sin_clasificar"))</f>
        <v/>
      </c>
      <c r="V1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6" s="5">
        <f>IF(tblOrdenes[[#This Row],[centro_costo]]="","",_xlfn.XLOOKUP(tblOrdenes[[#This Row],[centro_costo]],tblCECO[codigo],tblCECO[linea],"(sin catálogo)"))</f>
        <v/>
      </c>
      <c r="X156" s="5">
        <f>IF(tblOrdenes[[#This Row],[centro_costo]]="","",_xlfn.XLOOKUP(tblOrdenes[[#This Row],[centro_costo]],tblCECO[codigo],tblCECO[area],"(sin catálogo)"))</f>
        <v/>
      </c>
      <c r="Y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6" s="5">
        <f>IF(tblOrdenes[[#This Row],[centro_costo]]="","",_xlfn.XLOOKUP(tblOrdenes[[#This Row],[centro_costo]],tblCECO[codigo],tblCECO[coordinador],"(sin catálogo)"))</f>
        <v/>
      </c>
      <c r="AA156" s="5">
        <f>IF(tblOrdenes[[#This Row],[puesto_trabajo]]="","",_xlfn.XLOOKUP(tblOrdenes[[#This Row],[puesto_trabajo]],tblPuestos[codigo],tblPuestos[especialidad],"(sin catálogo)"))</f>
        <v/>
      </c>
      <c r="AB156" s="5">
        <f>IF(tblOrdenes[[#This Row],[cod_actividad]]="","",_xlfn.XLOOKUP(tblOrdenes[[#This Row],[cod_actividad]],tblActividades[codigo],tblActividades[descripcion],"(sin catálogo)"))</f>
        <v/>
      </c>
      <c r="AC156" s="20">
        <f>IF(tblOrdenes[[#This Row],[fecha_inicio]]="","",TODAY()-tblOrdenes[[#This Row],[fecha_inicio]])</f>
        <v/>
      </c>
      <c r="AD1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6" s="5">
        <f>IF(tblOrdenes[[#This Row],[backlog_habiles]]="","",IF(tblOrdenes[[#This Row],[backlog_habiles]]&lt;0,"FUTURO",IF(tblOrdenes[[#This Row],[backlog_habiles]]&gt;p_dias_backlog_max,"BACKLOG","MES CORRIENTE")))</f>
        <v/>
      </c>
      <c r="AF156" s="5">
        <f>IF(tblOrdenes[[#This Row],[backlog_habiles]]="",FALSE,AND(tblOrdenes[[#This Row],[backlog_habiles]]&gt;p_dias_backlog_min,tblOrdenes[[#This Row],[backlog_habiles]]&lt;=p_dias_backlog_max))</f>
        <v/>
      </c>
      <c r="AG156" s="4" t="inlineStr"/>
      <c r="AH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6" s="18">
        <f>IF(tblOrdenes[[#This Row],[orden]]="","",_xlfn.XLOOKUP(tblOrdenes[[#This Row],[id_operacion]],tblEjecucion[id_operacion],tblEjecucion[precio],0))</f>
        <v/>
      </c>
      <c r="AL156" s="18">
        <f>IF(tblOrdenes[[#This Row],[orden]]="","",MAX(0,_xlfn.XLOOKUP(tblOrdenes[[#This Row],[id_operacion]],tblEjecucion[id_operacion],tblEjecucion[costo_plan_total],0)-tblOrdenes[[#This Row],[costo_servicio]]))</f>
        <v/>
      </c>
      <c r="AM156" s="18">
        <f>IF(tblOrdenes[[#This Row],[orden]]="","",tblOrdenes[[#This Row],[costo_servicio]]+tblOrdenes[[#This Row],[costo_materiales]])</f>
        <v/>
      </c>
      <c r="AN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6" s="4" t="inlineStr"/>
      <c r="AP156" s="4" t="inlineStr"/>
      <c r="AQ156" s="4" t="inlineStr"/>
      <c r="AR156" s="5">
        <f>IF(tblOrdenes[[#This Row],[link_checklist]]="","",HYPERLINK(p_ruta_base_checklists&amp;tblOrdenes[[#This Row],[link_checklist]],"abrir"))</f>
        <v/>
      </c>
      <c r="AS156" s="4" t="inlineStr"/>
      <c r="AT156" s="5">
        <f>IF(tblOrdenes[[#This Row],[orden]]="","",tblOrdenes[[#This Row],[orden]]&amp;IF(tblOrdenes[[#This Row],[operacion]]="","0010",tblOrdenes[[#This Row],[operacion]]))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22" t="n">
        <v>46127</v>
      </c>
      <c r="K157" s="5" t="n">
        <v>4</v>
      </c>
      <c r="L157" s="18" t="n">
        <v>160</v>
      </c>
      <c r="M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5">
        <f>IF(tblOrdenes[[#This Row],[fecha_inicio]]="","",YEAR(tblOrdenes[[#This Row],[fecha_inicio]]))</f>
        <v/>
      </c>
      <c r="Q157" s="5">
        <f>IF(tblOrdenes[[#This Row],[fecha_inicio]]="","",MONTH(tblOrdenes[[#This Row],[fecha_inicio]]))</f>
        <v/>
      </c>
      <c r="R157" s="5">
        <f>IF(tblOrdenes[[#This Row],[fecha_inicio]]="","",tblOrdenes[[#This Row],[anio]]&amp;"-"&amp;TEXT(tblOrdenes[[#This Row],[mes]],"00"))</f>
        <v/>
      </c>
      <c r="S157" s="5">
        <f>IF(tblOrdenes[[#This Row],[fecha_inicio]]="","",INDEX(lista_dias,WEEKDAY(tblOrdenes[[#This Row],[fecha_inicio]],2)))</f>
        <v/>
      </c>
      <c r="T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7" s="5">
        <f>IF(tblOrdenes[[#This Row],[tipo_ot]]="","",_xlfn.XLOOKUP(tblOrdenes[[#This Row],[tipo_ot]],tblTiposOT[codigo],tblTiposOT[clasificacion],"sin_clasificar"))</f>
        <v/>
      </c>
      <c r="V1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7" s="5">
        <f>IF(tblOrdenes[[#This Row],[centro_costo]]="","",_xlfn.XLOOKUP(tblOrdenes[[#This Row],[centro_costo]],tblCECO[codigo],tblCECO[linea],"(sin catálogo)"))</f>
        <v/>
      </c>
      <c r="X157" s="5">
        <f>IF(tblOrdenes[[#This Row],[centro_costo]]="","",_xlfn.XLOOKUP(tblOrdenes[[#This Row],[centro_costo]],tblCECO[codigo],tblCECO[area],"(sin catálogo)"))</f>
        <v/>
      </c>
      <c r="Y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7" s="5">
        <f>IF(tblOrdenes[[#This Row],[centro_costo]]="","",_xlfn.XLOOKUP(tblOrdenes[[#This Row],[centro_costo]],tblCECO[codigo],tblCECO[coordinador],"(sin catálogo)"))</f>
        <v/>
      </c>
      <c r="AA157" s="5">
        <f>IF(tblOrdenes[[#This Row],[puesto_trabajo]]="","",_xlfn.XLOOKUP(tblOrdenes[[#This Row],[puesto_trabajo]],tblPuestos[codigo],tblPuestos[especialidad],"(sin catálogo)"))</f>
        <v/>
      </c>
      <c r="AB157" s="5">
        <f>IF(tblOrdenes[[#This Row],[cod_actividad]]="","",_xlfn.XLOOKUP(tblOrdenes[[#This Row],[cod_actividad]],tblActividades[codigo],tblActividades[descripcion],"(sin catálogo)"))</f>
        <v/>
      </c>
      <c r="AC157" s="20">
        <f>IF(tblOrdenes[[#This Row],[fecha_inicio]]="","",TODAY()-tblOrdenes[[#This Row],[fecha_inicio]])</f>
        <v/>
      </c>
      <c r="AD1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7" s="5">
        <f>IF(tblOrdenes[[#This Row],[backlog_habiles]]="","",IF(tblOrdenes[[#This Row],[backlog_habiles]]&lt;0,"FUTURO",IF(tblOrdenes[[#This Row],[backlog_habiles]]&gt;p_dias_backlog_max,"BACKLOG","MES CORRIENTE")))</f>
        <v/>
      </c>
      <c r="AF157" s="5">
        <f>IF(tblOrdenes[[#This Row],[backlog_habiles]]="",FALSE,AND(tblOrdenes[[#This Row],[backlog_habiles]]&gt;p_dias_backlog_min,tblOrdenes[[#This Row],[backlog_habiles]]&lt;=p_dias_backlog_max))</f>
        <v/>
      </c>
      <c r="AG157" s="4" t="inlineStr"/>
      <c r="AH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7" s="18">
        <f>IF(tblOrdenes[[#This Row],[orden]]="","",_xlfn.XLOOKUP(tblOrdenes[[#This Row],[id_operacion]],tblEjecucion[id_operacion],tblEjecucion[precio],0))</f>
        <v/>
      </c>
      <c r="AL157" s="18">
        <f>IF(tblOrdenes[[#This Row],[orden]]="","",MAX(0,_xlfn.XLOOKUP(tblOrdenes[[#This Row],[id_operacion]],tblEjecucion[id_operacion],tblEjecucion[costo_plan_total],0)-tblOrdenes[[#This Row],[costo_servicio]]))</f>
        <v/>
      </c>
      <c r="AM157" s="18">
        <f>IF(tblOrdenes[[#This Row],[orden]]="","",tblOrdenes[[#This Row],[costo_servicio]]+tblOrdenes[[#This Row],[costo_materiales]])</f>
        <v/>
      </c>
      <c r="AN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7" s="4" t="inlineStr"/>
      <c r="AP157" s="4" t="inlineStr"/>
      <c r="AQ157" s="4" t="inlineStr"/>
      <c r="AR157" s="5">
        <f>IF(tblOrdenes[[#This Row],[link_checklist]]="","",HYPERLINK(p_ruta_base_checklists&amp;tblOrdenes[[#This Row],[link_checklist]],"abrir"))</f>
        <v/>
      </c>
      <c r="AS157" s="4" t="inlineStr"/>
      <c r="AT157" s="5">
        <f>IF(tblOrdenes[[#This Row],[orden]]="","",tblOrdenes[[#This Row],[orden]]&amp;IF(tblOrdenes[[#This Row],[operacion]]="","0010",tblOrdenes[[#This Row],[operacion]]))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22" t="n">
        <v>46120</v>
      </c>
      <c r="K158" s="5" t="n">
        <v>6</v>
      </c>
      <c r="L158" s="18" t="n">
        <v>150</v>
      </c>
      <c r="M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5">
        <f>IF(tblOrdenes[[#This Row],[fecha_inicio]]="","",YEAR(tblOrdenes[[#This Row],[fecha_inicio]]))</f>
        <v/>
      </c>
      <c r="Q158" s="5">
        <f>IF(tblOrdenes[[#This Row],[fecha_inicio]]="","",MONTH(tblOrdenes[[#This Row],[fecha_inicio]]))</f>
        <v/>
      </c>
      <c r="R158" s="5">
        <f>IF(tblOrdenes[[#This Row],[fecha_inicio]]="","",tblOrdenes[[#This Row],[anio]]&amp;"-"&amp;TEXT(tblOrdenes[[#This Row],[mes]],"00"))</f>
        <v/>
      </c>
      <c r="S158" s="5">
        <f>IF(tblOrdenes[[#This Row],[fecha_inicio]]="","",INDEX(lista_dias,WEEKDAY(tblOrdenes[[#This Row],[fecha_inicio]],2)))</f>
        <v/>
      </c>
      <c r="T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8" s="5">
        <f>IF(tblOrdenes[[#This Row],[tipo_ot]]="","",_xlfn.XLOOKUP(tblOrdenes[[#This Row],[tipo_ot]],tblTiposOT[codigo],tblTiposOT[clasificacion],"sin_clasificar"))</f>
        <v/>
      </c>
      <c r="V1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8" s="5">
        <f>IF(tblOrdenes[[#This Row],[centro_costo]]="","",_xlfn.XLOOKUP(tblOrdenes[[#This Row],[centro_costo]],tblCECO[codigo],tblCECO[linea],"(sin catálogo)"))</f>
        <v/>
      </c>
      <c r="X158" s="5">
        <f>IF(tblOrdenes[[#This Row],[centro_costo]]="","",_xlfn.XLOOKUP(tblOrdenes[[#This Row],[centro_costo]],tblCECO[codigo],tblCECO[area],"(sin catálogo)"))</f>
        <v/>
      </c>
      <c r="Y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8" s="5">
        <f>IF(tblOrdenes[[#This Row],[centro_costo]]="","",_xlfn.XLOOKUP(tblOrdenes[[#This Row],[centro_costo]],tblCECO[codigo],tblCECO[coordinador],"(sin catálogo)"))</f>
        <v/>
      </c>
      <c r="AA158" s="5">
        <f>IF(tblOrdenes[[#This Row],[puesto_trabajo]]="","",_xlfn.XLOOKUP(tblOrdenes[[#This Row],[puesto_trabajo]],tblPuestos[codigo],tblPuestos[especialidad],"(sin catálogo)"))</f>
        <v/>
      </c>
      <c r="AB158" s="5">
        <f>IF(tblOrdenes[[#This Row],[cod_actividad]]="","",_xlfn.XLOOKUP(tblOrdenes[[#This Row],[cod_actividad]],tblActividades[codigo],tblActividades[descripcion],"(sin catálogo)"))</f>
        <v/>
      </c>
      <c r="AC158" s="20">
        <f>IF(tblOrdenes[[#This Row],[fecha_inicio]]="","",TODAY()-tblOrdenes[[#This Row],[fecha_inicio]])</f>
        <v/>
      </c>
      <c r="AD1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8" s="5">
        <f>IF(tblOrdenes[[#This Row],[backlog_habiles]]="","",IF(tblOrdenes[[#This Row],[backlog_habiles]]&lt;0,"FUTURO",IF(tblOrdenes[[#This Row],[backlog_habiles]]&gt;p_dias_backlog_max,"BACKLOG","MES CORRIENTE")))</f>
        <v/>
      </c>
      <c r="AF158" s="5">
        <f>IF(tblOrdenes[[#This Row],[backlog_habiles]]="",FALSE,AND(tblOrdenes[[#This Row],[backlog_habiles]]&gt;p_dias_backlog_min,tblOrdenes[[#This Row],[backlog_habiles]]&lt;=p_dias_backlog_max))</f>
        <v/>
      </c>
      <c r="AG158" s="4" t="inlineStr"/>
      <c r="AH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8" s="18">
        <f>IF(tblOrdenes[[#This Row],[orden]]="","",_xlfn.XLOOKUP(tblOrdenes[[#This Row],[id_operacion]],tblEjecucion[id_operacion],tblEjecucion[precio],0))</f>
        <v/>
      </c>
      <c r="AL158" s="18">
        <f>IF(tblOrdenes[[#This Row],[orden]]="","",MAX(0,_xlfn.XLOOKUP(tblOrdenes[[#This Row],[id_operacion]],tblEjecucion[id_operacion],tblEjecucion[costo_plan_total],0)-tblOrdenes[[#This Row],[costo_servicio]]))</f>
        <v/>
      </c>
      <c r="AM158" s="18">
        <f>IF(tblOrdenes[[#This Row],[orden]]="","",tblOrdenes[[#This Row],[costo_servicio]]+tblOrdenes[[#This Row],[costo_materiales]])</f>
        <v/>
      </c>
      <c r="AN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8" s="4" t="inlineStr"/>
      <c r="AP158" s="4" t="inlineStr"/>
      <c r="AQ158" s="4" t="inlineStr"/>
      <c r="AR158" s="5">
        <f>IF(tblOrdenes[[#This Row],[link_checklist]]="","",HYPERLINK(p_ruta_base_checklists&amp;tblOrdenes[[#This Row],[link_checklist]],"abrir"))</f>
        <v/>
      </c>
      <c r="AS158" s="4" t="inlineStr"/>
      <c r="AT158" s="5">
        <f>IF(tblOrdenes[[#This Row],[orden]]="","",tblOrdenes[[#This Row],[orden]]&amp;IF(tblOrdenes[[#This Row],[operacion]]="","0010",tblOrdenes[[#This Row],[operacion]]))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22" t="n">
        <v>46113</v>
      </c>
      <c r="K159" s="5" t="n">
        <v>8</v>
      </c>
      <c r="L159" s="18" t="n">
        <v>320</v>
      </c>
      <c r="M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5">
        <f>IF(tblOrdenes[[#This Row],[fecha_inicio]]="","",YEAR(tblOrdenes[[#This Row],[fecha_inicio]]))</f>
        <v/>
      </c>
      <c r="Q159" s="5">
        <f>IF(tblOrdenes[[#This Row],[fecha_inicio]]="","",MONTH(tblOrdenes[[#This Row],[fecha_inicio]]))</f>
        <v/>
      </c>
      <c r="R159" s="5">
        <f>IF(tblOrdenes[[#This Row],[fecha_inicio]]="","",tblOrdenes[[#This Row],[anio]]&amp;"-"&amp;TEXT(tblOrdenes[[#This Row],[mes]],"00"))</f>
        <v/>
      </c>
      <c r="S159" s="5">
        <f>IF(tblOrdenes[[#This Row],[fecha_inicio]]="","",INDEX(lista_dias,WEEKDAY(tblOrdenes[[#This Row],[fecha_inicio]],2)))</f>
        <v/>
      </c>
      <c r="T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9" s="5">
        <f>IF(tblOrdenes[[#This Row],[tipo_ot]]="","",_xlfn.XLOOKUP(tblOrdenes[[#This Row],[tipo_ot]],tblTiposOT[codigo],tblTiposOT[clasificacion],"sin_clasificar"))</f>
        <v/>
      </c>
      <c r="V1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9" s="5">
        <f>IF(tblOrdenes[[#This Row],[centro_costo]]="","",_xlfn.XLOOKUP(tblOrdenes[[#This Row],[centro_costo]],tblCECO[codigo],tblCECO[linea],"(sin catálogo)"))</f>
        <v/>
      </c>
      <c r="X159" s="5">
        <f>IF(tblOrdenes[[#This Row],[centro_costo]]="","",_xlfn.XLOOKUP(tblOrdenes[[#This Row],[centro_costo]],tblCECO[codigo],tblCECO[area],"(sin catálogo)"))</f>
        <v/>
      </c>
      <c r="Y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59" s="5">
        <f>IF(tblOrdenes[[#This Row],[centro_costo]]="","",_xlfn.XLOOKUP(tblOrdenes[[#This Row],[centro_costo]],tblCECO[codigo],tblCECO[coordinador],"(sin catálogo)"))</f>
        <v/>
      </c>
      <c r="AA159" s="5">
        <f>IF(tblOrdenes[[#This Row],[puesto_trabajo]]="","",_xlfn.XLOOKUP(tblOrdenes[[#This Row],[puesto_trabajo]],tblPuestos[codigo],tblPuestos[especialidad],"(sin catálogo)"))</f>
        <v/>
      </c>
      <c r="AB159" s="5">
        <f>IF(tblOrdenes[[#This Row],[cod_actividad]]="","",_xlfn.XLOOKUP(tblOrdenes[[#This Row],[cod_actividad]],tblActividades[codigo],tblActividades[descripcion],"(sin catálogo)"))</f>
        <v/>
      </c>
      <c r="AC159" s="20">
        <f>IF(tblOrdenes[[#This Row],[fecha_inicio]]="","",TODAY()-tblOrdenes[[#This Row],[fecha_inicio]])</f>
        <v/>
      </c>
      <c r="AD1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59" s="5">
        <f>IF(tblOrdenes[[#This Row],[backlog_habiles]]="","",IF(tblOrdenes[[#This Row],[backlog_habiles]]&lt;0,"FUTURO",IF(tblOrdenes[[#This Row],[backlog_habiles]]&gt;p_dias_backlog_max,"BACKLOG","MES CORRIENTE")))</f>
        <v/>
      </c>
      <c r="AF159" s="5">
        <f>IF(tblOrdenes[[#This Row],[backlog_habiles]]="",FALSE,AND(tblOrdenes[[#This Row],[backlog_habiles]]&gt;p_dias_backlog_min,tblOrdenes[[#This Row],[backlog_habiles]]&lt;=p_dias_backlog_max))</f>
        <v/>
      </c>
      <c r="AG159" s="4" t="inlineStr"/>
      <c r="AH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59" s="18">
        <f>IF(tblOrdenes[[#This Row],[orden]]="","",_xlfn.XLOOKUP(tblOrdenes[[#This Row],[id_operacion]],tblEjecucion[id_operacion],tblEjecucion[precio],0))</f>
        <v/>
      </c>
      <c r="AL159" s="18">
        <f>IF(tblOrdenes[[#This Row],[orden]]="","",MAX(0,_xlfn.XLOOKUP(tblOrdenes[[#This Row],[id_operacion]],tblEjecucion[id_operacion],tblEjecucion[costo_plan_total],0)-tblOrdenes[[#This Row],[costo_servicio]]))</f>
        <v/>
      </c>
      <c r="AM159" s="18">
        <f>IF(tblOrdenes[[#This Row],[orden]]="","",tblOrdenes[[#This Row],[costo_servicio]]+tblOrdenes[[#This Row],[costo_materiales]])</f>
        <v/>
      </c>
      <c r="AN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59" s="4" t="inlineStr"/>
      <c r="AP159" s="4" t="inlineStr"/>
      <c r="AQ159" s="4" t="inlineStr"/>
      <c r="AR159" s="5">
        <f>IF(tblOrdenes[[#This Row],[link_checklist]]="","",HYPERLINK(p_ruta_base_checklists&amp;tblOrdenes[[#This Row],[link_checklist]],"abrir"))</f>
        <v/>
      </c>
      <c r="AS159" s="4" t="inlineStr"/>
      <c r="AT159" s="5">
        <f>IF(tblOrdenes[[#This Row],[orden]]="","",tblOrdenes[[#This Row],[orden]]&amp;IF(tblOrdenes[[#This Row],[operacion]]="","0010",tblOrdenes[[#This Row],[operacion]]))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TIPO-P1</t>
        </is>
      </c>
      <c r="J160" s="22" t="n">
        <v>46106</v>
      </c>
      <c r="K160" s="5" t="n">
        <v>4</v>
      </c>
      <c r="L160" s="18" t="n">
        <v>100</v>
      </c>
      <c r="M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5">
        <f>IF(tblOrdenes[[#This Row],[fecha_inicio]]="","",YEAR(tblOrdenes[[#This Row],[fecha_inicio]]))</f>
        <v/>
      </c>
      <c r="Q160" s="5">
        <f>IF(tblOrdenes[[#This Row],[fecha_inicio]]="","",MONTH(tblOrdenes[[#This Row],[fecha_inicio]]))</f>
        <v/>
      </c>
      <c r="R160" s="5">
        <f>IF(tblOrdenes[[#This Row],[fecha_inicio]]="","",tblOrdenes[[#This Row],[anio]]&amp;"-"&amp;TEXT(tblOrdenes[[#This Row],[mes]],"00"))</f>
        <v/>
      </c>
      <c r="S160" s="5">
        <f>IF(tblOrdenes[[#This Row],[fecha_inicio]]="","",INDEX(lista_dias,WEEKDAY(tblOrdenes[[#This Row],[fecha_inicio]],2)))</f>
        <v/>
      </c>
      <c r="T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0" s="5">
        <f>IF(tblOrdenes[[#This Row],[tipo_ot]]="","",_xlfn.XLOOKUP(tblOrdenes[[#This Row],[tipo_ot]],tblTiposOT[codigo],tblTiposOT[clasificacion],"sin_clasificar"))</f>
        <v/>
      </c>
      <c r="V1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0" s="5">
        <f>IF(tblOrdenes[[#This Row],[centro_costo]]="","",_xlfn.XLOOKUP(tblOrdenes[[#This Row],[centro_costo]],tblCECO[codigo],tblCECO[linea],"(sin catálogo)"))</f>
        <v/>
      </c>
      <c r="X160" s="5">
        <f>IF(tblOrdenes[[#This Row],[centro_costo]]="","",_xlfn.XLOOKUP(tblOrdenes[[#This Row],[centro_costo]],tblCECO[codigo],tblCECO[area],"(sin catálogo)"))</f>
        <v/>
      </c>
      <c r="Y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0" s="5">
        <f>IF(tblOrdenes[[#This Row],[centro_costo]]="","",_xlfn.XLOOKUP(tblOrdenes[[#This Row],[centro_costo]],tblCECO[codigo],tblCECO[coordinador],"(sin catálogo)"))</f>
        <v/>
      </c>
      <c r="AA160" s="5">
        <f>IF(tblOrdenes[[#This Row],[puesto_trabajo]]="","",_xlfn.XLOOKUP(tblOrdenes[[#This Row],[puesto_trabajo]],tblPuestos[codigo],tblPuestos[especialidad],"(sin catálogo)"))</f>
        <v/>
      </c>
      <c r="AB160" s="5">
        <f>IF(tblOrdenes[[#This Row],[cod_actividad]]="","",_xlfn.XLOOKUP(tblOrdenes[[#This Row],[cod_actividad]],tblActividades[codigo],tblActividades[descripcion],"(sin catálogo)"))</f>
        <v/>
      </c>
      <c r="AC160" s="20">
        <f>IF(tblOrdenes[[#This Row],[fecha_inicio]]="","",TODAY()-tblOrdenes[[#This Row],[fecha_inicio]])</f>
        <v/>
      </c>
      <c r="AD1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0" s="5">
        <f>IF(tblOrdenes[[#This Row],[backlog_habiles]]="","",IF(tblOrdenes[[#This Row],[backlog_habiles]]&lt;0,"FUTURO",IF(tblOrdenes[[#This Row],[backlog_habiles]]&gt;p_dias_backlog_max,"BACKLOG","MES CORRIENTE")))</f>
        <v/>
      </c>
      <c r="AF160" s="5">
        <f>IF(tblOrdenes[[#This Row],[backlog_habiles]]="",FALSE,AND(tblOrdenes[[#This Row],[backlog_habiles]]&gt;p_dias_backlog_min,tblOrdenes[[#This Row],[backlog_habiles]]&lt;=p_dias_backlog_max))</f>
        <v/>
      </c>
      <c r="AG160" s="4" t="inlineStr"/>
      <c r="AH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0" s="18">
        <f>IF(tblOrdenes[[#This Row],[orden]]="","",_xlfn.XLOOKUP(tblOrdenes[[#This Row],[id_operacion]],tblEjecucion[id_operacion],tblEjecucion[precio],0))</f>
        <v/>
      </c>
      <c r="AL160" s="18">
        <f>IF(tblOrdenes[[#This Row],[orden]]="","",MAX(0,_xlfn.XLOOKUP(tblOrdenes[[#This Row],[id_operacion]],tblEjecucion[id_operacion],tblEjecucion[costo_plan_total],0)-tblOrdenes[[#This Row],[costo_servicio]]))</f>
        <v/>
      </c>
      <c r="AM160" s="18">
        <f>IF(tblOrdenes[[#This Row],[orden]]="","",tblOrdenes[[#This Row],[costo_servicio]]+tblOrdenes[[#This Row],[costo_materiales]])</f>
        <v/>
      </c>
      <c r="AN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0" s="4" t="inlineStr"/>
      <c r="AP160" s="4" t="inlineStr"/>
      <c r="AQ160" s="4" t="inlineStr"/>
      <c r="AR160" s="5">
        <f>IF(tblOrdenes[[#This Row],[link_checklist]]="","",HYPERLINK(p_ruta_base_checklists&amp;tblOrdenes[[#This Row],[link_checklist]],"abrir"))</f>
        <v/>
      </c>
      <c r="AS160" s="4" t="inlineStr"/>
      <c r="AT160" s="5">
        <f>IF(tblOrdenes[[#This Row],[orden]]="","",tblOrdenes[[#This Row],[orden]]&amp;IF(tblOrdenes[[#This Row],[operacion]]="","0010",tblOrdenes[[#This Row],[operacion]]))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22" t="n">
        <v>46099</v>
      </c>
      <c r="K161" s="5" t="n">
        <v>6</v>
      </c>
      <c r="L161" s="18" t="n">
        <v>240</v>
      </c>
      <c r="M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5">
        <f>IF(tblOrdenes[[#This Row],[fecha_inicio]]="","",YEAR(tblOrdenes[[#This Row],[fecha_inicio]]))</f>
        <v/>
      </c>
      <c r="Q161" s="5">
        <f>IF(tblOrdenes[[#This Row],[fecha_inicio]]="","",MONTH(tblOrdenes[[#This Row],[fecha_inicio]]))</f>
        <v/>
      </c>
      <c r="R161" s="5">
        <f>IF(tblOrdenes[[#This Row],[fecha_inicio]]="","",tblOrdenes[[#This Row],[anio]]&amp;"-"&amp;TEXT(tblOrdenes[[#This Row],[mes]],"00"))</f>
        <v/>
      </c>
      <c r="S161" s="5">
        <f>IF(tblOrdenes[[#This Row],[fecha_inicio]]="","",INDEX(lista_dias,WEEKDAY(tblOrdenes[[#This Row],[fecha_inicio]],2)))</f>
        <v/>
      </c>
      <c r="T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1" s="5">
        <f>IF(tblOrdenes[[#This Row],[tipo_ot]]="","",_xlfn.XLOOKUP(tblOrdenes[[#This Row],[tipo_ot]],tblTiposOT[codigo],tblTiposOT[clasificacion],"sin_clasificar"))</f>
        <v/>
      </c>
      <c r="V1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1" s="5">
        <f>IF(tblOrdenes[[#This Row],[centro_costo]]="","",_xlfn.XLOOKUP(tblOrdenes[[#This Row],[centro_costo]],tblCECO[codigo],tblCECO[linea],"(sin catálogo)"))</f>
        <v/>
      </c>
      <c r="X161" s="5">
        <f>IF(tblOrdenes[[#This Row],[centro_costo]]="","",_xlfn.XLOOKUP(tblOrdenes[[#This Row],[centro_costo]],tblCECO[codigo],tblCECO[area],"(sin catálogo)"))</f>
        <v/>
      </c>
      <c r="Y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1" s="5">
        <f>IF(tblOrdenes[[#This Row],[centro_costo]]="","",_xlfn.XLOOKUP(tblOrdenes[[#This Row],[centro_costo]],tblCECO[codigo],tblCECO[coordinador],"(sin catálogo)"))</f>
        <v/>
      </c>
      <c r="AA161" s="5">
        <f>IF(tblOrdenes[[#This Row],[puesto_trabajo]]="","",_xlfn.XLOOKUP(tblOrdenes[[#This Row],[puesto_trabajo]],tblPuestos[codigo],tblPuestos[especialidad],"(sin catálogo)"))</f>
        <v/>
      </c>
      <c r="AB161" s="5">
        <f>IF(tblOrdenes[[#This Row],[cod_actividad]]="","",_xlfn.XLOOKUP(tblOrdenes[[#This Row],[cod_actividad]],tblActividades[codigo],tblActividades[descripcion],"(sin catálogo)"))</f>
        <v/>
      </c>
      <c r="AC161" s="20">
        <f>IF(tblOrdenes[[#This Row],[fecha_inicio]]="","",TODAY()-tblOrdenes[[#This Row],[fecha_inicio]])</f>
        <v/>
      </c>
      <c r="AD1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1" s="5">
        <f>IF(tblOrdenes[[#This Row],[backlog_habiles]]="","",IF(tblOrdenes[[#This Row],[backlog_habiles]]&lt;0,"FUTURO",IF(tblOrdenes[[#This Row],[backlog_habiles]]&gt;p_dias_backlog_max,"BACKLOG","MES CORRIENTE")))</f>
        <v/>
      </c>
      <c r="AF161" s="5">
        <f>IF(tblOrdenes[[#This Row],[backlog_habiles]]="",FALSE,AND(tblOrdenes[[#This Row],[backlog_habiles]]&gt;p_dias_backlog_min,tblOrdenes[[#This Row],[backlog_habiles]]&lt;=p_dias_backlog_max))</f>
        <v/>
      </c>
      <c r="AG161" s="4" t="inlineStr"/>
      <c r="AH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1" s="18">
        <f>IF(tblOrdenes[[#This Row],[orden]]="","",_xlfn.XLOOKUP(tblOrdenes[[#This Row],[id_operacion]],tblEjecucion[id_operacion],tblEjecucion[precio],0))</f>
        <v/>
      </c>
      <c r="AL161" s="18">
        <f>IF(tblOrdenes[[#This Row],[orden]]="","",MAX(0,_xlfn.XLOOKUP(tblOrdenes[[#This Row],[id_operacion]],tblEjecucion[id_operacion],tblEjecucion[costo_plan_total],0)-tblOrdenes[[#This Row],[costo_servicio]]))</f>
        <v/>
      </c>
      <c r="AM161" s="18">
        <f>IF(tblOrdenes[[#This Row],[orden]]="","",tblOrdenes[[#This Row],[costo_servicio]]+tblOrdenes[[#This Row],[costo_materiales]])</f>
        <v/>
      </c>
      <c r="AN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1" s="4" t="inlineStr"/>
      <c r="AP161" s="4" t="inlineStr"/>
      <c r="AQ161" s="4" t="inlineStr"/>
      <c r="AR161" s="5">
        <f>IF(tblOrdenes[[#This Row],[link_checklist]]="","",HYPERLINK(p_ruta_base_checklists&amp;tblOrdenes[[#This Row],[link_checklist]],"abrir"))</f>
        <v/>
      </c>
      <c r="AS161" s="4" t="inlineStr"/>
      <c r="AT161" s="5">
        <f>IF(tblOrdenes[[#This Row],[orden]]="","",tblOrdenes[[#This Row],[orden]]&amp;IF(tblOrdenes[[#This Row],[operacion]]="","0010",tblOrdenes[[#This Row],[operacion]]))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TIPO-P1</t>
        </is>
      </c>
      <c r="J162" s="22" t="n">
        <v>46092</v>
      </c>
      <c r="K162" s="5" t="n">
        <v>8</v>
      </c>
      <c r="L162" s="18" t="n">
        <v>200</v>
      </c>
      <c r="M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5">
        <f>IF(tblOrdenes[[#This Row],[fecha_inicio]]="","",YEAR(tblOrdenes[[#This Row],[fecha_inicio]]))</f>
        <v/>
      </c>
      <c r="Q162" s="5">
        <f>IF(tblOrdenes[[#This Row],[fecha_inicio]]="","",MONTH(tblOrdenes[[#This Row],[fecha_inicio]]))</f>
        <v/>
      </c>
      <c r="R162" s="5">
        <f>IF(tblOrdenes[[#This Row],[fecha_inicio]]="","",tblOrdenes[[#This Row],[anio]]&amp;"-"&amp;TEXT(tblOrdenes[[#This Row],[mes]],"00"))</f>
        <v/>
      </c>
      <c r="S162" s="5">
        <f>IF(tblOrdenes[[#This Row],[fecha_inicio]]="","",INDEX(lista_dias,WEEKDAY(tblOrdenes[[#This Row],[fecha_inicio]],2)))</f>
        <v/>
      </c>
      <c r="T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2" s="5">
        <f>IF(tblOrdenes[[#This Row],[tipo_ot]]="","",_xlfn.XLOOKUP(tblOrdenes[[#This Row],[tipo_ot]],tblTiposOT[codigo],tblTiposOT[clasificacion],"sin_clasificar"))</f>
        <v/>
      </c>
      <c r="V1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2" s="5">
        <f>IF(tblOrdenes[[#This Row],[centro_costo]]="","",_xlfn.XLOOKUP(tblOrdenes[[#This Row],[centro_costo]],tblCECO[codigo],tblCECO[linea],"(sin catálogo)"))</f>
        <v/>
      </c>
      <c r="X162" s="5">
        <f>IF(tblOrdenes[[#This Row],[centro_costo]]="","",_xlfn.XLOOKUP(tblOrdenes[[#This Row],[centro_costo]],tblCECO[codigo],tblCECO[area],"(sin catálogo)"))</f>
        <v/>
      </c>
      <c r="Y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2" s="5">
        <f>IF(tblOrdenes[[#This Row],[centro_costo]]="","",_xlfn.XLOOKUP(tblOrdenes[[#This Row],[centro_costo]],tblCECO[codigo],tblCECO[coordinador],"(sin catálogo)"))</f>
        <v/>
      </c>
      <c r="AA162" s="5">
        <f>IF(tblOrdenes[[#This Row],[puesto_trabajo]]="","",_xlfn.XLOOKUP(tblOrdenes[[#This Row],[puesto_trabajo]],tblPuestos[codigo],tblPuestos[especialidad],"(sin catálogo)"))</f>
        <v/>
      </c>
      <c r="AB162" s="5">
        <f>IF(tblOrdenes[[#This Row],[cod_actividad]]="","",_xlfn.XLOOKUP(tblOrdenes[[#This Row],[cod_actividad]],tblActividades[codigo],tblActividades[descripcion],"(sin catálogo)"))</f>
        <v/>
      </c>
      <c r="AC162" s="20">
        <f>IF(tblOrdenes[[#This Row],[fecha_inicio]]="","",TODAY()-tblOrdenes[[#This Row],[fecha_inicio]])</f>
        <v/>
      </c>
      <c r="AD1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2" s="5">
        <f>IF(tblOrdenes[[#This Row],[backlog_habiles]]="","",IF(tblOrdenes[[#This Row],[backlog_habiles]]&lt;0,"FUTURO",IF(tblOrdenes[[#This Row],[backlog_habiles]]&gt;p_dias_backlog_max,"BACKLOG","MES CORRIENTE")))</f>
        <v/>
      </c>
      <c r="AF162" s="5">
        <f>IF(tblOrdenes[[#This Row],[backlog_habiles]]="",FALSE,AND(tblOrdenes[[#This Row],[backlog_habiles]]&gt;p_dias_backlog_min,tblOrdenes[[#This Row],[backlog_habiles]]&lt;=p_dias_backlog_max))</f>
        <v/>
      </c>
      <c r="AG162" s="4" t="inlineStr"/>
      <c r="AH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2" s="18">
        <f>IF(tblOrdenes[[#This Row],[orden]]="","",_xlfn.XLOOKUP(tblOrdenes[[#This Row],[id_operacion]],tblEjecucion[id_operacion],tblEjecucion[precio],0))</f>
        <v/>
      </c>
      <c r="AL162" s="18">
        <f>IF(tblOrdenes[[#This Row],[orden]]="","",MAX(0,_xlfn.XLOOKUP(tblOrdenes[[#This Row],[id_operacion]],tblEjecucion[id_operacion],tblEjecucion[costo_plan_total],0)-tblOrdenes[[#This Row],[costo_servicio]]))</f>
        <v/>
      </c>
      <c r="AM162" s="18">
        <f>IF(tblOrdenes[[#This Row],[orden]]="","",tblOrdenes[[#This Row],[costo_servicio]]+tblOrdenes[[#This Row],[costo_materiales]])</f>
        <v/>
      </c>
      <c r="AN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2" s="4" t="inlineStr"/>
      <c r="AP162" s="4" t="inlineStr"/>
      <c r="AQ162" s="4" t="inlineStr"/>
      <c r="AR162" s="5">
        <f>IF(tblOrdenes[[#This Row],[link_checklist]]="","",HYPERLINK(p_ruta_base_checklists&amp;tblOrdenes[[#This Row],[link_checklist]],"abrir"))</f>
        <v/>
      </c>
      <c r="AS162" s="4" t="inlineStr"/>
      <c r="AT162" s="5">
        <f>IF(tblOrdenes[[#This Row],[orden]]="","",tblOrdenes[[#This Row],[orden]]&amp;IF(tblOrdenes[[#This Row],[operacion]]="","0010",tblOrdenes[[#This Row],[operacion]]))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22" t="n">
        <v>46270</v>
      </c>
      <c r="K163" s="5" t="n">
        <v>6</v>
      </c>
      <c r="L163" s="18" t="n">
        <v>150</v>
      </c>
      <c r="M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5">
        <f>IF(tblOrdenes[[#This Row],[fecha_inicio]]="","",YEAR(tblOrdenes[[#This Row],[fecha_inicio]]))</f>
        <v/>
      </c>
      <c r="Q163" s="5">
        <f>IF(tblOrdenes[[#This Row],[fecha_inicio]]="","",MONTH(tblOrdenes[[#This Row],[fecha_inicio]]))</f>
        <v/>
      </c>
      <c r="R163" s="5">
        <f>IF(tblOrdenes[[#This Row],[fecha_inicio]]="","",tblOrdenes[[#This Row],[anio]]&amp;"-"&amp;TEXT(tblOrdenes[[#This Row],[mes]],"00"))</f>
        <v/>
      </c>
      <c r="S163" s="5">
        <f>IF(tblOrdenes[[#This Row],[fecha_inicio]]="","",INDEX(lista_dias,WEEKDAY(tblOrdenes[[#This Row],[fecha_inicio]],2)))</f>
        <v/>
      </c>
      <c r="T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3" s="5">
        <f>IF(tblOrdenes[[#This Row],[tipo_ot]]="","",_xlfn.XLOOKUP(tblOrdenes[[#This Row],[tipo_ot]],tblTiposOT[codigo],tblTiposOT[clasificacion],"sin_clasificar"))</f>
        <v/>
      </c>
      <c r="V1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3" s="5">
        <f>IF(tblOrdenes[[#This Row],[centro_costo]]="","",_xlfn.XLOOKUP(tblOrdenes[[#This Row],[centro_costo]],tblCECO[codigo],tblCECO[linea],"(sin catálogo)"))</f>
        <v/>
      </c>
      <c r="X163" s="5">
        <f>IF(tblOrdenes[[#This Row],[centro_costo]]="","",_xlfn.XLOOKUP(tblOrdenes[[#This Row],[centro_costo]],tblCECO[codigo],tblCECO[area],"(sin catálogo)"))</f>
        <v/>
      </c>
      <c r="Y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3" s="5">
        <f>IF(tblOrdenes[[#This Row],[centro_costo]]="","",_xlfn.XLOOKUP(tblOrdenes[[#This Row],[centro_costo]],tblCECO[codigo],tblCECO[coordinador],"(sin catálogo)"))</f>
        <v/>
      </c>
      <c r="AA163" s="5">
        <f>IF(tblOrdenes[[#This Row],[puesto_trabajo]]="","",_xlfn.XLOOKUP(tblOrdenes[[#This Row],[puesto_trabajo]],tblPuestos[codigo],tblPuestos[especialidad],"(sin catálogo)"))</f>
        <v/>
      </c>
      <c r="AB163" s="5">
        <f>IF(tblOrdenes[[#This Row],[cod_actividad]]="","",_xlfn.XLOOKUP(tblOrdenes[[#This Row],[cod_actividad]],tblActividades[codigo],tblActividades[descripcion],"(sin catálogo)"))</f>
        <v/>
      </c>
      <c r="AC163" s="20">
        <f>IF(tblOrdenes[[#This Row],[fecha_inicio]]="","",TODAY()-tblOrdenes[[#This Row],[fecha_inicio]])</f>
        <v/>
      </c>
      <c r="AD1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3" s="5">
        <f>IF(tblOrdenes[[#This Row],[backlog_habiles]]="","",IF(tblOrdenes[[#This Row],[backlog_habiles]]&lt;0,"FUTURO",IF(tblOrdenes[[#This Row],[backlog_habiles]]&gt;p_dias_backlog_max,"BACKLOG","MES CORRIENTE")))</f>
        <v/>
      </c>
      <c r="AF163" s="5">
        <f>IF(tblOrdenes[[#This Row],[backlog_habiles]]="",FALSE,AND(tblOrdenes[[#This Row],[backlog_habiles]]&gt;p_dias_backlog_min,tblOrdenes[[#This Row],[backlog_habiles]]&lt;=p_dias_backlog_max))</f>
        <v/>
      </c>
      <c r="AG163" s="4" t="inlineStr"/>
      <c r="AH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3" s="18">
        <f>IF(tblOrdenes[[#This Row],[orden]]="","",_xlfn.XLOOKUP(tblOrdenes[[#This Row],[id_operacion]],tblEjecucion[id_operacion],tblEjecucion[precio],0))</f>
        <v/>
      </c>
      <c r="AL163" s="18">
        <f>IF(tblOrdenes[[#This Row],[orden]]="","",MAX(0,_xlfn.XLOOKUP(tblOrdenes[[#This Row],[id_operacion]],tblEjecucion[id_operacion],tblEjecucion[costo_plan_total],0)-tblOrdenes[[#This Row],[costo_servicio]]))</f>
        <v/>
      </c>
      <c r="AM163" s="18">
        <f>IF(tblOrdenes[[#This Row],[orden]]="","",tblOrdenes[[#This Row],[costo_servicio]]+tblOrdenes[[#This Row],[costo_materiales]])</f>
        <v/>
      </c>
      <c r="AN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3" s="4" t="inlineStr"/>
      <c r="AP163" s="4" t="inlineStr"/>
      <c r="AQ163" s="4" t="inlineStr"/>
      <c r="AR163" s="5">
        <f>IF(tblOrdenes[[#This Row],[link_checklist]]="","",HYPERLINK(p_ruta_base_checklists&amp;tblOrdenes[[#This Row],[link_checklist]],"abrir"))</f>
        <v/>
      </c>
      <c r="AS163" s="4" t="inlineStr"/>
      <c r="AT163" s="5">
        <f>IF(tblOrdenes[[#This Row],[orden]]="","",tblOrdenes[[#This Row],[orden]]&amp;IF(tblOrdenes[[#This Row],[operacion]]="","0010",tblOrdenes[[#This Row],[operacion]]))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22" t="n">
        <v>46270</v>
      </c>
      <c r="K164" s="5" t="n">
        <v>6</v>
      </c>
      <c r="L164" s="18" t="n">
        <v>150</v>
      </c>
      <c r="M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5">
        <f>IF(tblOrdenes[[#This Row],[fecha_inicio]]="","",YEAR(tblOrdenes[[#This Row],[fecha_inicio]]))</f>
        <v/>
      </c>
      <c r="Q164" s="5">
        <f>IF(tblOrdenes[[#This Row],[fecha_inicio]]="","",MONTH(tblOrdenes[[#This Row],[fecha_inicio]]))</f>
        <v/>
      </c>
      <c r="R164" s="5">
        <f>IF(tblOrdenes[[#This Row],[fecha_inicio]]="","",tblOrdenes[[#This Row],[anio]]&amp;"-"&amp;TEXT(tblOrdenes[[#This Row],[mes]],"00"))</f>
        <v/>
      </c>
      <c r="S164" s="5">
        <f>IF(tblOrdenes[[#This Row],[fecha_inicio]]="","",INDEX(lista_dias,WEEKDAY(tblOrdenes[[#This Row],[fecha_inicio]],2)))</f>
        <v/>
      </c>
      <c r="T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4" s="5">
        <f>IF(tblOrdenes[[#This Row],[tipo_ot]]="","",_xlfn.XLOOKUP(tblOrdenes[[#This Row],[tipo_ot]],tblTiposOT[codigo],tblTiposOT[clasificacion],"sin_clasificar"))</f>
        <v/>
      </c>
      <c r="V1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4" s="5">
        <f>IF(tblOrdenes[[#This Row],[centro_costo]]="","",_xlfn.XLOOKUP(tblOrdenes[[#This Row],[centro_costo]],tblCECO[codigo],tblCECO[linea],"(sin catálogo)"))</f>
        <v/>
      </c>
      <c r="X164" s="5">
        <f>IF(tblOrdenes[[#This Row],[centro_costo]]="","",_xlfn.XLOOKUP(tblOrdenes[[#This Row],[centro_costo]],tblCECO[codigo],tblCECO[area],"(sin catálogo)"))</f>
        <v/>
      </c>
      <c r="Y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4" s="5">
        <f>IF(tblOrdenes[[#This Row],[centro_costo]]="","",_xlfn.XLOOKUP(tblOrdenes[[#This Row],[centro_costo]],tblCECO[codigo],tblCECO[coordinador],"(sin catálogo)"))</f>
        <v/>
      </c>
      <c r="AA164" s="5">
        <f>IF(tblOrdenes[[#This Row],[puesto_trabajo]]="","",_xlfn.XLOOKUP(tblOrdenes[[#This Row],[puesto_trabajo]],tblPuestos[codigo],tblPuestos[especialidad],"(sin catálogo)"))</f>
        <v/>
      </c>
      <c r="AB164" s="5">
        <f>IF(tblOrdenes[[#This Row],[cod_actividad]]="","",_xlfn.XLOOKUP(tblOrdenes[[#This Row],[cod_actividad]],tblActividades[codigo],tblActividades[descripcion],"(sin catálogo)"))</f>
        <v/>
      </c>
      <c r="AC164" s="20">
        <f>IF(tblOrdenes[[#This Row],[fecha_inicio]]="","",TODAY()-tblOrdenes[[#This Row],[fecha_inicio]])</f>
        <v/>
      </c>
      <c r="AD1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4" s="5">
        <f>IF(tblOrdenes[[#This Row],[backlog_habiles]]="","",IF(tblOrdenes[[#This Row],[backlog_habiles]]&lt;0,"FUTURO",IF(tblOrdenes[[#This Row],[backlog_habiles]]&gt;p_dias_backlog_max,"BACKLOG","MES CORRIENTE")))</f>
        <v/>
      </c>
      <c r="AF164" s="5">
        <f>IF(tblOrdenes[[#This Row],[backlog_habiles]]="",FALSE,AND(tblOrdenes[[#This Row],[backlog_habiles]]&gt;p_dias_backlog_min,tblOrdenes[[#This Row],[backlog_habiles]]&lt;=p_dias_backlog_max))</f>
        <v/>
      </c>
      <c r="AG164" s="4" t="inlineStr"/>
      <c r="AH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4" s="18">
        <f>IF(tblOrdenes[[#This Row],[orden]]="","",_xlfn.XLOOKUP(tblOrdenes[[#This Row],[id_operacion]],tblEjecucion[id_operacion],tblEjecucion[precio],0))</f>
        <v/>
      </c>
      <c r="AL164" s="18">
        <f>IF(tblOrdenes[[#This Row],[orden]]="","",MAX(0,_xlfn.XLOOKUP(tblOrdenes[[#This Row],[id_operacion]],tblEjecucion[id_operacion],tblEjecucion[costo_plan_total],0)-tblOrdenes[[#This Row],[costo_servicio]]))</f>
        <v/>
      </c>
      <c r="AM164" s="18">
        <f>IF(tblOrdenes[[#This Row],[orden]]="","",tblOrdenes[[#This Row],[costo_servicio]]+tblOrdenes[[#This Row],[costo_materiales]])</f>
        <v/>
      </c>
      <c r="AN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4" s="4" t="inlineStr"/>
      <c r="AP164" s="4" t="inlineStr"/>
      <c r="AQ164" s="4" t="inlineStr"/>
      <c r="AR164" s="5">
        <f>IF(tblOrdenes[[#This Row],[link_checklist]]="","",HYPERLINK(p_ruta_base_checklists&amp;tblOrdenes[[#This Row],[link_checklist]],"abrir"))</f>
        <v/>
      </c>
      <c r="AS164" s="4" t="inlineStr"/>
      <c r="AT164" s="5">
        <f>IF(tblOrdenes[[#This Row],[orden]]="","",tblOrdenes[[#This Row],[orden]]&amp;IF(tblOrdenes[[#This Row],[operacion]]="","0010",tblOrdenes[[#This Row],[operacion]]))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22" t="n">
        <v>46270</v>
      </c>
      <c r="K165" s="5" t="n">
        <v>6</v>
      </c>
      <c r="L165" s="18" t="n">
        <v>150</v>
      </c>
      <c r="M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5">
        <f>IF(tblOrdenes[[#This Row],[fecha_inicio]]="","",YEAR(tblOrdenes[[#This Row],[fecha_inicio]]))</f>
        <v/>
      </c>
      <c r="Q165" s="5">
        <f>IF(tblOrdenes[[#This Row],[fecha_inicio]]="","",MONTH(tblOrdenes[[#This Row],[fecha_inicio]]))</f>
        <v/>
      </c>
      <c r="R165" s="5">
        <f>IF(tblOrdenes[[#This Row],[fecha_inicio]]="","",tblOrdenes[[#This Row],[anio]]&amp;"-"&amp;TEXT(tblOrdenes[[#This Row],[mes]],"00"))</f>
        <v/>
      </c>
      <c r="S165" s="5">
        <f>IF(tblOrdenes[[#This Row],[fecha_inicio]]="","",INDEX(lista_dias,WEEKDAY(tblOrdenes[[#This Row],[fecha_inicio]],2)))</f>
        <v/>
      </c>
      <c r="T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5" s="5">
        <f>IF(tblOrdenes[[#This Row],[tipo_ot]]="","",_xlfn.XLOOKUP(tblOrdenes[[#This Row],[tipo_ot]],tblTiposOT[codigo],tblTiposOT[clasificacion],"sin_clasificar"))</f>
        <v/>
      </c>
      <c r="V1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5" s="5">
        <f>IF(tblOrdenes[[#This Row],[centro_costo]]="","",_xlfn.XLOOKUP(tblOrdenes[[#This Row],[centro_costo]],tblCECO[codigo],tblCECO[linea],"(sin catálogo)"))</f>
        <v/>
      </c>
      <c r="X165" s="5">
        <f>IF(tblOrdenes[[#This Row],[centro_costo]]="","",_xlfn.XLOOKUP(tblOrdenes[[#This Row],[centro_costo]],tblCECO[codigo],tblCECO[area],"(sin catálogo)"))</f>
        <v/>
      </c>
      <c r="Y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5" s="5">
        <f>IF(tblOrdenes[[#This Row],[centro_costo]]="","",_xlfn.XLOOKUP(tblOrdenes[[#This Row],[centro_costo]],tblCECO[codigo],tblCECO[coordinador],"(sin catálogo)"))</f>
        <v/>
      </c>
      <c r="AA165" s="5">
        <f>IF(tblOrdenes[[#This Row],[puesto_trabajo]]="","",_xlfn.XLOOKUP(tblOrdenes[[#This Row],[puesto_trabajo]],tblPuestos[codigo],tblPuestos[especialidad],"(sin catálogo)"))</f>
        <v/>
      </c>
      <c r="AB165" s="5">
        <f>IF(tblOrdenes[[#This Row],[cod_actividad]]="","",_xlfn.XLOOKUP(tblOrdenes[[#This Row],[cod_actividad]],tblActividades[codigo],tblActividades[descripcion],"(sin catálogo)"))</f>
        <v/>
      </c>
      <c r="AC165" s="20">
        <f>IF(tblOrdenes[[#This Row],[fecha_inicio]]="","",TODAY()-tblOrdenes[[#This Row],[fecha_inicio]])</f>
        <v/>
      </c>
      <c r="AD1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5" s="5">
        <f>IF(tblOrdenes[[#This Row],[backlog_habiles]]="","",IF(tblOrdenes[[#This Row],[backlog_habiles]]&lt;0,"FUTURO",IF(tblOrdenes[[#This Row],[backlog_habiles]]&gt;p_dias_backlog_max,"BACKLOG","MES CORRIENTE")))</f>
        <v/>
      </c>
      <c r="AF165" s="5">
        <f>IF(tblOrdenes[[#This Row],[backlog_habiles]]="",FALSE,AND(tblOrdenes[[#This Row],[backlog_habiles]]&gt;p_dias_backlog_min,tblOrdenes[[#This Row],[backlog_habiles]]&lt;=p_dias_backlog_max))</f>
        <v/>
      </c>
      <c r="AG165" s="4" t="inlineStr"/>
      <c r="AH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5" s="18">
        <f>IF(tblOrdenes[[#This Row],[orden]]="","",_xlfn.XLOOKUP(tblOrdenes[[#This Row],[id_operacion]],tblEjecucion[id_operacion],tblEjecucion[precio],0))</f>
        <v/>
      </c>
      <c r="AL165" s="18">
        <f>IF(tblOrdenes[[#This Row],[orden]]="","",MAX(0,_xlfn.XLOOKUP(tblOrdenes[[#This Row],[id_operacion]],tblEjecucion[id_operacion],tblEjecucion[costo_plan_total],0)-tblOrdenes[[#This Row],[costo_servicio]]))</f>
        <v/>
      </c>
      <c r="AM165" s="18">
        <f>IF(tblOrdenes[[#This Row],[orden]]="","",tblOrdenes[[#This Row],[costo_servicio]]+tblOrdenes[[#This Row],[costo_materiales]])</f>
        <v/>
      </c>
      <c r="AN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5" s="4" t="inlineStr"/>
      <c r="AP165" s="4" t="inlineStr"/>
      <c r="AQ165" s="4" t="inlineStr"/>
      <c r="AR165" s="5">
        <f>IF(tblOrdenes[[#This Row],[link_checklist]]="","",HYPERLINK(p_ruta_base_checklists&amp;tblOrdenes[[#This Row],[link_checklist]],"abrir"))</f>
        <v/>
      </c>
      <c r="AS165" s="4" t="inlineStr"/>
      <c r="AT165" s="5">
        <f>IF(tblOrdenes[[#This Row],[orden]]="","",tblOrdenes[[#This Row],[orden]]&amp;IF(tblOrdenes[[#This Row],[operacion]]="","0010",tblOrdenes[[#This Row],[operacion]]))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TIPO-P1</t>
        </is>
      </c>
      <c r="J166" s="22" t="n">
        <v>46330</v>
      </c>
      <c r="K166" s="5" t="n">
        <v>6</v>
      </c>
      <c r="L166" s="18" t="n">
        <v>150</v>
      </c>
      <c r="M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5">
        <f>IF(tblOrdenes[[#This Row],[fecha_inicio]]="","",YEAR(tblOrdenes[[#This Row],[fecha_inicio]]))</f>
        <v/>
      </c>
      <c r="Q166" s="5">
        <f>IF(tblOrdenes[[#This Row],[fecha_inicio]]="","",MONTH(tblOrdenes[[#This Row],[fecha_inicio]]))</f>
        <v/>
      </c>
      <c r="R166" s="5">
        <f>IF(tblOrdenes[[#This Row],[fecha_inicio]]="","",tblOrdenes[[#This Row],[anio]]&amp;"-"&amp;TEXT(tblOrdenes[[#This Row],[mes]],"00"))</f>
        <v/>
      </c>
      <c r="S166" s="5">
        <f>IF(tblOrdenes[[#This Row],[fecha_inicio]]="","",INDEX(lista_dias,WEEKDAY(tblOrdenes[[#This Row],[fecha_inicio]],2)))</f>
        <v/>
      </c>
      <c r="T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6" s="5">
        <f>IF(tblOrdenes[[#This Row],[tipo_ot]]="","",_xlfn.XLOOKUP(tblOrdenes[[#This Row],[tipo_ot]],tblTiposOT[codigo],tblTiposOT[clasificacion],"sin_clasificar"))</f>
        <v/>
      </c>
      <c r="V1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6" s="5">
        <f>IF(tblOrdenes[[#This Row],[centro_costo]]="","",_xlfn.XLOOKUP(tblOrdenes[[#This Row],[centro_costo]],tblCECO[codigo],tblCECO[linea],"(sin catálogo)"))</f>
        <v/>
      </c>
      <c r="X166" s="5">
        <f>IF(tblOrdenes[[#This Row],[centro_costo]]="","",_xlfn.XLOOKUP(tblOrdenes[[#This Row],[centro_costo]],tblCECO[codigo],tblCECO[area],"(sin catálogo)"))</f>
        <v/>
      </c>
      <c r="Y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6" s="5">
        <f>IF(tblOrdenes[[#This Row],[centro_costo]]="","",_xlfn.XLOOKUP(tblOrdenes[[#This Row],[centro_costo]],tblCECO[codigo],tblCECO[coordinador],"(sin catálogo)"))</f>
        <v/>
      </c>
      <c r="AA166" s="5">
        <f>IF(tblOrdenes[[#This Row],[puesto_trabajo]]="","",_xlfn.XLOOKUP(tblOrdenes[[#This Row],[puesto_trabajo]],tblPuestos[codigo],tblPuestos[especialidad],"(sin catálogo)"))</f>
        <v/>
      </c>
      <c r="AB166" s="5">
        <f>IF(tblOrdenes[[#This Row],[cod_actividad]]="","",_xlfn.XLOOKUP(tblOrdenes[[#This Row],[cod_actividad]],tblActividades[codigo],tblActividades[descripcion],"(sin catálogo)"))</f>
        <v/>
      </c>
      <c r="AC166" s="20">
        <f>IF(tblOrdenes[[#This Row],[fecha_inicio]]="","",TODAY()-tblOrdenes[[#This Row],[fecha_inicio]])</f>
        <v/>
      </c>
      <c r="AD1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6" s="5">
        <f>IF(tblOrdenes[[#This Row],[backlog_habiles]]="","",IF(tblOrdenes[[#This Row],[backlog_habiles]]&lt;0,"FUTURO",IF(tblOrdenes[[#This Row],[backlog_habiles]]&gt;p_dias_backlog_max,"BACKLOG","MES CORRIENTE")))</f>
        <v/>
      </c>
      <c r="AF166" s="5">
        <f>IF(tblOrdenes[[#This Row],[backlog_habiles]]="",FALSE,AND(tblOrdenes[[#This Row],[backlog_habiles]]&gt;p_dias_backlog_min,tblOrdenes[[#This Row],[backlog_habiles]]&lt;=p_dias_backlog_max))</f>
        <v/>
      </c>
      <c r="AG166" s="4" t="inlineStr"/>
      <c r="AH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6" s="18">
        <f>IF(tblOrdenes[[#This Row],[orden]]="","",_xlfn.XLOOKUP(tblOrdenes[[#This Row],[id_operacion]],tblEjecucion[id_operacion],tblEjecucion[precio],0))</f>
        <v/>
      </c>
      <c r="AL166" s="18">
        <f>IF(tblOrdenes[[#This Row],[orden]]="","",MAX(0,_xlfn.XLOOKUP(tblOrdenes[[#This Row],[id_operacion]],tblEjecucion[id_operacion],tblEjecucion[costo_plan_total],0)-tblOrdenes[[#This Row],[costo_servicio]]))</f>
        <v/>
      </c>
      <c r="AM166" s="18">
        <f>IF(tblOrdenes[[#This Row],[orden]]="","",tblOrdenes[[#This Row],[costo_servicio]]+tblOrdenes[[#This Row],[costo_materiales]])</f>
        <v/>
      </c>
      <c r="AN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6" s="4" t="inlineStr"/>
      <c r="AP166" s="4" t="inlineStr"/>
      <c r="AQ166" s="4" t="inlineStr"/>
      <c r="AR166" s="5">
        <f>IF(tblOrdenes[[#This Row],[link_checklist]]="","",HYPERLINK(p_ruta_base_checklists&amp;tblOrdenes[[#This Row],[link_checklist]],"abrir"))</f>
        <v/>
      </c>
      <c r="AS166" s="4" t="inlineStr"/>
      <c r="AT166" s="5">
        <f>IF(tblOrdenes[[#This Row],[orden]]="","",tblOrdenes[[#This Row],[orden]]&amp;IF(tblOrdenes[[#This Row],[operacion]]="","0010",tblOrdenes[[#This Row],[operacion]]))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TIPO-P2</t>
        </is>
      </c>
      <c r="J167" s="22" t="n">
        <v>46330</v>
      </c>
      <c r="K167" s="5" t="n">
        <v>6</v>
      </c>
      <c r="L167" s="18" t="n">
        <v>150</v>
      </c>
      <c r="M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5">
        <f>IF(tblOrdenes[[#This Row],[fecha_inicio]]="","",YEAR(tblOrdenes[[#This Row],[fecha_inicio]]))</f>
        <v/>
      </c>
      <c r="Q167" s="5">
        <f>IF(tblOrdenes[[#This Row],[fecha_inicio]]="","",MONTH(tblOrdenes[[#This Row],[fecha_inicio]]))</f>
        <v/>
      </c>
      <c r="R167" s="5">
        <f>IF(tblOrdenes[[#This Row],[fecha_inicio]]="","",tblOrdenes[[#This Row],[anio]]&amp;"-"&amp;TEXT(tblOrdenes[[#This Row],[mes]],"00"))</f>
        <v/>
      </c>
      <c r="S167" s="5">
        <f>IF(tblOrdenes[[#This Row],[fecha_inicio]]="","",INDEX(lista_dias,WEEKDAY(tblOrdenes[[#This Row],[fecha_inicio]],2)))</f>
        <v/>
      </c>
      <c r="T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7" s="5">
        <f>IF(tblOrdenes[[#This Row],[tipo_ot]]="","",_xlfn.XLOOKUP(tblOrdenes[[#This Row],[tipo_ot]],tblTiposOT[codigo],tblTiposOT[clasificacion],"sin_clasificar"))</f>
        <v/>
      </c>
      <c r="V1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7" s="5">
        <f>IF(tblOrdenes[[#This Row],[centro_costo]]="","",_xlfn.XLOOKUP(tblOrdenes[[#This Row],[centro_costo]],tblCECO[codigo],tblCECO[linea],"(sin catálogo)"))</f>
        <v/>
      </c>
      <c r="X167" s="5">
        <f>IF(tblOrdenes[[#This Row],[centro_costo]]="","",_xlfn.XLOOKUP(tblOrdenes[[#This Row],[centro_costo]],tblCECO[codigo],tblCECO[area],"(sin catálogo)"))</f>
        <v/>
      </c>
      <c r="Y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7" s="5">
        <f>IF(tblOrdenes[[#This Row],[centro_costo]]="","",_xlfn.XLOOKUP(tblOrdenes[[#This Row],[centro_costo]],tblCECO[codigo],tblCECO[coordinador],"(sin catálogo)"))</f>
        <v/>
      </c>
      <c r="AA167" s="5">
        <f>IF(tblOrdenes[[#This Row],[puesto_trabajo]]="","",_xlfn.XLOOKUP(tblOrdenes[[#This Row],[puesto_trabajo]],tblPuestos[codigo],tblPuestos[especialidad],"(sin catálogo)"))</f>
        <v/>
      </c>
      <c r="AB167" s="5">
        <f>IF(tblOrdenes[[#This Row],[cod_actividad]]="","",_xlfn.XLOOKUP(tblOrdenes[[#This Row],[cod_actividad]],tblActividades[codigo],tblActividades[descripcion],"(sin catálogo)"))</f>
        <v/>
      </c>
      <c r="AC167" s="20">
        <f>IF(tblOrdenes[[#This Row],[fecha_inicio]]="","",TODAY()-tblOrdenes[[#This Row],[fecha_inicio]])</f>
        <v/>
      </c>
      <c r="AD1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7" s="5">
        <f>IF(tblOrdenes[[#This Row],[backlog_habiles]]="","",IF(tblOrdenes[[#This Row],[backlog_habiles]]&lt;0,"FUTURO",IF(tblOrdenes[[#This Row],[backlog_habiles]]&gt;p_dias_backlog_max,"BACKLOG","MES CORRIENTE")))</f>
        <v/>
      </c>
      <c r="AF167" s="5">
        <f>IF(tblOrdenes[[#This Row],[backlog_habiles]]="",FALSE,AND(tblOrdenes[[#This Row],[backlog_habiles]]&gt;p_dias_backlog_min,tblOrdenes[[#This Row],[backlog_habiles]]&lt;=p_dias_backlog_max))</f>
        <v/>
      </c>
      <c r="AG167" s="4" t="inlineStr"/>
      <c r="AH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7" s="18">
        <f>IF(tblOrdenes[[#This Row],[orden]]="","",_xlfn.XLOOKUP(tblOrdenes[[#This Row],[id_operacion]],tblEjecucion[id_operacion],tblEjecucion[precio],0))</f>
        <v/>
      </c>
      <c r="AL167" s="18">
        <f>IF(tblOrdenes[[#This Row],[orden]]="","",MAX(0,_xlfn.XLOOKUP(tblOrdenes[[#This Row],[id_operacion]],tblEjecucion[id_operacion],tblEjecucion[costo_plan_total],0)-tblOrdenes[[#This Row],[costo_servicio]]))</f>
        <v/>
      </c>
      <c r="AM167" s="18">
        <f>IF(tblOrdenes[[#This Row],[orden]]="","",tblOrdenes[[#This Row],[costo_servicio]]+tblOrdenes[[#This Row],[costo_materiales]])</f>
        <v/>
      </c>
      <c r="AN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7" s="4" t="inlineStr"/>
      <c r="AP167" s="4" t="inlineStr"/>
      <c r="AQ167" s="4" t="inlineStr"/>
      <c r="AR167" s="5">
        <f>IF(tblOrdenes[[#This Row],[link_checklist]]="","",HYPERLINK(p_ruta_base_checklists&amp;tblOrdenes[[#This Row],[link_checklist]],"abrir"))</f>
        <v/>
      </c>
      <c r="AS167" s="4" t="inlineStr"/>
      <c r="AT167" s="5">
        <f>IF(tblOrdenes[[#This Row],[orden]]="","",tblOrdenes[[#This Row],[orden]]&amp;IF(tblOrdenes[[#This Row],[operacion]]="","0010",tblOrdenes[[#This Row],[operacion]]))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TIPO-P1</t>
        </is>
      </c>
      <c r="J168" s="22" t="n">
        <v>46385</v>
      </c>
      <c r="K168" s="5" t="n">
        <v>4</v>
      </c>
      <c r="L168" s="18" t="n">
        <v>100</v>
      </c>
      <c r="M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5">
        <f>IF(tblOrdenes[[#This Row],[fecha_inicio]]="","",YEAR(tblOrdenes[[#This Row],[fecha_inicio]]))</f>
        <v/>
      </c>
      <c r="Q168" s="5">
        <f>IF(tblOrdenes[[#This Row],[fecha_inicio]]="","",MONTH(tblOrdenes[[#This Row],[fecha_inicio]]))</f>
        <v/>
      </c>
      <c r="R168" s="5">
        <f>IF(tblOrdenes[[#This Row],[fecha_inicio]]="","",tblOrdenes[[#This Row],[anio]]&amp;"-"&amp;TEXT(tblOrdenes[[#This Row],[mes]],"00"))</f>
        <v/>
      </c>
      <c r="S168" s="5">
        <f>IF(tblOrdenes[[#This Row],[fecha_inicio]]="","",INDEX(lista_dias,WEEKDAY(tblOrdenes[[#This Row],[fecha_inicio]],2)))</f>
        <v/>
      </c>
      <c r="T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8" s="5">
        <f>IF(tblOrdenes[[#This Row],[tipo_ot]]="","",_xlfn.XLOOKUP(tblOrdenes[[#This Row],[tipo_ot]],tblTiposOT[codigo],tblTiposOT[clasificacion],"sin_clasificar"))</f>
        <v/>
      </c>
      <c r="V1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8" s="5">
        <f>IF(tblOrdenes[[#This Row],[centro_costo]]="","",_xlfn.XLOOKUP(tblOrdenes[[#This Row],[centro_costo]],tblCECO[codigo],tblCECO[linea],"(sin catálogo)"))</f>
        <v/>
      </c>
      <c r="X168" s="5">
        <f>IF(tblOrdenes[[#This Row],[centro_costo]]="","",_xlfn.XLOOKUP(tblOrdenes[[#This Row],[centro_costo]],tblCECO[codigo],tblCECO[area],"(sin catálogo)"))</f>
        <v/>
      </c>
      <c r="Y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8" s="5">
        <f>IF(tblOrdenes[[#This Row],[centro_costo]]="","",_xlfn.XLOOKUP(tblOrdenes[[#This Row],[centro_costo]],tblCECO[codigo],tblCECO[coordinador],"(sin catálogo)"))</f>
        <v/>
      </c>
      <c r="AA168" s="5">
        <f>IF(tblOrdenes[[#This Row],[puesto_trabajo]]="","",_xlfn.XLOOKUP(tblOrdenes[[#This Row],[puesto_trabajo]],tblPuestos[codigo],tblPuestos[especialidad],"(sin catálogo)"))</f>
        <v/>
      </c>
      <c r="AB168" s="5">
        <f>IF(tblOrdenes[[#This Row],[cod_actividad]]="","",_xlfn.XLOOKUP(tblOrdenes[[#This Row],[cod_actividad]],tblActividades[codigo],tblActividades[descripcion],"(sin catálogo)"))</f>
        <v/>
      </c>
      <c r="AC168" s="20">
        <f>IF(tblOrdenes[[#This Row],[fecha_inicio]]="","",TODAY()-tblOrdenes[[#This Row],[fecha_inicio]])</f>
        <v/>
      </c>
      <c r="AD1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8" s="5">
        <f>IF(tblOrdenes[[#This Row],[backlog_habiles]]="","",IF(tblOrdenes[[#This Row],[backlog_habiles]]&lt;0,"FUTURO",IF(tblOrdenes[[#This Row],[backlog_habiles]]&gt;p_dias_backlog_max,"BACKLOG","MES CORRIENTE")))</f>
        <v/>
      </c>
      <c r="AF168" s="5">
        <f>IF(tblOrdenes[[#This Row],[backlog_habiles]]="",FALSE,AND(tblOrdenes[[#This Row],[backlog_habiles]]&gt;p_dias_backlog_min,tblOrdenes[[#This Row],[backlog_habiles]]&lt;=p_dias_backlog_max))</f>
        <v/>
      </c>
      <c r="AG168" s="4" t="inlineStr"/>
      <c r="AH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8" s="18">
        <f>IF(tblOrdenes[[#This Row],[orden]]="","",_xlfn.XLOOKUP(tblOrdenes[[#This Row],[id_operacion]],tblEjecucion[id_operacion],tblEjecucion[precio],0))</f>
        <v/>
      </c>
      <c r="AL168" s="18">
        <f>IF(tblOrdenes[[#This Row],[orden]]="","",MAX(0,_xlfn.XLOOKUP(tblOrdenes[[#This Row],[id_operacion]],tblEjecucion[id_operacion],tblEjecucion[costo_plan_total],0)-tblOrdenes[[#This Row],[costo_servicio]]))</f>
        <v/>
      </c>
      <c r="AM168" s="18">
        <f>IF(tblOrdenes[[#This Row],[orden]]="","",tblOrdenes[[#This Row],[costo_servicio]]+tblOrdenes[[#This Row],[costo_materiales]])</f>
        <v/>
      </c>
      <c r="AN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8" s="4" t="inlineStr"/>
      <c r="AP168" s="4" t="inlineStr"/>
      <c r="AQ168" s="4" t="inlineStr"/>
      <c r="AR168" s="5">
        <f>IF(tblOrdenes[[#This Row],[link_checklist]]="","",HYPERLINK(p_ruta_base_checklists&amp;tblOrdenes[[#This Row],[link_checklist]],"abrir"))</f>
        <v/>
      </c>
      <c r="AS168" s="4" t="inlineStr"/>
      <c r="AT168" s="5">
        <f>IF(tblOrdenes[[#This Row],[orden]]="","",tblOrdenes[[#This Row],[orden]]&amp;IF(tblOrdenes[[#This Row],[operacion]]="","0010",tblOrdenes[[#This Row],[operacion]]))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22" t="n">
        <v>46388</v>
      </c>
      <c r="K169" s="5" t="n">
        <v>4</v>
      </c>
      <c r="L169" s="18" t="n">
        <v>100</v>
      </c>
      <c r="M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5">
        <f>IF(tblOrdenes[[#This Row],[fecha_inicio]]="","",YEAR(tblOrdenes[[#This Row],[fecha_inicio]]))</f>
        <v/>
      </c>
      <c r="Q169" s="5">
        <f>IF(tblOrdenes[[#This Row],[fecha_inicio]]="","",MONTH(tblOrdenes[[#This Row],[fecha_inicio]]))</f>
        <v/>
      </c>
      <c r="R169" s="5">
        <f>IF(tblOrdenes[[#This Row],[fecha_inicio]]="","",tblOrdenes[[#This Row],[anio]]&amp;"-"&amp;TEXT(tblOrdenes[[#This Row],[mes]],"00"))</f>
        <v/>
      </c>
      <c r="S169" s="5">
        <f>IF(tblOrdenes[[#This Row],[fecha_inicio]]="","",INDEX(lista_dias,WEEKDAY(tblOrdenes[[#This Row],[fecha_inicio]],2)))</f>
        <v/>
      </c>
      <c r="T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9" s="5">
        <f>IF(tblOrdenes[[#This Row],[tipo_ot]]="","",_xlfn.XLOOKUP(tblOrdenes[[#This Row],[tipo_ot]],tblTiposOT[codigo],tblTiposOT[clasificacion],"sin_clasificar"))</f>
        <v/>
      </c>
      <c r="V1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9" s="5">
        <f>IF(tblOrdenes[[#This Row],[centro_costo]]="","",_xlfn.XLOOKUP(tblOrdenes[[#This Row],[centro_costo]],tblCECO[codigo],tblCECO[linea],"(sin catálogo)"))</f>
        <v/>
      </c>
      <c r="X169" s="5">
        <f>IF(tblOrdenes[[#This Row],[centro_costo]]="","",_xlfn.XLOOKUP(tblOrdenes[[#This Row],[centro_costo]],tblCECO[codigo],tblCECO[area],"(sin catálogo)"))</f>
        <v/>
      </c>
      <c r="Y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69" s="5">
        <f>IF(tblOrdenes[[#This Row],[centro_costo]]="","",_xlfn.XLOOKUP(tblOrdenes[[#This Row],[centro_costo]],tblCECO[codigo],tblCECO[coordinador],"(sin catálogo)"))</f>
        <v/>
      </c>
      <c r="AA169" s="5">
        <f>IF(tblOrdenes[[#This Row],[puesto_trabajo]]="","",_xlfn.XLOOKUP(tblOrdenes[[#This Row],[puesto_trabajo]],tblPuestos[codigo],tblPuestos[especialidad],"(sin catálogo)"))</f>
        <v/>
      </c>
      <c r="AB169" s="5">
        <f>IF(tblOrdenes[[#This Row],[cod_actividad]]="","",_xlfn.XLOOKUP(tblOrdenes[[#This Row],[cod_actividad]],tblActividades[codigo],tblActividades[descripcion],"(sin catálogo)"))</f>
        <v/>
      </c>
      <c r="AC169" s="20">
        <f>IF(tblOrdenes[[#This Row],[fecha_inicio]]="","",TODAY()-tblOrdenes[[#This Row],[fecha_inicio]])</f>
        <v/>
      </c>
      <c r="AD1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69" s="5">
        <f>IF(tblOrdenes[[#This Row],[backlog_habiles]]="","",IF(tblOrdenes[[#This Row],[backlog_habiles]]&lt;0,"FUTURO",IF(tblOrdenes[[#This Row],[backlog_habiles]]&gt;p_dias_backlog_max,"BACKLOG","MES CORRIENTE")))</f>
        <v/>
      </c>
      <c r="AF169" s="5">
        <f>IF(tblOrdenes[[#This Row],[backlog_habiles]]="",FALSE,AND(tblOrdenes[[#This Row],[backlog_habiles]]&gt;p_dias_backlog_min,tblOrdenes[[#This Row],[backlog_habiles]]&lt;=p_dias_backlog_max))</f>
        <v/>
      </c>
      <c r="AG169" s="4" t="inlineStr"/>
      <c r="AH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69" s="18">
        <f>IF(tblOrdenes[[#This Row],[orden]]="","",_xlfn.XLOOKUP(tblOrdenes[[#This Row],[id_operacion]],tblEjecucion[id_operacion],tblEjecucion[precio],0))</f>
        <v/>
      </c>
      <c r="AL169" s="18">
        <f>IF(tblOrdenes[[#This Row],[orden]]="","",MAX(0,_xlfn.XLOOKUP(tblOrdenes[[#This Row],[id_operacion]],tblEjecucion[id_operacion],tblEjecucion[costo_plan_total],0)-tblOrdenes[[#This Row],[costo_servicio]]))</f>
        <v/>
      </c>
      <c r="AM169" s="18">
        <f>IF(tblOrdenes[[#This Row],[orden]]="","",tblOrdenes[[#This Row],[costo_servicio]]+tblOrdenes[[#This Row],[costo_materiales]])</f>
        <v/>
      </c>
      <c r="AN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69" s="4" t="inlineStr"/>
      <c r="AP169" s="4" t="inlineStr"/>
      <c r="AQ169" s="4" t="inlineStr"/>
      <c r="AR169" s="5">
        <f>IF(tblOrdenes[[#This Row],[link_checklist]]="","",HYPERLINK(p_ruta_base_checklists&amp;tblOrdenes[[#This Row],[link_checklist]],"abrir"))</f>
        <v/>
      </c>
      <c r="AS169" s="4" t="inlineStr"/>
      <c r="AT169" s="5">
        <f>IF(tblOrdenes[[#This Row],[orden]]="","",tblOrdenes[[#This Row],[orden]]&amp;IF(tblOrdenes[[#This Row],[operacion]]="","0010",tblOrdenes[[#This Row],[operacion]]))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22" t="n">
        <v>46392</v>
      </c>
      <c r="K170" s="5" t="n">
        <v>4</v>
      </c>
      <c r="L170" s="18" t="n">
        <v>100</v>
      </c>
      <c r="M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5">
        <f>IF(tblOrdenes[[#This Row],[fecha_inicio]]="","",YEAR(tblOrdenes[[#This Row],[fecha_inicio]]))</f>
        <v/>
      </c>
      <c r="Q170" s="5">
        <f>IF(tblOrdenes[[#This Row],[fecha_inicio]]="","",MONTH(tblOrdenes[[#This Row],[fecha_inicio]]))</f>
        <v/>
      </c>
      <c r="R170" s="5">
        <f>IF(tblOrdenes[[#This Row],[fecha_inicio]]="","",tblOrdenes[[#This Row],[anio]]&amp;"-"&amp;TEXT(tblOrdenes[[#This Row],[mes]],"00"))</f>
        <v/>
      </c>
      <c r="S170" s="5">
        <f>IF(tblOrdenes[[#This Row],[fecha_inicio]]="","",INDEX(lista_dias,WEEKDAY(tblOrdenes[[#This Row],[fecha_inicio]],2)))</f>
        <v/>
      </c>
      <c r="T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0" s="5">
        <f>IF(tblOrdenes[[#This Row],[tipo_ot]]="","",_xlfn.XLOOKUP(tblOrdenes[[#This Row],[tipo_ot]],tblTiposOT[codigo],tblTiposOT[clasificacion],"sin_clasificar"))</f>
        <v/>
      </c>
      <c r="V1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0" s="5">
        <f>IF(tblOrdenes[[#This Row],[centro_costo]]="","",_xlfn.XLOOKUP(tblOrdenes[[#This Row],[centro_costo]],tblCECO[codigo],tblCECO[linea],"(sin catálogo)"))</f>
        <v/>
      </c>
      <c r="X170" s="5">
        <f>IF(tblOrdenes[[#This Row],[centro_costo]]="","",_xlfn.XLOOKUP(tblOrdenes[[#This Row],[centro_costo]],tblCECO[codigo],tblCECO[area],"(sin catálogo)"))</f>
        <v/>
      </c>
      <c r="Y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0" s="5">
        <f>IF(tblOrdenes[[#This Row],[centro_costo]]="","",_xlfn.XLOOKUP(tblOrdenes[[#This Row],[centro_costo]],tblCECO[codigo],tblCECO[coordinador],"(sin catálogo)"))</f>
        <v/>
      </c>
      <c r="AA170" s="5">
        <f>IF(tblOrdenes[[#This Row],[puesto_trabajo]]="","",_xlfn.XLOOKUP(tblOrdenes[[#This Row],[puesto_trabajo]],tblPuestos[codigo],tblPuestos[especialidad],"(sin catálogo)"))</f>
        <v/>
      </c>
      <c r="AB170" s="5">
        <f>IF(tblOrdenes[[#This Row],[cod_actividad]]="","",_xlfn.XLOOKUP(tblOrdenes[[#This Row],[cod_actividad]],tblActividades[codigo],tblActividades[descripcion],"(sin catálogo)"))</f>
        <v/>
      </c>
      <c r="AC170" s="20">
        <f>IF(tblOrdenes[[#This Row],[fecha_inicio]]="","",TODAY()-tblOrdenes[[#This Row],[fecha_inicio]])</f>
        <v/>
      </c>
      <c r="AD1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0" s="5">
        <f>IF(tblOrdenes[[#This Row],[backlog_habiles]]="","",IF(tblOrdenes[[#This Row],[backlog_habiles]]&lt;0,"FUTURO",IF(tblOrdenes[[#This Row],[backlog_habiles]]&gt;p_dias_backlog_max,"BACKLOG","MES CORRIENTE")))</f>
        <v/>
      </c>
      <c r="AF170" s="5">
        <f>IF(tblOrdenes[[#This Row],[backlog_habiles]]="",FALSE,AND(tblOrdenes[[#This Row],[backlog_habiles]]&gt;p_dias_backlog_min,tblOrdenes[[#This Row],[backlog_habiles]]&lt;=p_dias_backlog_max))</f>
        <v/>
      </c>
      <c r="AG170" s="4" t="inlineStr"/>
      <c r="AH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0" s="18">
        <f>IF(tblOrdenes[[#This Row],[orden]]="","",_xlfn.XLOOKUP(tblOrdenes[[#This Row],[id_operacion]],tblEjecucion[id_operacion],tblEjecucion[precio],0))</f>
        <v/>
      </c>
      <c r="AL170" s="18">
        <f>IF(tblOrdenes[[#This Row],[orden]]="","",MAX(0,_xlfn.XLOOKUP(tblOrdenes[[#This Row],[id_operacion]],tblEjecucion[id_operacion],tblEjecucion[costo_plan_total],0)-tblOrdenes[[#This Row],[costo_servicio]]))</f>
        <v/>
      </c>
      <c r="AM170" s="18">
        <f>IF(tblOrdenes[[#This Row],[orden]]="","",tblOrdenes[[#This Row],[costo_servicio]]+tblOrdenes[[#This Row],[costo_materiales]])</f>
        <v/>
      </c>
      <c r="AN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0" s="4" t="inlineStr"/>
      <c r="AP170" s="4" t="inlineStr"/>
      <c r="AQ170" s="4" t="inlineStr"/>
      <c r="AR170" s="5">
        <f>IF(tblOrdenes[[#This Row],[link_checklist]]="","",HYPERLINK(p_ruta_base_checklists&amp;tblOrdenes[[#This Row],[link_checklist]],"abrir"))</f>
        <v/>
      </c>
      <c r="AS170" s="4" t="inlineStr"/>
      <c r="AT170" s="5">
        <f>IF(tblOrdenes[[#This Row],[orden]]="","",tblOrdenes[[#This Row],[orden]]&amp;IF(tblOrdenes[[#This Row],[operacion]]="","0010",tblOrdenes[[#This Row],[operacion]]))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22" t="n">
        <v>46180</v>
      </c>
      <c r="K171" s="5" t="n">
        <v>6</v>
      </c>
      <c r="L171" s="18" t="n">
        <v>240</v>
      </c>
      <c r="M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5">
        <f>IF(tblOrdenes[[#This Row],[fecha_inicio]]="","",YEAR(tblOrdenes[[#This Row],[fecha_inicio]]))</f>
        <v/>
      </c>
      <c r="Q171" s="5">
        <f>IF(tblOrdenes[[#This Row],[fecha_inicio]]="","",MONTH(tblOrdenes[[#This Row],[fecha_inicio]]))</f>
        <v/>
      </c>
      <c r="R171" s="5">
        <f>IF(tblOrdenes[[#This Row],[fecha_inicio]]="","",tblOrdenes[[#This Row],[anio]]&amp;"-"&amp;TEXT(tblOrdenes[[#This Row],[mes]],"00"))</f>
        <v/>
      </c>
      <c r="S171" s="5">
        <f>IF(tblOrdenes[[#This Row],[fecha_inicio]]="","",INDEX(lista_dias,WEEKDAY(tblOrdenes[[#This Row],[fecha_inicio]],2)))</f>
        <v/>
      </c>
      <c r="T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1" s="5">
        <f>IF(tblOrdenes[[#This Row],[tipo_ot]]="","",_xlfn.XLOOKUP(tblOrdenes[[#This Row],[tipo_ot]],tblTiposOT[codigo],tblTiposOT[clasificacion],"sin_clasificar"))</f>
        <v/>
      </c>
      <c r="V1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1" s="5">
        <f>IF(tblOrdenes[[#This Row],[centro_costo]]="","",_xlfn.XLOOKUP(tblOrdenes[[#This Row],[centro_costo]],tblCECO[codigo],tblCECO[linea],"(sin catálogo)"))</f>
        <v/>
      </c>
      <c r="X171" s="5">
        <f>IF(tblOrdenes[[#This Row],[centro_costo]]="","",_xlfn.XLOOKUP(tblOrdenes[[#This Row],[centro_costo]],tblCECO[codigo],tblCECO[area],"(sin catálogo)"))</f>
        <v/>
      </c>
      <c r="Y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1" s="5">
        <f>IF(tblOrdenes[[#This Row],[centro_costo]]="","",_xlfn.XLOOKUP(tblOrdenes[[#This Row],[centro_costo]],tblCECO[codigo],tblCECO[coordinador],"(sin catálogo)"))</f>
        <v/>
      </c>
      <c r="AA171" s="5">
        <f>IF(tblOrdenes[[#This Row],[puesto_trabajo]]="","",_xlfn.XLOOKUP(tblOrdenes[[#This Row],[puesto_trabajo]],tblPuestos[codigo],tblPuestos[especialidad],"(sin catálogo)"))</f>
        <v/>
      </c>
      <c r="AB171" s="5">
        <f>IF(tblOrdenes[[#This Row],[cod_actividad]]="","",_xlfn.XLOOKUP(tblOrdenes[[#This Row],[cod_actividad]],tblActividades[codigo],tblActividades[descripcion],"(sin catálogo)"))</f>
        <v/>
      </c>
      <c r="AC171" s="20">
        <f>IF(tblOrdenes[[#This Row],[fecha_inicio]]="","",TODAY()-tblOrdenes[[#This Row],[fecha_inicio]])</f>
        <v/>
      </c>
      <c r="AD1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1" s="5">
        <f>IF(tblOrdenes[[#This Row],[backlog_habiles]]="","",IF(tblOrdenes[[#This Row],[backlog_habiles]]&lt;0,"FUTURO",IF(tblOrdenes[[#This Row],[backlog_habiles]]&gt;p_dias_backlog_max,"BACKLOG","MES CORRIENTE")))</f>
        <v/>
      </c>
      <c r="AF171" s="5">
        <f>IF(tblOrdenes[[#This Row],[backlog_habiles]]="",FALSE,AND(tblOrdenes[[#This Row],[backlog_habiles]]&gt;p_dias_backlog_min,tblOrdenes[[#This Row],[backlog_habiles]]&lt;=p_dias_backlog_max))</f>
        <v/>
      </c>
      <c r="AG171" s="4" t="inlineStr"/>
      <c r="AH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1" s="18">
        <f>IF(tblOrdenes[[#This Row],[orden]]="","",_xlfn.XLOOKUP(tblOrdenes[[#This Row],[id_operacion]],tblEjecucion[id_operacion],tblEjecucion[precio],0))</f>
        <v/>
      </c>
      <c r="AL171" s="18">
        <f>IF(tblOrdenes[[#This Row],[orden]]="","",MAX(0,_xlfn.XLOOKUP(tblOrdenes[[#This Row],[id_operacion]],tblEjecucion[id_operacion],tblEjecucion[costo_plan_total],0)-tblOrdenes[[#This Row],[costo_servicio]]))</f>
        <v/>
      </c>
      <c r="AM171" s="18">
        <f>IF(tblOrdenes[[#This Row],[orden]]="","",tblOrdenes[[#This Row],[costo_servicio]]+tblOrdenes[[#This Row],[costo_materiales]])</f>
        <v/>
      </c>
      <c r="AN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1" s="4" t="inlineStr"/>
      <c r="AP171" s="4" t="inlineStr"/>
      <c r="AQ171" s="4" t="inlineStr"/>
      <c r="AR171" s="5">
        <f>IF(tblOrdenes[[#This Row],[link_checklist]]="","",HYPERLINK(p_ruta_base_checklists&amp;tblOrdenes[[#This Row],[link_checklist]],"abrir"))</f>
        <v/>
      </c>
      <c r="AS171" s="4" t="inlineStr"/>
      <c r="AT171" s="5">
        <f>IF(tblOrdenes[[#This Row],[orden]]="","",tblOrdenes[[#This Row],[orden]]&amp;IF(tblOrdenes[[#This Row],[operacion]]="","0010",tblOrdenes[[#This Row],[operacion]]))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22" t="n">
        <v>46180</v>
      </c>
      <c r="K172" s="5" t="n">
        <v>6</v>
      </c>
      <c r="L172" s="18" t="n">
        <v>240</v>
      </c>
      <c r="M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5">
        <f>IF(tblOrdenes[[#This Row],[fecha_inicio]]="","",YEAR(tblOrdenes[[#This Row],[fecha_inicio]]))</f>
        <v/>
      </c>
      <c r="Q172" s="5">
        <f>IF(tblOrdenes[[#This Row],[fecha_inicio]]="","",MONTH(tblOrdenes[[#This Row],[fecha_inicio]]))</f>
        <v/>
      </c>
      <c r="R172" s="5">
        <f>IF(tblOrdenes[[#This Row],[fecha_inicio]]="","",tblOrdenes[[#This Row],[anio]]&amp;"-"&amp;TEXT(tblOrdenes[[#This Row],[mes]],"00"))</f>
        <v/>
      </c>
      <c r="S172" s="5">
        <f>IF(tblOrdenes[[#This Row],[fecha_inicio]]="","",INDEX(lista_dias,WEEKDAY(tblOrdenes[[#This Row],[fecha_inicio]],2)))</f>
        <v/>
      </c>
      <c r="T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2" s="5">
        <f>IF(tblOrdenes[[#This Row],[tipo_ot]]="","",_xlfn.XLOOKUP(tblOrdenes[[#This Row],[tipo_ot]],tblTiposOT[codigo],tblTiposOT[clasificacion],"sin_clasificar"))</f>
        <v/>
      </c>
      <c r="V1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2" s="5">
        <f>IF(tblOrdenes[[#This Row],[centro_costo]]="","",_xlfn.XLOOKUP(tblOrdenes[[#This Row],[centro_costo]],tblCECO[codigo],tblCECO[linea],"(sin catálogo)"))</f>
        <v/>
      </c>
      <c r="X172" s="5">
        <f>IF(tblOrdenes[[#This Row],[centro_costo]]="","",_xlfn.XLOOKUP(tblOrdenes[[#This Row],[centro_costo]],tblCECO[codigo],tblCECO[area],"(sin catálogo)"))</f>
        <v/>
      </c>
      <c r="Y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2" s="5">
        <f>IF(tblOrdenes[[#This Row],[centro_costo]]="","",_xlfn.XLOOKUP(tblOrdenes[[#This Row],[centro_costo]],tblCECO[codigo],tblCECO[coordinador],"(sin catálogo)"))</f>
        <v/>
      </c>
      <c r="AA172" s="5">
        <f>IF(tblOrdenes[[#This Row],[puesto_trabajo]]="","",_xlfn.XLOOKUP(tblOrdenes[[#This Row],[puesto_trabajo]],tblPuestos[codigo],tblPuestos[especialidad],"(sin catálogo)"))</f>
        <v/>
      </c>
      <c r="AB172" s="5">
        <f>IF(tblOrdenes[[#This Row],[cod_actividad]]="","",_xlfn.XLOOKUP(tblOrdenes[[#This Row],[cod_actividad]],tblActividades[codigo],tblActividades[descripcion],"(sin catálogo)"))</f>
        <v/>
      </c>
      <c r="AC172" s="20">
        <f>IF(tblOrdenes[[#This Row],[fecha_inicio]]="","",TODAY()-tblOrdenes[[#This Row],[fecha_inicio]])</f>
        <v/>
      </c>
      <c r="AD1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2" s="5">
        <f>IF(tblOrdenes[[#This Row],[backlog_habiles]]="","",IF(tblOrdenes[[#This Row],[backlog_habiles]]&lt;0,"FUTURO",IF(tblOrdenes[[#This Row],[backlog_habiles]]&gt;p_dias_backlog_max,"BACKLOG","MES CORRIENTE")))</f>
        <v/>
      </c>
      <c r="AF172" s="5">
        <f>IF(tblOrdenes[[#This Row],[backlog_habiles]]="",FALSE,AND(tblOrdenes[[#This Row],[backlog_habiles]]&gt;p_dias_backlog_min,tblOrdenes[[#This Row],[backlog_habiles]]&lt;=p_dias_backlog_max))</f>
        <v/>
      </c>
      <c r="AG172" s="4" t="inlineStr"/>
      <c r="AH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2" s="18">
        <f>IF(tblOrdenes[[#This Row],[orden]]="","",_xlfn.XLOOKUP(tblOrdenes[[#This Row],[id_operacion]],tblEjecucion[id_operacion],tblEjecucion[precio],0))</f>
        <v/>
      </c>
      <c r="AL172" s="18">
        <f>IF(tblOrdenes[[#This Row],[orden]]="","",MAX(0,_xlfn.XLOOKUP(tblOrdenes[[#This Row],[id_operacion]],tblEjecucion[id_operacion],tblEjecucion[costo_plan_total],0)-tblOrdenes[[#This Row],[costo_servicio]]))</f>
        <v/>
      </c>
      <c r="AM172" s="18">
        <f>IF(tblOrdenes[[#This Row],[orden]]="","",tblOrdenes[[#This Row],[costo_servicio]]+tblOrdenes[[#This Row],[costo_materiales]])</f>
        <v/>
      </c>
      <c r="AN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2" s="4" t="inlineStr"/>
      <c r="AP172" s="4" t="inlineStr"/>
      <c r="AQ172" s="4" t="inlineStr"/>
      <c r="AR172" s="5">
        <f>IF(tblOrdenes[[#This Row],[link_checklist]]="","",HYPERLINK(p_ruta_base_checklists&amp;tblOrdenes[[#This Row],[link_checklist]],"abrir"))</f>
        <v/>
      </c>
      <c r="AS172" s="4" t="inlineStr"/>
      <c r="AT172" s="5">
        <f>IF(tblOrdenes[[#This Row],[orden]]="","",tblOrdenes[[#This Row],[orden]]&amp;IF(tblOrdenes[[#This Row],[operacion]]="","0010",tblOrdenes[[#This Row],[operacion]]))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22" t="n"/>
      <c r="K173" s="5" t="n">
        <v>4</v>
      </c>
      <c r="L173" s="18" t="n">
        <v>160</v>
      </c>
      <c r="M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5">
        <f>IF(tblOrdenes[[#This Row],[fecha_inicio]]="","",YEAR(tblOrdenes[[#This Row],[fecha_inicio]]))</f>
        <v/>
      </c>
      <c r="Q173" s="5">
        <f>IF(tblOrdenes[[#This Row],[fecha_inicio]]="","",MONTH(tblOrdenes[[#This Row],[fecha_inicio]]))</f>
        <v/>
      </c>
      <c r="R173" s="5">
        <f>IF(tblOrdenes[[#This Row],[fecha_inicio]]="","",tblOrdenes[[#This Row],[anio]]&amp;"-"&amp;TEXT(tblOrdenes[[#This Row],[mes]],"00"))</f>
        <v/>
      </c>
      <c r="S173" s="5">
        <f>IF(tblOrdenes[[#This Row],[fecha_inicio]]="","",INDEX(lista_dias,WEEKDAY(tblOrdenes[[#This Row],[fecha_inicio]],2)))</f>
        <v/>
      </c>
      <c r="T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3" s="5">
        <f>IF(tblOrdenes[[#This Row],[tipo_ot]]="","",_xlfn.XLOOKUP(tblOrdenes[[#This Row],[tipo_ot]],tblTiposOT[codigo],tblTiposOT[clasificacion],"sin_clasificar"))</f>
        <v/>
      </c>
      <c r="V1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3" s="5">
        <f>IF(tblOrdenes[[#This Row],[centro_costo]]="","",_xlfn.XLOOKUP(tblOrdenes[[#This Row],[centro_costo]],tblCECO[codigo],tblCECO[linea],"(sin catálogo)"))</f>
        <v/>
      </c>
      <c r="X173" s="5">
        <f>IF(tblOrdenes[[#This Row],[centro_costo]]="","",_xlfn.XLOOKUP(tblOrdenes[[#This Row],[centro_costo]],tblCECO[codigo],tblCECO[area],"(sin catálogo)"))</f>
        <v/>
      </c>
      <c r="Y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3" s="5">
        <f>IF(tblOrdenes[[#This Row],[centro_costo]]="","",_xlfn.XLOOKUP(tblOrdenes[[#This Row],[centro_costo]],tblCECO[codigo],tblCECO[coordinador],"(sin catálogo)"))</f>
        <v/>
      </c>
      <c r="AA173" s="5">
        <f>IF(tblOrdenes[[#This Row],[puesto_trabajo]]="","",_xlfn.XLOOKUP(tblOrdenes[[#This Row],[puesto_trabajo]],tblPuestos[codigo],tblPuestos[especialidad],"(sin catálogo)"))</f>
        <v/>
      </c>
      <c r="AB173" s="5">
        <f>IF(tblOrdenes[[#This Row],[cod_actividad]]="","",_xlfn.XLOOKUP(tblOrdenes[[#This Row],[cod_actividad]],tblActividades[codigo],tblActividades[descripcion],"(sin catálogo)"))</f>
        <v/>
      </c>
      <c r="AC173" s="20">
        <f>IF(tblOrdenes[[#This Row],[fecha_inicio]]="","",TODAY()-tblOrdenes[[#This Row],[fecha_inicio]])</f>
        <v/>
      </c>
      <c r="AD1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3" s="5">
        <f>IF(tblOrdenes[[#This Row],[backlog_habiles]]="","",IF(tblOrdenes[[#This Row],[backlog_habiles]]&lt;0,"FUTURO",IF(tblOrdenes[[#This Row],[backlog_habiles]]&gt;p_dias_backlog_max,"BACKLOG","MES CORRIENTE")))</f>
        <v/>
      </c>
      <c r="AF173" s="5">
        <f>IF(tblOrdenes[[#This Row],[backlog_habiles]]="",FALSE,AND(tblOrdenes[[#This Row],[backlog_habiles]]&gt;p_dias_backlog_min,tblOrdenes[[#This Row],[backlog_habiles]]&lt;=p_dias_backlog_max))</f>
        <v/>
      </c>
      <c r="AG173" s="4" t="inlineStr"/>
      <c r="AH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3" s="18">
        <f>IF(tblOrdenes[[#This Row],[orden]]="","",_xlfn.XLOOKUP(tblOrdenes[[#This Row],[id_operacion]],tblEjecucion[id_operacion],tblEjecucion[precio],0))</f>
        <v/>
      </c>
      <c r="AL173" s="18">
        <f>IF(tblOrdenes[[#This Row],[orden]]="","",MAX(0,_xlfn.XLOOKUP(tblOrdenes[[#This Row],[id_operacion]],tblEjecucion[id_operacion],tblEjecucion[costo_plan_total],0)-tblOrdenes[[#This Row],[costo_servicio]]))</f>
        <v/>
      </c>
      <c r="AM173" s="18">
        <f>IF(tblOrdenes[[#This Row],[orden]]="","",tblOrdenes[[#This Row],[costo_servicio]]+tblOrdenes[[#This Row],[costo_materiales]])</f>
        <v/>
      </c>
      <c r="AN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3" s="4" t="inlineStr"/>
      <c r="AP173" s="4" t="inlineStr"/>
      <c r="AQ173" s="4" t="inlineStr"/>
      <c r="AR173" s="5">
        <f>IF(tblOrdenes[[#This Row],[link_checklist]]="","",HYPERLINK(p_ruta_base_checklists&amp;tblOrdenes[[#This Row],[link_checklist]],"abrir"))</f>
        <v/>
      </c>
      <c r="AS173" s="4" t="inlineStr"/>
      <c r="AT173" s="5">
        <f>IF(tblOrdenes[[#This Row],[orden]]="","",tblOrdenes[[#This Row],[orden]]&amp;IF(tblOrdenes[[#This Row],[operacion]]="","0010",tblOrdenes[[#This Row],[operacion]]))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TIPO-P1</t>
        </is>
      </c>
      <c r="J174" s="22" t="n"/>
      <c r="K174" s="5" t="n">
        <v>6</v>
      </c>
      <c r="L174" s="18" t="n">
        <v>150</v>
      </c>
      <c r="M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5">
        <f>IF(tblOrdenes[[#This Row],[fecha_inicio]]="","",YEAR(tblOrdenes[[#This Row],[fecha_inicio]]))</f>
        <v/>
      </c>
      <c r="Q174" s="5">
        <f>IF(tblOrdenes[[#This Row],[fecha_inicio]]="","",MONTH(tblOrdenes[[#This Row],[fecha_inicio]]))</f>
        <v/>
      </c>
      <c r="R174" s="5">
        <f>IF(tblOrdenes[[#This Row],[fecha_inicio]]="","",tblOrdenes[[#This Row],[anio]]&amp;"-"&amp;TEXT(tblOrdenes[[#This Row],[mes]],"00"))</f>
        <v/>
      </c>
      <c r="S174" s="5">
        <f>IF(tblOrdenes[[#This Row],[fecha_inicio]]="","",INDEX(lista_dias,WEEKDAY(tblOrdenes[[#This Row],[fecha_inicio]],2)))</f>
        <v/>
      </c>
      <c r="T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4" s="5">
        <f>IF(tblOrdenes[[#This Row],[tipo_ot]]="","",_xlfn.XLOOKUP(tblOrdenes[[#This Row],[tipo_ot]],tblTiposOT[codigo],tblTiposOT[clasificacion],"sin_clasificar"))</f>
        <v/>
      </c>
      <c r="V1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4" s="5">
        <f>IF(tblOrdenes[[#This Row],[centro_costo]]="","",_xlfn.XLOOKUP(tblOrdenes[[#This Row],[centro_costo]],tblCECO[codigo],tblCECO[linea],"(sin catálogo)"))</f>
        <v/>
      </c>
      <c r="X174" s="5">
        <f>IF(tblOrdenes[[#This Row],[centro_costo]]="","",_xlfn.XLOOKUP(tblOrdenes[[#This Row],[centro_costo]],tblCECO[codigo],tblCECO[area],"(sin catálogo)"))</f>
        <v/>
      </c>
      <c r="Y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4" s="5">
        <f>IF(tblOrdenes[[#This Row],[centro_costo]]="","",_xlfn.XLOOKUP(tblOrdenes[[#This Row],[centro_costo]],tblCECO[codigo],tblCECO[coordinador],"(sin catálogo)"))</f>
        <v/>
      </c>
      <c r="AA174" s="5">
        <f>IF(tblOrdenes[[#This Row],[puesto_trabajo]]="","",_xlfn.XLOOKUP(tblOrdenes[[#This Row],[puesto_trabajo]],tblPuestos[codigo],tblPuestos[especialidad],"(sin catálogo)"))</f>
        <v/>
      </c>
      <c r="AB174" s="5">
        <f>IF(tblOrdenes[[#This Row],[cod_actividad]]="","",_xlfn.XLOOKUP(tblOrdenes[[#This Row],[cod_actividad]],tblActividades[codigo],tblActividades[descripcion],"(sin catálogo)"))</f>
        <v/>
      </c>
      <c r="AC174" s="20">
        <f>IF(tblOrdenes[[#This Row],[fecha_inicio]]="","",TODAY()-tblOrdenes[[#This Row],[fecha_inicio]])</f>
        <v/>
      </c>
      <c r="AD1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4" s="5">
        <f>IF(tblOrdenes[[#This Row],[backlog_habiles]]="","",IF(tblOrdenes[[#This Row],[backlog_habiles]]&lt;0,"FUTURO",IF(tblOrdenes[[#This Row],[backlog_habiles]]&gt;p_dias_backlog_max,"BACKLOG","MES CORRIENTE")))</f>
        <v/>
      </c>
      <c r="AF174" s="5">
        <f>IF(tblOrdenes[[#This Row],[backlog_habiles]]="",FALSE,AND(tblOrdenes[[#This Row],[backlog_habiles]]&gt;p_dias_backlog_min,tblOrdenes[[#This Row],[backlog_habiles]]&lt;=p_dias_backlog_max))</f>
        <v/>
      </c>
      <c r="AG174" s="4" t="inlineStr"/>
      <c r="AH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4" s="18">
        <f>IF(tblOrdenes[[#This Row],[orden]]="","",_xlfn.XLOOKUP(tblOrdenes[[#This Row],[id_operacion]],tblEjecucion[id_operacion],tblEjecucion[precio],0))</f>
        <v/>
      </c>
      <c r="AL174" s="18">
        <f>IF(tblOrdenes[[#This Row],[orden]]="","",MAX(0,_xlfn.XLOOKUP(tblOrdenes[[#This Row],[id_operacion]],tblEjecucion[id_operacion],tblEjecucion[costo_plan_total],0)-tblOrdenes[[#This Row],[costo_servicio]]))</f>
        <v/>
      </c>
      <c r="AM174" s="18">
        <f>IF(tblOrdenes[[#This Row],[orden]]="","",tblOrdenes[[#This Row],[costo_servicio]]+tblOrdenes[[#This Row],[costo_materiales]])</f>
        <v/>
      </c>
      <c r="AN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4" s="4" t="inlineStr"/>
      <c r="AP174" s="4" t="inlineStr"/>
      <c r="AQ174" s="4" t="inlineStr"/>
      <c r="AR174" s="5">
        <f>IF(tblOrdenes[[#This Row],[link_checklist]]="","",HYPERLINK(p_ruta_base_checklists&amp;tblOrdenes[[#This Row],[link_checklist]],"abrir"))</f>
        <v/>
      </c>
      <c r="AS174" s="4" t="inlineStr"/>
      <c r="AT174" s="5">
        <f>IF(tblOrdenes[[#This Row],[orden]]="","",tblOrdenes[[#This Row],[orden]]&amp;IF(tblOrdenes[[#This Row],[operacion]]="","0010",tblOrdenes[[#This Row],[operacion]]))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22" t="n">
        <v>46175</v>
      </c>
      <c r="K175" s="5" t="n"/>
      <c r="L175" s="18" t="n">
        <v>0</v>
      </c>
      <c r="M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5">
        <f>IF(tblOrdenes[[#This Row],[fecha_inicio]]="","",YEAR(tblOrdenes[[#This Row],[fecha_inicio]]))</f>
        <v/>
      </c>
      <c r="Q175" s="5">
        <f>IF(tblOrdenes[[#This Row],[fecha_inicio]]="","",MONTH(tblOrdenes[[#This Row],[fecha_inicio]]))</f>
        <v/>
      </c>
      <c r="R175" s="5">
        <f>IF(tblOrdenes[[#This Row],[fecha_inicio]]="","",tblOrdenes[[#This Row],[anio]]&amp;"-"&amp;TEXT(tblOrdenes[[#This Row],[mes]],"00"))</f>
        <v/>
      </c>
      <c r="S175" s="5">
        <f>IF(tblOrdenes[[#This Row],[fecha_inicio]]="","",INDEX(lista_dias,WEEKDAY(tblOrdenes[[#This Row],[fecha_inicio]],2)))</f>
        <v/>
      </c>
      <c r="T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5" s="5">
        <f>IF(tblOrdenes[[#This Row],[tipo_ot]]="","",_xlfn.XLOOKUP(tblOrdenes[[#This Row],[tipo_ot]],tblTiposOT[codigo],tblTiposOT[clasificacion],"sin_clasificar"))</f>
        <v/>
      </c>
      <c r="V1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5" s="5">
        <f>IF(tblOrdenes[[#This Row],[centro_costo]]="","",_xlfn.XLOOKUP(tblOrdenes[[#This Row],[centro_costo]],tblCECO[codigo],tblCECO[linea],"(sin catálogo)"))</f>
        <v/>
      </c>
      <c r="X175" s="5">
        <f>IF(tblOrdenes[[#This Row],[centro_costo]]="","",_xlfn.XLOOKUP(tblOrdenes[[#This Row],[centro_costo]],tblCECO[codigo],tblCECO[area],"(sin catálogo)"))</f>
        <v/>
      </c>
      <c r="Y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5" s="5">
        <f>IF(tblOrdenes[[#This Row],[centro_costo]]="","",_xlfn.XLOOKUP(tblOrdenes[[#This Row],[centro_costo]],tblCECO[codigo],tblCECO[coordinador],"(sin catálogo)"))</f>
        <v/>
      </c>
      <c r="AA175" s="5">
        <f>IF(tblOrdenes[[#This Row],[puesto_trabajo]]="","",_xlfn.XLOOKUP(tblOrdenes[[#This Row],[puesto_trabajo]],tblPuestos[codigo],tblPuestos[especialidad],"(sin catálogo)"))</f>
        <v/>
      </c>
      <c r="AB175" s="5">
        <f>IF(tblOrdenes[[#This Row],[cod_actividad]]="","",_xlfn.XLOOKUP(tblOrdenes[[#This Row],[cod_actividad]],tblActividades[codigo],tblActividades[descripcion],"(sin catálogo)"))</f>
        <v/>
      </c>
      <c r="AC175" s="20">
        <f>IF(tblOrdenes[[#This Row],[fecha_inicio]]="","",TODAY()-tblOrdenes[[#This Row],[fecha_inicio]])</f>
        <v/>
      </c>
      <c r="AD1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5" s="5">
        <f>IF(tblOrdenes[[#This Row],[backlog_habiles]]="","",IF(tblOrdenes[[#This Row],[backlog_habiles]]&lt;0,"FUTURO",IF(tblOrdenes[[#This Row],[backlog_habiles]]&gt;p_dias_backlog_max,"BACKLOG","MES CORRIENTE")))</f>
        <v/>
      </c>
      <c r="AF175" s="5">
        <f>IF(tblOrdenes[[#This Row],[backlog_habiles]]="",FALSE,AND(tblOrdenes[[#This Row],[backlog_habiles]]&gt;p_dias_backlog_min,tblOrdenes[[#This Row],[backlog_habiles]]&lt;=p_dias_backlog_max))</f>
        <v/>
      </c>
      <c r="AG175" s="4" t="inlineStr"/>
      <c r="AH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5" s="18">
        <f>IF(tblOrdenes[[#This Row],[orden]]="","",_xlfn.XLOOKUP(tblOrdenes[[#This Row],[id_operacion]],tblEjecucion[id_operacion],tblEjecucion[precio],0))</f>
        <v/>
      </c>
      <c r="AL175" s="18">
        <f>IF(tblOrdenes[[#This Row],[orden]]="","",MAX(0,_xlfn.XLOOKUP(tblOrdenes[[#This Row],[id_operacion]],tblEjecucion[id_operacion],tblEjecucion[costo_plan_total],0)-tblOrdenes[[#This Row],[costo_servicio]]))</f>
        <v/>
      </c>
      <c r="AM175" s="18">
        <f>IF(tblOrdenes[[#This Row],[orden]]="","",tblOrdenes[[#This Row],[costo_servicio]]+tblOrdenes[[#This Row],[costo_materiales]])</f>
        <v/>
      </c>
      <c r="AN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5" s="4" t="inlineStr"/>
      <c r="AP175" s="4" t="inlineStr"/>
      <c r="AQ175" s="4" t="inlineStr"/>
      <c r="AR175" s="5">
        <f>IF(tblOrdenes[[#This Row],[link_checklist]]="","",HYPERLINK(p_ruta_base_checklists&amp;tblOrdenes[[#This Row],[link_checklist]],"abrir"))</f>
        <v/>
      </c>
      <c r="AS175" s="4" t="inlineStr"/>
      <c r="AT175" s="5">
        <f>IF(tblOrdenes[[#This Row],[orden]]="","",tblOrdenes[[#This Row],[orden]]&amp;IF(tblOrdenes[[#This Row],[operacion]]="","0010",tblOrdenes[[#This Row],[operacion]]))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22" t="n">
        <v>46175</v>
      </c>
      <c r="K176" s="5" t="n"/>
      <c r="L176" s="18" t="n">
        <v>0</v>
      </c>
      <c r="M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5">
        <f>IF(tblOrdenes[[#This Row],[fecha_inicio]]="","",YEAR(tblOrdenes[[#This Row],[fecha_inicio]]))</f>
        <v/>
      </c>
      <c r="Q176" s="5">
        <f>IF(tblOrdenes[[#This Row],[fecha_inicio]]="","",MONTH(tblOrdenes[[#This Row],[fecha_inicio]]))</f>
        <v/>
      </c>
      <c r="R176" s="5">
        <f>IF(tblOrdenes[[#This Row],[fecha_inicio]]="","",tblOrdenes[[#This Row],[anio]]&amp;"-"&amp;TEXT(tblOrdenes[[#This Row],[mes]],"00"))</f>
        <v/>
      </c>
      <c r="S176" s="5">
        <f>IF(tblOrdenes[[#This Row],[fecha_inicio]]="","",INDEX(lista_dias,WEEKDAY(tblOrdenes[[#This Row],[fecha_inicio]],2)))</f>
        <v/>
      </c>
      <c r="T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6" s="5">
        <f>IF(tblOrdenes[[#This Row],[tipo_ot]]="","",_xlfn.XLOOKUP(tblOrdenes[[#This Row],[tipo_ot]],tblTiposOT[codigo],tblTiposOT[clasificacion],"sin_clasificar"))</f>
        <v/>
      </c>
      <c r="V1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6" s="5">
        <f>IF(tblOrdenes[[#This Row],[centro_costo]]="","",_xlfn.XLOOKUP(tblOrdenes[[#This Row],[centro_costo]],tblCECO[codigo],tblCECO[linea],"(sin catálogo)"))</f>
        <v/>
      </c>
      <c r="X176" s="5">
        <f>IF(tblOrdenes[[#This Row],[centro_costo]]="","",_xlfn.XLOOKUP(tblOrdenes[[#This Row],[centro_costo]],tblCECO[codigo],tblCECO[area],"(sin catálogo)"))</f>
        <v/>
      </c>
      <c r="Y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6" s="5">
        <f>IF(tblOrdenes[[#This Row],[centro_costo]]="","",_xlfn.XLOOKUP(tblOrdenes[[#This Row],[centro_costo]],tblCECO[codigo],tblCECO[coordinador],"(sin catálogo)"))</f>
        <v/>
      </c>
      <c r="AA176" s="5">
        <f>IF(tblOrdenes[[#This Row],[puesto_trabajo]]="","",_xlfn.XLOOKUP(tblOrdenes[[#This Row],[puesto_trabajo]],tblPuestos[codigo],tblPuestos[especialidad],"(sin catálogo)"))</f>
        <v/>
      </c>
      <c r="AB176" s="5">
        <f>IF(tblOrdenes[[#This Row],[cod_actividad]]="","",_xlfn.XLOOKUP(tblOrdenes[[#This Row],[cod_actividad]],tblActividades[codigo],tblActividades[descripcion],"(sin catálogo)"))</f>
        <v/>
      </c>
      <c r="AC176" s="20">
        <f>IF(tblOrdenes[[#This Row],[fecha_inicio]]="","",TODAY()-tblOrdenes[[#This Row],[fecha_inicio]])</f>
        <v/>
      </c>
      <c r="AD1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6" s="5">
        <f>IF(tblOrdenes[[#This Row],[backlog_habiles]]="","",IF(tblOrdenes[[#This Row],[backlog_habiles]]&lt;0,"FUTURO",IF(tblOrdenes[[#This Row],[backlog_habiles]]&gt;p_dias_backlog_max,"BACKLOG","MES CORRIENTE")))</f>
        <v/>
      </c>
      <c r="AF176" s="5">
        <f>IF(tblOrdenes[[#This Row],[backlog_habiles]]="",FALSE,AND(tblOrdenes[[#This Row],[backlog_habiles]]&gt;p_dias_backlog_min,tblOrdenes[[#This Row],[backlog_habiles]]&lt;=p_dias_backlog_max))</f>
        <v/>
      </c>
      <c r="AG176" s="4" t="inlineStr"/>
      <c r="AH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6" s="18">
        <f>IF(tblOrdenes[[#This Row],[orden]]="","",_xlfn.XLOOKUP(tblOrdenes[[#This Row],[id_operacion]],tblEjecucion[id_operacion],tblEjecucion[precio],0))</f>
        <v/>
      </c>
      <c r="AL176" s="18">
        <f>IF(tblOrdenes[[#This Row],[orden]]="","",MAX(0,_xlfn.XLOOKUP(tblOrdenes[[#This Row],[id_operacion]],tblEjecucion[id_operacion],tblEjecucion[costo_plan_total],0)-tblOrdenes[[#This Row],[costo_servicio]]))</f>
        <v/>
      </c>
      <c r="AM176" s="18">
        <f>IF(tblOrdenes[[#This Row],[orden]]="","",tblOrdenes[[#This Row],[costo_servicio]]+tblOrdenes[[#This Row],[costo_materiales]])</f>
        <v/>
      </c>
      <c r="AN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6" s="4" t="inlineStr"/>
      <c r="AP176" s="4" t="inlineStr"/>
      <c r="AQ176" s="4" t="inlineStr"/>
      <c r="AR176" s="5">
        <f>IF(tblOrdenes[[#This Row],[link_checklist]]="","",HYPERLINK(p_ruta_base_checklists&amp;tblOrdenes[[#This Row],[link_checklist]],"abrir"))</f>
        <v/>
      </c>
      <c r="AS176" s="4" t="inlineStr"/>
      <c r="AT176" s="5">
        <f>IF(tblOrdenes[[#This Row],[orden]]="","",tblOrdenes[[#This Row],[orden]]&amp;IF(tblOrdenes[[#This Row],[operacion]]="","0010",tblOrdenes[[#This Row],[operacion]]))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22" t="n">
        <v>46170</v>
      </c>
      <c r="K177" s="5" t="n">
        <v>4</v>
      </c>
      <c r="L177" s="18" t="n">
        <v>160</v>
      </c>
      <c r="M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5">
        <f>IF(tblOrdenes[[#This Row],[fecha_inicio]]="","",YEAR(tblOrdenes[[#This Row],[fecha_inicio]]))</f>
        <v/>
      </c>
      <c r="Q177" s="5">
        <f>IF(tblOrdenes[[#This Row],[fecha_inicio]]="","",MONTH(tblOrdenes[[#This Row],[fecha_inicio]]))</f>
        <v/>
      </c>
      <c r="R177" s="5">
        <f>IF(tblOrdenes[[#This Row],[fecha_inicio]]="","",tblOrdenes[[#This Row],[anio]]&amp;"-"&amp;TEXT(tblOrdenes[[#This Row],[mes]],"00"))</f>
        <v/>
      </c>
      <c r="S177" s="5">
        <f>IF(tblOrdenes[[#This Row],[fecha_inicio]]="","",INDEX(lista_dias,WEEKDAY(tblOrdenes[[#This Row],[fecha_inicio]],2)))</f>
        <v/>
      </c>
      <c r="T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7" s="5">
        <f>IF(tblOrdenes[[#This Row],[tipo_ot]]="","",_xlfn.XLOOKUP(tblOrdenes[[#This Row],[tipo_ot]],tblTiposOT[codigo],tblTiposOT[clasificacion],"sin_clasificar"))</f>
        <v/>
      </c>
      <c r="V1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7" s="5">
        <f>IF(tblOrdenes[[#This Row],[centro_costo]]="","",_xlfn.XLOOKUP(tblOrdenes[[#This Row],[centro_costo]],tblCECO[codigo],tblCECO[linea],"(sin catálogo)"))</f>
        <v/>
      </c>
      <c r="X177" s="5">
        <f>IF(tblOrdenes[[#This Row],[centro_costo]]="","",_xlfn.XLOOKUP(tblOrdenes[[#This Row],[centro_costo]],tblCECO[codigo],tblCECO[area],"(sin catálogo)"))</f>
        <v/>
      </c>
      <c r="Y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7" s="5">
        <f>IF(tblOrdenes[[#This Row],[centro_costo]]="","",_xlfn.XLOOKUP(tblOrdenes[[#This Row],[centro_costo]],tblCECO[codigo],tblCECO[coordinador],"(sin catálogo)"))</f>
        <v/>
      </c>
      <c r="AA177" s="5">
        <f>IF(tblOrdenes[[#This Row],[puesto_trabajo]]="","",_xlfn.XLOOKUP(tblOrdenes[[#This Row],[puesto_trabajo]],tblPuestos[codigo],tblPuestos[especialidad],"(sin catálogo)"))</f>
        <v/>
      </c>
      <c r="AB177" s="5">
        <f>IF(tblOrdenes[[#This Row],[cod_actividad]]="","",_xlfn.XLOOKUP(tblOrdenes[[#This Row],[cod_actividad]],tblActividades[codigo],tblActividades[descripcion],"(sin catálogo)"))</f>
        <v/>
      </c>
      <c r="AC177" s="20">
        <f>IF(tblOrdenes[[#This Row],[fecha_inicio]]="","",TODAY()-tblOrdenes[[#This Row],[fecha_inicio]])</f>
        <v/>
      </c>
      <c r="AD1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7" s="5">
        <f>IF(tblOrdenes[[#This Row],[backlog_habiles]]="","",IF(tblOrdenes[[#This Row],[backlog_habiles]]&lt;0,"FUTURO",IF(tblOrdenes[[#This Row],[backlog_habiles]]&gt;p_dias_backlog_max,"BACKLOG","MES CORRIENTE")))</f>
        <v/>
      </c>
      <c r="AF177" s="5">
        <f>IF(tblOrdenes[[#This Row],[backlog_habiles]]="",FALSE,AND(tblOrdenes[[#This Row],[backlog_habiles]]&gt;p_dias_backlog_min,tblOrdenes[[#This Row],[backlog_habiles]]&lt;=p_dias_backlog_max))</f>
        <v/>
      </c>
      <c r="AG177" s="4" t="inlineStr"/>
      <c r="AH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7" s="18">
        <f>IF(tblOrdenes[[#This Row],[orden]]="","",_xlfn.XLOOKUP(tblOrdenes[[#This Row],[id_operacion]],tblEjecucion[id_operacion],tblEjecucion[precio],0))</f>
        <v/>
      </c>
      <c r="AL177" s="18">
        <f>IF(tblOrdenes[[#This Row],[orden]]="","",MAX(0,_xlfn.XLOOKUP(tblOrdenes[[#This Row],[id_operacion]],tblEjecucion[id_operacion],tblEjecucion[costo_plan_total],0)-tblOrdenes[[#This Row],[costo_servicio]]))</f>
        <v/>
      </c>
      <c r="AM177" s="18">
        <f>IF(tblOrdenes[[#This Row],[orden]]="","",tblOrdenes[[#This Row],[costo_servicio]]+tblOrdenes[[#This Row],[costo_materiales]])</f>
        <v/>
      </c>
      <c r="AN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7" s="4" t="inlineStr"/>
      <c r="AP177" s="4" t="inlineStr"/>
      <c r="AQ177" s="4" t="inlineStr"/>
      <c r="AR177" s="5">
        <f>IF(tblOrdenes[[#This Row],[link_checklist]]="","",HYPERLINK(p_ruta_base_checklists&amp;tblOrdenes[[#This Row],[link_checklist]],"abrir"))</f>
        <v/>
      </c>
      <c r="AS177" s="4" t="inlineStr"/>
      <c r="AT177" s="5">
        <f>IF(tblOrdenes[[#This Row],[orden]]="","",tblOrdenes[[#This Row],[orden]]&amp;IF(tblOrdenes[[#This Row],[operacion]]="","0010",tblOrdenes[[#This Row],[operacion]]))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22" t="n">
        <v>46170</v>
      </c>
      <c r="K178" s="5" t="n">
        <v>4</v>
      </c>
      <c r="L178" s="18" t="n">
        <v>160</v>
      </c>
      <c r="M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5">
        <f>IF(tblOrdenes[[#This Row],[fecha_inicio]]="","",YEAR(tblOrdenes[[#This Row],[fecha_inicio]]))</f>
        <v/>
      </c>
      <c r="Q178" s="5">
        <f>IF(tblOrdenes[[#This Row],[fecha_inicio]]="","",MONTH(tblOrdenes[[#This Row],[fecha_inicio]]))</f>
        <v/>
      </c>
      <c r="R178" s="5">
        <f>IF(tblOrdenes[[#This Row],[fecha_inicio]]="","",tblOrdenes[[#This Row],[anio]]&amp;"-"&amp;TEXT(tblOrdenes[[#This Row],[mes]],"00"))</f>
        <v/>
      </c>
      <c r="S178" s="5">
        <f>IF(tblOrdenes[[#This Row],[fecha_inicio]]="","",INDEX(lista_dias,WEEKDAY(tblOrdenes[[#This Row],[fecha_inicio]],2)))</f>
        <v/>
      </c>
      <c r="T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8" s="5">
        <f>IF(tblOrdenes[[#This Row],[tipo_ot]]="","",_xlfn.XLOOKUP(tblOrdenes[[#This Row],[tipo_ot]],tblTiposOT[codigo],tblTiposOT[clasificacion],"sin_clasificar"))</f>
        <v/>
      </c>
      <c r="V1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8" s="5">
        <f>IF(tblOrdenes[[#This Row],[centro_costo]]="","",_xlfn.XLOOKUP(tblOrdenes[[#This Row],[centro_costo]],tblCECO[codigo],tblCECO[linea],"(sin catálogo)"))</f>
        <v/>
      </c>
      <c r="X178" s="5">
        <f>IF(tblOrdenes[[#This Row],[centro_costo]]="","",_xlfn.XLOOKUP(tblOrdenes[[#This Row],[centro_costo]],tblCECO[codigo],tblCECO[area],"(sin catálogo)"))</f>
        <v/>
      </c>
      <c r="Y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8" s="5">
        <f>IF(tblOrdenes[[#This Row],[centro_costo]]="","",_xlfn.XLOOKUP(tblOrdenes[[#This Row],[centro_costo]],tblCECO[codigo],tblCECO[coordinador],"(sin catálogo)"))</f>
        <v/>
      </c>
      <c r="AA178" s="5">
        <f>IF(tblOrdenes[[#This Row],[puesto_trabajo]]="","",_xlfn.XLOOKUP(tblOrdenes[[#This Row],[puesto_trabajo]],tblPuestos[codigo],tblPuestos[especialidad],"(sin catálogo)"))</f>
        <v/>
      </c>
      <c r="AB178" s="5">
        <f>IF(tblOrdenes[[#This Row],[cod_actividad]]="","",_xlfn.XLOOKUP(tblOrdenes[[#This Row],[cod_actividad]],tblActividades[codigo],tblActividades[descripcion],"(sin catálogo)"))</f>
        <v/>
      </c>
      <c r="AC178" s="20">
        <f>IF(tblOrdenes[[#This Row],[fecha_inicio]]="","",TODAY()-tblOrdenes[[#This Row],[fecha_inicio]])</f>
        <v/>
      </c>
      <c r="AD1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8" s="5">
        <f>IF(tblOrdenes[[#This Row],[backlog_habiles]]="","",IF(tblOrdenes[[#This Row],[backlog_habiles]]&lt;0,"FUTURO",IF(tblOrdenes[[#This Row],[backlog_habiles]]&gt;p_dias_backlog_max,"BACKLOG","MES CORRIENTE")))</f>
        <v/>
      </c>
      <c r="AF178" s="5">
        <f>IF(tblOrdenes[[#This Row],[backlog_habiles]]="",FALSE,AND(tblOrdenes[[#This Row],[backlog_habiles]]&gt;p_dias_backlog_min,tblOrdenes[[#This Row],[backlog_habiles]]&lt;=p_dias_backlog_max))</f>
        <v/>
      </c>
      <c r="AG178" s="4" t="inlineStr"/>
      <c r="AH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8" s="18">
        <f>IF(tblOrdenes[[#This Row],[orden]]="","",_xlfn.XLOOKUP(tblOrdenes[[#This Row],[id_operacion]],tblEjecucion[id_operacion],tblEjecucion[precio],0))</f>
        <v/>
      </c>
      <c r="AL178" s="18">
        <f>IF(tblOrdenes[[#This Row],[orden]]="","",MAX(0,_xlfn.XLOOKUP(tblOrdenes[[#This Row],[id_operacion]],tblEjecucion[id_operacion],tblEjecucion[costo_plan_total],0)-tblOrdenes[[#This Row],[costo_servicio]]))</f>
        <v/>
      </c>
      <c r="AM178" s="18">
        <f>IF(tblOrdenes[[#This Row],[orden]]="","",tblOrdenes[[#This Row],[costo_servicio]]+tblOrdenes[[#This Row],[costo_materiales]])</f>
        <v/>
      </c>
      <c r="AN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8" s="4" t="inlineStr"/>
      <c r="AP178" s="4" t="inlineStr"/>
      <c r="AQ178" s="4" t="inlineStr"/>
      <c r="AR178" s="5">
        <f>IF(tblOrdenes[[#This Row],[link_checklist]]="","",HYPERLINK(p_ruta_base_checklists&amp;tblOrdenes[[#This Row],[link_checklist]],"abrir"))</f>
        <v/>
      </c>
      <c r="AS178" s="4" t="inlineStr"/>
      <c r="AT178" s="5">
        <f>IF(tblOrdenes[[#This Row],[orden]]="","",tblOrdenes[[#This Row],[orden]]&amp;IF(tblOrdenes[[#This Row],[operacion]]="","0010",tblOrdenes[[#This Row],[operacion]]))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22" t="n">
        <v>46168</v>
      </c>
      <c r="K179" s="5" t="n">
        <v>4</v>
      </c>
      <c r="L179" s="18" t="n">
        <v>160</v>
      </c>
      <c r="M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5">
        <f>IF(tblOrdenes[[#This Row],[fecha_inicio]]="","",YEAR(tblOrdenes[[#This Row],[fecha_inicio]]))</f>
        <v/>
      </c>
      <c r="Q179" s="5">
        <f>IF(tblOrdenes[[#This Row],[fecha_inicio]]="","",MONTH(tblOrdenes[[#This Row],[fecha_inicio]]))</f>
        <v/>
      </c>
      <c r="R179" s="5">
        <f>IF(tblOrdenes[[#This Row],[fecha_inicio]]="","",tblOrdenes[[#This Row],[anio]]&amp;"-"&amp;TEXT(tblOrdenes[[#This Row],[mes]],"00"))</f>
        <v/>
      </c>
      <c r="S179" s="5">
        <f>IF(tblOrdenes[[#This Row],[fecha_inicio]]="","",INDEX(lista_dias,WEEKDAY(tblOrdenes[[#This Row],[fecha_inicio]],2)))</f>
        <v/>
      </c>
      <c r="T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9" s="5">
        <f>IF(tblOrdenes[[#This Row],[tipo_ot]]="","",_xlfn.XLOOKUP(tblOrdenes[[#This Row],[tipo_ot]],tblTiposOT[codigo],tblTiposOT[clasificacion],"sin_clasificar"))</f>
        <v/>
      </c>
      <c r="V1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9" s="5">
        <f>IF(tblOrdenes[[#This Row],[centro_costo]]="","",_xlfn.XLOOKUP(tblOrdenes[[#This Row],[centro_costo]],tblCECO[codigo],tblCECO[linea],"(sin catálogo)"))</f>
        <v/>
      </c>
      <c r="X179" s="5">
        <f>IF(tblOrdenes[[#This Row],[centro_costo]]="","",_xlfn.XLOOKUP(tblOrdenes[[#This Row],[centro_costo]],tblCECO[codigo],tblCECO[area],"(sin catálogo)"))</f>
        <v/>
      </c>
      <c r="Y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79" s="5">
        <f>IF(tblOrdenes[[#This Row],[centro_costo]]="","",_xlfn.XLOOKUP(tblOrdenes[[#This Row],[centro_costo]],tblCECO[codigo],tblCECO[coordinador],"(sin catálogo)"))</f>
        <v/>
      </c>
      <c r="AA179" s="5">
        <f>IF(tblOrdenes[[#This Row],[puesto_trabajo]]="","",_xlfn.XLOOKUP(tblOrdenes[[#This Row],[puesto_trabajo]],tblPuestos[codigo],tblPuestos[especialidad],"(sin catálogo)"))</f>
        <v/>
      </c>
      <c r="AB179" s="5">
        <f>IF(tblOrdenes[[#This Row],[cod_actividad]]="","",_xlfn.XLOOKUP(tblOrdenes[[#This Row],[cod_actividad]],tblActividades[codigo],tblActividades[descripcion],"(sin catálogo)"))</f>
        <v/>
      </c>
      <c r="AC179" s="20">
        <f>IF(tblOrdenes[[#This Row],[fecha_inicio]]="","",TODAY()-tblOrdenes[[#This Row],[fecha_inicio]])</f>
        <v/>
      </c>
      <c r="AD1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79" s="5">
        <f>IF(tblOrdenes[[#This Row],[backlog_habiles]]="","",IF(tblOrdenes[[#This Row],[backlog_habiles]]&lt;0,"FUTURO",IF(tblOrdenes[[#This Row],[backlog_habiles]]&gt;p_dias_backlog_max,"BACKLOG","MES CORRIENTE")))</f>
        <v/>
      </c>
      <c r="AF179" s="5">
        <f>IF(tblOrdenes[[#This Row],[backlog_habiles]]="",FALSE,AND(tblOrdenes[[#This Row],[backlog_habiles]]&gt;p_dias_backlog_min,tblOrdenes[[#This Row],[backlog_habiles]]&lt;=p_dias_backlog_max))</f>
        <v/>
      </c>
      <c r="AG179" s="4" t="inlineStr"/>
      <c r="AH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79" s="18">
        <f>IF(tblOrdenes[[#This Row],[orden]]="","",_xlfn.XLOOKUP(tblOrdenes[[#This Row],[id_operacion]],tblEjecucion[id_operacion],tblEjecucion[precio],0))</f>
        <v/>
      </c>
      <c r="AL179" s="18">
        <f>IF(tblOrdenes[[#This Row],[orden]]="","",MAX(0,_xlfn.XLOOKUP(tblOrdenes[[#This Row],[id_operacion]],tblEjecucion[id_operacion],tblEjecucion[costo_plan_total],0)-tblOrdenes[[#This Row],[costo_servicio]]))</f>
        <v/>
      </c>
      <c r="AM179" s="18">
        <f>IF(tblOrdenes[[#This Row],[orden]]="","",tblOrdenes[[#This Row],[costo_servicio]]+tblOrdenes[[#This Row],[costo_materiales]])</f>
        <v/>
      </c>
      <c r="AN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79" s="4" t="inlineStr"/>
      <c r="AP179" s="4" t="inlineStr"/>
      <c r="AQ179" s="4" t="inlineStr"/>
      <c r="AR179" s="5">
        <f>IF(tblOrdenes[[#This Row],[link_checklist]]="","",HYPERLINK(p_ruta_base_checklists&amp;tblOrdenes[[#This Row],[link_checklist]],"abrir"))</f>
        <v/>
      </c>
      <c r="AS179" s="4" t="inlineStr"/>
      <c r="AT179" s="5">
        <f>IF(tblOrdenes[[#This Row],[orden]]="","",tblOrdenes[[#This Row],[orden]]&amp;IF(tblOrdenes[[#This Row],[operacion]]="","0010",tblOrdenes[[#This Row],[operacion]]))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22" t="n">
        <v>46168</v>
      </c>
      <c r="K180" s="5" t="n">
        <v>4</v>
      </c>
      <c r="L180" s="18" t="n">
        <v>160</v>
      </c>
      <c r="M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5">
        <f>IF(tblOrdenes[[#This Row],[fecha_inicio]]="","",YEAR(tblOrdenes[[#This Row],[fecha_inicio]]))</f>
        <v/>
      </c>
      <c r="Q180" s="5">
        <f>IF(tblOrdenes[[#This Row],[fecha_inicio]]="","",MONTH(tblOrdenes[[#This Row],[fecha_inicio]]))</f>
        <v/>
      </c>
      <c r="R180" s="5">
        <f>IF(tblOrdenes[[#This Row],[fecha_inicio]]="","",tblOrdenes[[#This Row],[anio]]&amp;"-"&amp;TEXT(tblOrdenes[[#This Row],[mes]],"00"))</f>
        <v/>
      </c>
      <c r="S180" s="5">
        <f>IF(tblOrdenes[[#This Row],[fecha_inicio]]="","",INDEX(lista_dias,WEEKDAY(tblOrdenes[[#This Row],[fecha_inicio]],2)))</f>
        <v/>
      </c>
      <c r="T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0" s="5">
        <f>IF(tblOrdenes[[#This Row],[tipo_ot]]="","",_xlfn.XLOOKUP(tblOrdenes[[#This Row],[tipo_ot]],tblTiposOT[codigo],tblTiposOT[clasificacion],"sin_clasificar"))</f>
        <v/>
      </c>
      <c r="V1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0" s="5">
        <f>IF(tblOrdenes[[#This Row],[centro_costo]]="","",_xlfn.XLOOKUP(tblOrdenes[[#This Row],[centro_costo]],tblCECO[codigo],tblCECO[linea],"(sin catálogo)"))</f>
        <v/>
      </c>
      <c r="X180" s="5">
        <f>IF(tblOrdenes[[#This Row],[centro_costo]]="","",_xlfn.XLOOKUP(tblOrdenes[[#This Row],[centro_costo]],tblCECO[codigo],tblCECO[area],"(sin catálogo)"))</f>
        <v/>
      </c>
      <c r="Y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0" s="5">
        <f>IF(tblOrdenes[[#This Row],[centro_costo]]="","",_xlfn.XLOOKUP(tblOrdenes[[#This Row],[centro_costo]],tblCECO[codigo],tblCECO[coordinador],"(sin catálogo)"))</f>
        <v/>
      </c>
      <c r="AA180" s="5">
        <f>IF(tblOrdenes[[#This Row],[puesto_trabajo]]="","",_xlfn.XLOOKUP(tblOrdenes[[#This Row],[puesto_trabajo]],tblPuestos[codigo],tblPuestos[especialidad],"(sin catálogo)"))</f>
        <v/>
      </c>
      <c r="AB180" s="5">
        <f>IF(tblOrdenes[[#This Row],[cod_actividad]]="","",_xlfn.XLOOKUP(tblOrdenes[[#This Row],[cod_actividad]],tblActividades[codigo],tblActividades[descripcion],"(sin catálogo)"))</f>
        <v/>
      </c>
      <c r="AC180" s="20">
        <f>IF(tblOrdenes[[#This Row],[fecha_inicio]]="","",TODAY()-tblOrdenes[[#This Row],[fecha_inicio]])</f>
        <v/>
      </c>
      <c r="AD1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0" s="5">
        <f>IF(tblOrdenes[[#This Row],[backlog_habiles]]="","",IF(tblOrdenes[[#This Row],[backlog_habiles]]&lt;0,"FUTURO",IF(tblOrdenes[[#This Row],[backlog_habiles]]&gt;p_dias_backlog_max,"BACKLOG","MES CORRIENTE")))</f>
        <v/>
      </c>
      <c r="AF180" s="5">
        <f>IF(tblOrdenes[[#This Row],[backlog_habiles]]="",FALSE,AND(tblOrdenes[[#This Row],[backlog_habiles]]&gt;p_dias_backlog_min,tblOrdenes[[#This Row],[backlog_habiles]]&lt;=p_dias_backlog_max))</f>
        <v/>
      </c>
      <c r="AG180" s="4" t="inlineStr"/>
      <c r="AH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0" s="18">
        <f>IF(tblOrdenes[[#This Row],[orden]]="","",_xlfn.XLOOKUP(tblOrdenes[[#This Row],[id_operacion]],tblEjecucion[id_operacion],tblEjecucion[precio],0))</f>
        <v/>
      </c>
      <c r="AL180" s="18">
        <f>IF(tblOrdenes[[#This Row],[orden]]="","",MAX(0,_xlfn.XLOOKUP(tblOrdenes[[#This Row],[id_operacion]],tblEjecucion[id_operacion],tblEjecucion[costo_plan_total],0)-tblOrdenes[[#This Row],[costo_servicio]]))</f>
        <v/>
      </c>
      <c r="AM180" s="18">
        <f>IF(tblOrdenes[[#This Row],[orden]]="","",tblOrdenes[[#This Row],[costo_servicio]]+tblOrdenes[[#This Row],[costo_materiales]])</f>
        <v/>
      </c>
      <c r="AN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0" s="4" t="inlineStr"/>
      <c r="AP180" s="4" t="inlineStr"/>
      <c r="AQ180" s="4" t="inlineStr"/>
      <c r="AR180" s="5">
        <f>IF(tblOrdenes[[#This Row],[link_checklist]]="","",HYPERLINK(p_ruta_base_checklists&amp;tblOrdenes[[#This Row],[link_checklist]],"abrir"))</f>
        <v/>
      </c>
      <c r="AS180" s="4" t="inlineStr"/>
      <c r="AT180" s="5">
        <f>IF(tblOrdenes[[#This Row],[orden]]="","",tblOrdenes[[#This Row],[orden]]&amp;IF(tblOrdenes[[#This Row],[operacion]]="","0010",tblOrdenes[[#This Row],[operacion]]))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22" t="n">
        <v>46166</v>
      </c>
      <c r="K181" s="5" t="n">
        <v>4</v>
      </c>
      <c r="L181" s="18" t="n">
        <v>160</v>
      </c>
      <c r="M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5">
        <f>IF(tblOrdenes[[#This Row],[fecha_inicio]]="","",YEAR(tblOrdenes[[#This Row],[fecha_inicio]]))</f>
        <v/>
      </c>
      <c r="Q181" s="5">
        <f>IF(tblOrdenes[[#This Row],[fecha_inicio]]="","",MONTH(tblOrdenes[[#This Row],[fecha_inicio]]))</f>
        <v/>
      </c>
      <c r="R181" s="5">
        <f>IF(tblOrdenes[[#This Row],[fecha_inicio]]="","",tblOrdenes[[#This Row],[anio]]&amp;"-"&amp;TEXT(tblOrdenes[[#This Row],[mes]],"00"))</f>
        <v/>
      </c>
      <c r="S181" s="5">
        <f>IF(tblOrdenes[[#This Row],[fecha_inicio]]="","",INDEX(lista_dias,WEEKDAY(tblOrdenes[[#This Row],[fecha_inicio]],2)))</f>
        <v/>
      </c>
      <c r="T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1" s="5">
        <f>IF(tblOrdenes[[#This Row],[tipo_ot]]="","",_xlfn.XLOOKUP(tblOrdenes[[#This Row],[tipo_ot]],tblTiposOT[codigo],tblTiposOT[clasificacion],"sin_clasificar"))</f>
        <v/>
      </c>
      <c r="V1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1" s="5">
        <f>IF(tblOrdenes[[#This Row],[centro_costo]]="","",_xlfn.XLOOKUP(tblOrdenes[[#This Row],[centro_costo]],tblCECO[codigo],tblCECO[linea],"(sin catálogo)"))</f>
        <v/>
      </c>
      <c r="X181" s="5">
        <f>IF(tblOrdenes[[#This Row],[centro_costo]]="","",_xlfn.XLOOKUP(tblOrdenes[[#This Row],[centro_costo]],tblCECO[codigo],tblCECO[area],"(sin catálogo)"))</f>
        <v/>
      </c>
      <c r="Y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1" s="5">
        <f>IF(tblOrdenes[[#This Row],[centro_costo]]="","",_xlfn.XLOOKUP(tblOrdenes[[#This Row],[centro_costo]],tblCECO[codigo],tblCECO[coordinador],"(sin catálogo)"))</f>
        <v/>
      </c>
      <c r="AA181" s="5">
        <f>IF(tblOrdenes[[#This Row],[puesto_trabajo]]="","",_xlfn.XLOOKUP(tblOrdenes[[#This Row],[puesto_trabajo]],tblPuestos[codigo],tblPuestos[especialidad],"(sin catálogo)"))</f>
        <v/>
      </c>
      <c r="AB181" s="5">
        <f>IF(tblOrdenes[[#This Row],[cod_actividad]]="","",_xlfn.XLOOKUP(tblOrdenes[[#This Row],[cod_actividad]],tblActividades[codigo],tblActividades[descripcion],"(sin catálogo)"))</f>
        <v/>
      </c>
      <c r="AC181" s="20">
        <f>IF(tblOrdenes[[#This Row],[fecha_inicio]]="","",TODAY()-tblOrdenes[[#This Row],[fecha_inicio]])</f>
        <v/>
      </c>
      <c r="AD1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1" s="5">
        <f>IF(tblOrdenes[[#This Row],[backlog_habiles]]="","",IF(tblOrdenes[[#This Row],[backlog_habiles]]&lt;0,"FUTURO",IF(tblOrdenes[[#This Row],[backlog_habiles]]&gt;p_dias_backlog_max,"BACKLOG","MES CORRIENTE")))</f>
        <v/>
      </c>
      <c r="AF181" s="5">
        <f>IF(tblOrdenes[[#This Row],[backlog_habiles]]="",FALSE,AND(tblOrdenes[[#This Row],[backlog_habiles]]&gt;p_dias_backlog_min,tblOrdenes[[#This Row],[backlog_habiles]]&lt;=p_dias_backlog_max))</f>
        <v/>
      </c>
      <c r="AG181" s="4" t="inlineStr"/>
      <c r="AH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1" s="18">
        <f>IF(tblOrdenes[[#This Row],[orden]]="","",_xlfn.XLOOKUP(tblOrdenes[[#This Row],[id_operacion]],tblEjecucion[id_operacion],tblEjecucion[precio],0))</f>
        <v/>
      </c>
      <c r="AL181" s="18">
        <f>IF(tblOrdenes[[#This Row],[orden]]="","",MAX(0,_xlfn.XLOOKUP(tblOrdenes[[#This Row],[id_operacion]],tblEjecucion[id_operacion],tblEjecucion[costo_plan_total],0)-tblOrdenes[[#This Row],[costo_servicio]]))</f>
        <v/>
      </c>
      <c r="AM181" s="18">
        <f>IF(tblOrdenes[[#This Row],[orden]]="","",tblOrdenes[[#This Row],[costo_servicio]]+tblOrdenes[[#This Row],[costo_materiales]])</f>
        <v/>
      </c>
      <c r="AN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1" s="4" t="inlineStr"/>
      <c r="AP181" s="4" t="inlineStr"/>
      <c r="AQ181" s="4" t="inlineStr"/>
      <c r="AR181" s="5">
        <f>IF(tblOrdenes[[#This Row],[link_checklist]]="","",HYPERLINK(p_ruta_base_checklists&amp;tblOrdenes[[#This Row],[link_checklist]],"abrir"))</f>
        <v/>
      </c>
      <c r="AS181" s="4" t="inlineStr"/>
      <c r="AT181" s="5">
        <f>IF(tblOrdenes[[#This Row],[orden]]="","",tblOrdenes[[#This Row],[orden]]&amp;IF(tblOrdenes[[#This Row],[operacion]]="","0010",tblOrdenes[[#This Row],[operacion]]))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22" t="n">
        <v>46195</v>
      </c>
      <c r="K182" s="5" t="n">
        <v>2</v>
      </c>
      <c r="L182" s="18" t="n">
        <v>80</v>
      </c>
      <c r="M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5">
        <f>IF(tblOrdenes[[#This Row],[fecha_inicio]]="","",YEAR(tblOrdenes[[#This Row],[fecha_inicio]]))</f>
        <v/>
      </c>
      <c r="Q182" s="5">
        <f>IF(tblOrdenes[[#This Row],[fecha_inicio]]="","",MONTH(tblOrdenes[[#This Row],[fecha_inicio]]))</f>
        <v/>
      </c>
      <c r="R182" s="5">
        <f>IF(tblOrdenes[[#This Row],[fecha_inicio]]="","",tblOrdenes[[#This Row],[anio]]&amp;"-"&amp;TEXT(tblOrdenes[[#This Row],[mes]],"00"))</f>
        <v/>
      </c>
      <c r="S182" s="5">
        <f>IF(tblOrdenes[[#This Row],[fecha_inicio]]="","",INDEX(lista_dias,WEEKDAY(tblOrdenes[[#This Row],[fecha_inicio]],2)))</f>
        <v/>
      </c>
      <c r="T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2" s="5">
        <f>IF(tblOrdenes[[#This Row],[tipo_ot]]="","",_xlfn.XLOOKUP(tblOrdenes[[#This Row],[tipo_ot]],tblTiposOT[codigo],tblTiposOT[clasificacion],"sin_clasificar"))</f>
        <v/>
      </c>
      <c r="V1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2" s="5">
        <f>IF(tblOrdenes[[#This Row],[centro_costo]]="","",_xlfn.XLOOKUP(tblOrdenes[[#This Row],[centro_costo]],tblCECO[codigo],tblCECO[linea],"(sin catálogo)"))</f>
        <v/>
      </c>
      <c r="X182" s="5">
        <f>IF(tblOrdenes[[#This Row],[centro_costo]]="","",_xlfn.XLOOKUP(tblOrdenes[[#This Row],[centro_costo]],tblCECO[codigo],tblCECO[area],"(sin catálogo)"))</f>
        <v/>
      </c>
      <c r="Y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2" s="5">
        <f>IF(tblOrdenes[[#This Row],[centro_costo]]="","",_xlfn.XLOOKUP(tblOrdenes[[#This Row],[centro_costo]],tblCECO[codigo],tblCECO[coordinador],"(sin catálogo)"))</f>
        <v/>
      </c>
      <c r="AA182" s="5">
        <f>IF(tblOrdenes[[#This Row],[puesto_trabajo]]="","",_xlfn.XLOOKUP(tblOrdenes[[#This Row],[puesto_trabajo]],tblPuestos[codigo],tblPuestos[especialidad],"(sin catálogo)"))</f>
        <v/>
      </c>
      <c r="AB182" s="5">
        <f>IF(tblOrdenes[[#This Row],[cod_actividad]]="","",_xlfn.XLOOKUP(tblOrdenes[[#This Row],[cod_actividad]],tblActividades[codigo],tblActividades[descripcion],"(sin catálogo)"))</f>
        <v/>
      </c>
      <c r="AC182" s="20">
        <f>IF(tblOrdenes[[#This Row],[fecha_inicio]]="","",TODAY()-tblOrdenes[[#This Row],[fecha_inicio]])</f>
        <v/>
      </c>
      <c r="AD1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2" s="5">
        <f>IF(tblOrdenes[[#This Row],[backlog_habiles]]="","",IF(tblOrdenes[[#This Row],[backlog_habiles]]&lt;0,"FUTURO",IF(tblOrdenes[[#This Row],[backlog_habiles]]&gt;p_dias_backlog_max,"BACKLOG","MES CORRIENTE")))</f>
        <v/>
      </c>
      <c r="AF182" s="5">
        <f>IF(tblOrdenes[[#This Row],[backlog_habiles]]="",FALSE,AND(tblOrdenes[[#This Row],[backlog_habiles]]&gt;p_dias_backlog_min,tblOrdenes[[#This Row],[backlog_habiles]]&lt;=p_dias_backlog_max))</f>
        <v/>
      </c>
      <c r="AG182" s="4" t="inlineStr"/>
      <c r="AH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2" s="18">
        <f>IF(tblOrdenes[[#This Row],[orden]]="","",_xlfn.XLOOKUP(tblOrdenes[[#This Row],[id_operacion]],tblEjecucion[id_operacion],tblEjecucion[precio],0))</f>
        <v/>
      </c>
      <c r="AL182" s="18">
        <f>IF(tblOrdenes[[#This Row],[orden]]="","",MAX(0,_xlfn.XLOOKUP(tblOrdenes[[#This Row],[id_operacion]],tblEjecucion[id_operacion],tblEjecucion[costo_plan_total],0)-tblOrdenes[[#This Row],[costo_servicio]]))</f>
        <v/>
      </c>
      <c r="AM182" s="18">
        <f>IF(tblOrdenes[[#This Row],[orden]]="","",tblOrdenes[[#This Row],[costo_servicio]]+tblOrdenes[[#This Row],[costo_materiales]])</f>
        <v/>
      </c>
      <c r="AN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2" s="4" t="inlineStr"/>
      <c r="AP182" s="4" t="inlineStr"/>
      <c r="AQ182" s="4" t="inlineStr"/>
      <c r="AR182" s="5">
        <f>IF(tblOrdenes[[#This Row],[link_checklist]]="","",HYPERLINK(p_ruta_base_checklists&amp;tblOrdenes[[#This Row],[link_checklist]],"abrir"))</f>
        <v/>
      </c>
      <c r="AS182" s="4" t="inlineStr"/>
      <c r="AT182" s="5">
        <f>IF(tblOrdenes[[#This Row],[orden]]="","",tblOrdenes[[#This Row],[orden]]&amp;IF(tblOrdenes[[#This Row],[operacion]]="","0010",tblOrdenes[[#This Row],[operacion]]))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22" t="n">
        <v>46194</v>
      </c>
      <c r="K183" s="5" t="n">
        <v>2</v>
      </c>
      <c r="L183" s="18" t="n">
        <v>80</v>
      </c>
      <c r="M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5">
        <f>IF(tblOrdenes[[#This Row],[fecha_inicio]]="","",YEAR(tblOrdenes[[#This Row],[fecha_inicio]]))</f>
        <v/>
      </c>
      <c r="Q183" s="5">
        <f>IF(tblOrdenes[[#This Row],[fecha_inicio]]="","",MONTH(tblOrdenes[[#This Row],[fecha_inicio]]))</f>
        <v/>
      </c>
      <c r="R183" s="5">
        <f>IF(tblOrdenes[[#This Row],[fecha_inicio]]="","",tblOrdenes[[#This Row],[anio]]&amp;"-"&amp;TEXT(tblOrdenes[[#This Row],[mes]],"00"))</f>
        <v/>
      </c>
      <c r="S183" s="5">
        <f>IF(tblOrdenes[[#This Row],[fecha_inicio]]="","",INDEX(lista_dias,WEEKDAY(tblOrdenes[[#This Row],[fecha_inicio]],2)))</f>
        <v/>
      </c>
      <c r="T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3" s="5">
        <f>IF(tblOrdenes[[#This Row],[tipo_ot]]="","",_xlfn.XLOOKUP(tblOrdenes[[#This Row],[tipo_ot]],tblTiposOT[codigo],tblTiposOT[clasificacion],"sin_clasificar"))</f>
        <v/>
      </c>
      <c r="V1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3" s="5">
        <f>IF(tblOrdenes[[#This Row],[centro_costo]]="","",_xlfn.XLOOKUP(tblOrdenes[[#This Row],[centro_costo]],tblCECO[codigo],tblCECO[linea],"(sin catálogo)"))</f>
        <v/>
      </c>
      <c r="X183" s="5">
        <f>IF(tblOrdenes[[#This Row],[centro_costo]]="","",_xlfn.XLOOKUP(tblOrdenes[[#This Row],[centro_costo]],tblCECO[codigo],tblCECO[area],"(sin catálogo)"))</f>
        <v/>
      </c>
      <c r="Y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3" s="5">
        <f>IF(tblOrdenes[[#This Row],[centro_costo]]="","",_xlfn.XLOOKUP(tblOrdenes[[#This Row],[centro_costo]],tblCECO[codigo],tblCECO[coordinador],"(sin catálogo)"))</f>
        <v/>
      </c>
      <c r="AA183" s="5">
        <f>IF(tblOrdenes[[#This Row],[puesto_trabajo]]="","",_xlfn.XLOOKUP(tblOrdenes[[#This Row],[puesto_trabajo]],tblPuestos[codigo],tblPuestos[especialidad],"(sin catálogo)"))</f>
        <v/>
      </c>
      <c r="AB183" s="5">
        <f>IF(tblOrdenes[[#This Row],[cod_actividad]]="","",_xlfn.XLOOKUP(tblOrdenes[[#This Row],[cod_actividad]],tblActividades[codigo],tblActividades[descripcion],"(sin catálogo)"))</f>
        <v/>
      </c>
      <c r="AC183" s="20">
        <f>IF(tblOrdenes[[#This Row],[fecha_inicio]]="","",TODAY()-tblOrdenes[[#This Row],[fecha_inicio]])</f>
        <v/>
      </c>
      <c r="AD1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3" s="5">
        <f>IF(tblOrdenes[[#This Row],[backlog_habiles]]="","",IF(tblOrdenes[[#This Row],[backlog_habiles]]&lt;0,"FUTURO",IF(tblOrdenes[[#This Row],[backlog_habiles]]&gt;p_dias_backlog_max,"BACKLOG","MES CORRIENTE")))</f>
        <v/>
      </c>
      <c r="AF183" s="5">
        <f>IF(tblOrdenes[[#This Row],[backlog_habiles]]="",FALSE,AND(tblOrdenes[[#This Row],[backlog_habiles]]&gt;p_dias_backlog_min,tblOrdenes[[#This Row],[backlog_habiles]]&lt;=p_dias_backlog_max))</f>
        <v/>
      </c>
      <c r="AG183" s="4" t="inlineStr"/>
      <c r="AH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3" s="18">
        <f>IF(tblOrdenes[[#This Row],[orden]]="","",_xlfn.XLOOKUP(tblOrdenes[[#This Row],[id_operacion]],tblEjecucion[id_operacion],tblEjecucion[precio],0))</f>
        <v/>
      </c>
      <c r="AL183" s="18">
        <f>IF(tblOrdenes[[#This Row],[orden]]="","",MAX(0,_xlfn.XLOOKUP(tblOrdenes[[#This Row],[id_operacion]],tblEjecucion[id_operacion],tblEjecucion[costo_plan_total],0)-tblOrdenes[[#This Row],[costo_servicio]]))</f>
        <v/>
      </c>
      <c r="AM183" s="18">
        <f>IF(tblOrdenes[[#This Row],[orden]]="","",tblOrdenes[[#This Row],[costo_servicio]]+tblOrdenes[[#This Row],[costo_materiales]])</f>
        <v/>
      </c>
      <c r="AN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3" s="4" t="inlineStr"/>
      <c r="AP183" s="4" t="inlineStr"/>
      <c r="AQ183" s="4" t="inlineStr"/>
      <c r="AR183" s="5">
        <f>IF(tblOrdenes[[#This Row],[link_checklist]]="","",HYPERLINK(p_ruta_base_checklists&amp;tblOrdenes[[#This Row],[link_checklist]],"abrir"))</f>
        <v/>
      </c>
      <c r="AS183" s="4" t="inlineStr"/>
      <c r="AT183" s="5">
        <f>IF(tblOrdenes[[#This Row],[orden]]="","",tblOrdenes[[#This Row],[orden]]&amp;IF(tblOrdenes[[#This Row],[operacion]]="","0010",tblOrdenes[[#This Row],[operacion]]))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22" t="n">
        <v>46193</v>
      </c>
      <c r="K184" s="5" t="n">
        <v>2</v>
      </c>
      <c r="L184" s="18" t="n">
        <v>80</v>
      </c>
      <c r="M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5">
        <f>IF(tblOrdenes[[#This Row],[fecha_inicio]]="","",YEAR(tblOrdenes[[#This Row],[fecha_inicio]]))</f>
        <v/>
      </c>
      <c r="Q184" s="5">
        <f>IF(tblOrdenes[[#This Row],[fecha_inicio]]="","",MONTH(tblOrdenes[[#This Row],[fecha_inicio]]))</f>
        <v/>
      </c>
      <c r="R184" s="5">
        <f>IF(tblOrdenes[[#This Row],[fecha_inicio]]="","",tblOrdenes[[#This Row],[anio]]&amp;"-"&amp;TEXT(tblOrdenes[[#This Row],[mes]],"00"))</f>
        <v/>
      </c>
      <c r="S184" s="5">
        <f>IF(tblOrdenes[[#This Row],[fecha_inicio]]="","",INDEX(lista_dias,WEEKDAY(tblOrdenes[[#This Row],[fecha_inicio]],2)))</f>
        <v/>
      </c>
      <c r="T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4" s="5">
        <f>IF(tblOrdenes[[#This Row],[tipo_ot]]="","",_xlfn.XLOOKUP(tblOrdenes[[#This Row],[tipo_ot]],tblTiposOT[codigo],tblTiposOT[clasificacion],"sin_clasificar"))</f>
        <v/>
      </c>
      <c r="V1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4" s="5">
        <f>IF(tblOrdenes[[#This Row],[centro_costo]]="","",_xlfn.XLOOKUP(tblOrdenes[[#This Row],[centro_costo]],tblCECO[codigo],tblCECO[linea],"(sin catálogo)"))</f>
        <v/>
      </c>
      <c r="X184" s="5">
        <f>IF(tblOrdenes[[#This Row],[centro_costo]]="","",_xlfn.XLOOKUP(tblOrdenes[[#This Row],[centro_costo]],tblCECO[codigo],tblCECO[area],"(sin catálogo)"))</f>
        <v/>
      </c>
      <c r="Y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4" s="5">
        <f>IF(tblOrdenes[[#This Row],[centro_costo]]="","",_xlfn.XLOOKUP(tblOrdenes[[#This Row],[centro_costo]],tblCECO[codigo],tblCECO[coordinador],"(sin catálogo)"))</f>
        <v/>
      </c>
      <c r="AA184" s="5">
        <f>IF(tblOrdenes[[#This Row],[puesto_trabajo]]="","",_xlfn.XLOOKUP(tblOrdenes[[#This Row],[puesto_trabajo]],tblPuestos[codigo],tblPuestos[especialidad],"(sin catálogo)"))</f>
        <v/>
      </c>
      <c r="AB184" s="5">
        <f>IF(tblOrdenes[[#This Row],[cod_actividad]]="","",_xlfn.XLOOKUP(tblOrdenes[[#This Row],[cod_actividad]],tblActividades[codigo],tblActividades[descripcion],"(sin catálogo)"))</f>
        <v/>
      </c>
      <c r="AC184" s="20">
        <f>IF(tblOrdenes[[#This Row],[fecha_inicio]]="","",TODAY()-tblOrdenes[[#This Row],[fecha_inicio]])</f>
        <v/>
      </c>
      <c r="AD1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4" s="5">
        <f>IF(tblOrdenes[[#This Row],[backlog_habiles]]="","",IF(tblOrdenes[[#This Row],[backlog_habiles]]&lt;0,"FUTURO",IF(tblOrdenes[[#This Row],[backlog_habiles]]&gt;p_dias_backlog_max,"BACKLOG","MES CORRIENTE")))</f>
        <v/>
      </c>
      <c r="AF184" s="5">
        <f>IF(tblOrdenes[[#This Row],[backlog_habiles]]="",FALSE,AND(tblOrdenes[[#This Row],[backlog_habiles]]&gt;p_dias_backlog_min,tblOrdenes[[#This Row],[backlog_habiles]]&lt;=p_dias_backlog_max))</f>
        <v/>
      </c>
      <c r="AG184" s="4" t="inlineStr"/>
      <c r="AH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4" s="18">
        <f>IF(tblOrdenes[[#This Row],[orden]]="","",_xlfn.XLOOKUP(tblOrdenes[[#This Row],[id_operacion]],tblEjecucion[id_operacion],tblEjecucion[precio],0))</f>
        <v/>
      </c>
      <c r="AL184" s="18">
        <f>IF(tblOrdenes[[#This Row],[orden]]="","",MAX(0,_xlfn.XLOOKUP(tblOrdenes[[#This Row],[id_operacion]],tblEjecucion[id_operacion],tblEjecucion[costo_plan_total],0)-tblOrdenes[[#This Row],[costo_servicio]]))</f>
        <v/>
      </c>
      <c r="AM184" s="18">
        <f>IF(tblOrdenes[[#This Row],[orden]]="","",tblOrdenes[[#This Row],[costo_servicio]]+tblOrdenes[[#This Row],[costo_materiales]])</f>
        <v/>
      </c>
      <c r="AN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4" s="4" t="inlineStr"/>
      <c r="AP184" s="4" t="inlineStr"/>
      <c r="AQ184" s="4" t="inlineStr"/>
      <c r="AR184" s="5">
        <f>IF(tblOrdenes[[#This Row],[link_checklist]]="","",HYPERLINK(p_ruta_base_checklists&amp;tblOrdenes[[#This Row],[link_checklist]],"abrir"))</f>
        <v/>
      </c>
      <c r="AS184" s="4" t="inlineStr"/>
      <c r="AT184" s="5">
        <f>IF(tblOrdenes[[#This Row],[orden]]="","",tblOrdenes[[#This Row],[orden]]&amp;IF(tblOrdenes[[#This Row],[operacion]]="","0010",tblOrdenes[[#This Row],[operacion]]))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22" t="n">
        <v>46192</v>
      </c>
      <c r="K185" s="5" t="n">
        <v>2</v>
      </c>
      <c r="L185" s="18" t="n">
        <v>80</v>
      </c>
      <c r="M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5">
        <f>IF(tblOrdenes[[#This Row],[fecha_inicio]]="","",YEAR(tblOrdenes[[#This Row],[fecha_inicio]]))</f>
        <v/>
      </c>
      <c r="Q185" s="5">
        <f>IF(tblOrdenes[[#This Row],[fecha_inicio]]="","",MONTH(tblOrdenes[[#This Row],[fecha_inicio]]))</f>
        <v/>
      </c>
      <c r="R185" s="5">
        <f>IF(tblOrdenes[[#This Row],[fecha_inicio]]="","",tblOrdenes[[#This Row],[anio]]&amp;"-"&amp;TEXT(tblOrdenes[[#This Row],[mes]],"00"))</f>
        <v/>
      </c>
      <c r="S185" s="5">
        <f>IF(tblOrdenes[[#This Row],[fecha_inicio]]="","",INDEX(lista_dias,WEEKDAY(tblOrdenes[[#This Row],[fecha_inicio]],2)))</f>
        <v/>
      </c>
      <c r="T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5" s="5">
        <f>IF(tblOrdenes[[#This Row],[tipo_ot]]="","",_xlfn.XLOOKUP(tblOrdenes[[#This Row],[tipo_ot]],tblTiposOT[codigo],tblTiposOT[clasificacion],"sin_clasificar"))</f>
        <v/>
      </c>
      <c r="V1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5" s="5">
        <f>IF(tblOrdenes[[#This Row],[centro_costo]]="","",_xlfn.XLOOKUP(tblOrdenes[[#This Row],[centro_costo]],tblCECO[codigo],tblCECO[linea],"(sin catálogo)"))</f>
        <v/>
      </c>
      <c r="X185" s="5">
        <f>IF(tblOrdenes[[#This Row],[centro_costo]]="","",_xlfn.XLOOKUP(tblOrdenes[[#This Row],[centro_costo]],tblCECO[codigo],tblCECO[area],"(sin catálogo)"))</f>
        <v/>
      </c>
      <c r="Y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5" s="5">
        <f>IF(tblOrdenes[[#This Row],[centro_costo]]="","",_xlfn.XLOOKUP(tblOrdenes[[#This Row],[centro_costo]],tblCECO[codigo],tblCECO[coordinador],"(sin catálogo)"))</f>
        <v/>
      </c>
      <c r="AA185" s="5">
        <f>IF(tblOrdenes[[#This Row],[puesto_trabajo]]="","",_xlfn.XLOOKUP(tblOrdenes[[#This Row],[puesto_trabajo]],tblPuestos[codigo],tblPuestos[especialidad],"(sin catálogo)"))</f>
        <v/>
      </c>
      <c r="AB185" s="5">
        <f>IF(tblOrdenes[[#This Row],[cod_actividad]]="","",_xlfn.XLOOKUP(tblOrdenes[[#This Row],[cod_actividad]],tblActividades[codigo],tblActividades[descripcion],"(sin catálogo)"))</f>
        <v/>
      </c>
      <c r="AC185" s="20">
        <f>IF(tblOrdenes[[#This Row],[fecha_inicio]]="","",TODAY()-tblOrdenes[[#This Row],[fecha_inicio]])</f>
        <v/>
      </c>
      <c r="AD1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5" s="5">
        <f>IF(tblOrdenes[[#This Row],[backlog_habiles]]="","",IF(tblOrdenes[[#This Row],[backlog_habiles]]&lt;0,"FUTURO",IF(tblOrdenes[[#This Row],[backlog_habiles]]&gt;p_dias_backlog_max,"BACKLOG","MES CORRIENTE")))</f>
        <v/>
      </c>
      <c r="AF185" s="5">
        <f>IF(tblOrdenes[[#This Row],[backlog_habiles]]="",FALSE,AND(tblOrdenes[[#This Row],[backlog_habiles]]&gt;p_dias_backlog_min,tblOrdenes[[#This Row],[backlog_habiles]]&lt;=p_dias_backlog_max))</f>
        <v/>
      </c>
      <c r="AG185" s="4" t="inlineStr"/>
      <c r="AH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5" s="18">
        <f>IF(tblOrdenes[[#This Row],[orden]]="","",_xlfn.XLOOKUP(tblOrdenes[[#This Row],[id_operacion]],tblEjecucion[id_operacion],tblEjecucion[precio],0))</f>
        <v/>
      </c>
      <c r="AL185" s="18">
        <f>IF(tblOrdenes[[#This Row],[orden]]="","",MAX(0,_xlfn.XLOOKUP(tblOrdenes[[#This Row],[id_operacion]],tblEjecucion[id_operacion],tblEjecucion[costo_plan_total],0)-tblOrdenes[[#This Row],[costo_servicio]]))</f>
        <v/>
      </c>
      <c r="AM185" s="18">
        <f>IF(tblOrdenes[[#This Row],[orden]]="","",tblOrdenes[[#This Row],[costo_servicio]]+tblOrdenes[[#This Row],[costo_materiales]])</f>
        <v/>
      </c>
      <c r="AN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5" s="4" t="inlineStr"/>
      <c r="AP185" s="4" t="inlineStr"/>
      <c r="AQ185" s="4" t="inlineStr"/>
      <c r="AR185" s="5">
        <f>IF(tblOrdenes[[#This Row],[link_checklist]]="","",HYPERLINK(p_ruta_base_checklists&amp;tblOrdenes[[#This Row],[link_checklist]],"abrir"))</f>
        <v/>
      </c>
      <c r="AS185" s="4" t="inlineStr"/>
      <c r="AT185" s="5">
        <f>IF(tblOrdenes[[#This Row],[orden]]="","",tblOrdenes[[#This Row],[orden]]&amp;IF(tblOrdenes[[#This Row],[operacion]]="","0010",tblOrdenes[[#This Row],[operacion]]))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22" t="n">
        <v>46191</v>
      </c>
      <c r="K186" s="5" t="n">
        <v>2</v>
      </c>
      <c r="L186" s="18" t="n">
        <v>80</v>
      </c>
      <c r="M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5">
        <f>IF(tblOrdenes[[#This Row],[fecha_inicio]]="","",YEAR(tblOrdenes[[#This Row],[fecha_inicio]]))</f>
        <v/>
      </c>
      <c r="Q186" s="5">
        <f>IF(tblOrdenes[[#This Row],[fecha_inicio]]="","",MONTH(tblOrdenes[[#This Row],[fecha_inicio]]))</f>
        <v/>
      </c>
      <c r="R186" s="5">
        <f>IF(tblOrdenes[[#This Row],[fecha_inicio]]="","",tblOrdenes[[#This Row],[anio]]&amp;"-"&amp;TEXT(tblOrdenes[[#This Row],[mes]],"00"))</f>
        <v/>
      </c>
      <c r="S186" s="5">
        <f>IF(tblOrdenes[[#This Row],[fecha_inicio]]="","",INDEX(lista_dias,WEEKDAY(tblOrdenes[[#This Row],[fecha_inicio]],2)))</f>
        <v/>
      </c>
      <c r="T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6" s="5">
        <f>IF(tblOrdenes[[#This Row],[tipo_ot]]="","",_xlfn.XLOOKUP(tblOrdenes[[#This Row],[tipo_ot]],tblTiposOT[codigo],tblTiposOT[clasificacion],"sin_clasificar"))</f>
        <v/>
      </c>
      <c r="V1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6" s="5">
        <f>IF(tblOrdenes[[#This Row],[centro_costo]]="","",_xlfn.XLOOKUP(tblOrdenes[[#This Row],[centro_costo]],tblCECO[codigo],tblCECO[linea],"(sin catálogo)"))</f>
        <v/>
      </c>
      <c r="X186" s="5">
        <f>IF(tblOrdenes[[#This Row],[centro_costo]]="","",_xlfn.XLOOKUP(tblOrdenes[[#This Row],[centro_costo]],tblCECO[codigo],tblCECO[area],"(sin catálogo)"))</f>
        <v/>
      </c>
      <c r="Y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6" s="5">
        <f>IF(tblOrdenes[[#This Row],[centro_costo]]="","",_xlfn.XLOOKUP(tblOrdenes[[#This Row],[centro_costo]],tblCECO[codigo],tblCECO[coordinador],"(sin catálogo)"))</f>
        <v/>
      </c>
      <c r="AA186" s="5">
        <f>IF(tblOrdenes[[#This Row],[puesto_trabajo]]="","",_xlfn.XLOOKUP(tblOrdenes[[#This Row],[puesto_trabajo]],tblPuestos[codigo],tblPuestos[especialidad],"(sin catálogo)"))</f>
        <v/>
      </c>
      <c r="AB186" s="5">
        <f>IF(tblOrdenes[[#This Row],[cod_actividad]]="","",_xlfn.XLOOKUP(tblOrdenes[[#This Row],[cod_actividad]],tblActividades[codigo],tblActividades[descripcion],"(sin catálogo)"))</f>
        <v/>
      </c>
      <c r="AC186" s="20">
        <f>IF(tblOrdenes[[#This Row],[fecha_inicio]]="","",TODAY()-tblOrdenes[[#This Row],[fecha_inicio]])</f>
        <v/>
      </c>
      <c r="AD1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6" s="5">
        <f>IF(tblOrdenes[[#This Row],[backlog_habiles]]="","",IF(tblOrdenes[[#This Row],[backlog_habiles]]&lt;0,"FUTURO",IF(tblOrdenes[[#This Row],[backlog_habiles]]&gt;p_dias_backlog_max,"BACKLOG","MES CORRIENTE")))</f>
        <v/>
      </c>
      <c r="AF186" s="5">
        <f>IF(tblOrdenes[[#This Row],[backlog_habiles]]="",FALSE,AND(tblOrdenes[[#This Row],[backlog_habiles]]&gt;p_dias_backlog_min,tblOrdenes[[#This Row],[backlog_habiles]]&lt;=p_dias_backlog_max))</f>
        <v/>
      </c>
      <c r="AG186" s="4" t="inlineStr"/>
      <c r="AH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6" s="18">
        <f>IF(tblOrdenes[[#This Row],[orden]]="","",_xlfn.XLOOKUP(tblOrdenes[[#This Row],[id_operacion]],tblEjecucion[id_operacion],tblEjecucion[precio],0))</f>
        <v/>
      </c>
      <c r="AL186" s="18">
        <f>IF(tblOrdenes[[#This Row],[orden]]="","",MAX(0,_xlfn.XLOOKUP(tblOrdenes[[#This Row],[id_operacion]],tblEjecucion[id_operacion],tblEjecucion[costo_plan_total],0)-tblOrdenes[[#This Row],[costo_servicio]]))</f>
        <v/>
      </c>
      <c r="AM186" s="18">
        <f>IF(tblOrdenes[[#This Row],[orden]]="","",tblOrdenes[[#This Row],[costo_servicio]]+tblOrdenes[[#This Row],[costo_materiales]])</f>
        <v/>
      </c>
      <c r="AN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6" s="4" t="inlineStr"/>
      <c r="AP186" s="4" t="inlineStr"/>
      <c r="AQ186" s="4" t="inlineStr"/>
      <c r="AR186" s="5">
        <f>IF(tblOrdenes[[#This Row],[link_checklist]]="","",HYPERLINK(p_ruta_base_checklists&amp;tblOrdenes[[#This Row],[link_checklist]],"abrir"))</f>
        <v/>
      </c>
      <c r="AS186" s="4" t="inlineStr"/>
      <c r="AT186" s="5">
        <f>IF(tblOrdenes[[#This Row],[orden]]="","",tblOrdenes[[#This Row],[orden]]&amp;IF(tblOrdenes[[#This Row],[operacion]]="","0010",tblOrdenes[[#This Row],[operacion]]))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22" t="n">
        <v>46190</v>
      </c>
      <c r="K187" s="5" t="n">
        <v>2</v>
      </c>
      <c r="L187" s="18" t="n">
        <v>80</v>
      </c>
      <c r="M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5">
        <f>IF(tblOrdenes[[#This Row],[fecha_inicio]]="","",YEAR(tblOrdenes[[#This Row],[fecha_inicio]]))</f>
        <v/>
      </c>
      <c r="Q187" s="5">
        <f>IF(tblOrdenes[[#This Row],[fecha_inicio]]="","",MONTH(tblOrdenes[[#This Row],[fecha_inicio]]))</f>
        <v/>
      </c>
      <c r="R187" s="5">
        <f>IF(tblOrdenes[[#This Row],[fecha_inicio]]="","",tblOrdenes[[#This Row],[anio]]&amp;"-"&amp;TEXT(tblOrdenes[[#This Row],[mes]],"00"))</f>
        <v/>
      </c>
      <c r="S187" s="5">
        <f>IF(tblOrdenes[[#This Row],[fecha_inicio]]="","",INDEX(lista_dias,WEEKDAY(tblOrdenes[[#This Row],[fecha_inicio]],2)))</f>
        <v/>
      </c>
      <c r="T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7" s="5">
        <f>IF(tblOrdenes[[#This Row],[tipo_ot]]="","",_xlfn.XLOOKUP(tblOrdenes[[#This Row],[tipo_ot]],tblTiposOT[codigo],tblTiposOT[clasificacion],"sin_clasificar"))</f>
        <v/>
      </c>
      <c r="V1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7" s="5">
        <f>IF(tblOrdenes[[#This Row],[centro_costo]]="","",_xlfn.XLOOKUP(tblOrdenes[[#This Row],[centro_costo]],tblCECO[codigo],tblCECO[linea],"(sin catálogo)"))</f>
        <v/>
      </c>
      <c r="X187" s="5">
        <f>IF(tblOrdenes[[#This Row],[centro_costo]]="","",_xlfn.XLOOKUP(tblOrdenes[[#This Row],[centro_costo]],tblCECO[codigo],tblCECO[area],"(sin catálogo)"))</f>
        <v/>
      </c>
      <c r="Y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7" s="5">
        <f>IF(tblOrdenes[[#This Row],[centro_costo]]="","",_xlfn.XLOOKUP(tblOrdenes[[#This Row],[centro_costo]],tblCECO[codigo],tblCECO[coordinador],"(sin catálogo)"))</f>
        <v/>
      </c>
      <c r="AA187" s="5">
        <f>IF(tblOrdenes[[#This Row],[puesto_trabajo]]="","",_xlfn.XLOOKUP(tblOrdenes[[#This Row],[puesto_trabajo]],tblPuestos[codigo],tblPuestos[especialidad],"(sin catálogo)"))</f>
        <v/>
      </c>
      <c r="AB187" s="5">
        <f>IF(tblOrdenes[[#This Row],[cod_actividad]]="","",_xlfn.XLOOKUP(tblOrdenes[[#This Row],[cod_actividad]],tblActividades[codigo],tblActividades[descripcion],"(sin catálogo)"))</f>
        <v/>
      </c>
      <c r="AC187" s="20">
        <f>IF(tblOrdenes[[#This Row],[fecha_inicio]]="","",TODAY()-tblOrdenes[[#This Row],[fecha_inicio]])</f>
        <v/>
      </c>
      <c r="AD1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7" s="5">
        <f>IF(tblOrdenes[[#This Row],[backlog_habiles]]="","",IF(tblOrdenes[[#This Row],[backlog_habiles]]&lt;0,"FUTURO",IF(tblOrdenes[[#This Row],[backlog_habiles]]&gt;p_dias_backlog_max,"BACKLOG","MES CORRIENTE")))</f>
        <v/>
      </c>
      <c r="AF187" s="5">
        <f>IF(tblOrdenes[[#This Row],[backlog_habiles]]="",FALSE,AND(tblOrdenes[[#This Row],[backlog_habiles]]&gt;p_dias_backlog_min,tblOrdenes[[#This Row],[backlog_habiles]]&lt;=p_dias_backlog_max))</f>
        <v/>
      </c>
      <c r="AG187" s="4" t="inlineStr"/>
      <c r="AH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7" s="18">
        <f>IF(tblOrdenes[[#This Row],[orden]]="","",_xlfn.XLOOKUP(tblOrdenes[[#This Row],[id_operacion]],tblEjecucion[id_operacion],tblEjecucion[precio],0))</f>
        <v/>
      </c>
      <c r="AL187" s="18">
        <f>IF(tblOrdenes[[#This Row],[orden]]="","",MAX(0,_xlfn.XLOOKUP(tblOrdenes[[#This Row],[id_operacion]],tblEjecucion[id_operacion],tblEjecucion[costo_plan_total],0)-tblOrdenes[[#This Row],[costo_servicio]]))</f>
        <v/>
      </c>
      <c r="AM187" s="18">
        <f>IF(tblOrdenes[[#This Row],[orden]]="","",tblOrdenes[[#This Row],[costo_servicio]]+tblOrdenes[[#This Row],[costo_materiales]])</f>
        <v/>
      </c>
      <c r="AN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7" s="4" t="inlineStr"/>
      <c r="AP187" s="4" t="inlineStr"/>
      <c r="AQ187" s="4" t="inlineStr"/>
      <c r="AR187" s="5">
        <f>IF(tblOrdenes[[#This Row],[link_checklist]]="","",HYPERLINK(p_ruta_base_checklists&amp;tblOrdenes[[#This Row],[link_checklist]],"abrir"))</f>
        <v/>
      </c>
      <c r="AS187" s="4" t="inlineStr"/>
      <c r="AT187" s="5">
        <f>IF(tblOrdenes[[#This Row],[orden]]="","",tblOrdenes[[#This Row],[orden]]&amp;IF(tblOrdenes[[#This Row],[operacion]]="","0010",tblOrdenes[[#This Row],[operacion]]))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22" t="n">
        <v>46189</v>
      </c>
      <c r="K188" s="5" t="n">
        <v>2</v>
      </c>
      <c r="L188" s="18" t="n">
        <v>80</v>
      </c>
      <c r="M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5">
        <f>IF(tblOrdenes[[#This Row],[fecha_inicio]]="","",YEAR(tblOrdenes[[#This Row],[fecha_inicio]]))</f>
        <v/>
      </c>
      <c r="Q188" s="5">
        <f>IF(tblOrdenes[[#This Row],[fecha_inicio]]="","",MONTH(tblOrdenes[[#This Row],[fecha_inicio]]))</f>
        <v/>
      </c>
      <c r="R188" s="5">
        <f>IF(tblOrdenes[[#This Row],[fecha_inicio]]="","",tblOrdenes[[#This Row],[anio]]&amp;"-"&amp;TEXT(tblOrdenes[[#This Row],[mes]],"00"))</f>
        <v/>
      </c>
      <c r="S188" s="5">
        <f>IF(tblOrdenes[[#This Row],[fecha_inicio]]="","",INDEX(lista_dias,WEEKDAY(tblOrdenes[[#This Row],[fecha_inicio]],2)))</f>
        <v/>
      </c>
      <c r="T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8" s="5">
        <f>IF(tblOrdenes[[#This Row],[tipo_ot]]="","",_xlfn.XLOOKUP(tblOrdenes[[#This Row],[tipo_ot]],tblTiposOT[codigo],tblTiposOT[clasificacion],"sin_clasificar"))</f>
        <v/>
      </c>
      <c r="V1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8" s="5">
        <f>IF(tblOrdenes[[#This Row],[centro_costo]]="","",_xlfn.XLOOKUP(tblOrdenes[[#This Row],[centro_costo]],tblCECO[codigo],tblCECO[linea],"(sin catálogo)"))</f>
        <v/>
      </c>
      <c r="X188" s="5">
        <f>IF(tblOrdenes[[#This Row],[centro_costo]]="","",_xlfn.XLOOKUP(tblOrdenes[[#This Row],[centro_costo]],tblCECO[codigo],tblCECO[area],"(sin catálogo)"))</f>
        <v/>
      </c>
      <c r="Y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8" s="5">
        <f>IF(tblOrdenes[[#This Row],[centro_costo]]="","",_xlfn.XLOOKUP(tblOrdenes[[#This Row],[centro_costo]],tblCECO[codigo],tblCECO[coordinador],"(sin catálogo)"))</f>
        <v/>
      </c>
      <c r="AA188" s="5">
        <f>IF(tblOrdenes[[#This Row],[puesto_trabajo]]="","",_xlfn.XLOOKUP(tblOrdenes[[#This Row],[puesto_trabajo]],tblPuestos[codigo],tblPuestos[especialidad],"(sin catálogo)"))</f>
        <v/>
      </c>
      <c r="AB188" s="5">
        <f>IF(tblOrdenes[[#This Row],[cod_actividad]]="","",_xlfn.XLOOKUP(tblOrdenes[[#This Row],[cod_actividad]],tblActividades[codigo],tblActividades[descripcion],"(sin catálogo)"))</f>
        <v/>
      </c>
      <c r="AC188" s="20">
        <f>IF(tblOrdenes[[#This Row],[fecha_inicio]]="","",TODAY()-tblOrdenes[[#This Row],[fecha_inicio]])</f>
        <v/>
      </c>
      <c r="AD1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8" s="5">
        <f>IF(tblOrdenes[[#This Row],[backlog_habiles]]="","",IF(tblOrdenes[[#This Row],[backlog_habiles]]&lt;0,"FUTURO",IF(tblOrdenes[[#This Row],[backlog_habiles]]&gt;p_dias_backlog_max,"BACKLOG","MES CORRIENTE")))</f>
        <v/>
      </c>
      <c r="AF188" s="5">
        <f>IF(tblOrdenes[[#This Row],[backlog_habiles]]="",FALSE,AND(tblOrdenes[[#This Row],[backlog_habiles]]&gt;p_dias_backlog_min,tblOrdenes[[#This Row],[backlog_habiles]]&lt;=p_dias_backlog_max))</f>
        <v/>
      </c>
      <c r="AG188" s="4" t="inlineStr"/>
      <c r="AH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8" s="18">
        <f>IF(tblOrdenes[[#This Row],[orden]]="","",_xlfn.XLOOKUP(tblOrdenes[[#This Row],[id_operacion]],tblEjecucion[id_operacion],tblEjecucion[precio],0))</f>
        <v/>
      </c>
      <c r="AL188" s="18">
        <f>IF(tblOrdenes[[#This Row],[orden]]="","",MAX(0,_xlfn.XLOOKUP(tblOrdenes[[#This Row],[id_operacion]],tblEjecucion[id_operacion],tblEjecucion[costo_plan_total],0)-tblOrdenes[[#This Row],[costo_servicio]]))</f>
        <v/>
      </c>
      <c r="AM188" s="18">
        <f>IF(tblOrdenes[[#This Row],[orden]]="","",tblOrdenes[[#This Row],[costo_servicio]]+tblOrdenes[[#This Row],[costo_materiales]])</f>
        <v/>
      </c>
      <c r="AN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8" s="4" t="inlineStr"/>
      <c r="AP188" s="4" t="inlineStr"/>
      <c r="AQ188" s="4" t="inlineStr"/>
      <c r="AR188" s="5">
        <f>IF(tblOrdenes[[#This Row],[link_checklist]]="","",HYPERLINK(p_ruta_base_checklists&amp;tblOrdenes[[#This Row],[link_checklist]],"abrir"))</f>
        <v/>
      </c>
      <c r="AS188" s="4" t="inlineStr"/>
      <c r="AT188" s="5">
        <f>IF(tblOrdenes[[#This Row],[orden]]="","",tblOrdenes[[#This Row],[orden]]&amp;IF(tblOrdenes[[#This Row],[operacion]]="","0010",tblOrdenes[[#This Row],[operacion]]))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22" t="n">
        <v>46188</v>
      </c>
      <c r="K189" s="5" t="n">
        <v>2</v>
      </c>
      <c r="L189" s="18" t="n">
        <v>80</v>
      </c>
      <c r="M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5">
        <f>IF(tblOrdenes[[#This Row],[fecha_inicio]]="","",YEAR(tblOrdenes[[#This Row],[fecha_inicio]]))</f>
        <v/>
      </c>
      <c r="Q189" s="5">
        <f>IF(tblOrdenes[[#This Row],[fecha_inicio]]="","",MONTH(tblOrdenes[[#This Row],[fecha_inicio]]))</f>
        <v/>
      </c>
      <c r="R189" s="5">
        <f>IF(tblOrdenes[[#This Row],[fecha_inicio]]="","",tblOrdenes[[#This Row],[anio]]&amp;"-"&amp;TEXT(tblOrdenes[[#This Row],[mes]],"00"))</f>
        <v/>
      </c>
      <c r="S189" s="5">
        <f>IF(tblOrdenes[[#This Row],[fecha_inicio]]="","",INDEX(lista_dias,WEEKDAY(tblOrdenes[[#This Row],[fecha_inicio]],2)))</f>
        <v/>
      </c>
      <c r="T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9" s="5">
        <f>IF(tblOrdenes[[#This Row],[tipo_ot]]="","",_xlfn.XLOOKUP(tblOrdenes[[#This Row],[tipo_ot]],tblTiposOT[codigo],tblTiposOT[clasificacion],"sin_clasificar"))</f>
        <v/>
      </c>
      <c r="V1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9" s="5">
        <f>IF(tblOrdenes[[#This Row],[centro_costo]]="","",_xlfn.XLOOKUP(tblOrdenes[[#This Row],[centro_costo]],tblCECO[codigo],tblCECO[linea],"(sin catálogo)"))</f>
        <v/>
      </c>
      <c r="X189" s="5">
        <f>IF(tblOrdenes[[#This Row],[centro_costo]]="","",_xlfn.XLOOKUP(tblOrdenes[[#This Row],[centro_costo]],tblCECO[codigo],tblCECO[area],"(sin catálogo)"))</f>
        <v/>
      </c>
      <c r="Y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89" s="5">
        <f>IF(tblOrdenes[[#This Row],[centro_costo]]="","",_xlfn.XLOOKUP(tblOrdenes[[#This Row],[centro_costo]],tblCECO[codigo],tblCECO[coordinador],"(sin catálogo)"))</f>
        <v/>
      </c>
      <c r="AA189" s="5">
        <f>IF(tblOrdenes[[#This Row],[puesto_trabajo]]="","",_xlfn.XLOOKUP(tblOrdenes[[#This Row],[puesto_trabajo]],tblPuestos[codigo],tblPuestos[especialidad],"(sin catálogo)"))</f>
        <v/>
      </c>
      <c r="AB189" s="5">
        <f>IF(tblOrdenes[[#This Row],[cod_actividad]]="","",_xlfn.XLOOKUP(tblOrdenes[[#This Row],[cod_actividad]],tblActividades[codigo],tblActividades[descripcion],"(sin catálogo)"))</f>
        <v/>
      </c>
      <c r="AC189" s="20">
        <f>IF(tblOrdenes[[#This Row],[fecha_inicio]]="","",TODAY()-tblOrdenes[[#This Row],[fecha_inicio]])</f>
        <v/>
      </c>
      <c r="AD1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89" s="5">
        <f>IF(tblOrdenes[[#This Row],[backlog_habiles]]="","",IF(tblOrdenes[[#This Row],[backlog_habiles]]&lt;0,"FUTURO",IF(tblOrdenes[[#This Row],[backlog_habiles]]&gt;p_dias_backlog_max,"BACKLOG","MES CORRIENTE")))</f>
        <v/>
      </c>
      <c r="AF189" s="5">
        <f>IF(tblOrdenes[[#This Row],[backlog_habiles]]="",FALSE,AND(tblOrdenes[[#This Row],[backlog_habiles]]&gt;p_dias_backlog_min,tblOrdenes[[#This Row],[backlog_habiles]]&lt;=p_dias_backlog_max))</f>
        <v/>
      </c>
      <c r="AG189" s="4" t="inlineStr"/>
      <c r="AH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89" s="18">
        <f>IF(tblOrdenes[[#This Row],[orden]]="","",_xlfn.XLOOKUP(tblOrdenes[[#This Row],[id_operacion]],tblEjecucion[id_operacion],tblEjecucion[precio],0))</f>
        <v/>
      </c>
      <c r="AL189" s="18">
        <f>IF(tblOrdenes[[#This Row],[orden]]="","",MAX(0,_xlfn.XLOOKUP(tblOrdenes[[#This Row],[id_operacion]],tblEjecucion[id_operacion],tblEjecucion[costo_plan_total],0)-tblOrdenes[[#This Row],[costo_servicio]]))</f>
        <v/>
      </c>
      <c r="AM189" s="18">
        <f>IF(tblOrdenes[[#This Row],[orden]]="","",tblOrdenes[[#This Row],[costo_servicio]]+tblOrdenes[[#This Row],[costo_materiales]])</f>
        <v/>
      </c>
      <c r="AN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89" s="4" t="inlineStr"/>
      <c r="AP189" s="4" t="inlineStr"/>
      <c r="AQ189" s="4" t="inlineStr"/>
      <c r="AR189" s="5">
        <f>IF(tblOrdenes[[#This Row],[link_checklist]]="","",HYPERLINK(p_ruta_base_checklists&amp;tblOrdenes[[#This Row],[link_checklist]],"abrir"))</f>
        <v/>
      </c>
      <c r="AS189" s="4" t="inlineStr"/>
      <c r="AT189" s="5">
        <f>IF(tblOrdenes[[#This Row],[orden]]="","",tblOrdenes[[#This Row],[orden]]&amp;IF(tblOrdenes[[#This Row],[operacion]]="","0010",tblOrdenes[[#This Row],[operacion]]))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22" t="n">
        <v>46187</v>
      </c>
      <c r="K190" s="5" t="n">
        <v>2</v>
      </c>
      <c r="L190" s="18" t="n">
        <v>80</v>
      </c>
      <c r="M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5">
        <f>IF(tblOrdenes[[#This Row],[fecha_inicio]]="","",YEAR(tblOrdenes[[#This Row],[fecha_inicio]]))</f>
        <v/>
      </c>
      <c r="Q190" s="5">
        <f>IF(tblOrdenes[[#This Row],[fecha_inicio]]="","",MONTH(tblOrdenes[[#This Row],[fecha_inicio]]))</f>
        <v/>
      </c>
      <c r="R190" s="5">
        <f>IF(tblOrdenes[[#This Row],[fecha_inicio]]="","",tblOrdenes[[#This Row],[anio]]&amp;"-"&amp;TEXT(tblOrdenes[[#This Row],[mes]],"00"))</f>
        <v/>
      </c>
      <c r="S190" s="5">
        <f>IF(tblOrdenes[[#This Row],[fecha_inicio]]="","",INDEX(lista_dias,WEEKDAY(tblOrdenes[[#This Row],[fecha_inicio]],2)))</f>
        <v/>
      </c>
      <c r="T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0" s="5">
        <f>IF(tblOrdenes[[#This Row],[tipo_ot]]="","",_xlfn.XLOOKUP(tblOrdenes[[#This Row],[tipo_ot]],tblTiposOT[codigo],tblTiposOT[clasificacion],"sin_clasificar"))</f>
        <v/>
      </c>
      <c r="V1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0" s="5">
        <f>IF(tblOrdenes[[#This Row],[centro_costo]]="","",_xlfn.XLOOKUP(tblOrdenes[[#This Row],[centro_costo]],tblCECO[codigo],tblCECO[linea],"(sin catálogo)"))</f>
        <v/>
      </c>
      <c r="X190" s="5">
        <f>IF(tblOrdenes[[#This Row],[centro_costo]]="","",_xlfn.XLOOKUP(tblOrdenes[[#This Row],[centro_costo]],tblCECO[codigo],tblCECO[area],"(sin catálogo)"))</f>
        <v/>
      </c>
      <c r="Y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0" s="5">
        <f>IF(tblOrdenes[[#This Row],[centro_costo]]="","",_xlfn.XLOOKUP(tblOrdenes[[#This Row],[centro_costo]],tblCECO[codigo],tblCECO[coordinador],"(sin catálogo)"))</f>
        <v/>
      </c>
      <c r="AA190" s="5">
        <f>IF(tblOrdenes[[#This Row],[puesto_trabajo]]="","",_xlfn.XLOOKUP(tblOrdenes[[#This Row],[puesto_trabajo]],tblPuestos[codigo],tblPuestos[especialidad],"(sin catálogo)"))</f>
        <v/>
      </c>
      <c r="AB190" s="5">
        <f>IF(tblOrdenes[[#This Row],[cod_actividad]]="","",_xlfn.XLOOKUP(tblOrdenes[[#This Row],[cod_actividad]],tblActividades[codigo],tblActividades[descripcion],"(sin catálogo)"))</f>
        <v/>
      </c>
      <c r="AC190" s="20">
        <f>IF(tblOrdenes[[#This Row],[fecha_inicio]]="","",TODAY()-tblOrdenes[[#This Row],[fecha_inicio]])</f>
        <v/>
      </c>
      <c r="AD1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0" s="5">
        <f>IF(tblOrdenes[[#This Row],[backlog_habiles]]="","",IF(tblOrdenes[[#This Row],[backlog_habiles]]&lt;0,"FUTURO",IF(tblOrdenes[[#This Row],[backlog_habiles]]&gt;p_dias_backlog_max,"BACKLOG","MES CORRIENTE")))</f>
        <v/>
      </c>
      <c r="AF190" s="5">
        <f>IF(tblOrdenes[[#This Row],[backlog_habiles]]="",FALSE,AND(tblOrdenes[[#This Row],[backlog_habiles]]&gt;p_dias_backlog_min,tblOrdenes[[#This Row],[backlog_habiles]]&lt;=p_dias_backlog_max))</f>
        <v/>
      </c>
      <c r="AG190" s="4" t="inlineStr"/>
      <c r="AH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0" s="18">
        <f>IF(tblOrdenes[[#This Row],[orden]]="","",_xlfn.XLOOKUP(tblOrdenes[[#This Row],[id_operacion]],tblEjecucion[id_operacion],tblEjecucion[precio],0))</f>
        <v/>
      </c>
      <c r="AL190" s="18">
        <f>IF(tblOrdenes[[#This Row],[orden]]="","",MAX(0,_xlfn.XLOOKUP(tblOrdenes[[#This Row],[id_operacion]],tblEjecucion[id_operacion],tblEjecucion[costo_plan_total],0)-tblOrdenes[[#This Row],[costo_servicio]]))</f>
        <v/>
      </c>
      <c r="AM190" s="18">
        <f>IF(tblOrdenes[[#This Row],[orden]]="","",tblOrdenes[[#This Row],[costo_servicio]]+tblOrdenes[[#This Row],[costo_materiales]])</f>
        <v/>
      </c>
      <c r="AN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0" s="4" t="inlineStr"/>
      <c r="AP190" s="4" t="inlineStr"/>
      <c r="AQ190" s="4" t="inlineStr"/>
      <c r="AR190" s="5">
        <f>IF(tblOrdenes[[#This Row],[link_checklist]]="","",HYPERLINK(p_ruta_base_checklists&amp;tblOrdenes[[#This Row],[link_checklist]],"abrir"))</f>
        <v/>
      </c>
      <c r="AS190" s="4" t="inlineStr"/>
      <c r="AT190" s="5">
        <f>IF(tblOrdenes[[#This Row],[orden]]="","",tblOrdenes[[#This Row],[orden]]&amp;IF(tblOrdenes[[#This Row],[operacion]]="","0010",tblOrdenes[[#This Row],[operacion]]))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22" t="n">
        <v>46186</v>
      </c>
      <c r="K191" s="5" t="n">
        <v>2</v>
      </c>
      <c r="L191" s="18" t="n">
        <v>80</v>
      </c>
      <c r="M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5">
        <f>IF(tblOrdenes[[#This Row],[fecha_inicio]]="","",YEAR(tblOrdenes[[#This Row],[fecha_inicio]]))</f>
        <v/>
      </c>
      <c r="Q191" s="5">
        <f>IF(tblOrdenes[[#This Row],[fecha_inicio]]="","",MONTH(tblOrdenes[[#This Row],[fecha_inicio]]))</f>
        <v/>
      </c>
      <c r="R191" s="5">
        <f>IF(tblOrdenes[[#This Row],[fecha_inicio]]="","",tblOrdenes[[#This Row],[anio]]&amp;"-"&amp;TEXT(tblOrdenes[[#This Row],[mes]],"00"))</f>
        <v/>
      </c>
      <c r="S191" s="5">
        <f>IF(tblOrdenes[[#This Row],[fecha_inicio]]="","",INDEX(lista_dias,WEEKDAY(tblOrdenes[[#This Row],[fecha_inicio]],2)))</f>
        <v/>
      </c>
      <c r="T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1" s="5">
        <f>IF(tblOrdenes[[#This Row],[tipo_ot]]="","",_xlfn.XLOOKUP(tblOrdenes[[#This Row],[tipo_ot]],tblTiposOT[codigo],tblTiposOT[clasificacion],"sin_clasificar"))</f>
        <v/>
      </c>
      <c r="V1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1" s="5">
        <f>IF(tblOrdenes[[#This Row],[centro_costo]]="","",_xlfn.XLOOKUP(tblOrdenes[[#This Row],[centro_costo]],tblCECO[codigo],tblCECO[linea],"(sin catálogo)"))</f>
        <v/>
      </c>
      <c r="X191" s="5">
        <f>IF(tblOrdenes[[#This Row],[centro_costo]]="","",_xlfn.XLOOKUP(tblOrdenes[[#This Row],[centro_costo]],tblCECO[codigo],tblCECO[area],"(sin catálogo)"))</f>
        <v/>
      </c>
      <c r="Y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1" s="5">
        <f>IF(tblOrdenes[[#This Row],[centro_costo]]="","",_xlfn.XLOOKUP(tblOrdenes[[#This Row],[centro_costo]],tblCECO[codigo],tblCECO[coordinador],"(sin catálogo)"))</f>
        <v/>
      </c>
      <c r="AA191" s="5">
        <f>IF(tblOrdenes[[#This Row],[puesto_trabajo]]="","",_xlfn.XLOOKUP(tblOrdenes[[#This Row],[puesto_trabajo]],tblPuestos[codigo],tblPuestos[especialidad],"(sin catálogo)"))</f>
        <v/>
      </c>
      <c r="AB191" s="5">
        <f>IF(tblOrdenes[[#This Row],[cod_actividad]]="","",_xlfn.XLOOKUP(tblOrdenes[[#This Row],[cod_actividad]],tblActividades[codigo],tblActividades[descripcion],"(sin catálogo)"))</f>
        <v/>
      </c>
      <c r="AC191" s="20">
        <f>IF(tblOrdenes[[#This Row],[fecha_inicio]]="","",TODAY()-tblOrdenes[[#This Row],[fecha_inicio]])</f>
        <v/>
      </c>
      <c r="AD1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1" s="5">
        <f>IF(tblOrdenes[[#This Row],[backlog_habiles]]="","",IF(tblOrdenes[[#This Row],[backlog_habiles]]&lt;0,"FUTURO",IF(tblOrdenes[[#This Row],[backlog_habiles]]&gt;p_dias_backlog_max,"BACKLOG","MES CORRIENTE")))</f>
        <v/>
      </c>
      <c r="AF191" s="5">
        <f>IF(tblOrdenes[[#This Row],[backlog_habiles]]="",FALSE,AND(tblOrdenes[[#This Row],[backlog_habiles]]&gt;p_dias_backlog_min,tblOrdenes[[#This Row],[backlog_habiles]]&lt;=p_dias_backlog_max))</f>
        <v/>
      </c>
      <c r="AG191" s="4" t="inlineStr"/>
      <c r="AH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1" s="18">
        <f>IF(tblOrdenes[[#This Row],[orden]]="","",_xlfn.XLOOKUP(tblOrdenes[[#This Row],[id_operacion]],tblEjecucion[id_operacion],tblEjecucion[precio],0))</f>
        <v/>
      </c>
      <c r="AL191" s="18">
        <f>IF(tblOrdenes[[#This Row],[orden]]="","",MAX(0,_xlfn.XLOOKUP(tblOrdenes[[#This Row],[id_operacion]],tblEjecucion[id_operacion],tblEjecucion[costo_plan_total],0)-tblOrdenes[[#This Row],[costo_servicio]]))</f>
        <v/>
      </c>
      <c r="AM191" s="18">
        <f>IF(tblOrdenes[[#This Row],[orden]]="","",tblOrdenes[[#This Row],[costo_servicio]]+tblOrdenes[[#This Row],[costo_materiales]])</f>
        <v/>
      </c>
      <c r="AN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1" s="4" t="inlineStr"/>
      <c r="AP191" s="4" t="inlineStr"/>
      <c r="AQ191" s="4" t="inlineStr"/>
      <c r="AR191" s="5">
        <f>IF(tblOrdenes[[#This Row],[link_checklist]]="","",HYPERLINK(p_ruta_base_checklists&amp;tblOrdenes[[#This Row],[link_checklist]],"abrir"))</f>
        <v/>
      </c>
      <c r="AS191" s="4" t="inlineStr"/>
      <c r="AT191" s="5">
        <f>IF(tblOrdenes[[#This Row],[orden]]="","",tblOrdenes[[#This Row],[orden]]&amp;IF(tblOrdenes[[#This Row],[operacion]]="","0010",tblOrdenes[[#This Row],[operacion]]))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22" t="n">
        <v>46185</v>
      </c>
      <c r="K192" s="5" t="n">
        <v>2</v>
      </c>
      <c r="L192" s="18" t="n">
        <v>80</v>
      </c>
      <c r="M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5">
        <f>IF(tblOrdenes[[#This Row],[fecha_inicio]]="","",YEAR(tblOrdenes[[#This Row],[fecha_inicio]]))</f>
        <v/>
      </c>
      <c r="Q192" s="5">
        <f>IF(tblOrdenes[[#This Row],[fecha_inicio]]="","",MONTH(tblOrdenes[[#This Row],[fecha_inicio]]))</f>
        <v/>
      </c>
      <c r="R192" s="5">
        <f>IF(tblOrdenes[[#This Row],[fecha_inicio]]="","",tblOrdenes[[#This Row],[anio]]&amp;"-"&amp;TEXT(tblOrdenes[[#This Row],[mes]],"00"))</f>
        <v/>
      </c>
      <c r="S192" s="5">
        <f>IF(tblOrdenes[[#This Row],[fecha_inicio]]="","",INDEX(lista_dias,WEEKDAY(tblOrdenes[[#This Row],[fecha_inicio]],2)))</f>
        <v/>
      </c>
      <c r="T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2" s="5">
        <f>IF(tblOrdenes[[#This Row],[tipo_ot]]="","",_xlfn.XLOOKUP(tblOrdenes[[#This Row],[tipo_ot]],tblTiposOT[codigo],tblTiposOT[clasificacion],"sin_clasificar"))</f>
        <v/>
      </c>
      <c r="V1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2" s="5">
        <f>IF(tblOrdenes[[#This Row],[centro_costo]]="","",_xlfn.XLOOKUP(tblOrdenes[[#This Row],[centro_costo]],tblCECO[codigo],tblCECO[linea],"(sin catálogo)"))</f>
        <v/>
      </c>
      <c r="X192" s="5">
        <f>IF(tblOrdenes[[#This Row],[centro_costo]]="","",_xlfn.XLOOKUP(tblOrdenes[[#This Row],[centro_costo]],tblCECO[codigo],tblCECO[area],"(sin catálogo)"))</f>
        <v/>
      </c>
      <c r="Y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2" s="5">
        <f>IF(tblOrdenes[[#This Row],[centro_costo]]="","",_xlfn.XLOOKUP(tblOrdenes[[#This Row],[centro_costo]],tblCECO[codigo],tblCECO[coordinador],"(sin catálogo)"))</f>
        <v/>
      </c>
      <c r="AA192" s="5">
        <f>IF(tblOrdenes[[#This Row],[puesto_trabajo]]="","",_xlfn.XLOOKUP(tblOrdenes[[#This Row],[puesto_trabajo]],tblPuestos[codigo],tblPuestos[especialidad],"(sin catálogo)"))</f>
        <v/>
      </c>
      <c r="AB192" s="5">
        <f>IF(tblOrdenes[[#This Row],[cod_actividad]]="","",_xlfn.XLOOKUP(tblOrdenes[[#This Row],[cod_actividad]],tblActividades[codigo],tblActividades[descripcion],"(sin catálogo)"))</f>
        <v/>
      </c>
      <c r="AC192" s="20">
        <f>IF(tblOrdenes[[#This Row],[fecha_inicio]]="","",TODAY()-tblOrdenes[[#This Row],[fecha_inicio]])</f>
        <v/>
      </c>
      <c r="AD1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2" s="5">
        <f>IF(tblOrdenes[[#This Row],[backlog_habiles]]="","",IF(tblOrdenes[[#This Row],[backlog_habiles]]&lt;0,"FUTURO",IF(tblOrdenes[[#This Row],[backlog_habiles]]&gt;p_dias_backlog_max,"BACKLOG","MES CORRIENTE")))</f>
        <v/>
      </c>
      <c r="AF192" s="5">
        <f>IF(tblOrdenes[[#This Row],[backlog_habiles]]="",FALSE,AND(tblOrdenes[[#This Row],[backlog_habiles]]&gt;p_dias_backlog_min,tblOrdenes[[#This Row],[backlog_habiles]]&lt;=p_dias_backlog_max))</f>
        <v/>
      </c>
      <c r="AG192" s="4" t="inlineStr"/>
      <c r="AH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2" s="18">
        <f>IF(tblOrdenes[[#This Row],[orden]]="","",_xlfn.XLOOKUP(tblOrdenes[[#This Row],[id_operacion]],tblEjecucion[id_operacion],tblEjecucion[precio],0))</f>
        <v/>
      </c>
      <c r="AL192" s="18">
        <f>IF(tblOrdenes[[#This Row],[orden]]="","",MAX(0,_xlfn.XLOOKUP(tblOrdenes[[#This Row],[id_operacion]],tblEjecucion[id_operacion],tblEjecucion[costo_plan_total],0)-tblOrdenes[[#This Row],[costo_servicio]]))</f>
        <v/>
      </c>
      <c r="AM192" s="18">
        <f>IF(tblOrdenes[[#This Row],[orden]]="","",tblOrdenes[[#This Row],[costo_servicio]]+tblOrdenes[[#This Row],[costo_materiales]])</f>
        <v/>
      </c>
      <c r="AN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2" s="4" t="inlineStr"/>
      <c r="AP192" s="4" t="inlineStr"/>
      <c r="AQ192" s="4" t="inlineStr"/>
      <c r="AR192" s="5">
        <f>IF(tblOrdenes[[#This Row],[link_checklist]]="","",HYPERLINK(p_ruta_base_checklists&amp;tblOrdenes[[#This Row],[link_checklist]],"abrir"))</f>
        <v/>
      </c>
      <c r="AS192" s="4" t="inlineStr"/>
      <c r="AT192" s="5">
        <f>IF(tblOrdenes[[#This Row],[orden]]="","",tblOrdenes[[#This Row],[orden]]&amp;IF(tblOrdenes[[#This Row],[operacion]]="","0010",tblOrdenes[[#This Row],[operacion]]))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22" t="n">
        <v>46184</v>
      </c>
      <c r="K193" s="5" t="n">
        <v>2</v>
      </c>
      <c r="L193" s="18" t="n">
        <v>80</v>
      </c>
      <c r="M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5">
        <f>IF(tblOrdenes[[#This Row],[fecha_inicio]]="","",YEAR(tblOrdenes[[#This Row],[fecha_inicio]]))</f>
        <v/>
      </c>
      <c r="Q193" s="5">
        <f>IF(tblOrdenes[[#This Row],[fecha_inicio]]="","",MONTH(tblOrdenes[[#This Row],[fecha_inicio]]))</f>
        <v/>
      </c>
      <c r="R193" s="5">
        <f>IF(tblOrdenes[[#This Row],[fecha_inicio]]="","",tblOrdenes[[#This Row],[anio]]&amp;"-"&amp;TEXT(tblOrdenes[[#This Row],[mes]],"00"))</f>
        <v/>
      </c>
      <c r="S193" s="5">
        <f>IF(tblOrdenes[[#This Row],[fecha_inicio]]="","",INDEX(lista_dias,WEEKDAY(tblOrdenes[[#This Row],[fecha_inicio]],2)))</f>
        <v/>
      </c>
      <c r="T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3" s="5">
        <f>IF(tblOrdenes[[#This Row],[tipo_ot]]="","",_xlfn.XLOOKUP(tblOrdenes[[#This Row],[tipo_ot]],tblTiposOT[codigo],tblTiposOT[clasificacion],"sin_clasificar"))</f>
        <v/>
      </c>
      <c r="V1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3" s="5">
        <f>IF(tblOrdenes[[#This Row],[centro_costo]]="","",_xlfn.XLOOKUP(tblOrdenes[[#This Row],[centro_costo]],tblCECO[codigo],tblCECO[linea],"(sin catálogo)"))</f>
        <v/>
      </c>
      <c r="X193" s="5">
        <f>IF(tblOrdenes[[#This Row],[centro_costo]]="","",_xlfn.XLOOKUP(tblOrdenes[[#This Row],[centro_costo]],tblCECO[codigo],tblCECO[area],"(sin catálogo)"))</f>
        <v/>
      </c>
      <c r="Y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3" s="5">
        <f>IF(tblOrdenes[[#This Row],[centro_costo]]="","",_xlfn.XLOOKUP(tblOrdenes[[#This Row],[centro_costo]],tblCECO[codigo],tblCECO[coordinador],"(sin catálogo)"))</f>
        <v/>
      </c>
      <c r="AA193" s="5">
        <f>IF(tblOrdenes[[#This Row],[puesto_trabajo]]="","",_xlfn.XLOOKUP(tblOrdenes[[#This Row],[puesto_trabajo]],tblPuestos[codigo],tblPuestos[especialidad],"(sin catálogo)"))</f>
        <v/>
      </c>
      <c r="AB193" s="5">
        <f>IF(tblOrdenes[[#This Row],[cod_actividad]]="","",_xlfn.XLOOKUP(tblOrdenes[[#This Row],[cod_actividad]],tblActividades[codigo],tblActividades[descripcion],"(sin catálogo)"))</f>
        <v/>
      </c>
      <c r="AC193" s="20">
        <f>IF(tblOrdenes[[#This Row],[fecha_inicio]]="","",TODAY()-tblOrdenes[[#This Row],[fecha_inicio]])</f>
        <v/>
      </c>
      <c r="AD1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3" s="5">
        <f>IF(tblOrdenes[[#This Row],[backlog_habiles]]="","",IF(tblOrdenes[[#This Row],[backlog_habiles]]&lt;0,"FUTURO",IF(tblOrdenes[[#This Row],[backlog_habiles]]&gt;p_dias_backlog_max,"BACKLOG","MES CORRIENTE")))</f>
        <v/>
      </c>
      <c r="AF193" s="5">
        <f>IF(tblOrdenes[[#This Row],[backlog_habiles]]="",FALSE,AND(tblOrdenes[[#This Row],[backlog_habiles]]&gt;p_dias_backlog_min,tblOrdenes[[#This Row],[backlog_habiles]]&lt;=p_dias_backlog_max))</f>
        <v/>
      </c>
      <c r="AG193" s="4" t="inlineStr"/>
      <c r="AH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3" s="18">
        <f>IF(tblOrdenes[[#This Row],[orden]]="","",_xlfn.XLOOKUP(tblOrdenes[[#This Row],[id_operacion]],tblEjecucion[id_operacion],tblEjecucion[precio],0))</f>
        <v/>
      </c>
      <c r="AL193" s="18">
        <f>IF(tblOrdenes[[#This Row],[orden]]="","",MAX(0,_xlfn.XLOOKUP(tblOrdenes[[#This Row],[id_operacion]],tblEjecucion[id_operacion],tblEjecucion[costo_plan_total],0)-tblOrdenes[[#This Row],[costo_servicio]]))</f>
        <v/>
      </c>
      <c r="AM193" s="18">
        <f>IF(tblOrdenes[[#This Row],[orden]]="","",tblOrdenes[[#This Row],[costo_servicio]]+tblOrdenes[[#This Row],[costo_materiales]])</f>
        <v/>
      </c>
      <c r="AN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3" s="4" t="inlineStr"/>
      <c r="AP193" s="4" t="inlineStr"/>
      <c r="AQ193" s="4" t="inlineStr"/>
      <c r="AR193" s="5">
        <f>IF(tblOrdenes[[#This Row],[link_checklist]]="","",HYPERLINK(p_ruta_base_checklists&amp;tblOrdenes[[#This Row],[link_checklist]],"abrir"))</f>
        <v/>
      </c>
      <c r="AS193" s="4" t="inlineStr"/>
      <c r="AT193" s="5">
        <f>IF(tblOrdenes[[#This Row],[orden]]="","",tblOrdenes[[#This Row],[orden]]&amp;IF(tblOrdenes[[#This Row],[operacion]]="","0010",tblOrdenes[[#This Row],[operacion]]))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22" t="n">
        <v>46183</v>
      </c>
      <c r="K194" s="5" t="n">
        <v>2</v>
      </c>
      <c r="L194" s="18" t="n">
        <v>80</v>
      </c>
      <c r="M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5">
        <f>IF(tblOrdenes[[#This Row],[fecha_inicio]]="","",YEAR(tblOrdenes[[#This Row],[fecha_inicio]]))</f>
        <v/>
      </c>
      <c r="Q194" s="5">
        <f>IF(tblOrdenes[[#This Row],[fecha_inicio]]="","",MONTH(tblOrdenes[[#This Row],[fecha_inicio]]))</f>
        <v/>
      </c>
      <c r="R194" s="5">
        <f>IF(tblOrdenes[[#This Row],[fecha_inicio]]="","",tblOrdenes[[#This Row],[anio]]&amp;"-"&amp;TEXT(tblOrdenes[[#This Row],[mes]],"00"))</f>
        <v/>
      </c>
      <c r="S194" s="5">
        <f>IF(tblOrdenes[[#This Row],[fecha_inicio]]="","",INDEX(lista_dias,WEEKDAY(tblOrdenes[[#This Row],[fecha_inicio]],2)))</f>
        <v/>
      </c>
      <c r="T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4" s="5">
        <f>IF(tblOrdenes[[#This Row],[tipo_ot]]="","",_xlfn.XLOOKUP(tblOrdenes[[#This Row],[tipo_ot]],tblTiposOT[codigo],tblTiposOT[clasificacion],"sin_clasificar"))</f>
        <v/>
      </c>
      <c r="V1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4" s="5">
        <f>IF(tblOrdenes[[#This Row],[centro_costo]]="","",_xlfn.XLOOKUP(tblOrdenes[[#This Row],[centro_costo]],tblCECO[codigo],tblCECO[linea],"(sin catálogo)"))</f>
        <v/>
      </c>
      <c r="X194" s="5">
        <f>IF(tblOrdenes[[#This Row],[centro_costo]]="","",_xlfn.XLOOKUP(tblOrdenes[[#This Row],[centro_costo]],tblCECO[codigo],tblCECO[area],"(sin catálogo)"))</f>
        <v/>
      </c>
      <c r="Y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4" s="5">
        <f>IF(tblOrdenes[[#This Row],[centro_costo]]="","",_xlfn.XLOOKUP(tblOrdenes[[#This Row],[centro_costo]],tblCECO[codigo],tblCECO[coordinador],"(sin catálogo)"))</f>
        <v/>
      </c>
      <c r="AA194" s="5">
        <f>IF(tblOrdenes[[#This Row],[puesto_trabajo]]="","",_xlfn.XLOOKUP(tblOrdenes[[#This Row],[puesto_trabajo]],tblPuestos[codigo],tblPuestos[especialidad],"(sin catálogo)"))</f>
        <v/>
      </c>
      <c r="AB194" s="5">
        <f>IF(tblOrdenes[[#This Row],[cod_actividad]]="","",_xlfn.XLOOKUP(tblOrdenes[[#This Row],[cod_actividad]],tblActividades[codigo],tblActividades[descripcion],"(sin catálogo)"))</f>
        <v/>
      </c>
      <c r="AC194" s="20">
        <f>IF(tblOrdenes[[#This Row],[fecha_inicio]]="","",TODAY()-tblOrdenes[[#This Row],[fecha_inicio]])</f>
        <v/>
      </c>
      <c r="AD1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4" s="5">
        <f>IF(tblOrdenes[[#This Row],[backlog_habiles]]="","",IF(tblOrdenes[[#This Row],[backlog_habiles]]&lt;0,"FUTURO",IF(tblOrdenes[[#This Row],[backlog_habiles]]&gt;p_dias_backlog_max,"BACKLOG","MES CORRIENTE")))</f>
        <v/>
      </c>
      <c r="AF194" s="5">
        <f>IF(tblOrdenes[[#This Row],[backlog_habiles]]="",FALSE,AND(tblOrdenes[[#This Row],[backlog_habiles]]&gt;p_dias_backlog_min,tblOrdenes[[#This Row],[backlog_habiles]]&lt;=p_dias_backlog_max))</f>
        <v/>
      </c>
      <c r="AG194" s="4" t="inlineStr"/>
      <c r="AH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4" s="18">
        <f>IF(tblOrdenes[[#This Row],[orden]]="","",_xlfn.XLOOKUP(tblOrdenes[[#This Row],[id_operacion]],tblEjecucion[id_operacion],tblEjecucion[precio],0))</f>
        <v/>
      </c>
      <c r="AL194" s="18">
        <f>IF(tblOrdenes[[#This Row],[orden]]="","",MAX(0,_xlfn.XLOOKUP(tblOrdenes[[#This Row],[id_operacion]],tblEjecucion[id_operacion],tblEjecucion[costo_plan_total],0)-tblOrdenes[[#This Row],[costo_servicio]]))</f>
        <v/>
      </c>
      <c r="AM194" s="18">
        <f>IF(tblOrdenes[[#This Row],[orden]]="","",tblOrdenes[[#This Row],[costo_servicio]]+tblOrdenes[[#This Row],[costo_materiales]])</f>
        <v/>
      </c>
      <c r="AN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4" s="4" t="inlineStr"/>
      <c r="AP194" s="4" t="inlineStr"/>
      <c r="AQ194" s="4" t="inlineStr"/>
      <c r="AR194" s="5">
        <f>IF(tblOrdenes[[#This Row],[link_checklist]]="","",HYPERLINK(p_ruta_base_checklists&amp;tblOrdenes[[#This Row],[link_checklist]],"abrir"))</f>
        <v/>
      </c>
      <c r="AS194" s="4" t="inlineStr"/>
      <c r="AT194" s="5">
        <f>IF(tblOrdenes[[#This Row],[orden]]="","",tblOrdenes[[#This Row],[orden]]&amp;IF(tblOrdenes[[#This Row],[operacion]]="","0010",tblOrdenes[[#This Row],[operacion]]))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22" t="n">
        <v>46182</v>
      </c>
      <c r="K195" s="5" t="n">
        <v>2</v>
      </c>
      <c r="L195" s="18" t="n">
        <v>80</v>
      </c>
      <c r="M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5">
        <f>IF(tblOrdenes[[#This Row],[fecha_inicio]]="","",YEAR(tblOrdenes[[#This Row],[fecha_inicio]]))</f>
        <v/>
      </c>
      <c r="Q195" s="5">
        <f>IF(tblOrdenes[[#This Row],[fecha_inicio]]="","",MONTH(tblOrdenes[[#This Row],[fecha_inicio]]))</f>
        <v/>
      </c>
      <c r="R195" s="5">
        <f>IF(tblOrdenes[[#This Row],[fecha_inicio]]="","",tblOrdenes[[#This Row],[anio]]&amp;"-"&amp;TEXT(tblOrdenes[[#This Row],[mes]],"00"))</f>
        <v/>
      </c>
      <c r="S195" s="5">
        <f>IF(tblOrdenes[[#This Row],[fecha_inicio]]="","",INDEX(lista_dias,WEEKDAY(tblOrdenes[[#This Row],[fecha_inicio]],2)))</f>
        <v/>
      </c>
      <c r="T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5" s="5">
        <f>IF(tblOrdenes[[#This Row],[tipo_ot]]="","",_xlfn.XLOOKUP(tblOrdenes[[#This Row],[tipo_ot]],tblTiposOT[codigo],tblTiposOT[clasificacion],"sin_clasificar"))</f>
        <v/>
      </c>
      <c r="V1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5" s="5">
        <f>IF(tblOrdenes[[#This Row],[centro_costo]]="","",_xlfn.XLOOKUP(tblOrdenes[[#This Row],[centro_costo]],tblCECO[codigo],tblCECO[linea],"(sin catálogo)"))</f>
        <v/>
      </c>
      <c r="X195" s="5">
        <f>IF(tblOrdenes[[#This Row],[centro_costo]]="","",_xlfn.XLOOKUP(tblOrdenes[[#This Row],[centro_costo]],tblCECO[codigo],tblCECO[area],"(sin catálogo)"))</f>
        <v/>
      </c>
      <c r="Y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5" s="5">
        <f>IF(tblOrdenes[[#This Row],[centro_costo]]="","",_xlfn.XLOOKUP(tblOrdenes[[#This Row],[centro_costo]],tblCECO[codigo],tblCECO[coordinador],"(sin catálogo)"))</f>
        <v/>
      </c>
      <c r="AA195" s="5">
        <f>IF(tblOrdenes[[#This Row],[puesto_trabajo]]="","",_xlfn.XLOOKUP(tblOrdenes[[#This Row],[puesto_trabajo]],tblPuestos[codigo],tblPuestos[especialidad],"(sin catálogo)"))</f>
        <v/>
      </c>
      <c r="AB195" s="5">
        <f>IF(tblOrdenes[[#This Row],[cod_actividad]]="","",_xlfn.XLOOKUP(tblOrdenes[[#This Row],[cod_actividad]],tblActividades[codigo],tblActividades[descripcion],"(sin catálogo)"))</f>
        <v/>
      </c>
      <c r="AC195" s="20">
        <f>IF(tblOrdenes[[#This Row],[fecha_inicio]]="","",TODAY()-tblOrdenes[[#This Row],[fecha_inicio]])</f>
        <v/>
      </c>
      <c r="AD1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5" s="5">
        <f>IF(tblOrdenes[[#This Row],[backlog_habiles]]="","",IF(tblOrdenes[[#This Row],[backlog_habiles]]&lt;0,"FUTURO",IF(tblOrdenes[[#This Row],[backlog_habiles]]&gt;p_dias_backlog_max,"BACKLOG","MES CORRIENTE")))</f>
        <v/>
      </c>
      <c r="AF195" s="5">
        <f>IF(tblOrdenes[[#This Row],[backlog_habiles]]="",FALSE,AND(tblOrdenes[[#This Row],[backlog_habiles]]&gt;p_dias_backlog_min,tblOrdenes[[#This Row],[backlog_habiles]]&lt;=p_dias_backlog_max))</f>
        <v/>
      </c>
      <c r="AG195" s="4" t="inlineStr"/>
      <c r="AH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5" s="18">
        <f>IF(tblOrdenes[[#This Row],[orden]]="","",_xlfn.XLOOKUP(tblOrdenes[[#This Row],[id_operacion]],tblEjecucion[id_operacion],tblEjecucion[precio],0))</f>
        <v/>
      </c>
      <c r="AL195" s="18">
        <f>IF(tblOrdenes[[#This Row],[orden]]="","",MAX(0,_xlfn.XLOOKUP(tblOrdenes[[#This Row],[id_operacion]],tblEjecucion[id_operacion],tblEjecucion[costo_plan_total],0)-tblOrdenes[[#This Row],[costo_servicio]]))</f>
        <v/>
      </c>
      <c r="AM195" s="18">
        <f>IF(tblOrdenes[[#This Row],[orden]]="","",tblOrdenes[[#This Row],[costo_servicio]]+tblOrdenes[[#This Row],[costo_materiales]])</f>
        <v/>
      </c>
      <c r="AN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5" s="4" t="inlineStr"/>
      <c r="AP195" s="4" t="inlineStr"/>
      <c r="AQ195" s="4" t="inlineStr"/>
      <c r="AR195" s="5">
        <f>IF(tblOrdenes[[#This Row],[link_checklist]]="","",HYPERLINK(p_ruta_base_checklists&amp;tblOrdenes[[#This Row],[link_checklist]],"abrir"))</f>
        <v/>
      </c>
      <c r="AS195" s="4" t="inlineStr"/>
      <c r="AT195" s="5">
        <f>IF(tblOrdenes[[#This Row],[orden]]="","",tblOrdenes[[#This Row],[orden]]&amp;IF(tblOrdenes[[#This Row],[operacion]]="","0010",tblOrdenes[[#This Row],[operacion]]))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22" t="n">
        <v>46181</v>
      </c>
      <c r="K196" s="5" t="n">
        <v>2</v>
      </c>
      <c r="L196" s="18" t="n">
        <v>80</v>
      </c>
      <c r="M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5">
        <f>IF(tblOrdenes[[#This Row],[fecha_inicio]]="","",YEAR(tblOrdenes[[#This Row],[fecha_inicio]]))</f>
        <v/>
      </c>
      <c r="Q196" s="5">
        <f>IF(tblOrdenes[[#This Row],[fecha_inicio]]="","",MONTH(tblOrdenes[[#This Row],[fecha_inicio]]))</f>
        <v/>
      </c>
      <c r="R196" s="5">
        <f>IF(tblOrdenes[[#This Row],[fecha_inicio]]="","",tblOrdenes[[#This Row],[anio]]&amp;"-"&amp;TEXT(tblOrdenes[[#This Row],[mes]],"00"))</f>
        <v/>
      </c>
      <c r="S196" s="5">
        <f>IF(tblOrdenes[[#This Row],[fecha_inicio]]="","",INDEX(lista_dias,WEEKDAY(tblOrdenes[[#This Row],[fecha_inicio]],2)))</f>
        <v/>
      </c>
      <c r="T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6" s="5">
        <f>IF(tblOrdenes[[#This Row],[tipo_ot]]="","",_xlfn.XLOOKUP(tblOrdenes[[#This Row],[tipo_ot]],tblTiposOT[codigo],tblTiposOT[clasificacion],"sin_clasificar"))</f>
        <v/>
      </c>
      <c r="V1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6" s="5">
        <f>IF(tblOrdenes[[#This Row],[centro_costo]]="","",_xlfn.XLOOKUP(tblOrdenes[[#This Row],[centro_costo]],tblCECO[codigo],tblCECO[linea],"(sin catálogo)"))</f>
        <v/>
      </c>
      <c r="X196" s="5">
        <f>IF(tblOrdenes[[#This Row],[centro_costo]]="","",_xlfn.XLOOKUP(tblOrdenes[[#This Row],[centro_costo]],tblCECO[codigo],tblCECO[area],"(sin catálogo)"))</f>
        <v/>
      </c>
      <c r="Y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6" s="5">
        <f>IF(tblOrdenes[[#This Row],[centro_costo]]="","",_xlfn.XLOOKUP(tblOrdenes[[#This Row],[centro_costo]],tblCECO[codigo],tblCECO[coordinador],"(sin catálogo)"))</f>
        <v/>
      </c>
      <c r="AA196" s="5">
        <f>IF(tblOrdenes[[#This Row],[puesto_trabajo]]="","",_xlfn.XLOOKUP(tblOrdenes[[#This Row],[puesto_trabajo]],tblPuestos[codigo],tblPuestos[especialidad],"(sin catálogo)"))</f>
        <v/>
      </c>
      <c r="AB196" s="5">
        <f>IF(tblOrdenes[[#This Row],[cod_actividad]]="","",_xlfn.XLOOKUP(tblOrdenes[[#This Row],[cod_actividad]],tblActividades[codigo],tblActividades[descripcion],"(sin catálogo)"))</f>
        <v/>
      </c>
      <c r="AC196" s="20">
        <f>IF(tblOrdenes[[#This Row],[fecha_inicio]]="","",TODAY()-tblOrdenes[[#This Row],[fecha_inicio]])</f>
        <v/>
      </c>
      <c r="AD1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6" s="5">
        <f>IF(tblOrdenes[[#This Row],[backlog_habiles]]="","",IF(tblOrdenes[[#This Row],[backlog_habiles]]&lt;0,"FUTURO",IF(tblOrdenes[[#This Row],[backlog_habiles]]&gt;p_dias_backlog_max,"BACKLOG","MES CORRIENTE")))</f>
        <v/>
      </c>
      <c r="AF196" s="5">
        <f>IF(tblOrdenes[[#This Row],[backlog_habiles]]="",FALSE,AND(tblOrdenes[[#This Row],[backlog_habiles]]&gt;p_dias_backlog_min,tblOrdenes[[#This Row],[backlog_habiles]]&lt;=p_dias_backlog_max))</f>
        <v/>
      </c>
      <c r="AG196" s="4" t="inlineStr"/>
      <c r="AH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6" s="18">
        <f>IF(tblOrdenes[[#This Row],[orden]]="","",_xlfn.XLOOKUP(tblOrdenes[[#This Row],[id_operacion]],tblEjecucion[id_operacion],tblEjecucion[precio],0))</f>
        <v/>
      </c>
      <c r="AL196" s="18">
        <f>IF(tblOrdenes[[#This Row],[orden]]="","",MAX(0,_xlfn.XLOOKUP(tblOrdenes[[#This Row],[id_operacion]],tblEjecucion[id_operacion],tblEjecucion[costo_plan_total],0)-tblOrdenes[[#This Row],[costo_servicio]]))</f>
        <v/>
      </c>
      <c r="AM196" s="18">
        <f>IF(tblOrdenes[[#This Row],[orden]]="","",tblOrdenes[[#This Row],[costo_servicio]]+tblOrdenes[[#This Row],[costo_materiales]])</f>
        <v/>
      </c>
      <c r="AN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6" s="4" t="inlineStr"/>
      <c r="AP196" s="4" t="inlineStr"/>
      <c r="AQ196" s="4" t="inlineStr"/>
      <c r="AR196" s="5">
        <f>IF(tblOrdenes[[#This Row],[link_checklist]]="","",HYPERLINK(p_ruta_base_checklists&amp;tblOrdenes[[#This Row],[link_checklist]],"abrir"))</f>
        <v/>
      </c>
      <c r="AS196" s="4" t="inlineStr"/>
      <c r="AT196" s="5">
        <f>IF(tblOrdenes[[#This Row],[orden]]="","",tblOrdenes[[#This Row],[orden]]&amp;IF(tblOrdenes[[#This Row],[operacion]]="","0010",tblOrdenes[[#This Row],[operacion]]))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22" t="n">
        <v>46180</v>
      </c>
      <c r="K197" s="5" t="n">
        <v>2</v>
      </c>
      <c r="L197" s="18" t="n">
        <v>80</v>
      </c>
      <c r="M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5">
        <f>IF(tblOrdenes[[#This Row],[fecha_inicio]]="","",YEAR(tblOrdenes[[#This Row],[fecha_inicio]]))</f>
        <v/>
      </c>
      <c r="Q197" s="5">
        <f>IF(tblOrdenes[[#This Row],[fecha_inicio]]="","",MONTH(tblOrdenes[[#This Row],[fecha_inicio]]))</f>
        <v/>
      </c>
      <c r="R197" s="5">
        <f>IF(tblOrdenes[[#This Row],[fecha_inicio]]="","",tblOrdenes[[#This Row],[anio]]&amp;"-"&amp;TEXT(tblOrdenes[[#This Row],[mes]],"00"))</f>
        <v/>
      </c>
      <c r="S197" s="5">
        <f>IF(tblOrdenes[[#This Row],[fecha_inicio]]="","",INDEX(lista_dias,WEEKDAY(tblOrdenes[[#This Row],[fecha_inicio]],2)))</f>
        <v/>
      </c>
      <c r="T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7" s="5">
        <f>IF(tblOrdenes[[#This Row],[tipo_ot]]="","",_xlfn.XLOOKUP(tblOrdenes[[#This Row],[tipo_ot]],tblTiposOT[codigo],tblTiposOT[clasificacion],"sin_clasificar"))</f>
        <v/>
      </c>
      <c r="V1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7" s="5">
        <f>IF(tblOrdenes[[#This Row],[centro_costo]]="","",_xlfn.XLOOKUP(tblOrdenes[[#This Row],[centro_costo]],tblCECO[codigo],tblCECO[linea],"(sin catálogo)"))</f>
        <v/>
      </c>
      <c r="X197" s="5">
        <f>IF(tblOrdenes[[#This Row],[centro_costo]]="","",_xlfn.XLOOKUP(tblOrdenes[[#This Row],[centro_costo]],tblCECO[codigo],tblCECO[area],"(sin catálogo)"))</f>
        <v/>
      </c>
      <c r="Y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7" s="5">
        <f>IF(tblOrdenes[[#This Row],[centro_costo]]="","",_xlfn.XLOOKUP(tblOrdenes[[#This Row],[centro_costo]],tblCECO[codigo],tblCECO[coordinador],"(sin catálogo)"))</f>
        <v/>
      </c>
      <c r="AA197" s="5">
        <f>IF(tblOrdenes[[#This Row],[puesto_trabajo]]="","",_xlfn.XLOOKUP(tblOrdenes[[#This Row],[puesto_trabajo]],tblPuestos[codigo],tblPuestos[especialidad],"(sin catálogo)"))</f>
        <v/>
      </c>
      <c r="AB197" s="5">
        <f>IF(tblOrdenes[[#This Row],[cod_actividad]]="","",_xlfn.XLOOKUP(tblOrdenes[[#This Row],[cod_actividad]],tblActividades[codigo],tblActividades[descripcion],"(sin catálogo)"))</f>
        <v/>
      </c>
      <c r="AC197" s="20">
        <f>IF(tblOrdenes[[#This Row],[fecha_inicio]]="","",TODAY()-tblOrdenes[[#This Row],[fecha_inicio]])</f>
        <v/>
      </c>
      <c r="AD1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7" s="5">
        <f>IF(tblOrdenes[[#This Row],[backlog_habiles]]="","",IF(tblOrdenes[[#This Row],[backlog_habiles]]&lt;0,"FUTURO",IF(tblOrdenes[[#This Row],[backlog_habiles]]&gt;p_dias_backlog_max,"BACKLOG","MES CORRIENTE")))</f>
        <v/>
      </c>
      <c r="AF197" s="5">
        <f>IF(tblOrdenes[[#This Row],[backlog_habiles]]="",FALSE,AND(tblOrdenes[[#This Row],[backlog_habiles]]&gt;p_dias_backlog_min,tblOrdenes[[#This Row],[backlog_habiles]]&lt;=p_dias_backlog_max))</f>
        <v/>
      </c>
      <c r="AG197" s="4" t="inlineStr"/>
      <c r="AH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7" s="18">
        <f>IF(tblOrdenes[[#This Row],[orden]]="","",_xlfn.XLOOKUP(tblOrdenes[[#This Row],[id_operacion]],tblEjecucion[id_operacion],tblEjecucion[precio],0))</f>
        <v/>
      </c>
      <c r="AL197" s="18">
        <f>IF(tblOrdenes[[#This Row],[orden]]="","",MAX(0,_xlfn.XLOOKUP(tblOrdenes[[#This Row],[id_operacion]],tblEjecucion[id_operacion],tblEjecucion[costo_plan_total],0)-tblOrdenes[[#This Row],[costo_servicio]]))</f>
        <v/>
      </c>
      <c r="AM197" s="18">
        <f>IF(tblOrdenes[[#This Row],[orden]]="","",tblOrdenes[[#This Row],[costo_servicio]]+tblOrdenes[[#This Row],[costo_materiales]])</f>
        <v/>
      </c>
      <c r="AN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7" s="4" t="inlineStr"/>
      <c r="AP197" s="4" t="inlineStr"/>
      <c r="AQ197" s="4" t="inlineStr"/>
      <c r="AR197" s="5">
        <f>IF(tblOrdenes[[#This Row],[link_checklist]]="","",HYPERLINK(p_ruta_base_checklists&amp;tblOrdenes[[#This Row],[link_checklist]],"abrir"))</f>
        <v/>
      </c>
      <c r="AS197" s="4" t="inlineStr"/>
      <c r="AT197" s="5">
        <f>IF(tblOrdenes[[#This Row],[orden]]="","",tblOrdenes[[#This Row],[orden]]&amp;IF(tblOrdenes[[#This Row],[operacion]]="","0010",tblOrdenes[[#This Row],[operacion]]))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22" t="n">
        <v>46179</v>
      </c>
      <c r="K198" s="5" t="n">
        <v>2</v>
      </c>
      <c r="L198" s="18" t="n">
        <v>80</v>
      </c>
      <c r="M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5">
        <f>IF(tblOrdenes[[#This Row],[fecha_inicio]]="","",YEAR(tblOrdenes[[#This Row],[fecha_inicio]]))</f>
        <v/>
      </c>
      <c r="Q198" s="5">
        <f>IF(tblOrdenes[[#This Row],[fecha_inicio]]="","",MONTH(tblOrdenes[[#This Row],[fecha_inicio]]))</f>
        <v/>
      </c>
      <c r="R198" s="5">
        <f>IF(tblOrdenes[[#This Row],[fecha_inicio]]="","",tblOrdenes[[#This Row],[anio]]&amp;"-"&amp;TEXT(tblOrdenes[[#This Row],[mes]],"00"))</f>
        <v/>
      </c>
      <c r="S198" s="5">
        <f>IF(tblOrdenes[[#This Row],[fecha_inicio]]="","",INDEX(lista_dias,WEEKDAY(tblOrdenes[[#This Row],[fecha_inicio]],2)))</f>
        <v/>
      </c>
      <c r="T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8" s="5">
        <f>IF(tblOrdenes[[#This Row],[tipo_ot]]="","",_xlfn.XLOOKUP(tblOrdenes[[#This Row],[tipo_ot]],tblTiposOT[codigo],tblTiposOT[clasificacion],"sin_clasificar"))</f>
        <v/>
      </c>
      <c r="V1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8" s="5">
        <f>IF(tblOrdenes[[#This Row],[centro_costo]]="","",_xlfn.XLOOKUP(tblOrdenes[[#This Row],[centro_costo]],tblCECO[codigo],tblCECO[linea],"(sin catálogo)"))</f>
        <v/>
      </c>
      <c r="X198" s="5">
        <f>IF(tblOrdenes[[#This Row],[centro_costo]]="","",_xlfn.XLOOKUP(tblOrdenes[[#This Row],[centro_costo]],tblCECO[codigo],tblCECO[area],"(sin catálogo)"))</f>
        <v/>
      </c>
      <c r="Y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8" s="5">
        <f>IF(tblOrdenes[[#This Row],[centro_costo]]="","",_xlfn.XLOOKUP(tblOrdenes[[#This Row],[centro_costo]],tblCECO[codigo],tblCECO[coordinador],"(sin catálogo)"))</f>
        <v/>
      </c>
      <c r="AA198" s="5">
        <f>IF(tblOrdenes[[#This Row],[puesto_trabajo]]="","",_xlfn.XLOOKUP(tblOrdenes[[#This Row],[puesto_trabajo]],tblPuestos[codigo],tblPuestos[especialidad],"(sin catálogo)"))</f>
        <v/>
      </c>
      <c r="AB198" s="5">
        <f>IF(tblOrdenes[[#This Row],[cod_actividad]]="","",_xlfn.XLOOKUP(tblOrdenes[[#This Row],[cod_actividad]],tblActividades[codigo],tblActividades[descripcion],"(sin catálogo)"))</f>
        <v/>
      </c>
      <c r="AC198" s="20">
        <f>IF(tblOrdenes[[#This Row],[fecha_inicio]]="","",TODAY()-tblOrdenes[[#This Row],[fecha_inicio]])</f>
        <v/>
      </c>
      <c r="AD1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8" s="5">
        <f>IF(tblOrdenes[[#This Row],[backlog_habiles]]="","",IF(tblOrdenes[[#This Row],[backlog_habiles]]&lt;0,"FUTURO",IF(tblOrdenes[[#This Row],[backlog_habiles]]&gt;p_dias_backlog_max,"BACKLOG","MES CORRIENTE")))</f>
        <v/>
      </c>
      <c r="AF198" s="5">
        <f>IF(tblOrdenes[[#This Row],[backlog_habiles]]="",FALSE,AND(tblOrdenes[[#This Row],[backlog_habiles]]&gt;p_dias_backlog_min,tblOrdenes[[#This Row],[backlog_habiles]]&lt;=p_dias_backlog_max))</f>
        <v/>
      </c>
      <c r="AG198" s="4" t="inlineStr"/>
      <c r="AH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8" s="18">
        <f>IF(tblOrdenes[[#This Row],[orden]]="","",_xlfn.XLOOKUP(tblOrdenes[[#This Row],[id_operacion]],tblEjecucion[id_operacion],tblEjecucion[precio],0))</f>
        <v/>
      </c>
      <c r="AL198" s="18">
        <f>IF(tblOrdenes[[#This Row],[orden]]="","",MAX(0,_xlfn.XLOOKUP(tblOrdenes[[#This Row],[id_operacion]],tblEjecucion[id_operacion],tblEjecucion[costo_plan_total],0)-tblOrdenes[[#This Row],[costo_servicio]]))</f>
        <v/>
      </c>
      <c r="AM198" s="18">
        <f>IF(tblOrdenes[[#This Row],[orden]]="","",tblOrdenes[[#This Row],[costo_servicio]]+tblOrdenes[[#This Row],[costo_materiales]])</f>
        <v/>
      </c>
      <c r="AN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8" s="4" t="inlineStr"/>
      <c r="AP198" s="4" t="inlineStr"/>
      <c r="AQ198" s="4" t="inlineStr"/>
      <c r="AR198" s="5">
        <f>IF(tblOrdenes[[#This Row],[link_checklist]]="","",HYPERLINK(p_ruta_base_checklists&amp;tblOrdenes[[#This Row],[link_checklist]],"abrir"))</f>
        <v/>
      </c>
      <c r="AS198" s="4" t="inlineStr"/>
      <c r="AT198" s="5">
        <f>IF(tblOrdenes[[#This Row],[orden]]="","",tblOrdenes[[#This Row],[orden]]&amp;IF(tblOrdenes[[#This Row],[operacion]]="","0010",tblOrdenes[[#This Row],[operacion]]))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22" t="n">
        <v>46178</v>
      </c>
      <c r="K199" s="5" t="n">
        <v>2</v>
      </c>
      <c r="L199" s="18" t="n">
        <v>80</v>
      </c>
      <c r="M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5">
        <f>IF(tblOrdenes[[#This Row],[fecha_inicio]]="","",YEAR(tblOrdenes[[#This Row],[fecha_inicio]]))</f>
        <v/>
      </c>
      <c r="Q199" s="5">
        <f>IF(tblOrdenes[[#This Row],[fecha_inicio]]="","",MONTH(tblOrdenes[[#This Row],[fecha_inicio]]))</f>
        <v/>
      </c>
      <c r="R199" s="5">
        <f>IF(tblOrdenes[[#This Row],[fecha_inicio]]="","",tblOrdenes[[#This Row],[anio]]&amp;"-"&amp;TEXT(tblOrdenes[[#This Row],[mes]],"00"))</f>
        <v/>
      </c>
      <c r="S199" s="5">
        <f>IF(tblOrdenes[[#This Row],[fecha_inicio]]="","",INDEX(lista_dias,WEEKDAY(tblOrdenes[[#This Row],[fecha_inicio]],2)))</f>
        <v/>
      </c>
      <c r="T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9" s="5">
        <f>IF(tblOrdenes[[#This Row],[tipo_ot]]="","",_xlfn.XLOOKUP(tblOrdenes[[#This Row],[tipo_ot]],tblTiposOT[codigo],tblTiposOT[clasificacion],"sin_clasificar"))</f>
        <v/>
      </c>
      <c r="V1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9" s="5">
        <f>IF(tblOrdenes[[#This Row],[centro_costo]]="","",_xlfn.XLOOKUP(tblOrdenes[[#This Row],[centro_costo]],tblCECO[codigo],tblCECO[linea],"(sin catálogo)"))</f>
        <v/>
      </c>
      <c r="X199" s="5">
        <f>IF(tblOrdenes[[#This Row],[centro_costo]]="","",_xlfn.XLOOKUP(tblOrdenes[[#This Row],[centro_costo]],tblCECO[codigo],tblCECO[area],"(sin catálogo)"))</f>
        <v/>
      </c>
      <c r="Y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99" s="5">
        <f>IF(tblOrdenes[[#This Row],[centro_costo]]="","",_xlfn.XLOOKUP(tblOrdenes[[#This Row],[centro_costo]],tblCECO[codigo],tblCECO[coordinador],"(sin catálogo)"))</f>
        <v/>
      </c>
      <c r="AA199" s="5">
        <f>IF(tblOrdenes[[#This Row],[puesto_trabajo]]="","",_xlfn.XLOOKUP(tblOrdenes[[#This Row],[puesto_trabajo]],tblPuestos[codigo],tblPuestos[especialidad],"(sin catálogo)"))</f>
        <v/>
      </c>
      <c r="AB199" s="5">
        <f>IF(tblOrdenes[[#This Row],[cod_actividad]]="","",_xlfn.XLOOKUP(tblOrdenes[[#This Row],[cod_actividad]],tblActividades[codigo],tblActividades[descripcion],"(sin catálogo)"))</f>
        <v/>
      </c>
      <c r="AC199" s="20">
        <f>IF(tblOrdenes[[#This Row],[fecha_inicio]]="","",TODAY()-tblOrdenes[[#This Row],[fecha_inicio]])</f>
        <v/>
      </c>
      <c r="AD1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99" s="5">
        <f>IF(tblOrdenes[[#This Row],[backlog_habiles]]="","",IF(tblOrdenes[[#This Row],[backlog_habiles]]&lt;0,"FUTURO",IF(tblOrdenes[[#This Row],[backlog_habiles]]&gt;p_dias_backlog_max,"BACKLOG","MES CORRIENTE")))</f>
        <v/>
      </c>
      <c r="AF199" s="5">
        <f>IF(tblOrdenes[[#This Row],[backlog_habiles]]="",FALSE,AND(tblOrdenes[[#This Row],[backlog_habiles]]&gt;p_dias_backlog_min,tblOrdenes[[#This Row],[backlog_habiles]]&lt;=p_dias_backlog_max))</f>
        <v/>
      </c>
      <c r="AG199" s="4" t="inlineStr"/>
      <c r="AH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99" s="18">
        <f>IF(tblOrdenes[[#This Row],[orden]]="","",_xlfn.XLOOKUP(tblOrdenes[[#This Row],[id_operacion]],tblEjecucion[id_operacion],tblEjecucion[precio],0))</f>
        <v/>
      </c>
      <c r="AL199" s="18">
        <f>IF(tblOrdenes[[#This Row],[orden]]="","",MAX(0,_xlfn.XLOOKUP(tblOrdenes[[#This Row],[id_operacion]],tblEjecucion[id_operacion],tblEjecucion[costo_plan_total],0)-tblOrdenes[[#This Row],[costo_servicio]]))</f>
        <v/>
      </c>
      <c r="AM199" s="18">
        <f>IF(tblOrdenes[[#This Row],[orden]]="","",tblOrdenes[[#This Row],[costo_servicio]]+tblOrdenes[[#This Row],[costo_materiales]])</f>
        <v/>
      </c>
      <c r="AN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99" s="4" t="inlineStr"/>
      <c r="AP199" s="4" t="inlineStr"/>
      <c r="AQ199" s="4" t="inlineStr"/>
      <c r="AR199" s="5">
        <f>IF(tblOrdenes[[#This Row],[link_checklist]]="","",HYPERLINK(p_ruta_base_checklists&amp;tblOrdenes[[#This Row],[link_checklist]],"abrir"))</f>
        <v/>
      </c>
      <c r="AS199" s="4" t="inlineStr"/>
      <c r="AT199" s="5">
        <f>IF(tblOrdenes[[#This Row],[orden]]="","",tblOrdenes[[#This Row],[orden]]&amp;IF(tblOrdenes[[#This Row],[operacion]]="","0010",tblOrdenes[[#This Row],[operacion]]))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22" t="n">
        <v>46177</v>
      </c>
      <c r="K200" s="5" t="n">
        <v>2</v>
      </c>
      <c r="L200" s="18" t="n">
        <v>80</v>
      </c>
      <c r="M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5">
        <f>IF(tblOrdenes[[#This Row],[fecha_inicio]]="","",YEAR(tblOrdenes[[#This Row],[fecha_inicio]]))</f>
        <v/>
      </c>
      <c r="Q200" s="5">
        <f>IF(tblOrdenes[[#This Row],[fecha_inicio]]="","",MONTH(tblOrdenes[[#This Row],[fecha_inicio]]))</f>
        <v/>
      </c>
      <c r="R200" s="5">
        <f>IF(tblOrdenes[[#This Row],[fecha_inicio]]="","",tblOrdenes[[#This Row],[anio]]&amp;"-"&amp;TEXT(tblOrdenes[[#This Row],[mes]],"00"))</f>
        <v/>
      </c>
      <c r="S200" s="5">
        <f>IF(tblOrdenes[[#This Row],[fecha_inicio]]="","",INDEX(lista_dias,WEEKDAY(tblOrdenes[[#This Row],[fecha_inicio]],2)))</f>
        <v/>
      </c>
      <c r="T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0" s="5">
        <f>IF(tblOrdenes[[#This Row],[tipo_ot]]="","",_xlfn.XLOOKUP(tblOrdenes[[#This Row],[tipo_ot]],tblTiposOT[codigo],tblTiposOT[clasificacion],"sin_clasificar"))</f>
        <v/>
      </c>
      <c r="V2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0" s="5">
        <f>IF(tblOrdenes[[#This Row],[centro_costo]]="","",_xlfn.XLOOKUP(tblOrdenes[[#This Row],[centro_costo]],tblCECO[codigo],tblCECO[linea],"(sin catálogo)"))</f>
        <v/>
      </c>
      <c r="X200" s="5">
        <f>IF(tblOrdenes[[#This Row],[centro_costo]]="","",_xlfn.XLOOKUP(tblOrdenes[[#This Row],[centro_costo]],tblCECO[codigo],tblCECO[area],"(sin catálogo)"))</f>
        <v/>
      </c>
      <c r="Y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0" s="5">
        <f>IF(tblOrdenes[[#This Row],[centro_costo]]="","",_xlfn.XLOOKUP(tblOrdenes[[#This Row],[centro_costo]],tblCECO[codigo],tblCECO[coordinador],"(sin catálogo)"))</f>
        <v/>
      </c>
      <c r="AA200" s="5">
        <f>IF(tblOrdenes[[#This Row],[puesto_trabajo]]="","",_xlfn.XLOOKUP(tblOrdenes[[#This Row],[puesto_trabajo]],tblPuestos[codigo],tblPuestos[especialidad],"(sin catálogo)"))</f>
        <v/>
      </c>
      <c r="AB200" s="5">
        <f>IF(tblOrdenes[[#This Row],[cod_actividad]]="","",_xlfn.XLOOKUP(tblOrdenes[[#This Row],[cod_actividad]],tblActividades[codigo],tblActividades[descripcion],"(sin catálogo)"))</f>
        <v/>
      </c>
      <c r="AC200" s="20">
        <f>IF(tblOrdenes[[#This Row],[fecha_inicio]]="","",TODAY()-tblOrdenes[[#This Row],[fecha_inicio]])</f>
        <v/>
      </c>
      <c r="AD2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0" s="5">
        <f>IF(tblOrdenes[[#This Row],[backlog_habiles]]="","",IF(tblOrdenes[[#This Row],[backlog_habiles]]&lt;0,"FUTURO",IF(tblOrdenes[[#This Row],[backlog_habiles]]&gt;p_dias_backlog_max,"BACKLOG","MES CORRIENTE")))</f>
        <v/>
      </c>
      <c r="AF200" s="5">
        <f>IF(tblOrdenes[[#This Row],[backlog_habiles]]="",FALSE,AND(tblOrdenes[[#This Row],[backlog_habiles]]&gt;p_dias_backlog_min,tblOrdenes[[#This Row],[backlog_habiles]]&lt;=p_dias_backlog_max))</f>
        <v/>
      </c>
      <c r="AG200" s="4" t="inlineStr"/>
      <c r="AH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0" s="18">
        <f>IF(tblOrdenes[[#This Row],[orden]]="","",_xlfn.XLOOKUP(tblOrdenes[[#This Row],[id_operacion]],tblEjecucion[id_operacion],tblEjecucion[precio],0))</f>
        <v/>
      </c>
      <c r="AL200" s="18">
        <f>IF(tblOrdenes[[#This Row],[orden]]="","",MAX(0,_xlfn.XLOOKUP(tblOrdenes[[#This Row],[id_operacion]],tblEjecucion[id_operacion],tblEjecucion[costo_plan_total],0)-tblOrdenes[[#This Row],[costo_servicio]]))</f>
        <v/>
      </c>
      <c r="AM200" s="18">
        <f>IF(tblOrdenes[[#This Row],[orden]]="","",tblOrdenes[[#This Row],[costo_servicio]]+tblOrdenes[[#This Row],[costo_materiales]])</f>
        <v/>
      </c>
      <c r="AN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0" s="4" t="inlineStr"/>
      <c r="AP200" s="4" t="inlineStr"/>
      <c r="AQ200" s="4" t="inlineStr"/>
      <c r="AR200" s="5">
        <f>IF(tblOrdenes[[#This Row],[link_checklist]]="","",HYPERLINK(p_ruta_base_checklists&amp;tblOrdenes[[#This Row],[link_checklist]],"abrir"))</f>
        <v/>
      </c>
      <c r="AS200" s="4" t="inlineStr"/>
      <c r="AT200" s="5">
        <f>IF(tblOrdenes[[#This Row],[orden]]="","",tblOrdenes[[#This Row],[orden]]&amp;IF(tblOrdenes[[#This Row],[operacion]]="","0010",tblOrdenes[[#This Row],[operacion]]))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22" t="n">
        <v>46176</v>
      </c>
      <c r="K201" s="5" t="n">
        <v>2</v>
      </c>
      <c r="L201" s="18" t="n">
        <v>80</v>
      </c>
      <c r="M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5">
        <f>IF(tblOrdenes[[#This Row],[fecha_inicio]]="","",YEAR(tblOrdenes[[#This Row],[fecha_inicio]]))</f>
        <v/>
      </c>
      <c r="Q201" s="5">
        <f>IF(tblOrdenes[[#This Row],[fecha_inicio]]="","",MONTH(tblOrdenes[[#This Row],[fecha_inicio]]))</f>
        <v/>
      </c>
      <c r="R201" s="5">
        <f>IF(tblOrdenes[[#This Row],[fecha_inicio]]="","",tblOrdenes[[#This Row],[anio]]&amp;"-"&amp;TEXT(tblOrdenes[[#This Row],[mes]],"00"))</f>
        <v/>
      </c>
      <c r="S201" s="5">
        <f>IF(tblOrdenes[[#This Row],[fecha_inicio]]="","",INDEX(lista_dias,WEEKDAY(tblOrdenes[[#This Row],[fecha_inicio]],2)))</f>
        <v/>
      </c>
      <c r="T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1" s="5">
        <f>IF(tblOrdenes[[#This Row],[tipo_ot]]="","",_xlfn.XLOOKUP(tblOrdenes[[#This Row],[tipo_ot]],tblTiposOT[codigo],tblTiposOT[clasificacion],"sin_clasificar"))</f>
        <v/>
      </c>
      <c r="V2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1" s="5">
        <f>IF(tblOrdenes[[#This Row],[centro_costo]]="","",_xlfn.XLOOKUP(tblOrdenes[[#This Row],[centro_costo]],tblCECO[codigo],tblCECO[linea],"(sin catálogo)"))</f>
        <v/>
      </c>
      <c r="X201" s="5">
        <f>IF(tblOrdenes[[#This Row],[centro_costo]]="","",_xlfn.XLOOKUP(tblOrdenes[[#This Row],[centro_costo]],tblCECO[codigo],tblCECO[area],"(sin catálogo)"))</f>
        <v/>
      </c>
      <c r="Y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1" s="5">
        <f>IF(tblOrdenes[[#This Row],[centro_costo]]="","",_xlfn.XLOOKUP(tblOrdenes[[#This Row],[centro_costo]],tblCECO[codigo],tblCECO[coordinador],"(sin catálogo)"))</f>
        <v/>
      </c>
      <c r="AA201" s="5">
        <f>IF(tblOrdenes[[#This Row],[puesto_trabajo]]="","",_xlfn.XLOOKUP(tblOrdenes[[#This Row],[puesto_trabajo]],tblPuestos[codigo],tblPuestos[especialidad],"(sin catálogo)"))</f>
        <v/>
      </c>
      <c r="AB201" s="5">
        <f>IF(tblOrdenes[[#This Row],[cod_actividad]]="","",_xlfn.XLOOKUP(tblOrdenes[[#This Row],[cod_actividad]],tblActividades[codigo],tblActividades[descripcion],"(sin catálogo)"))</f>
        <v/>
      </c>
      <c r="AC201" s="20">
        <f>IF(tblOrdenes[[#This Row],[fecha_inicio]]="","",TODAY()-tblOrdenes[[#This Row],[fecha_inicio]])</f>
        <v/>
      </c>
      <c r="AD2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1" s="5">
        <f>IF(tblOrdenes[[#This Row],[backlog_habiles]]="","",IF(tblOrdenes[[#This Row],[backlog_habiles]]&lt;0,"FUTURO",IF(tblOrdenes[[#This Row],[backlog_habiles]]&gt;p_dias_backlog_max,"BACKLOG","MES CORRIENTE")))</f>
        <v/>
      </c>
      <c r="AF201" s="5">
        <f>IF(tblOrdenes[[#This Row],[backlog_habiles]]="",FALSE,AND(tblOrdenes[[#This Row],[backlog_habiles]]&gt;p_dias_backlog_min,tblOrdenes[[#This Row],[backlog_habiles]]&lt;=p_dias_backlog_max))</f>
        <v/>
      </c>
      <c r="AG201" s="4" t="inlineStr"/>
      <c r="AH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1" s="18">
        <f>IF(tblOrdenes[[#This Row],[orden]]="","",_xlfn.XLOOKUP(tblOrdenes[[#This Row],[id_operacion]],tblEjecucion[id_operacion],tblEjecucion[precio],0))</f>
        <v/>
      </c>
      <c r="AL201" s="18">
        <f>IF(tblOrdenes[[#This Row],[orden]]="","",MAX(0,_xlfn.XLOOKUP(tblOrdenes[[#This Row],[id_operacion]],tblEjecucion[id_operacion],tblEjecucion[costo_plan_total],0)-tblOrdenes[[#This Row],[costo_servicio]]))</f>
        <v/>
      </c>
      <c r="AM201" s="18">
        <f>IF(tblOrdenes[[#This Row],[orden]]="","",tblOrdenes[[#This Row],[costo_servicio]]+tblOrdenes[[#This Row],[costo_materiales]])</f>
        <v/>
      </c>
      <c r="AN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1" s="4" t="inlineStr"/>
      <c r="AP201" s="4" t="inlineStr"/>
      <c r="AQ201" s="4" t="inlineStr"/>
      <c r="AR201" s="5">
        <f>IF(tblOrdenes[[#This Row],[link_checklist]]="","",HYPERLINK(p_ruta_base_checklists&amp;tblOrdenes[[#This Row],[link_checklist]],"abrir"))</f>
        <v/>
      </c>
      <c r="AS201" s="4" t="inlineStr"/>
      <c r="AT201" s="5">
        <f>IF(tblOrdenes[[#This Row],[orden]]="","",tblOrdenes[[#This Row],[orden]]&amp;IF(tblOrdenes[[#This Row],[operacion]]="","0010",tblOrdenes[[#This Row],[operacion]]))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22" t="n">
        <v>46175</v>
      </c>
      <c r="K202" s="5" t="n">
        <v>2</v>
      </c>
      <c r="L202" s="18" t="n">
        <v>80</v>
      </c>
      <c r="M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5">
        <f>IF(tblOrdenes[[#This Row],[fecha_inicio]]="","",YEAR(tblOrdenes[[#This Row],[fecha_inicio]]))</f>
        <v/>
      </c>
      <c r="Q202" s="5">
        <f>IF(tblOrdenes[[#This Row],[fecha_inicio]]="","",MONTH(tblOrdenes[[#This Row],[fecha_inicio]]))</f>
        <v/>
      </c>
      <c r="R202" s="5">
        <f>IF(tblOrdenes[[#This Row],[fecha_inicio]]="","",tblOrdenes[[#This Row],[anio]]&amp;"-"&amp;TEXT(tblOrdenes[[#This Row],[mes]],"00"))</f>
        <v/>
      </c>
      <c r="S202" s="5">
        <f>IF(tblOrdenes[[#This Row],[fecha_inicio]]="","",INDEX(lista_dias,WEEKDAY(tblOrdenes[[#This Row],[fecha_inicio]],2)))</f>
        <v/>
      </c>
      <c r="T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2" s="5">
        <f>IF(tblOrdenes[[#This Row],[tipo_ot]]="","",_xlfn.XLOOKUP(tblOrdenes[[#This Row],[tipo_ot]],tblTiposOT[codigo],tblTiposOT[clasificacion],"sin_clasificar"))</f>
        <v/>
      </c>
      <c r="V2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2" s="5">
        <f>IF(tblOrdenes[[#This Row],[centro_costo]]="","",_xlfn.XLOOKUP(tblOrdenes[[#This Row],[centro_costo]],tblCECO[codigo],tblCECO[linea],"(sin catálogo)"))</f>
        <v/>
      </c>
      <c r="X202" s="5">
        <f>IF(tblOrdenes[[#This Row],[centro_costo]]="","",_xlfn.XLOOKUP(tblOrdenes[[#This Row],[centro_costo]],tblCECO[codigo],tblCECO[area],"(sin catálogo)"))</f>
        <v/>
      </c>
      <c r="Y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2" s="5">
        <f>IF(tblOrdenes[[#This Row],[centro_costo]]="","",_xlfn.XLOOKUP(tblOrdenes[[#This Row],[centro_costo]],tblCECO[codigo],tblCECO[coordinador],"(sin catálogo)"))</f>
        <v/>
      </c>
      <c r="AA202" s="5">
        <f>IF(tblOrdenes[[#This Row],[puesto_trabajo]]="","",_xlfn.XLOOKUP(tblOrdenes[[#This Row],[puesto_trabajo]],tblPuestos[codigo],tblPuestos[especialidad],"(sin catálogo)"))</f>
        <v/>
      </c>
      <c r="AB202" s="5">
        <f>IF(tblOrdenes[[#This Row],[cod_actividad]]="","",_xlfn.XLOOKUP(tblOrdenes[[#This Row],[cod_actividad]],tblActividades[codigo],tblActividades[descripcion],"(sin catálogo)"))</f>
        <v/>
      </c>
      <c r="AC202" s="20">
        <f>IF(tblOrdenes[[#This Row],[fecha_inicio]]="","",TODAY()-tblOrdenes[[#This Row],[fecha_inicio]])</f>
        <v/>
      </c>
      <c r="AD2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2" s="5">
        <f>IF(tblOrdenes[[#This Row],[backlog_habiles]]="","",IF(tblOrdenes[[#This Row],[backlog_habiles]]&lt;0,"FUTURO",IF(tblOrdenes[[#This Row],[backlog_habiles]]&gt;p_dias_backlog_max,"BACKLOG","MES CORRIENTE")))</f>
        <v/>
      </c>
      <c r="AF202" s="5">
        <f>IF(tblOrdenes[[#This Row],[backlog_habiles]]="",FALSE,AND(tblOrdenes[[#This Row],[backlog_habiles]]&gt;p_dias_backlog_min,tblOrdenes[[#This Row],[backlog_habiles]]&lt;=p_dias_backlog_max))</f>
        <v/>
      </c>
      <c r="AG202" s="4" t="inlineStr"/>
      <c r="AH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2" s="18">
        <f>IF(tblOrdenes[[#This Row],[orden]]="","",_xlfn.XLOOKUP(tblOrdenes[[#This Row],[id_operacion]],tblEjecucion[id_operacion],tblEjecucion[precio],0))</f>
        <v/>
      </c>
      <c r="AL202" s="18">
        <f>IF(tblOrdenes[[#This Row],[orden]]="","",MAX(0,_xlfn.XLOOKUP(tblOrdenes[[#This Row],[id_operacion]],tblEjecucion[id_operacion],tblEjecucion[costo_plan_total],0)-tblOrdenes[[#This Row],[costo_servicio]]))</f>
        <v/>
      </c>
      <c r="AM202" s="18">
        <f>IF(tblOrdenes[[#This Row],[orden]]="","",tblOrdenes[[#This Row],[costo_servicio]]+tblOrdenes[[#This Row],[costo_materiales]])</f>
        <v/>
      </c>
      <c r="AN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2" s="4" t="inlineStr"/>
      <c r="AP202" s="4" t="inlineStr"/>
      <c r="AQ202" s="4" t="inlineStr"/>
      <c r="AR202" s="5">
        <f>IF(tblOrdenes[[#This Row],[link_checklist]]="","",HYPERLINK(p_ruta_base_checklists&amp;tblOrdenes[[#This Row],[link_checklist]],"abrir"))</f>
        <v/>
      </c>
      <c r="AS202" s="4" t="inlineStr"/>
      <c r="AT202" s="5">
        <f>IF(tblOrdenes[[#This Row],[orden]]="","",tblOrdenes[[#This Row],[orden]]&amp;IF(tblOrdenes[[#This Row],[operacion]]="","0010",tblOrdenes[[#This Row],[operacion]]))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22" t="n">
        <v>46174</v>
      </c>
      <c r="K203" s="5" t="n">
        <v>2</v>
      </c>
      <c r="L203" s="18" t="n">
        <v>80</v>
      </c>
      <c r="M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5">
        <f>IF(tblOrdenes[[#This Row],[fecha_inicio]]="","",YEAR(tblOrdenes[[#This Row],[fecha_inicio]]))</f>
        <v/>
      </c>
      <c r="Q203" s="5">
        <f>IF(tblOrdenes[[#This Row],[fecha_inicio]]="","",MONTH(tblOrdenes[[#This Row],[fecha_inicio]]))</f>
        <v/>
      </c>
      <c r="R203" s="5">
        <f>IF(tblOrdenes[[#This Row],[fecha_inicio]]="","",tblOrdenes[[#This Row],[anio]]&amp;"-"&amp;TEXT(tblOrdenes[[#This Row],[mes]],"00"))</f>
        <v/>
      </c>
      <c r="S203" s="5">
        <f>IF(tblOrdenes[[#This Row],[fecha_inicio]]="","",INDEX(lista_dias,WEEKDAY(tblOrdenes[[#This Row],[fecha_inicio]],2)))</f>
        <v/>
      </c>
      <c r="T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3" s="5">
        <f>IF(tblOrdenes[[#This Row],[tipo_ot]]="","",_xlfn.XLOOKUP(tblOrdenes[[#This Row],[tipo_ot]],tblTiposOT[codigo],tblTiposOT[clasificacion],"sin_clasificar"))</f>
        <v/>
      </c>
      <c r="V2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3" s="5">
        <f>IF(tblOrdenes[[#This Row],[centro_costo]]="","",_xlfn.XLOOKUP(tblOrdenes[[#This Row],[centro_costo]],tblCECO[codigo],tblCECO[linea],"(sin catálogo)"))</f>
        <v/>
      </c>
      <c r="X203" s="5">
        <f>IF(tblOrdenes[[#This Row],[centro_costo]]="","",_xlfn.XLOOKUP(tblOrdenes[[#This Row],[centro_costo]],tblCECO[codigo],tblCECO[area],"(sin catálogo)"))</f>
        <v/>
      </c>
      <c r="Y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3" s="5">
        <f>IF(tblOrdenes[[#This Row],[centro_costo]]="","",_xlfn.XLOOKUP(tblOrdenes[[#This Row],[centro_costo]],tblCECO[codigo],tblCECO[coordinador],"(sin catálogo)"))</f>
        <v/>
      </c>
      <c r="AA203" s="5">
        <f>IF(tblOrdenes[[#This Row],[puesto_trabajo]]="","",_xlfn.XLOOKUP(tblOrdenes[[#This Row],[puesto_trabajo]],tblPuestos[codigo],tblPuestos[especialidad],"(sin catálogo)"))</f>
        <v/>
      </c>
      <c r="AB203" s="5">
        <f>IF(tblOrdenes[[#This Row],[cod_actividad]]="","",_xlfn.XLOOKUP(tblOrdenes[[#This Row],[cod_actividad]],tblActividades[codigo],tblActividades[descripcion],"(sin catálogo)"))</f>
        <v/>
      </c>
      <c r="AC203" s="20">
        <f>IF(tblOrdenes[[#This Row],[fecha_inicio]]="","",TODAY()-tblOrdenes[[#This Row],[fecha_inicio]])</f>
        <v/>
      </c>
      <c r="AD2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3" s="5">
        <f>IF(tblOrdenes[[#This Row],[backlog_habiles]]="","",IF(tblOrdenes[[#This Row],[backlog_habiles]]&lt;0,"FUTURO",IF(tblOrdenes[[#This Row],[backlog_habiles]]&gt;p_dias_backlog_max,"BACKLOG","MES CORRIENTE")))</f>
        <v/>
      </c>
      <c r="AF203" s="5">
        <f>IF(tblOrdenes[[#This Row],[backlog_habiles]]="",FALSE,AND(tblOrdenes[[#This Row],[backlog_habiles]]&gt;p_dias_backlog_min,tblOrdenes[[#This Row],[backlog_habiles]]&lt;=p_dias_backlog_max))</f>
        <v/>
      </c>
      <c r="AG203" s="4" t="inlineStr"/>
      <c r="AH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3" s="18">
        <f>IF(tblOrdenes[[#This Row],[orden]]="","",_xlfn.XLOOKUP(tblOrdenes[[#This Row],[id_operacion]],tblEjecucion[id_operacion],tblEjecucion[precio],0))</f>
        <v/>
      </c>
      <c r="AL203" s="18">
        <f>IF(tblOrdenes[[#This Row],[orden]]="","",MAX(0,_xlfn.XLOOKUP(tblOrdenes[[#This Row],[id_operacion]],tblEjecucion[id_operacion],tblEjecucion[costo_plan_total],0)-tblOrdenes[[#This Row],[costo_servicio]]))</f>
        <v/>
      </c>
      <c r="AM203" s="18">
        <f>IF(tblOrdenes[[#This Row],[orden]]="","",tblOrdenes[[#This Row],[costo_servicio]]+tblOrdenes[[#This Row],[costo_materiales]])</f>
        <v/>
      </c>
      <c r="AN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3" s="4" t="inlineStr"/>
      <c r="AP203" s="4" t="inlineStr"/>
      <c r="AQ203" s="4" t="inlineStr"/>
      <c r="AR203" s="5">
        <f>IF(tblOrdenes[[#This Row],[link_checklist]]="","",HYPERLINK(p_ruta_base_checklists&amp;tblOrdenes[[#This Row],[link_checklist]],"abrir"))</f>
        <v/>
      </c>
      <c r="AS203" s="4" t="inlineStr"/>
      <c r="AT203" s="5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22" t="n"/>
      <c r="K204" s="5" t="n"/>
      <c r="L204" s="18" t="n"/>
      <c r="M2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5">
        <f>IF(tblOrdenes[[#This Row],[fecha_inicio]]="","",YEAR(tblOrdenes[[#This Row],[fecha_inicio]]))</f>
        <v/>
      </c>
      <c r="Q204" s="5">
        <f>IF(tblOrdenes[[#This Row],[fecha_inicio]]="","",MONTH(tblOrdenes[[#This Row],[fecha_inicio]]))</f>
        <v/>
      </c>
      <c r="R204" s="5">
        <f>IF(tblOrdenes[[#This Row],[fecha_inicio]]="","",tblOrdenes[[#This Row],[anio]]&amp;"-"&amp;TEXT(tblOrdenes[[#This Row],[mes]],"00"))</f>
        <v/>
      </c>
      <c r="S204" s="5">
        <f>IF(tblOrdenes[[#This Row],[fecha_inicio]]="","",INDEX(lista_dias,WEEKDAY(tblOrdenes[[#This Row],[fecha_inicio]],2)))</f>
        <v/>
      </c>
      <c r="T2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4" s="5">
        <f>IF(tblOrdenes[[#This Row],[tipo_ot]]="","",_xlfn.XLOOKUP(tblOrdenes[[#This Row],[tipo_ot]],tblTiposOT[codigo],tblTiposOT[clasificacion],"sin_clasificar"))</f>
        <v/>
      </c>
      <c r="V2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4" s="5">
        <f>IF(tblOrdenes[[#This Row],[centro_costo]]="","",_xlfn.XLOOKUP(tblOrdenes[[#This Row],[centro_costo]],tblCECO[codigo],tblCECO[linea],"(sin catálogo)"))</f>
        <v/>
      </c>
      <c r="X204" s="5">
        <f>IF(tblOrdenes[[#This Row],[centro_costo]]="","",_xlfn.XLOOKUP(tblOrdenes[[#This Row],[centro_costo]],tblCECO[codigo],tblCECO[area],"(sin catálogo)"))</f>
        <v/>
      </c>
      <c r="Y2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4" s="5">
        <f>IF(tblOrdenes[[#This Row],[centro_costo]]="","",_xlfn.XLOOKUP(tblOrdenes[[#This Row],[centro_costo]],tblCECO[codigo],tblCECO[coordinador],"(sin catálogo)"))</f>
        <v/>
      </c>
      <c r="AA204" s="5">
        <f>IF(tblOrdenes[[#This Row],[puesto_trabajo]]="","",_xlfn.XLOOKUP(tblOrdenes[[#This Row],[puesto_trabajo]],tblPuestos[codigo],tblPuestos[especialidad],"(sin catálogo)"))</f>
        <v/>
      </c>
      <c r="AB204" s="5">
        <f>IF(tblOrdenes[[#This Row],[cod_actividad]]="","",_xlfn.XLOOKUP(tblOrdenes[[#This Row],[cod_actividad]],tblActividades[codigo],tblActividades[descripcion],"(sin catálogo)"))</f>
        <v/>
      </c>
      <c r="AC204" s="20">
        <f>IF(tblOrdenes[[#This Row],[fecha_inicio]]="","",TODAY()-tblOrdenes[[#This Row],[fecha_inicio]])</f>
        <v/>
      </c>
      <c r="AD2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4" s="5">
        <f>IF(tblOrdenes[[#This Row],[backlog_habiles]]="","",IF(tblOrdenes[[#This Row],[backlog_habiles]]&lt;0,"FUTURO",IF(tblOrdenes[[#This Row],[backlog_habiles]]&gt;p_dias_backlog_max,"BACKLOG","MES CORRIENTE")))</f>
        <v/>
      </c>
      <c r="AF204" s="5">
        <f>IF(tblOrdenes[[#This Row],[backlog_habiles]]="",FALSE,AND(tblOrdenes[[#This Row],[backlog_habiles]]&gt;p_dias_backlog_min,tblOrdenes[[#This Row],[backlog_habiles]]&lt;=p_dias_backlog_max))</f>
        <v/>
      </c>
      <c r="AG204" s="4" t="n"/>
      <c r="AH2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4" s="18">
        <f>IF(tblOrdenes[[#This Row],[orden]]="","",_xlfn.XLOOKUP(tblOrdenes[[#This Row],[id_operacion]],tblEjecucion[id_operacion],tblEjecucion[precio],0))</f>
        <v/>
      </c>
      <c r="AL204" s="18">
        <f>IF(tblOrdenes[[#This Row],[orden]]="","",MAX(0,_xlfn.XLOOKUP(tblOrdenes[[#This Row],[id_operacion]],tblEjecucion[id_operacion],tblEjecucion[costo_plan_total],0)-tblOrdenes[[#This Row],[costo_servicio]]))</f>
        <v/>
      </c>
      <c r="AM204" s="18">
        <f>IF(tblOrdenes[[#This Row],[orden]]="","",tblOrdenes[[#This Row],[costo_servicio]]+tblOrdenes[[#This Row],[costo_materiales]])</f>
        <v/>
      </c>
      <c r="AN2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4" s="4" t="n"/>
      <c r="AP204" s="4" t="n"/>
      <c r="AQ204" s="4" t="n"/>
      <c r="AR204" s="5">
        <f>IF(tblOrdenes[[#This Row],[link_checklist]]="","",HYPERLINK(p_ruta_base_checklists&amp;tblOrdenes[[#This Row],[link_checklist]],"abrir"))</f>
        <v/>
      </c>
      <c r="AS204" s="4" t="n"/>
      <c r="AT204" s="5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22" t="n"/>
      <c r="K205" s="5" t="n"/>
      <c r="L205" s="18" t="n"/>
      <c r="M2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5">
        <f>IF(tblOrdenes[[#This Row],[fecha_inicio]]="","",YEAR(tblOrdenes[[#This Row],[fecha_inicio]]))</f>
        <v/>
      </c>
      <c r="Q205" s="5">
        <f>IF(tblOrdenes[[#This Row],[fecha_inicio]]="","",MONTH(tblOrdenes[[#This Row],[fecha_inicio]]))</f>
        <v/>
      </c>
      <c r="R205" s="5">
        <f>IF(tblOrdenes[[#This Row],[fecha_inicio]]="","",tblOrdenes[[#This Row],[anio]]&amp;"-"&amp;TEXT(tblOrdenes[[#This Row],[mes]],"00"))</f>
        <v/>
      </c>
      <c r="S205" s="5">
        <f>IF(tblOrdenes[[#This Row],[fecha_inicio]]="","",INDEX(lista_dias,WEEKDAY(tblOrdenes[[#This Row],[fecha_inicio]],2)))</f>
        <v/>
      </c>
      <c r="T2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5" s="5">
        <f>IF(tblOrdenes[[#This Row],[tipo_ot]]="","",_xlfn.XLOOKUP(tblOrdenes[[#This Row],[tipo_ot]],tblTiposOT[codigo],tblTiposOT[clasificacion],"sin_clasificar"))</f>
        <v/>
      </c>
      <c r="V2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5" s="5">
        <f>IF(tblOrdenes[[#This Row],[centro_costo]]="","",_xlfn.XLOOKUP(tblOrdenes[[#This Row],[centro_costo]],tblCECO[codigo],tblCECO[linea],"(sin catálogo)"))</f>
        <v/>
      </c>
      <c r="X205" s="5">
        <f>IF(tblOrdenes[[#This Row],[centro_costo]]="","",_xlfn.XLOOKUP(tblOrdenes[[#This Row],[centro_costo]],tblCECO[codigo],tblCECO[area],"(sin catálogo)"))</f>
        <v/>
      </c>
      <c r="Y2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5" s="5">
        <f>IF(tblOrdenes[[#This Row],[centro_costo]]="","",_xlfn.XLOOKUP(tblOrdenes[[#This Row],[centro_costo]],tblCECO[codigo],tblCECO[coordinador],"(sin catálogo)"))</f>
        <v/>
      </c>
      <c r="AA205" s="5">
        <f>IF(tblOrdenes[[#This Row],[puesto_trabajo]]="","",_xlfn.XLOOKUP(tblOrdenes[[#This Row],[puesto_trabajo]],tblPuestos[codigo],tblPuestos[especialidad],"(sin catálogo)"))</f>
        <v/>
      </c>
      <c r="AB205" s="5">
        <f>IF(tblOrdenes[[#This Row],[cod_actividad]]="","",_xlfn.XLOOKUP(tblOrdenes[[#This Row],[cod_actividad]],tblActividades[codigo],tblActividades[descripcion],"(sin catálogo)"))</f>
        <v/>
      </c>
      <c r="AC205" s="20">
        <f>IF(tblOrdenes[[#This Row],[fecha_inicio]]="","",TODAY()-tblOrdenes[[#This Row],[fecha_inicio]])</f>
        <v/>
      </c>
      <c r="AD2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5" s="5">
        <f>IF(tblOrdenes[[#This Row],[backlog_habiles]]="","",IF(tblOrdenes[[#This Row],[backlog_habiles]]&lt;0,"FUTURO",IF(tblOrdenes[[#This Row],[backlog_habiles]]&gt;p_dias_backlog_max,"BACKLOG","MES CORRIENTE")))</f>
        <v/>
      </c>
      <c r="AF205" s="5">
        <f>IF(tblOrdenes[[#This Row],[backlog_habiles]]="",FALSE,AND(tblOrdenes[[#This Row],[backlog_habiles]]&gt;p_dias_backlog_min,tblOrdenes[[#This Row],[backlog_habiles]]&lt;=p_dias_backlog_max))</f>
        <v/>
      </c>
      <c r="AG205" s="4" t="n"/>
      <c r="AH2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5" s="18">
        <f>IF(tblOrdenes[[#This Row],[orden]]="","",_xlfn.XLOOKUP(tblOrdenes[[#This Row],[id_operacion]],tblEjecucion[id_operacion],tblEjecucion[precio],0))</f>
        <v/>
      </c>
      <c r="AL205" s="18">
        <f>IF(tblOrdenes[[#This Row],[orden]]="","",MAX(0,_xlfn.XLOOKUP(tblOrdenes[[#This Row],[id_operacion]],tblEjecucion[id_operacion],tblEjecucion[costo_plan_total],0)-tblOrdenes[[#This Row],[costo_servicio]]))</f>
        <v/>
      </c>
      <c r="AM205" s="18">
        <f>IF(tblOrdenes[[#This Row],[orden]]="","",tblOrdenes[[#This Row],[costo_servicio]]+tblOrdenes[[#This Row],[costo_materiales]])</f>
        <v/>
      </c>
      <c r="AN2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5" s="4" t="n"/>
      <c r="AP205" s="4" t="n"/>
      <c r="AQ205" s="4" t="n"/>
      <c r="AR205" s="5">
        <f>IF(tblOrdenes[[#This Row],[link_checklist]]="","",HYPERLINK(p_ruta_base_checklists&amp;tblOrdenes[[#This Row],[link_checklist]],"abrir"))</f>
        <v/>
      </c>
      <c r="AS205" s="4" t="n"/>
      <c r="AT205" s="5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22" t="n"/>
      <c r="K206" s="5" t="n"/>
      <c r="L206" s="18" t="n"/>
      <c r="M2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5">
        <f>IF(tblOrdenes[[#This Row],[fecha_inicio]]="","",YEAR(tblOrdenes[[#This Row],[fecha_inicio]]))</f>
        <v/>
      </c>
      <c r="Q206" s="5">
        <f>IF(tblOrdenes[[#This Row],[fecha_inicio]]="","",MONTH(tblOrdenes[[#This Row],[fecha_inicio]]))</f>
        <v/>
      </c>
      <c r="R206" s="5">
        <f>IF(tblOrdenes[[#This Row],[fecha_inicio]]="","",tblOrdenes[[#This Row],[anio]]&amp;"-"&amp;TEXT(tblOrdenes[[#This Row],[mes]],"00"))</f>
        <v/>
      </c>
      <c r="S206" s="5">
        <f>IF(tblOrdenes[[#This Row],[fecha_inicio]]="","",INDEX(lista_dias,WEEKDAY(tblOrdenes[[#This Row],[fecha_inicio]],2)))</f>
        <v/>
      </c>
      <c r="T2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6" s="5">
        <f>IF(tblOrdenes[[#This Row],[tipo_ot]]="","",_xlfn.XLOOKUP(tblOrdenes[[#This Row],[tipo_ot]],tblTiposOT[codigo],tblTiposOT[clasificacion],"sin_clasificar"))</f>
        <v/>
      </c>
      <c r="V2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6" s="5">
        <f>IF(tblOrdenes[[#This Row],[centro_costo]]="","",_xlfn.XLOOKUP(tblOrdenes[[#This Row],[centro_costo]],tblCECO[codigo],tblCECO[linea],"(sin catálogo)"))</f>
        <v/>
      </c>
      <c r="X206" s="5">
        <f>IF(tblOrdenes[[#This Row],[centro_costo]]="","",_xlfn.XLOOKUP(tblOrdenes[[#This Row],[centro_costo]],tblCECO[codigo],tblCECO[area],"(sin catálogo)"))</f>
        <v/>
      </c>
      <c r="Y2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6" s="5">
        <f>IF(tblOrdenes[[#This Row],[centro_costo]]="","",_xlfn.XLOOKUP(tblOrdenes[[#This Row],[centro_costo]],tblCECO[codigo],tblCECO[coordinador],"(sin catálogo)"))</f>
        <v/>
      </c>
      <c r="AA206" s="5">
        <f>IF(tblOrdenes[[#This Row],[puesto_trabajo]]="","",_xlfn.XLOOKUP(tblOrdenes[[#This Row],[puesto_trabajo]],tblPuestos[codigo],tblPuestos[especialidad],"(sin catálogo)"))</f>
        <v/>
      </c>
      <c r="AB206" s="5">
        <f>IF(tblOrdenes[[#This Row],[cod_actividad]]="","",_xlfn.XLOOKUP(tblOrdenes[[#This Row],[cod_actividad]],tblActividades[codigo],tblActividades[descripcion],"(sin catálogo)"))</f>
        <v/>
      </c>
      <c r="AC206" s="20">
        <f>IF(tblOrdenes[[#This Row],[fecha_inicio]]="","",TODAY()-tblOrdenes[[#This Row],[fecha_inicio]])</f>
        <v/>
      </c>
      <c r="AD2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6" s="5">
        <f>IF(tblOrdenes[[#This Row],[backlog_habiles]]="","",IF(tblOrdenes[[#This Row],[backlog_habiles]]&lt;0,"FUTURO",IF(tblOrdenes[[#This Row],[backlog_habiles]]&gt;p_dias_backlog_max,"BACKLOG","MES CORRIENTE")))</f>
        <v/>
      </c>
      <c r="AF206" s="5">
        <f>IF(tblOrdenes[[#This Row],[backlog_habiles]]="",FALSE,AND(tblOrdenes[[#This Row],[backlog_habiles]]&gt;p_dias_backlog_min,tblOrdenes[[#This Row],[backlog_habiles]]&lt;=p_dias_backlog_max))</f>
        <v/>
      </c>
      <c r="AG206" s="4" t="n"/>
      <c r="AH2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6" s="18">
        <f>IF(tblOrdenes[[#This Row],[orden]]="","",_xlfn.XLOOKUP(tblOrdenes[[#This Row],[id_operacion]],tblEjecucion[id_operacion],tblEjecucion[precio],0))</f>
        <v/>
      </c>
      <c r="AL206" s="18">
        <f>IF(tblOrdenes[[#This Row],[orden]]="","",MAX(0,_xlfn.XLOOKUP(tblOrdenes[[#This Row],[id_operacion]],tblEjecucion[id_operacion],tblEjecucion[costo_plan_total],0)-tblOrdenes[[#This Row],[costo_servicio]]))</f>
        <v/>
      </c>
      <c r="AM206" s="18">
        <f>IF(tblOrdenes[[#This Row],[orden]]="","",tblOrdenes[[#This Row],[costo_servicio]]+tblOrdenes[[#This Row],[costo_materiales]])</f>
        <v/>
      </c>
      <c r="AN2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6" s="4" t="n"/>
      <c r="AP206" s="4" t="n"/>
      <c r="AQ206" s="4" t="n"/>
      <c r="AR206" s="5">
        <f>IF(tblOrdenes[[#This Row],[link_checklist]]="","",HYPERLINK(p_ruta_base_checklists&amp;tblOrdenes[[#This Row],[link_checklist]],"abrir"))</f>
        <v/>
      </c>
      <c r="AS206" s="4" t="n"/>
      <c r="AT206" s="5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22" t="n"/>
      <c r="K207" s="5" t="n"/>
      <c r="L207" s="18" t="n"/>
      <c r="M2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5">
        <f>IF(tblOrdenes[[#This Row],[fecha_inicio]]="","",YEAR(tblOrdenes[[#This Row],[fecha_inicio]]))</f>
        <v/>
      </c>
      <c r="Q207" s="5">
        <f>IF(tblOrdenes[[#This Row],[fecha_inicio]]="","",MONTH(tblOrdenes[[#This Row],[fecha_inicio]]))</f>
        <v/>
      </c>
      <c r="R207" s="5">
        <f>IF(tblOrdenes[[#This Row],[fecha_inicio]]="","",tblOrdenes[[#This Row],[anio]]&amp;"-"&amp;TEXT(tblOrdenes[[#This Row],[mes]],"00"))</f>
        <v/>
      </c>
      <c r="S207" s="5">
        <f>IF(tblOrdenes[[#This Row],[fecha_inicio]]="","",INDEX(lista_dias,WEEKDAY(tblOrdenes[[#This Row],[fecha_inicio]],2)))</f>
        <v/>
      </c>
      <c r="T2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7" s="5">
        <f>IF(tblOrdenes[[#This Row],[tipo_ot]]="","",_xlfn.XLOOKUP(tblOrdenes[[#This Row],[tipo_ot]],tblTiposOT[codigo],tblTiposOT[clasificacion],"sin_clasificar"))</f>
        <v/>
      </c>
      <c r="V2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7" s="5">
        <f>IF(tblOrdenes[[#This Row],[centro_costo]]="","",_xlfn.XLOOKUP(tblOrdenes[[#This Row],[centro_costo]],tblCECO[codigo],tblCECO[linea],"(sin catálogo)"))</f>
        <v/>
      </c>
      <c r="X207" s="5">
        <f>IF(tblOrdenes[[#This Row],[centro_costo]]="","",_xlfn.XLOOKUP(tblOrdenes[[#This Row],[centro_costo]],tblCECO[codigo],tblCECO[area],"(sin catálogo)"))</f>
        <v/>
      </c>
      <c r="Y2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7" s="5">
        <f>IF(tblOrdenes[[#This Row],[centro_costo]]="","",_xlfn.XLOOKUP(tblOrdenes[[#This Row],[centro_costo]],tblCECO[codigo],tblCECO[coordinador],"(sin catálogo)"))</f>
        <v/>
      </c>
      <c r="AA207" s="5">
        <f>IF(tblOrdenes[[#This Row],[puesto_trabajo]]="","",_xlfn.XLOOKUP(tblOrdenes[[#This Row],[puesto_trabajo]],tblPuestos[codigo],tblPuestos[especialidad],"(sin catálogo)"))</f>
        <v/>
      </c>
      <c r="AB207" s="5">
        <f>IF(tblOrdenes[[#This Row],[cod_actividad]]="","",_xlfn.XLOOKUP(tblOrdenes[[#This Row],[cod_actividad]],tblActividades[codigo],tblActividades[descripcion],"(sin catálogo)"))</f>
        <v/>
      </c>
      <c r="AC207" s="20">
        <f>IF(tblOrdenes[[#This Row],[fecha_inicio]]="","",TODAY()-tblOrdenes[[#This Row],[fecha_inicio]])</f>
        <v/>
      </c>
      <c r="AD2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7" s="5">
        <f>IF(tblOrdenes[[#This Row],[backlog_habiles]]="","",IF(tblOrdenes[[#This Row],[backlog_habiles]]&lt;0,"FUTURO",IF(tblOrdenes[[#This Row],[backlog_habiles]]&gt;p_dias_backlog_max,"BACKLOG","MES CORRIENTE")))</f>
        <v/>
      </c>
      <c r="AF207" s="5">
        <f>IF(tblOrdenes[[#This Row],[backlog_habiles]]="",FALSE,AND(tblOrdenes[[#This Row],[backlog_habiles]]&gt;p_dias_backlog_min,tblOrdenes[[#This Row],[backlog_habiles]]&lt;=p_dias_backlog_max))</f>
        <v/>
      </c>
      <c r="AG207" s="4" t="n"/>
      <c r="AH2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7" s="18">
        <f>IF(tblOrdenes[[#This Row],[orden]]="","",_xlfn.XLOOKUP(tblOrdenes[[#This Row],[id_operacion]],tblEjecucion[id_operacion],tblEjecucion[precio],0))</f>
        <v/>
      </c>
      <c r="AL207" s="18">
        <f>IF(tblOrdenes[[#This Row],[orden]]="","",MAX(0,_xlfn.XLOOKUP(tblOrdenes[[#This Row],[id_operacion]],tblEjecucion[id_operacion],tblEjecucion[costo_plan_total],0)-tblOrdenes[[#This Row],[costo_servicio]]))</f>
        <v/>
      </c>
      <c r="AM207" s="18">
        <f>IF(tblOrdenes[[#This Row],[orden]]="","",tblOrdenes[[#This Row],[costo_servicio]]+tblOrdenes[[#This Row],[costo_materiales]])</f>
        <v/>
      </c>
      <c r="AN2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7" s="4" t="n"/>
      <c r="AP207" s="4" t="n"/>
      <c r="AQ207" s="4" t="n"/>
      <c r="AR207" s="5">
        <f>IF(tblOrdenes[[#This Row],[link_checklist]]="","",HYPERLINK(p_ruta_base_checklists&amp;tblOrdenes[[#This Row],[link_checklist]],"abrir"))</f>
        <v/>
      </c>
      <c r="AS207" s="4" t="n"/>
      <c r="AT207" s="5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22" t="n"/>
      <c r="K208" s="5" t="n"/>
      <c r="L208" s="18" t="n"/>
      <c r="M2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5">
        <f>IF(tblOrdenes[[#This Row],[fecha_inicio]]="","",YEAR(tblOrdenes[[#This Row],[fecha_inicio]]))</f>
        <v/>
      </c>
      <c r="Q208" s="5">
        <f>IF(tblOrdenes[[#This Row],[fecha_inicio]]="","",MONTH(tblOrdenes[[#This Row],[fecha_inicio]]))</f>
        <v/>
      </c>
      <c r="R208" s="5">
        <f>IF(tblOrdenes[[#This Row],[fecha_inicio]]="","",tblOrdenes[[#This Row],[anio]]&amp;"-"&amp;TEXT(tblOrdenes[[#This Row],[mes]],"00"))</f>
        <v/>
      </c>
      <c r="S208" s="5">
        <f>IF(tblOrdenes[[#This Row],[fecha_inicio]]="","",INDEX(lista_dias,WEEKDAY(tblOrdenes[[#This Row],[fecha_inicio]],2)))</f>
        <v/>
      </c>
      <c r="T2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8" s="5">
        <f>IF(tblOrdenes[[#This Row],[tipo_ot]]="","",_xlfn.XLOOKUP(tblOrdenes[[#This Row],[tipo_ot]],tblTiposOT[codigo],tblTiposOT[clasificacion],"sin_clasificar"))</f>
        <v/>
      </c>
      <c r="V2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8" s="5">
        <f>IF(tblOrdenes[[#This Row],[centro_costo]]="","",_xlfn.XLOOKUP(tblOrdenes[[#This Row],[centro_costo]],tblCECO[codigo],tblCECO[linea],"(sin catálogo)"))</f>
        <v/>
      </c>
      <c r="X208" s="5">
        <f>IF(tblOrdenes[[#This Row],[centro_costo]]="","",_xlfn.XLOOKUP(tblOrdenes[[#This Row],[centro_costo]],tblCECO[codigo],tblCECO[area],"(sin catálogo)"))</f>
        <v/>
      </c>
      <c r="Y2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8" s="5">
        <f>IF(tblOrdenes[[#This Row],[centro_costo]]="","",_xlfn.XLOOKUP(tblOrdenes[[#This Row],[centro_costo]],tblCECO[codigo],tblCECO[coordinador],"(sin catálogo)"))</f>
        <v/>
      </c>
      <c r="AA208" s="5">
        <f>IF(tblOrdenes[[#This Row],[puesto_trabajo]]="","",_xlfn.XLOOKUP(tblOrdenes[[#This Row],[puesto_trabajo]],tblPuestos[codigo],tblPuestos[especialidad],"(sin catálogo)"))</f>
        <v/>
      </c>
      <c r="AB208" s="5">
        <f>IF(tblOrdenes[[#This Row],[cod_actividad]]="","",_xlfn.XLOOKUP(tblOrdenes[[#This Row],[cod_actividad]],tblActividades[codigo],tblActividades[descripcion],"(sin catálogo)"))</f>
        <v/>
      </c>
      <c r="AC208" s="20">
        <f>IF(tblOrdenes[[#This Row],[fecha_inicio]]="","",TODAY()-tblOrdenes[[#This Row],[fecha_inicio]])</f>
        <v/>
      </c>
      <c r="AD2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8" s="5">
        <f>IF(tblOrdenes[[#This Row],[backlog_habiles]]="","",IF(tblOrdenes[[#This Row],[backlog_habiles]]&lt;0,"FUTURO",IF(tblOrdenes[[#This Row],[backlog_habiles]]&gt;p_dias_backlog_max,"BACKLOG","MES CORRIENTE")))</f>
        <v/>
      </c>
      <c r="AF208" s="5">
        <f>IF(tblOrdenes[[#This Row],[backlog_habiles]]="",FALSE,AND(tblOrdenes[[#This Row],[backlog_habiles]]&gt;p_dias_backlog_min,tblOrdenes[[#This Row],[backlog_habiles]]&lt;=p_dias_backlog_max))</f>
        <v/>
      </c>
      <c r="AG208" s="4" t="n"/>
      <c r="AH2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8" s="18">
        <f>IF(tblOrdenes[[#This Row],[orden]]="","",_xlfn.XLOOKUP(tblOrdenes[[#This Row],[id_operacion]],tblEjecucion[id_operacion],tblEjecucion[precio],0))</f>
        <v/>
      </c>
      <c r="AL208" s="18">
        <f>IF(tblOrdenes[[#This Row],[orden]]="","",MAX(0,_xlfn.XLOOKUP(tblOrdenes[[#This Row],[id_operacion]],tblEjecucion[id_operacion],tblEjecucion[costo_plan_total],0)-tblOrdenes[[#This Row],[costo_servicio]]))</f>
        <v/>
      </c>
      <c r="AM208" s="18">
        <f>IF(tblOrdenes[[#This Row],[orden]]="","",tblOrdenes[[#This Row],[costo_servicio]]+tblOrdenes[[#This Row],[costo_materiales]])</f>
        <v/>
      </c>
      <c r="AN2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8" s="4" t="n"/>
      <c r="AP208" s="4" t="n"/>
      <c r="AQ208" s="4" t="n"/>
      <c r="AR208" s="5">
        <f>IF(tblOrdenes[[#This Row],[link_checklist]]="","",HYPERLINK(p_ruta_base_checklists&amp;tblOrdenes[[#This Row],[link_checklist]],"abrir"))</f>
        <v/>
      </c>
      <c r="AS208" s="4" t="n"/>
      <c r="AT208" s="5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22" t="n"/>
      <c r="K209" s="5" t="n"/>
      <c r="L209" s="18" t="n"/>
      <c r="M2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5">
        <f>IF(tblOrdenes[[#This Row],[fecha_inicio]]="","",YEAR(tblOrdenes[[#This Row],[fecha_inicio]]))</f>
        <v/>
      </c>
      <c r="Q209" s="5">
        <f>IF(tblOrdenes[[#This Row],[fecha_inicio]]="","",MONTH(tblOrdenes[[#This Row],[fecha_inicio]]))</f>
        <v/>
      </c>
      <c r="R209" s="5">
        <f>IF(tblOrdenes[[#This Row],[fecha_inicio]]="","",tblOrdenes[[#This Row],[anio]]&amp;"-"&amp;TEXT(tblOrdenes[[#This Row],[mes]],"00"))</f>
        <v/>
      </c>
      <c r="S209" s="5">
        <f>IF(tblOrdenes[[#This Row],[fecha_inicio]]="","",INDEX(lista_dias,WEEKDAY(tblOrdenes[[#This Row],[fecha_inicio]],2)))</f>
        <v/>
      </c>
      <c r="T2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9" s="5">
        <f>IF(tblOrdenes[[#This Row],[tipo_ot]]="","",_xlfn.XLOOKUP(tblOrdenes[[#This Row],[tipo_ot]],tblTiposOT[codigo],tblTiposOT[clasificacion],"sin_clasificar"))</f>
        <v/>
      </c>
      <c r="V2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9" s="5">
        <f>IF(tblOrdenes[[#This Row],[centro_costo]]="","",_xlfn.XLOOKUP(tblOrdenes[[#This Row],[centro_costo]],tblCECO[codigo],tblCECO[linea],"(sin catálogo)"))</f>
        <v/>
      </c>
      <c r="X209" s="5">
        <f>IF(tblOrdenes[[#This Row],[centro_costo]]="","",_xlfn.XLOOKUP(tblOrdenes[[#This Row],[centro_costo]],tblCECO[codigo],tblCECO[area],"(sin catálogo)"))</f>
        <v/>
      </c>
      <c r="Y2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09" s="5">
        <f>IF(tblOrdenes[[#This Row],[centro_costo]]="","",_xlfn.XLOOKUP(tblOrdenes[[#This Row],[centro_costo]],tblCECO[codigo],tblCECO[coordinador],"(sin catálogo)"))</f>
        <v/>
      </c>
      <c r="AA209" s="5">
        <f>IF(tblOrdenes[[#This Row],[puesto_trabajo]]="","",_xlfn.XLOOKUP(tblOrdenes[[#This Row],[puesto_trabajo]],tblPuestos[codigo],tblPuestos[especialidad],"(sin catálogo)"))</f>
        <v/>
      </c>
      <c r="AB209" s="5">
        <f>IF(tblOrdenes[[#This Row],[cod_actividad]]="","",_xlfn.XLOOKUP(tblOrdenes[[#This Row],[cod_actividad]],tblActividades[codigo],tblActividades[descripcion],"(sin catálogo)"))</f>
        <v/>
      </c>
      <c r="AC209" s="20">
        <f>IF(tblOrdenes[[#This Row],[fecha_inicio]]="","",TODAY()-tblOrdenes[[#This Row],[fecha_inicio]])</f>
        <v/>
      </c>
      <c r="AD2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09" s="5">
        <f>IF(tblOrdenes[[#This Row],[backlog_habiles]]="","",IF(tblOrdenes[[#This Row],[backlog_habiles]]&lt;0,"FUTURO",IF(tblOrdenes[[#This Row],[backlog_habiles]]&gt;p_dias_backlog_max,"BACKLOG","MES CORRIENTE")))</f>
        <v/>
      </c>
      <c r="AF209" s="5">
        <f>IF(tblOrdenes[[#This Row],[backlog_habiles]]="",FALSE,AND(tblOrdenes[[#This Row],[backlog_habiles]]&gt;p_dias_backlog_min,tblOrdenes[[#This Row],[backlog_habiles]]&lt;=p_dias_backlog_max))</f>
        <v/>
      </c>
      <c r="AG209" s="4" t="n"/>
      <c r="AH2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09" s="18">
        <f>IF(tblOrdenes[[#This Row],[orden]]="","",_xlfn.XLOOKUP(tblOrdenes[[#This Row],[id_operacion]],tblEjecucion[id_operacion],tblEjecucion[precio],0))</f>
        <v/>
      </c>
      <c r="AL209" s="18">
        <f>IF(tblOrdenes[[#This Row],[orden]]="","",MAX(0,_xlfn.XLOOKUP(tblOrdenes[[#This Row],[id_operacion]],tblEjecucion[id_operacion],tblEjecucion[costo_plan_total],0)-tblOrdenes[[#This Row],[costo_servicio]]))</f>
        <v/>
      </c>
      <c r="AM209" s="18">
        <f>IF(tblOrdenes[[#This Row],[orden]]="","",tblOrdenes[[#This Row],[costo_servicio]]+tblOrdenes[[#This Row],[costo_materiales]])</f>
        <v/>
      </c>
      <c r="AN2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09" s="4" t="n"/>
      <c r="AP209" s="4" t="n"/>
      <c r="AQ209" s="4" t="n"/>
      <c r="AR209" s="5">
        <f>IF(tblOrdenes[[#This Row],[link_checklist]]="","",HYPERLINK(p_ruta_base_checklists&amp;tblOrdenes[[#This Row],[link_checklist]],"abrir"))</f>
        <v/>
      </c>
      <c r="AS209" s="4" t="n"/>
      <c r="AT209" s="5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22" t="n"/>
      <c r="K210" s="5" t="n"/>
      <c r="L210" s="18" t="n"/>
      <c r="M2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5">
        <f>IF(tblOrdenes[[#This Row],[fecha_inicio]]="","",YEAR(tblOrdenes[[#This Row],[fecha_inicio]]))</f>
        <v/>
      </c>
      <c r="Q210" s="5">
        <f>IF(tblOrdenes[[#This Row],[fecha_inicio]]="","",MONTH(tblOrdenes[[#This Row],[fecha_inicio]]))</f>
        <v/>
      </c>
      <c r="R210" s="5">
        <f>IF(tblOrdenes[[#This Row],[fecha_inicio]]="","",tblOrdenes[[#This Row],[anio]]&amp;"-"&amp;TEXT(tblOrdenes[[#This Row],[mes]],"00"))</f>
        <v/>
      </c>
      <c r="S210" s="5">
        <f>IF(tblOrdenes[[#This Row],[fecha_inicio]]="","",INDEX(lista_dias,WEEKDAY(tblOrdenes[[#This Row],[fecha_inicio]],2)))</f>
        <v/>
      </c>
      <c r="T2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0" s="5">
        <f>IF(tblOrdenes[[#This Row],[tipo_ot]]="","",_xlfn.XLOOKUP(tblOrdenes[[#This Row],[tipo_ot]],tblTiposOT[codigo],tblTiposOT[clasificacion],"sin_clasificar"))</f>
        <v/>
      </c>
      <c r="V2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0" s="5">
        <f>IF(tblOrdenes[[#This Row],[centro_costo]]="","",_xlfn.XLOOKUP(tblOrdenes[[#This Row],[centro_costo]],tblCECO[codigo],tblCECO[linea],"(sin catálogo)"))</f>
        <v/>
      </c>
      <c r="X210" s="5">
        <f>IF(tblOrdenes[[#This Row],[centro_costo]]="","",_xlfn.XLOOKUP(tblOrdenes[[#This Row],[centro_costo]],tblCECO[codigo],tblCECO[area],"(sin catálogo)"))</f>
        <v/>
      </c>
      <c r="Y2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0" s="5">
        <f>IF(tblOrdenes[[#This Row],[centro_costo]]="","",_xlfn.XLOOKUP(tblOrdenes[[#This Row],[centro_costo]],tblCECO[codigo],tblCECO[coordinador],"(sin catálogo)"))</f>
        <v/>
      </c>
      <c r="AA210" s="5">
        <f>IF(tblOrdenes[[#This Row],[puesto_trabajo]]="","",_xlfn.XLOOKUP(tblOrdenes[[#This Row],[puesto_trabajo]],tblPuestos[codigo],tblPuestos[especialidad],"(sin catálogo)"))</f>
        <v/>
      </c>
      <c r="AB210" s="5">
        <f>IF(tblOrdenes[[#This Row],[cod_actividad]]="","",_xlfn.XLOOKUP(tblOrdenes[[#This Row],[cod_actividad]],tblActividades[codigo],tblActividades[descripcion],"(sin catálogo)"))</f>
        <v/>
      </c>
      <c r="AC210" s="20">
        <f>IF(tblOrdenes[[#This Row],[fecha_inicio]]="","",TODAY()-tblOrdenes[[#This Row],[fecha_inicio]])</f>
        <v/>
      </c>
      <c r="AD2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0" s="5">
        <f>IF(tblOrdenes[[#This Row],[backlog_habiles]]="","",IF(tblOrdenes[[#This Row],[backlog_habiles]]&lt;0,"FUTURO",IF(tblOrdenes[[#This Row],[backlog_habiles]]&gt;p_dias_backlog_max,"BACKLOG","MES CORRIENTE")))</f>
        <v/>
      </c>
      <c r="AF210" s="5">
        <f>IF(tblOrdenes[[#This Row],[backlog_habiles]]="",FALSE,AND(tblOrdenes[[#This Row],[backlog_habiles]]&gt;p_dias_backlog_min,tblOrdenes[[#This Row],[backlog_habiles]]&lt;=p_dias_backlog_max))</f>
        <v/>
      </c>
      <c r="AG210" s="4" t="n"/>
      <c r="AH2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0" s="18">
        <f>IF(tblOrdenes[[#This Row],[orden]]="","",_xlfn.XLOOKUP(tblOrdenes[[#This Row],[id_operacion]],tblEjecucion[id_operacion],tblEjecucion[precio],0))</f>
        <v/>
      </c>
      <c r="AL210" s="18">
        <f>IF(tblOrdenes[[#This Row],[orden]]="","",MAX(0,_xlfn.XLOOKUP(tblOrdenes[[#This Row],[id_operacion]],tblEjecucion[id_operacion],tblEjecucion[costo_plan_total],0)-tblOrdenes[[#This Row],[costo_servicio]]))</f>
        <v/>
      </c>
      <c r="AM210" s="18">
        <f>IF(tblOrdenes[[#This Row],[orden]]="","",tblOrdenes[[#This Row],[costo_servicio]]+tblOrdenes[[#This Row],[costo_materiales]])</f>
        <v/>
      </c>
      <c r="AN2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0" s="4" t="n"/>
      <c r="AP210" s="4" t="n"/>
      <c r="AQ210" s="4" t="n"/>
      <c r="AR210" s="5">
        <f>IF(tblOrdenes[[#This Row],[link_checklist]]="","",HYPERLINK(p_ruta_base_checklists&amp;tblOrdenes[[#This Row],[link_checklist]],"abrir"))</f>
        <v/>
      </c>
      <c r="AS210" s="4" t="n"/>
      <c r="AT210" s="5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22" t="n"/>
      <c r="K211" s="5" t="n"/>
      <c r="L211" s="18" t="n"/>
      <c r="M2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5">
        <f>IF(tblOrdenes[[#This Row],[fecha_inicio]]="","",YEAR(tblOrdenes[[#This Row],[fecha_inicio]]))</f>
        <v/>
      </c>
      <c r="Q211" s="5">
        <f>IF(tblOrdenes[[#This Row],[fecha_inicio]]="","",MONTH(tblOrdenes[[#This Row],[fecha_inicio]]))</f>
        <v/>
      </c>
      <c r="R211" s="5">
        <f>IF(tblOrdenes[[#This Row],[fecha_inicio]]="","",tblOrdenes[[#This Row],[anio]]&amp;"-"&amp;TEXT(tblOrdenes[[#This Row],[mes]],"00"))</f>
        <v/>
      </c>
      <c r="S211" s="5">
        <f>IF(tblOrdenes[[#This Row],[fecha_inicio]]="","",INDEX(lista_dias,WEEKDAY(tblOrdenes[[#This Row],[fecha_inicio]],2)))</f>
        <v/>
      </c>
      <c r="T2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1" s="5">
        <f>IF(tblOrdenes[[#This Row],[tipo_ot]]="","",_xlfn.XLOOKUP(tblOrdenes[[#This Row],[tipo_ot]],tblTiposOT[codigo],tblTiposOT[clasificacion],"sin_clasificar"))</f>
        <v/>
      </c>
      <c r="V2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1" s="5">
        <f>IF(tblOrdenes[[#This Row],[centro_costo]]="","",_xlfn.XLOOKUP(tblOrdenes[[#This Row],[centro_costo]],tblCECO[codigo],tblCECO[linea],"(sin catálogo)"))</f>
        <v/>
      </c>
      <c r="X211" s="5">
        <f>IF(tblOrdenes[[#This Row],[centro_costo]]="","",_xlfn.XLOOKUP(tblOrdenes[[#This Row],[centro_costo]],tblCECO[codigo],tblCECO[area],"(sin catálogo)"))</f>
        <v/>
      </c>
      <c r="Y2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1" s="5">
        <f>IF(tblOrdenes[[#This Row],[centro_costo]]="","",_xlfn.XLOOKUP(tblOrdenes[[#This Row],[centro_costo]],tblCECO[codigo],tblCECO[coordinador],"(sin catálogo)"))</f>
        <v/>
      </c>
      <c r="AA211" s="5">
        <f>IF(tblOrdenes[[#This Row],[puesto_trabajo]]="","",_xlfn.XLOOKUP(tblOrdenes[[#This Row],[puesto_trabajo]],tblPuestos[codigo],tblPuestos[especialidad],"(sin catálogo)"))</f>
        <v/>
      </c>
      <c r="AB211" s="5">
        <f>IF(tblOrdenes[[#This Row],[cod_actividad]]="","",_xlfn.XLOOKUP(tblOrdenes[[#This Row],[cod_actividad]],tblActividades[codigo],tblActividades[descripcion],"(sin catálogo)"))</f>
        <v/>
      </c>
      <c r="AC211" s="20">
        <f>IF(tblOrdenes[[#This Row],[fecha_inicio]]="","",TODAY()-tblOrdenes[[#This Row],[fecha_inicio]])</f>
        <v/>
      </c>
      <c r="AD2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1" s="5">
        <f>IF(tblOrdenes[[#This Row],[backlog_habiles]]="","",IF(tblOrdenes[[#This Row],[backlog_habiles]]&lt;0,"FUTURO",IF(tblOrdenes[[#This Row],[backlog_habiles]]&gt;p_dias_backlog_max,"BACKLOG","MES CORRIENTE")))</f>
        <v/>
      </c>
      <c r="AF211" s="5">
        <f>IF(tblOrdenes[[#This Row],[backlog_habiles]]="",FALSE,AND(tblOrdenes[[#This Row],[backlog_habiles]]&gt;p_dias_backlog_min,tblOrdenes[[#This Row],[backlog_habiles]]&lt;=p_dias_backlog_max))</f>
        <v/>
      </c>
      <c r="AG211" s="4" t="n"/>
      <c r="AH2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1" s="18">
        <f>IF(tblOrdenes[[#This Row],[orden]]="","",_xlfn.XLOOKUP(tblOrdenes[[#This Row],[id_operacion]],tblEjecucion[id_operacion],tblEjecucion[precio],0))</f>
        <v/>
      </c>
      <c r="AL211" s="18">
        <f>IF(tblOrdenes[[#This Row],[orden]]="","",MAX(0,_xlfn.XLOOKUP(tblOrdenes[[#This Row],[id_operacion]],tblEjecucion[id_operacion],tblEjecucion[costo_plan_total],0)-tblOrdenes[[#This Row],[costo_servicio]]))</f>
        <v/>
      </c>
      <c r="AM211" s="18">
        <f>IF(tblOrdenes[[#This Row],[orden]]="","",tblOrdenes[[#This Row],[costo_servicio]]+tblOrdenes[[#This Row],[costo_materiales]])</f>
        <v/>
      </c>
      <c r="AN2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1" s="4" t="n"/>
      <c r="AP211" s="4" t="n"/>
      <c r="AQ211" s="4" t="n"/>
      <c r="AR211" s="5">
        <f>IF(tblOrdenes[[#This Row],[link_checklist]]="","",HYPERLINK(p_ruta_base_checklists&amp;tblOrdenes[[#This Row],[link_checklist]],"abrir"))</f>
        <v/>
      </c>
      <c r="AS211" s="4" t="n"/>
      <c r="AT211" s="5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22" t="n"/>
      <c r="K212" s="5" t="n"/>
      <c r="L212" s="18" t="n"/>
      <c r="M2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5">
        <f>IF(tblOrdenes[[#This Row],[fecha_inicio]]="","",YEAR(tblOrdenes[[#This Row],[fecha_inicio]]))</f>
        <v/>
      </c>
      <c r="Q212" s="5">
        <f>IF(tblOrdenes[[#This Row],[fecha_inicio]]="","",MONTH(tblOrdenes[[#This Row],[fecha_inicio]]))</f>
        <v/>
      </c>
      <c r="R212" s="5">
        <f>IF(tblOrdenes[[#This Row],[fecha_inicio]]="","",tblOrdenes[[#This Row],[anio]]&amp;"-"&amp;TEXT(tblOrdenes[[#This Row],[mes]],"00"))</f>
        <v/>
      </c>
      <c r="S212" s="5">
        <f>IF(tblOrdenes[[#This Row],[fecha_inicio]]="","",INDEX(lista_dias,WEEKDAY(tblOrdenes[[#This Row],[fecha_inicio]],2)))</f>
        <v/>
      </c>
      <c r="T2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2" s="5">
        <f>IF(tblOrdenes[[#This Row],[tipo_ot]]="","",_xlfn.XLOOKUP(tblOrdenes[[#This Row],[tipo_ot]],tblTiposOT[codigo],tblTiposOT[clasificacion],"sin_clasificar"))</f>
        <v/>
      </c>
      <c r="V2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2" s="5">
        <f>IF(tblOrdenes[[#This Row],[centro_costo]]="","",_xlfn.XLOOKUP(tblOrdenes[[#This Row],[centro_costo]],tblCECO[codigo],tblCECO[linea],"(sin catálogo)"))</f>
        <v/>
      </c>
      <c r="X212" s="5">
        <f>IF(tblOrdenes[[#This Row],[centro_costo]]="","",_xlfn.XLOOKUP(tblOrdenes[[#This Row],[centro_costo]],tblCECO[codigo],tblCECO[area],"(sin catálogo)"))</f>
        <v/>
      </c>
      <c r="Y2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2" s="5">
        <f>IF(tblOrdenes[[#This Row],[centro_costo]]="","",_xlfn.XLOOKUP(tblOrdenes[[#This Row],[centro_costo]],tblCECO[codigo],tblCECO[coordinador],"(sin catálogo)"))</f>
        <v/>
      </c>
      <c r="AA212" s="5">
        <f>IF(tblOrdenes[[#This Row],[puesto_trabajo]]="","",_xlfn.XLOOKUP(tblOrdenes[[#This Row],[puesto_trabajo]],tblPuestos[codigo],tblPuestos[especialidad],"(sin catálogo)"))</f>
        <v/>
      </c>
      <c r="AB212" s="5">
        <f>IF(tblOrdenes[[#This Row],[cod_actividad]]="","",_xlfn.XLOOKUP(tblOrdenes[[#This Row],[cod_actividad]],tblActividades[codigo],tblActividades[descripcion],"(sin catálogo)"))</f>
        <v/>
      </c>
      <c r="AC212" s="20">
        <f>IF(tblOrdenes[[#This Row],[fecha_inicio]]="","",TODAY()-tblOrdenes[[#This Row],[fecha_inicio]])</f>
        <v/>
      </c>
      <c r="AD2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2" s="5">
        <f>IF(tblOrdenes[[#This Row],[backlog_habiles]]="","",IF(tblOrdenes[[#This Row],[backlog_habiles]]&lt;0,"FUTURO",IF(tblOrdenes[[#This Row],[backlog_habiles]]&gt;p_dias_backlog_max,"BACKLOG","MES CORRIENTE")))</f>
        <v/>
      </c>
      <c r="AF212" s="5">
        <f>IF(tblOrdenes[[#This Row],[backlog_habiles]]="",FALSE,AND(tblOrdenes[[#This Row],[backlog_habiles]]&gt;p_dias_backlog_min,tblOrdenes[[#This Row],[backlog_habiles]]&lt;=p_dias_backlog_max))</f>
        <v/>
      </c>
      <c r="AG212" s="4" t="n"/>
      <c r="AH2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2" s="18">
        <f>IF(tblOrdenes[[#This Row],[orden]]="","",_xlfn.XLOOKUP(tblOrdenes[[#This Row],[id_operacion]],tblEjecucion[id_operacion],tblEjecucion[precio],0))</f>
        <v/>
      </c>
      <c r="AL212" s="18">
        <f>IF(tblOrdenes[[#This Row],[orden]]="","",MAX(0,_xlfn.XLOOKUP(tblOrdenes[[#This Row],[id_operacion]],tblEjecucion[id_operacion],tblEjecucion[costo_plan_total],0)-tblOrdenes[[#This Row],[costo_servicio]]))</f>
        <v/>
      </c>
      <c r="AM212" s="18">
        <f>IF(tblOrdenes[[#This Row],[orden]]="","",tblOrdenes[[#This Row],[costo_servicio]]+tblOrdenes[[#This Row],[costo_materiales]])</f>
        <v/>
      </c>
      <c r="AN2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2" s="4" t="n"/>
      <c r="AP212" s="4" t="n"/>
      <c r="AQ212" s="4" t="n"/>
      <c r="AR212" s="5">
        <f>IF(tblOrdenes[[#This Row],[link_checklist]]="","",HYPERLINK(p_ruta_base_checklists&amp;tblOrdenes[[#This Row],[link_checklist]],"abrir"))</f>
        <v/>
      </c>
      <c r="AS212" s="4" t="n"/>
      <c r="AT212" s="5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22" t="n"/>
      <c r="K213" s="5" t="n"/>
      <c r="L213" s="18" t="n"/>
      <c r="M2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5">
        <f>IF(tblOrdenes[[#This Row],[fecha_inicio]]="","",YEAR(tblOrdenes[[#This Row],[fecha_inicio]]))</f>
        <v/>
      </c>
      <c r="Q213" s="5">
        <f>IF(tblOrdenes[[#This Row],[fecha_inicio]]="","",MONTH(tblOrdenes[[#This Row],[fecha_inicio]]))</f>
        <v/>
      </c>
      <c r="R213" s="5">
        <f>IF(tblOrdenes[[#This Row],[fecha_inicio]]="","",tblOrdenes[[#This Row],[anio]]&amp;"-"&amp;TEXT(tblOrdenes[[#This Row],[mes]],"00"))</f>
        <v/>
      </c>
      <c r="S213" s="5">
        <f>IF(tblOrdenes[[#This Row],[fecha_inicio]]="","",INDEX(lista_dias,WEEKDAY(tblOrdenes[[#This Row],[fecha_inicio]],2)))</f>
        <v/>
      </c>
      <c r="T2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3" s="5">
        <f>IF(tblOrdenes[[#This Row],[tipo_ot]]="","",_xlfn.XLOOKUP(tblOrdenes[[#This Row],[tipo_ot]],tblTiposOT[codigo],tblTiposOT[clasificacion],"sin_clasificar"))</f>
        <v/>
      </c>
      <c r="V2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3" s="5">
        <f>IF(tblOrdenes[[#This Row],[centro_costo]]="","",_xlfn.XLOOKUP(tblOrdenes[[#This Row],[centro_costo]],tblCECO[codigo],tblCECO[linea],"(sin catálogo)"))</f>
        <v/>
      </c>
      <c r="X213" s="5">
        <f>IF(tblOrdenes[[#This Row],[centro_costo]]="","",_xlfn.XLOOKUP(tblOrdenes[[#This Row],[centro_costo]],tblCECO[codigo],tblCECO[area],"(sin catálogo)"))</f>
        <v/>
      </c>
      <c r="Y2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3" s="5">
        <f>IF(tblOrdenes[[#This Row],[centro_costo]]="","",_xlfn.XLOOKUP(tblOrdenes[[#This Row],[centro_costo]],tblCECO[codigo],tblCECO[coordinador],"(sin catálogo)"))</f>
        <v/>
      </c>
      <c r="AA213" s="5">
        <f>IF(tblOrdenes[[#This Row],[puesto_trabajo]]="","",_xlfn.XLOOKUP(tblOrdenes[[#This Row],[puesto_trabajo]],tblPuestos[codigo],tblPuestos[especialidad],"(sin catálogo)"))</f>
        <v/>
      </c>
      <c r="AB213" s="5">
        <f>IF(tblOrdenes[[#This Row],[cod_actividad]]="","",_xlfn.XLOOKUP(tblOrdenes[[#This Row],[cod_actividad]],tblActividades[codigo],tblActividades[descripcion],"(sin catálogo)"))</f>
        <v/>
      </c>
      <c r="AC213" s="20">
        <f>IF(tblOrdenes[[#This Row],[fecha_inicio]]="","",TODAY()-tblOrdenes[[#This Row],[fecha_inicio]])</f>
        <v/>
      </c>
      <c r="AD2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3" s="5">
        <f>IF(tblOrdenes[[#This Row],[backlog_habiles]]="","",IF(tblOrdenes[[#This Row],[backlog_habiles]]&lt;0,"FUTURO",IF(tblOrdenes[[#This Row],[backlog_habiles]]&gt;p_dias_backlog_max,"BACKLOG","MES CORRIENTE")))</f>
        <v/>
      </c>
      <c r="AF213" s="5">
        <f>IF(tblOrdenes[[#This Row],[backlog_habiles]]="",FALSE,AND(tblOrdenes[[#This Row],[backlog_habiles]]&gt;p_dias_backlog_min,tblOrdenes[[#This Row],[backlog_habiles]]&lt;=p_dias_backlog_max))</f>
        <v/>
      </c>
      <c r="AG213" s="4" t="n"/>
      <c r="AH2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3" s="18">
        <f>IF(tblOrdenes[[#This Row],[orden]]="","",_xlfn.XLOOKUP(tblOrdenes[[#This Row],[id_operacion]],tblEjecucion[id_operacion],tblEjecucion[precio],0))</f>
        <v/>
      </c>
      <c r="AL213" s="18">
        <f>IF(tblOrdenes[[#This Row],[orden]]="","",MAX(0,_xlfn.XLOOKUP(tblOrdenes[[#This Row],[id_operacion]],tblEjecucion[id_operacion],tblEjecucion[costo_plan_total],0)-tblOrdenes[[#This Row],[costo_servicio]]))</f>
        <v/>
      </c>
      <c r="AM213" s="18">
        <f>IF(tblOrdenes[[#This Row],[orden]]="","",tblOrdenes[[#This Row],[costo_servicio]]+tblOrdenes[[#This Row],[costo_materiales]])</f>
        <v/>
      </c>
      <c r="AN2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3" s="4" t="n"/>
      <c r="AP213" s="4" t="n"/>
      <c r="AQ213" s="4" t="n"/>
      <c r="AR213" s="5">
        <f>IF(tblOrdenes[[#This Row],[link_checklist]]="","",HYPERLINK(p_ruta_base_checklists&amp;tblOrdenes[[#This Row],[link_checklist]],"abrir"))</f>
        <v/>
      </c>
      <c r="AS213" s="4" t="n"/>
      <c r="AT213" s="5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22" t="n"/>
      <c r="K214" s="5" t="n"/>
      <c r="L214" s="18" t="n"/>
      <c r="M2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5">
        <f>IF(tblOrdenes[[#This Row],[fecha_inicio]]="","",YEAR(tblOrdenes[[#This Row],[fecha_inicio]]))</f>
        <v/>
      </c>
      <c r="Q214" s="5">
        <f>IF(tblOrdenes[[#This Row],[fecha_inicio]]="","",MONTH(tblOrdenes[[#This Row],[fecha_inicio]]))</f>
        <v/>
      </c>
      <c r="R214" s="5">
        <f>IF(tblOrdenes[[#This Row],[fecha_inicio]]="","",tblOrdenes[[#This Row],[anio]]&amp;"-"&amp;TEXT(tblOrdenes[[#This Row],[mes]],"00"))</f>
        <v/>
      </c>
      <c r="S214" s="5">
        <f>IF(tblOrdenes[[#This Row],[fecha_inicio]]="","",INDEX(lista_dias,WEEKDAY(tblOrdenes[[#This Row],[fecha_inicio]],2)))</f>
        <v/>
      </c>
      <c r="T2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4" s="5">
        <f>IF(tblOrdenes[[#This Row],[tipo_ot]]="","",_xlfn.XLOOKUP(tblOrdenes[[#This Row],[tipo_ot]],tblTiposOT[codigo],tblTiposOT[clasificacion],"sin_clasificar"))</f>
        <v/>
      </c>
      <c r="V2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4" s="5">
        <f>IF(tblOrdenes[[#This Row],[centro_costo]]="","",_xlfn.XLOOKUP(tblOrdenes[[#This Row],[centro_costo]],tblCECO[codigo],tblCECO[linea],"(sin catálogo)"))</f>
        <v/>
      </c>
      <c r="X214" s="5">
        <f>IF(tblOrdenes[[#This Row],[centro_costo]]="","",_xlfn.XLOOKUP(tblOrdenes[[#This Row],[centro_costo]],tblCECO[codigo],tblCECO[area],"(sin catálogo)"))</f>
        <v/>
      </c>
      <c r="Y2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4" s="5">
        <f>IF(tblOrdenes[[#This Row],[centro_costo]]="","",_xlfn.XLOOKUP(tblOrdenes[[#This Row],[centro_costo]],tblCECO[codigo],tblCECO[coordinador],"(sin catálogo)"))</f>
        <v/>
      </c>
      <c r="AA214" s="5">
        <f>IF(tblOrdenes[[#This Row],[puesto_trabajo]]="","",_xlfn.XLOOKUP(tblOrdenes[[#This Row],[puesto_trabajo]],tblPuestos[codigo],tblPuestos[especialidad],"(sin catálogo)"))</f>
        <v/>
      </c>
      <c r="AB214" s="5">
        <f>IF(tblOrdenes[[#This Row],[cod_actividad]]="","",_xlfn.XLOOKUP(tblOrdenes[[#This Row],[cod_actividad]],tblActividades[codigo],tblActividades[descripcion],"(sin catálogo)"))</f>
        <v/>
      </c>
      <c r="AC214" s="20">
        <f>IF(tblOrdenes[[#This Row],[fecha_inicio]]="","",TODAY()-tblOrdenes[[#This Row],[fecha_inicio]])</f>
        <v/>
      </c>
      <c r="AD2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4" s="5">
        <f>IF(tblOrdenes[[#This Row],[backlog_habiles]]="","",IF(tblOrdenes[[#This Row],[backlog_habiles]]&lt;0,"FUTURO",IF(tblOrdenes[[#This Row],[backlog_habiles]]&gt;p_dias_backlog_max,"BACKLOG","MES CORRIENTE")))</f>
        <v/>
      </c>
      <c r="AF214" s="5">
        <f>IF(tblOrdenes[[#This Row],[backlog_habiles]]="",FALSE,AND(tblOrdenes[[#This Row],[backlog_habiles]]&gt;p_dias_backlog_min,tblOrdenes[[#This Row],[backlog_habiles]]&lt;=p_dias_backlog_max))</f>
        <v/>
      </c>
      <c r="AG214" s="4" t="n"/>
      <c r="AH2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4" s="18">
        <f>IF(tblOrdenes[[#This Row],[orden]]="","",_xlfn.XLOOKUP(tblOrdenes[[#This Row],[id_operacion]],tblEjecucion[id_operacion],tblEjecucion[precio],0))</f>
        <v/>
      </c>
      <c r="AL214" s="18">
        <f>IF(tblOrdenes[[#This Row],[orden]]="","",MAX(0,_xlfn.XLOOKUP(tblOrdenes[[#This Row],[id_operacion]],tblEjecucion[id_operacion],tblEjecucion[costo_plan_total],0)-tblOrdenes[[#This Row],[costo_servicio]]))</f>
        <v/>
      </c>
      <c r="AM214" s="18">
        <f>IF(tblOrdenes[[#This Row],[orden]]="","",tblOrdenes[[#This Row],[costo_servicio]]+tblOrdenes[[#This Row],[costo_materiales]])</f>
        <v/>
      </c>
      <c r="AN2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4" s="4" t="n"/>
      <c r="AP214" s="4" t="n"/>
      <c r="AQ214" s="4" t="n"/>
      <c r="AR214" s="5">
        <f>IF(tblOrdenes[[#This Row],[link_checklist]]="","",HYPERLINK(p_ruta_base_checklists&amp;tblOrdenes[[#This Row],[link_checklist]],"abrir"))</f>
        <v/>
      </c>
      <c r="AS214" s="4" t="n"/>
      <c r="AT214" s="5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22" t="n"/>
      <c r="K215" s="5" t="n"/>
      <c r="L215" s="18" t="n"/>
      <c r="M2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5">
        <f>IF(tblOrdenes[[#This Row],[fecha_inicio]]="","",YEAR(tblOrdenes[[#This Row],[fecha_inicio]]))</f>
        <v/>
      </c>
      <c r="Q215" s="5">
        <f>IF(tblOrdenes[[#This Row],[fecha_inicio]]="","",MONTH(tblOrdenes[[#This Row],[fecha_inicio]]))</f>
        <v/>
      </c>
      <c r="R215" s="5">
        <f>IF(tblOrdenes[[#This Row],[fecha_inicio]]="","",tblOrdenes[[#This Row],[anio]]&amp;"-"&amp;TEXT(tblOrdenes[[#This Row],[mes]],"00"))</f>
        <v/>
      </c>
      <c r="S215" s="5">
        <f>IF(tblOrdenes[[#This Row],[fecha_inicio]]="","",INDEX(lista_dias,WEEKDAY(tblOrdenes[[#This Row],[fecha_inicio]],2)))</f>
        <v/>
      </c>
      <c r="T2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5" s="5">
        <f>IF(tblOrdenes[[#This Row],[tipo_ot]]="","",_xlfn.XLOOKUP(tblOrdenes[[#This Row],[tipo_ot]],tblTiposOT[codigo],tblTiposOT[clasificacion],"sin_clasificar"))</f>
        <v/>
      </c>
      <c r="V2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5" s="5">
        <f>IF(tblOrdenes[[#This Row],[centro_costo]]="","",_xlfn.XLOOKUP(tblOrdenes[[#This Row],[centro_costo]],tblCECO[codigo],tblCECO[linea],"(sin catálogo)"))</f>
        <v/>
      </c>
      <c r="X215" s="5">
        <f>IF(tblOrdenes[[#This Row],[centro_costo]]="","",_xlfn.XLOOKUP(tblOrdenes[[#This Row],[centro_costo]],tblCECO[codigo],tblCECO[area],"(sin catálogo)"))</f>
        <v/>
      </c>
      <c r="Y2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5" s="5">
        <f>IF(tblOrdenes[[#This Row],[centro_costo]]="","",_xlfn.XLOOKUP(tblOrdenes[[#This Row],[centro_costo]],tblCECO[codigo],tblCECO[coordinador],"(sin catálogo)"))</f>
        <v/>
      </c>
      <c r="AA215" s="5">
        <f>IF(tblOrdenes[[#This Row],[puesto_trabajo]]="","",_xlfn.XLOOKUP(tblOrdenes[[#This Row],[puesto_trabajo]],tblPuestos[codigo],tblPuestos[especialidad],"(sin catálogo)"))</f>
        <v/>
      </c>
      <c r="AB215" s="5">
        <f>IF(tblOrdenes[[#This Row],[cod_actividad]]="","",_xlfn.XLOOKUP(tblOrdenes[[#This Row],[cod_actividad]],tblActividades[codigo],tblActividades[descripcion],"(sin catálogo)"))</f>
        <v/>
      </c>
      <c r="AC215" s="20">
        <f>IF(tblOrdenes[[#This Row],[fecha_inicio]]="","",TODAY()-tblOrdenes[[#This Row],[fecha_inicio]])</f>
        <v/>
      </c>
      <c r="AD2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5" s="5">
        <f>IF(tblOrdenes[[#This Row],[backlog_habiles]]="","",IF(tblOrdenes[[#This Row],[backlog_habiles]]&lt;0,"FUTURO",IF(tblOrdenes[[#This Row],[backlog_habiles]]&gt;p_dias_backlog_max,"BACKLOG","MES CORRIENTE")))</f>
        <v/>
      </c>
      <c r="AF215" s="5">
        <f>IF(tblOrdenes[[#This Row],[backlog_habiles]]="",FALSE,AND(tblOrdenes[[#This Row],[backlog_habiles]]&gt;p_dias_backlog_min,tblOrdenes[[#This Row],[backlog_habiles]]&lt;=p_dias_backlog_max))</f>
        <v/>
      </c>
      <c r="AG215" s="4" t="n"/>
      <c r="AH2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5" s="18">
        <f>IF(tblOrdenes[[#This Row],[orden]]="","",_xlfn.XLOOKUP(tblOrdenes[[#This Row],[id_operacion]],tblEjecucion[id_operacion],tblEjecucion[precio],0))</f>
        <v/>
      </c>
      <c r="AL215" s="18">
        <f>IF(tblOrdenes[[#This Row],[orden]]="","",MAX(0,_xlfn.XLOOKUP(tblOrdenes[[#This Row],[id_operacion]],tblEjecucion[id_operacion],tblEjecucion[costo_plan_total],0)-tblOrdenes[[#This Row],[costo_servicio]]))</f>
        <v/>
      </c>
      <c r="AM215" s="18">
        <f>IF(tblOrdenes[[#This Row],[orden]]="","",tblOrdenes[[#This Row],[costo_servicio]]+tblOrdenes[[#This Row],[costo_materiales]])</f>
        <v/>
      </c>
      <c r="AN2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5" s="4" t="n"/>
      <c r="AP215" s="4" t="n"/>
      <c r="AQ215" s="4" t="n"/>
      <c r="AR215" s="5">
        <f>IF(tblOrdenes[[#This Row],[link_checklist]]="","",HYPERLINK(p_ruta_base_checklists&amp;tblOrdenes[[#This Row],[link_checklist]],"abrir"))</f>
        <v/>
      </c>
      <c r="AS215" s="4" t="n"/>
      <c r="AT215" s="5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22" t="n"/>
      <c r="K216" s="5" t="n"/>
      <c r="L216" s="18" t="n"/>
      <c r="M2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5">
        <f>IF(tblOrdenes[[#This Row],[fecha_inicio]]="","",YEAR(tblOrdenes[[#This Row],[fecha_inicio]]))</f>
        <v/>
      </c>
      <c r="Q216" s="5">
        <f>IF(tblOrdenes[[#This Row],[fecha_inicio]]="","",MONTH(tblOrdenes[[#This Row],[fecha_inicio]]))</f>
        <v/>
      </c>
      <c r="R216" s="5">
        <f>IF(tblOrdenes[[#This Row],[fecha_inicio]]="","",tblOrdenes[[#This Row],[anio]]&amp;"-"&amp;TEXT(tblOrdenes[[#This Row],[mes]],"00"))</f>
        <v/>
      </c>
      <c r="S216" s="5">
        <f>IF(tblOrdenes[[#This Row],[fecha_inicio]]="","",INDEX(lista_dias,WEEKDAY(tblOrdenes[[#This Row],[fecha_inicio]],2)))</f>
        <v/>
      </c>
      <c r="T2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6" s="5">
        <f>IF(tblOrdenes[[#This Row],[tipo_ot]]="","",_xlfn.XLOOKUP(tblOrdenes[[#This Row],[tipo_ot]],tblTiposOT[codigo],tblTiposOT[clasificacion],"sin_clasificar"))</f>
        <v/>
      </c>
      <c r="V2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6" s="5">
        <f>IF(tblOrdenes[[#This Row],[centro_costo]]="","",_xlfn.XLOOKUP(tblOrdenes[[#This Row],[centro_costo]],tblCECO[codigo],tblCECO[linea],"(sin catálogo)"))</f>
        <v/>
      </c>
      <c r="X216" s="5">
        <f>IF(tblOrdenes[[#This Row],[centro_costo]]="","",_xlfn.XLOOKUP(tblOrdenes[[#This Row],[centro_costo]],tblCECO[codigo],tblCECO[area],"(sin catálogo)"))</f>
        <v/>
      </c>
      <c r="Y2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6" s="5">
        <f>IF(tblOrdenes[[#This Row],[centro_costo]]="","",_xlfn.XLOOKUP(tblOrdenes[[#This Row],[centro_costo]],tblCECO[codigo],tblCECO[coordinador],"(sin catálogo)"))</f>
        <v/>
      </c>
      <c r="AA216" s="5">
        <f>IF(tblOrdenes[[#This Row],[puesto_trabajo]]="","",_xlfn.XLOOKUP(tblOrdenes[[#This Row],[puesto_trabajo]],tblPuestos[codigo],tblPuestos[especialidad],"(sin catálogo)"))</f>
        <v/>
      </c>
      <c r="AB216" s="5">
        <f>IF(tblOrdenes[[#This Row],[cod_actividad]]="","",_xlfn.XLOOKUP(tblOrdenes[[#This Row],[cod_actividad]],tblActividades[codigo],tblActividades[descripcion],"(sin catálogo)"))</f>
        <v/>
      </c>
      <c r="AC216" s="20">
        <f>IF(tblOrdenes[[#This Row],[fecha_inicio]]="","",TODAY()-tblOrdenes[[#This Row],[fecha_inicio]])</f>
        <v/>
      </c>
      <c r="AD2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6" s="5">
        <f>IF(tblOrdenes[[#This Row],[backlog_habiles]]="","",IF(tblOrdenes[[#This Row],[backlog_habiles]]&lt;0,"FUTURO",IF(tblOrdenes[[#This Row],[backlog_habiles]]&gt;p_dias_backlog_max,"BACKLOG","MES CORRIENTE")))</f>
        <v/>
      </c>
      <c r="AF216" s="5">
        <f>IF(tblOrdenes[[#This Row],[backlog_habiles]]="",FALSE,AND(tblOrdenes[[#This Row],[backlog_habiles]]&gt;p_dias_backlog_min,tblOrdenes[[#This Row],[backlog_habiles]]&lt;=p_dias_backlog_max))</f>
        <v/>
      </c>
      <c r="AG216" s="4" t="n"/>
      <c r="AH2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6" s="18">
        <f>IF(tblOrdenes[[#This Row],[orden]]="","",_xlfn.XLOOKUP(tblOrdenes[[#This Row],[id_operacion]],tblEjecucion[id_operacion],tblEjecucion[precio],0))</f>
        <v/>
      </c>
      <c r="AL216" s="18">
        <f>IF(tblOrdenes[[#This Row],[orden]]="","",MAX(0,_xlfn.XLOOKUP(tblOrdenes[[#This Row],[id_operacion]],tblEjecucion[id_operacion],tblEjecucion[costo_plan_total],0)-tblOrdenes[[#This Row],[costo_servicio]]))</f>
        <v/>
      </c>
      <c r="AM216" s="18">
        <f>IF(tblOrdenes[[#This Row],[orden]]="","",tblOrdenes[[#This Row],[costo_servicio]]+tblOrdenes[[#This Row],[costo_materiales]])</f>
        <v/>
      </c>
      <c r="AN2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6" s="4" t="n"/>
      <c r="AP216" s="4" t="n"/>
      <c r="AQ216" s="4" t="n"/>
      <c r="AR216" s="5">
        <f>IF(tblOrdenes[[#This Row],[link_checklist]]="","",HYPERLINK(p_ruta_base_checklists&amp;tblOrdenes[[#This Row],[link_checklist]],"abrir"))</f>
        <v/>
      </c>
      <c r="AS216" s="4" t="n"/>
      <c r="AT216" s="5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22" t="n"/>
      <c r="K217" s="5" t="n"/>
      <c r="L217" s="18" t="n"/>
      <c r="M2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5">
        <f>IF(tblOrdenes[[#This Row],[fecha_inicio]]="","",YEAR(tblOrdenes[[#This Row],[fecha_inicio]]))</f>
        <v/>
      </c>
      <c r="Q217" s="5">
        <f>IF(tblOrdenes[[#This Row],[fecha_inicio]]="","",MONTH(tblOrdenes[[#This Row],[fecha_inicio]]))</f>
        <v/>
      </c>
      <c r="R217" s="5">
        <f>IF(tblOrdenes[[#This Row],[fecha_inicio]]="","",tblOrdenes[[#This Row],[anio]]&amp;"-"&amp;TEXT(tblOrdenes[[#This Row],[mes]],"00"))</f>
        <v/>
      </c>
      <c r="S217" s="5">
        <f>IF(tblOrdenes[[#This Row],[fecha_inicio]]="","",INDEX(lista_dias,WEEKDAY(tblOrdenes[[#This Row],[fecha_inicio]],2)))</f>
        <v/>
      </c>
      <c r="T2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7" s="5">
        <f>IF(tblOrdenes[[#This Row],[tipo_ot]]="","",_xlfn.XLOOKUP(tblOrdenes[[#This Row],[tipo_ot]],tblTiposOT[codigo],tblTiposOT[clasificacion],"sin_clasificar"))</f>
        <v/>
      </c>
      <c r="V2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7" s="5">
        <f>IF(tblOrdenes[[#This Row],[centro_costo]]="","",_xlfn.XLOOKUP(tblOrdenes[[#This Row],[centro_costo]],tblCECO[codigo],tblCECO[linea],"(sin catálogo)"))</f>
        <v/>
      </c>
      <c r="X217" s="5">
        <f>IF(tblOrdenes[[#This Row],[centro_costo]]="","",_xlfn.XLOOKUP(tblOrdenes[[#This Row],[centro_costo]],tblCECO[codigo],tblCECO[area],"(sin catálogo)"))</f>
        <v/>
      </c>
      <c r="Y2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7" s="5">
        <f>IF(tblOrdenes[[#This Row],[centro_costo]]="","",_xlfn.XLOOKUP(tblOrdenes[[#This Row],[centro_costo]],tblCECO[codigo],tblCECO[coordinador],"(sin catálogo)"))</f>
        <v/>
      </c>
      <c r="AA217" s="5">
        <f>IF(tblOrdenes[[#This Row],[puesto_trabajo]]="","",_xlfn.XLOOKUP(tblOrdenes[[#This Row],[puesto_trabajo]],tblPuestos[codigo],tblPuestos[especialidad],"(sin catálogo)"))</f>
        <v/>
      </c>
      <c r="AB217" s="5">
        <f>IF(tblOrdenes[[#This Row],[cod_actividad]]="","",_xlfn.XLOOKUP(tblOrdenes[[#This Row],[cod_actividad]],tblActividades[codigo],tblActividades[descripcion],"(sin catálogo)"))</f>
        <v/>
      </c>
      <c r="AC217" s="20">
        <f>IF(tblOrdenes[[#This Row],[fecha_inicio]]="","",TODAY()-tblOrdenes[[#This Row],[fecha_inicio]])</f>
        <v/>
      </c>
      <c r="AD2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7" s="5">
        <f>IF(tblOrdenes[[#This Row],[backlog_habiles]]="","",IF(tblOrdenes[[#This Row],[backlog_habiles]]&lt;0,"FUTURO",IF(tblOrdenes[[#This Row],[backlog_habiles]]&gt;p_dias_backlog_max,"BACKLOG","MES CORRIENTE")))</f>
        <v/>
      </c>
      <c r="AF217" s="5">
        <f>IF(tblOrdenes[[#This Row],[backlog_habiles]]="",FALSE,AND(tblOrdenes[[#This Row],[backlog_habiles]]&gt;p_dias_backlog_min,tblOrdenes[[#This Row],[backlog_habiles]]&lt;=p_dias_backlog_max))</f>
        <v/>
      </c>
      <c r="AG217" s="4" t="n"/>
      <c r="AH2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7" s="18">
        <f>IF(tblOrdenes[[#This Row],[orden]]="","",_xlfn.XLOOKUP(tblOrdenes[[#This Row],[id_operacion]],tblEjecucion[id_operacion],tblEjecucion[precio],0))</f>
        <v/>
      </c>
      <c r="AL217" s="18">
        <f>IF(tblOrdenes[[#This Row],[orden]]="","",MAX(0,_xlfn.XLOOKUP(tblOrdenes[[#This Row],[id_operacion]],tblEjecucion[id_operacion],tblEjecucion[costo_plan_total],0)-tblOrdenes[[#This Row],[costo_servicio]]))</f>
        <v/>
      </c>
      <c r="AM217" s="18">
        <f>IF(tblOrdenes[[#This Row],[orden]]="","",tblOrdenes[[#This Row],[costo_servicio]]+tblOrdenes[[#This Row],[costo_materiales]])</f>
        <v/>
      </c>
      <c r="AN2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7" s="4" t="n"/>
      <c r="AP217" s="4" t="n"/>
      <c r="AQ217" s="4" t="n"/>
      <c r="AR217" s="5">
        <f>IF(tblOrdenes[[#This Row],[link_checklist]]="","",HYPERLINK(p_ruta_base_checklists&amp;tblOrdenes[[#This Row],[link_checklist]],"abrir"))</f>
        <v/>
      </c>
      <c r="AS217" s="4" t="n"/>
      <c r="AT217" s="5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22" t="n"/>
      <c r="K218" s="5" t="n"/>
      <c r="L218" s="18" t="n"/>
      <c r="M2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5">
        <f>IF(tblOrdenes[[#This Row],[fecha_inicio]]="","",YEAR(tblOrdenes[[#This Row],[fecha_inicio]]))</f>
        <v/>
      </c>
      <c r="Q218" s="5">
        <f>IF(tblOrdenes[[#This Row],[fecha_inicio]]="","",MONTH(tblOrdenes[[#This Row],[fecha_inicio]]))</f>
        <v/>
      </c>
      <c r="R218" s="5">
        <f>IF(tblOrdenes[[#This Row],[fecha_inicio]]="","",tblOrdenes[[#This Row],[anio]]&amp;"-"&amp;TEXT(tblOrdenes[[#This Row],[mes]],"00"))</f>
        <v/>
      </c>
      <c r="S218" s="5">
        <f>IF(tblOrdenes[[#This Row],[fecha_inicio]]="","",INDEX(lista_dias,WEEKDAY(tblOrdenes[[#This Row],[fecha_inicio]],2)))</f>
        <v/>
      </c>
      <c r="T2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8" s="5">
        <f>IF(tblOrdenes[[#This Row],[tipo_ot]]="","",_xlfn.XLOOKUP(tblOrdenes[[#This Row],[tipo_ot]],tblTiposOT[codigo],tblTiposOT[clasificacion],"sin_clasificar"))</f>
        <v/>
      </c>
      <c r="V2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8" s="5">
        <f>IF(tblOrdenes[[#This Row],[centro_costo]]="","",_xlfn.XLOOKUP(tblOrdenes[[#This Row],[centro_costo]],tblCECO[codigo],tblCECO[linea],"(sin catálogo)"))</f>
        <v/>
      </c>
      <c r="X218" s="5">
        <f>IF(tblOrdenes[[#This Row],[centro_costo]]="","",_xlfn.XLOOKUP(tblOrdenes[[#This Row],[centro_costo]],tblCECO[codigo],tblCECO[area],"(sin catálogo)"))</f>
        <v/>
      </c>
      <c r="Y2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8" s="5">
        <f>IF(tblOrdenes[[#This Row],[centro_costo]]="","",_xlfn.XLOOKUP(tblOrdenes[[#This Row],[centro_costo]],tblCECO[codigo],tblCECO[coordinador],"(sin catálogo)"))</f>
        <v/>
      </c>
      <c r="AA218" s="5">
        <f>IF(tblOrdenes[[#This Row],[puesto_trabajo]]="","",_xlfn.XLOOKUP(tblOrdenes[[#This Row],[puesto_trabajo]],tblPuestos[codigo],tblPuestos[especialidad],"(sin catálogo)"))</f>
        <v/>
      </c>
      <c r="AB218" s="5">
        <f>IF(tblOrdenes[[#This Row],[cod_actividad]]="","",_xlfn.XLOOKUP(tblOrdenes[[#This Row],[cod_actividad]],tblActividades[codigo],tblActividades[descripcion],"(sin catálogo)"))</f>
        <v/>
      </c>
      <c r="AC218" s="20">
        <f>IF(tblOrdenes[[#This Row],[fecha_inicio]]="","",TODAY()-tblOrdenes[[#This Row],[fecha_inicio]])</f>
        <v/>
      </c>
      <c r="AD2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8" s="5">
        <f>IF(tblOrdenes[[#This Row],[backlog_habiles]]="","",IF(tblOrdenes[[#This Row],[backlog_habiles]]&lt;0,"FUTURO",IF(tblOrdenes[[#This Row],[backlog_habiles]]&gt;p_dias_backlog_max,"BACKLOG","MES CORRIENTE")))</f>
        <v/>
      </c>
      <c r="AF218" s="5">
        <f>IF(tblOrdenes[[#This Row],[backlog_habiles]]="",FALSE,AND(tblOrdenes[[#This Row],[backlog_habiles]]&gt;p_dias_backlog_min,tblOrdenes[[#This Row],[backlog_habiles]]&lt;=p_dias_backlog_max))</f>
        <v/>
      </c>
      <c r="AG218" s="4" t="n"/>
      <c r="AH2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8" s="18">
        <f>IF(tblOrdenes[[#This Row],[orden]]="","",_xlfn.XLOOKUP(tblOrdenes[[#This Row],[id_operacion]],tblEjecucion[id_operacion],tblEjecucion[precio],0))</f>
        <v/>
      </c>
      <c r="AL218" s="18">
        <f>IF(tblOrdenes[[#This Row],[orden]]="","",MAX(0,_xlfn.XLOOKUP(tblOrdenes[[#This Row],[id_operacion]],tblEjecucion[id_operacion],tblEjecucion[costo_plan_total],0)-tblOrdenes[[#This Row],[costo_servicio]]))</f>
        <v/>
      </c>
      <c r="AM218" s="18">
        <f>IF(tblOrdenes[[#This Row],[orden]]="","",tblOrdenes[[#This Row],[costo_servicio]]+tblOrdenes[[#This Row],[costo_materiales]])</f>
        <v/>
      </c>
      <c r="AN2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8" s="4" t="n"/>
      <c r="AP218" s="4" t="n"/>
      <c r="AQ218" s="4" t="n"/>
      <c r="AR218" s="5">
        <f>IF(tblOrdenes[[#This Row],[link_checklist]]="","",HYPERLINK(p_ruta_base_checklists&amp;tblOrdenes[[#This Row],[link_checklist]],"abrir"))</f>
        <v/>
      </c>
      <c r="AS218" s="4" t="n"/>
      <c r="AT218" s="5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22" t="n"/>
      <c r="K219" s="5" t="n"/>
      <c r="L219" s="18" t="n"/>
      <c r="M2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5">
        <f>IF(tblOrdenes[[#This Row],[fecha_inicio]]="","",YEAR(tblOrdenes[[#This Row],[fecha_inicio]]))</f>
        <v/>
      </c>
      <c r="Q219" s="5">
        <f>IF(tblOrdenes[[#This Row],[fecha_inicio]]="","",MONTH(tblOrdenes[[#This Row],[fecha_inicio]]))</f>
        <v/>
      </c>
      <c r="R219" s="5">
        <f>IF(tblOrdenes[[#This Row],[fecha_inicio]]="","",tblOrdenes[[#This Row],[anio]]&amp;"-"&amp;TEXT(tblOrdenes[[#This Row],[mes]],"00"))</f>
        <v/>
      </c>
      <c r="S219" s="5">
        <f>IF(tblOrdenes[[#This Row],[fecha_inicio]]="","",INDEX(lista_dias,WEEKDAY(tblOrdenes[[#This Row],[fecha_inicio]],2)))</f>
        <v/>
      </c>
      <c r="T2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9" s="5">
        <f>IF(tblOrdenes[[#This Row],[tipo_ot]]="","",_xlfn.XLOOKUP(tblOrdenes[[#This Row],[tipo_ot]],tblTiposOT[codigo],tblTiposOT[clasificacion],"sin_clasificar"))</f>
        <v/>
      </c>
      <c r="V2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9" s="5">
        <f>IF(tblOrdenes[[#This Row],[centro_costo]]="","",_xlfn.XLOOKUP(tblOrdenes[[#This Row],[centro_costo]],tblCECO[codigo],tblCECO[linea],"(sin catálogo)"))</f>
        <v/>
      </c>
      <c r="X219" s="5">
        <f>IF(tblOrdenes[[#This Row],[centro_costo]]="","",_xlfn.XLOOKUP(tblOrdenes[[#This Row],[centro_costo]],tblCECO[codigo],tblCECO[area],"(sin catálogo)"))</f>
        <v/>
      </c>
      <c r="Y2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19" s="5">
        <f>IF(tblOrdenes[[#This Row],[centro_costo]]="","",_xlfn.XLOOKUP(tblOrdenes[[#This Row],[centro_costo]],tblCECO[codigo],tblCECO[coordinador],"(sin catálogo)"))</f>
        <v/>
      </c>
      <c r="AA219" s="5">
        <f>IF(tblOrdenes[[#This Row],[puesto_trabajo]]="","",_xlfn.XLOOKUP(tblOrdenes[[#This Row],[puesto_trabajo]],tblPuestos[codigo],tblPuestos[especialidad],"(sin catálogo)"))</f>
        <v/>
      </c>
      <c r="AB219" s="5">
        <f>IF(tblOrdenes[[#This Row],[cod_actividad]]="","",_xlfn.XLOOKUP(tblOrdenes[[#This Row],[cod_actividad]],tblActividades[codigo],tblActividades[descripcion],"(sin catálogo)"))</f>
        <v/>
      </c>
      <c r="AC219" s="20">
        <f>IF(tblOrdenes[[#This Row],[fecha_inicio]]="","",TODAY()-tblOrdenes[[#This Row],[fecha_inicio]])</f>
        <v/>
      </c>
      <c r="AD2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19" s="5">
        <f>IF(tblOrdenes[[#This Row],[backlog_habiles]]="","",IF(tblOrdenes[[#This Row],[backlog_habiles]]&lt;0,"FUTURO",IF(tblOrdenes[[#This Row],[backlog_habiles]]&gt;p_dias_backlog_max,"BACKLOG","MES CORRIENTE")))</f>
        <v/>
      </c>
      <c r="AF219" s="5">
        <f>IF(tblOrdenes[[#This Row],[backlog_habiles]]="",FALSE,AND(tblOrdenes[[#This Row],[backlog_habiles]]&gt;p_dias_backlog_min,tblOrdenes[[#This Row],[backlog_habiles]]&lt;=p_dias_backlog_max))</f>
        <v/>
      </c>
      <c r="AG219" s="4" t="n"/>
      <c r="AH2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19" s="18">
        <f>IF(tblOrdenes[[#This Row],[orden]]="","",_xlfn.XLOOKUP(tblOrdenes[[#This Row],[id_operacion]],tblEjecucion[id_operacion],tblEjecucion[precio],0))</f>
        <v/>
      </c>
      <c r="AL219" s="18">
        <f>IF(tblOrdenes[[#This Row],[orden]]="","",MAX(0,_xlfn.XLOOKUP(tblOrdenes[[#This Row],[id_operacion]],tblEjecucion[id_operacion],tblEjecucion[costo_plan_total],0)-tblOrdenes[[#This Row],[costo_servicio]]))</f>
        <v/>
      </c>
      <c r="AM219" s="18">
        <f>IF(tblOrdenes[[#This Row],[orden]]="","",tblOrdenes[[#This Row],[costo_servicio]]+tblOrdenes[[#This Row],[costo_materiales]])</f>
        <v/>
      </c>
      <c r="AN2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19" s="4" t="n"/>
      <c r="AP219" s="4" t="n"/>
      <c r="AQ219" s="4" t="n"/>
      <c r="AR219" s="5">
        <f>IF(tblOrdenes[[#This Row],[link_checklist]]="","",HYPERLINK(p_ruta_base_checklists&amp;tblOrdenes[[#This Row],[link_checklist]],"abrir"))</f>
        <v/>
      </c>
      <c r="AS219" s="4" t="n"/>
      <c r="AT219" s="5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22" t="n"/>
      <c r="K220" s="5" t="n"/>
      <c r="L220" s="18" t="n"/>
      <c r="M2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5">
        <f>IF(tblOrdenes[[#This Row],[fecha_inicio]]="","",YEAR(tblOrdenes[[#This Row],[fecha_inicio]]))</f>
        <v/>
      </c>
      <c r="Q220" s="5">
        <f>IF(tblOrdenes[[#This Row],[fecha_inicio]]="","",MONTH(tblOrdenes[[#This Row],[fecha_inicio]]))</f>
        <v/>
      </c>
      <c r="R220" s="5">
        <f>IF(tblOrdenes[[#This Row],[fecha_inicio]]="","",tblOrdenes[[#This Row],[anio]]&amp;"-"&amp;TEXT(tblOrdenes[[#This Row],[mes]],"00"))</f>
        <v/>
      </c>
      <c r="S220" s="5">
        <f>IF(tblOrdenes[[#This Row],[fecha_inicio]]="","",INDEX(lista_dias,WEEKDAY(tblOrdenes[[#This Row],[fecha_inicio]],2)))</f>
        <v/>
      </c>
      <c r="T2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0" s="5">
        <f>IF(tblOrdenes[[#This Row],[tipo_ot]]="","",_xlfn.XLOOKUP(tblOrdenes[[#This Row],[tipo_ot]],tblTiposOT[codigo],tblTiposOT[clasificacion],"sin_clasificar"))</f>
        <v/>
      </c>
      <c r="V2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0" s="5">
        <f>IF(tblOrdenes[[#This Row],[centro_costo]]="","",_xlfn.XLOOKUP(tblOrdenes[[#This Row],[centro_costo]],tblCECO[codigo],tblCECO[linea],"(sin catálogo)"))</f>
        <v/>
      </c>
      <c r="X220" s="5">
        <f>IF(tblOrdenes[[#This Row],[centro_costo]]="","",_xlfn.XLOOKUP(tblOrdenes[[#This Row],[centro_costo]],tblCECO[codigo],tblCECO[area],"(sin catálogo)"))</f>
        <v/>
      </c>
      <c r="Y2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0" s="5">
        <f>IF(tblOrdenes[[#This Row],[centro_costo]]="","",_xlfn.XLOOKUP(tblOrdenes[[#This Row],[centro_costo]],tblCECO[codigo],tblCECO[coordinador],"(sin catálogo)"))</f>
        <v/>
      </c>
      <c r="AA220" s="5">
        <f>IF(tblOrdenes[[#This Row],[puesto_trabajo]]="","",_xlfn.XLOOKUP(tblOrdenes[[#This Row],[puesto_trabajo]],tblPuestos[codigo],tblPuestos[especialidad],"(sin catálogo)"))</f>
        <v/>
      </c>
      <c r="AB220" s="5">
        <f>IF(tblOrdenes[[#This Row],[cod_actividad]]="","",_xlfn.XLOOKUP(tblOrdenes[[#This Row],[cod_actividad]],tblActividades[codigo],tblActividades[descripcion],"(sin catálogo)"))</f>
        <v/>
      </c>
      <c r="AC220" s="20">
        <f>IF(tblOrdenes[[#This Row],[fecha_inicio]]="","",TODAY()-tblOrdenes[[#This Row],[fecha_inicio]])</f>
        <v/>
      </c>
      <c r="AD2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0" s="5">
        <f>IF(tblOrdenes[[#This Row],[backlog_habiles]]="","",IF(tblOrdenes[[#This Row],[backlog_habiles]]&lt;0,"FUTURO",IF(tblOrdenes[[#This Row],[backlog_habiles]]&gt;p_dias_backlog_max,"BACKLOG","MES CORRIENTE")))</f>
        <v/>
      </c>
      <c r="AF220" s="5">
        <f>IF(tblOrdenes[[#This Row],[backlog_habiles]]="",FALSE,AND(tblOrdenes[[#This Row],[backlog_habiles]]&gt;p_dias_backlog_min,tblOrdenes[[#This Row],[backlog_habiles]]&lt;=p_dias_backlog_max))</f>
        <v/>
      </c>
      <c r="AG220" s="4" t="n"/>
      <c r="AH2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0" s="18">
        <f>IF(tblOrdenes[[#This Row],[orden]]="","",_xlfn.XLOOKUP(tblOrdenes[[#This Row],[id_operacion]],tblEjecucion[id_operacion],tblEjecucion[precio],0))</f>
        <v/>
      </c>
      <c r="AL220" s="18">
        <f>IF(tblOrdenes[[#This Row],[orden]]="","",MAX(0,_xlfn.XLOOKUP(tblOrdenes[[#This Row],[id_operacion]],tblEjecucion[id_operacion],tblEjecucion[costo_plan_total],0)-tblOrdenes[[#This Row],[costo_servicio]]))</f>
        <v/>
      </c>
      <c r="AM220" s="18">
        <f>IF(tblOrdenes[[#This Row],[orden]]="","",tblOrdenes[[#This Row],[costo_servicio]]+tblOrdenes[[#This Row],[costo_materiales]])</f>
        <v/>
      </c>
      <c r="AN2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0" s="4" t="n"/>
      <c r="AP220" s="4" t="n"/>
      <c r="AQ220" s="4" t="n"/>
      <c r="AR220" s="5">
        <f>IF(tblOrdenes[[#This Row],[link_checklist]]="","",HYPERLINK(p_ruta_base_checklists&amp;tblOrdenes[[#This Row],[link_checklist]],"abrir"))</f>
        <v/>
      </c>
      <c r="AS220" s="4" t="n"/>
      <c r="AT220" s="5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22" t="n"/>
      <c r="K221" s="5" t="n"/>
      <c r="L221" s="18" t="n"/>
      <c r="M2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5">
        <f>IF(tblOrdenes[[#This Row],[fecha_inicio]]="","",YEAR(tblOrdenes[[#This Row],[fecha_inicio]]))</f>
        <v/>
      </c>
      <c r="Q221" s="5">
        <f>IF(tblOrdenes[[#This Row],[fecha_inicio]]="","",MONTH(tblOrdenes[[#This Row],[fecha_inicio]]))</f>
        <v/>
      </c>
      <c r="R221" s="5">
        <f>IF(tblOrdenes[[#This Row],[fecha_inicio]]="","",tblOrdenes[[#This Row],[anio]]&amp;"-"&amp;TEXT(tblOrdenes[[#This Row],[mes]],"00"))</f>
        <v/>
      </c>
      <c r="S221" s="5">
        <f>IF(tblOrdenes[[#This Row],[fecha_inicio]]="","",INDEX(lista_dias,WEEKDAY(tblOrdenes[[#This Row],[fecha_inicio]],2)))</f>
        <v/>
      </c>
      <c r="T2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1" s="5">
        <f>IF(tblOrdenes[[#This Row],[tipo_ot]]="","",_xlfn.XLOOKUP(tblOrdenes[[#This Row],[tipo_ot]],tblTiposOT[codigo],tblTiposOT[clasificacion],"sin_clasificar"))</f>
        <v/>
      </c>
      <c r="V2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1" s="5">
        <f>IF(tblOrdenes[[#This Row],[centro_costo]]="","",_xlfn.XLOOKUP(tblOrdenes[[#This Row],[centro_costo]],tblCECO[codigo],tblCECO[linea],"(sin catálogo)"))</f>
        <v/>
      </c>
      <c r="X221" s="5">
        <f>IF(tblOrdenes[[#This Row],[centro_costo]]="","",_xlfn.XLOOKUP(tblOrdenes[[#This Row],[centro_costo]],tblCECO[codigo],tblCECO[area],"(sin catálogo)"))</f>
        <v/>
      </c>
      <c r="Y2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1" s="5">
        <f>IF(tblOrdenes[[#This Row],[centro_costo]]="","",_xlfn.XLOOKUP(tblOrdenes[[#This Row],[centro_costo]],tblCECO[codigo],tblCECO[coordinador],"(sin catálogo)"))</f>
        <v/>
      </c>
      <c r="AA221" s="5">
        <f>IF(tblOrdenes[[#This Row],[puesto_trabajo]]="","",_xlfn.XLOOKUP(tblOrdenes[[#This Row],[puesto_trabajo]],tblPuestos[codigo],tblPuestos[especialidad],"(sin catálogo)"))</f>
        <v/>
      </c>
      <c r="AB221" s="5">
        <f>IF(tblOrdenes[[#This Row],[cod_actividad]]="","",_xlfn.XLOOKUP(tblOrdenes[[#This Row],[cod_actividad]],tblActividades[codigo],tblActividades[descripcion],"(sin catálogo)"))</f>
        <v/>
      </c>
      <c r="AC221" s="20">
        <f>IF(tblOrdenes[[#This Row],[fecha_inicio]]="","",TODAY()-tblOrdenes[[#This Row],[fecha_inicio]])</f>
        <v/>
      </c>
      <c r="AD2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1" s="5">
        <f>IF(tblOrdenes[[#This Row],[backlog_habiles]]="","",IF(tblOrdenes[[#This Row],[backlog_habiles]]&lt;0,"FUTURO",IF(tblOrdenes[[#This Row],[backlog_habiles]]&gt;p_dias_backlog_max,"BACKLOG","MES CORRIENTE")))</f>
        <v/>
      </c>
      <c r="AF221" s="5">
        <f>IF(tblOrdenes[[#This Row],[backlog_habiles]]="",FALSE,AND(tblOrdenes[[#This Row],[backlog_habiles]]&gt;p_dias_backlog_min,tblOrdenes[[#This Row],[backlog_habiles]]&lt;=p_dias_backlog_max))</f>
        <v/>
      </c>
      <c r="AG221" s="4" t="n"/>
      <c r="AH2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1" s="18">
        <f>IF(tblOrdenes[[#This Row],[orden]]="","",_xlfn.XLOOKUP(tblOrdenes[[#This Row],[id_operacion]],tblEjecucion[id_operacion],tblEjecucion[precio],0))</f>
        <v/>
      </c>
      <c r="AL221" s="18">
        <f>IF(tblOrdenes[[#This Row],[orden]]="","",MAX(0,_xlfn.XLOOKUP(tblOrdenes[[#This Row],[id_operacion]],tblEjecucion[id_operacion],tblEjecucion[costo_plan_total],0)-tblOrdenes[[#This Row],[costo_servicio]]))</f>
        <v/>
      </c>
      <c r="AM221" s="18">
        <f>IF(tblOrdenes[[#This Row],[orden]]="","",tblOrdenes[[#This Row],[costo_servicio]]+tblOrdenes[[#This Row],[costo_materiales]])</f>
        <v/>
      </c>
      <c r="AN2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1" s="4" t="n"/>
      <c r="AP221" s="4" t="n"/>
      <c r="AQ221" s="4" t="n"/>
      <c r="AR221" s="5">
        <f>IF(tblOrdenes[[#This Row],[link_checklist]]="","",HYPERLINK(p_ruta_base_checklists&amp;tblOrdenes[[#This Row],[link_checklist]],"abrir"))</f>
        <v/>
      </c>
      <c r="AS221" s="4" t="n"/>
      <c r="AT221" s="5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22" t="n"/>
      <c r="K222" s="5" t="n"/>
      <c r="L222" s="18" t="n"/>
      <c r="M2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5">
        <f>IF(tblOrdenes[[#This Row],[fecha_inicio]]="","",YEAR(tblOrdenes[[#This Row],[fecha_inicio]]))</f>
        <v/>
      </c>
      <c r="Q222" s="5">
        <f>IF(tblOrdenes[[#This Row],[fecha_inicio]]="","",MONTH(tblOrdenes[[#This Row],[fecha_inicio]]))</f>
        <v/>
      </c>
      <c r="R222" s="5">
        <f>IF(tblOrdenes[[#This Row],[fecha_inicio]]="","",tblOrdenes[[#This Row],[anio]]&amp;"-"&amp;TEXT(tblOrdenes[[#This Row],[mes]],"00"))</f>
        <v/>
      </c>
      <c r="S222" s="5">
        <f>IF(tblOrdenes[[#This Row],[fecha_inicio]]="","",INDEX(lista_dias,WEEKDAY(tblOrdenes[[#This Row],[fecha_inicio]],2)))</f>
        <v/>
      </c>
      <c r="T2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2" s="5">
        <f>IF(tblOrdenes[[#This Row],[tipo_ot]]="","",_xlfn.XLOOKUP(tblOrdenes[[#This Row],[tipo_ot]],tblTiposOT[codigo],tblTiposOT[clasificacion],"sin_clasificar"))</f>
        <v/>
      </c>
      <c r="V2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2" s="5">
        <f>IF(tblOrdenes[[#This Row],[centro_costo]]="","",_xlfn.XLOOKUP(tblOrdenes[[#This Row],[centro_costo]],tblCECO[codigo],tblCECO[linea],"(sin catálogo)"))</f>
        <v/>
      </c>
      <c r="X222" s="5">
        <f>IF(tblOrdenes[[#This Row],[centro_costo]]="","",_xlfn.XLOOKUP(tblOrdenes[[#This Row],[centro_costo]],tblCECO[codigo],tblCECO[area],"(sin catálogo)"))</f>
        <v/>
      </c>
      <c r="Y2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2" s="5">
        <f>IF(tblOrdenes[[#This Row],[centro_costo]]="","",_xlfn.XLOOKUP(tblOrdenes[[#This Row],[centro_costo]],tblCECO[codigo],tblCECO[coordinador],"(sin catálogo)"))</f>
        <v/>
      </c>
      <c r="AA222" s="5">
        <f>IF(tblOrdenes[[#This Row],[puesto_trabajo]]="","",_xlfn.XLOOKUP(tblOrdenes[[#This Row],[puesto_trabajo]],tblPuestos[codigo],tblPuestos[especialidad],"(sin catálogo)"))</f>
        <v/>
      </c>
      <c r="AB222" s="5">
        <f>IF(tblOrdenes[[#This Row],[cod_actividad]]="","",_xlfn.XLOOKUP(tblOrdenes[[#This Row],[cod_actividad]],tblActividades[codigo],tblActividades[descripcion],"(sin catálogo)"))</f>
        <v/>
      </c>
      <c r="AC222" s="20">
        <f>IF(tblOrdenes[[#This Row],[fecha_inicio]]="","",TODAY()-tblOrdenes[[#This Row],[fecha_inicio]])</f>
        <v/>
      </c>
      <c r="AD2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2" s="5">
        <f>IF(tblOrdenes[[#This Row],[backlog_habiles]]="","",IF(tblOrdenes[[#This Row],[backlog_habiles]]&lt;0,"FUTURO",IF(tblOrdenes[[#This Row],[backlog_habiles]]&gt;p_dias_backlog_max,"BACKLOG","MES CORRIENTE")))</f>
        <v/>
      </c>
      <c r="AF222" s="5">
        <f>IF(tblOrdenes[[#This Row],[backlog_habiles]]="",FALSE,AND(tblOrdenes[[#This Row],[backlog_habiles]]&gt;p_dias_backlog_min,tblOrdenes[[#This Row],[backlog_habiles]]&lt;=p_dias_backlog_max))</f>
        <v/>
      </c>
      <c r="AG222" s="4" t="n"/>
      <c r="AH2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2" s="18">
        <f>IF(tblOrdenes[[#This Row],[orden]]="","",_xlfn.XLOOKUP(tblOrdenes[[#This Row],[id_operacion]],tblEjecucion[id_operacion],tblEjecucion[precio],0))</f>
        <v/>
      </c>
      <c r="AL222" s="18">
        <f>IF(tblOrdenes[[#This Row],[orden]]="","",MAX(0,_xlfn.XLOOKUP(tblOrdenes[[#This Row],[id_operacion]],tblEjecucion[id_operacion],tblEjecucion[costo_plan_total],0)-tblOrdenes[[#This Row],[costo_servicio]]))</f>
        <v/>
      </c>
      <c r="AM222" s="18">
        <f>IF(tblOrdenes[[#This Row],[orden]]="","",tblOrdenes[[#This Row],[costo_servicio]]+tblOrdenes[[#This Row],[costo_materiales]])</f>
        <v/>
      </c>
      <c r="AN2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2" s="4" t="n"/>
      <c r="AP222" s="4" t="n"/>
      <c r="AQ222" s="4" t="n"/>
      <c r="AR222" s="5">
        <f>IF(tblOrdenes[[#This Row],[link_checklist]]="","",HYPERLINK(p_ruta_base_checklists&amp;tblOrdenes[[#This Row],[link_checklist]],"abrir"))</f>
        <v/>
      </c>
      <c r="AS222" s="4" t="n"/>
      <c r="AT222" s="5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22" t="n"/>
      <c r="K223" s="5" t="n"/>
      <c r="L223" s="18" t="n"/>
      <c r="M2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5">
        <f>IF(tblOrdenes[[#This Row],[fecha_inicio]]="","",YEAR(tblOrdenes[[#This Row],[fecha_inicio]]))</f>
        <v/>
      </c>
      <c r="Q223" s="5">
        <f>IF(tblOrdenes[[#This Row],[fecha_inicio]]="","",MONTH(tblOrdenes[[#This Row],[fecha_inicio]]))</f>
        <v/>
      </c>
      <c r="R223" s="5">
        <f>IF(tblOrdenes[[#This Row],[fecha_inicio]]="","",tblOrdenes[[#This Row],[anio]]&amp;"-"&amp;TEXT(tblOrdenes[[#This Row],[mes]],"00"))</f>
        <v/>
      </c>
      <c r="S223" s="5">
        <f>IF(tblOrdenes[[#This Row],[fecha_inicio]]="","",INDEX(lista_dias,WEEKDAY(tblOrdenes[[#This Row],[fecha_inicio]],2)))</f>
        <v/>
      </c>
      <c r="T2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3" s="5">
        <f>IF(tblOrdenes[[#This Row],[tipo_ot]]="","",_xlfn.XLOOKUP(tblOrdenes[[#This Row],[tipo_ot]],tblTiposOT[codigo],tblTiposOT[clasificacion],"sin_clasificar"))</f>
        <v/>
      </c>
      <c r="V2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3" s="5">
        <f>IF(tblOrdenes[[#This Row],[centro_costo]]="","",_xlfn.XLOOKUP(tblOrdenes[[#This Row],[centro_costo]],tblCECO[codigo],tblCECO[linea],"(sin catálogo)"))</f>
        <v/>
      </c>
      <c r="X223" s="5">
        <f>IF(tblOrdenes[[#This Row],[centro_costo]]="","",_xlfn.XLOOKUP(tblOrdenes[[#This Row],[centro_costo]],tblCECO[codigo],tblCECO[area],"(sin catálogo)"))</f>
        <v/>
      </c>
      <c r="Y2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3" s="5">
        <f>IF(tblOrdenes[[#This Row],[centro_costo]]="","",_xlfn.XLOOKUP(tblOrdenes[[#This Row],[centro_costo]],tblCECO[codigo],tblCECO[coordinador],"(sin catálogo)"))</f>
        <v/>
      </c>
      <c r="AA223" s="5">
        <f>IF(tblOrdenes[[#This Row],[puesto_trabajo]]="","",_xlfn.XLOOKUP(tblOrdenes[[#This Row],[puesto_trabajo]],tblPuestos[codigo],tblPuestos[especialidad],"(sin catálogo)"))</f>
        <v/>
      </c>
      <c r="AB223" s="5">
        <f>IF(tblOrdenes[[#This Row],[cod_actividad]]="","",_xlfn.XLOOKUP(tblOrdenes[[#This Row],[cod_actividad]],tblActividades[codigo],tblActividades[descripcion],"(sin catálogo)"))</f>
        <v/>
      </c>
      <c r="AC223" s="20">
        <f>IF(tblOrdenes[[#This Row],[fecha_inicio]]="","",TODAY()-tblOrdenes[[#This Row],[fecha_inicio]])</f>
        <v/>
      </c>
      <c r="AD2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3" s="5">
        <f>IF(tblOrdenes[[#This Row],[backlog_habiles]]="","",IF(tblOrdenes[[#This Row],[backlog_habiles]]&lt;0,"FUTURO",IF(tblOrdenes[[#This Row],[backlog_habiles]]&gt;p_dias_backlog_max,"BACKLOG","MES CORRIENTE")))</f>
        <v/>
      </c>
      <c r="AF223" s="5">
        <f>IF(tblOrdenes[[#This Row],[backlog_habiles]]="",FALSE,AND(tblOrdenes[[#This Row],[backlog_habiles]]&gt;p_dias_backlog_min,tblOrdenes[[#This Row],[backlog_habiles]]&lt;=p_dias_backlog_max))</f>
        <v/>
      </c>
      <c r="AG223" s="4" t="n"/>
      <c r="AH2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3" s="18">
        <f>IF(tblOrdenes[[#This Row],[orden]]="","",_xlfn.XLOOKUP(tblOrdenes[[#This Row],[id_operacion]],tblEjecucion[id_operacion],tblEjecucion[precio],0))</f>
        <v/>
      </c>
      <c r="AL223" s="18">
        <f>IF(tblOrdenes[[#This Row],[orden]]="","",MAX(0,_xlfn.XLOOKUP(tblOrdenes[[#This Row],[id_operacion]],tblEjecucion[id_operacion],tblEjecucion[costo_plan_total],0)-tblOrdenes[[#This Row],[costo_servicio]]))</f>
        <v/>
      </c>
      <c r="AM223" s="18">
        <f>IF(tblOrdenes[[#This Row],[orden]]="","",tblOrdenes[[#This Row],[costo_servicio]]+tblOrdenes[[#This Row],[costo_materiales]])</f>
        <v/>
      </c>
      <c r="AN2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3" s="4" t="n"/>
      <c r="AP223" s="4" t="n"/>
      <c r="AQ223" s="4" t="n"/>
      <c r="AR223" s="5">
        <f>IF(tblOrdenes[[#This Row],[link_checklist]]="","",HYPERLINK(p_ruta_base_checklists&amp;tblOrdenes[[#This Row],[link_checklist]],"abrir"))</f>
        <v/>
      </c>
      <c r="AS223" s="4" t="n"/>
      <c r="AT223" s="5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22" t="n"/>
      <c r="K224" s="5" t="n"/>
      <c r="L224" s="18" t="n"/>
      <c r="M2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5">
        <f>IF(tblOrdenes[[#This Row],[fecha_inicio]]="","",YEAR(tblOrdenes[[#This Row],[fecha_inicio]]))</f>
        <v/>
      </c>
      <c r="Q224" s="5">
        <f>IF(tblOrdenes[[#This Row],[fecha_inicio]]="","",MONTH(tblOrdenes[[#This Row],[fecha_inicio]]))</f>
        <v/>
      </c>
      <c r="R224" s="5">
        <f>IF(tblOrdenes[[#This Row],[fecha_inicio]]="","",tblOrdenes[[#This Row],[anio]]&amp;"-"&amp;TEXT(tblOrdenes[[#This Row],[mes]],"00"))</f>
        <v/>
      </c>
      <c r="S224" s="5">
        <f>IF(tblOrdenes[[#This Row],[fecha_inicio]]="","",INDEX(lista_dias,WEEKDAY(tblOrdenes[[#This Row],[fecha_inicio]],2)))</f>
        <v/>
      </c>
      <c r="T2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4" s="5">
        <f>IF(tblOrdenes[[#This Row],[tipo_ot]]="","",_xlfn.XLOOKUP(tblOrdenes[[#This Row],[tipo_ot]],tblTiposOT[codigo],tblTiposOT[clasificacion],"sin_clasificar"))</f>
        <v/>
      </c>
      <c r="V2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4" s="5">
        <f>IF(tblOrdenes[[#This Row],[centro_costo]]="","",_xlfn.XLOOKUP(tblOrdenes[[#This Row],[centro_costo]],tblCECO[codigo],tblCECO[linea],"(sin catálogo)"))</f>
        <v/>
      </c>
      <c r="X224" s="5">
        <f>IF(tblOrdenes[[#This Row],[centro_costo]]="","",_xlfn.XLOOKUP(tblOrdenes[[#This Row],[centro_costo]],tblCECO[codigo],tblCECO[area],"(sin catálogo)"))</f>
        <v/>
      </c>
      <c r="Y2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4" s="5">
        <f>IF(tblOrdenes[[#This Row],[centro_costo]]="","",_xlfn.XLOOKUP(tblOrdenes[[#This Row],[centro_costo]],tblCECO[codigo],tblCECO[coordinador],"(sin catálogo)"))</f>
        <v/>
      </c>
      <c r="AA224" s="5">
        <f>IF(tblOrdenes[[#This Row],[puesto_trabajo]]="","",_xlfn.XLOOKUP(tblOrdenes[[#This Row],[puesto_trabajo]],tblPuestos[codigo],tblPuestos[especialidad],"(sin catálogo)"))</f>
        <v/>
      </c>
      <c r="AB224" s="5">
        <f>IF(tblOrdenes[[#This Row],[cod_actividad]]="","",_xlfn.XLOOKUP(tblOrdenes[[#This Row],[cod_actividad]],tblActividades[codigo],tblActividades[descripcion],"(sin catálogo)"))</f>
        <v/>
      </c>
      <c r="AC224" s="20">
        <f>IF(tblOrdenes[[#This Row],[fecha_inicio]]="","",TODAY()-tblOrdenes[[#This Row],[fecha_inicio]])</f>
        <v/>
      </c>
      <c r="AD2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4" s="5">
        <f>IF(tblOrdenes[[#This Row],[backlog_habiles]]="","",IF(tblOrdenes[[#This Row],[backlog_habiles]]&lt;0,"FUTURO",IF(tblOrdenes[[#This Row],[backlog_habiles]]&gt;p_dias_backlog_max,"BACKLOG","MES CORRIENTE")))</f>
        <v/>
      </c>
      <c r="AF224" s="5">
        <f>IF(tblOrdenes[[#This Row],[backlog_habiles]]="",FALSE,AND(tblOrdenes[[#This Row],[backlog_habiles]]&gt;p_dias_backlog_min,tblOrdenes[[#This Row],[backlog_habiles]]&lt;=p_dias_backlog_max))</f>
        <v/>
      </c>
      <c r="AG224" s="4" t="n"/>
      <c r="AH2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4" s="18">
        <f>IF(tblOrdenes[[#This Row],[orden]]="","",_xlfn.XLOOKUP(tblOrdenes[[#This Row],[id_operacion]],tblEjecucion[id_operacion],tblEjecucion[precio],0))</f>
        <v/>
      </c>
      <c r="AL224" s="18">
        <f>IF(tblOrdenes[[#This Row],[orden]]="","",MAX(0,_xlfn.XLOOKUP(tblOrdenes[[#This Row],[id_operacion]],tblEjecucion[id_operacion],tblEjecucion[costo_plan_total],0)-tblOrdenes[[#This Row],[costo_servicio]]))</f>
        <v/>
      </c>
      <c r="AM224" s="18">
        <f>IF(tblOrdenes[[#This Row],[orden]]="","",tblOrdenes[[#This Row],[costo_servicio]]+tblOrdenes[[#This Row],[costo_materiales]])</f>
        <v/>
      </c>
      <c r="AN2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4" s="4" t="n"/>
      <c r="AP224" s="4" t="n"/>
      <c r="AQ224" s="4" t="n"/>
      <c r="AR224" s="5">
        <f>IF(tblOrdenes[[#This Row],[link_checklist]]="","",HYPERLINK(p_ruta_base_checklists&amp;tblOrdenes[[#This Row],[link_checklist]],"abrir"))</f>
        <v/>
      </c>
      <c r="AS224" s="4" t="n"/>
      <c r="AT224" s="5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22" t="n"/>
      <c r="K225" s="5" t="n"/>
      <c r="L225" s="18" t="n"/>
      <c r="M2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5">
        <f>IF(tblOrdenes[[#This Row],[fecha_inicio]]="","",YEAR(tblOrdenes[[#This Row],[fecha_inicio]]))</f>
        <v/>
      </c>
      <c r="Q225" s="5">
        <f>IF(tblOrdenes[[#This Row],[fecha_inicio]]="","",MONTH(tblOrdenes[[#This Row],[fecha_inicio]]))</f>
        <v/>
      </c>
      <c r="R225" s="5">
        <f>IF(tblOrdenes[[#This Row],[fecha_inicio]]="","",tblOrdenes[[#This Row],[anio]]&amp;"-"&amp;TEXT(tblOrdenes[[#This Row],[mes]],"00"))</f>
        <v/>
      </c>
      <c r="S225" s="5">
        <f>IF(tblOrdenes[[#This Row],[fecha_inicio]]="","",INDEX(lista_dias,WEEKDAY(tblOrdenes[[#This Row],[fecha_inicio]],2)))</f>
        <v/>
      </c>
      <c r="T2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5" s="5">
        <f>IF(tblOrdenes[[#This Row],[tipo_ot]]="","",_xlfn.XLOOKUP(tblOrdenes[[#This Row],[tipo_ot]],tblTiposOT[codigo],tblTiposOT[clasificacion],"sin_clasificar"))</f>
        <v/>
      </c>
      <c r="V2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5" s="5">
        <f>IF(tblOrdenes[[#This Row],[centro_costo]]="","",_xlfn.XLOOKUP(tblOrdenes[[#This Row],[centro_costo]],tblCECO[codigo],tblCECO[linea],"(sin catálogo)"))</f>
        <v/>
      </c>
      <c r="X225" s="5">
        <f>IF(tblOrdenes[[#This Row],[centro_costo]]="","",_xlfn.XLOOKUP(tblOrdenes[[#This Row],[centro_costo]],tblCECO[codigo],tblCECO[area],"(sin catálogo)"))</f>
        <v/>
      </c>
      <c r="Y2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5" s="5">
        <f>IF(tblOrdenes[[#This Row],[centro_costo]]="","",_xlfn.XLOOKUP(tblOrdenes[[#This Row],[centro_costo]],tblCECO[codigo],tblCECO[coordinador],"(sin catálogo)"))</f>
        <v/>
      </c>
      <c r="AA225" s="5">
        <f>IF(tblOrdenes[[#This Row],[puesto_trabajo]]="","",_xlfn.XLOOKUP(tblOrdenes[[#This Row],[puesto_trabajo]],tblPuestos[codigo],tblPuestos[especialidad],"(sin catálogo)"))</f>
        <v/>
      </c>
      <c r="AB225" s="5">
        <f>IF(tblOrdenes[[#This Row],[cod_actividad]]="","",_xlfn.XLOOKUP(tblOrdenes[[#This Row],[cod_actividad]],tblActividades[codigo],tblActividades[descripcion],"(sin catálogo)"))</f>
        <v/>
      </c>
      <c r="AC225" s="20">
        <f>IF(tblOrdenes[[#This Row],[fecha_inicio]]="","",TODAY()-tblOrdenes[[#This Row],[fecha_inicio]])</f>
        <v/>
      </c>
      <c r="AD2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5" s="5">
        <f>IF(tblOrdenes[[#This Row],[backlog_habiles]]="","",IF(tblOrdenes[[#This Row],[backlog_habiles]]&lt;0,"FUTURO",IF(tblOrdenes[[#This Row],[backlog_habiles]]&gt;p_dias_backlog_max,"BACKLOG","MES CORRIENTE")))</f>
        <v/>
      </c>
      <c r="AF225" s="5">
        <f>IF(tblOrdenes[[#This Row],[backlog_habiles]]="",FALSE,AND(tblOrdenes[[#This Row],[backlog_habiles]]&gt;p_dias_backlog_min,tblOrdenes[[#This Row],[backlog_habiles]]&lt;=p_dias_backlog_max))</f>
        <v/>
      </c>
      <c r="AG225" s="4" t="n"/>
      <c r="AH2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5" s="18">
        <f>IF(tblOrdenes[[#This Row],[orden]]="","",_xlfn.XLOOKUP(tblOrdenes[[#This Row],[id_operacion]],tblEjecucion[id_operacion],tblEjecucion[precio],0))</f>
        <v/>
      </c>
      <c r="AL225" s="18">
        <f>IF(tblOrdenes[[#This Row],[orden]]="","",MAX(0,_xlfn.XLOOKUP(tblOrdenes[[#This Row],[id_operacion]],tblEjecucion[id_operacion],tblEjecucion[costo_plan_total],0)-tblOrdenes[[#This Row],[costo_servicio]]))</f>
        <v/>
      </c>
      <c r="AM225" s="18">
        <f>IF(tblOrdenes[[#This Row],[orden]]="","",tblOrdenes[[#This Row],[costo_servicio]]+tblOrdenes[[#This Row],[costo_materiales]])</f>
        <v/>
      </c>
      <c r="AN2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5" s="4" t="n"/>
      <c r="AP225" s="4" t="n"/>
      <c r="AQ225" s="4" t="n"/>
      <c r="AR225" s="5">
        <f>IF(tblOrdenes[[#This Row],[link_checklist]]="","",HYPERLINK(p_ruta_base_checklists&amp;tblOrdenes[[#This Row],[link_checklist]],"abrir"))</f>
        <v/>
      </c>
      <c r="AS225" s="4" t="n"/>
      <c r="AT225" s="5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22" t="n"/>
      <c r="K226" s="5" t="n"/>
      <c r="L226" s="18" t="n"/>
      <c r="M2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5">
        <f>IF(tblOrdenes[[#This Row],[fecha_inicio]]="","",YEAR(tblOrdenes[[#This Row],[fecha_inicio]]))</f>
        <v/>
      </c>
      <c r="Q226" s="5">
        <f>IF(tblOrdenes[[#This Row],[fecha_inicio]]="","",MONTH(tblOrdenes[[#This Row],[fecha_inicio]]))</f>
        <v/>
      </c>
      <c r="R226" s="5">
        <f>IF(tblOrdenes[[#This Row],[fecha_inicio]]="","",tblOrdenes[[#This Row],[anio]]&amp;"-"&amp;TEXT(tblOrdenes[[#This Row],[mes]],"00"))</f>
        <v/>
      </c>
      <c r="S226" s="5">
        <f>IF(tblOrdenes[[#This Row],[fecha_inicio]]="","",INDEX(lista_dias,WEEKDAY(tblOrdenes[[#This Row],[fecha_inicio]],2)))</f>
        <v/>
      </c>
      <c r="T2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6" s="5">
        <f>IF(tblOrdenes[[#This Row],[tipo_ot]]="","",_xlfn.XLOOKUP(tblOrdenes[[#This Row],[tipo_ot]],tblTiposOT[codigo],tblTiposOT[clasificacion],"sin_clasificar"))</f>
        <v/>
      </c>
      <c r="V2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6" s="5">
        <f>IF(tblOrdenes[[#This Row],[centro_costo]]="","",_xlfn.XLOOKUP(tblOrdenes[[#This Row],[centro_costo]],tblCECO[codigo],tblCECO[linea],"(sin catálogo)"))</f>
        <v/>
      </c>
      <c r="X226" s="5">
        <f>IF(tblOrdenes[[#This Row],[centro_costo]]="","",_xlfn.XLOOKUP(tblOrdenes[[#This Row],[centro_costo]],tblCECO[codigo],tblCECO[area],"(sin catálogo)"))</f>
        <v/>
      </c>
      <c r="Y2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6" s="5">
        <f>IF(tblOrdenes[[#This Row],[centro_costo]]="","",_xlfn.XLOOKUP(tblOrdenes[[#This Row],[centro_costo]],tblCECO[codigo],tblCECO[coordinador],"(sin catálogo)"))</f>
        <v/>
      </c>
      <c r="AA226" s="5">
        <f>IF(tblOrdenes[[#This Row],[puesto_trabajo]]="","",_xlfn.XLOOKUP(tblOrdenes[[#This Row],[puesto_trabajo]],tblPuestos[codigo],tblPuestos[especialidad],"(sin catálogo)"))</f>
        <v/>
      </c>
      <c r="AB226" s="5">
        <f>IF(tblOrdenes[[#This Row],[cod_actividad]]="","",_xlfn.XLOOKUP(tblOrdenes[[#This Row],[cod_actividad]],tblActividades[codigo],tblActividades[descripcion],"(sin catálogo)"))</f>
        <v/>
      </c>
      <c r="AC226" s="20">
        <f>IF(tblOrdenes[[#This Row],[fecha_inicio]]="","",TODAY()-tblOrdenes[[#This Row],[fecha_inicio]])</f>
        <v/>
      </c>
      <c r="AD2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6" s="5">
        <f>IF(tblOrdenes[[#This Row],[backlog_habiles]]="","",IF(tblOrdenes[[#This Row],[backlog_habiles]]&lt;0,"FUTURO",IF(tblOrdenes[[#This Row],[backlog_habiles]]&gt;p_dias_backlog_max,"BACKLOG","MES CORRIENTE")))</f>
        <v/>
      </c>
      <c r="AF226" s="5">
        <f>IF(tblOrdenes[[#This Row],[backlog_habiles]]="",FALSE,AND(tblOrdenes[[#This Row],[backlog_habiles]]&gt;p_dias_backlog_min,tblOrdenes[[#This Row],[backlog_habiles]]&lt;=p_dias_backlog_max))</f>
        <v/>
      </c>
      <c r="AG226" s="4" t="n"/>
      <c r="AH2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6" s="18">
        <f>IF(tblOrdenes[[#This Row],[orden]]="","",_xlfn.XLOOKUP(tblOrdenes[[#This Row],[id_operacion]],tblEjecucion[id_operacion],tblEjecucion[precio],0))</f>
        <v/>
      </c>
      <c r="AL226" s="18">
        <f>IF(tblOrdenes[[#This Row],[orden]]="","",MAX(0,_xlfn.XLOOKUP(tblOrdenes[[#This Row],[id_operacion]],tblEjecucion[id_operacion],tblEjecucion[costo_plan_total],0)-tblOrdenes[[#This Row],[costo_servicio]]))</f>
        <v/>
      </c>
      <c r="AM226" s="18">
        <f>IF(tblOrdenes[[#This Row],[orden]]="","",tblOrdenes[[#This Row],[costo_servicio]]+tblOrdenes[[#This Row],[costo_materiales]])</f>
        <v/>
      </c>
      <c r="AN2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6" s="4" t="n"/>
      <c r="AP226" s="4" t="n"/>
      <c r="AQ226" s="4" t="n"/>
      <c r="AR226" s="5">
        <f>IF(tblOrdenes[[#This Row],[link_checklist]]="","",HYPERLINK(p_ruta_base_checklists&amp;tblOrdenes[[#This Row],[link_checklist]],"abrir"))</f>
        <v/>
      </c>
      <c r="AS226" s="4" t="n"/>
      <c r="AT226" s="5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22" t="n"/>
      <c r="K227" s="5" t="n"/>
      <c r="L227" s="18" t="n"/>
      <c r="M2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5">
        <f>IF(tblOrdenes[[#This Row],[fecha_inicio]]="","",YEAR(tblOrdenes[[#This Row],[fecha_inicio]]))</f>
        <v/>
      </c>
      <c r="Q227" s="5">
        <f>IF(tblOrdenes[[#This Row],[fecha_inicio]]="","",MONTH(tblOrdenes[[#This Row],[fecha_inicio]]))</f>
        <v/>
      </c>
      <c r="R227" s="5">
        <f>IF(tblOrdenes[[#This Row],[fecha_inicio]]="","",tblOrdenes[[#This Row],[anio]]&amp;"-"&amp;TEXT(tblOrdenes[[#This Row],[mes]],"00"))</f>
        <v/>
      </c>
      <c r="S227" s="5">
        <f>IF(tblOrdenes[[#This Row],[fecha_inicio]]="","",INDEX(lista_dias,WEEKDAY(tblOrdenes[[#This Row],[fecha_inicio]],2)))</f>
        <v/>
      </c>
      <c r="T2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7" s="5">
        <f>IF(tblOrdenes[[#This Row],[tipo_ot]]="","",_xlfn.XLOOKUP(tblOrdenes[[#This Row],[tipo_ot]],tblTiposOT[codigo],tblTiposOT[clasificacion],"sin_clasificar"))</f>
        <v/>
      </c>
      <c r="V2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7" s="5">
        <f>IF(tblOrdenes[[#This Row],[centro_costo]]="","",_xlfn.XLOOKUP(tblOrdenes[[#This Row],[centro_costo]],tblCECO[codigo],tblCECO[linea],"(sin catálogo)"))</f>
        <v/>
      </c>
      <c r="X227" s="5">
        <f>IF(tblOrdenes[[#This Row],[centro_costo]]="","",_xlfn.XLOOKUP(tblOrdenes[[#This Row],[centro_costo]],tblCECO[codigo],tblCECO[area],"(sin catálogo)"))</f>
        <v/>
      </c>
      <c r="Y2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7" s="5">
        <f>IF(tblOrdenes[[#This Row],[centro_costo]]="","",_xlfn.XLOOKUP(tblOrdenes[[#This Row],[centro_costo]],tblCECO[codigo],tblCECO[coordinador],"(sin catálogo)"))</f>
        <v/>
      </c>
      <c r="AA227" s="5">
        <f>IF(tblOrdenes[[#This Row],[puesto_trabajo]]="","",_xlfn.XLOOKUP(tblOrdenes[[#This Row],[puesto_trabajo]],tblPuestos[codigo],tblPuestos[especialidad],"(sin catálogo)"))</f>
        <v/>
      </c>
      <c r="AB227" s="5">
        <f>IF(tblOrdenes[[#This Row],[cod_actividad]]="","",_xlfn.XLOOKUP(tblOrdenes[[#This Row],[cod_actividad]],tblActividades[codigo],tblActividades[descripcion],"(sin catálogo)"))</f>
        <v/>
      </c>
      <c r="AC227" s="20">
        <f>IF(tblOrdenes[[#This Row],[fecha_inicio]]="","",TODAY()-tblOrdenes[[#This Row],[fecha_inicio]])</f>
        <v/>
      </c>
      <c r="AD2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7" s="5">
        <f>IF(tblOrdenes[[#This Row],[backlog_habiles]]="","",IF(tblOrdenes[[#This Row],[backlog_habiles]]&lt;0,"FUTURO",IF(tblOrdenes[[#This Row],[backlog_habiles]]&gt;p_dias_backlog_max,"BACKLOG","MES CORRIENTE")))</f>
        <v/>
      </c>
      <c r="AF227" s="5">
        <f>IF(tblOrdenes[[#This Row],[backlog_habiles]]="",FALSE,AND(tblOrdenes[[#This Row],[backlog_habiles]]&gt;p_dias_backlog_min,tblOrdenes[[#This Row],[backlog_habiles]]&lt;=p_dias_backlog_max))</f>
        <v/>
      </c>
      <c r="AG227" s="4" t="n"/>
      <c r="AH2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7" s="18">
        <f>IF(tblOrdenes[[#This Row],[orden]]="","",_xlfn.XLOOKUP(tblOrdenes[[#This Row],[id_operacion]],tblEjecucion[id_operacion],tblEjecucion[precio],0))</f>
        <v/>
      </c>
      <c r="AL227" s="18">
        <f>IF(tblOrdenes[[#This Row],[orden]]="","",MAX(0,_xlfn.XLOOKUP(tblOrdenes[[#This Row],[id_operacion]],tblEjecucion[id_operacion],tblEjecucion[costo_plan_total],0)-tblOrdenes[[#This Row],[costo_servicio]]))</f>
        <v/>
      </c>
      <c r="AM227" s="18">
        <f>IF(tblOrdenes[[#This Row],[orden]]="","",tblOrdenes[[#This Row],[costo_servicio]]+tblOrdenes[[#This Row],[costo_materiales]])</f>
        <v/>
      </c>
      <c r="AN2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7" s="4" t="n"/>
      <c r="AP227" s="4" t="n"/>
      <c r="AQ227" s="4" t="n"/>
      <c r="AR227" s="5">
        <f>IF(tblOrdenes[[#This Row],[link_checklist]]="","",HYPERLINK(p_ruta_base_checklists&amp;tblOrdenes[[#This Row],[link_checklist]],"abrir"))</f>
        <v/>
      </c>
      <c r="AS227" s="4" t="n"/>
      <c r="AT227" s="5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22" t="n"/>
      <c r="K228" s="5" t="n"/>
      <c r="L228" s="18" t="n"/>
      <c r="M2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5">
        <f>IF(tblOrdenes[[#This Row],[fecha_inicio]]="","",YEAR(tblOrdenes[[#This Row],[fecha_inicio]]))</f>
        <v/>
      </c>
      <c r="Q228" s="5">
        <f>IF(tblOrdenes[[#This Row],[fecha_inicio]]="","",MONTH(tblOrdenes[[#This Row],[fecha_inicio]]))</f>
        <v/>
      </c>
      <c r="R228" s="5">
        <f>IF(tblOrdenes[[#This Row],[fecha_inicio]]="","",tblOrdenes[[#This Row],[anio]]&amp;"-"&amp;TEXT(tblOrdenes[[#This Row],[mes]],"00"))</f>
        <v/>
      </c>
      <c r="S228" s="5">
        <f>IF(tblOrdenes[[#This Row],[fecha_inicio]]="","",INDEX(lista_dias,WEEKDAY(tblOrdenes[[#This Row],[fecha_inicio]],2)))</f>
        <v/>
      </c>
      <c r="T2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8" s="5">
        <f>IF(tblOrdenes[[#This Row],[tipo_ot]]="","",_xlfn.XLOOKUP(tblOrdenes[[#This Row],[tipo_ot]],tblTiposOT[codigo],tblTiposOT[clasificacion],"sin_clasificar"))</f>
        <v/>
      </c>
      <c r="V2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8" s="5">
        <f>IF(tblOrdenes[[#This Row],[centro_costo]]="","",_xlfn.XLOOKUP(tblOrdenes[[#This Row],[centro_costo]],tblCECO[codigo],tblCECO[linea],"(sin catálogo)"))</f>
        <v/>
      </c>
      <c r="X228" s="5">
        <f>IF(tblOrdenes[[#This Row],[centro_costo]]="","",_xlfn.XLOOKUP(tblOrdenes[[#This Row],[centro_costo]],tblCECO[codigo],tblCECO[area],"(sin catálogo)"))</f>
        <v/>
      </c>
      <c r="Y2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8" s="5">
        <f>IF(tblOrdenes[[#This Row],[centro_costo]]="","",_xlfn.XLOOKUP(tblOrdenes[[#This Row],[centro_costo]],tblCECO[codigo],tblCECO[coordinador],"(sin catálogo)"))</f>
        <v/>
      </c>
      <c r="AA228" s="5">
        <f>IF(tblOrdenes[[#This Row],[puesto_trabajo]]="","",_xlfn.XLOOKUP(tblOrdenes[[#This Row],[puesto_trabajo]],tblPuestos[codigo],tblPuestos[especialidad],"(sin catálogo)"))</f>
        <v/>
      </c>
      <c r="AB228" s="5">
        <f>IF(tblOrdenes[[#This Row],[cod_actividad]]="","",_xlfn.XLOOKUP(tblOrdenes[[#This Row],[cod_actividad]],tblActividades[codigo],tblActividades[descripcion],"(sin catálogo)"))</f>
        <v/>
      </c>
      <c r="AC228" s="20">
        <f>IF(tblOrdenes[[#This Row],[fecha_inicio]]="","",TODAY()-tblOrdenes[[#This Row],[fecha_inicio]])</f>
        <v/>
      </c>
      <c r="AD2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8" s="5">
        <f>IF(tblOrdenes[[#This Row],[backlog_habiles]]="","",IF(tblOrdenes[[#This Row],[backlog_habiles]]&lt;0,"FUTURO",IF(tblOrdenes[[#This Row],[backlog_habiles]]&gt;p_dias_backlog_max,"BACKLOG","MES CORRIENTE")))</f>
        <v/>
      </c>
      <c r="AF228" s="5">
        <f>IF(tblOrdenes[[#This Row],[backlog_habiles]]="",FALSE,AND(tblOrdenes[[#This Row],[backlog_habiles]]&gt;p_dias_backlog_min,tblOrdenes[[#This Row],[backlog_habiles]]&lt;=p_dias_backlog_max))</f>
        <v/>
      </c>
      <c r="AG228" s="4" t="n"/>
      <c r="AH2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8" s="18">
        <f>IF(tblOrdenes[[#This Row],[orden]]="","",_xlfn.XLOOKUP(tblOrdenes[[#This Row],[id_operacion]],tblEjecucion[id_operacion],tblEjecucion[precio],0))</f>
        <v/>
      </c>
      <c r="AL228" s="18">
        <f>IF(tblOrdenes[[#This Row],[orden]]="","",MAX(0,_xlfn.XLOOKUP(tblOrdenes[[#This Row],[id_operacion]],tblEjecucion[id_operacion],tblEjecucion[costo_plan_total],0)-tblOrdenes[[#This Row],[costo_servicio]]))</f>
        <v/>
      </c>
      <c r="AM228" s="18">
        <f>IF(tblOrdenes[[#This Row],[orden]]="","",tblOrdenes[[#This Row],[costo_servicio]]+tblOrdenes[[#This Row],[costo_materiales]])</f>
        <v/>
      </c>
      <c r="AN2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8" s="4" t="n"/>
      <c r="AP228" s="4" t="n"/>
      <c r="AQ228" s="4" t="n"/>
      <c r="AR228" s="5">
        <f>IF(tblOrdenes[[#This Row],[link_checklist]]="","",HYPERLINK(p_ruta_base_checklists&amp;tblOrdenes[[#This Row],[link_checklist]],"abrir"))</f>
        <v/>
      </c>
      <c r="AS228" s="4" t="n"/>
      <c r="AT228" s="5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22" t="n"/>
      <c r="K229" s="5" t="n"/>
      <c r="L229" s="18" t="n"/>
      <c r="M2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5">
        <f>IF(tblOrdenes[[#This Row],[fecha_inicio]]="","",YEAR(tblOrdenes[[#This Row],[fecha_inicio]]))</f>
        <v/>
      </c>
      <c r="Q229" s="5">
        <f>IF(tblOrdenes[[#This Row],[fecha_inicio]]="","",MONTH(tblOrdenes[[#This Row],[fecha_inicio]]))</f>
        <v/>
      </c>
      <c r="R229" s="5">
        <f>IF(tblOrdenes[[#This Row],[fecha_inicio]]="","",tblOrdenes[[#This Row],[anio]]&amp;"-"&amp;TEXT(tblOrdenes[[#This Row],[mes]],"00"))</f>
        <v/>
      </c>
      <c r="S229" s="5">
        <f>IF(tblOrdenes[[#This Row],[fecha_inicio]]="","",INDEX(lista_dias,WEEKDAY(tblOrdenes[[#This Row],[fecha_inicio]],2)))</f>
        <v/>
      </c>
      <c r="T2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9" s="5">
        <f>IF(tblOrdenes[[#This Row],[tipo_ot]]="","",_xlfn.XLOOKUP(tblOrdenes[[#This Row],[tipo_ot]],tblTiposOT[codigo],tblTiposOT[clasificacion],"sin_clasificar"))</f>
        <v/>
      </c>
      <c r="V2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9" s="5">
        <f>IF(tblOrdenes[[#This Row],[centro_costo]]="","",_xlfn.XLOOKUP(tblOrdenes[[#This Row],[centro_costo]],tblCECO[codigo],tblCECO[linea],"(sin catálogo)"))</f>
        <v/>
      </c>
      <c r="X229" s="5">
        <f>IF(tblOrdenes[[#This Row],[centro_costo]]="","",_xlfn.XLOOKUP(tblOrdenes[[#This Row],[centro_costo]],tblCECO[codigo],tblCECO[area],"(sin catálogo)"))</f>
        <v/>
      </c>
      <c r="Y2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29" s="5">
        <f>IF(tblOrdenes[[#This Row],[centro_costo]]="","",_xlfn.XLOOKUP(tblOrdenes[[#This Row],[centro_costo]],tblCECO[codigo],tblCECO[coordinador],"(sin catálogo)"))</f>
        <v/>
      </c>
      <c r="AA229" s="5">
        <f>IF(tblOrdenes[[#This Row],[puesto_trabajo]]="","",_xlfn.XLOOKUP(tblOrdenes[[#This Row],[puesto_trabajo]],tblPuestos[codigo],tblPuestos[especialidad],"(sin catálogo)"))</f>
        <v/>
      </c>
      <c r="AB229" s="5">
        <f>IF(tblOrdenes[[#This Row],[cod_actividad]]="","",_xlfn.XLOOKUP(tblOrdenes[[#This Row],[cod_actividad]],tblActividades[codigo],tblActividades[descripcion],"(sin catálogo)"))</f>
        <v/>
      </c>
      <c r="AC229" s="20">
        <f>IF(tblOrdenes[[#This Row],[fecha_inicio]]="","",TODAY()-tblOrdenes[[#This Row],[fecha_inicio]])</f>
        <v/>
      </c>
      <c r="AD2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29" s="5">
        <f>IF(tblOrdenes[[#This Row],[backlog_habiles]]="","",IF(tblOrdenes[[#This Row],[backlog_habiles]]&lt;0,"FUTURO",IF(tblOrdenes[[#This Row],[backlog_habiles]]&gt;p_dias_backlog_max,"BACKLOG","MES CORRIENTE")))</f>
        <v/>
      </c>
      <c r="AF229" s="5">
        <f>IF(tblOrdenes[[#This Row],[backlog_habiles]]="",FALSE,AND(tblOrdenes[[#This Row],[backlog_habiles]]&gt;p_dias_backlog_min,tblOrdenes[[#This Row],[backlog_habiles]]&lt;=p_dias_backlog_max))</f>
        <v/>
      </c>
      <c r="AG229" s="4" t="n"/>
      <c r="AH2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29" s="18">
        <f>IF(tblOrdenes[[#This Row],[orden]]="","",_xlfn.XLOOKUP(tblOrdenes[[#This Row],[id_operacion]],tblEjecucion[id_operacion],tblEjecucion[precio],0))</f>
        <v/>
      </c>
      <c r="AL229" s="18">
        <f>IF(tblOrdenes[[#This Row],[orden]]="","",MAX(0,_xlfn.XLOOKUP(tblOrdenes[[#This Row],[id_operacion]],tblEjecucion[id_operacion],tblEjecucion[costo_plan_total],0)-tblOrdenes[[#This Row],[costo_servicio]]))</f>
        <v/>
      </c>
      <c r="AM229" s="18">
        <f>IF(tblOrdenes[[#This Row],[orden]]="","",tblOrdenes[[#This Row],[costo_servicio]]+tblOrdenes[[#This Row],[costo_materiales]])</f>
        <v/>
      </c>
      <c r="AN2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29" s="4" t="n"/>
      <c r="AP229" s="4" t="n"/>
      <c r="AQ229" s="4" t="n"/>
      <c r="AR229" s="5">
        <f>IF(tblOrdenes[[#This Row],[link_checklist]]="","",HYPERLINK(p_ruta_base_checklists&amp;tblOrdenes[[#This Row],[link_checklist]],"abrir"))</f>
        <v/>
      </c>
      <c r="AS229" s="4" t="n"/>
      <c r="AT229" s="5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22" t="n"/>
      <c r="K230" s="5" t="n"/>
      <c r="L230" s="18" t="n"/>
      <c r="M2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5">
        <f>IF(tblOrdenes[[#This Row],[fecha_inicio]]="","",YEAR(tblOrdenes[[#This Row],[fecha_inicio]]))</f>
        <v/>
      </c>
      <c r="Q230" s="5">
        <f>IF(tblOrdenes[[#This Row],[fecha_inicio]]="","",MONTH(tblOrdenes[[#This Row],[fecha_inicio]]))</f>
        <v/>
      </c>
      <c r="R230" s="5">
        <f>IF(tblOrdenes[[#This Row],[fecha_inicio]]="","",tblOrdenes[[#This Row],[anio]]&amp;"-"&amp;TEXT(tblOrdenes[[#This Row],[mes]],"00"))</f>
        <v/>
      </c>
      <c r="S230" s="5">
        <f>IF(tblOrdenes[[#This Row],[fecha_inicio]]="","",INDEX(lista_dias,WEEKDAY(tblOrdenes[[#This Row],[fecha_inicio]],2)))</f>
        <v/>
      </c>
      <c r="T2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0" s="5">
        <f>IF(tblOrdenes[[#This Row],[tipo_ot]]="","",_xlfn.XLOOKUP(tblOrdenes[[#This Row],[tipo_ot]],tblTiposOT[codigo],tblTiposOT[clasificacion],"sin_clasificar"))</f>
        <v/>
      </c>
      <c r="V2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0" s="5">
        <f>IF(tblOrdenes[[#This Row],[centro_costo]]="","",_xlfn.XLOOKUP(tblOrdenes[[#This Row],[centro_costo]],tblCECO[codigo],tblCECO[linea],"(sin catálogo)"))</f>
        <v/>
      </c>
      <c r="X230" s="5">
        <f>IF(tblOrdenes[[#This Row],[centro_costo]]="","",_xlfn.XLOOKUP(tblOrdenes[[#This Row],[centro_costo]],tblCECO[codigo],tblCECO[area],"(sin catálogo)"))</f>
        <v/>
      </c>
      <c r="Y2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0" s="5">
        <f>IF(tblOrdenes[[#This Row],[centro_costo]]="","",_xlfn.XLOOKUP(tblOrdenes[[#This Row],[centro_costo]],tblCECO[codigo],tblCECO[coordinador],"(sin catálogo)"))</f>
        <v/>
      </c>
      <c r="AA230" s="5">
        <f>IF(tblOrdenes[[#This Row],[puesto_trabajo]]="","",_xlfn.XLOOKUP(tblOrdenes[[#This Row],[puesto_trabajo]],tblPuestos[codigo],tblPuestos[especialidad],"(sin catálogo)"))</f>
        <v/>
      </c>
      <c r="AB230" s="5">
        <f>IF(tblOrdenes[[#This Row],[cod_actividad]]="","",_xlfn.XLOOKUP(tblOrdenes[[#This Row],[cod_actividad]],tblActividades[codigo],tblActividades[descripcion],"(sin catálogo)"))</f>
        <v/>
      </c>
      <c r="AC230" s="20">
        <f>IF(tblOrdenes[[#This Row],[fecha_inicio]]="","",TODAY()-tblOrdenes[[#This Row],[fecha_inicio]])</f>
        <v/>
      </c>
      <c r="AD2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0" s="5">
        <f>IF(tblOrdenes[[#This Row],[backlog_habiles]]="","",IF(tblOrdenes[[#This Row],[backlog_habiles]]&lt;0,"FUTURO",IF(tblOrdenes[[#This Row],[backlog_habiles]]&gt;p_dias_backlog_max,"BACKLOG","MES CORRIENTE")))</f>
        <v/>
      </c>
      <c r="AF230" s="5">
        <f>IF(tblOrdenes[[#This Row],[backlog_habiles]]="",FALSE,AND(tblOrdenes[[#This Row],[backlog_habiles]]&gt;p_dias_backlog_min,tblOrdenes[[#This Row],[backlog_habiles]]&lt;=p_dias_backlog_max))</f>
        <v/>
      </c>
      <c r="AG230" s="4" t="n"/>
      <c r="AH2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0" s="18">
        <f>IF(tblOrdenes[[#This Row],[orden]]="","",_xlfn.XLOOKUP(tblOrdenes[[#This Row],[id_operacion]],tblEjecucion[id_operacion],tblEjecucion[precio],0))</f>
        <v/>
      </c>
      <c r="AL230" s="18">
        <f>IF(tblOrdenes[[#This Row],[orden]]="","",MAX(0,_xlfn.XLOOKUP(tblOrdenes[[#This Row],[id_operacion]],tblEjecucion[id_operacion],tblEjecucion[costo_plan_total],0)-tblOrdenes[[#This Row],[costo_servicio]]))</f>
        <v/>
      </c>
      <c r="AM230" s="18">
        <f>IF(tblOrdenes[[#This Row],[orden]]="","",tblOrdenes[[#This Row],[costo_servicio]]+tblOrdenes[[#This Row],[costo_materiales]])</f>
        <v/>
      </c>
      <c r="AN2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0" s="4" t="n"/>
      <c r="AP230" s="4" t="n"/>
      <c r="AQ230" s="4" t="n"/>
      <c r="AR230" s="5">
        <f>IF(tblOrdenes[[#This Row],[link_checklist]]="","",HYPERLINK(p_ruta_base_checklists&amp;tblOrdenes[[#This Row],[link_checklist]],"abrir"))</f>
        <v/>
      </c>
      <c r="AS230" s="4" t="n"/>
      <c r="AT230" s="5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22" t="n"/>
      <c r="K231" s="5" t="n"/>
      <c r="L231" s="18" t="n"/>
      <c r="M2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5">
        <f>IF(tblOrdenes[[#This Row],[fecha_inicio]]="","",YEAR(tblOrdenes[[#This Row],[fecha_inicio]]))</f>
        <v/>
      </c>
      <c r="Q231" s="5">
        <f>IF(tblOrdenes[[#This Row],[fecha_inicio]]="","",MONTH(tblOrdenes[[#This Row],[fecha_inicio]]))</f>
        <v/>
      </c>
      <c r="R231" s="5">
        <f>IF(tblOrdenes[[#This Row],[fecha_inicio]]="","",tblOrdenes[[#This Row],[anio]]&amp;"-"&amp;TEXT(tblOrdenes[[#This Row],[mes]],"00"))</f>
        <v/>
      </c>
      <c r="S231" s="5">
        <f>IF(tblOrdenes[[#This Row],[fecha_inicio]]="","",INDEX(lista_dias,WEEKDAY(tblOrdenes[[#This Row],[fecha_inicio]],2)))</f>
        <v/>
      </c>
      <c r="T2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1" s="5">
        <f>IF(tblOrdenes[[#This Row],[tipo_ot]]="","",_xlfn.XLOOKUP(tblOrdenes[[#This Row],[tipo_ot]],tblTiposOT[codigo],tblTiposOT[clasificacion],"sin_clasificar"))</f>
        <v/>
      </c>
      <c r="V2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1" s="5">
        <f>IF(tblOrdenes[[#This Row],[centro_costo]]="","",_xlfn.XLOOKUP(tblOrdenes[[#This Row],[centro_costo]],tblCECO[codigo],tblCECO[linea],"(sin catálogo)"))</f>
        <v/>
      </c>
      <c r="X231" s="5">
        <f>IF(tblOrdenes[[#This Row],[centro_costo]]="","",_xlfn.XLOOKUP(tblOrdenes[[#This Row],[centro_costo]],tblCECO[codigo],tblCECO[area],"(sin catálogo)"))</f>
        <v/>
      </c>
      <c r="Y2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1" s="5">
        <f>IF(tblOrdenes[[#This Row],[centro_costo]]="","",_xlfn.XLOOKUP(tblOrdenes[[#This Row],[centro_costo]],tblCECO[codigo],tblCECO[coordinador],"(sin catálogo)"))</f>
        <v/>
      </c>
      <c r="AA231" s="5">
        <f>IF(tblOrdenes[[#This Row],[puesto_trabajo]]="","",_xlfn.XLOOKUP(tblOrdenes[[#This Row],[puesto_trabajo]],tblPuestos[codigo],tblPuestos[especialidad],"(sin catálogo)"))</f>
        <v/>
      </c>
      <c r="AB231" s="5">
        <f>IF(tblOrdenes[[#This Row],[cod_actividad]]="","",_xlfn.XLOOKUP(tblOrdenes[[#This Row],[cod_actividad]],tblActividades[codigo],tblActividades[descripcion],"(sin catálogo)"))</f>
        <v/>
      </c>
      <c r="AC231" s="20">
        <f>IF(tblOrdenes[[#This Row],[fecha_inicio]]="","",TODAY()-tblOrdenes[[#This Row],[fecha_inicio]])</f>
        <v/>
      </c>
      <c r="AD2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1" s="5">
        <f>IF(tblOrdenes[[#This Row],[backlog_habiles]]="","",IF(tblOrdenes[[#This Row],[backlog_habiles]]&lt;0,"FUTURO",IF(tblOrdenes[[#This Row],[backlog_habiles]]&gt;p_dias_backlog_max,"BACKLOG","MES CORRIENTE")))</f>
        <v/>
      </c>
      <c r="AF231" s="5">
        <f>IF(tblOrdenes[[#This Row],[backlog_habiles]]="",FALSE,AND(tblOrdenes[[#This Row],[backlog_habiles]]&gt;p_dias_backlog_min,tblOrdenes[[#This Row],[backlog_habiles]]&lt;=p_dias_backlog_max))</f>
        <v/>
      </c>
      <c r="AG231" s="4" t="n"/>
      <c r="AH2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1" s="18">
        <f>IF(tblOrdenes[[#This Row],[orden]]="","",_xlfn.XLOOKUP(tblOrdenes[[#This Row],[id_operacion]],tblEjecucion[id_operacion],tblEjecucion[precio],0))</f>
        <v/>
      </c>
      <c r="AL231" s="18">
        <f>IF(tblOrdenes[[#This Row],[orden]]="","",MAX(0,_xlfn.XLOOKUP(tblOrdenes[[#This Row],[id_operacion]],tblEjecucion[id_operacion],tblEjecucion[costo_plan_total],0)-tblOrdenes[[#This Row],[costo_servicio]]))</f>
        <v/>
      </c>
      <c r="AM231" s="18">
        <f>IF(tblOrdenes[[#This Row],[orden]]="","",tblOrdenes[[#This Row],[costo_servicio]]+tblOrdenes[[#This Row],[costo_materiales]])</f>
        <v/>
      </c>
      <c r="AN2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1" s="4" t="n"/>
      <c r="AP231" s="4" t="n"/>
      <c r="AQ231" s="4" t="n"/>
      <c r="AR231" s="5">
        <f>IF(tblOrdenes[[#This Row],[link_checklist]]="","",HYPERLINK(p_ruta_base_checklists&amp;tblOrdenes[[#This Row],[link_checklist]],"abrir"))</f>
        <v/>
      </c>
      <c r="AS231" s="4" t="n"/>
      <c r="AT231" s="5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22" t="n"/>
      <c r="K232" s="5" t="n"/>
      <c r="L232" s="18" t="n"/>
      <c r="M2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5">
        <f>IF(tblOrdenes[[#This Row],[fecha_inicio]]="","",YEAR(tblOrdenes[[#This Row],[fecha_inicio]]))</f>
        <v/>
      </c>
      <c r="Q232" s="5">
        <f>IF(tblOrdenes[[#This Row],[fecha_inicio]]="","",MONTH(tblOrdenes[[#This Row],[fecha_inicio]]))</f>
        <v/>
      </c>
      <c r="R232" s="5">
        <f>IF(tblOrdenes[[#This Row],[fecha_inicio]]="","",tblOrdenes[[#This Row],[anio]]&amp;"-"&amp;TEXT(tblOrdenes[[#This Row],[mes]],"00"))</f>
        <v/>
      </c>
      <c r="S232" s="5">
        <f>IF(tblOrdenes[[#This Row],[fecha_inicio]]="","",INDEX(lista_dias,WEEKDAY(tblOrdenes[[#This Row],[fecha_inicio]],2)))</f>
        <v/>
      </c>
      <c r="T2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2" s="5">
        <f>IF(tblOrdenes[[#This Row],[tipo_ot]]="","",_xlfn.XLOOKUP(tblOrdenes[[#This Row],[tipo_ot]],tblTiposOT[codigo],tblTiposOT[clasificacion],"sin_clasificar"))</f>
        <v/>
      </c>
      <c r="V2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2" s="5">
        <f>IF(tblOrdenes[[#This Row],[centro_costo]]="","",_xlfn.XLOOKUP(tblOrdenes[[#This Row],[centro_costo]],tblCECO[codigo],tblCECO[linea],"(sin catálogo)"))</f>
        <v/>
      </c>
      <c r="X232" s="5">
        <f>IF(tblOrdenes[[#This Row],[centro_costo]]="","",_xlfn.XLOOKUP(tblOrdenes[[#This Row],[centro_costo]],tblCECO[codigo],tblCECO[area],"(sin catálogo)"))</f>
        <v/>
      </c>
      <c r="Y2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2" s="5">
        <f>IF(tblOrdenes[[#This Row],[centro_costo]]="","",_xlfn.XLOOKUP(tblOrdenes[[#This Row],[centro_costo]],tblCECO[codigo],tblCECO[coordinador],"(sin catálogo)"))</f>
        <v/>
      </c>
      <c r="AA232" s="5">
        <f>IF(tblOrdenes[[#This Row],[puesto_trabajo]]="","",_xlfn.XLOOKUP(tblOrdenes[[#This Row],[puesto_trabajo]],tblPuestos[codigo],tblPuestos[especialidad],"(sin catálogo)"))</f>
        <v/>
      </c>
      <c r="AB232" s="5">
        <f>IF(tblOrdenes[[#This Row],[cod_actividad]]="","",_xlfn.XLOOKUP(tblOrdenes[[#This Row],[cod_actividad]],tblActividades[codigo],tblActividades[descripcion],"(sin catálogo)"))</f>
        <v/>
      </c>
      <c r="AC232" s="20">
        <f>IF(tblOrdenes[[#This Row],[fecha_inicio]]="","",TODAY()-tblOrdenes[[#This Row],[fecha_inicio]])</f>
        <v/>
      </c>
      <c r="AD2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2" s="5">
        <f>IF(tblOrdenes[[#This Row],[backlog_habiles]]="","",IF(tblOrdenes[[#This Row],[backlog_habiles]]&lt;0,"FUTURO",IF(tblOrdenes[[#This Row],[backlog_habiles]]&gt;p_dias_backlog_max,"BACKLOG","MES CORRIENTE")))</f>
        <v/>
      </c>
      <c r="AF232" s="5">
        <f>IF(tblOrdenes[[#This Row],[backlog_habiles]]="",FALSE,AND(tblOrdenes[[#This Row],[backlog_habiles]]&gt;p_dias_backlog_min,tblOrdenes[[#This Row],[backlog_habiles]]&lt;=p_dias_backlog_max))</f>
        <v/>
      </c>
      <c r="AG232" s="4" t="n"/>
      <c r="AH2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2" s="18">
        <f>IF(tblOrdenes[[#This Row],[orden]]="","",_xlfn.XLOOKUP(tblOrdenes[[#This Row],[id_operacion]],tblEjecucion[id_operacion],tblEjecucion[precio],0))</f>
        <v/>
      </c>
      <c r="AL232" s="18">
        <f>IF(tblOrdenes[[#This Row],[orden]]="","",MAX(0,_xlfn.XLOOKUP(tblOrdenes[[#This Row],[id_operacion]],tblEjecucion[id_operacion],tblEjecucion[costo_plan_total],0)-tblOrdenes[[#This Row],[costo_servicio]]))</f>
        <v/>
      </c>
      <c r="AM232" s="18">
        <f>IF(tblOrdenes[[#This Row],[orden]]="","",tblOrdenes[[#This Row],[costo_servicio]]+tblOrdenes[[#This Row],[costo_materiales]])</f>
        <v/>
      </c>
      <c r="AN2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2" s="4" t="n"/>
      <c r="AP232" s="4" t="n"/>
      <c r="AQ232" s="4" t="n"/>
      <c r="AR232" s="5">
        <f>IF(tblOrdenes[[#This Row],[link_checklist]]="","",HYPERLINK(p_ruta_base_checklists&amp;tblOrdenes[[#This Row],[link_checklist]],"abrir"))</f>
        <v/>
      </c>
      <c r="AS232" s="4" t="n"/>
      <c r="AT232" s="5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22" t="n"/>
      <c r="K233" s="5" t="n"/>
      <c r="L233" s="18" t="n"/>
      <c r="M2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5">
        <f>IF(tblOrdenes[[#This Row],[fecha_inicio]]="","",YEAR(tblOrdenes[[#This Row],[fecha_inicio]]))</f>
        <v/>
      </c>
      <c r="Q233" s="5">
        <f>IF(tblOrdenes[[#This Row],[fecha_inicio]]="","",MONTH(tblOrdenes[[#This Row],[fecha_inicio]]))</f>
        <v/>
      </c>
      <c r="R233" s="5">
        <f>IF(tblOrdenes[[#This Row],[fecha_inicio]]="","",tblOrdenes[[#This Row],[anio]]&amp;"-"&amp;TEXT(tblOrdenes[[#This Row],[mes]],"00"))</f>
        <v/>
      </c>
      <c r="S233" s="5">
        <f>IF(tblOrdenes[[#This Row],[fecha_inicio]]="","",INDEX(lista_dias,WEEKDAY(tblOrdenes[[#This Row],[fecha_inicio]],2)))</f>
        <v/>
      </c>
      <c r="T2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3" s="5">
        <f>IF(tblOrdenes[[#This Row],[tipo_ot]]="","",_xlfn.XLOOKUP(tblOrdenes[[#This Row],[tipo_ot]],tblTiposOT[codigo],tblTiposOT[clasificacion],"sin_clasificar"))</f>
        <v/>
      </c>
      <c r="V2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3" s="5">
        <f>IF(tblOrdenes[[#This Row],[centro_costo]]="","",_xlfn.XLOOKUP(tblOrdenes[[#This Row],[centro_costo]],tblCECO[codigo],tblCECO[linea],"(sin catálogo)"))</f>
        <v/>
      </c>
      <c r="X233" s="5">
        <f>IF(tblOrdenes[[#This Row],[centro_costo]]="","",_xlfn.XLOOKUP(tblOrdenes[[#This Row],[centro_costo]],tblCECO[codigo],tblCECO[area],"(sin catálogo)"))</f>
        <v/>
      </c>
      <c r="Y2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3" s="5">
        <f>IF(tblOrdenes[[#This Row],[centro_costo]]="","",_xlfn.XLOOKUP(tblOrdenes[[#This Row],[centro_costo]],tblCECO[codigo],tblCECO[coordinador],"(sin catálogo)"))</f>
        <v/>
      </c>
      <c r="AA233" s="5">
        <f>IF(tblOrdenes[[#This Row],[puesto_trabajo]]="","",_xlfn.XLOOKUP(tblOrdenes[[#This Row],[puesto_trabajo]],tblPuestos[codigo],tblPuestos[especialidad],"(sin catálogo)"))</f>
        <v/>
      </c>
      <c r="AB233" s="5">
        <f>IF(tblOrdenes[[#This Row],[cod_actividad]]="","",_xlfn.XLOOKUP(tblOrdenes[[#This Row],[cod_actividad]],tblActividades[codigo],tblActividades[descripcion],"(sin catálogo)"))</f>
        <v/>
      </c>
      <c r="AC233" s="20">
        <f>IF(tblOrdenes[[#This Row],[fecha_inicio]]="","",TODAY()-tblOrdenes[[#This Row],[fecha_inicio]])</f>
        <v/>
      </c>
      <c r="AD2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3" s="5">
        <f>IF(tblOrdenes[[#This Row],[backlog_habiles]]="","",IF(tblOrdenes[[#This Row],[backlog_habiles]]&lt;0,"FUTURO",IF(tblOrdenes[[#This Row],[backlog_habiles]]&gt;p_dias_backlog_max,"BACKLOG","MES CORRIENTE")))</f>
        <v/>
      </c>
      <c r="AF233" s="5">
        <f>IF(tblOrdenes[[#This Row],[backlog_habiles]]="",FALSE,AND(tblOrdenes[[#This Row],[backlog_habiles]]&gt;p_dias_backlog_min,tblOrdenes[[#This Row],[backlog_habiles]]&lt;=p_dias_backlog_max))</f>
        <v/>
      </c>
      <c r="AG233" s="4" t="n"/>
      <c r="AH2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3" s="18">
        <f>IF(tblOrdenes[[#This Row],[orden]]="","",_xlfn.XLOOKUP(tblOrdenes[[#This Row],[id_operacion]],tblEjecucion[id_operacion],tblEjecucion[precio],0))</f>
        <v/>
      </c>
      <c r="AL233" s="18">
        <f>IF(tblOrdenes[[#This Row],[orden]]="","",MAX(0,_xlfn.XLOOKUP(tblOrdenes[[#This Row],[id_operacion]],tblEjecucion[id_operacion],tblEjecucion[costo_plan_total],0)-tblOrdenes[[#This Row],[costo_servicio]]))</f>
        <v/>
      </c>
      <c r="AM233" s="18">
        <f>IF(tblOrdenes[[#This Row],[orden]]="","",tblOrdenes[[#This Row],[costo_servicio]]+tblOrdenes[[#This Row],[costo_materiales]])</f>
        <v/>
      </c>
      <c r="AN2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3" s="4" t="n"/>
      <c r="AP233" s="4" t="n"/>
      <c r="AQ233" s="4" t="n"/>
      <c r="AR233" s="5">
        <f>IF(tblOrdenes[[#This Row],[link_checklist]]="","",HYPERLINK(p_ruta_base_checklists&amp;tblOrdenes[[#This Row],[link_checklist]],"abrir"))</f>
        <v/>
      </c>
      <c r="AS233" s="4" t="n"/>
      <c r="AT233" s="5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22" t="n"/>
      <c r="K234" s="5" t="n"/>
      <c r="L234" s="18" t="n"/>
      <c r="M2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5">
        <f>IF(tblOrdenes[[#This Row],[fecha_inicio]]="","",YEAR(tblOrdenes[[#This Row],[fecha_inicio]]))</f>
        <v/>
      </c>
      <c r="Q234" s="5">
        <f>IF(tblOrdenes[[#This Row],[fecha_inicio]]="","",MONTH(tblOrdenes[[#This Row],[fecha_inicio]]))</f>
        <v/>
      </c>
      <c r="R234" s="5">
        <f>IF(tblOrdenes[[#This Row],[fecha_inicio]]="","",tblOrdenes[[#This Row],[anio]]&amp;"-"&amp;TEXT(tblOrdenes[[#This Row],[mes]],"00"))</f>
        <v/>
      </c>
      <c r="S234" s="5">
        <f>IF(tblOrdenes[[#This Row],[fecha_inicio]]="","",INDEX(lista_dias,WEEKDAY(tblOrdenes[[#This Row],[fecha_inicio]],2)))</f>
        <v/>
      </c>
      <c r="T2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4" s="5">
        <f>IF(tblOrdenes[[#This Row],[tipo_ot]]="","",_xlfn.XLOOKUP(tblOrdenes[[#This Row],[tipo_ot]],tblTiposOT[codigo],tblTiposOT[clasificacion],"sin_clasificar"))</f>
        <v/>
      </c>
      <c r="V2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4" s="5">
        <f>IF(tblOrdenes[[#This Row],[centro_costo]]="","",_xlfn.XLOOKUP(tblOrdenes[[#This Row],[centro_costo]],tblCECO[codigo],tblCECO[linea],"(sin catálogo)"))</f>
        <v/>
      </c>
      <c r="X234" s="5">
        <f>IF(tblOrdenes[[#This Row],[centro_costo]]="","",_xlfn.XLOOKUP(tblOrdenes[[#This Row],[centro_costo]],tblCECO[codigo],tblCECO[area],"(sin catálogo)"))</f>
        <v/>
      </c>
      <c r="Y2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4" s="5">
        <f>IF(tblOrdenes[[#This Row],[centro_costo]]="","",_xlfn.XLOOKUP(tblOrdenes[[#This Row],[centro_costo]],tblCECO[codigo],tblCECO[coordinador],"(sin catálogo)"))</f>
        <v/>
      </c>
      <c r="AA234" s="5">
        <f>IF(tblOrdenes[[#This Row],[puesto_trabajo]]="","",_xlfn.XLOOKUP(tblOrdenes[[#This Row],[puesto_trabajo]],tblPuestos[codigo],tblPuestos[especialidad],"(sin catálogo)"))</f>
        <v/>
      </c>
      <c r="AB234" s="5">
        <f>IF(tblOrdenes[[#This Row],[cod_actividad]]="","",_xlfn.XLOOKUP(tblOrdenes[[#This Row],[cod_actividad]],tblActividades[codigo],tblActividades[descripcion],"(sin catálogo)"))</f>
        <v/>
      </c>
      <c r="AC234" s="20">
        <f>IF(tblOrdenes[[#This Row],[fecha_inicio]]="","",TODAY()-tblOrdenes[[#This Row],[fecha_inicio]])</f>
        <v/>
      </c>
      <c r="AD2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4" s="5">
        <f>IF(tblOrdenes[[#This Row],[backlog_habiles]]="","",IF(tblOrdenes[[#This Row],[backlog_habiles]]&lt;0,"FUTURO",IF(tblOrdenes[[#This Row],[backlog_habiles]]&gt;p_dias_backlog_max,"BACKLOG","MES CORRIENTE")))</f>
        <v/>
      </c>
      <c r="AF234" s="5">
        <f>IF(tblOrdenes[[#This Row],[backlog_habiles]]="",FALSE,AND(tblOrdenes[[#This Row],[backlog_habiles]]&gt;p_dias_backlog_min,tblOrdenes[[#This Row],[backlog_habiles]]&lt;=p_dias_backlog_max))</f>
        <v/>
      </c>
      <c r="AG234" s="4" t="n"/>
      <c r="AH2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4" s="18">
        <f>IF(tblOrdenes[[#This Row],[orden]]="","",_xlfn.XLOOKUP(tblOrdenes[[#This Row],[id_operacion]],tblEjecucion[id_operacion],tblEjecucion[precio],0))</f>
        <v/>
      </c>
      <c r="AL234" s="18">
        <f>IF(tblOrdenes[[#This Row],[orden]]="","",MAX(0,_xlfn.XLOOKUP(tblOrdenes[[#This Row],[id_operacion]],tblEjecucion[id_operacion],tblEjecucion[costo_plan_total],0)-tblOrdenes[[#This Row],[costo_servicio]]))</f>
        <v/>
      </c>
      <c r="AM234" s="18">
        <f>IF(tblOrdenes[[#This Row],[orden]]="","",tblOrdenes[[#This Row],[costo_servicio]]+tblOrdenes[[#This Row],[costo_materiales]])</f>
        <v/>
      </c>
      <c r="AN2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4" s="4" t="n"/>
      <c r="AP234" s="4" t="n"/>
      <c r="AQ234" s="4" t="n"/>
      <c r="AR234" s="5">
        <f>IF(tblOrdenes[[#This Row],[link_checklist]]="","",HYPERLINK(p_ruta_base_checklists&amp;tblOrdenes[[#This Row],[link_checklist]],"abrir"))</f>
        <v/>
      </c>
      <c r="AS234" s="4" t="n"/>
      <c r="AT234" s="5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22" t="n"/>
      <c r="K235" s="5" t="n"/>
      <c r="L235" s="18" t="n"/>
      <c r="M2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5">
        <f>IF(tblOrdenes[[#This Row],[fecha_inicio]]="","",YEAR(tblOrdenes[[#This Row],[fecha_inicio]]))</f>
        <v/>
      </c>
      <c r="Q235" s="5">
        <f>IF(tblOrdenes[[#This Row],[fecha_inicio]]="","",MONTH(tblOrdenes[[#This Row],[fecha_inicio]]))</f>
        <v/>
      </c>
      <c r="R235" s="5">
        <f>IF(tblOrdenes[[#This Row],[fecha_inicio]]="","",tblOrdenes[[#This Row],[anio]]&amp;"-"&amp;TEXT(tblOrdenes[[#This Row],[mes]],"00"))</f>
        <v/>
      </c>
      <c r="S235" s="5">
        <f>IF(tblOrdenes[[#This Row],[fecha_inicio]]="","",INDEX(lista_dias,WEEKDAY(tblOrdenes[[#This Row],[fecha_inicio]],2)))</f>
        <v/>
      </c>
      <c r="T2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5" s="5">
        <f>IF(tblOrdenes[[#This Row],[tipo_ot]]="","",_xlfn.XLOOKUP(tblOrdenes[[#This Row],[tipo_ot]],tblTiposOT[codigo],tblTiposOT[clasificacion],"sin_clasificar"))</f>
        <v/>
      </c>
      <c r="V2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5" s="5">
        <f>IF(tblOrdenes[[#This Row],[centro_costo]]="","",_xlfn.XLOOKUP(tblOrdenes[[#This Row],[centro_costo]],tblCECO[codigo],tblCECO[linea],"(sin catálogo)"))</f>
        <v/>
      </c>
      <c r="X235" s="5">
        <f>IF(tblOrdenes[[#This Row],[centro_costo]]="","",_xlfn.XLOOKUP(tblOrdenes[[#This Row],[centro_costo]],tblCECO[codigo],tblCECO[area],"(sin catálogo)"))</f>
        <v/>
      </c>
      <c r="Y2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5" s="5">
        <f>IF(tblOrdenes[[#This Row],[centro_costo]]="","",_xlfn.XLOOKUP(tblOrdenes[[#This Row],[centro_costo]],tblCECO[codigo],tblCECO[coordinador],"(sin catálogo)"))</f>
        <v/>
      </c>
      <c r="AA235" s="5">
        <f>IF(tblOrdenes[[#This Row],[puesto_trabajo]]="","",_xlfn.XLOOKUP(tblOrdenes[[#This Row],[puesto_trabajo]],tblPuestos[codigo],tblPuestos[especialidad],"(sin catálogo)"))</f>
        <v/>
      </c>
      <c r="AB235" s="5">
        <f>IF(tblOrdenes[[#This Row],[cod_actividad]]="","",_xlfn.XLOOKUP(tblOrdenes[[#This Row],[cod_actividad]],tblActividades[codigo],tblActividades[descripcion],"(sin catálogo)"))</f>
        <v/>
      </c>
      <c r="AC235" s="20">
        <f>IF(tblOrdenes[[#This Row],[fecha_inicio]]="","",TODAY()-tblOrdenes[[#This Row],[fecha_inicio]])</f>
        <v/>
      </c>
      <c r="AD2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5" s="5">
        <f>IF(tblOrdenes[[#This Row],[backlog_habiles]]="","",IF(tblOrdenes[[#This Row],[backlog_habiles]]&lt;0,"FUTURO",IF(tblOrdenes[[#This Row],[backlog_habiles]]&gt;p_dias_backlog_max,"BACKLOG","MES CORRIENTE")))</f>
        <v/>
      </c>
      <c r="AF235" s="5">
        <f>IF(tblOrdenes[[#This Row],[backlog_habiles]]="",FALSE,AND(tblOrdenes[[#This Row],[backlog_habiles]]&gt;p_dias_backlog_min,tblOrdenes[[#This Row],[backlog_habiles]]&lt;=p_dias_backlog_max))</f>
        <v/>
      </c>
      <c r="AG235" s="4" t="n"/>
      <c r="AH2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5" s="18">
        <f>IF(tblOrdenes[[#This Row],[orden]]="","",_xlfn.XLOOKUP(tblOrdenes[[#This Row],[id_operacion]],tblEjecucion[id_operacion],tblEjecucion[precio],0))</f>
        <v/>
      </c>
      <c r="AL235" s="18">
        <f>IF(tblOrdenes[[#This Row],[orden]]="","",MAX(0,_xlfn.XLOOKUP(tblOrdenes[[#This Row],[id_operacion]],tblEjecucion[id_operacion],tblEjecucion[costo_plan_total],0)-tblOrdenes[[#This Row],[costo_servicio]]))</f>
        <v/>
      </c>
      <c r="AM235" s="18">
        <f>IF(tblOrdenes[[#This Row],[orden]]="","",tblOrdenes[[#This Row],[costo_servicio]]+tblOrdenes[[#This Row],[costo_materiales]])</f>
        <v/>
      </c>
      <c r="AN2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5" s="4" t="n"/>
      <c r="AP235" s="4" t="n"/>
      <c r="AQ235" s="4" t="n"/>
      <c r="AR235" s="5">
        <f>IF(tblOrdenes[[#This Row],[link_checklist]]="","",HYPERLINK(p_ruta_base_checklists&amp;tblOrdenes[[#This Row],[link_checklist]],"abrir"))</f>
        <v/>
      </c>
      <c r="AS235" s="4" t="n"/>
      <c r="AT235" s="5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22" t="n"/>
      <c r="K236" s="5" t="n"/>
      <c r="L236" s="18" t="n"/>
      <c r="M2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5">
        <f>IF(tblOrdenes[[#This Row],[fecha_inicio]]="","",YEAR(tblOrdenes[[#This Row],[fecha_inicio]]))</f>
        <v/>
      </c>
      <c r="Q236" s="5">
        <f>IF(tblOrdenes[[#This Row],[fecha_inicio]]="","",MONTH(tblOrdenes[[#This Row],[fecha_inicio]]))</f>
        <v/>
      </c>
      <c r="R236" s="5">
        <f>IF(tblOrdenes[[#This Row],[fecha_inicio]]="","",tblOrdenes[[#This Row],[anio]]&amp;"-"&amp;TEXT(tblOrdenes[[#This Row],[mes]],"00"))</f>
        <v/>
      </c>
      <c r="S236" s="5">
        <f>IF(tblOrdenes[[#This Row],[fecha_inicio]]="","",INDEX(lista_dias,WEEKDAY(tblOrdenes[[#This Row],[fecha_inicio]],2)))</f>
        <v/>
      </c>
      <c r="T2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6" s="5">
        <f>IF(tblOrdenes[[#This Row],[tipo_ot]]="","",_xlfn.XLOOKUP(tblOrdenes[[#This Row],[tipo_ot]],tblTiposOT[codigo],tblTiposOT[clasificacion],"sin_clasificar"))</f>
        <v/>
      </c>
      <c r="V2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6" s="5">
        <f>IF(tblOrdenes[[#This Row],[centro_costo]]="","",_xlfn.XLOOKUP(tblOrdenes[[#This Row],[centro_costo]],tblCECO[codigo],tblCECO[linea],"(sin catálogo)"))</f>
        <v/>
      </c>
      <c r="X236" s="5">
        <f>IF(tblOrdenes[[#This Row],[centro_costo]]="","",_xlfn.XLOOKUP(tblOrdenes[[#This Row],[centro_costo]],tblCECO[codigo],tblCECO[area],"(sin catálogo)"))</f>
        <v/>
      </c>
      <c r="Y2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6" s="5">
        <f>IF(tblOrdenes[[#This Row],[centro_costo]]="","",_xlfn.XLOOKUP(tblOrdenes[[#This Row],[centro_costo]],tblCECO[codigo],tblCECO[coordinador],"(sin catálogo)"))</f>
        <v/>
      </c>
      <c r="AA236" s="5">
        <f>IF(tblOrdenes[[#This Row],[puesto_trabajo]]="","",_xlfn.XLOOKUP(tblOrdenes[[#This Row],[puesto_trabajo]],tblPuestos[codigo],tblPuestos[especialidad],"(sin catálogo)"))</f>
        <v/>
      </c>
      <c r="AB236" s="5">
        <f>IF(tblOrdenes[[#This Row],[cod_actividad]]="","",_xlfn.XLOOKUP(tblOrdenes[[#This Row],[cod_actividad]],tblActividades[codigo],tblActividades[descripcion],"(sin catálogo)"))</f>
        <v/>
      </c>
      <c r="AC236" s="20">
        <f>IF(tblOrdenes[[#This Row],[fecha_inicio]]="","",TODAY()-tblOrdenes[[#This Row],[fecha_inicio]])</f>
        <v/>
      </c>
      <c r="AD2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6" s="5">
        <f>IF(tblOrdenes[[#This Row],[backlog_habiles]]="","",IF(tblOrdenes[[#This Row],[backlog_habiles]]&lt;0,"FUTURO",IF(tblOrdenes[[#This Row],[backlog_habiles]]&gt;p_dias_backlog_max,"BACKLOG","MES CORRIENTE")))</f>
        <v/>
      </c>
      <c r="AF236" s="5">
        <f>IF(tblOrdenes[[#This Row],[backlog_habiles]]="",FALSE,AND(tblOrdenes[[#This Row],[backlog_habiles]]&gt;p_dias_backlog_min,tblOrdenes[[#This Row],[backlog_habiles]]&lt;=p_dias_backlog_max))</f>
        <v/>
      </c>
      <c r="AG236" s="4" t="n"/>
      <c r="AH2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6" s="18">
        <f>IF(tblOrdenes[[#This Row],[orden]]="","",_xlfn.XLOOKUP(tblOrdenes[[#This Row],[id_operacion]],tblEjecucion[id_operacion],tblEjecucion[precio],0))</f>
        <v/>
      </c>
      <c r="AL236" s="18">
        <f>IF(tblOrdenes[[#This Row],[orden]]="","",MAX(0,_xlfn.XLOOKUP(tblOrdenes[[#This Row],[id_operacion]],tblEjecucion[id_operacion],tblEjecucion[costo_plan_total],0)-tblOrdenes[[#This Row],[costo_servicio]]))</f>
        <v/>
      </c>
      <c r="AM236" s="18">
        <f>IF(tblOrdenes[[#This Row],[orden]]="","",tblOrdenes[[#This Row],[costo_servicio]]+tblOrdenes[[#This Row],[costo_materiales]])</f>
        <v/>
      </c>
      <c r="AN2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6" s="4" t="n"/>
      <c r="AP236" s="4" t="n"/>
      <c r="AQ236" s="4" t="n"/>
      <c r="AR236" s="5">
        <f>IF(tblOrdenes[[#This Row],[link_checklist]]="","",HYPERLINK(p_ruta_base_checklists&amp;tblOrdenes[[#This Row],[link_checklist]],"abrir"))</f>
        <v/>
      </c>
      <c r="AS236" s="4" t="n"/>
      <c r="AT236" s="5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22" t="n"/>
      <c r="K237" s="5" t="n"/>
      <c r="L237" s="18" t="n"/>
      <c r="M2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5">
        <f>IF(tblOrdenes[[#This Row],[fecha_inicio]]="","",YEAR(tblOrdenes[[#This Row],[fecha_inicio]]))</f>
        <v/>
      </c>
      <c r="Q237" s="5">
        <f>IF(tblOrdenes[[#This Row],[fecha_inicio]]="","",MONTH(tblOrdenes[[#This Row],[fecha_inicio]]))</f>
        <v/>
      </c>
      <c r="R237" s="5">
        <f>IF(tblOrdenes[[#This Row],[fecha_inicio]]="","",tblOrdenes[[#This Row],[anio]]&amp;"-"&amp;TEXT(tblOrdenes[[#This Row],[mes]],"00"))</f>
        <v/>
      </c>
      <c r="S237" s="5">
        <f>IF(tblOrdenes[[#This Row],[fecha_inicio]]="","",INDEX(lista_dias,WEEKDAY(tblOrdenes[[#This Row],[fecha_inicio]],2)))</f>
        <v/>
      </c>
      <c r="T2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7" s="5">
        <f>IF(tblOrdenes[[#This Row],[tipo_ot]]="","",_xlfn.XLOOKUP(tblOrdenes[[#This Row],[tipo_ot]],tblTiposOT[codigo],tblTiposOT[clasificacion],"sin_clasificar"))</f>
        <v/>
      </c>
      <c r="V2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7" s="5">
        <f>IF(tblOrdenes[[#This Row],[centro_costo]]="","",_xlfn.XLOOKUP(tblOrdenes[[#This Row],[centro_costo]],tblCECO[codigo],tblCECO[linea],"(sin catálogo)"))</f>
        <v/>
      </c>
      <c r="X237" s="5">
        <f>IF(tblOrdenes[[#This Row],[centro_costo]]="","",_xlfn.XLOOKUP(tblOrdenes[[#This Row],[centro_costo]],tblCECO[codigo],tblCECO[area],"(sin catálogo)"))</f>
        <v/>
      </c>
      <c r="Y2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7" s="5">
        <f>IF(tblOrdenes[[#This Row],[centro_costo]]="","",_xlfn.XLOOKUP(tblOrdenes[[#This Row],[centro_costo]],tblCECO[codigo],tblCECO[coordinador],"(sin catálogo)"))</f>
        <v/>
      </c>
      <c r="AA237" s="5">
        <f>IF(tblOrdenes[[#This Row],[puesto_trabajo]]="","",_xlfn.XLOOKUP(tblOrdenes[[#This Row],[puesto_trabajo]],tblPuestos[codigo],tblPuestos[especialidad],"(sin catálogo)"))</f>
        <v/>
      </c>
      <c r="AB237" s="5">
        <f>IF(tblOrdenes[[#This Row],[cod_actividad]]="","",_xlfn.XLOOKUP(tblOrdenes[[#This Row],[cod_actividad]],tblActividades[codigo],tblActividades[descripcion],"(sin catálogo)"))</f>
        <v/>
      </c>
      <c r="AC237" s="20">
        <f>IF(tblOrdenes[[#This Row],[fecha_inicio]]="","",TODAY()-tblOrdenes[[#This Row],[fecha_inicio]])</f>
        <v/>
      </c>
      <c r="AD2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7" s="5">
        <f>IF(tblOrdenes[[#This Row],[backlog_habiles]]="","",IF(tblOrdenes[[#This Row],[backlog_habiles]]&lt;0,"FUTURO",IF(tblOrdenes[[#This Row],[backlog_habiles]]&gt;p_dias_backlog_max,"BACKLOG","MES CORRIENTE")))</f>
        <v/>
      </c>
      <c r="AF237" s="5">
        <f>IF(tblOrdenes[[#This Row],[backlog_habiles]]="",FALSE,AND(tblOrdenes[[#This Row],[backlog_habiles]]&gt;p_dias_backlog_min,tblOrdenes[[#This Row],[backlog_habiles]]&lt;=p_dias_backlog_max))</f>
        <v/>
      </c>
      <c r="AG237" s="4" t="n"/>
      <c r="AH2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7" s="18">
        <f>IF(tblOrdenes[[#This Row],[orden]]="","",_xlfn.XLOOKUP(tblOrdenes[[#This Row],[id_operacion]],tblEjecucion[id_operacion],tblEjecucion[precio],0))</f>
        <v/>
      </c>
      <c r="AL237" s="18">
        <f>IF(tblOrdenes[[#This Row],[orden]]="","",MAX(0,_xlfn.XLOOKUP(tblOrdenes[[#This Row],[id_operacion]],tblEjecucion[id_operacion],tblEjecucion[costo_plan_total],0)-tblOrdenes[[#This Row],[costo_servicio]]))</f>
        <v/>
      </c>
      <c r="AM237" s="18">
        <f>IF(tblOrdenes[[#This Row],[orden]]="","",tblOrdenes[[#This Row],[costo_servicio]]+tblOrdenes[[#This Row],[costo_materiales]])</f>
        <v/>
      </c>
      <c r="AN2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7" s="4" t="n"/>
      <c r="AP237" s="4" t="n"/>
      <c r="AQ237" s="4" t="n"/>
      <c r="AR237" s="5">
        <f>IF(tblOrdenes[[#This Row],[link_checklist]]="","",HYPERLINK(p_ruta_base_checklists&amp;tblOrdenes[[#This Row],[link_checklist]],"abrir"))</f>
        <v/>
      </c>
      <c r="AS237" s="4" t="n"/>
      <c r="AT237" s="5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22" t="n"/>
      <c r="K238" s="5" t="n"/>
      <c r="L238" s="18" t="n"/>
      <c r="M2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5">
        <f>IF(tblOrdenes[[#This Row],[fecha_inicio]]="","",YEAR(tblOrdenes[[#This Row],[fecha_inicio]]))</f>
        <v/>
      </c>
      <c r="Q238" s="5">
        <f>IF(tblOrdenes[[#This Row],[fecha_inicio]]="","",MONTH(tblOrdenes[[#This Row],[fecha_inicio]]))</f>
        <v/>
      </c>
      <c r="R238" s="5">
        <f>IF(tblOrdenes[[#This Row],[fecha_inicio]]="","",tblOrdenes[[#This Row],[anio]]&amp;"-"&amp;TEXT(tblOrdenes[[#This Row],[mes]],"00"))</f>
        <v/>
      </c>
      <c r="S238" s="5">
        <f>IF(tblOrdenes[[#This Row],[fecha_inicio]]="","",INDEX(lista_dias,WEEKDAY(tblOrdenes[[#This Row],[fecha_inicio]],2)))</f>
        <v/>
      </c>
      <c r="T2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8" s="5">
        <f>IF(tblOrdenes[[#This Row],[tipo_ot]]="","",_xlfn.XLOOKUP(tblOrdenes[[#This Row],[tipo_ot]],tblTiposOT[codigo],tblTiposOT[clasificacion],"sin_clasificar"))</f>
        <v/>
      </c>
      <c r="V2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8" s="5">
        <f>IF(tblOrdenes[[#This Row],[centro_costo]]="","",_xlfn.XLOOKUP(tblOrdenes[[#This Row],[centro_costo]],tblCECO[codigo],tblCECO[linea],"(sin catálogo)"))</f>
        <v/>
      </c>
      <c r="X238" s="5">
        <f>IF(tblOrdenes[[#This Row],[centro_costo]]="","",_xlfn.XLOOKUP(tblOrdenes[[#This Row],[centro_costo]],tblCECO[codigo],tblCECO[area],"(sin catálogo)"))</f>
        <v/>
      </c>
      <c r="Y2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8" s="5">
        <f>IF(tblOrdenes[[#This Row],[centro_costo]]="","",_xlfn.XLOOKUP(tblOrdenes[[#This Row],[centro_costo]],tblCECO[codigo],tblCECO[coordinador],"(sin catálogo)"))</f>
        <v/>
      </c>
      <c r="AA238" s="5">
        <f>IF(tblOrdenes[[#This Row],[puesto_trabajo]]="","",_xlfn.XLOOKUP(tblOrdenes[[#This Row],[puesto_trabajo]],tblPuestos[codigo],tblPuestos[especialidad],"(sin catálogo)"))</f>
        <v/>
      </c>
      <c r="AB238" s="5">
        <f>IF(tblOrdenes[[#This Row],[cod_actividad]]="","",_xlfn.XLOOKUP(tblOrdenes[[#This Row],[cod_actividad]],tblActividades[codigo],tblActividades[descripcion],"(sin catálogo)"))</f>
        <v/>
      </c>
      <c r="AC238" s="20">
        <f>IF(tblOrdenes[[#This Row],[fecha_inicio]]="","",TODAY()-tblOrdenes[[#This Row],[fecha_inicio]])</f>
        <v/>
      </c>
      <c r="AD2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8" s="5">
        <f>IF(tblOrdenes[[#This Row],[backlog_habiles]]="","",IF(tblOrdenes[[#This Row],[backlog_habiles]]&lt;0,"FUTURO",IF(tblOrdenes[[#This Row],[backlog_habiles]]&gt;p_dias_backlog_max,"BACKLOG","MES CORRIENTE")))</f>
        <v/>
      </c>
      <c r="AF238" s="5">
        <f>IF(tblOrdenes[[#This Row],[backlog_habiles]]="",FALSE,AND(tblOrdenes[[#This Row],[backlog_habiles]]&gt;p_dias_backlog_min,tblOrdenes[[#This Row],[backlog_habiles]]&lt;=p_dias_backlog_max))</f>
        <v/>
      </c>
      <c r="AG238" s="4" t="n"/>
      <c r="AH2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8" s="18">
        <f>IF(tblOrdenes[[#This Row],[orden]]="","",_xlfn.XLOOKUP(tblOrdenes[[#This Row],[id_operacion]],tblEjecucion[id_operacion],tblEjecucion[precio],0))</f>
        <v/>
      </c>
      <c r="AL238" s="18">
        <f>IF(tblOrdenes[[#This Row],[orden]]="","",MAX(0,_xlfn.XLOOKUP(tblOrdenes[[#This Row],[id_operacion]],tblEjecucion[id_operacion],tblEjecucion[costo_plan_total],0)-tblOrdenes[[#This Row],[costo_servicio]]))</f>
        <v/>
      </c>
      <c r="AM238" s="18">
        <f>IF(tblOrdenes[[#This Row],[orden]]="","",tblOrdenes[[#This Row],[costo_servicio]]+tblOrdenes[[#This Row],[costo_materiales]])</f>
        <v/>
      </c>
      <c r="AN2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8" s="4" t="n"/>
      <c r="AP238" s="4" t="n"/>
      <c r="AQ238" s="4" t="n"/>
      <c r="AR238" s="5">
        <f>IF(tblOrdenes[[#This Row],[link_checklist]]="","",HYPERLINK(p_ruta_base_checklists&amp;tblOrdenes[[#This Row],[link_checklist]],"abrir"))</f>
        <v/>
      </c>
      <c r="AS238" s="4" t="n"/>
      <c r="AT238" s="5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22" t="n"/>
      <c r="K239" s="5" t="n"/>
      <c r="L239" s="18" t="n"/>
      <c r="M2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5">
        <f>IF(tblOrdenes[[#This Row],[fecha_inicio]]="","",YEAR(tblOrdenes[[#This Row],[fecha_inicio]]))</f>
        <v/>
      </c>
      <c r="Q239" s="5">
        <f>IF(tblOrdenes[[#This Row],[fecha_inicio]]="","",MONTH(tblOrdenes[[#This Row],[fecha_inicio]]))</f>
        <v/>
      </c>
      <c r="R239" s="5">
        <f>IF(tblOrdenes[[#This Row],[fecha_inicio]]="","",tblOrdenes[[#This Row],[anio]]&amp;"-"&amp;TEXT(tblOrdenes[[#This Row],[mes]],"00"))</f>
        <v/>
      </c>
      <c r="S239" s="5">
        <f>IF(tblOrdenes[[#This Row],[fecha_inicio]]="","",INDEX(lista_dias,WEEKDAY(tblOrdenes[[#This Row],[fecha_inicio]],2)))</f>
        <v/>
      </c>
      <c r="T2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9" s="5">
        <f>IF(tblOrdenes[[#This Row],[tipo_ot]]="","",_xlfn.XLOOKUP(tblOrdenes[[#This Row],[tipo_ot]],tblTiposOT[codigo],tblTiposOT[clasificacion],"sin_clasificar"))</f>
        <v/>
      </c>
      <c r="V2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9" s="5">
        <f>IF(tblOrdenes[[#This Row],[centro_costo]]="","",_xlfn.XLOOKUP(tblOrdenes[[#This Row],[centro_costo]],tblCECO[codigo],tblCECO[linea],"(sin catálogo)"))</f>
        <v/>
      </c>
      <c r="X239" s="5">
        <f>IF(tblOrdenes[[#This Row],[centro_costo]]="","",_xlfn.XLOOKUP(tblOrdenes[[#This Row],[centro_costo]],tblCECO[codigo],tblCECO[area],"(sin catálogo)"))</f>
        <v/>
      </c>
      <c r="Y2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39" s="5">
        <f>IF(tblOrdenes[[#This Row],[centro_costo]]="","",_xlfn.XLOOKUP(tblOrdenes[[#This Row],[centro_costo]],tblCECO[codigo],tblCECO[coordinador],"(sin catálogo)"))</f>
        <v/>
      </c>
      <c r="AA239" s="5">
        <f>IF(tblOrdenes[[#This Row],[puesto_trabajo]]="","",_xlfn.XLOOKUP(tblOrdenes[[#This Row],[puesto_trabajo]],tblPuestos[codigo],tblPuestos[especialidad],"(sin catálogo)"))</f>
        <v/>
      </c>
      <c r="AB239" s="5">
        <f>IF(tblOrdenes[[#This Row],[cod_actividad]]="","",_xlfn.XLOOKUP(tblOrdenes[[#This Row],[cod_actividad]],tblActividades[codigo],tblActividades[descripcion],"(sin catálogo)"))</f>
        <v/>
      </c>
      <c r="AC239" s="20">
        <f>IF(tblOrdenes[[#This Row],[fecha_inicio]]="","",TODAY()-tblOrdenes[[#This Row],[fecha_inicio]])</f>
        <v/>
      </c>
      <c r="AD2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39" s="5">
        <f>IF(tblOrdenes[[#This Row],[backlog_habiles]]="","",IF(tblOrdenes[[#This Row],[backlog_habiles]]&lt;0,"FUTURO",IF(tblOrdenes[[#This Row],[backlog_habiles]]&gt;p_dias_backlog_max,"BACKLOG","MES CORRIENTE")))</f>
        <v/>
      </c>
      <c r="AF239" s="5">
        <f>IF(tblOrdenes[[#This Row],[backlog_habiles]]="",FALSE,AND(tblOrdenes[[#This Row],[backlog_habiles]]&gt;p_dias_backlog_min,tblOrdenes[[#This Row],[backlog_habiles]]&lt;=p_dias_backlog_max))</f>
        <v/>
      </c>
      <c r="AG239" s="4" t="n"/>
      <c r="AH2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39" s="18">
        <f>IF(tblOrdenes[[#This Row],[orden]]="","",_xlfn.XLOOKUP(tblOrdenes[[#This Row],[id_operacion]],tblEjecucion[id_operacion],tblEjecucion[precio],0))</f>
        <v/>
      </c>
      <c r="AL239" s="18">
        <f>IF(tblOrdenes[[#This Row],[orden]]="","",MAX(0,_xlfn.XLOOKUP(tblOrdenes[[#This Row],[id_operacion]],tblEjecucion[id_operacion],tblEjecucion[costo_plan_total],0)-tblOrdenes[[#This Row],[costo_servicio]]))</f>
        <v/>
      </c>
      <c r="AM239" s="18">
        <f>IF(tblOrdenes[[#This Row],[orden]]="","",tblOrdenes[[#This Row],[costo_servicio]]+tblOrdenes[[#This Row],[costo_materiales]])</f>
        <v/>
      </c>
      <c r="AN2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39" s="4" t="n"/>
      <c r="AP239" s="4" t="n"/>
      <c r="AQ239" s="4" t="n"/>
      <c r="AR239" s="5">
        <f>IF(tblOrdenes[[#This Row],[link_checklist]]="","",HYPERLINK(p_ruta_base_checklists&amp;tblOrdenes[[#This Row],[link_checklist]],"abrir"))</f>
        <v/>
      </c>
      <c r="AS239" s="4" t="n"/>
      <c r="AT239" s="5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22" t="n"/>
      <c r="K240" s="5" t="n"/>
      <c r="L240" s="18" t="n"/>
      <c r="M2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5">
        <f>IF(tblOrdenes[[#This Row],[fecha_inicio]]="","",YEAR(tblOrdenes[[#This Row],[fecha_inicio]]))</f>
        <v/>
      </c>
      <c r="Q240" s="5">
        <f>IF(tblOrdenes[[#This Row],[fecha_inicio]]="","",MONTH(tblOrdenes[[#This Row],[fecha_inicio]]))</f>
        <v/>
      </c>
      <c r="R240" s="5">
        <f>IF(tblOrdenes[[#This Row],[fecha_inicio]]="","",tblOrdenes[[#This Row],[anio]]&amp;"-"&amp;TEXT(tblOrdenes[[#This Row],[mes]],"00"))</f>
        <v/>
      </c>
      <c r="S240" s="5">
        <f>IF(tblOrdenes[[#This Row],[fecha_inicio]]="","",INDEX(lista_dias,WEEKDAY(tblOrdenes[[#This Row],[fecha_inicio]],2)))</f>
        <v/>
      </c>
      <c r="T2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0" s="5">
        <f>IF(tblOrdenes[[#This Row],[tipo_ot]]="","",_xlfn.XLOOKUP(tblOrdenes[[#This Row],[tipo_ot]],tblTiposOT[codigo],tblTiposOT[clasificacion],"sin_clasificar"))</f>
        <v/>
      </c>
      <c r="V2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0" s="5">
        <f>IF(tblOrdenes[[#This Row],[centro_costo]]="","",_xlfn.XLOOKUP(tblOrdenes[[#This Row],[centro_costo]],tblCECO[codigo],tblCECO[linea],"(sin catálogo)"))</f>
        <v/>
      </c>
      <c r="X240" s="5">
        <f>IF(tblOrdenes[[#This Row],[centro_costo]]="","",_xlfn.XLOOKUP(tblOrdenes[[#This Row],[centro_costo]],tblCECO[codigo],tblCECO[area],"(sin catálogo)"))</f>
        <v/>
      </c>
      <c r="Y2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0" s="5">
        <f>IF(tblOrdenes[[#This Row],[centro_costo]]="","",_xlfn.XLOOKUP(tblOrdenes[[#This Row],[centro_costo]],tblCECO[codigo],tblCECO[coordinador],"(sin catálogo)"))</f>
        <v/>
      </c>
      <c r="AA240" s="5">
        <f>IF(tblOrdenes[[#This Row],[puesto_trabajo]]="","",_xlfn.XLOOKUP(tblOrdenes[[#This Row],[puesto_trabajo]],tblPuestos[codigo],tblPuestos[especialidad],"(sin catálogo)"))</f>
        <v/>
      </c>
      <c r="AB240" s="5">
        <f>IF(tblOrdenes[[#This Row],[cod_actividad]]="","",_xlfn.XLOOKUP(tblOrdenes[[#This Row],[cod_actividad]],tblActividades[codigo],tblActividades[descripcion],"(sin catálogo)"))</f>
        <v/>
      </c>
      <c r="AC240" s="20">
        <f>IF(tblOrdenes[[#This Row],[fecha_inicio]]="","",TODAY()-tblOrdenes[[#This Row],[fecha_inicio]])</f>
        <v/>
      </c>
      <c r="AD2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0" s="5">
        <f>IF(tblOrdenes[[#This Row],[backlog_habiles]]="","",IF(tblOrdenes[[#This Row],[backlog_habiles]]&lt;0,"FUTURO",IF(tblOrdenes[[#This Row],[backlog_habiles]]&gt;p_dias_backlog_max,"BACKLOG","MES CORRIENTE")))</f>
        <v/>
      </c>
      <c r="AF240" s="5">
        <f>IF(tblOrdenes[[#This Row],[backlog_habiles]]="",FALSE,AND(tblOrdenes[[#This Row],[backlog_habiles]]&gt;p_dias_backlog_min,tblOrdenes[[#This Row],[backlog_habiles]]&lt;=p_dias_backlog_max))</f>
        <v/>
      </c>
      <c r="AG240" s="4" t="n"/>
      <c r="AH2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0" s="18">
        <f>IF(tblOrdenes[[#This Row],[orden]]="","",_xlfn.XLOOKUP(tblOrdenes[[#This Row],[id_operacion]],tblEjecucion[id_operacion],tblEjecucion[precio],0))</f>
        <v/>
      </c>
      <c r="AL240" s="18">
        <f>IF(tblOrdenes[[#This Row],[orden]]="","",MAX(0,_xlfn.XLOOKUP(tblOrdenes[[#This Row],[id_operacion]],tblEjecucion[id_operacion],tblEjecucion[costo_plan_total],0)-tblOrdenes[[#This Row],[costo_servicio]]))</f>
        <v/>
      </c>
      <c r="AM240" s="18">
        <f>IF(tblOrdenes[[#This Row],[orden]]="","",tblOrdenes[[#This Row],[costo_servicio]]+tblOrdenes[[#This Row],[costo_materiales]])</f>
        <v/>
      </c>
      <c r="AN2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0" s="4" t="n"/>
      <c r="AP240" s="4" t="n"/>
      <c r="AQ240" s="4" t="n"/>
      <c r="AR240" s="5">
        <f>IF(tblOrdenes[[#This Row],[link_checklist]]="","",HYPERLINK(p_ruta_base_checklists&amp;tblOrdenes[[#This Row],[link_checklist]],"abrir"))</f>
        <v/>
      </c>
      <c r="AS240" s="4" t="n"/>
      <c r="AT240" s="5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22" t="n"/>
      <c r="K241" s="5" t="n"/>
      <c r="L241" s="18" t="n"/>
      <c r="M2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5">
        <f>IF(tblOrdenes[[#This Row],[fecha_inicio]]="","",YEAR(tblOrdenes[[#This Row],[fecha_inicio]]))</f>
        <v/>
      </c>
      <c r="Q241" s="5">
        <f>IF(tblOrdenes[[#This Row],[fecha_inicio]]="","",MONTH(tblOrdenes[[#This Row],[fecha_inicio]]))</f>
        <v/>
      </c>
      <c r="R241" s="5">
        <f>IF(tblOrdenes[[#This Row],[fecha_inicio]]="","",tblOrdenes[[#This Row],[anio]]&amp;"-"&amp;TEXT(tblOrdenes[[#This Row],[mes]],"00"))</f>
        <v/>
      </c>
      <c r="S241" s="5">
        <f>IF(tblOrdenes[[#This Row],[fecha_inicio]]="","",INDEX(lista_dias,WEEKDAY(tblOrdenes[[#This Row],[fecha_inicio]],2)))</f>
        <v/>
      </c>
      <c r="T2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1" s="5">
        <f>IF(tblOrdenes[[#This Row],[tipo_ot]]="","",_xlfn.XLOOKUP(tblOrdenes[[#This Row],[tipo_ot]],tblTiposOT[codigo],tblTiposOT[clasificacion],"sin_clasificar"))</f>
        <v/>
      </c>
      <c r="V2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1" s="5">
        <f>IF(tblOrdenes[[#This Row],[centro_costo]]="","",_xlfn.XLOOKUP(tblOrdenes[[#This Row],[centro_costo]],tblCECO[codigo],tblCECO[linea],"(sin catálogo)"))</f>
        <v/>
      </c>
      <c r="X241" s="5">
        <f>IF(tblOrdenes[[#This Row],[centro_costo]]="","",_xlfn.XLOOKUP(tblOrdenes[[#This Row],[centro_costo]],tblCECO[codigo],tblCECO[area],"(sin catálogo)"))</f>
        <v/>
      </c>
      <c r="Y2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1" s="5">
        <f>IF(tblOrdenes[[#This Row],[centro_costo]]="","",_xlfn.XLOOKUP(tblOrdenes[[#This Row],[centro_costo]],tblCECO[codigo],tblCECO[coordinador],"(sin catálogo)"))</f>
        <v/>
      </c>
      <c r="AA241" s="5">
        <f>IF(tblOrdenes[[#This Row],[puesto_trabajo]]="","",_xlfn.XLOOKUP(tblOrdenes[[#This Row],[puesto_trabajo]],tblPuestos[codigo],tblPuestos[especialidad],"(sin catálogo)"))</f>
        <v/>
      </c>
      <c r="AB241" s="5">
        <f>IF(tblOrdenes[[#This Row],[cod_actividad]]="","",_xlfn.XLOOKUP(tblOrdenes[[#This Row],[cod_actividad]],tblActividades[codigo],tblActividades[descripcion],"(sin catálogo)"))</f>
        <v/>
      </c>
      <c r="AC241" s="20">
        <f>IF(tblOrdenes[[#This Row],[fecha_inicio]]="","",TODAY()-tblOrdenes[[#This Row],[fecha_inicio]])</f>
        <v/>
      </c>
      <c r="AD2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1" s="5">
        <f>IF(tblOrdenes[[#This Row],[backlog_habiles]]="","",IF(tblOrdenes[[#This Row],[backlog_habiles]]&lt;0,"FUTURO",IF(tblOrdenes[[#This Row],[backlog_habiles]]&gt;p_dias_backlog_max,"BACKLOG","MES CORRIENTE")))</f>
        <v/>
      </c>
      <c r="AF241" s="5">
        <f>IF(tblOrdenes[[#This Row],[backlog_habiles]]="",FALSE,AND(tblOrdenes[[#This Row],[backlog_habiles]]&gt;p_dias_backlog_min,tblOrdenes[[#This Row],[backlog_habiles]]&lt;=p_dias_backlog_max))</f>
        <v/>
      </c>
      <c r="AG241" s="4" t="n"/>
      <c r="AH2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1" s="18">
        <f>IF(tblOrdenes[[#This Row],[orden]]="","",_xlfn.XLOOKUP(tblOrdenes[[#This Row],[id_operacion]],tblEjecucion[id_operacion],tblEjecucion[precio],0))</f>
        <v/>
      </c>
      <c r="AL241" s="18">
        <f>IF(tblOrdenes[[#This Row],[orden]]="","",MAX(0,_xlfn.XLOOKUP(tblOrdenes[[#This Row],[id_operacion]],tblEjecucion[id_operacion],tblEjecucion[costo_plan_total],0)-tblOrdenes[[#This Row],[costo_servicio]]))</f>
        <v/>
      </c>
      <c r="AM241" s="18">
        <f>IF(tblOrdenes[[#This Row],[orden]]="","",tblOrdenes[[#This Row],[costo_servicio]]+tblOrdenes[[#This Row],[costo_materiales]])</f>
        <v/>
      </c>
      <c r="AN2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1" s="4" t="n"/>
      <c r="AP241" s="4" t="n"/>
      <c r="AQ241" s="4" t="n"/>
      <c r="AR241" s="5">
        <f>IF(tblOrdenes[[#This Row],[link_checklist]]="","",HYPERLINK(p_ruta_base_checklists&amp;tblOrdenes[[#This Row],[link_checklist]],"abrir"))</f>
        <v/>
      </c>
      <c r="AS241" s="4" t="n"/>
      <c r="AT241" s="5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22" t="n"/>
      <c r="K242" s="5" t="n"/>
      <c r="L242" s="18" t="n"/>
      <c r="M2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5">
        <f>IF(tblOrdenes[[#This Row],[fecha_inicio]]="","",YEAR(tblOrdenes[[#This Row],[fecha_inicio]]))</f>
        <v/>
      </c>
      <c r="Q242" s="5">
        <f>IF(tblOrdenes[[#This Row],[fecha_inicio]]="","",MONTH(tblOrdenes[[#This Row],[fecha_inicio]]))</f>
        <v/>
      </c>
      <c r="R242" s="5">
        <f>IF(tblOrdenes[[#This Row],[fecha_inicio]]="","",tblOrdenes[[#This Row],[anio]]&amp;"-"&amp;TEXT(tblOrdenes[[#This Row],[mes]],"00"))</f>
        <v/>
      </c>
      <c r="S242" s="5">
        <f>IF(tblOrdenes[[#This Row],[fecha_inicio]]="","",INDEX(lista_dias,WEEKDAY(tblOrdenes[[#This Row],[fecha_inicio]],2)))</f>
        <v/>
      </c>
      <c r="T2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2" s="5">
        <f>IF(tblOrdenes[[#This Row],[tipo_ot]]="","",_xlfn.XLOOKUP(tblOrdenes[[#This Row],[tipo_ot]],tblTiposOT[codigo],tblTiposOT[clasificacion],"sin_clasificar"))</f>
        <v/>
      </c>
      <c r="V2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2" s="5">
        <f>IF(tblOrdenes[[#This Row],[centro_costo]]="","",_xlfn.XLOOKUP(tblOrdenes[[#This Row],[centro_costo]],tblCECO[codigo],tblCECO[linea],"(sin catálogo)"))</f>
        <v/>
      </c>
      <c r="X242" s="5">
        <f>IF(tblOrdenes[[#This Row],[centro_costo]]="","",_xlfn.XLOOKUP(tblOrdenes[[#This Row],[centro_costo]],tblCECO[codigo],tblCECO[area],"(sin catálogo)"))</f>
        <v/>
      </c>
      <c r="Y2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2" s="5">
        <f>IF(tblOrdenes[[#This Row],[centro_costo]]="","",_xlfn.XLOOKUP(tblOrdenes[[#This Row],[centro_costo]],tblCECO[codigo],tblCECO[coordinador],"(sin catálogo)"))</f>
        <v/>
      </c>
      <c r="AA242" s="5">
        <f>IF(tblOrdenes[[#This Row],[puesto_trabajo]]="","",_xlfn.XLOOKUP(tblOrdenes[[#This Row],[puesto_trabajo]],tblPuestos[codigo],tblPuestos[especialidad],"(sin catálogo)"))</f>
        <v/>
      </c>
      <c r="AB242" s="5">
        <f>IF(tblOrdenes[[#This Row],[cod_actividad]]="","",_xlfn.XLOOKUP(tblOrdenes[[#This Row],[cod_actividad]],tblActividades[codigo],tblActividades[descripcion],"(sin catálogo)"))</f>
        <v/>
      </c>
      <c r="AC242" s="20">
        <f>IF(tblOrdenes[[#This Row],[fecha_inicio]]="","",TODAY()-tblOrdenes[[#This Row],[fecha_inicio]])</f>
        <v/>
      </c>
      <c r="AD2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2" s="5">
        <f>IF(tblOrdenes[[#This Row],[backlog_habiles]]="","",IF(tblOrdenes[[#This Row],[backlog_habiles]]&lt;0,"FUTURO",IF(tblOrdenes[[#This Row],[backlog_habiles]]&gt;p_dias_backlog_max,"BACKLOG","MES CORRIENTE")))</f>
        <v/>
      </c>
      <c r="AF242" s="5">
        <f>IF(tblOrdenes[[#This Row],[backlog_habiles]]="",FALSE,AND(tblOrdenes[[#This Row],[backlog_habiles]]&gt;p_dias_backlog_min,tblOrdenes[[#This Row],[backlog_habiles]]&lt;=p_dias_backlog_max))</f>
        <v/>
      </c>
      <c r="AG242" s="4" t="n"/>
      <c r="AH2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2" s="18">
        <f>IF(tblOrdenes[[#This Row],[orden]]="","",_xlfn.XLOOKUP(tblOrdenes[[#This Row],[id_operacion]],tblEjecucion[id_operacion],tblEjecucion[precio],0))</f>
        <v/>
      </c>
      <c r="AL242" s="18">
        <f>IF(tblOrdenes[[#This Row],[orden]]="","",MAX(0,_xlfn.XLOOKUP(tblOrdenes[[#This Row],[id_operacion]],tblEjecucion[id_operacion],tblEjecucion[costo_plan_total],0)-tblOrdenes[[#This Row],[costo_servicio]]))</f>
        <v/>
      </c>
      <c r="AM242" s="18">
        <f>IF(tblOrdenes[[#This Row],[orden]]="","",tblOrdenes[[#This Row],[costo_servicio]]+tblOrdenes[[#This Row],[costo_materiales]])</f>
        <v/>
      </c>
      <c r="AN2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2" s="4" t="n"/>
      <c r="AP242" s="4" t="n"/>
      <c r="AQ242" s="4" t="n"/>
      <c r="AR242" s="5">
        <f>IF(tblOrdenes[[#This Row],[link_checklist]]="","",HYPERLINK(p_ruta_base_checklists&amp;tblOrdenes[[#This Row],[link_checklist]],"abrir"))</f>
        <v/>
      </c>
      <c r="AS242" s="4" t="n"/>
      <c r="AT242" s="5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22" t="n"/>
      <c r="K243" s="5" t="n"/>
      <c r="L243" s="18" t="n"/>
      <c r="M2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5">
        <f>IF(tblOrdenes[[#This Row],[fecha_inicio]]="","",YEAR(tblOrdenes[[#This Row],[fecha_inicio]]))</f>
        <v/>
      </c>
      <c r="Q243" s="5">
        <f>IF(tblOrdenes[[#This Row],[fecha_inicio]]="","",MONTH(tblOrdenes[[#This Row],[fecha_inicio]]))</f>
        <v/>
      </c>
      <c r="R243" s="5">
        <f>IF(tblOrdenes[[#This Row],[fecha_inicio]]="","",tblOrdenes[[#This Row],[anio]]&amp;"-"&amp;TEXT(tblOrdenes[[#This Row],[mes]],"00"))</f>
        <v/>
      </c>
      <c r="S243" s="5">
        <f>IF(tblOrdenes[[#This Row],[fecha_inicio]]="","",INDEX(lista_dias,WEEKDAY(tblOrdenes[[#This Row],[fecha_inicio]],2)))</f>
        <v/>
      </c>
      <c r="T2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3" s="5">
        <f>IF(tblOrdenes[[#This Row],[tipo_ot]]="","",_xlfn.XLOOKUP(tblOrdenes[[#This Row],[tipo_ot]],tblTiposOT[codigo],tblTiposOT[clasificacion],"sin_clasificar"))</f>
        <v/>
      </c>
      <c r="V2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3" s="5">
        <f>IF(tblOrdenes[[#This Row],[centro_costo]]="","",_xlfn.XLOOKUP(tblOrdenes[[#This Row],[centro_costo]],tblCECO[codigo],tblCECO[linea],"(sin catálogo)"))</f>
        <v/>
      </c>
      <c r="X243" s="5">
        <f>IF(tblOrdenes[[#This Row],[centro_costo]]="","",_xlfn.XLOOKUP(tblOrdenes[[#This Row],[centro_costo]],tblCECO[codigo],tblCECO[area],"(sin catálogo)"))</f>
        <v/>
      </c>
      <c r="Y2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3" s="5">
        <f>IF(tblOrdenes[[#This Row],[centro_costo]]="","",_xlfn.XLOOKUP(tblOrdenes[[#This Row],[centro_costo]],tblCECO[codigo],tblCECO[coordinador],"(sin catálogo)"))</f>
        <v/>
      </c>
      <c r="AA243" s="5">
        <f>IF(tblOrdenes[[#This Row],[puesto_trabajo]]="","",_xlfn.XLOOKUP(tblOrdenes[[#This Row],[puesto_trabajo]],tblPuestos[codigo],tblPuestos[especialidad],"(sin catálogo)"))</f>
        <v/>
      </c>
      <c r="AB243" s="5">
        <f>IF(tblOrdenes[[#This Row],[cod_actividad]]="","",_xlfn.XLOOKUP(tblOrdenes[[#This Row],[cod_actividad]],tblActividades[codigo],tblActividades[descripcion],"(sin catálogo)"))</f>
        <v/>
      </c>
      <c r="AC243" s="20">
        <f>IF(tblOrdenes[[#This Row],[fecha_inicio]]="","",TODAY()-tblOrdenes[[#This Row],[fecha_inicio]])</f>
        <v/>
      </c>
      <c r="AD2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3" s="5">
        <f>IF(tblOrdenes[[#This Row],[backlog_habiles]]="","",IF(tblOrdenes[[#This Row],[backlog_habiles]]&lt;0,"FUTURO",IF(tblOrdenes[[#This Row],[backlog_habiles]]&gt;p_dias_backlog_max,"BACKLOG","MES CORRIENTE")))</f>
        <v/>
      </c>
      <c r="AF243" s="5">
        <f>IF(tblOrdenes[[#This Row],[backlog_habiles]]="",FALSE,AND(tblOrdenes[[#This Row],[backlog_habiles]]&gt;p_dias_backlog_min,tblOrdenes[[#This Row],[backlog_habiles]]&lt;=p_dias_backlog_max))</f>
        <v/>
      </c>
      <c r="AG243" s="4" t="n"/>
      <c r="AH2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3" s="18">
        <f>IF(tblOrdenes[[#This Row],[orden]]="","",_xlfn.XLOOKUP(tblOrdenes[[#This Row],[id_operacion]],tblEjecucion[id_operacion],tblEjecucion[precio],0))</f>
        <v/>
      </c>
      <c r="AL243" s="18">
        <f>IF(tblOrdenes[[#This Row],[orden]]="","",MAX(0,_xlfn.XLOOKUP(tblOrdenes[[#This Row],[id_operacion]],tblEjecucion[id_operacion],tblEjecucion[costo_plan_total],0)-tblOrdenes[[#This Row],[costo_servicio]]))</f>
        <v/>
      </c>
      <c r="AM243" s="18">
        <f>IF(tblOrdenes[[#This Row],[orden]]="","",tblOrdenes[[#This Row],[costo_servicio]]+tblOrdenes[[#This Row],[costo_materiales]])</f>
        <v/>
      </c>
      <c r="AN2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3" s="4" t="n"/>
      <c r="AP243" s="4" t="n"/>
      <c r="AQ243" s="4" t="n"/>
      <c r="AR243" s="5">
        <f>IF(tblOrdenes[[#This Row],[link_checklist]]="","",HYPERLINK(p_ruta_base_checklists&amp;tblOrdenes[[#This Row],[link_checklist]],"abrir"))</f>
        <v/>
      </c>
      <c r="AS243" s="4" t="n"/>
      <c r="AT243" s="5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22" t="n"/>
      <c r="K244" s="5" t="n"/>
      <c r="L244" s="18" t="n"/>
      <c r="M2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5">
        <f>IF(tblOrdenes[[#This Row],[fecha_inicio]]="","",YEAR(tblOrdenes[[#This Row],[fecha_inicio]]))</f>
        <v/>
      </c>
      <c r="Q244" s="5">
        <f>IF(tblOrdenes[[#This Row],[fecha_inicio]]="","",MONTH(tblOrdenes[[#This Row],[fecha_inicio]]))</f>
        <v/>
      </c>
      <c r="R244" s="5">
        <f>IF(tblOrdenes[[#This Row],[fecha_inicio]]="","",tblOrdenes[[#This Row],[anio]]&amp;"-"&amp;TEXT(tblOrdenes[[#This Row],[mes]],"00"))</f>
        <v/>
      </c>
      <c r="S244" s="5">
        <f>IF(tblOrdenes[[#This Row],[fecha_inicio]]="","",INDEX(lista_dias,WEEKDAY(tblOrdenes[[#This Row],[fecha_inicio]],2)))</f>
        <v/>
      </c>
      <c r="T2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4" s="5">
        <f>IF(tblOrdenes[[#This Row],[tipo_ot]]="","",_xlfn.XLOOKUP(tblOrdenes[[#This Row],[tipo_ot]],tblTiposOT[codigo],tblTiposOT[clasificacion],"sin_clasificar"))</f>
        <v/>
      </c>
      <c r="V2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4" s="5">
        <f>IF(tblOrdenes[[#This Row],[centro_costo]]="","",_xlfn.XLOOKUP(tblOrdenes[[#This Row],[centro_costo]],tblCECO[codigo],tblCECO[linea],"(sin catálogo)"))</f>
        <v/>
      </c>
      <c r="X244" s="5">
        <f>IF(tblOrdenes[[#This Row],[centro_costo]]="","",_xlfn.XLOOKUP(tblOrdenes[[#This Row],[centro_costo]],tblCECO[codigo],tblCECO[area],"(sin catálogo)"))</f>
        <v/>
      </c>
      <c r="Y2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4" s="5">
        <f>IF(tblOrdenes[[#This Row],[centro_costo]]="","",_xlfn.XLOOKUP(tblOrdenes[[#This Row],[centro_costo]],tblCECO[codigo],tblCECO[coordinador],"(sin catálogo)"))</f>
        <v/>
      </c>
      <c r="AA244" s="5">
        <f>IF(tblOrdenes[[#This Row],[puesto_trabajo]]="","",_xlfn.XLOOKUP(tblOrdenes[[#This Row],[puesto_trabajo]],tblPuestos[codigo],tblPuestos[especialidad],"(sin catálogo)"))</f>
        <v/>
      </c>
      <c r="AB244" s="5">
        <f>IF(tblOrdenes[[#This Row],[cod_actividad]]="","",_xlfn.XLOOKUP(tblOrdenes[[#This Row],[cod_actividad]],tblActividades[codigo],tblActividades[descripcion],"(sin catálogo)"))</f>
        <v/>
      </c>
      <c r="AC244" s="20">
        <f>IF(tblOrdenes[[#This Row],[fecha_inicio]]="","",TODAY()-tblOrdenes[[#This Row],[fecha_inicio]])</f>
        <v/>
      </c>
      <c r="AD2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4" s="5">
        <f>IF(tblOrdenes[[#This Row],[backlog_habiles]]="","",IF(tblOrdenes[[#This Row],[backlog_habiles]]&lt;0,"FUTURO",IF(tblOrdenes[[#This Row],[backlog_habiles]]&gt;p_dias_backlog_max,"BACKLOG","MES CORRIENTE")))</f>
        <v/>
      </c>
      <c r="AF244" s="5">
        <f>IF(tblOrdenes[[#This Row],[backlog_habiles]]="",FALSE,AND(tblOrdenes[[#This Row],[backlog_habiles]]&gt;p_dias_backlog_min,tblOrdenes[[#This Row],[backlog_habiles]]&lt;=p_dias_backlog_max))</f>
        <v/>
      </c>
      <c r="AG244" s="4" t="n"/>
      <c r="AH2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4" s="18">
        <f>IF(tblOrdenes[[#This Row],[orden]]="","",_xlfn.XLOOKUP(tblOrdenes[[#This Row],[id_operacion]],tblEjecucion[id_operacion],tblEjecucion[precio],0))</f>
        <v/>
      </c>
      <c r="AL244" s="18">
        <f>IF(tblOrdenes[[#This Row],[orden]]="","",MAX(0,_xlfn.XLOOKUP(tblOrdenes[[#This Row],[id_operacion]],tblEjecucion[id_operacion],tblEjecucion[costo_plan_total],0)-tblOrdenes[[#This Row],[costo_servicio]]))</f>
        <v/>
      </c>
      <c r="AM244" s="18">
        <f>IF(tblOrdenes[[#This Row],[orden]]="","",tblOrdenes[[#This Row],[costo_servicio]]+tblOrdenes[[#This Row],[costo_materiales]])</f>
        <v/>
      </c>
      <c r="AN2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4" s="4" t="n"/>
      <c r="AP244" s="4" t="n"/>
      <c r="AQ244" s="4" t="n"/>
      <c r="AR244" s="5">
        <f>IF(tblOrdenes[[#This Row],[link_checklist]]="","",HYPERLINK(p_ruta_base_checklists&amp;tblOrdenes[[#This Row],[link_checklist]],"abrir"))</f>
        <v/>
      </c>
      <c r="AS244" s="4" t="n"/>
      <c r="AT244" s="5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22" t="n"/>
      <c r="K245" s="5" t="n"/>
      <c r="L245" s="18" t="n"/>
      <c r="M2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5">
        <f>IF(tblOrdenes[[#This Row],[fecha_inicio]]="","",YEAR(tblOrdenes[[#This Row],[fecha_inicio]]))</f>
        <v/>
      </c>
      <c r="Q245" s="5">
        <f>IF(tblOrdenes[[#This Row],[fecha_inicio]]="","",MONTH(tblOrdenes[[#This Row],[fecha_inicio]]))</f>
        <v/>
      </c>
      <c r="R245" s="5">
        <f>IF(tblOrdenes[[#This Row],[fecha_inicio]]="","",tblOrdenes[[#This Row],[anio]]&amp;"-"&amp;TEXT(tblOrdenes[[#This Row],[mes]],"00"))</f>
        <v/>
      </c>
      <c r="S245" s="5">
        <f>IF(tblOrdenes[[#This Row],[fecha_inicio]]="","",INDEX(lista_dias,WEEKDAY(tblOrdenes[[#This Row],[fecha_inicio]],2)))</f>
        <v/>
      </c>
      <c r="T2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5" s="5">
        <f>IF(tblOrdenes[[#This Row],[tipo_ot]]="","",_xlfn.XLOOKUP(tblOrdenes[[#This Row],[tipo_ot]],tblTiposOT[codigo],tblTiposOT[clasificacion],"sin_clasificar"))</f>
        <v/>
      </c>
      <c r="V2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5" s="5">
        <f>IF(tblOrdenes[[#This Row],[centro_costo]]="","",_xlfn.XLOOKUP(tblOrdenes[[#This Row],[centro_costo]],tblCECO[codigo],tblCECO[linea],"(sin catálogo)"))</f>
        <v/>
      </c>
      <c r="X245" s="5">
        <f>IF(tblOrdenes[[#This Row],[centro_costo]]="","",_xlfn.XLOOKUP(tblOrdenes[[#This Row],[centro_costo]],tblCECO[codigo],tblCECO[area],"(sin catálogo)"))</f>
        <v/>
      </c>
      <c r="Y2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5" s="5">
        <f>IF(tblOrdenes[[#This Row],[centro_costo]]="","",_xlfn.XLOOKUP(tblOrdenes[[#This Row],[centro_costo]],tblCECO[codigo],tblCECO[coordinador],"(sin catálogo)"))</f>
        <v/>
      </c>
      <c r="AA245" s="5">
        <f>IF(tblOrdenes[[#This Row],[puesto_trabajo]]="","",_xlfn.XLOOKUP(tblOrdenes[[#This Row],[puesto_trabajo]],tblPuestos[codigo],tblPuestos[especialidad],"(sin catálogo)"))</f>
        <v/>
      </c>
      <c r="AB245" s="5">
        <f>IF(tblOrdenes[[#This Row],[cod_actividad]]="","",_xlfn.XLOOKUP(tblOrdenes[[#This Row],[cod_actividad]],tblActividades[codigo],tblActividades[descripcion],"(sin catálogo)"))</f>
        <v/>
      </c>
      <c r="AC245" s="20">
        <f>IF(tblOrdenes[[#This Row],[fecha_inicio]]="","",TODAY()-tblOrdenes[[#This Row],[fecha_inicio]])</f>
        <v/>
      </c>
      <c r="AD2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5" s="5">
        <f>IF(tblOrdenes[[#This Row],[backlog_habiles]]="","",IF(tblOrdenes[[#This Row],[backlog_habiles]]&lt;0,"FUTURO",IF(tblOrdenes[[#This Row],[backlog_habiles]]&gt;p_dias_backlog_max,"BACKLOG","MES CORRIENTE")))</f>
        <v/>
      </c>
      <c r="AF245" s="5">
        <f>IF(tblOrdenes[[#This Row],[backlog_habiles]]="",FALSE,AND(tblOrdenes[[#This Row],[backlog_habiles]]&gt;p_dias_backlog_min,tblOrdenes[[#This Row],[backlog_habiles]]&lt;=p_dias_backlog_max))</f>
        <v/>
      </c>
      <c r="AG245" s="4" t="n"/>
      <c r="AH2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5" s="18">
        <f>IF(tblOrdenes[[#This Row],[orden]]="","",_xlfn.XLOOKUP(tblOrdenes[[#This Row],[id_operacion]],tblEjecucion[id_operacion],tblEjecucion[precio],0))</f>
        <v/>
      </c>
      <c r="AL245" s="18">
        <f>IF(tblOrdenes[[#This Row],[orden]]="","",MAX(0,_xlfn.XLOOKUP(tblOrdenes[[#This Row],[id_operacion]],tblEjecucion[id_operacion],tblEjecucion[costo_plan_total],0)-tblOrdenes[[#This Row],[costo_servicio]]))</f>
        <v/>
      </c>
      <c r="AM245" s="18">
        <f>IF(tblOrdenes[[#This Row],[orden]]="","",tblOrdenes[[#This Row],[costo_servicio]]+tblOrdenes[[#This Row],[costo_materiales]])</f>
        <v/>
      </c>
      <c r="AN2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5" s="4" t="n"/>
      <c r="AP245" s="4" t="n"/>
      <c r="AQ245" s="4" t="n"/>
      <c r="AR245" s="5">
        <f>IF(tblOrdenes[[#This Row],[link_checklist]]="","",HYPERLINK(p_ruta_base_checklists&amp;tblOrdenes[[#This Row],[link_checklist]],"abrir"))</f>
        <v/>
      </c>
      <c r="AS245" s="4" t="n"/>
      <c r="AT245" s="5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22" t="n"/>
      <c r="K246" s="5" t="n"/>
      <c r="L246" s="18" t="n"/>
      <c r="M2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5">
        <f>IF(tblOrdenes[[#This Row],[fecha_inicio]]="","",YEAR(tblOrdenes[[#This Row],[fecha_inicio]]))</f>
        <v/>
      </c>
      <c r="Q246" s="5">
        <f>IF(tblOrdenes[[#This Row],[fecha_inicio]]="","",MONTH(tblOrdenes[[#This Row],[fecha_inicio]]))</f>
        <v/>
      </c>
      <c r="R246" s="5">
        <f>IF(tblOrdenes[[#This Row],[fecha_inicio]]="","",tblOrdenes[[#This Row],[anio]]&amp;"-"&amp;TEXT(tblOrdenes[[#This Row],[mes]],"00"))</f>
        <v/>
      </c>
      <c r="S246" s="5">
        <f>IF(tblOrdenes[[#This Row],[fecha_inicio]]="","",INDEX(lista_dias,WEEKDAY(tblOrdenes[[#This Row],[fecha_inicio]],2)))</f>
        <v/>
      </c>
      <c r="T2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6" s="5">
        <f>IF(tblOrdenes[[#This Row],[tipo_ot]]="","",_xlfn.XLOOKUP(tblOrdenes[[#This Row],[tipo_ot]],tblTiposOT[codigo],tblTiposOT[clasificacion],"sin_clasificar"))</f>
        <v/>
      </c>
      <c r="V2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6" s="5">
        <f>IF(tblOrdenes[[#This Row],[centro_costo]]="","",_xlfn.XLOOKUP(tblOrdenes[[#This Row],[centro_costo]],tblCECO[codigo],tblCECO[linea],"(sin catálogo)"))</f>
        <v/>
      </c>
      <c r="X246" s="5">
        <f>IF(tblOrdenes[[#This Row],[centro_costo]]="","",_xlfn.XLOOKUP(tblOrdenes[[#This Row],[centro_costo]],tblCECO[codigo],tblCECO[area],"(sin catálogo)"))</f>
        <v/>
      </c>
      <c r="Y2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6" s="5">
        <f>IF(tblOrdenes[[#This Row],[centro_costo]]="","",_xlfn.XLOOKUP(tblOrdenes[[#This Row],[centro_costo]],tblCECO[codigo],tblCECO[coordinador],"(sin catálogo)"))</f>
        <v/>
      </c>
      <c r="AA246" s="5">
        <f>IF(tblOrdenes[[#This Row],[puesto_trabajo]]="","",_xlfn.XLOOKUP(tblOrdenes[[#This Row],[puesto_trabajo]],tblPuestos[codigo],tblPuestos[especialidad],"(sin catálogo)"))</f>
        <v/>
      </c>
      <c r="AB246" s="5">
        <f>IF(tblOrdenes[[#This Row],[cod_actividad]]="","",_xlfn.XLOOKUP(tblOrdenes[[#This Row],[cod_actividad]],tblActividades[codigo],tblActividades[descripcion],"(sin catálogo)"))</f>
        <v/>
      </c>
      <c r="AC246" s="20">
        <f>IF(tblOrdenes[[#This Row],[fecha_inicio]]="","",TODAY()-tblOrdenes[[#This Row],[fecha_inicio]])</f>
        <v/>
      </c>
      <c r="AD2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6" s="5">
        <f>IF(tblOrdenes[[#This Row],[backlog_habiles]]="","",IF(tblOrdenes[[#This Row],[backlog_habiles]]&lt;0,"FUTURO",IF(tblOrdenes[[#This Row],[backlog_habiles]]&gt;p_dias_backlog_max,"BACKLOG","MES CORRIENTE")))</f>
        <v/>
      </c>
      <c r="AF246" s="5">
        <f>IF(tblOrdenes[[#This Row],[backlog_habiles]]="",FALSE,AND(tblOrdenes[[#This Row],[backlog_habiles]]&gt;p_dias_backlog_min,tblOrdenes[[#This Row],[backlog_habiles]]&lt;=p_dias_backlog_max))</f>
        <v/>
      </c>
      <c r="AG246" s="4" t="n"/>
      <c r="AH2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6" s="18">
        <f>IF(tblOrdenes[[#This Row],[orden]]="","",_xlfn.XLOOKUP(tblOrdenes[[#This Row],[id_operacion]],tblEjecucion[id_operacion],tblEjecucion[precio],0))</f>
        <v/>
      </c>
      <c r="AL246" s="18">
        <f>IF(tblOrdenes[[#This Row],[orden]]="","",MAX(0,_xlfn.XLOOKUP(tblOrdenes[[#This Row],[id_operacion]],tblEjecucion[id_operacion],tblEjecucion[costo_plan_total],0)-tblOrdenes[[#This Row],[costo_servicio]]))</f>
        <v/>
      </c>
      <c r="AM246" s="18">
        <f>IF(tblOrdenes[[#This Row],[orden]]="","",tblOrdenes[[#This Row],[costo_servicio]]+tblOrdenes[[#This Row],[costo_materiales]])</f>
        <v/>
      </c>
      <c r="AN2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6" s="4" t="n"/>
      <c r="AP246" s="4" t="n"/>
      <c r="AQ246" s="4" t="n"/>
      <c r="AR246" s="5">
        <f>IF(tblOrdenes[[#This Row],[link_checklist]]="","",HYPERLINK(p_ruta_base_checklists&amp;tblOrdenes[[#This Row],[link_checklist]],"abrir"))</f>
        <v/>
      </c>
      <c r="AS246" s="4" t="n"/>
      <c r="AT246" s="5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22" t="n"/>
      <c r="K247" s="5" t="n"/>
      <c r="L247" s="18" t="n"/>
      <c r="M2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5">
        <f>IF(tblOrdenes[[#This Row],[fecha_inicio]]="","",YEAR(tblOrdenes[[#This Row],[fecha_inicio]]))</f>
        <v/>
      </c>
      <c r="Q247" s="5">
        <f>IF(tblOrdenes[[#This Row],[fecha_inicio]]="","",MONTH(tblOrdenes[[#This Row],[fecha_inicio]]))</f>
        <v/>
      </c>
      <c r="R247" s="5">
        <f>IF(tblOrdenes[[#This Row],[fecha_inicio]]="","",tblOrdenes[[#This Row],[anio]]&amp;"-"&amp;TEXT(tblOrdenes[[#This Row],[mes]],"00"))</f>
        <v/>
      </c>
      <c r="S247" s="5">
        <f>IF(tblOrdenes[[#This Row],[fecha_inicio]]="","",INDEX(lista_dias,WEEKDAY(tblOrdenes[[#This Row],[fecha_inicio]],2)))</f>
        <v/>
      </c>
      <c r="T2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7" s="5">
        <f>IF(tblOrdenes[[#This Row],[tipo_ot]]="","",_xlfn.XLOOKUP(tblOrdenes[[#This Row],[tipo_ot]],tblTiposOT[codigo],tblTiposOT[clasificacion],"sin_clasificar"))</f>
        <v/>
      </c>
      <c r="V2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7" s="5">
        <f>IF(tblOrdenes[[#This Row],[centro_costo]]="","",_xlfn.XLOOKUP(tblOrdenes[[#This Row],[centro_costo]],tblCECO[codigo],tblCECO[linea],"(sin catálogo)"))</f>
        <v/>
      </c>
      <c r="X247" s="5">
        <f>IF(tblOrdenes[[#This Row],[centro_costo]]="","",_xlfn.XLOOKUP(tblOrdenes[[#This Row],[centro_costo]],tblCECO[codigo],tblCECO[area],"(sin catálogo)"))</f>
        <v/>
      </c>
      <c r="Y2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7" s="5">
        <f>IF(tblOrdenes[[#This Row],[centro_costo]]="","",_xlfn.XLOOKUP(tblOrdenes[[#This Row],[centro_costo]],tblCECO[codigo],tblCECO[coordinador],"(sin catálogo)"))</f>
        <v/>
      </c>
      <c r="AA247" s="5">
        <f>IF(tblOrdenes[[#This Row],[puesto_trabajo]]="","",_xlfn.XLOOKUP(tblOrdenes[[#This Row],[puesto_trabajo]],tblPuestos[codigo],tblPuestos[especialidad],"(sin catálogo)"))</f>
        <v/>
      </c>
      <c r="AB247" s="5">
        <f>IF(tblOrdenes[[#This Row],[cod_actividad]]="","",_xlfn.XLOOKUP(tblOrdenes[[#This Row],[cod_actividad]],tblActividades[codigo],tblActividades[descripcion],"(sin catálogo)"))</f>
        <v/>
      </c>
      <c r="AC247" s="20">
        <f>IF(tblOrdenes[[#This Row],[fecha_inicio]]="","",TODAY()-tblOrdenes[[#This Row],[fecha_inicio]])</f>
        <v/>
      </c>
      <c r="AD2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7" s="5">
        <f>IF(tblOrdenes[[#This Row],[backlog_habiles]]="","",IF(tblOrdenes[[#This Row],[backlog_habiles]]&lt;0,"FUTURO",IF(tblOrdenes[[#This Row],[backlog_habiles]]&gt;p_dias_backlog_max,"BACKLOG","MES CORRIENTE")))</f>
        <v/>
      </c>
      <c r="AF247" s="5">
        <f>IF(tblOrdenes[[#This Row],[backlog_habiles]]="",FALSE,AND(tblOrdenes[[#This Row],[backlog_habiles]]&gt;p_dias_backlog_min,tblOrdenes[[#This Row],[backlog_habiles]]&lt;=p_dias_backlog_max))</f>
        <v/>
      </c>
      <c r="AG247" s="4" t="n"/>
      <c r="AH2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7" s="18">
        <f>IF(tblOrdenes[[#This Row],[orden]]="","",_xlfn.XLOOKUP(tblOrdenes[[#This Row],[id_operacion]],tblEjecucion[id_operacion],tblEjecucion[precio],0))</f>
        <v/>
      </c>
      <c r="AL247" s="18">
        <f>IF(tblOrdenes[[#This Row],[orden]]="","",MAX(0,_xlfn.XLOOKUP(tblOrdenes[[#This Row],[id_operacion]],tblEjecucion[id_operacion],tblEjecucion[costo_plan_total],0)-tblOrdenes[[#This Row],[costo_servicio]]))</f>
        <v/>
      </c>
      <c r="AM247" s="18">
        <f>IF(tblOrdenes[[#This Row],[orden]]="","",tblOrdenes[[#This Row],[costo_servicio]]+tblOrdenes[[#This Row],[costo_materiales]])</f>
        <v/>
      </c>
      <c r="AN2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7" s="4" t="n"/>
      <c r="AP247" s="4" t="n"/>
      <c r="AQ247" s="4" t="n"/>
      <c r="AR247" s="5">
        <f>IF(tblOrdenes[[#This Row],[link_checklist]]="","",HYPERLINK(p_ruta_base_checklists&amp;tblOrdenes[[#This Row],[link_checklist]],"abrir"))</f>
        <v/>
      </c>
      <c r="AS247" s="4" t="n"/>
      <c r="AT247" s="5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22" t="n"/>
      <c r="K248" s="5" t="n"/>
      <c r="L248" s="18" t="n"/>
      <c r="M2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5">
        <f>IF(tblOrdenes[[#This Row],[fecha_inicio]]="","",YEAR(tblOrdenes[[#This Row],[fecha_inicio]]))</f>
        <v/>
      </c>
      <c r="Q248" s="5">
        <f>IF(tblOrdenes[[#This Row],[fecha_inicio]]="","",MONTH(tblOrdenes[[#This Row],[fecha_inicio]]))</f>
        <v/>
      </c>
      <c r="R248" s="5">
        <f>IF(tblOrdenes[[#This Row],[fecha_inicio]]="","",tblOrdenes[[#This Row],[anio]]&amp;"-"&amp;TEXT(tblOrdenes[[#This Row],[mes]],"00"))</f>
        <v/>
      </c>
      <c r="S248" s="5">
        <f>IF(tblOrdenes[[#This Row],[fecha_inicio]]="","",INDEX(lista_dias,WEEKDAY(tblOrdenes[[#This Row],[fecha_inicio]],2)))</f>
        <v/>
      </c>
      <c r="T2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8" s="5">
        <f>IF(tblOrdenes[[#This Row],[tipo_ot]]="","",_xlfn.XLOOKUP(tblOrdenes[[#This Row],[tipo_ot]],tblTiposOT[codigo],tblTiposOT[clasificacion],"sin_clasificar"))</f>
        <v/>
      </c>
      <c r="V2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8" s="5">
        <f>IF(tblOrdenes[[#This Row],[centro_costo]]="","",_xlfn.XLOOKUP(tblOrdenes[[#This Row],[centro_costo]],tblCECO[codigo],tblCECO[linea],"(sin catálogo)"))</f>
        <v/>
      </c>
      <c r="X248" s="5">
        <f>IF(tblOrdenes[[#This Row],[centro_costo]]="","",_xlfn.XLOOKUP(tblOrdenes[[#This Row],[centro_costo]],tblCECO[codigo],tblCECO[area],"(sin catálogo)"))</f>
        <v/>
      </c>
      <c r="Y2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8" s="5">
        <f>IF(tblOrdenes[[#This Row],[centro_costo]]="","",_xlfn.XLOOKUP(tblOrdenes[[#This Row],[centro_costo]],tblCECO[codigo],tblCECO[coordinador],"(sin catálogo)"))</f>
        <v/>
      </c>
      <c r="AA248" s="5">
        <f>IF(tblOrdenes[[#This Row],[puesto_trabajo]]="","",_xlfn.XLOOKUP(tblOrdenes[[#This Row],[puesto_trabajo]],tblPuestos[codigo],tblPuestos[especialidad],"(sin catálogo)"))</f>
        <v/>
      </c>
      <c r="AB248" s="5">
        <f>IF(tblOrdenes[[#This Row],[cod_actividad]]="","",_xlfn.XLOOKUP(tblOrdenes[[#This Row],[cod_actividad]],tblActividades[codigo],tblActividades[descripcion],"(sin catálogo)"))</f>
        <v/>
      </c>
      <c r="AC248" s="20">
        <f>IF(tblOrdenes[[#This Row],[fecha_inicio]]="","",TODAY()-tblOrdenes[[#This Row],[fecha_inicio]])</f>
        <v/>
      </c>
      <c r="AD2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8" s="5">
        <f>IF(tblOrdenes[[#This Row],[backlog_habiles]]="","",IF(tblOrdenes[[#This Row],[backlog_habiles]]&lt;0,"FUTURO",IF(tblOrdenes[[#This Row],[backlog_habiles]]&gt;p_dias_backlog_max,"BACKLOG","MES CORRIENTE")))</f>
        <v/>
      </c>
      <c r="AF248" s="5">
        <f>IF(tblOrdenes[[#This Row],[backlog_habiles]]="",FALSE,AND(tblOrdenes[[#This Row],[backlog_habiles]]&gt;p_dias_backlog_min,tblOrdenes[[#This Row],[backlog_habiles]]&lt;=p_dias_backlog_max))</f>
        <v/>
      </c>
      <c r="AG248" s="4" t="n"/>
      <c r="AH2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8" s="18">
        <f>IF(tblOrdenes[[#This Row],[orden]]="","",_xlfn.XLOOKUP(tblOrdenes[[#This Row],[id_operacion]],tblEjecucion[id_operacion],tblEjecucion[precio],0))</f>
        <v/>
      </c>
      <c r="AL248" s="18">
        <f>IF(tblOrdenes[[#This Row],[orden]]="","",MAX(0,_xlfn.XLOOKUP(tblOrdenes[[#This Row],[id_operacion]],tblEjecucion[id_operacion],tblEjecucion[costo_plan_total],0)-tblOrdenes[[#This Row],[costo_servicio]]))</f>
        <v/>
      </c>
      <c r="AM248" s="18">
        <f>IF(tblOrdenes[[#This Row],[orden]]="","",tblOrdenes[[#This Row],[costo_servicio]]+tblOrdenes[[#This Row],[costo_materiales]])</f>
        <v/>
      </c>
      <c r="AN2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8" s="4" t="n"/>
      <c r="AP248" s="4" t="n"/>
      <c r="AQ248" s="4" t="n"/>
      <c r="AR248" s="5">
        <f>IF(tblOrdenes[[#This Row],[link_checklist]]="","",HYPERLINK(p_ruta_base_checklists&amp;tblOrdenes[[#This Row],[link_checklist]],"abrir"))</f>
        <v/>
      </c>
      <c r="AS248" s="4" t="n"/>
      <c r="AT248" s="5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22" t="n"/>
      <c r="K249" s="5" t="n"/>
      <c r="L249" s="18" t="n"/>
      <c r="M2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5">
        <f>IF(tblOrdenes[[#This Row],[fecha_inicio]]="","",YEAR(tblOrdenes[[#This Row],[fecha_inicio]]))</f>
        <v/>
      </c>
      <c r="Q249" s="5">
        <f>IF(tblOrdenes[[#This Row],[fecha_inicio]]="","",MONTH(tblOrdenes[[#This Row],[fecha_inicio]]))</f>
        <v/>
      </c>
      <c r="R249" s="5">
        <f>IF(tblOrdenes[[#This Row],[fecha_inicio]]="","",tblOrdenes[[#This Row],[anio]]&amp;"-"&amp;TEXT(tblOrdenes[[#This Row],[mes]],"00"))</f>
        <v/>
      </c>
      <c r="S249" s="5">
        <f>IF(tblOrdenes[[#This Row],[fecha_inicio]]="","",INDEX(lista_dias,WEEKDAY(tblOrdenes[[#This Row],[fecha_inicio]],2)))</f>
        <v/>
      </c>
      <c r="T2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9" s="5">
        <f>IF(tblOrdenes[[#This Row],[tipo_ot]]="","",_xlfn.XLOOKUP(tblOrdenes[[#This Row],[tipo_ot]],tblTiposOT[codigo],tblTiposOT[clasificacion],"sin_clasificar"))</f>
        <v/>
      </c>
      <c r="V2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9" s="5">
        <f>IF(tblOrdenes[[#This Row],[centro_costo]]="","",_xlfn.XLOOKUP(tblOrdenes[[#This Row],[centro_costo]],tblCECO[codigo],tblCECO[linea],"(sin catálogo)"))</f>
        <v/>
      </c>
      <c r="X249" s="5">
        <f>IF(tblOrdenes[[#This Row],[centro_costo]]="","",_xlfn.XLOOKUP(tblOrdenes[[#This Row],[centro_costo]],tblCECO[codigo],tblCECO[area],"(sin catálogo)"))</f>
        <v/>
      </c>
      <c r="Y2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49" s="5">
        <f>IF(tblOrdenes[[#This Row],[centro_costo]]="","",_xlfn.XLOOKUP(tblOrdenes[[#This Row],[centro_costo]],tblCECO[codigo],tblCECO[coordinador],"(sin catálogo)"))</f>
        <v/>
      </c>
      <c r="AA249" s="5">
        <f>IF(tblOrdenes[[#This Row],[puesto_trabajo]]="","",_xlfn.XLOOKUP(tblOrdenes[[#This Row],[puesto_trabajo]],tblPuestos[codigo],tblPuestos[especialidad],"(sin catálogo)"))</f>
        <v/>
      </c>
      <c r="AB249" s="5">
        <f>IF(tblOrdenes[[#This Row],[cod_actividad]]="","",_xlfn.XLOOKUP(tblOrdenes[[#This Row],[cod_actividad]],tblActividades[codigo],tblActividades[descripcion],"(sin catálogo)"))</f>
        <v/>
      </c>
      <c r="AC249" s="20">
        <f>IF(tblOrdenes[[#This Row],[fecha_inicio]]="","",TODAY()-tblOrdenes[[#This Row],[fecha_inicio]])</f>
        <v/>
      </c>
      <c r="AD2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49" s="5">
        <f>IF(tblOrdenes[[#This Row],[backlog_habiles]]="","",IF(tblOrdenes[[#This Row],[backlog_habiles]]&lt;0,"FUTURO",IF(tblOrdenes[[#This Row],[backlog_habiles]]&gt;p_dias_backlog_max,"BACKLOG","MES CORRIENTE")))</f>
        <v/>
      </c>
      <c r="AF249" s="5">
        <f>IF(tblOrdenes[[#This Row],[backlog_habiles]]="",FALSE,AND(tblOrdenes[[#This Row],[backlog_habiles]]&gt;p_dias_backlog_min,tblOrdenes[[#This Row],[backlog_habiles]]&lt;=p_dias_backlog_max))</f>
        <v/>
      </c>
      <c r="AG249" s="4" t="n"/>
      <c r="AH2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49" s="18">
        <f>IF(tblOrdenes[[#This Row],[orden]]="","",_xlfn.XLOOKUP(tblOrdenes[[#This Row],[id_operacion]],tblEjecucion[id_operacion],tblEjecucion[precio],0))</f>
        <v/>
      </c>
      <c r="AL249" s="18">
        <f>IF(tblOrdenes[[#This Row],[orden]]="","",MAX(0,_xlfn.XLOOKUP(tblOrdenes[[#This Row],[id_operacion]],tblEjecucion[id_operacion],tblEjecucion[costo_plan_total],0)-tblOrdenes[[#This Row],[costo_servicio]]))</f>
        <v/>
      </c>
      <c r="AM249" s="18">
        <f>IF(tblOrdenes[[#This Row],[orden]]="","",tblOrdenes[[#This Row],[costo_servicio]]+tblOrdenes[[#This Row],[costo_materiales]])</f>
        <v/>
      </c>
      <c r="AN2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49" s="4" t="n"/>
      <c r="AP249" s="4" t="n"/>
      <c r="AQ249" s="4" t="n"/>
      <c r="AR249" s="5">
        <f>IF(tblOrdenes[[#This Row],[link_checklist]]="","",HYPERLINK(p_ruta_base_checklists&amp;tblOrdenes[[#This Row],[link_checklist]],"abrir"))</f>
        <v/>
      </c>
      <c r="AS249" s="4" t="n"/>
      <c r="AT249" s="5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22" t="n"/>
      <c r="K250" s="5" t="n"/>
      <c r="L250" s="18" t="n"/>
      <c r="M2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5">
        <f>IF(tblOrdenes[[#This Row],[fecha_inicio]]="","",YEAR(tblOrdenes[[#This Row],[fecha_inicio]]))</f>
        <v/>
      </c>
      <c r="Q250" s="5">
        <f>IF(tblOrdenes[[#This Row],[fecha_inicio]]="","",MONTH(tblOrdenes[[#This Row],[fecha_inicio]]))</f>
        <v/>
      </c>
      <c r="R250" s="5">
        <f>IF(tblOrdenes[[#This Row],[fecha_inicio]]="","",tblOrdenes[[#This Row],[anio]]&amp;"-"&amp;TEXT(tblOrdenes[[#This Row],[mes]],"00"))</f>
        <v/>
      </c>
      <c r="S250" s="5">
        <f>IF(tblOrdenes[[#This Row],[fecha_inicio]]="","",INDEX(lista_dias,WEEKDAY(tblOrdenes[[#This Row],[fecha_inicio]],2)))</f>
        <v/>
      </c>
      <c r="T2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0" s="5">
        <f>IF(tblOrdenes[[#This Row],[tipo_ot]]="","",_xlfn.XLOOKUP(tblOrdenes[[#This Row],[tipo_ot]],tblTiposOT[codigo],tblTiposOT[clasificacion],"sin_clasificar"))</f>
        <v/>
      </c>
      <c r="V2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0" s="5">
        <f>IF(tblOrdenes[[#This Row],[centro_costo]]="","",_xlfn.XLOOKUP(tblOrdenes[[#This Row],[centro_costo]],tblCECO[codigo],tblCECO[linea],"(sin catálogo)"))</f>
        <v/>
      </c>
      <c r="X250" s="5">
        <f>IF(tblOrdenes[[#This Row],[centro_costo]]="","",_xlfn.XLOOKUP(tblOrdenes[[#This Row],[centro_costo]],tblCECO[codigo],tblCECO[area],"(sin catálogo)"))</f>
        <v/>
      </c>
      <c r="Y2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0" s="5">
        <f>IF(tblOrdenes[[#This Row],[centro_costo]]="","",_xlfn.XLOOKUP(tblOrdenes[[#This Row],[centro_costo]],tblCECO[codigo],tblCECO[coordinador],"(sin catálogo)"))</f>
        <v/>
      </c>
      <c r="AA250" s="5">
        <f>IF(tblOrdenes[[#This Row],[puesto_trabajo]]="","",_xlfn.XLOOKUP(tblOrdenes[[#This Row],[puesto_trabajo]],tblPuestos[codigo],tblPuestos[especialidad],"(sin catálogo)"))</f>
        <v/>
      </c>
      <c r="AB250" s="5">
        <f>IF(tblOrdenes[[#This Row],[cod_actividad]]="","",_xlfn.XLOOKUP(tblOrdenes[[#This Row],[cod_actividad]],tblActividades[codigo],tblActividades[descripcion],"(sin catálogo)"))</f>
        <v/>
      </c>
      <c r="AC250" s="20">
        <f>IF(tblOrdenes[[#This Row],[fecha_inicio]]="","",TODAY()-tblOrdenes[[#This Row],[fecha_inicio]])</f>
        <v/>
      </c>
      <c r="AD2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0" s="5">
        <f>IF(tblOrdenes[[#This Row],[backlog_habiles]]="","",IF(tblOrdenes[[#This Row],[backlog_habiles]]&lt;0,"FUTURO",IF(tblOrdenes[[#This Row],[backlog_habiles]]&gt;p_dias_backlog_max,"BACKLOG","MES CORRIENTE")))</f>
        <v/>
      </c>
      <c r="AF250" s="5">
        <f>IF(tblOrdenes[[#This Row],[backlog_habiles]]="",FALSE,AND(tblOrdenes[[#This Row],[backlog_habiles]]&gt;p_dias_backlog_min,tblOrdenes[[#This Row],[backlog_habiles]]&lt;=p_dias_backlog_max))</f>
        <v/>
      </c>
      <c r="AG250" s="4" t="n"/>
      <c r="AH2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0" s="18">
        <f>IF(tblOrdenes[[#This Row],[orden]]="","",_xlfn.XLOOKUP(tblOrdenes[[#This Row],[id_operacion]],tblEjecucion[id_operacion],tblEjecucion[precio],0))</f>
        <v/>
      </c>
      <c r="AL250" s="18">
        <f>IF(tblOrdenes[[#This Row],[orden]]="","",MAX(0,_xlfn.XLOOKUP(tblOrdenes[[#This Row],[id_operacion]],tblEjecucion[id_operacion],tblEjecucion[costo_plan_total],0)-tblOrdenes[[#This Row],[costo_servicio]]))</f>
        <v/>
      </c>
      <c r="AM250" s="18">
        <f>IF(tblOrdenes[[#This Row],[orden]]="","",tblOrdenes[[#This Row],[costo_servicio]]+tblOrdenes[[#This Row],[costo_materiales]])</f>
        <v/>
      </c>
      <c r="AN2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0" s="4" t="n"/>
      <c r="AP250" s="4" t="n"/>
      <c r="AQ250" s="4" t="n"/>
      <c r="AR250" s="5">
        <f>IF(tblOrdenes[[#This Row],[link_checklist]]="","",HYPERLINK(p_ruta_base_checklists&amp;tblOrdenes[[#This Row],[link_checklist]],"abrir"))</f>
        <v/>
      </c>
      <c r="AS250" s="4" t="n"/>
      <c r="AT250" s="5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22" t="n"/>
      <c r="K251" s="5" t="n"/>
      <c r="L251" s="18" t="n"/>
      <c r="M2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5">
        <f>IF(tblOrdenes[[#This Row],[fecha_inicio]]="","",YEAR(tblOrdenes[[#This Row],[fecha_inicio]]))</f>
        <v/>
      </c>
      <c r="Q251" s="5">
        <f>IF(tblOrdenes[[#This Row],[fecha_inicio]]="","",MONTH(tblOrdenes[[#This Row],[fecha_inicio]]))</f>
        <v/>
      </c>
      <c r="R251" s="5">
        <f>IF(tblOrdenes[[#This Row],[fecha_inicio]]="","",tblOrdenes[[#This Row],[anio]]&amp;"-"&amp;TEXT(tblOrdenes[[#This Row],[mes]],"00"))</f>
        <v/>
      </c>
      <c r="S251" s="5">
        <f>IF(tblOrdenes[[#This Row],[fecha_inicio]]="","",INDEX(lista_dias,WEEKDAY(tblOrdenes[[#This Row],[fecha_inicio]],2)))</f>
        <v/>
      </c>
      <c r="T2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1" s="5">
        <f>IF(tblOrdenes[[#This Row],[tipo_ot]]="","",_xlfn.XLOOKUP(tblOrdenes[[#This Row],[tipo_ot]],tblTiposOT[codigo],tblTiposOT[clasificacion],"sin_clasificar"))</f>
        <v/>
      </c>
      <c r="V2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1" s="5">
        <f>IF(tblOrdenes[[#This Row],[centro_costo]]="","",_xlfn.XLOOKUP(tblOrdenes[[#This Row],[centro_costo]],tblCECO[codigo],tblCECO[linea],"(sin catálogo)"))</f>
        <v/>
      </c>
      <c r="X251" s="5">
        <f>IF(tblOrdenes[[#This Row],[centro_costo]]="","",_xlfn.XLOOKUP(tblOrdenes[[#This Row],[centro_costo]],tblCECO[codigo],tblCECO[area],"(sin catálogo)"))</f>
        <v/>
      </c>
      <c r="Y2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1" s="5">
        <f>IF(tblOrdenes[[#This Row],[centro_costo]]="","",_xlfn.XLOOKUP(tblOrdenes[[#This Row],[centro_costo]],tblCECO[codigo],tblCECO[coordinador],"(sin catálogo)"))</f>
        <v/>
      </c>
      <c r="AA251" s="5">
        <f>IF(tblOrdenes[[#This Row],[puesto_trabajo]]="","",_xlfn.XLOOKUP(tblOrdenes[[#This Row],[puesto_trabajo]],tblPuestos[codigo],tblPuestos[especialidad],"(sin catálogo)"))</f>
        <v/>
      </c>
      <c r="AB251" s="5">
        <f>IF(tblOrdenes[[#This Row],[cod_actividad]]="","",_xlfn.XLOOKUP(tblOrdenes[[#This Row],[cod_actividad]],tblActividades[codigo],tblActividades[descripcion],"(sin catálogo)"))</f>
        <v/>
      </c>
      <c r="AC251" s="20">
        <f>IF(tblOrdenes[[#This Row],[fecha_inicio]]="","",TODAY()-tblOrdenes[[#This Row],[fecha_inicio]])</f>
        <v/>
      </c>
      <c r="AD2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1" s="5">
        <f>IF(tblOrdenes[[#This Row],[backlog_habiles]]="","",IF(tblOrdenes[[#This Row],[backlog_habiles]]&lt;0,"FUTURO",IF(tblOrdenes[[#This Row],[backlog_habiles]]&gt;p_dias_backlog_max,"BACKLOG","MES CORRIENTE")))</f>
        <v/>
      </c>
      <c r="AF251" s="5">
        <f>IF(tblOrdenes[[#This Row],[backlog_habiles]]="",FALSE,AND(tblOrdenes[[#This Row],[backlog_habiles]]&gt;p_dias_backlog_min,tblOrdenes[[#This Row],[backlog_habiles]]&lt;=p_dias_backlog_max))</f>
        <v/>
      </c>
      <c r="AG251" s="4" t="n"/>
      <c r="AH2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1" s="18">
        <f>IF(tblOrdenes[[#This Row],[orden]]="","",_xlfn.XLOOKUP(tblOrdenes[[#This Row],[id_operacion]],tblEjecucion[id_operacion],tblEjecucion[precio],0))</f>
        <v/>
      </c>
      <c r="AL251" s="18">
        <f>IF(tblOrdenes[[#This Row],[orden]]="","",MAX(0,_xlfn.XLOOKUP(tblOrdenes[[#This Row],[id_operacion]],tblEjecucion[id_operacion],tblEjecucion[costo_plan_total],0)-tblOrdenes[[#This Row],[costo_servicio]]))</f>
        <v/>
      </c>
      <c r="AM251" s="18">
        <f>IF(tblOrdenes[[#This Row],[orden]]="","",tblOrdenes[[#This Row],[costo_servicio]]+tblOrdenes[[#This Row],[costo_materiales]])</f>
        <v/>
      </c>
      <c r="AN2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1" s="4" t="n"/>
      <c r="AP251" s="4" t="n"/>
      <c r="AQ251" s="4" t="n"/>
      <c r="AR251" s="5">
        <f>IF(tblOrdenes[[#This Row],[link_checklist]]="","",HYPERLINK(p_ruta_base_checklists&amp;tblOrdenes[[#This Row],[link_checklist]],"abrir"))</f>
        <v/>
      </c>
      <c r="AS251" s="4" t="n"/>
      <c r="AT251" s="5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22" t="n"/>
      <c r="K252" s="5" t="n"/>
      <c r="L252" s="18" t="n"/>
      <c r="M2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5">
        <f>IF(tblOrdenes[[#This Row],[fecha_inicio]]="","",YEAR(tblOrdenes[[#This Row],[fecha_inicio]]))</f>
        <v/>
      </c>
      <c r="Q252" s="5">
        <f>IF(tblOrdenes[[#This Row],[fecha_inicio]]="","",MONTH(tblOrdenes[[#This Row],[fecha_inicio]]))</f>
        <v/>
      </c>
      <c r="R252" s="5">
        <f>IF(tblOrdenes[[#This Row],[fecha_inicio]]="","",tblOrdenes[[#This Row],[anio]]&amp;"-"&amp;TEXT(tblOrdenes[[#This Row],[mes]],"00"))</f>
        <v/>
      </c>
      <c r="S252" s="5">
        <f>IF(tblOrdenes[[#This Row],[fecha_inicio]]="","",INDEX(lista_dias,WEEKDAY(tblOrdenes[[#This Row],[fecha_inicio]],2)))</f>
        <v/>
      </c>
      <c r="T2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2" s="5">
        <f>IF(tblOrdenes[[#This Row],[tipo_ot]]="","",_xlfn.XLOOKUP(tblOrdenes[[#This Row],[tipo_ot]],tblTiposOT[codigo],tblTiposOT[clasificacion],"sin_clasificar"))</f>
        <v/>
      </c>
      <c r="V2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2" s="5">
        <f>IF(tblOrdenes[[#This Row],[centro_costo]]="","",_xlfn.XLOOKUP(tblOrdenes[[#This Row],[centro_costo]],tblCECO[codigo],tblCECO[linea],"(sin catálogo)"))</f>
        <v/>
      </c>
      <c r="X252" s="5">
        <f>IF(tblOrdenes[[#This Row],[centro_costo]]="","",_xlfn.XLOOKUP(tblOrdenes[[#This Row],[centro_costo]],tblCECO[codigo],tblCECO[area],"(sin catálogo)"))</f>
        <v/>
      </c>
      <c r="Y2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2" s="5">
        <f>IF(tblOrdenes[[#This Row],[centro_costo]]="","",_xlfn.XLOOKUP(tblOrdenes[[#This Row],[centro_costo]],tblCECO[codigo],tblCECO[coordinador],"(sin catálogo)"))</f>
        <v/>
      </c>
      <c r="AA252" s="5">
        <f>IF(tblOrdenes[[#This Row],[puesto_trabajo]]="","",_xlfn.XLOOKUP(tblOrdenes[[#This Row],[puesto_trabajo]],tblPuestos[codigo],tblPuestos[especialidad],"(sin catálogo)"))</f>
        <v/>
      </c>
      <c r="AB252" s="5">
        <f>IF(tblOrdenes[[#This Row],[cod_actividad]]="","",_xlfn.XLOOKUP(tblOrdenes[[#This Row],[cod_actividad]],tblActividades[codigo],tblActividades[descripcion],"(sin catálogo)"))</f>
        <v/>
      </c>
      <c r="AC252" s="20">
        <f>IF(tblOrdenes[[#This Row],[fecha_inicio]]="","",TODAY()-tblOrdenes[[#This Row],[fecha_inicio]])</f>
        <v/>
      </c>
      <c r="AD2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2" s="5">
        <f>IF(tblOrdenes[[#This Row],[backlog_habiles]]="","",IF(tblOrdenes[[#This Row],[backlog_habiles]]&lt;0,"FUTURO",IF(tblOrdenes[[#This Row],[backlog_habiles]]&gt;p_dias_backlog_max,"BACKLOG","MES CORRIENTE")))</f>
        <v/>
      </c>
      <c r="AF252" s="5">
        <f>IF(tblOrdenes[[#This Row],[backlog_habiles]]="",FALSE,AND(tblOrdenes[[#This Row],[backlog_habiles]]&gt;p_dias_backlog_min,tblOrdenes[[#This Row],[backlog_habiles]]&lt;=p_dias_backlog_max))</f>
        <v/>
      </c>
      <c r="AG252" s="4" t="n"/>
      <c r="AH2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2" s="18">
        <f>IF(tblOrdenes[[#This Row],[orden]]="","",_xlfn.XLOOKUP(tblOrdenes[[#This Row],[id_operacion]],tblEjecucion[id_operacion],tblEjecucion[precio],0))</f>
        <v/>
      </c>
      <c r="AL252" s="18">
        <f>IF(tblOrdenes[[#This Row],[orden]]="","",MAX(0,_xlfn.XLOOKUP(tblOrdenes[[#This Row],[id_operacion]],tblEjecucion[id_operacion],tblEjecucion[costo_plan_total],0)-tblOrdenes[[#This Row],[costo_servicio]]))</f>
        <v/>
      </c>
      <c r="AM252" s="18">
        <f>IF(tblOrdenes[[#This Row],[orden]]="","",tblOrdenes[[#This Row],[costo_servicio]]+tblOrdenes[[#This Row],[costo_materiales]])</f>
        <v/>
      </c>
      <c r="AN2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2" s="4" t="n"/>
      <c r="AP252" s="4" t="n"/>
      <c r="AQ252" s="4" t="n"/>
      <c r="AR252" s="5">
        <f>IF(tblOrdenes[[#This Row],[link_checklist]]="","",HYPERLINK(p_ruta_base_checklists&amp;tblOrdenes[[#This Row],[link_checklist]],"abrir"))</f>
        <v/>
      </c>
      <c r="AS252" s="4" t="n"/>
      <c r="AT252" s="5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22" t="n"/>
      <c r="K253" s="5" t="n"/>
      <c r="L253" s="18" t="n"/>
      <c r="M2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5">
        <f>IF(tblOrdenes[[#This Row],[fecha_inicio]]="","",YEAR(tblOrdenes[[#This Row],[fecha_inicio]]))</f>
        <v/>
      </c>
      <c r="Q253" s="5">
        <f>IF(tblOrdenes[[#This Row],[fecha_inicio]]="","",MONTH(tblOrdenes[[#This Row],[fecha_inicio]]))</f>
        <v/>
      </c>
      <c r="R253" s="5">
        <f>IF(tblOrdenes[[#This Row],[fecha_inicio]]="","",tblOrdenes[[#This Row],[anio]]&amp;"-"&amp;TEXT(tblOrdenes[[#This Row],[mes]],"00"))</f>
        <v/>
      </c>
      <c r="S253" s="5">
        <f>IF(tblOrdenes[[#This Row],[fecha_inicio]]="","",INDEX(lista_dias,WEEKDAY(tblOrdenes[[#This Row],[fecha_inicio]],2)))</f>
        <v/>
      </c>
      <c r="T2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3" s="5">
        <f>IF(tblOrdenes[[#This Row],[tipo_ot]]="","",_xlfn.XLOOKUP(tblOrdenes[[#This Row],[tipo_ot]],tblTiposOT[codigo],tblTiposOT[clasificacion],"sin_clasificar"))</f>
        <v/>
      </c>
      <c r="V2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3" s="5">
        <f>IF(tblOrdenes[[#This Row],[centro_costo]]="","",_xlfn.XLOOKUP(tblOrdenes[[#This Row],[centro_costo]],tblCECO[codigo],tblCECO[linea],"(sin catálogo)"))</f>
        <v/>
      </c>
      <c r="X253" s="5">
        <f>IF(tblOrdenes[[#This Row],[centro_costo]]="","",_xlfn.XLOOKUP(tblOrdenes[[#This Row],[centro_costo]],tblCECO[codigo],tblCECO[area],"(sin catálogo)"))</f>
        <v/>
      </c>
      <c r="Y2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3" s="5">
        <f>IF(tblOrdenes[[#This Row],[centro_costo]]="","",_xlfn.XLOOKUP(tblOrdenes[[#This Row],[centro_costo]],tblCECO[codigo],tblCECO[coordinador],"(sin catálogo)"))</f>
        <v/>
      </c>
      <c r="AA253" s="5">
        <f>IF(tblOrdenes[[#This Row],[puesto_trabajo]]="","",_xlfn.XLOOKUP(tblOrdenes[[#This Row],[puesto_trabajo]],tblPuestos[codigo],tblPuestos[especialidad],"(sin catálogo)"))</f>
        <v/>
      </c>
      <c r="AB253" s="5">
        <f>IF(tblOrdenes[[#This Row],[cod_actividad]]="","",_xlfn.XLOOKUP(tblOrdenes[[#This Row],[cod_actividad]],tblActividades[codigo],tblActividades[descripcion],"(sin catálogo)"))</f>
        <v/>
      </c>
      <c r="AC253" s="20">
        <f>IF(tblOrdenes[[#This Row],[fecha_inicio]]="","",TODAY()-tblOrdenes[[#This Row],[fecha_inicio]])</f>
        <v/>
      </c>
      <c r="AD2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3" s="5">
        <f>IF(tblOrdenes[[#This Row],[backlog_habiles]]="","",IF(tblOrdenes[[#This Row],[backlog_habiles]]&lt;0,"FUTURO",IF(tblOrdenes[[#This Row],[backlog_habiles]]&gt;p_dias_backlog_max,"BACKLOG","MES CORRIENTE")))</f>
        <v/>
      </c>
      <c r="AF253" s="5">
        <f>IF(tblOrdenes[[#This Row],[backlog_habiles]]="",FALSE,AND(tblOrdenes[[#This Row],[backlog_habiles]]&gt;p_dias_backlog_min,tblOrdenes[[#This Row],[backlog_habiles]]&lt;=p_dias_backlog_max))</f>
        <v/>
      </c>
      <c r="AG253" s="4" t="n"/>
      <c r="AH2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3" s="18">
        <f>IF(tblOrdenes[[#This Row],[orden]]="","",_xlfn.XLOOKUP(tblOrdenes[[#This Row],[id_operacion]],tblEjecucion[id_operacion],tblEjecucion[precio],0))</f>
        <v/>
      </c>
      <c r="AL253" s="18">
        <f>IF(tblOrdenes[[#This Row],[orden]]="","",MAX(0,_xlfn.XLOOKUP(tblOrdenes[[#This Row],[id_operacion]],tblEjecucion[id_operacion],tblEjecucion[costo_plan_total],0)-tblOrdenes[[#This Row],[costo_servicio]]))</f>
        <v/>
      </c>
      <c r="AM253" s="18">
        <f>IF(tblOrdenes[[#This Row],[orden]]="","",tblOrdenes[[#This Row],[costo_servicio]]+tblOrdenes[[#This Row],[costo_materiales]])</f>
        <v/>
      </c>
      <c r="AN2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3" s="4" t="n"/>
      <c r="AP253" s="4" t="n"/>
      <c r="AQ253" s="4" t="n"/>
      <c r="AR253" s="5">
        <f>IF(tblOrdenes[[#This Row],[link_checklist]]="","",HYPERLINK(p_ruta_base_checklists&amp;tblOrdenes[[#This Row],[link_checklist]],"abrir"))</f>
        <v/>
      </c>
      <c r="AS253" s="4" t="n"/>
      <c r="AT253" s="5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22" t="n"/>
      <c r="K254" s="5" t="n"/>
      <c r="L254" s="18" t="n"/>
      <c r="M2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5">
        <f>IF(tblOrdenes[[#This Row],[fecha_inicio]]="","",YEAR(tblOrdenes[[#This Row],[fecha_inicio]]))</f>
        <v/>
      </c>
      <c r="Q254" s="5">
        <f>IF(tblOrdenes[[#This Row],[fecha_inicio]]="","",MONTH(tblOrdenes[[#This Row],[fecha_inicio]]))</f>
        <v/>
      </c>
      <c r="R254" s="5">
        <f>IF(tblOrdenes[[#This Row],[fecha_inicio]]="","",tblOrdenes[[#This Row],[anio]]&amp;"-"&amp;TEXT(tblOrdenes[[#This Row],[mes]],"00"))</f>
        <v/>
      </c>
      <c r="S254" s="5">
        <f>IF(tblOrdenes[[#This Row],[fecha_inicio]]="","",INDEX(lista_dias,WEEKDAY(tblOrdenes[[#This Row],[fecha_inicio]],2)))</f>
        <v/>
      </c>
      <c r="T2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4" s="5">
        <f>IF(tblOrdenes[[#This Row],[tipo_ot]]="","",_xlfn.XLOOKUP(tblOrdenes[[#This Row],[tipo_ot]],tblTiposOT[codigo],tblTiposOT[clasificacion],"sin_clasificar"))</f>
        <v/>
      </c>
      <c r="V2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4" s="5">
        <f>IF(tblOrdenes[[#This Row],[centro_costo]]="","",_xlfn.XLOOKUP(tblOrdenes[[#This Row],[centro_costo]],tblCECO[codigo],tblCECO[linea],"(sin catálogo)"))</f>
        <v/>
      </c>
      <c r="X254" s="5">
        <f>IF(tblOrdenes[[#This Row],[centro_costo]]="","",_xlfn.XLOOKUP(tblOrdenes[[#This Row],[centro_costo]],tblCECO[codigo],tblCECO[area],"(sin catálogo)"))</f>
        <v/>
      </c>
      <c r="Y2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4" s="5">
        <f>IF(tblOrdenes[[#This Row],[centro_costo]]="","",_xlfn.XLOOKUP(tblOrdenes[[#This Row],[centro_costo]],tblCECO[codigo],tblCECO[coordinador],"(sin catálogo)"))</f>
        <v/>
      </c>
      <c r="AA254" s="5">
        <f>IF(tblOrdenes[[#This Row],[puesto_trabajo]]="","",_xlfn.XLOOKUP(tblOrdenes[[#This Row],[puesto_trabajo]],tblPuestos[codigo],tblPuestos[especialidad],"(sin catálogo)"))</f>
        <v/>
      </c>
      <c r="AB254" s="5">
        <f>IF(tblOrdenes[[#This Row],[cod_actividad]]="","",_xlfn.XLOOKUP(tblOrdenes[[#This Row],[cod_actividad]],tblActividades[codigo],tblActividades[descripcion],"(sin catálogo)"))</f>
        <v/>
      </c>
      <c r="AC254" s="20">
        <f>IF(tblOrdenes[[#This Row],[fecha_inicio]]="","",TODAY()-tblOrdenes[[#This Row],[fecha_inicio]])</f>
        <v/>
      </c>
      <c r="AD2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4" s="5">
        <f>IF(tblOrdenes[[#This Row],[backlog_habiles]]="","",IF(tblOrdenes[[#This Row],[backlog_habiles]]&lt;0,"FUTURO",IF(tblOrdenes[[#This Row],[backlog_habiles]]&gt;p_dias_backlog_max,"BACKLOG","MES CORRIENTE")))</f>
        <v/>
      </c>
      <c r="AF254" s="5">
        <f>IF(tblOrdenes[[#This Row],[backlog_habiles]]="",FALSE,AND(tblOrdenes[[#This Row],[backlog_habiles]]&gt;p_dias_backlog_min,tblOrdenes[[#This Row],[backlog_habiles]]&lt;=p_dias_backlog_max))</f>
        <v/>
      </c>
      <c r="AG254" s="4" t="n"/>
      <c r="AH2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4" s="18">
        <f>IF(tblOrdenes[[#This Row],[orden]]="","",_xlfn.XLOOKUP(tblOrdenes[[#This Row],[id_operacion]],tblEjecucion[id_operacion],tblEjecucion[precio],0))</f>
        <v/>
      </c>
      <c r="AL254" s="18">
        <f>IF(tblOrdenes[[#This Row],[orden]]="","",MAX(0,_xlfn.XLOOKUP(tblOrdenes[[#This Row],[id_operacion]],tblEjecucion[id_operacion],tblEjecucion[costo_plan_total],0)-tblOrdenes[[#This Row],[costo_servicio]]))</f>
        <v/>
      </c>
      <c r="AM254" s="18">
        <f>IF(tblOrdenes[[#This Row],[orden]]="","",tblOrdenes[[#This Row],[costo_servicio]]+tblOrdenes[[#This Row],[costo_materiales]])</f>
        <v/>
      </c>
      <c r="AN2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4" s="4" t="n"/>
      <c r="AP254" s="4" t="n"/>
      <c r="AQ254" s="4" t="n"/>
      <c r="AR254" s="5">
        <f>IF(tblOrdenes[[#This Row],[link_checklist]]="","",HYPERLINK(p_ruta_base_checklists&amp;tblOrdenes[[#This Row],[link_checklist]],"abrir"))</f>
        <v/>
      </c>
      <c r="AS254" s="4" t="n"/>
      <c r="AT254" s="5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22" t="n"/>
      <c r="K255" s="5" t="n"/>
      <c r="L255" s="18" t="n"/>
      <c r="M2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5">
        <f>IF(tblOrdenes[[#This Row],[fecha_inicio]]="","",YEAR(tblOrdenes[[#This Row],[fecha_inicio]]))</f>
        <v/>
      </c>
      <c r="Q255" s="5">
        <f>IF(tblOrdenes[[#This Row],[fecha_inicio]]="","",MONTH(tblOrdenes[[#This Row],[fecha_inicio]]))</f>
        <v/>
      </c>
      <c r="R255" s="5">
        <f>IF(tblOrdenes[[#This Row],[fecha_inicio]]="","",tblOrdenes[[#This Row],[anio]]&amp;"-"&amp;TEXT(tblOrdenes[[#This Row],[mes]],"00"))</f>
        <v/>
      </c>
      <c r="S255" s="5">
        <f>IF(tblOrdenes[[#This Row],[fecha_inicio]]="","",INDEX(lista_dias,WEEKDAY(tblOrdenes[[#This Row],[fecha_inicio]],2)))</f>
        <v/>
      </c>
      <c r="T2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5" s="5">
        <f>IF(tblOrdenes[[#This Row],[tipo_ot]]="","",_xlfn.XLOOKUP(tblOrdenes[[#This Row],[tipo_ot]],tblTiposOT[codigo],tblTiposOT[clasificacion],"sin_clasificar"))</f>
        <v/>
      </c>
      <c r="V2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5" s="5">
        <f>IF(tblOrdenes[[#This Row],[centro_costo]]="","",_xlfn.XLOOKUP(tblOrdenes[[#This Row],[centro_costo]],tblCECO[codigo],tblCECO[linea],"(sin catálogo)"))</f>
        <v/>
      </c>
      <c r="X255" s="5">
        <f>IF(tblOrdenes[[#This Row],[centro_costo]]="","",_xlfn.XLOOKUP(tblOrdenes[[#This Row],[centro_costo]],tblCECO[codigo],tblCECO[area],"(sin catálogo)"))</f>
        <v/>
      </c>
      <c r="Y2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5" s="5">
        <f>IF(tblOrdenes[[#This Row],[centro_costo]]="","",_xlfn.XLOOKUP(tblOrdenes[[#This Row],[centro_costo]],tblCECO[codigo],tblCECO[coordinador],"(sin catálogo)"))</f>
        <v/>
      </c>
      <c r="AA255" s="5">
        <f>IF(tblOrdenes[[#This Row],[puesto_trabajo]]="","",_xlfn.XLOOKUP(tblOrdenes[[#This Row],[puesto_trabajo]],tblPuestos[codigo],tblPuestos[especialidad],"(sin catálogo)"))</f>
        <v/>
      </c>
      <c r="AB255" s="5">
        <f>IF(tblOrdenes[[#This Row],[cod_actividad]]="","",_xlfn.XLOOKUP(tblOrdenes[[#This Row],[cod_actividad]],tblActividades[codigo],tblActividades[descripcion],"(sin catálogo)"))</f>
        <v/>
      </c>
      <c r="AC255" s="20">
        <f>IF(tblOrdenes[[#This Row],[fecha_inicio]]="","",TODAY()-tblOrdenes[[#This Row],[fecha_inicio]])</f>
        <v/>
      </c>
      <c r="AD2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5" s="5">
        <f>IF(tblOrdenes[[#This Row],[backlog_habiles]]="","",IF(tblOrdenes[[#This Row],[backlog_habiles]]&lt;0,"FUTURO",IF(tblOrdenes[[#This Row],[backlog_habiles]]&gt;p_dias_backlog_max,"BACKLOG","MES CORRIENTE")))</f>
        <v/>
      </c>
      <c r="AF255" s="5">
        <f>IF(tblOrdenes[[#This Row],[backlog_habiles]]="",FALSE,AND(tblOrdenes[[#This Row],[backlog_habiles]]&gt;p_dias_backlog_min,tblOrdenes[[#This Row],[backlog_habiles]]&lt;=p_dias_backlog_max))</f>
        <v/>
      </c>
      <c r="AG255" s="4" t="n"/>
      <c r="AH2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5" s="18">
        <f>IF(tblOrdenes[[#This Row],[orden]]="","",_xlfn.XLOOKUP(tblOrdenes[[#This Row],[id_operacion]],tblEjecucion[id_operacion],tblEjecucion[precio],0))</f>
        <v/>
      </c>
      <c r="AL255" s="18">
        <f>IF(tblOrdenes[[#This Row],[orden]]="","",MAX(0,_xlfn.XLOOKUP(tblOrdenes[[#This Row],[id_operacion]],tblEjecucion[id_operacion],tblEjecucion[costo_plan_total],0)-tblOrdenes[[#This Row],[costo_servicio]]))</f>
        <v/>
      </c>
      <c r="AM255" s="18">
        <f>IF(tblOrdenes[[#This Row],[orden]]="","",tblOrdenes[[#This Row],[costo_servicio]]+tblOrdenes[[#This Row],[costo_materiales]])</f>
        <v/>
      </c>
      <c r="AN2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5" s="4" t="n"/>
      <c r="AP255" s="4" t="n"/>
      <c r="AQ255" s="4" t="n"/>
      <c r="AR255" s="5">
        <f>IF(tblOrdenes[[#This Row],[link_checklist]]="","",HYPERLINK(p_ruta_base_checklists&amp;tblOrdenes[[#This Row],[link_checklist]],"abrir"))</f>
        <v/>
      </c>
      <c r="AS255" s="4" t="n"/>
      <c r="AT255" s="5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22" t="n"/>
      <c r="K256" s="5" t="n"/>
      <c r="L256" s="18" t="n"/>
      <c r="M2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5">
        <f>IF(tblOrdenes[[#This Row],[fecha_inicio]]="","",YEAR(tblOrdenes[[#This Row],[fecha_inicio]]))</f>
        <v/>
      </c>
      <c r="Q256" s="5">
        <f>IF(tblOrdenes[[#This Row],[fecha_inicio]]="","",MONTH(tblOrdenes[[#This Row],[fecha_inicio]]))</f>
        <v/>
      </c>
      <c r="R256" s="5">
        <f>IF(tblOrdenes[[#This Row],[fecha_inicio]]="","",tblOrdenes[[#This Row],[anio]]&amp;"-"&amp;TEXT(tblOrdenes[[#This Row],[mes]],"00"))</f>
        <v/>
      </c>
      <c r="S256" s="5">
        <f>IF(tblOrdenes[[#This Row],[fecha_inicio]]="","",INDEX(lista_dias,WEEKDAY(tblOrdenes[[#This Row],[fecha_inicio]],2)))</f>
        <v/>
      </c>
      <c r="T2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6" s="5">
        <f>IF(tblOrdenes[[#This Row],[tipo_ot]]="","",_xlfn.XLOOKUP(tblOrdenes[[#This Row],[tipo_ot]],tblTiposOT[codigo],tblTiposOT[clasificacion],"sin_clasificar"))</f>
        <v/>
      </c>
      <c r="V2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6" s="5">
        <f>IF(tblOrdenes[[#This Row],[centro_costo]]="","",_xlfn.XLOOKUP(tblOrdenes[[#This Row],[centro_costo]],tblCECO[codigo],tblCECO[linea],"(sin catálogo)"))</f>
        <v/>
      </c>
      <c r="X256" s="5">
        <f>IF(tblOrdenes[[#This Row],[centro_costo]]="","",_xlfn.XLOOKUP(tblOrdenes[[#This Row],[centro_costo]],tblCECO[codigo],tblCECO[area],"(sin catálogo)"))</f>
        <v/>
      </c>
      <c r="Y2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6" s="5">
        <f>IF(tblOrdenes[[#This Row],[centro_costo]]="","",_xlfn.XLOOKUP(tblOrdenes[[#This Row],[centro_costo]],tblCECO[codigo],tblCECO[coordinador],"(sin catálogo)"))</f>
        <v/>
      </c>
      <c r="AA256" s="5">
        <f>IF(tblOrdenes[[#This Row],[puesto_trabajo]]="","",_xlfn.XLOOKUP(tblOrdenes[[#This Row],[puesto_trabajo]],tblPuestos[codigo],tblPuestos[especialidad],"(sin catálogo)"))</f>
        <v/>
      </c>
      <c r="AB256" s="5">
        <f>IF(tblOrdenes[[#This Row],[cod_actividad]]="","",_xlfn.XLOOKUP(tblOrdenes[[#This Row],[cod_actividad]],tblActividades[codigo],tblActividades[descripcion],"(sin catálogo)"))</f>
        <v/>
      </c>
      <c r="AC256" s="20">
        <f>IF(tblOrdenes[[#This Row],[fecha_inicio]]="","",TODAY()-tblOrdenes[[#This Row],[fecha_inicio]])</f>
        <v/>
      </c>
      <c r="AD2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6" s="5">
        <f>IF(tblOrdenes[[#This Row],[backlog_habiles]]="","",IF(tblOrdenes[[#This Row],[backlog_habiles]]&lt;0,"FUTURO",IF(tblOrdenes[[#This Row],[backlog_habiles]]&gt;p_dias_backlog_max,"BACKLOG","MES CORRIENTE")))</f>
        <v/>
      </c>
      <c r="AF256" s="5">
        <f>IF(tblOrdenes[[#This Row],[backlog_habiles]]="",FALSE,AND(tblOrdenes[[#This Row],[backlog_habiles]]&gt;p_dias_backlog_min,tblOrdenes[[#This Row],[backlog_habiles]]&lt;=p_dias_backlog_max))</f>
        <v/>
      </c>
      <c r="AG256" s="4" t="n"/>
      <c r="AH2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6" s="18">
        <f>IF(tblOrdenes[[#This Row],[orden]]="","",_xlfn.XLOOKUP(tblOrdenes[[#This Row],[id_operacion]],tblEjecucion[id_operacion],tblEjecucion[precio],0))</f>
        <v/>
      </c>
      <c r="AL256" s="18">
        <f>IF(tblOrdenes[[#This Row],[orden]]="","",MAX(0,_xlfn.XLOOKUP(tblOrdenes[[#This Row],[id_operacion]],tblEjecucion[id_operacion],tblEjecucion[costo_plan_total],0)-tblOrdenes[[#This Row],[costo_servicio]]))</f>
        <v/>
      </c>
      <c r="AM256" s="18">
        <f>IF(tblOrdenes[[#This Row],[orden]]="","",tblOrdenes[[#This Row],[costo_servicio]]+tblOrdenes[[#This Row],[costo_materiales]])</f>
        <v/>
      </c>
      <c r="AN2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6" s="4" t="n"/>
      <c r="AP256" s="4" t="n"/>
      <c r="AQ256" s="4" t="n"/>
      <c r="AR256" s="5">
        <f>IF(tblOrdenes[[#This Row],[link_checklist]]="","",HYPERLINK(p_ruta_base_checklists&amp;tblOrdenes[[#This Row],[link_checklist]],"abrir"))</f>
        <v/>
      </c>
      <c r="AS256" s="4" t="n"/>
      <c r="AT256" s="5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22" t="n"/>
      <c r="K257" s="5" t="n"/>
      <c r="L257" s="18" t="n"/>
      <c r="M2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5">
        <f>IF(tblOrdenes[[#This Row],[fecha_inicio]]="","",YEAR(tblOrdenes[[#This Row],[fecha_inicio]]))</f>
        <v/>
      </c>
      <c r="Q257" s="5">
        <f>IF(tblOrdenes[[#This Row],[fecha_inicio]]="","",MONTH(tblOrdenes[[#This Row],[fecha_inicio]]))</f>
        <v/>
      </c>
      <c r="R257" s="5">
        <f>IF(tblOrdenes[[#This Row],[fecha_inicio]]="","",tblOrdenes[[#This Row],[anio]]&amp;"-"&amp;TEXT(tblOrdenes[[#This Row],[mes]],"00"))</f>
        <v/>
      </c>
      <c r="S257" s="5">
        <f>IF(tblOrdenes[[#This Row],[fecha_inicio]]="","",INDEX(lista_dias,WEEKDAY(tblOrdenes[[#This Row],[fecha_inicio]],2)))</f>
        <v/>
      </c>
      <c r="T2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7" s="5">
        <f>IF(tblOrdenes[[#This Row],[tipo_ot]]="","",_xlfn.XLOOKUP(tblOrdenes[[#This Row],[tipo_ot]],tblTiposOT[codigo],tblTiposOT[clasificacion],"sin_clasificar"))</f>
        <v/>
      </c>
      <c r="V2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7" s="5">
        <f>IF(tblOrdenes[[#This Row],[centro_costo]]="","",_xlfn.XLOOKUP(tblOrdenes[[#This Row],[centro_costo]],tblCECO[codigo],tblCECO[linea],"(sin catálogo)"))</f>
        <v/>
      </c>
      <c r="X257" s="5">
        <f>IF(tblOrdenes[[#This Row],[centro_costo]]="","",_xlfn.XLOOKUP(tblOrdenes[[#This Row],[centro_costo]],tblCECO[codigo],tblCECO[area],"(sin catálogo)"))</f>
        <v/>
      </c>
      <c r="Y2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7" s="5">
        <f>IF(tblOrdenes[[#This Row],[centro_costo]]="","",_xlfn.XLOOKUP(tblOrdenes[[#This Row],[centro_costo]],tblCECO[codigo],tblCECO[coordinador],"(sin catálogo)"))</f>
        <v/>
      </c>
      <c r="AA257" s="5">
        <f>IF(tblOrdenes[[#This Row],[puesto_trabajo]]="","",_xlfn.XLOOKUP(tblOrdenes[[#This Row],[puesto_trabajo]],tblPuestos[codigo],tblPuestos[especialidad],"(sin catálogo)"))</f>
        <v/>
      </c>
      <c r="AB257" s="5">
        <f>IF(tblOrdenes[[#This Row],[cod_actividad]]="","",_xlfn.XLOOKUP(tblOrdenes[[#This Row],[cod_actividad]],tblActividades[codigo],tblActividades[descripcion],"(sin catálogo)"))</f>
        <v/>
      </c>
      <c r="AC257" s="20">
        <f>IF(tblOrdenes[[#This Row],[fecha_inicio]]="","",TODAY()-tblOrdenes[[#This Row],[fecha_inicio]])</f>
        <v/>
      </c>
      <c r="AD2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7" s="5">
        <f>IF(tblOrdenes[[#This Row],[backlog_habiles]]="","",IF(tblOrdenes[[#This Row],[backlog_habiles]]&lt;0,"FUTURO",IF(tblOrdenes[[#This Row],[backlog_habiles]]&gt;p_dias_backlog_max,"BACKLOG","MES CORRIENTE")))</f>
        <v/>
      </c>
      <c r="AF257" s="5">
        <f>IF(tblOrdenes[[#This Row],[backlog_habiles]]="",FALSE,AND(tblOrdenes[[#This Row],[backlog_habiles]]&gt;p_dias_backlog_min,tblOrdenes[[#This Row],[backlog_habiles]]&lt;=p_dias_backlog_max))</f>
        <v/>
      </c>
      <c r="AG257" s="4" t="n"/>
      <c r="AH2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7" s="18">
        <f>IF(tblOrdenes[[#This Row],[orden]]="","",_xlfn.XLOOKUP(tblOrdenes[[#This Row],[id_operacion]],tblEjecucion[id_operacion],tblEjecucion[precio],0))</f>
        <v/>
      </c>
      <c r="AL257" s="18">
        <f>IF(tblOrdenes[[#This Row],[orden]]="","",MAX(0,_xlfn.XLOOKUP(tblOrdenes[[#This Row],[id_operacion]],tblEjecucion[id_operacion],tblEjecucion[costo_plan_total],0)-tblOrdenes[[#This Row],[costo_servicio]]))</f>
        <v/>
      </c>
      <c r="AM257" s="18">
        <f>IF(tblOrdenes[[#This Row],[orden]]="","",tblOrdenes[[#This Row],[costo_servicio]]+tblOrdenes[[#This Row],[costo_materiales]])</f>
        <v/>
      </c>
      <c r="AN2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7" s="4" t="n"/>
      <c r="AP257" s="4" t="n"/>
      <c r="AQ257" s="4" t="n"/>
      <c r="AR257" s="5">
        <f>IF(tblOrdenes[[#This Row],[link_checklist]]="","",HYPERLINK(p_ruta_base_checklists&amp;tblOrdenes[[#This Row],[link_checklist]],"abrir"))</f>
        <v/>
      </c>
      <c r="AS257" s="4" t="n"/>
      <c r="AT257" s="5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22" t="n"/>
      <c r="K258" s="5" t="n"/>
      <c r="L258" s="18" t="n"/>
      <c r="M2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5">
        <f>IF(tblOrdenes[[#This Row],[fecha_inicio]]="","",YEAR(tblOrdenes[[#This Row],[fecha_inicio]]))</f>
        <v/>
      </c>
      <c r="Q258" s="5">
        <f>IF(tblOrdenes[[#This Row],[fecha_inicio]]="","",MONTH(tblOrdenes[[#This Row],[fecha_inicio]]))</f>
        <v/>
      </c>
      <c r="R258" s="5">
        <f>IF(tblOrdenes[[#This Row],[fecha_inicio]]="","",tblOrdenes[[#This Row],[anio]]&amp;"-"&amp;TEXT(tblOrdenes[[#This Row],[mes]],"00"))</f>
        <v/>
      </c>
      <c r="S258" s="5">
        <f>IF(tblOrdenes[[#This Row],[fecha_inicio]]="","",INDEX(lista_dias,WEEKDAY(tblOrdenes[[#This Row],[fecha_inicio]],2)))</f>
        <v/>
      </c>
      <c r="T2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8" s="5">
        <f>IF(tblOrdenes[[#This Row],[tipo_ot]]="","",_xlfn.XLOOKUP(tblOrdenes[[#This Row],[tipo_ot]],tblTiposOT[codigo],tblTiposOT[clasificacion],"sin_clasificar"))</f>
        <v/>
      </c>
      <c r="V2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8" s="5">
        <f>IF(tblOrdenes[[#This Row],[centro_costo]]="","",_xlfn.XLOOKUP(tblOrdenes[[#This Row],[centro_costo]],tblCECO[codigo],tblCECO[linea],"(sin catálogo)"))</f>
        <v/>
      </c>
      <c r="X258" s="5">
        <f>IF(tblOrdenes[[#This Row],[centro_costo]]="","",_xlfn.XLOOKUP(tblOrdenes[[#This Row],[centro_costo]],tblCECO[codigo],tblCECO[area],"(sin catálogo)"))</f>
        <v/>
      </c>
      <c r="Y2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8" s="5">
        <f>IF(tblOrdenes[[#This Row],[centro_costo]]="","",_xlfn.XLOOKUP(tblOrdenes[[#This Row],[centro_costo]],tblCECO[codigo],tblCECO[coordinador],"(sin catálogo)"))</f>
        <v/>
      </c>
      <c r="AA258" s="5">
        <f>IF(tblOrdenes[[#This Row],[puesto_trabajo]]="","",_xlfn.XLOOKUP(tblOrdenes[[#This Row],[puesto_trabajo]],tblPuestos[codigo],tblPuestos[especialidad],"(sin catálogo)"))</f>
        <v/>
      </c>
      <c r="AB258" s="5">
        <f>IF(tblOrdenes[[#This Row],[cod_actividad]]="","",_xlfn.XLOOKUP(tblOrdenes[[#This Row],[cod_actividad]],tblActividades[codigo],tblActividades[descripcion],"(sin catálogo)"))</f>
        <v/>
      </c>
      <c r="AC258" s="20">
        <f>IF(tblOrdenes[[#This Row],[fecha_inicio]]="","",TODAY()-tblOrdenes[[#This Row],[fecha_inicio]])</f>
        <v/>
      </c>
      <c r="AD2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8" s="5">
        <f>IF(tblOrdenes[[#This Row],[backlog_habiles]]="","",IF(tblOrdenes[[#This Row],[backlog_habiles]]&lt;0,"FUTURO",IF(tblOrdenes[[#This Row],[backlog_habiles]]&gt;p_dias_backlog_max,"BACKLOG","MES CORRIENTE")))</f>
        <v/>
      </c>
      <c r="AF258" s="5">
        <f>IF(tblOrdenes[[#This Row],[backlog_habiles]]="",FALSE,AND(tblOrdenes[[#This Row],[backlog_habiles]]&gt;p_dias_backlog_min,tblOrdenes[[#This Row],[backlog_habiles]]&lt;=p_dias_backlog_max))</f>
        <v/>
      </c>
      <c r="AG258" s="4" t="n"/>
      <c r="AH2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8" s="18">
        <f>IF(tblOrdenes[[#This Row],[orden]]="","",_xlfn.XLOOKUP(tblOrdenes[[#This Row],[id_operacion]],tblEjecucion[id_operacion],tblEjecucion[precio],0))</f>
        <v/>
      </c>
      <c r="AL258" s="18">
        <f>IF(tblOrdenes[[#This Row],[orden]]="","",MAX(0,_xlfn.XLOOKUP(tblOrdenes[[#This Row],[id_operacion]],tblEjecucion[id_operacion],tblEjecucion[costo_plan_total],0)-tblOrdenes[[#This Row],[costo_servicio]]))</f>
        <v/>
      </c>
      <c r="AM258" s="18">
        <f>IF(tblOrdenes[[#This Row],[orden]]="","",tblOrdenes[[#This Row],[costo_servicio]]+tblOrdenes[[#This Row],[costo_materiales]])</f>
        <v/>
      </c>
      <c r="AN2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8" s="4" t="n"/>
      <c r="AP258" s="4" t="n"/>
      <c r="AQ258" s="4" t="n"/>
      <c r="AR258" s="5">
        <f>IF(tblOrdenes[[#This Row],[link_checklist]]="","",HYPERLINK(p_ruta_base_checklists&amp;tblOrdenes[[#This Row],[link_checklist]],"abrir"))</f>
        <v/>
      </c>
      <c r="AS258" s="4" t="n"/>
      <c r="AT258" s="5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22" t="n"/>
      <c r="K259" s="5" t="n"/>
      <c r="L259" s="18" t="n"/>
      <c r="M2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5">
        <f>IF(tblOrdenes[[#This Row],[fecha_inicio]]="","",YEAR(tblOrdenes[[#This Row],[fecha_inicio]]))</f>
        <v/>
      </c>
      <c r="Q259" s="5">
        <f>IF(tblOrdenes[[#This Row],[fecha_inicio]]="","",MONTH(tblOrdenes[[#This Row],[fecha_inicio]]))</f>
        <v/>
      </c>
      <c r="R259" s="5">
        <f>IF(tblOrdenes[[#This Row],[fecha_inicio]]="","",tblOrdenes[[#This Row],[anio]]&amp;"-"&amp;TEXT(tblOrdenes[[#This Row],[mes]],"00"))</f>
        <v/>
      </c>
      <c r="S259" s="5">
        <f>IF(tblOrdenes[[#This Row],[fecha_inicio]]="","",INDEX(lista_dias,WEEKDAY(tblOrdenes[[#This Row],[fecha_inicio]],2)))</f>
        <v/>
      </c>
      <c r="T2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9" s="5">
        <f>IF(tblOrdenes[[#This Row],[tipo_ot]]="","",_xlfn.XLOOKUP(tblOrdenes[[#This Row],[tipo_ot]],tblTiposOT[codigo],tblTiposOT[clasificacion],"sin_clasificar"))</f>
        <v/>
      </c>
      <c r="V2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9" s="5">
        <f>IF(tblOrdenes[[#This Row],[centro_costo]]="","",_xlfn.XLOOKUP(tblOrdenes[[#This Row],[centro_costo]],tblCECO[codigo],tblCECO[linea],"(sin catálogo)"))</f>
        <v/>
      </c>
      <c r="X259" s="5">
        <f>IF(tblOrdenes[[#This Row],[centro_costo]]="","",_xlfn.XLOOKUP(tblOrdenes[[#This Row],[centro_costo]],tblCECO[codigo],tblCECO[area],"(sin catálogo)"))</f>
        <v/>
      </c>
      <c r="Y2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59" s="5">
        <f>IF(tblOrdenes[[#This Row],[centro_costo]]="","",_xlfn.XLOOKUP(tblOrdenes[[#This Row],[centro_costo]],tblCECO[codigo],tblCECO[coordinador],"(sin catálogo)"))</f>
        <v/>
      </c>
      <c r="AA259" s="5">
        <f>IF(tblOrdenes[[#This Row],[puesto_trabajo]]="","",_xlfn.XLOOKUP(tblOrdenes[[#This Row],[puesto_trabajo]],tblPuestos[codigo],tblPuestos[especialidad],"(sin catálogo)"))</f>
        <v/>
      </c>
      <c r="AB259" s="5">
        <f>IF(tblOrdenes[[#This Row],[cod_actividad]]="","",_xlfn.XLOOKUP(tblOrdenes[[#This Row],[cod_actividad]],tblActividades[codigo],tblActividades[descripcion],"(sin catálogo)"))</f>
        <v/>
      </c>
      <c r="AC259" s="20">
        <f>IF(tblOrdenes[[#This Row],[fecha_inicio]]="","",TODAY()-tblOrdenes[[#This Row],[fecha_inicio]])</f>
        <v/>
      </c>
      <c r="AD2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59" s="5">
        <f>IF(tblOrdenes[[#This Row],[backlog_habiles]]="","",IF(tblOrdenes[[#This Row],[backlog_habiles]]&lt;0,"FUTURO",IF(tblOrdenes[[#This Row],[backlog_habiles]]&gt;p_dias_backlog_max,"BACKLOG","MES CORRIENTE")))</f>
        <v/>
      </c>
      <c r="AF259" s="5">
        <f>IF(tblOrdenes[[#This Row],[backlog_habiles]]="",FALSE,AND(tblOrdenes[[#This Row],[backlog_habiles]]&gt;p_dias_backlog_min,tblOrdenes[[#This Row],[backlog_habiles]]&lt;=p_dias_backlog_max))</f>
        <v/>
      </c>
      <c r="AG259" s="4" t="n"/>
      <c r="AH2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59" s="18">
        <f>IF(tblOrdenes[[#This Row],[orden]]="","",_xlfn.XLOOKUP(tblOrdenes[[#This Row],[id_operacion]],tblEjecucion[id_operacion],tblEjecucion[precio],0))</f>
        <v/>
      </c>
      <c r="AL259" s="18">
        <f>IF(tblOrdenes[[#This Row],[orden]]="","",MAX(0,_xlfn.XLOOKUP(tblOrdenes[[#This Row],[id_operacion]],tblEjecucion[id_operacion],tblEjecucion[costo_plan_total],0)-tblOrdenes[[#This Row],[costo_servicio]]))</f>
        <v/>
      </c>
      <c r="AM259" s="18">
        <f>IF(tblOrdenes[[#This Row],[orden]]="","",tblOrdenes[[#This Row],[costo_servicio]]+tblOrdenes[[#This Row],[costo_materiales]])</f>
        <v/>
      </c>
      <c r="AN2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59" s="4" t="n"/>
      <c r="AP259" s="4" t="n"/>
      <c r="AQ259" s="4" t="n"/>
      <c r="AR259" s="5">
        <f>IF(tblOrdenes[[#This Row],[link_checklist]]="","",HYPERLINK(p_ruta_base_checklists&amp;tblOrdenes[[#This Row],[link_checklist]],"abrir"))</f>
        <v/>
      </c>
      <c r="AS259" s="4" t="n"/>
      <c r="AT259" s="5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22" t="n"/>
      <c r="K260" s="5" t="n"/>
      <c r="L260" s="18" t="n"/>
      <c r="M2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5">
        <f>IF(tblOrdenes[[#This Row],[fecha_inicio]]="","",YEAR(tblOrdenes[[#This Row],[fecha_inicio]]))</f>
        <v/>
      </c>
      <c r="Q260" s="5">
        <f>IF(tblOrdenes[[#This Row],[fecha_inicio]]="","",MONTH(tblOrdenes[[#This Row],[fecha_inicio]]))</f>
        <v/>
      </c>
      <c r="R260" s="5">
        <f>IF(tblOrdenes[[#This Row],[fecha_inicio]]="","",tblOrdenes[[#This Row],[anio]]&amp;"-"&amp;TEXT(tblOrdenes[[#This Row],[mes]],"00"))</f>
        <v/>
      </c>
      <c r="S260" s="5">
        <f>IF(tblOrdenes[[#This Row],[fecha_inicio]]="","",INDEX(lista_dias,WEEKDAY(tblOrdenes[[#This Row],[fecha_inicio]],2)))</f>
        <v/>
      </c>
      <c r="T2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0" s="5">
        <f>IF(tblOrdenes[[#This Row],[tipo_ot]]="","",_xlfn.XLOOKUP(tblOrdenes[[#This Row],[tipo_ot]],tblTiposOT[codigo],tblTiposOT[clasificacion],"sin_clasificar"))</f>
        <v/>
      </c>
      <c r="V2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0" s="5">
        <f>IF(tblOrdenes[[#This Row],[centro_costo]]="","",_xlfn.XLOOKUP(tblOrdenes[[#This Row],[centro_costo]],tblCECO[codigo],tblCECO[linea],"(sin catálogo)"))</f>
        <v/>
      </c>
      <c r="X260" s="5">
        <f>IF(tblOrdenes[[#This Row],[centro_costo]]="","",_xlfn.XLOOKUP(tblOrdenes[[#This Row],[centro_costo]],tblCECO[codigo],tblCECO[area],"(sin catálogo)"))</f>
        <v/>
      </c>
      <c r="Y2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0" s="5">
        <f>IF(tblOrdenes[[#This Row],[centro_costo]]="","",_xlfn.XLOOKUP(tblOrdenes[[#This Row],[centro_costo]],tblCECO[codigo],tblCECO[coordinador],"(sin catálogo)"))</f>
        <v/>
      </c>
      <c r="AA260" s="5">
        <f>IF(tblOrdenes[[#This Row],[puesto_trabajo]]="","",_xlfn.XLOOKUP(tblOrdenes[[#This Row],[puesto_trabajo]],tblPuestos[codigo],tblPuestos[especialidad],"(sin catálogo)"))</f>
        <v/>
      </c>
      <c r="AB260" s="5">
        <f>IF(tblOrdenes[[#This Row],[cod_actividad]]="","",_xlfn.XLOOKUP(tblOrdenes[[#This Row],[cod_actividad]],tblActividades[codigo],tblActividades[descripcion],"(sin catálogo)"))</f>
        <v/>
      </c>
      <c r="AC260" s="20">
        <f>IF(tblOrdenes[[#This Row],[fecha_inicio]]="","",TODAY()-tblOrdenes[[#This Row],[fecha_inicio]])</f>
        <v/>
      </c>
      <c r="AD2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0" s="5">
        <f>IF(tblOrdenes[[#This Row],[backlog_habiles]]="","",IF(tblOrdenes[[#This Row],[backlog_habiles]]&lt;0,"FUTURO",IF(tblOrdenes[[#This Row],[backlog_habiles]]&gt;p_dias_backlog_max,"BACKLOG","MES CORRIENTE")))</f>
        <v/>
      </c>
      <c r="AF260" s="5">
        <f>IF(tblOrdenes[[#This Row],[backlog_habiles]]="",FALSE,AND(tblOrdenes[[#This Row],[backlog_habiles]]&gt;p_dias_backlog_min,tblOrdenes[[#This Row],[backlog_habiles]]&lt;=p_dias_backlog_max))</f>
        <v/>
      </c>
      <c r="AG260" s="4" t="n"/>
      <c r="AH2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0" s="18">
        <f>IF(tblOrdenes[[#This Row],[orden]]="","",_xlfn.XLOOKUP(tblOrdenes[[#This Row],[id_operacion]],tblEjecucion[id_operacion],tblEjecucion[precio],0))</f>
        <v/>
      </c>
      <c r="AL260" s="18">
        <f>IF(tblOrdenes[[#This Row],[orden]]="","",MAX(0,_xlfn.XLOOKUP(tblOrdenes[[#This Row],[id_operacion]],tblEjecucion[id_operacion],tblEjecucion[costo_plan_total],0)-tblOrdenes[[#This Row],[costo_servicio]]))</f>
        <v/>
      </c>
      <c r="AM260" s="18">
        <f>IF(tblOrdenes[[#This Row],[orden]]="","",tblOrdenes[[#This Row],[costo_servicio]]+tblOrdenes[[#This Row],[costo_materiales]])</f>
        <v/>
      </c>
      <c r="AN2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0" s="4" t="n"/>
      <c r="AP260" s="4" t="n"/>
      <c r="AQ260" s="4" t="n"/>
      <c r="AR260" s="5">
        <f>IF(tblOrdenes[[#This Row],[link_checklist]]="","",HYPERLINK(p_ruta_base_checklists&amp;tblOrdenes[[#This Row],[link_checklist]],"abrir"))</f>
        <v/>
      </c>
      <c r="AS260" s="4" t="n"/>
      <c r="AT260" s="5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22" t="n"/>
      <c r="K261" s="5" t="n"/>
      <c r="L261" s="18" t="n"/>
      <c r="M2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5">
        <f>IF(tblOrdenes[[#This Row],[fecha_inicio]]="","",YEAR(tblOrdenes[[#This Row],[fecha_inicio]]))</f>
        <v/>
      </c>
      <c r="Q261" s="5">
        <f>IF(tblOrdenes[[#This Row],[fecha_inicio]]="","",MONTH(tblOrdenes[[#This Row],[fecha_inicio]]))</f>
        <v/>
      </c>
      <c r="R261" s="5">
        <f>IF(tblOrdenes[[#This Row],[fecha_inicio]]="","",tblOrdenes[[#This Row],[anio]]&amp;"-"&amp;TEXT(tblOrdenes[[#This Row],[mes]],"00"))</f>
        <v/>
      </c>
      <c r="S261" s="5">
        <f>IF(tblOrdenes[[#This Row],[fecha_inicio]]="","",INDEX(lista_dias,WEEKDAY(tblOrdenes[[#This Row],[fecha_inicio]],2)))</f>
        <v/>
      </c>
      <c r="T2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1" s="5">
        <f>IF(tblOrdenes[[#This Row],[tipo_ot]]="","",_xlfn.XLOOKUP(tblOrdenes[[#This Row],[tipo_ot]],tblTiposOT[codigo],tblTiposOT[clasificacion],"sin_clasificar"))</f>
        <v/>
      </c>
      <c r="V2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1" s="5">
        <f>IF(tblOrdenes[[#This Row],[centro_costo]]="","",_xlfn.XLOOKUP(tblOrdenes[[#This Row],[centro_costo]],tblCECO[codigo],tblCECO[linea],"(sin catálogo)"))</f>
        <v/>
      </c>
      <c r="X261" s="5">
        <f>IF(tblOrdenes[[#This Row],[centro_costo]]="","",_xlfn.XLOOKUP(tblOrdenes[[#This Row],[centro_costo]],tblCECO[codigo],tblCECO[area],"(sin catálogo)"))</f>
        <v/>
      </c>
      <c r="Y2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1" s="5">
        <f>IF(tblOrdenes[[#This Row],[centro_costo]]="","",_xlfn.XLOOKUP(tblOrdenes[[#This Row],[centro_costo]],tblCECO[codigo],tblCECO[coordinador],"(sin catálogo)"))</f>
        <v/>
      </c>
      <c r="AA261" s="5">
        <f>IF(tblOrdenes[[#This Row],[puesto_trabajo]]="","",_xlfn.XLOOKUP(tblOrdenes[[#This Row],[puesto_trabajo]],tblPuestos[codigo],tblPuestos[especialidad],"(sin catálogo)"))</f>
        <v/>
      </c>
      <c r="AB261" s="5">
        <f>IF(tblOrdenes[[#This Row],[cod_actividad]]="","",_xlfn.XLOOKUP(tblOrdenes[[#This Row],[cod_actividad]],tblActividades[codigo],tblActividades[descripcion],"(sin catálogo)"))</f>
        <v/>
      </c>
      <c r="AC261" s="20">
        <f>IF(tblOrdenes[[#This Row],[fecha_inicio]]="","",TODAY()-tblOrdenes[[#This Row],[fecha_inicio]])</f>
        <v/>
      </c>
      <c r="AD2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1" s="5">
        <f>IF(tblOrdenes[[#This Row],[backlog_habiles]]="","",IF(tblOrdenes[[#This Row],[backlog_habiles]]&lt;0,"FUTURO",IF(tblOrdenes[[#This Row],[backlog_habiles]]&gt;p_dias_backlog_max,"BACKLOG","MES CORRIENTE")))</f>
        <v/>
      </c>
      <c r="AF261" s="5">
        <f>IF(tblOrdenes[[#This Row],[backlog_habiles]]="",FALSE,AND(tblOrdenes[[#This Row],[backlog_habiles]]&gt;p_dias_backlog_min,tblOrdenes[[#This Row],[backlog_habiles]]&lt;=p_dias_backlog_max))</f>
        <v/>
      </c>
      <c r="AG261" s="4" t="n"/>
      <c r="AH2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1" s="18">
        <f>IF(tblOrdenes[[#This Row],[orden]]="","",_xlfn.XLOOKUP(tblOrdenes[[#This Row],[id_operacion]],tblEjecucion[id_operacion],tblEjecucion[precio],0))</f>
        <v/>
      </c>
      <c r="AL261" s="18">
        <f>IF(tblOrdenes[[#This Row],[orden]]="","",MAX(0,_xlfn.XLOOKUP(tblOrdenes[[#This Row],[id_operacion]],tblEjecucion[id_operacion],tblEjecucion[costo_plan_total],0)-tblOrdenes[[#This Row],[costo_servicio]]))</f>
        <v/>
      </c>
      <c r="AM261" s="18">
        <f>IF(tblOrdenes[[#This Row],[orden]]="","",tblOrdenes[[#This Row],[costo_servicio]]+tblOrdenes[[#This Row],[costo_materiales]])</f>
        <v/>
      </c>
      <c r="AN2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1" s="4" t="n"/>
      <c r="AP261" s="4" t="n"/>
      <c r="AQ261" s="4" t="n"/>
      <c r="AR261" s="5">
        <f>IF(tblOrdenes[[#This Row],[link_checklist]]="","",HYPERLINK(p_ruta_base_checklists&amp;tblOrdenes[[#This Row],[link_checklist]],"abrir"))</f>
        <v/>
      </c>
      <c r="AS261" s="4" t="n"/>
      <c r="AT261" s="5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22" t="n"/>
      <c r="K262" s="5" t="n"/>
      <c r="L262" s="18" t="n"/>
      <c r="M2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5">
        <f>IF(tblOrdenes[[#This Row],[fecha_inicio]]="","",YEAR(tblOrdenes[[#This Row],[fecha_inicio]]))</f>
        <v/>
      </c>
      <c r="Q262" s="5">
        <f>IF(tblOrdenes[[#This Row],[fecha_inicio]]="","",MONTH(tblOrdenes[[#This Row],[fecha_inicio]]))</f>
        <v/>
      </c>
      <c r="R262" s="5">
        <f>IF(tblOrdenes[[#This Row],[fecha_inicio]]="","",tblOrdenes[[#This Row],[anio]]&amp;"-"&amp;TEXT(tblOrdenes[[#This Row],[mes]],"00"))</f>
        <v/>
      </c>
      <c r="S262" s="5">
        <f>IF(tblOrdenes[[#This Row],[fecha_inicio]]="","",INDEX(lista_dias,WEEKDAY(tblOrdenes[[#This Row],[fecha_inicio]],2)))</f>
        <v/>
      </c>
      <c r="T2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2" s="5">
        <f>IF(tblOrdenes[[#This Row],[tipo_ot]]="","",_xlfn.XLOOKUP(tblOrdenes[[#This Row],[tipo_ot]],tblTiposOT[codigo],tblTiposOT[clasificacion],"sin_clasificar"))</f>
        <v/>
      </c>
      <c r="V2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2" s="5">
        <f>IF(tblOrdenes[[#This Row],[centro_costo]]="","",_xlfn.XLOOKUP(tblOrdenes[[#This Row],[centro_costo]],tblCECO[codigo],tblCECO[linea],"(sin catálogo)"))</f>
        <v/>
      </c>
      <c r="X262" s="5">
        <f>IF(tblOrdenes[[#This Row],[centro_costo]]="","",_xlfn.XLOOKUP(tblOrdenes[[#This Row],[centro_costo]],tblCECO[codigo],tblCECO[area],"(sin catálogo)"))</f>
        <v/>
      </c>
      <c r="Y2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2" s="5">
        <f>IF(tblOrdenes[[#This Row],[centro_costo]]="","",_xlfn.XLOOKUP(tblOrdenes[[#This Row],[centro_costo]],tblCECO[codigo],tblCECO[coordinador],"(sin catálogo)"))</f>
        <v/>
      </c>
      <c r="AA262" s="5">
        <f>IF(tblOrdenes[[#This Row],[puesto_trabajo]]="","",_xlfn.XLOOKUP(tblOrdenes[[#This Row],[puesto_trabajo]],tblPuestos[codigo],tblPuestos[especialidad],"(sin catálogo)"))</f>
        <v/>
      </c>
      <c r="AB262" s="5">
        <f>IF(tblOrdenes[[#This Row],[cod_actividad]]="","",_xlfn.XLOOKUP(tblOrdenes[[#This Row],[cod_actividad]],tblActividades[codigo],tblActividades[descripcion],"(sin catálogo)"))</f>
        <v/>
      </c>
      <c r="AC262" s="20">
        <f>IF(tblOrdenes[[#This Row],[fecha_inicio]]="","",TODAY()-tblOrdenes[[#This Row],[fecha_inicio]])</f>
        <v/>
      </c>
      <c r="AD2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2" s="5">
        <f>IF(tblOrdenes[[#This Row],[backlog_habiles]]="","",IF(tblOrdenes[[#This Row],[backlog_habiles]]&lt;0,"FUTURO",IF(tblOrdenes[[#This Row],[backlog_habiles]]&gt;p_dias_backlog_max,"BACKLOG","MES CORRIENTE")))</f>
        <v/>
      </c>
      <c r="AF262" s="5">
        <f>IF(tblOrdenes[[#This Row],[backlog_habiles]]="",FALSE,AND(tblOrdenes[[#This Row],[backlog_habiles]]&gt;p_dias_backlog_min,tblOrdenes[[#This Row],[backlog_habiles]]&lt;=p_dias_backlog_max))</f>
        <v/>
      </c>
      <c r="AG262" s="4" t="n"/>
      <c r="AH2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2" s="18">
        <f>IF(tblOrdenes[[#This Row],[orden]]="","",_xlfn.XLOOKUP(tblOrdenes[[#This Row],[id_operacion]],tblEjecucion[id_operacion],tblEjecucion[precio],0))</f>
        <v/>
      </c>
      <c r="AL262" s="18">
        <f>IF(tblOrdenes[[#This Row],[orden]]="","",MAX(0,_xlfn.XLOOKUP(tblOrdenes[[#This Row],[id_operacion]],tblEjecucion[id_operacion],tblEjecucion[costo_plan_total],0)-tblOrdenes[[#This Row],[costo_servicio]]))</f>
        <v/>
      </c>
      <c r="AM262" s="18">
        <f>IF(tblOrdenes[[#This Row],[orden]]="","",tblOrdenes[[#This Row],[costo_servicio]]+tblOrdenes[[#This Row],[costo_materiales]])</f>
        <v/>
      </c>
      <c r="AN2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2" s="4" t="n"/>
      <c r="AP262" s="4" t="n"/>
      <c r="AQ262" s="4" t="n"/>
      <c r="AR262" s="5">
        <f>IF(tblOrdenes[[#This Row],[link_checklist]]="","",HYPERLINK(p_ruta_base_checklists&amp;tblOrdenes[[#This Row],[link_checklist]],"abrir"))</f>
        <v/>
      </c>
      <c r="AS262" s="4" t="n"/>
      <c r="AT262" s="5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22" t="n"/>
      <c r="K263" s="5" t="n"/>
      <c r="L263" s="18" t="n"/>
      <c r="M2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5">
        <f>IF(tblOrdenes[[#This Row],[fecha_inicio]]="","",YEAR(tblOrdenes[[#This Row],[fecha_inicio]]))</f>
        <v/>
      </c>
      <c r="Q263" s="5">
        <f>IF(tblOrdenes[[#This Row],[fecha_inicio]]="","",MONTH(tblOrdenes[[#This Row],[fecha_inicio]]))</f>
        <v/>
      </c>
      <c r="R263" s="5">
        <f>IF(tblOrdenes[[#This Row],[fecha_inicio]]="","",tblOrdenes[[#This Row],[anio]]&amp;"-"&amp;TEXT(tblOrdenes[[#This Row],[mes]],"00"))</f>
        <v/>
      </c>
      <c r="S263" s="5">
        <f>IF(tblOrdenes[[#This Row],[fecha_inicio]]="","",INDEX(lista_dias,WEEKDAY(tblOrdenes[[#This Row],[fecha_inicio]],2)))</f>
        <v/>
      </c>
      <c r="T2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3" s="5">
        <f>IF(tblOrdenes[[#This Row],[tipo_ot]]="","",_xlfn.XLOOKUP(tblOrdenes[[#This Row],[tipo_ot]],tblTiposOT[codigo],tblTiposOT[clasificacion],"sin_clasificar"))</f>
        <v/>
      </c>
      <c r="V2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3" s="5">
        <f>IF(tblOrdenes[[#This Row],[centro_costo]]="","",_xlfn.XLOOKUP(tblOrdenes[[#This Row],[centro_costo]],tblCECO[codigo],tblCECO[linea],"(sin catálogo)"))</f>
        <v/>
      </c>
      <c r="X263" s="5">
        <f>IF(tblOrdenes[[#This Row],[centro_costo]]="","",_xlfn.XLOOKUP(tblOrdenes[[#This Row],[centro_costo]],tblCECO[codigo],tblCECO[area],"(sin catálogo)"))</f>
        <v/>
      </c>
      <c r="Y2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3" s="5">
        <f>IF(tblOrdenes[[#This Row],[centro_costo]]="","",_xlfn.XLOOKUP(tblOrdenes[[#This Row],[centro_costo]],tblCECO[codigo],tblCECO[coordinador],"(sin catálogo)"))</f>
        <v/>
      </c>
      <c r="AA263" s="5">
        <f>IF(tblOrdenes[[#This Row],[puesto_trabajo]]="","",_xlfn.XLOOKUP(tblOrdenes[[#This Row],[puesto_trabajo]],tblPuestos[codigo],tblPuestos[especialidad],"(sin catálogo)"))</f>
        <v/>
      </c>
      <c r="AB263" s="5">
        <f>IF(tblOrdenes[[#This Row],[cod_actividad]]="","",_xlfn.XLOOKUP(tblOrdenes[[#This Row],[cod_actividad]],tblActividades[codigo],tblActividades[descripcion],"(sin catálogo)"))</f>
        <v/>
      </c>
      <c r="AC263" s="20">
        <f>IF(tblOrdenes[[#This Row],[fecha_inicio]]="","",TODAY()-tblOrdenes[[#This Row],[fecha_inicio]])</f>
        <v/>
      </c>
      <c r="AD2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3" s="5">
        <f>IF(tblOrdenes[[#This Row],[backlog_habiles]]="","",IF(tblOrdenes[[#This Row],[backlog_habiles]]&lt;0,"FUTURO",IF(tblOrdenes[[#This Row],[backlog_habiles]]&gt;p_dias_backlog_max,"BACKLOG","MES CORRIENTE")))</f>
        <v/>
      </c>
      <c r="AF263" s="5">
        <f>IF(tblOrdenes[[#This Row],[backlog_habiles]]="",FALSE,AND(tblOrdenes[[#This Row],[backlog_habiles]]&gt;p_dias_backlog_min,tblOrdenes[[#This Row],[backlog_habiles]]&lt;=p_dias_backlog_max))</f>
        <v/>
      </c>
      <c r="AG263" s="4" t="n"/>
      <c r="AH2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3" s="18">
        <f>IF(tblOrdenes[[#This Row],[orden]]="","",_xlfn.XLOOKUP(tblOrdenes[[#This Row],[id_operacion]],tblEjecucion[id_operacion],tblEjecucion[precio],0))</f>
        <v/>
      </c>
      <c r="AL263" s="18">
        <f>IF(tblOrdenes[[#This Row],[orden]]="","",MAX(0,_xlfn.XLOOKUP(tblOrdenes[[#This Row],[id_operacion]],tblEjecucion[id_operacion],tblEjecucion[costo_plan_total],0)-tblOrdenes[[#This Row],[costo_servicio]]))</f>
        <v/>
      </c>
      <c r="AM263" s="18">
        <f>IF(tblOrdenes[[#This Row],[orden]]="","",tblOrdenes[[#This Row],[costo_servicio]]+tblOrdenes[[#This Row],[costo_materiales]])</f>
        <v/>
      </c>
      <c r="AN2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3" s="4" t="n"/>
      <c r="AP263" s="4" t="n"/>
      <c r="AQ263" s="4" t="n"/>
      <c r="AR263" s="5">
        <f>IF(tblOrdenes[[#This Row],[link_checklist]]="","",HYPERLINK(p_ruta_base_checklists&amp;tblOrdenes[[#This Row],[link_checklist]],"abrir"))</f>
        <v/>
      </c>
      <c r="AS263" s="4" t="n"/>
      <c r="AT263" s="5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22" t="n"/>
      <c r="K264" s="5" t="n"/>
      <c r="L264" s="18" t="n"/>
      <c r="M2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5">
        <f>IF(tblOrdenes[[#This Row],[fecha_inicio]]="","",YEAR(tblOrdenes[[#This Row],[fecha_inicio]]))</f>
        <v/>
      </c>
      <c r="Q264" s="5">
        <f>IF(tblOrdenes[[#This Row],[fecha_inicio]]="","",MONTH(tblOrdenes[[#This Row],[fecha_inicio]]))</f>
        <v/>
      </c>
      <c r="R264" s="5">
        <f>IF(tblOrdenes[[#This Row],[fecha_inicio]]="","",tblOrdenes[[#This Row],[anio]]&amp;"-"&amp;TEXT(tblOrdenes[[#This Row],[mes]],"00"))</f>
        <v/>
      </c>
      <c r="S264" s="5">
        <f>IF(tblOrdenes[[#This Row],[fecha_inicio]]="","",INDEX(lista_dias,WEEKDAY(tblOrdenes[[#This Row],[fecha_inicio]],2)))</f>
        <v/>
      </c>
      <c r="T2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4" s="5">
        <f>IF(tblOrdenes[[#This Row],[tipo_ot]]="","",_xlfn.XLOOKUP(tblOrdenes[[#This Row],[tipo_ot]],tblTiposOT[codigo],tblTiposOT[clasificacion],"sin_clasificar"))</f>
        <v/>
      </c>
      <c r="V2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4" s="5">
        <f>IF(tblOrdenes[[#This Row],[centro_costo]]="","",_xlfn.XLOOKUP(tblOrdenes[[#This Row],[centro_costo]],tblCECO[codigo],tblCECO[linea],"(sin catálogo)"))</f>
        <v/>
      </c>
      <c r="X264" s="5">
        <f>IF(tblOrdenes[[#This Row],[centro_costo]]="","",_xlfn.XLOOKUP(tblOrdenes[[#This Row],[centro_costo]],tblCECO[codigo],tblCECO[area],"(sin catálogo)"))</f>
        <v/>
      </c>
      <c r="Y2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4" s="5">
        <f>IF(tblOrdenes[[#This Row],[centro_costo]]="","",_xlfn.XLOOKUP(tblOrdenes[[#This Row],[centro_costo]],tblCECO[codigo],tblCECO[coordinador],"(sin catálogo)"))</f>
        <v/>
      </c>
      <c r="AA264" s="5">
        <f>IF(tblOrdenes[[#This Row],[puesto_trabajo]]="","",_xlfn.XLOOKUP(tblOrdenes[[#This Row],[puesto_trabajo]],tblPuestos[codigo],tblPuestos[especialidad],"(sin catálogo)"))</f>
        <v/>
      </c>
      <c r="AB264" s="5">
        <f>IF(tblOrdenes[[#This Row],[cod_actividad]]="","",_xlfn.XLOOKUP(tblOrdenes[[#This Row],[cod_actividad]],tblActividades[codigo],tblActividades[descripcion],"(sin catálogo)"))</f>
        <v/>
      </c>
      <c r="AC264" s="20">
        <f>IF(tblOrdenes[[#This Row],[fecha_inicio]]="","",TODAY()-tblOrdenes[[#This Row],[fecha_inicio]])</f>
        <v/>
      </c>
      <c r="AD2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4" s="5">
        <f>IF(tblOrdenes[[#This Row],[backlog_habiles]]="","",IF(tblOrdenes[[#This Row],[backlog_habiles]]&lt;0,"FUTURO",IF(tblOrdenes[[#This Row],[backlog_habiles]]&gt;p_dias_backlog_max,"BACKLOG","MES CORRIENTE")))</f>
        <v/>
      </c>
      <c r="AF264" s="5">
        <f>IF(tblOrdenes[[#This Row],[backlog_habiles]]="",FALSE,AND(tblOrdenes[[#This Row],[backlog_habiles]]&gt;p_dias_backlog_min,tblOrdenes[[#This Row],[backlog_habiles]]&lt;=p_dias_backlog_max))</f>
        <v/>
      </c>
      <c r="AG264" s="4" t="n"/>
      <c r="AH2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4" s="18">
        <f>IF(tblOrdenes[[#This Row],[orden]]="","",_xlfn.XLOOKUP(tblOrdenes[[#This Row],[id_operacion]],tblEjecucion[id_operacion],tblEjecucion[precio],0))</f>
        <v/>
      </c>
      <c r="AL264" s="18">
        <f>IF(tblOrdenes[[#This Row],[orden]]="","",MAX(0,_xlfn.XLOOKUP(tblOrdenes[[#This Row],[id_operacion]],tblEjecucion[id_operacion],tblEjecucion[costo_plan_total],0)-tblOrdenes[[#This Row],[costo_servicio]]))</f>
        <v/>
      </c>
      <c r="AM264" s="18">
        <f>IF(tblOrdenes[[#This Row],[orden]]="","",tblOrdenes[[#This Row],[costo_servicio]]+tblOrdenes[[#This Row],[costo_materiales]])</f>
        <v/>
      </c>
      <c r="AN2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4" s="4" t="n"/>
      <c r="AP264" s="4" t="n"/>
      <c r="AQ264" s="4" t="n"/>
      <c r="AR264" s="5">
        <f>IF(tblOrdenes[[#This Row],[link_checklist]]="","",HYPERLINK(p_ruta_base_checklists&amp;tblOrdenes[[#This Row],[link_checklist]],"abrir"))</f>
        <v/>
      </c>
      <c r="AS264" s="4" t="n"/>
      <c r="AT264" s="5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22" t="n"/>
      <c r="K265" s="5" t="n"/>
      <c r="L265" s="18" t="n"/>
      <c r="M2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5">
        <f>IF(tblOrdenes[[#This Row],[fecha_inicio]]="","",YEAR(tblOrdenes[[#This Row],[fecha_inicio]]))</f>
        <v/>
      </c>
      <c r="Q265" s="5">
        <f>IF(tblOrdenes[[#This Row],[fecha_inicio]]="","",MONTH(tblOrdenes[[#This Row],[fecha_inicio]]))</f>
        <v/>
      </c>
      <c r="R265" s="5">
        <f>IF(tblOrdenes[[#This Row],[fecha_inicio]]="","",tblOrdenes[[#This Row],[anio]]&amp;"-"&amp;TEXT(tblOrdenes[[#This Row],[mes]],"00"))</f>
        <v/>
      </c>
      <c r="S265" s="5">
        <f>IF(tblOrdenes[[#This Row],[fecha_inicio]]="","",INDEX(lista_dias,WEEKDAY(tblOrdenes[[#This Row],[fecha_inicio]],2)))</f>
        <v/>
      </c>
      <c r="T2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5" s="5">
        <f>IF(tblOrdenes[[#This Row],[tipo_ot]]="","",_xlfn.XLOOKUP(tblOrdenes[[#This Row],[tipo_ot]],tblTiposOT[codigo],tblTiposOT[clasificacion],"sin_clasificar"))</f>
        <v/>
      </c>
      <c r="V2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5" s="5">
        <f>IF(tblOrdenes[[#This Row],[centro_costo]]="","",_xlfn.XLOOKUP(tblOrdenes[[#This Row],[centro_costo]],tblCECO[codigo],tblCECO[linea],"(sin catálogo)"))</f>
        <v/>
      </c>
      <c r="X265" s="5">
        <f>IF(tblOrdenes[[#This Row],[centro_costo]]="","",_xlfn.XLOOKUP(tblOrdenes[[#This Row],[centro_costo]],tblCECO[codigo],tblCECO[area],"(sin catálogo)"))</f>
        <v/>
      </c>
      <c r="Y2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5" s="5">
        <f>IF(tblOrdenes[[#This Row],[centro_costo]]="","",_xlfn.XLOOKUP(tblOrdenes[[#This Row],[centro_costo]],tblCECO[codigo],tblCECO[coordinador],"(sin catálogo)"))</f>
        <v/>
      </c>
      <c r="AA265" s="5">
        <f>IF(tblOrdenes[[#This Row],[puesto_trabajo]]="","",_xlfn.XLOOKUP(tblOrdenes[[#This Row],[puesto_trabajo]],tblPuestos[codigo],tblPuestos[especialidad],"(sin catálogo)"))</f>
        <v/>
      </c>
      <c r="AB265" s="5">
        <f>IF(tblOrdenes[[#This Row],[cod_actividad]]="","",_xlfn.XLOOKUP(tblOrdenes[[#This Row],[cod_actividad]],tblActividades[codigo],tblActividades[descripcion],"(sin catálogo)"))</f>
        <v/>
      </c>
      <c r="AC265" s="20">
        <f>IF(tblOrdenes[[#This Row],[fecha_inicio]]="","",TODAY()-tblOrdenes[[#This Row],[fecha_inicio]])</f>
        <v/>
      </c>
      <c r="AD2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5" s="5">
        <f>IF(tblOrdenes[[#This Row],[backlog_habiles]]="","",IF(tblOrdenes[[#This Row],[backlog_habiles]]&lt;0,"FUTURO",IF(tblOrdenes[[#This Row],[backlog_habiles]]&gt;p_dias_backlog_max,"BACKLOG","MES CORRIENTE")))</f>
        <v/>
      </c>
      <c r="AF265" s="5">
        <f>IF(tblOrdenes[[#This Row],[backlog_habiles]]="",FALSE,AND(tblOrdenes[[#This Row],[backlog_habiles]]&gt;p_dias_backlog_min,tblOrdenes[[#This Row],[backlog_habiles]]&lt;=p_dias_backlog_max))</f>
        <v/>
      </c>
      <c r="AG265" s="4" t="n"/>
      <c r="AH2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5" s="18">
        <f>IF(tblOrdenes[[#This Row],[orden]]="","",_xlfn.XLOOKUP(tblOrdenes[[#This Row],[id_operacion]],tblEjecucion[id_operacion],tblEjecucion[precio],0))</f>
        <v/>
      </c>
      <c r="AL265" s="18">
        <f>IF(tblOrdenes[[#This Row],[orden]]="","",MAX(0,_xlfn.XLOOKUP(tblOrdenes[[#This Row],[id_operacion]],tblEjecucion[id_operacion],tblEjecucion[costo_plan_total],0)-tblOrdenes[[#This Row],[costo_servicio]]))</f>
        <v/>
      </c>
      <c r="AM265" s="18">
        <f>IF(tblOrdenes[[#This Row],[orden]]="","",tblOrdenes[[#This Row],[costo_servicio]]+tblOrdenes[[#This Row],[costo_materiales]])</f>
        <v/>
      </c>
      <c r="AN2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5" s="4" t="n"/>
      <c r="AP265" s="4" t="n"/>
      <c r="AQ265" s="4" t="n"/>
      <c r="AR265" s="5">
        <f>IF(tblOrdenes[[#This Row],[link_checklist]]="","",HYPERLINK(p_ruta_base_checklists&amp;tblOrdenes[[#This Row],[link_checklist]],"abrir"))</f>
        <v/>
      </c>
      <c r="AS265" s="4" t="n"/>
      <c r="AT265" s="5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22" t="n"/>
      <c r="K266" s="5" t="n"/>
      <c r="L266" s="18" t="n"/>
      <c r="M2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5">
        <f>IF(tblOrdenes[[#This Row],[fecha_inicio]]="","",YEAR(tblOrdenes[[#This Row],[fecha_inicio]]))</f>
        <v/>
      </c>
      <c r="Q266" s="5">
        <f>IF(tblOrdenes[[#This Row],[fecha_inicio]]="","",MONTH(tblOrdenes[[#This Row],[fecha_inicio]]))</f>
        <v/>
      </c>
      <c r="R266" s="5">
        <f>IF(tblOrdenes[[#This Row],[fecha_inicio]]="","",tblOrdenes[[#This Row],[anio]]&amp;"-"&amp;TEXT(tblOrdenes[[#This Row],[mes]],"00"))</f>
        <v/>
      </c>
      <c r="S266" s="5">
        <f>IF(tblOrdenes[[#This Row],[fecha_inicio]]="","",INDEX(lista_dias,WEEKDAY(tblOrdenes[[#This Row],[fecha_inicio]],2)))</f>
        <v/>
      </c>
      <c r="T2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6" s="5">
        <f>IF(tblOrdenes[[#This Row],[tipo_ot]]="","",_xlfn.XLOOKUP(tblOrdenes[[#This Row],[tipo_ot]],tblTiposOT[codigo],tblTiposOT[clasificacion],"sin_clasificar"))</f>
        <v/>
      </c>
      <c r="V2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6" s="5">
        <f>IF(tblOrdenes[[#This Row],[centro_costo]]="","",_xlfn.XLOOKUP(tblOrdenes[[#This Row],[centro_costo]],tblCECO[codigo],tblCECO[linea],"(sin catálogo)"))</f>
        <v/>
      </c>
      <c r="X266" s="5">
        <f>IF(tblOrdenes[[#This Row],[centro_costo]]="","",_xlfn.XLOOKUP(tblOrdenes[[#This Row],[centro_costo]],tblCECO[codigo],tblCECO[area],"(sin catálogo)"))</f>
        <v/>
      </c>
      <c r="Y2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6" s="5">
        <f>IF(tblOrdenes[[#This Row],[centro_costo]]="","",_xlfn.XLOOKUP(tblOrdenes[[#This Row],[centro_costo]],tblCECO[codigo],tblCECO[coordinador],"(sin catálogo)"))</f>
        <v/>
      </c>
      <c r="AA266" s="5">
        <f>IF(tblOrdenes[[#This Row],[puesto_trabajo]]="","",_xlfn.XLOOKUP(tblOrdenes[[#This Row],[puesto_trabajo]],tblPuestos[codigo],tblPuestos[especialidad],"(sin catálogo)"))</f>
        <v/>
      </c>
      <c r="AB266" s="5">
        <f>IF(tblOrdenes[[#This Row],[cod_actividad]]="","",_xlfn.XLOOKUP(tblOrdenes[[#This Row],[cod_actividad]],tblActividades[codigo],tblActividades[descripcion],"(sin catálogo)"))</f>
        <v/>
      </c>
      <c r="AC266" s="20">
        <f>IF(tblOrdenes[[#This Row],[fecha_inicio]]="","",TODAY()-tblOrdenes[[#This Row],[fecha_inicio]])</f>
        <v/>
      </c>
      <c r="AD2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6" s="5">
        <f>IF(tblOrdenes[[#This Row],[backlog_habiles]]="","",IF(tblOrdenes[[#This Row],[backlog_habiles]]&lt;0,"FUTURO",IF(tblOrdenes[[#This Row],[backlog_habiles]]&gt;p_dias_backlog_max,"BACKLOG","MES CORRIENTE")))</f>
        <v/>
      </c>
      <c r="AF266" s="5">
        <f>IF(tblOrdenes[[#This Row],[backlog_habiles]]="",FALSE,AND(tblOrdenes[[#This Row],[backlog_habiles]]&gt;p_dias_backlog_min,tblOrdenes[[#This Row],[backlog_habiles]]&lt;=p_dias_backlog_max))</f>
        <v/>
      </c>
      <c r="AG266" s="4" t="n"/>
      <c r="AH2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6" s="18">
        <f>IF(tblOrdenes[[#This Row],[orden]]="","",_xlfn.XLOOKUP(tblOrdenes[[#This Row],[id_operacion]],tblEjecucion[id_operacion],tblEjecucion[precio],0))</f>
        <v/>
      </c>
      <c r="AL266" s="18">
        <f>IF(tblOrdenes[[#This Row],[orden]]="","",MAX(0,_xlfn.XLOOKUP(tblOrdenes[[#This Row],[id_operacion]],tblEjecucion[id_operacion],tblEjecucion[costo_plan_total],0)-tblOrdenes[[#This Row],[costo_servicio]]))</f>
        <v/>
      </c>
      <c r="AM266" s="18">
        <f>IF(tblOrdenes[[#This Row],[orden]]="","",tblOrdenes[[#This Row],[costo_servicio]]+tblOrdenes[[#This Row],[costo_materiales]])</f>
        <v/>
      </c>
      <c r="AN2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6" s="4" t="n"/>
      <c r="AP266" s="4" t="n"/>
      <c r="AQ266" s="4" t="n"/>
      <c r="AR266" s="5">
        <f>IF(tblOrdenes[[#This Row],[link_checklist]]="","",HYPERLINK(p_ruta_base_checklists&amp;tblOrdenes[[#This Row],[link_checklist]],"abrir"))</f>
        <v/>
      </c>
      <c r="AS266" s="4" t="n"/>
      <c r="AT266" s="5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22" t="n"/>
      <c r="K267" s="5" t="n"/>
      <c r="L267" s="18" t="n"/>
      <c r="M2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5">
        <f>IF(tblOrdenes[[#This Row],[fecha_inicio]]="","",YEAR(tblOrdenes[[#This Row],[fecha_inicio]]))</f>
        <v/>
      </c>
      <c r="Q267" s="5">
        <f>IF(tblOrdenes[[#This Row],[fecha_inicio]]="","",MONTH(tblOrdenes[[#This Row],[fecha_inicio]]))</f>
        <v/>
      </c>
      <c r="R267" s="5">
        <f>IF(tblOrdenes[[#This Row],[fecha_inicio]]="","",tblOrdenes[[#This Row],[anio]]&amp;"-"&amp;TEXT(tblOrdenes[[#This Row],[mes]],"00"))</f>
        <v/>
      </c>
      <c r="S267" s="5">
        <f>IF(tblOrdenes[[#This Row],[fecha_inicio]]="","",INDEX(lista_dias,WEEKDAY(tblOrdenes[[#This Row],[fecha_inicio]],2)))</f>
        <v/>
      </c>
      <c r="T2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7" s="5">
        <f>IF(tblOrdenes[[#This Row],[tipo_ot]]="","",_xlfn.XLOOKUP(tblOrdenes[[#This Row],[tipo_ot]],tblTiposOT[codigo],tblTiposOT[clasificacion],"sin_clasificar"))</f>
        <v/>
      </c>
      <c r="V2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7" s="5">
        <f>IF(tblOrdenes[[#This Row],[centro_costo]]="","",_xlfn.XLOOKUP(tblOrdenes[[#This Row],[centro_costo]],tblCECO[codigo],tblCECO[linea],"(sin catálogo)"))</f>
        <v/>
      </c>
      <c r="X267" s="5">
        <f>IF(tblOrdenes[[#This Row],[centro_costo]]="","",_xlfn.XLOOKUP(tblOrdenes[[#This Row],[centro_costo]],tblCECO[codigo],tblCECO[area],"(sin catálogo)"))</f>
        <v/>
      </c>
      <c r="Y2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7" s="5">
        <f>IF(tblOrdenes[[#This Row],[centro_costo]]="","",_xlfn.XLOOKUP(tblOrdenes[[#This Row],[centro_costo]],tblCECO[codigo],tblCECO[coordinador],"(sin catálogo)"))</f>
        <v/>
      </c>
      <c r="AA267" s="5">
        <f>IF(tblOrdenes[[#This Row],[puesto_trabajo]]="","",_xlfn.XLOOKUP(tblOrdenes[[#This Row],[puesto_trabajo]],tblPuestos[codigo],tblPuestos[especialidad],"(sin catálogo)"))</f>
        <v/>
      </c>
      <c r="AB267" s="5">
        <f>IF(tblOrdenes[[#This Row],[cod_actividad]]="","",_xlfn.XLOOKUP(tblOrdenes[[#This Row],[cod_actividad]],tblActividades[codigo],tblActividades[descripcion],"(sin catálogo)"))</f>
        <v/>
      </c>
      <c r="AC267" s="20">
        <f>IF(tblOrdenes[[#This Row],[fecha_inicio]]="","",TODAY()-tblOrdenes[[#This Row],[fecha_inicio]])</f>
        <v/>
      </c>
      <c r="AD2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7" s="5">
        <f>IF(tblOrdenes[[#This Row],[backlog_habiles]]="","",IF(tblOrdenes[[#This Row],[backlog_habiles]]&lt;0,"FUTURO",IF(tblOrdenes[[#This Row],[backlog_habiles]]&gt;p_dias_backlog_max,"BACKLOG","MES CORRIENTE")))</f>
        <v/>
      </c>
      <c r="AF267" s="5">
        <f>IF(tblOrdenes[[#This Row],[backlog_habiles]]="",FALSE,AND(tblOrdenes[[#This Row],[backlog_habiles]]&gt;p_dias_backlog_min,tblOrdenes[[#This Row],[backlog_habiles]]&lt;=p_dias_backlog_max))</f>
        <v/>
      </c>
      <c r="AG267" s="4" t="n"/>
      <c r="AH2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7" s="18">
        <f>IF(tblOrdenes[[#This Row],[orden]]="","",_xlfn.XLOOKUP(tblOrdenes[[#This Row],[id_operacion]],tblEjecucion[id_operacion],tblEjecucion[precio],0))</f>
        <v/>
      </c>
      <c r="AL267" s="18">
        <f>IF(tblOrdenes[[#This Row],[orden]]="","",MAX(0,_xlfn.XLOOKUP(tblOrdenes[[#This Row],[id_operacion]],tblEjecucion[id_operacion],tblEjecucion[costo_plan_total],0)-tblOrdenes[[#This Row],[costo_servicio]]))</f>
        <v/>
      </c>
      <c r="AM267" s="18">
        <f>IF(tblOrdenes[[#This Row],[orden]]="","",tblOrdenes[[#This Row],[costo_servicio]]+tblOrdenes[[#This Row],[costo_materiales]])</f>
        <v/>
      </c>
      <c r="AN2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7" s="4" t="n"/>
      <c r="AP267" s="4" t="n"/>
      <c r="AQ267" s="4" t="n"/>
      <c r="AR267" s="5">
        <f>IF(tblOrdenes[[#This Row],[link_checklist]]="","",HYPERLINK(p_ruta_base_checklists&amp;tblOrdenes[[#This Row],[link_checklist]],"abrir"))</f>
        <v/>
      </c>
      <c r="AS267" s="4" t="n"/>
      <c r="AT267" s="5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22" t="n"/>
      <c r="K268" s="5" t="n"/>
      <c r="L268" s="18" t="n"/>
      <c r="M2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5">
        <f>IF(tblOrdenes[[#This Row],[fecha_inicio]]="","",YEAR(tblOrdenes[[#This Row],[fecha_inicio]]))</f>
        <v/>
      </c>
      <c r="Q268" s="5">
        <f>IF(tblOrdenes[[#This Row],[fecha_inicio]]="","",MONTH(tblOrdenes[[#This Row],[fecha_inicio]]))</f>
        <v/>
      </c>
      <c r="R268" s="5">
        <f>IF(tblOrdenes[[#This Row],[fecha_inicio]]="","",tblOrdenes[[#This Row],[anio]]&amp;"-"&amp;TEXT(tblOrdenes[[#This Row],[mes]],"00"))</f>
        <v/>
      </c>
      <c r="S268" s="5">
        <f>IF(tblOrdenes[[#This Row],[fecha_inicio]]="","",INDEX(lista_dias,WEEKDAY(tblOrdenes[[#This Row],[fecha_inicio]],2)))</f>
        <v/>
      </c>
      <c r="T2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8" s="5">
        <f>IF(tblOrdenes[[#This Row],[tipo_ot]]="","",_xlfn.XLOOKUP(tblOrdenes[[#This Row],[tipo_ot]],tblTiposOT[codigo],tblTiposOT[clasificacion],"sin_clasificar"))</f>
        <v/>
      </c>
      <c r="V2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8" s="5">
        <f>IF(tblOrdenes[[#This Row],[centro_costo]]="","",_xlfn.XLOOKUP(tblOrdenes[[#This Row],[centro_costo]],tblCECO[codigo],tblCECO[linea],"(sin catálogo)"))</f>
        <v/>
      </c>
      <c r="X268" s="5">
        <f>IF(tblOrdenes[[#This Row],[centro_costo]]="","",_xlfn.XLOOKUP(tblOrdenes[[#This Row],[centro_costo]],tblCECO[codigo],tblCECO[area],"(sin catálogo)"))</f>
        <v/>
      </c>
      <c r="Y2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8" s="5">
        <f>IF(tblOrdenes[[#This Row],[centro_costo]]="","",_xlfn.XLOOKUP(tblOrdenes[[#This Row],[centro_costo]],tblCECO[codigo],tblCECO[coordinador],"(sin catálogo)"))</f>
        <v/>
      </c>
      <c r="AA268" s="5">
        <f>IF(tblOrdenes[[#This Row],[puesto_trabajo]]="","",_xlfn.XLOOKUP(tblOrdenes[[#This Row],[puesto_trabajo]],tblPuestos[codigo],tblPuestos[especialidad],"(sin catálogo)"))</f>
        <v/>
      </c>
      <c r="AB268" s="5">
        <f>IF(tblOrdenes[[#This Row],[cod_actividad]]="","",_xlfn.XLOOKUP(tblOrdenes[[#This Row],[cod_actividad]],tblActividades[codigo],tblActividades[descripcion],"(sin catálogo)"))</f>
        <v/>
      </c>
      <c r="AC268" s="20">
        <f>IF(tblOrdenes[[#This Row],[fecha_inicio]]="","",TODAY()-tblOrdenes[[#This Row],[fecha_inicio]])</f>
        <v/>
      </c>
      <c r="AD2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8" s="5">
        <f>IF(tblOrdenes[[#This Row],[backlog_habiles]]="","",IF(tblOrdenes[[#This Row],[backlog_habiles]]&lt;0,"FUTURO",IF(tblOrdenes[[#This Row],[backlog_habiles]]&gt;p_dias_backlog_max,"BACKLOG","MES CORRIENTE")))</f>
        <v/>
      </c>
      <c r="AF268" s="5">
        <f>IF(tblOrdenes[[#This Row],[backlog_habiles]]="",FALSE,AND(tblOrdenes[[#This Row],[backlog_habiles]]&gt;p_dias_backlog_min,tblOrdenes[[#This Row],[backlog_habiles]]&lt;=p_dias_backlog_max))</f>
        <v/>
      </c>
      <c r="AG268" s="4" t="n"/>
      <c r="AH2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8" s="18">
        <f>IF(tblOrdenes[[#This Row],[orden]]="","",_xlfn.XLOOKUP(tblOrdenes[[#This Row],[id_operacion]],tblEjecucion[id_operacion],tblEjecucion[precio],0))</f>
        <v/>
      </c>
      <c r="AL268" s="18">
        <f>IF(tblOrdenes[[#This Row],[orden]]="","",MAX(0,_xlfn.XLOOKUP(tblOrdenes[[#This Row],[id_operacion]],tblEjecucion[id_operacion],tblEjecucion[costo_plan_total],0)-tblOrdenes[[#This Row],[costo_servicio]]))</f>
        <v/>
      </c>
      <c r="AM268" s="18">
        <f>IF(tblOrdenes[[#This Row],[orden]]="","",tblOrdenes[[#This Row],[costo_servicio]]+tblOrdenes[[#This Row],[costo_materiales]])</f>
        <v/>
      </c>
      <c r="AN2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8" s="4" t="n"/>
      <c r="AP268" s="4" t="n"/>
      <c r="AQ268" s="4" t="n"/>
      <c r="AR268" s="5">
        <f>IF(tblOrdenes[[#This Row],[link_checklist]]="","",HYPERLINK(p_ruta_base_checklists&amp;tblOrdenes[[#This Row],[link_checklist]],"abrir"))</f>
        <v/>
      </c>
      <c r="AS268" s="4" t="n"/>
      <c r="AT268" s="5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22" t="n"/>
      <c r="K269" s="5" t="n"/>
      <c r="L269" s="18" t="n"/>
      <c r="M2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5">
        <f>IF(tblOrdenes[[#This Row],[fecha_inicio]]="","",YEAR(tblOrdenes[[#This Row],[fecha_inicio]]))</f>
        <v/>
      </c>
      <c r="Q269" s="5">
        <f>IF(tblOrdenes[[#This Row],[fecha_inicio]]="","",MONTH(tblOrdenes[[#This Row],[fecha_inicio]]))</f>
        <v/>
      </c>
      <c r="R269" s="5">
        <f>IF(tblOrdenes[[#This Row],[fecha_inicio]]="","",tblOrdenes[[#This Row],[anio]]&amp;"-"&amp;TEXT(tblOrdenes[[#This Row],[mes]],"00"))</f>
        <v/>
      </c>
      <c r="S269" s="5">
        <f>IF(tblOrdenes[[#This Row],[fecha_inicio]]="","",INDEX(lista_dias,WEEKDAY(tblOrdenes[[#This Row],[fecha_inicio]],2)))</f>
        <v/>
      </c>
      <c r="T2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9" s="5">
        <f>IF(tblOrdenes[[#This Row],[tipo_ot]]="","",_xlfn.XLOOKUP(tblOrdenes[[#This Row],[tipo_ot]],tblTiposOT[codigo],tblTiposOT[clasificacion],"sin_clasificar"))</f>
        <v/>
      </c>
      <c r="V2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9" s="5">
        <f>IF(tblOrdenes[[#This Row],[centro_costo]]="","",_xlfn.XLOOKUP(tblOrdenes[[#This Row],[centro_costo]],tblCECO[codigo],tblCECO[linea],"(sin catálogo)"))</f>
        <v/>
      </c>
      <c r="X269" s="5">
        <f>IF(tblOrdenes[[#This Row],[centro_costo]]="","",_xlfn.XLOOKUP(tblOrdenes[[#This Row],[centro_costo]],tblCECO[codigo],tblCECO[area],"(sin catálogo)"))</f>
        <v/>
      </c>
      <c r="Y2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69" s="5">
        <f>IF(tblOrdenes[[#This Row],[centro_costo]]="","",_xlfn.XLOOKUP(tblOrdenes[[#This Row],[centro_costo]],tblCECO[codigo],tblCECO[coordinador],"(sin catálogo)"))</f>
        <v/>
      </c>
      <c r="AA269" s="5">
        <f>IF(tblOrdenes[[#This Row],[puesto_trabajo]]="","",_xlfn.XLOOKUP(tblOrdenes[[#This Row],[puesto_trabajo]],tblPuestos[codigo],tblPuestos[especialidad],"(sin catálogo)"))</f>
        <v/>
      </c>
      <c r="AB269" s="5">
        <f>IF(tblOrdenes[[#This Row],[cod_actividad]]="","",_xlfn.XLOOKUP(tblOrdenes[[#This Row],[cod_actividad]],tblActividades[codigo],tblActividades[descripcion],"(sin catálogo)"))</f>
        <v/>
      </c>
      <c r="AC269" s="20">
        <f>IF(tblOrdenes[[#This Row],[fecha_inicio]]="","",TODAY()-tblOrdenes[[#This Row],[fecha_inicio]])</f>
        <v/>
      </c>
      <c r="AD2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69" s="5">
        <f>IF(tblOrdenes[[#This Row],[backlog_habiles]]="","",IF(tblOrdenes[[#This Row],[backlog_habiles]]&lt;0,"FUTURO",IF(tblOrdenes[[#This Row],[backlog_habiles]]&gt;p_dias_backlog_max,"BACKLOG","MES CORRIENTE")))</f>
        <v/>
      </c>
      <c r="AF269" s="5">
        <f>IF(tblOrdenes[[#This Row],[backlog_habiles]]="",FALSE,AND(tblOrdenes[[#This Row],[backlog_habiles]]&gt;p_dias_backlog_min,tblOrdenes[[#This Row],[backlog_habiles]]&lt;=p_dias_backlog_max))</f>
        <v/>
      </c>
      <c r="AG269" s="4" t="n"/>
      <c r="AH2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69" s="18">
        <f>IF(tblOrdenes[[#This Row],[orden]]="","",_xlfn.XLOOKUP(tblOrdenes[[#This Row],[id_operacion]],tblEjecucion[id_operacion],tblEjecucion[precio],0))</f>
        <v/>
      </c>
      <c r="AL269" s="18">
        <f>IF(tblOrdenes[[#This Row],[orden]]="","",MAX(0,_xlfn.XLOOKUP(tblOrdenes[[#This Row],[id_operacion]],tblEjecucion[id_operacion],tblEjecucion[costo_plan_total],0)-tblOrdenes[[#This Row],[costo_servicio]]))</f>
        <v/>
      </c>
      <c r="AM269" s="18">
        <f>IF(tblOrdenes[[#This Row],[orden]]="","",tblOrdenes[[#This Row],[costo_servicio]]+tblOrdenes[[#This Row],[costo_materiales]])</f>
        <v/>
      </c>
      <c r="AN2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69" s="4" t="n"/>
      <c r="AP269" s="4" t="n"/>
      <c r="AQ269" s="4" t="n"/>
      <c r="AR269" s="5">
        <f>IF(tblOrdenes[[#This Row],[link_checklist]]="","",HYPERLINK(p_ruta_base_checklists&amp;tblOrdenes[[#This Row],[link_checklist]],"abrir"))</f>
        <v/>
      </c>
      <c r="AS269" s="4" t="n"/>
      <c r="AT269" s="5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22" t="n"/>
      <c r="K270" s="5" t="n"/>
      <c r="L270" s="18" t="n"/>
      <c r="M2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5">
        <f>IF(tblOrdenes[[#This Row],[fecha_inicio]]="","",YEAR(tblOrdenes[[#This Row],[fecha_inicio]]))</f>
        <v/>
      </c>
      <c r="Q270" s="5">
        <f>IF(tblOrdenes[[#This Row],[fecha_inicio]]="","",MONTH(tblOrdenes[[#This Row],[fecha_inicio]]))</f>
        <v/>
      </c>
      <c r="R270" s="5">
        <f>IF(tblOrdenes[[#This Row],[fecha_inicio]]="","",tblOrdenes[[#This Row],[anio]]&amp;"-"&amp;TEXT(tblOrdenes[[#This Row],[mes]],"00"))</f>
        <v/>
      </c>
      <c r="S270" s="5">
        <f>IF(tblOrdenes[[#This Row],[fecha_inicio]]="","",INDEX(lista_dias,WEEKDAY(tblOrdenes[[#This Row],[fecha_inicio]],2)))</f>
        <v/>
      </c>
      <c r="T2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0" s="5">
        <f>IF(tblOrdenes[[#This Row],[tipo_ot]]="","",_xlfn.XLOOKUP(tblOrdenes[[#This Row],[tipo_ot]],tblTiposOT[codigo],tblTiposOT[clasificacion],"sin_clasificar"))</f>
        <v/>
      </c>
      <c r="V2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0" s="5">
        <f>IF(tblOrdenes[[#This Row],[centro_costo]]="","",_xlfn.XLOOKUP(tblOrdenes[[#This Row],[centro_costo]],tblCECO[codigo],tblCECO[linea],"(sin catálogo)"))</f>
        <v/>
      </c>
      <c r="X270" s="5">
        <f>IF(tblOrdenes[[#This Row],[centro_costo]]="","",_xlfn.XLOOKUP(tblOrdenes[[#This Row],[centro_costo]],tblCECO[codigo],tblCECO[area],"(sin catálogo)"))</f>
        <v/>
      </c>
      <c r="Y2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0" s="5">
        <f>IF(tblOrdenes[[#This Row],[centro_costo]]="","",_xlfn.XLOOKUP(tblOrdenes[[#This Row],[centro_costo]],tblCECO[codigo],tblCECO[coordinador],"(sin catálogo)"))</f>
        <v/>
      </c>
      <c r="AA270" s="5">
        <f>IF(tblOrdenes[[#This Row],[puesto_trabajo]]="","",_xlfn.XLOOKUP(tblOrdenes[[#This Row],[puesto_trabajo]],tblPuestos[codigo],tblPuestos[especialidad],"(sin catálogo)"))</f>
        <v/>
      </c>
      <c r="AB270" s="5">
        <f>IF(tblOrdenes[[#This Row],[cod_actividad]]="","",_xlfn.XLOOKUP(tblOrdenes[[#This Row],[cod_actividad]],tblActividades[codigo],tblActividades[descripcion],"(sin catálogo)"))</f>
        <v/>
      </c>
      <c r="AC270" s="20">
        <f>IF(tblOrdenes[[#This Row],[fecha_inicio]]="","",TODAY()-tblOrdenes[[#This Row],[fecha_inicio]])</f>
        <v/>
      </c>
      <c r="AD2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0" s="5">
        <f>IF(tblOrdenes[[#This Row],[backlog_habiles]]="","",IF(tblOrdenes[[#This Row],[backlog_habiles]]&lt;0,"FUTURO",IF(tblOrdenes[[#This Row],[backlog_habiles]]&gt;p_dias_backlog_max,"BACKLOG","MES CORRIENTE")))</f>
        <v/>
      </c>
      <c r="AF270" s="5">
        <f>IF(tblOrdenes[[#This Row],[backlog_habiles]]="",FALSE,AND(tblOrdenes[[#This Row],[backlog_habiles]]&gt;p_dias_backlog_min,tblOrdenes[[#This Row],[backlog_habiles]]&lt;=p_dias_backlog_max))</f>
        <v/>
      </c>
      <c r="AG270" s="4" t="n"/>
      <c r="AH2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0" s="18">
        <f>IF(tblOrdenes[[#This Row],[orden]]="","",_xlfn.XLOOKUP(tblOrdenes[[#This Row],[id_operacion]],tblEjecucion[id_operacion],tblEjecucion[precio],0))</f>
        <v/>
      </c>
      <c r="AL270" s="18">
        <f>IF(tblOrdenes[[#This Row],[orden]]="","",MAX(0,_xlfn.XLOOKUP(tblOrdenes[[#This Row],[id_operacion]],tblEjecucion[id_operacion],tblEjecucion[costo_plan_total],0)-tblOrdenes[[#This Row],[costo_servicio]]))</f>
        <v/>
      </c>
      <c r="AM270" s="18">
        <f>IF(tblOrdenes[[#This Row],[orden]]="","",tblOrdenes[[#This Row],[costo_servicio]]+tblOrdenes[[#This Row],[costo_materiales]])</f>
        <v/>
      </c>
      <c r="AN2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0" s="4" t="n"/>
      <c r="AP270" s="4" t="n"/>
      <c r="AQ270" s="4" t="n"/>
      <c r="AR270" s="5">
        <f>IF(tblOrdenes[[#This Row],[link_checklist]]="","",HYPERLINK(p_ruta_base_checklists&amp;tblOrdenes[[#This Row],[link_checklist]],"abrir"))</f>
        <v/>
      </c>
      <c r="AS270" s="4" t="n"/>
      <c r="AT270" s="5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22" t="n"/>
      <c r="K271" s="5" t="n"/>
      <c r="L271" s="18" t="n"/>
      <c r="M2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5">
        <f>IF(tblOrdenes[[#This Row],[fecha_inicio]]="","",YEAR(tblOrdenes[[#This Row],[fecha_inicio]]))</f>
        <v/>
      </c>
      <c r="Q271" s="5">
        <f>IF(tblOrdenes[[#This Row],[fecha_inicio]]="","",MONTH(tblOrdenes[[#This Row],[fecha_inicio]]))</f>
        <v/>
      </c>
      <c r="R271" s="5">
        <f>IF(tblOrdenes[[#This Row],[fecha_inicio]]="","",tblOrdenes[[#This Row],[anio]]&amp;"-"&amp;TEXT(tblOrdenes[[#This Row],[mes]],"00"))</f>
        <v/>
      </c>
      <c r="S271" s="5">
        <f>IF(tblOrdenes[[#This Row],[fecha_inicio]]="","",INDEX(lista_dias,WEEKDAY(tblOrdenes[[#This Row],[fecha_inicio]],2)))</f>
        <v/>
      </c>
      <c r="T2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1" s="5">
        <f>IF(tblOrdenes[[#This Row],[tipo_ot]]="","",_xlfn.XLOOKUP(tblOrdenes[[#This Row],[tipo_ot]],tblTiposOT[codigo],tblTiposOT[clasificacion],"sin_clasificar"))</f>
        <v/>
      </c>
      <c r="V2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1" s="5">
        <f>IF(tblOrdenes[[#This Row],[centro_costo]]="","",_xlfn.XLOOKUP(tblOrdenes[[#This Row],[centro_costo]],tblCECO[codigo],tblCECO[linea],"(sin catálogo)"))</f>
        <v/>
      </c>
      <c r="X271" s="5">
        <f>IF(tblOrdenes[[#This Row],[centro_costo]]="","",_xlfn.XLOOKUP(tblOrdenes[[#This Row],[centro_costo]],tblCECO[codigo],tblCECO[area],"(sin catálogo)"))</f>
        <v/>
      </c>
      <c r="Y2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1" s="5">
        <f>IF(tblOrdenes[[#This Row],[centro_costo]]="","",_xlfn.XLOOKUP(tblOrdenes[[#This Row],[centro_costo]],tblCECO[codigo],tblCECO[coordinador],"(sin catálogo)"))</f>
        <v/>
      </c>
      <c r="AA271" s="5">
        <f>IF(tblOrdenes[[#This Row],[puesto_trabajo]]="","",_xlfn.XLOOKUP(tblOrdenes[[#This Row],[puesto_trabajo]],tblPuestos[codigo],tblPuestos[especialidad],"(sin catálogo)"))</f>
        <v/>
      </c>
      <c r="AB271" s="5">
        <f>IF(tblOrdenes[[#This Row],[cod_actividad]]="","",_xlfn.XLOOKUP(tblOrdenes[[#This Row],[cod_actividad]],tblActividades[codigo],tblActividades[descripcion],"(sin catálogo)"))</f>
        <v/>
      </c>
      <c r="AC271" s="20">
        <f>IF(tblOrdenes[[#This Row],[fecha_inicio]]="","",TODAY()-tblOrdenes[[#This Row],[fecha_inicio]])</f>
        <v/>
      </c>
      <c r="AD2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1" s="5">
        <f>IF(tblOrdenes[[#This Row],[backlog_habiles]]="","",IF(tblOrdenes[[#This Row],[backlog_habiles]]&lt;0,"FUTURO",IF(tblOrdenes[[#This Row],[backlog_habiles]]&gt;p_dias_backlog_max,"BACKLOG","MES CORRIENTE")))</f>
        <v/>
      </c>
      <c r="AF271" s="5">
        <f>IF(tblOrdenes[[#This Row],[backlog_habiles]]="",FALSE,AND(tblOrdenes[[#This Row],[backlog_habiles]]&gt;p_dias_backlog_min,tblOrdenes[[#This Row],[backlog_habiles]]&lt;=p_dias_backlog_max))</f>
        <v/>
      </c>
      <c r="AG271" s="4" t="n"/>
      <c r="AH2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1" s="18">
        <f>IF(tblOrdenes[[#This Row],[orden]]="","",_xlfn.XLOOKUP(tblOrdenes[[#This Row],[id_operacion]],tblEjecucion[id_operacion],tblEjecucion[precio],0))</f>
        <v/>
      </c>
      <c r="AL271" s="18">
        <f>IF(tblOrdenes[[#This Row],[orden]]="","",MAX(0,_xlfn.XLOOKUP(tblOrdenes[[#This Row],[id_operacion]],tblEjecucion[id_operacion],tblEjecucion[costo_plan_total],0)-tblOrdenes[[#This Row],[costo_servicio]]))</f>
        <v/>
      </c>
      <c r="AM271" s="18">
        <f>IF(tblOrdenes[[#This Row],[orden]]="","",tblOrdenes[[#This Row],[costo_servicio]]+tblOrdenes[[#This Row],[costo_materiales]])</f>
        <v/>
      </c>
      <c r="AN2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1" s="4" t="n"/>
      <c r="AP271" s="4" t="n"/>
      <c r="AQ271" s="4" t="n"/>
      <c r="AR271" s="5">
        <f>IF(tblOrdenes[[#This Row],[link_checklist]]="","",HYPERLINK(p_ruta_base_checklists&amp;tblOrdenes[[#This Row],[link_checklist]],"abrir"))</f>
        <v/>
      </c>
      <c r="AS271" s="4" t="n"/>
      <c r="AT271" s="5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22" t="n"/>
      <c r="K272" s="5" t="n"/>
      <c r="L272" s="18" t="n"/>
      <c r="M2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5">
        <f>IF(tblOrdenes[[#This Row],[fecha_inicio]]="","",YEAR(tblOrdenes[[#This Row],[fecha_inicio]]))</f>
        <v/>
      </c>
      <c r="Q272" s="5">
        <f>IF(tblOrdenes[[#This Row],[fecha_inicio]]="","",MONTH(tblOrdenes[[#This Row],[fecha_inicio]]))</f>
        <v/>
      </c>
      <c r="R272" s="5">
        <f>IF(tblOrdenes[[#This Row],[fecha_inicio]]="","",tblOrdenes[[#This Row],[anio]]&amp;"-"&amp;TEXT(tblOrdenes[[#This Row],[mes]],"00"))</f>
        <v/>
      </c>
      <c r="S272" s="5">
        <f>IF(tblOrdenes[[#This Row],[fecha_inicio]]="","",INDEX(lista_dias,WEEKDAY(tblOrdenes[[#This Row],[fecha_inicio]],2)))</f>
        <v/>
      </c>
      <c r="T2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2" s="5">
        <f>IF(tblOrdenes[[#This Row],[tipo_ot]]="","",_xlfn.XLOOKUP(tblOrdenes[[#This Row],[tipo_ot]],tblTiposOT[codigo],tblTiposOT[clasificacion],"sin_clasificar"))</f>
        <v/>
      </c>
      <c r="V2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2" s="5">
        <f>IF(tblOrdenes[[#This Row],[centro_costo]]="","",_xlfn.XLOOKUP(tblOrdenes[[#This Row],[centro_costo]],tblCECO[codigo],tblCECO[linea],"(sin catálogo)"))</f>
        <v/>
      </c>
      <c r="X272" s="5">
        <f>IF(tblOrdenes[[#This Row],[centro_costo]]="","",_xlfn.XLOOKUP(tblOrdenes[[#This Row],[centro_costo]],tblCECO[codigo],tblCECO[area],"(sin catálogo)"))</f>
        <v/>
      </c>
      <c r="Y2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2" s="5">
        <f>IF(tblOrdenes[[#This Row],[centro_costo]]="","",_xlfn.XLOOKUP(tblOrdenes[[#This Row],[centro_costo]],tblCECO[codigo],tblCECO[coordinador],"(sin catálogo)"))</f>
        <v/>
      </c>
      <c r="AA272" s="5">
        <f>IF(tblOrdenes[[#This Row],[puesto_trabajo]]="","",_xlfn.XLOOKUP(tblOrdenes[[#This Row],[puesto_trabajo]],tblPuestos[codigo],tblPuestos[especialidad],"(sin catálogo)"))</f>
        <v/>
      </c>
      <c r="AB272" s="5">
        <f>IF(tblOrdenes[[#This Row],[cod_actividad]]="","",_xlfn.XLOOKUP(tblOrdenes[[#This Row],[cod_actividad]],tblActividades[codigo],tblActividades[descripcion],"(sin catálogo)"))</f>
        <v/>
      </c>
      <c r="AC272" s="20">
        <f>IF(tblOrdenes[[#This Row],[fecha_inicio]]="","",TODAY()-tblOrdenes[[#This Row],[fecha_inicio]])</f>
        <v/>
      </c>
      <c r="AD2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2" s="5">
        <f>IF(tblOrdenes[[#This Row],[backlog_habiles]]="","",IF(tblOrdenes[[#This Row],[backlog_habiles]]&lt;0,"FUTURO",IF(tblOrdenes[[#This Row],[backlog_habiles]]&gt;p_dias_backlog_max,"BACKLOG","MES CORRIENTE")))</f>
        <v/>
      </c>
      <c r="AF272" s="5">
        <f>IF(tblOrdenes[[#This Row],[backlog_habiles]]="",FALSE,AND(tblOrdenes[[#This Row],[backlog_habiles]]&gt;p_dias_backlog_min,tblOrdenes[[#This Row],[backlog_habiles]]&lt;=p_dias_backlog_max))</f>
        <v/>
      </c>
      <c r="AG272" s="4" t="n"/>
      <c r="AH2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2" s="18">
        <f>IF(tblOrdenes[[#This Row],[orden]]="","",_xlfn.XLOOKUP(tblOrdenes[[#This Row],[id_operacion]],tblEjecucion[id_operacion],tblEjecucion[precio],0))</f>
        <v/>
      </c>
      <c r="AL272" s="18">
        <f>IF(tblOrdenes[[#This Row],[orden]]="","",MAX(0,_xlfn.XLOOKUP(tblOrdenes[[#This Row],[id_operacion]],tblEjecucion[id_operacion],tblEjecucion[costo_plan_total],0)-tblOrdenes[[#This Row],[costo_servicio]]))</f>
        <v/>
      </c>
      <c r="AM272" s="18">
        <f>IF(tblOrdenes[[#This Row],[orden]]="","",tblOrdenes[[#This Row],[costo_servicio]]+tblOrdenes[[#This Row],[costo_materiales]])</f>
        <v/>
      </c>
      <c r="AN2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2" s="4" t="n"/>
      <c r="AP272" s="4" t="n"/>
      <c r="AQ272" s="4" t="n"/>
      <c r="AR272" s="5">
        <f>IF(tblOrdenes[[#This Row],[link_checklist]]="","",HYPERLINK(p_ruta_base_checklists&amp;tblOrdenes[[#This Row],[link_checklist]],"abrir"))</f>
        <v/>
      </c>
      <c r="AS272" s="4" t="n"/>
      <c r="AT272" s="5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22" t="n"/>
      <c r="K273" s="5" t="n"/>
      <c r="L273" s="18" t="n"/>
      <c r="M2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5">
        <f>IF(tblOrdenes[[#This Row],[fecha_inicio]]="","",YEAR(tblOrdenes[[#This Row],[fecha_inicio]]))</f>
        <v/>
      </c>
      <c r="Q273" s="5">
        <f>IF(tblOrdenes[[#This Row],[fecha_inicio]]="","",MONTH(tblOrdenes[[#This Row],[fecha_inicio]]))</f>
        <v/>
      </c>
      <c r="R273" s="5">
        <f>IF(tblOrdenes[[#This Row],[fecha_inicio]]="","",tblOrdenes[[#This Row],[anio]]&amp;"-"&amp;TEXT(tblOrdenes[[#This Row],[mes]],"00"))</f>
        <v/>
      </c>
      <c r="S273" s="5">
        <f>IF(tblOrdenes[[#This Row],[fecha_inicio]]="","",INDEX(lista_dias,WEEKDAY(tblOrdenes[[#This Row],[fecha_inicio]],2)))</f>
        <v/>
      </c>
      <c r="T2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3" s="5">
        <f>IF(tblOrdenes[[#This Row],[tipo_ot]]="","",_xlfn.XLOOKUP(tblOrdenes[[#This Row],[tipo_ot]],tblTiposOT[codigo],tblTiposOT[clasificacion],"sin_clasificar"))</f>
        <v/>
      </c>
      <c r="V2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3" s="5">
        <f>IF(tblOrdenes[[#This Row],[centro_costo]]="","",_xlfn.XLOOKUP(tblOrdenes[[#This Row],[centro_costo]],tblCECO[codigo],tblCECO[linea],"(sin catálogo)"))</f>
        <v/>
      </c>
      <c r="X273" s="5">
        <f>IF(tblOrdenes[[#This Row],[centro_costo]]="","",_xlfn.XLOOKUP(tblOrdenes[[#This Row],[centro_costo]],tblCECO[codigo],tblCECO[area],"(sin catálogo)"))</f>
        <v/>
      </c>
      <c r="Y2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3" s="5">
        <f>IF(tblOrdenes[[#This Row],[centro_costo]]="","",_xlfn.XLOOKUP(tblOrdenes[[#This Row],[centro_costo]],tblCECO[codigo],tblCECO[coordinador],"(sin catálogo)"))</f>
        <v/>
      </c>
      <c r="AA273" s="5">
        <f>IF(tblOrdenes[[#This Row],[puesto_trabajo]]="","",_xlfn.XLOOKUP(tblOrdenes[[#This Row],[puesto_trabajo]],tblPuestos[codigo],tblPuestos[especialidad],"(sin catálogo)"))</f>
        <v/>
      </c>
      <c r="AB273" s="5">
        <f>IF(tblOrdenes[[#This Row],[cod_actividad]]="","",_xlfn.XLOOKUP(tblOrdenes[[#This Row],[cod_actividad]],tblActividades[codigo],tblActividades[descripcion],"(sin catálogo)"))</f>
        <v/>
      </c>
      <c r="AC273" s="20">
        <f>IF(tblOrdenes[[#This Row],[fecha_inicio]]="","",TODAY()-tblOrdenes[[#This Row],[fecha_inicio]])</f>
        <v/>
      </c>
      <c r="AD2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3" s="5">
        <f>IF(tblOrdenes[[#This Row],[backlog_habiles]]="","",IF(tblOrdenes[[#This Row],[backlog_habiles]]&lt;0,"FUTURO",IF(tblOrdenes[[#This Row],[backlog_habiles]]&gt;p_dias_backlog_max,"BACKLOG","MES CORRIENTE")))</f>
        <v/>
      </c>
      <c r="AF273" s="5">
        <f>IF(tblOrdenes[[#This Row],[backlog_habiles]]="",FALSE,AND(tblOrdenes[[#This Row],[backlog_habiles]]&gt;p_dias_backlog_min,tblOrdenes[[#This Row],[backlog_habiles]]&lt;=p_dias_backlog_max))</f>
        <v/>
      </c>
      <c r="AG273" s="4" t="n"/>
      <c r="AH2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3" s="18">
        <f>IF(tblOrdenes[[#This Row],[orden]]="","",_xlfn.XLOOKUP(tblOrdenes[[#This Row],[id_operacion]],tblEjecucion[id_operacion],tblEjecucion[precio],0))</f>
        <v/>
      </c>
      <c r="AL273" s="18">
        <f>IF(tblOrdenes[[#This Row],[orden]]="","",MAX(0,_xlfn.XLOOKUP(tblOrdenes[[#This Row],[id_operacion]],tblEjecucion[id_operacion],tblEjecucion[costo_plan_total],0)-tblOrdenes[[#This Row],[costo_servicio]]))</f>
        <v/>
      </c>
      <c r="AM273" s="18">
        <f>IF(tblOrdenes[[#This Row],[orden]]="","",tblOrdenes[[#This Row],[costo_servicio]]+tblOrdenes[[#This Row],[costo_materiales]])</f>
        <v/>
      </c>
      <c r="AN2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3" s="4" t="n"/>
      <c r="AP273" s="4" t="n"/>
      <c r="AQ273" s="4" t="n"/>
      <c r="AR273" s="5">
        <f>IF(tblOrdenes[[#This Row],[link_checklist]]="","",HYPERLINK(p_ruta_base_checklists&amp;tblOrdenes[[#This Row],[link_checklist]],"abrir"))</f>
        <v/>
      </c>
      <c r="AS273" s="4" t="n"/>
      <c r="AT273" s="5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22" t="n"/>
      <c r="K274" s="5" t="n"/>
      <c r="L274" s="18" t="n"/>
      <c r="M2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5">
        <f>IF(tblOrdenes[[#This Row],[fecha_inicio]]="","",YEAR(tblOrdenes[[#This Row],[fecha_inicio]]))</f>
        <v/>
      </c>
      <c r="Q274" s="5">
        <f>IF(tblOrdenes[[#This Row],[fecha_inicio]]="","",MONTH(tblOrdenes[[#This Row],[fecha_inicio]]))</f>
        <v/>
      </c>
      <c r="R274" s="5">
        <f>IF(tblOrdenes[[#This Row],[fecha_inicio]]="","",tblOrdenes[[#This Row],[anio]]&amp;"-"&amp;TEXT(tblOrdenes[[#This Row],[mes]],"00"))</f>
        <v/>
      </c>
      <c r="S274" s="5">
        <f>IF(tblOrdenes[[#This Row],[fecha_inicio]]="","",INDEX(lista_dias,WEEKDAY(tblOrdenes[[#This Row],[fecha_inicio]],2)))</f>
        <v/>
      </c>
      <c r="T2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4" s="5">
        <f>IF(tblOrdenes[[#This Row],[tipo_ot]]="","",_xlfn.XLOOKUP(tblOrdenes[[#This Row],[tipo_ot]],tblTiposOT[codigo],tblTiposOT[clasificacion],"sin_clasificar"))</f>
        <v/>
      </c>
      <c r="V2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4" s="5">
        <f>IF(tblOrdenes[[#This Row],[centro_costo]]="","",_xlfn.XLOOKUP(tblOrdenes[[#This Row],[centro_costo]],tblCECO[codigo],tblCECO[linea],"(sin catálogo)"))</f>
        <v/>
      </c>
      <c r="X274" s="5">
        <f>IF(tblOrdenes[[#This Row],[centro_costo]]="","",_xlfn.XLOOKUP(tblOrdenes[[#This Row],[centro_costo]],tblCECO[codigo],tblCECO[area],"(sin catálogo)"))</f>
        <v/>
      </c>
      <c r="Y2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4" s="5">
        <f>IF(tblOrdenes[[#This Row],[centro_costo]]="","",_xlfn.XLOOKUP(tblOrdenes[[#This Row],[centro_costo]],tblCECO[codigo],tblCECO[coordinador],"(sin catálogo)"))</f>
        <v/>
      </c>
      <c r="AA274" s="5">
        <f>IF(tblOrdenes[[#This Row],[puesto_trabajo]]="","",_xlfn.XLOOKUP(tblOrdenes[[#This Row],[puesto_trabajo]],tblPuestos[codigo],tblPuestos[especialidad],"(sin catálogo)"))</f>
        <v/>
      </c>
      <c r="AB274" s="5">
        <f>IF(tblOrdenes[[#This Row],[cod_actividad]]="","",_xlfn.XLOOKUP(tblOrdenes[[#This Row],[cod_actividad]],tblActividades[codigo],tblActividades[descripcion],"(sin catálogo)"))</f>
        <v/>
      </c>
      <c r="AC274" s="20">
        <f>IF(tblOrdenes[[#This Row],[fecha_inicio]]="","",TODAY()-tblOrdenes[[#This Row],[fecha_inicio]])</f>
        <v/>
      </c>
      <c r="AD2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4" s="5">
        <f>IF(tblOrdenes[[#This Row],[backlog_habiles]]="","",IF(tblOrdenes[[#This Row],[backlog_habiles]]&lt;0,"FUTURO",IF(tblOrdenes[[#This Row],[backlog_habiles]]&gt;p_dias_backlog_max,"BACKLOG","MES CORRIENTE")))</f>
        <v/>
      </c>
      <c r="AF274" s="5">
        <f>IF(tblOrdenes[[#This Row],[backlog_habiles]]="",FALSE,AND(tblOrdenes[[#This Row],[backlog_habiles]]&gt;p_dias_backlog_min,tblOrdenes[[#This Row],[backlog_habiles]]&lt;=p_dias_backlog_max))</f>
        <v/>
      </c>
      <c r="AG274" s="4" t="n"/>
      <c r="AH2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4" s="18">
        <f>IF(tblOrdenes[[#This Row],[orden]]="","",_xlfn.XLOOKUP(tblOrdenes[[#This Row],[id_operacion]],tblEjecucion[id_operacion],tblEjecucion[precio],0))</f>
        <v/>
      </c>
      <c r="AL274" s="18">
        <f>IF(tblOrdenes[[#This Row],[orden]]="","",MAX(0,_xlfn.XLOOKUP(tblOrdenes[[#This Row],[id_operacion]],tblEjecucion[id_operacion],tblEjecucion[costo_plan_total],0)-tblOrdenes[[#This Row],[costo_servicio]]))</f>
        <v/>
      </c>
      <c r="AM274" s="18">
        <f>IF(tblOrdenes[[#This Row],[orden]]="","",tblOrdenes[[#This Row],[costo_servicio]]+tblOrdenes[[#This Row],[costo_materiales]])</f>
        <v/>
      </c>
      <c r="AN2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4" s="4" t="n"/>
      <c r="AP274" s="4" t="n"/>
      <c r="AQ274" s="4" t="n"/>
      <c r="AR274" s="5">
        <f>IF(tblOrdenes[[#This Row],[link_checklist]]="","",HYPERLINK(p_ruta_base_checklists&amp;tblOrdenes[[#This Row],[link_checklist]],"abrir"))</f>
        <v/>
      </c>
      <c r="AS274" s="4" t="n"/>
      <c r="AT274" s="5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22" t="n"/>
      <c r="K275" s="5" t="n"/>
      <c r="L275" s="18" t="n"/>
      <c r="M2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5">
        <f>IF(tblOrdenes[[#This Row],[fecha_inicio]]="","",YEAR(tblOrdenes[[#This Row],[fecha_inicio]]))</f>
        <v/>
      </c>
      <c r="Q275" s="5">
        <f>IF(tblOrdenes[[#This Row],[fecha_inicio]]="","",MONTH(tblOrdenes[[#This Row],[fecha_inicio]]))</f>
        <v/>
      </c>
      <c r="R275" s="5">
        <f>IF(tblOrdenes[[#This Row],[fecha_inicio]]="","",tblOrdenes[[#This Row],[anio]]&amp;"-"&amp;TEXT(tblOrdenes[[#This Row],[mes]],"00"))</f>
        <v/>
      </c>
      <c r="S275" s="5">
        <f>IF(tblOrdenes[[#This Row],[fecha_inicio]]="","",INDEX(lista_dias,WEEKDAY(tblOrdenes[[#This Row],[fecha_inicio]],2)))</f>
        <v/>
      </c>
      <c r="T2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5" s="5">
        <f>IF(tblOrdenes[[#This Row],[tipo_ot]]="","",_xlfn.XLOOKUP(tblOrdenes[[#This Row],[tipo_ot]],tblTiposOT[codigo],tblTiposOT[clasificacion],"sin_clasificar"))</f>
        <v/>
      </c>
      <c r="V2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5" s="5">
        <f>IF(tblOrdenes[[#This Row],[centro_costo]]="","",_xlfn.XLOOKUP(tblOrdenes[[#This Row],[centro_costo]],tblCECO[codigo],tblCECO[linea],"(sin catálogo)"))</f>
        <v/>
      </c>
      <c r="X275" s="5">
        <f>IF(tblOrdenes[[#This Row],[centro_costo]]="","",_xlfn.XLOOKUP(tblOrdenes[[#This Row],[centro_costo]],tblCECO[codigo],tblCECO[area],"(sin catálogo)"))</f>
        <v/>
      </c>
      <c r="Y2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5" s="5">
        <f>IF(tblOrdenes[[#This Row],[centro_costo]]="","",_xlfn.XLOOKUP(tblOrdenes[[#This Row],[centro_costo]],tblCECO[codigo],tblCECO[coordinador],"(sin catálogo)"))</f>
        <v/>
      </c>
      <c r="AA275" s="5">
        <f>IF(tblOrdenes[[#This Row],[puesto_trabajo]]="","",_xlfn.XLOOKUP(tblOrdenes[[#This Row],[puesto_trabajo]],tblPuestos[codigo],tblPuestos[especialidad],"(sin catálogo)"))</f>
        <v/>
      </c>
      <c r="AB275" s="5">
        <f>IF(tblOrdenes[[#This Row],[cod_actividad]]="","",_xlfn.XLOOKUP(tblOrdenes[[#This Row],[cod_actividad]],tblActividades[codigo],tblActividades[descripcion],"(sin catálogo)"))</f>
        <v/>
      </c>
      <c r="AC275" s="20">
        <f>IF(tblOrdenes[[#This Row],[fecha_inicio]]="","",TODAY()-tblOrdenes[[#This Row],[fecha_inicio]])</f>
        <v/>
      </c>
      <c r="AD2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5" s="5">
        <f>IF(tblOrdenes[[#This Row],[backlog_habiles]]="","",IF(tblOrdenes[[#This Row],[backlog_habiles]]&lt;0,"FUTURO",IF(tblOrdenes[[#This Row],[backlog_habiles]]&gt;p_dias_backlog_max,"BACKLOG","MES CORRIENTE")))</f>
        <v/>
      </c>
      <c r="AF275" s="5">
        <f>IF(tblOrdenes[[#This Row],[backlog_habiles]]="",FALSE,AND(tblOrdenes[[#This Row],[backlog_habiles]]&gt;p_dias_backlog_min,tblOrdenes[[#This Row],[backlog_habiles]]&lt;=p_dias_backlog_max))</f>
        <v/>
      </c>
      <c r="AG275" s="4" t="n"/>
      <c r="AH2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5" s="18">
        <f>IF(tblOrdenes[[#This Row],[orden]]="","",_xlfn.XLOOKUP(tblOrdenes[[#This Row],[id_operacion]],tblEjecucion[id_operacion],tblEjecucion[precio],0))</f>
        <v/>
      </c>
      <c r="AL275" s="18">
        <f>IF(tblOrdenes[[#This Row],[orden]]="","",MAX(0,_xlfn.XLOOKUP(tblOrdenes[[#This Row],[id_operacion]],tblEjecucion[id_operacion],tblEjecucion[costo_plan_total],0)-tblOrdenes[[#This Row],[costo_servicio]]))</f>
        <v/>
      </c>
      <c r="AM275" s="18">
        <f>IF(tblOrdenes[[#This Row],[orden]]="","",tblOrdenes[[#This Row],[costo_servicio]]+tblOrdenes[[#This Row],[costo_materiales]])</f>
        <v/>
      </c>
      <c r="AN2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5" s="4" t="n"/>
      <c r="AP275" s="4" t="n"/>
      <c r="AQ275" s="4" t="n"/>
      <c r="AR275" s="5">
        <f>IF(tblOrdenes[[#This Row],[link_checklist]]="","",HYPERLINK(p_ruta_base_checklists&amp;tblOrdenes[[#This Row],[link_checklist]],"abrir"))</f>
        <v/>
      </c>
      <c r="AS275" s="4" t="n"/>
      <c r="AT275" s="5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22" t="n"/>
      <c r="K276" s="5" t="n"/>
      <c r="L276" s="18" t="n"/>
      <c r="M2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5">
        <f>IF(tblOrdenes[[#This Row],[fecha_inicio]]="","",YEAR(tblOrdenes[[#This Row],[fecha_inicio]]))</f>
        <v/>
      </c>
      <c r="Q276" s="5">
        <f>IF(tblOrdenes[[#This Row],[fecha_inicio]]="","",MONTH(tblOrdenes[[#This Row],[fecha_inicio]]))</f>
        <v/>
      </c>
      <c r="R276" s="5">
        <f>IF(tblOrdenes[[#This Row],[fecha_inicio]]="","",tblOrdenes[[#This Row],[anio]]&amp;"-"&amp;TEXT(tblOrdenes[[#This Row],[mes]],"00"))</f>
        <v/>
      </c>
      <c r="S276" s="5">
        <f>IF(tblOrdenes[[#This Row],[fecha_inicio]]="","",INDEX(lista_dias,WEEKDAY(tblOrdenes[[#This Row],[fecha_inicio]],2)))</f>
        <v/>
      </c>
      <c r="T2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6" s="5">
        <f>IF(tblOrdenes[[#This Row],[tipo_ot]]="","",_xlfn.XLOOKUP(tblOrdenes[[#This Row],[tipo_ot]],tblTiposOT[codigo],tblTiposOT[clasificacion],"sin_clasificar"))</f>
        <v/>
      </c>
      <c r="V2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6" s="5">
        <f>IF(tblOrdenes[[#This Row],[centro_costo]]="","",_xlfn.XLOOKUP(tblOrdenes[[#This Row],[centro_costo]],tblCECO[codigo],tblCECO[linea],"(sin catálogo)"))</f>
        <v/>
      </c>
      <c r="X276" s="5">
        <f>IF(tblOrdenes[[#This Row],[centro_costo]]="","",_xlfn.XLOOKUP(tblOrdenes[[#This Row],[centro_costo]],tblCECO[codigo],tblCECO[area],"(sin catálogo)"))</f>
        <v/>
      </c>
      <c r="Y2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6" s="5">
        <f>IF(tblOrdenes[[#This Row],[centro_costo]]="","",_xlfn.XLOOKUP(tblOrdenes[[#This Row],[centro_costo]],tblCECO[codigo],tblCECO[coordinador],"(sin catálogo)"))</f>
        <v/>
      </c>
      <c r="AA276" s="5">
        <f>IF(tblOrdenes[[#This Row],[puesto_trabajo]]="","",_xlfn.XLOOKUP(tblOrdenes[[#This Row],[puesto_trabajo]],tblPuestos[codigo],tblPuestos[especialidad],"(sin catálogo)"))</f>
        <v/>
      </c>
      <c r="AB276" s="5">
        <f>IF(tblOrdenes[[#This Row],[cod_actividad]]="","",_xlfn.XLOOKUP(tblOrdenes[[#This Row],[cod_actividad]],tblActividades[codigo],tblActividades[descripcion],"(sin catálogo)"))</f>
        <v/>
      </c>
      <c r="AC276" s="20">
        <f>IF(tblOrdenes[[#This Row],[fecha_inicio]]="","",TODAY()-tblOrdenes[[#This Row],[fecha_inicio]])</f>
        <v/>
      </c>
      <c r="AD2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6" s="5">
        <f>IF(tblOrdenes[[#This Row],[backlog_habiles]]="","",IF(tblOrdenes[[#This Row],[backlog_habiles]]&lt;0,"FUTURO",IF(tblOrdenes[[#This Row],[backlog_habiles]]&gt;p_dias_backlog_max,"BACKLOG","MES CORRIENTE")))</f>
        <v/>
      </c>
      <c r="AF276" s="5">
        <f>IF(tblOrdenes[[#This Row],[backlog_habiles]]="",FALSE,AND(tblOrdenes[[#This Row],[backlog_habiles]]&gt;p_dias_backlog_min,tblOrdenes[[#This Row],[backlog_habiles]]&lt;=p_dias_backlog_max))</f>
        <v/>
      </c>
      <c r="AG276" s="4" t="n"/>
      <c r="AH2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6" s="18">
        <f>IF(tblOrdenes[[#This Row],[orden]]="","",_xlfn.XLOOKUP(tblOrdenes[[#This Row],[id_operacion]],tblEjecucion[id_operacion],tblEjecucion[precio],0))</f>
        <v/>
      </c>
      <c r="AL276" s="18">
        <f>IF(tblOrdenes[[#This Row],[orden]]="","",MAX(0,_xlfn.XLOOKUP(tblOrdenes[[#This Row],[id_operacion]],tblEjecucion[id_operacion],tblEjecucion[costo_plan_total],0)-tblOrdenes[[#This Row],[costo_servicio]]))</f>
        <v/>
      </c>
      <c r="AM276" s="18">
        <f>IF(tblOrdenes[[#This Row],[orden]]="","",tblOrdenes[[#This Row],[costo_servicio]]+tblOrdenes[[#This Row],[costo_materiales]])</f>
        <v/>
      </c>
      <c r="AN2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6" s="4" t="n"/>
      <c r="AP276" s="4" t="n"/>
      <c r="AQ276" s="4" t="n"/>
      <c r="AR276" s="5">
        <f>IF(tblOrdenes[[#This Row],[link_checklist]]="","",HYPERLINK(p_ruta_base_checklists&amp;tblOrdenes[[#This Row],[link_checklist]],"abrir"))</f>
        <v/>
      </c>
      <c r="AS276" s="4" t="n"/>
      <c r="AT276" s="5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22" t="n"/>
      <c r="K277" s="5" t="n"/>
      <c r="L277" s="18" t="n"/>
      <c r="M2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5">
        <f>IF(tblOrdenes[[#This Row],[fecha_inicio]]="","",YEAR(tblOrdenes[[#This Row],[fecha_inicio]]))</f>
        <v/>
      </c>
      <c r="Q277" s="5">
        <f>IF(tblOrdenes[[#This Row],[fecha_inicio]]="","",MONTH(tblOrdenes[[#This Row],[fecha_inicio]]))</f>
        <v/>
      </c>
      <c r="R277" s="5">
        <f>IF(tblOrdenes[[#This Row],[fecha_inicio]]="","",tblOrdenes[[#This Row],[anio]]&amp;"-"&amp;TEXT(tblOrdenes[[#This Row],[mes]],"00"))</f>
        <v/>
      </c>
      <c r="S277" s="5">
        <f>IF(tblOrdenes[[#This Row],[fecha_inicio]]="","",INDEX(lista_dias,WEEKDAY(tblOrdenes[[#This Row],[fecha_inicio]],2)))</f>
        <v/>
      </c>
      <c r="T2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7" s="5">
        <f>IF(tblOrdenes[[#This Row],[tipo_ot]]="","",_xlfn.XLOOKUP(tblOrdenes[[#This Row],[tipo_ot]],tblTiposOT[codigo],tblTiposOT[clasificacion],"sin_clasificar"))</f>
        <v/>
      </c>
      <c r="V2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7" s="5">
        <f>IF(tblOrdenes[[#This Row],[centro_costo]]="","",_xlfn.XLOOKUP(tblOrdenes[[#This Row],[centro_costo]],tblCECO[codigo],tblCECO[linea],"(sin catálogo)"))</f>
        <v/>
      </c>
      <c r="X277" s="5">
        <f>IF(tblOrdenes[[#This Row],[centro_costo]]="","",_xlfn.XLOOKUP(tblOrdenes[[#This Row],[centro_costo]],tblCECO[codigo],tblCECO[area],"(sin catálogo)"))</f>
        <v/>
      </c>
      <c r="Y2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7" s="5">
        <f>IF(tblOrdenes[[#This Row],[centro_costo]]="","",_xlfn.XLOOKUP(tblOrdenes[[#This Row],[centro_costo]],tblCECO[codigo],tblCECO[coordinador],"(sin catálogo)"))</f>
        <v/>
      </c>
      <c r="AA277" s="5">
        <f>IF(tblOrdenes[[#This Row],[puesto_trabajo]]="","",_xlfn.XLOOKUP(tblOrdenes[[#This Row],[puesto_trabajo]],tblPuestos[codigo],tblPuestos[especialidad],"(sin catálogo)"))</f>
        <v/>
      </c>
      <c r="AB277" s="5">
        <f>IF(tblOrdenes[[#This Row],[cod_actividad]]="","",_xlfn.XLOOKUP(tblOrdenes[[#This Row],[cod_actividad]],tblActividades[codigo],tblActividades[descripcion],"(sin catálogo)"))</f>
        <v/>
      </c>
      <c r="AC277" s="20">
        <f>IF(tblOrdenes[[#This Row],[fecha_inicio]]="","",TODAY()-tblOrdenes[[#This Row],[fecha_inicio]])</f>
        <v/>
      </c>
      <c r="AD2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7" s="5">
        <f>IF(tblOrdenes[[#This Row],[backlog_habiles]]="","",IF(tblOrdenes[[#This Row],[backlog_habiles]]&lt;0,"FUTURO",IF(tblOrdenes[[#This Row],[backlog_habiles]]&gt;p_dias_backlog_max,"BACKLOG","MES CORRIENTE")))</f>
        <v/>
      </c>
      <c r="AF277" s="5">
        <f>IF(tblOrdenes[[#This Row],[backlog_habiles]]="",FALSE,AND(tblOrdenes[[#This Row],[backlog_habiles]]&gt;p_dias_backlog_min,tblOrdenes[[#This Row],[backlog_habiles]]&lt;=p_dias_backlog_max))</f>
        <v/>
      </c>
      <c r="AG277" s="4" t="n"/>
      <c r="AH2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7" s="18">
        <f>IF(tblOrdenes[[#This Row],[orden]]="","",_xlfn.XLOOKUP(tblOrdenes[[#This Row],[id_operacion]],tblEjecucion[id_operacion],tblEjecucion[precio],0))</f>
        <v/>
      </c>
      <c r="AL277" s="18">
        <f>IF(tblOrdenes[[#This Row],[orden]]="","",MAX(0,_xlfn.XLOOKUP(tblOrdenes[[#This Row],[id_operacion]],tblEjecucion[id_operacion],tblEjecucion[costo_plan_total],0)-tblOrdenes[[#This Row],[costo_servicio]]))</f>
        <v/>
      </c>
      <c r="AM277" s="18">
        <f>IF(tblOrdenes[[#This Row],[orden]]="","",tblOrdenes[[#This Row],[costo_servicio]]+tblOrdenes[[#This Row],[costo_materiales]])</f>
        <v/>
      </c>
      <c r="AN2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7" s="4" t="n"/>
      <c r="AP277" s="4" t="n"/>
      <c r="AQ277" s="4" t="n"/>
      <c r="AR277" s="5">
        <f>IF(tblOrdenes[[#This Row],[link_checklist]]="","",HYPERLINK(p_ruta_base_checklists&amp;tblOrdenes[[#This Row],[link_checklist]],"abrir"))</f>
        <v/>
      </c>
      <c r="AS277" s="4" t="n"/>
      <c r="AT277" s="5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22" t="n"/>
      <c r="K278" s="5" t="n"/>
      <c r="L278" s="18" t="n"/>
      <c r="M2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5">
        <f>IF(tblOrdenes[[#This Row],[fecha_inicio]]="","",YEAR(tblOrdenes[[#This Row],[fecha_inicio]]))</f>
        <v/>
      </c>
      <c r="Q278" s="5">
        <f>IF(tblOrdenes[[#This Row],[fecha_inicio]]="","",MONTH(tblOrdenes[[#This Row],[fecha_inicio]]))</f>
        <v/>
      </c>
      <c r="R278" s="5">
        <f>IF(tblOrdenes[[#This Row],[fecha_inicio]]="","",tblOrdenes[[#This Row],[anio]]&amp;"-"&amp;TEXT(tblOrdenes[[#This Row],[mes]],"00"))</f>
        <v/>
      </c>
      <c r="S278" s="5">
        <f>IF(tblOrdenes[[#This Row],[fecha_inicio]]="","",INDEX(lista_dias,WEEKDAY(tblOrdenes[[#This Row],[fecha_inicio]],2)))</f>
        <v/>
      </c>
      <c r="T2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8" s="5">
        <f>IF(tblOrdenes[[#This Row],[tipo_ot]]="","",_xlfn.XLOOKUP(tblOrdenes[[#This Row],[tipo_ot]],tblTiposOT[codigo],tblTiposOT[clasificacion],"sin_clasificar"))</f>
        <v/>
      </c>
      <c r="V2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8" s="5">
        <f>IF(tblOrdenes[[#This Row],[centro_costo]]="","",_xlfn.XLOOKUP(tblOrdenes[[#This Row],[centro_costo]],tblCECO[codigo],tblCECO[linea],"(sin catálogo)"))</f>
        <v/>
      </c>
      <c r="X278" s="5">
        <f>IF(tblOrdenes[[#This Row],[centro_costo]]="","",_xlfn.XLOOKUP(tblOrdenes[[#This Row],[centro_costo]],tblCECO[codigo],tblCECO[area],"(sin catálogo)"))</f>
        <v/>
      </c>
      <c r="Y2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8" s="5">
        <f>IF(tblOrdenes[[#This Row],[centro_costo]]="","",_xlfn.XLOOKUP(tblOrdenes[[#This Row],[centro_costo]],tblCECO[codigo],tblCECO[coordinador],"(sin catálogo)"))</f>
        <v/>
      </c>
      <c r="AA278" s="5">
        <f>IF(tblOrdenes[[#This Row],[puesto_trabajo]]="","",_xlfn.XLOOKUP(tblOrdenes[[#This Row],[puesto_trabajo]],tblPuestos[codigo],tblPuestos[especialidad],"(sin catálogo)"))</f>
        <v/>
      </c>
      <c r="AB278" s="5">
        <f>IF(tblOrdenes[[#This Row],[cod_actividad]]="","",_xlfn.XLOOKUP(tblOrdenes[[#This Row],[cod_actividad]],tblActividades[codigo],tblActividades[descripcion],"(sin catálogo)"))</f>
        <v/>
      </c>
      <c r="AC278" s="20">
        <f>IF(tblOrdenes[[#This Row],[fecha_inicio]]="","",TODAY()-tblOrdenes[[#This Row],[fecha_inicio]])</f>
        <v/>
      </c>
      <c r="AD2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8" s="5">
        <f>IF(tblOrdenes[[#This Row],[backlog_habiles]]="","",IF(tblOrdenes[[#This Row],[backlog_habiles]]&lt;0,"FUTURO",IF(tblOrdenes[[#This Row],[backlog_habiles]]&gt;p_dias_backlog_max,"BACKLOG","MES CORRIENTE")))</f>
        <v/>
      </c>
      <c r="AF278" s="5">
        <f>IF(tblOrdenes[[#This Row],[backlog_habiles]]="",FALSE,AND(tblOrdenes[[#This Row],[backlog_habiles]]&gt;p_dias_backlog_min,tblOrdenes[[#This Row],[backlog_habiles]]&lt;=p_dias_backlog_max))</f>
        <v/>
      </c>
      <c r="AG278" s="4" t="n"/>
      <c r="AH2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8" s="18">
        <f>IF(tblOrdenes[[#This Row],[orden]]="","",_xlfn.XLOOKUP(tblOrdenes[[#This Row],[id_operacion]],tblEjecucion[id_operacion],tblEjecucion[precio],0))</f>
        <v/>
      </c>
      <c r="AL278" s="18">
        <f>IF(tblOrdenes[[#This Row],[orden]]="","",MAX(0,_xlfn.XLOOKUP(tblOrdenes[[#This Row],[id_operacion]],tblEjecucion[id_operacion],tblEjecucion[costo_plan_total],0)-tblOrdenes[[#This Row],[costo_servicio]]))</f>
        <v/>
      </c>
      <c r="AM278" s="18">
        <f>IF(tblOrdenes[[#This Row],[orden]]="","",tblOrdenes[[#This Row],[costo_servicio]]+tblOrdenes[[#This Row],[costo_materiales]])</f>
        <v/>
      </c>
      <c r="AN2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8" s="4" t="n"/>
      <c r="AP278" s="4" t="n"/>
      <c r="AQ278" s="4" t="n"/>
      <c r="AR278" s="5">
        <f>IF(tblOrdenes[[#This Row],[link_checklist]]="","",HYPERLINK(p_ruta_base_checklists&amp;tblOrdenes[[#This Row],[link_checklist]],"abrir"))</f>
        <v/>
      </c>
      <c r="AS278" s="4" t="n"/>
      <c r="AT278" s="5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22" t="n"/>
      <c r="K279" s="5" t="n"/>
      <c r="L279" s="18" t="n"/>
      <c r="M2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5">
        <f>IF(tblOrdenes[[#This Row],[fecha_inicio]]="","",YEAR(tblOrdenes[[#This Row],[fecha_inicio]]))</f>
        <v/>
      </c>
      <c r="Q279" s="5">
        <f>IF(tblOrdenes[[#This Row],[fecha_inicio]]="","",MONTH(tblOrdenes[[#This Row],[fecha_inicio]]))</f>
        <v/>
      </c>
      <c r="R279" s="5">
        <f>IF(tblOrdenes[[#This Row],[fecha_inicio]]="","",tblOrdenes[[#This Row],[anio]]&amp;"-"&amp;TEXT(tblOrdenes[[#This Row],[mes]],"00"))</f>
        <v/>
      </c>
      <c r="S279" s="5">
        <f>IF(tblOrdenes[[#This Row],[fecha_inicio]]="","",INDEX(lista_dias,WEEKDAY(tblOrdenes[[#This Row],[fecha_inicio]],2)))</f>
        <v/>
      </c>
      <c r="T2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9" s="5">
        <f>IF(tblOrdenes[[#This Row],[tipo_ot]]="","",_xlfn.XLOOKUP(tblOrdenes[[#This Row],[tipo_ot]],tblTiposOT[codigo],tblTiposOT[clasificacion],"sin_clasificar"))</f>
        <v/>
      </c>
      <c r="V2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9" s="5">
        <f>IF(tblOrdenes[[#This Row],[centro_costo]]="","",_xlfn.XLOOKUP(tblOrdenes[[#This Row],[centro_costo]],tblCECO[codigo],tblCECO[linea],"(sin catálogo)"))</f>
        <v/>
      </c>
      <c r="X279" s="5">
        <f>IF(tblOrdenes[[#This Row],[centro_costo]]="","",_xlfn.XLOOKUP(tblOrdenes[[#This Row],[centro_costo]],tblCECO[codigo],tblCECO[area],"(sin catálogo)"))</f>
        <v/>
      </c>
      <c r="Y2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79" s="5">
        <f>IF(tblOrdenes[[#This Row],[centro_costo]]="","",_xlfn.XLOOKUP(tblOrdenes[[#This Row],[centro_costo]],tblCECO[codigo],tblCECO[coordinador],"(sin catálogo)"))</f>
        <v/>
      </c>
      <c r="AA279" s="5">
        <f>IF(tblOrdenes[[#This Row],[puesto_trabajo]]="","",_xlfn.XLOOKUP(tblOrdenes[[#This Row],[puesto_trabajo]],tblPuestos[codigo],tblPuestos[especialidad],"(sin catálogo)"))</f>
        <v/>
      </c>
      <c r="AB279" s="5">
        <f>IF(tblOrdenes[[#This Row],[cod_actividad]]="","",_xlfn.XLOOKUP(tblOrdenes[[#This Row],[cod_actividad]],tblActividades[codigo],tblActividades[descripcion],"(sin catálogo)"))</f>
        <v/>
      </c>
      <c r="AC279" s="20">
        <f>IF(tblOrdenes[[#This Row],[fecha_inicio]]="","",TODAY()-tblOrdenes[[#This Row],[fecha_inicio]])</f>
        <v/>
      </c>
      <c r="AD2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79" s="5">
        <f>IF(tblOrdenes[[#This Row],[backlog_habiles]]="","",IF(tblOrdenes[[#This Row],[backlog_habiles]]&lt;0,"FUTURO",IF(tblOrdenes[[#This Row],[backlog_habiles]]&gt;p_dias_backlog_max,"BACKLOG","MES CORRIENTE")))</f>
        <v/>
      </c>
      <c r="AF279" s="5">
        <f>IF(tblOrdenes[[#This Row],[backlog_habiles]]="",FALSE,AND(tblOrdenes[[#This Row],[backlog_habiles]]&gt;p_dias_backlog_min,tblOrdenes[[#This Row],[backlog_habiles]]&lt;=p_dias_backlog_max))</f>
        <v/>
      </c>
      <c r="AG279" s="4" t="n"/>
      <c r="AH2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79" s="18">
        <f>IF(tblOrdenes[[#This Row],[orden]]="","",_xlfn.XLOOKUP(tblOrdenes[[#This Row],[id_operacion]],tblEjecucion[id_operacion],tblEjecucion[precio],0))</f>
        <v/>
      </c>
      <c r="AL279" s="18">
        <f>IF(tblOrdenes[[#This Row],[orden]]="","",MAX(0,_xlfn.XLOOKUP(tblOrdenes[[#This Row],[id_operacion]],tblEjecucion[id_operacion],tblEjecucion[costo_plan_total],0)-tblOrdenes[[#This Row],[costo_servicio]]))</f>
        <v/>
      </c>
      <c r="AM279" s="18">
        <f>IF(tblOrdenes[[#This Row],[orden]]="","",tblOrdenes[[#This Row],[costo_servicio]]+tblOrdenes[[#This Row],[costo_materiales]])</f>
        <v/>
      </c>
      <c r="AN2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79" s="4" t="n"/>
      <c r="AP279" s="4" t="n"/>
      <c r="AQ279" s="4" t="n"/>
      <c r="AR279" s="5">
        <f>IF(tblOrdenes[[#This Row],[link_checklist]]="","",HYPERLINK(p_ruta_base_checklists&amp;tblOrdenes[[#This Row],[link_checklist]],"abrir"))</f>
        <v/>
      </c>
      <c r="AS279" s="4" t="n"/>
      <c r="AT279" s="5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22" t="n"/>
      <c r="K280" s="5" t="n"/>
      <c r="L280" s="18" t="n"/>
      <c r="M2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5">
        <f>IF(tblOrdenes[[#This Row],[fecha_inicio]]="","",YEAR(tblOrdenes[[#This Row],[fecha_inicio]]))</f>
        <v/>
      </c>
      <c r="Q280" s="5">
        <f>IF(tblOrdenes[[#This Row],[fecha_inicio]]="","",MONTH(tblOrdenes[[#This Row],[fecha_inicio]]))</f>
        <v/>
      </c>
      <c r="R280" s="5">
        <f>IF(tblOrdenes[[#This Row],[fecha_inicio]]="","",tblOrdenes[[#This Row],[anio]]&amp;"-"&amp;TEXT(tblOrdenes[[#This Row],[mes]],"00"))</f>
        <v/>
      </c>
      <c r="S280" s="5">
        <f>IF(tblOrdenes[[#This Row],[fecha_inicio]]="","",INDEX(lista_dias,WEEKDAY(tblOrdenes[[#This Row],[fecha_inicio]],2)))</f>
        <v/>
      </c>
      <c r="T2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0" s="5">
        <f>IF(tblOrdenes[[#This Row],[tipo_ot]]="","",_xlfn.XLOOKUP(tblOrdenes[[#This Row],[tipo_ot]],tblTiposOT[codigo],tblTiposOT[clasificacion],"sin_clasificar"))</f>
        <v/>
      </c>
      <c r="V2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0" s="5">
        <f>IF(tblOrdenes[[#This Row],[centro_costo]]="","",_xlfn.XLOOKUP(tblOrdenes[[#This Row],[centro_costo]],tblCECO[codigo],tblCECO[linea],"(sin catálogo)"))</f>
        <v/>
      </c>
      <c r="X280" s="5">
        <f>IF(tblOrdenes[[#This Row],[centro_costo]]="","",_xlfn.XLOOKUP(tblOrdenes[[#This Row],[centro_costo]],tblCECO[codigo],tblCECO[area],"(sin catálogo)"))</f>
        <v/>
      </c>
      <c r="Y2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0" s="5">
        <f>IF(tblOrdenes[[#This Row],[centro_costo]]="","",_xlfn.XLOOKUP(tblOrdenes[[#This Row],[centro_costo]],tblCECO[codigo],tblCECO[coordinador],"(sin catálogo)"))</f>
        <v/>
      </c>
      <c r="AA280" s="5">
        <f>IF(tblOrdenes[[#This Row],[puesto_trabajo]]="","",_xlfn.XLOOKUP(tblOrdenes[[#This Row],[puesto_trabajo]],tblPuestos[codigo],tblPuestos[especialidad],"(sin catálogo)"))</f>
        <v/>
      </c>
      <c r="AB280" s="5">
        <f>IF(tblOrdenes[[#This Row],[cod_actividad]]="","",_xlfn.XLOOKUP(tblOrdenes[[#This Row],[cod_actividad]],tblActividades[codigo],tblActividades[descripcion],"(sin catálogo)"))</f>
        <v/>
      </c>
      <c r="AC280" s="20">
        <f>IF(tblOrdenes[[#This Row],[fecha_inicio]]="","",TODAY()-tblOrdenes[[#This Row],[fecha_inicio]])</f>
        <v/>
      </c>
      <c r="AD2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0" s="5">
        <f>IF(tblOrdenes[[#This Row],[backlog_habiles]]="","",IF(tblOrdenes[[#This Row],[backlog_habiles]]&lt;0,"FUTURO",IF(tblOrdenes[[#This Row],[backlog_habiles]]&gt;p_dias_backlog_max,"BACKLOG","MES CORRIENTE")))</f>
        <v/>
      </c>
      <c r="AF280" s="5">
        <f>IF(tblOrdenes[[#This Row],[backlog_habiles]]="",FALSE,AND(tblOrdenes[[#This Row],[backlog_habiles]]&gt;p_dias_backlog_min,tblOrdenes[[#This Row],[backlog_habiles]]&lt;=p_dias_backlog_max))</f>
        <v/>
      </c>
      <c r="AG280" s="4" t="n"/>
      <c r="AH2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0" s="18">
        <f>IF(tblOrdenes[[#This Row],[orden]]="","",_xlfn.XLOOKUP(tblOrdenes[[#This Row],[id_operacion]],tblEjecucion[id_operacion],tblEjecucion[precio],0))</f>
        <v/>
      </c>
      <c r="AL280" s="18">
        <f>IF(tblOrdenes[[#This Row],[orden]]="","",MAX(0,_xlfn.XLOOKUP(tblOrdenes[[#This Row],[id_operacion]],tblEjecucion[id_operacion],tblEjecucion[costo_plan_total],0)-tblOrdenes[[#This Row],[costo_servicio]]))</f>
        <v/>
      </c>
      <c r="AM280" s="18">
        <f>IF(tblOrdenes[[#This Row],[orden]]="","",tblOrdenes[[#This Row],[costo_servicio]]+tblOrdenes[[#This Row],[costo_materiales]])</f>
        <v/>
      </c>
      <c r="AN2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0" s="4" t="n"/>
      <c r="AP280" s="4" t="n"/>
      <c r="AQ280" s="4" t="n"/>
      <c r="AR280" s="5">
        <f>IF(tblOrdenes[[#This Row],[link_checklist]]="","",HYPERLINK(p_ruta_base_checklists&amp;tblOrdenes[[#This Row],[link_checklist]],"abrir"))</f>
        <v/>
      </c>
      <c r="AS280" s="4" t="n"/>
      <c r="AT280" s="5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22" t="n"/>
      <c r="K281" s="5" t="n"/>
      <c r="L281" s="18" t="n"/>
      <c r="M2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5">
        <f>IF(tblOrdenes[[#This Row],[fecha_inicio]]="","",YEAR(tblOrdenes[[#This Row],[fecha_inicio]]))</f>
        <v/>
      </c>
      <c r="Q281" s="5">
        <f>IF(tblOrdenes[[#This Row],[fecha_inicio]]="","",MONTH(tblOrdenes[[#This Row],[fecha_inicio]]))</f>
        <v/>
      </c>
      <c r="R281" s="5">
        <f>IF(tblOrdenes[[#This Row],[fecha_inicio]]="","",tblOrdenes[[#This Row],[anio]]&amp;"-"&amp;TEXT(tblOrdenes[[#This Row],[mes]],"00"))</f>
        <v/>
      </c>
      <c r="S281" s="5">
        <f>IF(tblOrdenes[[#This Row],[fecha_inicio]]="","",INDEX(lista_dias,WEEKDAY(tblOrdenes[[#This Row],[fecha_inicio]],2)))</f>
        <v/>
      </c>
      <c r="T2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1" s="5">
        <f>IF(tblOrdenes[[#This Row],[tipo_ot]]="","",_xlfn.XLOOKUP(tblOrdenes[[#This Row],[tipo_ot]],tblTiposOT[codigo],tblTiposOT[clasificacion],"sin_clasificar"))</f>
        <v/>
      </c>
      <c r="V2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1" s="5">
        <f>IF(tblOrdenes[[#This Row],[centro_costo]]="","",_xlfn.XLOOKUP(tblOrdenes[[#This Row],[centro_costo]],tblCECO[codigo],tblCECO[linea],"(sin catálogo)"))</f>
        <v/>
      </c>
      <c r="X281" s="5">
        <f>IF(tblOrdenes[[#This Row],[centro_costo]]="","",_xlfn.XLOOKUP(tblOrdenes[[#This Row],[centro_costo]],tblCECO[codigo],tblCECO[area],"(sin catálogo)"))</f>
        <v/>
      </c>
      <c r="Y2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1" s="5">
        <f>IF(tblOrdenes[[#This Row],[centro_costo]]="","",_xlfn.XLOOKUP(tblOrdenes[[#This Row],[centro_costo]],tblCECO[codigo],tblCECO[coordinador],"(sin catálogo)"))</f>
        <v/>
      </c>
      <c r="AA281" s="5">
        <f>IF(tblOrdenes[[#This Row],[puesto_trabajo]]="","",_xlfn.XLOOKUP(tblOrdenes[[#This Row],[puesto_trabajo]],tblPuestos[codigo],tblPuestos[especialidad],"(sin catálogo)"))</f>
        <v/>
      </c>
      <c r="AB281" s="5">
        <f>IF(tblOrdenes[[#This Row],[cod_actividad]]="","",_xlfn.XLOOKUP(tblOrdenes[[#This Row],[cod_actividad]],tblActividades[codigo],tblActividades[descripcion],"(sin catálogo)"))</f>
        <v/>
      </c>
      <c r="AC281" s="20">
        <f>IF(tblOrdenes[[#This Row],[fecha_inicio]]="","",TODAY()-tblOrdenes[[#This Row],[fecha_inicio]])</f>
        <v/>
      </c>
      <c r="AD2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1" s="5">
        <f>IF(tblOrdenes[[#This Row],[backlog_habiles]]="","",IF(tblOrdenes[[#This Row],[backlog_habiles]]&lt;0,"FUTURO",IF(tblOrdenes[[#This Row],[backlog_habiles]]&gt;p_dias_backlog_max,"BACKLOG","MES CORRIENTE")))</f>
        <v/>
      </c>
      <c r="AF281" s="5">
        <f>IF(tblOrdenes[[#This Row],[backlog_habiles]]="",FALSE,AND(tblOrdenes[[#This Row],[backlog_habiles]]&gt;p_dias_backlog_min,tblOrdenes[[#This Row],[backlog_habiles]]&lt;=p_dias_backlog_max))</f>
        <v/>
      </c>
      <c r="AG281" s="4" t="n"/>
      <c r="AH2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1" s="18">
        <f>IF(tblOrdenes[[#This Row],[orden]]="","",_xlfn.XLOOKUP(tblOrdenes[[#This Row],[id_operacion]],tblEjecucion[id_operacion],tblEjecucion[precio],0))</f>
        <v/>
      </c>
      <c r="AL281" s="18">
        <f>IF(tblOrdenes[[#This Row],[orden]]="","",MAX(0,_xlfn.XLOOKUP(tblOrdenes[[#This Row],[id_operacion]],tblEjecucion[id_operacion],tblEjecucion[costo_plan_total],0)-tblOrdenes[[#This Row],[costo_servicio]]))</f>
        <v/>
      </c>
      <c r="AM281" s="18">
        <f>IF(tblOrdenes[[#This Row],[orden]]="","",tblOrdenes[[#This Row],[costo_servicio]]+tblOrdenes[[#This Row],[costo_materiales]])</f>
        <v/>
      </c>
      <c r="AN2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1" s="4" t="n"/>
      <c r="AP281" s="4" t="n"/>
      <c r="AQ281" s="4" t="n"/>
      <c r="AR281" s="5">
        <f>IF(tblOrdenes[[#This Row],[link_checklist]]="","",HYPERLINK(p_ruta_base_checklists&amp;tblOrdenes[[#This Row],[link_checklist]],"abrir"))</f>
        <v/>
      </c>
      <c r="AS281" s="4" t="n"/>
      <c r="AT281" s="5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22" t="n"/>
      <c r="K282" s="5" t="n"/>
      <c r="L282" s="18" t="n"/>
      <c r="M2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5">
        <f>IF(tblOrdenes[[#This Row],[fecha_inicio]]="","",YEAR(tblOrdenes[[#This Row],[fecha_inicio]]))</f>
        <v/>
      </c>
      <c r="Q282" s="5">
        <f>IF(tblOrdenes[[#This Row],[fecha_inicio]]="","",MONTH(tblOrdenes[[#This Row],[fecha_inicio]]))</f>
        <v/>
      </c>
      <c r="R282" s="5">
        <f>IF(tblOrdenes[[#This Row],[fecha_inicio]]="","",tblOrdenes[[#This Row],[anio]]&amp;"-"&amp;TEXT(tblOrdenes[[#This Row],[mes]],"00"))</f>
        <v/>
      </c>
      <c r="S282" s="5">
        <f>IF(tblOrdenes[[#This Row],[fecha_inicio]]="","",INDEX(lista_dias,WEEKDAY(tblOrdenes[[#This Row],[fecha_inicio]],2)))</f>
        <v/>
      </c>
      <c r="T2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2" s="5">
        <f>IF(tblOrdenes[[#This Row],[tipo_ot]]="","",_xlfn.XLOOKUP(tblOrdenes[[#This Row],[tipo_ot]],tblTiposOT[codigo],tblTiposOT[clasificacion],"sin_clasificar"))</f>
        <v/>
      </c>
      <c r="V2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2" s="5">
        <f>IF(tblOrdenes[[#This Row],[centro_costo]]="","",_xlfn.XLOOKUP(tblOrdenes[[#This Row],[centro_costo]],tblCECO[codigo],tblCECO[linea],"(sin catálogo)"))</f>
        <v/>
      </c>
      <c r="X282" s="5">
        <f>IF(tblOrdenes[[#This Row],[centro_costo]]="","",_xlfn.XLOOKUP(tblOrdenes[[#This Row],[centro_costo]],tblCECO[codigo],tblCECO[area],"(sin catálogo)"))</f>
        <v/>
      </c>
      <c r="Y2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2" s="5">
        <f>IF(tblOrdenes[[#This Row],[centro_costo]]="","",_xlfn.XLOOKUP(tblOrdenes[[#This Row],[centro_costo]],tblCECO[codigo],tblCECO[coordinador],"(sin catálogo)"))</f>
        <v/>
      </c>
      <c r="AA282" s="5">
        <f>IF(tblOrdenes[[#This Row],[puesto_trabajo]]="","",_xlfn.XLOOKUP(tblOrdenes[[#This Row],[puesto_trabajo]],tblPuestos[codigo],tblPuestos[especialidad],"(sin catálogo)"))</f>
        <v/>
      </c>
      <c r="AB282" s="5">
        <f>IF(tblOrdenes[[#This Row],[cod_actividad]]="","",_xlfn.XLOOKUP(tblOrdenes[[#This Row],[cod_actividad]],tblActividades[codigo],tblActividades[descripcion],"(sin catálogo)"))</f>
        <v/>
      </c>
      <c r="AC282" s="20">
        <f>IF(tblOrdenes[[#This Row],[fecha_inicio]]="","",TODAY()-tblOrdenes[[#This Row],[fecha_inicio]])</f>
        <v/>
      </c>
      <c r="AD2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2" s="5">
        <f>IF(tblOrdenes[[#This Row],[backlog_habiles]]="","",IF(tblOrdenes[[#This Row],[backlog_habiles]]&lt;0,"FUTURO",IF(tblOrdenes[[#This Row],[backlog_habiles]]&gt;p_dias_backlog_max,"BACKLOG","MES CORRIENTE")))</f>
        <v/>
      </c>
      <c r="AF282" s="5">
        <f>IF(tblOrdenes[[#This Row],[backlog_habiles]]="",FALSE,AND(tblOrdenes[[#This Row],[backlog_habiles]]&gt;p_dias_backlog_min,tblOrdenes[[#This Row],[backlog_habiles]]&lt;=p_dias_backlog_max))</f>
        <v/>
      </c>
      <c r="AG282" s="4" t="n"/>
      <c r="AH2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2" s="18">
        <f>IF(tblOrdenes[[#This Row],[orden]]="","",_xlfn.XLOOKUP(tblOrdenes[[#This Row],[id_operacion]],tblEjecucion[id_operacion],tblEjecucion[precio],0))</f>
        <v/>
      </c>
      <c r="AL282" s="18">
        <f>IF(tblOrdenes[[#This Row],[orden]]="","",MAX(0,_xlfn.XLOOKUP(tblOrdenes[[#This Row],[id_operacion]],tblEjecucion[id_operacion],tblEjecucion[costo_plan_total],0)-tblOrdenes[[#This Row],[costo_servicio]]))</f>
        <v/>
      </c>
      <c r="AM282" s="18">
        <f>IF(tblOrdenes[[#This Row],[orden]]="","",tblOrdenes[[#This Row],[costo_servicio]]+tblOrdenes[[#This Row],[costo_materiales]])</f>
        <v/>
      </c>
      <c r="AN2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2" s="4" t="n"/>
      <c r="AP282" s="4" t="n"/>
      <c r="AQ282" s="4" t="n"/>
      <c r="AR282" s="5">
        <f>IF(tblOrdenes[[#This Row],[link_checklist]]="","",HYPERLINK(p_ruta_base_checklists&amp;tblOrdenes[[#This Row],[link_checklist]],"abrir"))</f>
        <v/>
      </c>
      <c r="AS282" s="4" t="n"/>
      <c r="AT282" s="5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22" t="n"/>
      <c r="K283" s="5" t="n"/>
      <c r="L283" s="18" t="n"/>
      <c r="M2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5">
        <f>IF(tblOrdenes[[#This Row],[fecha_inicio]]="","",YEAR(tblOrdenes[[#This Row],[fecha_inicio]]))</f>
        <v/>
      </c>
      <c r="Q283" s="5">
        <f>IF(tblOrdenes[[#This Row],[fecha_inicio]]="","",MONTH(tblOrdenes[[#This Row],[fecha_inicio]]))</f>
        <v/>
      </c>
      <c r="R283" s="5">
        <f>IF(tblOrdenes[[#This Row],[fecha_inicio]]="","",tblOrdenes[[#This Row],[anio]]&amp;"-"&amp;TEXT(tblOrdenes[[#This Row],[mes]],"00"))</f>
        <v/>
      </c>
      <c r="S283" s="5">
        <f>IF(tblOrdenes[[#This Row],[fecha_inicio]]="","",INDEX(lista_dias,WEEKDAY(tblOrdenes[[#This Row],[fecha_inicio]],2)))</f>
        <v/>
      </c>
      <c r="T2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3" s="5">
        <f>IF(tblOrdenes[[#This Row],[tipo_ot]]="","",_xlfn.XLOOKUP(tblOrdenes[[#This Row],[tipo_ot]],tblTiposOT[codigo],tblTiposOT[clasificacion],"sin_clasificar"))</f>
        <v/>
      </c>
      <c r="V2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3" s="5">
        <f>IF(tblOrdenes[[#This Row],[centro_costo]]="","",_xlfn.XLOOKUP(tblOrdenes[[#This Row],[centro_costo]],tblCECO[codigo],tblCECO[linea],"(sin catálogo)"))</f>
        <v/>
      </c>
      <c r="X283" s="5">
        <f>IF(tblOrdenes[[#This Row],[centro_costo]]="","",_xlfn.XLOOKUP(tblOrdenes[[#This Row],[centro_costo]],tblCECO[codigo],tblCECO[area],"(sin catálogo)"))</f>
        <v/>
      </c>
      <c r="Y2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3" s="5">
        <f>IF(tblOrdenes[[#This Row],[centro_costo]]="","",_xlfn.XLOOKUP(tblOrdenes[[#This Row],[centro_costo]],tblCECO[codigo],tblCECO[coordinador],"(sin catálogo)"))</f>
        <v/>
      </c>
      <c r="AA283" s="5">
        <f>IF(tblOrdenes[[#This Row],[puesto_trabajo]]="","",_xlfn.XLOOKUP(tblOrdenes[[#This Row],[puesto_trabajo]],tblPuestos[codigo],tblPuestos[especialidad],"(sin catálogo)"))</f>
        <v/>
      </c>
      <c r="AB283" s="5">
        <f>IF(tblOrdenes[[#This Row],[cod_actividad]]="","",_xlfn.XLOOKUP(tblOrdenes[[#This Row],[cod_actividad]],tblActividades[codigo],tblActividades[descripcion],"(sin catálogo)"))</f>
        <v/>
      </c>
      <c r="AC283" s="20">
        <f>IF(tblOrdenes[[#This Row],[fecha_inicio]]="","",TODAY()-tblOrdenes[[#This Row],[fecha_inicio]])</f>
        <v/>
      </c>
      <c r="AD2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3" s="5">
        <f>IF(tblOrdenes[[#This Row],[backlog_habiles]]="","",IF(tblOrdenes[[#This Row],[backlog_habiles]]&lt;0,"FUTURO",IF(tblOrdenes[[#This Row],[backlog_habiles]]&gt;p_dias_backlog_max,"BACKLOG","MES CORRIENTE")))</f>
        <v/>
      </c>
      <c r="AF283" s="5">
        <f>IF(tblOrdenes[[#This Row],[backlog_habiles]]="",FALSE,AND(tblOrdenes[[#This Row],[backlog_habiles]]&gt;p_dias_backlog_min,tblOrdenes[[#This Row],[backlog_habiles]]&lt;=p_dias_backlog_max))</f>
        <v/>
      </c>
      <c r="AG283" s="4" t="n"/>
      <c r="AH2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3" s="18">
        <f>IF(tblOrdenes[[#This Row],[orden]]="","",_xlfn.XLOOKUP(tblOrdenes[[#This Row],[id_operacion]],tblEjecucion[id_operacion],tblEjecucion[precio],0))</f>
        <v/>
      </c>
      <c r="AL283" s="18">
        <f>IF(tblOrdenes[[#This Row],[orden]]="","",MAX(0,_xlfn.XLOOKUP(tblOrdenes[[#This Row],[id_operacion]],tblEjecucion[id_operacion],tblEjecucion[costo_plan_total],0)-tblOrdenes[[#This Row],[costo_servicio]]))</f>
        <v/>
      </c>
      <c r="AM283" s="18">
        <f>IF(tblOrdenes[[#This Row],[orden]]="","",tblOrdenes[[#This Row],[costo_servicio]]+tblOrdenes[[#This Row],[costo_materiales]])</f>
        <v/>
      </c>
      <c r="AN2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3" s="4" t="n"/>
      <c r="AP283" s="4" t="n"/>
      <c r="AQ283" s="4" t="n"/>
      <c r="AR283" s="5">
        <f>IF(tblOrdenes[[#This Row],[link_checklist]]="","",HYPERLINK(p_ruta_base_checklists&amp;tblOrdenes[[#This Row],[link_checklist]],"abrir"))</f>
        <v/>
      </c>
      <c r="AS283" s="4" t="n"/>
      <c r="AT283" s="5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22" t="n"/>
      <c r="K284" s="5" t="n"/>
      <c r="L284" s="18" t="n"/>
      <c r="M2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5">
        <f>IF(tblOrdenes[[#This Row],[fecha_inicio]]="","",YEAR(tblOrdenes[[#This Row],[fecha_inicio]]))</f>
        <v/>
      </c>
      <c r="Q284" s="5">
        <f>IF(tblOrdenes[[#This Row],[fecha_inicio]]="","",MONTH(tblOrdenes[[#This Row],[fecha_inicio]]))</f>
        <v/>
      </c>
      <c r="R284" s="5">
        <f>IF(tblOrdenes[[#This Row],[fecha_inicio]]="","",tblOrdenes[[#This Row],[anio]]&amp;"-"&amp;TEXT(tblOrdenes[[#This Row],[mes]],"00"))</f>
        <v/>
      </c>
      <c r="S284" s="5">
        <f>IF(tblOrdenes[[#This Row],[fecha_inicio]]="","",INDEX(lista_dias,WEEKDAY(tblOrdenes[[#This Row],[fecha_inicio]],2)))</f>
        <v/>
      </c>
      <c r="T2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4" s="5">
        <f>IF(tblOrdenes[[#This Row],[tipo_ot]]="","",_xlfn.XLOOKUP(tblOrdenes[[#This Row],[tipo_ot]],tblTiposOT[codigo],tblTiposOT[clasificacion],"sin_clasificar"))</f>
        <v/>
      </c>
      <c r="V2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4" s="5">
        <f>IF(tblOrdenes[[#This Row],[centro_costo]]="","",_xlfn.XLOOKUP(tblOrdenes[[#This Row],[centro_costo]],tblCECO[codigo],tblCECO[linea],"(sin catálogo)"))</f>
        <v/>
      </c>
      <c r="X284" s="5">
        <f>IF(tblOrdenes[[#This Row],[centro_costo]]="","",_xlfn.XLOOKUP(tblOrdenes[[#This Row],[centro_costo]],tblCECO[codigo],tblCECO[area],"(sin catálogo)"))</f>
        <v/>
      </c>
      <c r="Y2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4" s="5">
        <f>IF(tblOrdenes[[#This Row],[centro_costo]]="","",_xlfn.XLOOKUP(tblOrdenes[[#This Row],[centro_costo]],tblCECO[codigo],tblCECO[coordinador],"(sin catálogo)"))</f>
        <v/>
      </c>
      <c r="AA284" s="5">
        <f>IF(tblOrdenes[[#This Row],[puesto_trabajo]]="","",_xlfn.XLOOKUP(tblOrdenes[[#This Row],[puesto_trabajo]],tblPuestos[codigo],tblPuestos[especialidad],"(sin catálogo)"))</f>
        <v/>
      </c>
      <c r="AB284" s="5">
        <f>IF(tblOrdenes[[#This Row],[cod_actividad]]="","",_xlfn.XLOOKUP(tblOrdenes[[#This Row],[cod_actividad]],tblActividades[codigo],tblActividades[descripcion],"(sin catálogo)"))</f>
        <v/>
      </c>
      <c r="AC284" s="20">
        <f>IF(tblOrdenes[[#This Row],[fecha_inicio]]="","",TODAY()-tblOrdenes[[#This Row],[fecha_inicio]])</f>
        <v/>
      </c>
      <c r="AD2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4" s="5">
        <f>IF(tblOrdenes[[#This Row],[backlog_habiles]]="","",IF(tblOrdenes[[#This Row],[backlog_habiles]]&lt;0,"FUTURO",IF(tblOrdenes[[#This Row],[backlog_habiles]]&gt;p_dias_backlog_max,"BACKLOG","MES CORRIENTE")))</f>
        <v/>
      </c>
      <c r="AF284" s="5">
        <f>IF(tblOrdenes[[#This Row],[backlog_habiles]]="",FALSE,AND(tblOrdenes[[#This Row],[backlog_habiles]]&gt;p_dias_backlog_min,tblOrdenes[[#This Row],[backlog_habiles]]&lt;=p_dias_backlog_max))</f>
        <v/>
      </c>
      <c r="AG284" s="4" t="n"/>
      <c r="AH2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4" s="18">
        <f>IF(tblOrdenes[[#This Row],[orden]]="","",_xlfn.XLOOKUP(tblOrdenes[[#This Row],[id_operacion]],tblEjecucion[id_operacion],tblEjecucion[precio],0))</f>
        <v/>
      </c>
      <c r="AL284" s="18">
        <f>IF(tblOrdenes[[#This Row],[orden]]="","",MAX(0,_xlfn.XLOOKUP(tblOrdenes[[#This Row],[id_operacion]],tblEjecucion[id_operacion],tblEjecucion[costo_plan_total],0)-tblOrdenes[[#This Row],[costo_servicio]]))</f>
        <v/>
      </c>
      <c r="AM284" s="18">
        <f>IF(tblOrdenes[[#This Row],[orden]]="","",tblOrdenes[[#This Row],[costo_servicio]]+tblOrdenes[[#This Row],[costo_materiales]])</f>
        <v/>
      </c>
      <c r="AN2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4" s="4" t="n"/>
      <c r="AP284" s="4" t="n"/>
      <c r="AQ284" s="4" t="n"/>
      <c r="AR284" s="5">
        <f>IF(tblOrdenes[[#This Row],[link_checklist]]="","",HYPERLINK(p_ruta_base_checklists&amp;tblOrdenes[[#This Row],[link_checklist]],"abrir"))</f>
        <v/>
      </c>
      <c r="AS284" s="4" t="n"/>
      <c r="AT284" s="5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22" t="n"/>
      <c r="K285" s="5" t="n"/>
      <c r="L285" s="18" t="n"/>
      <c r="M2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5">
        <f>IF(tblOrdenes[[#This Row],[fecha_inicio]]="","",YEAR(tblOrdenes[[#This Row],[fecha_inicio]]))</f>
        <v/>
      </c>
      <c r="Q285" s="5">
        <f>IF(tblOrdenes[[#This Row],[fecha_inicio]]="","",MONTH(tblOrdenes[[#This Row],[fecha_inicio]]))</f>
        <v/>
      </c>
      <c r="R285" s="5">
        <f>IF(tblOrdenes[[#This Row],[fecha_inicio]]="","",tblOrdenes[[#This Row],[anio]]&amp;"-"&amp;TEXT(tblOrdenes[[#This Row],[mes]],"00"))</f>
        <v/>
      </c>
      <c r="S285" s="5">
        <f>IF(tblOrdenes[[#This Row],[fecha_inicio]]="","",INDEX(lista_dias,WEEKDAY(tblOrdenes[[#This Row],[fecha_inicio]],2)))</f>
        <v/>
      </c>
      <c r="T2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5" s="5">
        <f>IF(tblOrdenes[[#This Row],[tipo_ot]]="","",_xlfn.XLOOKUP(tblOrdenes[[#This Row],[tipo_ot]],tblTiposOT[codigo],tblTiposOT[clasificacion],"sin_clasificar"))</f>
        <v/>
      </c>
      <c r="V2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5" s="5">
        <f>IF(tblOrdenes[[#This Row],[centro_costo]]="","",_xlfn.XLOOKUP(tblOrdenes[[#This Row],[centro_costo]],tblCECO[codigo],tblCECO[linea],"(sin catálogo)"))</f>
        <v/>
      </c>
      <c r="X285" s="5">
        <f>IF(tblOrdenes[[#This Row],[centro_costo]]="","",_xlfn.XLOOKUP(tblOrdenes[[#This Row],[centro_costo]],tblCECO[codigo],tblCECO[area],"(sin catálogo)"))</f>
        <v/>
      </c>
      <c r="Y2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5" s="5">
        <f>IF(tblOrdenes[[#This Row],[centro_costo]]="","",_xlfn.XLOOKUP(tblOrdenes[[#This Row],[centro_costo]],tblCECO[codigo],tblCECO[coordinador],"(sin catálogo)"))</f>
        <v/>
      </c>
      <c r="AA285" s="5">
        <f>IF(tblOrdenes[[#This Row],[puesto_trabajo]]="","",_xlfn.XLOOKUP(tblOrdenes[[#This Row],[puesto_trabajo]],tblPuestos[codigo],tblPuestos[especialidad],"(sin catálogo)"))</f>
        <v/>
      </c>
      <c r="AB285" s="5">
        <f>IF(tblOrdenes[[#This Row],[cod_actividad]]="","",_xlfn.XLOOKUP(tblOrdenes[[#This Row],[cod_actividad]],tblActividades[codigo],tblActividades[descripcion],"(sin catálogo)"))</f>
        <v/>
      </c>
      <c r="AC285" s="20">
        <f>IF(tblOrdenes[[#This Row],[fecha_inicio]]="","",TODAY()-tblOrdenes[[#This Row],[fecha_inicio]])</f>
        <v/>
      </c>
      <c r="AD2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5" s="5">
        <f>IF(tblOrdenes[[#This Row],[backlog_habiles]]="","",IF(tblOrdenes[[#This Row],[backlog_habiles]]&lt;0,"FUTURO",IF(tblOrdenes[[#This Row],[backlog_habiles]]&gt;p_dias_backlog_max,"BACKLOG","MES CORRIENTE")))</f>
        <v/>
      </c>
      <c r="AF285" s="5">
        <f>IF(tblOrdenes[[#This Row],[backlog_habiles]]="",FALSE,AND(tblOrdenes[[#This Row],[backlog_habiles]]&gt;p_dias_backlog_min,tblOrdenes[[#This Row],[backlog_habiles]]&lt;=p_dias_backlog_max))</f>
        <v/>
      </c>
      <c r="AG285" s="4" t="n"/>
      <c r="AH2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5" s="18">
        <f>IF(tblOrdenes[[#This Row],[orden]]="","",_xlfn.XLOOKUP(tblOrdenes[[#This Row],[id_operacion]],tblEjecucion[id_operacion],tblEjecucion[precio],0))</f>
        <v/>
      </c>
      <c r="AL285" s="18">
        <f>IF(tblOrdenes[[#This Row],[orden]]="","",MAX(0,_xlfn.XLOOKUP(tblOrdenes[[#This Row],[id_operacion]],tblEjecucion[id_operacion],tblEjecucion[costo_plan_total],0)-tblOrdenes[[#This Row],[costo_servicio]]))</f>
        <v/>
      </c>
      <c r="AM285" s="18">
        <f>IF(tblOrdenes[[#This Row],[orden]]="","",tblOrdenes[[#This Row],[costo_servicio]]+tblOrdenes[[#This Row],[costo_materiales]])</f>
        <v/>
      </c>
      <c r="AN2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5" s="4" t="n"/>
      <c r="AP285" s="4" t="n"/>
      <c r="AQ285" s="4" t="n"/>
      <c r="AR285" s="5">
        <f>IF(tblOrdenes[[#This Row],[link_checklist]]="","",HYPERLINK(p_ruta_base_checklists&amp;tblOrdenes[[#This Row],[link_checklist]],"abrir"))</f>
        <v/>
      </c>
      <c r="AS285" s="4" t="n"/>
      <c r="AT285" s="5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22" t="n"/>
      <c r="K286" s="5" t="n"/>
      <c r="L286" s="18" t="n"/>
      <c r="M2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5">
        <f>IF(tblOrdenes[[#This Row],[fecha_inicio]]="","",YEAR(tblOrdenes[[#This Row],[fecha_inicio]]))</f>
        <v/>
      </c>
      <c r="Q286" s="5">
        <f>IF(tblOrdenes[[#This Row],[fecha_inicio]]="","",MONTH(tblOrdenes[[#This Row],[fecha_inicio]]))</f>
        <v/>
      </c>
      <c r="R286" s="5">
        <f>IF(tblOrdenes[[#This Row],[fecha_inicio]]="","",tblOrdenes[[#This Row],[anio]]&amp;"-"&amp;TEXT(tblOrdenes[[#This Row],[mes]],"00"))</f>
        <v/>
      </c>
      <c r="S286" s="5">
        <f>IF(tblOrdenes[[#This Row],[fecha_inicio]]="","",INDEX(lista_dias,WEEKDAY(tblOrdenes[[#This Row],[fecha_inicio]],2)))</f>
        <v/>
      </c>
      <c r="T2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6" s="5">
        <f>IF(tblOrdenes[[#This Row],[tipo_ot]]="","",_xlfn.XLOOKUP(tblOrdenes[[#This Row],[tipo_ot]],tblTiposOT[codigo],tblTiposOT[clasificacion],"sin_clasificar"))</f>
        <v/>
      </c>
      <c r="V2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6" s="5">
        <f>IF(tblOrdenes[[#This Row],[centro_costo]]="","",_xlfn.XLOOKUP(tblOrdenes[[#This Row],[centro_costo]],tblCECO[codigo],tblCECO[linea],"(sin catálogo)"))</f>
        <v/>
      </c>
      <c r="X286" s="5">
        <f>IF(tblOrdenes[[#This Row],[centro_costo]]="","",_xlfn.XLOOKUP(tblOrdenes[[#This Row],[centro_costo]],tblCECO[codigo],tblCECO[area],"(sin catálogo)"))</f>
        <v/>
      </c>
      <c r="Y2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6" s="5">
        <f>IF(tblOrdenes[[#This Row],[centro_costo]]="","",_xlfn.XLOOKUP(tblOrdenes[[#This Row],[centro_costo]],tblCECO[codigo],tblCECO[coordinador],"(sin catálogo)"))</f>
        <v/>
      </c>
      <c r="AA286" s="5">
        <f>IF(tblOrdenes[[#This Row],[puesto_trabajo]]="","",_xlfn.XLOOKUP(tblOrdenes[[#This Row],[puesto_trabajo]],tblPuestos[codigo],tblPuestos[especialidad],"(sin catálogo)"))</f>
        <v/>
      </c>
      <c r="AB286" s="5">
        <f>IF(tblOrdenes[[#This Row],[cod_actividad]]="","",_xlfn.XLOOKUP(tblOrdenes[[#This Row],[cod_actividad]],tblActividades[codigo],tblActividades[descripcion],"(sin catálogo)"))</f>
        <v/>
      </c>
      <c r="AC286" s="20">
        <f>IF(tblOrdenes[[#This Row],[fecha_inicio]]="","",TODAY()-tblOrdenes[[#This Row],[fecha_inicio]])</f>
        <v/>
      </c>
      <c r="AD2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6" s="5">
        <f>IF(tblOrdenes[[#This Row],[backlog_habiles]]="","",IF(tblOrdenes[[#This Row],[backlog_habiles]]&lt;0,"FUTURO",IF(tblOrdenes[[#This Row],[backlog_habiles]]&gt;p_dias_backlog_max,"BACKLOG","MES CORRIENTE")))</f>
        <v/>
      </c>
      <c r="AF286" s="5">
        <f>IF(tblOrdenes[[#This Row],[backlog_habiles]]="",FALSE,AND(tblOrdenes[[#This Row],[backlog_habiles]]&gt;p_dias_backlog_min,tblOrdenes[[#This Row],[backlog_habiles]]&lt;=p_dias_backlog_max))</f>
        <v/>
      </c>
      <c r="AG286" s="4" t="n"/>
      <c r="AH2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6" s="18">
        <f>IF(tblOrdenes[[#This Row],[orden]]="","",_xlfn.XLOOKUP(tblOrdenes[[#This Row],[id_operacion]],tblEjecucion[id_operacion],tblEjecucion[precio],0))</f>
        <v/>
      </c>
      <c r="AL286" s="18">
        <f>IF(tblOrdenes[[#This Row],[orden]]="","",MAX(0,_xlfn.XLOOKUP(tblOrdenes[[#This Row],[id_operacion]],tblEjecucion[id_operacion],tblEjecucion[costo_plan_total],0)-tblOrdenes[[#This Row],[costo_servicio]]))</f>
        <v/>
      </c>
      <c r="AM286" s="18">
        <f>IF(tblOrdenes[[#This Row],[orden]]="","",tblOrdenes[[#This Row],[costo_servicio]]+tblOrdenes[[#This Row],[costo_materiales]])</f>
        <v/>
      </c>
      <c r="AN2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6" s="4" t="n"/>
      <c r="AP286" s="4" t="n"/>
      <c r="AQ286" s="4" t="n"/>
      <c r="AR286" s="5">
        <f>IF(tblOrdenes[[#This Row],[link_checklist]]="","",HYPERLINK(p_ruta_base_checklists&amp;tblOrdenes[[#This Row],[link_checklist]],"abrir"))</f>
        <v/>
      </c>
      <c r="AS286" s="4" t="n"/>
      <c r="AT286" s="5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22" t="n"/>
      <c r="K287" s="5" t="n"/>
      <c r="L287" s="18" t="n"/>
      <c r="M2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5">
        <f>IF(tblOrdenes[[#This Row],[fecha_inicio]]="","",YEAR(tblOrdenes[[#This Row],[fecha_inicio]]))</f>
        <v/>
      </c>
      <c r="Q287" s="5">
        <f>IF(tblOrdenes[[#This Row],[fecha_inicio]]="","",MONTH(tblOrdenes[[#This Row],[fecha_inicio]]))</f>
        <v/>
      </c>
      <c r="R287" s="5">
        <f>IF(tblOrdenes[[#This Row],[fecha_inicio]]="","",tblOrdenes[[#This Row],[anio]]&amp;"-"&amp;TEXT(tblOrdenes[[#This Row],[mes]],"00"))</f>
        <v/>
      </c>
      <c r="S287" s="5">
        <f>IF(tblOrdenes[[#This Row],[fecha_inicio]]="","",INDEX(lista_dias,WEEKDAY(tblOrdenes[[#This Row],[fecha_inicio]],2)))</f>
        <v/>
      </c>
      <c r="T2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7" s="5">
        <f>IF(tblOrdenes[[#This Row],[tipo_ot]]="","",_xlfn.XLOOKUP(tblOrdenes[[#This Row],[tipo_ot]],tblTiposOT[codigo],tblTiposOT[clasificacion],"sin_clasificar"))</f>
        <v/>
      </c>
      <c r="V2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7" s="5">
        <f>IF(tblOrdenes[[#This Row],[centro_costo]]="","",_xlfn.XLOOKUP(tblOrdenes[[#This Row],[centro_costo]],tblCECO[codigo],tblCECO[linea],"(sin catálogo)"))</f>
        <v/>
      </c>
      <c r="X287" s="5">
        <f>IF(tblOrdenes[[#This Row],[centro_costo]]="","",_xlfn.XLOOKUP(tblOrdenes[[#This Row],[centro_costo]],tblCECO[codigo],tblCECO[area],"(sin catálogo)"))</f>
        <v/>
      </c>
      <c r="Y2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7" s="5">
        <f>IF(tblOrdenes[[#This Row],[centro_costo]]="","",_xlfn.XLOOKUP(tblOrdenes[[#This Row],[centro_costo]],tblCECO[codigo],tblCECO[coordinador],"(sin catálogo)"))</f>
        <v/>
      </c>
      <c r="AA287" s="5">
        <f>IF(tblOrdenes[[#This Row],[puesto_trabajo]]="","",_xlfn.XLOOKUP(tblOrdenes[[#This Row],[puesto_trabajo]],tblPuestos[codigo],tblPuestos[especialidad],"(sin catálogo)"))</f>
        <v/>
      </c>
      <c r="AB287" s="5">
        <f>IF(tblOrdenes[[#This Row],[cod_actividad]]="","",_xlfn.XLOOKUP(tblOrdenes[[#This Row],[cod_actividad]],tblActividades[codigo],tblActividades[descripcion],"(sin catálogo)"))</f>
        <v/>
      </c>
      <c r="AC287" s="20">
        <f>IF(tblOrdenes[[#This Row],[fecha_inicio]]="","",TODAY()-tblOrdenes[[#This Row],[fecha_inicio]])</f>
        <v/>
      </c>
      <c r="AD2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7" s="5">
        <f>IF(tblOrdenes[[#This Row],[backlog_habiles]]="","",IF(tblOrdenes[[#This Row],[backlog_habiles]]&lt;0,"FUTURO",IF(tblOrdenes[[#This Row],[backlog_habiles]]&gt;p_dias_backlog_max,"BACKLOG","MES CORRIENTE")))</f>
        <v/>
      </c>
      <c r="AF287" s="5">
        <f>IF(tblOrdenes[[#This Row],[backlog_habiles]]="",FALSE,AND(tblOrdenes[[#This Row],[backlog_habiles]]&gt;p_dias_backlog_min,tblOrdenes[[#This Row],[backlog_habiles]]&lt;=p_dias_backlog_max))</f>
        <v/>
      </c>
      <c r="AG287" s="4" t="n"/>
      <c r="AH2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7" s="18">
        <f>IF(tblOrdenes[[#This Row],[orden]]="","",_xlfn.XLOOKUP(tblOrdenes[[#This Row],[id_operacion]],tblEjecucion[id_operacion],tblEjecucion[precio],0))</f>
        <v/>
      </c>
      <c r="AL287" s="18">
        <f>IF(tblOrdenes[[#This Row],[orden]]="","",MAX(0,_xlfn.XLOOKUP(tblOrdenes[[#This Row],[id_operacion]],tblEjecucion[id_operacion],tblEjecucion[costo_plan_total],0)-tblOrdenes[[#This Row],[costo_servicio]]))</f>
        <v/>
      </c>
      <c r="AM287" s="18">
        <f>IF(tblOrdenes[[#This Row],[orden]]="","",tblOrdenes[[#This Row],[costo_servicio]]+tblOrdenes[[#This Row],[costo_materiales]])</f>
        <v/>
      </c>
      <c r="AN2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7" s="4" t="n"/>
      <c r="AP287" s="4" t="n"/>
      <c r="AQ287" s="4" t="n"/>
      <c r="AR287" s="5">
        <f>IF(tblOrdenes[[#This Row],[link_checklist]]="","",HYPERLINK(p_ruta_base_checklists&amp;tblOrdenes[[#This Row],[link_checklist]],"abrir"))</f>
        <v/>
      </c>
      <c r="AS287" s="4" t="n"/>
      <c r="AT287" s="5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22" t="n"/>
      <c r="K288" s="5" t="n"/>
      <c r="L288" s="18" t="n"/>
      <c r="M2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5">
        <f>IF(tblOrdenes[[#This Row],[fecha_inicio]]="","",YEAR(tblOrdenes[[#This Row],[fecha_inicio]]))</f>
        <v/>
      </c>
      <c r="Q288" s="5">
        <f>IF(tblOrdenes[[#This Row],[fecha_inicio]]="","",MONTH(tblOrdenes[[#This Row],[fecha_inicio]]))</f>
        <v/>
      </c>
      <c r="R288" s="5">
        <f>IF(tblOrdenes[[#This Row],[fecha_inicio]]="","",tblOrdenes[[#This Row],[anio]]&amp;"-"&amp;TEXT(tblOrdenes[[#This Row],[mes]],"00"))</f>
        <v/>
      </c>
      <c r="S288" s="5">
        <f>IF(tblOrdenes[[#This Row],[fecha_inicio]]="","",INDEX(lista_dias,WEEKDAY(tblOrdenes[[#This Row],[fecha_inicio]],2)))</f>
        <v/>
      </c>
      <c r="T2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8" s="5">
        <f>IF(tblOrdenes[[#This Row],[tipo_ot]]="","",_xlfn.XLOOKUP(tblOrdenes[[#This Row],[tipo_ot]],tblTiposOT[codigo],tblTiposOT[clasificacion],"sin_clasificar"))</f>
        <v/>
      </c>
      <c r="V2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8" s="5">
        <f>IF(tblOrdenes[[#This Row],[centro_costo]]="","",_xlfn.XLOOKUP(tblOrdenes[[#This Row],[centro_costo]],tblCECO[codigo],tblCECO[linea],"(sin catálogo)"))</f>
        <v/>
      </c>
      <c r="X288" s="5">
        <f>IF(tblOrdenes[[#This Row],[centro_costo]]="","",_xlfn.XLOOKUP(tblOrdenes[[#This Row],[centro_costo]],tblCECO[codigo],tblCECO[area],"(sin catálogo)"))</f>
        <v/>
      </c>
      <c r="Y2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8" s="5">
        <f>IF(tblOrdenes[[#This Row],[centro_costo]]="","",_xlfn.XLOOKUP(tblOrdenes[[#This Row],[centro_costo]],tblCECO[codigo],tblCECO[coordinador],"(sin catálogo)"))</f>
        <v/>
      </c>
      <c r="AA288" s="5">
        <f>IF(tblOrdenes[[#This Row],[puesto_trabajo]]="","",_xlfn.XLOOKUP(tblOrdenes[[#This Row],[puesto_trabajo]],tblPuestos[codigo],tblPuestos[especialidad],"(sin catálogo)"))</f>
        <v/>
      </c>
      <c r="AB288" s="5">
        <f>IF(tblOrdenes[[#This Row],[cod_actividad]]="","",_xlfn.XLOOKUP(tblOrdenes[[#This Row],[cod_actividad]],tblActividades[codigo],tblActividades[descripcion],"(sin catálogo)"))</f>
        <v/>
      </c>
      <c r="AC288" s="20">
        <f>IF(tblOrdenes[[#This Row],[fecha_inicio]]="","",TODAY()-tblOrdenes[[#This Row],[fecha_inicio]])</f>
        <v/>
      </c>
      <c r="AD2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8" s="5">
        <f>IF(tblOrdenes[[#This Row],[backlog_habiles]]="","",IF(tblOrdenes[[#This Row],[backlog_habiles]]&lt;0,"FUTURO",IF(tblOrdenes[[#This Row],[backlog_habiles]]&gt;p_dias_backlog_max,"BACKLOG","MES CORRIENTE")))</f>
        <v/>
      </c>
      <c r="AF288" s="5">
        <f>IF(tblOrdenes[[#This Row],[backlog_habiles]]="",FALSE,AND(tblOrdenes[[#This Row],[backlog_habiles]]&gt;p_dias_backlog_min,tblOrdenes[[#This Row],[backlog_habiles]]&lt;=p_dias_backlog_max))</f>
        <v/>
      </c>
      <c r="AG288" s="4" t="n"/>
      <c r="AH2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8" s="18">
        <f>IF(tblOrdenes[[#This Row],[orden]]="","",_xlfn.XLOOKUP(tblOrdenes[[#This Row],[id_operacion]],tblEjecucion[id_operacion],tblEjecucion[precio],0))</f>
        <v/>
      </c>
      <c r="AL288" s="18">
        <f>IF(tblOrdenes[[#This Row],[orden]]="","",MAX(0,_xlfn.XLOOKUP(tblOrdenes[[#This Row],[id_operacion]],tblEjecucion[id_operacion],tblEjecucion[costo_plan_total],0)-tblOrdenes[[#This Row],[costo_servicio]]))</f>
        <v/>
      </c>
      <c r="AM288" s="18">
        <f>IF(tblOrdenes[[#This Row],[orden]]="","",tblOrdenes[[#This Row],[costo_servicio]]+tblOrdenes[[#This Row],[costo_materiales]])</f>
        <v/>
      </c>
      <c r="AN2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8" s="4" t="n"/>
      <c r="AP288" s="4" t="n"/>
      <c r="AQ288" s="4" t="n"/>
      <c r="AR288" s="5">
        <f>IF(tblOrdenes[[#This Row],[link_checklist]]="","",HYPERLINK(p_ruta_base_checklists&amp;tblOrdenes[[#This Row],[link_checklist]],"abrir"))</f>
        <v/>
      </c>
      <c r="AS288" s="4" t="n"/>
      <c r="AT288" s="5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22" t="n"/>
      <c r="K289" s="5" t="n"/>
      <c r="L289" s="18" t="n"/>
      <c r="M2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5">
        <f>IF(tblOrdenes[[#This Row],[fecha_inicio]]="","",YEAR(tblOrdenes[[#This Row],[fecha_inicio]]))</f>
        <v/>
      </c>
      <c r="Q289" s="5">
        <f>IF(tblOrdenes[[#This Row],[fecha_inicio]]="","",MONTH(tblOrdenes[[#This Row],[fecha_inicio]]))</f>
        <v/>
      </c>
      <c r="R289" s="5">
        <f>IF(tblOrdenes[[#This Row],[fecha_inicio]]="","",tblOrdenes[[#This Row],[anio]]&amp;"-"&amp;TEXT(tblOrdenes[[#This Row],[mes]],"00"))</f>
        <v/>
      </c>
      <c r="S289" s="5">
        <f>IF(tblOrdenes[[#This Row],[fecha_inicio]]="","",INDEX(lista_dias,WEEKDAY(tblOrdenes[[#This Row],[fecha_inicio]],2)))</f>
        <v/>
      </c>
      <c r="T2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9" s="5">
        <f>IF(tblOrdenes[[#This Row],[tipo_ot]]="","",_xlfn.XLOOKUP(tblOrdenes[[#This Row],[tipo_ot]],tblTiposOT[codigo],tblTiposOT[clasificacion],"sin_clasificar"))</f>
        <v/>
      </c>
      <c r="V2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9" s="5">
        <f>IF(tblOrdenes[[#This Row],[centro_costo]]="","",_xlfn.XLOOKUP(tblOrdenes[[#This Row],[centro_costo]],tblCECO[codigo],tblCECO[linea],"(sin catálogo)"))</f>
        <v/>
      </c>
      <c r="X289" s="5">
        <f>IF(tblOrdenes[[#This Row],[centro_costo]]="","",_xlfn.XLOOKUP(tblOrdenes[[#This Row],[centro_costo]],tblCECO[codigo],tblCECO[area],"(sin catálogo)"))</f>
        <v/>
      </c>
      <c r="Y2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89" s="5">
        <f>IF(tblOrdenes[[#This Row],[centro_costo]]="","",_xlfn.XLOOKUP(tblOrdenes[[#This Row],[centro_costo]],tblCECO[codigo],tblCECO[coordinador],"(sin catálogo)"))</f>
        <v/>
      </c>
      <c r="AA289" s="5">
        <f>IF(tblOrdenes[[#This Row],[puesto_trabajo]]="","",_xlfn.XLOOKUP(tblOrdenes[[#This Row],[puesto_trabajo]],tblPuestos[codigo],tblPuestos[especialidad],"(sin catálogo)"))</f>
        <v/>
      </c>
      <c r="AB289" s="5">
        <f>IF(tblOrdenes[[#This Row],[cod_actividad]]="","",_xlfn.XLOOKUP(tblOrdenes[[#This Row],[cod_actividad]],tblActividades[codigo],tblActividades[descripcion],"(sin catálogo)"))</f>
        <v/>
      </c>
      <c r="AC289" s="20">
        <f>IF(tblOrdenes[[#This Row],[fecha_inicio]]="","",TODAY()-tblOrdenes[[#This Row],[fecha_inicio]])</f>
        <v/>
      </c>
      <c r="AD2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89" s="5">
        <f>IF(tblOrdenes[[#This Row],[backlog_habiles]]="","",IF(tblOrdenes[[#This Row],[backlog_habiles]]&lt;0,"FUTURO",IF(tblOrdenes[[#This Row],[backlog_habiles]]&gt;p_dias_backlog_max,"BACKLOG","MES CORRIENTE")))</f>
        <v/>
      </c>
      <c r="AF289" s="5">
        <f>IF(tblOrdenes[[#This Row],[backlog_habiles]]="",FALSE,AND(tblOrdenes[[#This Row],[backlog_habiles]]&gt;p_dias_backlog_min,tblOrdenes[[#This Row],[backlog_habiles]]&lt;=p_dias_backlog_max))</f>
        <v/>
      </c>
      <c r="AG289" s="4" t="n"/>
      <c r="AH2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89" s="18">
        <f>IF(tblOrdenes[[#This Row],[orden]]="","",_xlfn.XLOOKUP(tblOrdenes[[#This Row],[id_operacion]],tblEjecucion[id_operacion],tblEjecucion[precio],0))</f>
        <v/>
      </c>
      <c r="AL289" s="18">
        <f>IF(tblOrdenes[[#This Row],[orden]]="","",MAX(0,_xlfn.XLOOKUP(tblOrdenes[[#This Row],[id_operacion]],tblEjecucion[id_operacion],tblEjecucion[costo_plan_total],0)-tblOrdenes[[#This Row],[costo_servicio]]))</f>
        <v/>
      </c>
      <c r="AM289" s="18">
        <f>IF(tblOrdenes[[#This Row],[orden]]="","",tblOrdenes[[#This Row],[costo_servicio]]+tblOrdenes[[#This Row],[costo_materiales]])</f>
        <v/>
      </c>
      <c r="AN2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89" s="4" t="n"/>
      <c r="AP289" s="4" t="n"/>
      <c r="AQ289" s="4" t="n"/>
      <c r="AR289" s="5">
        <f>IF(tblOrdenes[[#This Row],[link_checklist]]="","",HYPERLINK(p_ruta_base_checklists&amp;tblOrdenes[[#This Row],[link_checklist]],"abrir"))</f>
        <v/>
      </c>
      <c r="AS289" s="4" t="n"/>
      <c r="AT289" s="5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22" t="n"/>
      <c r="K290" s="5" t="n"/>
      <c r="L290" s="18" t="n"/>
      <c r="M2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5">
        <f>IF(tblOrdenes[[#This Row],[fecha_inicio]]="","",YEAR(tblOrdenes[[#This Row],[fecha_inicio]]))</f>
        <v/>
      </c>
      <c r="Q290" s="5">
        <f>IF(tblOrdenes[[#This Row],[fecha_inicio]]="","",MONTH(tblOrdenes[[#This Row],[fecha_inicio]]))</f>
        <v/>
      </c>
      <c r="R290" s="5">
        <f>IF(tblOrdenes[[#This Row],[fecha_inicio]]="","",tblOrdenes[[#This Row],[anio]]&amp;"-"&amp;TEXT(tblOrdenes[[#This Row],[mes]],"00"))</f>
        <v/>
      </c>
      <c r="S290" s="5">
        <f>IF(tblOrdenes[[#This Row],[fecha_inicio]]="","",INDEX(lista_dias,WEEKDAY(tblOrdenes[[#This Row],[fecha_inicio]],2)))</f>
        <v/>
      </c>
      <c r="T2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0" s="5">
        <f>IF(tblOrdenes[[#This Row],[tipo_ot]]="","",_xlfn.XLOOKUP(tblOrdenes[[#This Row],[tipo_ot]],tblTiposOT[codigo],tblTiposOT[clasificacion],"sin_clasificar"))</f>
        <v/>
      </c>
      <c r="V2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0" s="5">
        <f>IF(tblOrdenes[[#This Row],[centro_costo]]="","",_xlfn.XLOOKUP(tblOrdenes[[#This Row],[centro_costo]],tblCECO[codigo],tblCECO[linea],"(sin catálogo)"))</f>
        <v/>
      </c>
      <c r="X290" s="5">
        <f>IF(tblOrdenes[[#This Row],[centro_costo]]="","",_xlfn.XLOOKUP(tblOrdenes[[#This Row],[centro_costo]],tblCECO[codigo],tblCECO[area],"(sin catálogo)"))</f>
        <v/>
      </c>
      <c r="Y2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0" s="5">
        <f>IF(tblOrdenes[[#This Row],[centro_costo]]="","",_xlfn.XLOOKUP(tblOrdenes[[#This Row],[centro_costo]],tblCECO[codigo],tblCECO[coordinador],"(sin catálogo)"))</f>
        <v/>
      </c>
      <c r="AA290" s="5">
        <f>IF(tblOrdenes[[#This Row],[puesto_trabajo]]="","",_xlfn.XLOOKUP(tblOrdenes[[#This Row],[puesto_trabajo]],tblPuestos[codigo],tblPuestos[especialidad],"(sin catálogo)"))</f>
        <v/>
      </c>
      <c r="AB290" s="5">
        <f>IF(tblOrdenes[[#This Row],[cod_actividad]]="","",_xlfn.XLOOKUP(tblOrdenes[[#This Row],[cod_actividad]],tblActividades[codigo],tblActividades[descripcion],"(sin catálogo)"))</f>
        <v/>
      </c>
      <c r="AC290" s="20">
        <f>IF(tblOrdenes[[#This Row],[fecha_inicio]]="","",TODAY()-tblOrdenes[[#This Row],[fecha_inicio]])</f>
        <v/>
      </c>
      <c r="AD2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0" s="5">
        <f>IF(tblOrdenes[[#This Row],[backlog_habiles]]="","",IF(tblOrdenes[[#This Row],[backlog_habiles]]&lt;0,"FUTURO",IF(tblOrdenes[[#This Row],[backlog_habiles]]&gt;p_dias_backlog_max,"BACKLOG","MES CORRIENTE")))</f>
        <v/>
      </c>
      <c r="AF290" s="5">
        <f>IF(tblOrdenes[[#This Row],[backlog_habiles]]="",FALSE,AND(tblOrdenes[[#This Row],[backlog_habiles]]&gt;p_dias_backlog_min,tblOrdenes[[#This Row],[backlog_habiles]]&lt;=p_dias_backlog_max))</f>
        <v/>
      </c>
      <c r="AG290" s="4" t="n"/>
      <c r="AH2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0" s="18">
        <f>IF(tblOrdenes[[#This Row],[orden]]="","",_xlfn.XLOOKUP(tblOrdenes[[#This Row],[id_operacion]],tblEjecucion[id_operacion],tblEjecucion[precio],0))</f>
        <v/>
      </c>
      <c r="AL290" s="18">
        <f>IF(tblOrdenes[[#This Row],[orden]]="","",MAX(0,_xlfn.XLOOKUP(tblOrdenes[[#This Row],[id_operacion]],tblEjecucion[id_operacion],tblEjecucion[costo_plan_total],0)-tblOrdenes[[#This Row],[costo_servicio]]))</f>
        <v/>
      </c>
      <c r="AM290" s="18">
        <f>IF(tblOrdenes[[#This Row],[orden]]="","",tblOrdenes[[#This Row],[costo_servicio]]+tblOrdenes[[#This Row],[costo_materiales]])</f>
        <v/>
      </c>
      <c r="AN2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0" s="4" t="n"/>
      <c r="AP290" s="4" t="n"/>
      <c r="AQ290" s="4" t="n"/>
      <c r="AR290" s="5">
        <f>IF(tblOrdenes[[#This Row],[link_checklist]]="","",HYPERLINK(p_ruta_base_checklists&amp;tblOrdenes[[#This Row],[link_checklist]],"abrir"))</f>
        <v/>
      </c>
      <c r="AS290" s="4" t="n"/>
      <c r="AT290" s="5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22" t="n"/>
      <c r="K291" s="5" t="n"/>
      <c r="L291" s="18" t="n"/>
      <c r="M2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5">
        <f>IF(tblOrdenes[[#This Row],[fecha_inicio]]="","",YEAR(tblOrdenes[[#This Row],[fecha_inicio]]))</f>
        <v/>
      </c>
      <c r="Q291" s="5">
        <f>IF(tblOrdenes[[#This Row],[fecha_inicio]]="","",MONTH(tblOrdenes[[#This Row],[fecha_inicio]]))</f>
        <v/>
      </c>
      <c r="R291" s="5">
        <f>IF(tblOrdenes[[#This Row],[fecha_inicio]]="","",tblOrdenes[[#This Row],[anio]]&amp;"-"&amp;TEXT(tblOrdenes[[#This Row],[mes]],"00"))</f>
        <v/>
      </c>
      <c r="S291" s="5">
        <f>IF(tblOrdenes[[#This Row],[fecha_inicio]]="","",INDEX(lista_dias,WEEKDAY(tblOrdenes[[#This Row],[fecha_inicio]],2)))</f>
        <v/>
      </c>
      <c r="T2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1" s="5">
        <f>IF(tblOrdenes[[#This Row],[tipo_ot]]="","",_xlfn.XLOOKUP(tblOrdenes[[#This Row],[tipo_ot]],tblTiposOT[codigo],tblTiposOT[clasificacion],"sin_clasificar"))</f>
        <v/>
      </c>
      <c r="V2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1" s="5">
        <f>IF(tblOrdenes[[#This Row],[centro_costo]]="","",_xlfn.XLOOKUP(tblOrdenes[[#This Row],[centro_costo]],tblCECO[codigo],tblCECO[linea],"(sin catálogo)"))</f>
        <v/>
      </c>
      <c r="X291" s="5">
        <f>IF(tblOrdenes[[#This Row],[centro_costo]]="","",_xlfn.XLOOKUP(tblOrdenes[[#This Row],[centro_costo]],tblCECO[codigo],tblCECO[area],"(sin catálogo)"))</f>
        <v/>
      </c>
      <c r="Y2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1" s="5">
        <f>IF(tblOrdenes[[#This Row],[centro_costo]]="","",_xlfn.XLOOKUP(tblOrdenes[[#This Row],[centro_costo]],tblCECO[codigo],tblCECO[coordinador],"(sin catálogo)"))</f>
        <v/>
      </c>
      <c r="AA291" s="5">
        <f>IF(tblOrdenes[[#This Row],[puesto_trabajo]]="","",_xlfn.XLOOKUP(tblOrdenes[[#This Row],[puesto_trabajo]],tblPuestos[codigo],tblPuestos[especialidad],"(sin catálogo)"))</f>
        <v/>
      </c>
      <c r="AB291" s="5">
        <f>IF(tblOrdenes[[#This Row],[cod_actividad]]="","",_xlfn.XLOOKUP(tblOrdenes[[#This Row],[cod_actividad]],tblActividades[codigo],tblActividades[descripcion],"(sin catálogo)"))</f>
        <v/>
      </c>
      <c r="AC291" s="20">
        <f>IF(tblOrdenes[[#This Row],[fecha_inicio]]="","",TODAY()-tblOrdenes[[#This Row],[fecha_inicio]])</f>
        <v/>
      </c>
      <c r="AD2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1" s="5">
        <f>IF(tblOrdenes[[#This Row],[backlog_habiles]]="","",IF(tblOrdenes[[#This Row],[backlog_habiles]]&lt;0,"FUTURO",IF(tblOrdenes[[#This Row],[backlog_habiles]]&gt;p_dias_backlog_max,"BACKLOG","MES CORRIENTE")))</f>
        <v/>
      </c>
      <c r="AF291" s="5">
        <f>IF(tblOrdenes[[#This Row],[backlog_habiles]]="",FALSE,AND(tblOrdenes[[#This Row],[backlog_habiles]]&gt;p_dias_backlog_min,tblOrdenes[[#This Row],[backlog_habiles]]&lt;=p_dias_backlog_max))</f>
        <v/>
      </c>
      <c r="AG291" s="4" t="n"/>
      <c r="AH2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1" s="18">
        <f>IF(tblOrdenes[[#This Row],[orden]]="","",_xlfn.XLOOKUP(tblOrdenes[[#This Row],[id_operacion]],tblEjecucion[id_operacion],tblEjecucion[precio],0))</f>
        <v/>
      </c>
      <c r="AL291" s="18">
        <f>IF(tblOrdenes[[#This Row],[orden]]="","",MAX(0,_xlfn.XLOOKUP(tblOrdenes[[#This Row],[id_operacion]],tblEjecucion[id_operacion],tblEjecucion[costo_plan_total],0)-tblOrdenes[[#This Row],[costo_servicio]]))</f>
        <v/>
      </c>
      <c r="AM291" s="18">
        <f>IF(tblOrdenes[[#This Row],[orden]]="","",tblOrdenes[[#This Row],[costo_servicio]]+tblOrdenes[[#This Row],[costo_materiales]])</f>
        <v/>
      </c>
      <c r="AN2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1" s="4" t="n"/>
      <c r="AP291" s="4" t="n"/>
      <c r="AQ291" s="4" t="n"/>
      <c r="AR291" s="5">
        <f>IF(tblOrdenes[[#This Row],[link_checklist]]="","",HYPERLINK(p_ruta_base_checklists&amp;tblOrdenes[[#This Row],[link_checklist]],"abrir"))</f>
        <v/>
      </c>
      <c r="AS291" s="4" t="n"/>
      <c r="AT291" s="5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22" t="n"/>
      <c r="K292" s="5" t="n"/>
      <c r="L292" s="18" t="n"/>
      <c r="M2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5">
        <f>IF(tblOrdenes[[#This Row],[fecha_inicio]]="","",YEAR(tblOrdenes[[#This Row],[fecha_inicio]]))</f>
        <v/>
      </c>
      <c r="Q292" s="5">
        <f>IF(tblOrdenes[[#This Row],[fecha_inicio]]="","",MONTH(tblOrdenes[[#This Row],[fecha_inicio]]))</f>
        <v/>
      </c>
      <c r="R292" s="5">
        <f>IF(tblOrdenes[[#This Row],[fecha_inicio]]="","",tblOrdenes[[#This Row],[anio]]&amp;"-"&amp;TEXT(tblOrdenes[[#This Row],[mes]],"00"))</f>
        <v/>
      </c>
      <c r="S292" s="5">
        <f>IF(tblOrdenes[[#This Row],[fecha_inicio]]="","",INDEX(lista_dias,WEEKDAY(tblOrdenes[[#This Row],[fecha_inicio]],2)))</f>
        <v/>
      </c>
      <c r="T2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2" s="5">
        <f>IF(tblOrdenes[[#This Row],[tipo_ot]]="","",_xlfn.XLOOKUP(tblOrdenes[[#This Row],[tipo_ot]],tblTiposOT[codigo],tblTiposOT[clasificacion],"sin_clasificar"))</f>
        <v/>
      </c>
      <c r="V2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2" s="5">
        <f>IF(tblOrdenes[[#This Row],[centro_costo]]="","",_xlfn.XLOOKUP(tblOrdenes[[#This Row],[centro_costo]],tblCECO[codigo],tblCECO[linea],"(sin catálogo)"))</f>
        <v/>
      </c>
      <c r="X292" s="5">
        <f>IF(tblOrdenes[[#This Row],[centro_costo]]="","",_xlfn.XLOOKUP(tblOrdenes[[#This Row],[centro_costo]],tblCECO[codigo],tblCECO[area],"(sin catálogo)"))</f>
        <v/>
      </c>
      <c r="Y2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2" s="5">
        <f>IF(tblOrdenes[[#This Row],[centro_costo]]="","",_xlfn.XLOOKUP(tblOrdenes[[#This Row],[centro_costo]],tblCECO[codigo],tblCECO[coordinador],"(sin catálogo)"))</f>
        <v/>
      </c>
      <c r="AA292" s="5">
        <f>IF(tblOrdenes[[#This Row],[puesto_trabajo]]="","",_xlfn.XLOOKUP(tblOrdenes[[#This Row],[puesto_trabajo]],tblPuestos[codigo],tblPuestos[especialidad],"(sin catálogo)"))</f>
        <v/>
      </c>
      <c r="AB292" s="5">
        <f>IF(tblOrdenes[[#This Row],[cod_actividad]]="","",_xlfn.XLOOKUP(tblOrdenes[[#This Row],[cod_actividad]],tblActividades[codigo],tblActividades[descripcion],"(sin catálogo)"))</f>
        <v/>
      </c>
      <c r="AC292" s="20">
        <f>IF(tblOrdenes[[#This Row],[fecha_inicio]]="","",TODAY()-tblOrdenes[[#This Row],[fecha_inicio]])</f>
        <v/>
      </c>
      <c r="AD2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2" s="5">
        <f>IF(tblOrdenes[[#This Row],[backlog_habiles]]="","",IF(tblOrdenes[[#This Row],[backlog_habiles]]&lt;0,"FUTURO",IF(tblOrdenes[[#This Row],[backlog_habiles]]&gt;p_dias_backlog_max,"BACKLOG","MES CORRIENTE")))</f>
        <v/>
      </c>
      <c r="AF292" s="5">
        <f>IF(tblOrdenes[[#This Row],[backlog_habiles]]="",FALSE,AND(tblOrdenes[[#This Row],[backlog_habiles]]&gt;p_dias_backlog_min,tblOrdenes[[#This Row],[backlog_habiles]]&lt;=p_dias_backlog_max))</f>
        <v/>
      </c>
      <c r="AG292" s="4" t="n"/>
      <c r="AH2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2" s="18">
        <f>IF(tblOrdenes[[#This Row],[orden]]="","",_xlfn.XLOOKUP(tblOrdenes[[#This Row],[id_operacion]],tblEjecucion[id_operacion],tblEjecucion[precio],0))</f>
        <v/>
      </c>
      <c r="AL292" s="18">
        <f>IF(tblOrdenes[[#This Row],[orden]]="","",MAX(0,_xlfn.XLOOKUP(tblOrdenes[[#This Row],[id_operacion]],tblEjecucion[id_operacion],tblEjecucion[costo_plan_total],0)-tblOrdenes[[#This Row],[costo_servicio]]))</f>
        <v/>
      </c>
      <c r="AM292" s="18">
        <f>IF(tblOrdenes[[#This Row],[orden]]="","",tblOrdenes[[#This Row],[costo_servicio]]+tblOrdenes[[#This Row],[costo_materiales]])</f>
        <v/>
      </c>
      <c r="AN2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2" s="4" t="n"/>
      <c r="AP292" s="4" t="n"/>
      <c r="AQ292" s="4" t="n"/>
      <c r="AR292" s="5">
        <f>IF(tblOrdenes[[#This Row],[link_checklist]]="","",HYPERLINK(p_ruta_base_checklists&amp;tblOrdenes[[#This Row],[link_checklist]],"abrir"))</f>
        <v/>
      </c>
      <c r="AS292" s="4" t="n"/>
      <c r="AT292" s="5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22" t="n"/>
      <c r="K293" s="5" t="n"/>
      <c r="L293" s="18" t="n"/>
      <c r="M2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5">
        <f>IF(tblOrdenes[[#This Row],[fecha_inicio]]="","",YEAR(tblOrdenes[[#This Row],[fecha_inicio]]))</f>
        <v/>
      </c>
      <c r="Q293" s="5">
        <f>IF(tblOrdenes[[#This Row],[fecha_inicio]]="","",MONTH(tblOrdenes[[#This Row],[fecha_inicio]]))</f>
        <v/>
      </c>
      <c r="R293" s="5">
        <f>IF(tblOrdenes[[#This Row],[fecha_inicio]]="","",tblOrdenes[[#This Row],[anio]]&amp;"-"&amp;TEXT(tblOrdenes[[#This Row],[mes]],"00"))</f>
        <v/>
      </c>
      <c r="S293" s="5">
        <f>IF(tblOrdenes[[#This Row],[fecha_inicio]]="","",INDEX(lista_dias,WEEKDAY(tblOrdenes[[#This Row],[fecha_inicio]],2)))</f>
        <v/>
      </c>
      <c r="T2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3" s="5">
        <f>IF(tblOrdenes[[#This Row],[tipo_ot]]="","",_xlfn.XLOOKUP(tblOrdenes[[#This Row],[tipo_ot]],tblTiposOT[codigo],tblTiposOT[clasificacion],"sin_clasificar"))</f>
        <v/>
      </c>
      <c r="V2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3" s="5">
        <f>IF(tblOrdenes[[#This Row],[centro_costo]]="","",_xlfn.XLOOKUP(tblOrdenes[[#This Row],[centro_costo]],tblCECO[codigo],tblCECO[linea],"(sin catálogo)"))</f>
        <v/>
      </c>
      <c r="X293" s="5">
        <f>IF(tblOrdenes[[#This Row],[centro_costo]]="","",_xlfn.XLOOKUP(tblOrdenes[[#This Row],[centro_costo]],tblCECO[codigo],tblCECO[area],"(sin catálogo)"))</f>
        <v/>
      </c>
      <c r="Y2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3" s="5">
        <f>IF(tblOrdenes[[#This Row],[centro_costo]]="","",_xlfn.XLOOKUP(tblOrdenes[[#This Row],[centro_costo]],tblCECO[codigo],tblCECO[coordinador],"(sin catálogo)"))</f>
        <v/>
      </c>
      <c r="AA293" s="5">
        <f>IF(tblOrdenes[[#This Row],[puesto_trabajo]]="","",_xlfn.XLOOKUP(tblOrdenes[[#This Row],[puesto_trabajo]],tblPuestos[codigo],tblPuestos[especialidad],"(sin catálogo)"))</f>
        <v/>
      </c>
      <c r="AB293" s="5">
        <f>IF(tblOrdenes[[#This Row],[cod_actividad]]="","",_xlfn.XLOOKUP(tblOrdenes[[#This Row],[cod_actividad]],tblActividades[codigo],tblActividades[descripcion],"(sin catálogo)"))</f>
        <v/>
      </c>
      <c r="AC293" s="20">
        <f>IF(tblOrdenes[[#This Row],[fecha_inicio]]="","",TODAY()-tblOrdenes[[#This Row],[fecha_inicio]])</f>
        <v/>
      </c>
      <c r="AD2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3" s="5">
        <f>IF(tblOrdenes[[#This Row],[backlog_habiles]]="","",IF(tblOrdenes[[#This Row],[backlog_habiles]]&lt;0,"FUTURO",IF(tblOrdenes[[#This Row],[backlog_habiles]]&gt;p_dias_backlog_max,"BACKLOG","MES CORRIENTE")))</f>
        <v/>
      </c>
      <c r="AF293" s="5">
        <f>IF(tblOrdenes[[#This Row],[backlog_habiles]]="",FALSE,AND(tblOrdenes[[#This Row],[backlog_habiles]]&gt;p_dias_backlog_min,tblOrdenes[[#This Row],[backlog_habiles]]&lt;=p_dias_backlog_max))</f>
        <v/>
      </c>
      <c r="AG293" s="4" t="n"/>
      <c r="AH2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3" s="18">
        <f>IF(tblOrdenes[[#This Row],[orden]]="","",_xlfn.XLOOKUP(tblOrdenes[[#This Row],[id_operacion]],tblEjecucion[id_operacion],tblEjecucion[precio],0))</f>
        <v/>
      </c>
      <c r="AL293" s="18">
        <f>IF(tblOrdenes[[#This Row],[orden]]="","",MAX(0,_xlfn.XLOOKUP(tblOrdenes[[#This Row],[id_operacion]],tblEjecucion[id_operacion],tblEjecucion[costo_plan_total],0)-tblOrdenes[[#This Row],[costo_servicio]]))</f>
        <v/>
      </c>
      <c r="AM293" s="18">
        <f>IF(tblOrdenes[[#This Row],[orden]]="","",tblOrdenes[[#This Row],[costo_servicio]]+tblOrdenes[[#This Row],[costo_materiales]])</f>
        <v/>
      </c>
      <c r="AN2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3" s="4" t="n"/>
      <c r="AP293" s="4" t="n"/>
      <c r="AQ293" s="4" t="n"/>
      <c r="AR293" s="5">
        <f>IF(tblOrdenes[[#This Row],[link_checklist]]="","",HYPERLINK(p_ruta_base_checklists&amp;tblOrdenes[[#This Row],[link_checklist]],"abrir"))</f>
        <v/>
      </c>
      <c r="AS293" s="4" t="n"/>
      <c r="AT293" s="5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22" t="n"/>
      <c r="K294" s="5" t="n"/>
      <c r="L294" s="18" t="n"/>
      <c r="M2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5">
        <f>IF(tblOrdenes[[#This Row],[fecha_inicio]]="","",YEAR(tblOrdenes[[#This Row],[fecha_inicio]]))</f>
        <v/>
      </c>
      <c r="Q294" s="5">
        <f>IF(tblOrdenes[[#This Row],[fecha_inicio]]="","",MONTH(tblOrdenes[[#This Row],[fecha_inicio]]))</f>
        <v/>
      </c>
      <c r="R294" s="5">
        <f>IF(tblOrdenes[[#This Row],[fecha_inicio]]="","",tblOrdenes[[#This Row],[anio]]&amp;"-"&amp;TEXT(tblOrdenes[[#This Row],[mes]],"00"))</f>
        <v/>
      </c>
      <c r="S294" s="5">
        <f>IF(tblOrdenes[[#This Row],[fecha_inicio]]="","",INDEX(lista_dias,WEEKDAY(tblOrdenes[[#This Row],[fecha_inicio]],2)))</f>
        <v/>
      </c>
      <c r="T2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4" s="5">
        <f>IF(tblOrdenes[[#This Row],[tipo_ot]]="","",_xlfn.XLOOKUP(tblOrdenes[[#This Row],[tipo_ot]],tblTiposOT[codigo],tblTiposOT[clasificacion],"sin_clasificar"))</f>
        <v/>
      </c>
      <c r="V2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4" s="5">
        <f>IF(tblOrdenes[[#This Row],[centro_costo]]="","",_xlfn.XLOOKUP(tblOrdenes[[#This Row],[centro_costo]],tblCECO[codigo],tblCECO[linea],"(sin catálogo)"))</f>
        <v/>
      </c>
      <c r="X294" s="5">
        <f>IF(tblOrdenes[[#This Row],[centro_costo]]="","",_xlfn.XLOOKUP(tblOrdenes[[#This Row],[centro_costo]],tblCECO[codigo],tblCECO[area],"(sin catálogo)"))</f>
        <v/>
      </c>
      <c r="Y2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4" s="5">
        <f>IF(tblOrdenes[[#This Row],[centro_costo]]="","",_xlfn.XLOOKUP(tblOrdenes[[#This Row],[centro_costo]],tblCECO[codigo],tblCECO[coordinador],"(sin catálogo)"))</f>
        <v/>
      </c>
      <c r="AA294" s="5">
        <f>IF(tblOrdenes[[#This Row],[puesto_trabajo]]="","",_xlfn.XLOOKUP(tblOrdenes[[#This Row],[puesto_trabajo]],tblPuestos[codigo],tblPuestos[especialidad],"(sin catálogo)"))</f>
        <v/>
      </c>
      <c r="AB294" s="5">
        <f>IF(tblOrdenes[[#This Row],[cod_actividad]]="","",_xlfn.XLOOKUP(tblOrdenes[[#This Row],[cod_actividad]],tblActividades[codigo],tblActividades[descripcion],"(sin catálogo)"))</f>
        <v/>
      </c>
      <c r="AC294" s="20">
        <f>IF(tblOrdenes[[#This Row],[fecha_inicio]]="","",TODAY()-tblOrdenes[[#This Row],[fecha_inicio]])</f>
        <v/>
      </c>
      <c r="AD2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4" s="5">
        <f>IF(tblOrdenes[[#This Row],[backlog_habiles]]="","",IF(tblOrdenes[[#This Row],[backlog_habiles]]&lt;0,"FUTURO",IF(tblOrdenes[[#This Row],[backlog_habiles]]&gt;p_dias_backlog_max,"BACKLOG","MES CORRIENTE")))</f>
        <v/>
      </c>
      <c r="AF294" s="5">
        <f>IF(tblOrdenes[[#This Row],[backlog_habiles]]="",FALSE,AND(tblOrdenes[[#This Row],[backlog_habiles]]&gt;p_dias_backlog_min,tblOrdenes[[#This Row],[backlog_habiles]]&lt;=p_dias_backlog_max))</f>
        <v/>
      </c>
      <c r="AG294" s="4" t="n"/>
      <c r="AH2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4" s="18">
        <f>IF(tblOrdenes[[#This Row],[orden]]="","",_xlfn.XLOOKUP(tblOrdenes[[#This Row],[id_operacion]],tblEjecucion[id_operacion],tblEjecucion[precio],0))</f>
        <v/>
      </c>
      <c r="AL294" s="18">
        <f>IF(tblOrdenes[[#This Row],[orden]]="","",MAX(0,_xlfn.XLOOKUP(tblOrdenes[[#This Row],[id_operacion]],tblEjecucion[id_operacion],tblEjecucion[costo_plan_total],0)-tblOrdenes[[#This Row],[costo_servicio]]))</f>
        <v/>
      </c>
      <c r="AM294" s="18">
        <f>IF(tblOrdenes[[#This Row],[orden]]="","",tblOrdenes[[#This Row],[costo_servicio]]+tblOrdenes[[#This Row],[costo_materiales]])</f>
        <v/>
      </c>
      <c r="AN2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4" s="4" t="n"/>
      <c r="AP294" s="4" t="n"/>
      <c r="AQ294" s="4" t="n"/>
      <c r="AR294" s="5">
        <f>IF(tblOrdenes[[#This Row],[link_checklist]]="","",HYPERLINK(p_ruta_base_checklists&amp;tblOrdenes[[#This Row],[link_checklist]],"abrir"))</f>
        <v/>
      </c>
      <c r="AS294" s="4" t="n"/>
      <c r="AT294" s="5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22" t="n"/>
      <c r="K295" s="5" t="n"/>
      <c r="L295" s="18" t="n"/>
      <c r="M2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5">
        <f>IF(tblOrdenes[[#This Row],[fecha_inicio]]="","",YEAR(tblOrdenes[[#This Row],[fecha_inicio]]))</f>
        <v/>
      </c>
      <c r="Q295" s="5">
        <f>IF(tblOrdenes[[#This Row],[fecha_inicio]]="","",MONTH(tblOrdenes[[#This Row],[fecha_inicio]]))</f>
        <v/>
      </c>
      <c r="R295" s="5">
        <f>IF(tblOrdenes[[#This Row],[fecha_inicio]]="","",tblOrdenes[[#This Row],[anio]]&amp;"-"&amp;TEXT(tblOrdenes[[#This Row],[mes]],"00"))</f>
        <v/>
      </c>
      <c r="S295" s="5">
        <f>IF(tblOrdenes[[#This Row],[fecha_inicio]]="","",INDEX(lista_dias,WEEKDAY(tblOrdenes[[#This Row],[fecha_inicio]],2)))</f>
        <v/>
      </c>
      <c r="T2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5" s="5">
        <f>IF(tblOrdenes[[#This Row],[tipo_ot]]="","",_xlfn.XLOOKUP(tblOrdenes[[#This Row],[tipo_ot]],tblTiposOT[codigo],tblTiposOT[clasificacion],"sin_clasificar"))</f>
        <v/>
      </c>
      <c r="V2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5" s="5">
        <f>IF(tblOrdenes[[#This Row],[centro_costo]]="","",_xlfn.XLOOKUP(tblOrdenes[[#This Row],[centro_costo]],tblCECO[codigo],tblCECO[linea],"(sin catálogo)"))</f>
        <v/>
      </c>
      <c r="X295" s="5">
        <f>IF(tblOrdenes[[#This Row],[centro_costo]]="","",_xlfn.XLOOKUP(tblOrdenes[[#This Row],[centro_costo]],tblCECO[codigo],tblCECO[area],"(sin catálogo)"))</f>
        <v/>
      </c>
      <c r="Y2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5" s="5">
        <f>IF(tblOrdenes[[#This Row],[centro_costo]]="","",_xlfn.XLOOKUP(tblOrdenes[[#This Row],[centro_costo]],tblCECO[codigo],tblCECO[coordinador],"(sin catálogo)"))</f>
        <v/>
      </c>
      <c r="AA295" s="5">
        <f>IF(tblOrdenes[[#This Row],[puesto_trabajo]]="","",_xlfn.XLOOKUP(tblOrdenes[[#This Row],[puesto_trabajo]],tblPuestos[codigo],tblPuestos[especialidad],"(sin catálogo)"))</f>
        <v/>
      </c>
      <c r="AB295" s="5">
        <f>IF(tblOrdenes[[#This Row],[cod_actividad]]="","",_xlfn.XLOOKUP(tblOrdenes[[#This Row],[cod_actividad]],tblActividades[codigo],tblActividades[descripcion],"(sin catálogo)"))</f>
        <v/>
      </c>
      <c r="AC295" s="20">
        <f>IF(tblOrdenes[[#This Row],[fecha_inicio]]="","",TODAY()-tblOrdenes[[#This Row],[fecha_inicio]])</f>
        <v/>
      </c>
      <c r="AD2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5" s="5">
        <f>IF(tblOrdenes[[#This Row],[backlog_habiles]]="","",IF(tblOrdenes[[#This Row],[backlog_habiles]]&lt;0,"FUTURO",IF(tblOrdenes[[#This Row],[backlog_habiles]]&gt;p_dias_backlog_max,"BACKLOG","MES CORRIENTE")))</f>
        <v/>
      </c>
      <c r="AF295" s="5">
        <f>IF(tblOrdenes[[#This Row],[backlog_habiles]]="",FALSE,AND(tblOrdenes[[#This Row],[backlog_habiles]]&gt;p_dias_backlog_min,tblOrdenes[[#This Row],[backlog_habiles]]&lt;=p_dias_backlog_max))</f>
        <v/>
      </c>
      <c r="AG295" s="4" t="n"/>
      <c r="AH2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5" s="18">
        <f>IF(tblOrdenes[[#This Row],[orden]]="","",_xlfn.XLOOKUP(tblOrdenes[[#This Row],[id_operacion]],tblEjecucion[id_operacion],tblEjecucion[precio],0))</f>
        <v/>
      </c>
      <c r="AL295" s="18">
        <f>IF(tblOrdenes[[#This Row],[orden]]="","",MAX(0,_xlfn.XLOOKUP(tblOrdenes[[#This Row],[id_operacion]],tblEjecucion[id_operacion],tblEjecucion[costo_plan_total],0)-tblOrdenes[[#This Row],[costo_servicio]]))</f>
        <v/>
      </c>
      <c r="AM295" s="18">
        <f>IF(tblOrdenes[[#This Row],[orden]]="","",tblOrdenes[[#This Row],[costo_servicio]]+tblOrdenes[[#This Row],[costo_materiales]])</f>
        <v/>
      </c>
      <c r="AN2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5" s="4" t="n"/>
      <c r="AP295" s="4" t="n"/>
      <c r="AQ295" s="4" t="n"/>
      <c r="AR295" s="5">
        <f>IF(tblOrdenes[[#This Row],[link_checklist]]="","",HYPERLINK(p_ruta_base_checklists&amp;tblOrdenes[[#This Row],[link_checklist]],"abrir"))</f>
        <v/>
      </c>
      <c r="AS295" s="4" t="n"/>
      <c r="AT295" s="5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22" t="n"/>
      <c r="K296" s="5" t="n"/>
      <c r="L296" s="18" t="n"/>
      <c r="M2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5">
        <f>IF(tblOrdenes[[#This Row],[fecha_inicio]]="","",YEAR(tblOrdenes[[#This Row],[fecha_inicio]]))</f>
        <v/>
      </c>
      <c r="Q296" s="5">
        <f>IF(tblOrdenes[[#This Row],[fecha_inicio]]="","",MONTH(tblOrdenes[[#This Row],[fecha_inicio]]))</f>
        <v/>
      </c>
      <c r="R296" s="5">
        <f>IF(tblOrdenes[[#This Row],[fecha_inicio]]="","",tblOrdenes[[#This Row],[anio]]&amp;"-"&amp;TEXT(tblOrdenes[[#This Row],[mes]],"00"))</f>
        <v/>
      </c>
      <c r="S296" s="5">
        <f>IF(tblOrdenes[[#This Row],[fecha_inicio]]="","",INDEX(lista_dias,WEEKDAY(tblOrdenes[[#This Row],[fecha_inicio]],2)))</f>
        <v/>
      </c>
      <c r="T2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6" s="5">
        <f>IF(tblOrdenes[[#This Row],[tipo_ot]]="","",_xlfn.XLOOKUP(tblOrdenes[[#This Row],[tipo_ot]],tblTiposOT[codigo],tblTiposOT[clasificacion],"sin_clasificar"))</f>
        <v/>
      </c>
      <c r="V2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6" s="5">
        <f>IF(tblOrdenes[[#This Row],[centro_costo]]="","",_xlfn.XLOOKUP(tblOrdenes[[#This Row],[centro_costo]],tblCECO[codigo],tblCECO[linea],"(sin catálogo)"))</f>
        <v/>
      </c>
      <c r="X296" s="5">
        <f>IF(tblOrdenes[[#This Row],[centro_costo]]="","",_xlfn.XLOOKUP(tblOrdenes[[#This Row],[centro_costo]],tblCECO[codigo],tblCECO[area],"(sin catálogo)"))</f>
        <v/>
      </c>
      <c r="Y2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6" s="5">
        <f>IF(tblOrdenes[[#This Row],[centro_costo]]="","",_xlfn.XLOOKUP(tblOrdenes[[#This Row],[centro_costo]],tblCECO[codigo],tblCECO[coordinador],"(sin catálogo)"))</f>
        <v/>
      </c>
      <c r="AA296" s="5">
        <f>IF(tblOrdenes[[#This Row],[puesto_trabajo]]="","",_xlfn.XLOOKUP(tblOrdenes[[#This Row],[puesto_trabajo]],tblPuestos[codigo],tblPuestos[especialidad],"(sin catálogo)"))</f>
        <v/>
      </c>
      <c r="AB296" s="5">
        <f>IF(tblOrdenes[[#This Row],[cod_actividad]]="","",_xlfn.XLOOKUP(tblOrdenes[[#This Row],[cod_actividad]],tblActividades[codigo],tblActividades[descripcion],"(sin catálogo)"))</f>
        <v/>
      </c>
      <c r="AC296" s="20">
        <f>IF(tblOrdenes[[#This Row],[fecha_inicio]]="","",TODAY()-tblOrdenes[[#This Row],[fecha_inicio]])</f>
        <v/>
      </c>
      <c r="AD2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6" s="5">
        <f>IF(tblOrdenes[[#This Row],[backlog_habiles]]="","",IF(tblOrdenes[[#This Row],[backlog_habiles]]&lt;0,"FUTURO",IF(tblOrdenes[[#This Row],[backlog_habiles]]&gt;p_dias_backlog_max,"BACKLOG","MES CORRIENTE")))</f>
        <v/>
      </c>
      <c r="AF296" s="5">
        <f>IF(tblOrdenes[[#This Row],[backlog_habiles]]="",FALSE,AND(tblOrdenes[[#This Row],[backlog_habiles]]&gt;p_dias_backlog_min,tblOrdenes[[#This Row],[backlog_habiles]]&lt;=p_dias_backlog_max))</f>
        <v/>
      </c>
      <c r="AG296" s="4" t="n"/>
      <c r="AH2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6" s="18">
        <f>IF(tblOrdenes[[#This Row],[orden]]="","",_xlfn.XLOOKUP(tblOrdenes[[#This Row],[id_operacion]],tblEjecucion[id_operacion],tblEjecucion[precio],0))</f>
        <v/>
      </c>
      <c r="AL296" s="18">
        <f>IF(tblOrdenes[[#This Row],[orden]]="","",MAX(0,_xlfn.XLOOKUP(tblOrdenes[[#This Row],[id_operacion]],tblEjecucion[id_operacion],tblEjecucion[costo_plan_total],0)-tblOrdenes[[#This Row],[costo_servicio]]))</f>
        <v/>
      </c>
      <c r="AM296" s="18">
        <f>IF(tblOrdenes[[#This Row],[orden]]="","",tblOrdenes[[#This Row],[costo_servicio]]+tblOrdenes[[#This Row],[costo_materiales]])</f>
        <v/>
      </c>
      <c r="AN2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6" s="4" t="n"/>
      <c r="AP296" s="4" t="n"/>
      <c r="AQ296" s="4" t="n"/>
      <c r="AR296" s="5">
        <f>IF(tblOrdenes[[#This Row],[link_checklist]]="","",HYPERLINK(p_ruta_base_checklists&amp;tblOrdenes[[#This Row],[link_checklist]],"abrir"))</f>
        <v/>
      </c>
      <c r="AS296" s="4" t="n"/>
      <c r="AT296" s="5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22" t="n"/>
      <c r="K297" s="5" t="n"/>
      <c r="L297" s="18" t="n"/>
      <c r="M2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5">
        <f>IF(tblOrdenes[[#This Row],[fecha_inicio]]="","",YEAR(tblOrdenes[[#This Row],[fecha_inicio]]))</f>
        <v/>
      </c>
      <c r="Q297" s="5">
        <f>IF(tblOrdenes[[#This Row],[fecha_inicio]]="","",MONTH(tblOrdenes[[#This Row],[fecha_inicio]]))</f>
        <v/>
      </c>
      <c r="R297" s="5">
        <f>IF(tblOrdenes[[#This Row],[fecha_inicio]]="","",tblOrdenes[[#This Row],[anio]]&amp;"-"&amp;TEXT(tblOrdenes[[#This Row],[mes]],"00"))</f>
        <v/>
      </c>
      <c r="S297" s="5">
        <f>IF(tblOrdenes[[#This Row],[fecha_inicio]]="","",INDEX(lista_dias,WEEKDAY(tblOrdenes[[#This Row],[fecha_inicio]],2)))</f>
        <v/>
      </c>
      <c r="T2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7" s="5">
        <f>IF(tblOrdenes[[#This Row],[tipo_ot]]="","",_xlfn.XLOOKUP(tblOrdenes[[#This Row],[tipo_ot]],tblTiposOT[codigo],tblTiposOT[clasificacion],"sin_clasificar"))</f>
        <v/>
      </c>
      <c r="V2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7" s="5">
        <f>IF(tblOrdenes[[#This Row],[centro_costo]]="","",_xlfn.XLOOKUP(tblOrdenes[[#This Row],[centro_costo]],tblCECO[codigo],tblCECO[linea],"(sin catálogo)"))</f>
        <v/>
      </c>
      <c r="X297" s="5">
        <f>IF(tblOrdenes[[#This Row],[centro_costo]]="","",_xlfn.XLOOKUP(tblOrdenes[[#This Row],[centro_costo]],tblCECO[codigo],tblCECO[area],"(sin catálogo)"))</f>
        <v/>
      </c>
      <c r="Y2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7" s="5">
        <f>IF(tblOrdenes[[#This Row],[centro_costo]]="","",_xlfn.XLOOKUP(tblOrdenes[[#This Row],[centro_costo]],tblCECO[codigo],tblCECO[coordinador],"(sin catálogo)"))</f>
        <v/>
      </c>
      <c r="AA297" s="5">
        <f>IF(tblOrdenes[[#This Row],[puesto_trabajo]]="","",_xlfn.XLOOKUP(tblOrdenes[[#This Row],[puesto_trabajo]],tblPuestos[codigo],tblPuestos[especialidad],"(sin catálogo)"))</f>
        <v/>
      </c>
      <c r="AB297" s="5">
        <f>IF(tblOrdenes[[#This Row],[cod_actividad]]="","",_xlfn.XLOOKUP(tblOrdenes[[#This Row],[cod_actividad]],tblActividades[codigo],tblActividades[descripcion],"(sin catálogo)"))</f>
        <v/>
      </c>
      <c r="AC297" s="20">
        <f>IF(tblOrdenes[[#This Row],[fecha_inicio]]="","",TODAY()-tblOrdenes[[#This Row],[fecha_inicio]])</f>
        <v/>
      </c>
      <c r="AD2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7" s="5">
        <f>IF(tblOrdenes[[#This Row],[backlog_habiles]]="","",IF(tblOrdenes[[#This Row],[backlog_habiles]]&lt;0,"FUTURO",IF(tblOrdenes[[#This Row],[backlog_habiles]]&gt;p_dias_backlog_max,"BACKLOG","MES CORRIENTE")))</f>
        <v/>
      </c>
      <c r="AF297" s="5">
        <f>IF(tblOrdenes[[#This Row],[backlog_habiles]]="",FALSE,AND(tblOrdenes[[#This Row],[backlog_habiles]]&gt;p_dias_backlog_min,tblOrdenes[[#This Row],[backlog_habiles]]&lt;=p_dias_backlog_max))</f>
        <v/>
      </c>
      <c r="AG297" s="4" t="n"/>
      <c r="AH2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7" s="18">
        <f>IF(tblOrdenes[[#This Row],[orden]]="","",_xlfn.XLOOKUP(tblOrdenes[[#This Row],[id_operacion]],tblEjecucion[id_operacion],tblEjecucion[precio],0))</f>
        <v/>
      </c>
      <c r="AL297" s="18">
        <f>IF(tblOrdenes[[#This Row],[orden]]="","",MAX(0,_xlfn.XLOOKUP(tblOrdenes[[#This Row],[id_operacion]],tblEjecucion[id_operacion],tblEjecucion[costo_plan_total],0)-tblOrdenes[[#This Row],[costo_servicio]]))</f>
        <v/>
      </c>
      <c r="AM297" s="18">
        <f>IF(tblOrdenes[[#This Row],[orden]]="","",tblOrdenes[[#This Row],[costo_servicio]]+tblOrdenes[[#This Row],[costo_materiales]])</f>
        <v/>
      </c>
      <c r="AN2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7" s="4" t="n"/>
      <c r="AP297" s="4" t="n"/>
      <c r="AQ297" s="4" t="n"/>
      <c r="AR297" s="5">
        <f>IF(tblOrdenes[[#This Row],[link_checklist]]="","",HYPERLINK(p_ruta_base_checklists&amp;tblOrdenes[[#This Row],[link_checklist]],"abrir"))</f>
        <v/>
      </c>
      <c r="AS297" s="4" t="n"/>
      <c r="AT297" s="5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22" t="n"/>
      <c r="K298" s="5" t="n"/>
      <c r="L298" s="18" t="n"/>
      <c r="M2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5">
        <f>IF(tblOrdenes[[#This Row],[fecha_inicio]]="","",YEAR(tblOrdenes[[#This Row],[fecha_inicio]]))</f>
        <v/>
      </c>
      <c r="Q298" s="5">
        <f>IF(tblOrdenes[[#This Row],[fecha_inicio]]="","",MONTH(tblOrdenes[[#This Row],[fecha_inicio]]))</f>
        <v/>
      </c>
      <c r="R298" s="5">
        <f>IF(tblOrdenes[[#This Row],[fecha_inicio]]="","",tblOrdenes[[#This Row],[anio]]&amp;"-"&amp;TEXT(tblOrdenes[[#This Row],[mes]],"00"))</f>
        <v/>
      </c>
      <c r="S298" s="5">
        <f>IF(tblOrdenes[[#This Row],[fecha_inicio]]="","",INDEX(lista_dias,WEEKDAY(tblOrdenes[[#This Row],[fecha_inicio]],2)))</f>
        <v/>
      </c>
      <c r="T2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8" s="5">
        <f>IF(tblOrdenes[[#This Row],[tipo_ot]]="","",_xlfn.XLOOKUP(tblOrdenes[[#This Row],[tipo_ot]],tblTiposOT[codigo],tblTiposOT[clasificacion],"sin_clasificar"))</f>
        <v/>
      </c>
      <c r="V2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8" s="5">
        <f>IF(tblOrdenes[[#This Row],[centro_costo]]="","",_xlfn.XLOOKUP(tblOrdenes[[#This Row],[centro_costo]],tblCECO[codigo],tblCECO[linea],"(sin catálogo)"))</f>
        <v/>
      </c>
      <c r="X298" s="5">
        <f>IF(tblOrdenes[[#This Row],[centro_costo]]="","",_xlfn.XLOOKUP(tblOrdenes[[#This Row],[centro_costo]],tblCECO[codigo],tblCECO[area],"(sin catálogo)"))</f>
        <v/>
      </c>
      <c r="Y2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8" s="5">
        <f>IF(tblOrdenes[[#This Row],[centro_costo]]="","",_xlfn.XLOOKUP(tblOrdenes[[#This Row],[centro_costo]],tblCECO[codigo],tblCECO[coordinador],"(sin catálogo)"))</f>
        <v/>
      </c>
      <c r="AA298" s="5">
        <f>IF(tblOrdenes[[#This Row],[puesto_trabajo]]="","",_xlfn.XLOOKUP(tblOrdenes[[#This Row],[puesto_trabajo]],tblPuestos[codigo],tblPuestos[especialidad],"(sin catálogo)"))</f>
        <v/>
      </c>
      <c r="AB298" s="5">
        <f>IF(tblOrdenes[[#This Row],[cod_actividad]]="","",_xlfn.XLOOKUP(tblOrdenes[[#This Row],[cod_actividad]],tblActividades[codigo],tblActividades[descripcion],"(sin catálogo)"))</f>
        <v/>
      </c>
      <c r="AC298" s="20">
        <f>IF(tblOrdenes[[#This Row],[fecha_inicio]]="","",TODAY()-tblOrdenes[[#This Row],[fecha_inicio]])</f>
        <v/>
      </c>
      <c r="AD2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8" s="5">
        <f>IF(tblOrdenes[[#This Row],[backlog_habiles]]="","",IF(tblOrdenes[[#This Row],[backlog_habiles]]&lt;0,"FUTURO",IF(tblOrdenes[[#This Row],[backlog_habiles]]&gt;p_dias_backlog_max,"BACKLOG","MES CORRIENTE")))</f>
        <v/>
      </c>
      <c r="AF298" s="5">
        <f>IF(tblOrdenes[[#This Row],[backlog_habiles]]="",FALSE,AND(tblOrdenes[[#This Row],[backlog_habiles]]&gt;p_dias_backlog_min,tblOrdenes[[#This Row],[backlog_habiles]]&lt;=p_dias_backlog_max))</f>
        <v/>
      </c>
      <c r="AG298" s="4" t="n"/>
      <c r="AH2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8" s="18">
        <f>IF(tblOrdenes[[#This Row],[orden]]="","",_xlfn.XLOOKUP(tblOrdenes[[#This Row],[id_operacion]],tblEjecucion[id_operacion],tblEjecucion[precio],0))</f>
        <v/>
      </c>
      <c r="AL298" s="18">
        <f>IF(tblOrdenes[[#This Row],[orden]]="","",MAX(0,_xlfn.XLOOKUP(tblOrdenes[[#This Row],[id_operacion]],tblEjecucion[id_operacion],tblEjecucion[costo_plan_total],0)-tblOrdenes[[#This Row],[costo_servicio]]))</f>
        <v/>
      </c>
      <c r="AM298" s="18">
        <f>IF(tblOrdenes[[#This Row],[orden]]="","",tblOrdenes[[#This Row],[costo_servicio]]+tblOrdenes[[#This Row],[costo_materiales]])</f>
        <v/>
      </c>
      <c r="AN2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8" s="4" t="n"/>
      <c r="AP298" s="4" t="n"/>
      <c r="AQ298" s="4" t="n"/>
      <c r="AR298" s="5">
        <f>IF(tblOrdenes[[#This Row],[link_checklist]]="","",HYPERLINK(p_ruta_base_checklists&amp;tblOrdenes[[#This Row],[link_checklist]],"abrir"))</f>
        <v/>
      </c>
      <c r="AS298" s="4" t="n"/>
      <c r="AT298" s="5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22" t="n"/>
      <c r="K299" s="5" t="n"/>
      <c r="L299" s="18" t="n"/>
      <c r="M2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5">
        <f>IF(tblOrdenes[[#This Row],[fecha_inicio]]="","",YEAR(tblOrdenes[[#This Row],[fecha_inicio]]))</f>
        <v/>
      </c>
      <c r="Q299" s="5">
        <f>IF(tblOrdenes[[#This Row],[fecha_inicio]]="","",MONTH(tblOrdenes[[#This Row],[fecha_inicio]]))</f>
        <v/>
      </c>
      <c r="R299" s="5">
        <f>IF(tblOrdenes[[#This Row],[fecha_inicio]]="","",tblOrdenes[[#This Row],[anio]]&amp;"-"&amp;TEXT(tblOrdenes[[#This Row],[mes]],"00"))</f>
        <v/>
      </c>
      <c r="S299" s="5">
        <f>IF(tblOrdenes[[#This Row],[fecha_inicio]]="","",INDEX(lista_dias,WEEKDAY(tblOrdenes[[#This Row],[fecha_inicio]],2)))</f>
        <v/>
      </c>
      <c r="T2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9" s="5">
        <f>IF(tblOrdenes[[#This Row],[tipo_ot]]="","",_xlfn.XLOOKUP(tblOrdenes[[#This Row],[tipo_ot]],tblTiposOT[codigo],tblTiposOT[clasificacion],"sin_clasificar"))</f>
        <v/>
      </c>
      <c r="V2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9" s="5">
        <f>IF(tblOrdenes[[#This Row],[centro_costo]]="","",_xlfn.XLOOKUP(tblOrdenes[[#This Row],[centro_costo]],tblCECO[codigo],tblCECO[linea],"(sin catálogo)"))</f>
        <v/>
      </c>
      <c r="X299" s="5">
        <f>IF(tblOrdenes[[#This Row],[centro_costo]]="","",_xlfn.XLOOKUP(tblOrdenes[[#This Row],[centro_costo]],tblCECO[codigo],tblCECO[area],"(sin catálogo)"))</f>
        <v/>
      </c>
      <c r="Y2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299" s="5">
        <f>IF(tblOrdenes[[#This Row],[centro_costo]]="","",_xlfn.XLOOKUP(tblOrdenes[[#This Row],[centro_costo]],tblCECO[codigo],tblCECO[coordinador],"(sin catálogo)"))</f>
        <v/>
      </c>
      <c r="AA299" s="5">
        <f>IF(tblOrdenes[[#This Row],[puesto_trabajo]]="","",_xlfn.XLOOKUP(tblOrdenes[[#This Row],[puesto_trabajo]],tblPuestos[codigo],tblPuestos[especialidad],"(sin catálogo)"))</f>
        <v/>
      </c>
      <c r="AB299" s="5">
        <f>IF(tblOrdenes[[#This Row],[cod_actividad]]="","",_xlfn.XLOOKUP(tblOrdenes[[#This Row],[cod_actividad]],tblActividades[codigo],tblActividades[descripcion],"(sin catálogo)"))</f>
        <v/>
      </c>
      <c r="AC299" s="20">
        <f>IF(tblOrdenes[[#This Row],[fecha_inicio]]="","",TODAY()-tblOrdenes[[#This Row],[fecha_inicio]])</f>
        <v/>
      </c>
      <c r="AD2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299" s="5">
        <f>IF(tblOrdenes[[#This Row],[backlog_habiles]]="","",IF(tblOrdenes[[#This Row],[backlog_habiles]]&lt;0,"FUTURO",IF(tblOrdenes[[#This Row],[backlog_habiles]]&gt;p_dias_backlog_max,"BACKLOG","MES CORRIENTE")))</f>
        <v/>
      </c>
      <c r="AF299" s="5">
        <f>IF(tblOrdenes[[#This Row],[backlog_habiles]]="",FALSE,AND(tblOrdenes[[#This Row],[backlog_habiles]]&gt;p_dias_backlog_min,tblOrdenes[[#This Row],[backlog_habiles]]&lt;=p_dias_backlog_max))</f>
        <v/>
      </c>
      <c r="AG299" s="4" t="n"/>
      <c r="AH2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2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2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299" s="18">
        <f>IF(tblOrdenes[[#This Row],[orden]]="","",_xlfn.XLOOKUP(tblOrdenes[[#This Row],[id_operacion]],tblEjecucion[id_operacion],tblEjecucion[precio],0))</f>
        <v/>
      </c>
      <c r="AL299" s="18">
        <f>IF(tblOrdenes[[#This Row],[orden]]="","",MAX(0,_xlfn.XLOOKUP(tblOrdenes[[#This Row],[id_operacion]],tblEjecucion[id_operacion],tblEjecucion[costo_plan_total],0)-tblOrdenes[[#This Row],[costo_servicio]]))</f>
        <v/>
      </c>
      <c r="AM299" s="18">
        <f>IF(tblOrdenes[[#This Row],[orden]]="","",tblOrdenes[[#This Row],[costo_servicio]]+tblOrdenes[[#This Row],[costo_materiales]])</f>
        <v/>
      </c>
      <c r="AN2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299" s="4" t="n"/>
      <c r="AP299" s="4" t="n"/>
      <c r="AQ299" s="4" t="n"/>
      <c r="AR299" s="5">
        <f>IF(tblOrdenes[[#This Row],[link_checklist]]="","",HYPERLINK(p_ruta_base_checklists&amp;tblOrdenes[[#This Row],[link_checklist]],"abrir"))</f>
        <v/>
      </c>
      <c r="AS299" s="4" t="n"/>
      <c r="AT299" s="5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22" t="n"/>
      <c r="K300" s="5" t="n"/>
      <c r="L300" s="18" t="n"/>
      <c r="M3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5">
        <f>IF(tblOrdenes[[#This Row],[fecha_inicio]]="","",YEAR(tblOrdenes[[#This Row],[fecha_inicio]]))</f>
        <v/>
      </c>
      <c r="Q300" s="5">
        <f>IF(tblOrdenes[[#This Row],[fecha_inicio]]="","",MONTH(tblOrdenes[[#This Row],[fecha_inicio]]))</f>
        <v/>
      </c>
      <c r="R300" s="5">
        <f>IF(tblOrdenes[[#This Row],[fecha_inicio]]="","",tblOrdenes[[#This Row],[anio]]&amp;"-"&amp;TEXT(tblOrdenes[[#This Row],[mes]],"00"))</f>
        <v/>
      </c>
      <c r="S300" s="5">
        <f>IF(tblOrdenes[[#This Row],[fecha_inicio]]="","",INDEX(lista_dias,WEEKDAY(tblOrdenes[[#This Row],[fecha_inicio]],2)))</f>
        <v/>
      </c>
      <c r="T3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0" s="5">
        <f>IF(tblOrdenes[[#This Row],[tipo_ot]]="","",_xlfn.XLOOKUP(tblOrdenes[[#This Row],[tipo_ot]],tblTiposOT[codigo],tblTiposOT[clasificacion],"sin_clasificar"))</f>
        <v/>
      </c>
      <c r="V3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0" s="5">
        <f>IF(tblOrdenes[[#This Row],[centro_costo]]="","",_xlfn.XLOOKUP(tblOrdenes[[#This Row],[centro_costo]],tblCECO[codigo],tblCECO[linea],"(sin catálogo)"))</f>
        <v/>
      </c>
      <c r="X300" s="5">
        <f>IF(tblOrdenes[[#This Row],[centro_costo]]="","",_xlfn.XLOOKUP(tblOrdenes[[#This Row],[centro_costo]],tblCECO[codigo],tblCECO[area],"(sin catálogo)"))</f>
        <v/>
      </c>
      <c r="Y3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0" s="5">
        <f>IF(tblOrdenes[[#This Row],[centro_costo]]="","",_xlfn.XLOOKUP(tblOrdenes[[#This Row],[centro_costo]],tblCECO[codigo],tblCECO[coordinador],"(sin catálogo)"))</f>
        <v/>
      </c>
      <c r="AA300" s="5">
        <f>IF(tblOrdenes[[#This Row],[puesto_trabajo]]="","",_xlfn.XLOOKUP(tblOrdenes[[#This Row],[puesto_trabajo]],tblPuestos[codigo],tblPuestos[especialidad],"(sin catálogo)"))</f>
        <v/>
      </c>
      <c r="AB300" s="5">
        <f>IF(tblOrdenes[[#This Row],[cod_actividad]]="","",_xlfn.XLOOKUP(tblOrdenes[[#This Row],[cod_actividad]],tblActividades[codigo],tblActividades[descripcion],"(sin catálogo)"))</f>
        <v/>
      </c>
      <c r="AC300" s="20">
        <f>IF(tblOrdenes[[#This Row],[fecha_inicio]]="","",TODAY()-tblOrdenes[[#This Row],[fecha_inicio]])</f>
        <v/>
      </c>
      <c r="AD3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0" s="5">
        <f>IF(tblOrdenes[[#This Row],[backlog_habiles]]="","",IF(tblOrdenes[[#This Row],[backlog_habiles]]&lt;0,"FUTURO",IF(tblOrdenes[[#This Row],[backlog_habiles]]&gt;p_dias_backlog_max,"BACKLOG","MES CORRIENTE")))</f>
        <v/>
      </c>
      <c r="AF300" s="5">
        <f>IF(tblOrdenes[[#This Row],[backlog_habiles]]="",FALSE,AND(tblOrdenes[[#This Row],[backlog_habiles]]&gt;p_dias_backlog_min,tblOrdenes[[#This Row],[backlog_habiles]]&lt;=p_dias_backlog_max))</f>
        <v/>
      </c>
      <c r="AG300" s="4" t="n"/>
      <c r="AH3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0" s="18">
        <f>IF(tblOrdenes[[#This Row],[orden]]="","",_xlfn.XLOOKUP(tblOrdenes[[#This Row],[id_operacion]],tblEjecucion[id_operacion],tblEjecucion[precio],0))</f>
        <v/>
      </c>
      <c r="AL300" s="18">
        <f>IF(tblOrdenes[[#This Row],[orden]]="","",MAX(0,_xlfn.XLOOKUP(tblOrdenes[[#This Row],[id_operacion]],tblEjecucion[id_operacion],tblEjecucion[costo_plan_total],0)-tblOrdenes[[#This Row],[costo_servicio]]))</f>
        <v/>
      </c>
      <c r="AM300" s="18">
        <f>IF(tblOrdenes[[#This Row],[orden]]="","",tblOrdenes[[#This Row],[costo_servicio]]+tblOrdenes[[#This Row],[costo_materiales]])</f>
        <v/>
      </c>
      <c r="AN3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0" s="4" t="n"/>
      <c r="AP300" s="4" t="n"/>
      <c r="AQ300" s="4" t="n"/>
      <c r="AR300" s="5">
        <f>IF(tblOrdenes[[#This Row],[link_checklist]]="","",HYPERLINK(p_ruta_base_checklists&amp;tblOrdenes[[#This Row],[link_checklist]],"abrir"))</f>
        <v/>
      </c>
      <c r="AS300" s="4" t="n"/>
      <c r="AT300" s="5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22" t="n"/>
      <c r="K301" s="5" t="n"/>
      <c r="L301" s="18" t="n"/>
      <c r="M3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5">
        <f>IF(tblOrdenes[[#This Row],[fecha_inicio]]="","",YEAR(tblOrdenes[[#This Row],[fecha_inicio]]))</f>
        <v/>
      </c>
      <c r="Q301" s="5">
        <f>IF(tblOrdenes[[#This Row],[fecha_inicio]]="","",MONTH(tblOrdenes[[#This Row],[fecha_inicio]]))</f>
        <v/>
      </c>
      <c r="R301" s="5">
        <f>IF(tblOrdenes[[#This Row],[fecha_inicio]]="","",tblOrdenes[[#This Row],[anio]]&amp;"-"&amp;TEXT(tblOrdenes[[#This Row],[mes]],"00"))</f>
        <v/>
      </c>
      <c r="S301" s="5">
        <f>IF(tblOrdenes[[#This Row],[fecha_inicio]]="","",INDEX(lista_dias,WEEKDAY(tblOrdenes[[#This Row],[fecha_inicio]],2)))</f>
        <v/>
      </c>
      <c r="T3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1" s="5">
        <f>IF(tblOrdenes[[#This Row],[tipo_ot]]="","",_xlfn.XLOOKUP(tblOrdenes[[#This Row],[tipo_ot]],tblTiposOT[codigo],tblTiposOT[clasificacion],"sin_clasificar"))</f>
        <v/>
      </c>
      <c r="V3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1" s="5">
        <f>IF(tblOrdenes[[#This Row],[centro_costo]]="","",_xlfn.XLOOKUP(tblOrdenes[[#This Row],[centro_costo]],tblCECO[codigo],tblCECO[linea],"(sin catálogo)"))</f>
        <v/>
      </c>
      <c r="X301" s="5">
        <f>IF(tblOrdenes[[#This Row],[centro_costo]]="","",_xlfn.XLOOKUP(tblOrdenes[[#This Row],[centro_costo]],tblCECO[codigo],tblCECO[area],"(sin catálogo)"))</f>
        <v/>
      </c>
      <c r="Y3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1" s="5">
        <f>IF(tblOrdenes[[#This Row],[centro_costo]]="","",_xlfn.XLOOKUP(tblOrdenes[[#This Row],[centro_costo]],tblCECO[codigo],tblCECO[coordinador],"(sin catálogo)"))</f>
        <v/>
      </c>
      <c r="AA301" s="5">
        <f>IF(tblOrdenes[[#This Row],[puesto_trabajo]]="","",_xlfn.XLOOKUP(tblOrdenes[[#This Row],[puesto_trabajo]],tblPuestos[codigo],tblPuestos[especialidad],"(sin catálogo)"))</f>
        <v/>
      </c>
      <c r="AB301" s="5">
        <f>IF(tblOrdenes[[#This Row],[cod_actividad]]="","",_xlfn.XLOOKUP(tblOrdenes[[#This Row],[cod_actividad]],tblActividades[codigo],tblActividades[descripcion],"(sin catálogo)"))</f>
        <v/>
      </c>
      <c r="AC301" s="20">
        <f>IF(tblOrdenes[[#This Row],[fecha_inicio]]="","",TODAY()-tblOrdenes[[#This Row],[fecha_inicio]])</f>
        <v/>
      </c>
      <c r="AD3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1" s="5">
        <f>IF(tblOrdenes[[#This Row],[backlog_habiles]]="","",IF(tblOrdenes[[#This Row],[backlog_habiles]]&lt;0,"FUTURO",IF(tblOrdenes[[#This Row],[backlog_habiles]]&gt;p_dias_backlog_max,"BACKLOG","MES CORRIENTE")))</f>
        <v/>
      </c>
      <c r="AF301" s="5">
        <f>IF(tblOrdenes[[#This Row],[backlog_habiles]]="",FALSE,AND(tblOrdenes[[#This Row],[backlog_habiles]]&gt;p_dias_backlog_min,tblOrdenes[[#This Row],[backlog_habiles]]&lt;=p_dias_backlog_max))</f>
        <v/>
      </c>
      <c r="AG301" s="4" t="n"/>
      <c r="AH3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1" s="18">
        <f>IF(tblOrdenes[[#This Row],[orden]]="","",_xlfn.XLOOKUP(tblOrdenes[[#This Row],[id_operacion]],tblEjecucion[id_operacion],tblEjecucion[precio],0))</f>
        <v/>
      </c>
      <c r="AL301" s="18">
        <f>IF(tblOrdenes[[#This Row],[orden]]="","",MAX(0,_xlfn.XLOOKUP(tblOrdenes[[#This Row],[id_operacion]],tblEjecucion[id_operacion],tblEjecucion[costo_plan_total],0)-tblOrdenes[[#This Row],[costo_servicio]]))</f>
        <v/>
      </c>
      <c r="AM301" s="18">
        <f>IF(tblOrdenes[[#This Row],[orden]]="","",tblOrdenes[[#This Row],[costo_servicio]]+tblOrdenes[[#This Row],[costo_materiales]])</f>
        <v/>
      </c>
      <c r="AN3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1" s="4" t="n"/>
      <c r="AP301" s="4" t="n"/>
      <c r="AQ301" s="4" t="n"/>
      <c r="AR301" s="5">
        <f>IF(tblOrdenes[[#This Row],[link_checklist]]="","",HYPERLINK(p_ruta_base_checklists&amp;tblOrdenes[[#This Row],[link_checklist]],"abrir"))</f>
        <v/>
      </c>
      <c r="AS301" s="4" t="n"/>
      <c r="AT301" s="5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22" t="n"/>
      <c r="K302" s="5" t="n"/>
      <c r="L302" s="18" t="n"/>
      <c r="M3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5">
        <f>IF(tblOrdenes[[#This Row],[fecha_inicio]]="","",YEAR(tblOrdenes[[#This Row],[fecha_inicio]]))</f>
        <v/>
      </c>
      <c r="Q302" s="5">
        <f>IF(tblOrdenes[[#This Row],[fecha_inicio]]="","",MONTH(tblOrdenes[[#This Row],[fecha_inicio]]))</f>
        <v/>
      </c>
      <c r="R302" s="5">
        <f>IF(tblOrdenes[[#This Row],[fecha_inicio]]="","",tblOrdenes[[#This Row],[anio]]&amp;"-"&amp;TEXT(tblOrdenes[[#This Row],[mes]],"00"))</f>
        <v/>
      </c>
      <c r="S302" s="5">
        <f>IF(tblOrdenes[[#This Row],[fecha_inicio]]="","",INDEX(lista_dias,WEEKDAY(tblOrdenes[[#This Row],[fecha_inicio]],2)))</f>
        <v/>
      </c>
      <c r="T3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2" s="5">
        <f>IF(tblOrdenes[[#This Row],[tipo_ot]]="","",_xlfn.XLOOKUP(tblOrdenes[[#This Row],[tipo_ot]],tblTiposOT[codigo],tblTiposOT[clasificacion],"sin_clasificar"))</f>
        <v/>
      </c>
      <c r="V3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2" s="5">
        <f>IF(tblOrdenes[[#This Row],[centro_costo]]="","",_xlfn.XLOOKUP(tblOrdenes[[#This Row],[centro_costo]],tblCECO[codigo],tblCECO[linea],"(sin catálogo)"))</f>
        <v/>
      </c>
      <c r="X302" s="5">
        <f>IF(tblOrdenes[[#This Row],[centro_costo]]="","",_xlfn.XLOOKUP(tblOrdenes[[#This Row],[centro_costo]],tblCECO[codigo],tblCECO[area],"(sin catálogo)"))</f>
        <v/>
      </c>
      <c r="Y3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2" s="5">
        <f>IF(tblOrdenes[[#This Row],[centro_costo]]="","",_xlfn.XLOOKUP(tblOrdenes[[#This Row],[centro_costo]],tblCECO[codigo],tblCECO[coordinador],"(sin catálogo)"))</f>
        <v/>
      </c>
      <c r="AA302" s="5">
        <f>IF(tblOrdenes[[#This Row],[puesto_trabajo]]="","",_xlfn.XLOOKUP(tblOrdenes[[#This Row],[puesto_trabajo]],tblPuestos[codigo],tblPuestos[especialidad],"(sin catálogo)"))</f>
        <v/>
      </c>
      <c r="AB302" s="5">
        <f>IF(tblOrdenes[[#This Row],[cod_actividad]]="","",_xlfn.XLOOKUP(tblOrdenes[[#This Row],[cod_actividad]],tblActividades[codigo],tblActividades[descripcion],"(sin catálogo)"))</f>
        <v/>
      </c>
      <c r="AC302" s="20">
        <f>IF(tblOrdenes[[#This Row],[fecha_inicio]]="","",TODAY()-tblOrdenes[[#This Row],[fecha_inicio]])</f>
        <v/>
      </c>
      <c r="AD3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2" s="5">
        <f>IF(tblOrdenes[[#This Row],[backlog_habiles]]="","",IF(tblOrdenes[[#This Row],[backlog_habiles]]&lt;0,"FUTURO",IF(tblOrdenes[[#This Row],[backlog_habiles]]&gt;p_dias_backlog_max,"BACKLOG","MES CORRIENTE")))</f>
        <v/>
      </c>
      <c r="AF302" s="5">
        <f>IF(tblOrdenes[[#This Row],[backlog_habiles]]="",FALSE,AND(tblOrdenes[[#This Row],[backlog_habiles]]&gt;p_dias_backlog_min,tblOrdenes[[#This Row],[backlog_habiles]]&lt;=p_dias_backlog_max))</f>
        <v/>
      </c>
      <c r="AG302" s="4" t="n"/>
      <c r="AH3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2" s="18">
        <f>IF(tblOrdenes[[#This Row],[orden]]="","",_xlfn.XLOOKUP(tblOrdenes[[#This Row],[id_operacion]],tblEjecucion[id_operacion],tblEjecucion[precio],0))</f>
        <v/>
      </c>
      <c r="AL302" s="18">
        <f>IF(tblOrdenes[[#This Row],[orden]]="","",MAX(0,_xlfn.XLOOKUP(tblOrdenes[[#This Row],[id_operacion]],tblEjecucion[id_operacion],tblEjecucion[costo_plan_total],0)-tblOrdenes[[#This Row],[costo_servicio]]))</f>
        <v/>
      </c>
      <c r="AM302" s="18">
        <f>IF(tblOrdenes[[#This Row],[orden]]="","",tblOrdenes[[#This Row],[costo_servicio]]+tblOrdenes[[#This Row],[costo_materiales]])</f>
        <v/>
      </c>
      <c r="AN3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2" s="4" t="n"/>
      <c r="AP302" s="4" t="n"/>
      <c r="AQ302" s="4" t="n"/>
      <c r="AR302" s="5">
        <f>IF(tblOrdenes[[#This Row],[link_checklist]]="","",HYPERLINK(p_ruta_base_checklists&amp;tblOrdenes[[#This Row],[link_checklist]],"abrir"))</f>
        <v/>
      </c>
      <c r="AS302" s="4" t="n"/>
      <c r="AT302" s="5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22" t="n"/>
      <c r="K303" s="5" t="n"/>
      <c r="L303" s="18" t="n"/>
      <c r="M3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5">
        <f>IF(tblOrdenes[[#This Row],[fecha_inicio]]="","",YEAR(tblOrdenes[[#This Row],[fecha_inicio]]))</f>
        <v/>
      </c>
      <c r="Q303" s="5">
        <f>IF(tblOrdenes[[#This Row],[fecha_inicio]]="","",MONTH(tblOrdenes[[#This Row],[fecha_inicio]]))</f>
        <v/>
      </c>
      <c r="R303" s="5">
        <f>IF(tblOrdenes[[#This Row],[fecha_inicio]]="","",tblOrdenes[[#This Row],[anio]]&amp;"-"&amp;TEXT(tblOrdenes[[#This Row],[mes]],"00"))</f>
        <v/>
      </c>
      <c r="S303" s="5">
        <f>IF(tblOrdenes[[#This Row],[fecha_inicio]]="","",INDEX(lista_dias,WEEKDAY(tblOrdenes[[#This Row],[fecha_inicio]],2)))</f>
        <v/>
      </c>
      <c r="T3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3" s="5">
        <f>IF(tblOrdenes[[#This Row],[tipo_ot]]="","",_xlfn.XLOOKUP(tblOrdenes[[#This Row],[tipo_ot]],tblTiposOT[codigo],tblTiposOT[clasificacion],"sin_clasificar"))</f>
        <v/>
      </c>
      <c r="V3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3" s="5">
        <f>IF(tblOrdenes[[#This Row],[centro_costo]]="","",_xlfn.XLOOKUP(tblOrdenes[[#This Row],[centro_costo]],tblCECO[codigo],tblCECO[linea],"(sin catálogo)"))</f>
        <v/>
      </c>
      <c r="X303" s="5">
        <f>IF(tblOrdenes[[#This Row],[centro_costo]]="","",_xlfn.XLOOKUP(tblOrdenes[[#This Row],[centro_costo]],tblCECO[codigo],tblCECO[area],"(sin catálogo)"))</f>
        <v/>
      </c>
      <c r="Y3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3" s="5">
        <f>IF(tblOrdenes[[#This Row],[centro_costo]]="","",_xlfn.XLOOKUP(tblOrdenes[[#This Row],[centro_costo]],tblCECO[codigo],tblCECO[coordinador],"(sin catálogo)"))</f>
        <v/>
      </c>
      <c r="AA303" s="5">
        <f>IF(tblOrdenes[[#This Row],[puesto_trabajo]]="","",_xlfn.XLOOKUP(tblOrdenes[[#This Row],[puesto_trabajo]],tblPuestos[codigo],tblPuestos[especialidad],"(sin catálogo)"))</f>
        <v/>
      </c>
      <c r="AB303" s="5">
        <f>IF(tblOrdenes[[#This Row],[cod_actividad]]="","",_xlfn.XLOOKUP(tblOrdenes[[#This Row],[cod_actividad]],tblActividades[codigo],tblActividades[descripcion],"(sin catálogo)"))</f>
        <v/>
      </c>
      <c r="AC303" s="20">
        <f>IF(tblOrdenes[[#This Row],[fecha_inicio]]="","",TODAY()-tblOrdenes[[#This Row],[fecha_inicio]])</f>
        <v/>
      </c>
      <c r="AD3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3" s="5">
        <f>IF(tblOrdenes[[#This Row],[backlog_habiles]]="","",IF(tblOrdenes[[#This Row],[backlog_habiles]]&lt;0,"FUTURO",IF(tblOrdenes[[#This Row],[backlog_habiles]]&gt;p_dias_backlog_max,"BACKLOG","MES CORRIENTE")))</f>
        <v/>
      </c>
      <c r="AF303" s="5">
        <f>IF(tblOrdenes[[#This Row],[backlog_habiles]]="",FALSE,AND(tblOrdenes[[#This Row],[backlog_habiles]]&gt;p_dias_backlog_min,tblOrdenes[[#This Row],[backlog_habiles]]&lt;=p_dias_backlog_max))</f>
        <v/>
      </c>
      <c r="AG303" s="4" t="n"/>
      <c r="AH3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3" s="18">
        <f>IF(tblOrdenes[[#This Row],[orden]]="","",_xlfn.XLOOKUP(tblOrdenes[[#This Row],[id_operacion]],tblEjecucion[id_operacion],tblEjecucion[precio],0))</f>
        <v/>
      </c>
      <c r="AL303" s="18">
        <f>IF(tblOrdenes[[#This Row],[orden]]="","",MAX(0,_xlfn.XLOOKUP(tblOrdenes[[#This Row],[id_operacion]],tblEjecucion[id_operacion],tblEjecucion[costo_plan_total],0)-tblOrdenes[[#This Row],[costo_servicio]]))</f>
        <v/>
      </c>
      <c r="AM303" s="18">
        <f>IF(tblOrdenes[[#This Row],[orden]]="","",tblOrdenes[[#This Row],[costo_servicio]]+tblOrdenes[[#This Row],[costo_materiales]])</f>
        <v/>
      </c>
      <c r="AN3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3" s="4" t="n"/>
      <c r="AP303" s="4" t="n"/>
      <c r="AQ303" s="4" t="n"/>
      <c r="AR303" s="5">
        <f>IF(tblOrdenes[[#This Row],[link_checklist]]="","",HYPERLINK(p_ruta_base_checklists&amp;tblOrdenes[[#This Row],[link_checklist]],"abrir"))</f>
        <v/>
      </c>
      <c r="AS303" s="4" t="n"/>
      <c r="AT303" s="5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22" t="n"/>
      <c r="K304" s="5" t="n"/>
      <c r="L304" s="18" t="n"/>
      <c r="M3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5">
        <f>IF(tblOrdenes[[#This Row],[fecha_inicio]]="","",YEAR(tblOrdenes[[#This Row],[fecha_inicio]]))</f>
        <v/>
      </c>
      <c r="Q304" s="5">
        <f>IF(tblOrdenes[[#This Row],[fecha_inicio]]="","",MONTH(tblOrdenes[[#This Row],[fecha_inicio]]))</f>
        <v/>
      </c>
      <c r="R304" s="5">
        <f>IF(tblOrdenes[[#This Row],[fecha_inicio]]="","",tblOrdenes[[#This Row],[anio]]&amp;"-"&amp;TEXT(tblOrdenes[[#This Row],[mes]],"00"))</f>
        <v/>
      </c>
      <c r="S304" s="5">
        <f>IF(tblOrdenes[[#This Row],[fecha_inicio]]="","",INDEX(lista_dias,WEEKDAY(tblOrdenes[[#This Row],[fecha_inicio]],2)))</f>
        <v/>
      </c>
      <c r="T3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4" s="5">
        <f>IF(tblOrdenes[[#This Row],[tipo_ot]]="","",_xlfn.XLOOKUP(tblOrdenes[[#This Row],[tipo_ot]],tblTiposOT[codigo],tblTiposOT[clasificacion],"sin_clasificar"))</f>
        <v/>
      </c>
      <c r="V3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4" s="5">
        <f>IF(tblOrdenes[[#This Row],[centro_costo]]="","",_xlfn.XLOOKUP(tblOrdenes[[#This Row],[centro_costo]],tblCECO[codigo],tblCECO[linea],"(sin catálogo)"))</f>
        <v/>
      </c>
      <c r="X304" s="5">
        <f>IF(tblOrdenes[[#This Row],[centro_costo]]="","",_xlfn.XLOOKUP(tblOrdenes[[#This Row],[centro_costo]],tblCECO[codigo],tblCECO[area],"(sin catálogo)"))</f>
        <v/>
      </c>
      <c r="Y3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4" s="5">
        <f>IF(tblOrdenes[[#This Row],[centro_costo]]="","",_xlfn.XLOOKUP(tblOrdenes[[#This Row],[centro_costo]],tblCECO[codigo],tblCECO[coordinador],"(sin catálogo)"))</f>
        <v/>
      </c>
      <c r="AA304" s="5">
        <f>IF(tblOrdenes[[#This Row],[puesto_trabajo]]="","",_xlfn.XLOOKUP(tblOrdenes[[#This Row],[puesto_trabajo]],tblPuestos[codigo],tblPuestos[especialidad],"(sin catálogo)"))</f>
        <v/>
      </c>
      <c r="AB304" s="5">
        <f>IF(tblOrdenes[[#This Row],[cod_actividad]]="","",_xlfn.XLOOKUP(tblOrdenes[[#This Row],[cod_actividad]],tblActividades[codigo],tblActividades[descripcion],"(sin catálogo)"))</f>
        <v/>
      </c>
      <c r="AC304" s="20">
        <f>IF(tblOrdenes[[#This Row],[fecha_inicio]]="","",TODAY()-tblOrdenes[[#This Row],[fecha_inicio]])</f>
        <v/>
      </c>
      <c r="AD3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4" s="5">
        <f>IF(tblOrdenes[[#This Row],[backlog_habiles]]="","",IF(tblOrdenes[[#This Row],[backlog_habiles]]&lt;0,"FUTURO",IF(tblOrdenes[[#This Row],[backlog_habiles]]&gt;p_dias_backlog_max,"BACKLOG","MES CORRIENTE")))</f>
        <v/>
      </c>
      <c r="AF304" s="5">
        <f>IF(tblOrdenes[[#This Row],[backlog_habiles]]="",FALSE,AND(tblOrdenes[[#This Row],[backlog_habiles]]&gt;p_dias_backlog_min,tblOrdenes[[#This Row],[backlog_habiles]]&lt;=p_dias_backlog_max))</f>
        <v/>
      </c>
      <c r="AG304" s="4" t="n"/>
      <c r="AH3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4" s="18">
        <f>IF(tblOrdenes[[#This Row],[orden]]="","",_xlfn.XLOOKUP(tblOrdenes[[#This Row],[id_operacion]],tblEjecucion[id_operacion],tblEjecucion[precio],0))</f>
        <v/>
      </c>
      <c r="AL304" s="18">
        <f>IF(tblOrdenes[[#This Row],[orden]]="","",MAX(0,_xlfn.XLOOKUP(tblOrdenes[[#This Row],[id_operacion]],tblEjecucion[id_operacion],tblEjecucion[costo_plan_total],0)-tblOrdenes[[#This Row],[costo_servicio]]))</f>
        <v/>
      </c>
      <c r="AM304" s="18">
        <f>IF(tblOrdenes[[#This Row],[orden]]="","",tblOrdenes[[#This Row],[costo_servicio]]+tblOrdenes[[#This Row],[costo_materiales]])</f>
        <v/>
      </c>
      <c r="AN3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4" s="4" t="n"/>
      <c r="AP304" s="4" t="n"/>
      <c r="AQ304" s="4" t="n"/>
      <c r="AR304" s="5">
        <f>IF(tblOrdenes[[#This Row],[link_checklist]]="","",HYPERLINK(p_ruta_base_checklists&amp;tblOrdenes[[#This Row],[link_checklist]],"abrir"))</f>
        <v/>
      </c>
      <c r="AS304" s="4" t="n"/>
      <c r="AT304" s="5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22" t="n"/>
      <c r="K305" s="5" t="n"/>
      <c r="L305" s="18" t="n"/>
      <c r="M3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5">
        <f>IF(tblOrdenes[[#This Row],[fecha_inicio]]="","",YEAR(tblOrdenes[[#This Row],[fecha_inicio]]))</f>
        <v/>
      </c>
      <c r="Q305" s="5">
        <f>IF(tblOrdenes[[#This Row],[fecha_inicio]]="","",MONTH(tblOrdenes[[#This Row],[fecha_inicio]]))</f>
        <v/>
      </c>
      <c r="R305" s="5">
        <f>IF(tblOrdenes[[#This Row],[fecha_inicio]]="","",tblOrdenes[[#This Row],[anio]]&amp;"-"&amp;TEXT(tblOrdenes[[#This Row],[mes]],"00"))</f>
        <v/>
      </c>
      <c r="S305" s="5">
        <f>IF(tblOrdenes[[#This Row],[fecha_inicio]]="","",INDEX(lista_dias,WEEKDAY(tblOrdenes[[#This Row],[fecha_inicio]],2)))</f>
        <v/>
      </c>
      <c r="T3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5" s="5">
        <f>IF(tblOrdenes[[#This Row],[tipo_ot]]="","",_xlfn.XLOOKUP(tblOrdenes[[#This Row],[tipo_ot]],tblTiposOT[codigo],tblTiposOT[clasificacion],"sin_clasificar"))</f>
        <v/>
      </c>
      <c r="V3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5" s="5">
        <f>IF(tblOrdenes[[#This Row],[centro_costo]]="","",_xlfn.XLOOKUP(tblOrdenes[[#This Row],[centro_costo]],tblCECO[codigo],tblCECO[linea],"(sin catálogo)"))</f>
        <v/>
      </c>
      <c r="X305" s="5">
        <f>IF(tblOrdenes[[#This Row],[centro_costo]]="","",_xlfn.XLOOKUP(tblOrdenes[[#This Row],[centro_costo]],tblCECO[codigo],tblCECO[area],"(sin catálogo)"))</f>
        <v/>
      </c>
      <c r="Y3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5" s="5">
        <f>IF(tblOrdenes[[#This Row],[centro_costo]]="","",_xlfn.XLOOKUP(tblOrdenes[[#This Row],[centro_costo]],tblCECO[codigo],tblCECO[coordinador],"(sin catálogo)"))</f>
        <v/>
      </c>
      <c r="AA305" s="5">
        <f>IF(tblOrdenes[[#This Row],[puesto_trabajo]]="","",_xlfn.XLOOKUP(tblOrdenes[[#This Row],[puesto_trabajo]],tblPuestos[codigo],tblPuestos[especialidad],"(sin catálogo)"))</f>
        <v/>
      </c>
      <c r="AB305" s="5">
        <f>IF(tblOrdenes[[#This Row],[cod_actividad]]="","",_xlfn.XLOOKUP(tblOrdenes[[#This Row],[cod_actividad]],tblActividades[codigo],tblActividades[descripcion],"(sin catálogo)"))</f>
        <v/>
      </c>
      <c r="AC305" s="20">
        <f>IF(tblOrdenes[[#This Row],[fecha_inicio]]="","",TODAY()-tblOrdenes[[#This Row],[fecha_inicio]])</f>
        <v/>
      </c>
      <c r="AD3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5" s="5">
        <f>IF(tblOrdenes[[#This Row],[backlog_habiles]]="","",IF(tblOrdenes[[#This Row],[backlog_habiles]]&lt;0,"FUTURO",IF(tblOrdenes[[#This Row],[backlog_habiles]]&gt;p_dias_backlog_max,"BACKLOG","MES CORRIENTE")))</f>
        <v/>
      </c>
      <c r="AF305" s="5">
        <f>IF(tblOrdenes[[#This Row],[backlog_habiles]]="",FALSE,AND(tblOrdenes[[#This Row],[backlog_habiles]]&gt;p_dias_backlog_min,tblOrdenes[[#This Row],[backlog_habiles]]&lt;=p_dias_backlog_max))</f>
        <v/>
      </c>
      <c r="AG305" s="4" t="n"/>
      <c r="AH3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5" s="18">
        <f>IF(tblOrdenes[[#This Row],[orden]]="","",_xlfn.XLOOKUP(tblOrdenes[[#This Row],[id_operacion]],tblEjecucion[id_operacion],tblEjecucion[precio],0))</f>
        <v/>
      </c>
      <c r="AL305" s="18">
        <f>IF(tblOrdenes[[#This Row],[orden]]="","",MAX(0,_xlfn.XLOOKUP(tblOrdenes[[#This Row],[id_operacion]],tblEjecucion[id_operacion],tblEjecucion[costo_plan_total],0)-tblOrdenes[[#This Row],[costo_servicio]]))</f>
        <v/>
      </c>
      <c r="AM305" s="18">
        <f>IF(tblOrdenes[[#This Row],[orden]]="","",tblOrdenes[[#This Row],[costo_servicio]]+tblOrdenes[[#This Row],[costo_materiales]])</f>
        <v/>
      </c>
      <c r="AN3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5" s="4" t="n"/>
      <c r="AP305" s="4" t="n"/>
      <c r="AQ305" s="4" t="n"/>
      <c r="AR305" s="5">
        <f>IF(tblOrdenes[[#This Row],[link_checklist]]="","",HYPERLINK(p_ruta_base_checklists&amp;tblOrdenes[[#This Row],[link_checklist]],"abrir"))</f>
        <v/>
      </c>
      <c r="AS305" s="4" t="n"/>
      <c r="AT305" s="5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22" t="n"/>
      <c r="K306" s="5" t="n"/>
      <c r="L306" s="18" t="n"/>
      <c r="M3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5">
        <f>IF(tblOrdenes[[#This Row],[fecha_inicio]]="","",YEAR(tblOrdenes[[#This Row],[fecha_inicio]]))</f>
        <v/>
      </c>
      <c r="Q306" s="5">
        <f>IF(tblOrdenes[[#This Row],[fecha_inicio]]="","",MONTH(tblOrdenes[[#This Row],[fecha_inicio]]))</f>
        <v/>
      </c>
      <c r="R306" s="5">
        <f>IF(tblOrdenes[[#This Row],[fecha_inicio]]="","",tblOrdenes[[#This Row],[anio]]&amp;"-"&amp;TEXT(tblOrdenes[[#This Row],[mes]],"00"))</f>
        <v/>
      </c>
      <c r="S306" s="5">
        <f>IF(tblOrdenes[[#This Row],[fecha_inicio]]="","",INDEX(lista_dias,WEEKDAY(tblOrdenes[[#This Row],[fecha_inicio]],2)))</f>
        <v/>
      </c>
      <c r="T3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6" s="5">
        <f>IF(tblOrdenes[[#This Row],[tipo_ot]]="","",_xlfn.XLOOKUP(tblOrdenes[[#This Row],[tipo_ot]],tblTiposOT[codigo],tblTiposOT[clasificacion],"sin_clasificar"))</f>
        <v/>
      </c>
      <c r="V3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6" s="5">
        <f>IF(tblOrdenes[[#This Row],[centro_costo]]="","",_xlfn.XLOOKUP(tblOrdenes[[#This Row],[centro_costo]],tblCECO[codigo],tblCECO[linea],"(sin catálogo)"))</f>
        <v/>
      </c>
      <c r="X306" s="5">
        <f>IF(tblOrdenes[[#This Row],[centro_costo]]="","",_xlfn.XLOOKUP(tblOrdenes[[#This Row],[centro_costo]],tblCECO[codigo],tblCECO[area],"(sin catálogo)"))</f>
        <v/>
      </c>
      <c r="Y3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6" s="5">
        <f>IF(tblOrdenes[[#This Row],[centro_costo]]="","",_xlfn.XLOOKUP(tblOrdenes[[#This Row],[centro_costo]],tblCECO[codigo],tblCECO[coordinador],"(sin catálogo)"))</f>
        <v/>
      </c>
      <c r="AA306" s="5">
        <f>IF(tblOrdenes[[#This Row],[puesto_trabajo]]="","",_xlfn.XLOOKUP(tblOrdenes[[#This Row],[puesto_trabajo]],tblPuestos[codigo],tblPuestos[especialidad],"(sin catálogo)"))</f>
        <v/>
      </c>
      <c r="AB306" s="5">
        <f>IF(tblOrdenes[[#This Row],[cod_actividad]]="","",_xlfn.XLOOKUP(tblOrdenes[[#This Row],[cod_actividad]],tblActividades[codigo],tblActividades[descripcion],"(sin catálogo)"))</f>
        <v/>
      </c>
      <c r="AC306" s="20">
        <f>IF(tblOrdenes[[#This Row],[fecha_inicio]]="","",TODAY()-tblOrdenes[[#This Row],[fecha_inicio]])</f>
        <v/>
      </c>
      <c r="AD3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6" s="5">
        <f>IF(tblOrdenes[[#This Row],[backlog_habiles]]="","",IF(tblOrdenes[[#This Row],[backlog_habiles]]&lt;0,"FUTURO",IF(tblOrdenes[[#This Row],[backlog_habiles]]&gt;p_dias_backlog_max,"BACKLOG","MES CORRIENTE")))</f>
        <v/>
      </c>
      <c r="AF306" s="5">
        <f>IF(tblOrdenes[[#This Row],[backlog_habiles]]="",FALSE,AND(tblOrdenes[[#This Row],[backlog_habiles]]&gt;p_dias_backlog_min,tblOrdenes[[#This Row],[backlog_habiles]]&lt;=p_dias_backlog_max))</f>
        <v/>
      </c>
      <c r="AG306" s="4" t="n"/>
      <c r="AH3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6" s="18">
        <f>IF(tblOrdenes[[#This Row],[orden]]="","",_xlfn.XLOOKUP(tblOrdenes[[#This Row],[id_operacion]],tblEjecucion[id_operacion],tblEjecucion[precio],0))</f>
        <v/>
      </c>
      <c r="AL306" s="18">
        <f>IF(tblOrdenes[[#This Row],[orden]]="","",MAX(0,_xlfn.XLOOKUP(tblOrdenes[[#This Row],[id_operacion]],tblEjecucion[id_operacion],tblEjecucion[costo_plan_total],0)-tblOrdenes[[#This Row],[costo_servicio]]))</f>
        <v/>
      </c>
      <c r="AM306" s="18">
        <f>IF(tblOrdenes[[#This Row],[orden]]="","",tblOrdenes[[#This Row],[costo_servicio]]+tblOrdenes[[#This Row],[costo_materiales]])</f>
        <v/>
      </c>
      <c r="AN3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6" s="4" t="n"/>
      <c r="AP306" s="4" t="n"/>
      <c r="AQ306" s="4" t="n"/>
      <c r="AR306" s="5">
        <f>IF(tblOrdenes[[#This Row],[link_checklist]]="","",HYPERLINK(p_ruta_base_checklists&amp;tblOrdenes[[#This Row],[link_checklist]],"abrir"))</f>
        <v/>
      </c>
      <c r="AS306" s="4" t="n"/>
      <c r="AT306" s="5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22" t="n"/>
      <c r="K307" s="5" t="n"/>
      <c r="L307" s="18" t="n"/>
      <c r="M3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5">
        <f>IF(tblOrdenes[[#This Row],[fecha_inicio]]="","",YEAR(tblOrdenes[[#This Row],[fecha_inicio]]))</f>
        <v/>
      </c>
      <c r="Q307" s="5">
        <f>IF(tblOrdenes[[#This Row],[fecha_inicio]]="","",MONTH(tblOrdenes[[#This Row],[fecha_inicio]]))</f>
        <v/>
      </c>
      <c r="R307" s="5">
        <f>IF(tblOrdenes[[#This Row],[fecha_inicio]]="","",tblOrdenes[[#This Row],[anio]]&amp;"-"&amp;TEXT(tblOrdenes[[#This Row],[mes]],"00"))</f>
        <v/>
      </c>
      <c r="S307" s="5">
        <f>IF(tblOrdenes[[#This Row],[fecha_inicio]]="","",INDEX(lista_dias,WEEKDAY(tblOrdenes[[#This Row],[fecha_inicio]],2)))</f>
        <v/>
      </c>
      <c r="T3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7" s="5">
        <f>IF(tblOrdenes[[#This Row],[tipo_ot]]="","",_xlfn.XLOOKUP(tblOrdenes[[#This Row],[tipo_ot]],tblTiposOT[codigo],tblTiposOT[clasificacion],"sin_clasificar"))</f>
        <v/>
      </c>
      <c r="V3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7" s="5">
        <f>IF(tblOrdenes[[#This Row],[centro_costo]]="","",_xlfn.XLOOKUP(tblOrdenes[[#This Row],[centro_costo]],tblCECO[codigo],tblCECO[linea],"(sin catálogo)"))</f>
        <v/>
      </c>
      <c r="X307" s="5">
        <f>IF(tblOrdenes[[#This Row],[centro_costo]]="","",_xlfn.XLOOKUP(tblOrdenes[[#This Row],[centro_costo]],tblCECO[codigo],tblCECO[area],"(sin catálogo)"))</f>
        <v/>
      </c>
      <c r="Y3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7" s="5">
        <f>IF(tblOrdenes[[#This Row],[centro_costo]]="","",_xlfn.XLOOKUP(tblOrdenes[[#This Row],[centro_costo]],tblCECO[codigo],tblCECO[coordinador],"(sin catálogo)"))</f>
        <v/>
      </c>
      <c r="AA307" s="5">
        <f>IF(tblOrdenes[[#This Row],[puesto_trabajo]]="","",_xlfn.XLOOKUP(tblOrdenes[[#This Row],[puesto_trabajo]],tblPuestos[codigo],tblPuestos[especialidad],"(sin catálogo)"))</f>
        <v/>
      </c>
      <c r="AB307" s="5">
        <f>IF(tblOrdenes[[#This Row],[cod_actividad]]="","",_xlfn.XLOOKUP(tblOrdenes[[#This Row],[cod_actividad]],tblActividades[codigo],tblActividades[descripcion],"(sin catálogo)"))</f>
        <v/>
      </c>
      <c r="AC307" s="20">
        <f>IF(tblOrdenes[[#This Row],[fecha_inicio]]="","",TODAY()-tblOrdenes[[#This Row],[fecha_inicio]])</f>
        <v/>
      </c>
      <c r="AD3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7" s="5">
        <f>IF(tblOrdenes[[#This Row],[backlog_habiles]]="","",IF(tblOrdenes[[#This Row],[backlog_habiles]]&lt;0,"FUTURO",IF(tblOrdenes[[#This Row],[backlog_habiles]]&gt;p_dias_backlog_max,"BACKLOG","MES CORRIENTE")))</f>
        <v/>
      </c>
      <c r="AF307" s="5">
        <f>IF(tblOrdenes[[#This Row],[backlog_habiles]]="",FALSE,AND(tblOrdenes[[#This Row],[backlog_habiles]]&gt;p_dias_backlog_min,tblOrdenes[[#This Row],[backlog_habiles]]&lt;=p_dias_backlog_max))</f>
        <v/>
      </c>
      <c r="AG307" s="4" t="n"/>
      <c r="AH3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7" s="18">
        <f>IF(tblOrdenes[[#This Row],[orden]]="","",_xlfn.XLOOKUP(tblOrdenes[[#This Row],[id_operacion]],tblEjecucion[id_operacion],tblEjecucion[precio],0))</f>
        <v/>
      </c>
      <c r="AL307" s="18">
        <f>IF(tblOrdenes[[#This Row],[orden]]="","",MAX(0,_xlfn.XLOOKUP(tblOrdenes[[#This Row],[id_operacion]],tblEjecucion[id_operacion],tblEjecucion[costo_plan_total],0)-tblOrdenes[[#This Row],[costo_servicio]]))</f>
        <v/>
      </c>
      <c r="AM307" s="18">
        <f>IF(tblOrdenes[[#This Row],[orden]]="","",tblOrdenes[[#This Row],[costo_servicio]]+tblOrdenes[[#This Row],[costo_materiales]])</f>
        <v/>
      </c>
      <c r="AN3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7" s="4" t="n"/>
      <c r="AP307" s="4" t="n"/>
      <c r="AQ307" s="4" t="n"/>
      <c r="AR307" s="5">
        <f>IF(tblOrdenes[[#This Row],[link_checklist]]="","",HYPERLINK(p_ruta_base_checklists&amp;tblOrdenes[[#This Row],[link_checklist]],"abrir"))</f>
        <v/>
      </c>
      <c r="AS307" s="4" t="n"/>
      <c r="AT307" s="5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22" t="n"/>
      <c r="K308" s="5" t="n"/>
      <c r="L308" s="18" t="n"/>
      <c r="M3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5">
        <f>IF(tblOrdenes[[#This Row],[fecha_inicio]]="","",YEAR(tblOrdenes[[#This Row],[fecha_inicio]]))</f>
        <v/>
      </c>
      <c r="Q308" s="5">
        <f>IF(tblOrdenes[[#This Row],[fecha_inicio]]="","",MONTH(tblOrdenes[[#This Row],[fecha_inicio]]))</f>
        <v/>
      </c>
      <c r="R308" s="5">
        <f>IF(tblOrdenes[[#This Row],[fecha_inicio]]="","",tblOrdenes[[#This Row],[anio]]&amp;"-"&amp;TEXT(tblOrdenes[[#This Row],[mes]],"00"))</f>
        <v/>
      </c>
      <c r="S308" s="5">
        <f>IF(tblOrdenes[[#This Row],[fecha_inicio]]="","",INDEX(lista_dias,WEEKDAY(tblOrdenes[[#This Row],[fecha_inicio]],2)))</f>
        <v/>
      </c>
      <c r="T3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8" s="5">
        <f>IF(tblOrdenes[[#This Row],[tipo_ot]]="","",_xlfn.XLOOKUP(tblOrdenes[[#This Row],[tipo_ot]],tblTiposOT[codigo],tblTiposOT[clasificacion],"sin_clasificar"))</f>
        <v/>
      </c>
      <c r="V3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8" s="5">
        <f>IF(tblOrdenes[[#This Row],[centro_costo]]="","",_xlfn.XLOOKUP(tblOrdenes[[#This Row],[centro_costo]],tblCECO[codigo],tblCECO[linea],"(sin catálogo)"))</f>
        <v/>
      </c>
      <c r="X308" s="5">
        <f>IF(tblOrdenes[[#This Row],[centro_costo]]="","",_xlfn.XLOOKUP(tblOrdenes[[#This Row],[centro_costo]],tblCECO[codigo],tblCECO[area],"(sin catálogo)"))</f>
        <v/>
      </c>
      <c r="Y3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8" s="5">
        <f>IF(tblOrdenes[[#This Row],[centro_costo]]="","",_xlfn.XLOOKUP(tblOrdenes[[#This Row],[centro_costo]],tblCECO[codigo],tblCECO[coordinador],"(sin catálogo)"))</f>
        <v/>
      </c>
      <c r="AA308" s="5">
        <f>IF(tblOrdenes[[#This Row],[puesto_trabajo]]="","",_xlfn.XLOOKUP(tblOrdenes[[#This Row],[puesto_trabajo]],tblPuestos[codigo],tblPuestos[especialidad],"(sin catálogo)"))</f>
        <v/>
      </c>
      <c r="AB308" s="5">
        <f>IF(tblOrdenes[[#This Row],[cod_actividad]]="","",_xlfn.XLOOKUP(tblOrdenes[[#This Row],[cod_actividad]],tblActividades[codigo],tblActividades[descripcion],"(sin catálogo)"))</f>
        <v/>
      </c>
      <c r="AC308" s="20">
        <f>IF(tblOrdenes[[#This Row],[fecha_inicio]]="","",TODAY()-tblOrdenes[[#This Row],[fecha_inicio]])</f>
        <v/>
      </c>
      <c r="AD3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8" s="5">
        <f>IF(tblOrdenes[[#This Row],[backlog_habiles]]="","",IF(tblOrdenes[[#This Row],[backlog_habiles]]&lt;0,"FUTURO",IF(tblOrdenes[[#This Row],[backlog_habiles]]&gt;p_dias_backlog_max,"BACKLOG","MES CORRIENTE")))</f>
        <v/>
      </c>
      <c r="AF308" s="5">
        <f>IF(tblOrdenes[[#This Row],[backlog_habiles]]="",FALSE,AND(tblOrdenes[[#This Row],[backlog_habiles]]&gt;p_dias_backlog_min,tblOrdenes[[#This Row],[backlog_habiles]]&lt;=p_dias_backlog_max))</f>
        <v/>
      </c>
      <c r="AG308" s="4" t="n"/>
      <c r="AH3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8" s="18">
        <f>IF(tblOrdenes[[#This Row],[orden]]="","",_xlfn.XLOOKUP(tblOrdenes[[#This Row],[id_operacion]],tblEjecucion[id_operacion],tblEjecucion[precio],0))</f>
        <v/>
      </c>
      <c r="AL308" s="18">
        <f>IF(tblOrdenes[[#This Row],[orden]]="","",MAX(0,_xlfn.XLOOKUP(tblOrdenes[[#This Row],[id_operacion]],tblEjecucion[id_operacion],tblEjecucion[costo_plan_total],0)-tblOrdenes[[#This Row],[costo_servicio]]))</f>
        <v/>
      </c>
      <c r="AM308" s="18">
        <f>IF(tblOrdenes[[#This Row],[orden]]="","",tblOrdenes[[#This Row],[costo_servicio]]+tblOrdenes[[#This Row],[costo_materiales]])</f>
        <v/>
      </c>
      <c r="AN3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8" s="4" t="n"/>
      <c r="AP308" s="4" t="n"/>
      <c r="AQ308" s="4" t="n"/>
      <c r="AR308" s="5">
        <f>IF(tblOrdenes[[#This Row],[link_checklist]]="","",HYPERLINK(p_ruta_base_checklists&amp;tblOrdenes[[#This Row],[link_checklist]],"abrir"))</f>
        <v/>
      </c>
      <c r="AS308" s="4" t="n"/>
      <c r="AT308" s="5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22" t="n"/>
      <c r="K309" s="5" t="n"/>
      <c r="L309" s="18" t="n"/>
      <c r="M3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5">
        <f>IF(tblOrdenes[[#This Row],[fecha_inicio]]="","",YEAR(tblOrdenes[[#This Row],[fecha_inicio]]))</f>
        <v/>
      </c>
      <c r="Q309" s="5">
        <f>IF(tblOrdenes[[#This Row],[fecha_inicio]]="","",MONTH(tblOrdenes[[#This Row],[fecha_inicio]]))</f>
        <v/>
      </c>
      <c r="R309" s="5">
        <f>IF(tblOrdenes[[#This Row],[fecha_inicio]]="","",tblOrdenes[[#This Row],[anio]]&amp;"-"&amp;TEXT(tblOrdenes[[#This Row],[mes]],"00"))</f>
        <v/>
      </c>
      <c r="S309" s="5">
        <f>IF(tblOrdenes[[#This Row],[fecha_inicio]]="","",INDEX(lista_dias,WEEKDAY(tblOrdenes[[#This Row],[fecha_inicio]],2)))</f>
        <v/>
      </c>
      <c r="T3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9" s="5">
        <f>IF(tblOrdenes[[#This Row],[tipo_ot]]="","",_xlfn.XLOOKUP(tblOrdenes[[#This Row],[tipo_ot]],tblTiposOT[codigo],tblTiposOT[clasificacion],"sin_clasificar"))</f>
        <v/>
      </c>
      <c r="V3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9" s="5">
        <f>IF(tblOrdenes[[#This Row],[centro_costo]]="","",_xlfn.XLOOKUP(tblOrdenes[[#This Row],[centro_costo]],tblCECO[codigo],tblCECO[linea],"(sin catálogo)"))</f>
        <v/>
      </c>
      <c r="X309" s="5">
        <f>IF(tblOrdenes[[#This Row],[centro_costo]]="","",_xlfn.XLOOKUP(tblOrdenes[[#This Row],[centro_costo]],tblCECO[codigo],tblCECO[area],"(sin catálogo)"))</f>
        <v/>
      </c>
      <c r="Y3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09" s="5">
        <f>IF(tblOrdenes[[#This Row],[centro_costo]]="","",_xlfn.XLOOKUP(tblOrdenes[[#This Row],[centro_costo]],tblCECO[codigo],tblCECO[coordinador],"(sin catálogo)"))</f>
        <v/>
      </c>
      <c r="AA309" s="5">
        <f>IF(tblOrdenes[[#This Row],[puesto_trabajo]]="","",_xlfn.XLOOKUP(tblOrdenes[[#This Row],[puesto_trabajo]],tblPuestos[codigo],tblPuestos[especialidad],"(sin catálogo)"))</f>
        <v/>
      </c>
      <c r="AB309" s="5">
        <f>IF(tblOrdenes[[#This Row],[cod_actividad]]="","",_xlfn.XLOOKUP(tblOrdenes[[#This Row],[cod_actividad]],tblActividades[codigo],tblActividades[descripcion],"(sin catálogo)"))</f>
        <v/>
      </c>
      <c r="AC309" s="20">
        <f>IF(tblOrdenes[[#This Row],[fecha_inicio]]="","",TODAY()-tblOrdenes[[#This Row],[fecha_inicio]])</f>
        <v/>
      </c>
      <c r="AD3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09" s="5">
        <f>IF(tblOrdenes[[#This Row],[backlog_habiles]]="","",IF(tblOrdenes[[#This Row],[backlog_habiles]]&lt;0,"FUTURO",IF(tblOrdenes[[#This Row],[backlog_habiles]]&gt;p_dias_backlog_max,"BACKLOG","MES CORRIENTE")))</f>
        <v/>
      </c>
      <c r="AF309" s="5">
        <f>IF(tblOrdenes[[#This Row],[backlog_habiles]]="",FALSE,AND(tblOrdenes[[#This Row],[backlog_habiles]]&gt;p_dias_backlog_min,tblOrdenes[[#This Row],[backlog_habiles]]&lt;=p_dias_backlog_max))</f>
        <v/>
      </c>
      <c r="AG309" s="4" t="n"/>
      <c r="AH3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09" s="18">
        <f>IF(tblOrdenes[[#This Row],[orden]]="","",_xlfn.XLOOKUP(tblOrdenes[[#This Row],[id_operacion]],tblEjecucion[id_operacion],tblEjecucion[precio],0))</f>
        <v/>
      </c>
      <c r="AL309" s="18">
        <f>IF(tblOrdenes[[#This Row],[orden]]="","",MAX(0,_xlfn.XLOOKUP(tblOrdenes[[#This Row],[id_operacion]],tblEjecucion[id_operacion],tblEjecucion[costo_plan_total],0)-tblOrdenes[[#This Row],[costo_servicio]]))</f>
        <v/>
      </c>
      <c r="AM309" s="18">
        <f>IF(tblOrdenes[[#This Row],[orden]]="","",tblOrdenes[[#This Row],[costo_servicio]]+tblOrdenes[[#This Row],[costo_materiales]])</f>
        <v/>
      </c>
      <c r="AN3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09" s="4" t="n"/>
      <c r="AP309" s="4" t="n"/>
      <c r="AQ309" s="4" t="n"/>
      <c r="AR309" s="5">
        <f>IF(tblOrdenes[[#This Row],[link_checklist]]="","",HYPERLINK(p_ruta_base_checklists&amp;tblOrdenes[[#This Row],[link_checklist]],"abrir"))</f>
        <v/>
      </c>
      <c r="AS309" s="4" t="n"/>
      <c r="AT309" s="5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22" t="n"/>
      <c r="K310" s="5" t="n"/>
      <c r="L310" s="18" t="n"/>
      <c r="M3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5">
        <f>IF(tblOrdenes[[#This Row],[fecha_inicio]]="","",YEAR(tblOrdenes[[#This Row],[fecha_inicio]]))</f>
        <v/>
      </c>
      <c r="Q310" s="5">
        <f>IF(tblOrdenes[[#This Row],[fecha_inicio]]="","",MONTH(tblOrdenes[[#This Row],[fecha_inicio]]))</f>
        <v/>
      </c>
      <c r="R310" s="5">
        <f>IF(tblOrdenes[[#This Row],[fecha_inicio]]="","",tblOrdenes[[#This Row],[anio]]&amp;"-"&amp;TEXT(tblOrdenes[[#This Row],[mes]],"00"))</f>
        <v/>
      </c>
      <c r="S310" s="5">
        <f>IF(tblOrdenes[[#This Row],[fecha_inicio]]="","",INDEX(lista_dias,WEEKDAY(tblOrdenes[[#This Row],[fecha_inicio]],2)))</f>
        <v/>
      </c>
      <c r="T3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0" s="5">
        <f>IF(tblOrdenes[[#This Row],[tipo_ot]]="","",_xlfn.XLOOKUP(tblOrdenes[[#This Row],[tipo_ot]],tblTiposOT[codigo],tblTiposOT[clasificacion],"sin_clasificar"))</f>
        <v/>
      </c>
      <c r="V3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0" s="5">
        <f>IF(tblOrdenes[[#This Row],[centro_costo]]="","",_xlfn.XLOOKUP(tblOrdenes[[#This Row],[centro_costo]],tblCECO[codigo],tblCECO[linea],"(sin catálogo)"))</f>
        <v/>
      </c>
      <c r="X310" s="5">
        <f>IF(tblOrdenes[[#This Row],[centro_costo]]="","",_xlfn.XLOOKUP(tblOrdenes[[#This Row],[centro_costo]],tblCECO[codigo],tblCECO[area],"(sin catálogo)"))</f>
        <v/>
      </c>
      <c r="Y3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0" s="5">
        <f>IF(tblOrdenes[[#This Row],[centro_costo]]="","",_xlfn.XLOOKUP(tblOrdenes[[#This Row],[centro_costo]],tblCECO[codigo],tblCECO[coordinador],"(sin catálogo)"))</f>
        <v/>
      </c>
      <c r="AA310" s="5">
        <f>IF(tblOrdenes[[#This Row],[puesto_trabajo]]="","",_xlfn.XLOOKUP(tblOrdenes[[#This Row],[puesto_trabajo]],tblPuestos[codigo],tblPuestos[especialidad],"(sin catálogo)"))</f>
        <v/>
      </c>
      <c r="AB310" s="5">
        <f>IF(tblOrdenes[[#This Row],[cod_actividad]]="","",_xlfn.XLOOKUP(tblOrdenes[[#This Row],[cod_actividad]],tblActividades[codigo],tblActividades[descripcion],"(sin catálogo)"))</f>
        <v/>
      </c>
      <c r="AC310" s="20">
        <f>IF(tblOrdenes[[#This Row],[fecha_inicio]]="","",TODAY()-tblOrdenes[[#This Row],[fecha_inicio]])</f>
        <v/>
      </c>
      <c r="AD3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0" s="5">
        <f>IF(tblOrdenes[[#This Row],[backlog_habiles]]="","",IF(tblOrdenes[[#This Row],[backlog_habiles]]&lt;0,"FUTURO",IF(tblOrdenes[[#This Row],[backlog_habiles]]&gt;p_dias_backlog_max,"BACKLOG","MES CORRIENTE")))</f>
        <v/>
      </c>
      <c r="AF310" s="5">
        <f>IF(tblOrdenes[[#This Row],[backlog_habiles]]="",FALSE,AND(tblOrdenes[[#This Row],[backlog_habiles]]&gt;p_dias_backlog_min,tblOrdenes[[#This Row],[backlog_habiles]]&lt;=p_dias_backlog_max))</f>
        <v/>
      </c>
      <c r="AG310" s="4" t="n"/>
      <c r="AH3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0" s="18">
        <f>IF(tblOrdenes[[#This Row],[orden]]="","",_xlfn.XLOOKUP(tblOrdenes[[#This Row],[id_operacion]],tblEjecucion[id_operacion],tblEjecucion[precio],0))</f>
        <v/>
      </c>
      <c r="AL310" s="18">
        <f>IF(tblOrdenes[[#This Row],[orden]]="","",MAX(0,_xlfn.XLOOKUP(tblOrdenes[[#This Row],[id_operacion]],tblEjecucion[id_operacion],tblEjecucion[costo_plan_total],0)-tblOrdenes[[#This Row],[costo_servicio]]))</f>
        <v/>
      </c>
      <c r="AM310" s="18">
        <f>IF(tblOrdenes[[#This Row],[orden]]="","",tblOrdenes[[#This Row],[costo_servicio]]+tblOrdenes[[#This Row],[costo_materiales]])</f>
        <v/>
      </c>
      <c r="AN3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0" s="4" t="n"/>
      <c r="AP310" s="4" t="n"/>
      <c r="AQ310" s="4" t="n"/>
      <c r="AR310" s="5">
        <f>IF(tblOrdenes[[#This Row],[link_checklist]]="","",HYPERLINK(p_ruta_base_checklists&amp;tblOrdenes[[#This Row],[link_checklist]],"abrir"))</f>
        <v/>
      </c>
      <c r="AS310" s="4" t="n"/>
      <c r="AT310" s="5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22" t="n"/>
      <c r="K311" s="5" t="n"/>
      <c r="L311" s="18" t="n"/>
      <c r="M3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5">
        <f>IF(tblOrdenes[[#This Row],[fecha_inicio]]="","",YEAR(tblOrdenes[[#This Row],[fecha_inicio]]))</f>
        <v/>
      </c>
      <c r="Q311" s="5">
        <f>IF(tblOrdenes[[#This Row],[fecha_inicio]]="","",MONTH(tblOrdenes[[#This Row],[fecha_inicio]]))</f>
        <v/>
      </c>
      <c r="R311" s="5">
        <f>IF(tblOrdenes[[#This Row],[fecha_inicio]]="","",tblOrdenes[[#This Row],[anio]]&amp;"-"&amp;TEXT(tblOrdenes[[#This Row],[mes]],"00"))</f>
        <v/>
      </c>
      <c r="S311" s="5">
        <f>IF(tblOrdenes[[#This Row],[fecha_inicio]]="","",INDEX(lista_dias,WEEKDAY(tblOrdenes[[#This Row],[fecha_inicio]],2)))</f>
        <v/>
      </c>
      <c r="T3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1" s="5">
        <f>IF(tblOrdenes[[#This Row],[tipo_ot]]="","",_xlfn.XLOOKUP(tblOrdenes[[#This Row],[tipo_ot]],tblTiposOT[codigo],tblTiposOT[clasificacion],"sin_clasificar"))</f>
        <v/>
      </c>
      <c r="V3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1" s="5">
        <f>IF(tblOrdenes[[#This Row],[centro_costo]]="","",_xlfn.XLOOKUP(tblOrdenes[[#This Row],[centro_costo]],tblCECO[codigo],tblCECO[linea],"(sin catálogo)"))</f>
        <v/>
      </c>
      <c r="X311" s="5">
        <f>IF(tblOrdenes[[#This Row],[centro_costo]]="","",_xlfn.XLOOKUP(tblOrdenes[[#This Row],[centro_costo]],tblCECO[codigo],tblCECO[area],"(sin catálogo)"))</f>
        <v/>
      </c>
      <c r="Y3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1" s="5">
        <f>IF(tblOrdenes[[#This Row],[centro_costo]]="","",_xlfn.XLOOKUP(tblOrdenes[[#This Row],[centro_costo]],tblCECO[codigo],tblCECO[coordinador],"(sin catálogo)"))</f>
        <v/>
      </c>
      <c r="AA311" s="5">
        <f>IF(tblOrdenes[[#This Row],[puesto_trabajo]]="","",_xlfn.XLOOKUP(tblOrdenes[[#This Row],[puesto_trabajo]],tblPuestos[codigo],tblPuestos[especialidad],"(sin catálogo)"))</f>
        <v/>
      </c>
      <c r="AB311" s="5">
        <f>IF(tblOrdenes[[#This Row],[cod_actividad]]="","",_xlfn.XLOOKUP(tblOrdenes[[#This Row],[cod_actividad]],tblActividades[codigo],tblActividades[descripcion],"(sin catálogo)"))</f>
        <v/>
      </c>
      <c r="AC311" s="20">
        <f>IF(tblOrdenes[[#This Row],[fecha_inicio]]="","",TODAY()-tblOrdenes[[#This Row],[fecha_inicio]])</f>
        <v/>
      </c>
      <c r="AD3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1" s="5">
        <f>IF(tblOrdenes[[#This Row],[backlog_habiles]]="","",IF(tblOrdenes[[#This Row],[backlog_habiles]]&lt;0,"FUTURO",IF(tblOrdenes[[#This Row],[backlog_habiles]]&gt;p_dias_backlog_max,"BACKLOG","MES CORRIENTE")))</f>
        <v/>
      </c>
      <c r="AF311" s="5">
        <f>IF(tblOrdenes[[#This Row],[backlog_habiles]]="",FALSE,AND(tblOrdenes[[#This Row],[backlog_habiles]]&gt;p_dias_backlog_min,tblOrdenes[[#This Row],[backlog_habiles]]&lt;=p_dias_backlog_max))</f>
        <v/>
      </c>
      <c r="AG311" s="4" t="n"/>
      <c r="AH3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1" s="18">
        <f>IF(tblOrdenes[[#This Row],[orden]]="","",_xlfn.XLOOKUP(tblOrdenes[[#This Row],[id_operacion]],tblEjecucion[id_operacion],tblEjecucion[precio],0))</f>
        <v/>
      </c>
      <c r="AL311" s="18">
        <f>IF(tblOrdenes[[#This Row],[orden]]="","",MAX(0,_xlfn.XLOOKUP(tblOrdenes[[#This Row],[id_operacion]],tblEjecucion[id_operacion],tblEjecucion[costo_plan_total],0)-tblOrdenes[[#This Row],[costo_servicio]]))</f>
        <v/>
      </c>
      <c r="AM311" s="18">
        <f>IF(tblOrdenes[[#This Row],[orden]]="","",tblOrdenes[[#This Row],[costo_servicio]]+tblOrdenes[[#This Row],[costo_materiales]])</f>
        <v/>
      </c>
      <c r="AN3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1" s="4" t="n"/>
      <c r="AP311" s="4" t="n"/>
      <c r="AQ311" s="4" t="n"/>
      <c r="AR311" s="5">
        <f>IF(tblOrdenes[[#This Row],[link_checklist]]="","",HYPERLINK(p_ruta_base_checklists&amp;tblOrdenes[[#This Row],[link_checklist]],"abrir"))</f>
        <v/>
      </c>
      <c r="AS311" s="4" t="n"/>
      <c r="AT311" s="5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22" t="n"/>
      <c r="K312" s="5" t="n"/>
      <c r="L312" s="18" t="n"/>
      <c r="M3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5">
        <f>IF(tblOrdenes[[#This Row],[fecha_inicio]]="","",YEAR(tblOrdenes[[#This Row],[fecha_inicio]]))</f>
        <v/>
      </c>
      <c r="Q312" s="5">
        <f>IF(tblOrdenes[[#This Row],[fecha_inicio]]="","",MONTH(tblOrdenes[[#This Row],[fecha_inicio]]))</f>
        <v/>
      </c>
      <c r="R312" s="5">
        <f>IF(tblOrdenes[[#This Row],[fecha_inicio]]="","",tblOrdenes[[#This Row],[anio]]&amp;"-"&amp;TEXT(tblOrdenes[[#This Row],[mes]],"00"))</f>
        <v/>
      </c>
      <c r="S312" s="5">
        <f>IF(tblOrdenes[[#This Row],[fecha_inicio]]="","",INDEX(lista_dias,WEEKDAY(tblOrdenes[[#This Row],[fecha_inicio]],2)))</f>
        <v/>
      </c>
      <c r="T3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2" s="5">
        <f>IF(tblOrdenes[[#This Row],[tipo_ot]]="","",_xlfn.XLOOKUP(tblOrdenes[[#This Row],[tipo_ot]],tblTiposOT[codigo],tblTiposOT[clasificacion],"sin_clasificar"))</f>
        <v/>
      </c>
      <c r="V3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2" s="5">
        <f>IF(tblOrdenes[[#This Row],[centro_costo]]="","",_xlfn.XLOOKUP(tblOrdenes[[#This Row],[centro_costo]],tblCECO[codigo],tblCECO[linea],"(sin catálogo)"))</f>
        <v/>
      </c>
      <c r="X312" s="5">
        <f>IF(tblOrdenes[[#This Row],[centro_costo]]="","",_xlfn.XLOOKUP(tblOrdenes[[#This Row],[centro_costo]],tblCECO[codigo],tblCECO[area],"(sin catálogo)"))</f>
        <v/>
      </c>
      <c r="Y3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2" s="5">
        <f>IF(tblOrdenes[[#This Row],[centro_costo]]="","",_xlfn.XLOOKUP(tblOrdenes[[#This Row],[centro_costo]],tblCECO[codigo],tblCECO[coordinador],"(sin catálogo)"))</f>
        <v/>
      </c>
      <c r="AA312" s="5">
        <f>IF(tblOrdenes[[#This Row],[puesto_trabajo]]="","",_xlfn.XLOOKUP(tblOrdenes[[#This Row],[puesto_trabajo]],tblPuestos[codigo],tblPuestos[especialidad],"(sin catálogo)"))</f>
        <v/>
      </c>
      <c r="AB312" s="5">
        <f>IF(tblOrdenes[[#This Row],[cod_actividad]]="","",_xlfn.XLOOKUP(tblOrdenes[[#This Row],[cod_actividad]],tblActividades[codigo],tblActividades[descripcion],"(sin catálogo)"))</f>
        <v/>
      </c>
      <c r="AC312" s="20">
        <f>IF(tblOrdenes[[#This Row],[fecha_inicio]]="","",TODAY()-tblOrdenes[[#This Row],[fecha_inicio]])</f>
        <v/>
      </c>
      <c r="AD3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2" s="5">
        <f>IF(tblOrdenes[[#This Row],[backlog_habiles]]="","",IF(tblOrdenes[[#This Row],[backlog_habiles]]&lt;0,"FUTURO",IF(tblOrdenes[[#This Row],[backlog_habiles]]&gt;p_dias_backlog_max,"BACKLOG","MES CORRIENTE")))</f>
        <v/>
      </c>
      <c r="AF312" s="5">
        <f>IF(tblOrdenes[[#This Row],[backlog_habiles]]="",FALSE,AND(tblOrdenes[[#This Row],[backlog_habiles]]&gt;p_dias_backlog_min,tblOrdenes[[#This Row],[backlog_habiles]]&lt;=p_dias_backlog_max))</f>
        <v/>
      </c>
      <c r="AG312" s="4" t="n"/>
      <c r="AH3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2" s="18">
        <f>IF(tblOrdenes[[#This Row],[orden]]="","",_xlfn.XLOOKUP(tblOrdenes[[#This Row],[id_operacion]],tblEjecucion[id_operacion],tblEjecucion[precio],0))</f>
        <v/>
      </c>
      <c r="AL312" s="18">
        <f>IF(tblOrdenes[[#This Row],[orden]]="","",MAX(0,_xlfn.XLOOKUP(tblOrdenes[[#This Row],[id_operacion]],tblEjecucion[id_operacion],tblEjecucion[costo_plan_total],0)-tblOrdenes[[#This Row],[costo_servicio]]))</f>
        <v/>
      </c>
      <c r="AM312" s="18">
        <f>IF(tblOrdenes[[#This Row],[orden]]="","",tblOrdenes[[#This Row],[costo_servicio]]+tblOrdenes[[#This Row],[costo_materiales]])</f>
        <v/>
      </c>
      <c r="AN3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2" s="4" t="n"/>
      <c r="AP312" s="4" t="n"/>
      <c r="AQ312" s="4" t="n"/>
      <c r="AR312" s="5">
        <f>IF(tblOrdenes[[#This Row],[link_checklist]]="","",HYPERLINK(p_ruta_base_checklists&amp;tblOrdenes[[#This Row],[link_checklist]],"abrir"))</f>
        <v/>
      </c>
      <c r="AS312" s="4" t="n"/>
      <c r="AT312" s="5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22" t="n"/>
      <c r="K313" s="5" t="n"/>
      <c r="L313" s="18" t="n"/>
      <c r="M3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5">
        <f>IF(tblOrdenes[[#This Row],[fecha_inicio]]="","",YEAR(tblOrdenes[[#This Row],[fecha_inicio]]))</f>
        <v/>
      </c>
      <c r="Q313" s="5">
        <f>IF(tblOrdenes[[#This Row],[fecha_inicio]]="","",MONTH(tblOrdenes[[#This Row],[fecha_inicio]]))</f>
        <v/>
      </c>
      <c r="R313" s="5">
        <f>IF(tblOrdenes[[#This Row],[fecha_inicio]]="","",tblOrdenes[[#This Row],[anio]]&amp;"-"&amp;TEXT(tblOrdenes[[#This Row],[mes]],"00"))</f>
        <v/>
      </c>
      <c r="S313" s="5">
        <f>IF(tblOrdenes[[#This Row],[fecha_inicio]]="","",INDEX(lista_dias,WEEKDAY(tblOrdenes[[#This Row],[fecha_inicio]],2)))</f>
        <v/>
      </c>
      <c r="T3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3" s="5">
        <f>IF(tblOrdenes[[#This Row],[tipo_ot]]="","",_xlfn.XLOOKUP(tblOrdenes[[#This Row],[tipo_ot]],tblTiposOT[codigo],tblTiposOT[clasificacion],"sin_clasificar"))</f>
        <v/>
      </c>
      <c r="V3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3" s="5">
        <f>IF(tblOrdenes[[#This Row],[centro_costo]]="","",_xlfn.XLOOKUP(tblOrdenes[[#This Row],[centro_costo]],tblCECO[codigo],tblCECO[linea],"(sin catálogo)"))</f>
        <v/>
      </c>
      <c r="X313" s="5">
        <f>IF(tblOrdenes[[#This Row],[centro_costo]]="","",_xlfn.XLOOKUP(tblOrdenes[[#This Row],[centro_costo]],tblCECO[codigo],tblCECO[area],"(sin catálogo)"))</f>
        <v/>
      </c>
      <c r="Y3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3" s="5">
        <f>IF(tblOrdenes[[#This Row],[centro_costo]]="","",_xlfn.XLOOKUP(tblOrdenes[[#This Row],[centro_costo]],tblCECO[codigo],tblCECO[coordinador],"(sin catálogo)"))</f>
        <v/>
      </c>
      <c r="AA313" s="5">
        <f>IF(tblOrdenes[[#This Row],[puesto_trabajo]]="","",_xlfn.XLOOKUP(tblOrdenes[[#This Row],[puesto_trabajo]],tblPuestos[codigo],tblPuestos[especialidad],"(sin catálogo)"))</f>
        <v/>
      </c>
      <c r="AB313" s="5">
        <f>IF(tblOrdenes[[#This Row],[cod_actividad]]="","",_xlfn.XLOOKUP(tblOrdenes[[#This Row],[cod_actividad]],tblActividades[codigo],tblActividades[descripcion],"(sin catálogo)"))</f>
        <v/>
      </c>
      <c r="AC313" s="20">
        <f>IF(tblOrdenes[[#This Row],[fecha_inicio]]="","",TODAY()-tblOrdenes[[#This Row],[fecha_inicio]])</f>
        <v/>
      </c>
      <c r="AD3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3" s="5">
        <f>IF(tblOrdenes[[#This Row],[backlog_habiles]]="","",IF(tblOrdenes[[#This Row],[backlog_habiles]]&lt;0,"FUTURO",IF(tblOrdenes[[#This Row],[backlog_habiles]]&gt;p_dias_backlog_max,"BACKLOG","MES CORRIENTE")))</f>
        <v/>
      </c>
      <c r="AF313" s="5">
        <f>IF(tblOrdenes[[#This Row],[backlog_habiles]]="",FALSE,AND(tblOrdenes[[#This Row],[backlog_habiles]]&gt;p_dias_backlog_min,tblOrdenes[[#This Row],[backlog_habiles]]&lt;=p_dias_backlog_max))</f>
        <v/>
      </c>
      <c r="AG313" s="4" t="n"/>
      <c r="AH3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3" s="18">
        <f>IF(tblOrdenes[[#This Row],[orden]]="","",_xlfn.XLOOKUP(tblOrdenes[[#This Row],[id_operacion]],tblEjecucion[id_operacion],tblEjecucion[precio],0))</f>
        <v/>
      </c>
      <c r="AL313" s="18">
        <f>IF(tblOrdenes[[#This Row],[orden]]="","",MAX(0,_xlfn.XLOOKUP(tblOrdenes[[#This Row],[id_operacion]],tblEjecucion[id_operacion],tblEjecucion[costo_plan_total],0)-tblOrdenes[[#This Row],[costo_servicio]]))</f>
        <v/>
      </c>
      <c r="AM313" s="18">
        <f>IF(tblOrdenes[[#This Row],[orden]]="","",tblOrdenes[[#This Row],[costo_servicio]]+tblOrdenes[[#This Row],[costo_materiales]])</f>
        <v/>
      </c>
      <c r="AN3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3" s="4" t="n"/>
      <c r="AP313" s="4" t="n"/>
      <c r="AQ313" s="4" t="n"/>
      <c r="AR313" s="5">
        <f>IF(tblOrdenes[[#This Row],[link_checklist]]="","",HYPERLINK(p_ruta_base_checklists&amp;tblOrdenes[[#This Row],[link_checklist]],"abrir"))</f>
        <v/>
      </c>
      <c r="AS313" s="4" t="n"/>
      <c r="AT313" s="5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22" t="n"/>
      <c r="K314" s="5" t="n"/>
      <c r="L314" s="18" t="n"/>
      <c r="M3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5">
        <f>IF(tblOrdenes[[#This Row],[fecha_inicio]]="","",YEAR(tblOrdenes[[#This Row],[fecha_inicio]]))</f>
        <v/>
      </c>
      <c r="Q314" s="5">
        <f>IF(tblOrdenes[[#This Row],[fecha_inicio]]="","",MONTH(tblOrdenes[[#This Row],[fecha_inicio]]))</f>
        <v/>
      </c>
      <c r="R314" s="5">
        <f>IF(tblOrdenes[[#This Row],[fecha_inicio]]="","",tblOrdenes[[#This Row],[anio]]&amp;"-"&amp;TEXT(tblOrdenes[[#This Row],[mes]],"00"))</f>
        <v/>
      </c>
      <c r="S314" s="5">
        <f>IF(tblOrdenes[[#This Row],[fecha_inicio]]="","",INDEX(lista_dias,WEEKDAY(tblOrdenes[[#This Row],[fecha_inicio]],2)))</f>
        <v/>
      </c>
      <c r="T3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4" s="5">
        <f>IF(tblOrdenes[[#This Row],[tipo_ot]]="","",_xlfn.XLOOKUP(tblOrdenes[[#This Row],[tipo_ot]],tblTiposOT[codigo],tblTiposOT[clasificacion],"sin_clasificar"))</f>
        <v/>
      </c>
      <c r="V3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4" s="5">
        <f>IF(tblOrdenes[[#This Row],[centro_costo]]="","",_xlfn.XLOOKUP(tblOrdenes[[#This Row],[centro_costo]],tblCECO[codigo],tblCECO[linea],"(sin catálogo)"))</f>
        <v/>
      </c>
      <c r="X314" s="5">
        <f>IF(tblOrdenes[[#This Row],[centro_costo]]="","",_xlfn.XLOOKUP(tblOrdenes[[#This Row],[centro_costo]],tblCECO[codigo],tblCECO[area],"(sin catálogo)"))</f>
        <v/>
      </c>
      <c r="Y3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4" s="5">
        <f>IF(tblOrdenes[[#This Row],[centro_costo]]="","",_xlfn.XLOOKUP(tblOrdenes[[#This Row],[centro_costo]],tblCECO[codigo],tblCECO[coordinador],"(sin catálogo)"))</f>
        <v/>
      </c>
      <c r="AA314" s="5">
        <f>IF(tblOrdenes[[#This Row],[puesto_trabajo]]="","",_xlfn.XLOOKUP(tblOrdenes[[#This Row],[puesto_trabajo]],tblPuestos[codigo],tblPuestos[especialidad],"(sin catálogo)"))</f>
        <v/>
      </c>
      <c r="AB314" s="5">
        <f>IF(tblOrdenes[[#This Row],[cod_actividad]]="","",_xlfn.XLOOKUP(tblOrdenes[[#This Row],[cod_actividad]],tblActividades[codigo],tblActividades[descripcion],"(sin catálogo)"))</f>
        <v/>
      </c>
      <c r="AC314" s="20">
        <f>IF(tblOrdenes[[#This Row],[fecha_inicio]]="","",TODAY()-tblOrdenes[[#This Row],[fecha_inicio]])</f>
        <v/>
      </c>
      <c r="AD3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4" s="5">
        <f>IF(tblOrdenes[[#This Row],[backlog_habiles]]="","",IF(tblOrdenes[[#This Row],[backlog_habiles]]&lt;0,"FUTURO",IF(tblOrdenes[[#This Row],[backlog_habiles]]&gt;p_dias_backlog_max,"BACKLOG","MES CORRIENTE")))</f>
        <v/>
      </c>
      <c r="AF314" s="5">
        <f>IF(tblOrdenes[[#This Row],[backlog_habiles]]="",FALSE,AND(tblOrdenes[[#This Row],[backlog_habiles]]&gt;p_dias_backlog_min,tblOrdenes[[#This Row],[backlog_habiles]]&lt;=p_dias_backlog_max))</f>
        <v/>
      </c>
      <c r="AG314" s="4" t="n"/>
      <c r="AH3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4" s="18">
        <f>IF(tblOrdenes[[#This Row],[orden]]="","",_xlfn.XLOOKUP(tblOrdenes[[#This Row],[id_operacion]],tblEjecucion[id_operacion],tblEjecucion[precio],0))</f>
        <v/>
      </c>
      <c r="AL314" s="18">
        <f>IF(tblOrdenes[[#This Row],[orden]]="","",MAX(0,_xlfn.XLOOKUP(tblOrdenes[[#This Row],[id_operacion]],tblEjecucion[id_operacion],tblEjecucion[costo_plan_total],0)-tblOrdenes[[#This Row],[costo_servicio]]))</f>
        <v/>
      </c>
      <c r="AM314" s="18">
        <f>IF(tblOrdenes[[#This Row],[orden]]="","",tblOrdenes[[#This Row],[costo_servicio]]+tblOrdenes[[#This Row],[costo_materiales]])</f>
        <v/>
      </c>
      <c r="AN3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4" s="4" t="n"/>
      <c r="AP314" s="4" t="n"/>
      <c r="AQ314" s="4" t="n"/>
      <c r="AR314" s="5">
        <f>IF(tblOrdenes[[#This Row],[link_checklist]]="","",HYPERLINK(p_ruta_base_checklists&amp;tblOrdenes[[#This Row],[link_checklist]],"abrir"))</f>
        <v/>
      </c>
      <c r="AS314" s="4" t="n"/>
      <c r="AT314" s="5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22" t="n"/>
      <c r="K315" s="5" t="n"/>
      <c r="L315" s="18" t="n"/>
      <c r="M3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5">
        <f>IF(tblOrdenes[[#This Row],[fecha_inicio]]="","",YEAR(tblOrdenes[[#This Row],[fecha_inicio]]))</f>
        <v/>
      </c>
      <c r="Q315" s="5">
        <f>IF(tblOrdenes[[#This Row],[fecha_inicio]]="","",MONTH(tblOrdenes[[#This Row],[fecha_inicio]]))</f>
        <v/>
      </c>
      <c r="R315" s="5">
        <f>IF(tblOrdenes[[#This Row],[fecha_inicio]]="","",tblOrdenes[[#This Row],[anio]]&amp;"-"&amp;TEXT(tblOrdenes[[#This Row],[mes]],"00"))</f>
        <v/>
      </c>
      <c r="S315" s="5">
        <f>IF(tblOrdenes[[#This Row],[fecha_inicio]]="","",INDEX(lista_dias,WEEKDAY(tblOrdenes[[#This Row],[fecha_inicio]],2)))</f>
        <v/>
      </c>
      <c r="T3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5" s="5">
        <f>IF(tblOrdenes[[#This Row],[tipo_ot]]="","",_xlfn.XLOOKUP(tblOrdenes[[#This Row],[tipo_ot]],tblTiposOT[codigo],tblTiposOT[clasificacion],"sin_clasificar"))</f>
        <v/>
      </c>
      <c r="V3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5" s="5">
        <f>IF(tblOrdenes[[#This Row],[centro_costo]]="","",_xlfn.XLOOKUP(tblOrdenes[[#This Row],[centro_costo]],tblCECO[codigo],tblCECO[linea],"(sin catálogo)"))</f>
        <v/>
      </c>
      <c r="X315" s="5">
        <f>IF(tblOrdenes[[#This Row],[centro_costo]]="","",_xlfn.XLOOKUP(tblOrdenes[[#This Row],[centro_costo]],tblCECO[codigo],tblCECO[area],"(sin catálogo)"))</f>
        <v/>
      </c>
      <c r="Y3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5" s="5">
        <f>IF(tblOrdenes[[#This Row],[centro_costo]]="","",_xlfn.XLOOKUP(tblOrdenes[[#This Row],[centro_costo]],tblCECO[codigo],tblCECO[coordinador],"(sin catálogo)"))</f>
        <v/>
      </c>
      <c r="AA315" s="5">
        <f>IF(tblOrdenes[[#This Row],[puesto_trabajo]]="","",_xlfn.XLOOKUP(tblOrdenes[[#This Row],[puesto_trabajo]],tblPuestos[codigo],tblPuestos[especialidad],"(sin catálogo)"))</f>
        <v/>
      </c>
      <c r="AB315" s="5">
        <f>IF(tblOrdenes[[#This Row],[cod_actividad]]="","",_xlfn.XLOOKUP(tblOrdenes[[#This Row],[cod_actividad]],tblActividades[codigo],tblActividades[descripcion],"(sin catálogo)"))</f>
        <v/>
      </c>
      <c r="AC315" s="20">
        <f>IF(tblOrdenes[[#This Row],[fecha_inicio]]="","",TODAY()-tblOrdenes[[#This Row],[fecha_inicio]])</f>
        <v/>
      </c>
      <c r="AD3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5" s="5">
        <f>IF(tblOrdenes[[#This Row],[backlog_habiles]]="","",IF(tblOrdenes[[#This Row],[backlog_habiles]]&lt;0,"FUTURO",IF(tblOrdenes[[#This Row],[backlog_habiles]]&gt;p_dias_backlog_max,"BACKLOG","MES CORRIENTE")))</f>
        <v/>
      </c>
      <c r="AF315" s="5">
        <f>IF(tblOrdenes[[#This Row],[backlog_habiles]]="",FALSE,AND(tblOrdenes[[#This Row],[backlog_habiles]]&gt;p_dias_backlog_min,tblOrdenes[[#This Row],[backlog_habiles]]&lt;=p_dias_backlog_max))</f>
        <v/>
      </c>
      <c r="AG315" s="4" t="n"/>
      <c r="AH3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5" s="18">
        <f>IF(tblOrdenes[[#This Row],[orden]]="","",_xlfn.XLOOKUP(tblOrdenes[[#This Row],[id_operacion]],tblEjecucion[id_operacion],tblEjecucion[precio],0))</f>
        <v/>
      </c>
      <c r="AL315" s="18">
        <f>IF(tblOrdenes[[#This Row],[orden]]="","",MAX(0,_xlfn.XLOOKUP(tblOrdenes[[#This Row],[id_operacion]],tblEjecucion[id_operacion],tblEjecucion[costo_plan_total],0)-tblOrdenes[[#This Row],[costo_servicio]]))</f>
        <v/>
      </c>
      <c r="AM315" s="18">
        <f>IF(tblOrdenes[[#This Row],[orden]]="","",tblOrdenes[[#This Row],[costo_servicio]]+tblOrdenes[[#This Row],[costo_materiales]])</f>
        <v/>
      </c>
      <c r="AN3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5" s="4" t="n"/>
      <c r="AP315" s="4" t="n"/>
      <c r="AQ315" s="4" t="n"/>
      <c r="AR315" s="5">
        <f>IF(tblOrdenes[[#This Row],[link_checklist]]="","",HYPERLINK(p_ruta_base_checklists&amp;tblOrdenes[[#This Row],[link_checklist]],"abrir"))</f>
        <v/>
      </c>
      <c r="AS315" s="4" t="n"/>
      <c r="AT315" s="5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22" t="n"/>
      <c r="K316" s="5" t="n"/>
      <c r="L316" s="18" t="n"/>
      <c r="M3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5">
        <f>IF(tblOrdenes[[#This Row],[fecha_inicio]]="","",YEAR(tblOrdenes[[#This Row],[fecha_inicio]]))</f>
        <v/>
      </c>
      <c r="Q316" s="5">
        <f>IF(tblOrdenes[[#This Row],[fecha_inicio]]="","",MONTH(tblOrdenes[[#This Row],[fecha_inicio]]))</f>
        <v/>
      </c>
      <c r="R316" s="5">
        <f>IF(tblOrdenes[[#This Row],[fecha_inicio]]="","",tblOrdenes[[#This Row],[anio]]&amp;"-"&amp;TEXT(tblOrdenes[[#This Row],[mes]],"00"))</f>
        <v/>
      </c>
      <c r="S316" s="5">
        <f>IF(tblOrdenes[[#This Row],[fecha_inicio]]="","",INDEX(lista_dias,WEEKDAY(tblOrdenes[[#This Row],[fecha_inicio]],2)))</f>
        <v/>
      </c>
      <c r="T3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6" s="5">
        <f>IF(tblOrdenes[[#This Row],[tipo_ot]]="","",_xlfn.XLOOKUP(tblOrdenes[[#This Row],[tipo_ot]],tblTiposOT[codigo],tblTiposOT[clasificacion],"sin_clasificar"))</f>
        <v/>
      </c>
      <c r="V3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6" s="5">
        <f>IF(tblOrdenes[[#This Row],[centro_costo]]="","",_xlfn.XLOOKUP(tblOrdenes[[#This Row],[centro_costo]],tblCECO[codigo],tblCECO[linea],"(sin catálogo)"))</f>
        <v/>
      </c>
      <c r="X316" s="5">
        <f>IF(tblOrdenes[[#This Row],[centro_costo]]="","",_xlfn.XLOOKUP(tblOrdenes[[#This Row],[centro_costo]],tblCECO[codigo],tblCECO[area],"(sin catálogo)"))</f>
        <v/>
      </c>
      <c r="Y3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6" s="5">
        <f>IF(tblOrdenes[[#This Row],[centro_costo]]="","",_xlfn.XLOOKUP(tblOrdenes[[#This Row],[centro_costo]],tblCECO[codigo],tblCECO[coordinador],"(sin catálogo)"))</f>
        <v/>
      </c>
      <c r="AA316" s="5">
        <f>IF(tblOrdenes[[#This Row],[puesto_trabajo]]="","",_xlfn.XLOOKUP(tblOrdenes[[#This Row],[puesto_trabajo]],tblPuestos[codigo],tblPuestos[especialidad],"(sin catálogo)"))</f>
        <v/>
      </c>
      <c r="AB316" s="5">
        <f>IF(tblOrdenes[[#This Row],[cod_actividad]]="","",_xlfn.XLOOKUP(tblOrdenes[[#This Row],[cod_actividad]],tblActividades[codigo],tblActividades[descripcion],"(sin catálogo)"))</f>
        <v/>
      </c>
      <c r="AC316" s="20">
        <f>IF(tblOrdenes[[#This Row],[fecha_inicio]]="","",TODAY()-tblOrdenes[[#This Row],[fecha_inicio]])</f>
        <v/>
      </c>
      <c r="AD3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6" s="5">
        <f>IF(tblOrdenes[[#This Row],[backlog_habiles]]="","",IF(tblOrdenes[[#This Row],[backlog_habiles]]&lt;0,"FUTURO",IF(tblOrdenes[[#This Row],[backlog_habiles]]&gt;p_dias_backlog_max,"BACKLOG","MES CORRIENTE")))</f>
        <v/>
      </c>
      <c r="AF316" s="5">
        <f>IF(tblOrdenes[[#This Row],[backlog_habiles]]="",FALSE,AND(tblOrdenes[[#This Row],[backlog_habiles]]&gt;p_dias_backlog_min,tblOrdenes[[#This Row],[backlog_habiles]]&lt;=p_dias_backlog_max))</f>
        <v/>
      </c>
      <c r="AG316" s="4" t="n"/>
      <c r="AH3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6" s="18">
        <f>IF(tblOrdenes[[#This Row],[orden]]="","",_xlfn.XLOOKUP(tblOrdenes[[#This Row],[id_operacion]],tblEjecucion[id_operacion],tblEjecucion[precio],0))</f>
        <v/>
      </c>
      <c r="AL316" s="18">
        <f>IF(tblOrdenes[[#This Row],[orden]]="","",MAX(0,_xlfn.XLOOKUP(tblOrdenes[[#This Row],[id_operacion]],tblEjecucion[id_operacion],tblEjecucion[costo_plan_total],0)-tblOrdenes[[#This Row],[costo_servicio]]))</f>
        <v/>
      </c>
      <c r="AM316" s="18">
        <f>IF(tblOrdenes[[#This Row],[orden]]="","",tblOrdenes[[#This Row],[costo_servicio]]+tblOrdenes[[#This Row],[costo_materiales]])</f>
        <v/>
      </c>
      <c r="AN3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6" s="4" t="n"/>
      <c r="AP316" s="4" t="n"/>
      <c r="AQ316" s="4" t="n"/>
      <c r="AR316" s="5">
        <f>IF(tblOrdenes[[#This Row],[link_checklist]]="","",HYPERLINK(p_ruta_base_checklists&amp;tblOrdenes[[#This Row],[link_checklist]],"abrir"))</f>
        <v/>
      </c>
      <c r="AS316" s="4" t="n"/>
      <c r="AT316" s="5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22" t="n"/>
      <c r="K317" s="5" t="n"/>
      <c r="L317" s="18" t="n"/>
      <c r="M3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5">
        <f>IF(tblOrdenes[[#This Row],[fecha_inicio]]="","",YEAR(tblOrdenes[[#This Row],[fecha_inicio]]))</f>
        <v/>
      </c>
      <c r="Q317" s="5">
        <f>IF(tblOrdenes[[#This Row],[fecha_inicio]]="","",MONTH(tblOrdenes[[#This Row],[fecha_inicio]]))</f>
        <v/>
      </c>
      <c r="R317" s="5">
        <f>IF(tblOrdenes[[#This Row],[fecha_inicio]]="","",tblOrdenes[[#This Row],[anio]]&amp;"-"&amp;TEXT(tblOrdenes[[#This Row],[mes]],"00"))</f>
        <v/>
      </c>
      <c r="S317" s="5">
        <f>IF(tblOrdenes[[#This Row],[fecha_inicio]]="","",INDEX(lista_dias,WEEKDAY(tblOrdenes[[#This Row],[fecha_inicio]],2)))</f>
        <v/>
      </c>
      <c r="T3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7" s="5">
        <f>IF(tblOrdenes[[#This Row],[tipo_ot]]="","",_xlfn.XLOOKUP(tblOrdenes[[#This Row],[tipo_ot]],tblTiposOT[codigo],tblTiposOT[clasificacion],"sin_clasificar"))</f>
        <v/>
      </c>
      <c r="V3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7" s="5">
        <f>IF(tblOrdenes[[#This Row],[centro_costo]]="","",_xlfn.XLOOKUP(tblOrdenes[[#This Row],[centro_costo]],tblCECO[codigo],tblCECO[linea],"(sin catálogo)"))</f>
        <v/>
      </c>
      <c r="X317" s="5">
        <f>IF(tblOrdenes[[#This Row],[centro_costo]]="","",_xlfn.XLOOKUP(tblOrdenes[[#This Row],[centro_costo]],tblCECO[codigo],tblCECO[area],"(sin catálogo)"))</f>
        <v/>
      </c>
      <c r="Y3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7" s="5">
        <f>IF(tblOrdenes[[#This Row],[centro_costo]]="","",_xlfn.XLOOKUP(tblOrdenes[[#This Row],[centro_costo]],tblCECO[codigo],tblCECO[coordinador],"(sin catálogo)"))</f>
        <v/>
      </c>
      <c r="AA317" s="5">
        <f>IF(tblOrdenes[[#This Row],[puesto_trabajo]]="","",_xlfn.XLOOKUP(tblOrdenes[[#This Row],[puesto_trabajo]],tblPuestos[codigo],tblPuestos[especialidad],"(sin catálogo)"))</f>
        <v/>
      </c>
      <c r="AB317" s="5">
        <f>IF(tblOrdenes[[#This Row],[cod_actividad]]="","",_xlfn.XLOOKUP(tblOrdenes[[#This Row],[cod_actividad]],tblActividades[codigo],tblActividades[descripcion],"(sin catálogo)"))</f>
        <v/>
      </c>
      <c r="AC317" s="20">
        <f>IF(tblOrdenes[[#This Row],[fecha_inicio]]="","",TODAY()-tblOrdenes[[#This Row],[fecha_inicio]])</f>
        <v/>
      </c>
      <c r="AD3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7" s="5">
        <f>IF(tblOrdenes[[#This Row],[backlog_habiles]]="","",IF(tblOrdenes[[#This Row],[backlog_habiles]]&lt;0,"FUTURO",IF(tblOrdenes[[#This Row],[backlog_habiles]]&gt;p_dias_backlog_max,"BACKLOG","MES CORRIENTE")))</f>
        <v/>
      </c>
      <c r="AF317" s="5">
        <f>IF(tblOrdenes[[#This Row],[backlog_habiles]]="",FALSE,AND(tblOrdenes[[#This Row],[backlog_habiles]]&gt;p_dias_backlog_min,tblOrdenes[[#This Row],[backlog_habiles]]&lt;=p_dias_backlog_max))</f>
        <v/>
      </c>
      <c r="AG317" s="4" t="n"/>
      <c r="AH3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7" s="18">
        <f>IF(tblOrdenes[[#This Row],[orden]]="","",_xlfn.XLOOKUP(tblOrdenes[[#This Row],[id_operacion]],tblEjecucion[id_operacion],tblEjecucion[precio],0))</f>
        <v/>
      </c>
      <c r="AL317" s="18">
        <f>IF(tblOrdenes[[#This Row],[orden]]="","",MAX(0,_xlfn.XLOOKUP(tblOrdenes[[#This Row],[id_operacion]],tblEjecucion[id_operacion],tblEjecucion[costo_plan_total],0)-tblOrdenes[[#This Row],[costo_servicio]]))</f>
        <v/>
      </c>
      <c r="AM317" s="18">
        <f>IF(tblOrdenes[[#This Row],[orden]]="","",tblOrdenes[[#This Row],[costo_servicio]]+tblOrdenes[[#This Row],[costo_materiales]])</f>
        <v/>
      </c>
      <c r="AN3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7" s="4" t="n"/>
      <c r="AP317" s="4" t="n"/>
      <c r="AQ317" s="4" t="n"/>
      <c r="AR317" s="5">
        <f>IF(tblOrdenes[[#This Row],[link_checklist]]="","",HYPERLINK(p_ruta_base_checklists&amp;tblOrdenes[[#This Row],[link_checklist]],"abrir"))</f>
        <v/>
      </c>
      <c r="AS317" s="4" t="n"/>
      <c r="AT317" s="5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22" t="n"/>
      <c r="K318" s="5" t="n"/>
      <c r="L318" s="18" t="n"/>
      <c r="M3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5">
        <f>IF(tblOrdenes[[#This Row],[fecha_inicio]]="","",YEAR(tblOrdenes[[#This Row],[fecha_inicio]]))</f>
        <v/>
      </c>
      <c r="Q318" s="5">
        <f>IF(tblOrdenes[[#This Row],[fecha_inicio]]="","",MONTH(tblOrdenes[[#This Row],[fecha_inicio]]))</f>
        <v/>
      </c>
      <c r="R318" s="5">
        <f>IF(tblOrdenes[[#This Row],[fecha_inicio]]="","",tblOrdenes[[#This Row],[anio]]&amp;"-"&amp;TEXT(tblOrdenes[[#This Row],[mes]],"00"))</f>
        <v/>
      </c>
      <c r="S318" s="5">
        <f>IF(tblOrdenes[[#This Row],[fecha_inicio]]="","",INDEX(lista_dias,WEEKDAY(tblOrdenes[[#This Row],[fecha_inicio]],2)))</f>
        <v/>
      </c>
      <c r="T3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8" s="5">
        <f>IF(tblOrdenes[[#This Row],[tipo_ot]]="","",_xlfn.XLOOKUP(tblOrdenes[[#This Row],[tipo_ot]],tblTiposOT[codigo],tblTiposOT[clasificacion],"sin_clasificar"))</f>
        <v/>
      </c>
      <c r="V3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8" s="5">
        <f>IF(tblOrdenes[[#This Row],[centro_costo]]="","",_xlfn.XLOOKUP(tblOrdenes[[#This Row],[centro_costo]],tblCECO[codigo],tblCECO[linea],"(sin catálogo)"))</f>
        <v/>
      </c>
      <c r="X318" s="5">
        <f>IF(tblOrdenes[[#This Row],[centro_costo]]="","",_xlfn.XLOOKUP(tblOrdenes[[#This Row],[centro_costo]],tblCECO[codigo],tblCECO[area],"(sin catálogo)"))</f>
        <v/>
      </c>
      <c r="Y3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8" s="5">
        <f>IF(tblOrdenes[[#This Row],[centro_costo]]="","",_xlfn.XLOOKUP(tblOrdenes[[#This Row],[centro_costo]],tblCECO[codigo],tblCECO[coordinador],"(sin catálogo)"))</f>
        <v/>
      </c>
      <c r="AA318" s="5">
        <f>IF(tblOrdenes[[#This Row],[puesto_trabajo]]="","",_xlfn.XLOOKUP(tblOrdenes[[#This Row],[puesto_trabajo]],tblPuestos[codigo],tblPuestos[especialidad],"(sin catálogo)"))</f>
        <v/>
      </c>
      <c r="AB318" s="5">
        <f>IF(tblOrdenes[[#This Row],[cod_actividad]]="","",_xlfn.XLOOKUP(tblOrdenes[[#This Row],[cod_actividad]],tblActividades[codigo],tblActividades[descripcion],"(sin catálogo)"))</f>
        <v/>
      </c>
      <c r="AC318" s="20">
        <f>IF(tblOrdenes[[#This Row],[fecha_inicio]]="","",TODAY()-tblOrdenes[[#This Row],[fecha_inicio]])</f>
        <v/>
      </c>
      <c r="AD3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8" s="5">
        <f>IF(tblOrdenes[[#This Row],[backlog_habiles]]="","",IF(tblOrdenes[[#This Row],[backlog_habiles]]&lt;0,"FUTURO",IF(tblOrdenes[[#This Row],[backlog_habiles]]&gt;p_dias_backlog_max,"BACKLOG","MES CORRIENTE")))</f>
        <v/>
      </c>
      <c r="AF318" s="5">
        <f>IF(tblOrdenes[[#This Row],[backlog_habiles]]="",FALSE,AND(tblOrdenes[[#This Row],[backlog_habiles]]&gt;p_dias_backlog_min,tblOrdenes[[#This Row],[backlog_habiles]]&lt;=p_dias_backlog_max))</f>
        <v/>
      </c>
      <c r="AG318" s="4" t="n"/>
      <c r="AH3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8" s="18">
        <f>IF(tblOrdenes[[#This Row],[orden]]="","",_xlfn.XLOOKUP(tblOrdenes[[#This Row],[id_operacion]],tblEjecucion[id_operacion],tblEjecucion[precio],0))</f>
        <v/>
      </c>
      <c r="AL318" s="18">
        <f>IF(tblOrdenes[[#This Row],[orden]]="","",MAX(0,_xlfn.XLOOKUP(tblOrdenes[[#This Row],[id_operacion]],tblEjecucion[id_operacion],tblEjecucion[costo_plan_total],0)-tblOrdenes[[#This Row],[costo_servicio]]))</f>
        <v/>
      </c>
      <c r="AM318" s="18">
        <f>IF(tblOrdenes[[#This Row],[orden]]="","",tblOrdenes[[#This Row],[costo_servicio]]+tblOrdenes[[#This Row],[costo_materiales]])</f>
        <v/>
      </c>
      <c r="AN3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8" s="4" t="n"/>
      <c r="AP318" s="4" t="n"/>
      <c r="AQ318" s="4" t="n"/>
      <c r="AR318" s="5">
        <f>IF(tblOrdenes[[#This Row],[link_checklist]]="","",HYPERLINK(p_ruta_base_checklists&amp;tblOrdenes[[#This Row],[link_checklist]],"abrir"))</f>
        <v/>
      </c>
      <c r="AS318" s="4" t="n"/>
      <c r="AT318" s="5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22" t="n"/>
      <c r="K319" s="5" t="n"/>
      <c r="L319" s="18" t="n"/>
      <c r="M3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5">
        <f>IF(tblOrdenes[[#This Row],[fecha_inicio]]="","",YEAR(tblOrdenes[[#This Row],[fecha_inicio]]))</f>
        <v/>
      </c>
      <c r="Q319" s="5">
        <f>IF(tblOrdenes[[#This Row],[fecha_inicio]]="","",MONTH(tblOrdenes[[#This Row],[fecha_inicio]]))</f>
        <v/>
      </c>
      <c r="R319" s="5">
        <f>IF(tblOrdenes[[#This Row],[fecha_inicio]]="","",tblOrdenes[[#This Row],[anio]]&amp;"-"&amp;TEXT(tblOrdenes[[#This Row],[mes]],"00"))</f>
        <v/>
      </c>
      <c r="S319" s="5">
        <f>IF(tblOrdenes[[#This Row],[fecha_inicio]]="","",INDEX(lista_dias,WEEKDAY(tblOrdenes[[#This Row],[fecha_inicio]],2)))</f>
        <v/>
      </c>
      <c r="T3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9" s="5">
        <f>IF(tblOrdenes[[#This Row],[tipo_ot]]="","",_xlfn.XLOOKUP(tblOrdenes[[#This Row],[tipo_ot]],tblTiposOT[codigo],tblTiposOT[clasificacion],"sin_clasificar"))</f>
        <v/>
      </c>
      <c r="V3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9" s="5">
        <f>IF(tblOrdenes[[#This Row],[centro_costo]]="","",_xlfn.XLOOKUP(tblOrdenes[[#This Row],[centro_costo]],tblCECO[codigo],tblCECO[linea],"(sin catálogo)"))</f>
        <v/>
      </c>
      <c r="X319" s="5">
        <f>IF(tblOrdenes[[#This Row],[centro_costo]]="","",_xlfn.XLOOKUP(tblOrdenes[[#This Row],[centro_costo]],tblCECO[codigo],tblCECO[area],"(sin catálogo)"))</f>
        <v/>
      </c>
      <c r="Y3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19" s="5">
        <f>IF(tblOrdenes[[#This Row],[centro_costo]]="","",_xlfn.XLOOKUP(tblOrdenes[[#This Row],[centro_costo]],tblCECO[codigo],tblCECO[coordinador],"(sin catálogo)"))</f>
        <v/>
      </c>
      <c r="AA319" s="5">
        <f>IF(tblOrdenes[[#This Row],[puesto_trabajo]]="","",_xlfn.XLOOKUP(tblOrdenes[[#This Row],[puesto_trabajo]],tblPuestos[codigo],tblPuestos[especialidad],"(sin catálogo)"))</f>
        <v/>
      </c>
      <c r="AB319" s="5">
        <f>IF(tblOrdenes[[#This Row],[cod_actividad]]="","",_xlfn.XLOOKUP(tblOrdenes[[#This Row],[cod_actividad]],tblActividades[codigo],tblActividades[descripcion],"(sin catálogo)"))</f>
        <v/>
      </c>
      <c r="AC319" s="20">
        <f>IF(tblOrdenes[[#This Row],[fecha_inicio]]="","",TODAY()-tblOrdenes[[#This Row],[fecha_inicio]])</f>
        <v/>
      </c>
      <c r="AD3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19" s="5">
        <f>IF(tblOrdenes[[#This Row],[backlog_habiles]]="","",IF(tblOrdenes[[#This Row],[backlog_habiles]]&lt;0,"FUTURO",IF(tblOrdenes[[#This Row],[backlog_habiles]]&gt;p_dias_backlog_max,"BACKLOG","MES CORRIENTE")))</f>
        <v/>
      </c>
      <c r="AF319" s="5">
        <f>IF(tblOrdenes[[#This Row],[backlog_habiles]]="",FALSE,AND(tblOrdenes[[#This Row],[backlog_habiles]]&gt;p_dias_backlog_min,tblOrdenes[[#This Row],[backlog_habiles]]&lt;=p_dias_backlog_max))</f>
        <v/>
      </c>
      <c r="AG319" s="4" t="n"/>
      <c r="AH3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19" s="18">
        <f>IF(tblOrdenes[[#This Row],[orden]]="","",_xlfn.XLOOKUP(tblOrdenes[[#This Row],[id_operacion]],tblEjecucion[id_operacion],tblEjecucion[precio],0))</f>
        <v/>
      </c>
      <c r="AL319" s="18">
        <f>IF(tblOrdenes[[#This Row],[orden]]="","",MAX(0,_xlfn.XLOOKUP(tblOrdenes[[#This Row],[id_operacion]],tblEjecucion[id_operacion],tblEjecucion[costo_plan_total],0)-tblOrdenes[[#This Row],[costo_servicio]]))</f>
        <v/>
      </c>
      <c r="AM319" s="18">
        <f>IF(tblOrdenes[[#This Row],[orden]]="","",tblOrdenes[[#This Row],[costo_servicio]]+tblOrdenes[[#This Row],[costo_materiales]])</f>
        <v/>
      </c>
      <c r="AN3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19" s="4" t="n"/>
      <c r="AP319" s="4" t="n"/>
      <c r="AQ319" s="4" t="n"/>
      <c r="AR319" s="5">
        <f>IF(tblOrdenes[[#This Row],[link_checklist]]="","",HYPERLINK(p_ruta_base_checklists&amp;tblOrdenes[[#This Row],[link_checklist]],"abrir"))</f>
        <v/>
      </c>
      <c r="AS319" s="4" t="n"/>
      <c r="AT319" s="5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22" t="n"/>
      <c r="K320" s="5" t="n"/>
      <c r="L320" s="18" t="n"/>
      <c r="M3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5">
        <f>IF(tblOrdenes[[#This Row],[fecha_inicio]]="","",YEAR(tblOrdenes[[#This Row],[fecha_inicio]]))</f>
        <v/>
      </c>
      <c r="Q320" s="5">
        <f>IF(tblOrdenes[[#This Row],[fecha_inicio]]="","",MONTH(tblOrdenes[[#This Row],[fecha_inicio]]))</f>
        <v/>
      </c>
      <c r="R320" s="5">
        <f>IF(tblOrdenes[[#This Row],[fecha_inicio]]="","",tblOrdenes[[#This Row],[anio]]&amp;"-"&amp;TEXT(tblOrdenes[[#This Row],[mes]],"00"))</f>
        <v/>
      </c>
      <c r="S320" s="5">
        <f>IF(tblOrdenes[[#This Row],[fecha_inicio]]="","",INDEX(lista_dias,WEEKDAY(tblOrdenes[[#This Row],[fecha_inicio]],2)))</f>
        <v/>
      </c>
      <c r="T3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0" s="5">
        <f>IF(tblOrdenes[[#This Row],[tipo_ot]]="","",_xlfn.XLOOKUP(tblOrdenes[[#This Row],[tipo_ot]],tblTiposOT[codigo],tblTiposOT[clasificacion],"sin_clasificar"))</f>
        <v/>
      </c>
      <c r="V3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0" s="5">
        <f>IF(tblOrdenes[[#This Row],[centro_costo]]="","",_xlfn.XLOOKUP(tblOrdenes[[#This Row],[centro_costo]],tblCECO[codigo],tblCECO[linea],"(sin catálogo)"))</f>
        <v/>
      </c>
      <c r="X320" s="5">
        <f>IF(tblOrdenes[[#This Row],[centro_costo]]="","",_xlfn.XLOOKUP(tblOrdenes[[#This Row],[centro_costo]],tblCECO[codigo],tblCECO[area],"(sin catálogo)"))</f>
        <v/>
      </c>
      <c r="Y3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0" s="5">
        <f>IF(tblOrdenes[[#This Row],[centro_costo]]="","",_xlfn.XLOOKUP(tblOrdenes[[#This Row],[centro_costo]],tblCECO[codigo],tblCECO[coordinador],"(sin catálogo)"))</f>
        <v/>
      </c>
      <c r="AA320" s="5">
        <f>IF(tblOrdenes[[#This Row],[puesto_trabajo]]="","",_xlfn.XLOOKUP(tblOrdenes[[#This Row],[puesto_trabajo]],tblPuestos[codigo],tblPuestos[especialidad],"(sin catálogo)"))</f>
        <v/>
      </c>
      <c r="AB320" s="5">
        <f>IF(tblOrdenes[[#This Row],[cod_actividad]]="","",_xlfn.XLOOKUP(tblOrdenes[[#This Row],[cod_actividad]],tblActividades[codigo],tblActividades[descripcion],"(sin catálogo)"))</f>
        <v/>
      </c>
      <c r="AC320" s="20">
        <f>IF(tblOrdenes[[#This Row],[fecha_inicio]]="","",TODAY()-tblOrdenes[[#This Row],[fecha_inicio]])</f>
        <v/>
      </c>
      <c r="AD3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0" s="5">
        <f>IF(tblOrdenes[[#This Row],[backlog_habiles]]="","",IF(tblOrdenes[[#This Row],[backlog_habiles]]&lt;0,"FUTURO",IF(tblOrdenes[[#This Row],[backlog_habiles]]&gt;p_dias_backlog_max,"BACKLOG","MES CORRIENTE")))</f>
        <v/>
      </c>
      <c r="AF320" s="5">
        <f>IF(tblOrdenes[[#This Row],[backlog_habiles]]="",FALSE,AND(tblOrdenes[[#This Row],[backlog_habiles]]&gt;p_dias_backlog_min,tblOrdenes[[#This Row],[backlog_habiles]]&lt;=p_dias_backlog_max))</f>
        <v/>
      </c>
      <c r="AG320" s="4" t="n"/>
      <c r="AH3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0" s="18">
        <f>IF(tblOrdenes[[#This Row],[orden]]="","",_xlfn.XLOOKUP(tblOrdenes[[#This Row],[id_operacion]],tblEjecucion[id_operacion],tblEjecucion[precio],0))</f>
        <v/>
      </c>
      <c r="AL320" s="18">
        <f>IF(tblOrdenes[[#This Row],[orden]]="","",MAX(0,_xlfn.XLOOKUP(tblOrdenes[[#This Row],[id_operacion]],tblEjecucion[id_operacion],tblEjecucion[costo_plan_total],0)-tblOrdenes[[#This Row],[costo_servicio]]))</f>
        <v/>
      </c>
      <c r="AM320" s="18">
        <f>IF(tblOrdenes[[#This Row],[orden]]="","",tblOrdenes[[#This Row],[costo_servicio]]+tblOrdenes[[#This Row],[costo_materiales]])</f>
        <v/>
      </c>
      <c r="AN3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0" s="4" t="n"/>
      <c r="AP320" s="4" t="n"/>
      <c r="AQ320" s="4" t="n"/>
      <c r="AR320" s="5">
        <f>IF(tblOrdenes[[#This Row],[link_checklist]]="","",HYPERLINK(p_ruta_base_checklists&amp;tblOrdenes[[#This Row],[link_checklist]],"abrir"))</f>
        <v/>
      </c>
      <c r="AS320" s="4" t="n"/>
      <c r="AT320" s="5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22" t="n"/>
      <c r="K321" s="5" t="n"/>
      <c r="L321" s="18" t="n"/>
      <c r="M3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5">
        <f>IF(tblOrdenes[[#This Row],[fecha_inicio]]="","",YEAR(tblOrdenes[[#This Row],[fecha_inicio]]))</f>
        <v/>
      </c>
      <c r="Q321" s="5">
        <f>IF(tblOrdenes[[#This Row],[fecha_inicio]]="","",MONTH(tblOrdenes[[#This Row],[fecha_inicio]]))</f>
        <v/>
      </c>
      <c r="R321" s="5">
        <f>IF(tblOrdenes[[#This Row],[fecha_inicio]]="","",tblOrdenes[[#This Row],[anio]]&amp;"-"&amp;TEXT(tblOrdenes[[#This Row],[mes]],"00"))</f>
        <v/>
      </c>
      <c r="S321" s="5">
        <f>IF(tblOrdenes[[#This Row],[fecha_inicio]]="","",INDEX(lista_dias,WEEKDAY(tblOrdenes[[#This Row],[fecha_inicio]],2)))</f>
        <v/>
      </c>
      <c r="T3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1" s="5">
        <f>IF(tblOrdenes[[#This Row],[tipo_ot]]="","",_xlfn.XLOOKUP(tblOrdenes[[#This Row],[tipo_ot]],tblTiposOT[codigo],tblTiposOT[clasificacion],"sin_clasificar"))</f>
        <v/>
      </c>
      <c r="V3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1" s="5">
        <f>IF(tblOrdenes[[#This Row],[centro_costo]]="","",_xlfn.XLOOKUP(tblOrdenes[[#This Row],[centro_costo]],tblCECO[codigo],tblCECO[linea],"(sin catálogo)"))</f>
        <v/>
      </c>
      <c r="X321" s="5">
        <f>IF(tblOrdenes[[#This Row],[centro_costo]]="","",_xlfn.XLOOKUP(tblOrdenes[[#This Row],[centro_costo]],tblCECO[codigo],tblCECO[area],"(sin catálogo)"))</f>
        <v/>
      </c>
      <c r="Y3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1" s="5">
        <f>IF(tblOrdenes[[#This Row],[centro_costo]]="","",_xlfn.XLOOKUP(tblOrdenes[[#This Row],[centro_costo]],tblCECO[codigo],tblCECO[coordinador],"(sin catálogo)"))</f>
        <v/>
      </c>
      <c r="AA321" s="5">
        <f>IF(tblOrdenes[[#This Row],[puesto_trabajo]]="","",_xlfn.XLOOKUP(tblOrdenes[[#This Row],[puesto_trabajo]],tblPuestos[codigo],tblPuestos[especialidad],"(sin catálogo)"))</f>
        <v/>
      </c>
      <c r="AB321" s="5">
        <f>IF(tblOrdenes[[#This Row],[cod_actividad]]="","",_xlfn.XLOOKUP(tblOrdenes[[#This Row],[cod_actividad]],tblActividades[codigo],tblActividades[descripcion],"(sin catálogo)"))</f>
        <v/>
      </c>
      <c r="AC321" s="20">
        <f>IF(tblOrdenes[[#This Row],[fecha_inicio]]="","",TODAY()-tblOrdenes[[#This Row],[fecha_inicio]])</f>
        <v/>
      </c>
      <c r="AD3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1" s="5">
        <f>IF(tblOrdenes[[#This Row],[backlog_habiles]]="","",IF(tblOrdenes[[#This Row],[backlog_habiles]]&lt;0,"FUTURO",IF(tblOrdenes[[#This Row],[backlog_habiles]]&gt;p_dias_backlog_max,"BACKLOG","MES CORRIENTE")))</f>
        <v/>
      </c>
      <c r="AF321" s="5">
        <f>IF(tblOrdenes[[#This Row],[backlog_habiles]]="",FALSE,AND(tblOrdenes[[#This Row],[backlog_habiles]]&gt;p_dias_backlog_min,tblOrdenes[[#This Row],[backlog_habiles]]&lt;=p_dias_backlog_max))</f>
        <v/>
      </c>
      <c r="AG321" s="4" t="n"/>
      <c r="AH3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1" s="18">
        <f>IF(tblOrdenes[[#This Row],[orden]]="","",_xlfn.XLOOKUP(tblOrdenes[[#This Row],[id_operacion]],tblEjecucion[id_operacion],tblEjecucion[precio],0))</f>
        <v/>
      </c>
      <c r="AL321" s="18">
        <f>IF(tblOrdenes[[#This Row],[orden]]="","",MAX(0,_xlfn.XLOOKUP(tblOrdenes[[#This Row],[id_operacion]],tblEjecucion[id_operacion],tblEjecucion[costo_plan_total],0)-tblOrdenes[[#This Row],[costo_servicio]]))</f>
        <v/>
      </c>
      <c r="AM321" s="18">
        <f>IF(tblOrdenes[[#This Row],[orden]]="","",tblOrdenes[[#This Row],[costo_servicio]]+tblOrdenes[[#This Row],[costo_materiales]])</f>
        <v/>
      </c>
      <c r="AN3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1" s="4" t="n"/>
      <c r="AP321" s="4" t="n"/>
      <c r="AQ321" s="4" t="n"/>
      <c r="AR321" s="5">
        <f>IF(tblOrdenes[[#This Row],[link_checklist]]="","",HYPERLINK(p_ruta_base_checklists&amp;tblOrdenes[[#This Row],[link_checklist]],"abrir"))</f>
        <v/>
      </c>
      <c r="AS321" s="4" t="n"/>
      <c r="AT321" s="5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22" t="n"/>
      <c r="K322" s="5" t="n"/>
      <c r="L322" s="18" t="n"/>
      <c r="M3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5">
        <f>IF(tblOrdenes[[#This Row],[fecha_inicio]]="","",YEAR(tblOrdenes[[#This Row],[fecha_inicio]]))</f>
        <v/>
      </c>
      <c r="Q322" s="5">
        <f>IF(tblOrdenes[[#This Row],[fecha_inicio]]="","",MONTH(tblOrdenes[[#This Row],[fecha_inicio]]))</f>
        <v/>
      </c>
      <c r="R322" s="5">
        <f>IF(tblOrdenes[[#This Row],[fecha_inicio]]="","",tblOrdenes[[#This Row],[anio]]&amp;"-"&amp;TEXT(tblOrdenes[[#This Row],[mes]],"00"))</f>
        <v/>
      </c>
      <c r="S322" s="5">
        <f>IF(tblOrdenes[[#This Row],[fecha_inicio]]="","",INDEX(lista_dias,WEEKDAY(tblOrdenes[[#This Row],[fecha_inicio]],2)))</f>
        <v/>
      </c>
      <c r="T3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2" s="5">
        <f>IF(tblOrdenes[[#This Row],[tipo_ot]]="","",_xlfn.XLOOKUP(tblOrdenes[[#This Row],[tipo_ot]],tblTiposOT[codigo],tblTiposOT[clasificacion],"sin_clasificar"))</f>
        <v/>
      </c>
      <c r="V3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2" s="5">
        <f>IF(tblOrdenes[[#This Row],[centro_costo]]="","",_xlfn.XLOOKUP(tblOrdenes[[#This Row],[centro_costo]],tblCECO[codigo],tblCECO[linea],"(sin catálogo)"))</f>
        <v/>
      </c>
      <c r="X322" s="5">
        <f>IF(tblOrdenes[[#This Row],[centro_costo]]="","",_xlfn.XLOOKUP(tblOrdenes[[#This Row],[centro_costo]],tblCECO[codigo],tblCECO[area],"(sin catálogo)"))</f>
        <v/>
      </c>
      <c r="Y3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2" s="5">
        <f>IF(tblOrdenes[[#This Row],[centro_costo]]="","",_xlfn.XLOOKUP(tblOrdenes[[#This Row],[centro_costo]],tblCECO[codigo],tblCECO[coordinador],"(sin catálogo)"))</f>
        <v/>
      </c>
      <c r="AA322" s="5">
        <f>IF(tblOrdenes[[#This Row],[puesto_trabajo]]="","",_xlfn.XLOOKUP(tblOrdenes[[#This Row],[puesto_trabajo]],tblPuestos[codigo],tblPuestos[especialidad],"(sin catálogo)"))</f>
        <v/>
      </c>
      <c r="AB322" s="5">
        <f>IF(tblOrdenes[[#This Row],[cod_actividad]]="","",_xlfn.XLOOKUP(tblOrdenes[[#This Row],[cod_actividad]],tblActividades[codigo],tblActividades[descripcion],"(sin catálogo)"))</f>
        <v/>
      </c>
      <c r="AC322" s="20">
        <f>IF(tblOrdenes[[#This Row],[fecha_inicio]]="","",TODAY()-tblOrdenes[[#This Row],[fecha_inicio]])</f>
        <v/>
      </c>
      <c r="AD3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2" s="5">
        <f>IF(tblOrdenes[[#This Row],[backlog_habiles]]="","",IF(tblOrdenes[[#This Row],[backlog_habiles]]&lt;0,"FUTURO",IF(tblOrdenes[[#This Row],[backlog_habiles]]&gt;p_dias_backlog_max,"BACKLOG","MES CORRIENTE")))</f>
        <v/>
      </c>
      <c r="AF322" s="5">
        <f>IF(tblOrdenes[[#This Row],[backlog_habiles]]="",FALSE,AND(tblOrdenes[[#This Row],[backlog_habiles]]&gt;p_dias_backlog_min,tblOrdenes[[#This Row],[backlog_habiles]]&lt;=p_dias_backlog_max))</f>
        <v/>
      </c>
      <c r="AG322" s="4" t="n"/>
      <c r="AH3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2" s="18">
        <f>IF(tblOrdenes[[#This Row],[orden]]="","",_xlfn.XLOOKUP(tblOrdenes[[#This Row],[id_operacion]],tblEjecucion[id_operacion],tblEjecucion[precio],0))</f>
        <v/>
      </c>
      <c r="AL322" s="18">
        <f>IF(tblOrdenes[[#This Row],[orden]]="","",MAX(0,_xlfn.XLOOKUP(tblOrdenes[[#This Row],[id_operacion]],tblEjecucion[id_operacion],tblEjecucion[costo_plan_total],0)-tblOrdenes[[#This Row],[costo_servicio]]))</f>
        <v/>
      </c>
      <c r="AM322" s="18">
        <f>IF(tblOrdenes[[#This Row],[orden]]="","",tblOrdenes[[#This Row],[costo_servicio]]+tblOrdenes[[#This Row],[costo_materiales]])</f>
        <v/>
      </c>
      <c r="AN3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2" s="4" t="n"/>
      <c r="AP322" s="4" t="n"/>
      <c r="AQ322" s="4" t="n"/>
      <c r="AR322" s="5">
        <f>IF(tblOrdenes[[#This Row],[link_checklist]]="","",HYPERLINK(p_ruta_base_checklists&amp;tblOrdenes[[#This Row],[link_checklist]],"abrir"))</f>
        <v/>
      </c>
      <c r="AS322" s="4" t="n"/>
      <c r="AT322" s="5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22" t="n"/>
      <c r="K323" s="5" t="n"/>
      <c r="L323" s="18" t="n"/>
      <c r="M3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5">
        <f>IF(tblOrdenes[[#This Row],[fecha_inicio]]="","",YEAR(tblOrdenes[[#This Row],[fecha_inicio]]))</f>
        <v/>
      </c>
      <c r="Q323" s="5">
        <f>IF(tblOrdenes[[#This Row],[fecha_inicio]]="","",MONTH(tblOrdenes[[#This Row],[fecha_inicio]]))</f>
        <v/>
      </c>
      <c r="R323" s="5">
        <f>IF(tblOrdenes[[#This Row],[fecha_inicio]]="","",tblOrdenes[[#This Row],[anio]]&amp;"-"&amp;TEXT(tblOrdenes[[#This Row],[mes]],"00"))</f>
        <v/>
      </c>
      <c r="S323" s="5">
        <f>IF(tblOrdenes[[#This Row],[fecha_inicio]]="","",INDEX(lista_dias,WEEKDAY(tblOrdenes[[#This Row],[fecha_inicio]],2)))</f>
        <v/>
      </c>
      <c r="T3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3" s="5">
        <f>IF(tblOrdenes[[#This Row],[tipo_ot]]="","",_xlfn.XLOOKUP(tblOrdenes[[#This Row],[tipo_ot]],tblTiposOT[codigo],tblTiposOT[clasificacion],"sin_clasificar"))</f>
        <v/>
      </c>
      <c r="V3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3" s="5">
        <f>IF(tblOrdenes[[#This Row],[centro_costo]]="","",_xlfn.XLOOKUP(tblOrdenes[[#This Row],[centro_costo]],tblCECO[codigo],tblCECO[linea],"(sin catálogo)"))</f>
        <v/>
      </c>
      <c r="X323" s="5">
        <f>IF(tblOrdenes[[#This Row],[centro_costo]]="","",_xlfn.XLOOKUP(tblOrdenes[[#This Row],[centro_costo]],tblCECO[codigo],tblCECO[area],"(sin catálogo)"))</f>
        <v/>
      </c>
      <c r="Y3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3" s="5">
        <f>IF(tblOrdenes[[#This Row],[centro_costo]]="","",_xlfn.XLOOKUP(tblOrdenes[[#This Row],[centro_costo]],tblCECO[codigo],tblCECO[coordinador],"(sin catálogo)"))</f>
        <v/>
      </c>
      <c r="AA323" s="5">
        <f>IF(tblOrdenes[[#This Row],[puesto_trabajo]]="","",_xlfn.XLOOKUP(tblOrdenes[[#This Row],[puesto_trabajo]],tblPuestos[codigo],tblPuestos[especialidad],"(sin catálogo)"))</f>
        <v/>
      </c>
      <c r="AB323" s="5">
        <f>IF(tblOrdenes[[#This Row],[cod_actividad]]="","",_xlfn.XLOOKUP(tblOrdenes[[#This Row],[cod_actividad]],tblActividades[codigo],tblActividades[descripcion],"(sin catálogo)"))</f>
        <v/>
      </c>
      <c r="AC323" s="20">
        <f>IF(tblOrdenes[[#This Row],[fecha_inicio]]="","",TODAY()-tblOrdenes[[#This Row],[fecha_inicio]])</f>
        <v/>
      </c>
      <c r="AD3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3" s="5">
        <f>IF(tblOrdenes[[#This Row],[backlog_habiles]]="","",IF(tblOrdenes[[#This Row],[backlog_habiles]]&lt;0,"FUTURO",IF(tblOrdenes[[#This Row],[backlog_habiles]]&gt;p_dias_backlog_max,"BACKLOG","MES CORRIENTE")))</f>
        <v/>
      </c>
      <c r="AF323" s="5">
        <f>IF(tblOrdenes[[#This Row],[backlog_habiles]]="",FALSE,AND(tblOrdenes[[#This Row],[backlog_habiles]]&gt;p_dias_backlog_min,tblOrdenes[[#This Row],[backlog_habiles]]&lt;=p_dias_backlog_max))</f>
        <v/>
      </c>
      <c r="AG323" s="4" t="n"/>
      <c r="AH3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3" s="18">
        <f>IF(tblOrdenes[[#This Row],[orden]]="","",_xlfn.XLOOKUP(tblOrdenes[[#This Row],[id_operacion]],tblEjecucion[id_operacion],tblEjecucion[precio],0))</f>
        <v/>
      </c>
      <c r="AL323" s="18">
        <f>IF(tblOrdenes[[#This Row],[orden]]="","",MAX(0,_xlfn.XLOOKUP(tblOrdenes[[#This Row],[id_operacion]],tblEjecucion[id_operacion],tblEjecucion[costo_plan_total],0)-tblOrdenes[[#This Row],[costo_servicio]]))</f>
        <v/>
      </c>
      <c r="AM323" s="18">
        <f>IF(tblOrdenes[[#This Row],[orden]]="","",tblOrdenes[[#This Row],[costo_servicio]]+tblOrdenes[[#This Row],[costo_materiales]])</f>
        <v/>
      </c>
      <c r="AN3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3" s="4" t="n"/>
      <c r="AP323" s="4" t="n"/>
      <c r="AQ323" s="4" t="n"/>
      <c r="AR323" s="5">
        <f>IF(tblOrdenes[[#This Row],[link_checklist]]="","",HYPERLINK(p_ruta_base_checklists&amp;tblOrdenes[[#This Row],[link_checklist]],"abrir"))</f>
        <v/>
      </c>
      <c r="AS323" s="4" t="n"/>
      <c r="AT323" s="5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22" t="n"/>
      <c r="K324" s="5" t="n"/>
      <c r="L324" s="18" t="n"/>
      <c r="M3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5">
        <f>IF(tblOrdenes[[#This Row],[fecha_inicio]]="","",YEAR(tblOrdenes[[#This Row],[fecha_inicio]]))</f>
        <v/>
      </c>
      <c r="Q324" s="5">
        <f>IF(tblOrdenes[[#This Row],[fecha_inicio]]="","",MONTH(tblOrdenes[[#This Row],[fecha_inicio]]))</f>
        <v/>
      </c>
      <c r="R324" s="5">
        <f>IF(tblOrdenes[[#This Row],[fecha_inicio]]="","",tblOrdenes[[#This Row],[anio]]&amp;"-"&amp;TEXT(tblOrdenes[[#This Row],[mes]],"00"))</f>
        <v/>
      </c>
      <c r="S324" s="5">
        <f>IF(tblOrdenes[[#This Row],[fecha_inicio]]="","",INDEX(lista_dias,WEEKDAY(tblOrdenes[[#This Row],[fecha_inicio]],2)))</f>
        <v/>
      </c>
      <c r="T3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4" s="5">
        <f>IF(tblOrdenes[[#This Row],[tipo_ot]]="","",_xlfn.XLOOKUP(tblOrdenes[[#This Row],[tipo_ot]],tblTiposOT[codigo],tblTiposOT[clasificacion],"sin_clasificar"))</f>
        <v/>
      </c>
      <c r="V3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4" s="5">
        <f>IF(tblOrdenes[[#This Row],[centro_costo]]="","",_xlfn.XLOOKUP(tblOrdenes[[#This Row],[centro_costo]],tblCECO[codigo],tblCECO[linea],"(sin catálogo)"))</f>
        <v/>
      </c>
      <c r="X324" s="5">
        <f>IF(tblOrdenes[[#This Row],[centro_costo]]="","",_xlfn.XLOOKUP(tblOrdenes[[#This Row],[centro_costo]],tblCECO[codigo],tblCECO[area],"(sin catálogo)"))</f>
        <v/>
      </c>
      <c r="Y3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4" s="5">
        <f>IF(tblOrdenes[[#This Row],[centro_costo]]="","",_xlfn.XLOOKUP(tblOrdenes[[#This Row],[centro_costo]],tblCECO[codigo],tblCECO[coordinador],"(sin catálogo)"))</f>
        <v/>
      </c>
      <c r="AA324" s="5">
        <f>IF(tblOrdenes[[#This Row],[puesto_trabajo]]="","",_xlfn.XLOOKUP(tblOrdenes[[#This Row],[puesto_trabajo]],tblPuestos[codigo],tblPuestos[especialidad],"(sin catálogo)"))</f>
        <v/>
      </c>
      <c r="AB324" s="5">
        <f>IF(tblOrdenes[[#This Row],[cod_actividad]]="","",_xlfn.XLOOKUP(tblOrdenes[[#This Row],[cod_actividad]],tblActividades[codigo],tblActividades[descripcion],"(sin catálogo)"))</f>
        <v/>
      </c>
      <c r="AC324" s="20">
        <f>IF(tblOrdenes[[#This Row],[fecha_inicio]]="","",TODAY()-tblOrdenes[[#This Row],[fecha_inicio]])</f>
        <v/>
      </c>
      <c r="AD3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4" s="5">
        <f>IF(tblOrdenes[[#This Row],[backlog_habiles]]="","",IF(tblOrdenes[[#This Row],[backlog_habiles]]&lt;0,"FUTURO",IF(tblOrdenes[[#This Row],[backlog_habiles]]&gt;p_dias_backlog_max,"BACKLOG","MES CORRIENTE")))</f>
        <v/>
      </c>
      <c r="AF324" s="5">
        <f>IF(tblOrdenes[[#This Row],[backlog_habiles]]="",FALSE,AND(tblOrdenes[[#This Row],[backlog_habiles]]&gt;p_dias_backlog_min,tblOrdenes[[#This Row],[backlog_habiles]]&lt;=p_dias_backlog_max))</f>
        <v/>
      </c>
      <c r="AG324" s="4" t="n"/>
      <c r="AH3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4" s="18">
        <f>IF(tblOrdenes[[#This Row],[orden]]="","",_xlfn.XLOOKUP(tblOrdenes[[#This Row],[id_operacion]],tblEjecucion[id_operacion],tblEjecucion[precio],0))</f>
        <v/>
      </c>
      <c r="AL324" s="18">
        <f>IF(tblOrdenes[[#This Row],[orden]]="","",MAX(0,_xlfn.XLOOKUP(tblOrdenes[[#This Row],[id_operacion]],tblEjecucion[id_operacion],tblEjecucion[costo_plan_total],0)-tblOrdenes[[#This Row],[costo_servicio]]))</f>
        <v/>
      </c>
      <c r="AM324" s="18">
        <f>IF(tblOrdenes[[#This Row],[orden]]="","",tblOrdenes[[#This Row],[costo_servicio]]+tblOrdenes[[#This Row],[costo_materiales]])</f>
        <v/>
      </c>
      <c r="AN3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4" s="4" t="n"/>
      <c r="AP324" s="4" t="n"/>
      <c r="AQ324" s="4" t="n"/>
      <c r="AR324" s="5">
        <f>IF(tblOrdenes[[#This Row],[link_checklist]]="","",HYPERLINK(p_ruta_base_checklists&amp;tblOrdenes[[#This Row],[link_checklist]],"abrir"))</f>
        <v/>
      </c>
      <c r="AS324" s="4" t="n"/>
      <c r="AT324" s="5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22" t="n"/>
      <c r="K325" s="5" t="n"/>
      <c r="L325" s="18" t="n"/>
      <c r="M3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5">
        <f>IF(tblOrdenes[[#This Row],[fecha_inicio]]="","",YEAR(tblOrdenes[[#This Row],[fecha_inicio]]))</f>
        <v/>
      </c>
      <c r="Q325" s="5">
        <f>IF(tblOrdenes[[#This Row],[fecha_inicio]]="","",MONTH(tblOrdenes[[#This Row],[fecha_inicio]]))</f>
        <v/>
      </c>
      <c r="R325" s="5">
        <f>IF(tblOrdenes[[#This Row],[fecha_inicio]]="","",tblOrdenes[[#This Row],[anio]]&amp;"-"&amp;TEXT(tblOrdenes[[#This Row],[mes]],"00"))</f>
        <v/>
      </c>
      <c r="S325" s="5">
        <f>IF(tblOrdenes[[#This Row],[fecha_inicio]]="","",INDEX(lista_dias,WEEKDAY(tblOrdenes[[#This Row],[fecha_inicio]],2)))</f>
        <v/>
      </c>
      <c r="T3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5" s="5">
        <f>IF(tblOrdenes[[#This Row],[tipo_ot]]="","",_xlfn.XLOOKUP(tblOrdenes[[#This Row],[tipo_ot]],tblTiposOT[codigo],tblTiposOT[clasificacion],"sin_clasificar"))</f>
        <v/>
      </c>
      <c r="V3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5" s="5">
        <f>IF(tblOrdenes[[#This Row],[centro_costo]]="","",_xlfn.XLOOKUP(tblOrdenes[[#This Row],[centro_costo]],tblCECO[codigo],tblCECO[linea],"(sin catálogo)"))</f>
        <v/>
      </c>
      <c r="X325" s="5">
        <f>IF(tblOrdenes[[#This Row],[centro_costo]]="","",_xlfn.XLOOKUP(tblOrdenes[[#This Row],[centro_costo]],tblCECO[codigo],tblCECO[area],"(sin catálogo)"))</f>
        <v/>
      </c>
      <c r="Y3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5" s="5">
        <f>IF(tblOrdenes[[#This Row],[centro_costo]]="","",_xlfn.XLOOKUP(tblOrdenes[[#This Row],[centro_costo]],tblCECO[codigo],tblCECO[coordinador],"(sin catálogo)"))</f>
        <v/>
      </c>
      <c r="AA325" s="5">
        <f>IF(tblOrdenes[[#This Row],[puesto_trabajo]]="","",_xlfn.XLOOKUP(tblOrdenes[[#This Row],[puesto_trabajo]],tblPuestos[codigo],tblPuestos[especialidad],"(sin catálogo)"))</f>
        <v/>
      </c>
      <c r="AB325" s="5">
        <f>IF(tblOrdenes[[#This Row],[cod_actividad]]="","",_xlfn.XLOOKUP(tblOrdenes[[#This Row],[cod_actividad]],tblActividades[codigo],tblActividades[descripcion],"(sin catálogo)"))</f>
        <v/>
      </c>
      <c r="AC325" s="20">
        <f>IF(tblOrdenes[[#This Row],[fecha_inicio]]="","",TODAY()-tblOrdenes[[#This Row],[fecha_inicio]])</f>
        <v/>
      </c>
      <c r="AD3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5" s="5">
        <f>IF(tblOrdenes[[#This Row],[backlog_habiles]]="","",IF(tblOrdenes[[#This Row],[backlog_habiles]]&lt;0,"FUTURO",IF(tblOrdenes[[#This Row],[backlog_habiles]]&gt;p_dias_backlog_max,"BACKLOG","MES CORRIENTE")))</f>
        <v/>
      </c>
      <c r="AF325" s="5">
        <f>IF(tblOrdenes[[#This Row],[backlog_habiles]]="",FALSE,AND(tblOrdenes[[#This Row],[backlog_habiles]]&gt;p_dias_backlog_min,tblOrdenes[[#This Row],[backlog_habiles]]&lt;=p_dias_backlog_max))</f>
        <v/>
      </c>
      <c r="AG325" s="4" t="n"/>
      <c r="AH3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5" s="18">
        <f>IF(tblOrdenes[[#This Row],[orden]]="","",_xlfn.XLOOKUP(tblOrdenes[[#This Row],[id_operacion]],tblEjecucion[id_operacion],tblEjecucion[precio],0))</f>
        <v/>
      </c>
      <c r="AL325" s="18">
        <f>IF(tblOrdenes[[#This Row],[orden]]="","",MAX(0,_xlfn.XLOOKUP(tblOrdenes[[#This Row],[id_operacion]],tblEjecucion[id_operacion],tblEjecucion[costo_plan_total],0)-tblOrdenes[[#This Row],[costo_servicio]]))</f>
        <v/>
      </c>
      <c r="AM325" s="18">
        <f>IF(tblOrdenes[[#This Row],[orden]]="","",tblOrdenes[[#This Row],[costo_servicio]]+tblOrdenes[[#This Row],[costo_materiales]])</f>
        <v/>
      </c>
      <c r="AN3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5" s="4" t="n"/>
      <c r="AP325" s="4" t="n"/>
      <c r="AQ325" s="4" t="n"/>
      <c r="AR325" s="5">
        <f>IF(tblOrdenes[[#This Row],[link_checklist]]="","",HYPERLINK(p_ruta_base_checklists&amp;tblOrdenes[[#This Row],[link_checklist]],"abrir"))</f>
        <v/>
      </c>
      <c r="AS325" s="4" t="n"/>
      <c r="AT325" s="5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22" t="n"/>
      <c r="K326" s="5" t="n"/>
      <c r="L326" s="18" t="n"/>
      <c r="M3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5">
        <f>IF(tblOrdenes[[#This Row],[fecha_inicio]]="","",YEAR(tblOrdenes[[#This Row],[fecha_inicio]]))</f>
        <v/>
      </c>
      <c r="Q326" s="5">
        <f>IF(tblOrdenes[[#This Row],[fecha_inicio]]="","",MONTH(tblOrdenes[[#This Row],[fecha_inicio]]))</f>
        <v/>
      </c>
      <c r="R326" s="5">
        <f>IF(tblOrdenes[[#This Row],[fecha_inicio]]="","",tblOrdenes[[#This Row],[anio]]&amp;"-"&amp;TEXT(tblOrdenes[[#This Row],[mes]],"00"))</f>
        <v/>
      </c>
      <c r="S326" s="5">
        <f>IF(tblOrdenes[[#This Row],[fecha_inicio]]="","",INDEX(lista_dias,WEEKDAY(tblOrdenes[[#This Row],[fecha_inicio]],2)))</f>
        <v/>
      </c>
      <c r="T3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6" s="5">
        <f>IF(tblOrdenes[[#This Row],[tipo_ot]]="","",_xlfn.XLOOKUP(tblOrdenes[[#This Row],[tipo_ot]],tblTiposOT[codigo],tblTiposOT[clasificacion],"sin_clasificar"))</f>
        <v/>
      </c>
      <c r="V3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6" s="5">
        <f>IF(tblOrdenes[[#This Row],[centro_costo]]="","",_xlfn.XLOOKUP(tblOrdenes[[#This Row],[centro_costo]],tblCECO[codigo],tblCECO[linea],"(sin catálogo)"))</f>
        <v/>
      </c>
      <c r="X326" s="5">
        <f>IF(tblOrdenes[[#This Row],[centro_costo]]="","",_xlfn.XLOOKUP(tblOrdenes[[#This Row],[centro_costo]],tblCECO[codigo],tblCECO[area],"(sin catálogo)"))</f>
        <v/>
      </c>
      <c r="Y3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6" s="5">
        <f>IF(tblOrdenes[[#This Row],[centro_costo]]="","",_xlfn.XLOOKUP(tblOrdenes[[#This Row],[centro_costo]],tblCECO[codigo],tblCECO[coordinador],"(sin catálogo)"))</f>
        <v/>
      </c>
      <c r="AA326" s="5">
        <f>IF(tblOrdenes[[#This Row],[puesto_trabajo]]="","",_xlfn.XLOOKUP(tblOrdenes[[#This Row],[puesto_trabajo]],tblPuestos[codigo],tblPuestos[especialidad],"(sin catálogo)"))</f>
        <v/>
      </c>
      <c r="AB326" s="5">
        <f>IF(tblOrdenes[[#This Row],[cod_actividad]]="","",_xlfn.XLOOKUP(tblOrdenes[[#This Row],[cod_actividad]],tblActividades[codigo],tblActividades[descripcion],"(sin catálogo)"))</f>
        <v/>
      </c>
      <c r="AC326" s="20">
        <f>IF(tblOrdenes[[#This Row],[fecha_inicio]]="","",TODAY()-tblOrdenes[[#This Row],[fecha_inicio]])</f>
        <v/>
      </c>
      <c r="AD3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6" s="5">
        <f>IF(tblOrdenes[[#This Row],[backlog_habiles]]="","",IF(tblOrdenes[[#This Row],[backlog_habiles]]&lt;0,"FUTURO",IF(tblOrdenes[[#This Row],[backlog_habiles]]&gt;p_dias_backlog_max,"BACKLOG","MES CORRIENTE")))</f>
        <v/>
      </c>
      <c r="AF326" s="5">
        <f>IF(tblOrdenes[[#This Row],[backlog_habiles]]="",FALSE,AND(tblOrdenes[[#This Row],[backlog_habiles]]&gt;p_dias_backlog_min,tblOrdenes[[#This Row],[backlog_habiles]]&lt;=p_dias_backlog_max))</f>
        <v/>
      </c>
      <c r="AG326" s="4" t="n"/>
      <c r="AH3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6" s="18">
        <f>IF(tblOrdenes[[#This Row],[orden]]="","",_xlfn.XLOOKUP(tblOrdenes[[#This Row],[id_operacion]],tblEjecucion[id_operacion],tblEjecucion[precio],0))</f>
        <v/>
      </c>
      <c r="AL326" s="18">
        <f>IF(tblOrdenes[[#This Row],[orden]]="","",MAX(0,_xlfn.XLOOKUP(tblOrdenes[[#This Row],[id_operacion]],tblEjecucion[id_operacion],tblEjecucion[costo_plan_total],0)-tblOrdenes[[#This Row],[costo_servicio]]))</f>
        <v/>
      </c>
      <c r="AM326" s="18">
        <f>IF(tblOrdenes[[#This Row],[orden]]="","",tblOrdenes[[#This Row],[costo_servicio]]+tblOrdenes[[#This Row],[costo_materiales]])</f>
        <v/>
      </c>
      <c r="AN3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6" s="4" t="n"/>
      <c r="AP326" s="4" t="n"/>
      <c r="AQ326" s="4" t="n"/>
      <c r="AR326" s="5">
        <f>IF(tblOrdenes[[#This Row],[link_checklist]]="","",HYPERLINK(p_ruta_base_checklists&amp;tblOrdenes[[#This Row],[link_checklist]],"abrir"))</f>
        <v/>
      </c>
      <c r="AS326" s="4" t="n"/>
      <c r="AT326" s="5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22" t="n"/>
      <c r="K327" s="5" t="n"/>
      <c r="L327" s="18" t="n"/>
      <c r="M3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5">
        <f>IF(tblOrdenes[[#This Row],[fecha_inicio]]="","",YEAR(tblOrdenes[[#This Row],[fecha_inicio]]))</f>
        <v/>
      </c>
      <c r="Q327" s="5">
        <f>IF(tblOrdenes[[#This Row],[fecha_inicio]]="","",MONTH(tblOrdenes[[#This Row],[fecha_inicio]]))</f>
        <v/>
      </c>
      <c r="R327" s="5">
        <f>IF(tblOrdenes[[#This Row],[fecha_inicio]]="","",tblOrdenes[[#This Row],[anio]]&amp;"-"&amp;TEXT(tblOrdenes[[#This Row],[mes]],"00"))</f>
        <v/>
      </c>
      <c r="S327" s="5">
        <f>IF(tblOrdenes[[#This Row],[fecha_inicio]]="","",INDEX(lista_dias,WEEKDAY(tblOrdenes[[#This Row],[fecha_inicio]],2)))</f>
        <v/>
      </c>
      <c r="T3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7" s="5">
        <f>IF(tblOrdenes[[#This Row],[tipo_ot]]="","",_xlfn.XLOOKUP(tblOrdenes[[#This Row],[tipo_ot]],tblTiposOT[codigo],tblTiposOT[clasificacion],"sin_clasificar"))</f>
        <v/>
      </c>
      <c r="V3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7" s="5">
        <f>IF(tblOrdenes[[#This Row],[centro_costo]]="","",_xlfn.XLOOKUP(tblOrdenes[[#This Row],[centro_costo]],tblCECO[codigo],tblCECO[linea],"(sin catálogo)"))</f>
        <v/>
      </c>
      <c r="X327" s="5">
        <f>IF(tblOrdenes[[#This Row],[centro_costo]]="","",_xlfn.XLOOKUP(tblOrdenes[[#This Row],[centro_costo]],tblCECO[codigo],tblCECO[area],"(sin catálogo)"))</f>
        <v/>
      </c>
      <c r="Y3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7" s="5">
        <f>IF(tblOrdenes[[#This Row],[centro_costo]]="","",_xlfn.XLOOKUP(tblOrdenes[[#This Row],[centro_costo]],tblCECO[codigo],tblCECO[coordinador],"(sin catálogo)"))</f>
        <v/>
      </c>
      <c r="AA327" s="5">
        <f>IF(tblOrdenes[[#This Row],[puesto_trabajo]]="","",_xlfn.XLOOKUP(tblOrdenes[[#This Row],[puesto_trabajo]],tblPuestos[codigo],tblPuestos[especialidad],"(sin catálogo)"))</f>
        <v/>
      </c>
      <c r="AB327" s="5">
        <f>IF(tblOrdenes[[#This Row],[cod_actividad]]="","",_xlfn.XLOOKUP(tblOrdenes[[#This Row],[cod_actividad]],tblActividades[codigo],tblActividades[descripcion],"(sin catálogo)"))</f>
        <v/>
      </c>
      <c r="AC327" s="20">
        <f>IF(tblOrdenes[[#This Row],[fecha_inicio]]="","",TODAY()-tblOrdenes[[#This Row],[fecha_inicio]])</f>
        <v/>
      </c>
      <c r="AD3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7" s="5">
        <f>IF(tblOrdenes[[#This Row],[backlog_habiles]]="","",IF(tblOrdenes[[#This Row],[backlog_habiles]]&lt;0,"FUTURO",IF(tblOrdenes[[#This Row],[backlog_habiles]]&gt;p_dias_backlog_max,"BACKLOG","MES CORRIENTE")))</f>
        <v/>
      </c>
      <c r="AF327" s="5">
        <f>IF(tblOrdenes[[#This Row],[backlog_habiles]]="",FALSE,AND(tblOrdenes[[#This Row],[backlog_habiles]]&gt;p_dias_backlog_min,tblOrdenes[[#This Row],[backlog_habiles]]&lt;=p_dias_backlog_max))</f>
        <v/>
      </c>
      <c r="AG327" s="4" t="n"/>
      <c r="AH3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7" s="18">
        <f>IF(tblOrdenes[[#This Row],[orden]]="","",_xlfn.XLOOKUP(tblOrdenes[[#This Row],[id_operacion]],tblEjecucion[id_operacion],tblEjecucion[precio],0))</f>
        <v/>
      </c>
      <c r="AL327" s="18">
        <f>IF(tblOrdenes[[#This Row],[orden]]="","",MAX(0,_xlfn.XLOOKUP(tblOrdenes[[#This Row],[id_operacion]],tblEjecucion[id_operacion],tblEjecucion[costo_plan_total],0)-tblOrdenes[[#This Row],[costo_servicio]]))</f>
        <v/>
      </c>
      <c r="AM327" s="18">
        <f>IF(tblOrdenes[[#This Row],[orden]]="","",tblOrdenes[[#This Row],[costo_servicio]]+tblOrdenes[[#This Row],[costo_materiales]])</f>
        <v/>
      </c>
      <c r="AN3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7" s="4" t="n"/>
      <c r="AP327" s="4" t="n"/>
      <c r="AQ327" s="4" t="n"/>
      <c r="AR327" s="5">
        <f>IF(tblOrdenes[[#This Row],[link_checklist]]="","",HYPERLINK(p_ruta_base_checklists&amp;tblOrdenes[[#This Row],[link_checklist]],"abrir"))</f>
        <v/>
      </c>
      <c r="AS327" s="4" t="n"/>
      <c r="AT327" s="5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22" t="n"/>
      <c r="K328" s="5" t="n"/>
      <c r="L328" s="18" t="n"/>
      <c r="M3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5">
        <f>IF(tblOrdenes[[#This Row],[fecha_inicio]]="","",YEAR(tblOrdenes[[#This Row],[fecha_inicio]]))</f>
        <v/>
      </c>
      <c r="Q328" s="5">
        <f>IF(tblOrdenes[[#This Row],[fecha_inicio]]="","",MONTH(tblOrdenes[[#This Row],[fecha_inicio]]))</f>
        <v/>
      </c>
      <c r="R328" s="5">
        <f>IF(tblOrdenes[[#This Row],[fecha_inicio]]="","",tblOrdenes[[#This Row],[anio]]&amp;"-"&amp;TEXT(tblOrdenes[[#This Row],[mes]],"00"))</f>
        <v/>
      </c>
      <c r="S328" s="5">
        <f>IF(tblOrdenes[[#This Row],[fecha_inicio]]="","",INDEX(lista_dias,WEEKDAY(tblOrdenes[[#This Row],[fecha_inicio]],2)))</f>
        <v/>
      </c>
      <c r="T3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8" s="5">
        <f>IF(tblOrdenes[[#This Row],[tipo_ot]]="","",_xlfn.XLOOKUP(tblOrdenes[[#This Row],[tipo_ot]],tblTiposOT[codigo],tblTiposOT[clasificacion],"sin_clasificar"))</f>
        <v/>
      </c>
      <c r="V3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8" s="5">
        <f>IF(tblOrdenes[[#This Row],[centro_costo]]="","",_xlfn.XLOOKUP(tblOrdenes[[#This Row],[centro_costo]],tblCECO[codigo],tblCECO[linea],"(sin catálogo)"))</f>
        <v/>
      </c>
      <c r="X328" s="5">
        <f>IF(tblOrdenes[[#This Row],[centro_costo]]="","",_xlfn.XLOOKUP(tblOrdenes[[#This Row],[centro_costo]],tblCECO[codigo],tblCECO[area],"(sin catálogo)"))</f>
        <v/>
      </c>
      <c r="Y3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8" s="5">
        <f>IF(tblOrdenes[[#This Row],[centro_costo]]="","",_xlfn.XLOOKUP(tblOrdenes[[#This Row],[centro_costo]],tblCECO[codigo],tblCECO[coordinador],"(sin catálogo)"))</f>
        <v/>
      </c>
      <c r="AA328" s="5">
        <f>IF(tblOrdenes[[#This Row],[puesto_trabajo]]="","",_xlfn.XLOOKUP(tblOrdenes[[#This Row],[puesto_trabajo]],tblPuestos[codigo],tblPuestos[especialidad],"(sin catálogo)"))</f>
        <v/>
      </c>
      <c r="AB328" s="5">
        <f>IF(tblOrdenes[[#This Row],[cod_actividad]]="","",_xlfn.XLOOKUP(tblOrdenes[[#This Row],[cod_actividad]],tblActividades[codigo],tblActividades[descripcion],"(sin catálogo)"))</f>
        <v/>
      </c>
      <c r="AC328" s="20">
        <f>IF(tblOrdenes[[#This Row],[fecha_inicio]]="","",TODAY()-tblOrdenes[[#This Row],[fecha_inicio]])</f>
        <v/>
      </c>
      <c r="AD3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8" s="5">
        <f>IF(tblOrdenes[[#This Row],[backlog_habiles]]="","",IF(tblOrdenes[[#This Row],[backlog_habiles]]&lt;0,"FUTURO",IF(tblOrdenes[[#This Row],[backlog_habiles]]&gt;p_dias_backlog_max,"BACKLOG","MES CORRIENTE")))</f>
        <v/>
      </c>
      <c r="AF328" s="5">
        <f>IF(tblOrdenes[[#This Row],[backlog_habiles]]="",FALSE,AND(tblOrdenes[[#This Row],[backlog_habiles]]&gt;p_dias_backlog_min,tblOrdenes[[#This Row],[backlog_habiles]]&lt;=p_dias_backlog_max))</f>
        <v/>
      </c>
      <c r="AG328" s="4" t="n"/>
      <c r="AH3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8" s="18">
        <f>IF(tblOrdenes[[#This Row],[orden]]="","",_xlfn.XLOOKUP(tblOrdenes[[#This Row],[id_operacion]],tblEjecucion[id_operacion],tblEjecucion[precio],0))</f>
        <v/>
      </c>
      <c r="AL328" s="18">
        <f>IF(tblOrdenes[[#This Row],[orden]]="","",MAX(0,_xlfn.XLOOKUP(tblOrdenes[[#This Row],[id_operacion]],tblEjecucion[id_operacion],tblEjecucion[costo_plan_total],0)-tblOrdenes[[#This Row],[costo_servicio]]))</f>
        <v/>
      </c>
      <c r="AM328" s="18">
        <f>IF(tblOrdenes[[#This Row],[orden]]="","",tblOrdenes[[#This Row],[costo_servicio]]+tblOrdenes[[#This Row],[costo_materiales]])</f>
        <v/>
      </c>
      <c r="AN3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8" s="4" t="n"/>
      <c r="AP328" s="4" t="n"/>
      <c r="AQ328" s="4" t="n"/>
      <c r="AR328" s="5">
        <f>IF(tblOrdenes[[#This Row],[link_checklist]]="","",HYPERLINK(p_ruta_base_checklists&amp;tblOrdenes[[#This Row],[link_checklist]],"abrir"))</f>
        <v/>
      </c>
      <c r="AS328" s="4" t="n"/>
      <c r="AT328" s="5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22" t="n"/>
      <c r="K329" s="5" t="n"/>
      <c r="L329" s="18" t="n"/>
      <c r="M3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5">
        <f>IF(tblOrdenes[[#This Row],[fecha_inicio]]="","",YEAR(tblOrdenes[[#This Row],[fecha_inicio]]))</f>
        <v/>
      </c>
      <c r="Q329" s="5">
        <f>IF(tblOrdenes[[#This Row],[fecha_inicio]]="","",MONTH(tblOrdenes[[#This Row],[fecha_inicio]]))</f>
        <v/>
      </c>
      <c r="R329" s="5">
        <f>IF(tblOrdenes[[#This Row],[fecha_inicio]]="","",tblOrdenes[[#This Row],[anio]]&amp;"-"&amp;TEXT(tblOrdenes[[#This Row],[mes]],"00"))</f>
        <v/>
      </c>
      <c r="S329" s="5">
        <f>IF(tblOrdenes[[#This Row],[fecha_inicio]]="","",INDEX(lista_dias,WEEKDAY(tblOrdenes[[#This Row],[fecha_inicio]],2)))</f>
        <v/>
      </c>
      <c r="T3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9" s="5">
        <f>IF(tblOrdenes[[#This Row],[tipo_ot]]="","",_xlfn.XLOOKUP(tblOrdenes[[#This Row],[tipo_ot]],tblTiposOT[codigo],tblTiposOT[clasificacion],"sin_clasificar"))</f>
        <v/>
      </c>
      <c r="V3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9" s="5">
        <f>IF(tblOrdenes[[#This Row],[centro_costo]]="","",_xlfn.XLOOKUP(tblOrdenes[[#This Row],[centro_costo]],tblCECO[codigo],tblCECO[linea],"(sin catálogo)"))</f>
        <v/>
      </c>
      <c r="X329" s="5">
        <f>IF(tblOrdenes[[#This Row],[centro_costo]]="","",_xlfn.XLOOKUP(tblOrdenes[[#This Row],[centro_costo]],tblCECO[codigo],tblCECO[area],"(sin catálogo)"))</f>
        <v/>
      </c>
      <c r="Y3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29" s="5">
        <f>IF(tblOrdenes[[#This Row],[centro_costo]]="","",_xlfn.XLOOKUP(tblOrdenes[[#This Row],[centro_costo]],tblCECO[codigo],tblCECO[coordinador],"(sin catálogo)"))</f>
        <v/>
      </c>
      <c r="AA329" s="5">
        <f>IF(tblOrdenes[[#This Row],[puesto_trabajo]]="","",_xlfn.XLOOKUP(tblOrdenes[[#This Row],[puesto_trabajo]],tblPuestos[codigo],tblPuestos[especialidad],"(sin catálogo)"))</f>
        <v/>
      </c>
      <c r="AB329" s="5">
        <f>IF(tblOrdenes[[#This Row],[cod_actividad]]="","",_xlfn.XLOOKUP(tblOrdenes[[#This Row],[cod_actividad]],tblActividades[codigo],tblActividades[descripcion],"(sin catálogo)"))</f>
        <v/>
      </c>
      <c r="AC329" s="20">
        <f>IF(tblOrdenes[[#This Row],[fecha_inicio]]="","",TODAY()-tblOrdenes[[#This Row],[fecha_inicio]])</f>
        <v/>
      </c>
      <c r="AD3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29" s="5">
        <f>IF(tblOrdenes[[#This Row],[backlog_habiles]]="","",IF(tblOrdenes[[#This Row],[backlog_habiles]]&lt;0,"FUTURO",IF(tblOrdenes[[#This Row],[backlog_habiles]]&gt;p_dias_backlog_max,"BACKLOG","MES CORRIENTE")))</f>
        <v/>
      </c>
      <c r="AF329" s="5">
        <f>IF(tblOrdenes[[#This Row],[backlog_habiles]]="",FALSE,AND(tblOrdenes[[#This Row],[backlog_habiles]]&gt;p_dias_backlog_min,tblOrdenes[[#This Row],[backlog_habiles]]&lt;=p_dias_backlog_max))</f>
        <v/>
      </c>
      <c r="AG329" s="4" t="n"/>
      <c r="AH3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29" s="18">
        <f>IF(tblOrdenes[[#This Row],[orden]]="","",_xlfn.XLOOKUP(tblOrdenes[[#This Row],[id_operacion]],tblEjecucion[id_operacion],tblEjecucion[precio],0))</f>
        <v/>
      </c>
      <c r="AL329" s="18">
        <f>IF(tblOrdenes[[#This Row],[orden]]="","",MAX(0,_xlfn.XLOOKUP(tblOrdenes[[#This Row],[id_operacion]],tblEjecucion[id_operacion],tblEjecucion[costo_plan_total],0)-tblOrdenes[[#This Row],[costo_servicio]]))</f>
        <v/>
      </c>
      <c r="AM329" s="18">
        <f>IF(tblOrdenes[[#This Row],[orden]]="","",tblOrdenes[[#This Row],[costo_servicio]]+tblOrdenes[[#This Row],[costo_materiales]])</f>
        <v/>
      </c>
      <c r="AN3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29" s="4" t="n"/>
      <c r="AP329" s="4" t="n"/>
      <c r="AQ329" s="4" t="n"/>
      <c r="AR329" s="5">
        <f>IF(tblOrdenes[[#This Row],[link_checklist]]="","",HYPERLINK(p_ruta_base_checklists&amp;tblOrdenes[[#This Row],[link_checklist]],"abrir"))</f>
        <v/>
      </c>
      <c r="AS329" s="4" t="n"/>
      <c r="AT329" s="5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22" t="n"/>
      <c r="K330" s="5" t="n"/>
      <c r="L330" s="18" t="n"/>
      <c r="M3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5">
        <f>IF(tblOrdenes[[#This Row],[fecha_inicio]]="","",YEAR(tblOrdenes[[#This Row],[fecha_inicio]]))</f>
        <v/>
      </c>
      <c r="Q330" s="5">
        <f>IF(tblOrdenes[[#This Row],[fecha_inicio]]="","",MONTH(tblOrdenes[[#This Row],[fecha_inicio]]))</f>
        <v/>
      </c>
      <c r="R330" s="5">
        <f>IF(tblOrdenes[[#This Row],[fecha_inicio]]="","",tblOrdenes[[#This Row],[anio]]&amp;"-"&amp;TEXT(tblOrdenes[[#This Row],[mes]],"00"))</f>
        <v/>
      </c>
      <c r="S330" s="5">
        <f>IF(tblOrdenes[[#This Row],[fecha_inicio]]="","",INDEX(lista_dias,WEEKDAY(tblOrdenes[[#This Row],[fecha_inicio]],2)))</f>
        <v/>
      </c>
      <c r="T3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0" s="5">
        <f>IF(tblOrdenes[[#This Row],[tipo_ot]]="","",_xlfn.XLOOKUP(tblOrdenes[[#This Row],[tipo_ot]],tblTiposOT[codigo],tblTiposOT[clasificacion],"sin_clasificar"))</f>
        <v/>
      </c>
      <c r="V3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0" s="5">
        <f>IF(tblOrdenes[[#This Row],[centro_costo]]="","",_xlfn.XLOOKUP(tblOrdenes[[#This Row],[centro_costo]],tblCECO[codigo],tblCECO[linea],"(sin catálogo)"))</f>
        <v/>
      </c>
      <c r="X330" s="5">
        <f>IF(tblOrdenes[[#This Row],[centro_costo]]="","",_xlfn.XLOOKUP(tblOrdenes[[#This Row],[centro_costo]],tblCECO[codigo],tblCECO[area],"(sin catálogo)"))</f>
        <v/>
      </c>
      <c r="Y3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0" s="5">
        <f>IF(tblOrdenes[[#This Row],[centro_costo]]="","",_xlfn.XLOOKUP(tblOrdenes[[#This Row],[centro_costo]],tblCECO[codigo],tblCECO[coordinador],"(sin catálogo)"))</f>
        <v/>
      </c>
      <c r="AA330" s="5">
        <f>IF(tblOrdenes[[#This Row],[puesto_trabajo]]="","",_xlfn.XLOOKUP(tblOrdenes[[#This Row],[puesto_trabajo]],tblPuestos[codigo],tblPuestos[especialidad],"(sin catálogo)"))</f>
        <v/>
      </c>
      <c r="AB330" s="5">
        <f>IF(tblOrdenes[[#This Row],[cod_actividad]]="","",_xlfn.XLOOKUP(tblOrdenes[[#This Row],[cod_actividad]],tblActividades[codigo],tblActividades[descripcion],"(sin catálogo)"))</f>
        <v/>
      </c>
      <c r="AC330" s="20">
        <f>IF(tblOrdenes[[#This Row],[fecha_inicio]]="","",TODAY()-tblOrdenes[[#This Row],[fecha_inicio]])</f>
        <v/>
      </c>
      <c r="AD3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0" s="5">
        <f>IF(tblOrdenes[[#This Row],[backlog_habiles]]="","",IF(tblOrdenes[[#This Row],[backlog_habiles]]&lt;0,"FUTURO",IF(tblOrdenes[[#This Row],[backlog_habiles]]&gt;p_dias_backlog_max,"BACKLOG","MES CORRIENTE")))</f>
        <v/>
      </c>
      <c r="AF330" s="5">
        <f>IF(tblOrdenes[[#This Row],[backlog_habiles]]="",FALSE,AND(tblOrdenes[[#This Row],[backlog_habiles]]&gt;p_dias_backlog_min,tblOrdenes[[#This Row],[backlog_habiles]]&lt;=p_dias_backlog_max))</f>
        <v/>
      </c>
      <c r="AG330" s="4" t="n"/>
      <c r="AH3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0" s="18">
        <f>IF(tblOrdenes[[#This Row],[orden]]="","",_xlfn.XLOOKUP(tblOrdenes[[#This Row],[id_operacion]],tblEjecucion[id_operacion],tblEjecucion[precio],0))</f>
        <v/>
      </c>
      <c r="AL330" s="18">
        <f>IF(tblOrdenes[[#This Row],[orden]]="","",MAX(0,_xlfn.XLOOKUP(tblOrdenes[[#This Row],[id_operacion]],tblEjecucion[id_operacion],tblEjecucion[costo_plan_total],0)-tblOrdenes[[#This Row],[costo_servicio]]))</f>
        <v/>
      </c>
      <c r="AM330" s="18">
        <f>IF(tblOrdenes[[#This Row],[orden]]="","",tblOrdenes[[#This Row],[costo_servicio]]+tblOrdenes[[#This Row],[costo_materiales]])</f>
        <v/>
      </c>
      <c r="AN3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0" s="4" t="n"/>
      <c r="AP330" s="4" t="n"/>
      <c r="AQ330" s="4" t="n"/>
      <c r="AR330" s="5">
        <f>IF(tblOrdenes[[#This Row],[link_checklist]]="","",HYPERLINK(p_ruta_base_checklists&amp;tblOrdenes[[#This Row],[link_checklist]],"abrir"))</f>
        <v/>
      </c>
      <c r="AS330" s="4" t="n"/>
      <c r="AT330" s="5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22" t="n"/>
      <c r="K331" s="5" t="n"/>
      <c r="L331" s="18" t="n"/>
      <c r="M3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5">
        <f>IF(tblOrdenes[[#This Row],[fecha_inicio]]="","",YEAR(tblOrdenes[[#This Row],[fecha_inicio]]))</f>
        <v/>
      </c>
      <c r="Q331" s="5">
        <f>IF(tblOrdenes[[#This Row],[fecha_inicio]]="","",MONTH(tblOrdenes[[#This Row],[fecha_inicio]]))</f>
        <v/>
      </c>
      <c r="R331" s="5">
        <f>IF(tblOrdenes[[#This Row],[fecha_inicio]]="","",tblOrdenes[[#This Row],[anio]]&amp;"-"&amp;TEXT(tblOrdenes[[#This Row],[mes]],"00"))</f>
        <v/>
      </c>
      <c r="S331" s="5">
        <f>IF(tblOrdenes[[#This Row],[fecha_inicio]]="","",INDEX(lista_dias,WEEKDAY(tblOrdenes[[#This Row],[fecha_inicio]],2)))</f>
        <v/>
      </c>
      <c r="T3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1" s="5">
        <f>IF(tblOrdenes[[#This Row],[tipo_ot]]="","",_xlfn.XLOOKUP(tblOrdenes[[#This Row],[tipo_ot]],tblTiposOT[codigo],tblTiposOT[clasificacion],"sin_clasificar"))</f>
        <v/>
      </c>
      <c r="V3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1" s="5">
        <f>IF(tblOrdenes[[#This Row],[centro_costo]]="","",_xlfn.XLOOKUP(tblOrdenes[[#This Row],[centro_costo]],tblCECO[codigo],tblCECO[linea],"(sin catálogo)"))</f>
        <v/>
      </c>
      <c r="X331" s="5">
        <f>IF(tblOrdenes[[#This Row],[centro_costo]]="","",_xlfn.XLOOKUP(tblOrdenes[[#This Row],[centro_costo]],tblCECO[codigo],tblCECO[area],"(sin catálogo)"))</f>
        <v/>
      </c>
      <c r="Y3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1" s="5">
        <f>IF(tblOrdenes[[#This Row],[centro_costo]]="","",_xlfn.XLOOKUP(tblOrdenes[[#This Row],[centro_costo]],tblCECO[codigo],tblCECO[coordinador],"(sin catálogo)"))</f>
        <v/>
      </c>
      <c r="AA331" s="5">
        <f>IF(tblOrdenes[[#This Row],[puesto_trabajo]]="","",_xlfn.XLOOKUP(tblOrdenes[[#This Row],[puesto_trabajo]],tblPuestos[codigo],tblPuestos[especialidad],"(sin catálogo)"))</f>
        <v/>
      </c>
      <c r="AB331" s="5">
        <f>IF(tblOrdenes[[#This Row],[cod_actividad]]="","",_xlfn.XLOOKUP(tblOrdenes[[#This Row],[cod_actividad]],tblActividades[codigo],tblActividades[descripcion],"(sin catálogo)"))</f>
        <v/>
      </c>
      <c r="AC331" s="20">
        <f>IF(tblOrdenes[[#This Row],[fecha_inicio]]="","",TODAY()-tblOrdenes[[#This Row],[fecha_inicio]])</f>
        <v/>
      </c>
      <c r="AD3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1" s="5">
        <f>IF(tblOrdenes[[#This Row],[backlog_habiles]]="","",IF(tblOrdenes[[#This Row],[backlog_habiles]]&lt;0,"FUTURO",IF(tblOrdenes[[#This Row],[backlog_habiles]]&gt;p_dias_backlog_max,"BACKLOG","MES CORRIENTE")))</f>
        <v/>
      </c>
      <c r="AF331" s="5">
        <f>IF(tblOrdenes[[#This Row],[backlog_habiles]]="",FALSE,AND(tblOrdenes[[#This Row],[backlog_habiles]]&gt;p_dias_backlog_min,tblOrdenes[[#This Row],[backlog_habiles]]&lt;=p_dias_backlog_max))</f>
        <v/>
      </c>
      <c r="AG331" s="4" t="n"/>
      <c r="AH3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1" s="18">
        <f>IF(tblOrdenes[[#This Row],[orden]]="","",_xlfn.XLOOKUP(tblOrdenes[[#This Row],[id_operacion]],tblEjecucion[id_operacion],tblEjecucion[precio],0))</f>
        <v/>
      </c>
      <c r="AL331" s="18">
        <f>IF(tblOrdenes[[#This Row],[orden]]="","",MAX(0,_xlfn.XLOOKUP(tblOrdenes[[#This Row],[id_operacion]],tblEjecucion[id_operacion],tblEjecucion[costo_plan_total],0)-tblOrdenes[[#This Row],[costo_servicio]]))</f>
        <v/>
      </c>
      <c r="AM331" s="18">
        <f>IF(tblOrdenes[[#This Row],[orden]]="","",tblOrdenes[[#This Row],[costo_servicio]]+tblOrdenes[[#This Row],[costo_materiales]])</f>
        <v/>
      </c>
      <c r="AN3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1" s="4" t="n"/>
      <c r="AP331" s="4" t="n"/>
      <c r="AQ331" s="4" t="n"/>
      <c r="AR331" s="5">
        <f>IF(tblOrdenes[[#This Row],[link_checklist]]="","",HYPERLINK(p_ruta_base_checklists&amp;tblOrdenes[[#This Row],[link_checklist]],"abrir"))</f>
        <v/>
      </c>
      <c r="AS331" s="4" t="n"/>
      <c r="AT331" s="5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22" t="n"/>
      <c r="K332" s="5" t="n"/>
      <c r="L332" s="18" t="n"/>
      <c r="M3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5">
        <f>IF(tblOrdenes[[#This Row],[fecha_inicio]]="","",YEAR(tblOrdenes[[#This Row],[fecha_inicio]]))</f>
        <v/>
      </c>
      <c r="Q332" s="5">
        <f>IF(tblOrdenes[[#This Row],[fecha_inicio]]="","",MONTH(tblOrdenes[[#This Row],[fecha_inicio]]))</f>
        <v/>
      </c>
      <c r="R332" s="5">
        <f>IF(tblOrdenes[[#This Row],[fecha_inicio]]="","",tblOrdenes[[#This Row],[anio]]&amp;"-"&amp;TEXT(tblOrdenes[[#This Row],[mes]],"00"))</f>
        <v/>
      </c>
      <c r="S332" s="5">
        <f>IF(tblOrdenes[[#This Row],[fecha_inicio]]="","",INDEX(lista_dias,WEEKDAY(tblOrdenes[[#This Row],[fecha_inicio]],2)))</f>
        <v/>
      </c>
      <c r="T3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2" s="5">
        <f>IF(tblOrdenes[[#This Row],[tipo_ot]]="","",_xlfn.XLOOKUP(tblOrdenes[[#This Row],[tipo_ot]],tblTiposOT[codigo],tblTiposOT[clasificacion],"sin_clasificar"))</f>
        <v/>
      </c>
      <c r="V3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2" s="5">
        <f>IF(tblOrdenes[[#This Row],[centro_costo]]="","",_xlfn.XLOOKUP(tblOrdenes[[#This Row],[centro_costo]],tblCECO[codigo],tblCECO[linea],"(sin catálogo)"))</f>
        <v/>
      </c>
      <c r="X332" s="5">
        <f>IF(tblOrdenes[[#This Row],[centro_costo]]="","",_xlfn.XLOOKUP(tblOrdenes[[#This Row],[centro_costo]],tblCECO[codigo],tblCECO[area],"(sin catálogo)"))</f>
        <v/>
      </c>
      <c r="Y3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2" s="5">
        <f>IF(tblOrdenes[[#This Row],[centro_costo]]="","",_xlfn.XLOOKUP(tblOrdenes[[#This Row],[centro_costo]],tblCECO[codigo],tblCECO[coordinador],"(sin catálogo)"))</f>
        <v/>
      </c>
      <c r="AA332" s="5">
        <f>IF(tblOrdenes[[#This Row],[puesto_trabajo]]="","",_xlfn.XLOOKUP(tblOrdenes[[#This Row],[puesto_trabajo]],tblPuestos[codigo],tblPuestos[especialidad],"(sin catálogo)"))</f>
        <v/>
      </c>
      <c r="AB332" s="5">
        <f>IF(tblOrdenes[[#This Row],[cod_actividad]]="","",_xlfn.XLOOKUP(tblOrdenes[[#This Row],[cod_actividad]],tblActividades[codigo],tblActividades[descripcion],"(sin catálogo)"))</f>
        <v/>
      </c>
      <c r="AC332" s="20">
        <f>IF(tblOrdenes[[#This Row],[fecha_inicio]]="","",TODAY()-tblOrdenes[[#This Row],[fecha_inicio]])</f>
        <v/>
      </c>
      <c r="AD3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2" s="5">
        <f>IF(tblOrdenes[[#This Row],[backlog_habiles]]="","",IF(tblOrdenes[[#This Row],[backlog_habiles]]&lt;0,"FUTURO",IF(tblOrdenes[[#This Row],[backlog_habiles]]&gt;p_dias_backlog_max,"BACKLOG","MES CORRIENTE")))</f>
        <v/>
      </c>
      <c r="AF332" s="5">
        <f>IF(tblOrdenes[[#This Row],[backlog_habiles]]="",FALSE,AND(tblOrdenes[[#This Row],[backlog_habiles]]&gt;p_dias_backlog_min,tblOrdenes[[#This Row],[backlog_habiles]]&lt;=p_dias_backlog_max))</f>
        <v/>
      </c>
      <c r="AG332" s="4" t="n"/>
      <c r="AH3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2" s="18">
        <f>IF(tblOrdenes[[#This Row],[orden]]="","",_xlfn.XLOOKUP(tblOrdenes[[#This Row],[id_operacion]],tblEjecucion[id_operacion],tblEjecucion[precio],0))</f>
        <v/>
      </c>
      <c r="AL332" s="18">
        <f>IF(tblOrdenes[[#This Row],[orden]]="","",MAX(0,_xlfn.XLOOKUP(tblOrdenes[[#This Row],[id_operacion]],tblEjecucion[id_operacion],tblEjecucion[costo_plan_total],0)-tblOrdenes[[#This Row],[costo_servicio]]))</f>
        <v/>
      </c>
      <c r="AM332" s="18">
        <f>IF(tblOrdenes[[#This Row],[orden]]="","",tblOrdenes[[#This Row],[costo_servicio]]+tblOrdenes[[#This Row],[costo_materiales]])</f>
        <v/>
      </c>
      <c r="AN3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2" s="4" t="n"/>
      <c r="AP332" s="4" t="n"/>
      <c r="AQ332" s="4" t="n"/>
      <c r="AR332" s="5">
        <f>IF(tblOrdenes[[#This Row],[link_checklist]]="","",HYPERLINK(p_ruta_base_checklists&amp;tblOrdenes[[#This Row],[link_checklist]],"abrir"))</f>
        <v/>
      </c>
      <c r="AS332" s="4" t="n"/>
      <c r="AT332" s="5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22" t="n"/>
      <c r="K333" s="5" t="n"/>
      <c r="L333" s="18" t="n"/>
      <c r="M3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5">
        <f>IF(tblOrdenes[[#This Row],[fecha_inicio]]="","",YEAR(tblOrdenes[[#This Row],[fecha_inicio]]))</f>
        <v/>
      </c>
      <c r="Q333" s="5">
        <f>IF(tblOrdenes[[#This Row],[fecha_inicio]]="","",MONTH(tblOrdenes[[#This Row],[fecha_inicio]]))</f>
        <v/>
      </c>
      <c r="R333" s="5">
        <f>IF(tblOrdenes[[#This Row],[fecha_inicio]]="","",tblOrdenes[[#This Row],[anio]]&amp;"-"&amp;TEXT(tblOrdenes[[#This Row],[mes]],"00"))</f>
        <v/>
      </c>
      <c r="S333" s="5">
        <f>IF(tblOrdenes[[#This Row],[fecha_inicio]]="","",INDEX(lista_dias,WEEKDAY(tblOrdenes[[#This Row],[fecha_inicio]],2)))</f>
        <v/>
      </c>
      <c r="T3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3" s="5">
        <f>IF(tblOrdenes[[#This Row],[tipo_ot]]="","",_xlfn.XLOOKUP(tblOrdenes[[#This Row],[tipo_ot]],tblTiposOT[codigo],tblTiposOT[clasificacion],"sin_clasificar"))</f>
        <v/>
      </c>
      <c r="V3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3" s="5">
        <f>IF(tblOrdenes[[#This Row],[centro_costo]]="","",_xlfn.XLOOKUP(tblOrdenes[[#This Row],[centro_costo]],tblCECO[codigo],tblCECO[linea],"(sin catálogo)"))</f>
        <v/>
      </c>
      <c r="X333" s="5">
        <f>IF(tblOrdenes[[#This Row],[centro_costo]]="","",_xlfn.XLOOKUP(tblOrdenes[[#This Row],[centro_costo]],tblCECO[codigo],tblCECO[area],"(sin catálogo)"))</f>
        <v/>
      </c>
      <c r="Y3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3" s="5">
        <f>IF(tblOrdenes[[#This Row],[centro_costo]]="","",_xlfn.XLOOKUP(tblOrdenes[[#This Row],[centro_costo]],tblCECO[codigo],tblCECO[coordinador],"(sin catálogo)"))</f>
        <v/>
      </c>
      <c r="AA333" s="5">
        <f>IF(tblOrdenes[[#This Row],[puesto_trabajo]]="","",_xlfn.XLOOKUP(tblOrdenes[[#This Row],[puesto_trabajo]],tblPuestos[codigo],tblPuestos[especialidad],"(sin catálogo)"))</f>
        <v/>
      </c>
      <c r="AB333" s="5">
        <f>IF(tblOrdenes[[#This Row],[cod_actividad]]="","",_xlfn.XLOOKUP(tblOrdenes[[#This Row],[cod_actividad]],tblActividades[codigo],tblActividades[descripcion],"(sin catálogo)"))</f>
        <v/>
      </c>
      <c r="AC333" s="20">
        <f>IF(tblOrdenes[[#This Row],[fecha_inicio]]="","",TODAY()-tblOrdenes[[#This Row],[fecha_inicio]])</f>
        <v/>
      </c>
      <c r="AD3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3" s="5">
        <f>IF(tblOrdenes[[#This Row],[backlog_habiles]]="","",IF(tblOrdenes[[#This Row],[backlog_habiles]]&lt;0,"FUTURO",IF(tblOrdenes[[#This Row],[backlog_habiles]]&gt;p_dias_backlog_max,"BACKLOG","MES CORRIENTE")))</f>
        <v/>
      </c>
      <c r="AF333" s="5">
        <f>IF(tblOrdenes[[#This Row],[backlog_habiles]]="",FALSE,AND(tblOrdenes[[#This Row],[backlog_habiles]]&gt;p_dias_backlog_min,tblOrdenes[[#This Row],[backlog_habiles]]&lt;=p_dias_backlog_max))</f>
        <v/>
      </c>
      <c r="AG333" s="4" t="n"/>
      <c r="AH3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3" s="18">
        <f>IF(tblOrdenes[[#This Row],[orden]]="","",_xlfn.XLOOKUP(tblOrdenes[[#This Row],[id_operacion]],tblEjecucion[id_operacion],tblEjecucion[precio],0))</f>
        <v/>
      </c>
      <c r="AL333" s="18">
        <f>IF(tblOrdenes[[#This Row],[orden]]="","",MAX(0,_xlfn.XLOOKUP(tblOrdenes[[#This Row],[id_operacion]],tblEjecucion[id_operacion],tblEjecucion[costo_plan_total],0)-tblOrdenes[[#This Row],[costo_servicio]]))</f>
        <v/>
      </c>
      <c r="AM333" s="18">
        <f>IF(tblOrdenes[[#This Row],[orden]]="","",tblOrdenes[[#This Row],[costo_servicio]]+tblOrdenes[[#This Row],[costo_materiales]])</f>
        <v/>
      </c>
      <c r="AN3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3" s="4" t="n"/>
      <c r="AP333" s="4" t="n"/>
      <c r="AQ333" s="4" t="n"/>
      <c r="AR333" s="5">
        <f>IF(tblOrdenes[[#This Row],[link_checklist]]="","",HYPERLINK(p_ruta_base_checklists&amp;tblOrdenes[[#This Row],[link_checklist]],"abrir"))</f>
        <v/>
      </c>
      <c r="AS333" s="4" t="n"/>
      <c r="AT333" s="5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22" t="n"/>
      <c r="K334" s="5" t="n"/>
      <c r="L334" s="18" t="n"/>
      <c r="M3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5">
        <f>IF(tblOrdenes[[#This Row],[fecha_inicio]]="","",YEAR(tblOrdenes[[#This Row],[fecha_inicio]]))</f>
        <v/>
      </c>
      <c r="Q334" s="5">
        <f>IF(tblOrdenes[[#This Row],[fecha_inicio]]="","",MONTH(tblOrdenes[[#This Row],[fecha_inicio]]))</f>
        <v/>
      </c>
      <c r="R334" s="5">
        <f>IF(tblOrdenes[[#This Row],[fecha_inicio]]="","",tblOrdenes[[#This Row],[anio]]&amp;"-"&amp;TEXT(tblOrdenes[[#This Row],[mes]],"00"))</f>
        <v/>
      </c>
      <c r="S334" s="5">
        <f>IF(tblOrdenes[[#This Row],[fecha_inicio]]="","",INDEX(lista_dias,WEEKDAY(tblOrdenes[[#This Row],[fecha_inicio]],2)))</f>
        <v/>
      </c>
      <c r="T3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4" s="5">
        <f>IF(tblOrdenes[[#This Row],[tipo_ot]]="","",_xlfn.XLOOKUP(tblOrdenes[[#This Row],[tipo_ot]],tblTiposOT[codigo],tblTiposOT[clasificacion],"sin_clasificar"))</f>
        <v/>
      </c>
      <c r="V3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4" s="5">
        <f>IF(tblOrdenes[[#This Row],[centro_costo]]="","",_xlfn.XLOOKUP(tblOrdenes[[#This Row],[centro_costo]],tblCECO[codigo],tblCECO[linea],"(sin catálogo)"))</f>
        <v/>
      </c>
      <c r="X334" s="5">
        <f>IF(tblOrdenes[[#This Row],[centro_costo]]="","",_xlfn.XLOOKUP(tblOrdenes[[#This Row],[centro_costo]],tblCECO[codigo],tblCECO[area],"(sin catálogo)"))</f>
        <v/>
      </c>
      <c r="Y3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4" s="5">
        <f>IF(tblOrdenes[[#This Row],[centro_costo]]="","",_xlfn.XLOOKUP(tblOrdenes[[#This Row],[centro_costo]],tblCECO[codigo],tblCECO[coordinador],"(sin catálogo)"))</f>
        <v/>
      </c>
      <c r="AA334" s="5">
        <f>IF(tblOrdenes[[#This Row],[puesto_trabajo]]="","",_xlfn.XLOOKUP(tblOrdenes[[#This Row],[puesto_trabajo]],tblPuestos[codigo],tblPuestos[especialidad],"(sin catálogo)"))</f>
        <v/>
      </c>
      <c r="AB334" s="5">
        <f>IF(tblOrdenes[[#This Row],[cod_actividad]]="","",_xlfn.XLOOKUP(tblOrdenes[[#This Row],[cod_actividad]],tblActividades[codigo],tblActividades[descripcion],"(sin catálogo)"))</f>
        <v/>
      </c>
      <c r="AC334" s="20">
        <f>IF(tblOrdenes[[#This Row],[fecha_inicio]]="","",TODAY()-tblOrdenes[[#This Row],[fecha_inicio]])</f>
        <v/>
      </c>
      <c r="AD3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4" s="5">
        <f>IF(tblOrdenes[[#This Row],[backlog_habiles]]="","",IF(tblOrdenes[[#This Row],[backlog_habiles]]&lt;0,"FUTURO",IF(tblOrdenes[[#This Row],[backlog_habiles]]&gt;p_dias_backlog_max,"BACKLOG","MES CORRIENTE")))</f>
        <v/>
      </c>
      <c r="AF334" s="5">
        <f>IF(tblOrdenes[[#This Row],[backlog_habiles]]="",FALSE,AND(tblOrdenes[[#This Row],[backlog_habiles]]&gt;p_dias_backlog_min,tblOrdenes[[#This Row],[backlog_habiles]]&lt;=p_dias_backlog_max))</f>
        <v/>
      </c>
      <c r="AG334" s="4" t="n"/>
      <c r="AH3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4" s="18">
        <f>IF(tblOrdenes[[#This Row],[orden]]="","",_xlfn.XLOOKUP(tblOrdenes[[#This Row],[id_operacion]],tblEjecucion[id_operacion],tblEjecucion[precio],0))</f>
        <v/>
      </c>
      <c r="AL334" s="18">
        <f>IF(tblOrdenes[[#This Row],[orden]]="","",MAX(0,_xlfn.XLOOKUP(tblOrdenes[[#This Row],[id_operacion]],tblEjecucion[id_operacion],tblEjecucion[costo_plan_total],0)-tblOrdenes[[#This Row],[costo_servicio]]))</f>
        <v/>
      </c>
      <c r="AM334" s="18">
        <f>IF(tblOrdenes[[#This Row],[orden]]="","",tblOrdenes[[#This Row],[costo_servicio]]+tblOrdenes[[#This Row],[costo_materiales]])</f>
        <v/>
      </c>
      <c r="AN3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4" s="4" t="n"/>
      <c r="AP334" s="4" t="n"/>
      <c r="AQ334" s="4" t="n"/>
      <c r="AR334" s="5">
        <f>IF(tblOrdenes[[#This Row],[link_checklist]]="","",HYPERLINK(p_ruta_base_checklists&amp;tblOrdenes[[#This Row],[link_checklist]],"abrir"))</f>
        <v/>
      </c>
      <c r="AS334" s="4" t="n"/>
      <c r="AT334" s="5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22" t="n"/>
      <c r="K335" s="5" t="n"/>
      <c r="L335" s="18" t="n"/>
      <c r="M3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5">
        <f>IF(tblOrdenes[[#This Row],[fecha_inicio]]="","",YEAR(tblOrdenes[[#This Row],[fecha_inicio]]))</f>
        <v/>
      </c>
      <c r="Q335" s="5">
        <f>IF(tblOrdenes[[#This Row],[fecha_inicio]]="","",MONTH(tblOrdenes[[#This Row],[fecha_inicio]]))</f>
        <v/>
      </c>
      <c r="R335" s="5">
        <f>IF(tblOrdenes[[#This Row],[fecha_inicio]]="","",tblOrdenes[[#This Row],[anio]]&amp;"-"&amp;TEXT(tblOrdenes[[#This Row],[mes]],"00"))</f>
        <v/>
      </c>
      <c r="S335" s="5">
        <f>IF(tblOrdenes[[#This Row],[fecha_inicio]]="","",INDEX(lista_dias,WEEKDAY(tblOrdenes[[#This Row],[fecha_inicio]],2)))</f>
        <v/>
      </c>
      <c r="T3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5" s="5">
        <f>IF(tblOrdenes[[#This Row],[tipo_ot]]="","",_xlfn.XLOOKUP(tblOrdenes[[#This Row],[tipo_ot]],tblTiposOT[codigo],tblTiposOT[clasificacion],"sin_clasificar"))</f>
        <v/>
      </c>
      <c r="V3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5" s="5">
        <f>IF(tblOrdenes[[#This Row],[centro_costo]]="","",_xlfn.XLOOKUP(tblOrdenes[[#This Row],[centro_costo]],tblCECO[codigo],tblCECO[linea],"(sin catálogo)"))</f>
        <v/>
      </c>
      <c r="X335" s="5">
        <f>IF(tblOrdenes[[#This Row],[centro_costo]]="","",_xlfn.XLOOKUP(tblOrdenes[[#This Row],[centro_costo]],tblCECO[codigo],tblCECO[area],"(sin catálogo)"))</f>
        <v/>
      </c>
      <c r="Y3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5" s="5">
        <f>IF(tblOrdenes[[#This Row],[centro_costo]]="","",_xlfn.XLOOKUP(tblOrdenes[[#This Row],[centro_costo]],tblCECO[codigo],tblCECO[coordinador],"(sin catálogo)"))</f>
        <v/>
      </c>
      <c r="AA335" s="5">
        <f>IF(tblOrdenes[[#This Row],[puesto_trabajo]]="","",_xlfn.XLOOKUP(tblOrdenes[[#This Row],[puesto_trabajo]],tblPuestos[codigo],tblPuestos[especialidad],"(sin catálogo)"))</f>
        <v/>
      </c>
      <c r="AB335" s="5">
        <f>IF(tblOrdenes[[#This Row],[cod_actividad]]="","",_xlfn.XLOOKUP(tblOrdenes[[#This Row],[cod_actividad]],tblActividades[codigo],tblActividades[descripcion],"(sin catálogo)"))</f>
        <v/>
      </c>
      <c r="AC335" s="20">
        <f>IF(tblOrdenes[[#This Row],[fecha_inicio]]="","",TODAY()-tblOrdenes[[#This Row],[fecha_inicio]])</f>
        <v/>
      </c>
      <c r="AD3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5" s="5">
        <f>IF(tblOrdenes[[#This Row],[backlog_habiles]]="","",IF(tblOrdenes[[#This Row],[backlog_habiles]]&lt;0,"FUTURO",IF(tblOrdenes[[#This Row],[backlog_habiles]]&gt;p_dias_backlog_max,"BACKLOG","MES CORRIENTE")))</f>
        <v/>
      </c>
      <c r="AF335" s="5">
        <f>IF(tblOrdenes[[#This Row],[backlog_habiles]]="",FALSE,AND(tblOrdenes[[#This Row],[backlog_habiles]]&gt;p_dias_backlog_min,tblOrdenes[[#This Row],[backlog_habiles]]&lt;=p_dias_backlog_max))</f>
        <v/>
      </c>
      <c r="AG335" s="4" t="n"/>
      <c r="AH3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5" s="18">
        <f>IF(tblOrdenes[[#This Row],[orden]]="","",_xlfn.XLOOKUP(tblOrdenes[[#This Row],[id_operacion]],tblEjecucion[id_operacion],tblEjecucion[precio],0))</f>
        <v/>
      </c>
      <c r="AL335" s="18">
        <f>IF(tblOrdenes[[#This Row],[orden]]="","",MAX(0,_xlfn.XLOOKUP(tblOrdenes[[#This Row],[id_operacion]],tblEjecucion[id_operacion],tblEjecucion[costo_plan_total],0)-tblOrdenes[[#This Row],[costo_servicio]]))</f>
        <v/>
      </c>
      <c r="AM335" s="18">
        <f>IF(tblOrdenes[[#This Row],[orden]]="","",tblOrdenes[[#This Row],[costo_servicio]]+tblOrdenes[[#This Row],[costo_materiales]])</f>
        <v/>
      </c>
      <c r="AN3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5" s="4" t="n"/>
      <c r="AP335" s="4" t="n"/>
      <c r="AQ335" s="4" t="n"/>
      <c r="AR335" s="5">
        <f>IF(tblOrdenes[[#This Row],[link_checklist]]="","",HYPERLINK(p_ruta_base_checklists&amp;tblOrdenes[[#This Row],[link_checklist]],"abrir"))</f>
        <v/>
      </c>
      <c r="AS335" s="4" t="n"/>
      <c r="AT335" s="5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22" t="n"/>
      <c r="K336" s="5" t="n"/>
      <c r="L336" s="18" t="n"/>
      <c r="M3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5">
        <f>IF(tblOrdenes[[#This Row],[fecha_inicio]]="","",YEAR(tblOrdenes[[#This Row],[fecha_inicio]]))</f>
        <v/>
      </c>
      <c r="Q336" s="5">
        <f>IF(tblOrdenes[[#This Row],[fecha_inicio]]="","",MONTH(tblOrdenes[[#This Row],[fecha_inicio]]))</f>
        <v/>
      </c>
      <c r="R336" s="5">
        <f>IF(tblOrdenes[[#This Row],[fecha_inicio]]="","",tblOrdenes[[#This Row],[anio]]&amp;"-"&amp;TEXT(tblOrdenes[[#This Row],[mes]],"00"))</f>
        <v/>
      </c>
      <c r="S336" s="5">
        <f>IF(tblOrdenes[[#This Row],[fecha_inicio]]="","",INDEX(lista_dias,WEEKDAY(tblOrdenes[[#This Row],[fecha_inicio]],2)))</f>
        <v/>
      </c>
      <c r="T3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6" s="5">
        <f>IF(tblOrdenes[[#This Row],[tipo_ot]]="","",_xlfn.XLOOKUP(tblOrdenes[[#This Row],[tipo_ot]],tblTiposOT[codigo],tblTiposOT[clasificacion],"sin_clasificar"))</f>
        <v/>
      </c>
      <c r="V3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6" s="5">
        <f>IF(tblOrdenes[[#This Row],[centro_costo]]="","",_xlfn.XLOOKUP(tblOrdenes[[#This Row],[centro_costo]],tblCECO[codigo],tblCECO[linea],"(sin catálogo)"))</f>
        <v/>
      </c>
      <c r="X336" s="5">
        <f>IF(tblOrdenes[[#This Row],[centro_costo]]="","",_xlfn.XLOOKUP(tblOrdenes[[#This Row],[centro_costo]],tblCECO[codigo],tblCECO[area],"(sin catálogo)"))</f>
        <v/>
      </c>
      <c r="Y3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6" s="5">
        <f>IF(tblOrdenes[[#This Row],[centro_costo]]="","",_xlfn.XLOOKUP(tblOrdenes[[#This Row],[centro_costo]],tblCECO[codigo],tblCECO[coordinador],"(sin catálogo)"))</f>
        <v/>
      </c>
      <c r="AA336" s="5">
        <f>IF(tblOrdenes[[#This Row],[puesto_trabajo]]="","",_xlfn.XLOOKUP(tblOrdenes[[#This Row],[puesto_trabajo]],tblPuestos[codigo],tblPuestos[especialidad],"(sin catálogo)"))</f>
        <v/>
      </c>
      <c r="AB336" s="5">
        <f>IF(tblOrdenes[[#This Row],[cod_actividad]]="","",_xlfn.XLOOKUP(tblOrdenes[[#This Row],[cod_actividad]],tblActividades[codigo],tblActividades[descripcion],"(sin catálogo)"))</f>
        <v/>
      </c>
      <c r="AC336" s="20">
        <f>IF(tblOrdenes[[#This Row],[fecha_inicio]]="","",TODAY()-tblOrdenes[[#This Row],[fecha_inicio]])</f>
        <v/>
      </c>
      <c r="AD3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6" s="5">
        <f>IF(tblOrdenes[[#This Row],[backlog_habiles]]="","",IF(tblOrdenes[[#This Row],[backlog_habiles]]&lt;0,"FUTURO",IF(tblOrdenes[[#This Row],[backlog_habiles]]&gt;p_dias_backlog_max,"BACKLOG","MES CORRIENTE")))</f>
        <v/>
      </c>
      <c r="AF336" s="5">
        <f>IF(tblOrdenes[[#This Row],[backlog_habiles]]="",FALSE,AND(tblOrdenes[[#This Row],[backlog_habiles]]&gt;p_dias_backlog_min,tblOrdenes[[#This Row],[backlog_habiles]]&lt;=p_dias_backlog_max))</f>
        <v/>
      </c>
      <c r="AG336" s="4" t="n"/>
      <c r="AH3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6" s="18">
        <f>IF(tblOrdenes[[#This Row],[orden]]="","",_xlfn.XLOOKUP(tblOrdenes[[#This Row],[id_operacion]],tblEjecucion[id_operacion],tblEjecucion[precio],0))</f>
        <v/>
      </c>
      <c r="AL336" s="18">
        <f>IF(tblOrdenes[[#This Row],[orden]]="","",MAX(0,_xlfn.XLOOKUP(tblOrdenes[[#This Row],[id_operacion]],tblEjecucion[id_operacion],tblEjecucion[costo_plan_total],0)-tblOrdenes[[#This Row],[costo_servicio]]))</f>
        <v/>
      </c>
      <c r="AM336" s="18">
        <f>IF(tblOrdenes[[#This Row],[orden]]="","",tblOrdenes[[#This Row],[costo_servicio]]+tblOrdenes[[#This Row],[costo_materiales]])</f>
        <v/>
      </c>
      <c r="AN3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6" s="4" t="n"/>
      <c r="AP336" s="4" t="n"/>
      <c r="AQ336" s="4" t="n"/>
      <c r="AR336" s="5">
        <f>IF(tblOrdenes[[#This Row],[link_checklist]]="","",HYPERLINK(p_ruta_base_checklists&amp;tblOrdenes[[#This Row],[link_checklist]],"abrir"))</f>
        <v/>
      </c>
      <c r="AS336" s="4" t="n"/>
      <c r="AT336" s="5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22" t="n"/>
      <c r="K337" s="5" t="n"/>
      <c r="L337" s="18" t="n"/>
      <c r="M3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5">
        <f>IF(tblOrdenes[[#This Row],[fecha_inicio]]="","",YEAR(tblOrdenes[[#This Row],[fecha_inicio]]))</f>
        <v/>
      </c>
      <c r="Q337" s="5">
        <f>IF(tblOrdenes[[#This Row],[fecha_inicio]]="","",MONTH(tblOrdenes[[#This Row],[fecha_inicio]]))</f>
        <v/>
      </c>
      <c r="R337" s="5">
        <f>IF(tblOrdenes[[#This Row],[fecha_inicio]]="","",tblOrdenes[[#This Row],[anio]]&amp;"-"&amp;TEXT(tblOrdenes[[#This Row],[mes]],"00"))</f>
        <v/>
      </c>
      <c r="S337" s="5">
        <f>IF(tblOrdenes[[#This Row],[fecha_inicio]]="","",INDEX(lista_dias,WEEKDAY(tblOrdenes[[#This Row],[fecha_inicio]],2)))</f>
        <v/>
      </c>
      <c r="T3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7" s="5">
        <f>IF(tblOrdenes[[#This Row],[tipo_ot]]="","",_xlfn.XLOOKUP(tblOrdenes[[#This Row],[tipo_ot]],tblTiposOT[codigo],tblTiposOT[clasificacion],"sin_clasificar"))</f>
        <v/>
      </c>
      <c r="V3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7" s="5">
        <f>IF(tblOrdenes[[#This Row],[centro_costo]]="","",_xlfn.XLOOKUP(tblOrdenes[[#This Row],[centro_costo]],tblCECO[codigo],tblCECO[linea],"(sin catálogo)"))</f>
        <v/>
      </c>
      <c r="X337" s="5">
        <f>IF(tblOrdenes[[#This Row],[centro_costo]]="","",_xlfn.XLOOKUP(tblOrdenes[[#This Row],[centro_costo]],tblCECO[codigo],tblCECO[area],"(sin catálogo)"))</f>
        <v/>
      </c>
      <c r="Y3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7" s="5">
        <f>IF(tblOrdenes[[#This Row],[centro_costo]]="","",_xlfn.XLOOKUP(tblOrdenes[[#This Row],[centro_costo]],tblCECO[codigo],tblCECO[coordinador],"(sin catálogo)"))</f>
        <v/>
      </c>
      <c r="AA337" s="5">
        <f>IF(tblOrdenes[[#This Row],[puesto_trabajo]]="","",_xlfn.XLOOKUP(tblOrdenes[[#This Row],[puesto_trabajo]],tblPuestos[codigo],tblPuestos[especialidad],"(sin catálogo)"))</f>
        <v/>
      </c>
      <c r="AB337" s="5">
        <f>IF(tblOrdenes[[#This Row],[cod_actividad]]="","",_xlfn.XLOOKUP(tblOrdenes[[#This Row],[cod_actividad]],tblActividades[codigo],tblActividades[descripcion],"(sin catálogo)"))</f>
        <v/>
      </c>
      <c r="AC337" s="20">
        <f>IF(tblOrdenes[[#This Row],[fecha_inicio]]="","",TODAY()-tblOrdenes[[#This Row],[fecha_inicio]])</f>
        <v/>
      </c>
      <c r="AD3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7" s="5">
        <f>IF(tblOrdenes[[#This Row],[backlog_habiles]]="","",IF(tblOrdenes[[#This Row],[backlog_habiles]]&lt;0,"FUTURO",IF(tblOrdenes[[#This Row],[backlog_habiles]]&gt;p_dias_backlog_max,"BACKLOG","MES CORRIENTE")))</f>
        <v/>
      </c>
      <c r="AF337" s="5">
        <f>IF(tblOrdenes[[#This Row],[backlog_habiles]]="",FALSE,AND(tblOrdenes[[#This Row],[backlog_habiles]]&gt;p_dias_backlog_min,tblOrdenes[[#This Row],[backlog_habiles]]&lt;=p_dias_backlog_max))</f>
        <v/>
      </c>
      <c r="AG337" s="4" t="n"/>
      <c r="AH3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7" s="18">
        <f>IF(tblOrdenes[[#This Row],[orden]]="","",_xlfn.XLOOKUP(tblOrdenes[[#This Row],[id_operacion]],tblEjecucion[id_operacion],tblEjecucion[precio],0))</f>
        <v/>
      </c>
      <c r="AL337" s="18">
        <f>IF(tblOrdenes[[#This Row],[orden]]="","",MAX(0,_xlfn.XLOOKUP(tblOrdenes[[#This Row],[id_operacion]],tblEjecucion[id_operacion],tblEjecucion[costo_plan_total],0)-tblOrdenes[[#This Row],[costo_servicio]]))</f>
        <v/>
      </c>
      <c r="AM337" s="18">
        <f>IF(tblOrdenes[[#This Row],[orden]]="","",tblOrdenes[[#This Row],[costo_servicio]]+tblOrdenes[[#This Row],[costo_materiales]])</f>
        <v/>
      </c>
      <c r="AN3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7" s="4" t="n"/>
      <c r="AP337" s="4" t="n"/>
      <c r="AQ337" s="4" t="n"/>
      <c r="AR337" s="5">
        <f>IF(tblOrdenes[[#This Row],[link_checklist]]="","",HYPERLINK(p_ruta_base_checklists&amp;tblOrdenes[[#This Row],[link_checklist]],"abrir"))</f>
        <v/>
      </c>
      <c r="AS337" s="4" t="n"/>
      <c r="AT337" s="5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22" t="n"/>
      <c r="K338" s="5" t="n"/>
      <c r="L338" s="18" t="n"/>
      <c r="M3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5">
        <f>IF(tblOrdenes[[#This Row],[fecha_inicio]]="","",YEAR(tblOrdenes[[#This Row],[fecha_inicio]]))</f>
        <v/>
      </c>
      <c r="Q338" s="5">
        <f>IF(tblOrdenes[[#This Row],[fecha_inicio]]="","",MONTH(tblOrdenes[[#This Row],[fecha_inicio]]))</f>
        <v/>
      </c>
      <c r="R338" s="5">
        <f>IF(tblOrdenes[[#This Row],[fecha_inicio]]="","",tblOrdenes[[#This Row],[anio]]&amp;"-"&amp;TEXT(tblOrdenes[[#This Row],[mes]],"00"))</f>
        <v/>
      </c>
      <c r="S338" s="5">
        <f>IF(tblOrdenes[[#This Row],[fecha_inicio]]="","",INDEX(lista_dias,WEEKDAY(tblOrdenes[[#This Row],[fecha_inicio]],2)))</f>
        <v/>
      </c>
      <c r="T3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8" s="5">
        <f>IF(tblOrdenes[[#This Row],[tipo_ot]]="","",_xlfn.XLOOKUP(tblOrdenes[[#This Row],[tipo_ot]],tblTiposOT[codigo],tblTiposOT[clasificacion],"sin_clasificar"))</f>
        <v/>
      </c>
      <c r="V3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8" s="5">
        <f>IF(tblOrdenes[[#This Row],[centro_costo]]="","",_xlfn.XLOOKUP(tblOrdenes[[#This Row],[centro_costo]],tblCECO[codigo],tblCECO[linea],"(sin catálogo)"))</f>
        <v/>
      </c>
      <c r="X338" s="5">
        <f>IF(tblOrdenes[[#This Row],[centro_costo]]="","",_xlfn.XLOOKUP(tblOrdenes[[#This Row],[centro_costo]],tblCECO[codigo],tblCECO[area],"(sin catálogo)"))</f>
        <v/>
      </c>
      <c r="Y3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8" s="5">
        <f>IF(tblOrdenes[[#This Row],[centro_costo]]="","",_xlfn.XLOOKUP(tblOrdenes[[#This Row],[centro_costo]],tblCECO[codigo],tblCECO[coordinador],"(sin catálogo)"))</f>
        <v/>
      </c>
      <c r="AA338" s="5">
        <f>IF(tblOrdenes[[#This Row],[puesto_trabajo]]="","",_xlfn.XLOOKUP(tblOrdenes[[#This Row],[puesto_trabajo]],tblPuestos[codigo],tblPuestos[especialidad],"(sin catálogo)"))</f>
        <v/>
      </c>
      <c r="AB338" s="5">
        <f>IF(tblOrdenes[[#This Row],[cod_actividad]]="","",_xlfn.XLOOKUP(tblOrdenes[[#This Row],[cod_actividad]],tblActividades[codigo],tblActividades[descripcion],"(sin catálogo)"))</f>
        <v/>
      </c>
      <c r="AC338" s="20">
        <f>IF(tblOrdenes[[#This Row],[fecha_inicio]]="","",TODAY()-tblOrdenes[[#This Row],[fecha_inicio]])</f>
        <v/>
      </c>
      <c r="AD3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8" s="5">
        <f>IF(tblOrdenes[[#This Row],[backlog_habiles]]="","",IF(tblOrdenes[[#This Row],[backlog_habiles]]&lt;0,"FUTURO",IF(tblOrdenes[[#This Row],[backlog_habiles]]&gt;p_dias_backlog_max,"BACKLOG","MES CORRIENTE")))</f>
        <v/>
      </c>
      <c r="AF338" s="5">
        <f>IF(tblOrdenes[[#This Row],[backlog_habiles]]="",FALSE,AND(tblOrdenes[[#This Row],[backlog_habiles]]&gt;p_dias_backlog_min,tblOrdenes[[#This Row],[backlog_habiles]]&lt;=p_dias_backlog_max))</f>
        <v/>
      </c>
      <c r="AG338" s="4" t="n"/>
      <c r="AH3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8" s="18">
        <f>IF(tblOrdenes[[#This Row],[orden]]="","",_xlfn.XLOOKUP(tblOrdenes[[#This Row],[id_operacion]],tblEjecucion[id_operacion],tblEjecucion[precio],0))</f>
        <v/>
      </c>
      <c r="AL338" s="18">
        <f>IF(tblOrdenes[[#This Row],[orden]]="","",MAX(0,_xlfn.XLOOKUP(tblOrdenes[[#This Row],[id_operacion]],tblEjecucion[id_operacion],tblEjecucion[costo_plan_total],0)-tblOrdenes[[#This Row],[costo_servicio]]))</f>
        <v/>
      </c>
      <c r="AM338" s="18">
        <f>IF(tblOrdenes[[#This Row],[orden]]="","",tblOrdenes[[#This Row],[costo_servicio]]+tblOrdenes[[#This Row],[costo_materiales]])</f>
        <v/>
      </c>
      <c r="AN3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8" s="4" t="n"/>
      <c r="AP338" s="4" t="n"/>
      <c r="AQ338" s="4" t="n"/>
      <c r="AR338" s="5">
        <f>IF(tblOrdenes[[#This Row],[link_checklist]]="","",HYPERLINK(p_ruta_base_checklists&amp;tblOrdenes[[#This Row],[link_checklist]],"abrir"))</f>
        <v/>
      </c>
      <c r="AS338" s="4" t="n"/>
      <c r="AT338" s="5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22" t="n"/>
      <c r="K339" s="5" t="n"/>
      <c r="L339" s="18" t="n"/>
      <c r="M3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5">
        <f>IF(tblOrdenes[[#This Row],[fecha_inicio]]="","",YEAR(tblOrdenes[[#This Row],[fecha_inicio]]))</f>
        <v/>
      </c>
      <c r="Q339" s="5">
        <f>IF(tblOrdenes[[#This Row],[fecha_inicio]]="","",MONTH(tblOrdenes[[#This Row],[fecha_inicio]]))</f>
        <v/>
      </c>
      <c r="R339" s="5">
        <f>IF(tblOrdenes[[#This Row],[fecha_inicio]]="","",tblOrdenes[[#This Row],[anio]]&amp;"-"&amp;TEXT(tblOrdenes[[#This Row],[mes]],"00"))</f>
        <v/>
      </c>
      <c r="S339" s="5">
        <f>IF(tblOrdenes[[#This Row],[fecha_inicio]]="","",INDEX(lista_dias,WEEKDAY(tblOrdenes[[#This Row],[fecha_inicio]],2)))</f>
        <v/>
      </c>
      <c r="T3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9" s="5">
        <f>IF(tblOrdenes[[#This Row],[tipo_ot]]="","",_xlfn.XLOOKUP(tblOrdenes[[#This Row],[tipo_ot]],tblTiposOT[codigo],tblTiposOT[clasificacion],"sin_clasificar"))</f>
        <v/>
      </c>
      <c r="V3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9" s="5">
        <f>IF(tblOrdenes[[#This Row],[centro_costo]]="","",_xlfn.XLOOKUP(tblOrdenes[[#This Row],[centro_costo]],tblCECO[codigo],tblCECO[linea],"(sin catálogo)"))</f>
        <v/>
      </c>
      <c r="X339" s="5">
        <f>IF(tblOrdenes[[#This Row],[centro_costo]]="","",_xlfn.XLOOKUP(tblOrdenes[[#This Row],[centro_costo]],tblCECO[codigo],tblCECO[area],"(sin catálogo)"))</f>
        <v/>
      </c>
      <c r="Y3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39" s="5">
        <f>IF(tblOrdenes[[#This Row],[centro_costo]]="","",_xlfn.XLOOKUP(tblOrdenes[[#This Row],[centro_costo]],tblCECO[codigo],tblCECO[coordinador],"(sin catálogo)"))</f>
        <v/>
      </c>
      <c r="AA339" s="5">
        <f>IF(tblOrdenes[[#This Row],[puesto_trabajo]]="","",_xlfn.XLOOKUP(tblOrdenes[[#This Row],[puesto_trabajo]],tblPuestos[codigo],tblPuestos[especialidad],"(sin catálogo)"))</f>
        <v/>
      </c>
      <c r="AB339" s="5">
        <f>IF(tblOrdenes[[#This Row],[cod_actividad]]="","",_xlfn.XLOOKUP(tblOrdenes[[#This Row],[cod_actividad]],tblActividades[codigo],tblActividades[descripcion],"(sin catálogo)"))</f>
        <v/>
      </c>
      <c r="AC339" s="20">
        <f>IF(tblOrdenes[[#This Row],[fecha_inicio]]="","",TODAY()-tblOrdenes[[#This Row],[fecha_inicio]])</f>
        <v/>
      </c>
      <c r="AD3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39" s="5">
        <f>IF(tblOrdenes[[#This Row],[backlog_habiles]]="","",IF(tblOrdenes[[#This Row],[backlog_habiles]]&lt;0,"FUTURO",IF(tblOrdenes[[#This Row],[backlog_habiles]]&gt;p_dias_backlog_max,"BACKLOG","MES CORRIENTE")))</f>
        <v/>
      </c>
      <c r="AF339" s="5">
        <f>IF(tblOrdenes[[#This Row],[backlog_habiles]]="",FALSE,AND(tblOrdenes[[#This Row],[backlog_habiles]]&gt;p_dias_backlog_min,tblOrdenes[[#This Row],[backlog_habiles]]&lt;=p_dias_backlog_max))</f>
        <v/>
      </c>
      <c r="AG339" s="4" t="n"/>
      <c r="AH3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39" s="18">
        <f>IF(tblOrdenes[[#This Row],[orden]]="","",_xlfn.XLOOKUP(tblOrdenes[[#This Row],[id_operacion]],tblEjecucion[id_operacion],tblEjecucion[precio],0))</f>
        <v/>
      </c>
      <c r="AL339" s="18">
        <f>IF(tblOrdenes[[#This Row],[orden]]="","",MAX(0,_xlfn.XLOOKUP(tblOrdenes[[#This Row],[id_operacion]],tblEjecucion[id_operacion],tblEjecucion[costo_plan_total],0)-tblOrdenes[[#This Row],[costo_servicio]]))</f>
        <v/>
      </c>
      <c r="AM339" s="18">
        <f>IF(tblOrdenes[[#This Row],[orden]]="","",tblOrdenes[[#This Row],[costo_servicio]]+tblOrdenes[[#This Row],[costo_materiales]])</f>
        <v/>
      </c>
      <c r="AN3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39" s="4" t="n"/>
      <c r="AP339" s="4" t="n"/>
      <c r="AQ339" s="4" t="n"/>
      <c r="AR339" s="5">
        <f>IF(tblOrdenes[[#This Row],[link_checklist]]="","",HYPERLINK(p_ruta_base_checklists&amp;tblOrdenes[[#This Row],[link_checklist]],"abrir"))</f>
        <v/>
      </c>
      <c r="AS339" s="4" t="n"/>
      <c r="AT339" s="5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22" t="n"/>
      <c r="K340" s="5" t="n"/>
      <c r="L340" s="18" t="n"/>
      <c r="M3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5">
        <f>IF(tblOrdenes[[#This Row],[fecha_inicio]]="","",YEAR(tblOrdenes[[#This Row],[fecha_inicio]]))</f>
        <v/>
      </c>
      <c r="Q340" s="5">
        <f>IF(tblOrdenes[[#This Row],[fecha_inicio]]="","",MONTH(tblOrdenes[[#This Row],[fecha_inicio]]))</f>
        <v/>
      </c>
      <c r="R340" s="5">
        <f>IF(tblOrdenes[[#This Row],[fecha_inicio]]="","",tblOrdenes[[#This Row],[anio]]&amp;"-"&amp;TEXT(tblOrdenes[[#This Row],[mes]],"00"))</f>
        <v/>
      </c>
      <c r="S340" s="5">
        <f>IF(tblOrdenes[[#This Row],[fecha_inicio]]="","",INDEX(lista_dias,WEEKDAY(tblOrdenes[[#This Row],[fecha_inicio]],2)))</f>
        <v/>
      </c>
      <c r="T3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0" s="5">
        <f>IF(tblOrdenes[[#This Row],[tipo_ot]]="","",_xlfn.XLOOKUP(tblOrdenes[[#This Row],[tipo_ot]],tblTiposOT[codigo],tblTiposOT[clasificacion],"sin_clasificar"))</f>
        <v/>
      </c>
      <c r="V3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0" s="5">
        <f>IF(tblOrdenes[[#This Row],[centro_costo]]="","",_xlfn.XLOOKUP(tblOrdenes[[#This Row],[centro_costo]],tblCECO[codigo],tblCECO[linea],"(sin catálogo)"))</f>
        <v/>
      </c>
      <c r="X340" s="5">
        <f>IF(tblOrdenes[[#This Row],[centro_costo]]="","",_xlfn.XLOOKUP(tblOrdenes[[#This Row],[centro_costo]],tblCECO[codigo],tblCECO[area],"(sin catálogo)"))</f>
        <v/>
      </c>
      <c r="Y3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0" s="5">
        <f>IF(tblOrdenes[[#This Row],[centro_costo]]="","",_xlfn.XLOOKUP(tblOrdenes[[#This Row],[centro_costo]],tblCECO[codigo],tblCECO[coordinador],"(sin catálogo)"))</f>
        <v/>
      </c>
      <c r="AA340" s="5">
        <f>IF(tblOrdenes[[#This Row],[puesto_trabajo]]="","",_xlfn.XLOOKUP(tblOrdenes[[#This Row],[puesto_trabajo]],tblPuestos[codigo],tblPuestos[especialidad],"(sin catálogo)"))</f>
        <v/>
      </c>
      <c r="AB340" s="5">
        <f>IF(tblOrdenes[[#This Row],[cod_actividad]]="","",_xlfn.XLOOKUP(tblOrdenes[[#This Row],[cod_actividad]],tblActividades[codigo],tblActividades[descripcion],"(sin catálogo)"))</f>
        <v/>
      </c>
      <c r="AC340" s="20">
        <f>IF(tblOrdenes[[#This Row],[fecha_inicio]]="","",TODAY()-tblOrdenes[[#This Row],[fecha_inicio]])</f>
        <v/>
      </c>
      <c r="AD3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0" s="5">
        <f>IF(tblOrdenes[[#This Row],[backlog_habiles]]="","",IF(tblOrdenes[[#This Row],[backlog_habiles]]&lt;0,"FUTURO",IF(tblOrdenes[[#This Row],[backlog_habiles]]&gt;p_dias_backlog_max,"BACKLOG","MES CORRIENTE")))</f>
        <v/>
      </c>
      <c r="AF340" s="5">
        <f>IF(tblOrdenes[[#This Row],[backlog_habiles]]="",FALSE,AND(tblOrdenes[[#This Row],[backlog_habiles]]&gt;p_dias_backlog_min,tblOrdenes[[#This Row],[backlog_habiles]]&lt;=p_dias_backlog_max))</f>
        <v/>
      </c>
      <c r="AG340" s="4" t="n"/>
      <c r="AH3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0" s="18">
        <f>IF(tblOrdenes[[#This Row],[orden]]="","",_xlfn.XLOOKUP(tblOrdenes[[#This Row],[id_operacion]],tblEjecucion[id_operacion],tblEjecucion[precio],0))</f>
        <v/>
      </c>
      <c r="AL340" s="18">
        <f>IF(tblOrdenes[[#This Row],[orden]]="","",MAX(0,_xlfn.XLOOKUP(tblOrdenes[[#This Row],[id_operacion]],tblEjecucion[id_operacion],tblEjecucion[costo_plan_total],0)-tblOrdenes[[#This Row],[costo_servicio]]))</f>
        <v/>
      </c>
      <c r="AM340" s="18">
        <f>IF(tblOrdenes[[#This Row],[orden]]="","",tblOrdenes[[#This Row],[costo_servicio]]+tblOrdenes[[#This Row],[costo_materiales]])</f>
        <v/>
      </c>
      <c r="AN3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0" s="4" t="n"/>
      <c r="AP340" s="4" t="n"/>
      <c r="AQ340" s="4" t="n"/>
      <c r="AR340" s="5">
        <f>IF(tblOrdenes[[#This Row],[link_checklist]]="","",HYPERLINK(p_ruta_base_checklists&amp;tblOrdenes[[#This Row],[link_checklist]],"abrir"))</f>
        <v/>
      </c>
      <c r="AS340" s="4" t="n"/>
      <c r="AT340" s="5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22" t="n"/>
      <c r="K341" s="5" t="n"/>
      <c r="L341" s="18" t="n"/>
      <c r="M3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5">
        <f>IF(tblOrdenes[[#This Row],[fecha_inicio]]="","",YEAR(tblOrdenes[[#This Row],[fecha_inicio]]))</f>
        <v/>
      </c>
      <c r="Q341" s="5">
        <f>IF(tblOrdenes[[#This Row],[fecha_inicio]]="","",MONTH(tblOrdenes[[#This Row],[fecha_inicio]]))</f>
        <v/>
      </c>
      <c r="R341" s="5">
        <f>IF(tblOrdenes[[#This Row],[fecha_inicio]]="","",tblOrdenes[[#This Row],[anio]]&amp;"-"&amp;TEXT(tblOrdenes[[#This Row],[mes]],"00"))</f>
        <v/>
      </c>
      <c r="S341" s="5">
        <f>IF(tblOrdenes[[#This Row],[fecha_inicio]]="","",INDEX(lista_dias,WEEKDAY(tblOrdenes[[#This Row],[fecha_inicio]],2)))</f>
        <v/>
      </c>
      <c r="T3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1" s="5">
        <f>IF(tblOrdenes[[#This Row],[tipo_ot]]="","",_xlfn.XLOOKUP(tblOrdenes[[#This Row],[tipo_ot]],tblTiposOT[codigo],tblTiposOT[clasificacion],"sin_clasificar"))</f>
        <v/>
      </c>
      <c r="V3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1" s="5">
        <f>IF(tblOrdenes[[#This Row],[centro_costo]]="","",_xlfn.XLOOKUP(tblOrdenes[[#This Row],[centro_costo]],tblCECO[codigo],tblCECO[linea],"(sin catálogo)"))</f>
        <v/>
      </c>
      <c r="X341" s="5">
        <f>IF(tblOrdenes[[#This Row],[centro_costo]]="","",_xlfn.XLOOKUP(tblOrdenes[[#This Row],[centro_costo]],tblCECO[codigo],tblCECO[area],"(sin catálogo)"))</f>
        <v/>
      </c>
      <c r="Y3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1" s="5">
        <f>IF(tblOrdenes[[#This Row],[centro_costo]]="","",_xlfn.XLOOKUP(tblOrdenes[[#This Row],[centro_costo]],tblCECO[codigo],tblCECO[coordinador],"(sin catálogo)"))</f>
        <v/>
      </c>
      <c r="AA341" s="5">
        <f>IF(tblOrdenes[[#This Row],[puesto_trabajo]]="","",_xlfn.XLOOKUP(tblOrdenes[[#This Row],[puesto_trabajo]],tblPuestos[codigo],tblPuestos[especialidad],"(sin catálogo)"))</f>
        <v/>
      </c>
      <c r="AB341" s="5">
        <f>IF(tblOrdenes[[#This Row],[cod_actividad]]="","",_xlfn.XLOOKUP(tblOrdenes[[#This Row],[cod_actividad]],tblActividades[codigo],tblActividades[descripcion],"(sin catálogo)"))</f>
        <v/>
      </c>
      <c r="AC341" s="20">
        <f>IF(tblOrdenes[[#This Row],[fecha_inicio]]="","",TODAY()-tblOrdenes[[#This Row],[fecha_inicio]])</f>
        <v/>
      </c>
      <c r="AD3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1" s="5">
        <f>IF(tblOrdenes[[#This Row],[backlog_habiles]]="","",IF(tblOrdenes[[#This Row],[backlog_habiles]]&lt;0,"FUTURO",IF(tblOrdenes[[#This Row],[backlog_habiles]]&gt;p_dias_backlog_max,"BACKLOG","MES CORRIENTE")))</f>
        <v/>
      </c>
      <c r="AF341" s="5">
        <f>IF(tblOrdenes[[#This Row],[backlog_habiles]]="",FALSE,AND(tblOrdenes[[#This Row],[backlog_habiles]]&gt;p_dias_backlog_min,tblOrdenes[[#This Row],[backlog_habiles]]&lt;=p_dias_backlog_max))</f>
        <v/>
      </c>
      <c r="AG341" s="4" t="n"/>
      <c r="AH3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1" s="18">
        <f>IF(tblOrdenes[[#This Row],[orden]]="","",_xlfn.XLOOKUP(tblOrdenes[[#This Row],[id_operacion]],tblEjecucion[id_operacion],tblEjecucion[precio],0))</f>
        <v/>
      </c>
      <c r="AL341" s="18">
        <f>IF(tblOrdenes[[#This Row],[orden]]="","",MAX(0,_xlfn.XLOOKUP(tblOrdenes[[#This Row],[id_operacion]],tblEjecucion[id_operacion],tblEjecucion[costo_plan_total],0)-tblOrdenes[[#This Row],[costo_servicio]]))</f>
        <v/>
      </c>
      <c r="AM341" s="18">
        <f>IF(tblOrdenes[[#This Row],[orden]]="","",tblOrdenes[[#This Row],[costo_servicio]]+tblOrdenes[[#This Row],[costo_materiales]])</f>
        <v/>
      </c>
      <c r="AN3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1" s="4" t="n"/>
      <c r="AP341" s="4" t="n"/>
      <c r="AQ341" s="4" t="n"/>
      <c r="AR341" s="5">
        <f>IF(tblOrdenes[[#This Row],[link_checklist]]="","",HYPERLINK(p_ruta_base_checklists&amp;tblOrdenes[[#This Row],[link_checklist]],"abrir"))</f>
        <v/>
      </c>
      <c r="AS341" s="4" t="n"/>
      <c r="AT341" s="5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22" t="n"/>
      <c r="K342" s="5" t="n"/>
      <c r="L342" s="18" t="n"/>
      <c r="M3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5">
        <f>IF(tblOrdenes[[#This Row],[fecha_inicio]]="","",YEAR(tblOrdenes[[#This Row],[fecha_inicio]]))</f>
        <v/>
      </c>
      <c r="Q342" s="5">
        <f>IF(tblOrdenes[[#This Row],[fecha_inicio]]="","",MONTH(tblOrdenes[[#This Row],[fecha_inicio]]))</f>
        <v/>
      </c>
      <c r="R342" s="5">
        <f>IF(tblOrdenes[[#This Row],[fecha_inicio]]="","",tblOrdenes[[#This Row],[anio]]&amp;"-"&amp;TEXT(tblOrdenes[[#This Row],[mes]],"00"))</f>
        <v/>
      </c>
      <c r="S342" s="5">
        <f>IF(tblOrdenes[[#This Row],[fecha_inicio]]="","",INDEX(lista_dias,WEEKDAY(tblOrdenes[[#This Row],[fecha_inicio]],2)))</f>
        <v/>
      </c>
      <c r="T3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2" s="5">
        <f>IF(tblOrdenes[[#This Row],[tipo_ot]]="","",_xlfn.XLOOKUP(tblOrdenes[[#This Row],[tipo_ot]],tblTiposOT[codigo],tblTiposOT[clasificacion],"sin_clasificar"))</f>
        <v/>
      </c>
      <c r="V3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2" s="5">
        <f>IF(tblOrdenes[[#This Row],[centro_costo]]="","",_xlfn.XLOOKUP(tblOrdenes[[#This Row],[centro_costo]],tblCECO[codigo],tblCECO[linea],"(sin catálogo)"))</f>
        <v/>
      </c>
      <c r="X342" s="5">
        <f>IF(tblOrdenes[[#This Row],[centro_costo]]="","",_xlfn.XLOOKUP(tblOrdenes[[#This Row],[centro_costo]],tblCECO[codigo],tblCECO[area],"(sin catálogo)"))</f>
        <v/>
      </c>
      <c r="Y3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2" s="5">
        <f>IF(tblOrdenes[[#This Row],[centro_costo]]="","",_xlfn.XLOOKUP(tblOrdenes[[#This Row],[centro_costo]],tblCECO[codigo],tblCECO[coordinador],"(sin catálogo)"))</f>
        <v/>
      </c>
      <c r="AA342" s="5">
        <f>IF(tblOrdenes[[#This Row],[puesto_trabajo]]="","",_xlfn.XLOOKUP(tblOrdenes[[#This Row],[puesto_trabajo]],tblPuestos[codigo],tblPuestos[especialidad],"(sin catálogo)"))</f>
        <v/>
      </c>
      <c r="AB342" s="5">
        <f>IF(tblOrdenes[[#This Row],[cod_actividad]]="","",_xlfn.XLOOKUP(tblOrdenes[[#This Row],[cod_actividad]],tblActividades[codigo],tblActividades[descripcion],"(sin catálogo)"))</f>
        <v/>
      </c>
      <c r="AC342" s="20">
        <f>IF(tblOrdenes[[#This Row],[fecha_inicio]]="","",TODAY()-tblOrdenes[[#This Row],[fecha_inicio]])</f>
        <v/>
      </c>
      <c r="AD3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2" s="5">
        <f>IF(tblOrdenes[[#This Row],[backlog_habiles]]="","",IF(tblOrdenes[[#This Row],[backlog_habiles]]&lt;0,"FUTURO",IF(tblOrdenes[[#This Row],[backlog_habiles]]&gt;p_dias_backlog_max,"BACKLOG","MES CORRIENTE")))</f>
        <v/>
      </c>
      <c r="AF342" s="5">
        <f>IF(tblOrdenes[[#This Row],[backlog_habiles]]="",FALSE,AND(tblOrdenes[[#This Row],[backlog_habiles]]&gt;p_dias_backlog_min,tblOrdenes[[#This Row],[backlog_habiles]]&lt;=p_dias_backlog_max))</f>
        <v/>
      </c>
      <c r="AG342" s="4" t="n"/>
      <c r="AH3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2" s="18">
        <f>IF(tblOrdenes[[#This Row],[orden]]="","",_xlfn.XLOOKUP(tblOrdenes[[#This Row],[id_operacion]],tblEjecucion[id_operacion],tblEjecucion[precio],0))</f>
        <v/>
      </c>
      <c r="AL342" s="18">
        <f>IF(tblOrdenes[[#This Row],[orden]]="","",MAX(0,_xlfn.XLOOKUP(tblOrdenes[[#This Row],[id_operacion]],tblEjecucion[id_operacion],tblEjecucion[costo_plan_total],0)-tblOrdenes[[#This Row],[costo_servicio]]))</f>
        <v/>
      </c>
      <c r="AM342" s="18">
        <f>IF(tblOrdenes[[#This Row],[orden]]="","",tblOrdenes[[#This Row],[costo_servicio]]+tblOrdenes[[#This Row],[costo_materiales]])</f>
        <v/>
      </c>
      <c r="AN3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2" s="4" t="n"/>
      <c r="AP342" s="4" t="n"/>
      <c r="AQ342" s="4" t="n"/>
      <c r="AR342" s="5">
        <f>IF(tblOrdenes[[#This Row],[link_checklist]]="","",HYPERLINK(p_ruta_base_checklists&amp;tblOrdenes[[#This Row],[link_checklist]],"abrir"))</f>
        <v/>
      </c>
      <c r="AS342" s="4" t="n"/>
      <c r="AT342" s="5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22" t="n"/>
      <c r="K343" s="5" t="n"/>
      <c r="L343" s="18" t="n"/>
      <c r="M3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5">
        <f>IF(tblOrdenes[[#This Row],[fecha_inicio]]="","",YEAR(tblOrdenes[[#This Row],[fecha_inicio]]))</f>
        <v/>
      </c>
      <c r="Q343" s="5">
        <f>IF(tblOrdenes[[#This Row],[fecha_inicio]]="","",MONTH(tblOrdenes[[#This Row],[fecha_inicio]]))</f>
        <v/>
      </c>
      <c r="R343" s="5">
        <f>IF(tblOrdenes[[#This Row],[fecha_inicio]]="","",tblOrdenes[[#This Row],[anio]]&amp;"-"&amp;TEXT(tblOrdenes[[#This Row],[mes]],"00"))</f>
        <v/>
      </c>
      <c r="S343" s="5">
        <f>IF(tblOrdenes[[#This Row],[fecha_inicio]]="","",INDEX(lista_dias,WEEKDAY(tblOrdenes[[#This Row],[fecha_inicio]],2)))</f>
        <v/>
      </c>
      <c r="T3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3" s="5">
        <f>IF(tblOrdenes[[#This Row],[tipo_ot]]="","",_xlfn.XLOOKUP(tblOrdenes[[#This Row],[tipo_ot]],tblTiposOT[codigo],tblTiposOT[clasificacion],"sin_clasificar"))</f>
        <v/>
      </c>
      <c r="V3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3" s="5">
        <f>IF(tblOrdenes[[#This Row],[centro_costo]]="","",_xlfn.XLOOKUP(tblOrdenes[[#This Row],[centro_costo]],tblCECO[codigo],tblCECO[linea],"(sin catálogo)"))</f>
        <v/>
      </c>
      <c r="X343" s="5">
        <f>IF(tblOrdenes[[#This Row],[centro_costo]]="","",_xlfn.XLOOKUP(tblOrdenes[[#This Row],[centro_costo]],tblCECO[codigo],tblCECO[area],"(sin catálogo)"))</f>
        <v/>
      </c>
      <c r="Y3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3" s="5">
        <f>IF(tblOrdenes[[#This Row],[centro_costo]]="","",_xlfn.XLOOKUP(tblOrdenes[[#This Row],[centro_costo]],tblCECO[codigo],tblCECO[coordinador],"(sin catálogo)"))</f>
        <v/>
      </c>
      <c r="AA343" s="5">
        <f>IF(tblOrdenes[[#This Row],[puesto_trabajo]]="","",_xlfn.XLOOKUP(tblOrdenes[[#This Row],[puesto_trabajo]],tblPuestos[codigo],tblPuestos[especialidad],"(sin catálogo)"))</f>
        <v/>
      </c>
      <c r="AB343" s="5">
        <f>IF(tblOrdenes[[#This Row],[cod_actividad]]="","",_xlfn.XLOOKUP(tblOrdenes[[#This Row],[cod_actividad]],tblActividades[codigo],tblActividades[descripcion],"(sin catálogo)"))</f>
        <v/>
      </c>
      <c r="AC343" s="20">
        <f>IF(tblOrdenes[[#This Row],[fecha_inicio]]="","",TODAY()-tblOrdenes[[#This Row],[fecha_inicio]])</f>
        <v/>
      </c>
      <c r="AD3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3" s="5">
        <f>IF(tblOrdenes[[#This Row],[backlog_habiles]]="","",IF(tblOrdenes[[#This Row],[backlog_habiles]]&lt;0,"FUTURO",IF(tblOrdenes[[#This Row],[backlog_habiles]]&gt;p_dias_backlog_max,"BACKLOG","MES CORRIENTE")))</f>
        <v/>
      </c>
      <c r="AF343" s="5">
        <f>IF(tblOrdenes[[#This Row],[backlog_habiles]]="",FALSE,AND(tblOrdenes[[#This Row],[backlog_habiles]]&gt;p_dias_backlog_min,tblOrdenes[[#This Row],[backlog_habiles]]&lt;=p_dias_backlog_max))</f>
        <v/>
      </c>
      <c r="AG343" s="4" t="n"/>
      <c r="AH3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3" s="18">
        <f>IF(tblOrdenes[[#This Row],[orden]]="","",_xlfn.XLOOKUP(tblOrdenes[[#This Row],[id_operacion]],tblEjecucion[id_operacion],tblEjecucion[precio],0))</f>
        <v/>
      </c>
      <c r="AL343" s="18">
        <f>IF(tblOrdenes[[#This Row],[orden]]="","",MAX(0,_xlfn.XLOOKUP(tblOrdenes[[#This Row],[id_operacion]],tblEjecucion[id_operacion],tblEjecucion[costo_plan_total],0)-tblOrdenes[[#This Row],[costo_servicio]]))</f>
        <v/>
      </c>
      <c r="AM343" s="18">
        <f>IF(tblOrdenes[[#This Row],[orden]]="","",tblOrdenes[[#This Row],[costo_servicio]]+tblOrdenes[[#This Row],[costo_materiales]])</f>
        <v/>
      </c>
      <c r="AN3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3" s="4" t="n"/>
      <c r="AP343" s="4" t="n"/>
      <c r="AQ343" s="4" t="n"/>
      <c r="AR343" s="5">
        <f>IF(tblOrdenes[[#This Row],[link_checklist]]="","",HYPERLINK(p_ruta_base_checklists&amp;tblOrdenes[[#This Row],[link_checklist]],"abrir"))</f>
        <v/>
      </c>
      <c r="AS343" s="4" t="n"/>
      <c r="AT343" s="5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22" t="n"/>
      <c r="K344" s="5" t="n"/>
      <c r="L344" s="18" t="n"/>
      <c r="M3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5">
        <f>IF(tblOrdenes[[#This Row],[fecha_inicio]]="","",YEAR(tblOrdenes[[#This Row],[fecha_inicio]]))</f>
        <v/>
      </c>
      <c r="Q344" s="5">
        <f>IF(tblOrdenes[[#This Row],[fecha_inicio]]="","",MONTH(tblOrdenes[[#This Row],[fecha_inicio]]))</f>
        <v/>
      </c>
      <c r="R344" s="5">
        <f>IF(tblOrdenes[[#This Row],[fecha_inicio]]="","",tblOrdenes[[#This Row],[anio]]&amp;"-"&amp;TEXT(tblOrdenes[[#This Row],[mes]],"00"))</f>
        <v/>
      </c>
      <c r="S344" s="5">
        <f>IF(tblOrdenes[[#This Row],[fecha_inicio]]="","",INDEX(lista_dias,WEEKDAY(tblOrdenes[[#This Row],[fecha_inicio]],2)))</f>
        <v/>
      </c>
      <c r="T3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4" s="5">
        <f>IF(tblOrdenes[[#This Row],[tipo_ot]]="","",_xlfn.XLOOKUP(tblOrdenes[[#This Row],[tipo_ot]],tblTiposOT[codigo],tblTiposOT[clasificacion],"sin_clasificar"))</f>
        <v/>
      </c>
      <c r="V3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4" s="5">
        <f>IF(tblOrdenes[[#This Row],[centro_costo]]="","",_xlfn.XLOOKUP(tblOrdenes[[#This Row],[centro_costo]],tblCECO[codigo],tblCECO[linea],"(sin catálogo)"))</f>
        <v/>
      </c>
      <c r="X344" s="5">
        <f>IF(tblOrdenes[[#This Row],[centro_costo]]="","",_xlfn.XLOOKUP(tblOrdenes[[#This Row],[centro_costo]],tblCECO[codigo],tblCECO[area],"(sin catálogo)"))</f>
        <v/>
      </c>
      <c r="Y3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4" s="5">
        <f>IF(tblOrdenes[[#This Row],[centro_costo]]="","",_xlfn.XLOOKUP(tblOrdenes[[#This Row],[centro_costo]],tblCECO[codigo],tblCECO[coordinador],"(sin catálogo)"))</f>
        <v/>
      </c>
      <c r="AA344" s="5">
        <f>IF(tblOrdenes[[#This Row],[puesto_trabajo]]="","",_xlfn.XLOOKUP(tblOrdenes[[#This Row],[puesto_trabajo]],tblPuestos[codigo],tblPuestos[especialidad],"(sin catálogo)"))</f>
        <v/>
      </c>
      <c r="AB344" s="5">
        <f>IF(tblOrdenes[[#This Row],[cod_actividad]]="","",_xlfn.XLOOKUP(tblOrdenes[[#This Row],[cod_actividad]],tblActividades[codigo],tblActividades[descripcion],"(sin catálogo)"))</f>
        <v/>
      </c>
      <c r="AC344" s="20">
        <f>IF(tblOrdenes[[#This Row],[fecha_inicio]]="","",TODAY()-tblOrdenes[[#This Row],[fecha_inicio]])</f>
        <v/>
      </c>
      <c r="AD3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4" s="5">
        <f>IF(tblOrdenes[[#This Row],[backlog_habiles]]="","",IF(tblOrdenes[[#This Row],[backlog_habiles]]&lt;0,"FUTURO",IF(tblOrdenes[[#This Row],[backlog_habiles]]&gt;p_dias_backlog_max,"BACKLOG","MES CORRIENTE")))</f>
        <v/>
      </c>
      <c r="AF344" s="5">
        <f>IF(tblOrdenes[[#This Row],[backlog_habiles]]="",FALSE,AND(tblOrdenes[[#This Row],[backlog_habiles]]&gt;p_dias_backlog_min,tblOrdenes[[#This Row],[backlog_habiles]]&lt;=p_dias_backlog_max))</f>
        <v/>
      </c>
      <c r="AG344" s="4" t="n"/>
      <c r="AH3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4" s="18">
        <f>IF(tblOrdenes[[#This Row],[orden]]="","",_xlfn.XLOOKUP(tblOrdenes[[#This Row],[id_operacion]],tblEjecucion[id_operacion],tblEjecucion[precio],0))</f>
        <v/>
      </c>
      <c r="AL344" s="18">
        <f>IF(tblOrdenes[[#This Row],[orden]]="","",MAX(0,_xlfn.XLOOKUP(tblOrdenes[[#This Row],[id_operacion]],tblEjecucion[id_operacion],tblEjecucion[costo_plan_total],0)-tblOrdenes[[#This Row],[costo_servicio]]))</f>
        <v/>
      </c>
      <c r="AM344" s="18">
        <f>IF(tblOrdenes[[#This Row],[orden]]="","",tblOrdenes[[#This Row],[costo_servicio]]+tblOrdenes[[#This Row],[costo_materiales]])</f>
        <v/>
      </c>
      <c r="AN3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4" s="4" t="n"/>
      <c r="AP344" s="4" t="n"/>
      <c r="AQ344" s="4" t="n"/>
      <c r="AR344" s="5">
        <f>IF(tblOrdenes[[#This Row],[link_checklist]]="","",HYPERLINK(p_ruta_base_checklists&amp;tblOrdenes[[#This Row],[link_checklist]],"abrir"))</f>
        <v/>
      </c>
      <c r="AS344" s="4" t="n"/>
      <c r="AT344" s="5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22" t="n"/>
      <c r="K345" s="5" t="n"/>
      <c r="L345" s="18" t="n"/>
      <c r="M3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5">
        <f>IF(tblOrdenes[[#This Row],[fecha_inicio]]="","",YEAR(tblOrdenes[[#This Row],[fecha_inicio]]))</f>
        <v/>
      </c>
      <c r="Q345" s="5">
        <f>IF(tblOrdenes[[#This Row],[fecha_inicio]]="","",MONTH(tblOrdenes[[#This Row],[fecha_inicio]]))</f>
        <v/>
      </c>
      <c r="R345" s="5">
        <f>IF(tblOrdenes[[#This Row],[fecha_inicio]]="","",tblOrdenes[[#This Row],[anio]]&amp;"-"&amp;TEXT(tblOrdenes[[#This Row],[mes]],"00"))</f>
        <v/>
      </c>
      <c r="S345" s="5">
        <f>IF(tblOrdenes[[#This Row],[fecha_inicio]]="","",INDEX(lista_dias,WEEKDAY(tblOrdenes[[#This Row],[fecha_inicio]],2)))</f>
        <v/>
      </c>
      <c r="T3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5" s="5">
        <f>IF(tblOrdenes[[#This Row],[tipo_ot]]="","",_xlfn.XLOOKUP(tblOrdenes[[#This Row],[tipo_ot]],tblTiposOT[codigo],tblTiposOT[clasificacion],"sin_clasificar"))</f>
        <v/>
      </c>
      <c r="V3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5" s="5">
        <f>IF(tblOrdenes[[#This Row],[centro_costo]]="","",_xlfn.XLOOKUP(tblOrdenes[[#This Row],[centro_costo]],tblCECO[codigo],tblCECO[linea],"(sin catálogo)"))</f>
        <v/>
      </c>
      <c r="X345" s="5">
        <f>IF(tblOrdenes[[#This Row],[centro_costo]]="","",_xlfn.XLOOKUP(tblOrdenes[[#This Row],[centro_costo]],tblCECO[codigo],tblCECO[area],"(sin catálogo)"))</f>
        <v/>
      </c>
      <c r="Y3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5" s="5">
        <f>IF(tblOrdenes[[#This Row],[centro_costo]]="","",_xlfn.XLOOKUP(tblOrdenes[[#This Row],[centro_costo]],tblCECO[codigo],tblCECO[coordinador],"(sin catálogo)"))</f>
        <v/>
      </c>
      <c r="AA345" s="5">
        <f>IF(tblOrdenes[[#This Row],[puesto_trabajo]]="","",_xlfn.XLOOKUP(tblOrdenes[[#This Row],[puesto_trabajo]],tblPuestos[codigo],tblPuestos[especialidad],"(sin catálogo)"))</f>
        <v/>
      </c>
      <c r="AB345" s="5">
        <f>IF(tblOrdenes[[#This Row],[cod_actividad]]="","",_xlfn.XLOOKUP(tblOrdenes[[#This Row],[cod_actividad]],tblActividades[codigo],tblActividades[descripcion],"(sin catálogo)"))</f>
        <v/>
      </c>
      <c r="AC345" s="20">
        <f>IF(tblOrdenes[[#This Row],[fecha_inicio]]="","",TODAY()-tblOrdenes[[#This Row],[fecha_inicio]])</f>
        <v/>
      </c>
      <c r="AD3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5" s="5">
        <f>IF(tblOrdenes[[#This Row],[backlog_habiles]]="","",IF(tblOrdenes[[#This Row],[backlog_habiles]]&lt;0,"FUTURO",IF(tblOrdenes[[#This Row],[backlog_habiles]]&gt;p_dias_backlog_max,"BACKLOG","MES CORRIENTE")))</f>
        <v/>
      </c>
      <c r="AF345" s="5">
        <f>IF(tblOrdenes[[#This Row],[backlog_habiles]]="",FALSE,AND(tblOrdenes[[#This Row],[backlog_habiles]]&gt;p_dias_backlog_min,tblOrdenes[[#This Row],[backlog_habiles]]&lt;=p_dias_backlog_max))</f>
        <v/>
      </c>
      <c r="AG345" s="4" t="n"/>
      <c r="AH3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5" s="18">
        <f>IF(tblOrdenes[[#This Row],[orden]]="","",_xlfn.XLOOKUP(tblOrdenes[[#This Row],[id_operacion]],tblEjecucion[id_operacion],tblEjecucion[precio],0))</f>
        <v/>
      </c>
      <c r="AL345" s="18">
        <f>IF(tblOrdenes[[#This Row],[orden]]="","",MAX(0,_xlfn.XLOOKUP(tblOrdenes[[#This Row],[id_operacion]],tblEjecucion[id_operacion],tblEjecucion[costo_plan_total],0)-tblOrdenes[[#This Row],[costo_servicio]]))</f>
        <v/>
      </c>
      <c r="AM345" s="18">
        <f>IF(tblOrdenes[[#This Row],[orden]]="","",tblOrdenes[[#This Row],[costo_servicio]]+tblOrdenes[[#This Row],[costo_materiales]])</f>
        <v/>
      </c>
      <c r="AN3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5" s="4" t="n"/>
      <c r="AP345" s="4" t="n"/>
      <c r="AQ345" s="4" t="n"/>
      <c r="AR345" s="5">
        <f>IF(tblOrdenes[[#This Row],[link_checklist]]="","",HYPERLINK(p_ruta_base_checklists&amp;tblOrdenes[[#This Row],[link_checklist]],"abrir"))</f>
        <v/>
      </c>
      <c r="AS345" s="4" t="n"/>
      <c r="AT345" s="5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22" t="n"/>
      <c r="K346" s="5" t="n"/>
      <c r="L346" s="18" t="n"/>
      <c r="M3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5">
        <f>IF(tblOrdenes[[#This Row],[fecha_inicio]]="","",YEAR(tblOrdenes[[#This Row],[fecha_inicio]]))</f>
        <v/>
      </c>
      <c r="Q346" s="5">
        <f>IF(tblOrdenes[[#This Row],[fecha_inicio]]="","",MONTH(tblOrdenes[[#This Row],[fecha_inicio]]))</f>
        <v/>
      </c>
      <c r="R346" s="5">
        <f>IF(tblOrdenes[[#This Row],[fecha_inicio]]="","",tblOrdenes[[#This Row],[anio]]&amp;"-"&amp;TEXT(tblOrdenes[[#This Row],[mes]],"00"))</f>
        <v/>
      </c>
      <c r="S346" s="5">
        <f>IF(tblOrdenes[[#This Row],[fecha_inicio]]="","",INDEX(lista_dias,WEEKDAY(tblOrdenes[[#This Row],[fecha_inicio]],2)))</f>
        <v/>
      </c>
      <c r="T3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6" s="5">
        <f>IF(tblOrdenes[[#This Row],[tipo_ot]]="","",_xlfn.XLOOKUP(tblOrdenes[[#This Row],[tipo_ot]],tblTiposOT[codigo],tblTiposOT[clasificacion],"sin_clasificar"))</f>
        <v/>
      </c>
      <c r="V3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6" s="5">
        <f>IF(tblOrdenes[[#This Row],[centro_costo]]="","",_xlfn.XLOOKUP(tblOrdenes[[#This Row],[centro_costo]],tblCECO[codigo],tblCECO[linea],"(sin catálogo)"))</f>
        <v/>
      </c>
      <c r="X346" s="5">
        <f>IF(tblOrdenes[[#This Row],[centro_costo]]="","",_xlfn.XLOOKUP(tblOrdenes[[#This Row],[centro_costo]],tblCECO[codigo],tblCECO[area],"(sin catálogo)"))</f>
        <v/>
      </c>
      <c r="Y3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6" s="5">
        <f>IF(tblOrdenes[[#This Row],[centro_costo]]="","",_xlfn.XLOOKUP(tblOrdenes[[#This Row],[centro_costo]],tblCECO[codigo],tblCECO[coordinador],"(sin catálogo)"))</f>
        <v/>
      </c>
      <c r="AA346" s="5">
        <f>IF(tblOrdenes[[#This Row],[puesto_trabajo]]="","",_xlfn.XLOOKUP(tblOrdenes[[#This Row],[puesto_trabajo]],tblPuestos[codigo],tblPuestos[especialidad],"(sin catálogo)"))</f>
        <v/>
      </c>
      <c r="AB346" s="5">
        <f>IF(tblOrdenes[[#This Row],[cod_actividad]]="","",_xlfn.XLOOKUP(tblOrdenes[[#This Row],[cod_actividad]],tblActividades[codigo],tblActividades[descripcion],"(sin catálogo)"))</f>
        <v/>
      </c>
      <c r="AC346" s="20">
        <f>IF(tblOrdenes[[#This Row],[fecha_inicio]]="","",TODAY()-tblOrdenes[[#This Row],[fecha_inicio]])</f>
        <v/>
      </c>
      <c r="AD3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6" s="5">
        <f>IF(tblOrdenes[[#This Row],[backlog_habiles]]="","",IF(tblOrdenes[[#This Row],[backlog_habiles]]&lt;0,"FUTURO",IF(tblOrdenes[[#This Row],[backlog_habiles]]&gt;p_dias_backlog_max,"BACKLOG","MES CORRIENTE")))</f>
        <v/>
      </c>
      <c r="AF346" s="5">
        <f>IF(tblOrdenes[[#This Row],[backlog_habiles]]="",FALSE,AND(tblOrdenes[[#This Row],[backlog_habiles]]&gt;p_dias_backlog_min,tblOrdenes[[#This Row],[backlog_habiles]]&lt;=p_dias_backlog_max))</f>
        <v/>
      </c>
      <c r="AG346" s="4" t="n"/>
      <c r="AH3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6" s="18">
        <f>IF(tblOrdenes[[#This Row],[orden]]="","",_xlfn.XLOOKUP(tblOrdenes[[#This Row],[id_operacion]],tblEjecucion[id_operacion],tblEjecucion[precio],0))</f>
        <v/>
      </c>
      <c r="AL346" s="18">
        <f>IF(tblOrdenes[[#This Row],[orden]]="","",MAX(0,_xlfn.XLOOKUP(tblOrdenes[[#This Row],[id_operacion]],tblEjecucion[id_operacion],tblEjecucion[costo_plan_total],0)-tblOrdenes[[#This Row],[costo_servicio]]))</f>
        <v/>
      </c>
      <c r="AM346" s="18">
        <f>IF(tblOrdenes[[#This Row],[orden]]="","",tblOrdenes[[#This Row],[costo_servicio]]+tblOrdenes[[#This Row],[costo_materiales]])</f>
        <v/>
      </c>
      <c r="AN3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6" s="4" t="n"/>
      <c r="AP346" s="4" t="n"/>
      <c r="AQ346" s="4" t="n"/>
      <c r="AR346" s="5">
        <f>IF(tblOrdenes[[#This Row],[link_checklist]]="","",HYPERLINK(p_ruta_base_checklists&amp;tblOrdenes[[#This Row],[link_checklist]],"abrir"))</f>
        <v/>
      </c>
      <c r="AS346" s="4" t="n"/>
      <c r="AT346" s="5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22" t="n"/>
      <c r="K347" s="5" t="n"/>
      <c r="L347" s="18" t="n"/>
      <c r="M3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5">
        <f>IF(tblOrdenes[[#This Row],[fecha_inicio]]="","",YEAR(tblOrdenes[[#This Row],[fecha_inicio]]))</f>
        <v/>
      </c>
      <c r="Q347" s="5">
        <f>IF(tblOrdenes[[#This Row],[fecha_inicio]]="","",MONTH(tblOrdenes[[#This Row],[fecha_inicio]]))</f>
        <v/>
      </c>
      <c r="R347" s="5">
        <f>IF(tblOrdenes[[#This Row],[fecha_inicio]]="","",tblOrdenes[[#This Row],[anio]]&amp;"-"&amp;TEXT(tblOrdenes[[#This Row],[mes]],"00"))</f>
        <v/>
      </c>
      <c r="S347" s="5">
        <f>IF(tblOrdenes[[#This Row],[fecha_inicio]]="","",INDEX(lista_dias,WEEKDAY(tblOrdenes[[#This Row],[fecha_inicio]],2)))</f>
        <v/>
      </c>
      <c r="T3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7" s="5">
        <f>IF(tblOrdenes[[#This Row],[tipo_ot]]="","",_xlfn.XLOOKUP(tblOrdenes[[#This Row],[tipo_ot]],tblTiposOT[codigo],tblTiposOT[clasificacion],"sin_clasificar"))</f>
        <v/>
      </c>
      <c r="V3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7" s="5">
        <f>IF(tblOrdenes[[#This Row],[centro_costo]]="","",_xlfn.XLOOKUP(tblOrdenes[[#This Row],[centro_costo]],tblCECO[codigo],tblCECO[linea],"(sin catálogo)"))</f>
        <v/>
      </c>
      <c r="X347" s="5">
        <f>IF(tblOrdenes[[#This Row],[centro_costo]]="","",_xlfn.XLOOKUP(tblOrdenes[[#This Row],[centro_costo]],tblCECO[codigo],tblCECO[area],"(sin catálogo)"))</f>
        <v/>
      </c>
      <c r="Y3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7" s="5">
        <f>IF(tblOrdenes[[#This Row],[centro_costo]]="","",_xlfn.XLOOKUP(tblOrdenes[[#This Row],[centro_costo]],tblCECO[codigo],tblCECO[coordinador],"(sin catálogo)"))</f>
        <v/>
      </c>
      <c r="AA347" s="5">
        <f>IF(tblOrdenes[[#This Row],[puesto_trabajo]]="","",_xlfn.XLOOKUP(tblOrdenes[[#This Row],[puesto_trabajo]],tblPuestos[codigo],tblPuestos[especialidad],"(sin catálogo)"))</f>
        <v/>
      </c>
      <c r="AB347" s="5">
        <f>IF(tblOrdenes[[#This Row],[cod_actividad]]="","",_xlfn.XLOOKUP(tblOrdenes[[#This Row],[cod_actividad]],tblActividades[codigo],tblActividades[descripcion],"(sin catálogo)"))</f>
        <v/>
      </c>
      <c r="AC347" s="20">
        <f>IF(tblOrdenes[[#This Row],[fecha_inicio]]="","",TODAY()-tblOrdenes[[#This Row],[fecha_inicio]])</f>
        <v/>
      </c>
      <c r="AD3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7" s="5">
        <f>IF(tblOrdenes[[#This Row],[backlog_habiles]]="","",IF(tblOrdenes[[#This Row],[backlog_habiles]]&lt;0,"FUTURO",IF(tblOrdenes[[#This Row],[backlog_habiles]]&gt;p_dias_backlog_max,"BACKLOG","MES CORRIENTE")))</f>
        <v/>
      </c>
      <c r="AF347" s="5">
        <f>IF(tblOrdenes[[#This Row],[backlog_habiles]]="",FALSE,AND(tblOrdenes[[#This Row],[backlog_habiles]]&gt;p_dias_backlog_min,tblOrdenes[[#This Row],[backlog_habiles]]&lt;=p_dias_backlog_max))</f>
        <v/>
      </c>
      <c r="AG347" s="4" t="n"/>
      <c r="AH3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7" s="18">
        <f>IF(tblOrdenes[[#This Row],[orden]]="","",_xlfn.XLOOKUP(tblOrdenes[[#This Row],[id_operacion]],tblEjecucion[id_operacion],tblEjecucion[precio],0))</f>
        <v/>
      </c>
      <c r="AL347" s="18">
        <f>IF(tblOrdenes[[#This Row],[orden]]="","",MAX(0,_xlfn.XLOOKUP(tblOrdenes[[#This Row],[id_operacion]],tblEjecucion[id_operacion],tblEjecucion[costo_plan_total],0)-tblOrdenes[[#This Row],[costo_servicio]]))</f>
        <v/>
      </c>
      <c r="AM347" s="18">
        <f>IF(tblOrdenes[[#This Row],[orden]]="","",tblOrdenes[[#This Row],[costo_servicio]]+tblOrdenes[[#This Row],[costo_materiales]])</f>
        <v/>
      </c>
      <c r="AN3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7" s="4" t="n"/>
      <c r="AP347" s="4" t="n"/>
      <c r="AQ347" s="4" t="n"/>
      <c r="AR347" s="5">
        <f>IF(tblOrdenes[[#This Row],[link_checklist]]="","",HYPERLINK(p_ruta_base_checklists&amp;tblOrdenes[[#This Row],[link_checklist]],"abrir"))</f>
        <v/>
      </c>
      <c r="AS347" s="4" t="n"/>
      <c r="AT347" s="5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22" t="n"/>
      <c r="K348" s="5" t="n"/>
      <c r="L348" s="18" t="n"/>
      <c r="M3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5">
        <f>IF(tblOrdenes[[#This Row],[fecha_inicio]]="","",YEAR(tblOrdenes[[#This Row],[fecha_inicio]]))</f>
        <v/>
      </c>
      <c r="Q348" s="5">
        <f>IF(tblOrdenes[[#This Row],[fecha_inicio]]="","",MONTH(tblOrdenes[[#This Row],[fecha_inicio]]))</f>
        <v/>
      </c>
      <c r="R348" s="5">
        <f>IF(tblOrdenes[[#This Row],[fecha_inicio]]="","",tblOrdenes[[#This Row],[anio]]&amp;"-"&amp;TEXT(tblOrdenes[[#This Row],[mes]],"00"))</f>
        <v/>
      </c>
      <c r="S348" s="5">
        <f>IF(tblOrdenes[[#This Row],[fecha_inicio]]="","",INDEX(lista_dias,WEEKDAY(tblOrdenes[[#This Row],[fecha_inicio]],2)))</f>
        <v/>
      </c>
      <c r="T3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8" s="5">
        <f>IF(tblOrdenes[[#This Row],[tipo_ot]]="","",_xlfn.XLOOKUP(tblOrdenes[[#This Row],[tipo_ot]],tblTiposOT[codigo],tblTiposOT[clasificacion],"sin_clasificar"))</f>
        <v/>
      </c>
      <c r="V3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8" s="5">
        <f>IF(tblOrdenes[[#This Row],[centro_costo]]="","",_xlfn.XLOOKUP(tblOrdenes[[#This Row],[centro_costo]],tblCECO[codigo],tblCECO[linea],"(sin catálogo)"))</f>
        <v/>
      </c>
      <c r="X348" s="5">
        <f>IF(tblOrdenes[[#This Row],[centro_costo]]="","",_xlfn.XLOOKUP(tblOrdenes[[#This Row],[centro_costo]],tblCECO[codigo],tblCECO[area],"(sin catálogo)"))</f>
        <v/>
      </c>
      <c r="Y3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8" s="5">
        <f>IF(tblOrdenes[[#This Row],[centro_costo]]="","",_xlfn.XLOOKUP(tblOrdenes[[#This Row],[centro_costo]],tblCECO[codigo],tblCECO[coordinador],"(sin catálogo)"))</f>
        <v/>
      </c>
      <c r="AA348" s="5">
        <f>IF(tblOrdenes[[#This Row],[puesto_trabajo]]="","",_xlfn.XLOOKUP(tblOrdenes[[#This Row],[puesto_trabajo]],tblPuestos[codigo],tblPuestos[especialidad],"(sin catálogo)"))</f>
        <v/>
      </c>
      <c r="AB348" s="5">
        <f>IF(tblOrdenes[[#This Row],[cod_actividad]]="","",_xlfn.XLOOKUP(tblOrdenes[[#This Row],[cod_actividad]],tblActividades[codigo],tblActividades[descripcion],"(sin catálogo)"))</f>
        <v/>
      </c>
      <c r="AC348" s="20">
        <f>IF(tblOrdenes[[#This Row],[fecha_inicio]]="","",TODAY()-tblOrdenes[[#This Row],[fecha_inicio]])</f>
        <v/>
      </c>
      <c r="AD3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8" s="5">
        <f>IF(tblOrdenes[[#This Row],[backlog_habiles]]="","",IF(tblOrdenes[[#This Row],[backlog_habiles]]&lt;0,"FUTURO",IF(tblOrdenes[[#This Row],[backlog_habiles]]&gt;p_dias_backlog_max,"BACKLOG","MES CORRIENTE")))</f>
        <v/>
      </c>
      <c r="AF348" s="5">
        <f>IF(tblOrdenes[[#This Row],[backlog_habiles]]="",FALSE,AND(tblOrdenes[[#This Row],[backlog_habiles]]&gt;p_dias_backlog_min,tblOrdenes[[#This Row],[backlog_habiles]]&lt;=p_dias_backlog_max))</f>
        <v/>
      </c>
      <c r="AG348" s="4" t="n"/>
      <c r="AH3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8" s="18">
        <f>IF(tblOrdenes[[#This Row],[orden]]="","",_xlfn.XLOOKUP(tblOrdenes[[#This Row],[id_operacion]],tblEjecucion[id_operacion],tblEjecucion[precio],0))</f>
        <v/>
      </c>
      <c r="AL348" s="18">
        <f>IF(tblOrdenes[[#This Row],[orden]]="","",MAX(0,_xlfn.XLOOKUP(tblOrdenes[[#This Row],[id_operacion]],tblEjecucion[id_operacion],tblEjecucion[costo_plan_total],0)-tblOrdenes[[#This Row],[costo_servicio]]))</f>
        <v/>
      </c>
      <c r="AM348" s="18">
        <f>IF(tblOrdenes[[#This Row],[orden]]="","",tblOrdenes[[#This Row],[costo_servicio]]+tblOrdenes[[#This Row],[costo_materiales]])</f>
        <v/>
      </c>
      <c r="AN3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8" s="4" t="n"/>
      <c r="AP348" s="4" t="n"/>
      <c r="AQ348" s="4" t="n"/>
      <c r="AR348" s="5">
        <f>IF(tblOrdenes[[#This Row],[link_checklist]]="","",HYPERLINK(p_ruta_base_checklists&amp;tblOrdenes[[#This Row],[link_checklist]],"abrir"))</f>
        <v/>
      </c>
      <c r="AS348" s="4" t="n"/>
      <c r="AT348" s="5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22" t="n"/>
      <c r="K349" s="5" t="n"/>
      <c r="L349" s="18" t="n"/>
      <c r="M3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5">
        <f>IF(tblOrdenes[[#This Row],[fecha_inicio]]="","",YEAR(tblOrdenes[[#This Row],[fecha_inicio]]))</f>
        <v/>
      </c>
      <c r="Q349" s="5">
        <f>IF(tblOrdenes[[#This Row],[fecha_inicio]]="","",MONTH(tblOrdenes[[#This Row],[fecha_inicio]]))</f>
        <v/>
      </c>
      <c r="R349" s="5">
        <f>IF(tblOrdenes[[#This Row],[fecha_inicio]]="","",tblOrdenes[[#This Row],[anio]]&amp;"-"&amp;TEXT(tblOrdenes[[#This Row],[mes]],"00"))</f>
        <v/>
      </c>
      <c r="S349" s="5">
        <f>IF(tblOrdenes[[#This Row],[fecha_inicio]]="","",INDEX(lista_dias,WEEKDAY(tblOrdenes[[#This Row],[fecha_inicio]],2)))</f>
        <v/>
      </c>
      <c r="T3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9" s="5">
        <f>IF(tblOrdenes[[#This Row],[tipo_ot]]="","",_xlfn.XLOOKUP(tblOrdenes[[#This Row],[tipo_ot]],tblTiposOT[codigo],tblTiposOT[clasificacion],"sin_clasificar"))</f>
        <v/>
      </c>
      <c r="V3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9" s="5">
        <f>IF(tblOrdenes[[#This Row],[centro_costo]]="","",_xlfn.XLOOKUP(tblOrdenes[[#This Row],[centro_costo]],tblCECO[codigo],tblCECO[linea],"(sin catálogo)"))</f>
        <v/>
      </c>
      <c r="X349" s="5">
        <f>IF(tblOrdenes[[#This Row],[centro_costo]]="","",_xlfn.XLOOKUP(tblOrdenes[[#This Row],[centro_costo]],tblCECO[codigo],tblCECO[area],"(sin catálogo)"))</f>
        <v/>
      </c>
      <c r="Y3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49" s="5">
        <f>IF(tblOrdenes[[#This Row],[centro_costo]]="","",_xlfn.XLOOKUP(tblOrdenes[[#This Row],[centro_costo]],tblCECO[codigo],tblCECO[coordinador],"(sin catálogo)"))</f>
        <v/>
      </c>
      <c r="AA349" s="5">
        <f>IF(tblOrdenes[[#This Row],[puesto_trabajo]]="","",_xlfn.XLOOKUP(tblOrdenes[[#This Row],[puesto_trabajo]],tblPuestos[codigo],tblPuestos[especialidad],"(sin catálogo)"))</f>
        <v/>
      </c>
      <c r="AB349" s="5">
        <f>IF(tblOrdenes[[#This Row],[cod_actividad]]="","",_xlfn.XLOOKUP(tblOrdenes[[#This Row],[cod_actividad]],tblActividades[codigo],tblActividades[descripcion],"(sin catálogo)"))</f>
        <v/>
      </c>
      <c r="AC349" s="20">
        <f>IF(tblOrdenes[[#This Row],[fecha_inicio]]="","",TODAY()-tblOrdenes[[#This Row],[fecha_inicio]])</f>
        <v/>
      </c>
      <c r="AD3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49" s="5">
        <f>IF(tblOrdenes[[#This Row],[backlog_habiles]]="","",IF(tblOrdenes[[#This Row],[backlog_habiles]]&lt;0,"FUTURO",IF(tblOrdenes[[#This Row],[backlog_habiles]]&gt;p_dias_backlog_max,"BACKLOG","MES CORRIENTE")))</f>
        <v/>
      </c>
      <c r="AF349" s="5">
        <f>IF(tblOrdenes[[#This Row],[backlog_habiles]]="",FALSE,AND(tblOrdenes[[#This Row],[backlog_habiles]]&gt;p_dias_backlog_min,tblOrdenes[[#This Row],[backlog_habiles]]&lt;=p_dias_backlog_max))</f>
        <v/>
      </c>
      <c r="AG349" s="4" t="n"/>
      <c r="AH3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49" s="18">
        <f>IF(tblOrdenes[[#This Row],[orden]]="","",_xlfn.XLOOKUP(tblOrdenes[[#This Row],[id_operacion]],tblEjecucion[id_operacion],tblEjecucion[precio],0))</f>
        <v/>
      </c>
      <c r="AL349" s="18">
        <f>IF(tblOrdenes[[#This Row],[orden]]="","",MAX(0,_xlfn.XLOOKUP(tblOrdenes[[#This Row],[id_operacion]],tblEjecucion[id_operacion],tblEjecucion[costo_plan_total],0)-tblOrdenes[[#This Row],[costo_servicio]]))</f>
        <v/>
      </c>
      <c r="AM349" s="18">
        <f>IF(tblOrdenes[[#This Row],[orden]]="","",tblOrdenes[[#This Row],[costo_servicio]]+tblOrdenes[[#This Row],[costo_materiales]])</f>
        <v/>
      </c>
      <c r="AN3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49" s="4" t="n"/>
      <c r="AP349" s="4" t="n"/>
      <c r="AQ349" s="4" t="n"/>
      <c r="AR349" s="5">
        <f>IF(tblOrdenes[[#This Row],[link_checklist]]="","",HYPERLINK(p_ruta_base_checklists&amp;tblOrdenes[[#This Row],[link_checklist]],"abrir"))</f>
        <v/>
      </c>
      <c r="AS349" s="4" t="n"/>
      <c r="AT349" s="5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22" t="n"/>
      <c r="K350" s="5" t="n"/>
      <c r="L350" s="18" t="n"/>
      <c r="M3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5">
        <f>IF(tblOrdenes[[#This Row],[fecha_inicio]]="","",YEAR(tblOrdenes[[#This Row],[fecha_inicio]]))</f>
        <v/>
      </c>
      <c r="Q350" s="5">
        <f>IF(tblOrdenes[[#This Row],[fecha_inicio]]="","",MONTH(tblOrdenes[[#This Row],[fecha_inicio]]))</f>
        <v/>
      </c>
      <c r="R350" s="5">
        <f>IF(tblOrdenes[[#This Row],[fecha_inicio]]="","",tblOrdenes[[#This Row],[anio]]&amp;"-"&amp;TEXT(tblOrdenes[[#This Row],[mes]],"00"))</f>
        <v/>
      </c>
      <c r="S350" s="5">
        <f>IF(tblOrdenes[[#This Row],[fecha_inicio]]="","",INDEX(lista_dias,WEEKDAY(tblOrdenes[[#This Row],[fecha_inicio]],2)))</f>
        <v/>
      </c>
      <c r="T3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0" s="5">
        <f>IF(tblOrdenes[[#This Row],[tipo_ot]]="","",_xlfn.XLOOKUP(tblOrdenes[[#This Row],[tipo_ot]],tblTiposOT[codigo],tblTiposOT[clasificacion],"sin_clasificar"))</f>
        <v/>
      </c>
      <c r="V3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0" s="5">
        <f>IF(tblOrdenes[[#This Row],[centro_costo]]="","",_xlfn.XLOOKUP(tblOrdenes[[#This Row],[centro_costo]],tblCECO[codigo],tblCECO[linea],"(sin catálogo)"))</f>
        <v/>
      </c>
      <c r="X350" s="5">
        <f>IF(tblOrdenes[[#This Row],[centro_costo]]="","",_xlfn.XLOOKUP(tblOrdenes[[#This Row],[centro_costo]],tblCECO[codigo],tblCECO[area],"(sin catálogo)"))</f>
        <v/>
      </c>
      <c r="Y3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0" s="5">
        <f>IF(tblOrdenes[[#This Row],[centro_costo]]="","",_xlfn.XLOOKUP(tblOrdenes[[#This Row],[centro_costo]],tblCECO[codigo],tblCECO[coordinador],"(sin catálogo)"))</f>
        <v/>
      </c>
      <c r="AA350" s="5">
        <f>IF(tblOrdenes[[#This Row],[puesto_trabajo]]="","",_xlfn.XLOOKUP(tblOrdenes[[#This Row],[puesto_trabajo]],tblPuestos[codigo],tblPuestos[especialidad],"(sin catálogo)"))</f>
        <v/>
      </c>
      <c r="AB350" s="5">
        <f>IF(tblOrdenes[[#This Row],[cod_actividad]]="","",_xlfn.XLOOKUP(tblOrdenes[[#This Row],[cod_actividad]],tblActividades[codigo],tblActividades[descripcion],"(sin catálogo)"))</f>
        <v/>
      </c>
      <c r="AC350" s="20">
        <f>IF(tblOrdenes[[#This Row],[fecha_inicio]]="","",TODAY()-tblOrdenes[[#This Row],[fecha_inicio]])</f>
        <v/>
      </c>
      <c r="AD3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0" s="5">
        <f>IF(tblOrdenes[[#This Row],[backlog_habiles]]="","",IF(tblOrdenes[[#This Row],[backlog_habiles]]&lt;0,"FUTURO",IF(tblOrdenes[[#This Row],[backlog_habiles]]&gt;p_dias_backlog_max,"BACKLOG","MES CORRIENTE")))</f>
        <v/>
      </c>
      <c r="AF350" s="5">
        <f>IF(tblOrdenes[[#This Row],[backlog_habiles]]="",FALSE,AND(tblOrdenes[[#This Row],[backlog_habiles]]&gt;p_dias_backlog_min,tblOrdenes[[#This Row],[backlog_habiles]]&lt;=p_dias_backlog_max))</f>
        <v/>
      </c>
      <c r="AG350" s="4" t="n"/>
      <c r="AH3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0" s="18">
        <f>IF(tblOrdenes[[#This Row],[orden]]="","",_xlfn.XLOOKUP(tblOrdenes[[#This Row],[id_operacion]],tblEjecucion[id_operacion],tblEjecucion[precio],0))</f>
        <v/>
      </c>
      <c r="AL350" s="18">
        <f>IF(tblOrdenes[[#This Row],[orden]]="","",MAX(0,_xlfn.XLOOKUP(tblOrdenes[[#This Row],[id_operacion]],tblEjecucion[id_operacion],tblEjecucion[costo_plan_total],0)-tblOrdenes[[#This Row],[costo_servicio]]))</f>
        <v/>
      </c>
      <c r="AM350" s="18">
        <f>IF(tblOrdenes[[#This Row],[orden]]="","",tblOrdenes[[#This Row],[costo_servicio]]+tblOrdenes[[#This Row],[costo_materiales]])</f>
        <v/>
      </c>
      <c r="AN3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0" s="4" t="n"/>
      <c r="AP350" s="4" t="n"/>
      <c r="AQ350" s="4" t="n"/>
      <c r="AR350" s="5">
        <f>IF(tblOrdenes[[#This Row],[link_checklist]]="","",HYPERLINK(p_ruta_base_checklists&amp;tblOrdenes[[#This Row],[link_checklist]],"abrir"))</f>
        <v/>
      </c>
      <c r="AS350" s="4" t="n"/>
      <c r="AT350" s="5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22" t="n"/>
      <c r="K351" s="5" t="n"/>
      <c r="L351" s="18" t="n"/>
      <c r="M3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5">
        <f>IF(tblOrdenes[[#This Row],[fecha_inicio]]="","",YEAR(tblOrdenes[[#This Row],[fecha_inicio]]))</f>
        <v/>
      </c>
      <c r="Q351" s="5">
        <f>IF(tblOrdenes[[#This Row],[fecha_inicio]]="","",MONTH(tblOrdenes[[#This Row],[fecha_inicio]]))</f>
        <v/>
      </c>
      <c r="R351" s="5">
        <f>IF(tblOrdenes[[#This Row],[fecha_inicio]]="","",tblOrdenes[[#This Row],[anio]]&amp;"-"&amp;TEXT(tblOrdenes[[#This Row],[mes]],"00"))</f>
        <v/>
      </c>
      <c r="S351" s="5">
        <f>IF(tblOrdenes[[#This Row],[fecha_inicio]]="","",INDEX(lista_dias,WEEKDAY(tblOrdenes[[#This Row],[fecha_inicio]],2)))</f>
        <v/>
      </c>
      <c r="T3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1" s="5">
        <f>IF(tblOrdenes[[#This Row],[tipo_ot]]="","",_xlfn.XLOOKUP(tblOrdenes[[#This Row],[tipo_ot]],tblTiposOT[codigo],tblTiposOT[clasificacion],"sin_clasificar"))</f>
        <v/>
      </c>
      <c r="V3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1" s="5">
        <f>IF(tblOrdenes[[#This Row],[centro_costo]]="","",_xlfn.XLOOKUP(tblOrdenes[[#This Row],[centro_costo]],tblCECO[codigo],tblCECO[linea],"(sin catálogo)"))</f>
        <v/>
      </c>
      <c r="X351" s="5">
        <f>IF(tblOrdenes[[#This Row],[centro_costo]]="","",_xlfn.XLOOKUP(tblOrdenes[[#This Row],[centro_costo]],tblCECO[codigo],tblCECO[area],"(sin catálogo)"))</f>
        <v/>
      </c>
      <c r="Y3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1" s="5">
        <f>IF(tblOrdenes[[#This Row],[centro_costo]]="","",_xlfn.XLOOKUP(tblOrdenes[[#This Row],[centro_costo]],tblCECO[codigo],tblCECO[coordinador],"(sin catálogo)"))</f>
        <v/>
      </c>
      <c r="AA351" s="5">
        <f>IF(tblOrdenes[[#This Row],[puesto_trabajo]]="","",_xlfn.XLOOKUP(tblOrdenes[[#This Row],[puesto_trabajo]],tblPuestos[codigo],tblPuestos[especialidad],"(sin catálogo)"))</f>
        <v/>
      </c>
      <c r="AB351" s="5">
        <f>IF(tblOrdenes[[#This Row],[cod_actividad]]="","",_xlfn.XLOOKUP(tblOrdenes[[#This Row],[cod_actividad]],tblActividades[codigo],tblActividades[descripcion],"(sin catálogo)"))</f>
        <v/>
      </c>
      <c r="AC351" s="20">
        <f>IF(tblOrdenes[[#This Row],[fecha_inicio]]="","",TODAY()-tblOrdenes[[#This Row],[fecha_inicio]])</f>
        <v/>
      </c>
      <c r="AD3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1" s="5">
        <f>IF(tblOrdenes[[#This Row],[backlog_habiles]]="","",IF(tblOrdenes[[#This Row],[backlog_habiles]]&lt;0,"FUTURO",IF(tblOrdenes[[#This Row],[backlog_habiles]]&gt;p_dias_backlog_max,"BACKLOG","MES CORRIENTE")))</f>
        <v/>
      </c>
      <c r="AF351" s="5">
        <f>IF(tblOrdenes[[#This Row],[backlog_habiles]]="",FALSE,AND(tblOrdenes[[#This Row],[backlog_habiles]]&gt;p_dias_backlog_min,tblOrdenes[[#This Row],[backlog_habiles]]&lt;=p_dias_backlog_max))</f>
        <v/>
      </c>
      <c r="AG351" s="4" t="n"/>
      <c r="AH3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1" s="18">
        <f>IF(tblOrdenes[[#This Row],[orden]]="","",_xlfn.XLOOKUP(tblOrdenes[[#This Row],[id_operacion]],tblEjecucion[id_operacion],tblEjecucion[precio],0))</f>
        <v/>
      </c>
      <c r="AL351" s="18">
        <f>IF(tblOrdenes[[#This Row],[orden]]="","",MAX(0,_xlfn.XLOOKUP(tblOrdenes[[#This Row],[id_operacion]],tblEjecucion[id_operacion],tblEjecucion[costo_plan_total],0)-tblOrdenes[[#This Row],[costo_servicio]]))</f>
        <v/>
      </c>
      <c r="AM351" s="18">
        <f>IF(tblOrdenes[[#This Row],[orden]]="","",tblOrdenes[[#This Row],[costo_servicio]]+tblOrdenes[[#This Row],[costo_materiales]])</f>
        <v/>
      </c>
      <c r="AN3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1" s="4" t="n"/>
      <c r="AP351" s="4" t="n"/>
      <c r="AQ351" s="4" t="n"/>
      <c r="AR351" s="5">
        <f>IF(tblOrdenes[[#This Row],[link_checklist]]="","",HYPERLINK(p_ruta_base_checklists&amp;tblOrdenes[[#This Row],[link_checklist]],"abrir"))</f>
        <v/>
      </c>
      <c r="AS351" s="4" t="n"/>
      <c r="AT351" s="5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22" t="n"/>
      <c r="K352" s="5" t="n"/>
      <c r="L352" s="18" t="n"/>
      <c r="M3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5">
        <f>IF(tblOrdenes[[#This Row],[fecha_inicio]]="","",YEAR(tblOrdenes[[#This Row],[fecha_inicio]]))</f>
        <v/>
      </c>
      <c r="Q352" s="5">
        <f>IF(tblOrdenes[[#This Row],[fecha_inicio]]="","",MONTH(tblOrdenes[[#This Row],[fecha_inicio]]))</f>
        <v/>
      </c>
      <c r="R352" s="5">
        <f>IF(tblOrdenes[[#This Row],[fecha_inicio]]="","",tblOrdenes[[#This Row],[anio]]&amp;"-"&amp;TEXT(tblOrdenes[[#This Row],[mes]],"00"))</f>
        <v/>
      </c>
      <c r="S352" s="5">
        <f>IF(tblOrdenes[[#This Row],[fecha_inicio]]="","",INDEX(lista_dias,WEEKDAY(tblOrdenes[[#This Row],[fecha_inicio]],2)))</f>
        <v/>
      </c>
      <c r="T3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2" s="5">
        <f>IF(tblOrdenes[[#This Row],[tipo_ot]]="","",_xlfn.XLOOKUP(tblOrdenes[[#This Row],[tipo_ot]],tblTiposOT[codigo],tblTiposOT[clasificacion],"sin_clasificar"))</f>
        <v/>
      </c>
      <c r="V3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2" s="5">
        <f>IF(tblOrdenes[[#This Row],[centro_costo]]="","",_xlfn.XLOOKUP(tblOrdenes[[#This Row],[centro_costo]],tblCECO[codigo],tblCECO[linea],"(sin catálogo)"))</f>
        <v/>
      </c>
      <c r="X352" s="5">
        <f>IF(tblOrdenes[[#This Row],[centro_costo]]="","",_xlfn.XLOOKUP(tblOrdenes[[#This Row],[centro_costo]],tblCECO[codigo],tblCECO[area],"(sin catálogo)"))</f>
        <v/>
      </c>
      <c r="Y3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2" s="5">
        <f>IF(tblOrdenes[[#This Row],[centro_costo]]="","",_xlfn.XLOOKUP(tblOrdenes[[#This Row],[centro_costo]],tblCECO[codigo],tblCECO[coordinador],"(sin catálogo)"))</f>
        <v/>
      </c>
      <c r="AA352" s="5">
        <f>IF(tblOrdenes[[#This Row],[puesto_trabajo]]="","",_xlfn.XLOOKUP(tblOrdenes[[#This Row],[puesto_trabajo]],tblPuestos[codigo],tblPuestos[especialidad],"(sin catálogo)"))</f>
        <v/>
      </c>
      <c r="AB352" s="5">
        <f>IF(tblOrdenes[[#This Row],[cod_actividad]]="","",_xlfn.XLOOKUP(tblOrdenes[[#This Row],[cod_actividad]],tblActividades[codigo],tblActividades[descripcion],"(sin catálogo)"))</f>
        <v/>
      </c>
      <c r="AC352" s="20">
        <f>IF(tblOrdenes[[#This Row],[fecha_inicio]]="","",TODAY()-tblOrdenes[[#This Row],[fecha_inicio]])</f>
        <v/>
      </c>
      <c r="AD3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2" s="5">
        <f>IF(tblOrdenes[[#This Row],[backlog_habiles]]="","",IF(tblOrdenes[[#This Row],[backlog_habiles]]&lt;0,"FUTURO",IF(tblOrdenes[[#This Row],[backlog_habiles]]&gt;p_dias_backlog_max,"BACKLOG","MES CORRIENTE")))</f>
        <v/>
      </c>
      <c r="AF352" s="5">
        <f>IF(tblOrdenes[[#This Row],[backlog_habiles]]="",FALSE,AND(tblOrdenes[[#This Row],[backlog_habiles]]&gt;p_dias_backlog_min,tblOrdenes[[#This Row],[backlog_habiles]]&lt;=p_dias_backlog_max))</f>
        <v/>
      </c>
      <c r="AG352" s="4" t="n"/>
      <c r="AH3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2" s="18">
        <f>IF(tblOrdenes[[#This Row],[orden]]="","",_xlfn.XLOOKUP(tblOrdenes[[#This Row],[id_operacion]],tblEjecucion[id_operacion],tblEjecucion[precio],0))</f>
        <v/>
      </c>
      <c r="AL352" s="18">
        <f>IF(tblOrdenes[[#This Row],[orden]]="","",MAX(0,_xlfn.XLOOKUP(tblOrdenes[[#This Row],[id_operacion]],tblEjecucion[id_operacion],tblEjecucion[costo_plan_total],0)-tblOrdenes[[#This Row],[costo_servicio]]))</f>
        <v/>
      </c>
      <c r="AM352" s="18">
        <f>IF(tblOrdenes[[#This Row],[orden]]="","",tblOrdenes[[#This Row],[costo_servicio]]+tblOrdenes[[#This Row],[costo_materiales]])</f>
        <v/>
      </c>
      <c r="AN3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2" s="4" t="n"/>
      <c r="AP352" s="4" t="n"/>
      <c r="AQ352" s="4" t="n"/>
      <c r="AR352" s="5">
        <f>IF(tblOrdenes[[#This Row],[link_checklist]]="","",HYPERLINK(p_ruta_base_checklists&amp;tblOrdenes[[#This Row],[link_checklist]],"abrir"))</f>
        <v/>
      </c>
      <c r="AS352" s="4" t="n"/>
      <c r="AT352" s="5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22" t="n"/>
      <c r="K353" s="5" t="n"/>
      <c r="L353" s="18" t="n"/>
      <c r="M3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5">
        <f>IF(tblOrdenes[[#This Row],[fecha_inicio]]="","",YEAR(tblOrdenes[[#This Row],[fecha_inicio]]))</f>
        <v/>
      </c>
      <c r="Q353" s="5">
        <f>IF(tblOrdenes[[#This Row],[fecha_inicio]]="","",MONTH(tblOrdenes[[#This Row],[fecha_inicio]]))</f>
        <v/>
      </c>
      <c r="R353" s="5">
        <f>IF(tblOrdenes[[#This Row],[fecha_inicio]]="","",tblOrdenes[[#This Row],[anio]]&amp;"-"&amp;TEXT(tblOrdenes[[#This Row],[mes]],"00"))</f>
        <v/>
      </c>
      <c r="S353" s="5">
        <f>IF(tblOrdenes[[#This Row],[fecha_inicio]]="","",INDEX(lista_dias,WEEKDAY(tblOrdenes[[#This Row],[fecha_inicio]],2)))</f>
        <v/>
      </c>
      <c r="T3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3" s="5">
        <f>IF(tblOrdenes[[#This Row],[tipo_ot]]="","",_xlfn.XLOOKUP(tblOrdenes[[#This Row],[tipo_ot]],tblTiposOT[codigo],tblTiposOT[clasificacion],"sin_clasificar"))</f>
        <v/>
      </c>
      <c r="V3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3" s="5">
        <f>IF(tblOrdenes[[#This Row],[centro_costo]]="","",_xlfn.XLOOKUP(tblOrdenes[[#This Row],[centro_costo]],tblCECO[codigo],tblCECO[linea],"(sin catálogo)"))</f>
        <v/>
      </c>
      <c r="X353" s="5">
        <f>IF(tblOrdenes[[#This Row],[centro_costo]]="","",_xlfn.XLOOKUP(tblOrdenes[[#This Row],[centro_costo]],tblCECO[codigo],tblCECO[area],"(sin catálogo)"))</f>
        <v/>
      </c>
      <c r="Y3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3" s="5">
        <f>IF(tblOrdenes[[#This Row],[centro_costo]]="","",_xlfn.XLOOKUP(tblOrdenes[[#This Row],[centro_costo]],tblCECO[codigo],tblCECO[coordinador],"(sin catálogo)"))</f>
        <v/>
      </c>
      <c r="AA353" s="5">
        <f>IF(tblOrdenes[[#This Row],[puesto_trabajo]]="","",_xlfn.XLOOKUP(tblOrdenes[[#This Row],[puesto_trabajo]],tblPuestos[codigo],tblPuestos[especialidad],"(sin catálogo)"))</f>
        <v/>
      </c>
      <c r="AB353" s="5">
        <f>IF(tblOrdenes[[#This Row],[cod_actividad]]="","",_xlfn.XLOOKUP(tblOrdenes[[#This Row],[cod_actividad]],tblActividades[codigo],tblActividades[descripcion],"(sin catálogo)"))</f>
        <v/>
      </c>
      <c r="AC353" s="20">
        <f>IF(tblOrdenes[[#This Row],[fecha_inicio]]="","",TODAY()-tblOrdenes[[#This Row],[fecha_inicio]])</f>
        <v/>
      </c>
      <c r="AD3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3" s="5">
        <f>IF(tblOrdenes[[#This Row],[backlog_habiles]]="","",IF(tblOrdenes[[#This Row],[backlog_habiles]]&lt;0,"FUTURO",IF(tblOrdenes[[#This Row],[backlog_habiles]]&gt;p_dias_backlog_max,"BACKLOG","MES CORRIENTE")))</f>
        <v/>
      </c>
      <c r="AF353" s="5">
        <f>IF(tblOrdenes[[#This Row],[backlog_habiles]]="",FALSE,AND(tblOrdenes[[#This Row],[backlog_habiles]]&gt;p_dias_backlog_min,tblOrdenes[[#This Row],[backlog_habiles]]&lt;=p_dias_backlog_max))</f>
        <v/>
      </c>
      <c r="AG353" s="4" t="n"/>
      <c r="AH3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3" s="18">
        <f>IF(tblOrdenes[[#This Row],[orden]]="","",_xlfn.XLOOKUP(tblOrdenes[[#This Row],[id_operacion]],tblEjecucion[id_operacion],tblEjecucion[precio],0))</f>
        <v/>
      </c>
      <c r="AL353" s="18">
        <f>IF(tblOrdenes[[#This Row],[orden]]="","",MAX(0,_xlfn.XLOOKUP(tblOrdenes[[#This Row],[id_operacion]],tblEjecucion[id_operacion],tblEjecucion[costo_plan_total],0)-tblOrdenes[[#This Row],[costo_servicio]]))</f>
        <v/>
      </c>
      <c r="AM353" s="18">
        <f>IF(tblOrdenes[[#This Row],[orden]]="","",tblOrdenes[[#This Row],[costo_servicio]]+tblOrdenes[[#This Row],[costo_materiales]])</f>
        <v/>
      </c>
      <c r="AN3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3" s="4" t="n"/>
      <c r="AP353" s="4" t="n"/>
      <c r="AQ353" s="4" t="n"/>
      <c r="AR353" s="5">
        <f>IF(tblOrdenes[[#This Row],[link_checklist]]="","",HYPERLINK(p_ruta_base_checklists&amp;tblOrdenes[[#This Row],[link_checklist]],"abrir"))</f>
        <v/>
      </c>
      <c r="AS353" s="4" t="n"/>
      <c r="AT353" s="5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22" t="n"/>
      <c r="K354" s="5" t="n"/>
      <c r="L354" s="18" t="n"/>
      <c r="M3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5">
        <f>IF(tblOrdenes[[#This Row],[fecha_inicio]]="","",YEAR(tblOrdenes[[#This Row],[fecha_inicio]]))</f>
        <v/>
      </c>
      <c r="Q354" s="5">
        <f>IF(tblOrdenes[[#This Row],[fecha_inicio]]="","",MONTH(tblOrdenes[[#This Row],[fecha_inicio]]))</f>
        <v/>
      </c>
      <c r="R354" s="5">
        <f>IF(tblOrdenes[[#This Row],[fecha_inicio]]="","",tblOrdenes[[#This Row],[anio]]&amp;"-"&amp;TEXT(tblOrdenes[[#This Row],[mes]],"00"))</f>
        <v/>
      </c>
      <c r="S354" s="5">
        <f>IF(tblOrdenes[[#This Row],[fecha_inicio]]="","",INDEX(lista_dias,WEEKDAY(tblOrdenes[[#This Row],[fecha_inicio]],2)))</f>
        <v/>
      </c>
      <c r="T3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4" s="5">
        <f>IF(tblOrdenes[[#This Row],[tipo_ot]]="","",_xlfn.XLOOKUP(tblOrdenes[[#This Row],[tipo_ot]],tblTiposOT[codigo],tblTiposOT[clasificacion],"sin_clasificar"))</f>
        <v/>
      </c>
      <c r="V3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4" s="5">
        <f>IF(tblOrdenes[[#This Row],[centro_costo]]="","",_xlfn.XLOOKUP(tblOrdenes[[#This Row],[centro_costo]],tblCECO[codigo],tblCECO[linea],"(sin catálogo)"))</f>
        <v/>
      </c>
      <c r="X354" s="5">
        <f>IF(tblOrdenes[[#This Row],[centro_costo]]="","",_xlfn.XLOOKUP(tblOrdenes[[#This Row],[centro_costo]],tblCECO[codigo],tblCECO[area],"(sin catálogo)"))</f>
        <v/>
      </c>
      <c r="Y3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4" s="5">
        <f>IF(tblOrdenes[[#This Row],[centro_costo]]="","",_xlfn.XLOOKUP(tblOrdenes[[#This Row],[centro_costo]],tblCECO[codigo],tblCECO[coordinador],"(sin catálogo)"))</f>
        <v/>
      </c>
      <c r="AA354" s="5">
        <f>IF(tblOrdenes[[#This Row],[puesto_trabajo]]="","",_xlfn.XLOOKUP(tblOrdenes[[#This Row],[puesto_trabajo]],tblPuestos[codigo],tblPuestos[especialidad],"(sin catálogo)"))</f>
        <v/>
      </c>
      <c r="AB354" s="5">
        <f>IF(tblOrdenes[[#This Row],[cod_actividad]]="","",_xlfn.XLOOKUP(tblOrdenes[[#This Row],[cod_actividad]],tblActividades[codigo],tblActividades[descripcion],"(sin catálogo)"))</f>
        <v/>
      </c>
      <c r="AC354" s="20">
        <f>IF(tblOrdenes[[#This Row],[fecha_inicio]]="","",TODAY()-tblOrdenes[[#This Row],[fecha_inicio]])</f>
        <v/>
      </c>
      <c r="AD3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4" s="5">
        <f>IF(tblOrdenes[[#This Row],[backlog_habiles]]="","",IF(tblOrdenes[[#This Row],[backlog_habiles]]&lt;0,"FUTURO",IF(tblOrdenes[[#This Row],[backlog_habiles]]&gt;p_dias_backlog_max,"BACKLOG","MES CORRIENTE")))</f>
        <v/>
      </c>
      <c r="AF354" s="5">
        <f>IF(tblOrdenes[[#This Row],[backlog_habiles]]="",FALSE,AND(tblOrdenes[[#This Row],[backlog_habiles]]&gt;p_dias_backlog_min,tblOrdenes[[#This Row],[backlog_habiles]]&lt;=p_dias_backlog_max))</f>
        <v/>
      </c>
      <c r="AG354" s="4" t="n"/>
      <c r="AH3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4" s="18">
        <f>IF(tblOrdenes[[#This Row],[orden]]="","",_xlfn.XLOOKUP(tblOrdenes[[#This Row],[id_operacion]],tblEjecucion[id_operacion],tblEjecucion[precio],0))</f>
        <v/>
      </c>
      <c r="AL354" s="18">
        <f>IF(tblOrdenes[[#This Row],[orden]]="","",MAX(0,_xlfn.XLOOKUP(tblOrdenes[[#This Row],[id_operacion]],tblEjecucion[id_operacion],tblEjecucion[costo_plan_total],0)-tblOrdenes[[#This Row],[costo_servicio]]))</f>
        <v/>
      </c>
      <c r="AM354" s="18">
        <f>IF(tblOrdenes[[#This Row],[orden]]="","",tblOrdenes[[#This Row],[costo_servicio]]+tblOrdenes[[#This Row],[costo_materiales]])</f>
        <v/>
      </c>
      <c r="AN3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4" s="4" t="n"/>
      <c r="AP354" s="4" t="n"/>
      <c r="AQ354" s="4" t="n"/>
      <c r="AR354" s="5">
        <f>IF(tblOrdenes[[#This Row],[link_checklist]]="","",HYPERLINK(p_ruta_base_checklists&amp;tblOrdenes[[#This Row],[link_checklist]],"abrir"))</f>
        <v/>
      </c>
      <c r="AS354" s="4" t="n"/>
      <c r="AT354" s="5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22" t="n"/>
      <c r="K355" s="5" t="n"/>
      <c r="L355" s="18" t="n"/>
      <c r="M3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5">
        <f>IF(tblOrdenes[[#This Row],[fecha_inicio]]="","",YEAR(tblOrdenes[[#This Row],[fecha_inicio]]))</f>
        <v/>
      </c>
      <c r="Q355" s="5">
        <f>IF(tblOrdenes[[#This Row],[fecha_inicio]]="","",MONTH(tblOrdenes[[#This Row],[fecha_inicio]]))</f>
        <v/>
      </c>
      <c r="R355" s="5">
        <f>IF(tblOrdenes[[#This Row],[fecha_inicio]]="","",tblOrdenes[[#This Row],[anio]]&amp;"-"&amp;TEXT(tblOrdenes[[#This Row],[mes]],"00"))</f>
        <v/>
      </c>
      <c r="S355" s="5">
        <f>IF(tblOrdenes[[#This Row],[fecha_inicio]]="","",INDEX(lista_dias,WEEKDAY(tblOrdenes[[#This Row],[fecha_inicio]],2)))</f>
        <v/>
      </c>
      <c r="T3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5" s="5">
        <f>IF(tblOrdenes[[#This Row],[tipo_ot]]="","",_xlfn.XLOOKUP(tblOrdenes[[#This Row],[tipo_ot]],tblTiposOT[codigo],tblTiposOT[clasificacion],"sin_clasificar"))</f>
        <v/>
      </c>
      <c r="V3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5" s="5">
        <f>IF(tblOrdenes[[#This Row],[centro_costo]]="","",_xlfn.XLOOKUP(tblOrdenes[[#This Row],[centro_costo]],tblCECO[codigo],tblCECO[linea],"(sin catálogo)"))</f>
        <v/>
      </c>
      <c r="X355" s="5">
        <f>IF(tblOrdenes[[#This Row],[centro_costo]]="","",_xlfn.XLOOKUP(tblOrdenes[[#This Row],[centro_costo]],tblCECO[codigo],tblCECO[area],"(sin catálogo)"))</f>
        <v/>
      </c>
      <c r="Y3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5" s="5">
        <f>IF(tblOrdenes[[#This Row],[centro_costo]]="","",_xlfn.XLOOKUP(tblOrdenes[[#This Row],[centro_costo]],tblCECO[codigo],tblCECO[coordinador],"(sin catálogo)"))</f>
        <v/>
      </c>
      <c r="AA355" s="5">
        <f>IF(tblOrdenes[[#This Row],[puesto_trabajo]]="","",_xlfn.XLOOKUP(tblOrdenes[[#This Row],[puesto_trabajo]],tblPuestos[codigo],tblPuestos[especialidad],"(sin catálogo)"))</f>
        <v/>
      </c>
      <c r="AB355" s="5">
        <f>IF(tblOrdenes[[#This Row],[cod_actividad]]="","",_xlfn.XLOOKUP(tblOrdenes[[#This Row],[cod_actividad]],tblActividades[codigo],tblActividades[descripcion],"(sin catálogo)"))</f>
        <v/>
      </c>
      <c r="AC355" s="20">
        <f>IF(tblOrdenes[[#This Row],[fecha_inicio]]="","",TODAY()-tblOrdenes[[#This Row],[fecha_inicio]])</f>
        <v/>
      </c>
      <c r="AD3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5" s="5">
        <f>IF(tblOrdenes[[#This Row],[backlog_habiles]]="","",IF(tblOrdenes[[#This Row],[backlog_habiles]]&lt;0,"FUTURO",IF(tblOrdenes[[#This Row],[backlog_habiles]]&gt;p_dias_backlog_max,"BACKLOG","MES CORRIENTE")))</f>
        <v/>
      </c>
      <c r="AF355" s="5">
        <f>IF(tblOrdenes[[#This Row],[backlog_habiles]]="",FALSE,AND(tblOrdenes[[#This Row],[backlog_habiles]]&gt;p_dias_backlog_min,tblOrdenes[[#This Row],[backlog_habiles]]&lt;=p_dias_backlog_max))</f>
        <v/>
      </c>
      <c r="AG355" s="4" t="n"/>
      <c r="AH3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5" s="18">
        <f>IF(tblOrdenes[[#This Row],[orden]]="","",_xlfn.XLOOKUP(tblOrdenes[[#This Row],[id_operacion]],tblEjecucion[id_operacion],tblEjecucion[precio],0))</f>
        <v/>
      </c>
      <c r="AL355" s="18">
        <f>IF(tblOrdenes[[#This Row],[orden]]="","",MAX(0,_xlfn.XLOOKUP(tblOrdenes[[#This Row],[id_operacion]],tblEjecucion[id_operacion],tblEjecucion[costo_plan_total],0)-tblOrdenes[[#This Row],[costo_servicio]]))</f>
        <v/>
      </c>
      <c r="AM355" s="18">
        <f>IF(tblOrdenes[[#This Row],[orden]]="","",tblOrdenes[[#This Row],[costo_servicio]]+tblOrdenes[[#This Row],[costo_materiales]])</f>
        <v/>
      </c>
      <c r="AN3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5" s="4" t="n"/>
      <c r="AP355" s="4" t="n"/>
      <c r="AQ355" s="4" t="n"/>
      <c r="AR355" s="5">
        <f>IF(tblOrdenes[[#This Row],[link_checklist]]="","",HYPERLINK(p_ruta_base_checklists&amp;tblOrdenes[[#This Row],[link_checklist]],"abrir"))</f>
        <v/>
      </c>
      <c r="AS355" s="4" t="n"/>
      <c r="AT355" s="5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22" t="n"/>
      <c r="K356" s="5" t="n"/>
      <c r="L356" s="18" t="n"/>
      <c r="M3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5">
        <f>IF(tblOrdenes[[#This Row],[fecha_inicio]]="","",YEAR(tblOrdenes[[#This Row],[fecha_inicio]]))</f>
        <v/>
      </c>
      <c r="Q356" s="5">
        <f>IF(tblOrdenes[[#This Row],[fecha_inicio]]="","",MONTH(tblOrdenes[[#This Row],[fecha_inicio]]))</f>
        <v/>
      </c>
      <c r="R356" s="5">
        <f>IF(tblOrdenes[[#This Row],[fecha_inicio]]="","",tblOrdenes[[#This Row],[anio]]&amp;"-"&amp;TEXT(tblOrdenes[[#This Row],[mes]],"00"))</f>
        <v/>
      </c>
      <c r="S356" s="5">
        <f>IF(tblOrdenes[[#This Row],[fecha_inicio]]="","",INDEX(lista_dias,WEEKDAY(tblOrdenes[[#This Row],[fecha_inicio]],2)))</f>
        <v/>
      </c>
      <c r="T3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6" s="5">
        <f>IF(tblOrdenes[[#This Row],[tipo_ot]]="","",_xlfn.XLOOKUP(tblOrdenes[[#This Row],[tipo_ot]],tblTiposOT[codigo],tblTiposOT[clasificacion],"sin_clasificar"))</f>
        <v/>
      </c>
      <c r="V3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6" s="5">
        <f>IF(tblOrdenes[[#This Row],[centro_costo]]="","",_xlfn.XLOOKUP(tblOrdenes[[#This Row],[centro_costo]],tblCECO[codigo],tblCECO[linea],"(sin catálogo)"))</f>
        <v/>
      </c>
      <c r="X356" s="5">
        <f>IF(tblOrdenes[[#This Row],[centro_costo]]="","",_xlfn.XLOOKUP(tblOrdenes[[#This Row],[centro_costo]],tblCECO[codigo],tblCECO[area],"(sin catálogo)"))</f>
        <v/>
      </c>
      <c r="Y3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6" s="5">
        <f>IF(tblOrdenes[[#This Row],[centro_costo]]="","",_xlfn.XLOOKUP(tblOrdenes[[#This Row],[centro_costo]],tblCECO[codigo],tblCECO[coordinador],"(sin catálogo)"))</f>
        <v/>
      </c>
      <c r="AA356" s="5">
        <f>IF(tblOrdenes[[#This Row],[puesto_trabajo]]="","",_xlfn.XLOOKUP(tblOrdenes[[#This Row],[puesto_trabajo]],tblPuestos[codigo],tblPuestos[especialidad],"(sin catálogo)"))</f>
        <v/>
      </c>
      <c r="AB356" s="5">
        <f>IF(tblOrdenes[[#This Row],[cod_actividad]]="","",_xlfn.XLOOKUP(tblOrdenes[[#This Row],[cod_actividad]],tblActividades[codigo],tblActividades[descripcion],"(sin catálogo)"))</f>
        <v/>
      </c>
      <c r="AC356" s="20">
        <f>IF(tblOrdenes[[#This Row],[fecha_inicio]]="","",TODAY()-tblOrdenes[[#This Row],[fecha_inicio]])</f>
        <v/>
      </c>
      <c r="AD3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6" s="5">
        <f>IF(tblOrdenes[[#This Row],[backlog_habiles]]="","",IF(tblOrdenes[[#This Row],[backlog_habiles]]&lt;0,"FUTURO",IF(tblOrdenes[[#This Row],[backlog_habiles]]&gt;p_dias_backlog_max,"BACKLOG","MES CORRIENTE")))</f>
        <v/>
      </c>
      <c r="AF356" s="5">
        <f>IF(tblOrdenes[[#This Row],[backlog_habiles]]="",FALSE,AND(tblOrdenes[[#This Row],[backlog_habiles]]&gt;p_dias_backlog_min,tblOrdenes[[#This Row],[backlog_habiles]]&lt;=p_dias_backlog_max))</f>
        <v/>
      </c>
      <c r="AG356" s="4" t="n"/>
      <c r="AH3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6" s="18">
        <f>IF(tblOrdenes[[#This Row],[orden]]="","",_xlfn.XLOOKUP(tblOrdenes[[#This Row],[id_operacion]],tblEjecucion[id_operacion],tblEjecucion[precio],0))</f>
        <v/>
      </c>
      <c r="AL356" s="18">
        <f>IF(tblOrdenes[[#This Row],[orden]]="","",MAX(0,_xlfn.XLOOKUP(tblOrdenes[[#This Row],[id_operacion]],tblEjecucion[id_operacion],tblEjecucion[costo_plan_total],0)-tblOrdenes[[#This Row],[costo_servicio]]))</f>
        <v/>
      </c>
      <c r="AM356" s="18">
        <f>IF(tblOrdenes[[#This Row],[orden]]="","",tblOrdenes[[#This Row],[costo_servicio]]+tblOrdenes[[#This Row],[costo_materiales]])</f>
        <v/>
      </c>
      <c r="AN3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6" s="4" t="n"/>
      <c r="AP356" s="4" t="n"/>
      <c r="AQ356" s="4" t="n"/>
      <c r="AR356" s="5">
        <f>IF(tblOrdenes[[#This Row],[link_checklist]]="","",HYPERLINK(p_ruta_base_checklists&amp;tblOrdenes[[#This Row],[link_checklist]],"abrir"))</f>
        <v/>
      </c>
      <c r="AS356" s="4" t="n"/>
      <c r="AT356" s="5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22" t="n"/>
      <c r="K357" s="5" t="n"/>
      <c r="L357" s="18" t="n"/>
      <c r="M3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5">
        <f>IF(tblOrdenes[[#This Row],[fecha_inicio]]="","",YEAR(tblOrdenes[[#This Row],[fecha_inicio]]))</f>
        <v/>
      </c>
      <c r="Q357" s="5">
        <f>IF(tblOrdenes[[#This Row],[fecha_inicio]]="","",MONTH(tblOrdenes[[#This Row],[fecha_inicio]]))</f>
        <v/>
      </c>
      <c r="R357" s="5">
        <f>IF(tblOrdenes[[#This Row],[fecha_inicio]]="","",tblOrdenes[[#This Row],[anio]]&amp;"-"&amp;TEXT(tblOrdenes[[#This Row],[mes]],"00"))</f>
        <v/>
      </c>
      <c r="S357" s="5">
        <f>IF(tblOrdenes[[#This Row],[fecha_inicio]]="","",INDEX(lista_dias,WEEKDAY(tblOrdenes[[#This Row],[fecha_inicio]],2)))</f>
        <v/>
      </c>
      <c r="T3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7" s="5">
        <f>IF(tblOrdenes[[#This Row],[tipo_ot]]="","",_xlfn.XLOOKUP(tblOrdenes[[#This Row],[tipo_ot]],tblTiposOT[codigo],tblTiposOT[clasificacion],"sin_clasificar"))</f>
        <v/>
      </c>
      <c r="V3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7" s="5">
        <f>IF(tblOrdenes[[#This Row],[centro_costo]]="","",_xlfn.XLOOKUP(tblOrdenes[[#This Row],[centro_costo]],tblCECO[codigo],tblCECO[linea],"(sin catálogo)"))</f>
        <v/>
      </c>
      <c r="X357" s="5">
        <f>IF(tblOrdenes[[#This Row],[centro_costo]]="","",_xlfn.XLOOKUP(tblOrdenes[[#This Row],[centro_costo]],tblCECO[codigo],tblCECO[area],"(sin catálogo)"))</f>
        <v/>
      </c>
      <c r="Y3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7" s="5">
        <f>IF(tblOrdenes[[#This Row],[centro_costo]]="","",_xlfn.XLOOKUP(tblOrdenes[[#This Row],[centro_costo]],tblCECO[codigo],tblCECO[coordinador],"(sin catálogo)"))</f>
        <v/>
      </c>
      <c r="AA357" s="5">
        <f>IF(tblOrdenes[[#This Row],[puesto_trabajo]]="","",_xlfn.XLOOKUP(tblOrdenes[[#This Row],[puesto_trabajo]],tblPuestos[codigo],tblPuestos[especialidad],"(sin catálogo)"))</f>
        <v/>
      </c>
      <c r="AB357" s="5">
        <f>IF(tblOrdenes[[#This Row],[cod_actividad]]="","",_xlfn.XLOOKUP(tblOrdenes[[#This Row],[cod_actividad]],tblActividades[codigo],tblActividades[descripcion],"(sin catálogo)"))</f>
        <v/>
      </c>
      <c r="AC357" s="20">
        <f>IF(tblOrdenes[[#This Row],[fecha_inicio]]="","",TODAY()-tblOrdenes[[#This Row],[fecha_inicio]])</f>
        <v/>
      </c>
      <c r="AD3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7" s="5">
        <f>IF(tblOrdenes[[#This Row],[backlog_habiles]]="","",IF(tblOrdenes[[#This Row],[backlog_habiles]]&lt;0,"FUTURO",IF(tblOrdenes[[#This Row],[backlog_habiles]]&gt;p_dias_backlog_max,"BACKLOG","MES CORRIENTE")))</f>
        <v/>
      </c>
      <c r="AF357" s="5">
        <f>IF(tblOrdenes[[#This Row],[backlog_habiles]]="",FALSE,AND(tblOrdenes[[#This Row],[backlog_habiles]]&gt;p_dias_backlog_min,tblOrdenes[[#This Row],[backlog_habiles]]&lt;=p_dias_backlog_max))</f>
        <v/>
      </c>
      <c r="AG357" s="4" t="n"/>
      <c r="AH3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7" s="18">
        <f>IF(tblOrdenes[[#This Row],[orden]]="","",_xlfn.XLOOKUP(tblOrdenes[[#This Row],[id_operacion]],tblEjecucion[id_operacion],tblEjecucion[precio],0))</f>
        <v/>
      </c>
      <c r="AL357" s="18">
        <f>IF(tblOrdenes[[#This Row],[orden]]="","",MAX(0,_xlfn.XLOOKUP(tblOrdenes[[#This Row],[id_operacion]],tblEjecucion[id_operacion],tblEjecucion[costo_plan_total],0)-tblOrdenes[[#This Row],[costo_servicio]]))</f>
        <v/>
      </c>
      <c r="AM357" s="18">
        <f>IF(tblOrdenes[[#This Row],[orden]]="","",tblOrdenes[[#This Row],[costo_servicio]]+tblOrdenes[[#This Row],[costo_materiales]])</f>
        <v/>
      </c>
      <c r="AN3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7" s="4" t="n"/>
      <c r="AP357" s="4" t="n"/>
      <c r="AQ357" s="4" t="n"/>
      <c r="AR357" s="5">
        <f>IF(tblOrdenes[[#This Row],[link_checklist]]="","",HYPERLINK(p_ruta_base_checklists&amp;tblOrdenes[[#This Row],[link_checklist]],"abrir"))</f>
        <v/>
      </c>
      <c r="AS357" s="4" t="n"/>
      <c r="AT357" s="5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22" t="n"/>
      <c r="K358" s="5" t="n"/>
      <c r="L358" s="18" t="n"/>
      <c r="M3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5">
        <f>IF(tblOrdenes[[#This Row],[fecha_inicio]]="","",YEAR(tblOrdenes[[#This Row],[fecha_inicio]]))</f>
        <v/>
      </c>
      <c r="Q358" s="5">
        <f>IF(tblOrdenes[[#This Row],[fecha_inicio]]="","",MONTH(tblOrdenes[[#This Row],[fecha_inicio]]))</f>
        <v/>
      </c>
      <c r="R358" s="5">
        <f>IF(tblOrdenes[[#This Row],[fecha_inicio]]="","",tblOrdenes[[#This Row],[anio]]&amp;"-"&amp;TEXT(tblOrdenes[[#This Row],[mes]],"00"))</f>
        <v/>
      </c>
      <c r="S358" s="5">
        <f>IF(tblOrdenes[[#This Row],[fecha_inicio]]="","",INDEX(lista_dias,WEEKDAY(tblOrdenes[[#This Row],[fecha_inicio]],2)))</f>
        <v/>
      </c>
      <c r="T3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8" s="5">
        <f>IF(tblOrdenes[[#This Row],[tipo_ot]]="","",_xlfn.XLOOKUP(tblOrdenes[[#This Row],[tipo_ot]],tblTiposOT[codigo],tblTiposOT[clasificacion],"sin_clasificar"))</f>
        <v/>
      </c>
      <c r="V3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8" s="5">
        <f>IF(tblOrdenes[[#This Row],[centro_costo]]="","",_xlfn.XLOOKUP(tblOrdenes[[#This Row],[centro_costo]],tblCECO[codigo],tblCECO[linea],"(sin catálogo)"))</f>
        <v/>
      </c>
      <c r="X358" s="5">
        <f>IF(tblOrdenes[[#This Row],[centro_costo]]="","",_xlfn.XLOOKUP(tblOrdenes[[#This Row],[centro_costo]],tblCECO[codigo],tblCECO[area],"(sin catálogo)"))</f>
        <v/>
      </c>
      <c r="Y3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8" s="5">
        <f>IF(tblOrdenes[[#This Row],[centro_costo]]="","",_xlfn.XLOOKUP(tblOrdenes[[#This Row],[centro_costo]],tblCECO[codigo],tblCECO[coordinador],"(sin catálogo)"))</f>
        <v/>
      </c>
      <c r="AA358" s="5">
        <f>IF(tblOrdenes[[#This Row],[puesto_trabajo]]="","",_xlfn.XLOOKUP(tblOrdenes[[#This Row],[puesto_trabajo]],tblPuestos[codigo],tblPuestos[especialidad],"(sin catálogo)"))</f>
        <v/>
      </c>
      <c r="AB358" s="5">
        <f>IF(tblOrdenes[[#This Row],[cod_actividad]]="","",_xlfn.XLOOKUP(tblOrdenes[[#This Row],[cod_actividad]],tblActividades[codigo],tblActividades[descripcion],"(sin catálogo)"))</f>
        <v/>
      </c>
      <c r="AC358" s="20">
        <f>IF(tblOrdenes[[#This Row],[fecha_inicio]]="","",TODAY()-tblOrdenes[[#This Row],[fecha_inicio]])</f>
        <v/>
      </c>
      <c r="AD3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8" s="5">
        <f>IF(tblOrdenes[[#This Row],[backlog_habiles]]="","",IF(tblOrdenes[[#This Row],[backlog_habiles]]&lt;0,"FUTURO",IF(tblOrdenes[[#This Row],[backlog_habiles]]&gt;p_dias_backlog_max,"BACKLOG","MES CORRIENTE")))</f>
        <v/>
      </c>
      <c r="AF358" s="5">
        <f>IF(tblOrdenes[[#This Row],[backlog_habiles]]="",FALSE,AND(tblOrdenes[[#This Row],[backlog_habiles]]&gt;p_dias_backlog_min,tblOrdenes[[#This Row],[backlog_habiles]]&lt;=p_dias_backlog_max))</f>
        <v/>
      </c>
      <c r="AG358" s="4" t="n"/>
      <c r="AH3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8" s="18">
        <f>IF(tblOrdenes[[#This Row],[orden]]="","",_xlfn.XLOOKUP(tblOrdenes[[#This Row],[id_operacion]],tblEjecucion[id_operacion],tblEjecucion[precio],0))</f>
        <v/>
      </c>
      <c r="AL358" s="18">
        <f>IF(tblOrdenes[[#This Row],[orden]]="","",MAX(0,_xlfn.XLOOKUP(tblOrdenes[[#This Row],[id_operacion]],tblEjecucion[id_operacion],tblEjecucion[costo_plan_total],0)-tblOrdenes[[#This Row],[costo_servicio]]))</f>
        <v/>
      </c>
      <c r="AM358" s="18">
        <f>IF(tblOrdenes[[#This Row],[orden]]="","",tblOrdenes[[#This Row],[costo_servicio]]+tblOrdenes[[#This Row],[costo_materiales]])</f>
        <v/>
      </c>
      <c r="AN3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8" s="4" t="n"/>
      <c r="AP358" s="4" t="n"/>
      <c r="AQ358" s="4" t="n"/>
      <c r="AR358" s="5">
        <f>IF(tblOrdenes[[#This Row],[link_checklist]]="","",HYPERLINK(p_ruta_base_checklists&amp;tblOrdenes[[#This Row],[link_checklist]],"abrir"))</f>
        <v/>
      </c>
      <c r="AS358" s="4" t="n"/>
      <c r="AT358" s="5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22" t="n"/>
      <c r="K359" s="5" t="n"/>
      <c r="L359" s="18" t="n"/>
      <c r="M3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5">
        <f>IF(tblOrdenes[[#This Row],[fecha_inicio]]="","",YEAR(tblOrdenes[[#This Row],[fecha_inicio]]))</f>
        <v/>
      </c>
      <c r="Q359" s="5">
        <f>IF(tblOrdenes[[#This Row],[fecha_inicio]]="","",MONTH(tblOrdenes[[#This Row],[fecha_inicio]]))</f>
        <v/>
      </c>
      <c r="R359" s="5">
        <f>IF(tblOrdenes[[#This Row],[fecha_inicio]]="","",tblOrdenes[[#This Row],[anio]]&amp;"-"&amp;TEXT(tblOrdenes[[#This Row],[mes]],"00"))</f>
        <v/>
      </c>
      <c r="S359" s="5">
        <f>IF(tblOrdenes[[#This Row],[fecha_inicio]]="","",INDEX(lista_dias,WEEKDAY(tblOrdenes[[#This Row],[fecha_inicio]],2)))</f>
        <v/>
      </c>
      <c r="T3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9" s="5">
        <f>IF(tblOrdenes[[#This Row],[tipo_ot]]="","",_xlfn.XLOOKUP(tblOrdenes[[#This Row],[tipo_ot]],tblTiposOT[codigo],tblTiposOT[clasificacion],"sin_clasificar"))</f>
        <v/>
      </c>
      <c r="V3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9" s="5">
        <f>IF(tblOrdenes[[#This Row],[centro_costo]]="","",_xlfn.XLOOKUP(tblOrdenes[[#This Row],[centro_costo]],tblCECO[codigo],tblCECO[linea],"(sin catálogo)"))</f>
        <v/>
      </c>
      <c r="X359" s="5">
        <f>IF(tblOrdenes[[#This Row],[centro_costo]]="","",_xlfn.XLOOKUP(tblOrdenes[[#This Row],[centro_costo]],tblCECO[codigo],tblCECO[area],"(sin catálogo)"))</f>
        <v/>
      </c>
      <c r="Y3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59" s="5">
        <f>IF(tblOrdenes[[#This Row],[centro_costo]]="","",_xlfn.XLOOKUP(tblOrdenes[[#This Row],[centro_costo]],tblCECO[codigo],tblCECO[coordinador],"(sin catálogo)"))</f>
        <v/>
      </c>
      <c r="AA359" s="5">
        <f>IF(tblOrdenes[[#This Row],[puesto_trabajo]]="","",_xlfn.XLOOKUP(tblOrdenes[[#This Row],[puesto_trabajo]],tblPuestos[codigo],tblPuestos[especialidad],"(sin catálogo)"))</f>
        <v/>
      </c>
      <c r="AB359" s="5">
        <f>IF(tblOrdenes[[#This Row],[cod_actividad]]="","",_xlfn.XLOOKUP(tblOrdenes[[#This Row],[cod_actividad]],tblActividades[codigo],tblActividades[descripcion],"(sin catálogo)"))</f>
        <v/>
      </c>
      <c r="AC359" s="20">
        <f>IF(tblOrdenes[[#This Row],[fecha_inicio]]="","",TODAY()-tblOrdenes[[#This Row],[fecha_inicio]])</f>
        <v/>
      </c>
      <c r="AD3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59" s="5">
        <f>IF(tblOrdenes[[#This Row],[backlog_habiles]]="","",IF(tblOrdenes[[#This Row],[backlog_habiles]]&lt;0,"FUTURO",IF(tblOrdenes[[#This Row],[backlog_habiles]]&gt;p_dias_backlog_max,"BACKLOG","MES CORRIENTE")))</f>
        <v/>
      </c>
      <c r="AF359" s="5">
        <f>IF(tblOrdenes[[#This Row],[backlog_habiles]]="",FALSE,AND(tblOrdenes[[#This Row],[backlog_habiles]]&gt;p_dias_backlog_min,tblOrdenes[[#This Row],[backlog_habiles]]&lt;=p_dias_backlog_max))</f>
        <v/>
      </c>
      <c r="AG359" s="4" t="n"/>
      <c r="AH3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59" s="18">
        <f>IF(tblOrdenes[[#This Row],[orden]]="","",_xlfn.XLOOKUP(tblOrdenes[[#This Row],[id_operacion]],tblEjecucion[id_operacion],tblEjecucion[precio],0))</f>
        <v/>
      </c>
      <c r="AL359" s="18">
        <f>IF(tblOrdenes[[#This Row],[orden]]="","",MAX(0,_xlfn.XLOOKUP(tblOrdenes[[#This Row],[id_operacion]],tblEjecucion[id_operacion],tblEjecucion[costo_plan_total],0)-tblOrdenes[[#This Row],[costo_servicio]]))</f>
        <v/>
      </c>
      <c r="AM359" s="18">
        <f>IF(tblOrdenes[[#This Row],[orden]]="","",tblOrdenes[[#This Row],[costo_servicio]]+tblOrdenes[[#This Row],[costo_materiales]])</f>
        <v/>
      </c>
      <c r="AN3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59" s="4" t="n"/>
      <c r="AP359" s="4" t="n"/>
      <c r="AQ359" s="4" t="n"/>
      <c r="AR359" s="5">
        <f>IF(tblOrdenes[[#This Row],[link_checklist]]="","",HYPERLINK(p_ruta_base_checklists&amp;tblOrdenes[[#This Row],[link_checklist]],"abrir"))</f>
        <v/>
      </c>
      <c r="AS359" s="4" t="n"/>
      <c r="AT359" s="5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22" t="n"/>
      <c r="K360" s="5" t="n"/>
      <c r="L360" s="18" t="n"/>
      <c r="M3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5">
        <f>IF(tblOrdenes[[#This Row],[fecha_inicio]]="","",YEAR(tblOrdenes[[#This Row],[fecha_inicio]]))</f>
        <v/>
      </c>
      <c r="Q360" s="5">
        <f>IF(tblOrdenes[[#This Row],[fecha_inicio]]="","",MONTH(tblOrdenes[[#This Row],[fecha_inicio]]))</f>
        <v/>
      </c>
      <c r="R360" s="5">
        <f>IF(tblOrdenes[[#This Row],[fecha_inicio]]="","",tblOrdenes[[#This Row],[anio]]&amp;"-"&amp;TEXT(tblOrdenes[[#This Row],[mes]],"00"))</f>
        <v/>
      </c>
      <c r="S360" s="5">
        <f>IF(tblOrdenes[[#This Row],[fecha_inicio]]="","",INDEX(lista_dias,WEEKDAY(tblOrdenes[[#This Row],[fecha_inicio]],2)))</f>
        <v/>
      </c>
      <c r="T3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0" s="5">
        <f>IF(tblOrdenes[[#This Row],[tipo_ot]]="","",_xlfn.XLOOKUP(tblOrdenes[[#This Row],[tipo_ot]],tblTiposOT[codigo],tblTiposOT[clasificacion],"sin_clasificar"))</f>
        <v/>
      </c>
      <c r="V3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0" s="5">
        <f>IF(tblOrdenes[[#This Row],[centro_costo]]="","",_xlfn.XLOOKUP(tblOrdenes[[#This Row],[centro_costo]],tblCECO[codigo],tblCECO[linea],"(sin catálogo)"))</f>
        <v/>
      </c>
      <c r="X360" s="5">
        <f>IF(tblOrdenes[[#This Row],[centro_costo]]="","",_xlfn.XLOOKUP(tblOrdenes[[#This Row],[centro_costo]],tblCECO[codigo],tblCECO[area],"(sin catálogo)"))</f>
        <v/>
      </c>
      <c r="Y3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0" s="5">
        <f>IF(tblOrdenes[[#This Row],[centro_costo]]="","",_xlfn.XLOOKUP(tblOrdenes[[#This Row],[centro_costo]],tblCECO[codigo],tblCECO[coordinador],"(sin catálogo)"))</f>
        <v/>
      </c>
      <c r="AA360" s="5">
        <f>IF(tblOrdenes[[#This Row],[puesto_trabajo]]="","",_xlfn.XLOOKUP(tblOrdenes[[#This Row],[puesto_trabajo]],tblPuestos[codigo],tblPuestos[especialidad],"(sin catálogo)"))</f>
        <v/>
      </c>
      <c r="AB360" s="5">
        <f>IF(tblOrdenes[[#This Row],[cod_actividad]]="","",_xlfn.XLOOKUP(tblOrdenes[[#This Row],[cod_actividad]],tblActividades[codigo],tblActividades[descripcion],"(sin catálogo)"))</f>
        <v/>
      </c>
      <c r="AC360" s="20">
        <f>IF(tblOrdenes[[#This Row],[fecha_inicio]]="","",TODAY()-tblOrdenes[[#This Row],[fecha_inicio]])</f>
        <v/>
      </c>
      <c r="AD3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0" s="5">
        <f>IF(tblOrdenes[[#This Row],[backlog_habiles]]="","",IF(tblOrdenes[[#This Row],[backlog_habiles]]&lt;0,"FUTURO",IF(tblOrdenes[[#This Row],[backlog_habiles]]&gt;p_dias_backlog_max,"BACKLOG","MES CORRIENTE")))</f>
        <v/>
      </c>
      <c r="AF360" s="5">
        <f>IF(tblOrdenes[[#This Row],[backlog_habiles]]="",FALSE,AND(tblOrdenes[[#This Row],[backlog_habiles]]&gt;p_dias_backlog_min,tblOrdenes[[#This Row],[backlog_habiles]]&lt;=p_dias_backlog_max))</f>
        <v/>
      </c>
      <c r="AG360" s="4" t="n"/>
      <c r="AH3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0" s="18">
        <f>IF(tblOrdenes[[#This Row],[orden]]="","",_xlfn.XLOOKUP(tblOrdenes[[#This Row],[id_operacion]],tblEjecucion[id_operacion],tblEjecucion[precio],0))</f>
        <v/>
      </c>
      <c r="AL360" s="18">
        <f>IF(tblOrdenes[[#This Row],[orden]]="","",MAX(0,_xlfn.XLOOKUP(tblOrdenes[[#This Row],[id_operacion]],tblEjecucion[id_operacion],tblEjecucion[costo_plan_total],0)-tblOrdenes[[#This Row],[costo_servicio]]))</f>
        <v/>
      </c>
      <c r="AM360" s="18">
        <f>IF(tblOrdenes[[#This Row],[orden]]="","",tblOrdenes[[#This Row],[costo_servicio]]+tblOrdenes[[#This Row],[costo_materiales]])</f>
        <v/>
      </c>
      <c r="AN3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0" s="4" t="n"/>
      <c r="AP360" s="4" t="n"/>
      <c r="AQ360" s="4" t="n"/>
      <c r="AR360" s="5">
        <f>IF(tblOrdenes[[#This Row],[link_checklist]]="","",HYPERLINK(p_ruta_base_checklists&amp;tblOrdenes[[#This Row],[link_checklist]],"abrir"))</f>
        <v/>
      </c>
      <c r="AS360" s="4" t="n"/>
      <c r="AT360" s="5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22" t="n"/>
      <c r="K361" s="5" t="n"/>
      <c r="L361" s="18" t="n"/>
      <c r="M3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5">
        <f>IF(tblOrdenes[[#This Row],[fecha_inicio]]="","",YEAR(tblOrdenes[[#This Row],[fecha_inicio]]))</f>
        <v/>
      </c>
      <c r="Q361" s="5">
        <f>IF(tblOrdenes[[#This Row],[fecha_inicio]]="","",MONTH(tblOrdenes[[#This Row],[fecha_inicio]]))</f>
        <v/>
      </c>
      <c r="R361" s="5">
        <f>IF(tblOrdenes[[#This Row],[fecha_inicio]]="","",tblOrdenes[[#This Row],[anio]]&amp;"-"&amp;TEXT(tblOrdenes[[#This Row],[mes]],"00"))</f>
        <v/>
      </c>
      <c r="S361" s="5">
        <f>IF(tblOrdenes[[#This Row],[fecha_inicio]]="","",INDEX(lista_dias,WEEKDAY(tblOrdenes[[#This Row],[fecha_inicio]],2)))</f>
        <v/>
      </c>
      <c r="T3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1" s="5">
        <f>IF(tblOrdenes[[#This Row],[tipo_ot]]="","",_xlfn.XLOOKUP(tblOrdenes[[#This Row],[tipo_ot]],tblTiposOT[codigo],tblTiposOT[clasificacion],"sin_clasificar"))</f>
        <v/>
      </c>
      <c r="V3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1" s="5">
        <f>IF(tblOrdenes[[#This Row],[centro_costo]]="","",_xlfn.XLOOKUP(tblOrdenes[[#This Row],[centro_costo]],tblCECO[codigo],tblCECO[linea],"(sin catálogo)"))</f>
        <v/>
      </c>
      <c r="X361" s="5">
        <f>IF(tblOrdenes[[#This Row],[centro_costo]]="","",_xlfn.XLOOKUP(tblOrdenes[[#This Row],[centro_costo]],tblCECO[codigo],tblCECO[area],"(sin catálogo)"))</f>
        <v/>
      </c>
      <c r="Y3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1" s="5">
        <f>IF(tblOrdenes[[#This Row],[centro_costo]]="","",_xlfn.XLOOKUP(tblOrdenes[[#This Row],[centro_costo]],tblCECO[codigo],tblCECO[coordinador],"(sin catálogo)"))</f>
        <v/>
      </c>
      <c r="AA361" s="5">
        <f>IF(tblOrdenes[[#This Row],[puesto_trabajo]]="","",_xlfn.XLOOKUP(tblOrdenes[[#This Row],[puesto_trabajo]],tblPuestos[codigo],tblPuestos[especialidad],"(sin catálogo)"))</f>
        <v/>
      </c>
      <c r="AB361" s="5">
        <f>IF(tblOrdenes[[#This Row],[cod_actividad]]="","",_xlfn.XLOOKUP(tblOrdenes[[#This Row],[cod_actividad]],tblActividades[codigo],tblActividades[descripcion],"(sin catálogo)"))</f>
        <v/>
      </c>
      <c r="AC361" s="20">
        <f>IF(tblOrdenes[[#This Row],[fecha_inicio]]="","",TODAY()-tblOrdenes[[#This Row],[fecha_inicio]])</f>
        <v/>
      </c>
      <c r="AD3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1" s="5">
        <f>IF(tblOrdenes[[#This Row],[backlog_habiles]]="","",IF(tblOrdenes[[#This Row],[backlog_habiles]]&lt;0,"FUTURO",IF(tblOrdenes[[#This Row],[backlog_habiles]]&gt;p_dias_backlog_max,"BACKLOG","MES CORRIENTE")))</f>
        <v/>
      </c>
      <c r="AF361" s="5">
        <f>IF(tblOrdenes[[#This Row],[backlog_habiles]]="",FALSE,AND(tblOrdenes[[#This Row],[backlog_habiles]]&gt;p_dias_backlog_min,tblOrdenes[[#This Row],[backlog_habiles]]&lt;=p_dias_backlog_max))</f>
        <v/>
      </c>
      <c r="AG361" s="4" t="n"/>
      <c r="AH3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1" s="18">
        <f>IF(tblOrdenes[[#This Row],[orden]]="","",_xlfn.XLOOKUP(tblOrdenes[[#This Row],[id_operacion]],tblEjecucion[id_operacion],tblEjecucion[precio],0))</f>
        <v/>
      </c>
      <c r="AL361" s="18">
        <f>IF(tblOrdenes[[#This Row],[orden]]="","",MAX(0,_xlfn.XLOOKUP(tblOrdenes[[#This Row],[id_operacion]],tblEjecucion[id_operacion],tblEjecucion[costo_plan_total],0)-tblOrdenes[[#This Row],[costo_servicio]]))</f>
        <v/>
      </c>
      <c r="AM361" s="18">
        <f>IF(tblOrdenes[[#This Row],[orden]]="","",tblOrdenes[[#This Row],[costo_servicio]]+tblOrdenes[[#This Row],[costo_materiales]])</f>
        <v/>
      </c>
      <c r="AN3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1" s="4" t="n"/>
      <c r="AP361" s="4" t="n"/>
      <c r="AQ361" s="4" t="n"/>
      <c r="AR361" s="5">
        <f>IF(tblOrdenes[[#This Row],[link_checklist]]="","",HYPERLINK(p_ruta_base_checklists&amp;tblOrdenes[[#This Row],[link_checklist]],"abrir"))</f>
        <v/>
      </c>
      <c r="AS361" s="4" t="n"/>
      <c r="AT361" s="5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22" t="n"/>
      <c r="K362" s="5" t="n"/>
      <c r="L362" s="18" t="n"/>
      <c r="M3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5">
        <f>IF(tblOrdenes[[#This Row],[fecha_inicio]]="","",YEAR(tblOrdenes[[#This Row],[fecha_inicio]]))</f>
        <v/>
      </c>
      <c r="Q362" s="5">
        <f>IF(tblOrdenes[[#This Row],[fecha_inicio]]="","",MONTH(tblOrdenes[[#This Row],[fecha_inicio]]))</f>
        <v/>
      </c>
      <c r="R362" s="5">
        <f>IF(tblOrdenes[[#This Row],[fecha_inicio]]="","",tblOrdenes[[#This Row],[anio]]&amp;"-"&amp;TEXT(tblOrdenes[[#This Row],[mes]],"00"))</f>
        <v/>
      </c>
      <c r="S362" s="5">
        <f>IF(tblOrdenes[[#This Row],[fecha_inicio]]="","",INDEX(lista_dias,WEEKDAY(tblOrdenes[[#This Row],[fecha_inicio]],2)))</f>
        <v/>
      </c>
      <c r="T3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2" s="5">
        <f>IF(tblOrdenes[[#This Row],[tipo_ot]]="","",_xlfn.XLOOKUP(tblOrdenes[[#This Row],[tipo_ot]],tblTiposOT[codigo],tblTiposOT[clasificacion],"sin_clasificar"))</f>
        <v/>
      </c>
      <c r="V3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2" s="5">
        <f>IF(tblOrdenes[[#This Row],[centro_costo]]="","",_xlfn.XLOOKUP(tblOrdenes[[#This Row],[centro_costo]],tblCECO[codigo],tblCECO[linea],"(sin catálogo)"))</f>
        <v/>
      </c>
      <c r="X362" s="5">
        <f>IF(tblOrdenes[[#This Row],[centro_costo]]="","",_xlfn.XLOOKUP(tblOrdenes[[#This Row],[centro_costo]],tblCECO[codigo],tblCECO[area],"(sin catálogo)"))</f>
        <v/>
      </c>
      <c r="Y3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2" s="5">
        <f>IF(tblOrdenes[[#This Row],[centro_costo]]="","",_xlfn.XLOOKUP(tblOrdenes[[#This Row],[centro_costo]],tblCECO[codigo],tblCECO[coordinador],"(sin catálogo)"))</f>
        <v/>
      </c>
      <c r="AA362" s="5">
        <f>IF(tblOrdenes[[#This Row],[puesto_trabajo]]="","",_xlfn.XLOOKUP(tblOrdenes[[#This Row],[puesto_trabajo]],tblPuestos[codigo],tblPuestos[especialidad],"(sin catálogo)"))</f>
        <v/>
      </c>
      <c r="AB362" s="5">
        <f>IF(tblOrdenes[[#This Row],[cod_actividad]]="","",_xlfn.XLOOKUP(tblOrdenes[[#This Row],[cod_actividad]],tblActividades[codigo],tblActividades[descripcion],"(sin catálogo)"))</f>
        <v/>
      </c>
      <c r="AC362" s="20">
        <f>IF(tblOrdenes[[#This Row],[fecha_inicio]]="","",TODAY()-tblOrdenes[[#This Row],[fecha_inicio]])</f>
        <v/>
      </c>
      <c r="AD3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2" s="5">
        <f>IF(tblOrdenes[[#This Row],[backlog_habiles]]="","",IF(tblOrdenes[[#This Row],[backlog_habiles]]&lt;0,"FUTURO",IF(tblOrdenes[[#This Row],[backlog_habiles]]&gt;p_dias_backlog_max,"BACKLOG","MES CORRIENTE")))</f>
        <v/>
      </c>
      <c r="AF362" s="5">
        <f>IF(tblOrdenes[[#This Row],[backlog_habiles]]="",FALSE,AND(tblOrdenes[[#This Row],[backlog_habiles]]&gt;p_dias_backlog_min,tblOrdenes[[#This Row],[backlog_habiles]]&lt;=p_dias_backlog_max))</f>
        <v/>
      </c>
      <c r="AG362" s="4" t="n"/>
      <c r="AH3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2" s="18">
        <f>IF(tblOrdenes[[#This Row],[orden]]="","",_xlfn.XLOOKUP(tblOrdenes[[#This Row],[id_operacion]],tblEjecucion[id_operacion],tblEjecucion[precio],0))</f>
        <v/>
      </c>
      <c r="AL362" s="18">
        <f>IF(tblOrdenes[[#This Row],[orden]]="","",MAX(0,_xlfn.XLOOKUP(tblOrdenes[[#This Row],[id_operacion]],tblEjecucion[id_operacion],tblEjecucion[costo_plan_total],0)-tblOrdenes[[#This Row],[costo_servicio]]))</f>
        <v/>
      </c>
      <c r="AM362" s="18">
        <f>IF(tblOrdenes[[#This Row],[orden]]="","",tblOrdenes[[#This Row],[costo_servicio]]+tblOrdenes[[#This Row],[costo_materiales]])</f>
        <v/>
      </c>
      <c r="AN3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2" s="4" t="n"/>
      <c r="AP362" s="4" t="n"/>
      <c r="AQ362" s="4" t="n"/>
      <c r="AR362" s="5">
        <f>IF(tblOrdenes[[#This Row],[link_checklist]]="","",HYPERLINK(p_ruta_base_checklists&amp;tblOrdenes[[#This Row],[link_checklist]],"abrir"))</f>
        <v/>
      </c>
      <c r="AS362" s="4" t="n"/>
      <c r="AT362" s="5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22" t="n"/>
      <c r="K363" s="5" t="n"/>
      <c r="L363" s="18" t="n"/>
      <c r="M3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5">
        <f>IF(tblOrdenes[[#This Row],[fecha_inicio]]="","",YEAR(tblOrdenes[[#This Row],[fecha_inicio]]))</f>
        <v/>
      </c>
      <c r="Q363" s="5">
        <f>IF(tblOrdenes[[#This Row],[fecha_inicio]]="","",MONTH(tblOrdenes[[#This Row],[fecha_inicio]]))</f>
        <v/>
      </c>
      <c r="R363" s="5">
        <f>IF(tblOrdenes[[#This Row],[fecha_inicio]]="","",tblOrdenes[[#This Row],[anio]]&amp;"-"&amp;TEXT(tblOrdenes[[#This Row],[mes]],"00"))</f>
        <v/>
      </c>
      <c r="S363" s="5">
        <f>IF(tblOrdenes[[#This Row],[fecha_inicio]]="","",INDEX(lista_dias,WEEKDAY(tblOrdenes[[#This Row],[fecha_inicio]],2)))</f>
        <v/>
      </c>
      <c r="T3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3" s="5">
        <f>IF(tblOrdenes[[#This Row],[tipo_ot]]="","",_xlfn.XLOOKUP(tblOrdenes[[#This Row],[tipo_ot]],tblTiposOT[codigo],tblTiposOT[clasificacion],"sin_clasificar"))</f>
        <v/>
      </c>
      <c r="V3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3" s="5">
        <f>IF(tblOrdenes[[#This Row],[centro_costo]]="","",_xlfn.XLOOKUP(tblOrdenes[[#This Row],[centro_costo]],tblCECO[codigo],tblCECO[linea],"(sin catálogo)"))</f>
        <v/>
      </c>
      <c r="X363" s="5">
        <f>IF(tblOrdenes[[#This Row],[centro_costo]]="","",_xlfn.XLOOKUP(tblOrdenes[[#This Row],[centro_costo]],tblCECO[codigo],tblCECO[area],"(sin catálogo)"))</f>
        <v/>
      </c>
      <c r="Y3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3" s="5">
        <f>IF(tblOrdenes[[#This Row],[centro_costo]]="","",_xlfn.XLOOKUP(tblOrdenes[[#This Row],[centro_costo]],tblCECO[codigo],tblCECO[coordinador],"(sin catálogo)"))</f>
        <v/>
      </c>
      <c r="AA363" s="5">
        <f>IF(tblOrdenes[[#This Row],[puesto_trabajo]]="","",_xlfn.XLOOKUP(tblOrdenes[[#This Row],[puesto_trabajo]],tblPuestos[codigo],tblPuestos[especialidad],"(sin catálogo)"))</f>
        <v/>
      </c>
      <c r="AB363" s="5">
        <f>IF(tblOrdenes[[#This Row],[cod_actividad]]="","",_xlfn.XLOOKUP(tblOrdenes[[#This Row],[cod_actividad]],tblActividades[codigo],tblActividades[descripcion],"(sin catálogo)"))</f>
        <v/>
      </c>
      <c r="AC363" s="20">
        <f>IF(tblOrdenes[[#This Row],[fecha_inicio]]="","",TODAY()-tblOrdenes[[#This Row],[fecha_inicio]])</f>
        <v/>
      </c>
      <c r="AD3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3" s="5">
        <f>IF(tblOrdenes[[#This Row],[backlog_habiles]]="","",IF(tblOrdenes[[#This Row],[backlog_habiles]]&lt;0,"FUTURO",IF(tblOrdenes[[#This Row],[backlog_habiles]]&gt;p_dias_backlog_max,"BACKLOG","MES CORRIENTE")))</f>
        <v/>
      </c>
      <c r="AF363" s="5">
        <f>IF(tblOrdenes[[#This Row],[backlog_habiles]]="",FALSE,AND(tblOrdenes[[#This Row],[backlog_habiles]]&gt;p_dias_backlog_min,tblOrdenes[[#This Row],[backlog_habiles]]&lt;=p_dias_backlog_max))</f>
        <v/>
      </c>
      <c r="AG363" s="4" t="n"/>
      <c r="AH3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3" s="18">
        <f>IF(tblOrdenes[[#This Row],[orden]]="","",_xlfn.XLOOKUP(tblOrdenes[[#This Row],[id_operacion]],tblEjecucion[id_operacion],tblEjecucion[precio],0))</f>
        <v/>
      </c>
      <c r="AL363" s="18">
        <f>IF(tblOrdenes[[#This Row],[orden]]="","",MAX(0,_xlfn.XLOOKUP(tblOrdenes[[#This Row],[id_operacion]],tblEjecucion[id_operacion],tblEjecucion[costo_plan_total],0)-tblOrdenes[[#This Row],[costo_servicio]]))</f>
        <v/>
      </c>
      <c r="AM363" s="18">
        <f>IF(tblOrdenes[[#This Row],[orden]]="","",tblOrdenes[[#This Row],[costo_servicio]]+tblOrdenes[[#This Row],[costo_materiales]])</f>
        <v/>
      </c>
      <c r="AN3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3" s="4" t="n"/>
      <c r="AP363" s="4" t="n"/>
      <c r="AQ363" s="4" t="n"/>
      <c r="AR363" s="5">
        <f>IF(tblOrdenes[[#This Row],[link_checklist]]="","",HYPERLINK(p_ruta_base_checklists&amp;tblOrdenes[[#This Row],[link_checklist]],"abrir"))</f>
        <v/>
      </c>
      <c r="AS363" s="4" t="n"/>
      <c r="AT363" s="5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22" t="n"/>
      <c r="K364" s="5" t="n"/>
      <c r="L364" s="18" t="n"/>
      <c r="M3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5">
        <f>IF(tblOrdenes[[#This Row],[fecha_inicio]]="","",YEAR(tblOrdenes[[#This Row],[fecha_inicio]]))</f>
        <v/>
      </c>
      <c r="Q364" s="5">
        <f>IF(tblOrdenes[[#This Row],[fecha_inicio]]="","",MONTH(tblOrdenes[[#This Row],[fecha_inicio]]))</f>
        <v/>
      </c>
      <c r="R364" s="5">
        <f>IF(tblOrdenes[[#This Row],[fecha_inicio]]="","",tblOrdenes[[#This Row],[anio]]&amp;"-"&amp;TEXT(tblOrdenes[[#This Row],[mes]],"00"))</f>
        <v/>
      </c>
      <c r="S364" s="5">
        <f>IF(tblOrdenes[[#This Row],[fecha_inicio]]="","",INDEX(lista_dias,WEEKDAY(tblOrdenes[[#This Row],[fecha_inicio]],2)))</f>
        <v/>
      </c>
      <c r="T3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4" s="5">
        <f>IF(tblOrdenes[[#This Row],[tipo_ot]]="","",_xlfn.XLOOKUP(tblOrdenes[[#This Row],[tipo_ot]],tblTiposOT[codigo],tblTiposOT[clasificacion],"sin_clasificar"))</f>
        <v/>
      </c>
      <c r="V3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4" s="5">
        <f>IF(tblOrdenes[[#This Row],[centro_costo]]="","",_xlfn.XLOOKUP(tblOrdenes[[#This Row],[centro_costo]],tblCECO[codigo],tblCECO[linea],"(sin catálogo)"))</f>
        <v/>
      </c>
      <c r="X364" s="5">
        <f>IF(tblOrdenes[[#This Row],[centro_costo]]="","",_xlfn.XLOOKUP(tblOrdenes[[#This Row],[centro_costo]],tblCECO[codigo],tblCECO[area],"(sin catálogo)"))</f>
        <v/>
      </c>
      <c r="Y3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4" s="5">
        <f>IF(tblOrdenes[[#This Row],[centro_costo]]="","",_xlfn.XLOOKUP(tblOrdenes[[#This Row],[centro_costo]],tblCECO[codigo],tblCECO[coordinador],"(sin catálogo)"))</f>
        <v/>
      </c>
      <c r="AA364" s="5">
        <f>IF(tblOrdenes[[#This Row],[puesto_trabajo]]="","",_xlfn.XLOOKUP(tblOrdenes[[#This Row],[puesto_trabajo]],tblPuestos[codigo],tblPuestos[especialidad],"(sin catálogo)"))</f>
        <v/>
      </c>
      <c r="AB364" s="5">
        <f>IF(tblOrdenes[[#This Row],[cod_actividad]]="","",_xlfn.XLOOKUP(tblOrdenes[[#This Row],[cod_actividad]],tblActividades[codigo],tblActividades[descripcion],"(sin catálogo)"))</f>
        <v/>
      </c>
      <c r="AC364" s="20">
        <f>IF(tblOrdenes[[#This Row],[fecha_inicio]]="","",TODAY()-tblOrdenes[[#This Row],[fecha_inicio]])</f>
        <v/>
      </c>
      <c r="AD3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4" s="5">
        <f>IF(tblOrdenes[[#This Row],[backlog_habiles]]="","",IF(tblOrdenes[[#This Row],[backlog_habiles]]&lt;0,"FUTURO",IF(tblOrdenes[[#This Row],[backlog_habiles]]&gt;p_dias_backlog_max,"BACKLOG","MES CORRIENTE")))</f>
        <v/>
      </c>
      <c r="AF364" s="5">
        <f>IF(tblOrdenes[[#This Row],[backlog_habiles]]="",FALSE,AND(tblOrdenes[[#This Row],[backlog_habiles]]&gt;p_dias_backlog_min,tblOrdenes[[#This Row],[backlog_habiles]]&lt;=p_dias_backlog_max))</f>
        <v/>
      </c>
      <c r="AG364" s="4" t="n"/>
      <c r="AH3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4" s="18">
        <f>IF(tblOrdenes[[#This Row],[orden]]="","",_xlfn.XLOOKUP(tblOrdenes[[#This Row],[id_operacion]],tblEjecucion[id_operacion],tblEjecucion[precio],0))</f>
        <v/>
      </c>
      <c r="AL364" s="18">
        <f>IF(tblOrdenes[[#This Row],[orden]]="","",MAX(0,_xlfn.XLOOKUP(tblOrdenes[[#This Row],[id_operacion]],tblEjecucion[id_operacion],tblEjecucion[costo_plan_total],0)-tblOrdenes[[#This Row],[costo_servicio]]))</f>
        <v/>
      </c>
      <c r="AM364" s="18">
        <f>IF(tblOrdenes[[#This Row],[orden]]="","",tblOrdenes[[#This Row],[costo_servicio]]+tblOrdenes[[#This Row],[costo_materiales]])</f>
        <v/>
      </c>
      <c r="AN3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4" s="4" t="n"/>
      <c r="AP364" s="4" t="n"/>
      <c r="AQ364" s="4" t="n"/>
      <c r="AR364" s="5">
        <f>IF(tblOrdenes[[#This Row],[link_checklist]]="","",HYPERLINK(p_ruta_base_checklists&amp;tblOrdenes[[#This Row],[link_checklist]],"abrir"))</f>
        <v/>
      </c>
      <c r="AS364" s="4" t="n"/>
      <c r="AT364" s="5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22" t="n"/>
      <c r="K365" s="5" t="n"/>
      <c r="L365" s="18" t="n"/>
      <c r="M3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5">
        <f>IF(tblOrdenes[[#This Row],[fecha_inicio]]="","",YEAR(tblOrdenes[[#This Row],[fecha_inicio]]))</f>
        <v/>
      </c>
      <c r="Q365" s="5">
        <f>IF(tblOrdenes[[#This Row],[fecha_inicio]]="","",MONTH(tblOrdenes[[#This Row],[fecha_inicio]]))</f>
        <v/>
      </c>
      <c r="R365" s="5">
        <f>IF(tblOrdenes[[#This Row],[fecha_inicio]]="","",tblOrdenes[[#This Row],[anio]]&amp;"-"&amp;TEXT(tblOrdenes[[#This Row],[mes]],"00"))</f>
        <v/>
      </c>
      <c r="S365" s="5">
        <f>IF(tblOrdenes[[#This Row],[fecha_inicio]]="","",INDEX(lista_dias,WEEKDAY(tblOrdenes[[#This Row],[fecha_inicio]],2)))</f>
        <v/>
      </c>
      <c r="T3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5" s="5">
        <f>IF(tblOrdenes[[#This Row],[tipo_ot]]="","",_xlfn.XLOOKUP(tblOrdenes[[#This Row],[tipo_ot]],tblTiposOT[codigo],tblTiposOT[clasificacion],"sin_clasificar"))</f>
        <v/>
      </c>
      <c r="V3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5" s="5">
        <f>IF(tblOrdenes[[#This Row],[centro_costo]]="","",_xlfn.XLOOKUP(tblOrdenes[[#This Row],[centro_costo]],tblCECO[codigo],tblCECO[linea],"(sin catálogo)"))</f>
        <v/>
      </c>
      <c r="X365" s="5">
        <f>IF(tblOrdenes[[#This Row],[centro_costo]]="","",_xlfn.XLOOKUP(tblOrdenes[[#This Row],[centro_costo]],tblCECO[codigo],tblCECO[area],"(sin catálogo)"))</f>
        <v/>
      </c>
      <c r="Y3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5" s="5">
        <f>IF(tblOrdenes[[#This Row],[centro_costo]]="","",_xlfn.XLOOKUP(tblOrdenes[[#This Row],[centro_costo]],tblCECO[codigo],tblCECO[coordinador],"(sin catálogo)"))</f>
        <v/>
      </c>
      <c r="AA365" s="5">
        <f>IF(tblOrdenes[[#This Row],[puesto_trabajo]]="","",_xlfn.XLOOKUP(tblOrdenes[[#This Row],[puesto_trabajo]],tblPuestos[codigo],tblPuestos[especialidad],"(sin catálogo)"))</f>
        <v/>
      </c>
      <c r="AB365" s="5">
        <f>IF(tblOrdenes[[#This Row],[cod_actividad]]="","",_xlfn.XLOOKUP(tblOrdenes[[#This Row],[cod_actividad]],tblActividades[codigo],tblActividades[descripcion],"(sin catálogo)"))</f>
        <v/>
      </c>
      <c r="AC365" s="20">
        <f>IF(tblOrdenes[[#This Row],[fecha_inicio]]="","",TODAY()-tblOrdenes[[#This Row],[fecha_inicio]])</f>
        <v/>
      </c>
      <c r="AD3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5" s="5">
        <f>IF(tblOrdenes[[#This Row],[backlog_habiles]]="","",IF(tblOrdenes[[#This Row],[backlog_habiles]]&lt;0,"FUTURO",IF(tblOrdenes[[#This Row],[backlog_habiles]]&gt;p_dias_backlog_max,"BACKLOG","MES CORRIENTE")))</f>
        <v/>
      </c>
      <c r="AF365" s="5">
        <f>IF(tblOrdenes[[#This Row],[backlog_habiles]]="",FALSE,AND(tblOrdenes[[#This Row],[backlog_habiles]]&gt;p_dias_backlog_min,tblOrdenes[[#This Row],[backlog_habiles]]&lt;=p_dias_backlog_max))</f>
        <v/>
      </c>
      <c r="AG365" s="4" t="n"/>
      <c r="AH3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5" s="18">
        <f>IF(tblOrdenes[[#This Row],[orden]]="","",_xlfn.XLOOKUP(tblOrdenes[[#This Row],[id_operacion]],tblEjecucion[id_operacion],tblEjecucion[precio],0))</f>
        <v/>
      </c>
      <c r="AL365" s="18">
        <f>IF(tblOrdenes[[#This Row],[orden]]="","",MAX(0,_xlfn.XLOOKUP(tblOrdenes[[#This Row],[id_operacion]],tblEjecucion[id_operacion],tblEjecucion[costo_plan_total],0)-tblOrdenes[[#This Row],[costo_servicio]]))</f>
        <v/>
      </c>
      <c r="AM365" s="18">
        <f>IF(tblOrdenes[[#This Row],[orden]]="","",tblOrdenes[[#This Row],[costo_servicio]]+tblOrdenes[[#This Row],[costo_materiales]])</f>
        <v/>
      </c>
      <c r="AN3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5" s="4" t="n"/>
      <c r="AP365" s="4" t="n"/>
      <c r="AQ365" s="4" t="n"/>
      <c r="AR365" s="5">
        <f>IF(tblOrdenes[[#This Row],[link_checklist]]="","",HYPERLINK(p_ruta_base_checklists&amp;tblOrdenes[[#This Row],[link_checklist]],"abrir"))</f>
        <v/>
      </c>
      <c r="AS365" s="4" t="n"/>
      <c r="AT365" s="5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22" t="n"/>
      <c r="K366" s="5" t="n"/>
      <c r="L366" s="18" t="n"/>
      <c r="M3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5">
        <f>IF(tblOrdenes[[#This Row],[fecha_inicio]]="","",YEAR(tblOrdenes[[#This Row],[fecha_inicio]]))</f>
        <v/>
      </c>
      <c r="Q366" s="5">
        <f>IF(tblOrdenes[[#This Row],[fecha_inicio]]="","",MONTH(tblOrdenes[[#This Row],[fecha_inicio]]))</f>
        <v/>
      </c>
      <c r="R366" s="5">
        <f>IF(tblOrdenes[[#This Row],[fecha_inicio]]="","",tblOrdenes[[#This Row],[anio]]&amp;"-"&amp;TEXT(tblOrdenes[[#This Row],[mes]],"00"))</f>
        <v/>
      </c>
      <c r="S366" s="5">
        <f>IF(tblOrdenes[[#This Row],[fecha_inicio]]="","",INDEX(lista_dias,WEEKDAY(tblOrdenes[[#This Row],[fecha_inicio]],2)))</f>
        <v/>
      </c>
      <c r="T3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6" s="5">
        <f>IF(tblOrdenes[[#This Row],[tipo_ot]]="","",_xlfn.XLOOKUP(tblOrdenes[[#This Row],[tipo_ot]],tblTiposOT[codigo],tblTiposOT[clasificacion],"sin_clasificar"))</f>
        <v/>
      </c>
      <c r="V3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6" s="5">
        <f>IF(tblOrdenes[[#This Row],[centro_costo]]="","",_xlfn.XLOOKUP(tblOrdenes[[#This Row],[centro_costo]],tblCECO[codigo],tblCECO[linea],"(sin catálogo)"))</f>
        <v/>
      </c>
      <c r="X366" s="5">
        <f>IF(tblOrdenes[[#This Row],[centro_costo]]="","",_xlfn.XLOOKUP(tblOrdenes[[#This Row],[centro_costo]],tblCECO[codigo],tblCECO[area],"(sin catálogo)"))</f>
        <v/>
      </c>
      <c r="Y3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6" s="5">
        <f>IF(tblOrdenes[[#This Row],[centro_costo]]="","",_xlfn.XLOOKUP(tblOrdenes[[#This Row],[centro_costo]],tblCECO[codigo],tblCECO[coordinador],"(sin catálogo)"))</f>
        <v/>
      </c>
      <c r="AA366" s="5">
        <f>IF(tblOrdenes[[#This Row],[puesto_trabajo]]="","",_xlfn.XLOOKUP(tblOrdenes[[#This Row],[puesto_trabajo]],tblPuestos[codigo],tblPuestos[especialidad],"(sin catálogo)"))</f>
        <v/>
      </c>
      <c r="AB366" s="5">
        <f>IF(tblOrdenes[[#This Row],[cod_actividad]]="","",_xlfn.XLOOKUP(tblOrdenes[[#This Row],[cod_actividad]],tblActividades[codigo],tblActividades[descripcion],"(sin catálogo)"))</f>
        <v/>
      </c>
      <c r="AC366" s="20">
        <f>IF(tblOrdenes[[#This Row],[fecha_inicio]]="","",TODAY()-tblOrdenes[[#This Row],[fecha_inicio]])</f>
        <v/>
      </c>
      <c r="AD3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6" s="5">
        <f>IF(tblOrdenes[[#This Row],[backlog_habiles]]="","",IF(tblOrdenes[[#This Row],[backlog_habiles]]&lt;0,"FUTURO",IF(tblOrdenes[[#This Row],[backlog_habiles]]&gt;p_dias_backlog_max,"BACKLOG","MES CORRIENTE")))</f>
        <v/>
      </c>
      <c r="AF366" s="5">
        <f>IF(tblOrdenes[[#This Row],[backlog_habiles]]="",FALSE,AND(tblOrdenes[[#This Row],[backlog_habiles]]&gt;p_dias_backlog_min,tblOrdenes[[#This Row],[backlog_habiles]]&lt;=p_dias_backlog_max))</f>
        <v/>
      </c>
      <c r="AG366" s="4" t="n"/>
      <c r="AH3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6" s="18">
        <f>IF(tblOrdenes[[#This Row],[orden]]="","",_xlfn.XLOOKUP(tblOrdenes[[#This Row],[id_operacion]],tblEjecucion[id_operacion],tblEjecucion[precio],0))</f>
        <v/>
      </c>
      <c r="AL366" s="18">
        <f>IF(tblOrdenes[[#This Row],[orden]]="","",MAX(0,_xlfn.XLOOKUP(tblOrdenes[[#This Row],[id_operacion]],tblEjecucion[id_operacion],tblEjecucion[costo_plan_total],0)-tblOrdenes[[#This Row],[costo_servicio]]))</f>
        <v/>
      </c>
      <c r="AM366" s="18">
        <f>IF(tblOrdenes[[#This Row],[orden]]="","",tblOrdenes[[#This Row],[costo_servicio]]+tblOrdenes[[#This Row],[costo_materiales]])</f>
        <v/>
      </c>
      <c r="AN3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6" s="4" t="n"/>
      <c r="AP366" s="4" t="n"/>
      <c r="AQ366" s="4" t="n"/>
      <c r="AR366" s="5">
        <f>IF(tblOrdenes[[#This Row],[link_checklist]]="","",HYPERLINK(p_ruta_base_checklists&amp;tblOrdenes[[#This Row],[link_checklist]],"abrir"))</f>
        <v/>
      </c>
      <c r="AS366" s="4" t="n"/>
      <c r="AT366" s="5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22" t="n"/>
      <c r="K367" s="5" t="n"/>
      <c r="L367" s="18" t="n"/>
      <c r="M3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5">
        <f>IF(tblOrdenes[[#This Row],[fecha_inicio]]="","",YEAR(tblOrdenes[[#This Row],[fecha_inicio]]))</f>
        <v/>
      </c>
      <c r="Q367" s="5">
        <f>IF(tblOrdenes[[#This Row],[fecha_inicio]]="","",MONTH(tblOrdenes[[#This Row],[fecha_inicio]]))</f>
        <v/>
      </c>
      <c r="R367" s="5">
        <f>IF(tblOrdenes[[#This Row],[fecha_inicio]]="","",tblOrdenes[[#This Row],[anio]]&amp;"-"&amp;TEXT(tblOrdenes[[#This Row],[mes]],"00"))</f>
        <v/>
      </c>
      <c r="S367" s="5">
        <f>IF(tblOrdenes[[#This Row],[fecha_inicio]]="","",INDEX(lista_dias,WEEKDAY(tblOrdenes[[#This Row],[fecha_inicio]],2)))</f>
        <v/>
      </c>
      <c r="T3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7" s="5">
        <f>IF(tblOrdenes[[#This Row],[tipo_ot]]="","",_xlfn.XLOOKUP(tblOrdenes[[#This Row],[tipo_ot]],tblTiposOT[codigo],tblTiposOT[clasificacion],"sin_clasificar"))</f>
        <v/>
      </c>
      <c r="V3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7" s="5">
        <f>IF(tblOrdenes[[#This Row],[centro_costo]]="","",_xlfn.XLOOKUP(tblOrdenes[[#This Row],[centro_costo]],tblCECO[codigo],tblCECO[linea],"(sin catálogo)"))</f>
        <v/>
      </c>
      <c r="X367" s="5">
        <f>IF(tblOrdenes[[#This Row],[centro_costo]]="","",_xlfn.XLOOKUP(tblOrdenes[[#This Row],[centro_costo]],tblCECO[codigo],tblCECO[area],"(sin catálogo)"))</f>
        <v/>
      </c>
      <c r="Y3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7" s="5">
        <f>IF(tblOrdenes[[#This Row],[centro_costo]]="","",_xlfn.XLOOKUP(tblOrdenes[[#This Row],[centro_costo]],tblCECO[codigo],tblCECO[coordinador],"(sin catálogo)"))</f>
        <v/>
      </c>
      <c r="AA367" s="5">
        <f>IF(tblOrdenes[[#This Row],[puesto_trabajo]]="","",_xlfn.XLOOKUP(tblOrdenes[[#This Row],[puesto_trabajo]],tblPuestos[codigo],tblPuestos[especialidad],"(sin catálogo)"))</f>
        <v/>
      </c>
      <c r="AB367" s="5">
        <f>IF(tblOrdenes[[#This Row],[cod_actividad]]="","",_xlfn.XLOOKUP(tblOrdenes[[#This Row],[cod_actividad]],tblActividades[codigo],tblActividades[descripcion],"(sin catálogo)"))</f>
        <v/>
      </c>
      <c r="AC367" s="20">
        <f>IF(tblOrdenes[[#This Row],[fecha_inicio]]="","",TODAY()-tblOrdenes[[#This Row],[fecha_inicio]])</f>
        <v/>
      </c>
      <c r="AD3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7" s="5">
        <f>IF(tblOrdenes[[#This Row],[backlog_habiles]]="","",IF(tblOrdenes[[#This Row],[backlog_habiles]]&lt;0,"FUTURO",IF(tblOrdenes[[#This Row],[backlog_habiles]]&gt;p_dias_backlog_max,"BACKLOG","MES CORRIENTE")))</f>
        <v/>
      </c>
      <c r="AF367" s="5">
        <f>IF(tblOrdenes[[#This Row],[backlog_habiles]]="",FALSE,AND(tblOrdenes[[#This Row],[backlog_habiles]]&gt;p_dias_backlog_min,tblOrdenes[[#This Row],[backlog_habiles]]&lt;=p_dias_backlog_max))</f>
        <v/>
      </c>
      <c r="AG367" s="4" t="n"/>
      <c r="AH3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7" s="18">
        <f>IF(tblOrdenes[[#This Row],[orden]]="","",_xlfn.XLOOKUP(tblOrdenes[[#This Row],[id_operacion]],tblEjecucion[id_operacion],tblEjecucion[precio],0))</f>
        <v/>
      </c>
      <c r="AL367" s="18">
        <f>IF(tblOrdenes[[#This Row],[orden]]="","",MAX(0,_xlfn.XLOOKUP(tblOrdenes[[#This Row],[id_operacion]],tblEjecucion[id_operacion],tblEjecucion[costo_plan_total],0)-tblOrdenes[[#This Row],[costo_servicio]]))</f>
        <v/>
      </c>
      <c r="AM367" s="18">
        <f>IF(tblOrdenes[[#This Row],[orden]]="","",tblOrdenes[[#This Row],[costo_servicio]]+tblOrdenes[[#This Row],[costo_materiales]])</f>
        <v/>
      </c>
      <c r="AN3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7" s="4" t="n"/>
      <c r="AP367" s="4" t="n"/>
      <c r="AQ367" s="4" t="n"/>
      <c r="AR367" s="5">
        <f>IF(tblOrdenes[[#This Row],[link_checklist]]="","",HYPERLINK(p_ruta_base_checklists&amp;tblOrdenes[[#This Row],[link_checklist]],"abrir"))</f>
        <v/>
      </c>
      <c r="AS367" s="4" t="n"/>
      <c r="AT367" s="5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22" t="n"/>
      <c r="K368" s="5" t="n"/>
      <c r="L368" s="18" t="n"/>
      <c r="M3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5">
        <f>IF(tblOrdenes[[#This Row],[fecha_inicio]]="","",YEAR(tblOrdenes[[#This Row],[fecha_inicio]]))</f>
        <v/>
      </c>
      <c r="Q368" s="5">
        <f>IF(tblOrdenes[[#This Row],[fecha_inicio]]="","",MONTH(tblOrdenes[[#This Row],[fecha_inicio]]))</f>
        <v/>
      </c>
      <c r="R368" s="5">
        <f>IF(tblOrdenes[[#This Row],[fecha_inicio]]="","",tblOrdenes[[#This Row],[anio]]&amp;"-"&amp;TEXT(tblOrdenes[[#This Row],[mes]],"00"))</f>
        <v/>
      </c>
      <c r="S368" s="5">
        <f>IF(tblOrdenes[[#This Row],[fecha_inicio]]="","",INDEX(lista_dias,WEEKDAY(tblOrdenes[[#This Row],[fecha_inicio]],2)))</f>
        <v/>
      </c>
      <c r="T3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8" s="5">
        <f>IF(tblOrdenes[[#This Row],[tipo_ot]]="","",_xlfn.XLOOKUP(tblOrdenes[[#This Row],[tipo_ot]],tblTiposOT[codigo],tblTiposOT[clasificacion],"sin_clasificar"))</f>
        <v/>
      </c>
      <c r="V3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8" s="5">
        <f>IF(tblOrdenes[[#This Row],[centro_costo]]="","",_xlfn.XLOOKUP(tblOrdenes[[#This Row],[centro_costo]],tblCECO[codigo],tblCECO[linea],"(sin catálogo)"))</f>
        <v/>
      </c>
      <c r="X368" s="5">
        <f>IF(tblOrdenes[[#This Row],[centro_costo]]="","",_xlfn.XLOOKUP(tblOrdenes[[#This Row],[centro_costo]],tblCECO[codigo],tblCECO[area],"(sin catálogo)"))</f>
        <v/>
      </c>
      <c r="Y3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8" s="5">
        <f>IF(tblOrdenes[[#This Row],[centro_costo]]="","",_xlfn.XLOOKUP(tblOrdenes[[#This Row],[centro_costo]],tblCECO[codigo],tblCECO[coordinador],"(sin catálogo)"))</f>
        <v/>
      </c>
      <c r="AA368" s="5">
        <f>IF(tblOrdenes[[#This Row],[puesto_trabajo]]="","",_xlfn.XLOOKUP(tblOrdenes[[#This Row],[puesto_trabajo]],tblPuestos[codigo],tblPuestos[especialidad],"(sin catálogo)"))</f>
        <v/>
      </c>
      <c r="AB368" s="5">
        <f>IF(tblOrdenes[[#This Row],[cod_actividad]]="","",_xlfn.XLOOKUP(tblOrdenes[[#This Row],[cod_actividad]],tblActividades[codigo],tblActividades[descripcion],"(sin catálogo)"))</f>
        <v/>
      </c>
      <c r="AC368" s="20">
        <f>IF(tblOrdenes[[#This Row],[fecha_inicio]]="","",TODAY()-tblOrdenes[[#This Row],[fecha_inicio]])</f>
        <v/>
      </c>
      <c r="AD3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8" s="5">
        <f>IF(tblOrdenes[[#This Row],[backlog_habiles]]="","",IF(tblOrdenes[[#This Row],[backlog_habiles]]&lt;0,"FUTURO",IF(tblOrdenes[[#This Row],[backlog_habiles]]&gt;p_dias_backlog_max,"BACKLOG","MES CORRIENTE")))</f>
        <v/>
      </c>
      <c r="AF368" s="5">
        <f>IF(tblOrdenes[[#This Row],[backlog_habiles]]="",FALSE,AND(tblOrdenes[[#This Row],[backlog_habiles]]&gt;p_dias_backlog_min,tblOrdenes[[#This Row],[backlog_habiles]]&lt;=p_dias_backlog_max))</f>
        <v/>
      </c>
      <c r="AG368" s="4" t="n"/>
      <c r="AH3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8" s="18">
        <f>IF(tblOrdenes[[#This Row],[orden]]="","",_xlfn.XLOOKUP(tblOrdenes[[#This Row],[id_operacion]],tblEjecucion[id_operacion],tblEjecucion[precio],0))</f>
        <v/>
      </c>
      <c r="AL368" s="18">
        <f>IF(tblOrdenes[[#This Row],[orden]]="","",MAX(0,_xlfn.XLOOKUP(tblOrdenes[[#This Row],[id_operacion]],tblEjecucion[id_operacion],tblEjecucion[costo_plan_total],0)-tblOrdenes[[#This Row],[costo_servicio]]))</f>
        <v/>
      </c>
      <c r="AM368" s="18">
        <f>IF(tblOrdenes[[#This Row],[orden]]="","",tblOrdenes[[#This Row],[costo_servicio]]+tblOrdenes[[#This Row],[costo_materiales]])</f>
        <v/>
      </c>
      <c r="AN3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8" s="4" t="n"/>
      <c r="AP368" s="4" t="n"/>
      <c r="AQ368" s="4" t="n"/>
      <c r="AR368" s="5">
        <f>IF(tblOrdenes[[#This Row],[link_checklist]]="","",HYPERLINK(p_ruta_base_checklists&amp;tblOrdenes[[#This Row],[link_checklist]],"abrir"))</f>
        <v/>
      </c>
      <c r="AS368" s="4" t="n"/>
      <c r="AT368" s="5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22" t="n"/>
      <c r="K369" s="5" t="n"/>
      <c r="L369" s="18" t="n"/>
      <c r="M3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5">
        <f>IF(tblOrdenes[[#This Row],[fecha_inicio]]="","",YEAR(tblOrdenes[[#This Row],[fecha_inicio]]))</f>
        <v/>
      </c>
      <c r="Q369" s="5">
        <f>IF(tblOrdenes[[#This Row],[fecha_inicio]]="","",MONTH(tblOrdenes[[#This Row],[fecha_inicio]]))</f>
        <v/>
      </c>
      <c r="R369" s="5">
        <f>IF(tblOrdenes[[#This Row],[fecha_inicio]]="","",tblOrdenes[[#This Row],[anio]]&amp;"-"&amp;TEXT(tblOrdenes[[#This Row],[mes]],"00"))</f>
        <v/>
      </c>
      <c r="S369" s="5">
        <f>IF(tblOrdenes[[#This Row],[fecha_inicio]]="","",INDEX(lista_dias,WEEKDAY(tblOrdenes[[#This Row],[fecha_inicio]],2)))</f>
        <v/>
      </c>
      <c r="T3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9" s="5">
        <f>IF(tblOrdenes[[#This Row],[tipo_ot]]="","",_xlfn.XLOOKUP(tblOrdenes[[#This Row],[tipo_ot]],tblTiposOT[codigo],tblTiposOT[clasificacion],"sin_clasificar"))</f>
        <v/>
      </c>
      <c r="V3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9" s="5">
        <f>IF(tblOrdenes[[#This Row],[centro_costo]]="","",_xlfn.XLOOKUP(tblOrdenes[[#This Row],[centro_costo]],tblCECO[codigo],tblCECO[linea],"(sin catálogo)"))</f>
        <v/>
      </c>
      <c r="X369" s="5">
        <f>IF(tblOrdenes[[#This Row],[centro_costo]]="","",_xlfn.XLOOKUP(tblOrdenes[[#This Row],[centro_costo]],tblCECO[codigo],tblCECO[area],"(sin catálogo)"))</f>
        <v/>
      </c>
      <c r="Y3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69" s="5">
        <f>IF(tblOrdenes[[#This Row],[centro_costo]]="","",_xlfn.XLOOKUP(tblOrdenes[[#This Row],[centro_costo]],tblCECO[codigo],tblCECO[coordinador],"(sin catálogo)"))</f>
        <v/>
      </c>
      <c r="AA369" s="5">
        <f>IF(tblOrdenes[[#This Row],[puesto_trabajo]]="","",_xlfn.XLOOKUP(tblOrdenes[[#This Row],[puesto_trabajo]],tblPuestos[codigo],tblPuestos[especialidad],"(sin catálogo)"))</f>
        <v/>
      </c>
      <c r="AB369" s="5">
        <f>IF(tblOrdenes[[#This Row],[cod_actividad]]="","",_xlfn.XLOOKUP(tblOrdenes[[#This Row],[cod_actividad]],tblActividades[codigo],tblActividades[descripcion],"(sin catálogo)"))</f>
        <v/>
      </c>
      <c r="AC369" s="20">
        <f>IF(tblOrdenes[[#This Row],[fecha_inicio]]="","",TODAY()-tblOrdenes[[#This Row],[fecha_inicio]])</f>
        <v/>
      </c>
      <c r="AD3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69" s="5">
        <f>IF(tblOrdenes[[#This Row],[backlog_habiles]]="","",IF(tblOrdenes[[#This Row],[backlog_habiles]]&lt;0,"FUTURO",IF(tblOrdenes[[#This Row],[backlog_habiles]]&gt;p_dias_backlog_max,"BACKLOG","MES CORRIENTE")))</f>
        <v/>
      </c>
      <c r="AF369" s="5">
        <f>IF(tblOrdenes[[#This Row],[backlog_habiles]]="",FALSE,AND(tblOrdenes[[#This Row],[backlog_habiles]]&gt;p_dias_backlog_min,tblOrdenes[[#This Row],[backlog_habiles]]&lt;=p_dias_backlog_max))</f>
        <v/>
      </c>
      <c r="AG369" s="4" t="n"/>
      <c r="AH3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69" s="18">
        <f>IF(tblOrdenes[[#This Row],[orden]]="","",_xlfn.XLOOKUP(tblOrdenes[[#This Row],[id_operacion]],tblEjecucion[id_operacion],tblEjecucion[precio],0))</f>
        <v/>
      </c>
      <c r="AL369" s="18">
        <f>IF(tblOrdenes[[#This Row],[orden]]="","",MAX(0,_xlfn.XLOOKUP(tblOrdenes[[#This Row],[id_operacion]],tblEjecucion[id_operacion],tblEjecucion[costo_plan_total],0)-tblOrdenes[[#This Row],[costo_servicio]]))</f>
        <v/>
      </c>
      <c r="AM369" s="18">
        <f>IF(tblOrdenes[[#This Row],[orden]]="","",tblOrdenes[[#This Row],[costo_servicio]]+tblOrdenes[[#This Row],[costo_materiales]])</f>
        <v/>
      </c>
      <c r="AN3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69" s="4" t="n"/>
      <c r="AP369" s="4" t="n"/>
      <c r="AQ369" s="4" t="n"/>
      <c r="AR369" s="5">
        <f>IF(tblOrdenes[[#This Row],[link_checklist]]="","",HYPERLINK(p_ruta_base_checklists&amp;tblOrdenes[[#This Row],[link_checklist]],"abrir"))</f>
        <v/>
      </c>
      <c r="AS369" s="4" t="n"/>
      <c r="AT369" s="5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22" t="n"/>
      <c r="K370" s="5" t="n"/>
      <c r="L370" s="18" t="n"/>
      <c r="M3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5">
        <f>IF(tblOrdenes[[#This Row],[fecha_inicio]]="","",YEAR(tblOrdenes[[#This Row],[fecha_inicio]]))</f>
        <v/>
      </c>
      <c r="Q370" s="5">
        <f>IF(tblOrdenes[[#This Row],[fecha_inicio]]="","",MONTH(tblOrdenes[[#This Row],[fecha_inicio]]))</f>
        <v/>
      </c>
      <c r="R370" s="5">
        <f>IF(tblOrdenes[[#This Row],[fecha_inicio]]="","",tblOrdenes[[#This Row],[anio]]&amp;"-"&amp;TEXT(tblOrdenes[[#This Row],[mes]],"00"))</f>
        <v/>
      </c>
      <c r="S370" s="5">
        <f>IF(tblOrdenes[[#This Row],[fecha_inicio]]="","",INDEX(lista_dias,WEEKDAY(tblOrdenes[[#This Row],[fecha_inicio]],2)))</f>
        <v/>
      </c>
      <c r="T3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0" s="5">
        <f>IF(tblOrdenes[[#This Row],[tipo_ot]]="","",_xlfn.XLOOKUP(tblOrdenes[[#This Row],[tipo_ot]],tblTiposOT[codigo],tblTiposOT[clasificacion],"sin_clasificar"))</f>
        <v/>
      </c>
      <c r="V3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0" s="5">
        <f>IF(tblOrdenes[[#This Row],[centro_costo]]="","",_xlfn.XLOOKUP(tblOrdenes[[#This Row],[centro_costo]],tblCECO[codigo],tblCECO[linea],"(sin catálogo)"))</f>
        <v/>
      </c>
      <c r="X370" s="5">
        <f>IF(tblOrdenes[[#This Row],[centro_costo]]="","",_xlfn.XLOOKUP(tblOrdenes[[#This Row],[centro_costo]],tblCECO[codigo],tblCECO[area],"(sin catálogo)"))</f>
        <v/>
      </c>
      <c r="Y3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0" s="5">
        <f>IF(tblOrdenes[[#This Row],[centro_costo]]="","",_xlfn.XLOOKUP(tblOrdenes[[#This Row],[centro_costo]],tblCECO[codigo],tblCECO[coordinador],"(sin catálogo)"))</f>
        <v/>
      </c>
      <c r="AA370" s="5">
        <f>IF(tblOrdenes[[#This Row],[puesto_trabajo]]="","",_xlfn.XLOOKUP(tblOrdenes[[#This Row],[puesto_trabajo]],tblPuestos[codigo],tblPuestos[especialidad],"(sin catálogo)"))</f>
        <v/>
      </c>
      <c r="AB370" s="5">
        <f>IF(tblOrdenes[[#This Row],[cod_actividad]]="","",_xlfn.XLOOKUP(tblOrdenes[[#This Row],[cod_actividad]],tblActividades[codigo],tblActividades[descripcion],"(sin catálogo)"))</f>
        <v/>
      </c>
      <c r="AC370" s="20">
        <f>IF(tblOrdenes[[#This Row],[fecha_inicio]]="","",TODAY()-tblOrdenes[[#This Row],[fecha_inicio]])</f>
        <v/>
      </c>
      <c r="AD3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0" s="5">
        <f>IF(tblOrdenes[[#This Row],[backlog_habiles]]="","",IF(tblOrdenes[[#This Row],[backlog_habiles]]&lt;0,"FUTURO",IF(tblOrdenes[[#This Row],[backlog_habiles]]&gt;p_dias_backlog_max,"BACKLOG","MES CORRIENTE")))</f>
        <v/>
      </c>
      <c r="AF370" s="5">
        <f>IF(tblOrdenes[[#This Row],[backlog_habiles]]="",FALSE,AND(tblOrdenes[[#This Row],[backlog_habiles]]&gt;p_dias_backlog_min,tblOrdenes[[#This Row],[backlog_habiles]]&lt;=p_dias_backlog_max))</f>
        <v/>
      </c>
      <c r="AG370" s="4" t="n"/>
      <c r="AH3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0" s="18">
        <f>IF(tblOrdenes[[#This Row],[orden]]="","",_xlfn.XLOOKUP(tblOrdenes[[#This Row],[id_operacion]],tblEjecucion[id_operacion],tblEjecucion[precio],0))</f>
        <v/>
      </c>
      <c r="AL370" s="18">
        <f>IF(tblOrdenes[[#This Row],[orden]]="","",MAX(0,_xlfn.XLOOKUP(tblOrdenes[[#This Row],[id_operacion]],tblEjecucion[id_operacion],tblEjecucion[costo_plan_total],0)-tblOrdenes[[#This Row],[costo_servicio]]))</f>
        <v/>
      </c>
      <c r="AM370" s="18">
        <f>IF(tblOrdenes[[#This Row],[orden]]="","",tblOrdenes[[#This Row],[costo_servicio]]+tblOrdenes[[#This Row],[costo_materiales]])</f>
        <v/>
      </c>
      <c r="AN3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0" s="4" t="n"/>
      <c r="AP370" s="4" t="n"/>
      <c r="AQ370" s="4" t="n"/>
      <c r="AR370" s="5">
        <f>IF(tblOrdenes[[#This Row],[link_checklist]]="","",HYPERLINK(p_ruta_base_checklists&amp;tblOrdenes[[#This Row],[link_checklist]],"abrir"))</f>
        <v/>
      </c>
      <c r="AS370" s="4" t="n"/>
      <c r="AT370" s="5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22" t="n"/>
      <c r="K371" s="5" t="n"/>
      <c r="L371" s="18" t="n"/>
      <c r="M3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5">
        <f>IF(tblOrdenes[[#This Row],[fecha_inicio]]="","",YEAR(tblOrdenes[[#This Row],[fecha_inicio]]))</f>
        <v/>
      </c>
      <c r="Q371" s="5">
        <f>IF(tblOrdenes[[#This Row],[fecha_inicio]]="","",MONTH(tblOrdenes[[#This Row],[fecha_inicio]]))</f>
        <v/>
      </c>
      <c r="R371" s="5">
        <f>IF(tblOrdenes[[#This Row],[fecha_inicio]]="","",tblOrdenes[[#This Row],[anio]]&amp;"-"&amp;TEXT(tblOrdenes[[#This Row],[mes]],"00"))</f>
        <v/>
      </c>
      <c r="S371" s="5">
        <f>IF(tblOrdenes[[#This Row],[fecha_inicio]]="","",INDEX(lista_dias,WEEKDAY(tblOrdenes[[#This Row],[fecha_inicio]],2)))</f>
        <v/>
      </c>
      <c r="T3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1" s="5">
        <f>IF(tblOrdenes[[#This Row],[tipo_ot]]="","",_xlfn.XLOOKUP(tblOrdenes[[#This Row],[tipo_ot]],tblTiposOT[codigo],tblTiposOT[clasificacion],"sin_clasificar"))</f>
        <v/>
      </c>
      <c r="V3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1" s="5">
        <f>IF(tblOrdenes[[#This Row],[centro_costo]]="","",_xlfn.XLOOKUP(tblOrdenes[[#This Row],[centro_costo]],tblCECO[codigo],tblCECO[linea],"(sin catálogo)"))</f>
        <v/>
      </c>
      <c r="X371" s="5">
        <f>IF(tblOrdenes[[#This Row],[centro_costo]]="","",_xlfn.XLOOKUP(tblOrdenes[[#This Row],[centro_costo]],tblCECO[codigo],tblCECO[area],"(sin catálogo)"))</f>
        <v/>
      </c>
      <c r="Y3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1" s="5">
        <f>IF(tblOrdenes[[#This Row],[centro_costo]]="","",_xlfn.XLOOKUP(tblOrdenes[[#This Row],[centro_costo]],tblCECO[codigo],tblCECO[coordinador],"(sin catálogo)"))</f>
        <v/>
      </c>
      <c r="AA371" s="5">
        <f>IF(tblOrdenes[[#This Row],[puesto_trabajo]]="","",_xlfn.XLOOKUP(tblOrdenes[[#This Row],[puesto_trabajo]],tblPuestos[codigo],tblPuestos[especialidad],"(sin catálogo)"))</f>
        <v/>
      </c>
      <c r="AB371" s="5">
        <f>IF(tblOrdenes[[#This Row],[cod_actividad]]="","",_xlfn.XLOOKUP(tblOrdenes[[#This Row],[cod_actividad]],tblActividades[codigo],tblActividades[descripcion],"(sin catálogo)"))</f>
        <v/>
      </c>
      <c r="AC371" s="20">
        <f>IF(tblOrdenes[[#This Row],[fecha_inicio]]="","",TODAY()-tblOrdenes[[#This Row],[fecha_inicio]])</f>
        <v/>
      </c>
      <c r="AD3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1" s="5">
        <f>IF(tblOrdenes[[#This Row],[backlog_habiles]]="","",IF(tblOrdenes[[#This Row],[backlog_habiles]]&lt;0,"FUTURO",IF(tblOrdenes[[#This Row],[backlog_habiles]]&gt;p_dias_backlog_max,"BACKLOG","MES CORRIENTE")))</f>
        <v/>
      </c>
      <c r="AF371" s="5">
        <f>IF(tblOrdenes[[#This Row],[backlog_habiles]]="",FALSE,AND(tblOrdenes[[#This Row],[backlog_habiles]]&gt;p_dias_backlog_min,tblOrdenes[[#This Row],[backlog_habiles]]&lt;=p_dias_backlog_max))</f>
        <v/>
      </c>
      <c r="AG371" s="4" t="n"/>
      <c r="AH3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1" s="18">
        <f>IF(tblOrdenes[[#This Row],[orden]]="","",_xlfn.XLOOKUP(tblOrdenes[[#This Row],[id_operacion]],tblEjecucion[id_operacion],tblEjecucion[precio],0))</f>
        <v/>
      </c>
      <c r="AL371" s="18">
        <f>IF(tblOrdenes[[#This Row],[orden]]="","",MAX(0,_xlfn.XLOOKUP(tblOrdenes[[#This Row],[id_operacion]],tblEjecucion[id_operacion],tblEjecucion[costo_plan_total],0)-tblOrdenes[[#This Row],[costo_servicio]]))</f>
        <v/>
      </c>
      <c r="AM371" s="18">
        <f>IF(tblOrdenes[[#This Row],[orden]]="","",tblOrdenes[[#This Row],[costo_servicio]]+tblOrdenes[[#This Row],[costo_materiales]])</f>
        <v/>
      </c>
      <c r="AN3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1" s="4" t="n"/>
      <c r="AP371" s="4" t="n"/>
      <c r="AQ371" s="4" t="n"/>
      <c r="AR371" s="5">
        <f>IF(tblOrdenes[[#This Row],[link_checklist]]="","",HYPERLINK(p_ruta_base_checklists&amp;tblOrdenes[[#This Row],[link_checklist]],"abrir"))</f>
        <v/>
      </c>
      <c r="AS371" s="4" t="n"/>
      <c r="AT371" s="5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22" t="n"/>
      <c r="K372" s="5" t="n"/>
      <c r="L372" s="18" t="n"/>
      <c r="M3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5">
        <f>IF(tblOrdenes[[#This Row],[fecha_inicio]]="","",YEAR(tblOrdenes[[#This Row],[fecha_inicio]]))</f>
        <v/>
      </c>
      <c r="Q372" s="5">
        <f>IF(tblOrdenes[[#This Row],[fecha_inicio]]="","",MONTH(tblOrdenes[[#This Row],[fecha_inicio]]))</f>
        <v/>
      </c>
      <c r="R372" s="5">
        <f>IF(tblOrdenes[[#This Row],[fecha_inicio]]="","",tblOrdenes[[#This Row],[anio]]&amp;"-"&amp;TEXT(tblOrdenes[[#This Row],[mes]],"00"))</f>
        <v/>
      </c>
      <c r="S372" s="5">
        <f>IF(tblOrdenes[[#This Row],[fecha_inicio]]="","",INDEX(lista_dias,WEEKDAY(tblOrdenes[[#This Row],[fecha_inicio]],2)))</f>
        <v/>
      </c>
      <c r="T3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2" s="5">
        <f>IF(tblOrdenes[[#This Row],[tipo_ot]]="","",_xlfn.XLOOKUP(tblOrdenes[[#This Row],[tipo_ot]],tblTiposOT[codigo],tblTiposOT[clasificacion],"sin_clasificar"))</f>
        <v/>
      </c>
      <c r="V3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2" s="5">
        <f>IF(tblOrdenes[[#This Row],[centro_costo]]="","",_xlfn.XLOOKUP(tblOrdenes[[#This Row],[centro_costo]],tblCECO[codigo],tblCECO[linea],"(sin catálogo)"))</f>
        <v/>
      </c>
      <c r="X372" s="5">
        <f>IF(tblOrdenes[[#This Row],[centro_costo]]="","",_xlfn.XLOOKUP(tblOrdenes[[#This Row],[centro_costo]],tblCECO[codigo],tblCECO[area],"(sin catálogo)"))</f>
        <v/>
      </c>
      <c r="Y3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2" s="5">
        <f>IF(tblOrdenes[[#This Row],[centro_costo]]="","",_xlfn.XLOOKUP(tblOrdenes[[#This Row],[centro_costo]],tblCECO[codigo],tblCECO[coordinador],"(sin catálogo)"))</f>
        <v/>
      </c>
      <c r="AA372" s="5">
        <f>IF(tblOrdenes[[#This Row],[puesto_trabajo]]="","",_xlfn.XLOOKUP(tblOrdenes[[#This Row],[puesto_trabajo]],tblPuestos[codigo],tblPuestos[especialidad],"(sin catálogo)"))</f>
        <v/>
      </c>
      <c r="AB372" s="5">
        <f>IF(tblOrdenes[[#This Row],[cod_actividad]]="","",_xlfn.XLOOKUP(tblOrdenes[[#This Row],[cod_actividad]],tblActividades[codigo],tblActividades[descripcion],"(sin catálogo)"))</f>
        <v/>
      </c>
      <c r="AC372" s="20">
        <f>IF(tblOrdenes[[#This Row],[fecha_inicio]]="","",TODAY()-tblOrdenes[[#This Row],[fecha_inicio]])</f>
        <v/>
      </c>
      <c r="AD3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2" s="5">
        <f>IF(tblOrdenes[[#This Row],[backlog_habiles]]="","",IF(tblOrdenes[[#This Row],[backlog_habiles]]&lt;0,"FUTURO",IF(tblOrdenes[[#This Row],[backlog_habiles]]&gt;p_dias_backlog_max,"BACKLOG","MES CORRIENTE")))</f>
        <v/>
      </c>
      <c r="AF372" s="5">
        <f>IF(tblOrdenes[[#This Row],[backlog_habiles]]="",FALSE,AND(tblOrdenes[[#This Row],[backlog_habiles]]&gt;p_dias_backlog_min,tblOrdenes[[#This Row],[backlog_habiles]]&lt;=p_dias_backlog_max))</f>
        <v/>
      </c>
      <c r="AG372" s="4" t="n"/>
      <c r="AH3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2" s="18">
        <f>IF(tblOrdenes[[#This Row],[orden]]="","",_xlfn.XLOOKUP(tblOrdenes[[#This Row],[id_operacion]],tblEjecucion[id_operacion],tblEjecucion[precio],0))</f>
        <v/>
      </c>
      <c r="AL372" s="18">
        <f>IF(tblOrdenes[[#This Row],[orden]]="","",MAX(0,_xlfn.XLOOKUP(tblOrdenes[[#This Row],[id_operacion]],tblEjecucion[id_operacion],tblEjecucion[costo_plan_total],0)-tblOrdenes[[#This Row],[costo_servicio]]))</f>
        <v/>
      </c>
      <c r="AM372" s="18">
        <f>IF(tblOrdenes[[#This Row],[orden]]="","",tblOrdenes[[#This Row],[costo_servicio]]+tblOrdenes[[#This Row],[costo_materiales]])</f>
        <v/>
      </c>
      <c r="AN3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2" s="4" t="n"/>
      <c r="AP372" s="4" t="n"/>
      <c r="AQ372" s="4" t="n"/>
      <c r="AR372" s="5">
        <f>IF(tblOrdenes[[#This Row],[link_checklist]]="","",HYPERLINK(p_ruta_base_checklists&amp;tblOrdenes[[#This Row],[link_checklist]],"abrir"))</f>
        <v/>
      </c>
      <c r="AS372" s="4" t="n"/>
      <c r="AT372" s="5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22" t="n"/>
      <c r="K373" s="5" t="n"/>
      <c r="L373" s="18" t="n"/>
      <c r="M3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5">
        <f>IF(tblOrdenes[[#This Row],[fecha_inicio]]="","",YEAR(tblOrdenes[[#This Row],[fecha_inicio]]))</f>
        <v/>
      </c>
      <c r="Q373" s="5">
        <f>IF(tblOrdenes[[#This Row],[fecha_inicio]]="","",MONTH(tblOrdenes[[#This Row],[fecha_inicio]]))</f>
        <v/>
      </c>
      <c r="R373" s="5">
        <f>IF(tblOrdenes[[#This Row],[fecha_inicio]]="","",tblOrdenes[[#This Row],[anio]]&amp;"-"&amp;TEXT(tblOrdenes[[#This Row],[mes]],"00"))</f>
        <v/>
      </c>
      <c r="S373" s="5">
        <f>IF(tblOrdenes[[#This Row],[fecha_inicio]]="","",INDEX(lista_dias,WEEKDAY(tblOrdenes[[#This Row],[fecha_inicio]],2)))</f>
        <v/>
      </c>
      <c r="T3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3" s="5">
        <f>IF(tblOrdenes[[#This Row],[tipo_ot]]="","",_xlfn.XLOOKUP(tblOrdenes[[#This Row],[tipo_ot]],tblTiposOT[codigo],tblTiposOT[clasificacion],"sin_clasificar"))</f>
        <v/>
      </c>
      <c r="V3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3" s="5">
        <f>IF(tblOrdenes[[#This Row],[centro_costo]]="","",_xlfn.XLOOKUP(tblOrdenes[[#This Row],[centro_costo]],tblCECO[codigo],tblCECO[linea],"(sin catálogo)"))</f>
        <v/>
      </c>
      <c r="X373" s="5">
        <f>IF(tblOrdenes[[#This Row],[centro_costo]]="","",_xlfn.XLOOKUP(tblOrdenes[[#This Row],[centro_costo]],tblCECO[codigo],tblCECO[area],"(sin catálogo)"))</f>
        <v/>
      </c>
      <c r="Y3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3" s="5">
        <f>IF(tblOrdenes[[#This Row],[centro_costo]]="","",_xlfn.XLOOKUP(tblOrdenes[[#This Row],[centro_costo]],tblCECO[codigo],tblCECO[coordinador],"(sin catálogo)"))</f>
        <v/>
      </c>
      <c r="AA373" s="5">
        <f>IF(tblOrdenes[[#This Row],[puesto_trabajo]]="","",_xlfn.XLOOKUP(tblOrdenes[[#This Row],[puesto_trabajo]],tblPuestos[codigo],tblPuestos[especialidad],"(sin catálogo)"))</f>
        <v/>
      </c>
      <c r="AB373" s="5">
        <f>IF(tblOrdenes[[#This Row],[cod_actividad]]="","",_xlfn.XLOOKUP(tblOrdenes[[#This Row],[cod_actividad]],tblActividades[codigo],tblActividades[descripcion],"(sin catálogo)"))</f>
        <v/>
      </c>
      <c r="AC373" s="20">
        <f>IF(tblOrdenes[[#This Row],[fecha_inicio]]="","",TODAY()-tblOrdenes[[#This Row],[fecha_inicio]])</f>
        <v/>
      </c>
      <c r="AD3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3" s="5">
        <f>IF(tblOrdenes[[#This Row],[backlog_habiles]]="","",IF(tblOrdenes[[#This Row],[backlog_habiles]]&lt;0,"FUTURO",IF(tblOrdenes[[#This Row],[backlog_habiles]]&gt;p_dias_backlog_max,"BACKLOG","MES CORRIENTE")))</f>
        <v/>
      </c>
      <c r="AF373" s="5">
        <f>IF(tblOrdenes[[#This Row],[backlog_habiles]]="",FALSE,AND(tblOrdenes[[#This Row],[backlog_habiles]]&gt;p_dias_backlog_min,tblOrdenes[[#This Row],[backlog_habiles]]&lt;=p_dias_backlog_max))</f>
        <v/>
      </c>
      <c r="AG373" s="4" t="n"/>
      <c r="AH3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3" s="18">
        <f>IF(tblOrdenes[[#This Row],[orden]]="","",_xlfn.XLOOKUP(tblOrdenes[[#This Row],[id_operacion]],tblEjecucion[id_operacion],tblEjecucion[precio],0))</f>
        <v/>
      </c>
      <c r="AL373" s="18">
        <f>IF(tblOrdenes[[#This Row],[orden]]="","",MAX(0,_xlfn.XLOOKUP(tblOrdenes[[#This Row],[id_operacion]],tblEjecucion[id_operacion],tblEjecucion[costo_plan_total],0)-tblOrdenes[[#This Row],[costo_servicio]]))</f>
        <v/>
      </c>
      <c r="AM373" s="18">
        <f>IF(tblOrdenes[[#This Row],[orden]]="","",tblOrdenes[[#This Row],[costo_servicio]]+tblOrdenes[[#This Row],[costo_materiales]])</f>
        <v/>
      </c>
      <c r="AN3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3" s="4" t="n"/>
      <c r="AP373" s="4" t="n"/>
      <c r="AQ373" s="4" t="n"/>
      <c r="AR373" s="5">
        <f>IF(tblOrdenes[[#This Row],[link_checklist]]="","",HYPERLINK(p_ruta_base_checklists&amp;tblOrdenes[[#This Row],[link_checklist]],"abrir"))</f>
        <v/>
      </c>
      <c r="AS373" s="4" t="n"/>
      <c r="AT373" s="5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22" t="n"/>
      <c r="K374" s="5" t="n"/>
      <c r="L374" s="18" t="n"/>
      <c r="M3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5">
        <f>IF(tblOrdenes[[#This Row],[fecha_inicio]]="","",YEAR(tblOrdenes[[#This Row],[fecha_inicio]]))</f>
        <v/>
      </c>
      <c r="Q374" s="5">
        <f>IF(tblOrdenes[[#This Row],[fecha_inicio]]="","",MONTH(tblOrdenes[[#This Row],[fecha_inicio]]))</f>
        <v/>
      </c>
      <c r="R374" s="5">
        <f>IF(tblOrdenes[[#This Row],[fecha_inicio]]="","",tblOrdenes[[#This Row],[anio]]&amp;"-"&amp;TEXT(tblOrdenes[[#This Row],[mes]],"00"))</f>
        <v/>
      </c>
      <c r="S374" s="5">
        <f>IF(tblOrdenes[[#This Row],[fecha_inicio]]="","",INDEX(lista_dias,WEEKDAY(tblOrdenes[[#This Row],[fecha_inicio]],2)))</f>
        <v/>
      </c>
      <c r="T3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4" s="5">
        <f>IF(tblOrdenes[[#This Row],[tipo_ot]]="","",_xlfn.XLOOKUP(tblOrdenes[[#This Row],[tipo_ot]],tblTiposOT[codigo],tblTiposOT[clasificacion],"sin_clasificar"))</f>
        <v/>
      </c>
      <c r="V3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4" s="5">
        <f>IF(tblOrdenes[[#This Row],[centro_costo]]="","",_xlfn.XLOOKUP(tblOrdenes[[#This Row],[centro_costo]],tblCECO[codigo],tblCECO[linea],"(sin catálogo)"))</f>
        <v/>
      </c>
      <c r="X374" s="5">
        <f>IF(tblOrdenes[[#This Row],[centro_costo]]="","",_xlfn.XLOOKUP(tblOrdenes[[#This Row],[centro_costo]],tblCECO[codigo],tblCECO[area],"(sin catálogo)"))</f>
        <v/>
      </c>
      <c r="Y3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4" s="5">
        <f>IF(tblOrdenes[[#This Row],[centro_costo]]="","",_xlfn.XLOOKUP(tblOrdenes[[#This Row],[centro_costo]],tblCECO[codigo],tblCECO[coordinador],"(sin catálogo)"))</f>
        <v/>
      </c>
      <c r="AA374" s="5">
        <f>IF(tblOrdenes[[#This Row],[puesto_trabajo]]="","",_xlfn.XLOOKUP(tblOrdenes[[#This Row],[puesto_trabajo]],tblPuestos[codigo],tblPuestos[especialidad],"(sin catálogo)"))</f>
        <v/>
      </c>
      <c r="AB374" s="5">
        <f>IF(tblOrdenes[[#This Row],[cod_actividad]]="","",_xlfn.XLOOKUP(tblOrdenes[[#This Row],[cod_actividad]],tblActividades[codigo],tblActividades[descripcion],"(sin catálogo)"))</f>
        <v/>
      </c>
      <c r="AC374" s="20">
        <f>IF(tblOrdenes[[#This Row],[fecha_inicio]]="","",TODAY()-tblOrdenes[[#This Row],[fecha_inicio]])</f>
        <v/>
      </c>
      <c r="AD3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4" s="5">
        <f>IF(tblOrdenes[[#This Row],[backlog_habiles]]="","",IF(tblOrdenes[[#This Row],[backlog_habiles]]&lt;0,"FUTURO",IF(tblOrdenes[[#This Row],[backlog_habiles]]&gt;p_dias_backlog_max,"BACKLOG","MES CORRIENTE")))</f>
        <v/>
      </c>
      <c r="AF374" s="5">
        <f>IF(tblOrdenes[[#This Row],[backlog_habiles]]="",FALSE,AND(tblOrdenes[[#This Row],[backlog_habiles]]&gt;p_dias_backlog_min,tblOrdenes[[#This Row],[backlog_habiles]]&lt;=p_dias_backlog_max))</f>
        <v/>
      </c>
      <c r="AG374" s="4" t="n"/>
      <c r="AH3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4" s="18">
        <f>IF(tblOrdenes[[#This Row],[orden]]="","",_xlfn.XLOOKUP(tblOrdenes[[#This Row],[id_operacion]],tblEjecucion[id_operacion],tblEjecucion[precio],0))</f>
        <v/>
      </c>
      <c r="AL374" s="18">
        <f>IF(tblOrdenes[[#This Row],[orden]]="","",MAX(0,_xlfn.XLOOKUP(tblOrdenes[[#This Row],[id_operacion]],tblEjecucion[id_operacion],tblEjecucion[costo_plan_total],0)-tblOrdenes[[#This Row],[costo_servicio]]))</f>
        <v/>
      </c>
      <c r="AM374" s="18">
        <f>IF(tblOrdenes[[#This Row],[orden]]="","",tblOrdenes[[#This Row],[costo_servicio]]+tblOrdenes[[#This Row],[costo_materiales]])</f>
        <v/>
      </c>
      <c r="AN3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4" s="4" t="n"/>
      <c r="AP374" s="4" t="n"/>
      <c r="AQ374" s="4" t="n"/>
      <c r="AR374" s="5">
        <f>IF(tblOrdenes[[#This Row],[link_checklist]]="","",HYPERLINK(p_ruta_base_checklists&amp;tblOrdenes[[#This Row],[link_checklist]],"abrir"))</f>
        <v/>
      </c>
      <c r="AS374" s="4" t="n"/>
      <c r="AT374" s="5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22" t="n"/>
      <c r="K375" s="5" t="n"/>
      <c r="L375" s="18" t="n"/>
      <c r="M3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5">
        <f>IF(tblOrdenes[[#This Row],[fecha_inicio]]="","",YEAR(tblOrdenes[[#This Row],[fecha_inicio]]))</f>
        <v/>
      </c>
      <c r="Q375" s="5">
        <f>IF(tblOrdenes[[#This Row],[fecha_inicio]]="","",MONTH(tblOrdenes[[#This Row],[fecha_inicio]]))</f>
        <v/>
      </c>
      <c r="R375" s="5">
        <f>IF(tblOrdenes[[#This Row],[fecha_inicio]]="","",tblOrdenes[[#This Row],[anio]]&amp;"-"&amp;TEXT(tblOrdenes[[#This Row],[mes]],"00"))</f>
        <v/>
      </c>
      <c r="S375" s="5">
        <f>IF(tblOrdenes[[#This Row],[fecha_inicio]]="","",INDEX(lista_dias,WEEKDAY(tblOrdenes[[#This Row],[fecha_inicio]],2)))</f>
        <v/>
      </c>
      <c r="T3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5" s="5">
        <f>IF(tblOrdenes[[#This Row],[tipo_ot]]="","",_xlfn.XLOOKUP(tblOrdenes[[#This Row],[tipo_ot]],tblTiposOT[codigo],tblTiposOT[clasificacion],"sin_clasificar"))</f>
        <v/>
      </c>
      <c r="V3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5" s="5">
        <f>IF(tblOrdenes[[#This Row],[centro_costo]]="","",_xlfn.XLOOKUP(tblOrdenes[[#This Row],[centro_costo]],tblCECO[codigo],tblCECO[linea],"(sin catálogo)"))</f>
        <v/>
      </c>
      <c r="X375" s="5">
        <f>IF(tblOrdenes[[#This Row],[centro_costo]]="","",_xlfn.XLOOKUP(tblOrdenes[[#This Row],[centro_costo]],tblCECO[codigo],tblCECO[area],"(sin catálogo)"))</f>
        <v/>
      </c>
      <c r="Y3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5" s="5">
        <f>IF(tblOrdenes[[#This Row],[centro_costo]]="","",_xlfn.XLOOKUP(tblOrdenes[[#This Row],[centro_costo]],tblCECO[codigo],tblCECO[coordinador],"(sin catálogo)"))</f>
        <v/>
      </c>
      <c r="AA375" s="5">
        <f>IF(tblOrdenes[[#This Row],[puesto_trabajo]]="","",_xlfn.XLOOKUP(tblOrdenes[[#This Row],[puesto_trabajo]],tblPuestos[codigo],tblPuestos[especialidad],"(sin catálogo)"))</f>
        <v/>
      </c>
      <c r="AB375" s="5">
        <f>IF(tblOrdenes[[#This Row],[cod_actividad]]="","",_xlfn.XLOOKUP(tblOrdenes[[#This Row],[cod_actividad]],tblActividades[codigo],tblActividades[descripcion],"(sin catálogo)"))</f>
        <v/>
      </c>
      <c r="AC375" s="20">
        <f>IF(tblOrdenes[[#This Row],[fecha_inicio]]="","",TODAY()-tblOrdenes[[#This Row],[fecha_inicio]])</f>
        <v/>
      </c>
      <c r="AD3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5" s="5">
        <f>IF(tblOrdenes[[#This Row],[backlog_habiles]]="","",IF(tblOrdenes[[#This Row],[backlog_habiles]]&lt;0,"FUTURO",IF(tblOrdenes[[#This Row],[backlog_habiles]]&gt;p_dias_backlog_max,"BACKLOG","MES CORRIENTE")))</f>
        <v/>
      </c>
      <c r="AF375" s="5">
        <f>IF(tblOrdenes[[#This Row],[backlog_habiles]]="",FALSE,AND(tblOrdenes[[#This Row],[backlog_habiles]]&gt;p_dias_backlog_min,tblOrdenes[[#This Row],[backlog_habiles]]&lt;=p_dias_backlog_max))</f>
        <v/>
      </c>
      <c r="AG375" s="4" t="n"/>
      <c r="AH3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5" s="18">
        <f>IF(tblOrdenes[[#This Row],[orden]]="","",_xlfn.XLOOKUP(tblOrdenes[[#This Row],[id_operacion]],tblEjecucion[id_operacion],tblEjecucion[precio],0))</f>
        <v/>
      </c>
      <c r="AL375" s="18">
        <f>IF(tblOrdenes[[#This Row],[orden]]="","",MAX(0,_xlfn.XLOOKUP(tblOrdenes[[#This Row],[id_operacion]],tblEjecucion[id_operacion],tblEjecucion[costo_plan_total],0)-tblOrdenes[[#This Row],[costo_servicio]]))</f>
        <v/>
      </c>
      <c r="AM375" s="18">
        <f>IF(tblOrdenes[[#This Row],[orden]]="","",tblOrdenes[[#This Row],[costo_servicio]]+tblOrdenes[[#This Row],[costo_materiales]])</f>
        <v/>
      </c>
      <c r="AN3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5" s="4" t="n"/>
      <c r="AP375" s="4" t="n"/>
      <c r="AQ375" s="4" t="n"/>
      <c r="AR375" s="5">
        <f>IF(tblOrdenes[[#This Row],[link_checklist]]="","",HYPERLINK(p_ruta_base_checklists&amp;tblOrdenes[[#This Row],[link_checklist]],"abrir"))</f>
        <v/>
      </c>
      <c r="AS375" s="4" t="n"/>
      <c r="AT375" s="5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22" t="n"/>
      <c r="K376" s="5" t="n"/>
      <c r="L376" s="18" t="n"/>
      <c r="M3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5">
        <f>IF(tblOrdenes[[#This Row],[fecha_inicio]]="","",YEAR(tblOrdenes[[#This Row],[fecha_inicio]]))</f>
        <v/>
      </c>
      <c r="Q376" s="5">
        <f>IF(tblOrdenes[[#This Row],[fecha_inicio]]="","",MONTH(tblOrdenes[[#This Row],[fecha_inicio]]))</f>
        <v/>
      </c>
      <c r="R376" s="5">
        <f>IF(tblOrdenes[[#This Row],[fecha_inicio]]="","",tblOrdenes[[#This Row],[anio]]&amp;"-"&amp;TEXT(tblOrdenes[[#This Row],[mes]],"00"))</f>
        <v/>
      </c>
      <c r="S376" s="5">
        <f>IF(tblOrdenes[[#This Row],[fecha_inicio]]="","",INDEX(lista_dias,WEEKDAY(tblOrdenes[[#This Row],[fecha_inicio]],2)))</f>
        <v/>
      </c>
      <c r="T3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6" s="5">
        <f>IF(tblOrdenes[[#This Row],[tipo_ot]]="","",_xlfn.XLOOKUP(tblOrdenes[[#This Row],[tipo_ot]],tblTiposOT[codigo],tblTiposOT[clasificacion],"sin_clasificar"))</f>
        <v/>
      </c>
      <c r="V3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6" s="5">
        <f>IF(tblOrdenes[[#This Row],[centro_costo]]="","",_xlfn.XLOOKUP(tblOrdenes[[#This Row],[centro_costo]],tblCECO[codigo],tblCECO[linea],"(sin catálogo)"))</f>
        <v/>
      </c>
      <c r="X376" s="5">
        <f>IF(tblOrdenes[[#This Row],[centro_costo]]="","",_xlfn.XLOOKUP(tblOrdenes[[#This Row],[centro_costo]],tblCECO[codigo],tblCECO[area],"(sin catálogo)"))</f>
        <v/>
      </c>
      <c r="Y3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6" s="5">
        <f>IF(tblOrdenes[[#This Row],[centro_costo]]="","",_xlfn.XLOOKUP(tblOrdenes[[#This Row],[centro_costo]],tblCECO[codigo],tblCECO[coordinador],"(sin catálogo)"))</f>
        <v/>
      </c>
      <c r="AA376" s="5">
        <f>IF(tblOrdenes[[#This Row],[puesto_trabajo]]="","",_xlfn.XLOOKUP(tblOrdenes[[#This Row],[puesto_trabajo]],tblPuestos[codigo],tblPuestos[especialidad],"(sin catálogo)"))</f>
        <v/>
      </c>
      <c r="AB376" s="5">
        <f>IF(tblOrdenes[[#This Row],[cod_actividad]]="","",_xlfn.XLOOKUP(tblOrdenes[[#This Row],[cod_actividad]],tblActividades[codigo],tblActividades[descripcion],"(sin catálogo)"))</f>
        <v/>
      </c>
      <c r="AC376" s="20">
        <f>IF(tblOrdenes[[#This Row],[fecha_inicio]]="","",TODAY()-tblOrdenes[[#This Row],[fecha_inicio]])</f>
        <v/>
      </c>
      <c r="AD3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6" s="5">
        <f>IF(tblOrdenes[[#This Row],[backlog_habiles]]="","",IF(tblOrdenes[[#This Row],[backlog_habiles]]&lt;0,"FUTURO",IF(tblOrdenes[[#This Row],[backlog_habiles]]&gt;p_dias_backlog_max,"BACKLOG","MES CORRIENTE")))</f>
        <v/>
      </c>
      <c r="AF376" s="5">
        <f>IF(tblOrdenes[[#This Row],[backlog_habiles]]="",FALSE,AND(tblOrdenes[[#This Row],[backlog_habiles]]&gt;p_dias_backlog_min,tblOrdenes[[#This Row],[backlog_habiles]]&lt;=p_dias_backlog_max))</f>
        <v/>
      </c>
      <c r="AG376" s="4" t="n"/>
      <c r="AH3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6" s="18">
        <f>IF(tblOrdenes[[#This Row],[orden]]="","",_xlfn.XLOOKUP(tblOrdenes[[#This Row],[id_operacion]],tblEjecucion[id_operacion],tblEjecucion[precio],0))</f>
        <v/>
      </c>
      <c r="AL376" s="18">
        <f>IF(tblOrdenes[[#This Row],[orden]]="","",MAX(0,_xlfn.XLOOKUP(tblOrdenes[[#This Row],[id_operacion]],tblEjecucion[id_operacion],tblEjecucion[costo_plan_total],0)-tblOrdenes[[#This Row],[costo_servicio]]))</f>
        <v/>
      </c>
      <c r="AM376" s="18">
        <f>IF(tblOrdenes[[#This Row],[orden]]="","",tblOrdenes[[#This Row],[costo_servicio]]+tblOrdenes[[#This Row],[costo_materiales]])</f>
        <v/>
      </c>
      <c r="AN3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6" s="4" t="n"/>
      <c r="AP376" s="4" t="n"/>
      <c r="AQ376" s="4" t="n"/>
      <c r="AR376" s="5">
        <f>IF(tblOrdenes[[#This Row],[link_checklist]]="","",HYPERLINK(p_ruta_base_checklists&amp;tblOrdenes[[#This Row],[link_checklist]],"abrir"))</f>
        <v/>
      </c>
      <c r="AS376" s="4" t="n"/>
      <c r="AT376" s="5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22" t="n"/>
      <c r="K377" s="5" t="n"/>
      <c r="L377" s="18" t="n"/>
      <c r="M3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5">
        <f>IF(tblOrdenes[[#This Row],[fecha_inicio]]="","",YEAR(tblOrdenes[[#This Row],[fecha_inicio]]))</f>
        <v/>
      </c>
      <c r="Q377" s="5">
        <f>IF(tblOrdenes[[#This Row],[fecha_inicio]]="","",MONTH(tblOrdenes[[#This Row],[fecha_inicio]]))</f>
        <v/>
      </c>
      <c r="R377" s="5">
        <f>IF(tblOrdenes[[#This Row],[fecha_inicio]]="","",tblOrdenes[[#This Row],[anio]]&amp;"-"&amp;TEXT(tblOrdenes[[#This Row],[mes]],"00"))</f>
        <v/>
      </c>
      <c r="S377" s="5">
        <f>IF(tblOrdenes[[#This Row],[fecha_inicio]]="","",INDEX(lista_dias,WEEKDAY(tblOrdenes[[#This Row],[fecha_inicio]],2)))</f>
        <v/>
      </c>
      <c r="T3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7" s="5">
        <f>IF(tblOrdenes[[#This Row],[tipo_ot]]="","",_xlfn.XLOOKUP(tblOrdenes[[#This Row],[tipo_ot]],tblTiposOT[codigo],tblTiposOT[clasificacion],"sin_clasificar"))</f>
        <v/>
      </c>
      <c r="V3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7" s="5">
        <f>IF(tblOrdenes[[#This Row],[centro_costo]]="","",_xlfn.XLOOKUP(tblOrdenes[[#This Row],[centro_costo]],tblCECO[codigo],tblCECO[linea],"(sin catálogo)"))</f>
        <v/>
      </c>
      <c r="X377" s="5">
        <f>IF(tblOrdenes[[#This Row],[centro_costo]]="","",_xlfn.XLOOKUP(tblOrdenes[[#This Row],[centro_costo]],tblCECO[codigo],tblCECO[area],"(sin catálogo)"))</f>
        <v/>
      </c>
      <c r="Y3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7" s="5">
        <f>IF(tblOrdenes[[#This Row],[centro_costo]]="","",_xlfn.XLOOKUP(tblOrdenes[[#This Row],[centro_costo]],tblCECO[codigo],tblCECO[coordinador],"(sin catálogo)"))</f>
        <v/>
      </c>
      <c r="AA377" s="5">
        <f>IF(tblOrdenes[[#This Row],[puesto_trabajo]]="","",_xlfn.XLOOKUP(tblOrdenes[[#This Row],[puesto_trabajo]],tblPuestos[codigo],tblPuestos[especialidad],"(sin catálogo)"))</f>
        <v/>
      </c>
      <c r="AB377" s="5">
        <f>IF(tblOrdenes[[#This Row],[cod_actividad]]="","",_xlfn.XLOOKUP(tblOrdenes[[#This Row],[cod_actividad]],tblActividades[codigo],tblActividades[descripcion],"(sin catálogo)"))</f>
        <v/>
      </c>
      <c r="AC377" s="20">
        <f>IF(tblOrdenes[[#This Row],[fecha_inicio]]="","",TODAY()-tblOrdenes[[#This Row],[fecha_inicio]])</f>
        <v/>
      </c>
      <c r="AD3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7" s="5">
        <f>IF(tblOrdenes[[#This Row],[backlog_habiles]]="","",IF(tblOrdenes[[#This Row],[backlog_habiles]]&lt;0,"FUTURO",IF(tblOrdenes[[#This Row],[backlog_habiles]]&gt;p_dias_backlog_max,"BACKLOG","MES CORRIENTE")))</f>
        <v/>
      </c>
      <c r="AF377" s="5">
        <f>IF(tblOrdenes[[#This Row],[backlog_habiles]]="",FALSE,AND(tblOrdenes[[#This Row],[backlog_habiles]]&gt;p_dias_backlog_min,tblOrdenes[[#This Row],[backlog_habiles]]&lt;=p_dias_backlog_max))</f>
        <v/>
      </c>
      <c r="AG377" s="4" t="n"/>
      <c r="AH3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7" s="18">
        <f>IF(tblOrdenes[[#This Row],[orden]]="","",_xlfn.XLOOKUP(tblOrdenes[[#This Row],[id_operacion]],tblEjecucion[id_operacion],tblEjecucion[precio],0))</f>
        <v/>
      </c>
      <c r="AL377" s="18">
        <f>IF(tblOrdenes[[#This Row],[orden]]="","",MAX(0,_xlfn.XLOOKUP(tblOrdenes[[#This Row],[id_operacion]],tblEjecucion[id_operacion],tblEjecucion[costo_plan_total],0)-tblOrdenes[[#This Row],[costo_servicio]]))</f>
        <v/>
      </c>
      <c r="AM377" s="18">
        <f>IF(tblOrdenes[[#This Row],[orden]]="","",tblOrdenes[[#This Row],[costo_servicio]]+tblOrdenes[[#This Row],[costo_materiales]])</f>
        <v/>
      </c>
      <c r="AN3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7" s="4" t="n"/>
      <c r="AP377" s="4" t="n"/>
      <c r="AQ377" s="4" t="n"/>
      <c r="AR377" s="5">
        <f>IF(tblOrdenes[[#This Row],[link_checklist]]="","",HYPERLINK(p_ruta_base_checklists&amp;tblOrdenes[[#This Row],[link_checklist]],"abrir"))</f>
        <v/>
      </c>
      <c r="AS377" s="4" t="n"/>
      <c r="AT377" s="5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22" t="n"/>
      <c r="K378" s="5" t="n"/>
      <c r="L378" s="18" t="n"/>
      <c r="M3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5">
        <f>IF(tblOrdenes[[#This Row],[fecha_inicio]]="","",YEAR(tblOrdenes[[#This Row],[fecha_inicio]]))</f>
        <v/>
      </c>
      <c r="Q378" s="5">
        <f>IF(tblOrdenes[[#This Row],[fecha_inicio]]="","",MONTH(tblOrdenes[[#This Row],[fecha_inicio]]))</f>
        <v/>
      </c>
      <c r="R378" s="5">
        <f>IF(tblOrdenes[[#This Row],[fecha_inicio]]="","",tblOrdenes[[#This Row],[anio]]&amp;"-"&amp;TEXT(tblOrdenes[[#This Row],[mes]],"00"))</f>
        <v/>
      </c>
      <c r="S378" s="5">
        <f>IF(tblOrdenes[[#This Row],[fecha_inicio]]="","",INDEX(lista_dias,WEEKDAY(tblOrdenes[[#This Row],[fecha_inicio]],2)))</f>
        <v/>
      </c>
      <c r="T3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8" s="5">
        <f>IF(tblOrdenes[[#This Row],[tipo_ot]]="","",_xlfn.XLOOKUP(tblOrdenes[[#This Row],[tipo_ot]],tblTiposOT[codigo],tblTiposOT[clasificacion],"sin_clasificar"))</f>
        <v/>
      </c>
      <c r="V3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8" s="5">
        <f>IF(tblOrdenes[[#This Row],[centro_costo]]="","",_xlfn.XLOOKUP(tblOrdenes[[#This Row],[centro_costo]],tblCECO[codigo],tblCECO[linea],"(sin catálogo)"))</f>
        <v/>
      </c>
      <c r="X378" s="5">
        <f>IF(tblOrdenes[[#This Row],[centro_costo]]="","",_xlfn.XLOOKUP(tblOrdenes[[#This Row],[centro_costo]],tblCECO[codigo],tblCECO[area],"(sin catálogo)"))</f>
        <v/>
      </c>
      <c r="Y3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8" s="5">
        <f>IF(tblOrdenes[[#This Row],[centro_costo]]="","",_xlfn.XLOOKUP(tblOrdenes[[#This Row],[centro_costo]],tblCECO[codigo],tblCECO[coordinador],"(sin catálogo)"))</f>
        <v/>
      </c>
      <c r="AA378" s="5">
        <f>IF(tblOrdenes[[#This Row],[puesto_trabajo]]="","",_xlfn.XLOOKUP(tblOrdenes[[#This Row],[puesto_trabajo]],tblPuestos[codigo],tblPuestos[especialidad],"(sin catálogo)"))</f>
        <v/>
      </c>
      <c r="AB378" s="5">
        <f>IF(tblOrdenes[[#This Row],[cod_actividad]]="","",_xlfn.XLOOKUP(tblOrdenes[[#This Row],[cod_actividad]],tblActividades[codigo],tblActividades[descripcion],"(sin catálogo)"))</f>
        <v/>
      </c>
      <c r="AC378" s="20">
        <f>IF(tblOrdenes[[#This Row],[fecha_inicio]]="","",TODAY()-tblOrdenes[[#This Row],[fecha_inicio]])</f>
        <v/>
      </c>
      <c r="AD3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8" s="5">
        <f>IF(tblOrdenes[[#This Row],[backlog_habiles]]="","",IF(tblOrdenes[[#This Row],[backlog_habiles]]&lt;0,"FUTURO",IF(tblOrdenes[[#This Row],[backlog_habiles]]&gt;p_dias_backlog_max,"BACKLOG","MES CORRIENTE")))</f>
        <v/>
      </c>
      <c r="AF378" s="5">
        <f>IF(tblOrdenes[[#This Row],[backlog_habiles]]="",FALSE,AND(tblOrdenes[[#This Row],[backlog_habiles]]&gt;p_dias_backlog_min,tblOrdenes[[#This Row],[backlog_habiles]]&lt;=p_dias_backlog_max))</f>
        <v/>
      </c>
      <c r="AG378" s="4" t="n"/>
      <c r="AH3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8" s="18">
        <f>IF(tblOrdenes[[#This Row],[orden]]="","",_xlfn.XLOOKUP(tblOrdenes[[#This Row],[id_operacion]],tblEjecucion[id_operacion],tblEjecucion[precio],0))</f>
        <v/>
      </c>
      <c r="AL378" s="18">
        <f>IF(tblOrdenes[[#This Row],[orden]]="","",MAX(0,_xlfn.XLOOKUP(tblOrdenes[[#This Row],[id_operacion]],tblEjecucion[id_operacion],tblEjecucion[costo_plan_total],0)-tblOrdenes[[#This Row],[costo_servicio]]))</f>
        <v/>
      </c>
      <c r="AM378" s="18">
        <f>IF(tblOrdenes[[#This Row],[orden]]="","",tblOrdenes[[#This Row],[costo_servicio]]+tblOrdenes[[#This Row],[costo_materiales]])</f>
        <v/>
      </c>
      <c r="AN3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8" s="4" t="n"/>
      <c r="AP378" s="4" t="n"/>
      <c r="AQ378" s="4" t="n"/>
      <c r="AR378" s="5">
        <f>IF(tblOrdenes[[#This Row],[link_checklist]]="","",HYPERLINK(p_ruta_base_checklists&amp;tblOrdenes[[#This Row],[link_checklist]],"abrir"))</f>
        <v/>
      </c>
      <c r="AS378" s="4" t="n"/>
      <c r="AT378" s="5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22" t="n"/>
      <c r="K379" s="5" t="n"/>
      <c r="L379" s="18" t="n"/>
      <c r="M3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5">
        <f>IF(tblOrdenes[[#This Row],[fecha_inicio]]="","",YEAR(tblOrdenes[[#This Row],[fecha_inicio]]))</f>
        <v/>
      </c>
      <c r="Q379" s="5">
        <f>IF(tblOrdenes[[#This Row],[fecha_inicio]]="","",MONTH(tblOrdenes[[#This Row],[fecha_inicio]]))</f>
        <v/>
      </c>
      <c r="R379" s="5">
        <f>IF(tblOrdenes[[#This Row],[fecha_inicio]]="","",tblOrdenes[[#This Row],[anio]]&amp;"-"&amp;TEXT(tblOrdenes[[#This Row],[mes]],"00"))</f>
        <v/>
      </c>
      <c r="S379" s="5">
        <f>IF(tblOrdenes[[#This Row],[fecha_inicio]]="","",INDEX(lista_dias,WEEKDAY(tblOrdenes[[#This Row],[fecha_inicio]],2)))</f>
        <v/>
      </c>
      <c r="T3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9" s="5">
        <f>IF(tblOrdenes[[#This Row],[tipo_ot]]="","",_xlfn.XLOOKUP(tblOrdenes[[#This Row],[tipo_ot]],tblTiposOT[codigo],tblTiposOT[clasificacion],"sin_clasificar"))</f>
        <v/>
      </c>
      <c r="V3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9" s="5">
        <f>IF(tblOrdenes[[#This Row],[centro_costo]]="","",_xlfn.XLOOKUP(tblOrdenes[[#This Row],[centro_costo]],tblCECO[codigo],tblCECO[linea],"(sin catálogo)"))</f>
        <v/>
      </c>
      <c r="X379" s="5">
        <f>IF(tblOrdenes[[#This Row],[centro_costo]]="","",_xlfn.XLOOKUP(tblOrdenes[[#This Row],[centro_costo]],tblCECO[codigo],tblCECO[area],"(sin catálogo)"))</f>
        <v/>
      </c>
      <c r="Y3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79" s="5">
        <f>IF(tblOrdenes[[#This Row],[centro_costo]]="","",_xlfn.XLOOKUP(tblOrdenes[[#This Row],[centro_costo]],tblCECO[codigo],tblCECO[coordinador],"(sin catálogo)"))</f>
        <v/>
      </c>
      <c r="AA379" s="5">
        <f>IF(tblOrdenes[[#This Row],[puesto_trabajo]]="","",_xlfn.XLOOKUP(tblOrdenes[[#This Row],[puesto_trabajo]],tblPuestos[codigo],tblPuestos[especialidad],"(sin catálogo)"))</f>
        <v/>
      </c>
      <c r="AB379" s="5">
        <f>IF(tblOrdenes[[#This Row],[cod_actividad]]="","",_xlfn.XLOOKUP(tblOrdenes[[#This Row],[cod_actividad]],tblActividades[codigo],tblActividades[descripcion],"(sin catálogo)"))</f>
        <v/>
      </c>
      <c r="AC379" s="20">
        <f>IF(tblOrdenes[[#This Row],[fecha_inicio]]="","",TODAY()-tblOrdenes[[#This Row],[fecha_inicio]])</f>
        <v/>
      </c>
      <c r="AD3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79" s="5">
        <f>IF(tblOrdenes[[#This Row],[backlog_habiles]]="","",IF(tblOrdenes[[#This Row],[backlog_habiles]]&lt;0,"FUTURO",IF(tblOrdenes[[#This Row],[backlog_habiles]]&gt;p_dias_backlog_max,"BACKLOG","MES CORRIENTE")))</f>
        <v/>
      </c>
      <c r="AF379" s="5">
        <f>IF(tblOrdenes[[#This Row],[backlog_habiles]]="",FALSE,AND(tblOrdenes[[#This Row],[backlog_habiles]]&gt;p_dias_backlog_min,tblOrdenes[[#This Row],[backlog_habiles]]&lt;=p_dias_backlog_max))</f>
        <v/>
      </c>
      <c r="AG379" s="4" t="n"/>
      <c r="AH3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79" s="18">
        <f>IF(tblOrdenes[[#This Row],[orden]]="","",_xlfn.XLOOKUP(tblOrdenes[[#This Row],[id_operacion]],tblEjecucion[id_operacion],tblEjecucion[precio],0))</f>
        <v/>
      </c>
      <c r="AL379" s="18">
        <f>IF(tblOrdenes[[#This Row],[orden]]="","",MAX(0,_xlfn.XLOOKUP(tblOrdenes[[#This Row],[id_operacion]],tblEjecucion[id_operacion],tblEjecucion[costo_plan_total],0)-tblOrdenes[[#This Row],[costo_servicio]]))</f>
        <v/>
      </c>
      <c r="AM379" s="18">
        <f>IF(tblOrdenes[[#This Row],[orden]]="","",tblOrdenes[[#This Row],[costo_servicio]]+tblOrdenes[[#This Row],[costo_materiales]])</f>
        <v/>
      </c>
      <c r="AN3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79" s="4" t="n"/>
      <c r="AP379" s="4" t="n"/>
      <c r="AQ379" s="4" t="n"/>
      <c r="AR379" s="5">
        <f>IF(tblOrdenes[[#This Row],[link_checklist]]="","",HYPERLINK(p_ruta_base_checklists&amp;tblOrdenes[[#This Row],[link_checklist]],"abrir"))</f>
        <v/>
      </c>
      <c r="AS379" s="4" t="n"/>
      <c r="AT379" s="5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22" t="n"/>
      <c r="K380" s="5" t="n"/>
      <c r="L380" s="18" t="n"/>
      <c r="M3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5">
        <f>IF(tblOrdenes[[#This Row],[fecha_inicio]]="","",YEAR(tblOrdenes[[#This Row],[fecha_inicio]]))</f>
        <v/>
      </c>
      <c r="Q380" s="5">
        <f>IF(tblOrdenes[[#This Row],[fecha_inicio]]="","",MONTH(tblOrdenes[[#This Row],[fecha_inicio]]))</f>
        <v/>
      </c>
      <c r="R380" s="5">
        <f>IF(tblOrdenes[[#This Row],[fecha_inicio]]="","",tblOrdenes[[#This Row],[anio]]&amp;"-"&amp;TEXT(tblOrdenes[[#This Row],[mes]],"00"))</f>
        <v/>
      </c>
      <c r="S380" s="5">
        <f>IF(tblOrdenes[[#This Row],[fecha_inicio]]="","",INDEX(lista_dias,WEEKDAY(tblOrdenes[[#This Row],[fecha_inicio]],2)))</f>
        <v/>
      </c>
      <c r="T3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0" s="5">
        <f>IF(tblOrdenes[[#This Row],[tipo_ot]]="","",_xlfn.XLOOKUP(tblOrdenes[[#This Row],[tipo_ot]],tblTiposOT[codigo],tblTiposOT[clasificacion],"sin_clasificar"))</f>
        <v/>
      </c>
      <c r="V3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0" s="5">
        <f>IF(tblOrdenes[[#This Row],[centro_costo]]="","",_xlfn.XLOOKUP(tblOrdenes[[#This Row],[centro_costo]],tblCECO[codigo],tblCECO[linea],"(sin catálogo)"))</f>
        <v/>
      </c>
      <c r="X380" s="5">
        <f>IF(tblOrdenes[[#This Row],[centro_costo]]="","",_xlfn.XLOOKUP(tblOrdenes[[#This Row],[centro_costo]],tblCECO[codigo],tblCECO[area],"(sin catálogo)"))</f>
        <v/>
      </c>
      <c r="Y3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0" s="5">
        <f>IF(tblOrdenes[[#This Row],[centro_costo]]="","",_xlfn.XLOOKUP(tblOrdenes[[#This Row],[centro_costo]],tblCECO[codigo],tblCECO[coordinador],"(sin catálogo)"))</f>
        <v/>
      </c>
      <c r="AA380" s="5">
        <f>IF(tblOrdenes[[#This Row],[puesto_trabajo]]="","",_xlfn.XLOOKUP(tblOrdenes[[#This Row],[puesto_trabajo]],tblPuestos[codigo],tblPuestos[especialidad],"(sin catálogo)"))</f>
        <v/>
      </c>
      <c r="AB380" s="5">
        <f>IF(tblOrdenes[[#This Row],[cod_actividad]]="","",_xlfn.XLOOKUP(tblOrdenes[[#This Row],[cod_actividad]],tblActividades[codigo],tblActividades[descripcion],"(sin catálogo)"))</f>
        <v/>
      </c>
      <c r="AC380" s="20">
        <f>IF(tblOrdenes[[#This Row],[fecha_inicio]]="","",TODAY()-tblOrdenes[[#This Row],[fecha_inicio]])</f>
        <v/>
      </c>
      <c r="AD3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0" s="5">
        <f>IF(tblOrdenes[[#This Row],[backlog_habiles]]="","",IF(tblOrdenes[[#This Row],[backlog_habiles]]&lt;0,"FUTURO",IF(tblOrdenes[[#This Row],[backlog_habiles]]&gt;p_dias_backlog_max,"BACKLOG","MES CORRIENTE")))</f>
        <v/>
      </c>
      <c r="AF380" s="5">
        <f>IF(tblOrdenes[[#This Row],[backlog_habiles]]="",FALSE,AND(tblOrdenes[[#This Row],[backlog_habiles]]&gt;p_dias_backlog_min,tblOrdenes[[#This Row],[backlog_habiles]]&lt;=p_dias_backlog_max))</f>
        <v/>
      </c>
      <c r="AG380" s="4" t="n"/>
      <c r="AH3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0" s="18">
        <f>IF(tblOrdenes[[#This Row],[orden]]="","",_xlfn.XLOOKUP(tblOrdenes[[#This Row],[id_operacion]],tblEjecucion[id_operacion],tblEjecucion[precio],0))</f>
        <v/>
      </c>
      <c r="AL380" s="18">
        <f>IF(tblOrdenes[[#This Row],[orden]]="","",MAX(0,_xlfn.XLOOKUP(tblOrdenes[[#This Row],[id_operacion]],tblEjecucion[id_operacion],tblEjecucion[costo_plan_total],0)-tblOrdenes[[#This Row],[costo_servicio]]))</f>
        <v/>
      </c>
      <c r="AM380" s="18">
        <f>IF(tblOrdenes[[#This Row],[orden]]="","",tblOrdenes[[#This Row],[costo_servicio]]+tblOrdenes[[#This Row],[costo_materiales]])</f>
        <v/>
      </c>
      <c r="AN3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0" s="4" t="n"/>
      <c r="AP380" s="4" t="n"/>
      <c r="AQ380" s="4" t="n"/>
      <c r="AR380" s="5">
        <f>IF(tblOrdenes[[#This Row],[link_checklist]]="","",HYPERLINK(p_ruta_base_checklists&amp;tblOrdenes[[#This Row],[link_checklist]],"abrir"))</f>
        <v/>
      </c>
      <c r="AS380" s="4" t="n"/>
      <c r="AT380" s="5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22" t="n"/>
      <c r="K381" s="5" t="n"/>
      <c r="L381" s="18" t="n"/>
      <c r="M3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5">
        <f>IF(tblOrdenes[[#This Row],[fecha_inicio]]="","",YEAR(tblOrdenes[[#This Row],[fecha_inicio]]))</f>
        <v/>
      </c>
      <c r="Q381" s="5">
        <f>IF(tblOrdenes[[#This Row],[fecha_inicio]]="","",MONTH(tblOrdenes[[#This Row],[fecha_inicio]]))</f>
        <v/>
      </c>
      <c r="R381" s="5">
        <f>IF(tblOrdenes[[#This Row],[fecha_inicio]]="","",tblOrdenes[[#This Row],[anio]]&amp;"-"&amp;TEXT(tblOrdenes[[#This Row],[mes]],"00"))</f>
        <v/>
      </c>
      <c r="S381" s="5">
        <f>IF(tblOrdenes[[#This Row],[fecha_inicio]]="","",INDEX(lista_dias,WEEKDAY(tblOrdenes[[#This Row],[fecha_inicio]],2)))</f>
        <v/>
      </c>
      <c r="T3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1" s="5">
        <f>IF(tblOrdenes[[#This Row],[tipo_ot]]="","",_xlfn.XLOOKUP(tblOrdenes[[#This Row],[tipo_ot]],tblTiposOT[codigo],tblTiposOT[clasificacion],"sin_clasificar"))</f>
        <v/>
      </c>
      <c r="V3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1" s="5">
        <f>IF(tblOrdenes[[#This Row],[centro_costo]]="","",_xlfn.XLOOKUP(tblOrdenes[[#This Row],[centro_costo]],tblCECO[codigo],tblCECO[linea],"(sin catálogo)"))</f>
        <v/>
      </c>
      <c r="X381" s="5">
        <f>IF(tblOrdenes[[#This Row],[centro_costo]]="","",_xlfn.XLOOKUP(tblOrdenes[[#This Row],[centro_costo]],tblCECO[codigo],tblCECO[area],"(sin catálogo)"))</f>
        <v/>
      </c>
      <c r="Y3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1" s="5">
        <f>IF(tblOrdenes[[#This Row],[centro_costo]]="","",_xlfn.XLOOKUP(tblOrdenes[[#This Row],[centro_costo]],tblCECO[codigo],tblCECO[coordinador],"(sin catálogo)"))</f>
        <v/>
      </c>
      <c r="AA381" s="5">
        <f>IF(tblOrdenes[[#This Row],[puesto_trabajo]]="","",_xlfn.XLOOKUP(tblOrdenes[[#This Row],[puesto_trabajo]],tblPuestos[codigo],tblPuestos[especialidad],"(sin catálogo)"))</f>
        <v/>
      </c>
      <c r="AB381" s="5">
        <f>IF(tblOrdenes[[#This Row],[cod_actividad]]="","",_xlfn.XLOOKUP(tblOrdenes[[#This Row],[cod_actividad]],tblActividades[codigo],tblActividades[descripcion],"(sin catálogo)"))</f>
        <v/>
      </c>
      <c r="AC381" s="20">
        <f>IF(tblOrdenes[[#This Row],[fecha_inicio]]="","",TODAY()-tblOrdenes[[#This Row],[fecha_inicio]])</f>
        <v/>
      </c>
      <c r="AD3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1" s="5">
        <f>IF(tblOrdenes[[#This Row],[backlog_habiles]]="","",IF(tblOrdenes[[#This Row],[backlog_habiles]]&lt;0,"FUTURO",IF(tblOrdenes[[#This Row],[backlog_habiles]]&gt;p_dias_backlog_max,"BACKLOG","MES CORRIENTE")))</f>
        <v/>
      </c>
      <c r="AF381" s="5">
        <f>IF(tblOrdenes[[#This Row],[backlog_habiles]]="",FALSE,AND(tblOrdenes[[#This Row],[backlog_habiles]]&gt;p_dias_backlog_min,tblOrdenes[[#This Row],[backlog_habiles]]&lt;=p_dias_backlog_max))</f>
        <v/>
      </c>
      <c r="AG381" s="4" t="n"/>
      <c r="AH3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1" s="18">
        <f>IF(tblOrdenes[[#This Row],[orden]]="","",_xlfn.XLOOKUP(tblOrdenes[[#This Row],[id_operacion]],tblEjecucion[id_operacion],tblEjecucion[precio],0))</f>
        <v/>
      </c>
      <c r="AL381" s="18">
        <f>IF(tblOrdenes[[#This Row],[orden]]="","",MAX(0,_xlfn.XLOOKUP(tblOrdenes[[#This Row],[id_operacion]],tblEjecucion[id_operacion],tblEjecucion[costo_plan_total],0)-tblOrdenes[[#This Row],[costo_servicio]]))</f>
        <v/>
      </c>
      <c r="AM381" s="18">
        <f>IF(tblOrdenes[[#This Row],[orden]]="","",tblOrdenes[[#This Row],[costo_servicio]]+tblOrdenes[[#This Row],[costo_materiales]])</f>
        <v/>
      </c>
      <c r="AN3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1" s="4" t="n"/>
      <c r="AP381" s="4" t="n"/>
      <c r="AQ381" s="4" t="n"/>
      <c r="AR381" s="5">
        <f>IF(tblOrdenes[[#This Row],[link_checklist]]="","",HYPERLINK(p_ruta_base_checklists&amp;tblOrdenes[[#This Row],[link_checklist]],"abrir"))</f>
        <v/>
      </c>
      <c r="AS381" s="4" t="n"/>
      <c r="AT381" s="5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22" t="n"/>
      <c r="K382" s="5" t="n"/>
      <c r="L382" s="18" t="n"/>
      <c r="M3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5">
        <f>IF(tblOrdenes[[#This Row],[fecha_inicio]]="","",YEAR(tblOrdenes[[#This Row],[fecha_inicio]]))</f>
        <v/>
      </c>
      <c r="Q382" s="5">
        <f>IF(tblOrdenes[[#This Row],[fecha_inicio]]="","",MONTH(tblOrdenes[[#This Row],[fecha_inicio]]))</f>
        <v/>
      </c>
      <c r="R382" s="5">
        <f>IF(tblOrdenes[[#This Row],[fecha_inicio]]="","",tblOrdenes[[#This Row],[anio]]&amp;"-"&amp;TEXT(tblOrdenes[[#This Row],[mes]],"00"))</f>
        <v/>
      </c>
      <c r="S382" s="5">
        <f>IF(tblOrdenes[[#This Row],[fecha_inicio]]="","",INDEX(lista_dias,WEEKDAY(tblOrdenes[[#This Row],[fecha_inicio]],2)))</f>
        <v/>
      </c>
      <c r="T3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2" s="5">
        <f>IF(tblOrdenes[[#This Row],[tipo_ot]]="","",_xlfn.XLOOKUP(tblOrdenes[[#This Row],[tipo_ot]],tblTiposOT[codigo],tblTiposOT[clasificacion],"sin_clasificar"))</f>
        <v/>
      </c>
      <c r="V3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2" s="5">
        <f>IF(tblOrdenes[[#This Row],[centro_costo]]="","",_xlfn.XLOOKUP(tblOrdenes[[#This Row],[centro_costo]],tblCECO[codigo],tblCECO[linea],"(sin catálogo)"))</f>
        <v/>
      </c>
      <c r="X382" s="5">
        <f>IF(tblOrdenes[[#This Row],[centro_costo]]="","",_xlfn.XLOOKUP(tblOrdenes[[#This Row],[centro_costo]],tblCECO[codigo],tblCECO[area],"(sin catálogo)"))</f>
        <v/>
      </c>
      <c r="Y3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2" s="5">
        <f>IF(tblOrdenes[[#This Row],[centro_costo]]="","",_xlfn.XLOOKUP(tblOrdenes[[#This Row],[centro_costo]],tblCECO[codigo],tblCECO[coordinador],"(sin catálogo)"))</f>
        <v/>
      </c>
      <c r="AA382" s="5">
        <f>IF(tblOrdenes[[#This Row],[puesto_trabajo]]="","",_xlfn.XLOOKUP(tblOrdenes[[#This Row],[puesto_trabajo]],tblPuestos[codigo],tblPuestos[especialidad],"(sin catálogo)"))</f>
        <v/>
      </c>
      <c r="AB382" s="5">
        <f>IF(tblOrdenes[[#This Row],[cod_actividad]]="","",_xlfn.XLOOKUP(tblOrdenes[[#This Row],[cod_actividad]],tblActividades[codigo],tblActividades[descripcion],"(sin catálogo)"))</f>
        <v/>
      </c>
      <c r="AC382" s="20">
        <f>IF(tblOrdenes[[#This Row],[fecha_inicio]]="","",TODAY()-tblOrdenes[[#This Row],[fecha_inicio]])</f>
        <v/>
      </c>
      <c r="AD3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2" s="5">
        <f>IF(tblOrdenes[[#This Row],[backlog_habiles]]="","",IF(tblOrdenes[[#This Row],[backlog_habiles]]&lt;0,"FUTURO",IF(tblOrdenes[[#This Row],[backlog_habiles]]&gt;p_dias_backlog_max,"BACKLOG","MES CORRIENTE")))</f>
        <v/>
      </c>
      <c r="AF382" s="5">
        <f>IF(tblOrdenes[[#This Row],[backlog_habiles]]="",FALSE,AND(tblOrdenes[[#This Row],[backlog_habiles]]&gt;p_dias_backlog_min,tblOrdenes[[#This Row],[backlog_habiles]]&lt;=p_dias_backlog_max))</f>
        <v/>
      </c>
      <c r="AG382" s="4" t="n"/>
      <c r="AH3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2" s="18">
        <f>IF(tblOrdenes[[#This Row],[orden]]="","",_xlfn.XLOOKUP(tblOrdenes[[#This Row],[id_operacion]],tblEjecucion[id_operacion],tblEjecucion[precio],0))</f>
        <v/>
      </c>
      <c r="AL382" s="18">
        <f>IF(tblOrdenes[[#This Row],[orden]]="","",MAX(0,_xlfn.XLOOKUP(tblOrdenes[[#This Row],[id_operacion]],tblEjecucion[id_operacion],tblEjecucion[costo_plan_total],0)-tblOrdenes[[#This Row],[costo_servicio]]))</f>
        <v/>
      </c>
      <c r="AM382" s="18">
        <f>IF(tblOrdenes[[#This Row],[orden]]="","",tblOrdenes[[#This Row],[costo_servicio]]+tblOrdenes[[#This Row],[costo_materiales]])</f>
        <v/>
      </c>
      <c r="AN3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2" s="4" t="n"/>
      <c r="AP382" s="4" t="n"/>
      <c r="AQ382" s="4" t="n"/>
      <c r="AR382" s="5">
        <f>IF(tblOrdenes[[#This Row],[link_checklist]]="","",HYPERLINK(p_ruta_base_checklists&amp;tblOrdenes[[#This Row],[link_checklist]],"abrir"))</f>
        <v/>
      </c>
      <c r="AS382" s="4" t="n"/>
      <c r="AT382" s="5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22" t="n"/>
      <c r="K383" s="5" t="n"/>
      <c r="L383" s="18" t="n"/>
      <c r="M3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5">
        <f>IF(tblOrdenes[[#This Row],[fecha_inicio]]="","",YEAR(tblOrdenes[[#This Row],[fecha_inicio]]))</f>
        <v/>
      </c>
      <c r="Q383" s="5">
        <f>IF(tblOrdenes[[#This Row],[fecha_inicio]]="","",MONTH(tblOrdenes[[#This Row],[fecha_inicio]]))</f>
        <v/>
      </c>
      <c r="R383" s="5">
        <f>IF(tblOrdenes[[#This Row],[fecha_inicio]]="","",tblOrdenes[[#This Row],[anio]]&amp;"-"&amp;TEXT(tblOrdenes[[#This Row],[mes]],"00"))</f>
        <v/>
      </c>
      <c r="S383" s="5">
        <f>IF(tblOrdenes[[#This Row],[fecha_inicio]]="","",INDEX(lista_dias,WEEKDAY(tblOrdenes[[#This Row],[fecha_inicio]],2)))</f>
        <v/>
      </c>
      <c r="T3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3" s="5">
        <f>IF(tblOrdenes[[#This Row],[tipo_ot]]="","",_xlfn.XLOOKUP(tblOrdenes[[#This Row],[tipo_ot]],tblTiposOT[codigo],tblTiposOT[clasificacion],"sin_clasificar"))</f>
        <v/>
      </c>
      <c r="V3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3" s="5">
        <f>IF(tblOrdenes[[#This Row],[centro_costo]]="","",_xlfn.XLOOKUP(tblOrdenes[[#This Row],[centro_costo]],tblCECO[codigo],tblCECO[linea],"(sin catálogo)"))</f>
        <v/>
      </c>
      <c r="X383" s="5">
        <f>IF(tblOrdenes[[#This Row],[centro_costo]]="","",_xlfn.XLOOKUP(tblOrdenes[[#This Row],[centro_costo]],tblCECO[codigo],tblCECO[area],"(sin catálogo)"))</f>
        <v/>
      </c>
      <c r="Y3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3" s="5">
        <f>IF(tblOrdenes[[#This Row],[centro_costo]]="","",_xlfn.XLOOKUP(tblOrdenes[[#This Row],[centro_costo]],tblCECO[codigo],tblCECO[coordinador],"(sin catálogo)"))</f>
        <v/>
      </c>
      <c r="AA383" s="5">
        <f>IF(tblOrdenes[[#This Row],[puesto_trabajo]]="","",_xlfn.XLOOKUP(tblOrdenes[[#This Row],[puesto_trabajo]],tblPuestos[codigo],tblPuestos[especialidad],"(sin catálogo)"))</f>
        <v/>
      </c>
      <c r="AB383" s="5">
        <f>IF(tblOrdenes[[#This Row],[cod_actividad]]="","",_xlfn.XLOOKUP(tblOrdenes[[#This Row],[cod_actividad]],tblActividades[codigo],tblActividades[descripcion],"(sin catálogo)"))</f>
        <v/>
      </c>
      <c r="AC383" s="20">
        <f>IF(tblOrdenes[[#This Row],[fecha_inicio]]="","",TODAY()-tblOrdenes[[#This Row],[fecha_inicio]])</f>
        <v/>
      </c>
      <c r="AD3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3" s="5">
        <f>IF(tblOrdenes[[#This Row],[backlog_habiles]]="","",IF(tblOrdenes[[#This Row],[backlog_habiles]]&lt;0,"FUTURO",IF(tblOrdenes[[#This Row],[backlog_habiles]]&gt;p_dias_backlog_max,"BACKLOG","MES CORRIENTE")))</f>
        <v/>
      </c>
      <c r="AF383" s="5">
        <f>IF(tblOrdenes[[#This Row],[backlog_habiles]]="",FALSE,AND(tblOrdenes[[#This Row],[backlog_habiles]]&gt;p_dias_backlog_min,tblOrdenes[[#This Row],[backlog_habiles]]&lt;=p_dias_backlog_max))</f>
        <v/>
      </c>
      <c r="AG383" s="4" t="n"/>
      <c r="AH3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3" s="18">
        <f>IF(tblOrdenes[[#This Row],[orden]]="","",_xlfn.XLOOKUP(tblOrdenes[[#This Row],[id_operacion]],tblEjecucion[id_operacion],tblEjecucion[precio],0))</f>
        <v/>
      </c>
      <c r="AL383" s="18">
        <f>IF(tblOrdenes[[#This Row],[orden]]="","",MAX(0,_xlfn.XLOOKUP(tblOrdenes[[#This Row],[id_operacion]],tblEjecucion[id_operacion],tblEjecucion[costo_plan_total],0)-tblOrdenes[[#This Row],[costo_servicio]]))</f>
        <v/>
      </c>
      <c r="AM383" s="18">
        <f>IF(tblOrdenes[[#This Row],[orden]]="","",tblOrdenes[[#This Row],[costo_servicio]]+tblOrdenes[[#This Row],[costo_materiales]])</f>
        <v/>
      </c>
      <c r="AN3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3" s="4" t="n"/>
      <c r="AP383" s="4" t="n"/>
      <c r="AQ383" s="4" t="n"/>
      <c r="AR383" s="5">
        <f>IF(tblOrdenes[[#This Row],[link_checklist]]="","",HYPERLINK(p_ruta_base_checklists&amp;tblOrdenes[[#This Row],[link_checklist]],"abrir"))</f>
        <v/>
      </c>
      <c r="AS383" s="4" t="n"/>
      <c r="AT383" s="5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22" t="n"/>
      <c r="K384" s="5" t="n"/>
      <c r="L384" s="18" t="n"/>
      <c r="M3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5">
        <f>IF(tblOrdenes[[#This Row],[fecha_inicio]]="","",YEAR(tblOrdenes[[#This Row],[fecha_inicio]]))</f>
        <v/>
      </c>
      <c r="Q384" s="5">
        <f>IF(tblOrdenes[[#This Row],[fecha_inicio]]="","",MONTH(tblOrdenes[[#This Row],[fecha_inicio]]))</f>
        <v/>
      </c>
      <c r="R384" s="5">
        <f>IF(tblOrdenes[[#This Row],[fecha_inicio]]="","",tblOrdenes[[#This Row],[anio]]&amp;"-"&amp;TEXT(tblOrdenes[[#This Row],[mes]],"00"))</f>
        <v/>
      </c>
      <c r="S384" s="5">
        <f>IF(tblOrdenes[[#This Row],[fecha_inicio]]="","",INDEX(lista_dias,WEEKDAY(tblOrdenes[[#This Row],[fecha_inicio]],2)))</f>
        <v/>
      </c>
      <c r="T3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4" s="5">
        <f>IF(tblOrdenes[[#This Row],[tipo_ot]]="","",_xlfn.XLOOKUP(tblOrdenes[[#This Row],[tipo_ot]],tblTiposOT[codigo],tblTiposOT[clasificacion],"sin_clasificar"))</f>
        <v/>
      </c>
      <c r="V3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4" s="5">
        <f>IF(tblOrdenes[[#This Row],[centro_costo]]="","",_xlfn.XLOOKUP(tblOrdenes[[#This Row],[centro_costo]],tblCECO[codigo],tblCECO[linea],"(sin catálogo)"))</f>
        <v/>
      </c>
      <c r="X384" s="5">
        <f>IF(tblOrdenes[[#This Row],[centro_costo]]="","",_xlfn.XLOOKUP(tblOrdenes[[#This Row],[centro_costo]],tblCECO[codigo],tblCECO[area],"(sin catálogo)"))</f>
        <v/>
      </c>
      <c r="Y3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4" s="5">
        <f>IF(tblOrdenes[[#This Row],[centro_costo]]="","",_xlfn.XLOOKUP(tblOrdenes[[#This Row],[centro_costo]],tblCECO[codigo],tblCECO[coordinador],"(sin catálogo)"))</f>
        <v/>
      </c>
      <c r="AA384" s="5">
        <f>IF(tblOrdenes[[#This Row],[puesto_trabajo]]="","",_xlfn.XLOOKUP(tblOrdenes[[#This Row],[puesto_trabajo]],tblPuestos[codigo],tblPuestos[especialidad],"(sin catálogo)"))</f>
        <v/>
      </c>
      <c r="AB384" s="5">
        <f>IF(tblOrdenes[[#This Row],[cod_actividad]]="","",_xlfn.XLOOKUP(tblOrdenes[[#This Row],[cod_actividad]],tblActividades[codigo],tblActividades[descripcion],"(sin catálogo)"))</f>
        <v/>
      </c>
      <c r="AC384" s="20">
        <f>IF(tblOrdenes[[#This Row],[fecha_inicio]]="","",TODAY()-tblOrdenes[[#This Row],[fecha_inicio]])</f>
        <v/>
      </c>
      <c r="AD3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4" s="5">
        <f>IF(tblOrdenes[[#This Row],[backlog_habiles]]="","",IF(tblOrdenes[[#This Row],[backlog_habiles]]&lt;0,"FUTURO",IF(tblOrdenes[[#This Row],[backlog_habiles]]&gt;p_dias_backlog_max,"BACKLOG","MES CORRIENTE")))</f>
        <v/>
      </c>
      <c r="AF384" s="5">
        <f>IF(tblOrdenes[[#This Row],[backlog_habiles]]="",FALSE,AND(tblOrdenes[[#This Row],[backlog_habiles]]&gt;p_dias_backlog_min,tblOrdenes[[#This Row],[backlog_habiles]]&lt;=p_dias_backlog_max))</f>
        <v/>
      </c>
      <c r="AG384" s="4" t="n"/>
      <c r="AH3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4" s="18">
        <f>IF(tblOrdenes[[#This Row],[orden]]="","",_xlfn.XLOOKUP(tblOrdenes[[#This Row],[id_operacion]],tblEjecucion[id_operacion],tblEjecucion[precio],0))</f>
        <v/>
      </c>
      <c r="AL384" s="18">
        <f>IF(tblOrdenes[[#This Row],[orden]]="","",MAX(0,_xlfn.XLOOKUP(tblOrdenes[[#This Row],[id_operacion]],tblEjecucion[id_operacion],tblEjecucion[costo_plan_total],0)-tblOrdenes[[#This Row],[costo_servicio]]))</f>
        <v/>
      </c>
      <c r="AM384" s="18">
        <f>IF(tblOrdenes[[#This Row],[orden]]="","",tblOrdenes[[#This Row],[costo_servicio]]+tblOrdenes[[#This Row],[costo_materiales]])</f>
        <v/>
      </c>
      <c r="AN3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4" s="4" t="n"/>
      <c r="AP384" s="4" t="n"/>
      <c r="AQ384" s="4" t="n"/>
      <c r="AR384" s="5">
        <f>IF(tblOrdenes[[#This Row],[link_checklist]]="","",HYPERLINK(p_ruta_base_checklists&amp;tblOrdenes[[#This Row],[link_checklist]],"abrir"))</f>
        <v/>
      </c>
      <c r="AS384" s="4" t="n"/>
      <c r="AT384" s="5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22" t="n"/>
      <c r="K385" s="5" t="n"/>
      <c r="L385" s="18" t="n"/>
      <c r="M3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5">
        <f>IF(tblOrdenes[[#This Row],[fecha_inicio]]="","",YEAR(tblOrdenes[[#This Row],[fecha_inicio]]))</f>
        <v/>
      </c>
      <c r="Q385" s="5">
        <f>IF(tblOrdenes[[#This Row],[fecha_inicio]]="","",MONTH(tblOrdenes[[#This Row],[fecha_inicio]]))</f>
        <v/>
      </c>
      <c r="R385" s="5">
        <f>IF(tblOrdenes[[#This Row],[fecha_inicio]]="","",tblOrdenes[[#This Row],[anio]]&amp;"-"&amp;TEXT(tblOrdenes[[#This Row],[mes]],"00"))</f>
        <v/>
      </c>
      <c r="S385" s="5">
        <f>IF(tblOrdenes[[#This Row],[fecha_inicio]]="","",INDEX(lista_dias,WEEKDAY(tblOrdenes[[#This Row],[fecha_inicio]],2)))</f>
        <v/>
      </c>
      <c r="T3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5" s="5">
        <f>IF(tblOrdenes[[#This Row],[tipo_ot]]="","",_xlfn.XLOOKUP(tblOrdenes[[#This Row],[tipo_ot]],tblTiposOT[codigo],tblTiposOT[clasificacion],"sin_clasificar"))</f>
        <v/>
      </c>
      <c r="V3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5" s="5">
        <f>IF(tblOrdenes[[#This Row],[centro_costo]]="","",_xlfn.XLOOKUP(tblOrdenes[[#This Row],[centro_costo]],tblCECO[codigo],tblCECO[linea],"(sin catálogo)"))</f>
        <v/>
      </c>
      <c r="X385" s="5">
        <f>IF(tblOrdenes[[#This Row],[centro_costo]]="","",_xlfn.XLOOKUP(tblOrdenes[[#This Row],[centro_costo]],tblCECO[codigo],tblCECO[area],"(sin catálogo)"))</f>
        <v/>
      </c>
      <c r="Y3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5" s="5">
        <f>IF(tblOrdenes[[#This Row],[centro_costo]]="","",_xlfn.XLOOKUP(tblOrdenes[[#This Row],[centro_costo]],tblCECO[codigo],tblCECO[coordinador],"(sin catálogo)"))</f>
        <v/>
      </c>
      <c r="AA385" s="5">
        <f>IF(tblOrdenes[[#This Row],[puesto_trabajo]]="","",_xlfn.XLOOKUP(tblOrdenes[[#This Row],[puesto_trabajo]],tblPuestos[codigo],tblPuestos[especialidad],"(sin catálogo)"))</f>
        <v/>
      </c>
      <c r="AB385" s="5">
        <f>IF(tblOrdenes[[#This Row],[cod_actividad]]="","",_xlfn.XLOOKUP(tblOrdenes[[#This Row],[cod_actividad]],tblActividades[codigo],tblActividades[descripcion],"(sin catálogo)"))</f>
        <v/>
      </c>
      <c r="AC385" s="20">
        <f>IF(tblOrdenes[[#This Row],[fecha_inicio]]="","",TODAY()-tblOrdenes[[#This Row],[fecha_inicio]])</f>
        <v/>
      </c>
      <c r="AD3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5" s="5">
        <f>IF(tblOrdenes[[#This Row],[backlog_habiles]]="","",IF(tblOrdenes[[#This Row],[backlog_habiles]]&lt;0,"FUTURO",IF(tblOrdenes[[#This Row],[backlog_habiles]]&gt;p_dias_backlog_max,"BACKLOG","MES CORRIENTE")))</f>
        <v/>
      </c>
      <c r="AF385" s="5">
        <f>IF(tblOrdenes[[#This Row],[backlog_habiles]]="",FALSE,AND(tblOrdenes[[#This Row],[backlog_habiles]]&gt;p_dias_backlog_min,tblOrdenes[[#This Row],[backlog_habiles]]&lt;=p_dias_backlog_max))</f>
        <v/>
      </c>
      <c r="AG385" s="4" t="n"/>
      <c r="AH3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5" s="18">
        <f>IF(tblOrdenes[[#This Row],[orden]]="","",_xlfn.XLOOKUP(tblOrdenes[[#This Row],[id_operacion]],tblEjecucion[id_operacion],tblEjecucion[precio],0))</f>
        <v/>
      </c>
      <c r="AL385" s="18">
        <f>IF(tblOrdenes[[#This Row],[orden]]="","",MAX(0,_xlfn.XLOOKUP(tblOrdenes[[#This Row],[id_operacion]],tblEjecucion[id_operacion],tblEjecucion[costo_plan_total],0)-tblOrdenes[[#This Row],[costo_servicio]]))</f>
        <v/>
      </c>
      <c r="AM385" s="18">
        <f>IF(tblOrdenes[[#This Row],[orden]]="","",tblOrdenes[[#This Row],[costo_servicio]]+tblOrdenes[[#This Row],[costo_materiales]])</f>
        <v/>
      </c>
      <c r="AN3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5" s="4" t="n"/>
      <c r="AP385" s="4" t="n"/>
      <c r="AQ385" s="4" t="n"/>
      <c r="AR385" s="5">
        <f>IF(tblOrdenes[[#This Row],[link_checklist]]="","",HYPERLINK(p_ruta_base_checklists&amp;tblOrdenes[[#This Row],[link_checklist]],"abrir"))</f>
        <v/>
      </c>
      <c r="AS385" s="4" t="n"/>
      <c r="AT385" s="5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22" t="n"/>
      <c r="K386" s="5" t="n"/>
      <c r="L386" s="18" t="n"/>
      <c r="M3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5">
        <f>IF(tblOrdenes[[#This Row],[fecha_inicio]]="","",YEAR(tblOrdenes[[#This Row],[fecha_inicio]]))</f>
        <v/>
      </c>
      <c r="Q386" s="5">
        <f>IF(tblOrdenes[[#This Row],[fecha_inicio]]="","",MONTH(tblOrdenes[[#This Row],[fecha_inicio]]))</f>
        <v/>
      </c>
      <c r="R386" s="5">
        <f>IF(tblOrdenes[[#This Row],[fecha_inicio]]="","",tblOrdenes[[#This Row],[anio]]&amp;"-"&amp;TEXT(tblOrdenes[[#This Row],[mes]],"00"))</f>
        <v/>
      </c>
      <c r="S386" s="5">
        <f>IF(tblOrdenes[[#This Row],[fecha_inicio]]="","",INDEX(lista_dias,WEEKDAY(tblOrdenes[[#This Row],[fecha_inicio]],2)))</f>
        <v/>
      </c>
      <c r="T3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6" s="5">
        <f>IF(tblOrdenes[[#This Row],[tipo_ot]]="","",_xlfn.XLOOKUP(tblOrdenes[[#This Row],[tipo_ot]],tblTiposOT[codigo],tblTiposOT[clasificacion],"sin_clasificar"))</f>
        <v/>
      </c>
      <c r="V3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6" s="5">
        <f>IF(tblOrdenes[[#This Row],[centro_costo]]="","",_xlfn.XLOOKUP(tblOrdenes[[#This Row],[centro_costo]],tblCECO[codigo],tblCECO[linea],"(sin catálogo)"))</f>
        <v/>
      </c>
      <c r="X386" s="5">
        <f>IF(tblOrdenes[[#This Row],[centro_costo]]="","",_xlfn.XLOOKUP(tblOrdenes[[#This Row],[centro_costo]],tblCECO[codigo],tblCECO[area],"(sin catálogo)"))</f>
        <v/>
      </c>
      <c r="Y3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6" s="5">
        <f>IF(tblOrdenes[[#This Row],[centro_costo]]="","",_xlfn.XLOOKUP(tblOrdenes[[#This Row],[centro_costo]],tblCECO[codigo],tblCECO[coordinador],"(sin catálogo)"))</f>
        <v/>
      </c>
      <c r="AA386" s="5">
        <f>IF(tblOrdenes[[#This Row],[puesto_trabajo]]="","",_xlfn.XLOOKUP(tblOrdenes[[#This Row],[puesto_trabajo]],tblPuestos[codigo],tblPuestos[especialidad],"(sin catálogo)"))</f>
        <v/>
      </c>
      <c r="AB386" s="5">
        <f>IF(tblOrdenes[[#This Row],[cod_actividad]]="","",_xlfn.XLOOKUP(tblOrdenes[[#This Row],[cod_actividad]],tblActividades[codigo],tblActividades[descripcion],"(sin catálogo)"))</f>
        <v/>
      </c>
      <c r="AC386" s="20">
        <f>IF(tblOrdenes[[#This Row],[fecha_inicio]]="","",TODAY()-tblOrdenes[[#This Row],[fecha_inicio]])</f>
        <v/>
      </c>
      <c r="AD3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6" s="5">
        <f>IF(tblOrdenes[[#This Row],[backlog_habiles]]="","",IF(tblOrdenes[[#This Row],[backlog_habiles]]&lt;0,"FUTURO",IF(tblOrdenes[[#This Row],[backlog_habiles]]&gt;p_dias_backlog_max,"BACKLOG","MES CORRIENTE")))</f>
        <v/>
      </c>
      <c r="AF386" s="5">
        <f>IF(tblOrdenes[[#This Row],[backlog_habiles]]="",FALSE,AND(tblOrdenes[[#This Row],[backlog_habiles]]&gt;p_dias_backlog_min,tblOrdenes[[#This Row],[backlog_habiles]]&lt;=p_dias_backlog_max))</f>
        <v/>
      </c>
      <c r="AG386" s="4" t="n"/>
      <c r="AH3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6" s="18">
        <f>IF(tblOrdenes[[#This Row],[orden]]="","",_xlfn.XLOOKUP(tblOrdenes[[#This Row],[id_operacion]],tblEjecucion[id_operacion],tblEjecucion[precio],0))</f>
        <v/>
      </c>
      <c r="AL386" s="18">
        <f>IF(tblOrdenes[[#This Row],[orden]]="","",MAX(0,_xlfn.XLOOKUP(tblOrdenes[[#This Row],[id_operacion]],tblEjecucion[id_operacion],tblEjecucion[costo_plan_total],0)-tblOrdenes[[#This Row],[costo_servicio]]))</f>
        <v/>
      </c>
      <c r="AM386" s="18">
        <f>IF(tblOrdenes[[#This Row],[orden]]="","",tblOrdenes[[#This Row],[costo_servicio]]+tblOrdenes[[#This Row],[costo_materiales]])</f>
        <v/>
      </c>
      <c r="AN3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6" s="4" t="n"/>
      <c r="AP386" s="4" t="n"/>
      <c r="AQ386" s="4" t="n"/>
      <c r="AR386" s="5">
        <f>IF(tblOrdenes[[#This Row],[link_checklist]]="","",HYPERLINK(p_ruta_base_checklists&amp;tblOrdenes[[#This Row],[link_checklist]],"abrir"))</f>
        <v/>
      </c>
      <c r="AS386" s="4" t="n"/>
      <c r="AT386" s="5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22" t="n"/>
      <c r="K387" s="5" t="n"/>
      <c r="L387" s="18" t="n"/>
      <c r="M3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5">
        <f>IF(tblOrdenes[[#This Row],[fecha_inicio]]="","",YEAR(tblOrdenes[[#This Row],[fecha_inicio]]))</f>
        <v/>
      </c>
      <c r="Q387" s="5">
        <f>IF(tblOrdenes[[#This Row],[fecha_inicio]]="","",MONTH(tblOrdenes[[#This Row],[fecha_inicio]]))</f>
        <v/>
      </c>
      <c r="R387" s="5">
        <f>IF(tblOrdenes[[#This Row],[fecha_inicio]]="","",tblOrdenes[[#This Row],[anio]]&amp;"-"&amp;TEXT(tblOrdenes[[#This Row],[mes]],"00"))</f>
        <v/>
      </c>
      <c r="S387" s="5">
        <f>IF(tblOrdenes[[#This Row],[fecha_inicio]]="","",INDEX(lista_dias,WEEKDAY(tblOrdenes[[#This Row],[fecha_inicio]],2)))</f>
        <v/>
      </c>
      <c r="T3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7" s="5">
        <f>IF(tblOrdenes[[#This Row],[tipo_ot]]="","",_xlfn.XLOOKUP(tblOrdenes[[#This Row],[tipo_ot]],tblTiposOT[codigo],tblTiposOT[clasificacion],"sin_clasificar"))</f>
        <v/>
      </c>
      <c r="V3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7" s="5">
        <f>IF(tblOrdenes[[#This Row],[centro_costo]]="","",_xlfn.XLOOKUP(tblOrdenes[[#This Row],[centro_costo]],tblCECO[codigo],tblCECO[linea],"(sin catálogo)"))</f>
        <v/>
      </c>
      <c r="X387" s="5">
        <f>IF(tblOrdenes[[#This Row],[centro_costo]]="","",_xlfn.XLOOKUP(tblOrdenes[[#This Row],[centro_costo]],tblCECO[codigo],tblCECO[area],"(sin catálogo)"))</f>
        <v/>
      </c>
      <c r="Y3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7" s="5">
        <f>IF(tblOrdenes[[#This Row],[centro_costo]]="","",_xlfn.XLOOKUP(tblOrdenes[[#This Row],[centro_costo]],tblCECO[codigo],tblCECO[coordinador],"(sin catálogo)"))</f>
        <v/>
      </c>
      <c r="AA387" s="5">
        <f>IF(tblOrdenes[[#This Row],[puesto_trabajo]]="","",_xlfn.XLOOKUP(tblOrdenes[[#This Row],[puesto_trabajo]],tblPuestos[codigo],tblPuestos[especialidad],"(sin catálogo)"))</f>
        <v/>
      </c>
      <c r="AB387" s="5">
        <f>IF(tblOrdenes[[#This Row],[cod_actividad]]="","",_xlfn.XLOOKUP(tblOrdenes[[#This Row],[cod_actividad]],tblActividades[codigo],tblActividades[descripcion],"(sin catálogo)"))</f>
        <v/>
      </c>
      <c r="AC387" s="20">
        <f>IF(tblOrdenes[[#This Row],[fecha_inicio]]="","",TODAY()-tblOrdenes[[#This Row],[fecha_inicio]])</f>
        <v/>
      </c>
      <c r="AD3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7" s="5">
        <f>IF(tblOrdenes[[#This Row],[backlog_habiles]]="","",IF(tblOrdenes[[#This Row],[backlog_habiles]]&lt;0,"FUTURO",IF(tblOrdenes[[#This Row],[backlog_habiles]]&gt;p_dias_backlog_max,"BACKLOG","MES CORRIENTE")))</f>
        <v/>
      </c>
      <c r="AF387" s="5">
        <f>IF(tblOrdenes[[#This Row],[backlog_habiles]]="",FALSE,AND(tblOrdenes[[#This Row],[backlog_habiles]]&gt;p_dias_backlog_min,tblOrdenes[[#This Row],[backlog_habiles]]&lt;=p_dias_backlog_max))</f>
        <v/>
      </c>
      <c r="AG387" s="4" t="n"/>
      <c r="AH3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7" s="18">
        <f>IF(tblOrdenes[[#This Row],[orden]]="","",_xlfn.XLOOKUP(tblOrdenes[[#This Row],[id_operacion]],tblEjecucion[id_operacion],tblEjecucion[precio],0))</f>
        <v/>
      </c>
      <c r="AL387" s="18">
        <f>IF(tblOrdenes[[#This Row],[orden]]="","",MAX(0,_xlfn.XLOOKUP(tblOrdenes[[#This Row],[id_operacion]],tblEjecucion[id_operacion],tblEjecucion[costo_plan_total],0)-tblOrdenes[[#This Row],[costo_servicio]]))</f>
        <v/>
      </c>
      <c r="AM387" s="18">
        <f>IF(tblOrdenes[[#This Row],[orden]]="","",tblOrdenes[[#This Row],[costo_servicio]]+tblOrdenes[[#This Row],[costo_materiales]])</f>
        <v/>
      </c>
      <c r="AN3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7" s="4" t="n"/>
      <c r="AP387" s="4" t="n"/>
      <c r="AQ387" s="4" t="n"/>
      <c r="AR387" s="5">
        <f>IF(tblOrdenes[[#This Row],[link_checklist]]="","",HYPERLINK(p_ruta_base_checklists&amp;tblOrdenes[[#This Row],[link_checklist]],"abrir"))</f>
        <v/>
      </c>
      <c r="AS387" s="4" t="n"/>
      <c r="AT387" s="5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22" t="n"/>
      <c r="K388" s="5" t="n"/>
      <c r="L388" s="18" t="n"/>
      <c r="M3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5">
        <f>IF(tblOrdenes[[#This Row],[fecha_inicio]]="","",YEAR(tblOrdenes[[#This Row],[fecha_inicio]]))</f>
        <v/>
      </c>
      <c r="Q388" s="5">
        <f>IF(tblOrdenes[[#This Row],[fecha_inicio]]="","",MONTH(tblOrdenes[[#This Row],[fecha_inicio]]))</f>
        <v/>
      </c>
      <c r="R388" s="5">
        <f>IF(tblOrdenes[[#This Row],[fecha_inicio]]="","",tblOrdenes[[#This Row],[anio]]&amp;"-"&amp;TEXT(tblOrdenes[[#This Row],[mes]],"00"))</f>
        <v/>
      </c>
      <c r="S388" s="5">
        <f>IF(tblOrdenes[[#This Row],[fecha_inicio]]="","",INDEX(lista_dias,WEEKDAY(tblOrdenes[[#This Row],[fecha_inicio]],2)))</f>
        <v/>
      </c>
      <c r="T3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8" s="5">
        <f>IF(tblOrdenes[[#This Row],[tipo_ot]]="","",_xlfn.XLOOKUP(tblOrdenes[[#This Row],[tipo_ot]],tblTiposOT[codigo],tblTiposOT[clasificacion],"sin_clasificar"))</f>
        <v/>
      </c>
      <c r="V3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8" s="5">
        <f>IF(tblOrdenes[[#This Row],[centro_costo]]="","",_xlfn.XLOOKUP(tblOrdenes[[#This Row],[centro_costo]],tblCECO[codigo],tblCECO[linea],"(sin catálogo)"))</f>
        <v/>
      </c>
      <c r="X388" s="5">
        <f>IF(tblOrdenes[[#This Row],[centro_costo]]="","",_xlfn.XLOOKUP(tblOrdenes[[#This Row],[centro_costo]],tblCECO[codigo],tblCECO[area],"(sin catálogo)"))</f>
        <v/>
      </c>
      <c r="Y3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8" s="5">
        <f>IF(tblOrdenes[[#This Row],[centro_costo]]="","",_xlfn.XLOOKUP(tblOrdenes[[#This Row],[centro_costo]],tblCECO[codigo],tblCECO[coordinador],"(sin catálogo)"))</f>
        <v/>
      </c>
      <c r="AA388" s="5">
        <f>IF(tblOrdenes[[#This Row],[puesto_trabajo]]="","",_xlfn.XLOOKUP(tblOrdenes[[#This Row],[puesto_trabajo]],tblPuestos[codigo],tblPuestos[especialidad],"(sin catálogo)"))</f>
        <v/>
      </c>
      <c r="AB388" s="5">
        <f>IF(tblOrdenes[[#This Row],[cod_actividad]]="","",_xlfn.XLOOKUP(tblOrdenes[[#This Row],[cod_actividad]],tblActividades[codigo],tblActividades[descripcion],"(sin catálogo)"))</f>
        <v/>
      </c>
      <c r="AC388" s="20">
        <f>IF(tblOrdenes[[#This Row],[fecha_inicio]]="","",TODAY()-tblOrdenes[[#This Row],[fecha_inicio]])</f>
        <v/>
      </c>
      <c r="AD3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8" s="5">
        <f>IF(tblOrdenes[[#This Row],[backlog_habiles]]="","",IF(tblOrdenes[[#This Row],[backlog_habiles]]&lt;0,"FUTURO",IF(tblOrdenes[[#This Row],[backlog_habiles]]&gt;p_dias_backlog_max,"BACKLOG","MES CORRIENTE")))</f>
        <v/>
      </c>
      <c r="AF388" s="5">
        <f>IF(tblOrdenes[[#This Row],[backlog_habiles]]="",FALSE,AND(tblOrdenes[[#This Row],[backlog_habiles]]&gt;p_dias_backlog_min,tblOrdenes[[#This Row],[backlog_habiles]]&lt;=p_dias_backlog_max))</f>
        <v/>
      </c>
      <c r="AG388" s="4" t="n"/>
      <c r="AH3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8" s="18">
        <f>IF(tblOrdenes[[#This Row],[orden]]="","",_xlfn.XLOOKUP(tblOrdenes[[#This Row],[id_operacion]],tblEjecucion[id_operacion],tblEjecucion[precio],0))</f>
        <v/>
      </c>
      <c r="AL388" s="18">
        <f>IF(tblOrdenes[[#This Row],[orden]]="","",MAX(0,_xlfn.XLOOKUP(tblOrdenes[[#This Row],[id_operacion]],tblEjecucion[id_operacion],tblEjecucion[costo_plan_total],0)-tblOrdenes[[#This Row],[costo_servicio]]))</f>
        <v/>
      </c>
      <c r="AM388" s="18">
        <f>IF(tblOrdenes[[#This Row],[orden]]="","",tblOrdenes[[#This Row],[costo_servicio]]+tblOrdenes[[#This Row],[costo_materiales]])</f>
        <v/>
      </c>
      <c r="AN3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8" s="4" t="n"/>
      <c r="AP388" s="4" t="n"/>
      <c r="AQ388" s="4" t="n"/>
      <c r="AR388" s="5">
        <f>IF(tblOrdenes[[#This Row],[link_checklist]]="","",HYPERLINK(p_ruta_base_checklists&amp;tblOrdenes[[#This Row],[link_checklist]],"abrir"))</f>
        <v/>
      </c>
      <c r="AS388" s="4" t="n"/>
      <c r="AT388" s="5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22" t="n"/>
      <c r="K389" s="5" t="n"/>
      <c r="L389" s="18" t="n"/>
      <c r="M3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5">
        <f>IF(tblOrdenes[[#This Row],[fecha_inicio]]="","",YEAR(tblOrdenes[[#This Row],[fecha_inicio]]))</f>
        <v/>
      </c>
      <c r="Q389" s="5">
        <f>IF(tblOrdenes[[#This Row],[fecha_inicio]]="","",MONTH(tblOrdenes[[#This Row],[fecha_inicio]]))</f>
        <v/>
      </c>
      <c r="R389" s="5">
        <f>IF(tblOrdenes[[#This Row],[fecha_inicio]]="","",tblOrdenes[[#This Row],[anio]]&amp;"-"&amp;TEXT(tblOrdenes[[#This Row],[mes]],"00"))</f>
        <v/>
      </c>
      <c r="S389" s="5">
        <f>IF(tblOrdenes[[#This Row],[fecha_inicio]]="","",INDEX(lista_dias,WEEKDAY(tblOrdenes[[#This Row],[fecha_inicio]],2)))</f>
        <v/>
      </c>
      <c r="T3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9" s="5">
        <f>IF(tblOrdenes[[#This Row],[tipo_ot]]="","",_xlfn.XLOOKUP(tblOrdenes[[#This Row],[tipo_ot]],tblTiposOT[codigo],tblTiposOT[clasificacion],"sin_clasificar"))</f>
        <v/>
      </c>
      <c r="V3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9" s="5">
        <f>IF(tblOrdenes[[#This Row],[centro_costo]]="","",_xlfn.XLOOKUP(tblOrdenes[[#This Row],[centro_costo]],tblCECO[codigo],tblCECO[linea],"(sin catálogo)"))</f>
        <v/>
      </c>
      <c r="X389" s="5">
        <f>IF(tblOrdenes[[#This Row],[centro_costo]]="","",_xlfn.XLOOKUP(tblOrdenes[[#This Row],[centro_costo]],tblCECO[codigo],tblCECO[area],"(sin catálogo)"))</f>
        <v/>
      </c>
      <c r="Y3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89" s="5">
        <f>IF(tblOrdenes[[#This Row],[centro_costo]]="","",_xlfn.XLOOKUP(tblOrdenes[[#This Row],[centro_costo]],tblCECO[codigo],tblCECO[coordinador],"(sin catálogo)"))</f>
        <v/>
      </c>
      <c r="AA389" s="5">
        <f>IF(tblOrdenes[[#This Row],[puesto_trabajo]]="","",_xlfn.XLOOKUP(tblOrdenes[[#This Row],[puesto_trabajo]],tblPuestos[codigo],tblPuestos[especialidad],"(sin catálogo)"))</f>
        <v/>
      </c>
      <c r="AB389" s="5">
        <f>IF(tblOrdenes[[#This Row],[cod_actividad]]="","",_xlfn.XLOOKUP(tblOrdenes[[#This Row],[cod_actividad]],tblActividades[codigo],tblActividades[descripcion],"(sin catálogo)"))</f>
        <v/>
      </c>
      <c r="AC389" s="20">
        <f>IF(tblOrdenes[[#This Row],[fecha_inicio]]="","",TODAY()-tblOrdenes[[#This Row],[fecha_inicio]])</f>
        <v/>
      </c>
      <c r="AD3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89" s="5">
        <f>IF(tblOrdenes[[#This Row],[backlog_habiles]]="","",IF(tblOrdenes[[#This Row],[backlog_habiles]]&lt;0,"FUTURO",IF(tblOrdenes[[#This Row],[backlog_habiles]]&gt;p_dias_backlog_max,"BACKLOG","MES CORRIENTE")))</f>
        <v/>
      </c>
      <c r="AF389" s="5">
        <f>IF(tblOrdenes[[#This Row],[backlog_habiles]]="",FALSE,AND(tblOrdenes[[#This Row],[backlog_habiles]]&gt;p_dias_backlog_min,tblOrdenes[[#This Row],[backlog_habiles]]&lt;=p_dias_backlog_max))</f>
        <v/>
      </c>
      <c r="AG389" s="4" t="n"/>
      <c r="AH3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89" s="18">
        <f>IF(tblOrdenes[[#This Row],[orden]]="","",_xlfn.XLOOKUP(tblOrdenes[[#This Row],[id_operacion]],tblEjecucion[id_operacion],tblEjecucion[precio],0))</f>
        <v/>
      </c>
      <c r="AL389" s="18">
        <f>IF(tblOrdenes[[#This Row],[orden]]="","",MAX(0,_xlfn.XLOOKUP(tblOrdenes[[#This Row],[id_operacion]],tblEjecucion[id_operacion],tblEjecucion[costo_plan_total],0)-tblOrdenes[[#This Row],[costo_servicio]]))</f>
        <v/>
      </c>
      <c r="AM389" s="18">
        <f>IF(tblOrdenes[[#This Row],[orden]]="","",tblOrdenes[[#This Row],[costo_servicio]]+tblOrdenes[[#This Row],[costo_materiales]])</f>
        <v/>
      </c>
      <c r="AN3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89" s="4" t="n"/>
      <c r="AP389" s="4" t="n"/>
      <c r="AQ389" s="4" t="n"/>
      <c r="AR389" s="5">
        <f>IF(tblOrdenes[[#This Row],[link_checklist]]="","",HYPERLINK(p_ruta_base_checklists&amp;tblOrdenes[[#This Row],[link_checklist]],"abrir"))</f>
        <v/>
      </c>
      <c r="AS389" s="4" t="n"/>
      <c r="AT389" s="5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22" t="n"/>
      <c r="K390" s="5" t="n"/>
      <c r="L390" s="18" t="n"/>
      <c r="M3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5">
        <f>IF(tblOrdenes[[#This Row],[fecha_inicio]]="","",YEAR(tblOrdenes[[#This Row],[fecha_inicio]]))</f>
        <v/>
      </c>
      <c r="Q390" s="5">
        <f>IF(tblOrdenes[[#This Row],[fecha_inicio]]="","",MONTH(tblOrdenes[[#This Row],[fecha_inicio]]))</f>
        <v/>
      </c>
      <c r="R390" s="5">
        <f>IF(tblOrdenes[[#This Row],[fecha_inicio]]="","",tblOrdenes[[#This Row],[anio]]&amp;"-"&amp;TEXT(tblOrdenes[[#This Row],[mes]],"00"))</f>
        <v/>
      </c>
      <c r="S390" s="5">
        <f>IF(tblOrdenes[[#This Row],[fecha_inicio]]="","",INDEX(lista_dias,WEEKDAY(tblOrdenes[[#This Row],[fecha_inicio]],2)))</f>
        <v/>
      </c>
      <c r="T3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0" s="5">
        <f>IF(tblOrdenes[[#This Row],[tipo_ot]]="","",_xlfn.XLOOKUP(tblOrdenes[[#This Row],[tipo_ot]],tblTiposOT[codigo],tblTiposOT[clasificacion],"sin_clasificar"))</f>
        <v/>
      </c>
      <c r="V3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0" s="5">
        <f>IF(tblOrdenes[[#This Row],[centro_costo]]="","",_xlfn.XLOOKUP(tblOrdenes[[#This Row],[centro_costo]],tblCECO[codigo],tblCECO[linea],"(sin catálogo)"))</f>
        <v/>
      </c>
      <c r="X390" s="5">
        <f>IF(tblOrdenes[[#This Row],[centro_costo]]="","",_xlfn.XLOOKUP(tblOrdenes[[#This Row],[centro_costo]],tblCECO[codigo],tblCECO[area],"(sin catálogo)"))</f>
        <v/>
      </c>
      <c r="Y3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0" s="5">
        <f>IF(tblOrdenes[[#This Row],[centro_costo]]="","",_xlfn.XLOOKUP(tblOrdenes[[#This Row],[centro_costo]],tblCECO[codigo],tblCECO[coordinador],"(sin catálogo)"))</f>
        <v/>
      </c>
      <c r="AA390" s="5">
        <f>IF(tblOrdenes[[#This Row],[puesto_trabajo]]="","",_xlfn.XLOOKUP(tblOrdenes[[#This Row],[puesto_trabajo]],tblPuestos[codigo],tblPuestos[especialidad],"(sin catálogo)"))</f>
        <v/>
      </c>
      <c r="AB390" s="5">
        <f>IF(tblOrdenes[[#This Row],[cod_actividad]]="","",_xlfn.XLOOKUP(tblOrdenes[[#This Row],[cod_actividad]],tblActividades[codigo],tblActividades[descripcion],"(sin catálogo)"))</f>
        <v/>
      </c>
      <c r="AC390" s="20">
        <f>IF(tblOrdenes[[#This Row],[fecha_inicio]]="","",TODAY()-tblOrdenes[[#This Row],[fecha_inicio]])</f>
        <v/>
      </c>
      <c r="AD3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0" s="5">
        <f>IF(tblOrdenes[[#This Row],[backlog_habiles]]="","",IF(tblOrdenes[[#This Row],[backlog_habiles]]&lt;0,"FUTURO",IF(tblOrdenes[[#This Row],[backlog_habiles]]&gt;p_dias_backlog_max,"BACKLOG","MES CORRIENTE")))</f>
        <v/>
      </c>
      <c r="AF390" s="5">
        <f>IF(tblOrdenes[[#This Row],[backlog_habiles]]="",FALSE,AND(tblOrdenes[[#This Row],[backlog_habiles]]&gt;p_dias_backlog_min,tblOrdenes[[#This Row],[backlog_habiles]]&lt;=p_dias_backlog_max))</f>
        <v/>
      </c>
      <c r="AG390" s="4" t="n"/>
      <c r="AH3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0" s="18">
        <f>IF(tblOrdenes[[#This Row],[orden]]="","",_xlfn.XLOOKUP(tblOrdenes[[#This Row],[id_operacion]],tblEjecucion[id_operacion],tblEjecucion[precio],0))</f>
        <v/>
      </c>
      <c r="AL390" s="18">
        <f>IF(tblOrdenes[[#This Row],[orden]]="","",MAX(0,_xlfn.XLOOKUP(tblOrdenes[[#This Row],[id_operacion]],tblEjecucion[id_operacion],tblEjecucion[costo_plan_total],0)-tblOrdenes[[#This Row],[costo_servicio]]))</f>
        <v/>
      </c>
      <c r="AM390" s="18">
        <f>IF(tblOrdenes[[#This Row],[orden]]="","",tblOrdenes[[#This Row],[costo_servicio]]+tblOrdenes[[#This Row],[costo_materiales]])</f>
        <v/>
      </c>
      <c r="AN3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0" s="4" t="n"/>
      <c r="AP390" s="4" t="n"/>
      <c r="AQ390" s="4" t="n"/>
      <c r="AR390" s="5">
        <f>IF(tblOrdenes[[#This Row],[link_checklist]]="","",HYPERLINK(p_ruta_base_checklists&amp;tblOrdenes[[#This Row],[link_checklist]],"abrir"))</f>
        <v/>
      </c>
      <c r="AS390" s="4" t="n"/>
      <c r="AT390" s="5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22" t="n"/>
      <c r="K391" s="5" t="n"/>
      <c r="L391" s="18" t="n"/>
      <c r="M3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5">
        <f>IF(tblOrdenes[[#This Row],[fecha_inicio]]="","",YEAR(tblOrdenes[[#This Row],[fecha_inicio]]))</f>
        <v/>
      </c>
      <c r="Q391" s="5">
        <f>IF(tblOrdenes[[#This Row],[fecha_inicio]]="","",MONTH(tblOrdenes[[#This Row],[fecha_inicio]]))</f>
        <v/>
      </c>
      <c r="R391" s="5">
        <f>IF(tblOrdenes[[#This Row],[fecha_inicio]]="","",tblOrdenes[[#This Row],[anio]]&amp;"-"&amp;TEXT(tblOrdenes[[#This Row],[mes]],"00"))</f>
        <v/>
      </c>
      <c r="S391" s="5">
        <f>IF(tblOrdenes[[#This Row],[fecha_inicio]]="","",INDEX(lista_dias,WEEKDAY(tblOrdenes[[#This Row],[fecha_inicio]],2)))</f>
        <v/>
      </c>
      <c r="T3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1" s="5">
        <f>IF(tblOrdenes[[#This Row],[tipo_ot]]="","",_xlfn.XLOOKUP(tblOrdenes[[#This Row],[tipo_ot]],tblTiposOT[codigo],tblTiposOT[clasificacion],"sin_clasificar"))</f>
        <v/>
      </c>
      <c r="V3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1" s="5">
        <f>IF(tblOrdenes[[#This Row],[centro_costo]]="","",_xlfn.XLOOKUP(tblOrdenes[[#This Row],[centro_costo]],tblCECO[codigo],tblCECO[linea],"(sin catálogo)"))</f>
        <v/>
      </c>
      <c r="X391" s="5">
        <f>IF(tblOrdenes[[#This Row],[centro_costo]]="","",_xlfn.XLOOKUP(tblOrdenes[[#This Row],[centro_costo]],tblCECO[codigo],tblCECO[area],"(sin catálogo)"))</f>
        <v/>
      </c>
      <c r="Y3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1" s="5">
        <f>IF(tblOrdenes[[#This Row],[centro_costo]]="","",_xlfn.XLOOKUP(tblOrdenes[[#This Row],[centro_costo]],tblCECO[codigo],tblCECO[coordinador],"(sin catálogo)"))</f>
        <v/>
      </c>
      <c r="AA391" s="5">
        <f>IF(tblOrdenes[[#This Row],[puesto_trabajo]]="","",_xlfn.XLOOKUP(tblOrdenes[[#This Row],[puesto_trabajo]],tblPuestos[codigo],tblPuestos[especialidad],"(sin catálogo)"))</f>
        <v/>
      </c>
      <c r="AB391" s="5">
        <f>IF(tblOrdenes[[#This Row],[cod_actividad]]="","",_xlfn.XLOOKUP(tblOrdenes[[#This Row],[cod_actividad]],tblActividades[codigo],tblActividades[descripcion],"(sin catálogo)"))</f>
        <v/>
      </c>
      <c r="AC391" s="20">
        <f>IF(tblOrdenes[[#This Row],[fecha_inicio]]="","",TODAY()-tblOrdenes[[#This Row],[fecha_inicio]])</f>
        <v/>
      </c>
      <c r="AD3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1" s="5">
        <f>IF(tblOrdenes[[#This Row],[backlog_habiles]]="","",IF(tblOrdenes[[#This Row],[backlog_habiles]]&lt;0,"FUTURO",IF(tblOrdenes[[#This Row],[backlog_habiles]]&gt;p_dias_backlog_max,"BACKLOG","MES CORRIENTE")))</f>
        <v/>
      </c>
      <c r="AF391" s="5">
        <f>IF(tblOrdenes[[#This Row],[backlog_habiles]]="",FALSE,AND(tblOrdenes[[#This Row],[backlog_habiles]]&gt;p_dias_backlog_min,tblOrdenes[[#This Row],[backlog_habiles]]&lt;=p_dias_backlog_max))</f>
        <v/>
      </c>
      <c r="AG391" s="4" t="n"/>
      <c r="AH3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1" s="18">
        <f>IF(tblOrdenes[[#This Row],[orden]]="","",_xlfn.XLOOKUP(tblOrdenes[[#This Row],[id_operacion]],tblEjecucion[id_operacion],tblEjecucion[precio],0))</f>
        <v/>
      </c>
      <c r="AL391" s="18">
        <f>IF(tblOrdenes[[#This Row],[orden]]="","",MAX(0,_xlfn.XLOOKUP(tblOrdenes[[#This Row],[id_operacion]],tblEjecucion[id_operacion],tblEjecucion[costo_plan_total],0)-tblOrdenes[[#This Row],[costo_servicio]]))</f>
        <v/>
      </c>
      <c r="AM391" s="18">
        <f>IF(tblOrdenes[[#This Row],[orden]]="","",tblOrdenes[[#This Row],[costo_servicio]]+tblOrdenes[[#This Row],[costo_materiales]])</f>
        <v/>
      </c>
      <c r="AN3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1" s="4" t="n"/>
      <c r="AP391" s="4" t="n"/>
      <c r="AQ391" s="4" t="n"/>
      <c r="AR391" s="5">
        <f>IF(tblOrdenes[[#This Row],[link_checklist]]="","",HYPERLINK(p_ruta_base_checklists&amp;tblOrdenes[[#This Row],[link_checklist]],"abrir"))</f>
        <v/>
      </c>
      <c r="AS391" s="4" t="n"/>
      <c r="AT391" s="5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22" t="n"/>
      <c r="K392" s="5" t="n"/>
      <c r="L392" s="18" t="n"/>
      <c r="M3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5">
        <f>IF(tblOrdenes[[#This Row],[fecha_inicio]]="","",YEAR(tblOrdenes[[#This Row],[fecha_inicio]]))</f>
        <v/>
      </c>
      <c r="Q392" s="5">
        <f>IF(tblOrdenes[[#This Row],[fecha_inicio]]="","",MONTH(tblOrdenes[[#This Row],[fecha_inicio]]))</f>
        <v/>
      </c>
      <c r="R392" s="5">
        <f>IF(tblOrdenes[[#This Row],[fecha_inicio]]="","",tblOrdenes[[#This Row],[anio]]&amp;"-"&amp;TEXT(tblOrdenes[[#This Row],[mes]],"00"))</f>
        <v/>
      </c>
      <c r="S392" s="5">
        <f>IF(tblOrdenes[[#This Row],[fecha_inicio]]="","",INDEX(lista_dias,WEEKDAY(tblOrdenes[[#This Row],[fecha_inicio]],2)))</f>
        <v/>
      </c>
      <c r="T3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2" s="5">
        <f>IF(tblOrdenes[[#This Row],[tipo_ot]]="","",_xlfn.XLOOKUP(tblOrdenes[[#This Row],[tipo_ot]],tblTiposOT[codigo],tblTiposOT[clasificacion],"sin_clasificar"))</f>
        <v/>
      </c>
      <c r="V3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2" s="5">
        <f>IF(tblOrdenes[[#This Row],[centro_costo]]="","",_xlfn.XLOOKUP(tblOrdenes[[#This Row],[centro_costo]],tblCECO[codigo],tblCECO[linea],"(sin catálogo)"))</f>
        <v/>
      </c>
      <c r="X392" s="5">
        <f>IF(tblOrdenes[[#This Row],[centro_costo]]="","",_xlfn.XLOOKUP(tblOrdenes[[#This Row],[centro_costo]],tblCECO[codigo],tblCECO[area],"(sin catálogo)"))</f>
        <v/>
      </c>
      <c r="Y3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2" s="5">
        <f>IF(tblOrdenes[[#This Row],[centro_costo]]="","",_xlfn.XLOOKUP(tblOrdenes[[#This Row],[centro_costo]],tblCECO[codigo],tblCECO[coordinador],"(sin catálogo)"))</f>
        <v/>
      </c>
      <c r="AA392" s="5">
        <f>IF(tblOrdenes[[#This Row],[puesto_trabajo]]="","",_xlfn.XLOOKUP(tblOrdenes[[#This Row],[puesto_trabajo]],tblPuestos[codigo],tblPuestos[especialidad],"(sin catálogo)"))</f>
        <v/>
      </c>
      <c r="AB392" s="5">
        <f>IF(tblOrdenes[[#This Row],[cod_actividad]]="","",_xlfn.XLOOKUP(tblOrdenes[[#This Row],[cod_actividad]],tblActividades[codigo],tblActividades[descripcion],"(sin catálogo)"))</f>
        <v/>
      </c>
      <c r="AC392" s="20">
        <f>IF(tblOrdenes[[#This Row],[fecha_inicio]]="","",TODAY()-tblOrdenes[[#This Row],[fecha_inicio]])</f>
        <v/>
      </c>
      <c r="AD3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2" s="5">
        <f>IF(tblOrdenes[[#This Row],[backlog_habiles]]="","",IF(tblOrdenes[[#This Row],[backlog_habiles]]&lt;0,"FUTURO",IF(tblOrdenes[[#This Row],[backlog_habiles]]&gt;p_dias_backlog_max,"BACKLOG","MES CORRIENTE")))</f>
        <v/>
      </c>
      <c r="AF392" s="5">
        <f>IF(tblOrdenes[[#This Row],[backlog_habiles]]="",FALSE,AND(tblOrdenes[[#This Row],[backlog_habiles]]&gt;p_dias_backlog_min,tblOrdenes[[#This Row],[backlog_habiles]]&lt;=p_dias_backlog_max))</f>
        <v/>
      </c>
      <c r="AG392" s="4" t="n"/>
      <c r="AH3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2" s="18">
        <f>IF(tblOrdenes[[#This Row],[orden]]="","",_xlfn.XLOOKUP(tblOrdenes[[#This Row],[id_operacion]],tblEjecucion[id_operacion],tblEjecucion[precio],0))</f>
        <v/>
      </c>
      <c r="AL392" s="18">
        <f>IF(tblOrdenes[[#This Row],[orden]]="","",MAX(0,_xlfn.XLOOKUP(tblOrdenes[[#This Row],[id_operacion]],tblEjecucion[id_operacion],tblEjecucion[costo_plan_total],0)-tblOrdenes[[#This Row],[costo_servicio]]))</f>
        <v/>
      </c>
      <c r="AM392" s="18">
        <f>IF(tblOrdenes[[#This Row],[orden]]="","",tblOrdenes[[#This Row],[costo_servicio]]+tblOrdenes[[#This Row],[costo_materiales]])</f>
        <v/>
      </c>
      <c r="AN3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2" s="4" t="n"/>
      <c r="AP392" s="4" t="n"/>
      <c r="AQ392" s="4" t="n"/>
      <c r="AR392" s="5">
        <f>IF(tblOrdenes[[#This Row],[link_checklist]]="","",HYPERLINK(p_ruta_base_checklists&amp;tblOrdenes[[#This Row],[link_checklist]],"abrir"))</f>
        <v/>
      </c>
      <c r="AS392" s="4" t="n"/>
      <c r="AT392" s="5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22" t="n"/>
      <c r="K393" s="5" t="n"/>
      <c r="L393" s="18" t="n"/>
      <c r="M3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5">
        <f>IF(tblOrdenes[[#This Row],[fecha_inicio]]="","",YEAR(tblOrdenes[[#This Row],[fecha_inicio]]))</f>
        <v/>
      </c>
      <c r="Q393" s="5">
        <f>IF(tblOrdenes[[#This Row],[fecha_inicio]]="","",MONTH(tblOrdenes[[#This Row],[fecha_inicio]]))</f>
        <v/>
      </c>
      <c r="R393" s="5">
        <f>IF(tblOrdenes[[#This Row],[fecha_inicio]]="","",tblOrdenes[[#This Row],[anio]]&amp;"-"&amp;TEXT(tblOrdenes[[#This Row],[mes]],"00"))</f>
        <v/>
      </c>
      <c r="S393" s="5">
        <f>IF(tblOrdenes[[#This Row],[fecha_inicio]]="","",INDEX(lista_dias,WEEKDAY(tblOrdenes[[#This Row],[fecha_inicio]],2)))</f>
        <v/>
      </c>
      <c r="T3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3" s="5">
        <f>IF(tblOrdenes[[#This Row],[tipo_ot]]="","",_xlfn.XLOOKUP(tblOrdenes[[#This Row],[tipo_ot]],tblTiposOT[codigo],tblTiposOT[clasificacion],"sin_clasificar"))</f>
        <v/>
      </c>
      <c r="V3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3" s="5">
        <f>IF(tblOrdenes[[#This Row],[centro_costo]]="","",_xlfn.XLOOKUP(tblOrdenes[[#This Row],[centro_costo]],tblCECO[codigo],tblCECO[linea],"(sin catálogo)"))</f>
        <v/>
      </c>
      <c r="X393" s="5">
        <f>IF(tblOrdenes[[#This Row],[centro_costo]]="","",_xlfn.XLOOKUP(tblOrdenes[[#This Row],[centro_costo]],tblCECO[codigo],tblCECO[area],"(sin catálogo)"))</f>
        <v/>
      </c>
      <c r="Y3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3" s="5">
        <f>IF(tblOrdenes[[#This Row],[centro_costo]]="","",_xlfn.XLOOKUP(tblOrdenes[[#This Row],[centro_costo]],tblCECO[codigo],tblCECO[coordinador],"(sin catálogo)"))</f>
        <v/>
      </c>
      <c r="AA393" s="5">
        <f>IF(tblOrdenes[[#This Row],[puesto_trabajo]]="","",_xlfn.XLOOKUP(tblOrdenes[[#This Row],[puesto_trabajo]],tblPuestos[codigo],tblPuestos[especialidad],"(sin catálogo)"))</f>
        <v/>
      </c>
      <c r="AB393" s="5">
        <f>IF(tblOrdenes[[#This Row],[cod_actividad]]="","",_xlfn.XLOOKUP(tblOrdenes[[#This Row],[cod_actividad]],tblActividades[codigo],tblActividades[descripcion],"(sin catálogo)"))</f>
        <v/>
      </c>
      <c r="AC393" s="20">
        <f>IF(tblOrdenes[[#This Row],[fecha_inicio]]="","",TODAY()-tblOrdenes[[#This Row],[fecha_inicio]])</f>
        <v/>
      </c>
      <c r="AD3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3" s="5">
        <f>IF(tblOrdenes[[#This Row],[backlog_habiles]]="","",IF(tblOrdenes[[#This Row],[backlog_habiles]]&lt;0,"FUTURO",IF(tblOrdenes[[#This Row],[backlog_habiles]]&gt;p_dias_backlog_max,"BACKLOG","MES CORRIENTE")))</f>
        <v/>
      </c>
      <c r="AF393" s="5">
        <f>IF(tblOrdenes[[#This Row],[backlog_habiles]]="",FALSE,AND(tblOrdenes[[#This Row],[backlog_habiles]]&gt;p_dias_backlog_min,tblOrdenes[[#This Row],[backlog_habiles]]&lt;=p_dias_backlog_max))</f>
        <v/>
      </c>
      <c r="AG393" s="4" t="n"/>
      <c r="AH3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3" s="18">
        <f>IF(tblOrdenes[[#This Row],[orden]]="","",_xlfn.XLOOKUP(tblOrdenes[[#This Row],[id_operacion]],tblEjecucion[id_operacion],tblEjecucion[precio],0))</f>
        <v/>
      </c>
      <c r="AL393" s="18">
        <f>IF(tblOrdenes[[#This Row],[orden]]="","",MAX(0,_xlfn.XLOOKUP(tblOrdenes[[#This Row],[id_operacion]],tblEjecucion[id_operacion],tblEjecucion[costo_plan_total],0)-tblOrdenes[[#This Row],[costo_servicio]]))</f>
        <v/>
      </c>
      <c r="AM393" s="18">
        <f>IF(tblOrdenes[[#This Row],[orden]]="","",tblOrdenes[[#This Row],[costo_servicio]]+tblOrdenes[[#This Row],[costo_materiales]])</f>
        <v/>
      </c>
      <c r="AN3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3" s="4" t="n"/>
      <c r="AP393" s="4" t="n"/>
      <c r="AQ393" s="4" t="n"/>
      <c r="AR393" s="5">
        <f>IF(tblOrdenes[[#This Row],[link_checklist]]="","",HYPERLINK(p_ruta_base_checklists&amp;tblOrdenes[[#This Row],[link_checklist]],"abrir"))</f>
        <v/>
      </c>
      <c r="AS393" s="4" t="n"/>
      <c r="AT393" s="5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22" t="n"/>
      <c r="K394" s="5" t="n"/>
      <c r="L394" s="18" t="n"/>
      <c r="M3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5">
        <f>IF(tblOrdenes[[#This Row],[fecha_inicio]]="","",YEAR(tblOrdenes[[#This Row],[fecha_inicio]]))</f>
        <v/>
      </c>
      <c r="Q394" s="5">
        <f>IF(tblOrdenes[[#This Row],[fecha_inicio]]="","",MONTH(tblOrdenes[[#This Row],[fecha_inicio]]))</f>
        <v/>
      </c>
      <c r="R394" s="5">
        <f>IF(tblOrdenes[[#This Row],[fecha_inicio]]="","",tblOrdenes[[#This Row],[anio]]&amp;"-"&amp;TEXT(tblOrdenes[[#This Row],[mes]],"00"))</f>
        <v/>
      </c>
      <c r="S394" s="5">
        <f>IF(tblOrdenes[[#This Row],[fecha_inicio]]="","",INDEX(lista_dias,WEEKDAY(tblOrdenes[[#This Row],[fecha_inicio]],2)))</f>
        <v/>
      </c>
      <c r="T3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4" s="5">
        <f>IF(tblOrdenes[[#This Row],[tipo_ot]]="","",_xlfn.XLOOKUP(tblOrdenes[[#This Row],[tipo_ot]],tblTiposOT[codigo],tblTiposOT[clasificacion],"sin_clasificar"))</f>
        <v/>
      </c>
      <c r="V3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4" s="5">
        <f>IF(tblOrdenes[[#This Row],[centro_costo]]="","",_xlfn.XLOOKUP(tblOrdenes[[#This Row],[centro_costo]],tblCECO[codigo],tblCECO[linea],"(sin catálogo)"))</f>
        <v/>
      </c>
      <c r="X394" s="5">
        <f>IF(tblOrdenes[[#This Row],[centro_costo]]="","",_xlfn.XLOOKUP(tblOrdenes[[#This Row],[centro_costo]],tblCECO[codigo],tblCECO[area],"(sin catálogo)"))</f>
        <v/>
      </c>
      <c r="Y3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4" s="5">
        <f>IF(tblOrdenes[[#This Row],[centro_costo]]="","",_xlfn.XLOOKUP(tblOrdenes[[#This Row],[centro_costo]],tblCECO[codigo],tblCECO[coordinador],"(sin catálogo)"))</f>
        <v/>
      </c>
      <c r="AA394" s="5">
        <f>IF(tblOrdenes[[#This Row],[puesto_trabajo]]="","",_xlfn.XLOOKUP(tblOrdenes[[#This Row],[puesto_trabajo]],tblPuestos[codigo],tblPuestos[especialidad],"(sin catálogo)"))</f>
        <v/>
      </c>
      <c r="AB394" s="5">
        <f>IF(tblOrdenes[[#This Row],[cod_actividad]]="","",_xlfn.XLOOKUP(tblOrdenes[[#This Row],[cod_actividad]],tblActividades[codigo],tblActividades[descripcion],"(sin catálogo)"))</f>
        <v/>
      </c>
      <c r="AC394" s="20">
        <f>IF(tblOrdenes[[#This Row],[fecha_inicio]]="","",TODAY()-tblOrdenes[[#This Row],[fecha_inicio]])</f>
        <v/>
      </c>
      <c r="AD3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4" s="5">
        <f>IF(tblOrdenes[[#This Row],[backlog_habiles]]="","",IF(tblOrdenes[[#This Row],[backlog_habiles]]&lt;0,"FUTURO",IF(tblOrdenes[[#This Row],[backlog_habiles]]&gt;p_dias_backlog_max,"BACKLOG","MES CORRIENTE")))</f>
        <v/>
      </c>
      <c r="AF394" s="5">
        <f>IF(tblOrdenes[[#This Row],[backlog_habiles]]="",FALSE,AND(tblOrdenes[[#This Row],[backlog_habiles]]&gt;p_dias_backlog_min,tblOrdenes[[#This Row],[backlog_habiles]]&lt;=p_dias_backlog_max))</f>
        <v/>
      </c>
      <c r="AG394" s="4" t="n"/>
      <c r="AH3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4" s="18">
        <f>IF(tblOrdenes[[#This Row],[orden]]="","",_xlfn.XLOOKUP(tblOrdenes[[#This Row],[id_operacion]],tblEjecucion[id_operacion],tblEjecucion[precio],0))</f>
        <v/>
      </c>
      <c r="AL394" s="18">
        <f>IF(tblOrdenes[[#This Row],[orden]]="","",MAX(0,_xlfn.XLOOKUP(tblOrdenes[[#This Row],[id_operacion]],tblEjecucion[id_operacion],tblEjecucion[costo_plan_total],0)-tblOrdenes[[#This Row],[costo_servicio]]))</f>
        <v/>
      </c>
      <c r="AM394" s="18">
        <f>IF(tblOrdenes[[#This Row],[orden]]="","",tblOrdenes[[#This Row],[costo_servicio]]+tblOrdenes[[#This Row],[costo_materiales]])</f>
        <v/>
      </c>
      <c r="AN3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4" s="4" t="n"/>
      <c r="AP394" s="4" t="n"/>
      <c r="AQ394" s="4" t="n"/>
      <c r="AR394" s="5">
        <f>IF(tblOrdenes[[#This Row],[link_checklist]]="","",HYPERLINK(p_ruta_base_checklists&amp;tblOrdenes[[#This Row],[link_checklist]],"abrir"))</f>
        <v/>
      </c>
      <c r="AS394" s="4" t="n"/>
      <c r="AT394" s="5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22" t="n"/>
      <c r="K395" s="5" t="n"/>
      <c r="L395" s="18" t="n"/>
      <c r="M3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5">
        <f>IF(tblOrdenes[[#This Row],[fecha_inicio]]="","",YEAR(tblOrdenes[[#This Row],[fecha_inicio]]))</f>
        <v/>
      </c>
      <c r="Q395" s="5">
        <f>IF(tblOrdenes[[#This Row],[fecha_inicio]]="","",MONTH(tblOrdenes[[#This Row],[fecha_inicio]]))</f>
        <v/>
      </c>
      <c r="R395" s="5">
        <f>IF(tblOrdenes[[#This Row],[fecha_inicio]]="","",tblOrdenes[[#This Row],[anio]]&amp;"-"&amp;TEXT(tblOrdenes[[#This Row],[mes]],"00"))</f>
        <v/>
      </c>
      <c r="S395" s="5">
        <f>IF(tblOrdenes[[#This Row],[fecha_inicio]]="","",INDEX(lista_dias,WEEKDAY(tblOrdenes[[#This Row],[fecha_inicio]],2)))</f>
        <v/>
      </c>
      <c r="T3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5" s="5">
        <f>IF(tblOrdenes[[#This Row],[tipo_ot]]="","",_xlfn.XLOOKUP(tblOrdenes[[#This Row],[tipo_ot]],tblTiposOT[codigo],tblTiposOT[clasificacion],"sin_clasificar"))</f>
        <v/>
      </c>
      <c r="V3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5" s="5">
        <f>IF(tblOrdenes[[#This Row],[centro_costo]]="","",_xlfn.XLOOKUP(tblOrdenes[[#This Row],[centro_costo]],tblCECO[codigo],tblCECO[linea],"(sin catálogo)"))</f>
        <v/>
      </c>
      <c r="X395" s="5">
        <f>IF(tblOrdenes[[#This Row],[centro_costo]]="","",_xlfn.XLOOKUP(tblOrdenes[[#This Row],[centro_costo]],tblCECO[codigo],tblCECO[area],"(sin catálogo)"))</f>
        <v/>
      </c>
      <c r="Y3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5" s="5">
        <f>IF(tblOrdenes[[#This Row],[centro_costo]]="","",_xlfn.XLOOKUP(tblOrdenes[[#This Row],[centro_costo]],tblCECO[codigo],tblCECO[coordinador],"(sin catálogo)"))</f>
        <v/>
      </c>
      <c r="AA395" s="5">
        <f>IF(tblOrdenes[[#This Row],[puesto_trabajo]]="","",_xlfn.XLOOKUP(tblOrdenes[[#This Row],[puesto_trabajo]],tblPuestos[codigo],tblPuestos[especialidad],"(sin catálogo)"))</f>
        <v/>
      </c>
      <c r="AB395" s="5">
        <f>IF(tblOrdenes[[#This Row],[cod_actividad]]="","",_xlfn.XLOOKUP(tblOrdenes[[#This Row],[cod_actividad]],tblActividades[codigo],tblActividades[descripcion],"(sin catálogo)"))</f>
        <v/>
      </c>
      <c r="AC395" s="20">
        <f>IF(tblOrdenes[[#This Row],[fecha_inicio]]="","",TODAY()-tblOrdenes[[#This Row],[fecha_inicio]])</f>
        <v/>
      </c>
      <c r="AD3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5" s="5">
        <f>IF(tblOrdenes[[#This Row],[backlog_habiles]]="","",IF(tblOrdenes[[#This Row],[backlog_habiles]]&lt;0,"FUTURO",IF(tblOrdenes[[#This Row],[backlog_habiles]]&gt;p_dias_backlog_max,"BACKLOG","MES CORRIENTE")))</f>
        <v/>
      </c>
      <c r="AF395" s="5">
        <f>IF(tblOrdenes[[#This Row],[backlog_habiles]]="",FALSE,AND(tblOrdenes[[#This Row],[backlog_habiles]]&gt;p_dias_backlog_min,tblOrdenes[[#This Row],[backlog_habiles]]&lt;=p_dias_backlog_max))</f>
        <v/>
      </c>
      <c r="AG395" s="4" t="n"/>
      <c r="AH3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5" s="18">
        <f>IF(tblOrdenes[[#This Row],[orden]]="","",_xlfn.XLOOKUP(tblOrdenes[[#This Row],[id_operacion]],tblEjecucion[id_operacion],tblEjecucion[precio],0))</f>
        <v/>
      </c>
      <c r="AL395" s="18">
        <f>IF(tblOrdenes[[#This Row],[orden]]="","",MAX(0,_xlfn.XLOOKUP(tblOrdenes[[#This Row],[id_operacion]],tblEjecucion[id_operacion],tblEjecucion[costo_plan_total],0)-tblOrdenes[[#This Row],[costo_servicio]]))</f>
        <v/>
      </c>
      <c r="AM395" s="18">
        <f>IF(tblOrdenes[[#This Row],[orden]]="","",tblOrdenes[[#This Row],[costo_servicio]]+tblOrdenes[[#This Row],[costo_materiales]])</f>
        <v/>
      </c>
      <c r="AN3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5" s="4" t="n"/>
      <c r="AP395" s="4" t="n"/>
      <c r="AQ395" s="4" t="n"/>
      <c r="AR395" s="5">
        <f>IF(tblOrdenes[[#This Row],[link_checklist]]="","",HYPERLINK(p_ruta_base_checklists&amp;tblOrdenes[[#This Row],[link_checklist]],"abrir"))</f>
        <v/>
      </c>
      <c r="AS395" s="4" t="n"/>
      <c r="AT395" s="5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22" t="n"/>
      <c r="K396" s="5" t="n"/>
      <c r="L396" s="18" t="n"/>
      <c r="M3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5">
        <f>IF(tblOrdenes[[#This Row],[fecha_inicio]]="","",YEAR(tblOrdenes[[#This Row],[fecha_inicio]]))</f>
        <v/>
      </c>
      <c r="Q396" s="5">
        <f>IF(tblOrdenes[[#This Row],[fecha_inicio]]="","",MONTH(tblOrdenes[[#This Row],[fecha_inicio]]))</f>
        <v/>
      </c>
      <c r="R396" s="5">
        <f>IF(tblOrdenes[[#This Row],[fecha_inicio]]="","",tblOrdenes[[#This Row],[anio]]&amp;"-"&amp;TEXT(tblOrdenes[[#This Row],[mes]],"00"))</f>
        <v/>
      </c>
      <c r="S396" s="5">
        <f>IF(tblOrdenes[[#This Row],[fecha_inicio]]="","",INDEX(lista_dias,WEEKDAY(tblOrdenes[[#This Row],[fecha_inicio]],2)))</f>
        <v/>
      </c>
      <c r="T3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6" s="5">
        <f>IF(tblOrdenes[[#This Row],[tipo_ot]]="","",_xlfn.XLOOKUP(tblOrdenes[[#This Row],[tipo_ot]],tblTiposOT[codigo],tblTiposOT[clasificacion],"sin_clasificar"))</f>
        <v/>
      </c>
      <c r="V3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6" s="5">
        <f>IF(tblOrdenes[[#This Row],[centro_costo]]="","",_xlfn.XLOOKUP(tblOrdenes[[#This Row],[centro_costo]],tblCECO[codigo],tblCECO[linea],"(sin catálogo)"))</f>
        <v/>
      </c>
      <c r="X396" s="5">
        <f>IF(tblOrdenes[[#This Row],[centro_costo]]="","",_xlfn.XLOOKUP(tblOrdenes[[#This Row],[centro_costo]],tblCECO[codigo],tblCECO[area],"(sin catálogo)"))</f>
        <v/>
      </c>
      <c r="Y3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6" s="5">
        <f>IF(tblOrdenes[[#This Row],[centro_costo]]="","",_xlfn.XLOOKUP(tblOrdenes[[#This Row],[centro_costo]],tblCECO[codigo],tblCECO[coordinador],"(sin catálogo)"))</f>
        <v/>
      </c>
      <c r="AA396" s="5">
        <f>IF(tblOrdenes[[#This Row],[puesto_trabajo]]="","",_xlfn.XLOOKUP(tblOrdenes[[#This Row],[puesto_trabajo]],tblPuestos[codigo],tblPuestos[especialidad],"(sin catálogo)"))</f>
        <v/>
      </c>
      <c r="AB396" s="5">
        <f>IF(tblOrdenes[[#This Row],[cod_actividad]]="","",_xlfn.XLOOKUP(tblOrdenes[[#This Row],[cod_actividad]],tblActividades[codigo],tblActividades[descripcion],"(sin catálogo)"))</f>
        <v/>
      </c>
      <c r="AC396" s="20">
        <f>IF(tblOrdenes[[#This Row],[fecha_inicio]]="","",TODAY()-tblOrdenes[[#This Row],[fecha_inicio]])</f>
        <v/>
      </c>
      <c r="AD3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6" s="5">
        <f>IF(tblOrdenes[[#This Row],[backlog_habiles]]="","",IF(tblOrdenes[[#This Row],[backlog_habiles]]&lt;0,"FUTURO",IF(tblOrdenes[[#This Row],[backlog_habiles]]&gt;p_dias_backlog_max,"BACKLOG","MES CORRIENTE")))</f>
        <v/>
      </c>
      <c r="AF396" s="5">
        <f>IF(tblOrdenes[[#This Row],[backlog_habiles]]="",FALSE,AND(tblOrdenes[[#This Row],[backlog_habiles]]&gt;p_dias_backlog_min,tblOrdenes[[#This Row],[backlog_habiles]]&lt;=p_dias_backlog_max))</f>
        <v/>
      </c>
      <c r="AG396" s="4" t="n"/>
      <c r="AH3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6" s="18">
        <f>IF(tblOrdenes[[#This Row],[orden]]="","",_xlfn.XLOOKUP(tblOrdenes[[#This Row],[id_operacion]],tblEjecucion[id_operacion],tblEjecucion[precio],0))</f>
        <v/>
      </c>
      <c r="AL396" s="18">
        <f>IF(tblOrdenes[[#This Row],[orden]]="","",MAX(0,_xlfn.XLOOKUP(tblOrdenes[[#This Row],[id_operacion]],tblEjecucion[id_operacion],tblEjecucion[costo_plan_total],0)-tblOrdenes[[#This Row],[costo_servicio]]))</f>
        <v/>
      </c>
      <c r="AM396" s="18">
        <f>IF(tblOrdenes[[#This Row],[orden]]="","",tblOrdenes[[#This Row],[costo_servicio]]+tblOrdenes[[#This Row],[costo_materiales]])</f>
        <v/>
      </c>
      <c r="AN3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6" s="4" t="n"/>
      <c r="AP396" s="4" t="n"/>
      <c r="AQ396" s="4" t="n"/>
      <c r="AR396" s="5">
        <f>IF(tblOrdenes[[#This Row],[link_checklist]]="","",HYPERLINK(p_ruta_base_checklists&amp;tblOrdenes[[#This Row],[link_checklist]],"abrir"))</f>
        <v/>
      </c>
      <c r="AS396" s="4" t="n"/>
      <c r="AT396" s="5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22" t="n"/>
      <c r="K397" s="5" t="n"/>
      <c r="L397" s="18" t="n"/>
      <c r="M3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5">
        <f>IF(tblOrdenes[[#This Row],[fecha_inicio]]="","",YEAR(tblOrdenes[[#This Row],[fecha_inicio]]))</f>
        <v/>
      </c>
      <c r="Q397" s="5">
        <f>IF(tblOrdenes[[#This Row],[fecha_inicio]]="","",MONTH(tblOrdenes[[#This Row],[fecha_inicio]]))</f>
        <v/>
      </c>
      <c r="R397" s="5">
        <f>IF(tblOrdenes[[#This Row],[fecha_inicio]]="","",tblOrdenes[[#This Row],[anio]]&amp;"-"&amp;TEXT(tblOrdenes[[#This Row],[mes]],"00"))</f>
        <v/>
      </c>
      <c r="S397" s="5">
        <f>IF(tblOrdenes[[#This Row],[fecha_inicio]]="","",INDEX(lista_dias,WEEKDAY(tblOrdenes[[#This Row],[fecha_inicio]],2)))</f>
        <v/>
      </c>
      <c r="T3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7" s="5">
        <f>IF(tblOrdenes[[#This Row],[tipo_ot]]="","",_xlfn.XLOOKUP(tblOrdenes[[#This Row],[tipo_ot]],tblTiposOT[codigo],tblTiposOT[clasificacion],"sin_clasificar"))</f>
        <v/>
      </c>
      <c r="V3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7" s="5">
        <f>IF(tblOrdenes[[#This Row],[centro_costo]]="","",_xlfn.XLOOKUP(tblOrdenes[[#This Row],[centro_costo]],tblCECO[codigo],tblCECO[linea],"(sin catálogo)"))</f>
        <v/>
      </c>
      <c r="X397" s="5">
        <f>IF(tblOrdenes[[#This Row],[centro_costo]]="","",_xlfn.XLOOKUP(tblOrdenes[[#This Row],[centro_costo]],tblCECO[codigo],tblCECO[area],"(sin catálogo)"))</f>
        <v/>
      </c>
      <c r="Y3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7" s="5">
        <f>IF(tblOrdenes[[#This Row],[centro_costo]]="","",_xlfn.XLOOKUP(tblOrdenes[[#This Row],[centro_costo]],tblCECO[codigo],tblCECO[coordinador],"(sin catálogo)"))</f>
        <v/>
      </c>
      <c r="AA397" s="5">
        <f>IF(tblOrdenes[[#This Row],[puesto_trabajo]]="","",_xlfn.XLOOKUP(tblOrdenes[[#This Row],[puesto_trabajo]],tblPuestos[codigo],tblPuestos[especialidad],"(sin catálogo)"))</f>
        <v/>
      </c>
      <c r="AB397" s="5">
        <f>IF(tblOrdenes[[#This Row],[cod_actividad]]="","",_xlfn.XLOOKUP(tblOrdenes[[#This Row],[cod_actividad]],tblActividades[codigo],tblActividades[descripcion],"(sin catálogo)"))</f>
        <v/>
      </c>
      <c r="AC397" s="20">
        <f>IF(tblOrdenes[[#This Row],[fecha_inicio]]="","",TODAY()-tblOrdenes[[#This Row],[fecha_inicio]])</f>
        <v/>
      </c>
      <c r="AD3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7" s="5">
        <f>IF(tblOrdenes[[#This Row],[backlog_habiles]]="","",IF(tblOrdenes[[#This Row],[backlog_habiles]]&lt;0,"FUTURO",IF(tblOrdenes[[#This Row],[backlog_habiles]]&gt;p_dias_backlog_max,"BACKLOG","MES CORRIENTE")))</f>
        <v/>
      </c>
      <c r="AF397" s="5">
        <f>IF(tblOrdenes[[#This Row],[backlog_habiles]]="",FALSE,AND(tblOrdenes[[#This Row],[backlog_habiles]]&gt;p_dias_backlog_min,tblOrdenes[[#This Row],[backlog_habiles]]&lt;=p_dias_backlog_max))</f>
        <v/>
      </c>
      <c r="AG397" s="4" t="n"/>
      <c r="AH3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7" s="18">
        <f>IF(tblOrdenes[[#This Row],[orden]]="","",_xlfn.XLOOKUP(tblOrdenes[[#This Row],[id_operacion]],tblEjecucion[id_operacion],tblEjecucion[precio],0))</f>
        <v/>
      </c>
      <c r="AL397" s="18">
        <f>IF(tblOrdenes[[#This Row],[orden]]="","",MAX(0,_xlfn.XLOOKUP(tblOrdenes[[#This Row],[id_operacion]],tblEjecucion[id_operacion],tblEjecucion[costo_plan_total],0)-tblOrdenes[[#This Row],[costo_servicio]]))</f>
        <v/>
      </c>
      <c r="AM397" s="18">
        <f>IF(tblOrdenes[[#This Row],[orden]]="","",tblOrdenes[[#This Row],[costo_servicio]]+tblOrdenes[[#This Row],[costo_materiales]])</f>
        <v/>
      </c>
      <c r="AN3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7" s="4" t="n"/>
      <c r="AP397" s="4" t="n"/>
      <c r="AQ397" s="4" t="n"/>
      <c r="AR397" s="5">
        <f>IF(tblOrdenes[[#This Row],[link_checklist]]="","",HYPERLINK(p_ruta_base_checklists&amp;tblOrdenes[[#This Row],[link_checklist]],"abrir"))</f>
        <v/>
      </c>
      <c r="AS397" s="4" t="n"/>
      <c r="AT397" s="5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22" t="n"/>
      <c r="K398" s="5" t="n"/>
      <c r="L398" s="18" t="n"/>
      <c r="M3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5">
        <f>IF(tblOrdenes[[#This Row],[fecha_inicio]]="","",YEAR(tblOrdenes[[#This Row],[fecha_inicio]]))</f>
        <v/>
      </c>
      <c r="Q398" s="5">
        <f>IF(tblOrdenes[[#This Row],[fecha_inicio]]="","",MONTH(tblOrdenes[[#This Row],[fecha_inicio]]))</f>
        <v/>
      </c>
      <c r="R398" s="5">
        <f>IF(tblOrdenes[[#This Row],[fecha_inicio]]="","",tblOrdenes[[#This Row],[anio]]&amp;"-"&amp;TEXT(tblOrdenes[[#This Row],[mes]],"00"))</f>
        <v/>
      </c>
      <c r="S398" s="5">
        <f>IF(tblOrdenes[[#This Row],[fecha_inicio]]="","",INDEX(lista_dias,WEEKDAY(tblOrdenes[[#This Row],[fecha_inicio]],2)))</f>
        <v/>
      </c>
      <c r="T3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8" s="5">
        <f>IF(tblOrdenes[[#This Row],[tipo_ot]]="","",_xlfn.XLOOKUP(tblOrdenes[[#This Row],[tipo_ot]],tblTiposOT[codigo],tblTiposOT[clasificacion],"sin_clasificar"))</f>
        <v/>
      </c>
      <c r="V3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8" s="5">
        <f>IF(tblOrdenes[[#This Row],[centro_costo]]="","",_xlfn.XLOOKUP(tblOrdenes[[#This Row],[centro_costo]],tblCECO[codigo],tblCECO[linea],"(sin catálogo)"))</f>
        <v/>
      </c>
      <c r="X398" s="5">
        <f>IF(tblOrdenes[[#This Row],[centro_costo]]="","",_xlfn.XLOOKUP(tblOrdenes[[#This Row],[centro_costo]],tblCECO[codigo],tblCECO[area],"(sin catálogo)"))</f>
        <v/>
      </c>
      <c r="Y3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8" s="5">
        <f>IF(tblOrdenes[[#This Row],[centro_costo]]="","",_xlfn.XLOOKUP(tblOrdenes[[#This Row],[centro_costo]],tblCECO[codigo],tblCECO[coordinador],"(sin catálogo)"))</f>
        <v/>
      </c>
      <c r="AA398" s="5">
        <f>IF(tblOrdenes[[#This Row],[puesto_trabajo]]="","",_xlfn.XLOOKUP(tblOrdenes[[#This Row],[puesto_trabajo]],tblPuestos[codigo],tblPuestos[especialidad],"(sin catálogo)"))</f>
        <v/>
      </c>
      <c r="AB398" s="5">
        <f>IF(tblOrdenes[[#This Row],[cod_actividad]]="","",_xlfn.XLOOKUP(tblOrdenes[[#This Row],[cod_actividad]],tblActividades[codigo],tblActividades[descripcion],"(sin catálogo)"))</f>
        <v/>
      </c>
      <c r="AC398" s="20">
        <f>IF(tblOrdenes[[#This Row],[fecha_inicio]]="","",TODAY()-tblOrdenes[[#This Row],[fecha_inicio]])</f>
        <v/>
      </c>
      <c r="AD3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8" s="5">
        <f>IF(tblOrdenes[[#This Row],[backlog_habiles]]="","",IF(tblOrdenes[[#This Row],[backlog_habiles]]&lt;0,"FUTURO",IF(tblOrdenes[[#This Row],[backlog_habiles]]&gt;p_dias_backlog_max,"BACKLOG","MES CORRIENTE")))</f>
        <v/>
      </c>
      <c r="AF398" s="5">
        <f>IF(tblOrdenes[[#This Row],[backlog_habiles]]="",FALSE,AND(tblOrdenes[[#This Row],[backlog_habiles]]&gt;p_dias_backlog_min,tblOrdenes[[#This Row],[backlog_habiles]]&lt;=p_dias_backlog_max))</f>
        <v/>
      </c>
      <c r="AG398" s="4" t="n"/>
      <c r="AH3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8" s="18">
        <f>IF(tblOrdenes[[#This Row],[orden]]="","",_xlfn.XLOOKUP(tblOrdenes[[#This Row],[id_operacion]],tblEjecucion[id_operacion],tblEjecucion[precio],0))</f>
        <v/>
      </c>
      <c r="AL398" s="18">
        <f>IF(tblOrdenes[[#This Row],[orden]]="","",MAX(0,_xlfn.XLOOKUP(tblOrdenes[[#This Row],[id_operacion]],tblEjecucion[id_operacion],tblEjecucion[costo_plan_total],0)-tblOrdenes[[#This Row],[costo_servicio]]))</f>
        <v/>
      </c>
      <c r="AM398" s="18">
        <f>IF(tblOrdenes[[#This Row],[orden]]="","",tblOrdenes[[#This Row],[costo_servicio]]+tblOrdenes[[#This Row],[costo_materiales]])</f>
        <v/>
      </c>
      <c r="AN3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8" s="4" t="n"/>
      <c r="AP398" s="4" t="n"/>
      <c r="AQ398" s="4" t="n"/>
      <c r="AR398" s="5">
        <f>IF(tblOrdenes[[#This Row],[link_checklist]]="","",HYPERLINK(p_ruta_base_checklists&amp;tblOrdenes[[#This Row],[link_checklist]],"abrir"))</f>
        <v/>
      </c>
      <c r="AS398" s="4" t="n"/>
      <c r="AT398" s="5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22" t="n"/>
      <c r="K399" s="5" t="n"/>
      <c r="L399" s="18" t="n"/>
      <c r="M3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5">
        <f>IF(tblOrdenes[[#This Row],[fecha_inicio]]="","",YEAR(tblOrdenes[[#This Row],[fecha_inicio]]))</f>
        <v/>
      </c>
      <c r="Q399" s="5">
        <f>IF(tblOrdenes[[#This Row],[fecha_inicio]]="","",MONTH(tblOrdenes[[#This Row],[fecha_inicio]]))</f>
        <v/>
      </c>
      <c r="R399" s="5">
        <f>IF(tblOrdenes[[#This Row],[fecha_inicio]]="","",tblOrdenes[[#This Row],[anio]]&amp;"-"&amp;TEXT(tblOrdenes[[#This Row],[mes]],"00"))</f>
        <v/>
      </c>
      <c r="S399" s="5">
        <f>IF(tblOrdenes[[#This Row],[fecha_inicio]]="","",INDEX(lista_dias,WEEKDAY(tblOrdenes[[#This Row],[fecha_inicio]],2)))</f>
        <v/>
      </c>
      <c r="T3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9" s="5">
        <f>IF(tblOrdenes[[#This Row],[tipo_ot]]="","",_xlfn.XLOOKUP(tblOrdenes[[#This Row],[tipo_ot]],tblTiposOT[codigo],tblTiposOT[clasificacion],"sin_clasificar"))</f>
        <v/>
      </c>
      <c r="V3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9" s="5">
        <f>IF(tblOrdenes[[#This Row],[centro_costo]]="","",_xlfn.XLOOKUP(tblOrdenes[[#This Row],[centro_costo]],tblCECO[codigo],tblCECO[linea],"(sin catálogo)"))</f>
        <v/>
      </c>
      <c r="X399" s="5">
        <f>IF(tblOrdenes[[#This Row],[centro_costo]]="","",_xlfn.XLOOKUP(tblOrdenes[[#This Row],[centro_costo]],tblCECO[codigo],tblCECO[area],"(sin catálogo)"))</f>
        <v/>
      </c>
      <c r="Y3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399" s="5">
        <f>IF(tblOrdenes[[#This Row],[centro_costo]]="","",_xlfn.XLOOKUP(tblOrdenes[[#This Row],[centro_costo]],tblCECO[codigo],tblCECO[coordinador],"(sin catálogo)"))</f>
        <v/>
      </c>
      <c r="AA399" s="5">
        <f>IF(tblOrdenes[[#This Row],[puesto_trabajo]]="","",_xlfn.XLOOKUP(tblOrdenes[[#This Row],[puesto_trabajo]],tblPuestos[codigo],tblPuestos[especialidad],"(sin catálogo)"))</f>
        <v/>
      </c>
      <c r="AB399" s="5">
        <f>IF(tblOrdenes[[#This Row],[cod_actividad]]="","",_xlfn.XLOOKUP(tblOrdenes[[#This Row],[cod_actividad]],tblActividades[codigo],tblActividades[descripcion],"(sin catálogo)"))</f>
        <v/>
      </c>
      <c r="AC399" s="20">
        <f>IF(tblOrdenes[[#This Row],[fecha_inicio]]="","",TODAY()-tblOrdenes[[#This Row],[fecha_inicio]])</f>
        <v/>
      </c>
      <c r="AD3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399" s="5">
        <f>IF(tblOrdenes[[#This Row],[backlog_habiles]]="","",IF(tblOrdenes[[#This Row],[backlog_habiles]]&lt;0,"FUTURO",IF(tblOrdenes[[#This Row],[backlog_habiles]]&gt;p_dias_backlog_max,"BACKLOG","MES CORRIENTE")))</f>
        <v/>
      </c>
      <c r="AF399" s="5">
        <f>IF(tblOrdenes[[#This Row],[backlog_habiles]]="",FALSE,AND(tblOrdenes[[#This Row],[backlog_habiles]]&gt;p_dias_backlog_min,tblOrdenes[[#This Row],[backlog_habiles]]&lt;=p_dias_backlog_max))</f>
        <v/>
      </c>
      <c r="AG399" s="4" t="n"/>
      <c r="AH3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3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3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399" s="18">
        <f>IF(tblOrdenes[[#This Row],[orden]]="","",_xlfn.XLOOKUP(tblOrdenes[[#This Row],[id_operacion]],tblEjecucion[id_operacion],tblEjecucion[precio],0))</f>
        <v/>
      </c>
      <c r="AL399" s="18">
        <f>IF(tblOrdenes[[#This Row],[orden]]="","",MAX(0,_xlfn.XLOOKUP(tblOrdenes[[#This Row],[id_operacion]],tblEjecucion[id_operacion],tblEjecucion[costo_plan_total],0)-tblOrdenes[[#This Row],[costo_servicio]]))</f>
        <v/>
      </c>
      <c r="AM399" s="18">
        <f>IF(tblOrdenes[[#This Row],[orden]]="","",tblOrdenes[[#This Row],[costo_servicio]]+tblOrdenes[[#This Row],[costo_materiales]])</f>
        <v/>
      </c>
      <c r="AN3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399" s="4" t="n"/>
      <c r="AP399" s="4" t="n"/>
      <c r="AQ399" s="4" t="n"/>
      <c r="AR399" s="5">
        <f>IF(tblOrdenes[[#This Row],[link_checklist]]="","",HYPERLINK(p_ruta_base_checklists&amp;tblOrdenes[[#This Row],[link_checklist]],"abrir"))</f>
        <v/>
      </c>
      <c r="AS399" s="4" t="n"/>
      <c r="AT399" s="5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22" t="n"/>
      <c r="K400" s="5" t="n"/>
      <c r="L400" s="18" t="n"/>
      <c r="M4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5">
        <f>IF(tblOrdenes[[#This Row],[fecha_inicio]]="","",YEAR(tblOrdenes[[#This Row],[fecha_inicio]]))</f>
        <v/>
      </c>
      <c r="Q400" s="5">
        <f>IF(tblOrdenes[[#This Row],[fecha_inicio]]="","",MONTH(tblOrdenes[[#This Row],[fecha_inicio]]))</f>
        <v/>
      </c>
      <c r="R400" s="5">
        <f>IF(tblOrdenes[[#This Row],[fecha_inicio]]="","",tblOrdenes[[#This Row],[anio]]&amp;"-"&amp;TEXT(tblOrdenes[[#This Row],[mes]],"00"))</f>
        <v/>
      </c>
      <c r="S400" s="5">
        <f>IF(tblOrdenes[[#This Row],[fecha_inicio]]="","",INDEX(lista_dias,WEEKDAY(tblOrdenes[[#This Row],[fecha_inicio]],2)))</f>
        <v/>
      </c>
      <c r="T4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0" s="5">
        <f>IF(tblOrdenes[[#This Row],[tipo_ot]]="","",_xlfn.XLOOKUP(tblOrdenes[[#This Row],[tipo_ot]],tblTiposOT[codigo],tblTiposOT[clasificacion],"sin_clasificar"))</f>
        <v/>
      </c>
      <c r="V4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0" s="5">
        <f>IF(tblOrdenes[[#This Row],[centro_costo]]="","",_xlfn.XLOOKUP(tblOrdenes[[#This Row],[centro_costo]],tblCECO[codigo],tblCECO[linea],"(sin catálogo)"))</f>
        <v/>
      </c>
      <c r="X400" s="5">
        <f>IF(tblOrdenes[[#This Row],[centro_costo]]="","",_xlfn.XLOOKUP(tblOrdenes[[#This Row],[centro_costo]],tblCECO[codigo],tblCECO[area],"(sin catálogo)"))</f>
        <v/>
      </c>
      <c r="Y4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0" s="5">
        <f>IF(tblOrdenes[[#This Row],[centro_costo]]="","",_xlfn.XLOOKUP(tblOrdenes[[#This Row],[centro_costo]],tblCECO[codigo],tblCECO[coordinador],"(sin catálogo)"))</f>
        <v/>
      </c>
      <c r="AA400" s="5">
        <f>IF(tblOrdenes[[#This Row],[puesto_trabajo]]="","",_xlfn.XLOOKUP(tblOrdenes[[#This Row],[puesto_trabajo]],tblPuestos[codigo],tblPuestos[especialidad],"(sin catálogo)"))</f>
        <v/>
      </c>
      <c r="AB400" s="5">
        <f>IF(tblOrdenes[[#This Row],[cod_actividad]]="","",_xlfn.XLOOKUP(tblOrdenes[[#This Row],[cod_actividad]],tblActividades[codigo],tblActividades[descripcion],"(sin catálogo)"))</f>
        <v/>
      </c>
      <c r="AC400" s="20">
        <f>IF(tblOrdenes[[#This Row],[fecha_inicio]]="","",TODAY()-tblOrdenes[[#This Row],[fecha_inicio]])</f>
        <v/>
      </c>
      <c r="AD4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0" s="5">
        <f>IF(tblOrdenes[[#This Row],[backlog_habiles]]="","",IF(tblOrdenes[[#This Row],[backlog_habiles]]&lt;0,"FUTURO",IF(tblOrdenes[[#This Row],[backlog_habiles]]&gt;p_dias_backlog_max,"BACKLOG","MES CORRIENTE")))</f>
        <v/>
      </c>
      <c r="AF400" s="5">
        <f>IF(tblOrdenes[[#This Row],[backlog_habiles]]="",FALSE,AND(tblOrdenes[[#This Row],[backlog_habiles]]&gt;p_dias_backlog_min,tblOrdenes[[#This Row],[backlog_habiles]]&lt;=p_dias_backlog_max))</f>
        <v/>
      </c>
      <c r="AG400" s="4" t="n"/>
      <c r="AH4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0" s="18">
        <f>IF(tblOrdenes[[#This Row],[orden]]="","",_xlfn.XLOOKUP(tblOrdenes[[#This Row],[id_operacion]],tblEjecucion[id_operacion],tblEjecucion[precio],0))</f>
        <v/>
      </c>
      <c r="AL400" s="18">
        <f>IF(tblOrdenes[[#This Row],[orden]]="","",MAX(0,_xlfn.XLOOKUP(tblOrdenes[[#This Row],[id_operacion]],tblEjecucion[id_operacion],tblEjecucion[costo_plan_total],0)-tblOrdenes[[#This Row],[costo_servicio]]))</f>
        <v/>
      </c>
      <c r="AM400" s="18">
        <f>IF(tblOrdenes[[#This Row],[orden]]="","",tblOrdenes[[#This Row],[costo_servicio]]+tblOrdenes[[#This Row],[costo_materiales]])</f>
        <v/>
      </c>
      <c r="AN4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0" s="4" t="n"/>
      <c r="AP400" s="4" t="n"/>
      <c r="AQ400" s="4" t="n"/>
      <c r="AR400" s="5">
        <f>IF(tblOrdenes[[#This Row],[link_checklist]]="","",HYPERLINK(p_ruta_base_checklists&amp;tblOrdenes[[#This Row],[link_checklist]],"abrir"))</f>
        <v/>
      </c>
      <c r="AS400" s="4" t="n"/>
      <c r="AT400" s="5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22" t="n"/>
      <c r="K401" s="5" t="n"/>
      <c r="L401" s="18" t="n"/>
      <c r="M4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5">
        <f>IF(tblOrdenes[[#This Row],[fecha_inicio]]="","",YEAR(tblOrdenes[[#This Row],[fecha_inicio]]))</f>
        <v/>
      </c>
      <c r="Q401" s="5">
        <f>IF(tblOrdenes[[#This Row],[fecha_inicio]]="","",MONTH(tblOrdenes[[#This Row],[fecha_inicio]]))</f>
        <v/>
      </c>
      <c r="R401" s="5">
        <f>IF(tblOrdenes[[#This Row],[fecha_inicio]]="","",tblOrdenes[[#This Row],[anio]]&amp;"-"&amp;TEXT(tblOrdenes[[#This Row],[mes]],"00"))</f>
        <v/>
      </c>
      <c r="S401" s="5">
        <f>IF(tblOrdenes[[#This Row],[fecha_inicio]]="","",INDEX(lista_dias,WEEKDAY(tblOrdenes[[#This Row],[fecha_inicio]],2)))</f>
        <v/>
      </c>
      <c r="T4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1" s="5">
        <f>IF(tblOrdenes[[#This Row],[tipo_ot]]="","",_xlfn.XLOOKUP(tblOrdenes[[#This Row],[tipo_ot]],tblTiposOT[codigo],tblTiposOT[clasificacion],"sin_clasificar"))</f>
        <v/>
      </c>
      <c r="V4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1" s="5">
        <f>IF(tblOrdenes[[#This Row],[centro_costo]]="","",_xlfn.XLOOKUP(tblOrdenes[[#This Row],[centro_costo]],tblCECO[codigo],tblCECO[linea],"(sin catálogo)"))</f>
        <v/>
      </c>
      <c r="X401" s="5">
        <f>IF(tblOrdenes[[#This Row],[centro_costo]]="","",_xlfn.XLOOKUP(tblOrdenes[[#This Row],[centro_costo]],tblCECO[codigo],tblCECO[area],"(sin catálogo)"))</f>
        <v/>
      </c>
      <c r="Y4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1" s="5">
        <f>IF(tblOrdenes[[#This Row],[centro_costo]]="","",_xlfn.XLOOKUP(tblOrdenes[[#This Row],[centro_costo]],tblCECO[codigo],tblCECO[coordinador],"(sin catálogo)"))</f>
        <v/>
      </c>
      <c r="AA401" s="5">
        <f>IF(tblOrdenes[[#This Row],[puesto_trabajo]]="","",_xlfn.XLOOKUP(tblOrdenes[[#This Row],[puesto_trabajo]],tblPuestos[codigo],tblPuestos[especialidad],"(sin catálogo)"))</f>
        <v/>
      </c>
      <c r="AB401" s="5">
        <f>IF(tblOrdenes[[#This Row],[cod_actividad]]="","",_xlfn.XLOOKUP(tblOrdenes[[#This Row],[cod_actividad]],tblActividades[codigo],tblActividades[descripcion],"(sin catálogo)"))</f>
        <v/>
      </c>
      <c r="AC401" s="20">
        <f>IF(tblOrdenes[[#This Row],[fecha_inicio]]="","",TODAY()-tblOrdenes[[#This Row],[fecha_inicio]])</f>
        <v/>
      </c>
      <c r="AD4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1" s="5">
        <f>IF(tblOrdenes[[#This Row],[backlog_habiles]]="","",IF(tblOrdenes[[#This Row],[backlog_habiles]]&lt;0,"FUTURO",IF(tblOrdenes[[#This Row],[backlog_habiles]]&gt;p_dias_backlog_max,"BACKLOG","MES CORRIENTE")))</f>
        <v/>
      </c>
      <c r="AF401" s="5">
        <f>IF(tblOrdenes[[#This Row],[backlog_habiles]]="",FALSE,AND(tblOrdenes[[#This Row],[backlog_habiles]]&gt;p_dias_backlog_min,tblOrdenes[[#This Row],[backlog_habiles]]&lt;=p_dias_backlog_max))</f>
        <v/>
      </c>
      <c r="AG401" s="4" t="n"/>
      <c r="AH4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1" s="18">
        <f>IF(tblOrdenes[[#This Row],[orden]]="","",_xlfn.XLOOKUP(tblOrdenes[[#This Row],[id_operacion]],tblEjecucion[id_operacion],tblEjecucion[precio],0))</f>
        <v/>
      </c>
      <c r="AL401" s="18">
        <f>IF(tblOrdenes[[#This Row],[orden]]="","",MAX(0,_xlfn.XLOOKUP(tblOrdenes[[#This Row],[id_operacion]],tblEjecucion[id_operacion],tblEjecucion[costo_plan_total],0)-tblOrdenes[[#This Row],[costo_servicio]]))</f>
        <v/>
      </c>
      <c r="AM401" s="18">
        <f>IF(tblOrdenes[[#This Row],[orden]]="","",tblOrdenes[[#This Row],[costo_servicio]]+tblOrdenes[[#This Row],[costo_materiales]])</f>
        <v/>
      </c>
      <c r="AN4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1" s="4" t="n"/>
      <c r="AP401" s="4" t="n"/>
      <c r="AQ401" s="4" t="n"/>
      <c r="AR401" s="5">
        <f>IF(tblOrdenes[[#This Row],[link_checklist]]="","",HYPERLINK(p_ruta_base_checklists&amp;tblOrdenes[[#This Row],[link_checklist]],"abrir"))</f>
        <v/>
      </c>
      <c r="AS401" s="4" t="n"/>
      <c r="AT401" s="5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22" t="n"/>
      <c r="K402" s="5" t="n"/>
      <c r="L402" s="18" t="n"/>
      <c r="M4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5">
        <f>IF(tblOrdenes[[#This Row],[fecha_inicio]]="","",YEAR(tblOrdenes[[#This Row],[fecha_inicio]]))</f>
        <v/>
      </c>
      <c r="Q402" s="5">
        <f>IF(tblOrdenes[[#This Row],[fecha_inicio]]="","",MONTH(tblOrdenes[[#This Row],[fecha_inicio]]))</f>
        <v/>
      </c>
      <c r="R402" s="5">
        <f>IF(tblOrdenes[[#This Row],[fecha_inicio]]="","",tblOrdenes[[#This Row],[anio]]&amp;"-"&amp;TEXT(tblOrdenes[[#This Row],[mes]],"00"))</f>
        <v/>
      </c>
      <c r="S402" s="5">
        <f>IF(tblOrdenes[[#This Row],[fecha_inicio]]="","",INDEX(lista_dias,WEEKDAY(tblOrdenes[[#This Row],[fecha_inicio]],2)))</f>
        <v/>
      </c>
      <c r="T4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2" s="5">
        <f>IF(tblOrdenes[[#This Row],[tipo_ot]]="","",_xlfn.XLOOKUP(tblOrdenes[[#This Row],[tipo_ot]],tblTiposOT[codigo],tblTiposOT[clasificacion],"sin_clasificar"))</f>
        <v/>
      </c>
      <c r="V4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2" s="5">
        <f>IF(tblOrdenes[[#This Row],[centro_costo]]="","",_xlfn.XLOOKUP(tblOrdenes[[#This Row],[centro_costo]],tblCECO[codigo],tblCECO[linea],"(sin catálogo)"))</f>
        <v/>
      </c>
      <c r="X402" s="5">
        <f>IF(tblOrdenes[[#This Row],[centro_costo]]="","",_xlfn.XLOOKUP(tblOrdenes[[#This Row],[centro_costo]],tblCECO[codigo],tblCECO[area],"(sin catálogo)"))</f>
        <v/>
      </c>
      <c r="Y4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2" s="5">
        <f>IF(tblOrdenes[[#This Row],[centro_costo]]="","",_xlfn.XLOOKUP(tblOrdenes[[#This Row],[centro_costo]],tblCECO[codigo],tblCECO[coordinador],"(sin catálogo)"))</f>
        <v/>
      </c>
      <c r="AA402" s="5">
        <f>IF(tblOrdenes[[#This Row],[puesto_trabajo]]="","",_xlfn.XLOOKUP(tblOrdenes[[#This Row],[puesto_trabajo]],tblPuestos[codigo],tblPuestos[especialidad],"(sin catálogo)"))</f>
        <v/>
      </c>
      <c r="AB402" s="5">
        <f>IF(tblOrdenes[[#This Row],[cod_actividad]]="","",_xlfn.XLOOKUP(tblOrdenes[[#This Row],[cod_actividad]],tblActividades[codigo],tblActividades[descripcion],"(sin catálogo)"))</f>
        <v/>
      </c>
      <c r="AC402" s="20">
        <f>IF(tblOrdenes[[#This Row],[fecha_inicio]]="","",TODAY()-tblOrdenes[[#This Row],[fecha_inicio]])</f>
        <v/>
      </c>
      <c r="AD4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2" s="5">
        <f>IF(tblOrdenes[[#This Row],[backlog_habiles]]="","",IF(tblOrdenes[[#This Row],[backlog_habiles]]&lt;0,"FUTURO",IF(tblOrdenes[[#This Row],[backlog_habiles]]&gt;p_dias_backlog_max,"BACKLOG","MES CORRIENTE")))</f>
        <v/>
      </c>
      <c r="AF402" s="5">
        <f>IF(tblOrdenes[[#This Row],[backlog_habiles]]="",FALSE,AND(tblOrdenes[[#This Row],[backlog_habiles]]&gt;p_dias_backlog_min,tblOrdenes[[#This Row],[backlog_habiles]]&lt;=p_dias_backlog_max))</f>
        <v/>
      </c>
      <c r="AG402" s="4" t="n"/>
      <c r="AH4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2" s="18">
        <f>IF(tblOrdenes[[#This Row],[orden]]="","",_xlfn.XLOOKUP(tblOrdenes[[#This Row],[id_operacion]],tblEjecucion[id_operacion],tblEjecucion[precio],0))</f>
        <v/>
      </c>
      <c r="AL402" s="18">
        <f>IF(tblOrdenes[[#This Row],[orden]]="","",MAX(0,_xlfn.XLOOKUP(tblOrdenes[[#This Row],[id_operacion]],tblEjecucion[id_operacion],tblEjecucion[costo_plan_total],0)-tblOrdenes[[#This Row],[costo_servicio]]))</f>
        <v/>
      </c>
      <c r="AM402" s="18">
        <f>IF(tblOrdenes[[#This Row],[orden]]="","",tblOrdenes[[#This Row],[costo_servicio]]+tblOrdenes[[#This Row],[costo_materiales]])</f>
        <v/>
      </c>
      <c r="AN4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2" s="4" t="n"/>
      <c r="AP402" s="4" t="n"/>
      <c r="AQ402" s="4" t="n"/>
      <c r="AR402" s="5">
        <f>IF(tblOrdenes[[#This Row],[link_checklist]]="","",HYPERLINK(p_ruta_base_checklists&amp;tblOrdenes[[#This Row],[link_checklist]],"abrir"))</f>
        <v/>
      </c>
      <c r="AS402" s="4" t="n"/>
      <c r="AT402" s="5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22" t="n"/>
      <c r="K403" s="5" t="n"/>
      <c r="L403" s="18" t="n"/>
      <c r="M4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5">
        <f>IF(tblOrdenes[[#This Row],[fecha_inicio]]="","",YEAR(tblOrdenes[[#This Row],[fecha_inicio]]))</f>
        <v/>
      </c>
      <c r="Q403" s="5">
        <f>IF(tblOrdenes[[#This Row],[fecha_inicio]]="","",MONTH(tblOrdenes[[#This Row],[fecha_inicio]]))</f>
        <v/>
      </c>
      <c r="R403" s="5">
        <f>IF(tblOrdenes[[#This Row],[fecha_inicio]]="","",tblOrdenes[[#This Row],[anio]]&amp;"-"&amp;TEXT(tblOrdenes[[#This Row],[mes]],"00"))</f>
        <v/>
      </c>
      <c r="S403" s="5">
        <f>IF(tblOrdenes[[#This Row],[fecha_inicio]]="","",INDEX(lista_dias,WEEKDAY(tblOrdenes[[#This Row],[fecha_inicio]],2)))</f>
        <v/>
      </c>
      <c r="T4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3" s="5">
        <f>IF(tblOrdenes[[#This Row],[tipo_ot]]="","",_xlfn.XLOOKUP(tblOrdenes[[#This Row],[tipo_ot]],tblTiposOT[codigo],tblTiposOT[clasificacion],"sin_clasificar"))</f>
        <v/>
      </c>
      <c r="V4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3" s="5">
        <f>IF(tblOrdenes[[#This Row],[centro_costo]]="","",_xlfn.XLOOKUP(tblOrdenes[[#This Row],[centro_costo]],tblCECO[codigo],tblCECO[linea],"(sin catálogo)"))</f>
        <v/>
      </c>
      <c r="X403" s="5">
        <f>IF(tblOrdenes[[#This Row],[centro_costo]]="","",_xlfn.XLOOKUP(tblOrdenes[[#This Row],[centro_costo]],tblCECO[codigo],tblCECO[area],"(sin catálogo)"))</f>
        <v/>
      </c>
      <c r="Y4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3" s="5">
        <f>IF(tblOrdenes[[#This Row],[centro_costo]]="","",_xlfn.XLOOKUP(tblOrdenes[[#This Row],[centro_costo]],tblCECO[codigo],tblCECO[coordinador],"(sin catálogo)"))</f>
        <v/>
      </c>
      <c r="AA403" s="5">
        <f>IF(tblOrdenes[[#This Row],[puesto_trabajo]]="","",_xlfn.XLOOKUP(tblOrdenes[[#This Row],[puesto_trabajo]],tblPuestos[codigo],tblPuestos[especialidad],"(sin catálogo)"))</f>
        <v/>
      </c>
      <c r="AB403" s="5">
        <f>IF(tblOrdenes[[#This Row],[cod_actividad]]="","",_xlfn.XLOOKUP(tblOrdenes[[#This Row],[cod_actividad]],tblActividades[codigo],tblActividades[descripcion],"(sin catálogo)"))</f>
        <v/>
      </c>
      <c r="AC403" s="20">
        <f>IF(tblOrdenes[[#This Row],[fecha_inicio]]="","",TODAY()-tblOrdenes[[#This Row],[fecha_inicio]])</f>
        <v/>
      </c>
      <c r="AD4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3" s="5">
        <f>IF(tblOrdenes[[#This Row],[backlog_habiles]]="","",IF(tblOrdenes[[#This Row],[backlog_habiles]]&lt;0,"FUTURO",IF(tblOrdenes[[#This Row],[backlog_habiles]]&gt;p_dias_backlog_max,"BACKLOG","MES CORRIENTE")))</f>
        <v/>
      </c>
      <c r="AF403" s="5">
        <f>IF(tblOrdenes[[#This Row],[backlog_habiles]]="",FALSE,AND(tblOrdenes[[#This Row],[backlog_habiles]]&gt;p_dias_backlog_min,tblOrdenes[[#This Row],[backlog_habiles]]&lt;=p_dias_backlog_max))</f>
        <v/>
      </c>
      <c r="AG403" s="4" t="n"/>
      <c r="AH4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3" s="18">
        <f>IF(tblOrdenes[[#This Row],[orden]]="","",_xlfn.XLOOKUP(tblOrdenes[[#This Row],[id_operacion]],tblEjecucion[id_operacion],tblEjecucion[precio],0))</f>
        <v/>
      </c>
      <c r="AL403" s="18">
        <f>IF(tblOrdenes[[#This Row],[orden]]="","",MAX(0,_xlfn.XLOOKUP(tblOrdenes[[#This Row],[id_operacion]],tblEjecucion[id_operacion],tblEjecucion[costo_plan_total],0)-tblOrdenes[[#This Row],[costo_servicio]]))</f>
        <v/>
      </c>
      <c r="AM403" s="18">
        <f>IF(tblOrdenes[[#This Row],[orden]]="","",tblOrdenes[[#This Row],[costo_servicio]]+tblOrdenes[[#This Row],[costo_materiales]])</f>
        <v/>
      </c>
      <c r="AN4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3" s="4" t="n"/>
      <c r="AP403" s="4" t="n"/>
      <c r="AQ403" s="4" t="n"/>
      <c r="AR403" s="5">
        <f>IF(tblOrdenes[[#This Row],[link_checklist]]="","",HYPERLINK(p_ruta_base_checklists&amp;tblOrdenes[[#This Row],[link_checklist]],"abrir"))</f>
        <v/>
      </c>
      <c r="AS403" s="4" t="n"/>
      <c r="AT403" s="5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22" t="n"/>
      <c r="K404" s="5" t="n"/>
      <c r="L404" s="18" t="n"/>
      <c r="M4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5">
        <f>IF(tblOrdenes[[#This Row],[fecha_inicio]]="","",YEAR(tblOrdenes[[#This Row],[fecha_inicio]]))</f>
        <v/>
      </c>
      <c r="Q404" s="5">
        <f>IF(tblOrdenes[[#This Row],[fecha_inicio]]="","",MONTH(tblOrdenes[[#This Row],[fecha_inicio]]))</f>
        <v/>
      </c>
      <c r="R404" s="5">
        <f>IF(tblOrdenes[[#This Row],[fecha_inicio]]="","",tblOrdenes[[#This Row],[anio]]&amp;"-"&amp;TEXT(tblOrdenes[[#This Row],[mes]],"00"))</f>
        <v/>
      </c>
      <c r="S404" s="5">
        <f>IF(tblOrdenes[[#This Row],[fecha_inicio]]="","",INDEX(lista_dias,WEEKDAY(tblOrdenes[[#This Row],[fecha_inicio]],2)))</f>
        <v/>
      </c>
      <c r="T4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4" s="5">
        <f>IF(tblOrdenes[[#This Row],[tipo_ot]]="","",_xlfn.XLOOKUP(tblOrdenes[[#This Row],[tipo_ot]],tblTiposOT[codigo],tblTiposOT[clasificacion],"sin_clasificar"))</f>
        <v/>
      </c>
      <c r="V4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4" s="5">
        <f>IF(tblOrdenes[[#This Row],[centro_costo]]="","",_xlfn.XLOOKUP(tblOrdenes[[#This Row],[centro_costo]],tblCECO[codigo],tblCECO[linea],"(sin catálogo)"))</f>
        <v/>
      </c>
      <c r="X404" s="5">
        <f>IF(tblOrdenes[[#This Row],[centro_costo]]="","",_xlfn.XLOOKUP(tblOrdenes[[#This Row],[centro_costo]],tblCECO[codigo],tblCECO[area],"(sin catálogo)"))</f>
        <v/>
      </c>
      <c r="Y4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4" s="5">
        <f>IF(tblOrdenes[[#This Row],[centro_costo]]="","",_xlfn.XLOOKUP(tblOrdenes[[#This Row],[centro_costo]],tblCECO[codigo],tblCECO[coordinador],"(sin catálogo)"))</f>
        <v/>
      </c>
      <c r="AA404" s="5">
        <f>IF(tblOrdenes[[#This Row],[puesto_trabajo]]="","",_xlfn.XLOOKUP(tblOrdenes[[#This Row],[puesto_trabajo]],tblPuestos[codigo],tblPuestos[especialidad],"(sin catálogo)"))</f>
        <v/>
      </c>
      <c r="AB404" s="5">
        <f>IF(tblOrdenes[[#This Row],[cod_actividad]]="","",_xlfn.XLOOKUP(tblOrdenes[[#This Row],[cod_actividad]],tblActividades[codigo],tblActividades[descripcion],"(sin catálogo)"))</f>
        <v/>
      </c>
      <c r="AC404" s="20">
        <f>IF(tblOrdenes[[#This Row],[fecha_inicio]]="","",TODAY()-tblOrdenes[[#This Row],[fecha_inicio]])</f>
        <v/>
      </c>
      <c r="AD4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4" s="5">
        <f>IF(tblOrdenes[[#This Row],[backlog_habiles]]="","",IF(tblOrdenes[[#This Row],[backlog_habiles]]&lt;0,"FUTURO",IF(tblOrdenes[[#This Row],[backlog_habiles]]&gt;p_dias_backlog_max,"BACKLOG","MES CORRIENTE")))</f>
        <v/>
      </c>
      <c r="AF404" s="5">
        <f>IF(tblOrdenes[[#This Row],[backlog_habiles]]="",FALSE,AND(tblOrdenes[[#This Row],[backlog_habiles]]&gt;p_dias_backlog_min,tblOrdenes[[#This Row],[backlog_habiles]]&lt;=p_dias_backlog_max))</f>
        <v/>
      </c>
      <c r="AG404" s="4" t="n"/>
      <c r="AH4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4" s="18">
        <f>IF(tblOrdenes[[#This Row],[orden]]="","",_xlfn.XLOOKUP(tblOrdenes[[#This Row],[id_operacion]],tblEjecucion[id_operacion],tblEjecucion[precio],0))</f>
        <v/>
      </c>
      <c r="AL404" s="18">
        <f>IF(tblOrdenes[[#This Row],[orden]]="","",MAX(0,_xlfn.XLOOKUP(tblOrdenes[[#This Row],[id_operacion]],tblEjecucion[id_operacion],tblEjecucion[costo_plan_total],0)-tblOrdenes[[#This Row],[costo_servicio]]))</f>
        <v/>
      </c>
      <c r="AM404" s="18">
        <f>IF(tblOrdenes[[#This Row],[orden]]="","",tblOrdenes[[#This Row],[costo_servicio]]+tblOrdenes[[#This Row],[costo_materiales]])</f>
        <v/>
      </c>
      <c r="AN4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4" s="4" t="n"/>
      <c r="AP404" s="4" t="n"/>
      <c r="AQ404" s="4" t="n"/>
      <c r="AR404" s="5">
        <f>IF(tblOrdenes[[#This Row],[link_checklist]]="","",HYPERLINK(p_ruta_base_checklists&amp;tblOrdenes[[#This Row],[link_checklist]],"abrir"))</f>
        <v/>
      </c>
      <c r="AS404" s="4" t="n"/>
      <c r="AT404" s="5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22" t="n"/>
      <c r="K405" s="5" t="n"/>
      <c r="L405" s="18" t="n"/>
      <c r="M4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5">
        <f>IF(tblOrdenes[[#This Row],[fecha_inicio]]="","",YEAR(tblOrdenes[[#This Row],[fecha_inicio]]))</f>
        <v/>
      </c>
      <c r="Q405" s="5">
        <f>IF(tblOrdenes[[#This Row],[fecha_inicio]]="","",MONTH(tblOrdenes[[#This Row],[fecha_inicio]]))</f>
        <v/>
      </c>
      <c r="R405" s="5">
        <f>IF(tblOrdenes[[#This Row],[fecha_inicio]]="","",tblOrdenes[[#This Row],[anio]]&amp;"-"&amp;TEXT(tblOrdenes[[#This Row],[mes]],"00"))</f>
        <v/>
      </c>
      <c r="S405" s="5">
        <f>IF(tblOrdenes[[#This Row],[fecha_inicio]]="","",INDEX(lista_dias,WEEKDAY(tblOrdenes[[#This Row],[fecha_inicio]],2)))</f>
        <v/>
      </c>
      <c r="T4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5" s="5">
        <f>IF(tblOrdenes[[#This Row],[tipo_ot]]="","",_xlfn.XLOOKUP(tblOrdenes[[#This Row],[tipo_ot]],tblTiposOT[codigo],tblTiposOT[clasificacion],"sin_clasificar"))</f>
        <v/>
      </c>
      <c r="V4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5" s="5">
        <f>IF(tblOrdenes[[#This Row],[centro_costo]]="","",_xlfn.XLOOKUP(tblOrdenes[[#This Row],[centro_costo]],tblCECO[codigo],tblCECO[linea],"(sin catálogo)"))</f>
        <v/>
      </c>
      <c r="X405" s="5">
        <f>IF(tblOrdenes[[#This Row],[centro_costo]]="","",_xlfn.XLOOKUP(tblOrdenes[[#This Row],[centro_costo]],tblCECO[codigo],tblCECO[area],"(sin catálogo)"))</f>
        <v/>
      </c>
      <c r="Y4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5" s="5">
        <f>IF(tblOrdenes[[#This Row],[centro_costo]]="","",_xlfn.XLOOKUP(tblOrdenes[[#This Row],[centro_costo]],tblCECO[codigo],tblCECO[coordinador],"(sin catálogo)"))</f>
        <v/>
      </c>
      <c r="AA405" s="5">
        <f>IF(tblOrdenes[[#This Row],[puesto_trabajo]]="","",_xlfn.XLOOKUP(tblOrdenes[[#This Row],[puesto_trabajo]],tblPuestos[codigo],tblPuestos[especialidad],"(sin catálogo)"))</f>
        <v/>
      </c>
      <c r="AB405" s="5">
        <f>IF(tblOrdenes[[#This Row],[cod_actividad]]="","",_xlfn.XLOOKUP(tblOrdenes[[#This Row],[cod_actividad]],tblActividades[codigo],tblActividades[descripcion],"(sin catálogo)"))</f>
        <v/>
      </c>
      <c r="AC405" s="20">
        <f>IF(tblOrdenes[[#This Row],[fecha_inicio]]="","",TODAY()-tblOrdenes[[#This Row],[fecha_inicio]])</f>
        <v/>
      </c>
      <c r="AD4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5" s="5">
        <f>IF(tblOrdenes[[#This Row],[backlog_habiles]]="","",IF(tblOrdenes[[#This Row],[backlog_habiles]]&lt;0,"FUTURO",IF(tblOrdenes[[#This Row],[backlog_habiles]]&gt;p_dias_backlog_max,"BACKLOG","MES CORRIENTE")))</f>
        <v/>
      </c>
      <c r="AF405" s="5">
        <f>IF(tblOrdenes[[#This Row],[backlog_habiles]]="",FALSE,AND(tblOrdenes[[#This Row],[backlog_habiles]]&gt;p_dias_backlog_min,tblOrdenes[[#This Row],[backlog_habiles]]&lt;=p_dias_backlog_max))</f>
        <v/>
      </c>
      <c r="AG405" s="4" t="n"/>
      <c r="AH4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5" s="18">
        <f>IF(tblOrdenes[[#This Row],[orden]]="","",_xlfn.XLOOKUP(tblOrdenes[[#This Row],[id_operacion]],tblEjecucion[id_operacion],tblEjecucion[precio],0))</f>
        <v/>
      </c>
      <c r="AL405" s="18">
        <f>IF(tblOrdenes[[#This Row],[orden]]="","",MAX(0,_xlfn.XLOOKUP(tblOrdenes[[#This Row],[id_operacion]],tblEjecucion[id_operacion],tblEjecucion[costo_plan_total],0)-tblOrdenes[[#This Row],[costo_servicio]]))</f>
        <v/>
      </c>
      <c r="AM405" s="18">
        <f>IF(tblOrdenes[[#This Row],[orden]]="","",tblOrdenes[[#This Row],[costo_servicio]]+tblOrdenes[[#This Row],[costo_materiales]])</f>
        <v/>
      </c>
      <c r="AN4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5" s="4" t="n"/>
      <c r="AP405" s="4" t="n"/>
      <c r="AQ405" s="4" t="n"/>
      <c r="AR405" s="5">
        <f>IF(tblOrdenes[[#This Row],[link_checklist]]="","",HYPERLINK(p_ruta_base_checklists&amp;tblOrdenes[[#This Row],[link_checklist]],"abrir"))</f>
        <v/>
      </c>
      <c r="AS405" s="4" t="n"/>
      <c r="AT405" s="5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22" t="n"/>
      <c r="K406" s="5" t="n"/>
      <c r="L406" s="18" t="n"/>
      <c r="M4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5">
        <f>IF(tblOrdenes[[#This Row],[fecha_inicio]]="","",YEAR(tblOrdenes[[#This Row],[fecha_inicio]]))</f>
        <v/>
      </c>
      <c r="Q406" s="5">
        <f>IF(tblOrdenes[[#This Row],[fecha_inicio]]="","",MONTH(tblOrdenes[[#This Row],[fecha_inicio]]))</f>
        <v/>
      </c>
      <c r="R406" s="5">
        <f>IF(tblOrdenes[[#This Row],[fecha_inicio]]="","",tblOrdenes[[#This Row],[anio]]&amp;"-"&amp;TEXT(tblOrdenes[[#This Row],[mes]],"00"))</f>
        <v/>
      </c>
      <c r="S406" s="5">
        <f>IF(tblOrdenes[[#This Row],[fecha_inicio]]="","",INDEX(lista_dias,WEEKDAY(tblOrdenes[[#This Row],[fecha_inicio]],2)))</f>
        <v/>
      </c>
      <c r="T4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6" s="5">
        <f>IF(tblOrdenes[[#This Row],[tipo_ot]]="","",_xlfn.XLOOKUP(tblOrdenes[[#This Row],[tipo_ot]],tblTiposOT[codigo],tblTiposOT[clasificacion],"sin_clasificar"))</f>
        <v/>
      </c>
      <c r="V4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6" s="5">
        <f>IF(tblOrdenes[[#This Row],[centro_costo]]="","",_xlfn.XLOOKUP(tblOrdenes[[#This Row],[centro_costo]],tblCECO[codigo],tblCECO[linea],"(sin catálogo)"))</f>
        <v/>
      </c>
      <c r="X406" s="5">
        <f>IF(tblOrdenes[[#This Row],[centro_costo]]="","",_xlfn.XLOOKUP(tblOrdenes[[#This Row],[centro_costo]],tblCECO[codigo],tblCECO[area],"(sin catálogo)"))</f>
        <v/>
      </c>
      <c r="Y4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6" s="5">
        <f>IF(tblOrdenes[[#This Row],[centro_costo]]="","",_xlfn.XLOOKUP(tblOrdenes[[#This Row],[centro_costo]],tblCECO[codigo],tblCECO[coordinador],"(sin catálogo)"))</f>
        <v/>
      </c>
      <c r="AA406" s="5">
        <f>IF(tblOrdenes[[#This Row],[puesto_trabajo]]="","",_xlfn.XLOOKUP(tblOrdenes[[#This Row],[puesto_trabajo]],tblPuestos[codigo],tblPuestos[especialidad],"(sin catálogo)"))</f>
        <v/>
      </c>
      <c r="AB406" s="5">
        <f>IF(tblOrdenes[[#This Row],[cod_actividad]]="","",_xlfn.XLOOKUP(tblOrdenes[[#This Row],[cod_actividad]],tblActividades[codigo],tblActividades[descripcion],"(sin catálogo)"))</f>
        <v/>
      </c>
      <c r="AC406" s="20">
        <f>IF(tblOrdenes[[#This Row],[fecha_inicio]]="","",TODAY()-tblOrdenes[[#This Row],[fecha_inicio]])</f>
        <v/>
      </c>
      <c r="AD4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6" s="5">
        <f>IF(tblOrdenes[[#This Row],[backlog_habiles]]="","",IF(tblOrdenes[[#This Row],[backlog_habiles]]&lt;0,"FUTURO",IF(tblOrdenes[[#This Row],[backlog_habiles]]&gt;p_dias_backlog_max,"BACKLOG","MES CORRIENTE")))</f>
        <v/>
      </c>
      <c r="AF406" s="5">
        <f>IF(tblOrdenes[[#This Row],[backlog_habiles]]="",FALSE,AND(tblOrdenes[[#This Row],[backlog_habiles]]&gt;p_dias_backlog_min,tblOrdenes[[#This Row],[backlog_habiles]]&lt;=p_dias_backlog_max))</f>
        <v/>
      </c>
      <c r="AG406" s="4" t="n"/>
      <c r="AH4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6" s="18">
        <f>IF(tblOrdenes[[#This Row],[orden]]="","",_xlfn.XLOOKUP(tblOrdenes[[#This Row],[id_operacion]],tblEjecucion[id_operacion],tblEjecucion[precio],0))</f>
        <v/>
      </c>
      <c r="AL406" s="18">
        <f>IF(tblOrdenes[[#This Row],[orden]]="","",MAX(0,_xlfn.XLOOKUP(tblOrdenes[[#This Row],[id_operacion]],tblEjecucion[id_operacion],tblEjecucion[costo_plan_total],0)-tblOrdenes[[#This Row],[costo_servicio]]))</f>
        <v/>
      </c>
      <c r="AM406" s="18">
        <f>IF(tblOrdenes[[#This Row],[orden]]="","",tblOrdenes[[#This Row],[costo_servicio]]+tblOrdenes[[#This Row],[costo_materiales]])</f>
        <v/>
      </c>
      <c r="AN4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6" s="4" t="n"/>
      <c r="AP406" s="4" t="n"/>
      <c r="AQ406" s="4" t="n"/>
      <c r="AR406" s="5">
        <f>IF(tblOrdenes[[#This Row],[link_checklist]]="","",HYPERLINK(p_ruta_base_checklists&amp;tblOrdenes[[#This Row],[link_checklist]],"abrir"))</f>
        <v/>
      </c>
      <c r="AS406" s="4" t="n"/>
      <c r="AT406" s="5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22" t="n"/>
      <c r="K407" s="5" t="n"/>
      <c r="L407" s="18" t="n"/>
      <c r="M4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5">
        <f>IF(tblOrdenes[[#This Row],[fecha_inicio]]="","",YEAR(tblOrdenes[[#This Row],[fecha_inicio]]))</f>
        <v/>
      </c>
      <c r="Q407" s="5">
        <f>IF(tblOrdenes[[#This Row],[fecha_inicio]]="","",MONTH(tblOrdenes[[#This Row],[fecha_inicio]]))</f>
        <v/>
      </c>
      <c r="R407" s="5">
        <f>IF(tblOrdenes[[#This Row],[fecha_inicio]]="","",tblOrdenes[[#This Row],[anio]]&amp;"-"&amp;TEXT(tblOrdenes[[#This Row],[mes]],"00"))</f>
        <v/>
      </c>
      <c r="S407" s="5">
        <f>IF(tblOrdenes[[#This Row],[fecha_inicio]]="","",INDEX(lista_dias,WEEKDAY(tblOrdenes[[#This Row],[fecha_inicio]],2)))</f>
        <v/>
      </c>
      <c r="T4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7" s="5">
        <f>IF(tblOrdenes[[#This Row],[tipo_ot]]="","",_xlfn.XLOOKUP(tblOrdenes[[#This Row],[tipo_ot]],tblTiposOT[codigo],tblTiposOT[clasificacion],"sin_clasificar"))</f>
        <v/>
      </c>
      <c r="V4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7" s="5">
        <f>IF(tblOrdenes[[#This Row],[centro_costo]]="","",_xlfn.XLOOKUP(tblOrdenes[[#This Row],[centro_costo]],tblCECO[codigo],tblCECO[linea],"(sin catálogo)"))</f>
        <v/>
      </c>
      <c r="X407" s="5">
        <f>IF(tblOrdenes[[#This Row],[centro_costo]]="","",_xlfn.XLOOKUP(tblOrdenes[[#This Row],[centro_costo]],tblCECO[codigo],tblCECO[area],"(sin catálogo)"))</f>
        <v/>
      </c>
      <c r="Y4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7" s="5">
        <f>IF(tblOrdenes[[#This Row],[centro_costo]]="","",_xlfn.XLOOKUP(tblOrdenes[[#This Row],[centro_costo]],tblCECO[codigo],tblCECO[coordinador],"(sin catálogo)"))</f>
        <v/>
      </c>
      <c r="AA407" s="5">
        <f>IF(tblOrdenes[[#This Row],[puesto_trabajo]]="","",_xlfn.XLOOKUP(tblOrdenes[[#This Row],[puesto_trabajo]],tblPuestos[codigo],tblPuestos[especialidad],"(sin catálogo)"))</f>
        <v/>
      </c>
      <c r="AB407" s="5">
        <f>IF(tblOrdenes[[#This Row],[cod_actividad]]="","",_xlfn.XLOOKUP(tblOrdenes[[#This Row],[cod_actividad]],tblActividades[codigo],tblActividades[descripcion],"(sin catálogo)"))</f>
        <v/>
      </c>
      <c r="AC407" s="20">
        <f>IF(tblOrdenes[[#This Row],[fecha_inicio]]="","",TODAY()-tblOrdenes[[#This Row],[fecha_inicio]])</f>
        <v/>
      </c>
      <c r="AD4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7" s="5">
        <f>IF(tblOrdenes[[#This Row],[backlog_habiles]]="","",IF(tblOrdenes[[#This Row],[backlog_habiles]]&lt;0,"FUTURO",IF(tblOrdenes[[#This Row],[backlog_habiles]]&gt;p_dias_backlog_max,"BACKLOG","MES CORRIENTE")))</f>
        <v/>
      </c>
      <c r="AF407" s="5">
        <f>IF(tblOrdenes[[#This Row],[backlog_habiles]]="",FALSE,AND(tblOrdenes[[#This Row],[backlog_habiles]]&gt;p_dias_backlog_min,tblOrdenes[[#This Row],[backlog_habiles]]&lt;=p_dias_backlog_max))</f>
        <v/>
      </c>
      <c r="AG407" s="4" t="n"/>
      <c r="AH4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7" s="18">
        <f>IF(tblOrdenes[[#This Row],[orden]]="","",_xlfn.XLOOKUP(tblOrdenes[[#This Row],[id_operacion]],tblEjecucion[id_operacion],tblEjecucion[precio],0))</f>
        <v/>
      </c>
      <c r="AL407" s="18">
        <f>IF(tblOrdenes[[#This Row],[orden]]="","",MAX(0,_xlfn.XLOOKUP(tblOrdenes[[#This Row],[id_operacion]],tblEjecucion[id_operacion],tblEjecucion[costo_plan_total],0)-tblOrdenes[[#This Row],[costo_servicio]]))</f>
        <v/>
      </c>
      <c r="AM407" s="18">
        <f>IF(tblOrdenes[[#This Row],[orden]]="","",tblOrdenes[[#This Row],[costo_servicio]]+tblOrdenes[[#This Row],[costo_materiales]])</f>
        <v/>
      </c>
      <c r="AN4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7" s="4" t="n"/>
      <c r="AP407" s="4" t="n"/>
      <c r="AQ407" s="4" t="n"/>
      <c r="AR407" s="5">
        <f>IF(tblOrdenes[[#This Row],[link_checklist]]="","",HYPERLINK(p_ruta_base_checklists&amp;tblOrdenes[[#This Row],[link_checklist]],"abrir"))</f>
        <v/>
      </c>
      <c r="AS407" s="4" t="n"/>
      <c r="AT407" s="5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22" t="n"/>
      <c r="K408" s="5" t="n"/>
      <c r="L408" s="18" t="n"/>
      <c r="M4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5">
        <f>IF(tblOrdenes[[#This Row],[fecha_inicio]]="","",YEAR(tblOrdenes[[#This Row],[fecha_inicio]]))</f>
        <v/>
      </c>
      <c r="Q408" s="5">
        <f>IF(tblOrdenes[[#This Row],[fecha_inicio]]="","",MONTH(tblOrdenes[[#This Row],[fecha_inicio]]))</f>
        <v/>
      </c>
      <c r="R408" s="5">
        <f>IF(tblOrdenes[[#This Row],[fecha_inicio]]="","",tblOrdenes[[#This Row],[anio]]&amp;"-"&amp;TEXT(tblOrdenes[[#This Row],[mes]],"00"))</f>
        <v/>
      </c>
      <c r="S408" s="5">
        <f>IF(tblOrdenes[[#This Row],[fecha_inicio]]="","",INDEX(lista_dias,WEEKDAY(tblOrdenes[[#This Row],[fecha_inicio]],2)))</f>
        <v/>
      </c>
      <c r="T4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8" s="5">
        <f>IF(tblOrdenes[[#This Row],[tipo_ot]]="","",_xlfn.XLOOKUP(tblOrdenes[[#This Row],[tipo_ot]],tblTiposOT[codigo],tblTiposOT[clasificacion],"sin_clasificar"))</f>
        <v/>
      </c>
      <c r="V4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8" s="5">
        <f>IF(tblOrdenes[[#This Row],[centro_costo]]="","",_xlfn.XLOOKUP(tblOrdenes[[#This Row],[centro_costo]],tblCECO[codigo],tblCECO[linea],"(sin catálogo)"))</f>
        <v/>
      </c>
      <c r="X408" s="5">
        <f>IF(tblOrdenes[[#This Row],[centro_costo]]="","",_xlfn.XLOOKUP(tblOrdenes[[#This Row],[centro_costo]],tblCECO[codigo],tblCECO[area],"(sin catálogo)"))</f>
        <v/>
      </c>
      <c r="Y4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8" s="5">
        <f>IF(tblOrdenes[[#This Row],[centro_costo]]="","",_xlfn.XLOOKUP(tblOrdenes[[#This Row],[centro_costo]],tblCECO[codigo],tblCECO[coordinador],"(sin catálogo)"))</f>
        <v/>
      </c>
      <c r="AA408" s="5">
        <f>IF(tblOrdenes[[#This Row],[puesto_trabajo]]="","",_xlfn.XLOOKUP(tblOrdenes[[#This Row],[puesto_trabajo]],tblPuestos[codigo],tblPuestos[especialidad],"(sin catálogo)"))</f>
        <v/>
      </c>
      <c r="AB408" s="5">
        <f>IF(tblOrdenes[[#This Row],[cod_actividad]]="","",_xlfn.XLOOKUP(tblOrdenes[[#This Row],[cod_actividad]],tblActividades[codigo],tblActividades[descripcion],"(sin catálogo)"))</f>
        <v/>
      </c>
      <c r="AC408" s="20">
        <f>IF(tblOrdenes[[#This Row],[fecha_inicio]]="","",TODAY()-tblOrdenes[[#This Row],[fecha_inicio]])</f>
        <v/>
      </c>
      <c r="AD4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8" s="5">
        <f>IF(tblOrdenes[[#This Row],[backlog_habiles]]="","",IF(tblOrdenes[[#This Row],[backlog_habiles]]&lt;0,"FUTURO",IF(tblOrdenes[[#This Row],[backlog_habiles]]&gt;p_dias_backlog_max,"BACKLOG","MES CORRIENTE")))</f>
        <v/>
      </c>
      <c r="AF408" s="5">
        <f>IF(tblOrdenes[[#This Row],[backlog_habiles]]="",FALSE,AND(tblOrdenes[[#This Row],[backlog_habiles]]&gt;p_dias_backlog_min,tblOrdenes[[#This Row],[backlog_habiles]]&lt;=p_dias_backlog_max))</f>
        <v/>
      </c>
      <c r="AG408" s="4" t="n"/>
      <c r="AH4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8" s="18">
        <f>IF(tblOrdenes[[#This Row],[orden]]="","",_xlfn.XLOOKUP(tblOrdenes[[#This Row],[id_operacion]],tblEjecucion[id_operacion],tblEjecucion[precio],0))</f>
        <v/>
      </c>
      <c r="AL408" s="18">
        <f>IF(tblOrdenes[[#This Row],[orden]]="","",MAX(0,_xlfn.XLOOKUP(tblOrdenes[[#This Row],[id_operacion]],tblEjecucion[id_operacion],tblEjecucion[costo_plan_total],0)-tblOrdenes[[#This Row],[costo_servicio]]))</f>
        <v/>
      </c>
      <c r="AM408" s="18">
        <f>IF(tblOrdenes[[#This Row],[orden]]="","",tblOrdenes[[#This Row],[costo_servicio]]+tblOrdenes[[#This Row],[costo_materiales]])</f>
        <v/>
      </c>
      <c r="AN4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8" s="4" t="n"/>
      <c r="AP408" s="4" t="n"/>
      <c r="AQ408" s="4" t="n"/>
      <c r="AR408" s="5">
        <f>IF(tblOrdenes[[#This Row],[link_checklist]]="","",HYPERLINK(p_ruta_base_checklists&amp;tblOrdenes[[#This Row],[link_checklist]],"abrir"))</f>
        <v/>
      </c>
      <c r="AS408" s="4" t="n"/>
      <c r="AT408" s="5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22" t="n"/>
      <c r="K409" s="5" t="n"/>
      <c r="L409" s="18" t="n"/>
      <c r="M4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5">
        <f>IF(tblOrdenes[[#This Row],[fecha_inicio]]="","",YEAR(tblOrdenes[[#This Row],[fecha_inicio]]))</f>
        <v/>
      </c>
      <c r="Q409" s="5">
        <f>IF(tblOrdenes[[#This Row],[fecha_inicio]]="","",MONTH(tblOrdenes[[#This Row],[fecha_inicio]]))</f>
        <v/>
      </c>
      <c r="R409" s="5">
        <f>IF(tblOrdenes[[#This Row],[fecha_inicio]]="","",tblOrdenes[[#This Row],[anio]]&amp;"-"&amp;TEXT(tblOrdenes[[#This Row],[mes]],"00"))</f>
        <v/>
      </c>
      <c r="S409" s="5">
        <f>IF(tblOrdenes[[#This Row],[fecha_inicio]]="","",INDEX(lista_dias,WEEKDAY(tblOrdenes[[#This Row],[fecha_inicio]],2)))</f>
        <v/>
      </c>
      <c r="T4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9" s="5">
        <f>IF(tblOrdenes[[#This Row],[tipo_ot]]="","",_xlfn.XLOOKUP(tblOrdenes[[#This Row],[tipo_ot]],tblTiposOT[codigo],tblTiposOT[clasificacion],"sin_clasificar"))</f>
        <v/>
      </c>
      <c r="V4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9" s="5">
        <f>IF(tblOrdenes[[#This Row],[centro_costo]]="","",_xlfn.XLOOKUP(tblOrdenes[[#This Row],[centro_costo]],tblCECO[codigo],tblCECO[linea],"(sin catálogo)"))</f>
        <v/>
      </c>
      <c r="X409" s="5">
        <f>IF(tblOrdenes[[#This Row],[centro_costo]]="","",_xlfn.XLOOKUP(tblOrdenes[[#This Row],[centro_costo]],tblCECO[codigo],tblCECO[area],"(sin catálogo)"))</f>
        <v/>
      </c>
      <c r="Y4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09" s="5">
        <f>IF(tblOrdenes[[#This Row],[centro_costo]]="","",_xlfn.XLOOKUP(tblOrdenes[[#This Row],[centro_costo]],tblCECO[codigo],tblCECO[coordinador],"(sin catálogo)"))</f>
        <v/>
      </c>
      <c r="AA409" s="5">
        <f>IF(tblOrdenes[[#This Row],[puesto_trabajo]]="","",_xlfn.XLOOKUP(tblOrdenes[[#This Row],[puesto_trabajo]],tblPuestos[codigo],tblPuestos[especialidad],"(sin catálogo)"))</f>
        <v/>
      </c>
      <c r="AB409" s="5">
        <f>IF(tblOrdenes[[#This Row],[cod_actividad]]="","",_xlfn.XLOOKUP(tblOrdenes[[#This Row],[cod_actividad]],tblActividades[codigo],tblActividades[descripcion],"(sin catálogo)"))</f>
        <v/>
      </c>
      <c r="AC409" s="20">
        <f>IF(tblOrdenes[[#This Row],[fecha_inicio]]="","",TODAY()-tblOrdenes[[#This Row],[fecha_inicio]])</f>
        <v/>
      </c>
      <c r="AD4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09" s="5">
        <f>IF(tblOrdenes[[#This Row],[backlog_habiles]]="","",IF(tblOrdenes[[#This Row],[backlog_habiles]]&lt;0,"FUTURO",IF(tblOrdenes[[#This Row],[backlog_habiles]]&gt;p_dias_backlog_max,"BACKLOG","MES CORRIENTE")))</f>
        <v/>
      </c>
      <c r="AF409" s="5">
        <f>IF(tblOrdenes[[#This Row],[backlog_habiles]]="",FALSE,AND(tblOrdenes[[#This Row],[backlog_habiles]]&gt;p_dias_backlog_min,tblOrdenes[[#This Row],[backlog_habiles]]&lt;=p_dias_backlog_max))</f>
        <v/>
      </c>
      <c r="AG409" s="4" t="n"/>
      <c r="AH4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09" s="18">
        <f>IF(tblOrdenes[[#This Row],[orden]]="","",_xlfn.XLOOKUP(tblOrdenes[[#This Row],[id_operacion]],tblEjecucion[id_operacion],tblEjecucion[precio],0))</f>
        <v/>
      </c>
      <c r="AL409" s="18">
        <f>IF(tblOrdenes[[#This Row],[orden]]="","",MAX(0,_xlfn.XLOOKUP(tblOrdenes[[#This Row],[id_operacion]],tblEjecucion[id_operacion],tblEjecucion[costo_plan_total],0)-tblOrdenes[[#This Row],[costo_servicio]]))</f>
        <v/>
      </c>
      <c r="AM409" s="18">
        <f>IF(tblOrdenes[[#This Row],[orden]]="","",tblOrdenes[[#This Row],[costo_servicio]]+tblOrdenes[[#This Row],[costo_materiales]])</f>
        <v/>
      </c>
      <c r="AN4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09" s="4" t="n"/>
      <c r="AP409" s="4" t="n"/>
      <c r="AQ409" s="4" t="n"/>
      <c r="AR409" s="5">
        <f>IF(tblOrdenes[[#This Row],[link_checklist]]="","",HYPERLINK(p_ruta_base_checklists&amp;tblOrdenes[[#This Row],[link_checklist]],"abrir"))</f>
        <v/>
      </c>
      <c r="AS409" s="4" t="n"/>
      <c r="AT409" s="5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22" t="n"/>
      <c r="K410" s="5" t="n"/>
      <c r="L410" s="18" t="n"/>
      <c r="M4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5">
        <f>IF(tblOrdenes[[#This Row],[fecha_inicio]]="","",YEAR(tblOrdenes[[#This Row],[fecha_inicio]]))</f>
        <v/>
      </c>
      <c r="Q410" s="5">
        <f>IF(tblOrdenes[[#This Row],[fecha_inicio]]="","",MONTH(tblOrdenes[[#This Row],[fecha_inicio]]))</f>
        <v/>
      </c>
      <c r="R410" s="5">
        <f>IF(tblOrdenes[[#This Row],[fecha_inicio]]="","",tblOrdenes[[#This Row],[anio]]&amp;"-"&amp;TEXT(tblOrdenes[[#This Row],[mes]],"00"))</f>
        <v/>
      </c>
      <c r="S410" s="5">
        <f>IF(tblOrdenes[[#This Row],[fecha_inicio]]="","",INDEX(lista_dias,WEEKDAY(tblOrdenes[[#This Row],[fecha_inicio]],2)))</f>
        <v/>
      </c>
      <c r="T4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0" s="5">
        <f>IF(tblOrdenes[[#This Row],[tipo_ot]]="","",_xlfn.XLOOKUP(tblOrdenes[[#This Row],[tipo_ot]],tblTiposOT[codigo],tblTiposOT[clasificacion],"sin_clasificar"))</f>
        <v/>
      </c>
      <c r="V4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0" s="5">
        <f>IF(tblOrdenes[[#This Row],[centro_costo]]="","",_xlfn.XLOOKUP(tblOrdenes[[#This Row],[centro_costo]],tblCECO[codigo],tblCECO[linea],"(sin catálogo)"))</f>
        <v/>
      </c>
      <c r="X410" s="5">
        <f>IF(tblOrdenes[[#This Row],[centro_costo]]="","",_xlfn.XLOOKUP(tblOrdenes[[#This Row],[centro_costo]],tblCECO[codigo],tblCECO[area],"(sin catálogo)"))</f>
        <v/>
      </c>
      <c r="Y4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0" s="5">
        <f>IF(tblOrdenes[[#This Row],[centro_costo]]="","",_xlfn.XLOOKUP(tblOrdenes[[#This Row],[centro_costo]],tblCECO[codigo],tblCECO[coordinador],"(sin catálogo)"))</f>
        <v/>
      </c>
      <c r="AA410" s="5">
        <f>IF(tblOrdenes[[#This Row],[puesto_trabajo]]="","",_xlfn.XLOOKUP(tblOrdenes[[#This Row],[puesto_trabajo]],tblPuestos[codigo],tblPuestos[especialidad],"(sin catálogo)"))</f>
        <v/>
      </c>
      <c r="AB410" s="5">
        <f>IF(tblOrdenes[[#This Row],[cod_actividad]]="","",_xlfn.XLOOKUP(tblOrdenes[[#This Row],[cod_actividad]],tblActividades[codigo],tblActividades[descripcion],"(sin catálogo)"))</f>
        <v/>
      </c>
      <c r="AC410" s="20">
        <f>IF(tblOrdenes[[#This Row],[fecha_inicio]]="","",TODAY()-tblOrdenes[[#This Row],[fecha_inicio]])</f>
        <v/>
      </c>
      <c r="AD4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0" s="5">
        <f>IF(tblOrdenes[[#This Row],[backlog_habiles]]="","",IF(tblOrdenes[[#This Row],[backlog_habiles]]&lt;0,"FUTURO",IF(tblOrdenes[[#This Row],[backlog_habiles]]&gt;p_dias_backlog_max,"BACKLOG","MES CORRIENTE")))</f>
        <v/>
      </c>
      <c r="AF410" s="5">
        <f>IF(tblOrdenes[[#This Row],[backlog_habiles]]="",FALSE,AND(tblOrdenes[[#This Row],[backlog_habiles]]&gt;p_dias_backlog_min,tblOrdenes[[#This Row],[backlog_habiles]]&lt;=p_dias_backlog_max))</f>
        <v/>
      </c>
      <c r="AG410" s="4" t="n"/>
      <c r="AH4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0" s="18">
        <f>IF(tblOrdenes[[#This Row],[orden]]="","",_xlfn.XLOOKUP(tblOrdenes[[#This Row],[id_operacion]],tblEjecucion[id_operacion],tblEjecucion[precio],0))</f>
        <v/>
      </c>
      <c r="AL410" s="18">
        <f>IF(tblOrdenes[[#This Row],[orden]]="","",MAX(0,_xlfn.XLOOKUP(tblOrdenes[[#This Row],[id_operacion]],tblEjecucion[id_operacion],tblEjecucion[costo_plan_total],0)-tblOrdenes[[#This Row],[costo_servicio]]))</f>
        <v/>
      </c>
      <c r="AM410" s="18">
        <f>IF(tblOrdenes[[#This Row],[orden]]="","",tblOrdenes[[#This Row],[costo_servicio]]+tblOrdenes[[#This Row],[costo_materiales]])</f>
        <v/>
      </c>
      <c r="AN4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0" s="4" t="n"/>
      <c r="AP410" s="4" t="n"/>
      <c r="AQ410" s="4" t="n"/>
      <c r="AR410" s="5">
        <f>IF(tblOrdenes[[#This Row],[link_checklist]]="","",HYPERLINK(p_ruta_base_checklists&amp;tblOrdenes[[#This Row],[link_checklist]],"abrir"))</f>
        <v/>
      </c>
      <c r="AS410" s="4" t="n"/>
      <c r="AT410" s="5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22" t="n"/>
      <c r="K411" s="5" t="n"/>
      <c r="L411" s="18" t="n"/>
      <c r="M4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5">
        <f>IF(tblOrdenes[[#This Row],[fecha_inicio]]="","",YEAR(tblOrdenes[[#This Row],[fecha_inicio]]))</f>
        <v/>
      </c>
      <c r="Q411" s="5">
        <f>IF(tblOrdenes[[#This Row],[fecha_inicio]]="","",MONTH(tblOrdenes[[#This Row],[fecha_inicio]]))</f>
        <v/>
      </c>
      <c r="R411" s="5">
        <f>IF(tblOrdenes[[#This Row],[fecha_inicio]]="","",tblOrdenes[[#This Row],[anio]]&amp;"-"&amp;TEXT(tblOrdenes[[#This Row],[mes]],"00"))</f>
        <v/>
      </c>
      <c r="S411" s="5">
        <f>IF(tblOrdenes[[#This Row],[fecha_inicio]]="","",INDEX(lista_dias,WEEKDAY(tblOrdenes[[#This Row],[fecha_inicio]],2)))</f>
        <v/>
      </c>
      <c r="T4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1" s="5">
        <f>IF(tblOrdenes[[#This Row],[tipo_ot]]="","",_xlfn.XLOOKUP(tblOrdenes[[#This Row],[tipo_ot]],tblTiposOT[codigo],tblTiposOT[clasificacion],"sin_clasificar"))</f>
        <v/>
      </c>
      <c r="V4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1" s="5">
        <f>IF(tblOrdenes[[#This Row],[centro_costo]]="","",_xlfn.XLOOKUP(tblOrdenes[[#This Row],[centro_costo]],tblCECO[codigo],tblCECO[linea],"(sin catálogo)"))</f>
        <v/>
      </c>
      <c r="X411" s="5">
        <f>IF(tblOrdenes[[#This Row],[centro_costo]]="","",_xlfn.XLOOKUP(tblOrdenes[[#This Row],[centro_costo]],tblCECO[codigo],tblCECO[area],"(sin catálogo)"))</f>
        <v/>
      </c>
      <c r="Y4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1" s="5">
        <f>IF(tblOrdenes[[#This Row],[centro_costo]]="","",_xlfn.XLOOKUP(tblOrdenes[[#This Row],[centro_costo]],tblCECO[codigo],tblCECO[coordinador],"(sin catálogo)"))</f>
        <v/>
      </c>
      <c r="AA411" s="5">
        <f>IF(tblOrdenes[[#This Row],[puesto_trabajo]]="","",_xlfn.XLOOKUP(tblOrdenes[[#This Row],[puesto_trabajo]],tblPuestos[codigo],tblPuestos[especialidad],"(sin catálogo)"))</f>
        <v/>
      </c>
      <c r="AB411" s="5">
        <f>IF(tblOrdenes[[#This Row],[cod_actividad]]="","",_xlfn.XLOOKUP(tblOrdenes[[#This Row],[cod_actividad]],tblActividades[codigo],tblActividades[descripcion],"(sin catálogo)"))</f>
        <v/>
      </c>
      <c r="AC411" s="20">
        <f>IF(tblOrdenes[[#This Row],[fecha_inicio]]="","",TODAY()-tblOrdenes[[#This Row],[fecha_inicio]])</f>
        <v/>
      </c>
      <c r="AD4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1" s="5">
        <f>IF(tblOrdenes[[#This Row],[backlog_habiles]]="","",IF(tblOrdenes[[#This Row],[backlog_habiles]]&lt;0,"FUTURO",IF(tblOrdenes[[#This Row],[backlog_habiles]]&gt;p_dias_backlog_max,"BACKLOG","MES CORRIENTE")))</f>
        <v/>
      </c>
      <c r="AF411" s="5">
        <f>IF(tblOrdenes[[#This Row],[backlog_habiles]]="",FALSE,AND(tblOrdenes[[#This Row],[backlog_habiles]]&gt;p_dias_backlog_min,tblOrdenes[[#This Row],[backlog_habiles]]&lt;=p_dias_backlog_max))</f>
        <v/>
      </c>
      <c r="AG411" s="4" t="n"/>
      <c r="AH4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1" s="18">
        <f>IF(tblOrdenes[[#This Row],[orden]]="","",_xlfn.XLOOKUP(tblOrdenes[[#This Row],[id_operacion]],tblEjecucion[id_operacion],tblEjecucion[precio],0))</f>
        <v/>
      </c>
      <c r="AL411" s="18">
        <f>IF(tblOrdenes[[#This Row],[orden]]="","",MAX(0,_xlfn.XLOOKUP(tblOrdenes[[#This Row],[id_operacion]],tblEjecucion[id_operacion],tblEjecucion[costo_plan_total],0)-tblOrdenes[[#This Row],[costo_servicio]]))</f>
        <v/>
      </c>
      <c r="AM411" s="18">
        <f>IF(tblOrdenes[[#This Row],[orden]]="","",tblOrdenes[[#This Row],[costo_servicio]]+tblOrdenes[[#This Row],[costo_materiales]])</f>
        <v/>
      </c>
      <c r="AN4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1" s="4" t="n"/>
      <c r="AP411" s="4" t="n"/>
      <c r="AQ411" s="4" t="n"/>
      <c r="AR411" s="5">
        <f>IF(tblOrdenes[[#This Row],[link_checklist]]="","",HYPERLINK(p_ruta_base_checklists&amp;tblOrdenes[[#This Row],[link_checklist]],"abrir"))</f>
        <v/>
      </c>
      <c r="AS411" s="4" t="n"/>
      <c r="AT411" s="5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22" t="n"/>
      <c r="K412" s="5" t="n"/>
      <c r="L412" s="18" t="n"/>
      <c r="M4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5">
        <f>IF(tblOrdenes[[#This Row],[fecha_inicio]]="","",YEAR(tblOrdenes[[#This Row],[fecha_inicio]]))</f>
        <v/>
      </c>
      <c r="Q412" s="5">
        <f>IF(tblOrdenes[[#This Row],[fecha_inicio]]="","",MONTH(tblOrdenes[[#This Row],[fecha_inicio]]))</f>
        <v/>
      </c>
      <c r="R412" s="5">
        <f>IF(tblOrdenes[[#This Row],[fecha_inicio]]="","",tblOrdenes[[#This Row],[anio]]&amp;"-"&amp;TEXT(tblOrdenes[[#This Row],[mes]],"00"))</f>
        <v/>
      </c>
      <c r="S412" s="5">
        <f>IF(tblOrdenes[[#This Row],[fecha_inicio]]="","",INDEX(lista_dias,WEEKDAY(tblOrdenes[[#This Row],[fecha_inicio]],2)))</f>
        <v/>
      </c>
      <c r="T4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2" s="5">
        <f>IF(tblOrdenes[[#This Row],[tipo_ot]]="","",_xlfn.XLOOKUP(tblOrdenes[[#This Row],[tipo_ot]],tblTiposOT[codigo],tblTiposOT[clasificacion],"sin_clasificar"))</f>
        <v/>
      </c>
      <c r="V4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2" s="5">
        <f>IF(tblOrdenes[[#This Row],[centro_costo]]="","",_xlfn.XLOOKUP(tblOrdenes[[#This Row],[centro_costo]],tblCECO[codigo],tblCECO[linea],"(sin catálogo)"))</f>
        <v/>
      </c>
      <c r="X412" s="5">
        <f>IF(tblOrdenes[[#This Row],[centro_costo]]="","",_xlfn.XLOOKUP(tblOrdenes[[#This Row],[centro_costo]],tblCECO[codigo],tblCECO[area],"(sin catálogo)"))</f>
        <v/>
      </c>
      <c r="Y4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2" s="5">
        <f>IF(tblOrdenes[[#This Row],[centro_costo]]="","",_xlfn.XLOOKUP(tblOrdenes[[#This Row],[centro_costo]],tblCECO[codigo],tblCECO[coordinador],"(sin catálogo)"))</f>
        <v/>
      </c>
      <c r="AA412" s="5">
        <f>IF(tblOrdenes[[#This Row],[puesto_trabajo]]="","",_xlfn.XLOOKUP(tblOrdenes[[#This Row],[puesto_trabajo]],tblPuestos[codigo],tblPuestos[especialidad],"(sin catálogo)"))</f>
        <v/>
      </c>
      <c r="AB412" s="5">
        <f>IF(tblOrdenes[[#This Row],[cod_actividad]]="","",_xlfn.XLOOKUP(tblOrdenes[[#This Row],[cod_actividad]],tblActividades[codigo],tblActividades[descripcion],"(sin catálogo)"))</f>
        <v/>
      </c>
      <c r="AC412" s="20">
        <f>IF(tblOrdenes[[#This Row],[fecha_inicio]]="","",TODAY()-tblOrdenes[[#This Row],[fecha_inicio]])</f>
        <v/>
      </c>
      <c r="AD4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2" s="5">
        <f>IF(tblOrdenes[[#This Row],[backlog_habiles]]="","",IF(tblOrdenes[[#This Row],[backlog_habiles]]&lt;0,"FUTURO",IF(tblOrdenes[[#This Row],[backlog_habiles]]&gt;p_dias_backlog_max,"BACKLOG","MES CORRIENTE")))</f>
        <v/>
      </c>
      <c r="AF412" s="5">
        <f>IF(tblOrdenes[[#This Row],[backlog_habiles]]="",FALSE,AND(tblOrdenes[[#This Row],[backlog_habiles]]&gt;p_dias_backlog_min,tblOrdenes[[#This Row],[backlog_habiles]]&lt;=p_dias_backlog_max))</f>
        <v/>
      </c>
      <c r="AG412" s="4" t="n"/>
      <c r="AH4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2" s="18">
        <f>IF(tblOrdenes[[#This Row],[orden]]="","",_xlfn.XLOOKUP(tblOrdenes[[#This Row],[id_operacion]],tblEjecucion[id_operacion],tblEjecucion[precio],0))</f>
        <v/>
      </c>
      <c r="AL412" s="18">
        <f>IF(tblOrdenes[[#This Row],[orden]]="","",MAX(0,_xlfn.XLOOKUP(tblOrdenes[[#This Row],[id_operacion]],tblEjecucion[id_operacion],tblEjecucion[costo_plan_total],0)-tblOrdenes[[#This Row],[costo_servicio]]))</f>
        <v/>
      </c>
      <c r="AM412" s="18">
        <f>IF(tblOrdenes[[#This Row],[orden]]="","",tblOrdenes[[#This Row],[costo_servicio]]+tblOrdenes[[#This Row],[costo_materiales]])</f>
        <v/>
      </c>
      <c r="AN4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2" s="4" t="n"/>
      <c r="AP412" s="4" t="n"/>
      <c r="AQ412" s="4" t="n"/>
      <c r="AR412" s="5">
        <f>IF(tblOrdenes[[#This Row],[link_checklist]]="","",HYPERLINK(p_ruta_base_checklists&amp;tblOrdenes[[#This Row],[link_checklist]],"abrir"))</f>
        <v/>
      </c>
      <c r="AS412" s="4" t="n"/>
      <c r="AT412" s="5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22" t="n"/>
      <c r="K413" s="5" t="n"/>
      <c r="L413" s="18" t="n"/>
      <c r="M4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5">
        <f>IF(tblOrdenes[[#This Row],[fecha_inicio]]="","",YEAR(tblOrdenes[[#This Row],[fecha_inicio]]))</f>
        <v/>
      </c>
      <c r="Q413" s="5">
        <f>IF(tblOrdenes[[#This Row],[fecha_inicio]]="","",MONTH(tblOrdenes[[#This Row],[fecha_inicio]]))</f>
        <v/>
      </c>
      <c r="R413" s="5">
        <f>IF(tblOrdenes[[#This Row],[fecha_inicio]]="","",tblOrdenes[[#This Row],[anio]]&amp;"-"&amp;TEXT(tblOrdenes[[#This Row],[mes]],"00"))</f>
        <v/>
      </c>
      <c r="S413" s="5">
        <f>IF(tblOrdenes[[#This Row],[fecha_inicio]]="","",INDEX(lista_dias,WEEKDAY(tblOrdenes[[#This Row],[fecha_inicio]],2)))</f>
        <v/>
      </c>
      <c r="T4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3" s="5">
        <f>IF(tblOrdenes[[#This Row],[tipo_ot]]="","",_xlfn.XLOOKUP(tblOrdenes[[#This Row],[tipo_ot]],tblTiposOT[codigo],tblTiposOT[clasificacion],"sin_clasificar"))</f>
        <v/>
      </c>
      <c r="V4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3" s="5">
        <f>IF(tblOrdenes[[#This Row],[centro_costo]]="","",_xlfn.XLOOKUP(tblOrdenes[[#This Row],[centro_costo]],tblCECO[codigo],tblCECO[linea],"(sin catálogo)"))</f>
        <v/>
      </c>
      <c r="X413" s="5">
        <f>IF(tblOrdenes[[#This Row],[centro_costo]]="","",_xlfn.XLOOKUP(tblOrdenes[[#This Row],[centro_costo]],tblCECO[codigo],tblCECO[area],"(sin catálogo)"))</f>
        <v/>
      </c>
      <c r="Y4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3" s="5">
        <f>IF(tblOrdenes[[#This Row],[centro_costo]]="","",_xlfn.XLOOKUP(tblOrdenes[[#This Row],[centro_costo]],tblCECO[codigo],tblCECO[coordinador],"(sin catálogo)"))</f>
        <v/>
      </c>
      <c r="AA413" s="5">
        <f>IF(tblOrdenes[[#This Row],[puesto_trabajo]]="","",_xlfn.XLOOKUP(tblOrdenes[[#This Row],[puesto_trabajo]],tblPuestos[codigo],tblPuestos[especialidad],"(sin catálogo)"))</f>
        <v/>
      </c>
      <c r="AB413" s="5">
        <f>IF(tblOrdenes[[#This Row],[cod_actividad]]="","",_xlfn.XLOOKUP(tblOrdenes[[#This Row],[cod_actividad]],tblActividades[codigo],tblActividades[descripcion],"(sin catálogo)"))</f>
        <v/>
      </c>
      <c r="AC413" s="20">
        <f>IF(tblOrdenes[[#This Row],[fecha_inicio]]="","",TODAY()-tblOrdenes[[#This Row],[fecha_inicio]])</f>
        <v/>
      </c>
      <c r="AD4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3" s="5">
        <f>IF(tblOrdenes[[#This Row],[backlog_habiles]]="","",IF(tblOrdenes[[#This Row],[backlog_habiles]]&lt;0,"FUTURO",IF(tblOrdenes[[#This Row],[backlog_habiles]]&gt;p_dias_backlog_max,"BACKLOG","MES CORRIENTE")))</f>
        <v/>
      </c>
      <c r="AF413" s="5">
        <f>IF(tblOrdenes[[#This Row],[backlog_habiles]]="",FALSE,AND(tblOrdenes[[#This Row],[backlog_habiles]]&gt;p_dias_backlog_min,tblOrdenes[[#This Row],[backlog_habiles]]&lt;=p_dias_backlog_max))</f>
        <v/>
      </c>
      <c r="AG413" s="4" t="n"/>
      <c r="AH4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3" s="18">
        <f>IF(tblOrdenes[[#This Row],[orden]]="","",_xlfn.XLOOKUP(tblOrdenes[[#This Row],[id_operacion]],tblEjecucion[id_operacion],tblEjecucion[precio],0))</f>
        <v/>
      </c>
      <c r="AL413" s="18">
        <f>IF(tblOrdenes[[#This Row],[orden]]="","",MAX(0,_xlfn.XLOOKUP(tblOrdenes[[#This Row],[id_operacion]],tblEjecucion[id_operacion],tblEjecucion[costo_plan_total],0)-tblOrdenes[[#This Row],[costo_servicio]]))</f>
        <v/>
      </c>
      <c r="AM413" s="18">
        <f>IF(tblOrdenes[[#This Row],[orden]]="","",tblOrdenes[[#This Row],[costo_servicio]]+tblOrdenes[[#This Row],[costo_materiales]])</f>
        <v/>
      </c>
      <c r="AN4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3" s="4" t="n"/>
      <c r="AP413" s="4" t="n"/>
      <c r="AQ413" s="4" t="n"/>
      <c r="AR413" s="5">
        <f>IF(tblOrdenes[[#This Row],[link_checklist]]="","",HYPERLINK(p_ruta_base_checklists&amp;tblOrdenes[[#This Row],[link_checklist]],"abrir"))</f>
        <v/>
      </c>
      <c r="AS413" s="4" t="n"/>
      <c r="AT413" s="5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22" t="n"/>
      <c r="K414" s="5" t="n"/>
      <c r="L414" s="18" t="n"/>
      <c r="M4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5">
        <f>IF(tblOrdenes[[#This Row],[fecha_inicio]]="","",YEAR(tblOrdenes[[#This Row],[fecha_inicio]]))</f>
        <v/>
      </c>
      <c r="Q414" s="5">
        <f>IF(tblOrdenes[[#This Row],[fecha_inicio]]="","",MONTH(tblOrdenes[[#This Row],[fecha_inicio]]))</f>
        <v/>
      </c>
      <c r="R414" s="5">
        <f>IF(tblOrdenes[[#This Row],[fecha_inicio]]="","",tblOrdenes[[#This Row],[anio]]&amp;"-"&amp;TEXT(tblOrdenes[[#This Row],[mes]],"00"))</f>
        <v/>
      </c>
      <c r="S414" s="5">
        <f>IF(tblOrdenes[[#This Row],[fecha_inicio]]="","",INDEX(lista_dias,WEEKDAY(tblOrdenes[[#This Row],[fecha_inicio]],2)))</f>
        <v/>
      </c>
      <c r="T4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4" s="5">
        <f>IF(tblOrdenes[[#This Row],[tipo_ot]]="","",_xlfn.XLOOKUP(tblOrdenes[[#This Row],[tipo_ot]],tblTiposOT[codigo],tblTiposOT[clasificacion],"sin_clasificar"))</f>
        <v/>
      </c>
      <c r="V4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4" s="5">
        <f>IF(tblOrdenes[[#This Row],[centro_costo]]="","",_xlfn.XLOOKUP(tblOrdenes[[#This Row],[centro_costo]],tblCECO[codigo],tblCECO[linea],"(sin catálogo)"))</f>
        <v/>
      </c>
      <c r="X414" s="5">
        <f>IF(tblOrdenes[[#This Row],[centro_costo]]="","",_xlfn.XLOOKUP(tblOrdenes[[#This Row],[centro_costo]],tblCECO[codigo],tblCECO[area],"(sin catálogo)"))</f>
        <v/>
      </c>
      <c r="Y4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4" s="5">
        <f>IF(tblOrdenes[[#This Row],[centro_costo]]="","",_xlfn.XLOOKUP(tblOrdenes[[#This Row],[centro_costo]],tblCECO[codigo],tblCECO[coordinador],"(sin catálogo)"))</f>
        <v/>
      </c>
      <c r="AA414" s="5">
        <f>IF(tblOrdenes[[#This Row],[puesto_trabajo]]="","",_xlfn.XLOOKUP(tblOrdenes[[#This Row],[puesto_trabajo]],tblPuestos[codigo],tblPuestos[especialidad],"(sin catálogo)"))</f>
        <v/>
      </c>
      <c r="AB414" s="5">
        <f>IF(tblOrdenes[[#This Row],[cod_actividad]]="","",_xlfn.XLOOKUP(tblOrdenes[[#This Row],[cod_actividad]],tblActividades[codigo],tblActividades[descripcion],"(sin catálogo)"))</f>
        <v/>
      </c>
      <c r="AC414" s="20">
        <f>IF(tblOrdenes[[#This Row],[fecha_inicio]]="","",TODAY()-tblOrdenes[[#This Row],[fecha_inicio]])</f>
        <v/>
      </c>
      <c r="AD4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4" s="5">
        <f>IF(tblOrdenes[[#This Row],[backlog_habiles]]="","",IF(tblOrdenes[[#This Row],[backlog_habiles]]&lt;0,"FUTURO",IF(tblOrdenes[[#This Row],[backlog_habiles]]&gt;p_dias_backlog_max,"BACKLOG","MES CORRIENTE")))</f>
        <v/>
      </c>
      <c r="AF414" s="5">
        <f>IF(tblOrdenes[[#This Row],[backlog_habiles]]="",FALSE,AND(tblOrdenes[[#This Row],[backlog_habiles]]&gt;p_dias_backlog_min,tblOrdenes[[#This Row],[backlog_habiles]]&lt;=p_dias_backlog_max))</f>
        <v/>
      </c>
      <c r="AG414" s="4" t="n"/>
      <c r="AH4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4" s="18">
        <f>IF(tblOrdenes[[#This Row],[orden]]="","",_xlfn.XLOOKUP(tblOrdenes[[#This Row],[id_operacion]],tblEjecucion[id_operacion],tblEjecucion[precio],0))</f>
        <v/>
      </c>
      <c r="AL414" s="18">
        <f>IF(tblOrdenes[[#This Row],[orden]]="","",MAX(0,_xlfn.XLOOKUP(tblOrdenes[[#This Row],[id_operacion]],tblEjecucion[id_operacion],tblEjecucion[costo_plan_total],0)-tblOrdenes[[#This Row],[costo_servicio]]))</f>
        <v/>
      </c>
      <c r="AM414" s="18">
        <f>IF(tblOrdenes[[#This Row],[orden]]="","",tblOrdenes[[#This Row],[costo_servicio]]+tblOrdenes[[#This Row],[costo_materiales]])</f>
        <v/>
      </c>
      <c r="AN4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4" s="4" t="n"/>
      <c r="AP414" s="4" t="n"/>
      <c r="AQ414" s="4" t="n"/>
      <c r="AR414" s="5">
        <f>IF(tblOrdenes[[#This Row],[link_checklist]]="","",HYPERLINK(p_ruta_base_checklists&amp;tblOrdenes[[#This Row],[link_checklist]],"abrir"))</f>
        <v/>
      </c>
      <c r="AS414" s="4" t="n"/>
      <c r="AT414" s="5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22" t="n"/>
      <c r="K415" s="5" t="n"/>
      <c r="L415" s="18" t="n"/>
      <c r="M4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5">
        <f>IF(tblOrdenes[[#This Row],[fecha_inicio]]="","",YEAR(tblOrdenes[[#This Row],[fecha_inicio]]))</f>
        <v/>
      </c>
      <c r="Q415" s="5">
        <f>IF(tblOrdenes[[#This Row],[fecha_inicio]]="","",MONTH(tblOrdenes[[#This Row],[fecha_inicio]]))</f>
        <v/>
      </c>
      <c r="R415" s="5">
        <f>IF(tblOrdenes[[#This Row],[fecha_inicio]]="","",tblOrdenes[[#This Row],[anio]]&amp;"-"&amp;TEXT(tblOrdenes[[#This Row],[mes]],"00"))</f>
        <v/>
      </c>
      <c r="S415" s="5">
        <f>IF(tblOrdenes[[#This Row],[fecha_inicio]]="","",INDEX(lista_dias,WEEKDAY(tblOrdenes[[#This Row],[fecha_inicio]],2)))</f>
        <v/>
      </c>
      <c r="T4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5" s="5">
        <f>IF(tblOrdenes[[#This Row],[tipo_ot]]="","",_xlfn.XLOOKUP(tblOrdenes[[#This Row],[tipo_ot]],tblTiposOT[codigo],tblTiposOT[clasificacion],"sin_clasificar"))</f>
        <v/>
      </c>
      <c r="V4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5" s="5">
        <f>IF(tblOrdenes[[#This Row],[centro_costo]]="","",_xlfn.XLOOKUP(tblOrdenes[[#This Row],[centro_costo]],tblCECO[codigo],tblCECO[linea],"(sin catálogo)"))</f>
        <v/>
      </c>
      <c r="X415" s="5">
        <f>IF(tblOrdenes[[#This Row],[centro_costo]]="","",_xlfn.XLOOKUP(tblOrdenes[[#This Row],[centro_costo]],tblCECO[codigo],tblCECO[area],"(sin catálogo)"))</f>
        <v/>
      </c>
      <c r="Y4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5" s="5">
        <f>IF(tblOrdenes[[#This Row],[centro_costo]]="","",_xlfn.XLOOKUP(tblOrdenes[[#This Row],[centro_costo]],tblCECO[codigo],tblCECO[coordinador],"(sin catálogo)"))</f>
        <v/>
      </c>
      <c r="AA415" s="5">
        <f>IF(tblOrdenes[[#This Row],[puesto_trabajo]]="","",_xlfn.XLOOKUP(tblOrdenes[[#This Row],[puesto_trabajo]],tblPuestos[codigo],tblPuestos[especialidad],"(sin catálogo)"))</f>
        <v/>
      </c>
      <c r="AB415" s="5">
        <f>IF(tblOrdenes[[#This Row],[cod_actividad]]="","",_xlfn.XLOOKUP(tblOrdenes[[#This Row],[cod_actividad]],tblActividades[codigo],tblActividades[descripcion],"(sin catálogo)"))</f>
        <v/>
      </c>
      <c r="AC415" s="20">
        <f>IF(tblOrdenes[[#This Row],[fecha_inicio]]="","",TODAY()-tblOrdenes[[#This Row],[fecha_inicio]])</f>
        <v/>
      </c>
      <c r="AD4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5" s="5">
        <f>IF(tblOrdenes[[#This Row],[backlog_habiles]]="","",IF(tblOrdenes[[#This Row],[backlog_habiles]]&lt;0,"FUTURO",IF(tblOrdenes[[#This Row],[backlog_habiles]]&gt;p_dias_backlog_max,"BACKLOG","MES CORRIENTE")))</f>
        <v/>
      </c>
      <c r="AF415" s="5">
        <f>IF(tblOrdenes[[#This Row],[backlog_habiles]]="",FALSE,AND(tblOrdenes[[#This Row],[backlog_habiles]]&gt;p_dias_backlog_min,tblOrdenes[[#This Row],[backlog_habiles]]&lt;=p_dias_backlog_max))</f>
        <v/>
      </c>
      <c r="AG415" s="4" t="n"/>
      <c r="AH4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5" s="18">
        <f>IF(tblOrdenes[[#This Row],[orden]]="","",_xlfn.XLOOKUP(tblOrdenes[[#This Row],[id_operacion]],tblEjecucion[id_operacion],tblEjecucion[precio],0))</f>
        <v/>
      </c>
      <c r="AL415" s="18">
        <f>IF(tblOrdenes[[#This Row],[orden]]="","",MAX(0,_xlfn.XLOOKUP(tblOrdenes[[#This Row],[id_operacion]],tblEjecucion[id_operacion],tblEjecucion[costo_plan_total],0)-tblOrdenes[[#This Row],[costo_servicio]]))</f>
        <v/>
      </c>
      <c r="AM415" s="18">
        <f>IF(tblOrdenes[[#This Row],[orden]]="","",tblOrdenes[[#This Row],[costo_servicio]]+tblOrdenes[[#This Row],[costo_materiales]])</f>
        <v/>
      </c>
      <c r="AN4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5" s="4" t="n"/>
      <c r="AP415" s="4" t="n"/>
      <c r="AQ415" s="4" t="n"/>
      <c r="AR415" s="5">
        <f>IF(tblOrdenes[[#This Row],[link_checklist]]="","",HYPERLINK(p_ruta_base_checklists&amp;tblOrdenes[[#This Row],[link_checklist]],"abrir"))</f>
        <v/>
      </c>
      <c r="AS415" s="4" t="n"/>
      <c r="AT415" s="5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22" t="n"/>
      <c r="K416" s="5" t="n"/>
      <c r="L416" s="18" t="n"/>
      <c r="M4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5">
        <f>IF(tblOrdenes[[#This Row],[fecha_inicio]]="","",YEAR(tblOrdenes[[#This Row],[fecha_inicio]]))</f>
        <v/>
      </c>
      <c r="Q416" s="5">
        <f>IF(tblOrdenes[[#This Row],[fecha_inicio]]="","",MONTH(tblOrdenes[[#This Row],[fecha_inicio]]))</f>
        <v/>
      </c>
      <c r="R416" s="5">
        <f>IF(tblOrdenes[[#This Row],[fecha_inicio]]="","",tblOrdenes[[#This Row],[anio]]&amp;"-"&amp;TEXT(tblOrdenes[[#This Row],[mes]],"00"))</f>
        <v/>
      </c>
      <c r="S416" s="5">
        <f>IF(tblOrdenes[[#This Row],[fecha_inicio]]="","",INDEX(lista_dias,WEEKDAY(tblOrdenes[[#This Row],[fecha_inicio]],2)))</f>
        <v/>
      </c>
      <c r="T4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6" s="5">
        <f>IF(tblOrdenes[[#This Row],[tipo_ot]]="","",_xlfn.XLOOKUP(tblOrdenes[[#This Row],[tipo_ot]],tblTiposOT[codigo],tblTiposOT[clasificacion],"sin_clasificar"))</f>
        <v/>
      </c>
      <c r="V4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6" s="5">
        <f>IF(tblOrdenes[[#This Row],[centro_costo]]="","",_xlfn.XLOOKUP(tblOrdenes[[#This Row],[centro_costo]],tblCECO[codigo],tblCECO[linea],"(sin catálogo)"))</f>
        <v/>
      </c>
      <c r="X416" s="5">
        <f>IF(tblOrdenes[[#This Row],[centro_costo]]="","",_xlfn.XLOOKUP(tblOrdenes[[#This Row],[centro_costo]],tblCECO[codigo],tblCECO[area],"(sin catálogo)"))</f>
        <v/>
      </c>
      <c r="Y4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6" s="5">
        <f>IF(tblOrdenes[[#This Row],[centro_costo]]="","",_xlfn.XLOOKUP(tblOrdenes[[#This Row],[centro_costo]],tblCECO[codigo],tblCECO[coordinador],"(sin catálogo)"))</f>
        <v/>
      </c>
      <c r="AA416" s="5">
        <f>IF(tblOrdenes[[#This Row],[puesto_trabajo]]="","",_xlfn.XLOOKUP(tblOrdenes[[#This Row],[puesto_trabajo]],tblPuestos[codigo],tblPuestos[especialidad],"(sin catálogo)"))</f>
        <v/>
      </c>
      <c r="AB416" s="5">
        <f>IF(tblOrdenes[[#This Row],[cod_actividad]]="","",_xlfn.XLOOKUP(tblOrdenes[[#This Row],[cod_actividad]],tblActividades[codigo],tblActividades[descripcion],"(sin catálogo)"))</f>
        <v/>
      </c>
      <c r="AC416" s="20">
        <f>IF(tblOrdenes[[#This Row],[fecha_inicio]]="","",TODAY()-tblOrdenes[[#This Row],[fecha_inicio]])</f>
        <v/>
      </c>
      <c r="AD4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6" s="5">
        <f>IF(tblOrdenes[[#This Row],[backlog_habiles]]="","",IF(tblOrdenes[[#This Row],[backlog_habiles]]&lt;0,"FUTURO",IF(tblOrdenes[[#This Row],[backlog_habiles]]&gt;p_dias_backlog_max,"BACKLOG","MES CORRIENTE")))</f>
        <v/>
      </c>
      <c r="AF416" s="5">
        <f>IF(tblOrdenes[[#This Row],[backlog_habiles]]="",FALSE,AND(tblOrdenes[[#This Row],[backlog_habiles]]&gt;p_dias_backlog_min,tblOrdenes[[#This Row],[backlog_habiles]]&lt;=p_dias_backlog_max))</f>
        <v/>
      </c>
      <c r="AG416" s="4" t="n"/>
      <c r="AH4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6" s="18">
        <f>IF(tblOrdenes[[#This Row],[orden]]="","",_xlfn.XLOOKUP(tblOrdenes[[#This Row],[id_operacion]],tblEjecucion[id_operacion],tblEjecucion[precio],0))</f>
        <v/>
      </c>
      <c r="AL416" s="18">
        <f>IF(tblOrdenes[[#This Row],[orden]]="","",MAX(0,_xlfn.XLOOKUP(tblOrdenes[[#This Row],[id_operacion]],tblEjecucion[id_operacion],tblEjecucion[costo_plan_total],0)-tblOrdenes[[#This Row],[costo_servicio]]))</f>
        <v/>
      </c>
      <c r="AM416" s="18">
        <f>IF(tblOrdenes[[#This Row],[orden]]="","",tblOrdenes[[#This Row],[costo_servicio]]+tblOrdenes[[#This Row],[costo_materiales]])</f>
        <v/>
      </c>
      <c r="AN4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6" s="4" t="n"/>
      <c r="AP416" s="4" t="n"/>
      <c r="AQ416" s="4" t="n"/>
      <c r="AR416" s="5">
        <f>IF(tblOrdenes[[#This Row],[link_checklist]]="","",HYPERLINK(p_ruta_base_checklists&amp;tblOrdenes[[#This Row],[link_checklist]],"abrir"))</f>
        <v/>
      </c>
      <c r="AS416" s="4" t="n"/>
      <c r="AT416" s="5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22" t="n"/>
      <c r="K417" s="5" t="n"/>
      <c r="L417" s="18" t="n"/>
      <c r="M4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5">
        <f>IF(tblOrdenes[[#This Row],[fecha_inicio]]="","",YEAR(tblOrdenes[[#This Row],[fecha_inicio]]))</f>
        <v/>
      </c>
      <c r="Q417" s="5">
        <f>IF(tblOrdenes[[#This Row],[fecha_inicio]]="","",MONTH(tblOrdenes[[#This Row],[fecha_inicio]]))</f>
        <v/>
      </c>
      <c r="R417" s="5">
        <f>IF(tblOrdenes[[#This Row],[fecha_inicio]]="","",tblOrdenes[[#This Row],[anio]]&amp;"-"&amp;TEXT(tblOrdenes[[#This Row],[mes]],"00"))</f>
        <v/>
      </c>
      <c r="S417" s="5">
        <f>IF(tblOrdenes[[#This Row],[fecha_inicio]]="","",INDEX(lista_dias,WEEKDAY(tblOrdenes[[#This Row],[fecha_inicio]],2)))</f>
        <v/>
      </c>
      <c r="T4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7" s="5">
        <f>IF(tblOrdenes[[#This Row],[tipo_ot]]="","",_xlfn.XLOOKUP(tblOrdenes[[#This Row],[tipo_ot]],tblTiposOT[codigo],tblTiposOT[clasificacion],"sin_clasificar"))</f>
        <v/>
      </c>
      <c r="V4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7" s="5">
        <f>IF(tblOrdenes[[#This Row],[centro_costo]]="","",_xlfn.XLOOKUP(tblOrdenes[[#This Row],[centro_costo]],tblCECO[codigo],tblCECO[linea],"(sin catálogo)"))</f>
        <v/>
      </c>
      <c r="X417" s="5">
        <f>IF(tblOrdenes[[#This Row],[centro_costo]]="","",_xlfn.XLOOKUP(tblOrdenes[[#This Row],[centro_costo]],tblCECO[codigo],tblCECO[area],"(sin catálogo)"))</f>
        <v/>
      </c>
      <c r="Y4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7" s="5">
        <f>IF(tblOrdenes[[#This Row],[centro_costo]]="","",_xlfn.XLOOKUP(tblOrdenes[[#This Row],[centro_costo]],tblCECO[codigo],tblCECO[coordinador],"(sin catálogo)"))</f>
        <v/>
      </c>
      <c r="AA417" s="5">
        <f>IF(tblOrdenes[[#This Row],[puesto_trabajo]]="","",_xlfn.XLOOKUP(tblOrdenes[[#This Row],[puesto_trabajo]],tblPuestos[codigo],tblPuestos[especialidad],"(sin catálogo)"))</f>
        <v/>
      </c>
      <c r="AB417" s="5">
        <f>IF(tblOrdenes[[#This Row],[cod_actividad]]="","",_xlfn.XLOOKUP(tblOrdenes[[#This Row],[cod_actividad]],tblActividades[codigo],tblActividades[descripcion],"(sin catálogo)"))</f>
        <v/>
      </c>
      <c r="AC417" s="20">
        <f>IF(tblOrdenes[[#This Row],[fecha_inicio]]="","",TODAY()-tblOrdenes[[#This Row],[fecha_inicio]])</f>
        <v/>
      </c>
      <c r="AD4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7" s="5">
        <f>IF(tblOrdenes[[#This Row],[backlog_habiles]]="","",IF(tblOrdenes[[#This Row],[backlog_habiles]]&lt;0,"FUTURO",IF(tblOrdenes[[#This Row],[backlog_habiles]]&gt;p_dias_backlog_max,"BACKLOG","MES CORRIENTE")))</f>
        <v/>
      </c>
      <c r="AF417" s="5">
        <f>IF(tblOrdenes[[#This Row],[backlog_habiles]]="",FALSE,AND(tblOrdenes[[#This Row],[backlog_habiles]]&gt;p_dias_backlog_min,tblOrdenes[[#This Row],[backlog_habiles]]&lt;=p_dias_backlog_max))</f>
        <v/>
      </c>
      <c r="AG417" s="4" t="n"/>
      <c r="AH4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7" s="18">
        <f>IF(tblOrdenes[[#This Row],[orden]]="","",_xlfn.XLOOKUP(tblOrdenes[[#This Row],[id_operacion]],tblEjecucion[id_operacion],tblEjecucion[precio],0))</f>
        <v/>
      </c>
      <c r="AL417" s="18">
        <f>IF(tblOrdenes[[#This Row],[orden]]="","",MAX(0,_xlfn.XLOOKUP(tblOrdenes[[#This Row],[id_operacion]],tblEjecucion[id_operacion],tblEjecucion[costo_plan_total],0)-tblOrdenes[[#This Row],[costo_servicio]]))</f>
        <v/>
      </c>
      <c r="AM417" s="18">
        <f>IF(tblOrdenes[[#This Row],[orden]]="","",tblOrdenes[[#This Row],[costo_servicio]]+tblOrdenes[[#This Row],[costo_materiales]])</f>
        <v/>
      </c>
      <c r="AN4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7" s="4" t="n"/>
      <c r="AP417" s="4" t="n"/>
      <c r="AQ417" s="4" t="n"/>
      <c r="AR417" s="5">
        <f>IF(tblOrdenes[[#This Row],[link_checklist]]="","",HYPERLINK(p_ruta_base_checklists&amp;tblOrdenes[[#This Row],[link_checklist]],"abrir"))</f>
        <v/>
      </c>
      <c r="AS417" s="4" t="n"/>
      <c r="AT417" s="5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22" t="n"/>
      <c r="K418" s="5" t="n"/>
      <c r="L418" s="18" t="n"/>
      <c r="M4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5">
        <f>IF(tblOrdenes[[#This Row],[fecha_inicio]]="","",YEAR(tblOrdenes[[#This Row],[fecha_inicio]]))</f>
        <v/>
      </c>
      <c r="Q418" s="5">
        <f>IF(tblOrdenes[[#This Row],[fecha_inicio]]="","",MONTH(tblOrdenes[[#This Row],[fecha_inicio]]))</f>
        <v/>
      </c>
      <c r="R418" s="5">
        <f>IF(tblOrdenes[[#This Row],[fecha_inicio]]="","",tblOrdenes[[#This Row],[anio]]&amp;"-"&amp;TEXT(tblOrdenes[[#This Row],[mes]],"00"))</f>
        <v/>
      </c>
      <c r="S418" s="5">
        <f>IF(tblOrdenes[[#This Row],[fecha_inicio]]="","",INDEX(lista_dias,WEEKDAY(tblOrdenes[[#This Row],[fecha_inicio]],2)))</f>
        <v/>
      </c>
      <c r="T4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8" s="5">
        <f>IF(tblOrdenes[[#This Row],[tipo_ot]]="","",_xlfn.XLOOKUP(tblOrdenes[[#This Row],[tipo_ot]],tblTiposOT[codigo],tblTiposOT[clasificacion],"sin_clasificar"))</f>
        <v/>
      </c>
      <c r="V4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8" s="5">
        <f>IF(tblOrdenes[[#This Row],[centro_costo]]="","",_xlfn.XLOOKUP(tblOrdenes[[#This Row],[centro_costo]],tblCECO[codigo],tblCECO[linea],"(sin catálogo)"))</f>
        <v/>
      </c>
      <c r="X418" s="5">
        <f>IF(tblOrdenes[[#This Row],[centro_costo]]="","",_xlfn.XLOOKUP(tblOrdenes[[#This Row],[centro_costo]],tblCECO[codigo],tblCECO[area],"(sin catálogo)"))</f>
        <v/>
      </c>
      <c r="Y4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8" s="5">
        <f>IF(tblOrdenes[[#This Row],[centro_costo]]="","",_xlfn.XLOOKUP(tblOrdenes[[#This Row],[centro_costo]],tblCECO[codigo],tblCECO[coordinador],"(sin catálogo)"))</f>
        <v/>
      </c>
      <c r="AA418" s="5">
        <f>IF(tblOrdenes[[#This Row],[puesto_trabajo]]="","",_xlfn.XLOOKUP(tblOrdenes[[#This Row],[puesto_trabajo]],tblPuestos[codigo],tblPuestos[especialidad],"(sin catálogo)"))</f>
        <v/>
      </c>
      <c r="AB418" s="5">
        <f>IF(tblOrdenes[[#This Row],[cod_actividad]]="","",_xlfn.XLOOKUP(tblOrdenes[[#This Row],[cod_actividad]],tblActividades[codigo],tblActividades[descripcion],"(sin catálogo)"))</f>
        <v/>
      </c>
      <c r="AC418" s="20">
        <f>IF(tblOrdenes[[#This Row],[fecha_inicio]]="","",TODAY()-tblOrdenes[[#This Row],[fecha_inicio]])</f>
        <v/>
      </c>
      <c r="AD4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8" s="5">
        <f>IF(tblOrdenes[[#This Row],[backlog_habiles]]="","",IF(tblOrdenes[[#This Row],[backlog_habiles]]&lt;0,"FUTURO",IF(tblOrdenes[[#This Row],[backlog_habiles]]&gt;p_dias_backlog_max,"BACKLOG","MES CORRIENTE")))</f>
        <v/>
      </c>
      <c r="AF418" s="5">
        <f>IF(tblOrdenes[[#This Row],[backlog_habiles]]="",FALSE,AND(tblOrdenes[[#This Row],[backlog_habiles]]&gt;p_dias_backlog_min,tblOrdenes[[#This Row],[backlog_habiles]]&lt;=p_dias_backlog_max))</f>
        <v/>
      </c>
      <c r="AG418" s="4" t="n"/>
      <c r="AH4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8" s="18">
        <f>IF(tblOrdenes[[#This Row],[orden]]="","",_xlfn.XLOOKUP(tblOrdenes[[#This Row],[id_operacion]],tblEjecucion[id_operacion],tblEjecucion[precio],0))</f>
        <v/>
      </c>
      <c r="AL418" s="18">
        <f>IF(tblOrdenes[[#This Row],[orden]]="","",MAX(0,_xlfn.XLOOKUP(tblOrdenes[[#This Row],[id_operacion]],tblEjecucion[id_operacion],tblEjecucion[costo_plan_total],0)-tblOrdenes[[#This Row],[costo_servicio]]))</f>
        <v/>
      </c>
      <c r="AM418" s="18">
        <f>IF(tblOrdenes[[#This Row],[orden]]="","",tblOrdenes[[#This Row],[costo_servicio]]+tblOrdenes[[#This Row],[costo_materiales]])</f>
        <v/>
      </c>
      <c r="AN4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8" s="4" t="n"/>
      <c r="AP418" s="4" t="n"/>
      <c r="AQ418" s="4" t="n"/>
      <c r="AR418" s="5">
        <f>IF(tblOrdenes[[#This Row],[link_checklist]]="","",HYPERLINK(p_ruta_base_checklists&amp;tblOrdenes[[#This Row],[link_checklist]],"abrir"))</f>
        <v/>
      </c>
      <c r="AS418" s="4" t="n"/>
      <c r="AT418" s="5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22" t="n"/>
      <c r="K419" s="5" t="n"/>
      <c r="L419" s="18" t="n"/>
      <c r="M4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5">
        <f>IF(tblOrdenes[[#This Row],[fecha_inicio]]="","",YEAR(tblOrdenes[[#This Row],[fecha_inicio]]))</f>
        <v/>
      </c>
      <c r="Q419" s="5">
        <f>IF(tblOrdenes[[#This Row],[fecha_inicio]]="","",MONTH(tblOrdenes[[#This Row],[fecha_inicio]]))</f>
        <v/>
      </c>
      <c r="R419" s="5">
        <f>IF(tblOrdenes[[#This Row],[fecha_inicio]]="","",tblOrdenes[[#This Row],[anio]]&amp;"-"&amp;TEXT(tblOrdenes[[#This Row],[mes]],"00"))</f>
        <v/>
      </c>
      <c r="S419" s="5">
        <f>IF(tblOrdenes[[#This Row],[fecha_inicio]]="","",INDEX(lista_dias,WEEKDAY(tblOrdenes[[#This Row],[fecha_inicio]],2)))</f>
        <v/>
      </c>
      <c r="T4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9" s="5">
        <f>IF(tblOrdenes[[#This Row],[tipo_ot]]="","",_xlfn.XLOOKUP(tblOrdenes[[#This Row],[tipo_ot]],tblTiposOT[codigo],tblTiposOT[clasificacion],"sin_clasificar"))</f>
        <v/>
      </c>
      <c r="V4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9" s="5">
        <f>IF(tblOrdenes[[#This Row],[centro_costo]]="","",_xlfn.XLOOKUP(tblOrdenes[[#This Row],[centro_costo]],tblCECO[codigo],tblCECO[linea],"(sin catálogo)"))</f>
        <v/>
      </c>
      <c r="X419" s="5">
        <f>IF(tblOrdenes[[#This Row],[centro_costo]]="","",_xlfn.XLOOKUP(tblOrdenes[[#This Row],[centro_costo]],tblCECO[codigo],tblCECO[area],"(sin catálogo)"))</f>
        <v/>
      </c>
      <c r="Y4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19" s="5">
        <f>IF(tblOrdenes[[#This Row],[centro_costo]]="","",_xlfn.XLOOKUP(tblOrdenes[[#This Row],[centro_costo]],tblCECO[codigo],tblCECO[coordinador],"(sin catálogo)"))</f>
        <v/>
      </c>
      <c r="AA419" s="5">
        <f>IF(tblOrdenes[[#This Row],[puesto_trabajo]]="","",_xlfn.XLOOKUP(tblOrdenes[[#This Row],[puesto_trabajo]],tblPuestos[codigo],tblPuestos[especialidad],"(sin catálogo)"))</f>
        <v/>
      </c>
      <c r="AB419" s="5">
        <f>IF(tblOrdenes[[#This Row],[cod_actividad]]="","",_xlfn.XLOOKUP(tblOrdenes[[#This Row],[cod_actividad]],tblActividades[codigo],tblActividades[descripcion],"(sin catálogo)"))</f>
        <v/>
      </c>
      <c r="AC419" s="20">
        <f>IF(tblOrdenes[[#This Row],[fecha_inicio]]="","",TODAY()-tblOrdenes[[#This Row],[fecha_inicio]])</f>
        <v/>
      </c>
      <c r="AD4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19" s="5">
        <f>IF(tblOrdenes[[#This Row],[backlog_habiles]]="","",IF(tblOrdenes[[#This Row],[backlog_habiles]]&lt;0,"FUTURO",IF(tblOrdenes[[#This Row],[backlog_habiles]]&gt;p_dias_backlog_max,"BACKLOG","MES CORRIENTE")))</f>
        <v/>
      </c>
      <c r="AF419" s="5">
        <f>IF(tblOrdenes[[#This Row],[backlog_habiles]]="",FALSE,AND(tblOrdenes[[#This Row],[backlog_habiles]]&gt;p_dias_backlog_min,tblOrdenes[[#This Row],[backlog_habiles]]&lt;=p_dias_backlog_max))</f>
        <v/>
      </c>
      <c r="AG419" s="4" t="n"/>
      <c r="AH4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19" s="18">
        <f>IF(tblOrdenes[[#This Row],[orden]]="","",_xlfn.XLOOKUP(tblOrdenes[[#This Row],[id_operacion]],tblEjecucion[id_operacion],tblEjecucion[precio],0))</f>
        <v/>
      </c>
      <c r="AL419" s="18">
        <f>IF(tblOrdenes[[#This Row],[orden]]="","",MAX(0,_xlfn.XLOOKUP(tblOrdenes[[#This Row],[id_operacion]],tblEjecucion[id_operacion],tblEjecucion[costo_plan_total],0)-tblOrdenes[[#This Row],[costo_servicio]]))</f>
        <v/>
      </c>
      <c r="AM419" s="18">
        <f>IF(tblOrdenes[[#This Row],[orden]]="","",tblOrdenes[[#This Row],[costo_servicio]]+tblOrdenes[[#This Row],[costo_materiales]])</f>
        <v/>
      </c>
      <c r="AN4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19" s="4" t="n"/>
      <c r="AP419" s="4" t="n"/>
      <c r="AQ419" s="4" t="n"/>
      <c r="AR419" s="5">
        <f>IF(tblOrdenes[[#This Row],[link_checklist]]="","",HYPERLINK(p_ruta_base_checklists&amp;tblOrdenes[[#This Row],[link_checklist]],"abrir"))</f>
        <v/>
      </c>
      <c r="AS419" s="4" t="n"/>
      <c r="AT419" s="5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22" t="n"/>
      <c r="K420" s="5" t="n"/>
      <c r="L420" s="18" t="n"/>
      <c r="M4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5">
        <f>IF(tblOrdenes[[#This Row],[fecha_inicio]]="","",YEAR(tblOrdenes[[#This Row],[fecha_inicio]]))</f>
        <v/>
      </c>
      <c r="Q420" s="5">
        <f>IF(tblOrdenes[[#This Row],[fecha_inicio]]="","",MONTH(tblOrdenes[[#This Row],[fecha_inicio]]))</f>
        <v/>
      </c>
      <c r="R420" s="5">
        <f>IF(tblOrdenes[[#This Row],[fecha_inicio]]="","",tblOrdenes[[#This Row],[anio]]&amp;"-"&amp;TEXT(tblOrdenes[[#This Row],[mes]],"00"))</f>
        <v/>
      </c>
      <c r="S420" s="5">
        <f>IF(tblOrdenes[[#This Row],[fecha_inicio]]="","",INDEX(lista_dias,WEEKDAY(tblOrdenes[[#This Row],[fecha_inicio]],2)))</f>
        <v/>
      </c>
      <c r="T4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0" s="5">
        <f>IF(tblOrdenes[[#This Row],[tipo_ot]]="","",_xlfn.XLOOKUP(tblOrdenes[[#This Row],[tipo_ot]],tblTiposOT[codigo],tblTiposOT[clasificacion],"sin_clasificar"))</f>
        <v/>
      </c>
      <c r="V4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0" s="5">
        <f>IF(tblOrdenes[[#This Row],[centro_costo]]="","",_xlfn.XLOOKUP(tblOrdenes[[#This Row],[centro_costo]],tblCECO[codigo],tblCECO[linea],"(sin catálogo)"))</f>
        <v/>
      </c>
      <c r="X420" s="5">
        <f>IF(tblOrdenes[[#This Row],[centro_costo]]="","",_xlfn.XLOOKUP(tblOrdenes[[#This Row],[centro_costo]],tblCECO[codigo],tblCECO[area],"(sin catálogo)"))</f>
        <v/>
      </c>
      <c r="Y4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0" s="5">
        <f>IF(tblOrdenes[[#This Row],[centro_costo]]="","",_xlfn.XLOOKUP(tblOrdenes[[#This Row],[centro_costo]],tblCECO[codigo],tblCECO[coordinador],"(sin catálogo)"))</f>
        <v/>
      </c>
      <c r="AA420" s="5">
        <f>IF(tblOrdenes[[#This Row],[puesto_trabajo]]="","",_xlfn.XLOOKUP(tblOrdenes[[#This Row],[puesto_trabajo]],tblPuestos[codigo],tblPuestos[especialidad],"(sin catálogo)"))</f>
        <v/>
      </c>
      <c r="AB420" s="5">
        <f>IF(tblOrdenes[[#This Row],[cod_actividad]]="","",_xlfn.XLOOKUP(tblOrdenes[[#This Row],[cod_actividad]],tblActividades[codigo],tblActividades[descripcion],"(sin catálogo)"))</f>
        <v/>
      </c>
      <c r="AC420" s="20">
        <f>IF(tblOrdenes[[#This Row],[fecha_inicio]]="","",TODAY()-tblOrdenes[[#This Row],[fecha_inicio]])</f>
        <v/>
      </c>
      <c r="AD4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0" s="5">
        <f>IF(tblOrdenes[[#This Row],[backlog_habiles]]="","",IF(tblOrdenes[[#This Row],[backlog_habiles]]&lt;0,"FUTURO",IF(tblOrdenes[[#This Row],[backlog_habiles]]&gt;p_dias_backlog_max,"BACKLOG","MES CORRIENTE")))</f>
        <v/>
      </c>
      <c r="AF420" s="5">
        <f>IF(tblOrdenes[[#This Row],[backlog_habiles]]="",FALSE,AND(tblOrdenes[[#This Row],[backlog_habiles]]&gt;p_dias_backlog_min,tblOrdenes[[#This Row],[backlog_habiles]]&lt;=p_dias_backlog_max))</f>
        <v/>
      </c>
      <c r="AG420" s="4" t="n"/>
      <c r="AH4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0" s="18">
        <f>IF(tblOrdenes[[#This Row],[orden]]="","",_xlfn.XLOOKUP(tblOrdenes[[#This Row],[id_operacion]],tblEjecucion[id_operacion],tblEjecucion[precio],0))</f>
        <v/>
      </c>
      <c r="AL420" s="18">
        <f>IF(tblOrdenes[[#This Row],[orden]]="","",MAX(0,_xlfn.XLOOKUP(tblOrdenes[[#This Row],[id_operacion]],tblEjecucion[id_operacion],tblEjecucion[costo_plan_total],0)-tblOrdenes[[#This Row],[costo_servicio]]))</f>
        <v/>
      </c>
      <c r="AM420" s="18">
        <f>IF(tblOrdenes[[#This Row],[orden]]="","",tblOrdenes[[#This Row],[costo_servicio]]+tblOrdenes[[#This Row],[costo_materiales]])</f>
        <v/>
      </c>
      <c r="AN4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0" s="4" t="n"/>
      <c r="AP420" s="4" t="n"/>
      <c r="AQ420" s="4" t="n"/>
      <c r="AR420" s="5">
        <f>IF(tblOrdenes[[#This Row],[link_checklist]]="","",HYPERLINK(p_ruta_base_checklists&amp;tblOrdenes[[#This Row],[link_checklist]],"abrir"))</f>
        <v/>
      </c>
      <c r="AS420" s="4" t="n"/>
      <c r="AT420" s="5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22" t="n"/>
      <c r="K421" s="5" t="n"/>
      <c r="L421" s="18" t="n"/>
      <c r="M4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5">
        <f>IF(tblOrdenes[[#This Row],[fecha_inicio]]="","",YEAR(tblOrdenes[[#This Row],[fecha_inicio]]))</f>
        <v/>
      </c>
      <c r="Q421" s="5">
        <f>IF(tblOrdenes[[#This Row],[fecha_inicio]]="","",MONTH(tblOrdenes[[#This Row],[fecha_inicio]]))</f>
        <v/>
      </c>
      <c r="R421" s="5">
        <f>IF(tblOrdenes[[#This Row],[fecha_inicio]]="","",tblOrdenes[[#This Row],[anio]]&amp;"-"&amp;TEXT(tblOrdenes[[#This Row],[mes]],"00"))</f>
        <v/>
      </c>
      <c r="S421" s="5">
        <f>IF(tblOrdenes[[#This Row],[fecha_inicio]]="","",INDEX(lista_dias,WEEKDAY(tblOrdenes[[#This Row],[fecha_inicio]],2)))</f>
        <v/>
      </c>
      <c r="T4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1" s="5">
        <f>IF(tblOrdenes[[#This Row],[tipo_ot]]="","",_xlfn.XLOOKUP(tblOrdenes[[#This Row],[tipo_ot]],tblTiposOT[codigo],tblTiposOT[clasificacion],"sin_clasificar"))</f>
        <v/>
      </c>
      <c r="V4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1" s="5">
        <f>IF(tblOrdenes[[#This Row],[centro_costo]]="","",_xlfn.XLOOKUP(tblOrdenes[[#This Row],[centro_costo]],tblCECO[codigo],tblCECO[linea],"(sin catálogo)"))</f>
        <v/>
      </c>
      <c r="X421" s="5">
        <f>IF(tblOrdenes[[#This Row],[centro_costo]]="","",_xlfn.XLOOKUP(tblOrdenes[[#This Row],[centro_costo]],tblCECO[codigo],tblCECO[area],"(sin catálogo)"))</f>
        <v/>
      </c>
      <c r="Y4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1" s="5">
        <f>IF(tblOrdenes[[#This Row],[centro_costo]]="","",_xlfn.XLOOKUP(tblOrdenes[[#This Row],[centro_costo]],tblCECO[codigo],tblCECO[coordinador],"(sin catálogo)"))</f>
        <v/>
      </c>
      <c r="AA421" s="5">
        <f>IF(tblOrdenes[[#This Row],[puesto_trabajo]]="","",_xlfn.XLOOKUP(tblOrdenes[[#This Row],[puesto_trabajo]],tblPuestos[codigo],tblPuestos[especialidad],"(sin catálogo)"))</f>
        <v/>
      </c>
      <c r="AB421" s="5">
        <f>IF(tblOrdenes[[#This Row],[cod_actividad]]="","",_xlfn.XLOOKUP(tblOrdenes[[#This Row],[cod_actividad]],tblActividades[codigo],tblActividades[descripcion],"(sin catálogo)"))</f>
        <v/>
      </c>
      <c r="AC421" s="20">
        <f>IF(tblOrdenes[[#This Row],[fecha_inicio]]="","",TODAY()-tblOrdenes[[#This Row],[fecha_inicio]])</f>
        <v/>
      </c>
      <c r="AD4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1" s="5">
        <f>IF(tblOrdenes[[#This Row],[backlog_habiles]]="","",IF(tblOrdenes[[#This Row],[backlog_habiles]]&lt;0,"FUTURO",IF(tblOrdenes[[#This Row],[backlog_habiles]]&gt;p_dias_backlog_max,"BACKLOG","MES CORRIENTE")))</f>
        <v/>
      </c>
      <c r="AF421" s="5">
        <f>IF(tblOrdenes[[#This Row],[backlog_habiles]]="",FALSE,AND(tblOrdenes[[#This Row],[backlog_habiles]]&gt;p_dias_backlog_min,tblOrdenes[[#This Row],[backlog_habiles]]&lt;=p_dias_backlog_max))</f>
        <v/>
      </c>
      <c r="AG421" s="4" t="n"/>
      <c r="AH4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1" s="18">
        <f>IF(tblOrdenes[[#This Row],[orden]]="","",_xlfn.XLOOKUP(tblOrdenes[[#This Row],[id_operacion]],tblEjecucion[id_operacion],tblEjecucion[precio],0))</f>
        <v/>
      </c>
      <c r="AL421" s="18">
        <f>IF(tblOrdenes[[#This Row],[orden]]="","",MAX(0,_xlfn.XLOOKUP(tblOrdenes[[#This Row],[id_operacion]],tblEjecucion[id_operacion],tblEjecucion[costo_plan_total],0)-tblOrdenes[[#This Row],[costo_servicio]]))</f>
        <v/>
      </c>
      <c r="AM421" s="18">
        <f>IF(tblOrdenes[[#This Row],[orden]]="","",tblOrdenes[[#This Row],[costo_servicio]]+tblOrdenes[[#This Row],[costo_materiales]])</f>
        <v/>
      </c>
      <c r="AN4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1" s="4" t="n"/>
      <c r="AP421" s="4" t="n"/>
      <c r="AQ421" s="4" t="n"/>
      <c r="AR421" s="5">
        <f>IF(tblOrdenes[[#This Row],[link_checklist]]="","",HYPERLINK(p_ruta_base_checklists&amp;tblOrdenes[[#This Row],[link_checklist]],"abrir"))</f>
        <v/>
      </c>
      <c r="AS421" s="4" t="n"/>
      <c r="AT421" s="5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22" t="n"/>
      <c r="K422" s="5" t="n"/>
      <c r="L422" s="18" t="n"/>
      <c r="M4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5">
        <f>IF(tblOrdenes[[#This Row],[fecha_inicio]]="","",YEAR(tblOrdenes[[#This Row],[fecha_inicio]]))</f>
        <v/>
      </c>
      <c r="Q422" s="5">
        <f>IF(tblOrdenes[[#This Row],[fecha_inicio]]="","",MONTH(tblOrdenes[[#This Row],[fecha_inicio]]))</f>
        <v/>
      </c>
      <c r="R422" s="5">
        <f>IF(tblOrdenes[[#This Row],[fecha_inicio]]="","",tblOrdenes[[#This Row],[anio]]&amp;"-"&amp;TEXT(tblOrdenes[[#This Row],[mes]],"00"))</f>
        <v/>
      </c>
      <c r="S422" s="5">
        <f>IF(tblOrdenes[[#This Row],[fecha_inicio]]="","",INDEX(lista_dias,WEEKDAY(tblOrdenes[[#This Row],[fecha_inicio]],2)))</f>
        <v/>
      </c>
      <c r="T4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2" s="5">
        <f>IF(tblOrdenes[[#This Row],[tipo_ot]]="","",_xlfn.XLOOKUP(tblOrdenes[[#This Row],[tipo_ot]],tblTiposOT[codigo],tblTiposOT[clasificacion],"sin_clasificar"))</f>
        <v/>
      </c>
      <c r="V4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2" s="5">
        <f>IF(tblOrdenes[[#This Row],[centro_costo]]="","",_xlfn.XLOOKUP(tblOrdenes[[#This Row],[centro_costo]],tblCECO[codigo],tblCECO[linea],"(sin catálogo)"))</f>
        <v/>
      </c>
      <c r="X422" s="5">
        <f>IF(tblOrdenes[[#This Row],[centro_costo]]="","",_xlfn.XLOOKUP(tblOrdenes[[#This Row],[centro_costo]],tblCECO[codigo],tblCECO[area],"(sin catálogo)"))</f>
        <v/>
      </c>
      <c r="Y4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2" s="5">
        <f>IF(tblOrdenes[[#This Row],[centro_costo]]="","",_xlfn.XLOOKUP(tblOrdenes[[#This Row],[centro_costo]],tblCECO[codigo],tblCECO[coordinador],"(sin catálogo)"))</f>
        <v/>
      </c>
      <c r="AA422" s="5">
        <f>IF(tblOrdenes[[#This Row],[puesto_trabajo]]="","",_xlfn.XLOOKUP(tblOrdenes[[#This Row],[puesto_trabajo]],tblPuestos[codigo],tblPuestos[especialidad],"(sin catálogo)"))</f>
        <v/>
      </c>
      <c r="AB422" s="5">
        <f>IF(tblOrdenes[[#This Row],[cod_actividad]]="","",_xlfn.XLOOKUP(tblOrdenes[[#This Row],[cod_actividad]],tblActividades[codigo],tblActividades[descripcion],"(sin catálogo)"))</f>
        <v/>
      </c>
      <c r="AC422" s="20">
        <f>IF(tblOrdenes[[#This Row],[fecha_inicio]]="","",TODAY()-tblOrdenes[[#This Row],[fecha_inicio]])</f>
        <v/>
      </c>
      <c r="AD4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2" s="5">
        <f>IF(tblOrdenes[[#This Row],[backlog_habiles]]="","",IF(tblOrdenes[[#This Row],[backlog_habiles]]&lt;0,"FUTURO",IF(tblOrdenes[[#This Row],[backlog_habiles]]&gt;p_dias_backlog_max,"BACKLOG","MES CORRIENTE")))</f>
        <v/>
      </c>
      <c r="AF422" s="5">
        <f>IF(tblOrdenes[[#This Row],[backlog_habiles]]="",FALSE,AND(tblOrdenes[[#This Row],[backlog_habiles]]&gt;p_dias_backlog_min,tblOrdenes[[#This Row],[backlog_habiles]]&lt;=p_dias_backlog_max))</f>
        <v/>
      </c>
      <c r="AG422" s="4" t="n"/>
      <c r="AH4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2" s="18">
        <f>IF(tblOrdenes[[#This Row],[orden]]="","",_xlfn.XLOOKUP(tblOrdenes[[#This Row],[id_operacion]],tblEjecucion[id_operacion],tblEjecucion[precio],0))</f>
        <v/>
      </c>
      <c r="AL422" s="18">
        <f>IF(tblOrdenes[[#This Row],[orden]]="","",MAX(0,_xlfn.XLOOKUP(tblOrdenes[[#This Row],[id_operacion]],tblEjecucion[id_operacion],tblEjecucion[costo_plan_total],0)-tblOrdenes[[#This Row],[costo_servicio]]))</f>
        <v/>
      </c>
      <c r="AM422" s="18">
        <f>IF(tblOrdenes[[#This Row],[orden]]="","",tblOrdenes[[#This Row],[costo_servicio]]+tblOrdenes[[#This Row],[costo_materiales]])</f>
        <v/>
      </c>
      <c r="AN4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2" s="4" t="n"/>
      <c r="AP422" s="4" t="n"/>
      <c r="AQ422" s="4" t="n"/>
      <c r="AR422" s="5">
        <f>IF(tblOrdenes[[#This Row],[link_checklist]]="","",HYPERLINK(p_ruta_base_checklists&amp;tblOrdenes[[#This Row],[link_checklist]],"abrir"))</f>
        <v/>
      </c>
      <c r="AS422" s="4" t="n"/>
      <c r="AT422" s="5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22" t="n"/>
      <c r="K423" s="5" t="n"/>
      <c r="L423" s="18" t="n"/>
      <c r="M4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5">
        <f>IF(tblOrdenes[[#This Row],[fecha_inicio]]="","",YEAR(tblOrdenes[[#This Row],[fecha_inicio]]))</f>
        <v/>
      </c>
      <c r="Q423" s="5">
        <f>IF(tblOrdenes[[#This Row],[fecha_inicio]]="","",MONTH(tblOrdenes[[#This Row],[fecha_inicio]]))</f>
        <v/>
      </c>
      <c r="R423" s="5">
        <f>IF(tblOrdenes[[#This Row],[fecha_inicio]]="","",tblOrdenes[[#This Row],[anio]]&amp;"-"&amp;TEXT(tblOrdenes[[#This Row],[mes]],"00"))</f>
        <v/>
      </c>
      <c r="S423" s="5">
        <f>IF(tblOrdenes[[#This Row],[fecha_inicio]]="","",INDEX(lista_dias,WEEKDAY(tblOrdenes[[#This Row],[fecha_inicio]],2)))</f>
        <v/>
      </c>
      <c r="T4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3" s="5">
        <f>IF(tblOrdenes[[#This Row],[tipo_ot]]="","",_xlfn.XLOOKUP(tblOrdenes[[#This Row],[tipo_ot]],tblTiposOT[codigo],tblTiposOT[clasificacion],"sin_clasificar"))</f>
        <v/>
      </c>
      <c r="V4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3" s="5">
        <f>IF(tblOrdenes[[#This Row],[centro_costo]]="","",_xlfn.XLOOKUP(tblOrdenes[[#This Row],[centro_costo]],tblCECO[codigo],tblCECO[linea],"(sin catálogo)"))</f>
        <v/>
      </c>
      <c r="X423" s="5">
        <f>IF(tblOrdenes[[#This Row],[centro_costo]]="","",_xlfn.XLOOKUP(tblOrdenes[[#This Row],[centro_costo]],tblCECO[codigo],tblCECO[area],"(sin catálogo)"))</f>
        <v/>
      </c>
      <c r="Y4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3" s="5">
        <f>IF(tblOrdenes[[#This Row],[centro_costo]]="","",_xlfn.XLOOKUP(tblOrdenes[[#This Row],[centro_costo]],tblCECO[codigo],tblCECO[coordinador],"(sin catálogo)"))</f>
        <v/>
      </c>
      <c r="AA423" s="5">
        <f>IF(tblOrdenes[[#This Row],[puesto_trabajo]]="","",_xlfn.XLOOKUP(tblOrdenes[[#This Row],[puesto_trabajo]],tblPuestos[codigo],tblPuestos[especialidad],"(sin catálogo)"))</f>
        <v/>
      </c>
      <c r="AB423" s="5">
        <f>IF(tblOrdenes[[#This Row],[cod_actividad]]="","",_xlfn.XLOOKUP(tblOrdenes[[#This Row],[cod_actividad]],tblActividades[codigo],tblActividades[descripcion],"(sin catálogo)"))</f>
        <v/>
      </c>
      <c r="AC423" s="20">
        <f>IF(tblOrdenes[[#This Row],[fecha_inicio]]="","",TODAY()-tblOrdenes[[#This Row],[fecha_inicio]])</f>
        <v/>
      </c>
      <c r="AD4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3" s="5">
        <f>IF(tblOrdenes[[#This Row],[backlog_habiles]]="","",IF(tblOrdenes[[#This Row],[backlog_habiles]]&lt;0,"FUTURO",IF(tblOrdenes[[#This Row],[backlog_habiles]]&gt;p_dias_backlog_max,"BACKLOG","MES CORRIENTE")))</f>
        <v/>
      </c>
      <c r="AF423" s="5">
        <f>IF(tblOrdenes[[#This Row],[backlog_habiles]]="",FALSE,AND(tblOrdenes[[#This Row],[backlog_habiles]]&gt;p_dias_backlog_min,tblOrdenes[[#This Row],[backlog_habiles]]&lt;=p_dias_backlog_max))</f>
        <v/>
      </c>
      <c r="AG423" s="4" t="n"/>
      <c r="AH4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3" s="18">
        <f>IF(tblOrdenes[[#This Row],[orden]]="","",_xlfn.XLOOKUP(tblOrdenes[[#This Row],[id_operacion]],tblEjecucion[id_operacion],tblEjecucion[precio],0))</f>
        <v/>
      </c>
      <c r="AL423" s="18">
        <f>IF(tblOrdenes[[#This Row],[orden]]="","",MAX(0,_xlfn.XLOOKUP(tblOrdenes[[#This Row],[id_operacion]],tblEjecucion[id_operacion],tblEjecucion[costo_plan_total],0)-tblOrdenes[[#This Row],[costo_servicio]]))</f>
        <v/>
      </c>
      <c r="AM423" s="18">
        <f>IF(tblOrdenes[[#This Row],[orden]]="","",tblOrdenes[[#This Row],[costo_servicio]]+tblOrdenes[[#This Row],[costo_materiales]])</f>
        <v/>
      </c>
      <c r="AN4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3" s="4" t="n"/>
      <c r="AP423" s="4" t="n"/>
      <c r="AQ423" s="4" t="n"/>
      <c r="AR423" s="5">
        <f>IF(tblOrdenes[[#This Row],[link_checklist]]="","",HYPERLINK(p_ruta_base_checklists&amp;tblOrdenes[[#This Row],[link_checklist]],"abrir"))</f>
        <v/>
      </c>
      <c r="AS423" s="4" t="n"/>
      <c r="AT423" s="5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22" t="n"/>
      <c r="K424" s="5" t="n"/>
      <c r="L424" s="18" t="n"/>
      <c r="M4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5">
        <f>IF(tblOrdenes[[#This Row],[fecha_inicio]]="","",YEAR(tblOrdenes[[#This Row],[fecha_inicio]]))</f>
        <v/>
      </c>
      <c r="Q424" s="5">
        <f>IF(tblOrdenes[[#This Row],[fecha_inicio]]="","",MONTH(tblOrdenes[[#This Row],[fecha_inicio]]))</f>
        <v/>
      </c>
      <c r="R424" s="5">
        <f>IF(tblOrdenes[[#This Row],[fecha_inicio]]="","",tblOrdenes[[#This Row],[anio]]&amp;"-"&amp;TEXT(tblOrdenes[[#This Row],[mes]],"00"))</f>
        <v/>
      </c>
      <c r="S424" s="5">
        <f>IF(tblOrdenes[[#This Row],[fecha_inicio]]="","",INDEX(lista_dias,WEEKDAY(tblOrdenes[[#This Row],[fecha_inicio]],2)))</f>
        <v/>
      </c>
      <c r="T4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4" s="5">
        <f>IF(tblOrdenes[[#This Row],[tipo_ot]]="","",_xlfn.XLOOKUP(tblOrdenes[[#This Row],[tipo_ot]],tblTiposOT[codigo],tblTiposOT[clasificacion],"sin_clasificar"))</f>
        <v/>
      </c>
      <c r="V4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4" s="5">
        <f>IF(tblOrdenes[[#This Row],[centro_costo]]="","",_xlfn.XLOOKUP(tblOrdenes[[#This Row],[centro_costo]],tblCECO[codigo],tblCECO[linea],"(sin catálogo)"))</f>
        <v/>
      </c>
      <c r="X424" s="5">
        <f>IF(tblOrdenes[[#This Row],[centro_costo]]="","",_xlfn.XLOOKUP(tblOrdenes[[#This Row],[centro_costo]],tblCECO[codigo],tblCECO[area],"(sin catálogo)"))</f>
        <v/>
      </c>
      <c r="Y4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4" s="5">
        <f>IF(tblOrdenes[[#This Row],[centro_costo]]="","",_xlfn.XLOOKUP(tblOrdenes[[#This Row],[centro_costo]],tblCECO[codigo],tblCECO[coordinador],"(sin catálogo)"))</f>
        <v/>
      </c>
      <c r="AA424" s="5">
        <f>IF(tblOrdenes[[#This Row],[puesto_trabajo]]="","",_xlfn.XLOOKUP(tblOrdenes[[#This Row],[puesto_trabajo]],tblPuestos[codigo],tblPuestos[especialidad],"(sin catálogo)"))</f>
        <v/>
      </c>
      <c r="AB424" s="5">
        <f>IF(tblOrdenes[[#This Row],[cod_actividad]]="","",_xlfn.XLOOKUP(tblOrdenes[[#This Row],[cod_actividad]],tblActividades[codigo],tblActividades[descripcion],"(sin catálogo)"))</f>
        <v/>
      </c>
      <c r="AC424" s="20">
        <f>IF(tblOrdenes[[#This Row],[fecha_inicio]]="","",TODAY()-tblOrdenes[[#This Row],[fecha_inicio]])</f>
        <v/>
      </c>
      <c r="AD4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4" s="5">
        <f>IF(tblOrdenes[[#This Row],[backlog_habiles]]="","",IF(tblOrdenes[[#This Row],[backlog_habiles]]&lt;0,"FUTURO",IF(tblOrdenes[[#This Row],[backlog_habiles]]&gt;p_dias_backlog_max,"BACKLOG","MES CORRIENTE")))</f>
        <v/>
      </c>
      <c r="AF424" s="5">
        <f>IF(tblOrdenes[[#This Row],[backlog_habiles]]="",FALSE,AND(tblOrdenes[[#This Row],[backlog_habiles]]&gt;p_dias_backlog_min,tblOrdenes[[#This Row],[backlog_habiles]]&lt;=p_dias_backlog_max))</f>
        <v/>
      </c>
      <c r="AG424" s="4" t="n"/>
      <c r="AH4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4" s="18">
        <f>IF(tblOrdenes[[#This Row],[orden]]="","",_xlfn.XLOOKUP(tblOrdenes[[#This Row],[id_operacion]],tblEjecucion[id_operacion],tblEjecucion[precio],0))</f>
        <v/>
      </c>
      <c r="AL424" s="18">
        <f>IF(tblOrdenes[[#This Row],[orden]]="","",MAX(0,_xlfn.XLOOKUP(tblOrdenes[[#This Row],[id_operacion]],tblEjecucion[id_operacion],tblEjecucion[costo_plan_total],0)-tblOrdenes[[#This Row],[costo_servicio]]))</f>
        <v/>
      </c>
      <c r="AM424" s="18">
        <f>IF(tblOrdenes[[#This Row],[orden]]="","",tblOrdenes[[#This Row],[costo_servicio]]+tblOrdenes[[#This Row],[costo_materiales]])</f>
        <v/>
      </c>
      <c r="AN4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4" s="4" t="n"/>
      <c r="AP424" s="4" t="n"/>
      <c r="AQ424" s="4" t="n"/>
      <c r="AR424" s="5">
        <f>IF(tblOrdenes[[#This Row],[link_checklist]]="","",HYPERLINK(p_ruta_base_checklists&amp;tblOrdenes[[#This Row],[link_checklist]],"abrir"))</f>
        <v/>
      </c>
      <c r="AS424" s="4" t="n"/>
      <c r="AT424" s="5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22" t="n"/>
      <c r="K425" s="5" t="n"/>
      <c r="L425" s="18" t="n"/>
      <c r="M4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5">
        <f>IF(tblOrdenes[[#This Row],[fecha_inicio]]="","",YEAR(tblOrdenes[[#This Row],[fecha_inicio]]))</f>
        <v/>
      </c>
      <c r="Q425" s="5">
        <f>IF(tblOrdenes[[#This Row],[fecha_inicio]]="","",MONTH(tblOrdenes[[#This Row],[fecha_inicio]]))</f>
        <v/>
      </c>
      <c r="R425" s="5">
        <f>IF(tblOrdenes[[#This Row],[fecha_inicio]]="","",tblOrdenes[[#This Row],[anio]]&amp;"-"&amp;TEXT(tblOrdenes[[#This Row],[mes]],"00"))</f>
        <v/>
      </c>
      <c r="S425" s="5">
        <f>IF(tblOrdenes[[#This Row],[fecha_inicio]]="","",INDEX(lista_dias,WEEKDAY(tblOrdenes[[#This Row],[fecha_inicio]],2)))</f>
        <v/>
      </c>
      <c r="T4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5" s="5">
        <f>IF(tblOrdenes[[#This Row],[tipo_ot]]="","",_xlfn.XLOOKUP(tblOrdenes[[#This Row],[tipo_ot]],tblTiposOT[codigo],tblTiposOT[clasificacion],"sin_clasificar"))</f>
        <v/>
      </c>
      <c r="V4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5" s="5">
        <f>IF(tblOrdenes[[#This Row],[centro_costo]]="","",_xlfn.XLOOKUP(tblOrdenes[[#This Row],[centro_costo]],tblCECO[codigo],tblCECO[linea],"(sin catálogo)"))</f>
        <v/>
      </c>
      <c r="X425" s="5">
        <f>IF(tblOrdenes[[#This Row],[centro_costo]]="","",_xlfn.XLOOKUP(tblOrdenes[[#This Row],[centro_costo]],tblCECO[codigo],tblCECO[area],"(sin catálogo)"))</f>
        <v/>
      </c>
      <c r="Y4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5" s="5">
        <f>IF(tblOrdenes[[#This Row],[centro_costo]]="","",_xlfn.XLOOKUP(tblOrdenes[[#This Row],[centro_costo]],tblCECO[codigo],tblCECO[coordinador],"(sin catálogo)"))</f>
        <v/>
      </c>
      <c r="AA425" s="5">
        <f>IF(tblOrdenes[[#This Row],[puesto_trabajo]]="","",_xlfn.XLOOKUP(tblOrdenes[[#This Row],[puesto_trabajo]],tblPuestos[codigo],tblPuestos[especialidad],"(sin catálogo)"))</f>
        <v/>
      </c>
      <c r="AB425" s="5">
        <f>IF(tblOrdenes[[#This Row],[cod_actividad]]="","",_xlfn.XLOOKUP(tblOrdenes[[#This Row],[cod_actividad]],tblActividades[codigo],tblActividades[descripcion],"(sin catálogo)"))</f>
        <v/>
      </c>
      <c r="AC425" s="20">
        <f>IF(tblOrdenes[[#This Row],[fecha_inicio]]="","",TODAY()-tblOrdenes[[#This Row],[fecha_inicio]])</f>
        <v/>
      </c>
      <c r="AD4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5" s="5">
        <f>IF(tblOrdenes[[#This Row],[backlog_habiles]]="","",IF(tblOrdenes[[#This Row],[backlog_habiles]]&lt;0,"FUTURO",IF(tblOrdenes[[#This Row],[backlog_habiles]]&gt;p_dias_backlog_max,"BACKLOG","MES CORRIENTE")))</f>
        <v/>
      </c>
      <c r="AF425" s="5">
        <f>IF(tblOrdenes[[#This Row],[backlog_habiles]]="",FALSE,AND(tblOrdenes[[#This Row],[backlog_habiles]]&gt;p_dias_backlog_min,tblOrdenes[[#This Row],[backlog_habiles]]&lt;=p_dias_backlog_max))</f>
        <v/>
      </c>
      <c r="AG425" s="4" t="n"/>
      <c r="AH4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5" s="18">
        <f>IF(tblOrdenes[[#This Row],[orden]]="","",_xlfn.XLOOKUP(tblOrdenes[[#This Row],[id_operacion]],tblEjecucion[id_operacion],tblEjecucion[precio],0))</f>
        <v/>
      </c>
      <c r="AL425" s="18">
        <f>IF(tblOrdenes[[#This Row],[orden]]="","",MAX(0,_xlfn.XLOOKUP(tblOrdenes[[#This Row],[id_operacion]],tblEjecucion[id_operacion],tblEjecucion[costo_plan_total],0)-tblOrdenes[[#This Row],[costo_servicio]]))</f>
        <v/>
      </c>
      <c r="AM425" s="18">
        <f>IF(tblOrdenes[[#This Row],[orden]]="","",tblOrdenes[[#This Row],[costo_servicio]]+tblOrdenes[[#This Row],[costo_materiales]])</f>
        <v/>
      </c>
      <c r="AN4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5" s="4" t="n"/>
      <c r="AP425" s="4" t="n"/>
      <c r="AQ425" s="4" t="n"/>
      <c r="AR425" s="5">
        <f>IF(tblOrdenes[[#This Row],[link_checklist]]="","",HYPERLINK(p_ruta_base_checklists&amp;tblOrdenes[[#This Row],[link_checklist]],"abrir"))</f>
        <v/>
      </c>
      <c r="AS425" s="4" t="n"/>
      <c r="AT425" s="5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22" t="n"/>
      <c r="K426" s="5" t="n"/>
      <c r="L426" s="18" t="n"/>
      <c r="M4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5">
        <f>IF(tblOrdenes[[#This Row],[fecha_inicio]]="","",YEAR(tblOrdenes[[#This Row],[fecha_inicio]]))</f>
        <v/>
      </c>
      <c r="Q426" s="5">
        <f>IF(tblOrdenes[[#This Row],[fecha_inicio]]="","",MONTH(tblOrdenes[[#This Row],[fecha_inicio]]))</f>
        <v/>
      </c>
      <c r="R426" s="5">
        <f>IF(tblOrdenes[[#This Row],[fecha_inicio]]="","",tblOrdenes[[#This Row],[anio]]&amp;"-"&amp;TEXT(tblOrdenes[[#This Row],[mes]],"00"))</f>
        <v/>
      </c>
      <c r="S426" s="5">
        <f>IF(tblOrdenes[[#This Row],[fecha_inicio]]="","",INDEX(lista_dias,WEEKDAY(tblOrdenes[[#This Row],[fecha_inicio]],2)))</f>
        <v/>
      </c>
      <c r="T4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6" s="5">
        <f>IF(tblOrdenes[[#This Row],[tipo_ot]]="","",_xlfn.XLOOKUP(tblOrdenes[[#This Row],[tipo_ot]],tblTiposOT[codigo],tblTiposOT[clasificacion],"sin_clasificar"))</f>
        <v/>
      </c>
      <c r="V4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6" s="5">
        <f>IF(tblOrdenes[[#This Row],[centro_costo]]="","",_xlfn.XLOOKUP(tblOrdenes[[#This Row],[centro_costo]],tblCECO[codigo],tblCECO[linea],"(sin catálogo)"))</f>
        <v/>
      </c>
      <c r="X426" s="5">
        <f>IF(tblOrdenes[[#This Row],[centro_costo]]="","",_xlfn.XLOOKUP(tblOrdenes[[#This Row],[centro_costo]],tblCECO[codigo],tblCECO[area],"(sin catálogo)"))</f>
        <v/>
      </c>
      <c r="Y4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6" s="5">
        <f>IF(tblOrdenes[[#This Row],[centro_costo]]="","",_xlfn.XLOOKUP(tblOrdenes[[#This Row],[centro_costo]],tblCECO[codigo],tblCECO[coordinador],"(sin catálogo)"))</f>
        <v/>
      </c>
      <c r="AA426" s="5">
        <f>IF(tblOrdenes[[#This Row],[puesto_trabajo]]="","",_xlfn.XLOOKUP(tblOrdenes[[#This Row],[puesto_trabajo]],tblPuestos[codigo],tblPuestos[especialidad],"(sin catálogo)"))</f>
        <v/>
      </c>
      <c r="AB426" s="5">
        <f>IF(tblOrdenes[[#This Row],[cod_actividad]]="","",_xlfn.XLOOKUP(tblOrdenes[[#This Row],[cod_actividad]],tblActividades[codigo],tblActividades[descripcion],"(sin catálogo)"))</f>
        <v/>
      </c>
      <c r="AC426" s="20">
        <f>IF(tblOrdenes[[#This Row],[fecha_inicio]]="","",TODAY()-tblOrdenes[[#This Row],[fecha_inicio]])</f>
        <v/>
      </c>
      <c r="AD4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6" s="5">
        <f>IF(tblOrdenes[[#This Row],[backlog_habiles]]="","",IF(tblOrdenes[[#This Row],[backlog_habiles]]&lt;0,"FUTURO",IF(tblOrdenes[[#This Row],[backlog_habiles]]&gt;p_dias_backlog_max,"BACKLOG","MES CORRIENTE")))</f>
        <v/>
      </c>
      <c r="AF426" s="5">
        <f>IF(tblOrdenes[[#This Row],[backlog_habiles]]="",FALSE,AND(tblOrdenes[[#This Row],[backlog_habiles]]&gt;p_dias_backlog_min,tblOrdenes[[#This Row],[backlog_habiles]]&lt;=p_dias_backlog_max))</f>
        <v/>
      </c>
      <c r="AG426" s="4" t="n"/>
      <c r="AH4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6" s="18">
        <f>IF(tblOrdenes[[#This Row],[orden]]="","",_xlfn.XLOOKUP(tblOrdenes[[#This Row],[id_operacion]],tblEjecucion[id_operacion],tblEjecucion[precio],0))</f>
        <v/>
      </c>
      <c r="AL426" s="18">
        <f>IF(tblOrdenes[[#This Row],[orden]]="","",MAX(0,_xlfn.XLOOKUP(tblOrdenes[[#This Row],[id_operacion]],tblEjecucion[id_operacion],tblEjecucion[costo_plan_total],0)-tblOrdenes[[#This Row],[costo_servicio]]))</f>
        <v/>
      </c>
      <c r="AM426" s="18">
        <f>IF(tblOrdenes[[#This Row],[orden]]="","",tblOrdenes[[#This Row],[costo_servicio]]+tblOrdenes[[#This Row],[costo_materiales]])</f>
        <v/>
      </c>
      <c r="AN4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6" s="4" t="n"/>
      <c r="AP426" s="4" t="n"/>
      <c r="AQ426" s="4" t="n"/>
      <c r="AR426" s="5">
        <f>IF(tblOrdenes[[#This Row],[link_checklist]]="","",HYPERLINK(p_ruta_base_checklists&amp;tblOrdenes[[#This Row],[link_checklist]],"abrir"))</f>
        <v/>
      </c>
      <c r="AS426" s="4" t="n"/>
      <c r="AT426" s="5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22" t="n"/>
      <c r="K427" s="5" t="n"/>
      <c r="L427" s="18" t="n"/>
      <c r="M4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5">
        <f>IF(tblOrdenes[[#This Row],[fecha_inicio]]="","",YEAR(tblOrdenes[[#This Row],[fecha_inicio]]))</f>
        <v/>
      </c>
      <c r="Q427" s="5">
        <f>IF(tblOrdenes[[#This Row],[fecha_inicio]]="","",MONTH(tblOrdenes[[#This Row],[fecha_inicio]]))</f>
        <v/>
      </c>
      <c r="R427" s="5">
        <f>IF(tblOrdenes[[#This Row],[fecha_inicio]]="","",tblOrdenes[[#This Row],[anio]]&amp;"-"&amp;TEXT(tblOrdenes[[#This Row],[mes]],"00"))</f>
        <v/>
      </c>
      <c r="S427" s="5">
        <f>IF(tblOrdenes[[#This Row],[fecha_inicio]]="","",INDEX(lista_dias,WEEKDAY(tblOrdenes[[#This Row],[fecha_inicio]],2)))</f>
        <v/>
      </c>
      <c r="T4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7" s="5">
        <f>IF(tblOrdenes[[#This Row],[tipo_ot]]="","",_xlfn.XLOOKUP(tblOrdenes[[#This Row],[tipo_ot]],tblTiposOT[codigo],tblTiposOT[clasificacion],"sin_clasificar"))</f>
        <v/>
      </c>
      <c r="V4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7" s="5">
        <f>IF(tblOrdenes[[#This Row],[centro_costo]]="","",_xlfn.XLOOKUP(tblOrdenes[[#This Row],[centro_costo]],tblCECO[codigo],tblCECO[linea],"(sin catálogo)"))</f>
        <v/>
      </c>
      <c r="X427" s="5">
        <f>IF(tblOrdenes[[#This Row],[centro_costo]]="","",_xlfn.XLOOKUP(tblOrdenes[[#This Row],[centro_costo]],tblCECO[codigo],tblCECO[area],"(sin catálogo)"))</f>
        <v/>
      </c>
      <c r="Y4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7" s="5">
        <f>IF(tblOrdenes[[#This Row],[centro_costo]]="","",_xlfn.XLOOKUP(tblOrdenes[[#This Row],[centro_costo]],tblCECO[codigo],tblCECO[coordinador],"(sin catálogo)"))</f>
        <v/>
      </c>
      <c r="AA427" s="5">
        <f>IF(tblOrdenes[[#This Row],[puesto_trabajo]]="","",_xlfn.XLOOKUP(tblOrdenes[[#This Row],[puesto_trabajo]],tblPuestos[codigo],tblPuestos[especialidad],"(sin catálogo)"))</f>
        <v/>
      </c>
      <c r="AB427" s="5">
        <f>IF(tblOrdenes[[#This Row],[cod_actividad]]="","",_xlfn.XLOOKUP(tblOrdenes[[#This Row],[cod_actividad]],tblActividades[codigo],tblActividades[descripcion],"(sin catálogo)"))</f>
        <v/>
      </c>
      <c r="AC427" s="20">
        <f>IF(tblOrdenes[[#This Row],[fecha_inicio]]="","",TODAY()-tblOrdenes[[#This Row],[fecha_inicio]])</f>
        <v/>
      </c>
      <c r="AD4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7" s="5">
        <f>IF(tblOrdenes[[#This Row],[backlog_habiles]]="","",IF(tblOrdenes[[#This Row],[backlog_habiles]]&lt;0,"FUTURO",IF(tblOrdenes[[#This Row],[backlog_habiles]]&gt;p_dias_backlog_max,"BACKLOG","MES CORRIENTE")))</f>
        <v/>
      </c>
      <c r="AF427" s="5">
        <f>IF(tblOrdenes[[#This Row],[backlog_habiles]]="",FALSE,AND(tblOrdenes[[#This Row],[backlog_habiles]]&gt;p_dias_backlog_min,tblOrdenes[[#This Row],[backlog_habiles]]&lt;=p_dias_backlog_max))</f>
        <v/>
      </c>
      <c r="AG427" s="4" t="n"/>
      <c r="AH4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7" s="18">
        <f>IF(tblOrdenes[[#This Row],[orden]]="","",_xlfn.XLOOKUP(tblOrdenes[[#This Row],[id_operacion]],tblEjecucion[id_operacion],tblEjecucion[precio],0))</f>
        <v/>
      </c>
      <c r="AL427" s="18">
        <f>IF(tblOrdenes[[#This Row],[orden]]="","",MAX(0,_xlfn.XLOOKUP(tblOrdenes[[#This Row],[id_operacion]],tblEjecucion[id_operacion],tblEjecucion[costo_plan_total],0)-tblOrdenes[[#This Row],[costo_servicio]]))</f>
        <v/>
      </c>
      <c r="AM427" s="18">
        <f>IF(tblOrdenes[[#This Row],[orden]]="","",tblOrdenes[[#This Row],[costo_servicio]]+tblOrdenes[[#This Row],[costo_materiales]])</f>
        <v/>
      </c>
      <c r="AN4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7" s="4" t="n"/>
      <c r="AP427" s="4" t="n"/>
      <c r="AQ427" s="4" t="n"/>
      <c r="AR427" s="5">
        <f>IF(tblOrdenes[[#This Row],[link_checklist]]="","",HYPERLINK(p_ruta_base_checklists&amp;tblOrdenes[[#This Row],[link_checklist]],"abrir"))</f>
        <v/>
      </c>
      <c r="AS427" s="4" t="n"/>
      <c r="AT427" s="5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22" t="n"/>
      <c r="K428" s="5" t="n"/>
      <c r="L428" s="18" t="n"/>
      <c r="M4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5">
        <f>IF(tblOrdenes[[#This Row],[fecha_inicio]]="","",YEAR(tblOrdenes[[#This Row],[fecha_inicio]]))</f>
        <v/>
      </c>
      <c r="Q428" s="5">
        <f>IF(tblOrdenes[[#This Row],[fecha_inicio]]="","",MONTH(tblOrdenes[[#This Row],[fecha_inicio]]))</f>
        <v/>
      </c>
      <c r="R428" s="5">
        <f>IF(tblOrdenes[[#This Row],[fecha_inicio]]="","",tblOrdenes[[#This Row],[anio]]&amp;"-"&amp;TEXT(tblOrdenes[[#This Row],[mes]],"00"))</f>
        <v/>
      </c>
      <c r="S428" s="5">
        <f>IF(tblOrdenes[[#This Row],[fecha_inicio]]="","",INDEX(lista_dias,WEEKDAY(tblOrdenes[[#This Row],[fecha_inicio]],2)))</f>
        <v/>
      </c>
      <c r="T4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8" s="5">
        <f>IF(tblOrdenes[[#This Row],[tipo_ot]]="","",_xlfn.XLOOKUP(tblOrdenes[[#This Row],[tipo_ot]],tblTiposOT[codigo],tblTiposOT[clasificacion],"sin_clasificar"))</f>
        <v/>
      </c>
      <c r="V4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8" s="5">
        <f>IF(tblOrdenes[[#This Row],[centro_costo]]="","",_xlfn.XLOOKUP(tblOrdenes[[#This Row],[centro_costo]],tblCECO[codigo],tblCECO[linea],"(sin catálogo)"))</f>
        <v/>
      </c>
      <c r="X428" s="5">
        <f>IF(tblOrdenes[[#This Row],[centro_costo]]="","",_xlfn.XLOOKUP(tblOrdenes[[#This Row],[centro_costo]],tblCECO[codigo],tblCECO[area],"(sin catálogo)"))</f>
        <v/>
      </c>
      <c r="Y4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8" s="5">
        <f>IF(tblOrdenes[[#This Row],[centro_costo]]="","",_xlfn.XLOOKUP(tblOrdenes[[#This Row],[centro_costo]],tblCECO[codigo],tblCECO[coordinador],"(sin catálogo)"))</f>
        <v/>
      </c>
      <c r="AA428" s="5">
        <f>IF(tblOrdenes[[#This Row],[puesto_trabajo]]="","",_xlfn.XLOOKUP(tblOrdenes[[#This Row],[puesto_trabajo]],tblPuestos[codigo],tblPuestos[especialidad],"(sin catálogo)"))</f>
        <v/>
      </c>
      <c r="AB428" s="5">
        <f>IF(tblOrdenes[[#This Row],[cod_actividad]]="","",_xlfn.XLOOKUP(tblOrdenes[[#This Row],[cod_actividad]],tblActividades[codigo],tblActividades[descripcion],"(sin catálogo)"))</f>
        <v/>
      </c>
      <c r="AC428" s="20">
        <f>IF(tblOrdenes[[#This Row],[fecha_inicio]]="","",TODAY()-tblOrdenes[[#This Row],[fecha_inicio]])</f>
        <v/>
      </c>
      <c r="AD4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8" s="5">
        <f>IF(tblOrdenes[[#This Row],[backlog_habiles]]="","",IF(tblOrdenes[[#This Row],[backlog_habiles]]&lt;0,"FUTURO",IF(tblOrdenes[[#This Row],[backlog_habiles]]&gt;p_dias_backlog_max,"BACKLOG","MES CORRIENTE")))</f>
        <v/>
      </c>
      <c r="AF428" s="5">
        <f>IF(tblOrdenes[[#This Row],[backlog_habiles]]="",FALSE,AND(tblOrdenes[[#This Row],[backlog_habiles]]&gt;p_dias_backlog_min,tblOrdenes[[#This Row],[backlog_habiles]]&lt;=p_dias_backlog_max))</f>
        <v/>
      </c>
      <c r="AG428" s="4" t="n"/>
      <c r="AH4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8" s="18">
        <f>IF(tblOrdenes[[#This Row],[orden]]="","",_xlfn.XLOOKUP(tblOrdenes[[#This Row],[id_operacion]],tblEjecucion[id_operacion],tblEjecucion[precio],0))</f>
        <v/>
      </c>
      <c r="AL428" s="18">
        <f>IF(tblOrdenes[[#This Row],[orden]]="","",MAX(0,_xlfn.XLOOKUP(tblOrdenes[[#This Row],[id_operacion]],tblEjecucion[id_operacion],tblEjecucion[costo_plan_total],0)-tblOrdenes[[#This Row],[costo_servicio]]))</f>
        <v/>
      </c>
      <c r="AM428" s="18">
        <f>IF(tblOrdenes[[#This Row],[orden]]="","",tblOrdenes[[#This Row],[costo_servicio]]+tblOrdenes[[#This Row],[costo_materiales]])</f>
        <v/>
      </c>
      <c r="AN4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8" s="4" t="n"/>
      <c r="AP428" s="4" t="n"/>
      <c r="AQ428" s="4" t="n"/>
      <c r="AR428" s="5">
        <f>IF(tblOrdenes[[#This Row],[link_checklist]]="","",HYPERLINK(p_ruta_base_checklists&amp;tblOrdenes[[#This Row],[link_checklist]],"abrir"))</f>
        <v/>
      </c>
      <c r="AS428" s="4" t="n"/>
      <c r="AT428" s="5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22" t="n"/>
      <c r="K429" s="5" t="n"/>
      <c r="L429" s="18" t="n"/>
      <c r="M4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5">
        <f>IF(tblOrdenes[[#This Row],[fecha_inicio]]="","",YEAR(tblOrdenes[[#This Row],[fecha_inicio]]))</f>
        <v/>
      </c>
      <c r="Q429" s="5">
        <f>IF(tblOrdenes[[#This Row],[fecha_inicio]]="","",MONTH(tblOrdenes[[#This Row],[fecha_inicio]]))</f>
        <v/>
      </c>
      <c r="R429" s="5">
        <f>IF(tblOrdenes[[#This Row],[fecha_inicio]]="","",tblOrdenes[[#This Row],[anio]]&amp;"-"&amp;TEXT(tblOrdenes[[#This Row],[mes]],"00"))</f>
        <v/>
      </c>
      <c r="S429" s="5">
        <f>IF(tblOrdenes[[#This Row],[fecha_inicio]]="","",INDEX(lista_dias,WEEKDAY(tblOrdenes[[#This Row],[fecha_inicio]],2)))</f>
        <v/>
      </c>
      <c r="T4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9" s="5">
        <f>IF(tblOrdenes[[#This Row],[tipo_ot]]="","",_xlfn.XLOOKUP(tblOrdenes[[#This Row],[tipo_ot]],tblTiposOT[codigo],tblTiposOT[clasificacion],"sin_clasificar"))</f>
        <v/>
      </c>
      <c r="V4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9" s="5">
        <f>IF(tblOrdenes[[#This Row],[centro_costo]]="","",_xlfn.XLOOKUP(tblOrdenes[[#This Row],[centro_costo]],tblCECO[codigo],tblCECO[linea],"(sin catálogo)"))</f>
        <v/>
      </c>
      <c r="X429" s="5">
        <f>IF(tblOrdenes[[#This Row],[centro_costo]]="","",_xlfn.XLOOKUP(tblOrdenes[[#This Row],[centro_costo]],tblCECO[codigo],tblCECO[area],"(sin catálogo)"))</f>
        <v/>
      </c>
      <c r="Y4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29" s="5">
        <f>IF(tblOrdenes[[#This Row],[centro_costo]]="","",_xlfn.XLOOKUP(tblOrdenes[[#This Row],[centro_costo]],tblCECO[codigo],tblCECO[coordinador],"(sin catálogo)"))</f>
        <v/>
      </c>
      <c r="AA429" s="5">
        <f>IF(tblOrdenes[[#This Row],[puesto_trabajo]]="","",_xlfn.XLOOKUP(tblOrdenes[[#This Row],[puesto_trabajo]],tblPuestos[codigo],tblPuestos[especialidad],"(sin catálogo)"))</f>
        <v/>
      </c>
      <c r="AB429" s="5">
        <f>IF(tblOrdenes[[#This Row],[cod_actividad]]="","",_xlfn.XLOOKUP(tblOrdenes[[#This Row],[cod_actividad]],tblActividades[codigo],tblActividades[descripcion],"(sin catálogo)"))</f>
        <v/>
      </c>
      <c r="AC429" s="20">
        <f>IF(tblOrdenes[[#This Row],[fecha_inicio]]="","",TODAY()-tblOrdenes[[#This Row],[fecha_inicio]])</f>
        <v/>
      </c>
      <c r="AD4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29" s="5">
        <f>IF(tblOrdenes[[#This Row],[backlog_habiles]]="","",IF(tblOrdenes[[#This Row],[backlog_habiles]]&lt;0,"FUTURO",IF(tblOrdenes[[#This Row],[backlog_habiles]]&gt;p_dias_backlog_max,"BACKLOG","MES CORRIENTE")))</f>
        <v/>
      </c>
      <c r="AF429" s="5">
        <f>IF(tblOrdenes[[#This Row],[backlog_habiles]]="",FALSE,AND(tblOrdenes[[#This Row],[backlog_habiles]]&gt;p_dias_backlog_min,tblOrdenes[[#This Row],[backlog_habiles]]&lt;=p_dias_backlog_max))</f>
        <v/>
      </c>
      <c r="AG429" s="4" t="n"/>
      <c r="AH4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29" s="18">
        <f>IF(tblOrdenes[[#This Row],[orden]]="","",_xlfn.XLOOKUP(tblOrdenes[[#This Row],[id_operacion]],tblEjecucion[id_operacion],tblEjecucion[precio],0))</f>
        <v/>
      </c>
      <c r="AL429" s="18">
        <f>IF(tblOrdenes[[#This Row],[orden]]="","",MAX(0,_xlfn.XLOOKUP(tblOrdenes[[#This Row],[id_operacion]],tblEjecucion[id_operacion],tblEjecucion[costo_plan_total],0)-tblOrdenes[[#This Row],[costo_servicio]]))</f>
        <v/>
      </c>
      <c r="AM429" s="18">
        <f>IF(tblOrdenes[[#This Row],[orden]]="","",tblOrdenes[[#This Row],[costo_servicio]]+tblOrdenes[[#This Row],[costo_materiales]])</f>
        <v/>
      </c>
      <c r="AN4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29" s="4" t="n"/>
      <c r="AP429" s="4" t="n"/>
      <c r="AQ429" s="4" t="n"/>
      <c r="AR429" s="5">
        <f>IF(tblOrdenes[[#This Row],[link_checklist]]="","",HYPERLINK(p_ruta_base_checklists&amp;tblOrdenes[[#This Row],[link_checklist]],"abrir"))</f>
        <v/>
      </c>
      <c r="AS429" s="4" t="n"/>
      <c r="AT429" s="5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22" t="n"/>
      <c r="K430" s="5" t="n"/>
      <c r="L430" s="18" t="n"/>
      <c r="M4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5">
        <f>IF(tblOrdenes[[#This Row],[fecha_inicio]]="","",YEAR(tblOrdenes[[#This Row],[fecha_inicio]]))</f>
        <v/>
      </c>
      <c r="Q430" s="5">
        <f>IF(tblOrdenes[[#This Row],[fecha_inicio]]="","",MONTH(tblOrdenes[[#This Row],[fecha_inicio]]))</f>
        <v/>
      </c>
      <c r="R430" s="5">
        <f>IF(tblOrdenes[[#This Row],[fecha_inicio]]="","",tblOrdenes[[#This Row],[anio]]&amp;"-"&amp;TEXT(tblOrdenes[[#This Row],[mes]],"00"))</f>
        <v/>
      </c>
      <c r="S430" s="5">
        <f>IF(tblOrdenes[[#This Row],[fecha_inicio]]="","",INDEX(lista_dias,WEEKDAY(tblOrdenes[[#This Row],[fecha_inicio]],2)))</f>
        <v/>
      </c>
      <c r="T4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0" s="5">
        <f>IF(tblOrdenes[[#This Row],[tipo_ot]]="","",_xlfn.XLOOKUP(tblOrdenes[[#This Row],[tipo_ot]],tblTiposOT[codigo],tblTiposOT[clasificacion],"sin_clasificar"))</f>
        <v/>
      </c>
      <c r="V4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0" s="5">
        <f>IF(tblOrdenes[[#This Row],[centro_costo]]="","",_xlfn.XLOOKUP(tblOrdenes[[#This Row],[centro_costo]],tblCECO[codigo],tblCECO[linea],"(sin catálogo)"))</f>
        <v/>
      </c>
      <c r="X430" s="5">
        <f>IF(tblOrdenes[[#This Row],[centro_costo]]="","",_xlfn.XLOOKUP(tblOrdenes[[#This Row],[centro_costo]],tblCECO[codigo],tblCECO[area],"(sin catálogo)"))</f>
        <v/>
      </c>
      <c r="Y4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0" s="5">
        <f>IF(tblOrdenes[[#This Row],[centro_costo]]="","",_xlfn.XLOOKUP(tblOrdenes[[#This Row],[centro_costo]],tblCECO[codigo],tblCECO[coordinador],"(sin catálogo)"))</f>
        <v/>
      </c>
      <c r="AA430" s="5">
        <f>IF(tblOrdenes[[#This Row],[puesto_trabajo]]="","",_xlfn.XLOOKUP(tblOrdenes[[#This Row],[puesto_trabajo]],tblPuestos[codigo],tblPuestos[especialidad],"(sin catálogo)"))</f>
        <v/>
      </c>
      <c r="AB430" s="5">
        <f>IF(tblOrdenes[[#This Row],[cod_actividad]]="","",_xlfn.XLOOKUP(tblOrdenes[[#This Row],[cod_actividad]],tblActividades[codigo],tblActividades[descripcion],"(sin catálogo)"))</f>
        <v/>
      </c>
      <c r="AC430" s="20">
        <f>IF(tblOrdenes[[#This Row],[fecha_inicio]]="","",TODAY()-tblOrdenes[[#This Row],[fecha_inicio]])</f>
        <v/>
      </c>
      <c r="AD4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0" s="5">
        <f>IF(tblOrdenes[[#This Row],[backlog_habiles]]="","",IF(tblOrdenes[[#This Row],[backlog_habiles]]&lt;0,"FUTURO",IF(tblOrdenes[[#This Row],[backlog_habiles]]&gt;p_dias_backlog_max,"BACKLOG","MES CORRIENTE")))</f>
        <v/>
      </c>
      <c r="AF430" s="5">
        <f>IF(tblOrdenes[[#This Row],[backlog_habiles]]="",FALSE,AND(tblOrdenes[[#This Row],[backlog_habiles]]&gt;p_dias_backlog_min,tblOrdenes[[#This Row],[backlog_habiles]]&lt;=p_dias_backlog_max))</f>
        <v/>
      </c>
      <c r="AG430" s="4" t="n"/>
      <c r="AH4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0" s="18">
        <f>IF(tblOrdenes[[#This Row],[orden]]="","",_xlfn.XLOOKUP(tblOrdenes[[#This Row],[id_operacion]],tblEjecucion[id_operacion],tblEjecucion[precio],0))</f>
        <v/>
      </c>
      <c r="AL430" s="18">
        <f>IF(tblOrdenes[[#This Row],[orden]]="","",MAX(0,_xlfn.XLOOKUP(tblOrdenes[[#This Row],[id_operacion]],tblEjecucion[id_operacion],tblEjecucion[costo_plan_total],0)-tblOrdenes[[#This Row],[costo_servicio]]))</f>
        <v/>
      </c>
      <c r="AM430" s="18">
        <f>IF(tblOrdenes[[#This Row],[orden]]="","",tblOrdenes[[#This Row],[costo_servicio]]+tblOrdenes[[#This Row],[costo_materiales]])</f>
        <v/>
      </c>
      <c r="AN4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0" s="4" t="n"/>
      <c r="AP430" s="4" t="n"/>
      <c r="AQ430" s="4" t="n"/>
      <c r="AR430" s="5">
        <f>IF(tblOrdenes[[#This Row],[link_checklist]]="","",HYPERLINK(p_ruta_base_checklists&amp;tblOrdenes[[#This Row],[link_checklist]],"abrir"))</f>
        <v/>
      </c>
      <c r="AS430" s="4" t="n"/>
      <c r="AT430" s="5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22" t="n"/>
      <c r="K431" s="5" t="n"/>
      <c r="L431" s="18" t="n"/>
      <c r="M4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5">
        <f>IF(tblOrdenes[[#This Row],[fecha_inicio]]="","",YEAR(tblOrdenes[[#This Row],[fecha_inicio]]))</f>
        <v/>
      </c>
      <c r="Q431" s="5">
        <f>IF(tblOrdenes[[#This Row],[fecha_inicio]]="","",MONTH(tblOrdenes[[#This Row],[fecha_inicio]]))</f>
        <v/>
      </c>
      <c r="R431" s="5">
        <f>IF(tblOrdenes[[#This Row],[fecha_inicio]]="","",tblOrdenes[[#This Row],[anio]]&amp;"-"&amp;TEXT(tblOrdenes[[#This Row],[mes]],"00"))</f>
        <v/>
      </c>
      <c r="S431" s="5">
        <f>IF(tblOrdenes[[#This Row],[fecha_inicio]]="","",INDEX(lista_dias,WEEKDAY(tblOrdenes[[#This Row],[fecha_inicio]],2)))</f>
        <v/>
      </c>
      <c r="T4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1" s="5">
        <f>IF(tblOrdenes[[#This Row],[tipo_ot]]="","",_xlfn.XLOOKUP(tblOrdenes[[#This Row],[tipo_ot]],tblTiposOT[codigo],tblTiposOT[clasificacion],"sin_clasificar"))</f>
        <v/>
      </c>
      <c r="V4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1" s="5">
        <f>IF(tblOrdenes[[#This Row],[centro_costo]]="","",_xlfn.XLOOKUP(tblOrdenes[[#This Row],[centro_costo]],tblCECO[codigo],tblCECO[linea],"(sin catálogo)"))</f>
        <v/>
      </c>
      <c r="X431" s="5">
        <f>IF(tblOrdenes[[#This Row],[centro_costo]]="","",_xlfn.XLOOKUP(tblOrdenes[[#This Row],[centro_costo]],tblCECO[codigo],tblCECO[area],"(sin catálogo)"))</f>
        <v/>
      </c>
      <c r="Y4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1" s="5">
        <f>IF(tblOrdenes[[#This Row],[centro_costo]]="","",_xlfn.XLOOKUP(tblOrdenes[[#This Row],[centro_costo]],tblCECO[codigo],tblCECO[coordinador],"(sin catálogo)"))</f>
        <v/>
      </c>
      <c r="AA431" s="5">
        <f>IF(tblOrdenes[[#This Row],[puesto_trabajo]]="","",_xlfn.XLOOKUP(tblOrdenes[[#This Row],[puesto_trabajo]],tblPuestos[codigo],tblPuestos[especialidad],"(sin catálogo)"))</f>
        <v/>
      </c>
      <c r="AB431" s="5">
        <f>IF(tblOrdenes[[#This Row],[cod_actividad]]="","",_xlfn.XLOOKUP(tblOrdenes[[#This Row],[cod_actividad]],tblActividades[codigo],tblActividades[descripcion],"(sin catálogo)"))</f>
        <v/>
      </c>
      <c r="AC431" s="20">
        <f>IF(tblOrdenes[[#This Row],[fecha_inicio]]="","",TODAY()-tblOrdenes[[#This Row],[fecha_inicio]])</f>
        <v/>
      </c>
      <c r="AD4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1" s="5">
        <f>IF(tblOrdenes[[#This Row],[backlog_habiles]]="","",IF(tblOrdenes[[#This Row],[backlog_habiles]]&lt;0,"FUTURO",IF(tblOrdenes[[#This Row],[backlog_habiles]]&gt;p_dias_backlog_max,"BACKLOG","MES CORRIENTE")))</f>
        <v/>
      </c>
      <c r="AF431" s="5">
        <f>IF(tblOrdenes[[#This Row],[backlog_habiles]]="",FALSE,AND(tblOrdenes[[#This Row],[backlog_habiles]]&gt;p_dias_backlog_min,tblOrdenes[[#This Row],[backlog_habiles]]&lt;=p_dias_backlog_max))</f>
        <v/>
      </c>
      <c r="AG431" s="4" t="n"/>
      <c r="AH4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1" s="18">
        <f>IF(tblOrdenes[[#This Row],[orden]]="","",_xlfn.XLOOKUP(tblOrdenes[[#This Row],[id_operacion]],tblEjecucion[id_operacion],tblEjecucion[precio],0))</f>
        <v/>
      </c>
      <c r="AL431" s="18">
        <f>IF(tblOrdenes[[#This Row],[orden]]="","",MAX(0,_xlfn.XLOOKUP(tblOrdenes[[#This Row],[id_operacion]],tblEjecucion[id_operacion],tblEjecucion[costo_plan_total],0)-tblOrdenes[[#This Row],[costo_servicio]]))</f>
        <v/>
      </c>
      <c r="AM431" s="18">
        <f>IF(tblOrdenes[[#This Row],[orden]]="","",tblOrdenes[[#This Row],[costo_servicio]]+tblOrdenes[[#This Row],[costo_materiales]])</f>
        <v/>
      </c>
      <c r="AN4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1" s="4" t="n"/>
      <c r="AP431" s="4" t="n"/>
      <c r="AQ431" s="4" t="n"/>
      <c r="AR431" s="5">
        <f>IF(tblOrdenes[[#This Row],[link_checklist]]="","",HYPERLINK(p_ruta_base_checklists&amp;tblOrdenes[[#This Row],[link_checklist]],"abrir"))</f>
        <v/>
      </c>
      <c r="AS431" s="4" t="n"/>
      <c r="AT431" s="5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22" t="n"/>
      <c r="K432" s="5" t="n"/>
      <c r="L432" s="18" t="n"/>
      <c r="M4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5">
        <f>IF(tblOrdenes[[#This Row],[fecha_inicio]]="","",YEAR(tblOrdenes[[#This Row],[fecha_inicio]]))</f>
        <v/>
      </c>
      <c r="Q432" s="5">
        <f>IF(tblOrdenes[[#This Row],[fecha_inicio]]="","",MONTH(tblOrdenes[[#This Row],[fecha_inicio]]))</f>
        <v/>
      </c>
      <c r="R432" s="5">
        <f>IF(tblOrdenes[[#This Row],[fecha_inicio]]="","",tblOrdenes[[#This Row],[anio]]&amp;"-"&amp;TEXT(tblOrdenes[[#This Row],[mes]],"00"))</f>
        <v/>
      </c>
      <c r="S432" s="5">
        <f>IF(tblOrdenes[[#This Row],[fecha_inicio]]="","",INDEX(lista_dias,WEEKDAY(tblOrdenes[[#This Row],[fecha_inicio]],2)))</f>
        <v/>
      </c>
      <c r="T4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2" s="5">
        <f>IF(tblOrdenes[[#This Row],[tipo_ot]]="","",_xlfn.XLOOKUP(tblOrdenes[[#This Row],[tipo_ot]],tblTiposOT[codigo],tblTiposOT[clasificacion],"sin_clasificar"))</f>
        <v/>
      </c>
      <c r="V4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2" s="5">
        <f>IF(tblOrdenes[[#This Row],[centro_costo]]="","",_xlfn.XLOOKUP(tblOrdenes[[#This Row],[centro_costo]],tblCECO[codigo],tblCECO[linea],"(sin catálogo)"))</f>
        <v/>
      </c>
      <c r="X432" s="5">
        <f>IF(tblOrdenes[[#This Row],[centro_costo]]="","",_xlfn.XLOOKUP(tblOrdenes[[#This Row],[centro_costo]],tblCECO[codigo],tblCECO[area],"(sin catálogo)"))</f>
        <v/>
      </c>
      <c r="Y4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2" s="5">
        <f>IF(tblOrdenes[[#This Row],[centro_costo]]="","",_xlfn.XLOOKUP(tblOrdenes[[#This Row],[centro_costo]],tblCECO[codigo],tblCECO[coordinador],"(sin catálogo)"))</f>
        <v/>
      </c>
      <c r="AA432" s="5">
        <f>IF(tblOrdenes[[#This Row],[puesto_trabajo]]="","",_xlfn.XLOOKUP(tblOrdenes[[#This Row],[puesto_trabajo]],tblPuestos[codigo],tblPuestos[especialidad],"(sin catálogo)"))</f>
        <v/>
      </c>
      <c r="AB432" s="5">
        <f>IF(tblOrdenes[[#This Row],[cod_actividad]]="","",_xlfn.XLOOKUP(tblOrdenes[[#This Row],[cod_actividad]],tblActividades[codigo],tblActividades[descripcion],"(sin catálogo)"))</f>
        <v/>
      </c>
      <c r="AC432" s="20">
        <f>IF(tblOrdenes[[#This Row],[fecha_inicio]]="","",TODAY()-tblOrdenes[[#This Row],[fecha_inicio]])</f>
        <v/>
      </c>
      <c r="AD4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2" s="5">
        <f>IF(tblOrdenes[[#This Row],[backlog_habiles]]="","",IF(tblOrdenes[[#This Row],[backlog_habiles]]&lt;0,"FUTURO",IF(tblOrdenes[[#This Row],[backlog_habiles]]&gt;p_dias_backlog_max,"BACKLOG","MES CORRIENTE")))</f>
        <v/>
      </c>
      <c r="AF432" s="5">
        <f>IF(tblOrdenes[[#This Row],[backlog_habiles]]="",FALSE,AND(tblOrdenes[[#This Row],[backlog_habiles]]&gt;p_dias_backlog_min,tblOrdenes[[#This Row],[backlog_habiles]]&lt;=p_dias_backlog_max))</f>
        <v/>
      </c>
      <c r="AG432" s="4" t="n"/>
      <c r="AH4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2" s="18">
        <f>IF(tblOrdenes[[#This Row],[orden]]="","",_xlfn.XLOOKUP(tblOrdenes[[#This Row],[id_operacion]],tblEjecucion[id_operacion],tblEjecucion[precio],0))</f>
        <v/>
      </c>
      <c r="AL432" s="18">
        <f>IF(tblOrdenes[[#This Row],[orden]]="","",MAX(0,_xlfn.XLOOKUP(tblOrdenes[[#This Row],[id_operacion]],tblEjecucion[id_operacion],tblEjecucion[costo_plan_total],0)-tblOrdenes[[#This Row],[costo_servicio]]))</f>
        <v/>
      </c>
      <c r="AM432" s="18">
        <f>IF(tblOrdenes[[#This Row],[orden]]="","",tblOrdenes[[#This Row],[costo_servicio]]+tblOrdenes[[#This Row],[costo_materiales]])</f>
        <v/>
      </c>
      <c r="AN4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2" s="4" t="n"/>
      <c r="AP432" s="4" t="n"/>
      <c r="AQ432" s="4" t="n"/>
      <c r="AR432" s="5">
        <f>IF(tblOrdenes[[#This Row],[link_checklist]]="","",HYPERLINK(p_ruta_base_checklists&amp;tblOrdenes[[#This Row],[link_checklist]],"abrir"))</f>
        <v/>
      </c>
      <c r="AS432" s="4" t="n"/>
      <c r="AT432" s="5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22" t="n"/>
      <c r="K433" s="5" t="n"/>
      <c r="L433" s="18" t="n"/>
      <c r="M4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5">
        <f>IF(tblOrdenes[[#This Row],[fecha_inicio]]="","",YEAR(tblOrdenes[[#This Row],[fecha_inicio]]))</f>
        <v/>
      </c>
      <c r="Q433" s="5">
        <f>IF(tblOrdenes[[#This Row],[fecha_inicio]]="","",MONTH(tblOrdenes[[#This Row],[fecha_inicio]]))</f>
        <v/>
      </c>
      <c r="R433" s="5">
        <f>IF(tblOrdenes[[#This Row],[fecha_inicio]]="","",tblOrdenes[[#This Row],[anio]]&amp;"-"&amp;TEXT(tblOrdenes[[#This Row],[mes]],"00"))</f>
        <v/>
      </c>
      <c r="S433" s="5">
        <f>IF(tblOrdenes[[#This Row],[fecha_inicio]]="","",INDEX(lista_dias,WEEKDAY(tblOrdenes[[#This Row],[fecha_inicio]],2)))</f>
        <v/>
      </c>
      <c r="T4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3" s="5">
        <f>IF(tblOrdenes[[#This Row],[tipo_ot]]="","",_xlfn.XLOOKUP(tblOrdenes[[#This Row],[tipo_ot]],tblTiposOT[codigo],tblTiposOT[clasificacion],"sin_clasificar"))</f>
        <v/>
      </c>
      <c r="V4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3" s="5">
        <f>IF(tblOrdenes[[#This Row],[centro_costo]]="","",_xlfn.XLOOKUP(tblOrdenes[[#This Row],[centro_costo]],tblCECO[codigo],tblCECO[linea],"(sin catálogo)"))</f>
        <v/>
      </c>
      <c r="X433" s="5">
        <f>IF(tblOrdenes[[#This Row],[centro_costo]]="","",_xlfn.XLOOKUP(tblOrdenes[[#This Row],[centro_costo]],tblCECO[codigo],tblCECO[area],"(sin catálogo)"))</f>
        <v/>
      </c>
      <c r="Y4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3" s="5">
        <f>IF(tblOrdenes[[#This Row],[centro_costo]]="","",_xlfn.XLOOKUP(tblOrdenes[[#This Row],[centro_costo]],tblCECO[codigo],tblCECO[coordinador],"(sin catálogo)"))</f>
        <v/>
      </c>
      <c r="AA433" s="5">
        <f>IF(tblOrdenes[[#This Row],[puesto_trabajo]]="","",_xlfn.XLOOKUP(tblOrdenes[[#This Row],[puesto_trabajo]],tblPuestos[codigo],tblPuestos[especialidad],"(sin catálogo)"))</f>
        <v/>
      </c>
      <c r="AB433" s="5">
        <f>IF(tblOrdenes[[#This Row],[cod_actividad]]="","",_xlfn.XLOOKUP(tblOrdenes[[#This Row],[cod_actividad]],tblActividades[codigo],tblActividades[descripcion],"(sin catálogo)"))</f>
        <v/>
      </c>
      <c r="AC433" s="20">
        <f>IF(tblOrdenes[[#This Row],[fecha_inicio]]="","",TODAY()-tblOrdenes[[#This Row],[fecha_inicio]])</f>
        <v/>
      </c>
      <c r="AD4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3" s="5">
        <f>IF(tblOrdenes[[#This Row],[backlog_habiles]]="","",IF(tblOrdenes[[#This Row],[backlog_habiles]]&lt;0,"FUTURO",IF(tblOrdenes[[#This Row],[backlog_habiles]]&gt;p_dias_backlog_max,"BACKLOG","MES CORRIENTE")))</f>
        <v/>
      </c>
      <c r="AF433" s="5">
        <f>IF(tblOrdenes[[#This Row],[backlog_habiles]]="",FALSE,AND(tblOrdenes[[#This Row],[backlog_habiles]]&gt;p_dias_backlog_min,tblOrdenes[[#This Row],[backlog_habiles]]&lt;=p_dias_backlog_max))</f>
        <v/>
      </c>
      <c r="AG433" s="4" t="n"/>
      <c r="AH4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3" s="18">
        <f>IF(tblOrdenes[[#This Row],[orden]]="","",_xlfn.XLOOKUP(tblOrdenes[[#This Row],[id_operacion]],tblEjecucion[id_operacion],tblEjecucion[precio],0))</f>
        <v/>
      </c>
      <c r="AL433" s="18">
        <f>IF(tblOrdenes[[#This Row],[orden]]="","",MAX(0,_xlfn.XLOOKUP(tblOrdenes[[#This Row],[id_operacion]],tblEjecucion[id_operacion],tblEjecucion[costo_plan_total],0)-tblOrdenes[[#This Row],[costo_servicio]]))</f>
        <v/>
      </c>
      <c r="AM433" s="18">
        <f>IF(tblOrdenes[[#This Row],[orden]]="","",tblOrdenes[[#This Row],[costo_servicio]]+tblOrdenes[[#This Row],[costo_materiales]])</f>
        <v/>
      </c>
      <c r="AN4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3" s="4" t="n"/>
      <c r="AP433" s="4" t="n"/>
      <c r="AQ433" s="4" t="n"/>
      <c r="AR433" s="5">
        <f>IF(tblOrdenes[[#This Row],[link_checklist]]="","",HYPERLINK(p_ruta_base_checklists&amp;tblOrdenes[[#This Row],[link_checklist]],"abrir"))</f>
        <v/>
      </c>
      <c r="AS433" s="4" t="n"/>
      <c r="AT433" s="5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22" t="n"/>
      <c r="K434" s="5" t="n"/>
      <c r="L434" s="18" t="n"/>
      <c r="M4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5">
        <f>IF(tblOrdenes[[#This Row],[fecha_inicio]]="","",YEAR(tblOrdenes[[#This Row],[fecha_inicio]]))</f>
        <v/>
      </c>
      <c r="Q434" s="5">
        <f>IF(tblOrdenes[[#This Row],[fecha_inicio]]="","",MONTH(tblOrdenes[[#This Row],[fecha_inicio]]))</f>
        <v/>
      </c>
      <c r="R434" s="5">
        <f>IF(tblOrdenes[[#This Row],[fecha_inicio]]="","",tblOrdenes[[#This Row],[anio]]&amp;"-"&amp;TEXT(tblOrdenes[[#This Row],[mes]],"00"))</f>
        <v/>
      </c>
      <c r="S434" s="5">
        <f>IF(tblOrdenes[[#This Row],[fecha_inicio]]="","",INDEX(lista_dias,WEEKDAY(tblOrdenes[[#This Row],[fecha_inicio]],2)))</f>
        <v/>
      </c>
      <c r="T4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4" s="5">
        <f>IF(tblOrdenes[[#This Row],[tipo_ot]]="","",_xlfn.XLOOKUP(tblOrdenes[[#This Row],[tipo_ot]],tblTiposOT[codigo],tblTiposOT[clasificacion],"sin_clasificar"))</f>
        <v/>
      </c>
      <c r="V4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4" s="5">
        <f>IF(tblOrdenes[[#This Row],[centro_costo]]="","",_xlfn.XLOOKUP(tblOrdenes[[#This Row],[centro_costo]],tblCECO[codigo],tblCECO[linea],"(sin catálogo)"))</f>
        <v/>
      </c>
      <c r="X434" s="5">
        <f>IF(tblOrdenes[[#This Row],[centro_costo]]="","",_xlfn.XLOOKUP(tblOrdenes[[#This Row],[centro_costo]],tblCECO[codigo],tblCECO[area],"(sin catálogo)"))</f>
        <v/>
      </c>
      <c r="Y4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4" s="5">
        <f>IF(tblOrdenes[[#This Row],[centro_costo]]="","",_xlfn.XLOOKUP(tblOrdenes[[#This Row],[centro_costo]],tblCECO[codigo],tblCECO[coordinador],"(sin catálogo)"))</f>
        <v/>
      </c>
      <c r="AA434" s="5">
        <f>IF(tblOrdenes[[#This Row],[puesto_trabajo]]="","",_xlfn.XLOOKUP(tblOrdenes[[#This Row],[puesto_trabajo]],tblPuestos[codigo],tblPuestos[especialidad],"(sin catálogo)"))</f>
        <v/>
      </c>
      <c r="AB434" s="5">
        <f>IF(tblOrdenes[[#This Row],[cod_actividad]]="","",_xlfn.XLOOKUP(tblOrdenes[[#This Row],[cod_actividad]],tblActividades[codigo],tblActividades[descripcion],"(sin catálogo)"))</f>
        <v/>
      </c>
      <c r="AC434" s="20">
        <f>IF(tblOrdenes[[#This Row],[fecha_inicio]]="","",TODAY()-tblOrdenes[[#This Row],[fecha_inicio]])</f>
        <v/>
      </c>
      <c r="AD4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4" s="5">
        <f>IF(tblOrdenes[[#This Row],[backlog_habiles]]="","",IF(tblOrdenes[[#This Row],[backlog_habiles]]&lt;0,"FUTURO",IF(tblOrdenes[[#This Row],[backlog_habiles]]&gt;p_dias_backlog_max,"BACKLOG","MES CORRIENTE")))</f>
        <v/>
      </c>
      <c r="AF434" s="5">
        <f>IF(tblOrdenes[[#This Row],[backlog_habiles]]="",FALSE,AND(tblOrdenes[[#This Row],[backlog_habiles]]&gt;p_dias_backlog_min,tblOrdenes[[#This Row],[backlog_habiles]]&lt;=p_dias_backlog_max))</f>
        <v/>
      </c>
      <c r="AG434" s="4" t="n"/>
      <c r="AH4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4" s="18">
        <f>IF(tblOrdenes[[#This Row],[orden]]="","",_xlfn.XLOOKUP(tblOrdenes[[#This Row],[id_operacion]],tblEjecucion[id_operacion],tblEjecucion[precio],0))</f>
        <v/>
      </c>
      <c r="AL434" s="18">
        <f>IF(tblOrdenes[[#This Row],[orden]]="","",MAX(0,_xlfn.XLOOKUP(tblOrdenes[[#This Row],[id_operacion]],tblEjecucion[id_operacion],tblEjecucion[costo_plan_total],0)-tblOrdenes[[#This Row],[costo_servicio]]))</f>
        <v/>
      </c>
      <c r="AM434" s="18">
        <f>IF(tblOrdenes[[#This Row],[orden]]="","",tblOrdenes[[#This Row],[costo_servicio]]+tblOrdenes[[#This Row],[costo_materiales]])</f>
        <v/>
      </c>
      <c r="AN4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4" s="4" t="n"/>
      <c r="AP434" s="4" t="n"/>
      <c r="AQ434" s="4" t="n"/>
      <c r="AR434" s="5">
        <f>IF(tblOrdenes[[#This Row],[link_checklist]]="","",HYPERLINK(p_ruta_base_checklists&amp;tblOrdenes[[#This Row],[link_checklist]],"abrir"))</f>
        <v/>
      </c>
      <c r="AS434" s="4" t="n"/>
      <c r="AT434" s="5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22" t="n"/>
      <c r="K435" s="5" t="n"/>
      <c r="L435" s="18" t="n"/>
      <c r="M4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5">
        <f>IF(tblOrdenes[[#This Row],[fecha_inicio]]="","",YEAR(tblOrdenes[[#This Row],[fecha_inicio]]))</f>
        <v/>
      </c>
      <c r="Q435" s="5">
        <f>IF(tblOrdenes[[#This Row],[fecha_inicio]]="","",MONTH(tblOrdenes[[#This Row],[fecha_inicio]]))</f>
        <v/>
      </c>
      <c r="R435" s="5">
        <f>IF(tblOrdenes[[#This Row],[fecha_inicio]]="","",tblOrdenes[[#This Row],[anio]]&amp;"-"&amp;TEXT(tblOrdenes[[#This Row],[mes]],"00"))</f>
        <v/>
      </c>
      <c r="S435" s="5">
        <f>IF(tblOrdenes[[#This Row],[fecha_inicio]]="","",INDEX(lista_dias,WEEKDAY(tblOrdenes[[#This Row],[fecha_inicio]],2)))</f>
        <v/>
      </c>
      <c r="T4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5" s="5">
        <f>IF(tblOrdenes[[#This Row],[tipo_ot]]="","",_xlfn.XLOOKUP(tblOrdenes[[#This Row],[tipo_ot]],tblTiposOT[codigo],tblTiposOT[clasificacion],"sin_clasificar"))</f>
        <v/>
      </c>
      <c r="V4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5" s="5">
        <f>IF(tblOrdenes[[#This Row],[centro_costo]]="","",_xlfn.XLOOKUP(tblOrdenes[[#This Row],[centro_costo]],tblCECO[codigo],tblCECO[linea],"(sin catálogo)"))</f>
        <v/>
      </c>
      <c r="X435" s="5">
        <f>IF(tblOrdenes[[#This Row],[centro_costo]]="","",_xlfn.XLOOKUP(tblOrdenes[[#This Row],[centro_costo]],tblCECO[codigo],tblCECO[area],"(sin catálogo)"))</f>
        <v/>
      </c>
      <c r="Y4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5" s="5">
        <f>IF(tblOrdenes[[#This Row],[centro_costo]]="","",_xlfn.XLOOKUP(tblOrdenes[[#This Row],[centro_costo]],tblCECO[codigo],tblCECO[coordinador],"(sin catálogo)"))</f>
        <v/>
      </c>
      <c r="AA435" s="5">
        <f>IF(tblOrdenes[[#This Row],[puesto_trabajo]]="","",_xlfn.XLOOKUP(tblOrdenes[[#This Row],[puesto_trabajo]],tblPuestos[codigo],tblPuestos[especialidad],"(sin catálogo)"))</f>
        <v/>
      </c>
      <c r="AB435" s="5">
        <f>IF(tblOrdenes[[#This Row],[cod_actividad]]="","",_xlfn.XLOOKUP(tblOrdenes[[#This Row],[cod_actividad]],tblActividades[codigo],tblActividades[descripcion],"(sin catálogo)"))</f>
        <v/>
      </c>
      <c r="AC435" s="20">
        <f>IF(tblOrdenes[[#This Row],[fecha_inicio]]="","",TODAY()-tblOrdenes[[#This Row],[fecha_inicio]])</f>
        <v/>
      </c>
      <c r="AD4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5" s="5">
        <f>IF(tblOrdenes[[#This Row],[backlog_habiles]]="","",IF(tblOrdenes[[#This Row],[backlog_habiles]]&lt;0,"FUTURO",IF(tblOrdenes[[#This Row],[backlog_habiles]]&gt;p_dias_backlog_max,"BACKLOG","MES CORRIENTE")))</f>
        <v/>
      </c>
      <c r="AF435" s="5">
        <f>IF(tblOrdenes[[#This Row],[backlog_habiles]]="",FALSE,AND(tblOrdenes[[#This Row],[backlog_habiles]]&gt;p_dias_backlog_min,tblOrdenes[[#This Row],[backlog_habiles]]&lt;=p_dias_backlog_max))</f>
        <v/>
      </c>
      <c r="AG435" s="4" t="n"/>
      <c r="AH4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5" s="18">
        <f>IF(tblOrdenes[[#This Row],[orden]]="","",_xlfn.XLOOKUP(tblOrdenes[[#This Row],[id_operacion]],tblEjecucion[id_operacion],tblEjecucion[precio],0))</f>
        <v/>
      </c>
      <c r="AL435" s="18">
        <f>IF(tblOrdenes[[#This Row],[orden]]="","",MAX(0,_xlfn.XLOOKUP(tblOrdenes[[#This Row],[id_operacion]],tblEjecucion[id_operacion],tblEjecucion[costo_plan_total],0)-tblOrdenes[[#This Row],[costo_servicio]]))</f>
        <v/>
      </c>
      <c r="AM435" s="18">
        <f>IF(tblOrdenes[[#This Row],[orden]]="","",tblOrdenes[[#This Row],[costo_servicio]]+tblOrdenes[[#This Row],[costo_materiales]])</f>
        <v/>
      </c>
      <c r="AN4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5" s="4" t="n"/>
      <c r="AP435" s="4" t="n"/>
      <c r="AQ435" s="4" t="n"/>
      <c r="AR435" s="5">
        <f>IF(tblOrdenes[[#This Row],[link_checklist]]="","",HYPERLINK(p_ruta_base_checklists&amp;tblOrdenes[[#This Row],[link_checklist]],"abrir"))</f>
        <v/>
      </c>
      <c r="AS435" s="4" t="n"/>
      <c r="AT435" s="5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22" t="n"/>
      <c r="K436" s="5" t="n"/>
      <c r="L436" s="18" t="n"/>
      <c r="M4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5">
        <f>IF(tblOrdenes[[#This Row],[fecha_inicio]]="","",YEAR(tblOrdenes[[#This Row],[fecha_inicio]]))</f>
        <v/>
      </c>
      <c r="Q436" s="5">
        <f>IF(tblOrdenes[[#This Row],[fecha_inicio]]="","",MONTH(tblOrdenes[[#This Row],[fecha_inicio]]))</f>
        <v/>
      </c>
      <c r="R436" s="5">
        <f>IF(tblOrdenes[[#This Row],[fecha_inicio]]="","",tblOrdenes[[#This Row],[anio]]&amp;"-"&amp;TEXT(tblOrdenes[[#This Row],[mes]],"00"))</f>
        <v/>
      </c>
      <c r="S436" s="5">
        <f>IF(tblOrdenes[[#This Row],[fecha_inicio]]="","",INDEX(lista_dias,WEEKDAY(tblOrdenes[[#This Row],[fecha_inicio]],2)))</f>
        <v/>
      </c>
      <c r="T4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6" s="5">
        <f>IF(tblOrdenes[[#This Row],[tipo_ot]]="","",_xlfn.XLOOKUP(tblOrdenes[[#This Row],[tipo_ot]],tblTiposOT[codigo],tblTiposOT[clasificacion],"sin_clasificar"))</f>
        <v/>
      </c>
      <c r="V4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6" s="5">
        <f>IF(tblOrdenes[[#This Row],[centro_costo]]="","",_xlfn.XLOOKUP(tblOrdenes[[#This Row],[centro_costo]],tblCECO[codigo],tblCECO[linea],"(sin catálogo)"))</f>
        <v/>
      </c>
      <c r="X436" s="5">
        <f>IF(tblOrdenes[[#This Row],[centro_costo]]="","",_xlfn.XLOOKUP(tblOrdenes[[#This Row],[centro_costo]],tblCECO[codigo],tblCECO[area],"(sin catálogo)"))</f>
        <v/>
      </c>
      <c r="Y4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6" s="5">
        <f>IF(tblOrdenes[[#This Row],[centro_costo]]="","",_xlfn.XLOOKUP(tblOrdenes[[#This Row],[centro_costo]],tblCECO[codigo],tblCECO[coordinador],"(sin catálogo)"))</f>
        <v/>
      </c>
      <c r="AA436" s="5">
        <f>IF(tblOrdenes[[#This Row],[puesto_trabajo]]="","",_xlfn.XLOOKUP(tblOrdenes[[#This Row],[puesto_trabajo]],tblPuestos[codigo],tblPuestos[especialidad],"(sin catálogo)"))</f>
        <v/>
      </c>
      <c r="AB436" s="5">
        <f>IF(tblOrdenes[[#This Row],[cod_actividad]]="","",_xlfn.XLOOKUP(tblOrdenes[[#This Row],[cod_actividad]],tblActividades[codigo],tblActividades[descripcion],"(sin catálogo)"))</f>
        <v/>
      </c>
      <c r="AC436" s="20">
        <f>IF(tblOrdenes[[#This Row],[fecha_inicio]]="","",TODAY()-tblOrdenes[[#This Row],[fecha_inicio]])</f>
        <v/>
      </c>
      <c r="AD4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6" s="5">
        <f>IF(tblOrdenes[[#This Row],[backlog_habiles]]="","",IF(tblOrdenes[[#This Row],[backlog_habiles]]&lt;0,"FUTURO",IF(tblOrdenes[[#This Row],[backlog_habiles]]&gt;p_dias_backlog_max,"BACKLOG","MES CORRIENTE")))</f>
        <v/>
      </c>
      <c r="AF436" s="5">
        <f>IF(tblOrdenes[[#This Row],[backlog_habiles]]="",FALSE,AND(tblOrdenes[[#This Row],[backlog_habiles]]&gt;p_dias_backlog_min,tblOrdenes[[#This Row],[backlog_habiles]]&lt;=p_dias_backlog_max))</f>
        <v/>
      </c>
      <c r="AG436" s="4" t="n"/>
      <c r="AH4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6" s="18">
        <f>IF(tblOrdenes[[#This Row],[orden]]="","",_xlfn.XLOOKUP(tblOrdenes[[#This Row],[id_operacion]],tblEjecucion[id_operacion],tblEjecucion[precio],0))</f>
        <v/>
      </c>
      <c r="AL436" s="18">
        <f>IF(tblOrdenes[[#This Row],[orden]]="","",MAX(0,_xlfn.XLOOKUP(tblOrdenes[[#This Row],[id_operacion]],tblEjecucion[id_operacion],tblEjecucion[costo_plan_total],0)-tblOrdenes[[#This Row],[costo_servicio]]))</f>
        <v/>
      </c>
      <c r="AM436" s="18">
        <f>IF(tblOrdenes[[#This Row],[orden]]="","",tblOrdenes[[#This Row],[costo_servicio]]+tblOrdenes[[#This Row],[costo_materiales]])</f>
        <v/>
      </c>
      <c r="AN4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6" s="4" t="n"/>
      <c r="AP436" s="4" t="n"/>
      <c r="AQ436" s="4" t="n"/>
      <c r="AR436" s="5">
        <f>IF(tblOrdenes[[#This Row],[link_checklist]]="","",HYPERLINK(p_ruta_base_checklists&amp;tblOrdenes[[#This Row],[link_checklist]],"abrir"))</f>
        <v/>
      </c>
      <c r="AS436" s="4" t="n"/>
      <c r="AT436" s="5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22" t="n"/>
      <c r="K437" s="5" t="n"/>
      <c r="L437" s="18" t="n"/>
      <c r="M4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5">
        <f>IF(tblOrdenes[[#This Row],[fecha_inicio]]="","",YEAR(tblOrdenes[[#This Row],[fecha_inicio]]))</f>
        <v/>
      </c>
      <c r="Q437" s="5">
        <f>IF(tblOrdenes[[#This Row],[fecha_inicio]]="","",MONTH(tblOrdenes[[#This Row],[fecha_inicio]]))</f>
        <v/>
      </c>
      <c r="R437" s="5">
        <f>IF(tblOrdenes[[#This Row],[fecha_inicio]]="","",tblOrdenes[[#This Row],[anio]]&amp;"-"&amp;TEXT(tblOrdenes[[#This Row],[mes]],"00"))</f>
        <v/>
      </c>
      <c r="S437" s="5">
        <f>IF(tblOrdenes[[#This Row],[fecha_inicio]]="","",INDEX(lista_dias,WEEKDAY(tblOrdenes[[#This Row],[fecha_inicio]],2)))</f>
        <v/>
      </c>
      <c r="T4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7" s="5">
        <f>IF(tblOrdenes[[#This Row],[tipo_ot]]="","",_xlfn.XLOOKUP(tblOrdenes[[#This Row],[tipo_ot]],tblTiposOT[codigo],tblTiposOT[clasificacion],"sin_clasificar"))</f>
        <v/>
      </c>
      <c r="V4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7" s="5">
        <f>IF(tblOrdenes[[#This Row],[centro_costo]]="","",_xlfn.XLOOKUP(tblOrdenes[[#This Row],[centro_costo]],tblCECO[codigo],tblCECO[linea],"(sin catálogo)"))</f>
        <v/>
      </c>
      <c r="X437" s="5">
        <f>IF(tblOrdenes[[#This Row],[centro_costo]]="","",_xlfn.XLOOKUP(tblOrdenes[[#This Row],[centro_costo]],tblCECO[codigo],tblCECO[area],"(sin catálogo)"))</f>
        <v/>
      </c>
      <c r="Y4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7" s="5">
        <f>IF(tblOrdenes[[#This Row],[centro_costo]]="","",_xlfn.XLOOKUP(tblOrdenes[[#This Row],[centro_costo]],tblCECO[codigo],tblCECO[coordinador],"(sin catálogo)"))</f>
        <v/>
      </c>
      <c r="AA437" s="5">
        <f>IF(tblOrdenes[[#This Row],[puesto_trabajo]]="","",_xlfn.XLOOKUP(tblOrdenes[[#This Row],[puesto_trabajo]],tblPuestos[codigo],tblPuestos[especialidad],"(sin catálogo)"))</f>
        <v/>
      </c>
      <c r="AB437" s="5">
        <f>IF(tblOrdenes[[#This Row],[cod_actividad]]="","",_xlfn.XLOOKUP(tblOrdenes[[#This Row],[cod_actividad]],tblActividades[codigo],tblActividades[descripcion],"(sin catálogo)"))</f>
        <v/>
      </c>
      <c r="AC437" s="20">
        <f>IF(tblOrdenes[[#This Row],[fecha_inicio]]="","",TODAY()-tblOrdenes[[#This Row],[fecha_inicio]])</f>
        <v/>
      </c>
      <c r="AD4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7" s="5">
        <f>IF(tblOrdenes[[#This Row],[backlog_habiles]]="","",IF(tblOrdenes[[#This Row],[backlog_habiles]]&lt;0,"FUTURO",IF(tblOrdenes[[#This Row],[backlog_habiles]]&gt;p_dias_backlog_max,"BACKLOG","MES CORRIENTE")))</f>
        <v/>
      </c>
      <c r="AF437" s="5">
        <f>IF(tblOrdenes[[#This Row],[backlog_habiles]]="",FALSE,AND(tblOrdenes[[#This Row],[backlog_habiles]]&gt;p_dias_backlog_min,tblOrdenes[[#This Row],[backlog_habiles]]&lt;=p_dias_backlog_max))</f>
        <v/>
      </c>
      <c r="AG437" s="4" t="n"/>
      <c r="AH4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7" s="18">
        <f>IF(tblOrdenes[[#This Row],[orden]]="","",_xlfn.XLOOKUP(tblOrdenes[[#This Row],[id_operacion]],tblEjecucion[id_operacion],tblEjecucion[precio],0))</f>
        <v/>
      </c>
      <c r="AL437" s="18">
        <f>IF(tblOrdenes[[#This Row],[orden]]="","",MAX(0,_xlfn.XLOOKUP(tblOrdenes[[#This Row],[id_operacion]],tblEjecucion[id_operacion],tblEjecucion[costo_plan_total],0)-tblOrdenes[[#This Row],[costo_servicio]]))</f>
        <v/>
      </c>
      <c r="AM437" s="18">
        <f>IF(tblOrdenes[[#This Row],[orden]]="","",tblOrdenes[[#This Row],[costo_servicio]]+tblOrdenes[[#This Row],[costo_materiales]])</f>
        <v/>
      </c>
      <c r="AN4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7" s="4" t="n"/>
      <c r="AP437" s="4" t="n"/>
      <c r="AQ437" s="4" t="n"/>
      <c r="AR437" s="5">
        <f>IF(tblOrdenes[[#This Row],[link_checklist]]="","",HYPERLINK(p_ruta_base_checklists&amp;tblOrdenes[[#This Row],[link_checklist]],"abrir"))</f>
        <v/>
      </c>
      <c r="AS437" s="4" t="n"/>
      <c r="AT437" s="5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22" t="n"/>
      <c r="K438" s="5" t="n"/>
      <c r="L438" s="18" t="n"/>
      <c r="M4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5">
        <f>IF(tblOrdenes[[#This Row],[fecha_inicio]]="","",YEAR(tblOrdenes[[#This Row],[fecha_inicio]]))</f>
        <v/>
      </c>
      <c r="Q438" s="5">
        <f>IF(tblOrdenes[[#This Row],[fecha_inicio]]="","",MONTH(tblOrdenes[[#This Row],[fecha_inicio]]))</f>
        <v/>
      </c>
      <c r="R438" s="5">
        <f>IF(tblOrdenes[[#This Row],[fecha_inicio]]="","",tblOrdenes[[#This Row],[anio]]&amp;"-"&amp;TEXT(tblOrdenes[[#This Row],[mes]],"00"))</f>
        <v/>
      </c>
      <c r="S438" s="5">
        <f>IF(tblOrdenes[[#This Row],[fecha_inicio]]="","",INDEX(lista_dias,WEEKDAY(tblOrdenes[[#This Row],[fecha_inicio]],2)))</f>
        <v/>
      </c>
      <c r="T4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8" s="5">
        <f>IF(tblOrdenes[[#This Row],[tipo_ot]]="","",_xlfn.XLOOKUP(tblOrdenes[[#This Row],[tipo_ot]],tblTiposOT[codigo],tblTiposOT[clasificacion],"sin_clasificar"))</f>
        <v/>
      </c>
      <c r="V4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8" s="5">
        <f>IF(tblOrdenes[[#This Row],[centro_costo]]="","",_xlfn.XLOOKUP(tblOrdenes[[#This Row],[centro_costo]],tblCECO[codigo],tblCECO[linea],"(sin catálogo)"))</f>
        <v/>
      </c>
      <c r="X438" s="5">
        <f>IF(tblOrdenes[[#This Row],[centro_costo]]="","",_xlfn.XLOOKUP(tblOrdenes[[#This Row],[centro_costo]],tblCECO[codigo],tblCECO[area],"(sin catálogo)"))</f>
        <v/>
      </c>
      <c r="Y4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8" s="5">
        <f>IF(tblOrdenes[[#This Row],[centro_costo]]="","",_xlfn.XLOOKUP(tblOrdenes[[#This Row],[centro_costo]],tblCECO[codigo],tblCECO[coordinador],"(sin catálogo)"))</f>
        <v/>
      </c>
      <c r="AA438" s="5">
        <f>IF(tblOrdenes[[#This Row],[puesto_trabajo]]="","",_xlfn.XLOOKUP(tblOrdenes[[#This Row],[puesto_trabajo]],tblPuestos[codigo],tblPuestos[especialidad],"(sin catálogo)"))</f>
        <v/>
      </c>
      <c r="AB438" s="5">
        <f>IF(tblOrdenes[[#This Row],[cod_actividad]]="","",_xlfn.XLOOKUP(tblOrdenes[[#This Row],[cod_actividad]],tblActividades[codigo],tblActividades[descripcion],"(sin catálogo)"))</f>
        <v/>
      </c>
      <c r="AC438" s="20">
        <f>IF(tblOrdenes[[#This Row],[fecha_inicio]]="","",TODAY()-tblOrdenes[[#This Row],[fecha_inicio]])</f>
        <v/>
      </c>
      <c r="AD4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8" s="5">
        <f>IF(tblOrdenes[[#This Row],[backlog_habiles]]="","",IF(tblOrdenes[[#This Row],[backlog_habiles]]&lt;0,"FUTURO",IF(tblOrdenes[[#This Row],[backlog_habiles]]&gt;p_dias_backlog_max,"BACKLOG","MES CORRIENTE")))</f>
        <v/>
      </c>
      <c r="AF438" s="5">
        <f>IF(tblOrdenes[[#This Row],[backlog_habiles]]="",FALSE,AND(tblOrdenes[[#This Row],[backlog_habiles]]&gt;p_dias_backlog_min,tblOrdenes[[#This Row],[backlog_habiles]]&lt;=p_dias_backlog_max))</f>
        <v/>
      </c>
      <c r="AG438" s="4" t="n"/>
      <c r="AH4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8" s="18">
        <f>IF(tblOrdenes[[#This Row],[orden]]="","",_xlfn.XLOOKUP(tblOrdenes[[#This Row],[id_operacion]],tblEjecucion[id_operacion],tblEjecucion[precio],0))</f>
        <v/>
      </c>
      <c r="AL438" s="18">
        <f>IF(tblOrdenes[[#This Row],[orden]]="","",MAX(0,_xlfn.XLOOKUP(tblOrdenes[[#This Row],[id_operacion]],tblEjecucion[id_operacion],tblEjecucion[costo_plan_total],0)-tblOrdenes[[#This Row],[costo_servicio]]))</f>
        <v/>
      </c>
      <c r="AM438" s="18">
        <f>IF(tblOrdenes[[#This Row],[orden]]="","",tblOrdenes[[#This Row],[costo_servicio]]+tblOrdenes[[#This Row],[costo_materiales]])</f>
        <v/>
      </c>
      <c r="AN4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8" s="4" t="n"/>
      <c r="AP438" s="4" t="n"/>
      <c r="AQ438" s="4" t="n"/>
      <c r="AR438" s="5">
        <f>IF(tblOrdenes[[#This Row],[link_checklist]]="","",HYPERLINK(p_ruta_base_checklists&amp;tblOrdenes[[#This Row],[link_checklist]],"abrir"))</f>
        <v/>
      </c>
      <c r="AS438" s="4" t="n"/>
      <c r="AT438" s="5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22" t="n"/>
      <c r="K439" s="5" t="n"/>
      <c r="L439" s="18" t="n"/>
      <c r="M4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5">
        <f>IF(tblOrdenes[[#This Row],[fecha_inicio]]="","",YEAR(tblOrdenes[[#This Row],[fecha_inicio]]))</f>
        <v/>
      </c>
      <c r="Q439" s="5">
        <f>IF(tblOrdenes[[#This Row],[fecha_inicio]]="","",MONTH(tblOrdenes[[#This Row],[fecha_inicio]]))</f>
        <v/>
      </c>
      <c r="R439" s="5">
        <f>IF(tblOrdenes[[#This Row],[fecha_inicio]]="","",tblOrdenes[[#This Row],[anio]]&amp;"-"&amp;TEXT(tblOrdenes[[#This Row],[mes]],"00"))</f>
        <v/>
      </c>
      <c r="S439" s="5">
        <f>IF(tblOrdenes[[#This Row],[fecha_inicio]]="","",INDEX(lista_dias,WEEKDAY(tblOrdenes[[#This Row],[fecha_inicio]],2)))</f>
        <v/>
      </c>
      <c r="T4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9" s="5">
        <f>IF(tblOrdenes[[#This Row],[tipo_ot]]="","",_xlfn.XLOOKUP(tblOrdenes[[#This Row],[tipo_ot]],tblTiposOT[codigo],tblTiposOT[clasificacion],"sin_clasificar"))</f>
        <v/>
      </c>
      <c r="V4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9" s="5">
        <f>IF(tblOrdenes[[#This Row],[centro_costo]]="","",_xlfn.XLOOKUP(tblOrdenes[[#This Row],[centro_costo]],tblCECO[codigo],tblCECO[linea],"(sin catálogo)"))</f>
        <v/>
      </c>
      <c r="X439" s="5">
        <f>IF(tblOrdenes[[#This Row],[centro_costo]]="","",_xlfn.XLOOKUP(tblOrdenes[[#This Row],[centro_costo]],tblCECO[codigo],tblCECO[area],"(sin catálogo)"))</f>
        <v/>
      </c>
      <c r="Y4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39" s="5">
        <f>IF(tblOrdenes[[#This Row],[centro_costo]]="","",_xlfn.XLOOKUP(tblOrdenes[[#This Row],[centro_costo]],tblCECO[codigo],tblCECO[coordinador],"(sin catálogo)"))</f>
        <v/>
      </c>
      <c r="AA439" s="5">
        <f>IF(tblOrdenes[[#This Row],[puesto_trabajo]]="","",_xlfn.XLOOKUP(tblOrdenes[[#This Row],[puesto_trabajo]],tblPuestos[codigo],tblPuestos[especialidad],"(sin catálogo)"))</f>
        <v/>
      </c>
      <c r="AB439" s="5">
        <f>IF(tblOrdenes[[#This Row],[cod_actividad]]="","",_xlfn.XLOOKUP(tblOrdenes[[#This Row],[cod_actividad]],tblActividades[codigo],tblActividades[descripcion],"(sin catálogo)"))</f>
        <v/>
      </c>
      <c r="AC439" s="20">
        <f>IF(tblOrdenes[[#This Row],[fecha_inicio]]="","",TODAY()-tblOrdenes[[#This Row],[fecha_inicio]])</f>
        <v/>
      </c>
      <c r="AD4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39" s="5">
        <f>IF(tblOrdenes[[#This Row],[backlog_habiles]]="","",IF(tblOrdenes[[#This Row],[backlog_habiles]]&lt;0,"FUTURO",IF(tblOrdenes[[#This Row],[backlog_habiles]]&gt;p_dias_backlog_max,"BACKLOG","MES CORRIENTE")))</f>
        <v/>
      </c>
      <c r="AF439" s="5">
        <f>IF(tblOrdenes[[#This Row],[backlog_habiles]]="",FALSE,AND(tblOrdenes[[#This Row],[backlog_habiles]]&gt;p_dias_backlog_min,tblOrdenes[[#This Row],[backlog_habiles]]&lt;=p_dias_backlog_max))</f>
        <v/>
      </c>
      <c r="AG439" s="4" t="n"/>
      <c r="AH4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39" s="18">
        <f>IF(tblOrdenes[[#This Row],[orden]]="","",_xlfn.XLOOKUP(tblOrdenes[[#This Row],[id_operacion]],tblEjecucion[id_operacion],tblEjecucion[precio],0))</f>
        <v/>
      </c>
      <c r="AL439" s="18">
        <f>IF(tblOrdenes[[#This Row],[orden]]="","",MAX(0,_xlfn.XLOOKUP(tblOrdenes[[#This Row],[id_operacion]],tblEjecucion[id_operacion],tblEjecucion[costo_plan_total],0)-tblOrdenes[[#This Row],[costo_servicio]]))</f>
        <v/>
      </c>
      <c r="AM439" s="18">
        <f>IF(tblOrdenes[[#This Row],[orden]]="","",tblOrdenes[[#This Row],[costo_servicio]]+tblOrdenes[[#This Row],[costo_materiales]])</f>
        <v/>
      </c>
      <c r="AN4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39" s="4" t="n"/>
      <c r="AP439" s="4" t="n"/>
      <c r="AQ439" s="4" t="n"/>
      <c r="AR439" s="5">
        <f>IF(tblOrdenes[[#This Row],[link_checklist]]="","",HYPERLINK(p_ruta_base_checklists&amp;tblOrdenes[[#This Row],[link_checklist]],"abrir"))</f>
        <v/>
      </c>
      <c r="AS439" s="4" t="n"/>
      <c r="AT439" s="5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22" t="n"/>
      <c r="K440" s="5" t="n"/>
      <c r="L440" s="18" t="n"/>
      <c r="M4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5">
        <f>IF(tblOrdenes[[#This Row],[fecha_inicio]]="","",YEAR(tblOrdenes[[#This Row],[fecha_inicio]]))</f>
        <v/>
      </c>
      <c r="Q440" s="5">
        <f>IF(tblOrdenes[[#This Row],[fecha_inicio]]="","",MONTH(tblOrdenes[[#This Row],[fecha_inicio]]))</f>
        <v/>
      </c>
      <c r="R440" s="5">
        <f>IF(tblOrdenes[[#This Row],[fecha_inicio]]="","",tblOrdenes[[#This Row],[anio]]&amp;"-"&amp;TEXT(tblOrdenes[[#This Row],[mes]],"00"))</f>
        <v/>
      </c>
      <c r="S440" s="5">
        <f>IF(tblOrdenes[[#This Row],[fecha_inicio]]="","",INDEX(lista_dias,WEEKDAY(tblOrdenes[[#This Row],[fecha_inicio]],2)))</f>
        <v/>
      </c>
      <c r="T4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0" s="5">
        <f>IF(tblOrdenes[[#This Row],[tipo_ot]]="","",_xlfn.XLOOKUP(tblOrdenes[[#This Row],[tipo_ot]],tblTiposOT[codigo],tblTiposOT[clasificacion],"sin_clasificar"))</f>
        <v/>
      </c>
      <c r="V4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0" s="5">
        <f>IF(tblOrdenes[[#This Row],[centro_costo]]="","",_xlfn.XLOOKUP(tblOrdenes[[#This Row],[centro_costo]],tblCECO[codigo],tblCECO[linea],"(sin catálogo)"))</f>
        <v/>
      </c>
      <c r="X440" s="5">
        <f>IF(tblOrdenes[[#This Row],[centro_costo]]="","",_xlfn.XLOOKUP(tblOrdenes[[#This Row],[centro_costo]],tblCECO[codigo],tblCECO[area],"(sin catálogo)"))</f>
        <v/>
      </c>
      <c r="Y4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0" s="5">
        <f>IF(tblOrdenes[[#This Row],[centro_costo]]="","",_xlfn.XLOOKUP(tblOrdenes[[#This Row],[centro_costo]],tblCECO[codigo],tblCECO[coordinador],"(sin catálogo)"))</f>
        <v/>
      </c>
      <c r="AA440" s="5">
        <f>IF(tblOrdenes[[#This Row],[puesto_trabajo]]="","",_xlfn.XLOOKUP(tblOrdenes[[#This Row],[puesto_trabajo]],tblPuestos[codigo],tblPuestos[especialidad],"(sin catálogo)"))</f>
        <v/>
      </c>
      <c r="AB440" s="5">
        <f>IF(tblOrdenes[[#This Row],[cod_actividad]]="","",_xlfn.XLOOKUP(tblOrdenes[[#This Row],[cod_actividad]],tblActividades[codigo],tblActividades[descripcion],"(sin catálogo)"))</f>
        <v/>
      </c>
      <c r="AC440" s="20">
        <f>IF(tblOrdenes[[#This Row],[fecha_inicio]]="","",TODAY()-tblOrdenes[[#This Row],[fecha_inicio]])</f>
        <v/>
      </c>
      <c r="AD4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0" s="5">
        <f>IF(tblOrdenes[[#This Row],[backlog_habiles]]="","",IF(tblOrdenes[[#This Row],[backlog_habiles]]&lt;0,"FUTURO",IF(tblOrdenes[[#This Row],[backlog_habiles]]&gt;p_dias_backlog_max,"BACKLOG","MES CORRIENTE")))</f>
        <v/>
      </c>
      <c r="AF440" s="5">
        <f>IF(tblOrdenes[[#This Row],[backlog_habiles]]="",FALSE,AND(tblOrdenes[[#This Row],[backlog_habiles]]&gt;p_dias_backlog_min,tblOrdenes[[#This Row],[backlog_habiles]]&lt;=p_dias_backlog_max))</f>
        <v/>
      </c>
      <c r="AG440" s="4" t="n"/>
      <c r="AH4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0" s="18">
        <f>IF(tblOrdenes[[#This Row],[orden]]="","",_xlfn.XLOOKUP(tblOrdenes[[#This Row],[id_operacion]],tblEjecucion[id_operacion],tblEjecucion[precio],0))</f>
        <v/>
      </c>
      <c r="AL440" s="18">
        <f>IF(tblOrdenes[[#This Row],[orden]]="","",MAX(0,_xlfn.XLOOKUP(tblOrdenes[[#This Row],[id_operacion]],tblEjecucion[id_operacion],tblEjecucion[costo_plan_total],0)-tblOrdenes[[#This Row],[costo_servicio]]))</f>
        <v/>
      </c>
      <c r="AM440" s="18">
        <f>IF(tblOrdenes[[#This Row],[orden]]="","",tblOrdenes[[#This Row],[costo_servicio]]+tblOrdenes[[#This Row],[costo_materiales]])</f>
        <v/>
      </c>
      <c r="AN4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0" s="4" t="n"/>
      <c r="AP440" s="4" t="n"/>
      <c r="AQ440" s="4" t="n"/>
      <c r="AR440" s="5">
        <f>IF(tblOrdenes[[#This Row],[link_checklist]]="","",HYPERLINK(p_ruta_base_checklists&amp;tblOrdenes[[#This Row],[link_checklist]],"abrir"))</f>
        <v/>
      </c>
      <c r="AS440" s="4" t="n"/>
      <c r="AT440" s="5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22" t="n"/>
      <c r="K441" s="5" t="n"/>
      <c r="L441" s="18" t="n"/>
      <c r="M4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5">
        <f>IF(tblOrdenes[[#This Row],[fecha_inicio]]="","",YEAR(tblOrdenes[[#This Row],[fecha_inicio]]))</f>
        <v/>
      </c>
      <c r="Q441" s="5">
        <f>IF(tblOrdenes[[#This Row],[fecha_inicio]]="","",MONTH(tblOrdenes[[#This Row],[fecha_inicio]]))</f>
        <v/>
      </c>
      <c r="R441" s="5">
        <f>IF(tblOrdenes[[#This Row],[fecha_inicio]]="","",tblOrdenes[[#This Row],[anio]]&amp;"-"&amp;TEXT(tblOrdenes[[#This Row],[mes]],"00"))</f>
        <v/>
      </c>
      <c r="S441" s="5">
        <f>IF(tblOrdenes[[#This Row],[fecha_inicio]]="","",INDEX(lista_dias,WEEKDAY(tblOrdenes[[#This Row],[fecha_inicio]],2)))</f>
        <v/>
      </c>
      <c r="T4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1" s="5">
        <f>IF(tblOrdenes[[#This Row],[tipo_ot]]="","",_xlfn.XLOOKUP(tblOrdenes[[#This Row],[tipo_ot]],tblTiposOT[codigo],tblTiposOT[clasificacion],"sin_clasificar"))</f>
        <v/>
      </c>
      <c r="V4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1" s="5">
        <f>IF(tblOrdenes[[#This Row],[centro_costo]]="","",_xlfn.XLOOKUP(tblOrdenes[[#This Row],[centro_costo]],tblCECO[codigo],tblCECO[linea],"(sin catálogo)"))</f>
        <v/>
      </c>
      <c r="X441" s="5">
        <f>IF(tblOrdenes[[#This Row],[centro_costo]]="","",_xlfn.XLOOKUP(tblOrdenes[[#This Row],[centro_costo]],tblCECO[codigo],tblCECO[area],"(sin catálogo)"))</f>
        <v/>
      </c>
      <c r="Y4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1" s="5">
        <f>IF(tblOrdenes[[#This Row],[centro_costo]]="","",_xlfn.XLOOKUP(tblOrdenes[[#This Row],[centro_costo]],tblCECO[codigo],tblCECO[coordinador],"(sin catálogo)"))</f>
        <v/>
      </c>
      <c r="AA441" s="5">
        <f>IF(tblOrdenes[[#This Row],[puesto_trabajo]]="","",_xlfn.XLOOKUP(tblOrdenes[[#This Row],[puesto_trabajo]],tblPuestos[codigo],tblPuestos[especialidad],"(sin catálogo)"))</f>
        <v/>
      </c>
      <c r="AB441" s="5">
        <f>IF(tblOrdenes[[#This Row],[cod_actividad]]="","",_xlfn.XLOOKUP(tblOrdenes[[#This Row],[cod_actividad]],tblActividades[codigo],tblActividades[descripcion],"(sin catálogo)"))</f>
        <v/>
      </c>
      <c r="AC441" s="20">
        <f>IF(tblOrdenes[[#This Row],[fecha_inicio]]="","",TODAY()-tblOrdenes[[#This Row],[fecha_inicio]])</f>
        <v/>
      </c>
      <c r="AD4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1" s="5">
        <f>IF(tblOrdenes[[#This Row],[backlog_habiles]]="","",IF(tblOrdenes[[#This Row],[backlog_habiles]]&lt;0,"FUTURO",IF(tblOrdenes[[#This Row],[backlog_habiles]]&gt;p_dias_backlog_max,"BACKLOG","MES CORRIENTE")))</f>
        <v/>
      </c>
      <c r="AF441" s="5">
        <f>IF(tblOrdenes[[#This Row],[backlog_habiles]]="",FALSE,AND(tblOrdenes[[#This Row],[backlog_habiles]]&gt;p_dias_backlog_min,tblOrdenes[[#This Row],[backlog_habiles]]&lt;=p_dias_backlog_max))</f>
        <v/>
      </c>
      <c r="AG441" s="4" t="n"/>
      <c r="AH4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1" s="18">
        <f>IF(tblOrdenes[[#This Row],[orden]]="","",_xlfn.XLOOKUP(tblOrdenes[[#This Row],[id_operacion]],tblEjecucion[id_operacion],tblEjecucion[precio],0))</f>
        <v/>
      </c>
      <c r="AL441" s="18">
        <f>IF(tblOrdenes[[#This Row],[orden]]="","",MAX(0,_xlfn.XLOOKUP(tblOrdenes[[#This Row],[id_operacion]],tblEjecucion[id_operacion],tblEjecucion[costo_plan_total],0)-tblOrdenes[[#This Row],[costo_servicio]]))</f>
        <v/>
      </c>
      <c r="AM441" s="18">
        <f>IF(tblOrdenes[[#This Row],[orden]]="","",tblOrdenes[[#This Row],[costo_servicio]]+tblOrdenes[[#This Row],[costo_materiales]])</f>
        <v/>
      </c>
      <c r="AN4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1" s="4" t="n"/>
      <c r="AP441" s="4" t="n"/>
      <c r="AQ441" s="4" t="n"/>
      <c r="AR441" s="5">
        <f>IF(tblOrdenes[[#This Row],[link_checklist]]="","",HYPERLINK(p_ruta_base_checklists&amp;tblOrdenes[[#This Row],[link_checklist]],"abrir"))</f>
        <v/>
      </c>
      <c r="AS441" s="4" t="n"/>
      <c r="AT441" s="5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22" t="n"/>
      <c r="K442" s="5" t="n"/>
      <c r="L442" s="18" t="n"/>
      <c r="M4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5">
        <f>IF(tblOrdenes[[#This Row],[fecha_inicio]]="","",YEAR(tblOrdenes[[#This Row],[fecha_inicio]]))</f>
        <v/>
      </c>
      <c r="Q442" s="5">
        <f>IF(tblOrdenes[[#This Row],[fecha_inicio]]="","",MONTH(tblOrdenes[[#This Row],[fecha_inicio]]))</f>
        <v/>
      </c>
      <c r="R442" s="5">
        <f>IF(tblOrdenes[[#This Row],[fecha_inicio]]="","",tblOrdenes[[#This Row],[anio]]&amp;"-"&amp;TEXT(tblOrdenes[[#This Row],[mes]],"00"))</f>
        <v/>
      </c>
      <c r="S442" s="5">
        <f>IF(tblOrdenes[[#This Row],[fecha_inicio]]="","",INDEX(lista_dias,WEEKDAY(tblOrdenes[[#This Row],[fecha_inicio]],2)))</f>
        <v/>
      </c>
      <c r="T4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2" s="5">
        <f>IF(tblOrdenes[[#This Row],[tipo_ot]]="","",_xlfn.XLOOKUP(tblOrdenes[[#This Row],[tipo_ot]],tblTiposOT[codigo],tblTiposOT[clasificacion],"sin_clasificar"))</f>
        <v/>
      </c>
      <c r="V4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2" s="5">
        <f>IF(tblOrdenes[[#This Row],[centro_costo]]="","",_xlfn.XLOOKUP(tblOrdenes[[#This Row],[centro_costo]],tblCECO[codigo],tblCECO[linea],"(sin catálogo)"))</f>
        <v/>
      </c>
      <c r="X442" s="5">
        <f>IF(tblOrdenes[[#This Row],[centro_costo]]="","",_xlfn.XLOOKUP(tblOrdenes[[#This Row],[centro_costo]],tblCECO[codigo],tblCECO[area],"(sin catálogo)"))</f>
        <v/>
      </c>
      <c r="Y4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2" s="5">
        <f>IF(tblOrdenes[[#This Row],[centro_costo]]="","",_xlfn.XLOOKUP(tblOrdenes[[#This Row],[centro_costo]],tblCECO[codigo],tblCECO[coordinador],"(sin catálogo)"))</f>
        <v/>
      </c>
      <c r="AA442" s="5">
        <f>IF(tblOrdenes[[#This Row],[puesto_trabajo]]="","",_xlfn.XLOOKUP(tblOrdenes[[#This Row],[puesto_trabajo]],tblPuestos[codigo],tblPuestos[especialidad],"(sin catálogo)"))</f>
        <v/>
      </c>
      <c r="AB442" s="5">
        <f>IF(tblOrdenes[[#This Row],[cod_actividad]]="","",_xlfn.XLOOKUP(tblOrdenes[[#This Row],[cod_actividad]],tblActividades[codigo],tblActividades[descripcion],"(sin catálogo)"))</f>
        <v/>
      </c>
      <c r="AC442" s="20">
        <f>IF(tblOrdenes[[#This Row],[fecha_inicio]]="","",TODAY()-tblOrdenes[[#This Row],[fecha_inicio]])</f>
        <v/>
      </c>
      <c r="AD4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2" s="5">
        <f>IF(tblOrdenes[[#This Row],[backlog_habiles]]="","",IF(tblOrdenes[[#This Row],[backlog_habiles]]&lt;0,"FUTURO",IF(tblOrdenes[[#This Row],[backlog_habiles]]&gt;p_dias_backlog_max,"BACKLOG","MES CORRIENTE")))</f>
        <v/>
      </c>
      <c r="AF442" s="5">
        <f>IF(tblOrdenes[[#This Row],[backlog_habiles]]="",FALSE,AND(tblOrdenes[[#This Row],[backlog_habiles]]&gt;p_dias_backlog_min,tblOrdenes[[#This Row],[backlog_habiles]]&lt;=p_dias_backlog_max))</f>
        <v/>
      </c>
      <c r="AG442" s="4" t="n"/>
      <c r="AH4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2" s="18">
        <f>IF(tblOrdenes[[#This Row],[orden]]="","",_xlfn.XLOOKUP(tblOrdenes[[#This Row],[id_operacion]],tblEjecucion[id_operacion],tblEjecucion[precio],0))</f>
        <v/>
      </c>
      <c r="AL442" s="18">
        <f>IF(tblOrdenes[[#This Row],[orden]]="","",MAX(0,_xlfn.XLOOKUP(tblOrdenes[[#This Row],[id_operacion]],tblEjecucion[id_operacion],tblEjecucion[costo_plan_total],0)-tblOrdenes[[#This Row],[costo_servicio]]))</f>
        <v/>
      </c>
      <c r="AM442" s="18">
        <f>IF(tblOrdenes[[#This Row],[orden]]="","",tblOrdenes[[#This Row],[costo_servicio]]+tblOrdenes[[#This Row],[costo_materiales]])</f>
        <v/>
      </c>
      <c r="AN4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2" s="4" t="n"/>
      <c r="AP442" s="4" t="n"/>
      <c r="AQ442" s="4" t="n"/>
      <c r="AR442" s="5">
        <f>IF(tblOrdenes[[#This Row],[link_checklist]]="","",HYPERLINK(p_ruta_base_checklists&amp;tblOrdenes[[#This Row],[link_checklist]],"abrir"))</f>
        <v/>
      </c>
      <c r="AS442" s="4" t="n"/>
      <c r="AT442" s="5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22" t="n"/>
      <c r="K443" s="5" t="n"/>
      <c r="L443" s="18" t="n"/>
      <c r="M4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5">
        <f>IF(tblOrdenes[[#This Row],[fecha_inicio]]="","",YEAR(tblOrdenes[[#This Row],[fecha_inicio]]))</f>
        <v/>
      </c>
      <c r="Q443" s="5">
        <f>IF(tblOrdenes[[#This Row],[fecha_inicio]]="","",MONTH(tblOrdenes[[#This Row],[fecha_inicio]]))</f>
        <v/>
      </c>
      <c r="R443" s="5">
        <f>IF(tblOrdenes[[#This Row],[fecha_inicio]]="","",tblOrdenes[[#This Row],[anio]]&amp;"-"&amp;TEXT(tblOrdenes[[#This Row],[mes]],"00"))</f>
        <v/>
      </c>
      <c r="S443" s="5">
        <f>IF(tblOrdenes[[#This Row],[fecha_inicio]]="","",INDEX(lista_dias,WEEKDAY(tblOrdenes[[#This Row],[fecha_inicio]],2)))</f>
        <v/>
      </c>
      <c r="T4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3" s="5">
        <f>IF(tblOrdenes[[#This Row],[tipo_ot]]="","",_xlfn.XLOOKUP(tblOrdenes[[#This Row],[tipo_ot]],tblTiposOT[codigo],tblTiposOT[clasificacion],"sin_clasificar"))</f>
        <v/>
      </c>
      <c r="V4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3" s="5">
        <f>IF(tblOrdenes[[#This Row],[centro_costo]]="","",_xlfn.XLOOKUP(tblOrdenes[[#This Row],[centro_costo]],tblCECO[codigo],tblCECO[linea],"(sin catálogo)"))</f>
        <v/>
      </c>
      <c r="X443" s="5">
        <f>IF(tblOrdenes[[#This Row],[centro_costo]]="","",_xlfn.XLOOKUP(tblOrdenes[[#This Row],[centro_costo]],tblCECO[codigo],tblCECO[area],"(sin catálogo)"))</f>
        <v/>
      </c>
      <c r="Y4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3" s="5">
        <f>IF(tblOrdenes[[#This Row],[centro_costo]]="","",_xlfn.XLOOKUP(tblOrdenes[[#This Row],[centro_costo]],tblCECO[codigo],tblCECO[coordinador],"(sin catálogo)"))</f>
        <v/>
      </c>
      <c r="AA443" s="5">
        <f>IF(tblOrdenes[[#This Row],[puesto_trabajo]]="","",_xlfn.XLOOKUP(tblOrdenes[[#This Row],[puesto_trabajo]],tblPuestos[codigo],tblPuestos[especialidad],"(sin catálogo)"))</f>
        <v/>
      </c>
      <c r="AB443" s="5">
        <f>IF(tblOrdenes[[#This Row],[cod_actividad]]="","",_xlfn.XLOOKUP(tblOrdenes[[#This Row],[cod_actividad]],tblActividades[codigo],tblActividades[descripcion],"(sin catálogo)"))</f>
        <v/>
      </c>
      <c r="AC443" s="20">
        <f>IF(tblOrdenes[[#This Row],[fecha_inicio]]="","",TODAY()-tblOrdenes[[#This Row],[fecha_inicio]])</f>
        <v/>
      </c>
      <c r="AD4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3" s="5">
        <f>IF(tblOrdenes[[#This Row],[backlog_habiles]]="","",IF(tblOrdenes[[#This Row],[backlog_habiles]]&lt;0,"FUTURO",IF(tblOrdenes[[#This Row],[backlog_habiles]]&gt;p_dias_backlog_max,"BACKLOG","MES CORRIENTE")))</f>
        <v/>
      </c>
      <c r="AF443" s="5">
        <f>IF(tblOrdenes[[#This Row],[backlog_habiles]]="",FALSE,AND(tblOrdenes[[#This Row],[backlog_habiles]]&gt;p_dias_backlog_min,tblOrdenes[[#This Row],[backlog_habiles]]&lt;=p_dias_backlog_max))</f>
        <v/>
      </c>
      <c r="AG443" s="4" t="n"/>
      <c r="AH4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3" s="18">
        <f>IF(tblOrdenes[[#This Row],[orden]]="","",_xlfn.XLOOKUP(tblOrdenes[[#This Row],[id_operacion]],tblEjecucion[id_operacion],tblEjecucion[precio],0))</f>
        <v/>
      </c>
      <c r="AL443" s="18">
        <f>IF(tblOrdenes[[#This Row],[orden]]="","",MAX(0,_xlfn.XLOOKUP(tblOrdenes[[#This Row],[id_operacion]],tblEjecucion[id_operacion],tblEjecucion[costo_plan_total],0)-tblOrdenes[[#This Row],[costo_servicio]]))</f>
        <v/>
      </c>
      <c r="AM443" s="18">
        <f>IF(tblOrdenes[[#This Row],[orden]]="","",tblOrdenes[[#This Row],[costo_servicio]]+tblOrdenes[[#This Row],[costo_materiales]])</f>
        <v/>
      </c>
      <c r="AN4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3" s="4" t="n"/>
      <c r="AP443" s="4" t="n"/>
      <c r="AQ443" s="4" t="n"/>
      <c r="AR443" s="5">
        <f>IF(tblOrdenes[[#This Row],[link_checklist]]="","",HYPERLINK(p_ruta_base_checklists&amp;tblOrdenes[[#This Row],[link_checklist]],"abrir"))</f>
        <v/>
      </c>
      <c r="AS443" s="4" t="n"/>
      <c r="AT443" s="5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22" t="n"/>
      <c r="K444" s="5" t="n"/>
      <c r="L444" s="18" t="n"/>
      <c r="M4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5">
        <f>IF(tblOrdenes[[#This Row],[fecha_inicio]]="","",YEAR(tblOrdenes[[#This Row],[fecha_inicio]]))</f>
        <v/>
      </c>
      <c r="Q444" s="5">
        <f>IF(tblOrdenes[[#This Row],[fecha_inicio]]="","",MONTH(tblOrdenes[[#This Row],[fecha_inicio]]))</f>
        <v/>
      </c>
      <c r="R444" s="5">
        <f>IF(tblOrdenes[[#This Row],[fecha_inicio]]="","",tblOrdenes[[#This Row],[anio]]&amp;"-"&amp;TEXT(tblOrdenes[[#This Row],[mes]],"00"))</f>
        <v/>
      </c>
      <c r="S444" s="5">
        <f>IF(tblOrdenes[[#This Row],[fecha_inicio]]="","",INDEX(lista_dias,WEEKDAY(tblOrdenes[[#This Row],[fecha_inicio]],2)))</f>
        <v/>
      </c>
      <c r="T4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4" s="5">
        <f>IF(tblOrdenes[[#This Row],[tipo_ot]]="","",_xlfn.XLOOKUP(tblOrdenes[[#This Row],[tipo_ot]],tblTiposOT[codigo],tblTiposOT[clasificacion],"sin_clasificar"))</f>
        <v/>
      </c>
      <c r="V4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4" s="5">
        <f>IF(tblOrdenes[[#This Row],[centro_costo]]="","",_xlfn.XLOOKUP(tblOrdenes[[#This Row],[centro_costo]],tblCECO[codigo],tblCECO[linea],"(sin catálogo)"))</f>
        <v/>
      </c>
      <c r="X444" s="5">
        <f>IF(tblOrdenes[[#This Row],[centro_costo]]="","",_xlfn.XLOOKUP(tblOrdenes[[#This Row],[centro_costo]],tblCECO[codigo],tblCECO[area],"(sin catálogo)"))</f>
        <v/>
      </c>
      <c r="Y4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4" s="5">
        <f>IF(tblOrdenes[[#This Row],[centro_costo]]="","",_xlfn.XLOOKUP(tblOrdenes[[#This Row],[centro_costo]],tblCECO[codigo],tblCECO[coordinador],"(sin catálogo)"))</f>
        <v/>
      </c>
      <c r="AA444" s="5">
        <f>IF(tblOrdenes[[#This Row],[puesto_trabajo]]="","",_xlfn.XLOOKUP(tblOrdenes[[#This Row],[puesto_trabajo]],tblPuestos[codigo],tblPuestos[especialidad],"(sin catálogo)"))</f>
        <v/>
      </c>
      <c r="AB444" s="5">
        <f>IF(tblOrdenes[[#This Row],[cod_actividad]]="","",_xlfn.XLOOKUP(tblOrdenes[[#This Row],[cod_actividad]],tblActividades[codigo],tblActividades[descripcion],"(sin catálogo)"))</f>
        <v/>
      </c>
      <c r="AC444" s="20">
        <f>IF(tblOrdenes[[#This Row],[fecha_inicio]]="","",TODAY()-tblOrdenes[[#This Row],[fecha_inicio]])</f>
        <v/>
      </c>
      <c r="AD4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4" s="5">
        <f>IF(tblOrdenes[[#This Row],[backlog_habiles]]="","",IF(tblOrdenes[[#This Row],[backlog_habiles]]&lt;0,"FUTURO",IF(tblOrdenes[[#This Row],[backlog_habiles]]&gt;p_dias_backlog_max,"BACKLOG","MES CORRIENTE")))</f>
        <v/>
      </c>
      <c r="AF444" s="5">
        <f>IF(tblOrdenes[[#This Row],[backlog_habiles]]="",FALSE,AND(tblOrdenes[[#This Row],[backlog_habiles]]&gt;p_dias_backlog_min,tblOrdenes[[#This Row],[backlog_habiles]]&lt;=p_dias_backlog_max))</f>
        <v/>
      </c>
      <c r="AG444" s="4" t="n"/>
      <c r="AH4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4" s="18">
        <f>IF(tblOrdenes[[#This Row],[orden]]="","",_xlfn.XLOOKUP(tblOrdenes[[#This Row],[id_operacion]],tblEjecucion[id_operacion],tblEjecucion[precio],0))</f>
        <v/>
      </c>
      <c r="AL444" s="18">
        <f>IF(tblOrdenes[[#This Row],[orden]]="","",MAX(0,_xlfn.XLOOKUP(tblOrdenes[[#This Row],[id_operacion]],tblEjecucion[id_operacion],tblEjecucion[costo_plan_total],0)-tblOrdenes[[#This Row],[costo_servicio]]))</f>
        <v/>
      </c>
      <c r="AM444" s="18">
        <f>IF(tblOrdenes[[#This Row],[orden]]="","",tblOrdenes[[#This Row],[costo_servicio]]+tblOrdenes[[#This Row],[costo_materiales]])</f>
        <v/>
      </c>
      <c r="AN4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4" s="4" t="n"/>
      <c r="AP444" s="4" t="n"/>
      <c r="AQ444" s="4" t="n"/>
      <c r="AR444" s="5">
        <f>IF(tblOrdenes[[#This Row],[link_checklist]]="","",HYPERLINK(p_ruta_base_checklists&amp;tblOrdenes[[#This Row],[link_checklist]],"abrir"))</f>
        <v/>
      </c>
      <c r="AS444" s="4" t="n"/>
      <c r="AT444" s="5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22" t="n"/>
      <c r="K445" s="5" t="n"/>
      <c r="L445" s="18" t="n"/>
      <c r="M4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5">
        <f>IF(tblOrdenes[[#This Row],[fecha_inicio]]="","",YEAR(tblOrdenes[[#This Row],[fecha_inicio]]))</f>
        <v/>
      </c>
      <c r="Q445" s="5">
        <f>IF(tblOrdenes[[#This Row],[fecha_inicio]]="","",MONTH(tblOrdenes[[#This Row],[fecha_inicio]]))</f>
        <v/>
      </c>
      <c r="R445" s="5">
        <f>IF(tblOrdenes[[#This Row],[fecha_inicio]]="","",tblOrdenes[[#This Row],[anio]]&amp;"-"&amp;TEXT(tblOrdenes[[#This Row],[mes]],"00"))</f>
        <v/>
      </c>
      <c r="S445" s="5">
        <f>IF(tblOrdenes[[#This Row],[fecha_inicio]]="","",INDEX(lista_dias,WEEKDAY(tblOrdenes[[#This Row],[fecha_inicio]],2)))</f>
        <v/>
      </c>
      <c r="T4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5" s="5">
        <f>IF(tblOrdenes[[#This Row],[tipo_ot]]="","",_xlfn.XLOOKUP(tblOrdenes[[#This Row],[tipo_ot]],tblTiposOT[codigo],tblTiposOT[clasificacion],"sin_clasificar"))</f>
        <v/>
      </c>
      <c r="V4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5" s="5">
        <f>IF(tblOrdenes[[#This Row],[centro_costo]]="","",_xlfn.XLOOKUP(tblOrdenes[[#This Row],[centro_costo]],tblCECO[codigo],tblCECO[linea],"(sin catálogo)"))</f>
        <v/>
      </c>
      <c r="X445" s="5">
        <f>IF(tblOrdenes[[#This Row],[centro_costo]]="","",_xlfn.XLOOKUP(tblOrdenes[[#This Row],[centro_costo]],tblCECO[codigo],tblCECO[area],"(sin catálogo)"))</f>
        <v/>
      </c>
      <c r="Y4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5" s="5">
        <f>IF(tblOrdenes[[#This Row],[centro_costo]]="","",_xlfn.XLOOKUP(tblOrdenes[[#This Row],[centro_costo]],tblCECO[codigo],tblCECO[coordinador],"(sin catálogo)"))</f>
        <v/>
      </c>
      <c r="AA445" s="5">
        <f>IF(tblOrdenes[[#This Row],[puesto_trabajo]]="","",_xlfn.XLOOKUP(tblOrdenes[[#This Row],[puesto_trabajo]],tblPuestos[codigo],tblPuestos[especialidad],"(sin catálogo)"))</f>
        <v/>
      </c>
      <c r="AB445" s="5">
        <f>IF(tblOrdenes[[#This Row],[cod_actividad]]="","",_xlfn.XLOOKUP(tblOrdenes[[#This Row],[cod_actividad]],tblActividades[codigo],tblActividades[descripcion],"(sin catálogo)"))</f>
        <v/>
      </c>
      <c r="AC445" s="20">
        <f>IF(tblOrdenes[[#This Row],[fecha_inicio]]="","",TODAY()-tblOrdenes[[#This Row],[fecha_inicio]])</f>
        <v/>
      </c>
      <c r="AD4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5" s="5">
        <f>IF(tblOrdenes[[#This Row],[backlog_habiles]]="","",IF(tblOrdenes[[#This Row],[backlog_habiles]]&lt;0,"FUTURO",IF(tblOrdenes[[#This Row],[backlog_habiles]]&gt;p_dias_backlog_max,"BACKLOG","MES CORRIENTE")))</f>
        <v/>
      </c>
      <c r="AF445" s="5">
        <f>IF(tblOrdenes[[#This Row],[backlog_habiles]]="",FALSE,AND(tblOrdenes[[#This Row],[backlog_habiles]]&gt;p_dias_backlog_min,tblOrdenes[[#This Row],[backlog_habiles]]&lt;=p_dias_backlog_max))</f>
        <v/>
      </c>
      <c r="AG445" s="4" t="n"/>
      <c r="AH4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5" s="18">
        <f>IF(tblOrdenes[[#This Row],[orden]]="","",_xlfn.XLOOKUP(tblOrdenes[[#This Row],[id_operacion]],tblEjecucion[id_operacion],tblEjecucion[precio],0))</f>
        <v/>
      </c>
      <c r="AL445" s="18">
        <f>IF(tblOrdenes[[#This Row],[orden]]="","",MAX(0,_xlfn.XLOOKUP(tblOrdenes[[#This Row],[id_operacion]],tblEjecucion[id_operacion],tblEjecucion[costo_plan_total],0)-tblOrdenes[[#This Row],[costo_servicio]]))</f>
        <v/>
      </c>
      <c r="AM445" s="18">
        <f>IF(tblOrdenes[[#This Row],[orden]]="","",tblOrdenes[[#This Row],[costo_servicio]]+tblOrdenes[[#This Row],[costo_materiales]])</f>
        <v/>
      </c>
      <c r="AN4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5" s="4" t="n"/>
      <c r="AP445" s="4" t="n"/>
      <c r="AQ445" s="4" t="n"/>
      <c r="AR445" s="5">
        <f>IF(tblOrdenes[[#This Row],[link_checklist]]="","",HYPERLINK(p_ruta_base_checklists&amp;tblOrdenes[[#This Row],[link_checklist]],"abrir"))</f>
        <v/>
      </c>
      <c r="AS445" s="4" t="n"/>
      <c r="AT445" s="5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22" t="n"/>
      <c r="K446" s="5" t="n"/>
      <c r="L446" s="18" t="n"/>
      <c r="M4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5">
        <f>IF(tblOrdenes[[#This Row],[fecha_inicio]]="","",YEAR(tblOrdenes[[#This Row],[fecha_inicio]]))</f>
        <v/>
      </c>
      <c r="Q446" s="5">
        <f>IF(tblOrdenes[[#This Row],[fecha_inicio]]="","",MONTH(tblOrdenes[[#This Row],[fecha_inicio]]))</f>
        <v/>
      </c>
      <c r="R446" s="5">
        <f>IF(tblOrdenes[[#This Row],[fecha_inicio]]="","",tblOrdenes[[#This Row],[anio]]&amp;"-"&amp;TEXT(tblOrdenes[[#This Row],[mes]],"00"))</f>
        <v/>
      </c>
      <c r="S446" s="5">
        <f>IF(tblOrdenes[[#This Row],[fecha_inicio]]="","",INDEX(lista_dias,WEEKDAY(tblOrdenes[[#This Row],[fecha_inicio]],2)))</f>
        <v/>
      </c>
      <c r="T4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6" s="5">
        <f>IF(tblOrdenes[[#This Row],[tipo_ot]]="","",_xlfn.XLOOKUP(tblOrdenes[[#This Row],[tipo_ot]],tblTiposOT[codigo],tblTiposOT[clasificacion],"sin_clasificar"))</f>
        <v/>
      </c>
      <c r="V4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6" s="5">
        <f>IF(tblOrdenes[[#This Row],[centro_costo]]="","",_xlfn.XLOOKUP(tblOrdenes[[#This Row],[centro_costo]],tblCECO[codigo],tblCECO[linea],"(sin catálogo)"))</f>
        <v/>
      </c>
      <c r="X446" s="5">
        <f>IF(tblOrdenes[[#This Row],[centro_costo]]="","",_xlfn.XLOOKUP(tblOrdenes[[#This Row],[centro_costo]],tblCECO[codigo],tblCECO[area],"(sin catálogo)"))</f>
        <v/>
      </c>
      <c r="Y4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6" s="5">
        <f>IF(tblOrdenes[[#This Row],[centro_costo]]="","",_xlfn.XLOOKUP(tblOrdenes[[#This Row],[centro_costo]],tblCECO[codigo],tblCECO[coordinador],"(sin catálogo)"))</f>
        <v/>
      </c>
      <c r="AA446" s="5">
        <f>IF(tblOrdenes[[#This Row],[puesto_trabajo]]="","",_xlfn.XLOOKUP(tblOrdenes[[#This Row],[puesto_trabajo]],tblPuestos[codigo],tblPuestos[especialidad],"(sin catálogo)"))</f>
        <v/>
      </c>
      <c r="AB446" s="5">
        <f>IF(tblOrdenes[[#This Row],[cod_actividad]]="","",_xlfn.XLOOKUP(tblOrdenes[[#This Row],[cod_actividad]],tblActividades[codigo],tblActividades[descripcion],"(sin catálogo)"))</f>
        <v/>
      </c>
      <c r="AC446" s="20">
        <f>IF(tblOrdenes[[#This Row],[fecha_inicio]]="","",TODAY()-tblOrdenes[[#This Row],[fecha_inicio]])</f>
        <v/>
      </c>
      <c r="AD4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6" s="5">
        <f>IF(tblOrdenes[[#This Row],[backlog_habiles]]="","",IF(tblOrdenes[[#This Row],[backlog_habiles]]&lt;0,"FUTURO",IF(tblOrdenes[[#This Row],[backlog_habiles]]&gt;p_dias_backlog_max,"BACKLOG","MES CORRIENTE")))</f>
        <v/>
      </c>
      <c r="AF446" s="5">
        <f>IF(tblOrdenes[[#This Row],[backlog_habiles]]="",FALSE,AND(tblOrdenes[[#This Row],[backlog_habiles]]&gt;p_dias_backlog_min,tblOrdenes[[#This Row],[backlog_habiles]]&lt;=p_dias_backlog_max))</f>
        <v/>
      </c>
      <c r="AG446" s="4" t="n"/>
      <c r="AH4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6" s="18">
        <f>IF(tblOrdenes[[#This Row],[orden]]="","",_xlfn.XLOOKUP(tblOrdenes[[#This Row],[id_operacion]],tblEjecucion[id_operacion],tblEjecucion[precio],0))</f>
        <v/>
      </c>
      <c r="AL446" s="18">
        <f>IF(tblOrdenes[[#This Row],[orden]]="","",MAX(0,_xlfn.XLOOKUP(tblOrdenes[[#This Row],[id_operacion]],tblEjecucion[id_operacion],tblEjecucion[costo_plan_total],0)-tblOrdenes[[#This Row],[costo_servicio]]))</f>
        <v/>
      </c>
      <c r="AM446" s="18">
        <f>IF(tblOrdenes[[#This Row],[orden]]="","",tblOrdenes[[#This Row],[costo_servicio]]+tblOrdenes[[#This Row],[costo_materiales]])</f>
        <v/>
      </c>
      <c r="AN4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6" s="4" t="n"/>
      <c r="AP446" s="4" t="n"/>
      <c r="AQ446" s="4" t="n"/>
      <c r="AR446" s="5">
        <f>IF(tblOrdenes[[#This Row],[link_checklist]]="","",HYPERLINK(p_ruta_base_checklists&amp;tblOrdenes[[#This Row],[link_checklist]],"abrir"))</f>
        <v/>
      </c>
      <c r="AS446" s="4" t="n"/>
      <c r="AT446" s="5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22" t="n"/>
      <c r="K447" s="5" t="n"/>
      <c r="L447" s="18" t="n"/>
      <c r="M4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5">
        <f>IF(tblOrdenes[[#This Row],[fecha_inicio]]="","",YEAR(tblOrdenes[[#This Row],[fecha_inicio]]))</f>
        <v/>
      </c>
      <c r="Q447" s="5">
        <f>IF(tblOrdenes[[#This Row],[fecha_inicio]]="","",MONTH(tblOrdenes[[#This Row],[fecha_inicio]]))</f>
        <v/>
      </c>
      <c r="R447" s="5">
        <f>IF(tblOrdenes[[#This Row],[fecha_inicio]]="","",tblOrdenes[[#This Row],[anio]]&amp;"-"&amp;TEXT(tblOrdenes[[#This Row],[mes]],"00"))</f>
        <v/>
      </c>
      <c r="S447" s="5">
        <f>IF(tblOrdenes[[#This Row],[fecha_inicio]]="","",INDEX(lista_dias,WEEKDAY(tblOrdenes[[#This Row],[fecha_inicio]],2)))</f>
        <v/>
      </c>
      <c r="T4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7" s="5">
        <f>IF(tblOrdenes[[#This Row],[tipo_ot]]="","",_xlfn.XLOOKUP(tblOrdenes[[#This Row],[tipo_ot]],tblTiposOT[codigo],tblTiposOT[clasificacion],"sin_clasificar"))</f>
        <v/>
      </c>
      <c r="V4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7" s="5">
        <f>IF(tblOrdenes[[#This Row],[centro_costo]]="","",_xlfn.XLOOKUP(tblOrdenes[[#This Row],[centro_costo]],tblCECO[codigo],tblCECO[linea],"(sin catálogo)"))</f>
        <v/>
      </c>
      <c r="X447" s="5">
        <f>IF(tblOrdenes[[#This Row],[centro_costo]]="","",_xlfn.XLOOKUP(tblOrdenes[[#This Row],[centro_costo]],tblCECO[codigo],tblCECO[area],"(sin catálogo)"))</f>
        <v/>
      </c>
      <c r="Y4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7" s="5">
        <f>IF(tblOrdenes[[#This Row],[centro_costo]]="","",_xlfn.XLOOKUP(tblOrdenes[[#This Row],[centro_costo]],tblCECO[codigo],tblCECO[coordinador],"(sin catálogo)"))</f>
        <v/>
      </c>
      <c r="AA447" s="5">
        <f>IF(tblOrdenes[[#This Row],[puesto_trabajo]]="","",_xlfn.XLOOKUP(tblOrdenes[[#This Row],[puesto_trabajo]],tblPuestos[codigo],tblPuestos[especialidad],"(sin catálogo)"))</f>
        <v/>
      </c>
      <c r="AB447" s="5">
        <f>IF(tblOrdenes[[#This Row],[cod_actividad]]="","",_xlfn.XLOOKUP(tblOrdenes[[#This Row],[cod_actividad]],tblActividades[codigo],tblActividades[descripcion],"(sin catálogo)"))</f>
        <v/>
      </c>
      <c r="AC447" s="20">
        <f>IF(tblOrdenes[[#This Row],[fecha_inicio]]="","",TODAY()-tblOrdenes[[#This Row],[fecha_inicio]])</f>
        <v/>
      </c>
      <c r="AD4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7" s="5">
        <f>IF(tblOrdenes[[#This Row],[backlog_habiles]]="","",IF(tblOrdenes[[#This Row],[backlog_habiles]]&lt;0,"FUTURO",IF(tblOrdenes[[#This Row],[backlog_habiles]]&gt;p_dias_backlog_max,"BACKLOG","MES CORRIENTE")))</f>
        <v/>
      </c>
      <c r="AF447" s="5">
        <f>IF(tblOrdenes[[#This Row],[backlog_habiles]]="",FALSE,AND(tblOrdenes[[#This Row],[backlog_habiles]]&gt;p_dias_backlog_min,tblOrdenes[[#This Row],[backlog_habiles]]&lt;=p_dias_backlog_max))</f>
        <v/>
      </c>
      <c r="AG447" s="4" t="n"/>
      <c r="AH4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7" s="18">
        <f>IF(tblOrdenes[[#This Row],[orden]]="","",_xlfn.XLOOKUP(tblOrdenes[[#This Row],[id_operacion]],tblEjecucion[id_operacion],tblEjecucion[precio],0))</f>
        <v/>
      </c>
      <c r="AL447" s="18">
        <f>IF(tblOrdenes[[#This Row],[orden]]="","",MAX(0,_xlfn.XLOOKUP(tblOrdenes[[#This Row],[id_operacion]],tblEjecucion[id_operacion],tblEjecucion[costo_plan_total],0)-tblOrdenes[[#This Row],[costo_servicio]]))</f>
        <v/>
      </c>
      <c r="AM447" s="18">
        <f>IF(tblOrdenes[[#This Row],[orden]]="","",tblOrdenes[[#This Row],[costo_servicio]]+tblOrdenes[[#This Row],[costo_materiales]])</f>
        <v/>
      </c>
      <c r="AN4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7" s="4" t="n"/>
      <c r="AP447" s="4" t="n"/>
      <c r="AQ447" s="4" t="n"/>
      <c r="AR447" s="5">
        <f>IF(tblOrdenes[[#This Row],[link_checklist]]="","",HYPERLINK(p_ruta_base_checklists&amp;tblOrdenes[[#This Row],[link_checklist]],"abrir"))</f>
        <v/>
      </c>
      <c r="AS447" s="4" t="n"/>
      <c r="AT447" s="5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22" t="n"/>
      <c r="K448" s="5" t="n"/>
      <c r="L448" s="18" t="n"/>
      <c r="M4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5">
        <f>IF(tblOrdenes[[#This Row],[fecha_inicio]]="","",YEAR(tblOrdenes[[#This Row],[fecha_inicio]]))</f>
        <v/>
      </c>
      <c r="Q448" s="5">
        <f>IF(tblOrdenes[[#This Row],[fecha_inicio]]="","",MONTH(tblOrdenes[[#This Row],[fecha_inicio]]))</f>
        <v/>
      </c>
      <c r="R448" s="5">
        <f>IF(tblOrdenes[[#This Row],[fecha_inicio]]="","",tblOrdenes[[#This Row],[anio]]&amp;"-"&amp;TEXT(tblOrdenes[[#This Row],[mes]],"00"))</f>
        <v/>
      </c>
      <c r="S448" s="5">
        <f>IF(tblOrdenes[[#This Row],[fecha_inicio]]="","",INDEX(lista_dias,WEEKDAY(tblOrdenes[[#This Row],[fecha_inicio]],2)))</f>
        <v/>
      </c>
      <c r="T4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8" s="5">
        <f>IF(tblOrdenes[[#This Row],[tipo_ot]]="","",_xlfn.XLOOKUP(tblOrdenes[[#This Row],[tipo_ot]],tblTiposOT[codigo],tblTiposOT[clasificacion],"sin_clasificar"))</f>
        <v/>
      </c>
      <c r="V4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8" s="5">
        <f>IF(tblOrdenes[[#This Row],[centro_costo]]="","",_xlfn.XLOOKUP(tblOrdenes[[#This Row],[centro_costo]],tblCECO[codigo],tblCECO[linea],"(sin catálogo)"))</f>
        <v/>
      </c>
      <c r="X448" s="5">
        <f>IF(tblOrdenes[[#This Row],[centro_costo]]="","",_xlfn.XLOOKUP(tblOrdenes[[#This Row],[centro_costo]],tblCECO[codigo],tblCECO[area],"(sin catálogo)"))</f>
        <v/>
      </c>
      <c r="Y4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8" s="5">
        <f>IF(tblOrdenes[[#This Row],[centro_costo]]="","",_xlfn.XLOOKUP(tblOrdenes[[#This Row],[centro_costo]],tblCECO[codigo],tblCECO[coordinador],"(sin catálogo)"))</f>
        <v/>
      </c>
      <c r="AA448" s="5">
        <f>IF(tblOrdenes[[#This Row],[puesto_trabajo]]="","",_xlfn.XLOOKUP(tblOrdenes[[#This Row],[puesto_trabajo]],tblPuestos[codigo],tblPuestos[especialidad],"(sin catálogo)"))</f>
        <v/>
      </c>
      <c r="AB448" s="5">
        <f>IF(tblOrdenes[[#This Row],[cod_actividad]]="","",_xlfn.XLOOKUP(tblOrdenes[[#This Row],[cod_actividad]],tblActividades[codigo],tblActividades[descripcion],"(sin catálogo)"))</f>
        <v/>
      </c>
      <c r="AC448" s="20">
        <f>IF(tblOrdenes[[#This Row],[fecha_inicio]]="","",TODAY()-tblOrdenes[[#This Row],[fecha_inicio]])</f>
        <v/>
      </c>
      <c r="AD4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8" s="5">
        <f>IF(tblOrdenes[[#This Row],[backlog_habiles]]="","",IF(tblOrdenes[[#This Row],[backlog_habiles]]&lt;0,"FUTURO",IF(tblOrdenes[[#This Row],[backlog_habiles]]&gt;p_dias_backlog_max,"BACKLOG","MES CORRIENTE")))</f>
        <v/>
      </c>
      <c r="AF448" s="5">
        <f>IF(tblOrdenes[[#This Row],[backlog_habiles]]="",FALSE,AND(tblOrdenes[[#This Row],[backlog_habiles]]&gt;p_dias_backlog_min,tblOrdenes[[#This Row],[backlog_habiles]]&lt;=p_dias_backlog_max))</f>
        <v/>
      </c>
      <c r="AG448" s="4" t="n"/>
      <c r="AH4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8" s="18">
        <f>IF(tblOrdenes[[#This Row],[orden]]="","",_xlfn.XLOOKUP(tblOrdenes[[#This Row],[id_operacion]],tblEjecucion[id_operacion],tblEjecucion[precio],0))</f>
        <v/>
      </c>
      <c r="AL448" s="18">
        <f>IF(tblOrdenes[[#This Row],[orden]]="","",MAX(0,_xlfn.XLOOKUP(tblOrdenes[[#This Row],[id_operacion]],tblEjecucion[id_operacion],tblEjecucion[costo_plan_total],0)-tblOrdenes[[#This Row],[costo_servicio]]))</f>
        <v/>
      </c>
      <c r="AM448" s="18">
        <f>IF(tblOrdenes[[#This Row],[orden]]="","",tblOrdenes[[#This Row],[costo_servicio]]+tblOrdenes[[#This Row],[costo_materiales]])</f>
        <v/>
      </c>
      <c r="AN4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8" s="4" t="n"/>
      <c r="AP448" s="4" t="n"/>
      <c r="AQ448" s="4" t="n"/>
      <c r="AR448" s="5">
        <f>IF(tblOrdenes[[#This Row],[link_checklist]]="","",HYPERLINK(p_ruta_base_checklists&amp;tblOrdenes[[#This Row],[link_checklist]],"abrir"))</f>
        <v/>
      </c>
      <c r="AS448" s="4" t="n"/>
      <c r="AT448" s="5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22" t="n"/>
      <c r="K449" s="5" t="n"/>
      <c r="L449" s="18" t="n"/>
      <c r="M4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5">
        <f>IF(tblOrdenes[[#This Row],[fecha_inicio]]="","",YEAR(tblOrdenes[[#This Row],[fecha_inicio]]))</f>
        <v/>
      </c>
      <c r="Q449" s="5">
        <f>IF(tblOrdenes[[#This Row],[fecha_inicio]]="","",MONTH(tblOrdenes[[#This Row],[fecha_inicio]]))</f>
        <v/>
      </c>
      <c r="R449" s="5">
        <f>IF(tblOrdenes[[#This Row],[fecha_inicio]]="","",tblOrdenes[[#This Row],[anio]]&amp;"-"&amp;TEXT(tblOrdenes[[#This Row],[mes]],"00"))</f>
        <v/>
      </c>
      <c r="S449" s="5">
        <f>IF(tblOrdenes[[#This Row],[fecha_inicio]]="","",INDEX(lista_dias,WEEKDAY(tblOrdenes[[#This Row],[fecha_inicio]],2)))</f>
        <v/>
      </c>
      <c r="T4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9" s="5">
        <f>IF(tblOrdenes[[#This Row],[tipo_ot]]="","",_xlfn.XLOOKUP(tblOrdenes[[#This Row],[tipo_ot]],tblTiposOT[codigo],tblTiposOT[clasificacion],"sin_clasificar"))</f>
        <v/>
      </c>
      <c r="V4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9" s="5">
        <f>IF(tblOrdenes[[#This Row],[centro_costo]]="","",_xlfn.XLOOKUP(tblOrdenes[[#This Row],[centro_costo]],tblCECO[codigo],tblCECO[linea],"(sin catálogo)"))</f>
        <v/>
      </c>
      <c r="X449" s="5">
        <f>IF(tblOrdenes[[#This Row],[centro_costo]]="","",_xlfn.XLOOKUP(tblOrdenes[[#This Row],[centro_costo]],tblCECO[codigo],tblCECO[area],"(sin catálogo)"))</f>
        <v/>
      </c>
      <c r="Y4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49" s="5">
        <f>IF(tblOrdenes[[#This Row],[centro_costo]]="","",_xlfn.XLOOKUP(tblOrdenes[[#This Row],[centro_costo]],tblCECO[codigo],tblCECO[coordinador],"(sin catálogo)"))</f>
        <v/>
      </c>
      <c r="AA449" s="5">
        <f>IF(tblOrdenes[[#This Row],[puesto_trabajo]]="","",_xlfn.XLOOKUP(tblOrdenes[[#This Row],[puesto_trabajo]],tblPuestos[codigo],tblPuestos[especialidad],"(sin catálogo)"))</f>
        <v/>
      </c>
      <c r="AB449" s="5">
        <f>IF(tblOrdenes[[#This Row],[cod_actividad]]="","",_xlfn.XLOOKUP(tblOrdenes[[#This Row],[cod_actividad]],tblActividades[codigo],tblActividades[descripcion],"(sin catálogo)"))</f>
        <v/>
      </c>
      <c r="AC449" s="20">
        <f>IF(tblOrdenes[[#This Row],[fecha_inicio]]="","",TODAY()-tblOrdenes[[#This Row],[fecha_inicio]])</f>
        <v/>
      </c>
      <c r="AD4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49" s="5">
        <f>IF(tblOrdenes[[#This Row],[backlog_habiles]]="","",IF(tblOrdenes[[#This Row],[backlog_habiles]]&lt;0,"FUTURO",IF(tblOrdenes[[#This Row],[backlog_habiles]]&gt;p_dias_backlog_max,"BACKLOG","MES CORRIENTE")))</f>
        <v/>
      </c>
      <c r="AF449" s="5">
        <f>IF(tblOrdenes[[#This Row],[backlog_habiles]]="",FALSE,AND(tblOrdenes[[#This Row],[backlog_habiles]]&gt;p_dias_backlog_min,tblOrdenes[[#This Row],[backlog_habiles]]&lt;=p_dias_backlog_max))</f>
        <v/>
      </c>
      <c r="AG449" s="4" t="n"/>
      <c r="AH4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49" s="18">
        <f>IF(tblOrdenes[[#This Row],[orden]]="","",_xlfn.XLOOKUP(tblOrdenes[[#This Row],[id_operacion]],tblEjecucion[id_operacion],tblEjecucion[precio],0))</f>
        <v/>
      </c>
      <c r="AL449" s="18">
        <f>IF(tblOrdenes[[#This Row],[orden]]="","",MAX(0,_xlfn.XLOOKUP(tblOrdenes[[#This Row],[id_operacion]],tblEjecucion[id_operacion],tblEjecucion[costo_plan_total],0)-tblOrdenes[[#This Row],[costo_servicio]]))</f>
        <v/>
      </c>
      <c r="AM449" s="18">
        <f>IF(tblOrdenes[[#This Row],[orden]]="","",tblOrdenes[[#This Row],[costo_servicio]]+tblOrdenes[[#This Row],[costo_materiales]])</f>
        <v/>
      </c>
      <c r="AN4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49" s="4" t="n"/>
      <c r="AP449" s="4" t="n"/>
      <c r="AQ449" s="4" t="n"/>
      <c r="AR449" s="5">
        <f>IF(tblOrdenes[[#This Row],[link_checklist]]="","",HYPERLINK(p_ruta_base_checklists&amp;tblOrdenes[[#This Row],[link_checklist]],"abrir"))</f>
        <v/>
      </c>
      <c r="AS449" s="4" t="n"/>
      <c r="AT449" s="5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22" t="n"/>
      <c r="K450" s="5" t="n"/>
      <c r="L450" s="18" t="n"/>
      <c r="M4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5">
        <f>IF(tblOrdenes[[#This Row],[fecha_inicio]]="","",YEAR(tblOrdenes[[#This Row],[fecha_inicio]]))</f>
        <v/>
      </c>
      <c r="Q450" s="5">
        <f>IF(tblOrdenes[[#This Row],[fecha_inicio]]="","",MONTH(tblOrdenes[[#This Row],[fecha_inicio]]))</f>
        <v/>
      </c>
      <c r="R450" s="5">
        <f>IF(tblOrdenes[[#This Row],[fecha_inicio]]="","",tblOrdenes[[#This Row],[anio]]&amp;"-"&amp;TEXT(tblOrdenes[[#This Row],[mes]],"00"))</f>
        <v/>
      </c>
      <c r="S450" s="5">
        <f>IF(tblOrdenes[[#This Row],[fecha_inicio]]="","",INDEX(lista_dias,WEEKDAY(tblOrdenes[[#This Row],[fecha_inicio]],2)))</f>
        <v/>
      </c>
      <c r="T4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0" s="5">
        <f>IF(tblOrdenes[[#This Row],[tipo_ot]]="","",_xlfn.XLOOKUP(tblOrdenes[[#This Row],[tipo_ot]],tblTiposOT[codigo],tblTiposOT[clasificacion],"sin_clasificar"))</f>
        <v/>
      </c>
      <c r="V4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0" s="5">
        <f>IF(tblOrdenes[[#This Row],[centro_costo]]="","",_xlfn.XLOOKUP(tblOrdenes[[#This Row],[centro_costo]],tblCECO[codigo],tblCECO[linea],"(sin catálogo)"))</f>
        <v/>
      </c>
      <c r="X450" s="5">
        <f>IF(tblOrdenes[[#This Row],[centro_costo]]="","",_xlfn.XLOOKUP(tblOrdenes[[#This Row],[centro_costo]],tblCECO[codigo],tblCECO[area],"(sin catálogo)"))</f>
        <v/>
      </c>
      <c r="Y4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0" s="5">
        <f>IF(tblOrdenes[[#This Row],[centro_costo]]="","",_xlfn.XLOOKUP(tblOrdenes[[#This Row],[centro_costo]],tblCECO[codigo],tblCECO[coordinador],"(sin catálogo)"))</f>
        <v/>
      </c>
      <c r="AA450" s="5">
        <f>IF(tblOrdenes[[#This Row],[puesto_trabajo]]="","",_xlfn.XLOOKUP(tblOrdenes[[#This Row],[puesto_trabajo]],tblPuestos[codigo],tblPuestos[especialidad],"(sin catálogo)"))</f>
        <v/>
      </c>
      <c r="AB450" s="5">
        <f>IF(tblOrdenes[[#This Row],[cod_actividad]]="","",_xlfn.XLOOKUP(tblOrdenes[[#This Row],[cod_actividad]],tblActividades[codigo],tblActividades[descripcion],"(sin catálogo)"))</f>
        <v/>
      </c>
      <c r="AC450" s="20">
        <f>IF(tblOrdenes[[#This Row],[fecha_inicio]]="","",TODAY()-tblOrdenes[[#This Row],[fecha_inicio]])</f>
        <v/>
      </c>
      <c r="AD4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0" s="5">
        <f>IF(tblOrdenes[[#This Row],[backlog_habiles]]="","",IF(tblOrdenes[[#This Row],[backlog_habiles]]&lt;0,"FUTURO",IF(tblOrdenes[[#This Row],[backlog_habiles]]&gt;p_dias_backlog_max,"BACKLOG","MES CORRIENTE")))</f>
        <v/>
      </c>
      <c r="AF450" s="5">
        <f>IF(tblOrdenes[[#This Row],[backlog_habiles]]="",FALSE,AND(tblOrdenes[[#This Row],[backlog_habiles]]&gt;p_dias_backlog_min,tblOrdenes[[#This Row],[backlog_habiles]]&lt;=p_dias_backlog_max))</f>
        <v/>
      </c>
      <c r="AG450" s="4" t="n"/>
      <c r="AH4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0" s="18">
        <f>IF(tblOrdenes[[#This Row],[orden]]="","",_xlfn.XLOOKUP(tblOrdenes[[#This Row],[id_operacion]],tblEjecucion[id_operacion],tblEjecucion[precio],0))</f>
        <v/>
      </c>
      <c r="AL450" s="18">
        <f>IF(tblOrdenes[[#This Row],[orden]]="","",MAX(0,_xlfn.XLOOKUP(tblOrdenes[[#This Row],[id_operacion]],tblEjecucion[id_operacion],tblEjecucion[costo_plan_total],0)-tblOrdenes[[#This Row],[costo_servicio]]))</f>
        <v/>
      </c>
      <c r="AM450" s="18">
        <f>IF(tblOrdenes[[#This Row],[orden]]="","",tblOrdenes[[#This Row],[costo_servicio]]+tblOrdenes[[#This Row],[costo_materiales]])</f>
        <v/>
      </c>
      <c r="AN4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0" s="4" t="n"/>
      <c r="AP450" s="4" t="n"/>
      <c r="AQ450" s="4" t="n"/>
      <c r="AR450" s="5">
        <f>IF(tblOrdenes[[#This Row],[link_checklist]]="","",HYPERLINK(p_ruta_base_checklists&amp;tblOrdenes[[#This Row],[link_checklist]],"abrir"))</f>
        <v/>
      </c>
      <c r="AS450" s="4" t="n"/>
      <c r="AT450" s="5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22" t="n"/>
      <c r="K451" s="5" t="n"/>
      <c r="L451" s="18" t="n"/>
      <c r="M4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5">
        <f>IF(tblOrdenes[[#This Row],[fecha_inicio]]="","",YEAR(tblOrdenes[[#This Row],[fecha_inicio]]))</f>
        <v/>
      </c>
      <c r="Q451" s="5">
        <f>IF(tblOrdenes[[#This Row],[fecha_inicio]]="","",MONTH(tblOrdenes[[#This Row],[fecha_inicio]]))</f>
        <v/>
      </c>
      <c r="R451" s="5">
        <f>IF(tblOrdenes[[#This Row],[fecha_inicio]]="","",tblOrdenes[[#This Row],[anio]]&amp;"-"&amp;TEXT(tblOrdenes[[#This Row],[mes]],"00"))</f>
        <v/>
      </c>
      <c r="S451" s="5">
        <f>IF(tblOrdenes[[#This Row],[fecha_inicio]]="","",INDEX(lista_dias,WEEKDAY(tblOrdenes[[#This Row],[fecha_inicio]],2)))</f>
        <v/>
      </c>
      <c r="T4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1" s="5">
        <f>IF(tblOrdenes[[#This Row],[tipo_ot]]="","",_xlfn.XLOOKUP(tblOrdenes[[#This Row],[tipo_ot]],tblTiposOT[codigo],tblTiposOT[clasificacion],"sin_clasificar"))</f>
        <v/>
      </c>
      <c r="V4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1" s="5">
        <f>IF(tblOrdenes[[#This Row],[centro_costo]]="","",_xlfn.XLOOKUP(tblOrdenes[[#This Row],[centro_costo]],tblCECO[codigo],tblCECO[linea],"(sin catálogo)"))</f>
        <v/>
      </c>
      <c r="X451" s="5">
        <f>IF(tblOrdenes[[#This Row],[centro_costo]]="","",_xlfn.XLOOKUP(tblOrdenes[[#This Row],[centro_costo]],tblCECO[codigo],tblCECO[area],"(sin catálogo)"))</f>
        <v/>
      </c>
      <c r="Y4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1" s="5">
        <f>IF(tblOrdenes[[#This Row],[centro_costo]]="","",_xlfn.XLOOKUP(tblOrdenes[[#This Row],[centro_costo]],tblCECO[codigo],tblCECO[coordinador],"(sin catálogo)"))</f>
        <v/>
      </c>
      <c r="AA451" s="5">
        <f>IF(tblOrdenes[[#This Row],[puesto_trabajo]]="","",_xlfn.XLOOKUP(tblOrdenes[[#This Row],[puesto_trabajo]],tblPuestos[codigo],tblPuestos[especialidad],"(sin catálogo)"))</f>
        <v/>
      </c>
      <c r="AB451" s="5">
        <f>IF(tblOrdenes[[#This Row],[cod_actividad]]="","",_xlfn.XLOOKUP(tblOrdenes[[#This Row],[cod_actividad]],tblActividades[codigo],tblActividades[descripcion],"(sin catálogo)"))</f>
        <v/>
      </c>
      <c r="AC451" s="20">
        <f>IF(tblOrdenes[[#This Row],[fecha_inicio]]="","",TODAY()-tblOrdenes[[#This Row],[fecha_inicio]])</f>
        <v/>
      </c>
      <c r="AD4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1" s="5">
        <f>IF(tblOrdenes[[#This Row],[backlog_habiles]]="","",IF(tblOrdenes[[#This Row],[backlog_habiles]]&lt;0,"FUTURO",IF(tblOrdenes[[#This Row],[backlog_habiles]]&gt;p_dias_backlog_max,"BACKLOG","MES CORRIENTE")))</f>
        <v/>
      </c>
      <c r="AF451" s="5">
        <f>IF(tblOrdenes[[#This Row],[backlog_habiles]]="",FALSE,AND(tblOrdenes[[#This Row],[backlog_habiles]]&gt;p_dias_backlog_min,tblOrdenes[[#This Row],[backlog_habiles]]&lt;=p_dias_backlog_max))</f>
        <v/>
      </c>
      <c r="AG451" s="4" t="n"/>
      <c r="AH4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1" s="18">
        <f>IF(tblOrdenes[[#This Row],[orden]]="","",_xlfn.XLOOKUP(tblOrdenes[[#This Row],[id_operacion]],tblEjecucion[id_operacion],tblEjecucion[precio],0))</f>
        <v/>
      </c>
      <c r="AL451" s="18">
        <f>IF(tblOrdenes[[#This Row],[orden]]="","",MAX(0,_xlfn.XLOOKUP(tblOrdenes[[#This Row],[id_operacion]],tblEjecucion[id_operacion],tblEjecucion[costo_plan_total],0)-tblOrdenes[[#This Row],[costo_servicio]]))</f>
        <v/>
      </c>
      <c r="AM451" s="18">
        <f>IF(tblOrdenes[[#This Row],[orden]]="","",tblOrdenes[[#This Row],[costo_servicio]]+tblOrdenes[[#This Row],[costo_materiales]])</f>
        <v/>
      </c>
      <c r="AN4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1" s="4" t="n"/>
      <c r="AP451" s="4" t="n"/>
      <c r="AQ451" s="4" t="n"/>
      <c r="AR451" s="5">
        <f>IF(tblOrdenes[[#This Row],[link_checklist]]="","",HYPERLINK(p_ruta_base_checklists&amp;tblOrdenes[[#This Row],[link_checklist]],"abrir"))</f>
        <v/>
      </c>
      <c r="AS451" s="4" t="n"/>
      <c r="AT451" s="5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22" t="n"/>
      <c r="K452" s="5" t="n"/>
      <c r="L452" s="18" t="n"/>
      <c r="M4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5">
        <f>IF(tblOrdenes[[#This Row],[fecha_inicio]]="","",YEAR(tblOrdenes[[#This Row],[fecha_inicio]]))</f>
        <v/>
      </c>
      <c r="Q452" s="5">
        <f>IF(tblOrdenes[[#This Row],[fecha_inicio]]="","",MONTH(tblOrdenes[[#This Row],[fecha_inicio]]))</f>
        <v/>
      </c>
      <c r="R452" s="5">
        <f>IF(tblOrdenes[[#This Row],[fecha_inicio]]="","",tblOrdenes[[#This Row],[anio]]&amp;"-"&amp;TEXT(tblOrdenes[[#This Row],[mes]],"00"))</f>
        <v/>
      </c>
      <c r="S452" s="5">
        <f>IF(tblOrdenes[[#This Row],[fecha_inicio]]="","",INDEX(lista_dias,WEEKDAY(tblOrdenes[[#This Row],[fecha_inicio]],2)))</f>
        <v/>
      </c>
      <c r="T4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2" s="5">
        <f>IF(tblOrdenes[[#This Row],[tipo_ot]]="","",_xlfn.XLOOKUP(tblOrdenes[[#This Row],[tipo_ot]],tblTiposOT[codigo],tblTiposOT[clasificacion],"sin_clasificar"))</f>
        <v/>
      </c>
      <c r="V4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2" s="5">
        <f>IF(tblOrdenes[[#This Row],[centro_costo]]="","",_xlfn.XLOOKUP(tblOrdenes[[#This Row],[centro_costo]],tblCECO[codigo],tblCECO[linea],"(sin catálogo)"))</f>
        <v/>
      </c>
      <c r="X452" s="5">
        <f>IF(tblOrdenes[[#This Row],[centro_costo]]="","",_xlfn.XLOOKUP(tblOrdenes[[#This Row],[centro_costo]],tblCECO[codigo],tblCECO[area],"(sin catálogo)"))</f>
        <v/>
      </c>
      <c r="Y4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2" s="5">
        <f>IF(tblOrdenes[[#This Row],[centro_costo]]="","",_xlfn.XLOOKUP(tblOrdenes[[#This Row],[centro_costo]],tblCECO[codigo],tblCECO[coordinador],"(sin catálogo)"))</f>
        <v/>
      </c>
      <c r="AA452" s="5">
        <f>IF(tblOrdenes[[#This Row],[puesto_trabajo]]="","",_xlfn.XLOOKUP(tblOrdenes[[#This Row],[puesto_trabajo]],tblPuestos[codigo],tblPuestos[especialidad],"(sin catálogo)"))</f>
        <v/>
      </c>
      <c r="AB452" s="5">
        <f>IF(tblOrdenes[[#This Row],[cod_actividad]]="","",_xlfn.XLOOKUP(tblOrdenes[[#This Row],[cod_actividad]],tblActividades[codigo],tblActividades[descripcion],"(sin catálogo)"))</f>
        <v/>
      </c>
      <c r="AC452" s="20">
        <f>IF(tblOrdenes[[#This Row],[fecha_inicio]]="","",TODAY()-tblOrdenes[[#This Row],[fecha_inicio]])</f>
        <v/>
      </c>
      <c r="AD4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2" s="5">
        <f>IF(tblOrdenes[[#This Row],[backlog_habiles]]="","",IF(tblOrdenes[[#This Row],[backlog_habiles]]&lt;0,"FUTURO",IF(tblOrdenes[[#This Row],[backlog_habiles]]&gt;p_dias_backlog_max,"BACKLOG","MES CORRIENTE")))</f>
        <v/>
      </c>
      <c r="AF452" s="5">
        <f>IF(tblOrdenes[[#This Row],[backlog_habiles]]="",FALSE,AND(tblOrdenes[[#This Row],[backlog_habiles]]&gt;p_dias_backlog_min,tblOrdenes[[#This Row],[backlog_habiles]]&lt;=p_dias_backlog_max))</f>
        <v/>
      </c>
      <c r="AG452" s="4" t="n"/>
      <c r="AH4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2" s="18">
        <f>IF(tblOrdenes[[#This Row],[orden]]="","",_xlfn.XLOOKUP(tblOrdenes[[#This Row],[id_operacion]],tblEjecucion[id_operacion],tblEjecucion[precio],0))</f>
        <v/>
      </c>
      <c r="AL452" s="18">
        <f>IF(tblOrdenes[[#This Row],[orden]]="","",MAX(0,_xlfn.XLOOKUP(tblOrdenes[[#This Row],[id_operacion]],tblEjecucion[id_operacion],tblEjecucion[costo_plan_total],0)-tblOrdenes[[#This Row],[costo_servicio]]))</f>
        <v/>
      </c>
      <c r="AM452" s="18">
        <f>IF(tblOrdenes[[#This Row],[orden]]="","",tblOrdenes[[#This Row],[costo_servicio]]+tblOrdenes[[#This Row],[costo_materiales]])</f>
        <v/>
      </c>
      <c r="AN4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2" s="4" t="n"/>
      <c r="AP452" s="4" t="n"/>
      <c r="AQ452" s="4" t="n"/>
      <c r="AR452" s="5">
        <f>IF(tblOrdenes[[#This Row],[link_checklist]]="","",HYPERLINK(p_ruta_base_checklists&amp;tblOrdenes[[#This Row],[link_checklist]],"abrir"))</f>
        <v/>
      </c>
      <c r="AS452" s="4" t="n"/>
      <c r="AT452" s="5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22" t="n"/>
      <c r="K453" s="5" t="n"/>
      <c r="L453" s="18" t="n"/>
      <c r="M4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5">
        <f>IF(tblOrdenes[[#This Row],[fecha_inicio]]="","",YEAR(tblOrdenes[[#This Row],[fecha_inicio]]))</f>
        <v/>
      </c>
      <c r="Q453" s="5">
        <f>IF(tblOrdenes[[#This Row],[fecha_inicio]]="","",MONTH(tblOrdenes[[#This Row],[fecha_inicio]]))</f>
        <v/>
      </c>
      <c r="R453" s="5">
        <f>IF(tblOrdenes[[#This Row],[fecha_inicio]]="","",tblOrdenes[[#This Row],[anio]]&amp;"-"&amp;TEXT(tblOrdenes[[#This Row],[mes]],"00"))</f>
        <v/>
      </c>
      <c r="S453" s="5">
        <f>IF(tblOrdenes[[#This Row],[fecha_inicio]]="","",INDEX(lista_dias,WEEKDAY(tblOrdenes[[#This Row],[fecha_inicio]],2)))</f>
        <v/>
      </c>
      <c r="T4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3" s="5">
        <f>IF(tblOrdenes[[#This Row],[tipo_ot]]="","",_xlfn.XLOOKUP(tblOrdenes[[#This Row],[tipo_ot]],tblTiposOT[codigo],tblTiposOT[clasificacion],"sin_clasificar"))</f>
        <v/>
      </c>
      <c r="V4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3" s="5">
        <f>IF(tblOrdenes[[#This Row],[centro_costo]]="","",_xlfn.XLOOKUP(tblOrdenes[[#This Row],[centro_costo]],tblCECO[codigo],tblCECO[linea],"(sin catálogo)"))</f>
        <v/>
      </c>
      <c r="X453" s="5">
        <f>IF(tblOrdenes[[#This Row],[centro_costo]]="","",_xlfn.XLOOKUP(tblOrdenes[[#This Row],[centro_costo]],tblCECO[codigo],tblCECO[area],"(sin catálogo)"))</f>
        <v/>
      </c>
      <c r="Y4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3" s="5">
        <f>IF(tblOrdenes[[#This Row],[centro_costo]]="","",_xlfn.XLOOKUP(tblOrdenes[[#This Row],[centro_costo]],tblCECO[codigo],tblCECO[coordinador],"(sin catálogo)"))</f>
        <v/>
      </c>
      <c r="AA453" s="5">
        <f>IF(tblOrdenes[[#This Row],[puesto_trabajo]]="","",_xlfn.XLOOKUP(tblOrdenes[[#This Row],[puesto_trabajo]],tblPuestos[codigo],tblPuestos[especialidad],"(sin catálogo)"))</f>
        <v/>
      </c>
      <c r="AB453" s="5">
        <f>IF(tblOrdenes[[#This Row],[cod_actividad]]="","",_xlfn.XLOOKUP(tblOrdenes[[#This Row],[cod_actividad]],tblActividades[codigo],tblActividades[descripcion],"(sin catálogo)"))</f>
        <v/>
      </c>
      <c r="AC453" s="20">
        <f>IF(tblOrdenes[[#This Row],[fecha_inicio]]="","",TODAY()-tblOrdenes[[#This Row],[fecha_inicio]])</f>
        <v/>
      </c>
      <c r="AD4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3" s="5">
        <f>IF(tblOrdenes[[#This Row],[backlog_habiles]]="","",IF(tblOrdenes[[#This Row],[backlog_habiles]]&lt;0,"FUTURO",IF(tblOrdenes[[#This Row],[backlog_habiles]]&gt;p_dias_backlog_max,"BACKLOG","MES CORRIENTE")))</f>
        <v/>
      </c>
      <c r="AF453" s="5">
        <f>IF(tblOrdenes[[#This Row],[backlog_habiles]]="",FALSE,AND(tblOrdenes[[#This Row],[backlog_habiles]]&gt;p_dias_backlog_min,tblOrdenes[[#This Row],[backlog_habiles]]&lt;=p_dias_backlog_max))</f>
        <v/>
      </c>
      <c r="AG453" s="4" t="n"/>
      <c r="AH4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3" s="18">
        <f>IF(tblOrdenes[[#This Row],[orden]]="","",_xlfn.XLOOKUP(tblOrdenes[[#This Row],[id_operacion]],tblEjecucion[id_operacion],tblEjecucion[precio],0))</f>
        <v/>
      </c>
      <c r="AL453" s="18">
        <f>IF(tblOrdenes[[#This Row],[orden]]="","",MAX(0,_xlfn.XLOOKUP(tblOrdenes[[#This Row],[id_operacion]],tblEjecucion[id_operacion],tblEjecucion[costo_plan_total],0)-tblOrdenes[[#This Row],[costo_servicio]]))</f>
        <v/>
      </c>
      <c r="AM453" s="18">
        <f>IF(tblOrdenes[[#This Row],[orden]]="","",tblOrdenes[[#This Row],[costo_servicio]]+tblOrdenes[[#This Row],[costo_materiales]])</f>
        <v/>
      </c>
      <c r="AN4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3" s="4" t="n"/>
      <c r="AP453" s="4" t="n"/>
      <c r="AQ453" s="4" t="n"/>
      <c r="AR453" s="5">
        <f>IF(tblOrdenes[[#This Row],[link_checklist]]="","",HYPERLINK(p_ruta_base_checklists&amp;tblOrdenes[[#This Row],[link_checklist]],"abrir"))</f>
        <v/>
      </c>
      <c r="AS453" s="4" t="n"/>
      <c r="AT453" s="5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22" t="n"/>
      <c r="K454" s="5" t="n"/>
      <c r="L454" s="18" t="n"/>
      <c r="M4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5">
        <f>IF(tblOrdenes[[#This Row],[fecha_inicio]]="","",YEAR(tblOrdenes[[#This Row],[fecha_inicio]]))</f>
        <v/>
      </c>
      <c r="Q454" s="5">
        <f>IF(tblOrdenes[[#This Row],[fecha_inicio]]="","",MONTH(tblOrdenes[[#This Row],[fecha_inicio]]))</f>
        <v/>
      </c>
      <c r="R454" s="5">
        <f>IF(tblOrdenes[[#This Row],[fecha_inicio]]="","",tblOrdenes[[#This Row],[anio]]&amp;"-"&amp;TEXT(tblOrdenes[[#This Row],[mes]],"00"))</f>
        <v/>
      </c>
      <c r="S454" s="5">
        <f>IF(tblOrdenes[[#This Row],[fecha_inicio]]="","",INDEX(lista_dias,WEEKDAY(tblOrdenes[[#This Row],[fecha_inicio]],2)))</f>
        <v/>
      </c>
      <c r="T4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4" s="5">
        <f>IF(tblOrdenes[[#This Row],[tipo_ot]]="","",_xlfn.XLOOKUP(tblOrdenes[[#This Row],[tipo_ot]],tblTiposOT[codigo],tblTiposOT[clasificacion],"sin_clasificar"))</f>
        <v/>
      </c>
      <c r="V4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4" s="5">
        <f>IF(tblOrdenes[[#This Row],[centro_costo]]="","",_xlfn.XLOOKUP(tblOrdenes[[#This Row],[centro_costo]],tblCECO[codigo],tblCECO[linea],"(sin catálogo)"))</f>
        <v/>
      </c>
      <c r="X454" s="5">
        <f>IF(tblOrdenes[[#This Row],[centro_costo]]="","",_xlfn.XLOOKUP(tblOrdenes[[#This Row],[centro_costo]],tblCECO[codigo],tblCECO[area],"(sin catálogo)"))</f>
        <v/>
      </c>
      <c r="Y4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4" s="5">
        <f>IF(tblOrdenes[[#This Row],[centro_costo]]="","",_xlfn.XLOOKUP(tblOrdenes[[#This Row],[centro_costo]],tblCECO[codigo],tblCECO[coordinador],"(sin catálogo)"))</f>
        <v/>
      </c>
      <c r="AA454" s="5">
        <f>IF(tblOrdenes[[#This Row],[puesto_trabajo]]="","",_xlfn.XLOOKUP(tblOrdenes[[#This Row],[puesto_trabajo]],tblPuestos[codigo],tblPuestos[especialidad],"(sin catálogo)"))</f>
        <v/>
      </c>
      <c r="AB454" s="5">
        <f>IF(tblOrdenes[[#This Row],[cod_actividad]]="","",_xlfn.XLOOKUP(tblOrdenes[[#This Row],[cod_actividad]],tblActividades[codigo],tblActividades[descripcion],"(sin catálogo)"))</f>
        <v/>
      </c>
      <c r="AC454" s="20">
        <f>IF(tblOrdenes[[#This Row],[fecha_inicio]]="","",TODAY()-tblOrdenes[[#This Row],[fecha_inicio]])</f>
        <v/>
      </c>
      <c r="AD4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4" s="5">
        <f>IF(tblOrdenes[[#This Row],[backlog_habiles]]="","",IF(tblOrdenes[[#This Row],[backlog_habiles]]&lt;0,"FUTURO",IF(tblOrdenes[[#This Row],[backlog_habiles]]&gt;p_dias_backlog_max,"BACKLOG","MES CORRIENTE")))</f>
        <v/>
      </c>
      <c r="AF454" s="5">
        <f>IF(tblOrdenes[[#This Row],[backlog_habiles]]="",FALSE,AND(tblOrdenes[[#This Row],[backlog_habiles]]&gt;p_dias_backlog_min,tblOrdenes[[#This Row],[backlog_habiles]]&lt;=p_dias_backlog_max))</f>
        <v/>
      </c>
      <c r="AG454" s="4" t="n"/>
      <c r="AH4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4" s="18">
        <f>IF(tblOrdenes[[#This Row],[orden]]="","",_xlfn.XLOOKUP(tblOrdenes[[#This Row],[id_operacion]],tblEjecucion[id_operacion],tblEjecucion[precio],0))</f>
        <v/>
      </c>
      <c r="AL454" s="18">
        <f>IF(tblOrdenes[[#This Row],[orden]]="","",MAX(0,_xlfn.XLOOKUP(tblOrdenes[[#This Row],[id_operacion]],tblEjecucion[id_operacion],tblEjecucion[costo_plan_total],0)-tblOrdenes[[#This Row],[costo_servicio]]))</f>
        <v/>
      </c>
      <c r="AM454" s="18">
        <f>IF(tblOrdenes[[#This Row],[orden]]="","",tblOrdenes[[#This Row],[costo_servicio]]+tblOrdenes[[#This Row],[costo_materiales]])</f>
        <v/>
      </c>
      <c r="AN4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4" s="4" t="n"/>
      <c r="AP454" s="4" t="n"/>
      <c r="AQ454" s="4" t="n"/>
      <c r="AR454" s="5">
        <f>IF(tblOrdenes[[#This Row],[link_checklist]]="","",HYPERLINK(p_ruta_base_checklists&amp;tblOrdenes[[#This Row],[link_checklist]],"abrir"))</f>
        <v/>
      </c>
      <c r="AS454" s="4" t="n"/>
      <c r="AT454" s="5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22" t="n"/>
      <c r="K455" s="5" t="n"/>
      <c r="L455" s="18" t="n"/>
      <c r="M4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5">
        <f>IF(tblOrdenes[[#This Row],[fecha_inicio]]="","",YEAR(tblOrdenes[[#This Row],[fecha_inicio]]))</f>
        <v/>
      </c>
      <c r="Q455" s="5">
        <f>IF(tblOrdenes[[#This Row],[fecha_inicio]]="","",MONTH(tblOrdenes[[#This Row],[fecha_inicio]]))</f>
        <v/>
      </c>
      <c r="R455" s="5">
        <f>IF(tblOrdenes[[#This Row],[fecha_inicio]]="","",tblOrdenes[[#This Row],[anio]]&amp;"-"&amp;TEXT(tblOrdenes[[#This Row],[mes]],"00"))</f>
        <v/>
      </c>
      <c r="S455" s="5">
        <f>IF(tblOrdenes[[#This Row],[fecha_inicio]]="","",INDEX(lista_dias,WEEKDAY(tblOrdenes[[#This Row],[fecha_inicio]],2)))</f>
        <v/>
      </c>
      <c r="T4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5" s="5">
        <f>IF(tblOrdenes[[#This Row],[tipo_ot]]="","",_xlfn.XLOOKUP(tblOrdenes[[#This Row],[tipo_ot]],tblTiposOT[codigo],tblTiposOT[clasificacion],"sin_clasificar"))</f>
        <v/>
      </c>
      <c r="V4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5" s="5">
        <f>IF(tblOrdenes[[#This Row],[centro_costo]]="","",_xlfn.XLOOKUP(tblOrdenes[[#This Row],[centro_costo]],tblCECO[codigo],tblCECO[linea],"(sin catálogo)"))</f>
        <v/>
      </c>
      <c r="X455" s="5">
        <f>IF(tblOrdenes[[#This Row],[centro_costo]]="","",_xlfn.XLOOKUP(tblOrdenes[[#This Row],[centro_costo]],tblCECO[codigo],tblCECO[area],"(sin catálogo)"))</f>
        <v/>
      </c>
      <c r="Y4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5" s="5">
        <f>IF(tblOrdenes[[#This Row],[centro_costo]]="","",_xlfn.XLOOKUP(tblOrdenes[[#This Row],[centro_costo]],tblCECO[codigo],tblCECO[coordinador],"(sin catálogo)"))</f>
        <v/>
      </c>
      <c r="AA455" s="5">
        <f>IF(tblOrdenes[[#This Row],[puesto_trabajo]]="","",_xlfn.XLOOKUP(tblOrdenes[[#This Row],[puesto_trabajo]],tblPuestos[codigo],tblPuestos[especialidad],"(sin catálogo)"))</f>
        <v/>
      </c>
      <c r="AB455" s="5">
        <f>IF(tblOrdenes[[#This Row],[cod_actividad]]="","",_xlfn.XLOOKUP(tblOrdenes[[#This Row],[cod_actividad]],tblActividades[codigo],tblActividades[descripcion],"(sin catálogo)"))</f>
        <v/>
      </c>
      <c r="AC455" s="20">
        <f>IF(tblOrdenes[[#This Row],[fecha_inicio]]="","",TODAY()-tblOrdenes[[#This Row],[fecha_inicio]])</f>
        <v/>
      </c>
      <c r="AD4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5" s="5">
        <f>IF(tblOrdenes[[#This Row],[backlog_habiles]]="","",IF(tblOrdenes[[#This Row],[backlog_habiles]]&lt;0,"FUTURO",IF(tblOrdenes[[#This Row],[backlog_habiles]]&gt;p_dias_backlog_max,"BACKLOG","MES CORRIENTE")))</f>
        <v/>
      </c>
      <c r="AF455" s="5">
        <f>IF(tblOrdenes[[#This Row],[backlog_habiles]]="",FALSE,AND(tblOrdenes[[#This Row],[backlog_habiles]]&gt;p_dias_backlog_min,tblOrdenes[[#This Row],[backlog_habiles]]&lt;=p_dias_backlog_max))</f>
        <v/>
      </c>
      <c r="AG455" s="4" t="n"/>
      <c r="AH4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5" s="18">
        <f>IF(tblOrdenes[[#This Row],[orden]]="","",_xlfn.XLOOKUP(tblOrdenes[[#This Row],[id_operacion]],tblEjecucion[id_operacion],tblEjecucion[precio],0))</f>
        <v/>
      </c>
      <c r="AL455" s="18">
        <f>IF(tblOrdenes[[#This Row],[orden]]="","",MAX(0,_xlfn.XLOOKUP(tblOrdenes[[#This Row],[id_operacion]],tblEjecucion[id_operacion],tblEjecucion[costo_plan_total],0)-tblOrdenes[[#This Row],[costo_servicio]]))</f>
        <v/>
      </c>
      <c r="AM455" s="18">
        <f>IF(tblOrdenes[[#This Row],[orden]]="","",tblOrdenes[[#This Row],[costo_servicio]]+tblOrdenes[[#This Row],[costo_materiales]])</f>
        <v/>
      </c>
      <c r="AN4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5" s="4" t="n"/>
      <c r="AP455" s="4" t="n"/>
      <c r="AQ455" s="4" t="n"/>
      <c r="AR455" s="5">
        <f>IF(tblOrdenes[[#This Row],[link_checklist]]="","",HYPERLINK(p_ruta_base_checklists&amp;tblOrdenes[[#This Row],[link_checklist]],"abrir"))</f>
        <v/>
      </c>
      <c r="AS455" s="4" t="n"/>
      <c r="AT455" s="5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22" t="n"/>
      <c r="K456" s="5" t="n"/>
      <c r="L456" s="18" t="n"/>
      <c r="M4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5">
        <f>IF(tblOrdenes[[#This Row],[fecha_inicio]]="","",YEAR(tblOrdenes[[#This Row],[fecha_inicio]]))</f>
        <v/>
      </c>
      <c r="Q456" s="5">
        <f>IF(tblOrdenes[[#This Row],[fecha_inicio]]="","",MONTH(tblOrdenes[[#This Row],[fecha_inicio]]))</f>
        <v/>
      </c>
      <c r="R456" s="5">
        <f>IF(tblOrdenes[[#This Row],[fecha_inicio]]="","",tblOrdenes[[#This Row],[anio]]&amp;"-"&amp;TEXT(tblOrdenes[[#This Row],[mes]],"00"))</f>
        <v/>
      </c>
      <c r="S456" s="5">
        <f>IF(tblOrdenes[[#This Row],[fecha_inicio]]="","",INDEX(lista_dias,WEEKDAY(tblOrdenes[[#This Row],[fecha_inicio]],2)))</f>
        <v/>
      </c>
      <c r="T4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6" s="5">
        <f>IF(tblOrdenes[[#This Row],[tipo_ot]]="","",_xlfn.XLOOKUP(tblOrdenes[[#This Row],[tipo_ot]],tblTiposOT[codigo],tblTiposOT[clasificacion],"sin_clasificar"))</f>
        <v/>
      </c>
      <c r="V4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6" s="5">
        <f>IF(tblOrdenes[[#This Row],[centro_costo]]="","",_xlfn.XLOOKUP(tblOrdenes[[#This Row],[centro_costo]],tblCECO[codigo],tblCECO[linea],"(sin catálogo)"))</f>
        <v/>
      </c>
      <c r="X456" s="5">
        <f>IF(tblOrdenes[[#This Row],[centro_costo]]="","",_xlfn.XLOOKUP(tblOrdenes[[#This Row],[centro_costo]],tblCECO[codigo],tblCECO[area],"(sin catálogo)"))</f>
        <v/>
      </c>
      <c r="Y4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6" s="5">
        <f>IF(tblOrdenes[[#This Row],[centro_costo]]="","",_xlfn.XLOOKUP(tblOrdenes[[#This Row],[centro_costo]],tblCECO[codigo],tblCECO[coordinador],"(sin catálogo)"))</f>
        <v/>
      </c>
      <c r="AA456" s="5">
        <f>IF(tblOrdenes[[#This Row],[puesto_trabajo]]="","",_xlfn.XLOOKUP(tblOrdenes[[#This Row],[puesto_trabajo]],tblPuestos[codigo],tblPuestos[especialidad],"(sin catálogo)"))</f>
        <v/>
      </c>
      <c r="AB456" s="5">
        <f>IF(tblOrdenes[[#This Row],[cod_actividad]]="","",_xlfn.XLOOKUP(tblOrdenes[[#This Row],[cod_actividad]],tblActividades[codigo],tblActividades[descripcion],"(sin catálogo)"))</f>
        <v/>
      </c>
      <c r="AC456" s="20">
        <f>IF(tblOrdenes[[#This Row],[fecha_inicio]]="","",TODAY()-tblOrdenes[[#This Row],[fecha_inicio]])</f>
        <v/>
      </c>
      <c r="AD4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6" s="5">
        <f>IF(tblOrdenes[[#This Row],[backlog_habiles]]="","",IF(tblOrdenes[[#This Row],[backlog_habiles]]&lt;0,"FUTURO",IF(tblOrdenes[[#This Row],[backlog_habiles]]&gt;p_dias_backlog_max,"BACKLOG","MES CORRIENTE")))</f>
        <v/>
      </c>
      <c r="AF456" s="5">
        <f>IF(tblOrdenes[[#This Row],[backlog_habiles]]="",FALSE,AND(tblOrdenes[[#This Row],[backlog_habiles]]&gt;p_dias_backlog_min,tblOrdenes[[#This Row],[backlog_habiles]]&lt;=p_dias_backlog_max))</f>
        <v/>
      </c>
      <c r="AG456" s="4" t="n"/>
      <c r="AH4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6" s="18">
        <f>IF(tblOrdenes[[#This Row],[orden]]="","",_xlfn.XLOOKUP(tblOrdenes[[#This Row],[id_operacion]],tblEjecucion[id_operacion],tblEjecucion[precio],0))</f>
        <v/>
      </c>
      <c r="AL456" s="18">
        <f>IF(tblOrdenes[[#This Row],[orden]]="","",MAX(0,_xlfn.XLOOKUP(tblOrdenes[[#This Row],[id_operacion]],tblEjecucion[id_operacion],tblEjecucion[costo_plan_total],0)-tblOrdenes[[#This Row],[costo_servicio]]))</f>
        <v/>
      </c>
      <c r="AM456" s="18">
        <f>IF(tblOrdenes[[#This Row],[orden]]="","",tblOrdenes[[#This Row],[costo_servicio]]+tblOrdenes[[#This Row],[costo_materiales]])</f>
        <v/>
      </c>
      <c r="AN4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6" s="4" t="n"/>
      <c r="AP456" s="4" t="n"/>
      <c r="AQ456" s="4" t="n"/>
      <c r="AR456" s="5">
        <f>IF(tblOrdenes[[#This Row],[link_checklist]]="","",HYPERLINK(p_ruta_base_checklists&amp;tblOrdenes[[#This Row],[link_checklist]],"abrir"))</f>
        <v/>
      </c>
      <c r="AS456" s="4" t="n"/>
      <c r="AT456" s="5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22" t="n"/>
      <c r="K457" s="5" t="n"/>
      <c r="L457" s="18" t="n"/>
      <c r="M4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5">
        <f>IF(tblOrdenes[[#This Row],[fecha_inicio]]="","",YEAR(tblOrdenes[[#This Row],[fecha_inicio]]))</f>
        <v/>
      </c>
      <c r="Q457" s="5">
        <f>IF(tblOrdenes[[#This Row],[fecha_inicio]]="","",MONTH(tblOrdenes[[#This Row],[fecha_inicio]]))</f>
        <v/>
      </c>
      <c r="R457" s="5">
        <f>IF(tblOrdenes[[#This Row],[fecha_inicio]]="","",tblOrdenes[[#This Row],[anio]]&amp;"-"&amp;TEXT(tblOrdenes[[#This Row],[mes]],"00"))</f>
        <v/>
      </c>
      <c r="S457" s="5">
        <f>IF(tblOrdenes[[#This Row],[fecha_inicio]]="","",INDEX(lista_dias,WEEKDAY(tblOrdenes[[#This Row],[fecha_inicio]],2)))</f>
        <v/>
      </c>
      <c r="T4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7" s="5">
        <f>IF(tblOrdenes[[#This Row],[tipo_ot]]="","",_xlfn.XLOOKUP(tblOrdenes[[#This Row],[tipo_ot]],tblTiposOT[codigo],tblTiposOT[clasificacion],"sin_clasificar"))</f>
        <v/>
      </c>
      <c r="V4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7" s="5">
        <f>IF(tblOrdenes[[#This Row],[centro_costo]]="","",_xlfn.XLOOKUP(tblOrdenes[[#This Row],[centro_costo]],tblCECO[codigo],tblCECO[linea],"(sin catálogo)"))</f>
        <v/>
      </c>
      <c r="X457" s="5">
        <f>IF(tblOrdenes[[#This Row],[centro_costo]]="","",_xlfn.XLOOKUP(tblOrdenes[[#This Row],[centro_costo]],tblCECO[codigo],tblCECO[area],"(sin catálogo)"))</f>
        <v/>
      </c>
      <c r="Y4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7" s="5">
        <f>IF(tblOrdenes[[#This Row],[centro_costo]]="","",_xlfn.XLOOKUP(tblOrdenes[[#This Row],[centro_costo]],tblCECO[codigo],tblCECO[coordinador],"(sin catálogo)"))</f>
        <v/>
      </c>
      <c r="AA457" s="5">
        <f>IF(tblOrdenes[[#This Row],[puesto_trabajo]]="","",_xlfn.XLOOKUP(tblOrdenes[[#This Row],[puesto_trabajo]],tblPuestos[codigo],tblPuestos[especialidad],"(sin catálogo)"))</f>
        <v/>
      </c>
      <c r="AB457" s="5">
        <f>IF(tblOrdenes[[#This Row],[cod_actividad]]="","",_xlfn.XLOOKUP(tblOrdenes[[#This Row],[cod_actividad]],tblActividades[codigo],tblActividades[descripcion],"(sin catálogo)"))</f>
        <v/>
      </c>
      <c r="AC457" s="20">
        <f>IF(tblOrdenes[[#This Row],[fecha_inicio]]="","",TODAY()-tblOrdenes[[#This Row],[fecha_inicio]])</f>
        <v/>
      </c>
      <c r="AD4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7" s="5">
        <f>IF(tblOrdenes[[#This Row],[backlog_habiles]]="","",IF(tblOrdenes[[#This Row],[backlog_habiles]]&lt;0,"FUTURO",IF(tblOrdenes[[#This Row],[backlog_habiles]]&gt;p_dias_backlog_max,"BACKLOG","MES CORRIENTE")))</f>
        <v/>
      </c>
      <c r="AF457" s="5">
        <f>IF(tblOrdenes[[#This Row],[backlog_habiles]]="",FALSE,AND(tblOrdenes[[#This Row],[backlog_habiles]]&gt;p_dias_backlog_min,tblOrdenes[[#This Row],[backlog_habiles]]&lt;=p_dias_backlog_max))</f>
        <v/>
      </c>
      <c r="AG457" s="4" t="n"/>
      <c r="AH4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7" s="18">
        <f>IF(tblOrdenes[[#This Row],[orden]]="","",_xlfn.XLOOKUP(tblOrdenes[[#This Row],[id_operacion]],tblEjecucion[id_operacion],tblEjecucion[precio],0))</f>
        <v/>
      </c>
      <c r="AL457" s="18">
        <f>IF(tblOrdenes[[#This Row],[orden]]="","",MAX(0,_xlfn.XLOOKUP(tblOrdenes[[#This Row],[id_operacion]],tblEjecucion[id_operacion],tblEjecucion[costo_plan_total],0)-tblOrdenes[[#This Row],[costo_servicio]]))</f>
        <v/>
      </c>
      <c r="AM457" s="18">
        <f>IF(tblOrdenes[[#This Row],[orden]]="","",tblOrdenes[[#This Row],[costo_servicio]]+tblOrdenes[[#This Row],[costo_materiales]])</f>
        <v/>
      </c>
      <c r="AN4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7" s="4" t="n"/>
      <c r="AP457" s="4" t="n"/>
      <c r="AQ457" s="4" t="n"/>
      <c r="AR457" s="5">
        <f>IF(tblOrdenes[[#This Row],[link_checklist]]="","",HYPERLINK(p_ruta_base_checklists&amp;tblOrdenes[[#This Row],[link_checklist]],"abrir"))</f>
        <v/>
      </c>
      <c r="AS457" s="4" t="n"/>
      <c r="AT457" s="5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22" t="n"/>
      <c r="K458" s="5" t="n"/>
      <c r="L458" s="18" t="n"/>
      <c r="M4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5">
        <f>IF(tblOrdenes[[#This Row],[fecha_inicio]]="","",YEAR(tblOrdenes[[#This Row],[fecha_inicio]]))</f>
        <v/>
      </c>
      <c r="Q458" s="5">
        <f>IF(tblOrdenes[[#This Row],[fecha_inicio]]="","",MONTH(tblOrdenes[[#This Row],[fecha_inicio]]))</f>
        <v/>
      </c>
      <c r="R458" s="5">
        <f>IF(tblOrdenes[[#This Row],[fecha_inicio]]="","",tblOrdenes[[#This Row],[anio]]&amp;"-"&amp;TEXT(tblOrdenes[[#This Row],[mes]],"00"))</f>
        <v/>
      </c>
      <c r="S458" s="5">
        <f>IF(tblOrdenes[[#This Row],[fecha_inicio]]="","",INDEX(lista_dias,WEEKDAY(tblOrdenes[[#This Row],[fecha_inicio]],2)))</f>
        <v/>
      </c>
      <c r="T4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8" s="5">
        <f>IF(tblOrdenes[[#This Row],[tipo_ot]]="","",_xlfn.XLOOKUP(tblOrdenes[[#This Row],[tipo_ot]],tblTiposOT[codigo],tblTiposOT[clasificacion],"sin_clasificar"))</f>
        <v/>
      </c>
      <c r="V4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8" s="5">
        <f>IF(tblOrdenes[[#This Row],[centro_costo]]="","",_xlfn.XLOOKUP(tblOrdenes[[#This Row],[centro_costo]],tblCECO[codigo],tblCECO[linea],"(sin catálogo)"))</f>
        <v/>
      </c>
      <c r="X458" s="5">
        <f>IF(tblOrdenes[[#This Row],[centro_costo]]="","",_xlfn.XLOOKUP(tblOrdenes[[#This Row],[centro_costo]],tblCECO[codigo],tblCECO[area],"(sin catálogo)"))</f>
        <v/>
      </c>
      <c r="Y4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8" s="5">
        <f>IF(tblOrdenes[[#This Row],[centro_costo]]="","",_xlfn.XLOOKUP(tblOrdenes[[#This Row],[centro_costo]],tblCECO[codigo],tblCECO[coordinador],"(sin catálogo)"))</f>
        <v/>
      </c>
      <c r="AA458" s="5">
        <f>IF(tblOrdenes[[#This Row],[puesto_trabajo]]="","",_xlfn.XLOOKUP(tblOrdenes[[#This Row],[puesto_trabajo]],tblPuestos[codigo],tblPuestos[especialidad],"(sin catálogo)"))</f>
        <v/>
      </c>
      <c r="AB458" s="5">
        <f>IF(tblOrdenes[[#This Row],[cod_actividad]]="","",_xlfn.XLOOKUP(tblOrdenes[[#This Row],[cod_actividad]],tblActividades[codigo],tblActividades[descripcion],"(sin catálogo)"))</f>
        <v/>
      </c>
      <c r="AC458" s="20">
        <f>IF(tblOrdenes[[#This Row],[fecha_inicio]]="","",TODAY()-tblOrdenes[[#This Row],[fecha_inicio]])</f>
        <v/>
      </c>
      <c r="AD4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8" s="5">
        <f>IF(tblOrdenes[[#This Row],[backlog_habiles]]="","",IF(tblOrdenes[[#This Row],[backlog_habiles]]&lt;0,"FUTURO",IF(tblOrdenes[[#This Row],[backlog_habiles]]&gt;p_dias_backlog_max,"BACKLOG","MES CORRIENTE")))</f>
        <v/>
      </c>
      <c r="AF458" s="5">
        <f>IF(tblOrdenes[[#This Row],[backlog_habiles]]="",FALSE,AND(tblOrdenes[[#This Row],[backlog_habiles]]&gt;p_dias_backlog_min,tblOrdenes[[#This Row],[backlog_habiles]]&lt;=p_dias_backlog_max))</f>
        <v/>
      </c>
      <c r="AG458" s="4" t="n"/>
      <c r="AH4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8" s="18">
        <f>IF(tblOrdenes[[#This Row],[orden]]="","",_xlfn.XLOOKUP(tblOrdenes[[#This Row],[id_operacion]],tblEjecucion[id_operacion],tblEjecucion[precio],0))</f>
        <v/>
      </c>
      <c r="AL458" s="18">
        <f>IF(tblOrdenes[[#This Row],[orden]]="","",MAX(0,_xlfn.XLOOKUP(tblOrdenes[[#This Row],[id_operacion]],tblEjecucion[id_operacion],tblEjecucion[costo_plan_total],0)-tblOrdenes[[#This Row],[costo_servicio]]))</f>
        <v/>
      </c>
      <c r="AM458" s="18">
        <f>IF(tblOrdenes[[#This Row],[orden]]="","",tblOrdenes[[#This Row],[costo_servicio]]+tblOrdenes[[#This Row],[costo_materiales]])</f>
        <v/>
      </c>
      <c r="AN4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8" s="4" t="n"/>
      <c r="AP458" s="4" t="n"/>
      <c r="AQ458" s="4" t="n"/>
      <c r="AR458" s="5">
        <f>IF(tblOrdenes[[#This Row],[link_checklist]]="","",HYPERLINK(p_ruta_base_checklists&amp;tblOrdenes[[#This Row],[link_checklist]],"abrir"))</f>
        <v/>
      </c>
      <c r="AS458" s="4" t="n"/>
      <c r="AT458" s="5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22" t="n"/>
      <c r="K459" s="5" t="n"/>
      <c r="L459" s="18" t="n"/>
      <c r="M4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5">
        <f>IF(tblOrdenes[[#This Row],[fecha_inicio]]="","",YEAR(tblOrdenes[[#This Row],[fecha_inicio]]))</f>
        <v/>
      </c>
      <c r="Q459" s="5">
        <f>IF(tblOrdenes[[#This Row],[fecha_inicio]]="","",MONTH(tblOrdenes[[#This Row],[fecha_inicio]]))</f>
        <v/>
      </c>
      <c r="R459" s="5">
        <f>IF(tblOrdenes[[#This Row],[fecha_inicio]]="","",tblOrdenes[[#This Row],[anio]]&amp;"-"&amp;TEXT(tblOrdenes[[#This Row],[mes]],"00"))</f>
        <v/>
      </c>
      <c r="S459" s="5">
        <f>IF(tblOrdenes[[#This Row],[fecha_inicio]]="","",INDEX(lista_dias,WEEKDAY(tblOrdenes[[#This Row],[fecha_inicio]],2)))</f>
        <v/>
      </c>
      <c r="T4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9" s="5">
        <f>IF(tblOrdenes[[#This Row],[tipo_ot]]="","",_xlfn.XLOOKUP(tblOrdenes[[#This Row],[tipo_ot]],tblTiposOT[codigo],tblTiposOT[clasificacion],"sin_clasificar"))</f>
        <v/>
      </c>
      <c r="V4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9" s="5">
        <f>IF(tblOrdenes[[#This Row],[centro_costo]]="","",_xlfn.XLOOKUP(tblOrdenes[[#This Row],[centro_costo]],tblCECO[codigo],tblCECO[linea],"(sin catálogo)"))</f>
        <v/>
      </c>
      <c r="X459" s="5">
        <f>IF(tblOrdenes[[#This Row],[centro_costo]]="","",_xlfn.XLOOKUP(tblOrdenes[[#This Row],[centro_costo]],tblCECO[codigo],tblCECO[area],"(sin catálogo)"))</f>
        <v/>
      </c>
      <c r="Y4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59" s="5">
        <f>IF(tblOrdenes[[#This Row],[centro_costo]]="","",_xlfn.XLOOKUP(tblOrdenes[[#This Row],[centro_costo]],tblCECO[codigo],tblCECO[coordinador],"(sin catálogo)"))</f>
        <v/>
      </c>
      <c r="AA459" s="5">
        <f>IF(tblOrdenes[[#This Row],[puesto_trabajo]]="","",_xlfn.XLOOKUP(tblOrdenes[[#This Row],[puesto_trabajo]],tblPuestos[codigo],tblPuestos[especialidad],"(sin catálogo)"))</f>
        <v/>
      </c>
      <c r="AB459" s="5">
        <f>IF(tblOrdenes[[#This Row],[cod_actividad]]="","",_xlfn.XLOOKUP(tblOrdenes[[#This Row],[cod_actividad]],tblActividades[codigo],tblActividades[descripcion],"(sin catálogo)"))</f>
        <v/>
      </c>
      <c r="AC459" s="20">
        <f>IF(tblOrdenes[[#This Row],[fecha_inicio]]="","",TODAY()-tblOrdenes[[#This Row],[fecha_inicio]])</f>
        <v/>
      </c>
      <c r="AD4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59" s="5">
        <f>IF(tblOrdenes[[#This Row],[backlog_habiles]]="","",IF(tblOrdenes[[#This Row],[backlog_habiles]]&lt;0,"FUTURO",IF(tblOrdenes[[#This Row],[backlog_habiles]]&gt;p_dias_backlog_max,"BACKLOG","MES CORRIENTE")))</f>
        <v/>
      </c>
      <c r="AF459" s="5">
        <f>IF(tblOrdenes[[#This Row],[backlog_habiles]]="",FALSE,AND(tblOrdenes[[#This Row],[backlog_habiles]]&gt;p_dias_backlog_min,tblOrdenes[[#This Row],[backlog_habiles]]&lt;=p_dias_backlog_max))</f>
        <v/>
      </c>
      <c r="AG459" s="4" t="n"/>
      <c r="AH4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59" s="18">
        <f>IF(tblOrdenes[[#This Row],[orden]]="","",_xlfn.XLOOKUP(tblOrdenes[[#This Row],[id_operacion]],tblEjecucion[id_operacion],tblEjecucion[precio],0))</f>
        <v/>
      </c>
      <c r="AL459" s="18">
        <f>IF(tblOrdenes[[#This Row],[orden]]="","",MAX(0,_xlfn.XLOOKUP(tblOrdenes[[#This Row],[id_operacion]],tblEjecucion[id_operacion],tblEjecucion[costo_plan_total],0)-tblOrdenes[[#This Row],[costo_servicio]]))</f>
        <v/>
      </c>
      <c r="AM459" s="18">
        <f>IF(tblOrdenes[[#This Row],[orden]]="","",tblOrdenes[[#This Row],[costo_servicio]]+tblOrdenes[[#This Row],[costo_materiales]])</f>
        <v/>
      </c>
      <c r="AN4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59" s="4" t="n"/>
      <c r="AP459" s="4" t="n"/>
      <c r="AQ459" s="4" t="n"/>
      <c r="AR459" s="5">
        <f>IF(tblOrdenes[[#This Row],[link_checklist]]="","",HYPERLINK(p_ruta_base_checklists&amp;tblOrdenes[[#This Row],[link_checklist]],"abrir"))</f>
        <v/>
      </c>
      <c r="AS459" s="4" t="n"/>
      <c r="AT459" s="5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22" t="n"/>
      <c r="K460" s="5" t="n"/>
      <c r="L460" s="18" t="n"/>
      <c r="M4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5">
        <f>IF(tblOrdenes[[#This Row],[fecha_inicio]]="","",YEAR(tblOrdenes[[#This Row],[fecha_inicio]]))</f>
        <v/>
      </c>
      <c r="Q460" s="5">
        <f>IF(tblOrdenes[[#This Row],[fecha_inicio]]="","",MONTH(tblOrdenes[[#This Row],[fecha_inicio]]))</f>
        <v/>
      </c>
      <c r="R460" s="5">
        <f>IF(tblOrdenes[[#This Row],[fecha_inicio]]="","",tblOrdenes[[#This Row],[anio]]&amp;"-"&amp;TEXT(tblOrdenes[[#This Row],[mes]],"00"))</f>
        <v/>
      </c>
      <c r="S460" s="5">
        <f>IF(tblOrdenes[[#This Row],[fecha_inicio]]="","",INDEX(lista_dias,WEEKDAY(tblOrdenes[[#This Row],[fecha_inicio]],2)))</f>
        <v/>
      </c>
      <c r="T4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0" s="5">
        <f>IF(tblOrdenes[[#This Row],[tipo_ot]]="","",_xlfn.XLOOKUP(tblOrdenes[[#This Row],[tipo_ot]],tblTiposOT[codigo],tblTiposOT[clasificacion],"sin_clasificar"))</f>
        <v/>
      </c>
      <c r="V4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0" s="5">
        <f>IF(tblOrdenes[[#This Row],[centro_costo]]="","",_xlfn.XLOOKUP(tblOrdenes[[#This Row],[centro_costo]],tblCECO[codigo],tblCECO[linea],"(sin catálogo)"))</f>
        <v/>
      </c>
      <c r="X460" s="5">
        <f>IF(tblOrdenes[[#This Row],[centro_costo]]="","",_xlfn.XLOOKUP(tblOrdenes[[#This Row],[centro_costo]],tblCECO[codigo],tblCECO[area],"(sin catálogo)"))</f>
        <v/>
      </c>
      <c r="Y4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0" s="5">
        <f>IF(tblOrdenes[[#This Row],[centro_costo]]="","",_xlfn.XLOOKUP(tblOrdenes[[#This Row],[centro_costo]],tblCECO[codigo],tblCECO[coordinador],"(sin catálogo)"))</f>
        <v/>
      </c>
      <c r="AA460" s="5">
        <f>IF(tblOrdenes[[#This Row],[puesto_trabajo]]="","",_xlfn.XLOOKUP(tblOrdenes[[#This Row],[puesto_trabajo]],tblPuestos[codigo],tblPuestos[especialidad],"(sin catálogo)"))</f>
        <v/>
      </c>
      <c r="AB460" s="5">
        <f>IF(tblOrdenes[[#This Row],[cod_actividad]]="","",_xlfn.XLOOKUP(tblOrdenes[[#This Row],[cod_actividad]],tblActividades[codigo],tblActividades[descripcion],"(sin catálogo)"))</f>
        <v/>
      </c>
      <c r="AC460" s="20">
        <f>IF(tblOrdenes[[#This Row],[fecha_inicio]]="","",TODAY()-tblOrdenes[[#This Row],[fecha_inicio]])</f>
        <v/>
      </c>
      <c r="AD4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0" s="5">
        <f>IF(tblOrdenes[[#This Row],[backlog_habiles]]="","",IF(tblOrdenes[[#This Row],[backlog_habiles]]&lt;0,"FUTURO",IF(tblOrdenes[[#This Row],[backlog_habiles]]&gt;p_dias_backlog_max,"BACKLOG","MES CORRIENTE")))</f>
        <v/>
      </c>
      <c r="AF460" s="5">
        <f>IF(tblOrdenes[[#This Row],[backlog_habiles]]="",FALSE,AND(tblOrdenes[[#This Row],[backlog_habiles]]&gt;p_dias_backlog_min,tblOrdenes[[#This Row],[backlog_habiles]]&lt;=p_dias_backlog_max))</f>
        <v/>
      </c>
      <c r="AG460" s="4" t="n"/>
      <c r="AH4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0" s="18">
        <f>IF(tblOrdenes[[#This Row],[orden]]="","",_xlfn.XLOOKUP(tblOrdenes[[#This Row],[id_operacion]],tblEjecucion[id_operacion],tblEjecucion[precio],0))</f>
        <v/>
      </c>
      <c r="AL460" s="18">
        <f>IF(tblOrdenes[[#This Row],[orden]]="","",MAX(0,_xlfn.XLOOKUP(tblOrdenes[[#This Row],[id_operacion]],tblEjecucion[id_operacion],tblEjecucion[costo_plan_total],0)-tblOrdenes[[#This Row],[costo_servicio]]))</f>
        <v/>
      </c>
      <c r="AM460" s="18">
        <f>IF(tblOrdenes[[#This Row],[orden]]="","",tblOrdenes[[#This Row],[costo_servicio]]+tblOrdenes[[#This Row],[costo_materiales]])</f>
        <v/>
      </c>
      <c r="AN4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0" s="4" t="n"/>
      <c r="AP460" s="4" t="n"/>
      <c r="AQ460" s="4" t="n"/>
      <c r="AR460" s="5">
        <f>IF(tblOrdenes[[#This Row],[link_checklist]]="","",HYPERLINK(p_ruta_base_checklists&amp;tblOrdenes[[#This Row],[link_checklist]],"abrir"))</f>
        <v/>
      </c>
      <c r="AS460" s="4" t="n"/>
      <c r="AT460" s="5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22" t="n"/>
      <c r="K461" s="5" t="n"/>
      <c r="L461" s="18" t="n"/>
      <c r="M4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5">
        <f>IF(tblOrdenes[[#This Row],[fecha_inicio]]="","",YEAR(tblOrdenes[[#This Row],[fecha_inicio]]))</f>
        <v/>
      </c>
      <c r="Q461" s="5">
        <f>IF(tblOrdenes[[#This Row],[fecha_inicio]]="","",MONTH(tblOrdenes[[#This Row],[fecha_inicio]]))</f>
        <v/>
      </c>
      <c r="R461" s="5">
        <f>IF(tblOrdenes[[#This Row],[fecha_inicio]]="","",tblOrdenes[[#This Row],[anio]]&amp;"-"&amp;TEXT(tblOrdenes[[#This Row],[mes]],"00"))</f>
        <v/>
      </c>
      <c r="S461" s="5">
        <f>IF(tblOrdenes[[#This Row],[fecha_inicio]]="","",INDEX(lista_dias,WEEKDAY(tblOrdenes[[#This Row],[fecha_inicio]],2)))</f>
        <v/>
      </c>
      <c r="T4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1" s="5">
        <f>IF(tblOrdenes[[#This Row],[tipo_ot]]="","",_xlfn.XLOOKUP(tblOrdenes[[#This Row],[tipo_ot]],tblTiposOT[codigo],tblTiposOT[clasificacion],"sin_clasificar"))</f>
        <v/>
      </c>
      <c r="V4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1" s="5">
        <f>IF(tblOrdenes[[#This Row],[centro_costo]]="","",_xlfn.XLOOKUP(tblOrdenes[[#This Row],[centro_costo]],tblCECO[codigo],tblCECO[linea],"(sin catálogo)"))</f>
        <v/>
      </c>
      <c r="X461" s="5">
        <f>IF(tblOrdenes[[#This Row],[centro_costo]]="","",_xlfn.XLOOKUP(tblOrdenes[[#This Row],[centro_costo]],tblCECO[codigo],tblCECO[area],"(sin catálogo)"))</f>
        <v/>
      </c>
      <c r="Y4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1" s="5">
        <f>IF(tblOrdenes[[#This Row],[centro_costo]]="","",_xlfn.XLOOKUP(tblOrdenes[[#This Row],[centro_costo]],tblCECO[codigo],tblCECO[coordinador],"(sin catálogo)"))</f>
        <v/>
      </c>
      <c r="AA461" s="5">
        <f>IF(tblOrdenes[[#This Row],[puesto_trabajo]]="","",_xlfn.XLOOKUP(tblOrdenes[[#This Row],[puesto_trabajo]],tblPuestos[codigo],tblPuestos[especialidad],"(sin catálogo)"))</f>
        <v/>
      </c>
      <c r="AB461" s="5">
        <f>IF(tblOrdenes[[#This Row],[cod_actividad]]="","",_xlfn.XLOOKUP(tblOrdenes[[#This Row],[cod_actividad]],tblActividades[codigo],tblActividades[descripcion],"(sin catálogo)"))</f>
        <v/>
      </c>
      <c r="AC461" s="20">
        <f>IF(tblOrdenes[[#This Row],[fecha_inicio]]="","",TODAY()-tblOrdenes[[#This Row],[fecha_inicio]])</f>
        <v/>
      </c>
      <c r="AD4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1" s="5">
        <f>IF(tblOrdenes[[#This Row],[backlog_habiles]]="","",IF(tblOrdenes[[#This Row],[backlog_habiles]]&lt;0,"FUTURO",IF(tblOrdenes[[#This Row],[backlog_habiles]]&gt;p_dias_backlog_max,"BACKLOG","MES CORRIENTE")))</f>
        <v/>
      </c>
      <c r="AF461" s="5">
        <f>IF(tblOrdenes[[#This Row],[backlog_habiles]]="",FALSE,AND(tblOrdenes[[#This Row],[backlog_habiles]]&gt;p_dias_backlog_min,tblOrdenes[[#This Row],[backlog_habiles]]&lt;=p_dias_backlog_max))</f>
        <v/>
      </c>
      <c r="AG461" s="4" t="n"/>
      <c r="AH4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1" s="18">
        <f>IF(tblOrdenes[[#This Row],[orden]]="","",_xlfn.XLOOKUP(tblOrdenes[[#This Row],[id_operacion]],tblEjecucion[id_operacion],tblEjecucion[precio],0))</f>
        <v/>
      </c>
      <c r="AL461" s="18">
        <f>IF(tblOrdenes[[#This Row],[orden]]="","",MAX(0,_xlfn.XLOOKUP(tblOrdenes[[#This Row],[id_operacion]],tblEjecucion[id_operacion],tblEjecucion[costo_plan_total],0)-tblOrdenes[[#This Row],[costo_servicio]]))</f>
        <v/>
      </c>
      <c r="AM461" s="18">
        <f>IF(tblOrdenes[[#This Row],[orden]]="","",tblOrdenes[[#This Row],[costo_servicio]]+tblOrdenes[[#This Row],[costo_materiales]])</f>
        <v/>
      </c>
      <c r="AN4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1" s="4" t="n"/>
      <c r="AP461" s="4" t="n"/>
      <c r="AQ461" s="4" t="n"/>
      <c r="AR461" s="5">
        <f>IF(tblOrdenes[[#This Row],[link_checklist]]="","",HYPERLINK(p_ruta_base_checklists&amp;tblOrdenes[[#This Row],[link_checklist]],"abrir"))</f>
        <v/>
      </c>
      <c r="AS461" s="4" t="n"/>
      <c r="AT461" s="5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22" t="n"/>
      <c r="K462" s="5" t="n"/>
      <c r="L462" s="18" t="n"/>
      <c r="M4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5">
        <f>IF(tblOrdenes[[#This Row],[fecha_inicio]]="","",YEAR(tblOrdenes[[#This Row],[fecha_inicio]]))</f>
        <v/>
      </c>
      <c r="Q462" s="5">
        <f>IF(tblOrdenes[[#This Row],[fecha_inicio]]="","",MONTH(tblOrdenes[[#This Row],[fecha_inicio]]))</f>
        <v/>
      </c>
      <c r="R462" s="5">
        <f>IF(tblOrdenes[[#This Row],[fecha_inicio]]="","",tblOrdenes[[#This Row],[anio]]&amp;"-"&amp;TEXT(tblOrdenes[[#This Row],[mes]],"00"))</f>
        <v/>
      </c>
      <c r="S462" s="5">
        <f>IF(tblOrdenes[[#This Row],[fecha_inicio]]="","",INDEX(lista_dias,WEEKDAY(tblOrdenes[[#This Row],[fecha_inicio]],2)))</f>
        <v/>
      </c>
      <c r="T4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2" s="5">
        <f>IF(tblOrdenes[[#This Row],[tipo_ot]]="","",_xlfn.XLOOKUP(tblOrdenes[[#This Row],[tipo_ot]],tblTiposOT[codigo],tblTiposOT[clasificacion],"sin_clasificar"))</f>
        <v/>
      </c>
      <c r="V4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2" s="5">
        <f>IF(tblOrdenes[[#This Row],[centro_costo]]="","",_xlfn.XLOOKUP(tblOrdenes[[#This Row],[centro_costo]],tblCECO[codigo],tblCECO[linea],"(sin catálogo)"))</f>
        <v/>
      </c>
      <c r="X462" s="5">
        <f>IF(tblOrdenes[[#This Row],[centro_costo]]="","",_xlfn.XLOOKUP(tblOrdenes[[#This Row],[centro_costo]],tblCECO[codigo],tblCECO[area],"(sin catálogo)"))</f>
        <v/>
      </c>
      <c r="Y4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2" s="5">
        <f>IF(tblOrdenes[[#This Row],[centro_costo]]="","",_xlfn.XLOOKUP(tblOrdenes[[#This Row],[centro_costo]],tblCECO[codigo],tblCECO[coordinador],"(sin catálogo)"))</f>
        <v/>
      </c>
      <c r="AA462" s="5">
        <f>IF(tblOrdenes[[#This Row],[puesto_trabajo]]="","",_xlfn.XLOOKUP(tblOrdenes[[#This Row],[puesto_trabajo]],tblPuestos[codigo],tblPuestos[especialidad],"(sin catálogo)"))</f>
        <v/>
      </c>
      <c r="AB462" s="5">
        <f>IF(tblOrdenes[[#This Row],[cod_actividad]]="","",_xlfn.XLOOKUP(tblOrdenes[[#This Row],[cod_actividad]],tblActividades[codigo],tblActividades[descripcion],"(sin catálogo)"))</f>
        <v/>
      </c>
      <c r="AC462" s="20">
        <f>IF(tblOrdenes[[#This Row],[fecha_inicio]]="","",TODAY()-tblOrdenes[[#This Row],[fecha_inicio]])</f>
        <v/>
      </c>
      <c r="AD4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2" s="5">
        <f>IF(tblOrdenes[[#This Row],[backlog_habiles]]="","",IF(tblOrdenes[[#This Row],[backlog_habiles]]&lt;0,"FUTURO",IF(tblOrdenes[[#This Row],[backlog_habiles]]&gt;p_dias_backlog_max,"BACKLOG","MES CORRIENTE")))</f>
        <v/>
      </c>
      <c r="AF462" s="5">
        <f>IF(tblOrdenes[[#This Row],[backlog_habiles]]="",FALSE,AND(tblOrdenes[[#This Row],[backlog_habiles]]&gt;p_dias_backlog_min,tblOrdenes[[#This Row],[backlog_habiles]]&lt;=p_dias_backlog_max))</f>
        <v/>
      </c>
      <c r="AG462" s="4" t="n"/>
      <c r="AH4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2" s="18">
        <f>IF(tblOrdenes[[#This Row],[orden]]="","",_xlfn.XLOOKUP(tblOrdenes[[#This Row],[id_operacion]],tblEjecucion[id_operacion],tblEjecucion[precio],0))</f>
        <v/>
      </c>
      <c r="AL462" s="18">
        <f>IF(tblOrdenes[[#This Row],[orden]]="","",MAX(0,_xlfn.XLOOKUP(tblOrdenes[[#This Row],[id_operacion]],tblEjecucion[id_operacion],tblEjecucion[costo_plan_total],0)-tblOrdenes[[#This Row],[costo_servicio]]))</f>
        <v/>
      </c>
      <c r="AM462" s="18">
        <f>IF(tblOrdenes[[#This Row],[orden]]="","",tblOrdenes[[#This Row],[costo_servicio]]+tblOrdenes[[#This Row],[costo_materiales]])</f>
        <v/>
      </c>
      <c r="AN4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2" s="4" t="n"/>
      <c r="AP462" s="4" t="n"/>
      <c r="AQ462" s="4" t="n"/>
      <c r="AR462" s="5">
        <f>IF(tblOrdenes[[#This Row],[link_checklist]]="","",HYPERLINK(p_ruta_base_checklists&amp;tblOrdenes[[#This Row],[link_checklist]],"abrir"))</f>
        <v/>
      </c>
      <c r="AS462" s="4" t="n"/>
      <c r="AT462" s="5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22" t="n"/>
      <c r="K463" s="5" t="n"/>
      <c r="L463" s="18" t="n"/>
      <c r="M4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5">
        <f>IF(tblOrdenes[[#This Row],[fecha_inicio]]="","",YEAR(tblOrdenes[[#This Row],[fecha_inicio]]))</f>
        <v/>
      </c>
      <c r="Q463" s="5">
        <f>IF(tblOrdenes[[#This Row],[fecha_inicio]]="","",MONTH(tblOrdenes[[#This Row],[fecha_inicio]]))</f>
        <v/>
      </c>
      <c r="R463" s="5">
        <f>IF(tblOrdenes[[#This Row],[fecha_inicio]]="","",tblOrdenes[[#This Row],[anio]]&amp;"-"&amp;TEXT(tblOrdenes[[#This Row],[mes]],"00"))</f>
        <v/>
      </c>
      <c r="S463" s="5">
        <f>IF(tblOrdenes[[#This Row],[fecha_inicio]]="","",INDEX(lista_dias,WEEKDAY(tblOrdenes[[#This Row],[fecha_inicio]],2)))</f>
        <v/>
      </c>
      <c r="T4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3" s="5">
        <f>IF(tblOrdenes[[#This Row],[tipo_ot]]="","",_xlfn.XLOOKUP(tblOrdenes[[#This Row],[tipo_ot]],tblTiposOT[codigo],tblTiposOT[clasificacion],"sin_clasificar"))</f>
        <v/>
      </c>
      <c r="V4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3" s="5">
        <f>IF(tblOrdenes[[#This Row],[centro_costo]]="","",_xlfn.XLOOKUP(tblOrdenes[[#This Row],[centro_costo]],tblCECO[codigo],tblCECO[linea],"(sin catálogo)"))</f>
        <v/>
      </c>
      <c r="X463" s="5">
        <f>IF(tblOrdenes[[#This Row],[centro_costo]]="","",_xlfn.XLOOKUP(tblOrdenes[[#This Row],[centro_costo]],tblCECO[codigo],tblCECO[area],"(sin catálogo)"))</f>
        <v/>
      </c>
      <c r="Y4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3" s="5">
        <f>IF(tblOrdenes[[#This Row],[centro_costo]]="","",_xlfn.XLOOKUP(tblOrdenes[[#This Row],[centro_costo]],tblCECO[codigo],tblCECO[coordinador],"(sin catálogo)"))</f>
        <v/>
      </c>
      <c r="AA463" s="5">
        <f>IF(tblOrdenes[[#This Row],[puesto_trabajo]]="","",_xlfn.XLOOKUP(tblOrdenes[[#This Row],[puesto_trabajo]],tblPuestos[codigo],tblPuestos[especialidad],"(sin catálogo)"))</f>
        <v/>
      </c>
      <c r="AB463" s="5">
        <f>IF(tblOrdenes[[#This Row],[cod_actividad]]="","",_xlfn.XLOOKUP(tblOrdenes[[#This Row],[cod_actividad]],tblActividades[codigo],tblActividades[descripcion],"(sin catálogo)"))</f>
        <v/>
      </c>
      <c r="AC463" s="20">
        <f>IF(tblOrdenes[[#This Row],[fecha_inicio]]="","",TODAY()-tblOrdenes[[#This Row],[fecha_inicio]])</f>
        <v/>
      </c>
      <c r="AD4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3" s="5">
        <f>IF(tblOrdenes[[#This Row],[backlog_habiles]]="","",IF(tblOrdenes[[#This Row],[backlog_habiles]]&lt;0,"FUTURO",IF(tblOrdenes[[#This Row],[backlog_habiles]]&gt;p_dias_backlog_max,"BACKLOG","MES CORRIENTE")))</f>
        <v/>
      </c>
      <c r="AF463" s="5">
        <f>IF(tblOrdenes[[#This Row],[backlog_habiles]]="",FALSE,AND(tblOrdenes[[#This Row],[backlog_habiles]]&gt;p_dias_backlog_min,tblOrdenes[[#This Row],[backlog_habiles]]&lt;=p_dias_backlog_max))</f>
        <v/>
      </c>
      <c r="AG463" s="4" t="n"/>
      <c r="AH4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3" s="18">
        <f>IF(tblOrdenes[[#This Row],[orden]]="","",_xlfn.XLOOKUP(tblOrdenes[[#This Row],[id_operacion]],tblEjecucion[id_operacion],tblEjecucion[precio],0))</f>
        <v/>
      </c>
      <c r="AL463" s="18">
        <f>IF(tblOrdenes[[#This Row],[orden]]="","",MAX(0,_xlfn.XLOOKUP(tblOrdenes[[#This Row],[id_operacion]],tblEjecucion[id_operacion],tblEjecucion[costo_plan_total],0)-tblOrdenes[[#This Row],[costo_servicio]]))</f>
        <v/>
      </c>
      <c r="AM463" s="18">
        <f>IF(tblOrdenes[[#This Row],[orden]]="","",tblOrdenes[[#This Row],[costo_servicio]]+tblOrdenes[[#This Row],[costo_materiales]])</f>
        <v/>
      </c>
      <c r="AN4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3" s="4" t="n"/>
      <c r="AP463" s="4" t="n"/>
      <c r="AQ463" s="4" t="n"/>
      <c r="AR463" s="5">
        <f>IF(tblOrdenes[[#This Row],[link_checklist]]="","",HYPERLINK(p_ruta_base_checklists&amp;tblOrdenes[[#This Row],[link_checklist]],"abrir"))</f>
        <v/>
      </c>
      <c r="AS463" s="4" t="n"/>
      <c r="AT463" s="5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22" t="n"/>
      <c r="K464" s="5" t="n"/>
      <c r="L464" s="18" t="n"/>
      <c r="M4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5">
        <f>IF(tblOrdenes[[#This Row],[fecha_inicio]]="","",YEAR(tblOrdenes[[#This Row],[fecha_inicio]]))</f>
        <v/>
      </c>
      <c r="Q464" s="5">
        <f>IF(tblOrdenes[[#This Row],[fecha_inicio]]="","",MONTH(tblOrdenes[[#This Row],[fecha_inicio]]))</f>
        <v/>
      </c>
      <c r="R464" s="5">
        <f>IF(tblOrdenes[[#This Row],[fecha_inicio]]="","",tblOrdenes[[#This Row],[anio]]&amp;"-"&amp;TEXT(tblOrdenes[[#This Row],[mes]],"00"))</f>
        <v/>
      </c>
      <c r="S464" s="5">
        <f>IF(tblOrdenes[[#This Row],[fecha_inicio]]="","",INDEX(lista_dias,WEEKDAY(tblOrdenes[[#This Row],[fecha_inicio]],2)))</f>
        <v/>
      </c>
      <c r="T4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4" s="5">
        <f>IF(tblOrdenes[[#This Row],[tipo_ot]]="","",_xlfn.XLOOKUP(tblOrdenes[[#This Row],[tipo_ot]],tblTiposOT[codigo],tblTiposOT[clasificacion],"sin_clasificar"))</f>
        <v/>
      </c>
      <c r="V4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4" s="5">
        <f>IF(tblOrdenes[[#This Row],[centro_costo]]="","",_xlfn.XLOOKUP(tblOrdenes[[#This Row],[centro_costo]],tblCECO[codigo],tblCECO[linea],"(sin catálogo)"))</f>
        <v/>
      </c>
      <c r="X464" s="5">
        <f>IF(tblOrdenes[[#This Row],[centro_costo]]="","",_xlfn.XLOOKUP(tblOrdenes[[#This Row],[centro_costo]],tblCECO[codigo],tblCECO[area],"(sin catálogo)"))</f>
        <v/>
      </c>
      <c r="Y4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4" s="5">
        <f>IF(tblOrdenes[[#This Row],[centro_costo]]="","",_xlfn.XLOOKUP(tblOrdenes[[#This Row],[centro_costo]],tblCECO[codigo],tblCECO[coordinador],"(sin catálogo)"))</f>
        <v/>
      </c>
      <c r="AA464" s="5">
        <f>IF(tblOrdenes[[#This Row],[puesto_trabajo]]="","",_xlfn.XLOOKUP(tblOrdenes[[#This Row],[puesto_trabajo]],tblPuestos[codigo],tblPuestos[especialidad],"(sin catálogo)"))</f>
        <v/>
      </c>
      <c r="AB464" s="5">
        <f>IF(tblOrdenes[[#This Row],[cod_actividad]]="","",_xlfn.XLOOKUP(tblOrdenes[[#This Row],[cod_actividad]],tblActividades[codigo],tblActividades[descripcion],"(sin catálogo)"))</f>
        <v/>
      </c>
      <c r="AC464" s="20">
        <f>IF(tblOrdenes[[#This Row],[fecha_inicio]]="","",TODAY()-tblOrdenes[[#This Row],[fecha_inicio]])</f>
        <v/>
      </c>
      <c r="AD4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4" s="5">
        <f>IF(tblOrdenes[[#This Row],[backlog_habiles]]="","",IF(tblOrdenes[[#This Row],[backlog_habiles]]&lt;0,"FUTURO",IF(tblOrdenes[[#This Row],[backlog_habiles]]&gt;p_dias_backlog_max,"BACKLOG","MES CORRIENTE")))</f>
        <v/>
      </c>
      <c r="AF464" s="5">
        <f>IF(tblOrdenes[[#This Row],[backlog_habiles]]="",FALSE,AND(tblOrdenes[[#This Row],[backlog_habiles]]&gt;p_dias_backlog_min,tblOrdenes[[#This Row],[backlog_habiles]]&lt;=p_dias_backlog_max))</f>
        <v/>
      </c>
      <c r="AG464" s="4" t="n"/>
      <c r="AH4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4" s="18">
        <f>IF(tblOrdenes[[#This Row],[orden]]="","",_xlfn.XLOOKUP(tblOrdenes[[#This Row],[id_operacion]],tblEjecucion[id_operacion],tblEjecucion[precio],0))</f>
        <v/>
      </c>
      <c r="AL464" s="18">
        <f>IF(tblOrdenes[[#This Row],[orden]]="","",MAX(0,_xlfn.XLOOKUP(tblOrdenes[[#This Row],[id_operacion]],tblEjecucion[id_operacion],tblEjecucion[costo_plan_total],0)-tblOrdenes[[#This Row],[costo_servicio]]))</f>
        <v/>
      </c>
      <c r="AM464" s="18">
        <f>IF(tblOrdenes[[#This Row],[orden]]="","",tblOrdenes[[#This Row],[costo_servicio]]+tblOrdenes[[#This Row],[costo_materiales]])</f>
        <v/>
      </c>
      <c r="AN4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4" s="4" t="n"/>
      <c r="AP464" s="4" t="n"/>
      <c r="AQ464" s="4" t="n"/>
      <c r="AR464" s="5">
        <f>IF(tblOrdenes[[#This Row],[link_checklist]]="","",HYPERLINK(p_ruta_base_checklists&amp;tblOrdenes[[#This Row],[link_checklist]],"abrir"))</f>
        <v/>
      </c>
      <c r="AS464" s="4" t="n"/>
      <c r="AT464" s="5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22" t="n"/>
      <c r="K465" s="5" t="n"/>
      <c r="L465" s="18" t="n"/>
      <c r="M4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5">
        <f>IF(tblOrdenes[[#This Row],[fecha_inicio]]="","",YEAR(tblOrdenes[[#This Row],[fecha_inicio]]))</f>
        <v/>
      </c>
      <c r="Q465" s="5">
        <f>IF(tblOrdenes[[#This Row],[fecha_inicio]]="","",MONTH(tblOrdenes[[#This Row],[fecha_inicio]]))</f>
        <v/>
      </c>
      <c r="R465" s="5">
        <f>IF(tblOrdenes[[#This Row],[fecha_inicio]]="","",tblOrdenes[[#This Row],[anio]]&amp;"-"&amp;TEXT(tblOrdenes[[#This Row],[mes]],"00"))</f>
        <v/>
      </c>
      <c r="S465" s="5">
        <f>IF(tblOrdenes[[#This Row],[fecha_inicio]]="","",INDEX(lista_dias,WEEKDAY(tblOrdenes[[#This Row],[fecha_inicio]],2)))</f>
        <v/>
      </c>
      <c r="T4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5" s="5">
        <f>IF(tblOrdenes[[#This Row],[tipo_ot]]="","",_xlfn.XLOOKUP(tblOrdenes[[#This Row],[tipo_ot]],tblTiposOT[codigo],tblTiposOT[clasificacion],"sin_clasificar"))</f>
        <v/>
      </c>
      <c r="V4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5" s="5">
        <f>IF(tblOrdenes[[#This Row],[centro_costo]]="","",_xlfn.XLOOKUP(tblOrdenes[[#This Row],[centro_costo]],tblCECO[codigo],tblCECO[linea],"(sin catálogo)"))</f>
        <v/>
      </c>
      <c r="X465" s="5">
        <f>IF(tblOrdenes[[#This Row],[centro_costo]]="","",_xlfn.XLOOKUP(tblOrdenes[[#This Row],[centro_costo]],tblCECO[codigo],tblCECO[area],"(sin catálogo)"))</f>
        <v/>
      </c>
      <c r="Y4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5" s="5">
        <f>IF(tblOrdenes[[#This Row],[centro_costo]]="","",_xlfn.XLOOKUP(tblOrdenes[[#This Row],[centro_costo]],tblCECO[codigo],tblCECO[coordinador],"(sin catálogo)"))</f>
        <v/>
      </c>
      <c r="AA465" s="5">
        <f>IF(tblOrdenes[[#This Row],[puesto_trabajo]]="","",_xlfn.XLOOKUP(tblOrdenes[[#This Row],[puesto_trabajo]],tblPuestos[codigo],tblPuestos[especialidad],"(sin catálogo)"))</f>
        <v/>
      </c>
      <c r="AB465" s="5">
        <f>IF(tblOrdenes[[#This Row],[cod_actividad]]="","",_xlfn.XLOOKUP(tblOrdenes[[#This Row],[cod_actividad]],tblActividades[codigo],tblActividades[descripcion],"(sin catálogo)"))</f>
        <v/>
      </c>
      <c r="AC465" s="20">
        <f>IF(tblOrdenes[[#This Row],[fecha_inicio]]="","",TODAY()-tblOrdenes[[#This Row],[fecha_inicio]])</f>
        <v/>
      </c>
      <c r="AD4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5" s="5">
        <f>IF(tblOrdenes[[#This Row],[backlog_habiles]]="","",IF(tblOrdenes[[#This Row],[backlog_habiles]]&lt;0,"FUTURO",IF(tblOrdenes[[#This Row],[backlog_habiles]]&gt;p_dias_backlog_max,"BACKLOG","MES CORRIENTE")))</f>
        <v/>
      </c>
      <c r="AF465" s="5">
        <f>IF(tblOrdenes[[#This Row],[backlog_habiles]]="",FALSE,AND(tblOrdenes[[#This Row],[backlog_habiles]]&gt;p_dias_backlog_min,tblOrdenes[[#This Row],[backlog_habiles]]&lt;=p_dias_backlog_max))</f>
        <v/>
      </c>
      <c r="AG465" s="4" t="n"/>
      <c r="AH4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5" s="18">
        <f>IF(tblOrdenes[[#This Row],[orden]]="","",_xlfn.XLOOKUP(tblOrdenes[[#This Row],[id_operacion]],tblEjecucion[id_operacion],tblEjecucion[precio],0))</f>
        <v/>
      </c>
      <c r="AL465" s="18">
        <f>IF(tblOrdenes[[#This Row],[orden]]="","",MAX(0,_xlfn.XLOOKUP(tblOrdenes[[#This Row],[id_operacion]],tblEjecucion[id_operacion],tblEjecucion[costo_plan_total],0)-tblOrdenes[[#This Row],[costo_servicio]]))</f>
        <v/>
      </c>
      <c r="AM465" s="18">
        <f>IF(tblOrdenes[[#This Row],[orden]]="","",tblOrdenes[[#This Row],[costo_servicio]]+tblOrdenes[[#This Row],[costo_materiales]])</f>
        <v/>
      </c>
      <c r="AN4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5" s="4" t="n"/>
      <c r="AP465" s="4" t="n"/>
      <c r="AQ465" s="4" t="n"/>
      <c r="AR465" s="5">
        <f>IF(tblOrdenes[[#This Row],[link_checklist]]="","",HYPERLINK(p_ruta_base_checklists&amp;tblOrdenes[[#This Row],[link_checklist]],"abrir"))</f>
        <v/>
      </c>
      <c r="AS465" s="4" t="n"/>
      <c r="AT465" s="5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22" t="n"/>
      <c r="K466" s="5" t="n"/>
      <c r="L466" s="18" t="n"/>
      <c r="M4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5">
        <f>IF(tblOrdenes[[#This Row],[fecha_inicio]]="","",YEAR(tblOrdenes[[#This Row],[fecha_inicio]]))</f>
        <v/>
      </c>
      <c r="Q466" s="5">
        <f>IF(tblOrdenes[[#This Row],[fecha_inicio]]="","",MONTH(tblOrdenes[[#This Row],[fecha_inicio]]))</f>
        <v/>
      </c>
      <c r="R466" s="5">
        <f>IF(tblOrdenes[[#This Row],[fecha_inicio]]="","",tblOrdenes[[#This Row],[anio]]&amp;"-"&amp;TEXT(tblOrdenes[[#This Row],[mes]],"00"))</f>
        <v/>
      </c>
      <c r="S466" s="5">
        <f>IF(tblOrdenes[[#This Row],[fecha_inicio]]="","",INDEX(lista_dias,WEEKDAY(tblOrdenes[[#This Row],[fecha_inicio]],2)))</f>
        <v/>
      </c>
      <c r="T4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6" s="5">
        <f>IF(tblOrdenes[[#This Row],[tipo_ot]]="","",_xlfn.XLOOKUP(tblOrdenes[[#This Row],[tipo_ot]],tblTiposOT[codigo],tblTiposOT[clasificacion],"sin_clasificar"))</f>
        <v/>
      </c>
      <c r="V4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6" s="5">
        <f>IF(tblOrdenes[[#This Row],[centro_costo]]="","",_xlfn.XLOOKUP(tblOrdenes[[#This Row],[centro_costo]],tblCECO[codigo],tblCECO[linea],"(sin catálogo)"))</f>
        <v/>
      </c>
      <c r="X466" s="5">
        <f>IF(tblOrdenes[[#This Row],[centro_costo]]="","",_xlfn.XLOOKUP(tblOrdenes[[#This Row],[centro_costo]],tblCECO[codigo],tblCECO[area],"(sin catálogo)"))</f>
        <v/>
      </c>
      <c r="Y4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6" s="5">
        <f>IF(tblOrdenes[[#This Row],[centro_costo]]="","",_xlfn.XLOOKUP(tblOrdenes[[#This Row],[centro_costo]],tblCECO[codigo],tblCECO[coordinador],"(sin catálogo)"))</f>
        <v/>
      </c>
      <c r="AA466" s="5">
        <f>IF(tblOrdenes[[#This Row],[puesto_trabajo]]="","",_xlfn.XLOOKUP(tblOrdenes[[#This Row],[puesto_trabajo]],tblPuestos[codigo],tblPuestos[especialidad],"(sin catálogo)"))</f>
        <v/>
      </c>
      <c r="AB466" s="5">
        <f>IF(tblOrdenes[[#This Row],[cod_actividad]]="","",_xlfn.XLOOKUP(tblOrdenes[[#This Row],[cod_actividad]],tblActividades[codigo],tblActividades[descripcion],"(sin catálogo)"))</f>
        <v/>
      </c>
      <c r="AC466" s="20">
        <f>IF(tblOrdenes[[#This Row],[fecha_inicio]]="","",TODAY()-tblOrdenes[[#This Row],[fecha_inicio]])</f>
        <v/>
      </c>
      <c r="AD4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6" s="5">
        <f>IF(tblOrdenes[[#This Row],[backlog_habiles]]="","",IF(tblOrdenes[[#This Row],[backlog_habiles]]&lt;0,"FUTURO",IF(tblOrdenes[[#This Row],[backlog_habiles]]&gt;p_dias_backlog_max,"BACKLOG","MES CORRIENTE")))</f>
        <v/>
      </c>
      <c r="AF466" s="5">
        <f>IF(tblOrdenes[[#This Row],[backlog_habiles]]="",FALSE,AND(tblOrdenes[[#This Row],[backlog_habiles]]&gt;p_dias_backlog_min,tblOrdenes[[#This Row],[backlog_habiles]]&lt;=p_dias_backlog_max))</f>
        <v/>
      </c>
      <c r="AG466" s="4" t="n"/>
      <c r="AH4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6" s="18">
        <f>IF(tblOrdenes[[#This Row],[orden]]="","",_xlfn.XLOOKUP(tblOrdenes[[#This Row],[id_operacion]],tblEjecucion[id_operacion],tblEjecucion[precio],0))</f>
        <v/>
      </c>
      <c r="AL466" s="18">
        <f>IF(tblOrdenes[[#This Row],[orden]]="","",MAX(0,_xlfn.XLOOKUP(tblOrdenes[[#This Row],[id_operacion]],tblEjecucion[id_operacion],tblEjecucion[costo_plan_total],0)-tblOrdenes[[#This Row],[costo_servicio]]))</f>
        <v/>
      </c>
      <c r="AM466" s="18">
        <f>IF(tblOrdenes[[#This Row],[orden]]="","",tblOrdenes[[#This Row],[costo_servicio]]+tblOrdenes[[#This Row],[costo_materiales]])</f>
        <v/>
      </c>
      <c r="AN4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6" s="4" t="n"/>
      <c r="AP466" s="4" t="n"/>
      <c r="AQ466" s="4" t="n"/>
      <c r="AR466" s="5">
        <f>IF(tblOrdenes[[#This Row],[link_checklist]]="","",HYPERLINK(p_ruta_base_checklists&amp;tblOrdenes[[#This Row],[link_checklist]],"abrir"))</f>
        <v/>
      </c>
      <c r="AS466" s="4" t="n"/>
      <c r="AT466" s="5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22" t="n"/>
      <c r="K467" s="5" t="n"/>
      <c r="L467" s="18" t="n"/>
      <c r="M4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5">
        <f>IF(tblOrdenes[[#This Row],[fecha_inicio]]="","",YEAR(tblOrdenes[[#This Row],[fecha_inicio]]))</f>
        <v/>
      </c>
      <c r="Q467" s="5">
        <f>IF(tblOrdenes[[#This Row],[fecha_inicio]]="","",MONTH(tblOrdenes[[#This Row],[fecha_inicio]]))</f>
        <v/>
      </c>
      <c r="R467" s="5">
        <f>IF(tblOrdenes[[#This Row],[fecha_inicio]]="","",tblOrdenes[[#This Row],[anio]]&amp;"-"&amp;TEXT(tblOrdenes[[#This Row],[mes]],"00"))</f>
        <v/>
      </c>
      <c r="S467" s="5">
        <f>IF(tblOrdenes[[#This Row],[fecha_inicio]]="","",INDEX(lista_dias,WEEKDAY(tblOrdenes[[#This Row],[fecha_inicio]],2)))</f>
        <v/>
      </c>
      <c r="T4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7" s="5">
        <f>IF(tblOrdenes[[#This Row],[tipo_ot]]="","",_xlfn.XLOOKUP(tblOrdenes[[#This Row],[tipo_ot]],tblTiposOT[codigo],tblTiposOT[clasificacion],"sin_clasificar"))</f>
        <v/>
      </c>
      <c r="V4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7" s="5">
        <f>IF(tblOrdenes[[#This Row],[centro_costo]]="","",_xlfn.XLOOKUP(tblOrdenes[[#This Row],[centro_costo]],tblCECO[codigo],tblCECO[linea],"(sin catálogo)"))</f>
        <v/>
      </c>
      <c r="X467" s="5">
        <f>IF(tblOrdenes[[#This Row],[centro_costo]]="","",_xlfn.XLOOKUP(tblOrdenes[[#This Row],[centro_costo]],tblCECO[codigo],tblCECO[area],"(sin catálogo)"))</f>
        <v/>
      </c>
      <c r="Y4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7" s="5">
        <f>IF(tblOrdenes[[#This Row],[centro_costo]]="","",_xlfn.XLOOKUP(tblOrdenes[[#This Row],[centro_costo]],tblCECO[codigo],tblCECO[coordinador],"(sin catálogo)"))</f>
        <v/>
      </c>
      <c r="AA467" s="5">
        <f>IF(tblOrdenes[[#This Row],[puesto_trabajo]]="","",_xlfn.XLOOKUP(tblOrdenes[[#This Row],[puesto_trabajo]],tblPuestos[codigo],tblPuestos[especialidad],"(sin catálogo)"))</f>
        <v/>
      </c>
      <c r="AB467" s="5">
        <f>IF(tblOrdenes[[#This Row],[cod_actividad]]="","",_xlfn.XLOOKUP(tblOrdenes[[#This Row],[cod_actividad]],tblActividades[codigo],tblActividades[descripcion],"(sin catálogo)"))</f>
        <v/>
      </c>
      <c r="AC467" s="20">
        <f>IF(tblOrdenes[[#This Row],[fecha_inicio]]="","",TODAY()-tblOrdenes[[#This Row],[fecha_inicio]])</f>
        <v/>
      </c>
      <c r="AD4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7" s="5">
        <f>IF(tblOrdenes[[#This Row],[backlog_habiles]]="","",IF(tblOrdenes[[#This Row],[backlog_habiles]]&lt;0,"FUTURO",IF(tblOrdenes[[#This Row],[backlog_habiles]]&gt;p_dias_backlog_max,"BACKLOG","MES CORRIENTE")))</f>
        <v/>
      </c>
      <c r="AF467" s="5">
        <f>IF(tblOrdenes[[#This Row],[backlog_habiles]]="",FALSE,AND(tblOrdenes[[#This Row],[backlog_habiles]]&gt;p_dias_backlog_min,tblOrdenes[[#This Row],[backlog_habiles]]&lt;=p_dias_backlog_max))</f>
        <v/>
      </c>
      <c r="AG467" s="4" t="n"/>
      <c r="AH4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7" s="18">
        <f>IF(tblOrdenes[[#This Row],[orden]]="","",_xlfn.XLOOKUP(tblOrdenes[[#This Row],[id_operacion]],tblEjecucion[id_operacion],tblEjecucion[precio],0))</f>
        <v/>
      </c>
      <c r="AL467" s="18">
        <f>IF(tblOrdenes[[#This Row],[orden]]="","",MAX(0,_xlfn.XLOOKUP(tblOrdenes[[#This Row],[id_operacion]],tblEjecucion[id_operacion],tblEjecucion[costo_plan_total],0)-tblOrdenes[[#This Row],[costo_servicio]]))</f>
        <v/>
      </c>
      <c r="AM467" s="18">
        <f>IF(tblOrdenes[[#This Row],[orden]]="","",tblOrdenes[[#This Row],[costo_servicio]]+tblOrdenes[[#This Row],[costo_materiales]])</f>
        <v/>
      </c>
      <c r="AN4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7" s="4" t="n"/>
      <c r="AP467" s="4" t="n"/>
      <c r="AQ467" s="4" t="n"/>
      <c r="AR467" s="5">
        <f>IF(tblOrdenes[[#This Row],[link_checklist]]="","",HYPERLINK(p_ruta_base_checklists&amp;tblOrdenes[[#This Row],[link_checklist]],"abrir"))</f>
        <v/>
      </c>
      <c r="AS467" s="4" t="n"/>
      <c r="AT467" s="5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22" t="n"/>
      <c r="K468" s="5" t="n"/>
      <c r="L468" s="18" t="n"/>
      <c r="M4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5">
        <f>IF(tblOrdenes[[#This Row],[fecha_inicio]]="","",YEAR(tblOrdenes[[#This Row],[fecha_inicio]]))</f>
        <v/>
      </c>
      <c r="Q468" s="5">
        <f>IF(tblOrdenes[[#This Row],[fecha_inicio]]="","",MONTH(tblOrdenes[[#This Row],[fecha_inicio]]))</f>
        <v/>
      </c>
      <c r="R468" s="5">
        <f>IF(tblOrdenes[[#This Row],[fecha_inicio]]="","",tblOrdenes[[#This Row],[anio]]&amp;"-"&amp;TEXT(tblOrdenes[[#This Row],[mes]],"00"))</f>
        <v/>
      </c>
      <c r="S468" s="5">
        <f>IF(tblOrdenes[[#This Row],[fecha_inicio]]="","",INDEX(lista_dias,WEEKDAY(tblOrdenes[[#This Row],[fecha_inicio]],2)))</f>
        <v/>
      </c>
      <c r="T4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8" s="5">
        <f>IF(tblOrdenes[[#This Row],[tipo_ot]]="","",_xlfn.XLOOKUP(tblOrdenes[[#This Row],[tipo_ot]],tblTiposOT[codigo],tblTiposOT[clasificacion],"sin_clasificar"))</f>
        <v/>
      </c>
      <c r="V4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8" s="5">
        <f>IF(tblOrdenes[[#This Row],[centro_costo]]="","",_xlfn.XLOOKUP(tblOrdenes[[#This Row],[centro_costo]],tblCECO[codigo],tblCECO[linea],"(sin catálogo)"))</f>
        <v/>
      </c>
      <c r="X468" s="5">
        <f>IF(tblOrdenes[[#This Row],[centro_costo]]="","",_xlfn.XLOOKUP(tblOrdenes[[#This Row],[centro_costo]],tblCECO[codigo],tblCECO[area],"(sin catálogo)"))</f>
        <v/>
      </c>
      <c r="Y4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8" s="5">
        <f>IF(tblOrdenes[[#This Row],[centro_costo]]="","",_xlfn.XLOOKUP(tblOrdenes[[#This Row],[centro_costo]],tblCECO[codigo],tblCECO[coordinador],"(sin catálogo)"))</f>
        <v/>
      </c>
      <c r="AA468" s="5">
        <f>IF(tblOrdenes[[#This Row],[puesto_trabajo]]="","",_xlfn.XLOOKUP(tblOrdenes[[#This Row],[puesto_trabajo]],tblPuestos[codigo],tblPuestos[especialidad],"(sin catálogo)"))</f>
        <v/>
      </c>
      <c r="AB468" s="5">
        <f>IF(tblOrdenes[[#This Row],[cod_actividad]]="","",_xlfn.XLOOKUP(tblOrdenes[[#This Row],[cod_actividad]],tblActividades[codigo],tblActividades[descripcion],"(sin catálogo)"))</f>
        <v/>
      </c>
      <c r="AC468" s="20">
        <f>IF(tblOrdenes[[#This Row],[fecha_inicio]]="","",TODAY()-tblOrdenes[[#This Row],[fecha_inicio]])</f>
        <v/>
      </c>
      <c r="AD4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8" s="5">
        <f>IF(tblOrdenes[[#This Row],[backlog_habiles]]="","",IF(tblOrdenes[[#This Row],[backlog_habiles]]&lt;0,"FUTURO",IF(tblOrdenes[[#This Row],[backlog_habiles]]&gt;p_dias_backlog_max,"BACKLOG","MES CORRIENTE")))</f>
        <v/>
      </c>
      <c r="AF468" s="5">
        <f>IF(tblOrdenes[[#This Row],[backlog_habiles]]="",FALSE,AND(tblOrdenes[[#This Row],[backlog_habiles]]&gt;p_dias_backlog_min,tblOrdenes[[#This Row],[backlog_habiles]]&lt;=p_dias_backlog_max))</f>
        <v/>
      </c>
      <c r="AG468" s="4" t="n"/>
      <c r="AH4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8" s="18">
        <f>IF(tblOrdenes[[#This Row],[orden]]="","",_xlfn.XLOOKUP(tblOrdenes[[#This Row],[id_operacion]],tblEjecucion[id_operacion],tblEjecucion[precio],0))</f>
        <v/>
      </c>
      <c r="AL468" s="18">
        <f>IF(tblOrdenes[[#This Row],[orden]]="","",MAX(0,_xlfn.XLOOKUP(tblOrdenes[[#This Row],[id_operacion]],tblEjecucion[id_operacion],tblEjecucion[costo_plan_total],0)-tblOrdenes[[#This Row],[costo_servicio]]))</f>
        <v/>
      </c>
      <c r="AM468" s="18">
        <f>IF(tblOrdenes[[#This Row],[orden]]="","",tblOrdenes[[#This Row],[costo_servicio]]+tblOrdenes[[#This Row],[costo_materiales]])</f>
        <v/>
      </c>
      <c r="AN4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8" s="4" t="n"/>
      <c r="AP468" s="4" t="n"/>
      <c r="AQ468" s="4" t="n"/>
      <c r="AR468" s="5">
        <f>IF(tblOrdenes[[#This Row],[link_checklist]]="","",HYPERLINK(p_ruta_base_checklists&amp;tblOrdenes[[#This Row],[link_checklist]],"abrir"))</f>
        <v/>
      </c>
      <c r="AS468" s="4" t="n"/>
      <c r="AT468" s="5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22" t="n"/>
      <c r="K469" s="5" t="n"/>
      <c r="L469" s="18" t="n"/>
      <c r="M4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5">
        <f>IF(tblOrdenes[[#This Row],[fecha_inicio]]="","",YEAR(tblOrdenes[[#This Row],[fecha_inicio]]))</f>
        <v/>
      </c>
      <c r="Q469" s="5">
        <f>IF(tblOrdenes[[#This Row],[fecha_inicio]]="","",MONTH(tblOrdenes[[#This Row],[fecha_inicio]]))</f>
        <v/>
      </c>
      <c r="R469" s="5">
        <f>IF(tblOrdenes[[#This Row],[fecha_inicio]]="","",tblOrdenes[[#This Row],[anio]]&amp;"-"&amp;TEXT(tblOrdenes[[#This Row],[mes]],"00"))</f>
        <v/>
      </c>
      <c r="S469" s="5">
        <f>IF(tblOrdenes[[#This Row],[fecha_inicio]]="","",INDEX(lista_dias,WEEKDAY(tblOrdenes[[#This Row],[fecha_inicio]],2)))</f>
        <v/>
      </c>
      <c r="T4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9" s="5">
        <f>IF(tblOrdenes[[#This Row],[tipo_ot]]="","",_xlfn.XLOOKUP(tblOrdenes[[#This Row],[tipo_ot]],tblTiposOT[codigo],tblTiposOT[clasificacion],"sin_clasificar"))</f>
        <v/>
      </c>
      <c r="V4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9" s="5">
        <f>IF(tblOrdenes[[#This Row],[centro_costo]]="","",_xlfn.XLOOKUP(tblOrdenes[[#This Row],[centro_costo]],tblCECO[codigo],tblCECO[linea],"(sin catálogo)"))</f>
        <v/>
      </c>
      <c r="X469" s="5">
        <f>IF(tblOrdenes[[#This Row],[centro_costo]]="","",_xlfn.XLOOKUP(tblOrdenes[[#This Row],[centro_costo]],tblCECO[codigo],tblCECO[area],"(sin catálogo)"))</f>
        <v/>
      </c>
      <c r="Y4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69" s="5">
        <f>IF(tblOrdenes[[#This Row],[centro_costo]]="","",_xlfn.XLOOKUP(tblOrdenes[[#This Row],[centro_costo]],tblCECO[codigo],tblCECO[coordinador],"(sin catálogo)"))</f>
        <v/>
      </c>
      <c r="AA469" s="5">
        <f>IF(tblOrdenes[[#This Row],[puesto_trabajo]]="","",_xlfn.XLOOKUP(tblOrdenes[[#This Row],[puesto_trabajo]],tblPuestos[codigo],tblPuestos[especialidad],"(sin catálogo)"))</f>
        <v/>
      </c>
      <c r="AB469" s="5">
        <f>IF(tblOrdenes[[#This Row],[cod_actividad]]="","",_xlfn.XLOOKUP(tblOrdenes[[#This Row],[cod_actividad]],tblActividades[codigo],tblActividades[descripcion],"(sin catálogo)"))</f>
        <v/>
      </c>
      <c r="AC469" s="20">
        <f>IF(tblOrdenes[[#This Row],[fecha_inicio]]="","",TODAY()-tblOrdenes[[#This Row],[fecha_inicio]])</f>
        <v/>
      </c>
      <c r="AD4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69" s="5">
        <f>IF(tblOrdenes[[#This Row],[backlog_habiles]]="","",IF(tblOrdenes[[#This Row],[backlog_habiles]]&lt;0,"FUTURO",IF(tblOrdenes[[#This Row],[backlog_habiles]]&gt;p_dias_backlog_max,"BACKLOG","MES CORRIENTE")))</f>
        <v/>
      </c>
      <c r="AF469" s="5">
        <f>IF(tblOrdenes[[#This Row],[backlog_habiles]]="",FALSE,AND(tblOrdenes[[#This Row],[backlog_habiles]]&gt;p_dias_backlog_min,tblOrdenes[[#This Row],[backlog_habiles]]&lt;=p_dias_backlog_max))</f>
        <v/>
      </c>
      <c r="AG469" s="4" t="n"/>
      <c r="AH4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69" s="18">
        <f>IF(tblOrdenes[[#This Row],[orden]]="","",_xlfn.XLOOKUP(tblOrdenes[[#This Row],[id_operacion]],tblEjecucion[id_operacion],tblEjecucion[precio],0))</f>
        <v/>
      </c>
      <c r="AL469" s="18">
        <f>IF(tblOrdenes[[#This Row],[orden]]="","",MAX(0,_xlfn.XLOOKUP(tblOrdenes[[#This Row],[id_operacion]],tblEjecucion[id_operacion],tblEjecucion[costo_plan_total],0)-tblOrdenes[[#This Row],[costo_servicio]]))</f>
        <v/>
      </c>
      <c r="AM469" s="18">
        <f>IF(tblOrdenes[[#This Row],[orden]]="","",tblOrdenes[[#This Row],[costo_servicio]]+tblOrdenes[[#This Row],[costo_materiales]])</f>
        <v/>
      </c>
      <c r="AN4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69" s="4" t="n"/>
      <c r="AP469" s="4" t="n"/>
      <c r="AQ469" s="4" t="n"/>
      <c r="AR469" s="5">
        <f>IF(tblOrdenes[[#This Row],[link_checklist]]="","",HYPERLINK(p_ruta_base_checklists&amp;tblOrdenes[[#This Row],[link_checklist]],"abrir"))</f>
        <v/>
      </c>
      <c r="AS469" s="4" t="n"/>
      <c r="AT469" s="5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22" t="n"/>
      <c r="K470" s="5" t="n"/>
      <c r="L470" s="18" t="n"/>
      <c r="M4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5">
        <f>IF(tblOrdenes[[#This Row],[fecha_inicio]]="","",YEAR(tblOrdenes[[#This Row],[fecha_inicio]]))</f>
        <v/>
      </c>
      <c r="Q470" s="5">
        <f>IF(tblOrdenes[[#This Row],[fecha_inicio]]="","",MONTH(tblOrdenes[[#This Row],[fecha_inicio]]))</f>
        <v/>
      </c>
      <c r="R470" s="5">
        <f>IF(tblOrdenes[[#This Row],[fecha_inicio]]="","",tblOrdenes[[#This Row],[anio]]&amp;"-"&amp;TEXT(tblOrdenes[[#This Row],[mes]],"00"))</f>
        <v/>
      </c>
      <c r="S470" s="5">
        <f>IF(tblOrdenes[[#This Row],[fecha_inicio]]="","",INDEX(lista_dias,WEEKDAY(tblOrdenes[[#This Row],[fecha_inicio]],2)))</f>
        <v/>
      </c>
      <c r="T4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0" s="5">
        <f>IF(tblOrdenes[[#This Row],[tipo_ot]]="","",_xlfn.XLOOKUP(tblOrdenes[[#This Row],[tipo_ot]],tblTiposOT[codigo],tblTiposOT[clasificacion],"sin_clasificar"))</f>
        <v/>
      </c>
      <c r="V4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0" s="5">
        <f>IF(tblOrdenes[[#This Row],[centro_costo]]="","",_xlfn.XLOOKUP(tblOrdenes[[#This Row],[centro_costo]],tblCECO[codigo],tblCECO[linea],"(sin catálogo)"))</f>
        <v/>
      </c>
      <c r="X470" s="5">
        <f>IF(tblOrdenes[[#This Row],[centro_costo]]="","",_xlfn.XLOOKUP(tblOrdenes[[#This Row],[centro_costo]],tblCECO[codigo],tblCECO[area],"(sin catálogo)"))</f>
        <v/>
      </c>
      <c r="Y4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0" s="5">
        <f>IF(tblOrdenes[[#This Row],[centro_costo]]="","",_xlfn.XLOOKUP(tblOrdenes[[#This Row],[centro_costo]],tblCECO[codigo],tblCECO[coordinador],"(sin catálogo)"))</f>
        <v/>
      </c>
      <c r="AA470" s="5">
        <f>IF(tblOrdenes[[#This Row],[puesto_trabajo]]="","",_xlfn.XLOOKUP(tblOrdenes[[#This Row],[puesto_trabajo]],tblPuestos[codigo],tblPuestos[especialidad],"(sin catálogo)"))</f>
        <v/>
      </c>
      <c r="AB470" s="5">
        <f>IF(tblOrdenes[[#This Row],[cod_actividad]]="","",_xlfn.XLOOKUP(tblOrdenes[[#This Row],[cod_actividad]],tblActividades[codigo],tblActividades[descripcion],"(sin catálogo)"))</f>
        <v/>
      </c>
      <c r="AC470" s="20">
        <f>IF(tblOrdenes[[#This Row],[fecha_inicio]]="","",TODAY()-tblOrdenes[[#This Row],[fecha_inicio]])</f>
        <v/>
      </c>
      <c r="AD4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0" s="5">
        <f>IF(tblOrdenes[[#This Row],[backlog_habiles]]="","",IF(tblOrdenes[[#This Row],[backlog_habiles]]&lt;0,"FUTURO",IF(tblOrdenes[[#This Row],[backlog_habiles]]&gt;p_dias_backlog_max,"BACKLOG","MES CORRIENTE")))</f>
        <v/>
      </c>
      <c r="AF470" s="5">
        <f>IF(tblOrdenes[[#This Row],[backlog_habiles]]="",FALSE,AND(tblOrdenes[[#This Row],[backlog_habiles]]&gt;p_dias_backlog_min,tblOrdenes[[#This Row],[backlog_habiles]]&lt;=p_dias_backlog_max))</f>
        <v/>
      </c>
      <c r="AG470" s="4" t="n"/>
      <c r="AH4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0" s="18">
        <f>IF(tblOrdenes[[#This Row],[orden]]="","",_xlfn.XLOOKUP(tblOrdenes[[#This Row],[id_operacion]],tblEjecucion[id_operacion],tblEjecucion[precio],0))</f>
        <v/>
      </c>
      <c r="AL470" s="18">
        <f>IF(tblOrdenes[[#This Row],[orden]]="","",MAX(0,_xlfn.XLOOKUP(tblOrdenes[[#This Row],[id_operacion]],tblEjecucion[id_operacion],tblEjecucion[costo_plan_total],0)-tblOrdenes[[#This Row],[costo_servicio]]))</f>
        <v/>
      </c>
      <c r="AM470" s="18">
        <f>IF(tblOrdenes[[#This Row],[orden]]="","",tblOrdenes[[#This Row],[costo_servicio]]+tblOrdenes[[#This Row],[costo_materiales]])</f>
        <v/>
      </c>
      <c r="AN4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0" s="4" t="n"/>
      <c r="AP470" s="4" t="n"/>
      <c r="AQ470" s="4" t="n"/>
      <c r="AR470" s="5">
        <f>IF(tblOrdenes[[#This Row],[link_checklist]]="","",HYPERLINK(p_ruta_base_checklists&amp;tblOrdenes[[#This Row],[link_checklist]],"abrir"))</f>
        <v/>
      </c>
      <c r="AS470" s="4" t="n"/>
      <c r="AT470" s="5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22" t="n"/>
      <c r="K471" s="5" t="n"/>
      <c r="L471" s="18" t="n"/>
      <c r="M4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5">
        <f>IF(tblOrdenes[[#This Row],[fecha_inicio]]="","",YEAR(tblOrdenes[[#This Row],[fecha_inicio]]))</f>
        <v/>
      </c>
      <c r="Q471" s="5">
        <f>IF(tblOrdenes[[#This Row],[fecha_inicio]]="","",MONTH(tblOrdenes[[#This Row],[fecha_inicio]]))</f>
        <v/>
      </c>
      <c r="R471" s="5">
        <f>IF(tblOrdenes[[#This Row],[fecha_inicio]]="","",tblOrdenes[[#This Row],[anio]]&amp;"-"&amp;TEXT(tblOrdenes[[#This Row],[mes]],"00"))</f>
        <v/>
      </c>
      <c r="S471" s="5">
        <f>IF(tblOrdenes[[#This Row],[fecha_inicio]]="","",INDEX(lista_dias,WEEKDAY(tblOrdenes[[#This Row],[fecha_inicio]],2)))</f>
        <v/>
      </c>
      <c r="T4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1" s="5">
        <f>IF(tblOrdenes[[#This Row],[tipo_ot]]="","",_xlfn.XLOOKUP(tblOrdenes[[#This Row],[tipo_ot]],tblTiposOT[codigo],tblTiposOT[clasificacion],"sin_clasificar"))</f>
        <v/>
      </c>
      <c r="V4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1" s="5">
        <f>IF(tblOrdenes[[#This Row],[centro_costo]]="","",_xlfn.XLOOKUP(tblOrdenes[[#This Row],[centro_costo]],tblCECO[codigo],tblCECO[linea],"(sin catálogo)"))</f>
        <v/>
      </c>
      <c r="X471" s="5">
        <f>IF(tblOrdenes[[#This Row],[centro_costo]]="","",_xlfn.XLOOKUP(tblOrdenes[[#This Row],[centro_costo]],tblCECO[codigo],tblCECO[area],"(sin catálogo)"))</f>
        <v/>
      </c>
      <c r="Y4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1" s="5">
        <f>IF(tblOrdenes[[#This Row],[centro_costo]]="","",_xlfn.XLOOKUP(tblOrdenes[[#This Row],[centro_costo]],tblCECO[codigo],tblCECO[coordinador],"(sin catálogo)"))</f>
        <v/>
      </c>
      <c r="AA471" s="5">
        <f>IF(tblOrdenes[[#This Row],[puesto_trabajo]]="","",_xlfn.XLOOKUP(tblOrdenes[[#This Row],[puesto_trabajo]],tblPuestos[codigo],tblPuestos[especialidad],"(sin catálogo)"))</f>
        <v/>
      </c>
      <c r="AB471" s="5">
        <f>IF(tblOrdenes[[#This Row],[cod_actividad]]="","",_xlfn.XLOOKUP(tblOrdenes[[#This Row],[cod_actividad]],tblActividades[codigo],tblActividades[descripcion],"(sin catálogo)"))</f>
        <v/>
      </c>
      <c r="AC471" s="20">
        <f>IF(tblOrdenes[[#This Row],[fecha_inicio]]="","",TODAY()-tblOrdenes[[#This Row],[fecha_inicio]])</f>
        <v/>
      </c>
      <c r="AD4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1" s="5">
        <f>IF(tblOrdenes[[#This Row],[backlog_habiles]]="","",IF(tblOrdenes[[#This Row],[backlog_habiles]]&lt;0,"FUTURO",IF(tblOrdenes[[#This Row],[backlog_habiles]]&gt;p_dias_backlog_max,"BACKLOG","MES CORRIENTE")))</f>
        <v/>
      </c>
      <c r="AF471" s="5">
        <f>IF(tblOrdenes[[#This Row],[backlog_habiles]]="",FALSE,AND(tblOrdenes[[#This Row],[backlog_habiles]]&gt;p_dias_backlog_min,tblOrdenes[[#This Row],[backlog_habiles]]&lt;=p_dias_backlog_max))</f>
        <v/>
      </c>
      <c r="AG471" s="4" t="n"/>
      <c r="AH4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1" s="18">
        <f>IF(tblOrdenes[[#This Row],[orden]]="","",_xlfn.XLOOKUP(tblOrdenes[[#This Row],[id_operacion]],tblEjecucion[id_operacion],tblEjecucion[precio],0))</f>
        <v/>
      </c>
      <c r="AL471" s="18">
        <f>IF(tblOrdenes[[#This Row],[orden]]="","",MAX(0,_xlfn.XLOOKUP(tblOrdenes[[#This Row],[id_operacion]],tblEjecucion[id_operacion],tblEjecucion[costo_plan_total],0)-tblOrdenes[[#This Row],[costo_servicio]]))</f>
        <v/>
      </c>
      <c r="AM471" s="18">
        <f>IF(tblOrdenes[[#This Row],[orden]]="","",tblOrdenes[[#This Row],[costo_servicio]]+tblOrdenes[[#This Row],[costo_materiales]])</f>
        <v/>
      </c>
      <c r="AN4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1" s="4" t="n"/>
      <c r="AP471" s="4" t="n"/>
      <c r="AQ471" s="4" t="n"/>
      <c r="AR471" s="5">
        <f>IF(tblOrdenes[[#This Row],[link_checklist]]="","",HYPERLINK(p_ruta_base_checklists&amp;tblOrdenes[[#This Row],[link_checklist]],"abrir"))</f>
        <v/>
      </c>
      <c r="AS471" s="4" t="n"/>
      <c r="AT471" s="5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22" t="n"/>
      <c r="K472" s="5" t="n"/>
      <c r="L472" s="18" t="n"/>
      <c r="M4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5">
        <f>IF(tblOrdenes[[#This Row],[fecha_inicio]]="","",YEAR(tblOrdenes[[#This Row],[fecha_inicio]]))</f>
        <v/>
      </c>
      <c r="Q472" s="5">
        <f>IF(tblOrdenes[[#This Row],[fecha_inicio]]="","",MONTH(tblOrdenes[[#This Row],[fecha_inicio]]))</f>
        <v/>
      </c>
      <c r="R472" s="5">
        <f>IF(tblOrdenes[[#This Row],[fecha_inicio]]="","",tblOrdenes[[#This Row],[anio]]&amp;"-"&amp;TEXT(tblOrdenes[[#This Row],[mes]],"00"))</f>
        <v/>
      </c>
      <c r="S472" s="5">
        <f>IF(tblOrdenes[[#This Row],[fecha_inicio]]="","",INDEX(lista_dias,WEEKDAY(tblOrdenes[[#This Row],[fecha_inicio]],2)))</f>
        <v/>
      </c>
      <c r="T4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2" s="5">
        <f>IF(tblOrdenes[[#This Row],[tipo_ot]]="","",_xlfn.XLOOKUP(tblOrdenes[[#This Row],[tipo_ot]],tblTiposOT[codigo],tblTiposOT[clasificacion],"sin_clasificar"))</f>
        <v/>
      </c>
      <c r="V4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2" s="5">
        <f>IF(tblOrdenes[[#This Row],[centro_costo]]="","",_xlfn.XLOOKUP(tblOrdenes[[#This Row],[centro_costo]],tblCECO[codigo],tblCECO[linea],"(sin catálogo)"))</f>
        <v/>
      </c>
      <c r="X472" s="5">
        <f>IF(tblOrdenes[[#This Row],[centro_costo]]="","",_xlfn.XLOOKUP(tblOrdenes[[#This Row],[centro_costo]],tblCECO[codigo],tblCECO[area],"(sin catálogo)"))</f>
        <v/>
      </c>
      <c r="Y4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2" s="5">
        <f>IF(tblOrdenes[[#This Row],[centro_costo]]="","",_xlfn.XLOOKUP(tblOrdenes[[#This Row],[centro_costo]],tblCECO[codigo],tblCECO[coordinador],"(sin catálogo)"))</f>
        <v/>
      </c>
      <c r="AA472" s="5">
        <f>IF(tblOrdenes[[#This Row],[puesto_trabajo]]="","",_xlfn.XLOOKUP(tblOrdenes[[#This Row],[puesto_trabajo]],tblPuestos[codigo],tblPuestos[especialidad],"(sin catálogo)"))</f>
        <v/>
      </c>
      <c r="AB472" s="5">
        <f>IF(tblOrdenes[[#This Row],[cod_actividad]]="","",_xlfn.XLOOKUP(tblOrdenes[[#This Row],[cod_actividad]],tblActividades[codigo],tblActividades[descripcion],"(sin catálogo)"))</f>
        <v/>
      </c>
      <c r="AC472" s="20">
        <f>IF(tblOrdenes[[#This Row],[fecha_inicio]]="","",TODAY()-tblOrdenes[[#This Row],[fecha_inicio]])</f>
        <v/>
      </c>
      <c r="AD4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2" s="5">
        <f>IF(tblOrdenes[[#This Row],[backlog_habiles]]="","",IF(tblOrdenes[[#This Row],[backlog_habiles]]&lt;0,"FUTURO",IF(tblOrdenes[[#This Row],[backlog_habiles]]&gt;p_dias_backlog_max,"BACKLOG","MES CORRIENTE")))</f>
        <v/>
      </c>
      <c r="AF472" s="5">
        <f>IF(tblOrdenes[[#This Row],[backlog_habiles]]="",FALSE,AND(tblOrdenes[[#This Row],[backlog_habiles]]&gt;p_dias_backlog_min,tblOrdenes[[#This Row],[backlog_habiles]]&lt;=p_dias_backlog_max))</f>
        <v/>
      </c>
      <c r="AG472" s="4" t="n"/>
      <c r="AH4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2" s="18">
        <f>IF(tblOrdenes[[#This Row],[orden]]="","",_xlfn.XLOOKUP(tblOrdenes[[#This Row],[id_operacion]],tblEjecucion[id_operacion],tblEjecucion[precio],0))</f>
        <v/>
      </c>
      <c r="AL472" s="18">
        <f>IF(tblOrdenes[[#This Row],[orden]]="","",MAX(0,_xlfn.XLOOKUP(tblOrdenes[[#This Row],[id_operacion]],tblEjecucion[id_operacion],tblEjecucion[costo_plan_total],0)-tblOrdenes[[#This Row],[costo_servicio]]))</f>
        <v/>
      </c>
      <c r="AM472" s="18">
        <f>IF(tblOrdenes[[#This Row],[orden]]="","",tblOrdenes[[#This Row],[costo_servicio]]+tblOrdenes[[#This Row],[costo_materiales]])</f>
        <v/>
      </c>
      <c r="AN4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2" s="4" t="n"/>
      <c r="AP472" s="4" t="n"/>
      <c r="AQ472" s="4" t="n"/>
      <c r="AR472" s="5">
        <f>IF(tblOrdenes[[#This Row],[link_checklist]]="","",HYPERLINK(p_ruta_base_checklists&amp;tblOrdenes[[#This Row],[link_checklist]],"abrir"))</f>
        <v/>
      </c>
      <c r="AS472" s="4" t="n"/>
      <c r="AT472" s="5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22" t="n"/>
      <c r="K473" s="5" t="n"/>
      <c r="L473" s="18" t="n"/>
      <c r="M4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5">
        <f>IF(tblOrdenes[[#This Row],[fecha_inicio]]="","",YEAR(tblOrdenes[[#This Row],[fecha_inicio]]))</f>
        <v/>
      </c>
      <c r="Q473" s="5">
        <f>IF(tblOrdenes[[#This Row],[fecha_inicio]]="","",MONTH(tblOrdenes[[#This Row],[fecha_inicio]]))</f>
        <v/>
      </c>
      <c r="R473" s="5">
        <f>IF(tblOrdenes[[#This Row],[fecha_inicio]]="","",tblOrdenes[[#This Row],[anio]]&amp;"-"&amp;TEXT(tblOrdenes[[#This Row],[mes]],"00"))</f>
        <v/>
      </c>
      <c r="S473" s="5">
        <f>IF(tblOrdenes[[#This Row],[fecha_inicio]]="","",INDEX(lista_dias,WEEKDAY(tblOrdenes[[#This Row],[fecha_inicio]],2)))</f>
        <v/>
      </c>
      <c r="T4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3" s="5">
        <f>IF(tblOrdenes[[#This Row],[tipo_ot]]="","",_xlfn.XLOOKUP(tblOrdenes[[#This Row],[tipo_ot]],tblTiposOT[codigo],tblTiposOT[clasificacion],"sin_clasificar"))</f>
        <v/>
      </c>
      <c r="V4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3" s="5">
        <f>IF(tblOrdenes[[#This Row],[centro_costo]]="","",_xlfn.XLOOKUP(tblOrdenes[[#This Row],[centro_costo]],tblCECO[codigo],tblCECO[linea],"(sin catálogo)"))</f>
        <v/>
      </c>
      <c r="X473" s="5">
        <f>IF(tblOrdenes[[#This Row],[centro_costo]]="","",_xlfn.XLOOKUP(tblOrdenes[[#This Row],[centro_costo]],tblCECO[codigo],tblCECO[area],"(sin catálogo)"))</f>
        <v/>
      </c>
      <c r="Y4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3" s="5">
        <f>IF(tblOrdenes[[#This Row],[centro_costo]]="","",_xlfn.XLOOKUP(tblOrdenes[[#This Row],[centro_costo]],tblCECO[codigo],tblCECO[coordinador],"(sin catálogo)"))</f>
        <v/>
      </c>
      <c r="AA473" s="5">
        <f>IF(tblOrdenes[[#This Row],[puesto_trabajo]]="","",_xlfn.XLOOKUP(tblOrdenes[[#This Row],[puesto_trabajo]],tblPuestos[codigo],tblPuestos[especialidad],"(sin catálogo)"))</f>
        <v/>
      </c>
      <c r="AB473" s="5">
        <f>IF(tblOrdenes[[#This Row],[cod_actividad]]="","",_xlfn.XLOOKUP(tblOrdenes[[#This Row],[cod_actividad]],tblActividades[codigo],tblActividades[descripcion],"(sin catálogo)"))</f>
        <v/>
      </c>
      <c r="AC473" s="20">
        <f>IF(tblOrdenes[[#This Row],[fecha_inicio]]="","",TODAY()-tblOrdenes[[#This Row],[fecha_inicio]])</f>
        <v/>
      </c>
      <c r="AD4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3" s="5">
        <f>IF(tblOrdenes[[#This Row],[backlog_habiles]]="","",IF(tblOrdenes[[#This Row],[backlog_habiles]]&lt;0,"FUTURO",IF(tblOrdenes[[#This Row],[backlog_habiles]]&gt;p_dias_backlog_max,"BACKLOG","MES CORRIENTE")))</f>
        <v/>
      </c>
      <c r="AF473" s="5">
        <f>IF(tblOrdenes[[#This Row],[backlog_habiles]]="",FALSE,AND(tblOrdenes[[#This Row],[backlog_habiles]]&gt;p_dias_backlog_min,tblOrdenes[[#This Row],[backlog_habiles]]&lt;=p_dias_backlog_max))</f>
        <v/>
      </c>
      <c r="AG473" s="4" t="n"/>
      <c r="AH4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3" s="18">
        <f>IF(tblOrdenes[[#This Row],[orden]]="","",_xlfn.XLOOKUP(tblOrdenes[[#This Row],[id_operacion]],tblEjecucion[id_operacion],tblEjecucion[precio],0))</f>
        <v/>
      </c>
      <c r="AL473" s="18">
        <f>IF(tblOrdenes[[#This Row],[orden]]="","",MAX(0,_xlfn.XLOOKUP(tblOrdenes[[#This Row],[id_operacion]],tblEjecucion[id_operacion],tblEjecucion[costo_plan_total],0)-tblOrdenes[[#This Row],[costo_servicio]]))</f>
        <v/>
      </c>
      <c r="AM473" s="18">
        <f>IF(tblOrdenes[[#This Row],[orden]]="","",tblOrdenes[[#This Row],[costo_servicio]]+tblOrdenes[[#This Row],[costo_materiales]])</f>
        <v/>
      </c>
      <c r="AN4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3" s="4" t="n"/>
      <c r="AP473" s="4" t="n"/>
      <c r="AQ473" s="4" t="n"/>
      <c r="AR473" s="5">
        <f>IF(tblOrdenes[[#This Row],[link_checklist]]="","",HYPERLINK(p_ruta_base_checklists&amp;tblOrdenes[[#This Row],[link_checklist]],"abrir"))</f>
        <v/>
      </c>
      <c r="AS473" s="4" t="n"/>
      <c r="AT473" s="5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22" t="n"/>
      <c r="K474" s="5" t="n"/>
      <c r="L474" s="18" t="n"/>
      <c r="M4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5">
        <f>IF(tblOrdenes[[#This Row],[fecha_inicio]]="","",YEAR(tblOrdenes[[#This Row],[fecha_inicio]]))</f>
        <v/>
      </c>
      <c r="Q474" s="5">
        <f>IF(tblOrdenes[[#This Row],[fecha_inicio]]="","",MONTH(tblOrdenes[[#This Row],[fecha_inicio]]))</f>
        <v/>
      </c>
      <c r="R474" s="5">
        <f>IF(tblOrdenes[[#This Row],[fecha_inicio]]="","",tblOrdenes[[#This Row],[anio]]&amp;"-"&amp;TEXT(tblOrdenes[[#This Row],[mes]],"00"))</f>
        <v/>
      </c>
      <c r="S474" s="5">
        <f>IF(tblOrdenes[[#This Row],[fecha_inicio]]="","",INDEX(lista_dias,WEEKDAY(tblOrdenes[[#This Row],[fecha_inicio]],2)))</f>
        <v/>
      </c>
      <c r="T4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4" s="5">
        <f>IF(tblOrdenes[[#This Row],[tipo_ot]]="","",_xlfn.XLOOKUP(tblOrdenes[[#This Row],[tipo_ot]],tblTiposOT[codigo],tblTiposOT[clasificacion],"sin_clasificar"))</f>
        <v/>
      </c>
      <c r="V4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4" s="5">
        <f>IF(tblOrdenes[[#This Row],[centro_costo]]="","",_xlfn.XLOOKUP(tblOrdenes[[#This Row],[centro_costo]],tblCECO[codigo],tblCECO[linea],"(sin catálogo)"))</f>
        <v/>
      </c>
      <c r="X474" s="5">
        <f>IF(tblOrdenes[[#This Row],[centro_costo]]="","",_xlfn.XLOOKUP(tblOrdenes[[#This Row],[centro_costo]],tblCECO[codigo],tblCECO[area],"(sin catálogo)"))</f>
        <v/>
      </c>
      <c r="Y4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4" s="5">
        <f>IF(tblOrdenes[[#This Row],[centro_costo]]="","",_xlfn.XLOOKUP(tblOrdenes[[#This Row],[centro_costo]],tblCECO[codigo],tblCECO[coordinador],"(sin catálogo)"))</f>
        <v/>
      </c>
      <c r="AA474" s="5">
        <f>IF(tblOrdenes[[#This Row],[puesto_trabajo]]="","",_xlfn.XLOOKUP(tblOrdenes[[#This Row],[puesto_trabajo]],tblPuestos[codigo],tblPuestos[especialidad],"(sin catálogo)"))</f>
        <v/>
      </c>
      <c r="AB474" s="5">
        <f>IF(tblOrdenes[[#This Row],[cod_actividad]]="","",_xlfn.XLOOKUP(tblOrdenes[[#This Row],[cod_actividad]],tblActividades[codigo],tblActividades[descripcion],"(sin catálogo)"))</f>
        <v/>
      </c>
      <c r="AC474" s="20">
        <f>IF(tblOrdenes[[#This Row],[fecha_inicio]]="","",TODAY()-tblOrdenes[[#This Row],[fecha_inicio]])</f>
        <v/>
      </c>
      <c r="AD4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4" s="5">
        <f>IF(tblOrdenes[[#This Row],[backlog_habiles]]="","",IF(tblOrdenes[[#This Row],[backlog_habiles]]&lt;0,"FUTURO",IF(tblOrdenes[[#This Row],[backlog_habiles]]&gt;p_dias_backlog_max,"BACKLOG","MES CORRIENTE")))</f>
        <v/>
      </c>
      <c r="AF474" s="5">
        <f>IF(tblOrdenes[[#This Row],[backlog_habiles]]="",FALSE,AND(tblOrdenes[[#This Row],[backlog_habiles]]&gt;p_dias_backlog_min,tblOrdenes[[#This Row],[backlog_habiles]]&lt;=p_dias_backlog_max))</f>
        <v/>
      </c>
      <c r="AG474" s="4" t="n"/>
      <c r="AH4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4" s="18">
        <f>IF(tblOrdenes[[#This Row],[orden]]="","",_xlfn.XLOOKUP(tblOrdenes[[#This Row],[id_operacion]],tblEjecucion[id_operacion],tblEjecucion[precio],0))</f>
        <v/>
      </c>
      <c r="AL474" s="18">
        <f>IF(tblOrdenes[[#This Row],[orden]]="","",MAX(0,_xlfn.XLOOKUP(tblOrdenes[[#This Row],[id_operacion]],tblEjecucion[id_operacion],tblEjecucion[costo_plan_total],0)-tblOrdenes[[#This Row],[costo_servicio]]))</f>
        <v/>
      </c>
      <c r="AM474" s="18">
        <f>IF(tblOrdenes[[#This Row],[orden]]="","",tblOrdenes[[#This Row],[costo_servicio]]+tblOrdenes[[#This Row],[costo_materiales]])</f>
        <v/>
      </c>
      <c r="AN4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4" s="4" t="n"/>
      <c r="AP474" s="4" t="n"/>
      <c r="AQ474" s="4" t="n"/>
      <c r="AR474" s="5">
        <f>IF(tblOrdenes[[#This Row],[link_checklist]]="","",HYPERLINK(p_ruta_base_checklists&amp;tblOrdenes[[#This Row],[link_checklist]],"abrir"))</f>
        <v/>
      </c>
      <c r="AS474" s="4" t="n"/>
      <c r="AT474" s="5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22" t="n"/>
      <c r="K475" s="5" t="n"/>
      <c r="L475" s="18" t="n"/>
      <c r="M4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5">
        <f>IF(tblOrdenes[[#This Row],[fecha_inicio]]="","",YEAR(tblOrdenes[[#This Row],[fecha_inicio]]))</f>
        <v/>
      </c>
      <c r="Q475" s="5">
        <f>IF(tblOrdenes[[#This Row],[fecha_inicio]]="","",MONTH(tblOrdenes[[#This Row],[fecha_inicio]]))</f>
        <v/>
      </c>
      <c r="R475" s="5">
        <f>IF(tblOrdenes[[#This Row],[fecha_inicio]]="","",tblOrdenes[[#This Row],[anio]]&amp;"-"&amp;TEXT(tblOrdenes[[#This Row],[mes]],"00"))</f>
        <v/>
      </c>
      <c r="S475" s="5">
        <f>IF(tblOrdenes[[#This Row],[fecha_inicio]]="","",INDEX(lista_dias,WEEKDAY(tblOrdenes[[#This Row],[fecha_inicio]],2)))</f>
        <v/>
      </c>
      <c r="T4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5" s="5">
        <f>IF(tblOrdenes[[#This Row],[tipo_ot]]="","",_xlfn.XLOOKUP(tblOrdenes[[#This Row],[tipo_ot]],tblTiposOT[codigo],tblTiposOT[clasificacion],"sin_clasificar"))</f>
        <v/>
      </c>
      <c r="V4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5" s="5">
        <f>IF(tblOrdenes[[#This Row],[centro_costo]]="","",_xlfn.XLOOKUP(tblOrdenes[[#This Row],[centro_costo]],tblCECO[codigo],tblCECO[linea],"(sin catálogo)"))</f>
        <v/>
      </c>
      <c r="X475" s="5">
        <f>IF(tblOrdenes[[#This Row],[centro_costo]]="","",_xlfn.XLOOKUP(tblOrdenes[[#This Row],[centro_costo]],tblCECO[codigo],tblCECO[area],"(sin catálogo)"))</f>
        <v/>
      </c>
      <c r="Y4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5" s="5">
        <f>IF(tblOrdenes[[#This Row],[centro_costo]]="","",_xlfn.XLOOKUP(tblOrdenes[[#This Row],[centro_costo]],tblCECO[codigo],tblCECO[coordinador],"(sin catálogo)"))</f>
        <v/>
      </c>
      <c r="AA475" s="5">
        <f>IF(tblOrdenes[[#This Row],[puesto_trabajo]]="","",_xlfn.XLOOKUP(tblOrdenes[[#This Row],[puesto_trabajo]],tblPuestos[codigo],tblPuestos[especialidad],"(sin catálogo)"))</f>
        <v/>
      </c>
      <c r="AB475" s="5">
        <f>IF(tblOrdenes[[#This Row],[cod_actividad]]="","",_xlfn.XLOOKUP(tblOrdenes[[#This Row],[cod_actividad]],tblActividades[codigo],tblActividades[descripcion],"(sin catálogo)"))</f>
        <v/>
      </c>
      <c r="AC475" s="20">
        <f>IF(tblOrdenes[[#This Row],[fecha_inicio]]="","",TODAY()-tblOrdenes[[#This Row],[fecha_inicio]])</f>
        <v/>
      </c>
      <c r="AD4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5" s="5">
        <f>IF(tblOrdenes[[#This Row],[backlog_habiles]]="","",IF(tblOrdenes[[#This Row],[backlog_habiles]]&lt;0,"FUTURO",IF(tblOrdenes[[#This Row],[backlog_habiles]]&gt;p_dias_backlog_max,"BACKLOG","MES CORRIENTE")))</f>
        <v/>
      </c>
      <c r="AF475" s="5">
        <f>IF(tblOrdenes[[#This Row],[backlog_habiles]]="",FALSE,AND(tblOrdenes[[#This Row],[backlog_habiles]]&gt;p_dias_backlog_min,tblOrdenes[[#This Row],[backlog_habiles]]&lt;=p_dias_backlog_max))</f>
        <v/>
      </c>
      <c r="AG475" s="4" t="n"/>
      <c r="AH4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5" s="18">
        <f>IF(tblOrdenes[[#This Row],[orden]]="","",_xlfn.XLOOKUP(tblOrdenes[[#This Row],[id_operacion]],tblEjecucion[id_operacion],tblEjecucion[precio],0))</f>
        <v/>
      </c>
      <c r="AL475" s="18">
        <f>IF(tblOrdenes[[#This Row],[orden]]="","",MAX(0,_xlfn.XLOOKUP(tblOrdenes[[#This Row],[id_operacion]],tblEjecucion[id_operacion],tblEjecucion[costo_plan_total],0)-tblOrdenes[[#This Row],[costo_servicio]]))</f>
        <v/>
      </c>
      <c r="AM475" s="18">
        <f>IF(tblOrdenes[[#This Row],[orden]]="","",tblOrdenes[[#This Row],[costo_servicio]]+tblOrdenes[[#This Row],[costo_materiales]])</f>
        <v/>
      </c>
      <c r="AN4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5" s="4" t="n"/>
      <c r="AP475" s="4" t="n"/>
      <c r="AQ475" s="4" t="n"/>
      <c r="AR475" s="5">
        <f>IF(tblOrdenes[[#This Row],[link_checklist]]="","",HYPERLINK(p_ruta_base_checklists&amp;tblOrdenes[[#This Row],[link_checklist]],"abrir"))</f>
        <v/>
      </c>
      <c r="AS475" s="4" t="n"/>
      <c r="AT475" s="5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22" t="n"/>
      <c r="K476" s="5" t="n"/>
      <c r="L476" s="18" t="n"/>
      <c r="M4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5">
        <f>IF(tblOrdenes[[#This Row],[fecha_inicio]]="","",YEAR(tblOrdenes[[#This Row],[fecha_inicio]]))</f>
        <v/>
      </c>
      <c r="Q476" s="5">
        <f>IF(tblOrdenes[[#This Row],[fecha_inicio]]="","",MONTH(tblOrdenes[[#This Row],[fecha_inicio]]))</f>
        <v/>
      </c>
      <c r="R476" s="5">
        <f>IF(tblOrdenes[[#This Row],[fecha_inicio]]="","",tblOrdenes[[#This Row],[anio]]&amp;"-"&amp;TEXT(tblOrdenes[[#This Row],[mes]],"00"))</f>
        <v/>
      </c>
      <c r="S476" s="5">
        <f>IF(tblOrdenes[[#This Row],[fecha_inicio]]="","",INDEX(lista_dias,WEEKDAY(tblOrdenes[[#This Row],[fecha_inicio]],2)))</f>
        <v/>
      </c>
      <c r="T4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6" s="5">
        <f>IF(tblOrdenes[[#This Row],[tipo_ot]]="","",_xlfn.XLOOKUP(tblOrdenes[[#This Row],[tipo_ot]],tblTiposOT[codigo],tblTiposOT[clasificacion],"sin_clasificar"))</f>
        <v/>
      </c>
      <c r="V4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6" s="5">
        <f>IF(tblOrdenes[[#This Row],[centro_costo]]="","",_xlfn.XLOOKUP(tblOrdenes[[#This Row],[centro_costo]],tblCECO[codigo],tblCECO[linea],"(sin catálogo)"))</f>
        <v/>
      </c>
      <c r="X476" s="5">
        <f>IF(tblOrdenes[[#This Row],[centro_costo]]="","",_xlfn.XLOOKUP(tblOrdenes[[#This Row],[centro_costo]],tblCECO[codigo],tblCECO[area],"(sin catálogo)"))</f>
        <v/>
      </c>
      <c r="Y4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6" s="5">
        <f>IF(tblOrdenes[[#This Row],[centro_costo]]="","",_xlfn.XLOOKUP(tblOrdenes[[#This Row],[centro_costo]],tblCECO[codigo],tblCECO[coordinador],"(sin catálogo)"))</f>
        <v/>
      </c>
      <c r="AA476" s="5">
        <f>IF(tblOrdenes[[#This Row],[puesto_trabajo]]="","",_xlfn.XLOOKUP(tblOrdenes[[#This Row],[puesto_trabajo]],tblPuestos[codigo],tblPuestos[especialidad],"(sin catálogo)"))</f>
        <v/>
      </c>
      <c r="AB476" s="5">
        <f>IF(tblOrdenes[[#This Row],[cod_actividad]]="","",_xlfn.XLOOKUP(tblOrdenes[[#This Row],[cod_actividad]],tblActividades[codigo],tblActividades[descripcion],"(sin catálogo)"))</f>
        <v/>
      </c>
      <c r="AC476" s="20">
        <f>IF(tblOrdenes[[#This Row],[fecha_inicio]]="","",TODAY()-tblOrdenes[[#This Row],[fecha_inicio]])</f>
        <v/>
      </c>
      <c r="AD4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6" s="5">
        <f>IF(tblOrdenes[[#This Row],[backlog_habiles]]="","",IF(tblOrdenes[[#This Row],[backlog_habiles]]&lt;0,"FUTURO",IF(tblOrdenes[[#This Row],[backlog_habiles]]&gt;p_dias_backlog_max,"BACKLOG","MES CORRIENTE")))</f>
        <v/>
      </c>
      <c r="AF476" s="5">
        <f>IF(tblOrdenes[[#This Row],[backlog_habiles]]="",FALSE,AND(tblOrdenes[[#This Row],[backlog_habiles]]&gt;p_dias_backlog_min,tblOrdenes[[#This Row],[backlog_habiles]]&lt;=p_dias_backlog_max))</f>
        <v/>
      </c>
      <c r="AG476" s="4" t="n"/>
      <c r="AH4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6" s="18">
        <f>IF(tblOrdenes[[#This Row],[orden]]="","",_xlfn.XLOOKUP(tblOrdenes[[#This Row],[id_operacion]],tblEjecucion[id_operacion],tblEjecucion[precio],0))</f>
        <v/>
      </c>
      <c r="AL476" s="18">
        <f>IF(tblOrdenes[[#This Row],[orden]]="","",MAX(0,_xlfn.XLOOKUP(tblOrdenes[[#This Row],[id_operacion]],tblEjecucion[id_operacion],tblEjecucion[costo_plan_total],0)-tblOrdenes[[#This Row],[costo_servicio]]))</f>
        <v/>
      </c>
      <c r="AM476" s="18">
        <f>IF(tblOrdenes[[#This Row],[orden]]="","",tblOrdenes[[#This Row],[costo_servicio]]+tblOrdenes[[#This Row],[costo_materiales]])</f>
        <v/>
      </c>
      <c r="AN4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6" s="4" t="n"/>
      <c r="AP476" s="4" t="n"/>
      <c r="AQ476" s="4" t="n"/>
      <c r="AR476" s="5">
        <f>IF(tblOrdenes[[#This Row],[link_checklist]]="","",HYPERLINK(p_ruta_base_checklists&amp;tblOrdenes[[#This Row],[link_checklist]],"abrir"))</f>
        <v/>
      </c>
      <c r="AS476" s="4" t="n"/>
      <c r="AT476" s="5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22" t="n"/>
      <c r="K477" s="5" t="n"/>
      <c r="L477" s="18" t="n"/>
      <c r="M4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5">
        <f>IF(tblOrdenes[[#This Row],[fecha_inicio]]="","",YEAR(tblOrdenes[[#This Row],[fecha_inicio]]))</f>
        <v/>
      </c>
      <c r="Q477" s="5">
        <f>IF(tblOrdenes[[#This Row],[fecha_inicio]]="","",MONTH(tblOrdenes[[#This Row],[fecha_inicio]]))</f>
        <v/>
      </c>
      <c r="R477" s="5">
        <f>IF(tblOrdenes[[#This Row],[fecha_inicio]]="","",tblOrdenes[[#This Row],[anio]]&amp;"-"&amp;TEXT(tblOrdenes[[#This Row],[mes]],"00"))</f>
        <v/>
      </c>
      <c r="S477" s="5">
        <f>IF(tblOrdenes[[#This Row],[fecha_inicio]]="","",INDEX(lista_dias,WEEKDAY(tblOrdenes[[#This Row],[fecha_inicio]],2)))</f>
        <v/>
      </c>
      <c r="T4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7" s="5">
        <f>IF(tblOrdenes[[#This Row],[tipo_ot]]="","",_xlfn.XLOOKUP(tblOrdenes[[#This Row],[tipo_ot]],tblTiposOT[codigo],tblTiposOT[clasificacion],"sin_clasificar"))</f>
        <v/>
      </c>
      <c r="V4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7" s="5">
        <f>IF(tblOrdenes[[#This Row],[centro_costo]]="","",_xlfn.XLOOKUP(tblOrdenes[[#This Row],[centro_costo]],tblCECO[codigo],tblCECO[linea],"(sin catálogo)"))</f>
        <v/>
      </c>
      <c r="X477" s="5">
        <f>IF(tblOrdenes[[#This Row],[centro_costo]]="","",_xlfn.XLOOKUP(tblOrdenes[[#This Row],[centro_costo]],tblCECO[codigo],tblCECO[area],"(sin catálogo)"))</f>
        <v/>
      </c>
      <c r="Y4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7" s="5">
        <f>IF(tblOrdenes[[#This Row],[centro_costo]]="","",_xlfn.XLOOKUP(tblOrdenes[[#This Row],[centro_costo]],tblCECO[codigo],tblCECO[coordinador],"(sin catálogo)"))</f>
        <v/>
      </c>
      <c r="AA477" s="5">
        <f>IF(tblOrdenes[[#This Row],[puesto_trabajo]]="","",_xlfn.XLOOKUP(tblOrdenes[[#This Row],[puesto_trabajo]],tblPuestos[codigo],tblPuestos[especialidad],"(sin catálogo)"))</f>
        <v/>
      </c>
      <c r="AB477" s="5">
        <f>IF(tblOrdenes[[#This Row],[cod_actividad]]="","",_xlfn.XLOOKUP(tblOrdenes[[#This Row],[cod_actividad]],tblActividades[codigo],tblActividades[descripcion],"(sin catálogo)"))</f>
        <v/>
      </c>
      <c r="AC477" s="20">
        <f>IF(tblOrdenes[[#This Row],[fecha_inicio]]="","",TODAY()-tblOrdenes[[#This Row],[fecha_inicio]])</f>
        <v/>
      </c>
      <c r="AD4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7" s="5">
        <f>IF(tblOrdenes[[#This Row],[backlog_habiles]]="","",IF(tblOrdenes[[#This Row],[backlog_habiles]]&lt;0,"FUTURO",IF(tblOrdenes[[#This Row],[backlog_habiles]]&gt;p_dias_backlog_max,"BACKLOG","MES CORRIENTE")))</f>
        <v/>
      </c>
      <c r="AF477" s="5">
        <f>IF(tblOrdenes[[#This Row],[backlog_habiles]]="",FALSE,AND(tblOrdenes[[#This Row],[backlog_habiles]]&gt;p_dias_backlog_min,tblOrdenes[[#This Row],[backlog_habiles]]&lt;=p_dias_backlog_max))</f>
        <v/>
      </c>
      <c r="AG477" s="4" t="n"/>
      <c r="AH4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7" s="18">
        <f>IF(tblOrdenes[[#This Row],[orden]]="","",_xlfn.XLOOKUP(tblOrdenes[[#This Row],[id_operacion]],tblEjecucion[id_operacion],tblEjecucion[precio],0))</f>
        <v/>
      </c>
      <c r="AL477" s="18">
        <f>IF(tblOrdenes[[#This Row],[orden]]="","",MAX(0,_xlfn.XLOOKUP(tblOrdenes[[#This Row],[id_operacion]],tblEjecucion[id_operacion],tblEjecucion[costo_plan_total],0)-tblOrdenes[[#This Row],[costo_servicio]]))</f>
        <v/>
      </c>
      <c r="AM477" s="18">
        <f>IF(tblOrdenes[[#This Row],[orden]]="","",tblOrdenes[[#This Row],[costo_servicio]]+tblOrdenes[[#This Row],[costo_materiales]])</f>
        <v/>
      </c>
      <c r="AN4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7" s="4" t="n"/>
      <c r="AP477" s="4" t="n"/>
      <c r="AQ477" s="4" t="n"/>
      <c r="AR477" s="5">
        <f>IF(tblOrdenes[[#This Row],[link_checklist]]="","",HYPERLINK(p_ruta_base_checklists&amp;tblOrdenes[[#This Row],[link_checklist]],"abrir"))</f>
        <v/>
      </c>
      <c r="AS477" s="4" t="n"/>
      <c r="AT477" s="5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22" t="n"/>
      <c r="K478" s="5" t="n"/>
      <c r="L478" s="18" t="n"/>
      <c r="M4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5">
        <f>IF(tblOrdenes[[#This Row],[fecha_inicio]]="","",YEAR(tblOrdenes[[#This Row],[fecha_inicio]]))</f>
        <v/>
      </c>
      <c r="Q478" s="5">
        <f>IF(tblOrdenes[[#This Row],[fecha_inicio]]="","",MONTH(tblOrdenes[[#This Row],[fecha_inicio]]))</f>
        <v/>
      </c>
      <c r="R478" s="5">
        <f>IF(tblOrdenes[[#This Row],[fecha_inicio]]="","",tblOrdenes[[#This Row],[anio]]&amp;"-"&amp;TEXT(tblOrdenes[[#This Row],[mes]],"00"))</f>
        <v/>
      </c>
      <c r="S478" s="5">
        <f>IF(tblOrdenes[[#This Row],[fecha_inicio]]="","",INDEX(lista_dias,WEEKDAY(tblOrdenes[[#This Row],[fecha_inicio]],2)))</f>
        <v/>
      </c>
      <c r="T4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8" s="5">
        <f>IF(tblOrdenes[[#This Row],[tipo_ot]]="","",_xlfn.XLOOKUP(tblOrdenes[[#This Row],[tipo_ot]],tblTiposOT[codigo],tblTiposOT[clasificacion],"sin_clasificar"))</f>
        <v/>
      </c>
      <c r="V4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8" s="5">
        <f>IF(tblOrdenes[[#This Row],[centro_costo]]="","",_xlfn.XLOOKUP(tblOrdenes[[#This Row],[centro_costo]],tblCECO[codigo],tblCECO[linea],"(sin catálogo)"))</f>
        <v/>
      </c>
      <c r="X478" s="5">
        <f>IF(tblOrdenes[[#This Row],[centro_costo]]="","",_xlfn.XLOOKUP(tblOrdenes[[#This Row],[centro_costo]],tblCECO[codigo],tblCECO[area],"(sin catálogo)"))</f>
        <v/>
      </c>
      <c r="Y4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8" s="5">
        <f>IF(tblOrdenes[[#This Row],[centro_costo]]="","",_xlfn.XLOOKUP(tblOrdenes[[#This Row],[centro_costo]],tblCECO[codigo],tblCECO[coordinador],"(sin catálogo)"))</f>
        <v/>
      </c>
      <c r="AA478" s="5">
        <f>IF(tblOrdenes[[#This Row],[puesto_trabajo]]="","",_xlfn.XLOOKUP(tblOrdenes[[#This Row],[puesto_trabajo]],tblPuestos[codigo],tblPuestos[especialidad],"(sin catálogo)"))</f>
        <v/>
      </c>
      <c r="AB478" s="5">
        <f>IF(tblOrdenes[[#This Row],[cod_actividad]]="","",_xlfn.XLOOKUP(tblOrdenes[[#This Row],[cod_actividad]],tblActividades[codigo],tblActividades[descripcion],"(sin catálogo)"))</f>
        <v/>
      </c>
      <c r="AC478" s="20">
        <f>IF(tblOrdenes[[#This Row],[fecha_inicio]]="","",TODAY()-tblOrdenes[[#This Row],[fecha_inicio]])</f>
        <v/>
      </c>
      <c r="AD4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8" s="5">
        <f>IF(tblOrdenes[[#This Row],[backlog_habiles]]="","",IF(tblOrdenes[[#This Row],[backlog_habiles]]&lt;0,"FUTURO",IF(tblOrdenes[[#This Row],[backlog_habiles]]&gt;p_dias_backlog_max,"BACKLOG","MES CORRIENTE")))</f>
        <v/>
      </c>
      <c r="AF478" s="5">
        <f>IF(tblOrdenes[[#This Row],[backlog_habiles]]="",FALSE,AND(tblOrdenes[[#This Row],[backlog_habiles]]&gt;p_dias_backlog_min,tblOrdenes[[#This Row],[backlog_habiles]]&lt;=p_dias_backlog_max))</f>
        <v/>
      </c>
      <c r="AG478" s="4" t="n"/>
      <c r="AH4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8" s="18">
        <f>IF(tblOrdenes[[#This Row],[orden]]="","",_xlfn.XLOOKUP(tblOrdenes[[#This Row],[id_operacion]],tblEjecucion[id_operacion],tblEjecucion[precio],0))</f>
        <v/>
      </c>
      <c r="AL478" s="18">
        <f>IF(tblOrdenes[[#This Row],[orden]]="","",MAX(0,_xlfn.XLOOKUP(tblOrdenes[[#This Row],[id_operacion]],tblEjecucion[id_operacion],tblEjecucion[costo_plan_total],0)-tblOrdenes[[#This Row],[costo_servicio]]))</f>
        <v/>
      </c>
      <c r="AM478" s="18">
        <f>IF(tblOrdenes[[#This Row],[orden]]="","",tblOrdenes[[#This Row],[costo_servicio]]+tblOrdenes[[#This Row],[costo_materiales]])</f>
        <v/>
      </c>
      <c r="AN4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8" s="4" t="n"/>
      <c r="AP478" s="4" t="n"/>
      <c r="AQ478" s="4" t="n"/>
      <c r="AR478" s="5">
        <f>IF(tblOrdenes[[#This Row],[link_checklist]]="","",HYPERLINK(p_ruta_base_checklists&amp;tblOrdenes[[#This Row],[link_checklist]],"abrir"))</f>
        <v/>
      </c>
      <c r="AS478" s="4" t="n"/>
      <c r="AT478" s="5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22" t="n"/>
      <c r="K479" s="5" t="n"/>
      <c r="L479" s="18" t="n"/>
      <c r="M4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5">
        <f>IF(tblOrdenes[[#This Row],[fecha_inicio]]="","",YEAR(tblOrdenes[[#This Row],[fecha_inicio]]))</f>
        <v/>
      </c>
      <c r="Q479" s="5">
        <f>IF(tblOrdenes[[#This Row],[fecha_inicio]]="","",MONTH(tblOrdenes[[#This Row],[fecha_inicio]]))</f>
        <v/>
      </c>
      <c r="R479" s="5">
        <f>IF(tblOrdenes[[#This Row],[fecha_inicio]]="","",tblOrdenes[[#This Row],[anio]]&amp;"-"&amp;TEXT(tblOrdenes[[#This Row],[mes]],"00"))</f>
        <v/>
      </c>
      <c r="S479" s="5">
        <f>IF(tblOrdenes[[#This Row],[fecha_inicio]]="","",INDEX(lista_dias,WEEKDAY(tblOrdenes[[#This Row],[fecha_inicio]],2)))</f>
        <v/>
      </c>
      <c r="T4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9" s="5">
        <f>IF(tblOrdenes[[#This Row],[tipo_ot]]="","",_xlfn.XLOOKUP(tblOrdenes[[#This Row],[tipo_ot]],tblTiposOT[codigo],tblTiposOT[clasificacion],"sin_clasificar"))</f>
        <v/>
      </c>
      <c r="V4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9" s="5">
        <f>IF(tblOrdenes[[#This Row],[centro_costo]]="","",_xlfn.XLOOKUP(tblOrdenes[[#This Row],[centro_costo]],tblCECO[codigo],tblCECO[linea],"(sin catálogo)"))</f>
        <v/>
      </c>
      <c r="X479" s="5">
        <f>IF(tblOrdenes[[#This Row],[centro_costo]]="","",_xlfn.XLOOKUP(tblOrdenes[[#This Row],[centro_costo]],tblCECO[codigo],tblCECO[area],"(sin catálogo)"))</f>
        <v/>
      </c>
      <c r="Y4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79" s="5">
        <f>IF(tblOrdenes[[#This Row],[centro_costo]]="","",_xlfn.XLOOKUP(tblOrdenes[[#This Row],[centro_costo]],tblCECO[codigo],tblCECO[coordinador],"(sin catálogo)"))</f>
        <v/>
      </c>
      <c r="AA479" s="5">
        <f>IF(tblOrdenes[[#This Row],[puesto_trabajo]]="","",_xlfn.XLOOKUP(tblOrdenes[[#This Row],[puesto_trabajo]],tblPuestos[codigo],tblPuestos[especialidad],"(sin catálogo)"))</f>
        <v/>
      </c>
      <c r="AB479" s="5">
        <f>IF(tblOrdenes[[#This Row],[cod_actividad]]="","",_xlfn.XLOOKUP(tblOrdenes[[#This Row],[cod_actividad]],tblActividades[codigo],tblActividades[descripcion],"(sin catálogo)"))</f>
        <v/>
      </c>
      <c r="AC479" s="20">
        <f>IF(tblOrdenes[[#This Row],[fecha_inicio]]="","",TODAY()-tblOrdenes[[#This Row],[fecha_inicio]])</f>
        <v/>
      </c>
      <c r="AD4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79" s="5">
        <f>IF(tblOrdenes[[#This Row],[backlog_habiles]]="","",IF(tblOrdenes[[#This Row],[backlog_habiles]]&lt;0,"FUTURO",IF(tblOrdenes[[#This Row],[backlog_habiles]]&gt;p_dias_backlog_max,"BACKLOG","MES CORRIENTE")))</f>
        <v/>
      </c>
      <c r="AF479" s="5">
        <f>IF(tblOrdenes[[#This Row],[backlog_habiles]]="",FALSE,AND(tblOrdenes[[#This Row],[backlog_habiles]]&gt;p_dias_backlog_min,tblOrdenes[[#This Row],[backlog_habiles]]&lt;=p_dias_backlog_max))</f>
        <v/>
      </c>
      <c r="AG479" s="4" t="n"/>
      <c r="AH4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79" s="18">
        <f>IF(tblOrdenes[[#This Row],[orden]]="","",_xlfn.XLOOKUP(tblOrdenes[[#This Row],[id_operacion]],tblEjecucion[id_operacion],tblEjecucion[precio],0))</f>
        <v/>
      </c>
      <c r="AL479" s="18">
        <f>IF(tblOrdenes[[#This Row],[orden]]="","",MAX(0,_xlfn.XLOOKUP(tblOrdenes[[#This Row],[id_operacion]],tblEjecucion[id_operacion],tblEjecucion[costo_plan_total],0)-tblOrdenes[[#This Row],[costo_servicio]]))</f>
        <v/>
      </c>
      <c r="AM479" s="18">
        <f>IF(tblOrdenes[[#This Row],[orden]]="","",tblOrdenes[[#This Row],[costo_servicio]]+tblOrdenes[[#This Row],[costo_materiales]])</f>
        <v/>
      </c>
      <c r="AN4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79" s="4" t="n"/>
      <c r="AP479" s="4" t="n"/>
      <c r="AQ479" s="4" t="n"/>
      <c r="AR479" s="5">
        <f>IF(tblOrdenes[[#This Row],[link_checklist]]="","",HYPERLINK(p_ruta_base_checklists&amp;tblOrdenes[[#This Row],[link_checklist]],"abrir"))</f>
        <v/>
      </c>
      <c r="AS479" s="4" t="n"/>
      <c r="AT479" s="5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22" t="n"/>
      <c r="K480" s="5" t="n"/>
      <c r="L480" s="18" t="n"/>
      <c r="M4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5">
        <f>IF(tblOrdenes[[#This Row],[fecha_inicio]]="","",YEAR(tblOrdenes[[#This Row],[fecha_inicio]]))</f>
        <v/>
      </c>
      <c r="Q480" s="5">
        <f>IF(tblOrdenes[[#This Row],[fecha_inicio]]="","",MONTH(tblOrdenes[[#This Row],[fecha_inicio]]))</f>
        <v/>
      </c>
      <c r="R480" s="5">
        <f>IF(tblOrdenes[[#This Row],[fecha_inicio]]="","",tblOrdenes[[#This Row],[anio]]&amp;"-"&amp;TEXT(tblOrdenes[[#This Row],[mes]],"00"))</f>
        <v/>
      </c>
      <c r="S480" s="5">
        <f>IF(tblOrdenes[[#This Row],[fecha_inicio]]="","",INDEX(lista_dias,WEEKDAY(tblOrdenes[[#This Row],[fecha_inicio]],2)))</f>
        <v/>
      </c>
      <c r="T4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0" s="5">
        <f>IF(tblOrdenes[[#This Row],[tipo_ot]]="","",_xlfn.XLOOKUP(tblOrdenes[[#This Row],[tipo_ot]],tblTiposOT[codigo],tblTiposOT[clasificacion],"sin_clasificar"))</f>
        <v/>
      </c>
      <c r="V4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0" s="5">
        <f>IF(tblOrdenes[[#This Row],[centro_costo]]="","",_xlfn.XLOOKUP(tblOrdenes[[#This Row],[centro_costo]],tblCECO[codigo],tblCECO[linea],"(sin catálogo)"))</f>
        <v/>
      </c>
      <c r="X480" s="5">
        <f>IF(tblOrdenes[[#This Row],[centro_costo]]="","",_xlfn.XLOOKUP(tblOrdenes[[#This Row],[centro_costo]],tblCECO[codigo],tblCECO[area],"(sin catálogo)"))</f>
        <v/>
      </c>
      <c r="Y4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0" s="5">
        <f>IF(tblOrdenes[[#This Row],[centro_costo]]="","",_xlfn.XLOOKUP(tblOrdenes[[#This Row],[centro_costo]],tblCECO[codigo],tblCECO[coordinador],"(sin catálogo)"))</f>
        <v/>
      </c>
      <c r="AA480" s="5">
        <f>IF(tblOrdenes[[#This Row],[puesto_trabajo]]="","",_xlfn.XLOOKUP(tblOrdenes[[#This Row],[puesto_trabajo]],tblPuestos[codigo],tblPuestos[especialidad],"(sin catálogo)"))</f>
        <v/>
      </c>
      <c r="AB480" s="5">
        <f>IF(tblOrdenes[[#This Row],[cod_actividad]]="","",_xlfn.XLOOKUP(tblOrdenes[[#This Row],[cod_actividad]],tblActividades[codigo],tblActividades[descripcion],"(sin catálogo)"))</f>
        <v/>
      </c>
      <c r="AC480" s="20">
        <f>IF(tblOrdenes[[#This Row],[fecha_inicio]]="","",TODAY()-tblOrdenes[[#This Row],[fecha_inicio]])</f>
        <v/>
      </c>
      <c r="AD4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0" s="5">
        <f>IF(tblOrdenes[[#This Row],[backlog_habiles]]="","",IF(tblOrdenes[[#This Row],[backlog_habiles]]&lt;0,"FUTURO",IF(tblOrdenes[[#This Row],[backlog_habiles]]&gt;p_dias_backlog_max,"BACKLOG","MES CORRIENTE")))</f>
        <v/>
      </c>
      <c r="AF480" s="5">
        <f>IF(tblOrdenes[[#This Row],[backlog_habiles]]="",FALSE,AND(tblOrdenes[[#This Row],[backlog_habiles]]&gt;p_dias_backlog_min,tblOrdenes[[#This Row],[backlog_habiles]]&lt;=p_dias_backlog_max))</f>
        <v/>
      </c>
      <c r="AG480" s="4" t="n"/>
      <c r="AH4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0" s="18">
        <f>IF(tblOrdenes[[#This Row],[orden]]="","",_xlfn.XLOOKUP(tblOrdenes[[#This Row],[id_operacion]],tblEjecucion[id_operacion],tblEjecucion[precio],0))</f>
        <v/>
      </c>
      <c r="AL480" s="18">
        <f>IF(tblOrdenes[[#This Row],[orden]]="","",MAX(0,_xlfn.XLOOKUP(tblOrdenes[[#This Row],[id_operacion]],tblEjecucion[id_operacion],tblEjecucion[costo_plan_total],0)-tblOrdenes[[#This Row],[costo_servicio]]))</f>
        <v/>
      </c>
      <c r="AM480" s="18">
        <f>IF(tblOrdenes[[#This Row],[orden]]="","",tblOrdenes[[#This Row],[costo_servicio]]+tblOrdenes[[#This Row],[costo_materiales]])</f>
        <v/>
      </c>
      <c r="AN4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0" s="4" t="n"/>
      <c r="AP480" s="4" t="n"/>
      <c r="AQ480" s="4" t="n"/>
      <c r="AR480" s="5">
        <f>IF(tblOrdenes[[#This Row],[link_checklist]]="","",HYPERLINK(p_ruta_base_checklists&amp;tblOrdenes[[#This Row],[link_checklist]],"abrir"))</f>
        <v/>
      </c>
      <c r="AS480" s="4" t="n"/>
      <c r="AT480" s="5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22" t="n"/>
      <c r="K481" s="5" t="n"/>
      <c r="L481" s="18" t="n"/>
      <c r="M4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5">
        <f>IF(tblOrdenes[[#This Row],[fecha_inicio]]="","",YEAR(tblOrdenes[[#This Row],[fecha_inicio]]))</f>
        <v/>
      </c>
      <c r="Q481" s="5">
        <f>IF(tblOrdenes[[#This Row],[fecha_inicio]]="","",MONTH(tblOrdenes[[#This Row],[fecha_inicio]]))</f>
        <v/>
      </c>
      <c r="R481" s="5">
        <f>IF(tblOrdenes[[#This Row],[fecha_inicio]]="","",tblOrdenes[[#This Row],[anio]]&amp;"-"&amp;TEXT(tblOrdenes[[#This Row],[mes]],"00"))</f>
        <v/>
      </c>
      <c r="S481" s="5">
        <f>IF(tblOrdenes[[#This Row],[fecha_inicio]]="","",INDEX(lista_dias,WEEKDAY(tblOrdenes[[#This Row],[fecha_inicio]],2)))</f>
        <v/>
      </c>
      <c r="T4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1" s="5">
        <f>IF(tblOrdenes[[#This Row],[tipo_ot]]="","",_xlfn.XLOOKUP(tblOrdenes[[#This Row],[tipo_ot]],tblTiposOT[codigo],tblTiposOT[clasificacion],"sin_clasificar"))</f>
        <v/>
      </c>
      <c r="V4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1" s="5">
        <f>IF(tblOrdenes[[#This Row],[centro_costo]]="","",_xlfn.XLOOKUP(tblOrdenes[[#This Row],[centro_costo]],tblCECO[codigo],tblCECO[linea],"(sin catálogo)"))</f>
        <v/>
      </c>
      <c r="X481" s="5">
        <f>IF(tblOrdenes[[#This Row],[centro_costo]]="","",_xlfn.XLOOKUP(tblOrdenes[[#This Row],[centro_costo]],tblCECO[codigo],tblCECO[area],"(sin catálogo)"))</f>
        <v/>
      </c>
      <c r="Y4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1" s="5">
        <f>IF(tblOrdenes[[#This Row],[centro_costo]]="","",_xlfn.XLOOKUP(tblOrdenes[[#This Row],[centro_costo]],tblCECO[codigo],tblCECO[coordinador],"(sin catálogo)"))</f>
        <v/>
      </c>
      <c r="AA481" s="5">
        <f>IF(tblOrdenes[[#This Row],[puesto_trabajo]]="","",_xlfn.XLOOKUP(tblOrdenes[[#This Row],[puesto_trabajo]],tblPuestos[codigo],tblPuestos[especialidad],"(sin catálogo)"))</f>
        <v/>
      </c>
      <c r="AB481" s="5">
        <f>IF(tblOrdenes[[#This Row],[cod_actividad]]="","",_xlfn.XLOOKUP(tblOrdenes[[#This Row],[cod_actividad]],tblActividades[codigo],tblActividades[descripcion],"(sin catálogo)"))</f>
        <v/>
      </c>
      <c r="AC481" s="20">
        <f>IF(tblOrdenes[[#This Row],[fecha_inicio]]="","",TODAY()-tblOrdenes[[#This Row],[fecha_inicio]])</f>
        <v/>
      </c>
      <c r="AD4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1" s="5">
        <f>IF(tblOrdenes[[#This Row],[backlog_habiles]]="","",IF(tblOrdenes[[#This Row],[backlog_habiles]]&lt;0,"FUTURO",IF(tblOrdenes[[#This Row],[backlog_habiles]]&gt;p_dias_backlog_max,"BACKLOG","MES CORRIENTE")))</f>
        <v/>
      </c>
      <c r="AF481" s="5">
        <f>IF(tblOrdenes[[#This Row],[backlog_habiles]]="",FALSE,AND(tblOrdenes[[#This Row],[backlog_habiles]]&gt;p_dias_backlog_min,tblOrdenes[[#This Row],[backlog_habiles]]&lt;=p_dias_backlog_max))</f>
        <v/>
      </c>
      <c r="AG481" s="4" t="n"/>
      <c r="AH4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1" s="18">
        <f>IF(tblOrdenes[[#This Row],[orden]]="","",_xlfn.XLOOKUP(tblOrdenes[[#This Row],[id_operacion]],tblEjecucion[id_operacion],tblEjecucion[precio],0))</f>
        <v/>
      </c>
      <c r="AL481" s="18">
        <f>IF(tblOrdenes[[#This Row],[orden]]="","",MAX(0,_xlfn.XLOOKUP(tblOrdenes[[#This Row],[id_operacion]],tblEjecucion[id_operacion],tblEjecucion[costo_plan_total],0)-tblOrdenes[[#This Row],[costo_servicio]]))</f>
        <v/>
      </c>
      <c r="AM481" s="18">
        <f>IF(tblOrdenes[[#This Row],[orden]]="","",tblOrdenes[[#This Row],[costo_servicio]]+tblOrdenes[[#This Row],[costo_materiales]])</f>
        <v/>
      </c>
      <c r="AN4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1" s="4" t="n"/>
      <c r="AP481" s="4" t="n"/>
      <c r="AQ481" s="4" t="n"/>
      <c r="AR481" s="5">
        <f>IF(tblOrdenes[[#This Row],[link_checklist]]="","",HYPERLINK(p_ruta_base_checklists&amp;tblOrdenes[[#This Row],[link_checklist]],"abrir"))</f>
        <v/>
      </c>
      <c r="AS481" s="4" t="n"/>
      <c r="AT481" s="5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22" t="n"/>
      <c r="K482" s="5" t="n"/>
      <c r="L482" s="18" t="n"/>
      <c r="M4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5">
        <f>IF(tblOrdenes[[#This Row],[fecha_inicio]]="","",YEAR(tblOrdenes[[#This Row],[fecha_inicio]]))</f>
        <v/>
      </c>
      <c r="Q482" s="5">
        <f>IF(tblOrdenes[[#This Row],[fecha_inicio]]="","",MONTH(tblOrdenes[[#This Row],[fecha_inicio]]))</f>
        <v/>
      </c>
      <c r="R482" s="5">
        <f>IF(tblOrdenes[[#This Row],[fecha_inicio]]="","",tblOrdenes[[#This Row],[anio]]&amp;"-"&amp;TEXT(tblOrdenes[[#This Row],[mes]],"00"))</f>
        <v/>
      </c>
      <c r="S482" s="5">
        <f>IF(tblOrdenes[[#This Row],[fecha_inicio]]="","",INDEX(lista_dias,WEEKDAY(tblOrdenes[[#This Row],[fecha_inicio]],2)))</f>
        <v/>
      </c>
      <c r="T4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2" s="5">
        <f>IF(tblOrdenes[[#This Row],[tipo_ot]]="","",_xlfn.XLOOKUP(tblOrdenes[[#This Row],[tipo_ot]],tblTiposOT[codigo],tblTiposOT[clasificacion],"sin_clasificar"))</f>
        <v/>
      </c>
      <c r="V4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2" s="5">
        <f>IF(tblOrdenes[[#This Row],[centro_costo]]="","",_xlfn.XLOOKUP(tblOrdenes[[#This Row],[centro_costo]],tblCECO[codigo],tblCECO[linea],"(sin catálogo)"))</f>
        <v/>
      </c>
      <c r="X482" s="5">
        <f>IF(tblOrdenes[[#This Row],[centro_costo]]="","",_xlfn.XLOOKUP(tblOrdenes[[#This Row],[centro_costo]],tblCECO[codigo],tblCECO[area],"(sin catálogo)"))</f>
        <v/>
      </c>
      <c r="Y4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2" s="5">
        <f>IF(tblOrdenes[[#This Row],[centro_costo]]="","",_xlfn.XLOOKUP(tblOrdenes[[#This Row],[centro_costo]],tblCECO[codigo],tblCECO[coordinador],"(sin catálogo)"))</f>
        <v/>
      </c>
      <c r="AA482" s="5">
        <f>IF(tblOrdenes[[#This Row],[puesto_trabajo]]="","",_xlfn.XLOOKUP(tblOrdenes[[#This Row],[puesto_trabajo]],tblPuestos[codigo],tblPuestos[especialidad],"(sin catálogo)"))</f>
        <v/>
      </c>
      <c r="AB482" s="5">
        <f>IF(tblOrdenes[[#This Row],[cod_actividad]]="","",_xlfn.XLOOKUP(tblOrdenes[[#This Row],[cod_actividad]],tblActividades[codigo],tblActividades[descripcion],"(sin catálogo)"))</f>
        <v/>
      </c>
      <c r="AC482" s="20">
        <f>IF(tblOrdenes[[#This Row],[fecha_inicio]]="","",TODAY()-tblOrdenes[[#This Row],[fecha_inicio]])</f>
        <v/>
      </c>
      <c r="AD4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2" s="5">
        <f>IF(tblOrdenes[[#This Row],[backlog_habiles]]="","",IF(tblOrdenes[[#This Row],[backlog_habiles]]&lt;0,"FUTURO",IF(tblOrdenes[[#This Row],[backlog_habiles]]&gt;p_dias_backlog_max,"BACKLOG","MES CORRIENTE")))</f>
        <v/>
      </c>
      <c r="AF482" s="5">
        <f>IF(tblOrdenes[[#This Row],[backlog_habiles]]="",FALSE,AND(tblOrdenes[[#This Row],[backlog_habiles]]&gt;p_dias_backlog_min,tblOrdenes[[#This Row],[backlog_habiles]]&lt;=p_dias_backlog_max))</f>
        <v/>
      </c>
      <c r="AG482" s="4" t="n"/>
      <c r="AH4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2" s="18">
        <f>IF(tblOrdenes[[#This Row],[orden]]="","",_xlfn.XLOOKUP(tblOrdenes[[#This Row],[id_operacion]],tblEjecucion[id_operacion],tblEjecucion[precio],0))</f>
        <v/>
      </c>
      <c r="AL482" s="18">
        <f>IF(tblOrdenes[[#This Row],[orden]]="","",MAX(0,_xlfn.XLOOKUP(tblOrdenes[[#This Row],[id_operacion]],tblEjecucion[id_operacion],tblEjecucion[costo_plan_total],0)-tblOrdenes[[#This Row],[costo_servicio]]))</f>
        <v/>
      </c>
      <c r="AM482" s="18">
        <f>IF(tblOrdenes[[#This Row],[orden]]="","",tblOrdenes[[#This Row],[costo_servicio]]+tblOrdenes[[#This Row],[costo_materiales]])</f>
        <v/>
      </c>
      <c r="AN4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2" s="4" t="n"/>
      <c r="AP482" s="4" t="n"/>
      <c r="AQ482" s="4" t="n"/>
      <c r="AR482" s="5">
        <f>IF(tblOrdenes[[#This Row],[link_checklist]]="","",HYPERLINK(p_ruta_base_checklists&amp;tblOrdenes[[#This Row],[link_checklist]],"abrir"))</f>
        <v/>
      </c>
      <c r="AS482" s="4" t="n"/>
      <c r="AT482" s="5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22" t="n"/>
      <c r="K483" s="5" t="n"/>
      <c r="L483" s="18" t="n"/>
      <c r="M4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5">
        <f>IF(tblOrdenes[[#This Row],[fecha_inicio]]="","",YEAR(tblOrdenes[[#This Row],[fecha_inicio]]))</f>
        <v/>
      </c>
      <c r="Q483" s="5">
        <f>IF(tblOrdenes[[#This Row],[fecha_inicio]]="","",MONTH(tblOrdenes[[#This Row],[fecha_inicio]]))</f>
        <v/>
      </c>
      <c r="R483" s="5">
        <f>IF(tblOrdenes[[#This Row],[fecha_inicio]]="","",tblOrdenes[[#This Row],[anio]]&amp;"-"&amp;TEXT(tblOrdenes[[#This Row],[mes]],"00"))</f>
        <v/>
      </c>
      <c r="S483" s="5">
        <f>IF(tblOrdenes[[#This Row],[fecha_inicio]]="","",INDEX(lista_dias,WEEKDAY(tblOrdenes[[#This Row],[fecha_inicio]],2)))</f>
        <v/>
      </c>
      <c r="T4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3" s="5">
        <f>IF(tblOrdenes[[#This Row],[tipo_ot]]="","",_xlfn.XLOOKUP(tblOrdenes[[#This Row],[tipo_ot]],tblTiposOT[codigo],tblTiposOT[clasificacion],"sin_clasificar"))</f>
        <v/>
      </c>
      <c r="V4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3" s="5">
        <f>IF(tblOrdenes[[#This Row],[centro_costo]]="","",_xlfn.XLOOKUP(tblOrdenes[[#This Row],[centro_costo]],tblCECO[codigo],tblCECO[linea],"(sin catálogo)"))</f>
        <v/>
      </c>
      <c r="X483" s="5">
        <f>IF(tblOrdenes[[#This Row],[centro_costo]]="","",_xlfn.XLOOKUP(tblOrdenes[[#This Row],[centro_costo]],tblCECO[codigo],tblCECO[area],"(sin catálogo)"))</f>
        <v/>
      </c>
      <c r="Y4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3" s="5">
        <f>IF(tblOrdenes[[#This Row],[centro_costo]]="","",_xlfn.XLOOKUP(tblOrdenes[[#This Row],[centro_costo]],tblCECO[codigo],tblCECO[coordinador],"(sin catálogo)"))</f>
        <v/>
      </c>
      <c r="AA483" s="5">
        <f>IF(tblOrdenes[[#This Row],[puesto_trabajo]]="","",_xlfn.XLOOKUP(tblOrdenes[[#This Row],[puesto_trabajo]],tblPuestos[codigo],tblPuestos[especialidad],"(sin catálogo)"))</f>
        <v/>
      </c>
      <c r="AB483" s="5">
        <f>IF(tblOrdenes[[#This Row],[cod_actividad]]="","",_xlfn.XLOOKUP(tblOrdenes[[#This Row],[cod_actividad]],tblActividades[codigo],tblActividades[descripcion],"(sin catálogo)"))</f>
        <v/>
      </c>
      <c r="AC483" s="20">
        <f>IF(tblOrdenes[[#This Row],[fecha_inicio]]="","",TODAY()-tblOrdenes[[#This Row],[fecha_inicio]])</f>
        <v/>
      </c>
      <c r="AD4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3" s="5">
        <f>IF(tblOrdenes[[#This Row],[backlog_habiles]]="","",IF(tblOrdenes[[#This Row],[backlog_habiles]]&lt;0,"FUTURO",IF(tblOrdenes[[#This Row],[backlog_habiles]]&gt;p_dias_backlog_max,"BACKLOG","MES CORRIENTE")))</f>
        <v/>
      </c>
      <c r="AF483" s="5">
        <f>IF(tblOrdenes[[#This Row],[backlog_habiles]]="",FALSE,AND(tblOrdenes[[#This Row],[backlog_habiles]]&gt;p_dias_backlog_min,tblOrdenes[[#This Row],[backlog_habiles]]&lt;=p_dias_backlog_max))</f>
        <v/>
      </c>
      <c r="AG483" s="4" t="n"/>
      <c r="AH4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3" s="18">
        <f>IF(tblOrdenes[[#This Row],[orden]]="","",_xlfn.XLOOKUP(tblOrdenes[[#This Row],[id_operacion]],tblEjecucion[id_operacion],tblEjecucion[precio],0))</f>
        <v/>
      </c>
      <c r="AL483" s="18">
        <f>IF(tblOrdenes[[#This Row],[orden]]="","",MAX(0,_xlfn.XLOOKUP(tblOrdenes[[#This Row],[id_operacion]],tblEjecucion[id_operacion],tblEjecucion[costo_plan_total],0)-tblOrdenes[[#This Row],[costo_servicio]]))</f>
        <v/>
      </c>
      <c r="AM483" s="18">
        <f>IF(tblOrdenes[[#This Row],[orden]]="","",tblOrdenes[[#This Row],[costo_servicio]]+tblOrdenes[[#This Row],[costo_materiales]])</f>
        <v/>
      </c>
      <c r="AN4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3" s="4" t="n"/>
      <c r="AP483" s="4" t="n"/>
      <c r="AQ483" s="4" t="n"/>
      <c r="AR483" s="5">
        <f>IF(tblOrdenes[[#This Row],[link_checklist]]="","",HYPERLINK(p_ruta_base_checklists&amp;tblOrdenes[[#This Row],[link_checklist]],"abrir"))</f>
        <v/>
      </c>
      <c r="AS483" s="4" t="n"/>
      <c r="AT483" s="5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22" t="n"/>
      <c r="K484" s="5" t="n"/>
      <c r="L484" s="18" t="n"/>
      <c r="M4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5">
        <f>IF(tblOrdenes[[#This Row],[fecha_inicio]]="","",YEAR(tblOrdenes[[#This Row],[fecha_inicio]]))</f>
        <v/>
      </c>
      <c r="Q484" s="5">
        <f>IF(tblOrdenes[[#This Row],[fecha_inicio]]="","",MONTH(tblOrdenes[[#This Row],[fecha_inicio]]))</f>
        <v/>
      </c>
      <c r="R484" s="5">
        <f>IF(tblOrdenes[[#This Row],[fecha_inicio]]="","",tblOrdenes[[#This Row],[anio]]&amp;"-"&amp;TEXT(tblOrdenes[[#This Row],[mes]],"00"))</f>
        <v/>
      </c>
      <c r="S484" s="5">
        <f>IF(tblOrdenes[[#This Row],[fecha_inicio]]="","",INDEX(lista_dias,WEEKDAY(tblOrdenes[[#This Row],[fecha_inicio]],2)))</f>
        <v/>
      </c>
      <c r="T4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4" s="5">
        <f>IF(tblOrdenes[[#This Row],[tipo_ot]]="","",_xlfn.XLOOKUP(tblOrdenes[[#This Row],[tipo_ot]],tblTiposOT[codigo],tblTiposOT[clasificacion],"sin_clasificar"))</f>
        <v/>
      </c>
      <c r="V4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4" s="5">
        <f>IF(tblOrdenes[[#This Row],[centro_costo]]="","",_xlfn.XLOOKUP(tblOrdenes[[#This Row],[centro_costo]],tblCECO[codigo],tblCECO[linea],"(sin catálogo)"))</f>
        <v/>
      </c>
      <c r="X484" s="5">
        <f>IF(tblOrdenes[[#This Row],[centro_costo]]="","",_xlfn.XLOOKUP(tblOrdenes[[#This Row],[centro_costo]],tblCECO[codigo],tblCECO[area],"(sin catálogo)"))</f>
        <v/>
      </c>
      <c r="Y4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4" s="5">
        <f>IF(tblOrdenes[[#This Row],[centro_costo]]="","",_xlfn.XLOOKUP(tblOrdenes[[#This Row],[centro_costo]],tblCECO[codigo],tblCECO[coordinador],"(sin catálogo)"))</f>
        <v/>
      </c>
      <c r="AA484" s="5">
        <f>IF(tblOrdenes[[#This Row],[puesto_trabajo]]="","",_xlfn.XLOOKUP(tblOrdenes[[#This Row],[puesto_trabajo]],tblPuestos[codigo],tblPuestos[especialidad],"(sin catálogo)"))</f>
        <v/>
      </c>
      <c r="AB484" s="5">
        <f>IF(tblOrdenes[[#This Row],[cod_actividad]]="","",_xlfn.XLOOKUP(tblOrdenes[[#This Row],[cod_actividad]],tblActividades[codigo],tblActividades[descripcion],"(sin catálogo)"))</f>
        <v/>
      </c>
      <c r="AC484" s="20">
        <f>IF(tblOrdenes[[#This Row],[fecha_inicio]]="","",TODAY()-tblOrdenes[[#This Row],[fecha_inicio]])</f>
        <v/>
      </c>
      <c r="AD4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4" s="5">
        <f>IF(tblOrdenes[[#This Row],[backlog_habiles]]="","",IF(tblOrdenes[[#This Row],[backlog_habiles]]&lt;0,"FUTURO",IF(tblOrdenes[[#This Row],[backlog_habiles]]&gt;p_dias_backlog_max,"BACKLOG","MES CORRIENTE")))</f>
        <v/>
      </c>
      <c r="AF484" s="5">
        <f>IF(tblOrdenes[[#This Row],[backlog_habiles]]="",FALSE,AND(tblOrdenes[[#This Row],[backlog_habiles]]&gt;p_dias_backlog_min,tblOrdenes[[#This Row],[backlog_habiles]]&lt;=p_dias_backlog_max))</f>
        <v/>
      </c>
      <c r="AG484" s="4" t="n"/>
      <c r="AH4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4" s="18">
        <f>IF(tblOrdenes[[#This Row],[orden]]="","",_xlfn.XLOOKUP(tblOrdenes[[#This Row],[id_operacion]],tblEjecucion[id_operacion],tblEjecucion[precio],0))</f>
        <v/>
      </c>
      <c r="AL484" s="18">
        <f>IF(tblOrdenes[[#This Row],[orden]]="","",MAX(0,_xlfn.XLOOKUP(tblOrdenes[[#This Row],[id_operacion]],tblEjecucion[id_operacion],tblEjecucion[costo_plan_total],0)-tblOrdenes[[#This Row],[costo_servicio]]))</f>
        <v/>
      </c>
      <c r="AM484" s="18">
        <f>IF(tblOrdenes[[#This Row],[orden]]="","",tblOrdenes[[#This Row],[costo_servicio]]+tblOrdenes[[#This Row],[costo_materiales]])</f>
        <v/>
      </c>
      <c r="AN4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4" s="4" t="n"/>
      <c r="AP484" s="4" t="n"/>
      <c r="AQ484" s="4" t="n"/>
      <c r="AR484" s="5">
        <f>IF(tblOrdenes[[#This Row],[link_checklist]]="","",HYPERLINK(p_ruta_base_checklists&amp;tblOrdenes[[#This Row],[link_checklist]],"abrir"))</f>
        <v/>
      </c>
      <c r="AS484" s="4" t="n"/>
      <c r="AT484" s="5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22" t="n"/>
      <c r="K485" s="5" t="n"/>
      <c r="L485" s="18" t="n"/>
      <c r="M4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5">
        <f>IF(tblOrdenes[[#This Row],[fecha_inicio]]="","",YEAR(tblOrdenes[[#This Row],[fecha_inicio]]))</f>
        <v/>
      </c>
      <c r="Q485" s="5">
        <f>IF(tblOrdenes[[#This Row],[fecha_inicio]]="","",MONTH(tblOrdenes[[#This Row],[fecha_inicio]]))</f>
        <v/>
      </c>
      <c r="R485" s="5">
        <f>IF(tblOrdenes[[#This Row],[fecha_inicio]]="","",tblOrdenes[[#This Row],[anio]]&amp;"-"&amp;TEXT(tblOrdenes[[#This Row],[mes]],"00"))</f>
        <v/>
      </c>
      <c r="S485" s="5">
        <f>IF(tblOrdenes[[#This Row],[fecha_inicio]]="","",INDEX(lista_dias,WEEKDAY(tblOrdenes[[#This Row],[fecha_inicio]],2)))</f>
        <v/>
      </c>
      <c r="T4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5" s="5">
        <f>IF(tblOrdenes[[#This Row],[tipo_ot]]="","",_xlfn.XLOOKUP(tblOrdenes[[#This Row],[tipo_ot]],tblTiposOT[codigo],tblTiposOT[clasificacion],"sin_clasificar"))</f>
        <v/>
      </c>
      <c r="V4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5" s="5">
        <f>IF(tblOrdenes[[#This Row],[centro_costo]]="","",_xlfn.XLOOKUP(tblOrdenes[[#This Row],[centro_costo]],tblCECO[codigo],tblCECO[linea],"(sin catálogo)"))</f>
        <v/>
      </c>
      <c r="X485" s="5">
        <f>IF(tblOrdenes[[#This Row],[centro_costo]]="","",_xlfn.XLOOKUP(tblOrdenes[[#This Row],[centro_costo]],tblCECO[codigo],tblCECO[area],"(sin catálogo)"))</f>
        <v/>
      </c>
      <c r="Y4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5" s="5">
        <f>IF(tblOrdenes[[#This Row],[centro_costo]]="","",_xlfn.XLOOKUP(tblOrdenes[[#This Row],[centro_costo]],tblCECO[codigo],tblCECO[coordinador],"(sin catálogo)"))</f>
        <v/>
      </c>
      <c r="AA485" s="5">
        <f>IF(tblOrdenes[[#This Row],[puesto_trabajo]]="","",_xlfn.XLOOKUP(tblOrdenes[[#This Row],[puesto_trabajo]],tblPuestos[codigo],tblPuestos[especialidad],"(sin catálogo)"))</f>
        <v/>
      </c>
      <c r="AB485" s="5">
        <f>IF(tblOrdenes[[#This Row],[cod_actividad]]="","",_xlfn.XLOOKUP(tblOrdenes[[#This Row],[cod_actividad]],tblActividades[codigo],tblActividades[descripcion],"(sin catálogo)"))</f>
        <v/>
      </c>
      <c r="AC485" s="20">
        <f>IF(tblOrdenes[[#This Row],[fecha_inicio]]="","",TODAY()-tblOrdenes[[#This Row],[fecha_inicio]])</f>
        <v/>
      </c>
      <c r="AD4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5" s="5">
        <f>IF(tblOrdenes[[#This Row],[backlog_habiles]]="","",IF(tblOrdenes[[#This Row],[backlog_habiles]]&lt;0,"FUTURO",IF(tblOrdenes[[#This Row],[backlog_habiles]]&gt;p_dias_backlog_max,"BACKLOG","MES CORRIENTE")))</f>
        <v/>
      </c>
      <c r="AF485" s="5">
        <f>IF(tblOrdenes[[#This Row],[backlog_habiles]]="",FALSE,AND(tblOrdenes[[#This Row],[backlog_habiles]]&gt;p_dias_backlog_min,tblOrdenes[[#This Row],[backlog_habiles]]&lt;=p_dias_backlog_max))</f>
        <v/>
      </c>
      <c r="AG485" s="4" t="n"/>
      <c r="AH4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5" s="18">
        <f>IF(tblOrdenes[[#This Row],[orden]]="","",_xlfn.XLOOKUP(tblOrdenes[[#This Row],[id_operacion]],tblEjecucion[id_operacion],tblEjecucion[precio],0))</f>
        <v/>
      </c>
      <c r="AL485" s="18">
        <f>IF(tblOrdenes[[#This Row],[orden]]="","",MAX(0,_xlfn.XLOOKUP(tblOrdenes[[#This Row],[id_operacion]],tblEjecucion[id_operacion],tblEjecucion[costo_plan_total],0)-tblOrdenes[[#This Row],[costo_servicio]]))</f>
        <v/>
      </c>
      <c r="AM485" s="18">
        <f>IF(tblOrdenes[[#This Row],[orden]]="","",tblOrdenes[[#This Row],[costo_servicio]]+tblOrdenes[[#This Row],[costo_materiales]])</f>
        <v/>
      </c>
      <c r="AN4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5" s="4" t="n"/>
      <c r="AP485" s="4" t="n"/>
      <c r="AQ485" s="4" t="n"/>
      <c r="AR485" s="5">
        <f>IF(tblOrdenes[[#This Row],[link_checklist]]="","",HYPERLINK(p_ruta_base_checklists&amp;tblOrdenes[[#This Row],[link_checklist]],"abrir"))</f>
        <v/>
      </c>
      <c r="AS485" s="4" t="n"/>
      <c r="AT485" s="5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22" t="n"/>
      <c r="K486" s="5" t="n"/>
      <c r="L486" s="18" t="n"/>
      <c r="M4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5">
        <f>IF(tblOrdenes[[#This Row],[fecha_inicio]]="","",YEAR(tblOrdenes[[#This Row],[fecha_inicio]]))</f>
        <v/>
      </c>
      <c r="Q486" s="5">
        <f>IF(tblOrdenes[[#This Row],[fecha_inicio]]="","",MONTH(tblOrdenes[[#This Row],[fecha_inicio]]))</f>
        <v/>
      </c>
      <c r="R486" s="5">
        <f>IF(tblOrdenes[[#This Row],[fecha_inicio]]="","",tblOrdenes[[#This Row],[anio]]&amp;"-"&amp;TEXT(tblOrdenes[[#This Row],[mes]],"00"))</f>
        <v/>
      </c>
      <c r="S486" s="5">
        <f>IF(tblOrdenes[[#This Row],[fecha_inicio]]="","",INDEX(lista_dias,WEEKDAY(tblOrdenes[[#This Row],[fecha_inicio]],2)))</f>
        <v/>
      </c>
      <c r="T4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6" s="5">
        <f>IF(tblOrdenes[[#This Row],[tipo_ot]]="","",_xlfn.XLOOKUP(tblOrdenes[[#This Row],[tipo_ot]],tblTiposOT[codigo],tblTiposOT[clasificacion],"sin_clasificar"))</f>
        <v/>
      </c>
      <c r="V4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6" s="5">
        <f>IF(tblOrdenes[[#This Row],[centro_costo]]="","",_xlfn.XLOOKUP(tblOrdenes[[#This Row],[centro_costo]],tblCECO[codigo],tblCECO[linea],"(sin catálogo)"))</f>
        <v/>
      </c>
      <c r="X486" s="5">
        <f>IF(tblOrdenes[[#This Row],[centro_costo]]="","",_xlfn.XLOOKUP(tblOrdenes[[#This Row],[centro_costo]],tblCECO[codigo],tblCECO[area],"(sin catálogo)"))</f>
        <v/>
      </c>
      <c r="Y4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6" s="5">
        <f>IF(tblOrdenes[[#This Row],[centro_costo]]="","",_xlfn.XLOOKUP(tblOrdenes[[#This Row],[centro_costo]],tblCECO[codigo],tblCECO[coordinador],"(sin catálogo)"))</f>
        <v/>
      </c>
      <c r="AA486" s="5">
        <f>IF(tblOrdenes[[#This Row],[puesto_trabajo]]="","",_xlfn.XLOOKUP(tblOrdenes[[#This Row],[puesto_trabajo]],tblPuestos[codigo],tblPuestos[especialidad],"(sin catálogo)"))</f>
        <v/>
      </c>
      <c r="AB486" s="5">
        <f>IF(tblOrdenes[[#This Row],[cod_actividad]]="","",_xlfn.XLOOKUP(tblOrdenes[[#This Row],[cod_actividad]],tblActividades[codigo],tblActividades[descripcion],"(sin catálogo)"))</f>
        <v/>
      </c>
      <c r="AC486" s="20">
        <f>IF(tblOrdenes[[#This Row],[fecha_inicio]]="","",TODAY()-tblOrdenes[[#This Row],[fecha_inicio]])</f>
        <v/>
      </c>
      <c r="AD4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6" s="5">
        <f>IF(tblOrdenes[[#This Row],[backlog_habiles]]="","",IF(tblOrdenes[[#This Row],[backlog_habiles]]&lt;0,"FUTURO",IF(tblOrdenes[[#This Row],[backlog_habiles]]&gt;p_dias_backlog_max,"BACKLOG","MES CORRIENTE")))</f>
        <v/>
      </c>
      <c r="AF486" s="5">
        <f>IF(tblOrdenes[[#This Row],[backlog_habiles]]="",FALSE,AND(tblOrdenes[[#This Row],[backlog_habiles]]&gt;p_dias_backlog_min,tblOrdenes[[#This Row],[backlog_habiles]]&lt;=p_dias_backlog_max))</f>
        <v/>
      </c>
      <c r="AG486" s="4" t="n"/>
      <c r="AH4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6" s="18">
        <f>IF(tblOrdenes[[#This Row],[orden]]="","",_xlfn.XLOOKUP(tblOrdenes[[#This Row],[id_operacion]],tblEjecucion[id_operacion],tblEjecucion[precio],0))</f>
        <v/>
      </c>
      <c r="AL486" s="18">
        <f>IF(tblOrdenes[[#This Row],[orden]]="","",MAX(0,_xlfn.XLOOKUP(tblOrdenes[[#This Row],[id_operacion]],tblEjecucion[id_operacion],tblEjecucion[costo_plan_total],0)-tblOrdenes[[#This Row],[costo_servicio]]))</f>
        <v/>
      </c>
      <c r="AM486" s="18">
        <f>IF(tblOrdenes[[#This Row],[orden]]="","",tblOrdenes[[#This Row],[costo_servicio]]+tblOrdenes[[#This Row],[costo_materiales]])</f>
        <v/>
      </c>
      <c r="AN4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6" s="4" t="n"/>
      <c r="AP486" s="4" t="n"/>
      <c r="AQ486" s="4" t="n"/>
      <c r="AR486" s="5">
        <f>IF(tblOrdenes[[#This Row],[link_checklist]]="","",HYPERLINK(p_ruta_base_checklists&amp;tblOrdenes[[#This Row],[link_checklist]],"abrir"))</f>
        <v/>
      </c>
      <c r="AS486" s="4" t="n"/>
      <c r="AT486" s="5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22" t="n"/>
      <c r="K487" s="5" t="n"/>
      <c r="L487" s="18" t="n"/>
      <c r="M4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5">
        <f>IF(tblOrdenes[[#This Row],[fecha_inicio]]="","",YEAR(tblOrdenes[[#This Row],[fecha_inicio]]))</f>
        <v/>
      </c>
      <c r="Q487" s="5">
        <f>IF(tblOrdenes[[#This Row],[fecha_inicio]]="","",MONTH(tblOrdenes[[#This Row],[fecha_inicio]]))</f>
        <v/>
      </c>
      <c r="R487" s="5">
        <f>IF(tblOrdenes[[#This Row],[fecha_inicio]]="","",tblOrdenes[[#This Row],[anio]]&amp;"-"&amp;TEXT(tblOrdenes[[#This Row],[mes]],"00"))</f>
        <v/>
      </c>
      <c r="S487" s="5">
        <f>IF(tblOrdenes[[#This Row],[fecha_inicio]]="","",INDEX(lista_dias,WEEKDAY(tblOrdenes[[#This Row],[fecha_inicio]],2)))</f>
        <v/>
      </c>
      <c r="T4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7" s="5">
        <f>IF(tblOrdenes[[#This Row],[tipo_ot]]="","",_xlfn.XLOOKUP(tblOrdenes[[#This Row],[tipo_ot]],tblTiposOT[codigo],tblTiposOT[clasificacion],"sin_clasificar"))</f>
        <v/>
      </c>
      <c r="V4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7" s="5">
        <f>IF(tblOrdenes[[#This Row],[centro_costo]]="","",_xlfn.XLOOKUP(tblOrdenes[[#This Row],[centro_costo]],tblCECO[codigo],tblCECO[linea],"(sin catálogo)"))</f>
        <v/>
      </c>
      <c r="X487" s="5">
        <f>IF(tblOrdenes[[#This Row],[centro_costo]]="","",_xlfn.XLOOKUP(tblOrdenes[[#This Row],[centro_costo]],tblCECO[codigo],tblCECO[area],"(sin catálogo)"))</f>
        <v/>
      </c>
      <c r="Y4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7" s="5">
        <f>IF(tblOrdenes[[#This Row],[centro_costo]]="","",_xlfn.XLOOKUP(tblOrdenes[[#This Row],[centro_costo]],tblCECO[codigo],tblCECO[coordinador],"(sin catálogo)"))</f>
        <v/>
      </c>
      <c r="AA487" s="5">
        <f>IF(tblOrdenes[[#This Row],[puesto_trabajo]]="","",_xlfn.XLOOKUP(tblOrdenes[[#This Row],[puesto_trabajo]],tblPuestos[codigo],tblPuestos[especialidad],"(sin catálogo)"))</f>
        <v/>
      </c>
      <c r="AB487" s="5">
        <f>IF(tblOrdenes[[#This Row],[cod_actividad]]="","",_xlfn.XLOOKUP(tblOrdenes[[#This Row],[cod_actividad]],tblActividades[codigo],tblActividades[descripcion],"(sin catálogo)"))</f>
        <v/>
      </c>
      <c r="AC487" s="20">
        <f>IF(tblOrdenes[[#This Row],[fecha_inicio]]="","",TODAY()-tblOrdenes[[#This Row],[fecha_inicio]])</f>
        <v/>
      </c>
      <c r="AD4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7" s="5">
        <f>IF(tblOrdenes[[#This Row],[backlog_habiles]]="","",IF(tblOrdenes[[#This Row],[backlog_habiles]]&lt;0,"FUTURO",IF(tblOrdenes[[#This Row],[backlog_habiles]]&gt;p_dias_backlog_max,"BACKLOG","MES CORRIENTE")))</f>
        <v/>
      </c>
      <c r="AF487" s="5">
        <f>IF(tblOrdenes[[#This Row],[backlog_habiles]]="",FALSE,AND(tblOrdenes[[#This Row],[backlog_habiles]]&gt;p_dias_backlog_min,tblOrdenes[[#This Row],[backlog_habiles]]&lt;=p_dias_backlog_max))</f>
        <v/>
      </c>
      <c r="AG487" s="4" t="n"/>
      <c r="AH4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7" s="18">
        <f>IF(tblOrdenes[[#This Row],[orden]]="","",_xlfn.XLOOKUP(tblOrdenes[[#This Row],[id_operacion]],tblEjecucion[id_operacion],tblEjecucion[precio],0))</f>
        <v/>
      </c>
      <c r="AL487" s="18">
        <f>IF(tblOrdenes[[#This Row],[orden]]="","",MAX(0,_xlfn.XLOOKUP(tblOrdenes[[#This Row],[id_operacion]],tblEjecucion[id_operacion],tblEjecucion[costo_plan_total],0)-tblOrdenes[[#This Row],[costo_servicio]]))</f>
        <v/>
      </c>
      <c r="AM487" s="18">
        <f>IF(tblOrdenes[[#This Row],[orden]]="","",tblOrdenes[[#This Row],[costo_servicio]]+tblOrdenes[[#This Row],[costo_materiales]])</f>
        <v/>
      </c>
      <c r="AN4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7" s="4" t="n"/>
      <c r="AP487" s="4" t="n"/>
      <c r="AQ487" s="4" t="n"/>
      <c r="AR487" s="5">
        <f>IF(tblOrdenes[[#This Row],[link_checklist]]="","",HYPERLINK(p_ruta_base_checklists&amp;tblOrdenes[[#This Row],[link_checklist]],"abrir"))</f>
        <v/>
      </c>
      <c r="AS487" s="4" t="n"/>
      <c r="AT487" s="5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22" t="n"/>
      <c r="K488" s="5" t="n"/>
      <c r="L488" s="18" t="n"/>
      <c r="M4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5">
        <f>IF(tblOrdenes[[#This Row],[fecha_inicio]]="","",YEAR(tblOrdenes[[#This Row],[fecha_inicio]]))</f>
        <v/>
      </c>
      <c r="Q488" s="5">
        <f>IF(tblOrdenes[[#This Row],[fecha_inicio]]="","",MONTH(tblOrdenes[[#This Row],[fecha_inicio]]))</f>
        <v/>
      </c>
      <c r="R488" s="5">
        <f>IF(tblOrdenes[[#This Row],[fecha_inicio]]="","",tblOrdenes[[#This Row],[anio]]&amp;"-"&amp;TEXT(tblOrdenes[[#This Row],[mes]],"00"))</f>
        <v/>
      </c>
      <c r="S488" s="5">
        <f>IF(tblOrdenes[[#This Row],[fecha_inicio]]="","",INDEX(lista_dias,WEEKDAY(tblOrdenes[[#This Row],[fecha_inicio]],2)))</f>
        <v/>
      </c>
      <c r="T4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8" s="5">
        <f>IF(tblOrdenes[[#This Row],[tipo_ot]]="","",_xlfn.XLOOKUP(tblOrdenes[[#This Row],[tipo_ot]],tblTiposOT[codigo],tblTiposOT[clasificacion],"sin_clasificar"))</f>
        <v/>
      </c>
      <c r="V4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8" s="5">
        <f>IF(tblOrdenes[[#This Row],[centro_costo]]="","",_xlfn.XLOOKUP(tblOrdenes[[#This Row],[centro_costo]],tblCECO[codigo],tblCECO[linea],"(sin catálogo)"))</f>
        <v/>
      </c>
      <c r="X488" s="5">
        <f>IF(tblOrdenes[[#This Row],[centro_costo]]="","",_xlfn.XLOOKUP(tblOrdenes[[#This Row],[centro_costo]],tblCECO[codigo],tblCECO[area],"(sin catálogo)"))</f>
        <v/>
      </c>
      <c r="Y4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8" s="5">
        <f>IF(tblOrdenes[[#This Row],[centro_costo]]="","",_xlfn.XLOOKUP(tblOrdenes[[#This Row],[centro_costo]],tblCECO[codigo],tblCECO[coordinador],"(sin catálogo)"))</f>
        <v/>
      </c>
      <c r="AA488" s="5">
        <f>IF(tblOrdenes[[#This Row],[puesto_trabajo]]="","",_xlfn.XLOOKUP(tblOrdenes[[#This Row],[puesto_trabajo]],tblPuestos[codigo],tblPuestos[especialidad],"(sin catálogo)"))</f>
        <v/>
      </c>
      <c r="AB488" s="5">
        <f>IF(tblOrdenes[[#This Row],[cod_actividad]]="","",_xlfn.XLOOKUP(tblOrdenes[[#This Row],[cod_actividad]],tblActividades[codigo],tblActividades[descripcion],"(sin catálogo)"))</f>
        <v/>
      </c>
      <c r="AC488" s="20">
        <f>IF(tblOrdenes[[#This Row],[fecha_inicio]]="","",TODAY()-tblOrdenes[[#This Row],[fecha_inicio]])</f>
        <v/>
      </c>
      <c r="AD4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8" s="5">
        <f>IF(tblOrdenes[[#This Row],[backlog_habiles]]="","",IF(tblOrdenes[[#This Row],[backlog_habiles]]&lt;0,"FUTURO",IF(tblOrdenes[[#This Row],[backlog_habiles]]&gt;p_dias_backlog_max,"BACKLOG","MES CORRIENTE")))</f>
        <v/>
      </c>
      <c r="AF488" s="5">
        <f>IF(tblOrdenes[[#This Row],[backlog_habiles]]="",FALSE,AND(tblOrdenes[[#This Row],[backlog_habiles]]&gt;p_dias_backlog_min,tblOrdenes[[#This Row],[backlog_habiles]]&lt;=p_dias_backlog_max))</f>
        <v/>
      </c>
      <c r="AG488" s="4" t="n"/>
      <c r="AH4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8" s="18">
        <f>IF(tblOrdenes[[#This Row],[orden]]="","",_xlfn.XLOOKUP(tblOrdenes[[#This Row],[id_operacion]],tblEjecucion[id_operacion],tblEjecucion[precio],0))</f>
        <v/>
      </c>
      <c r="AL488" s="18">
        <f>IF(tblOrdenes[[#This Row],[orden]]="","",MAX(0,_xlfn.XLOOKUP(tblOrdenes[[#This Row],[id_operacion]],tblEjecucion[id_operacion],tblEjecucion[costo_plan_total],0)-tblOrdenes[[#This Row],[costo_servicio]]))</f>
        <v/>
      </c>
      <c r="AM488" s="18">
        <f>IF(tblOrdenes[[#This Row],[orden]]="","",tblOrdenes[[#This Row],[costo_servicio]]+tblOrdenes[[#This Row],[costo_materiales]])</f>
        <v/>
      </c>
      <c r="AN4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8" s="4" t="n"/>
      <c r="AP488" s="4" t="n"/>
      <c r="AQ488" s="4" t="n"/>
      <c r="AR488" s="5">
        <f>IF(tblOrdenes[[#This Row],[link_checklist]]="","",HYPERLINK(p_ruta_base_checklists&amp;tblOrdenes[[#This Row],[link_checklist]],"abrir"))</f>
        <v/>
      </c>
      <c r="AS488" s="4" t="n"/>
      <c r="AT488" s="5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22" t="n"/>
      <c r="K489" s="5" t="n"/>
      <c r="L489" s="18" t="n"/>
      <c r="M4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5">
        <f>IF(tblOrdenes[[#This Row],[fecha_inicio]]="","",YEAR(tblOrdenes[[#This Row],[fecha_inicio]]))</f>
        <v/>
      </c>
      <c r="Q489" s="5">
        <f>IF(tblOrdenes[[#This Row],[fecha_inicio]]="","",MONTH(tblOrdenes[[#This Row],[fecha_inicio]]))</f>
        <v/>
      </c>
      <c r="R489" s="5">
        <f>IF(tblOrdenes[[#This Row],[fecha_inicio]]="","",tblOrdenes[[#This Row],[anio]]&amp;"-"&amp;TEXT(tblOrdenes[[#This Row],[mes]],"00"))</f>
        <v/>
      </c>
      <c r="S489" s="5">
        <f>IF(tblOrdenes[[#This Row],[fecha_inicio]]="","",INDEX(lista_dias,WEEKDAY(tblOrdenes[[#This Row],[fecha_inicio]],2)))</f>
        <v/>
      </c>
      <c r="T4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9" s="5">
        <f>IF(tblOrdenes[[#This Row],[tipo_ot]]="","",_xlfn.XLOOKUP(tblOrdenes[[#This Row],[tipo_ot]],tblTiposOT[codigo],tblTiposOT[clasificacion],"sin_clasificar"))</f>
        <v/>
      </c>
      <c r="V4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9" s="5">
        <f>IF(tblOrdenes[[#This Row],[centro_costo]]="","",_xlfn.XLOOKUP(tblOrdenes[[#This Row],[centro_costo]],tblCECO[codigo],tblCECO[linea],"(sin catálogo)"))</f>
        <v/>
      </c>
      <c r="X489" s="5">
        <f>IF(tblOrdenes[[#This Row],[centro_costo]]="","",_xlfn.XLOOKUP(tblOrdenes[[#This Row],[centro_costo]],tblCECO[codigo],tblCECO[area],"(sin catálogo)"))</f>
        <v/>
      </c>
      <c r="Y4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89" s="5">
        <f>IF(tblOrdenes[[#This Row],[centro_costo]]="","",_xlfn.XLOOKUP(tblOrdenes[[#This Row],[centro_costo]],tblCECO[codigo],tblCECO[coordinador],"(sin catálogo)"))</f>
        <v/>
      </c>
      <c r="AA489" s="5">
        <f>IF(tblOrdenes[[#This Row],[puesto_trabajo]]="","",_xlfn.XLOOKUP(tblOrdenes[[#This Row],[puesto_trabajo]],tblPuestos[codigo],tblPuestos[especialidad],"(sin catálogo)"))</f>
        <v/>
      </c>
      <c r="AB489" s="5">
        <f>IF(tblOrdenes[[#This Row],[cod_actividad]]="","",_xlfn.XLOOKUP(tblOrdenes[[#This Row],[cod_actividad]],tblActividades[codigo],tblActividades[descripcion],"(sin catálogo)"))</f>
        <v/>
      </c>
      <c r="AC489" s="20">
        <f>IF(tblOrdenes[[#This Row],[fecha_inicio]]="","",TODAY()-tblOrdenes[[#This Row],[fecha_inicio]])</f>
        <v/>
      </c>
      <c r="AD4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89" s="5">
        <f>IF(tblOrdenes[[#This Row],[backlog_habiles]]="","",IF(tblOrdenes[[#This Row],[backlog_habiles]]&lt;0,"FUTURO",IF(tblOrdenes[[#This Row],[backlog_habiles]]&gt;p_dias_backlog_max,"BACKLOG","MES CORRIENTE")))</f>
        <v/>
      </c>
      <c r="AF489" s="5">
        <f>IF(tblOrdenes[[#This Row],[backlog_habiles]]="",FALSE,AND(tblOrdenes[[#This Row],[backlog_habiles]]&gt;p_dias_backlog_min,tblOrdenes[[#This Row],[backlog_habiles]]&lt;=p_dias_backlog_max))</f>
        <v/>
      </c>
      <c r="AG489" s="4" t="n"/>
      <c r="AH4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89" s="18">
        <f>IF(tblOrdenes[[#This Row],[orden]]="","",_xlfn.XLOOKUP(tblOrdenes[[#This Row],[id_operacion]],tblEjecucion[id_operacion],tblEjecucion[precio],0))</f>
        <v/>
      </c>
      <c r="AL489" s="18">
        <f>IF(tblOrdenes[[#This Row],[orden]]="","",MAX(0,_xlfn.XLOOKUP(tblOrdenes[[#This Row],[id_operacion]],tblEjecucion[id_operacion],tblEjecucion[costo_plan_total],0)-tblOrdenes[[#This Row],[costo_servicio]]))</f>
        <v/>
      </c>
      <c r="AM489" s="18">
        <f>IF(tblOrdenes[[#This Row],[orden]]="","",tblOrdenes[[#This Row],[costo_servicio]]+tblOrdenes[[#This Row],[costo_materiales]])</f>
        <v/>
      </c>
      <c r="AN4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89" s="4" t="n"/>
      <c r="AP489" s="4" t="n"/>
      <c r="AQ489" s="4" t="n"/>
      <c r="AR489" s="5">
        <f>IF(tblOrdenes[[#This Row],[link_checklist]]="","",HYPERLINK(p_ruta_base_checklists&amp;tblOrdenes[[#This Row],[link_checklist]],"abrir"))</f>
        <v/>
      </c>
      <c r="AS489" s="4" t="n"/>
      <c r="AT489" s="5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22" t="n"/>
      <c r="K490" s="5" t="n"/>
      <c r="L490" s="18" t="n"/>
      <c r="M4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5">
        <f>IF(tblOrdenes[[#This Row],[fecha_inicio]]="","",YEAR(tblOrdenes[[#This Row],[fecha_inicio]]))</f>
        <v/>
      </c>
      <c r="Q490" s="5">
        <f>IF(tblOrdenes[[#This Row],[fecha_inicio]]="","",MONTH(tblOrdenes[[#This Row],[fecha_inicio]]))</f>
        <v/>
      </c>
      <c r="R490" s="5">
        <f>IF(tblOrdenes[[#This Row],[fecha_inicio]]="","",tblOrdenes[[#This Row],[anio]]&amp;"-"&amp;TEXT(tblOrdenes[[#This Row],[mes]],"00"))</f>
        <v/>
      </c>
      <c r="S490" s="5">
        <f>IF(tblOrdenes[[#This Row],[fecha_inicio]]="","",INDEX(lista_dias,WEEKDAY(tblOrdenes[[#This Row],[fecha_inicio]],2)))</f>
        <v/>
      </c>
      <c r="T4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0" s="5">
        <f>IF(tblOrdenes[[#This Row],[tipo_ot]]="","",_xlfn.XLOOKUP(tblOrdenes[[#This Row],[tipo_ot]],tblTiposOT[codigo],tblTiposOT[clasificacion],"sin_clasificar"))</f>
        <v/>
      </c>
      <c r="V4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0" s="5">
        <f>IF(tblOrdenes[[#This Row],[centro_costo]]="","",_xlfn.XLOOKUP(tblOrdenes[[#This Row],[centro_costo]],tblCECO[codigo],tblCECO[linea],"(sin catálogo)"))</f>
        <v/>
      </c>
      <c r="X490" s="5">
        <f>IF(tblOrdenes[[#This Row],[centro_costo]]="","",_xlfn.XLOOKUP(tblOrdenes[[#This Row],[centro_costo]],tblCECO[codigo],tblCECO[area],"(sin catálogo)"))</f>
        <v/>
      </c>
      <c r="Y4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0" s="5">
        <f>IF(tblOrdenes[[#This Row],[centro_costo]]="","",_xlfn.XLOOKUP(tblOrdenes[[#This Row],[centro_costo]],tblCECO[codigo],tblCECO[coordinador],"(sin catálogo)"))</f>
        <v/>
      </c>
      <c r="AA490" s="5">
        <f>IF(tblOrdenes[[#This Row],[puesto_trabajo]]="","",_xlfn.XLOOKUP(tblOrdenes[[#This Row],[puesto_trabajo]],tblPuestos[codigo],tblPuestos[especialidad],"(sin catálogo)"))</f>
        <v/>
      </c>
      <c r="AB490" s="5">
        <f>IF(tblOrdenes[[#This Row],[cod_actividad]]="","",_xlfn.XLOOKUP(tblOrdenes[[#This Row],[cod_actividad]],tblActividades[codigo],tblActividades[descripcion],"(sin catálogo)"))</f>
        <v/>
      </c>
      <c r="AC490" s="20">
        <f>IF(tblOrdenes[[#This Row],[fecha_inicio]]="","",TODAY()-tblOrdenes[[#This Row],[fecha_inicio]])</f>
        <v/>
      </c>
      <c r="AD4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0" s="5">
        <f>IF(tblOrdenes[[#This Row],[backlog_habiles]]="","",IF(tblOrdenes[[#This Row],[backlog_habiles]]&lt;0,"FUTURO",IF(tblOrdenes[[#This Row],[backlog_habiles]]&gt;p_dias_backlog_max,"BACKLOG","MES CORRIENTE")))</f>
        <v/>
      </c>
      <c r="AF490" s="5">
        <f>IF(tblOrdenes[[#This Row],[backlog_habiles]]="",FALSE,AND(tblOrdenes[[#This Row],[backlog_habiles]]&gt;p_dias_backlog_min,tblOrdenes[[#This Row],[backlog_habiles]]&lt;=p_dias_backlog_max))</f>
        <v/>
      </c>
      <c r="AG490" s="4" t="n"/>
      <c r="AH4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0" s="18">
        <f>IF(tblOrdenes[[#This Row],[orden]]="","",_xlfn.XLOOKUP(tblOrdenes[[#This Row],[id_operacion]],tblEjecucion[id_operacion],tblEjecucion[precio],0))</f>
        <v/>
      </c>
      <c r="AL490" s="18">
        <f>IF(tblOrdenes[[#This Row],[orden]]="","",MAX(0,_xlfn.XLOOKUP(tblOrdenes[[#This Row],[id_operacion]],tblEjecucion[id_operacion],tblEjecucion[costo_plan_total],0)-tblOrdenes[[#This Row],[costo_servicio]]))</f>
        <v/>
      </c>
      <c r="AM490" s="18">
        <f>IF(tblOrdenes[[#This Row],[orden]]="","",tblOrdenes[[#This Row],[costo_servicio]]+tblOrdenes[[#This Row],[costo_materiales]])</f>
        <v/>
      </c>
      <c r="AN4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0" s="4" t="n"/>
      <c r="AP490" s="4" t="n"/>
      <c r="AQ490" s="4" t="n"/>
      <c r="AR490" s="5">
        <f>IF(tblOrdenes[[#This Row],[link_checklist]]="","",HYPERLINK(p_ruta_base_checklists&amp;tblOrdenes[[#This Row],[link_checklist]],"abrir"))</f>
        <v/>
      </c>
      <c r="AS490" s="4" t="n"/>
      <c r="AT490" s="5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22" t="n"/>
      <c r="K491" s="5" t="n"/>
      <c r="L491" s="18" t="n"/>
      <c r="M4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5">
        <f>IF(tblOrdenes[[#This Row],[fecha_inicio]]="","",YEAR(tblOrdenes[[#This Row],[fecha_inicio]]))</f>
        <v/>
      </c>
      <c r="Q491" s="5">
        <f>IF(tblOrdenes[[#This Row],[fecha_inicio]]="","",MONTH(tblOrdenes[[#This Row],[fecha_inicio]]))</f>
        <v/>
      </c>
      <c r="R491" s="5">
        <f>IF(tblOrdenes[[#This Row],[fecha_inicio]]="","",tblOrdenes[[#This Row],[anio]]&amp;"-"&amp;TEXT(tblOrdenes[[#This Row],[mes]],"00"))</f>
        <v/>
      </c>
      <c r="S491" s="5">
        <f>IF(tblOrdenes[[#This Row],[fecha_inicio]]="","",INDEX(lista_dias,WEEKDAY(tblOrdenes[[#This Row],[fecha_inicio]],2)))</f>
        <v/>
      </c>
      <c r="T4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1" s="5">
        <f>IF(tblOrdenes[[#This Row],[tipo_ot]]="","",_xlfn.XLOOKUP(tblOrdenes[[#This Row],[tipo_ot]],tblTiposOT[codigo],tblTiposOT[clasificacion],"sin_clasificar"))</f>
        <v/>
      </c>
      <c r="V4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1" s="5">
        <f>IF(tblOrdenes[[#This Row],[centro_costo]]="","",_xlfn.XLOOKUP(tblOrdenes[[#This Row],[centro_costo]],tblCECO[codigo],tblCECO[linea],"(sin catálogo)"))</f>
        <v/>
      </c>
      <c r="X491" s="5">
        <f>IF(tblOrdenes[[#This Row],[centro_costo]]="","",_xlfn.XLOOKUP(tblOrdenes[[#This Row],[centro_costo]],tblCECO[codigo],tblCECO[area],"(sin catálogo)"))</f>
        <v/>
      </c>
      <c r="Y4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1" s="5">
        <f>IF(tblOrdenes[[#This Row],[centro_costo]]="","",_xlfn.XLOOKUP(tblOrdenes[[#This Row],[centro_costo]],tblCECO[codigo],tblCECO[coordinador],"(sin catálogo)"))</f>
        <v/>
      </c>
      <c r="AA491" s="5">
        <f>IF(tblOrdenes[[#This Row],[puesto_trabajo]]="","",_xlfn.XLOOKUP(tblOrdenes[[#This Row],[puesto_trabajo]],tblPuestos[codigo],tblPuestos[especialidad],"(sin catálogo)"))</f>
        <v/>
      </c>
      <c r="AB491" s="5">
        <f>IF(tblOrdenes[[#This Row],[cod_actividad]]="","",_xlfn.XLOOKUP(tblOrdenes[[#This Row],[cod_actividad]],tblActividades[codigo],tblActividades[descripcion],"(sin catálogo)"))</f>
        <v/>
      </c>
      <c r="AC491" s="20">
        <f>IF(tblOrdenes[[#This Row],[fecha_inicio]]="","",TODAY()-tblOrdenes[[#This Row],[fecha_inicio]])</f>
        <v/>
      </c>
      <c r="AD4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1" s="5">
        <f>IF(tblOrdenes[[#This Row],[backlog_habiles]]="","",IF(tblOrdenes[[#This Row],[backlog_habiles]]&lt;0,"FUTURO",IF(tblOrdenes[[#This Row],[backlog_habiles]]&gt;p_dias_backlog_max,"BACKLOG","MES CORRIENTE")))</f>
        <v/>
      </c>
      <c r="AF491" s="5">
        <f>IF(tblOrdenes[[#This Row],[backlog_habiles]]="",FALSE,AND(tblOrdenes[[#This Row],[backlog_habiles]]&gt;p_dias_backlog_min,tblOrdenes[[#This Row],[backlog_habiles]]&lt;=p_dias_backlog_max))</f>
        <v/>
      </c>
      <c r="AG491" s="4" t="n"/>
      <c r="AH4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1" s="18">
        <f>IF(tblOrdenes[[#This Row],[orden]]="","",_xlfn.XLOOKUP(tblOrdenes[[#This Row],[id_operacion]],tblEjecucion[id_operacion],tblEjecucion[precio],0))</f>
        <v/>
      </c>
      <c r="AL491" s="18">
        <f>IF(tblOrdenes[[#This Row],[orden]]="","",MAX(0,_xlfn.XLOOKUP(tblOrdenes[[#This Row],[id_operacion]],tblEjecucion[id_operacion],tblEjecucion[costo_plan_total],0)-tblOrdenes[[#This Row],[costo_servicio]]))</f>
        <v/>
      </c>
      <c r="AM491" s="18">
        <f>IF(tblOrdenes[[#This Row],[orden]]="","",tblOrdenes[[#This Row],[costo_servicio]]+tblOrdenes[[#This Row],[costo_materiales]])</f>
        <v/>
      </c>
      <c r="AN4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1" s="4" t="n"/>
      <c r="AP491" s="4" t="n"/>
      <c r="AQ491" s="4" t="n"/>
      <c r="AR491" s="5">
        <f>IF(tblOrdenes[[#This Row],[link_checklist]]="","",HYPERLINK(p_ruta_base_checklists&amp;tblOrdenes[[#This Row],[link_checklist]],"abrir"))</f>
        <v/>
      </c>
      <c r="AS491" s="4" t="n"/>
      <c r="AT491" s="5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22" t="n"/>
      <c r="K492" s="5" t="n"/>
      <c r="L492" s="18" t="n"/>
      <c r="M4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5">
        <f>IF(tblOrdenes[[#This Row],[fecha_inicio]]="","",YEAR(tblOrdenes[[#This Row],[fecha_inicio]]))</f>
        <v/>
      </c>
      <c r="Q492" s="5">
        <f>IF(tblOrdenes[[#This Row],[fecha_inicio]]="","",MONTH(tblOrdenes[[#This Row],[fecha_inicio]]))</f>
        <v/>
      </c>
      <c r="R492" s="5">
        <f>IF(tblOrdenes[[#This Row],[fecha_inicio]]="","",tblOrdenes[[#This Row],[anio]]&amp;"-"&amp;TEXT(tblOrdenes[[#This Row],[mes]],"00"))</f>
        <v/>
      </c>
      <c r="S492" s="5">
        <f>IF(tblOrdenes[[#This Row],[fecha_inicio]]="","",INDEX(lista_dias,WEEKDAY(tblOrdenes[[#This Row],[fecha_inicio]],2)))</f>
        <v/>
      </c>
      <c r="T4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2" s="5">
        <f>IF(tblOrdenes[[#This Row],[tipo_ot]]="","",_xlfn.XLOOKUP(tblOrdenes[[#This Row],[tipo_ot]],tblTiposOT[codigo],tblTiposOT[clasificacion],"sin_clasificar"))</f>
        <v/>
      </c>
      <c r="V4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2" s="5">
        <f>IF(tblOrdenes[[#This Row],[centro_costo]]="","",_xlfn.XLOOKUP(tblOrdenes[[#This Row],[centro_costo]],tblCECO[codigo],tblCECO[linea],"(sin catálogo)"))</f>
        <v/>
      </c>
      <c r="X492" s="5">
        <f>IF(tblOrdenes[[#This Row],[centro_costo]]="","",_xlfn.XLOOKUP(tblOrdenes[[#This Row],[centro_costo]],tblCECO[codigo],tblCECO[area],"(sin catálogo)"))</f>
        <v/>
      </c>
      <c r="Y4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2" s="5">
        <f>IF(tblOrdenes[[#This Row],[centro_costo]]="","",_xlfn.XLOOKUP(tblOrdenes[[#This Row],[centro_costo]],tblCECO[codigo],tblCECO[coordinador],"(sin catálogo)"))</f>
        <v/>
      </c>
      <c r="AA492" s="5">
        <f>IF(tblOrdenes[[#This Row],[puesto_trabajo]]="","",_xlfn.XLOOKUP(tblOrdenes[[#This Row],[puesto_trabajo]],tblPuestos[codigo],tblPuestos[especialidad],"(sin catálogo)"))</f>
        <v/>
      </c>
      <c r="AB492" s="5">
        <f>IF(tblOrdenes[[#This Row],[cod_actividad]]="","",_xlfn.XLOOKUP(tblOrdenes[[#This Row],[cod_actividad]],tblActividades[codigo],tblActividades[descripcion],"(sin catálogo)"))</f>
        <v/>
      </c>
      <c r="AC492" s="20">
        <f>IF(tblOrdenes[[#This Row],[fecha_inicio]]="","",TODAY()-tblOrdenes[[#This Row],[fecha_inicio]])</f>
        <v/>
      </c>
      <c r="AD4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2" s="5">
        <f>IF(tblOrdenes[[#This Row],[backlog_habiles]]="","",IF(tblOrdenes[[#This Row],[backlog_habiles]]&lt;0,"FUTURO",IF(tblOrdenes[[#This Row],[backlog_habiles]]&gt;p_dias_backlog_max,"BACKLOG","MES CORRIENTE")))</f>
        <v/>
      </c>
      <c r="AF492" s="5">
        <f>IF(tblOrdenes[[#This Row],[backlog_habiles]]="",FALSE,AND(tblOrdenes[[#This Row],[backlog_habiles]]&gt;p_dias_backlog_min,tblOrdenes[[#This Row],[backlog_habiles]]&lt;=p_dias_backlog_max))</f>
        <v/>
      </c>
      <c r="AG492" s="4" t="n"/>
      <c r="AH4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2" s="18">
        <f>IF(tblOrdenes[[#This Row],[orden]]="","",_xlfn.XLOOKUP(tblOrdenes[[#This Row],[id_operacion]],tblEjecucion[id_operacion],tblEjecucion[precio],0))</f>
        <v/>
      </c>
      <c r="AL492" s="18">
        <f>IF(tblOrdenes[[#This Row],[orden]]="","",MAX(0,_xlfn.XLOOKUP(tblOrdenes[[#This Row],[id_operacion]],tblEjecucion[id_operacion],tblEjecucion[costo_plan_total],0)-tblOrdenes[[#This Row],[costo_servicio]]))</f>
        <v/>
      </c>
      <c r="AM492" s="18">
        <f>IF(tblOrdenes[[#This Row],[orden]]="","",tblOrdenes[[#This Row],[costo_servicio]]+tblOrdenes[[#This Row],[costo_materiales]])</f>
        <v/>
      </c>
      <c r="AN4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2" s="4" t="n"/>
      <c r="AP492" s="4" t="n"/>
      <c r="AQ492" s="4" t="n"/>
      <c r="AR492" s="5">
        <f>IF(tblOrdenes[[#This Row],[link_checklist]]="","",HYPERLINK(p_ruta_base_checklists&amp;tblOrdenes[[#This Row],[link_checklist]],"abrir"))</f>
        <v/>
      </c>
      <c r="AS492" s="4" t="n"/>
      <c r="AT492" s="5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22" t="n"/>
      <c r="K493" s="5" t="n"/>
      <c r="L493" s="18" t="n"/>
      <c r="M4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5">
        <f>IF(tblOrdenes[[#This Row],[fecha_inicio]]="","",YEAR(tblOrdenes[[#This Row],[fecha_inicio]]))</f>
        <v/>
      </c>
      <c r="Q493" s="5">
        <f>IF(tblOrdenes[[#This Row],[fecha_inicio]]="","",MONTH(tblOrdenes[[#This Row],[fecha_inicio]]))</f>
        <v/>
      </c>
      <c r="R493" s="5">
        <f>IF(tblOrdenes[[#This Row],[fecha_inicio]]="","",tblOrdenes[[#This Row],[anio]]&amp;"-"&amp;TEXT(tblOrdenes[[#This Row],[mes]],"00"))</f>
        <v/>
      </c>
      <c r="S493" s="5">
        <f>IF(tblOrdenes[[#This Row],[fecha_inicio]]="","",INDEX(lista_dias,WEEKDAY(tblOrdenes[[#This Row],[fecha_inicio]],2)))</f>
        <v/>
      </c>
      <c r="T4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3" s="5">
        <f>IF(tblOrdenes[[#This Row],[tipo_ot]]="","",_xlfn.XLOOKUP(tblOrdenes[[#This Row],[tipo_ot]],tblTiposOT[codigo],tblTiposOT[clasificacion],"sin_clasificar"))</f>
        <v/>
      </c>
      <c r="V4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3" s="5">
        <f>IF(tblOrdenes[[#This Row],[centro_costo]]="","",_xlfn.XLOOKUP(tblOrdenes[[#This Row],[centro_costo]],tblCECO[codigo],tblCECO[linea],"(sin catálogo)"))</f>
        <v/>
      </c>
      <c r="X493" s="5">
        <f>IF(tblOrdenes[[#This Row],[centro_costo]]="","",_xlfn.XLOOKUP(tblOrdenes[[#This Row],[centro_costo]],tblCECO[codigo],tblCECO[area],"(sin catálogo)"))</f>
        <v/>
      </c>
      <c r="Y4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3" s="5">
        <f>IF(tblOrdenes[[#This Row],[centro_costo]]="","",_xlfn.XLOOKUP(tblOrdenes[[#This Row],[centro_costo]],tblCECO[codigo],tblCECO[coordinador],"(sin catálogo)"))</f>
        <v/>
      </c>
      <c r="AA493" s="5">
        <f>IF(tblOrdenes[[#This Row],[puesto_trabajo]]="","",_xlfn.XLOOKUP(tblOrdenes[[#This Row],[puesto_trabajo]],tblPuestos[codigo],tblPuestos[especialidad],"(sin catálogo)"))</f>
        <v/>
      </c>
      <c r="AB493" s="5">
        <f>IF(tblOrdenes[[#This Row],[cod_actividad]]="","",_xlfn.XLOOKUP(tblOrdenes[[#This Row],[cod_actividad]],tblActividades[codigo],tblActividades[descripcion],"(sin catálogo)"))</f>
        <v/>
      </c>
      <c r="AC493" s="20">
        <f>IF(tblOrdenes[[#This Row],[fecha_inicio]]="","",TODAY()-tblOrdenes[[#This Row],[fecha_inicio]])</f>
        <v/>
      </c>
      <c r="AD4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3" s="5">
        <f>IF(tblOrdenes[[#This Row],[backlog_habiles]]="","",IF(tblOrdenes[[#This Row],[backlog_habiles]]&lt;0,"FUTURO",IF(tblOrdenes[[#This Row],[backlog_habiles]]&gt;p_dias_backlog_max,"BACKLOG","MES CORRIENTE")))</f>
        <v/>
      </c>
      <c r="AF493" s="5">
        <f>IF(tblOrdenes[[#This Row],[backlog_habiles]]="",FALSE,AND(tblOrdenes[[#This Row],[backlog_habiles]]&gt;p_dias_backlog_min,tblOrdenes[[#This Row],[backlog_habiles]]&lt;=p_dias_backlog_max))</f>
        <v/>
      </c>
      <c r="AG493" s="4" t="n"/>
      <c r="AH4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3" s="18">
        <f>IF(tblOrdenes[[#This Row],[orden]]="","",_xlfn.XLOOKUP(tblOrdenes[[#This Row],[id_operacion]],tblEjecucion[id_operacion],tblEjecucion[precio],0))</f>
        <v/>
      </c>
      <c r="AL493" s="18">
        <f>IF(tblOrdenes[[#This Row],[orden]]="","",MAX(0,_xlfn.XLOOKUP(tblOrdenes[[#This Row],[id_operacion]],tblEjecucion[id_operacion],tblEjecucion[costo_plan_total],0)-tblOrdenes[[#This Row],[costo_servicio]]))</f>
        <v/>
      </c>
      <c r="AM493" s="18">
        <f>IF(tblOrdenes[[#This Row],[orden]]="","",tblOrdenes[[#This Row],[costo_servicio]]+tblOrdenes[[#This Row],[costo_materiales]])</f>
        <v/>
      </c>
      <c r="AN4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3" s="4" t="n"/>
      <c r="AP493" s="4" t="n"/>
      <c r="AQ493" s="4" t="n"/>
      <c r="AR493" s="5">
        <f>IF(tblOrdenes[[#This Row],[link_checklist]]="","",HYPERLINK(p_ruta_base_checklists&amp;tblOrdenes[[#This Row],[link_checklist]],"abrir"))</f>
        <v/>
      </c>
      <c r="AS493" s="4" t="n"/>
      <c r="AT493" s="5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22" t="n"/>
      <c r="K494" s="5" t="n"/>
      <c r="L494" s="18" t="n"/>
      <c r="M4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5">
        <f>IF(tblOrdenes[[#This Row],[fecha_inicio]]="","",YEAR(tblOrdenes[[#This Row],[fecha_inicio]]))</f>
        <v/>
      </c>
      <c r="Q494" s="5">
        <f>IF(tblOrdenes[[#This Row],[fecha_inicio]]="","",MONTH(tblOrdenes[[#This Row],[fecha_inicio]]))</f>
        <v/>
      </c>
      <c r="R494" s="5">
        <f>IF(tblOrdenes[[#This Row],[fecha_inicio]]="","",tblOrdenes[[#This Row],[anio]]&amp;"-"&amp;TEXT(tblOrdenes[[#This Row],[mes]],"00"))</f>
        <v/>
      </c>
      <c r="S494" s="5">
        <f>IF(tblOrdenes[[#This Row],[fecha_inicio]]="","",INDEX(lista_dias,WEEKDAY(tblOrdenes[[#This Row],[fecha_inicio]],2)))</f>
        <v/>
      </c>
      <c r="T4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4" s="5">
        <f>IF(tblOrdenes[[#This Row],[tipo_ot]]="","",_xlfn.XLOOKUP(tblOrdenes[[#This Row],[tipo_ot]],tblTiposOT[codigo],tblTiposOT[clasificacion],"sin_clasificar"))</f>
        <v/>
      </c>
      <c r="V4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4" s="5">
        <f>IF(tblOrdenes[[#This Row],[centro_costo]]="","",_xlfn.XLOOKUP(tblOrdenes[[#This Row],[centro_costo]],tblCECO[codigo],tblCECO[linea],"(sin catálogo)"))</f>
        <v/>
      </c>
      <c r="X494" s="5">
        <f>IF(tblOrdenes[[#This Row],[centro_costo]]="","",_xlfn.XLOOKUP(tblOrdenes[[#This Row],[centro_costo]],tblCECO[codigo],tblCECO[area],"(sin catálogo)"))</f>
        <v/>
      </c>
      <c r="Y4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4" s="5">
        <f>IF(tblOrdenes[[#This Row],[centro_costo]]="","",_xlfn.XLOOKUP(tblOrdenes[[#This Row],[centro_costo]],tblCECO[codigo],tblCECO[coordinador],"(sin catálogo)"))</f>
        <v/>
      </c>
      <c r="AA494" s="5">
        <f>IF(tblOrdenes[[#This Row],[puesto_trabajo]]="","",_xlfn.XLOOKUP(tblOrdenes[[#This Row],[puesto_trabajo]],tblPuestos[codigo],tblPuestos[especialidad],"(sin catálogo)"))</f>
        <v/>
      </c>
      <c r="AB494" s="5">
        <f>IF(tblOrdenes[[#This Row],[cod_actividad]]="","",_xlfn.XLOOKUP(tblOrdenes[[#This Row],[cod_actividad]],tblActividades[codigo],tblActividades[descripcion],"(sin catálogo)"))</f>
        <v/>
      </c>
      <c r="AC494" s="20">
        <f>IF(tblOrdenes[[#This Row],[fecha_inicio]]="","",TODAY()-tblOrdenes[[#This Row],[fecha_inicio]])</f>
        <v/>
      </c>
      <c r="AD4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4" s="5">
        <f>IF(tblOrdenes[[#This Row],[backlog_habiles]]="","",IF(tblOrdenes[[#This Row],[backlog_habiles]]&lt;0,"FUTURO",IF(tblOrdenes[[#This Row],[backlog_habiles]]&gt;p_dias_backlog_max,"BACKLOG","MES CORRIENTE")))</f>
        <v/>
      </c>
      <c r="AF494" s="5">
        <f>IF(tblOrdenes[[#This Row],[backlog_habiles]]="",FALSE,AND(tblOrdenes[[#This Row],[backlog_habiles]]&gt;p_dias_backlog_min,tblOrdenes[[#This Row],[backlog_habiles]]&lt;=p_dias_backlog_max))</f>
        <v/>
      </c>
      <c r="AG494" s="4" t="n"/>
      <c r="AH4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4" s="18">
        <f>IF(tblOrdenes[[#This Row],[orden]]="","",_xlfn.XLOOKUP(tblOrdenes[[#This Row],[id_operacion]],tblEjecucion[id_operacion],tblEjecucion[precio],0))</f>
        <v/>
      </c>
      <c r="AL494" s="18">
        <f>IF(tblOrdenes[[#This Row],[orden]]="","",MAX(0,_xlfn.XLOOKUP(tblOrdenes[[#This Row],[id_operacion]],tblEjecucion[id_operacion],tblEjecucion[costo_plan_total],0)-tblOrdenes[[#This Row],[costo_servicio]]))</f>
        <v/>
      </c>
      <c r="AM494" s="18">
        <f>IF(tblOrdenes[[#This Row],[orden]]="","",tblOrdenes[[#This Row],[costo_servicio]]+tblOrdenes[[#This Row],[costo_materiales]])</f>
        <v/>
      </c>
      <c r="AN4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4" s="4" t="n"/>
      <c r="AP494" s="4" t="n"/>
      <c r="AQ494" s="4" t="n"/>
      <c r="AR494" s="5">
        <f>IF(tblOrdenes[[#This Row],[link_checklist]]="","",HYPERLINK(p_ruta_base_checklists&amp;tblOrdenes[[#This Row],[link_checklist]],"abrir"))</f>
        <v/>
      </c>
      <c r="AS494" s="4" t="n"/>
      <c r="AT494" s="5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22" t="n"/>
      <c r="K495" s="5" t="n"/>
      <c r="L495" s="18" t="n"/>
      <c r="M4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5">
        <f>IF(tblOrdenes[[#This Row],[fecha_inicio]]="","",YEAR(tblOrdenes[[#This Row],[fecha_inicio]]))</f>
        <v/>
      </c>
      <c r="Q495" s="5">
        <f>IF(tblOrdenes[[#This Row],[fecha_inicio]]="","",MONTH(tblOrdenes[[#This Row],[fecha_inicio]]))</f>
        <v/>
      </c>
      <c r="R495" s="5">
        <f>IF(tblOrdenes[[#This Row],[fecha_inicio]]="","",tblOrdenes[[#This Row],[anio]]&amp;"-"&amp;TEXT(tblOrdenes[[#This Row],[mes]],"00"))</f>
        <v/>
      </c>
      <c r="S495" s="5">
        <f>IF(tblOrdenes[[#This Row],[fecha_inicio]]="","",INDEX(lista_dias,WEEKDAY(tblOrdenes[[#This Row],[fecha_inicio]],2)))</f>
        <v/>
      </c>
      <c r="T4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5" s="5">
        <f>IF(tblOrdenes[[#This Row],[tipo_ot]]="","",_xlfn.XLOOKUP(tblOrdenes[[#This Row],[tipo_ot]],tblTiposOT[codigo],tblTiposOT[clasificacion],"sin_clasificar"))</f>
        <v/>
      </c>
      <c r="V4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5" s="5">
        <f>IF(tblOrdenes[[#This Row],[centro_costo]]="","",_xlfn.XLOOKUP(tblOrdenes[[#This Row],[centro_costo]],tblCECO[codigo],tblCECO[linea],"(sin catálogo)"))</f>
        <v/>
      </c>
      <c r="X495" s="5">
        <f>IF(tblOrdenes[[#This Row],[centro_costo]]="","",_xlfn.XLOOKUP(tblOrdenes[[#This Row],[centro_costo]],tblCECO[codigo],tblCECO[area],"(sin catálogo)"))</f>
        <v/>
      </c>
      <c r="Y4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5" s="5">
        <f>IF(tblOrdenes[[#This Row],[centro_costo]]="","",_xlfn.XLOOKUP(tblOrdenes[[#This Row],[centro_costo]],tblCECO[codigo],tblCECO[coordinador],"(sin catálogo)"))</f>
        <v/>
      </c>
      <c r="AA495" s="5">
        <f>IF(tblOrdenes[[#This Row],[puesto_trabajo]]="","",_xlfn.XLOOKUP(tblOrdenes[[#This Row],[puesto_trabajo]],tblPuestos[codigo],tblPuestos[especialidad],"(sin catálogo)"))</f>
        <v/>
      </c>
      <c r="AB495" s="5">
        <f>IF(tblOrdenes[[#This Row],[cod_actividad]]="","",_xlfn.XLOOKUP(tblOrdenes[[#This Row],[cod_actividad]],tblActividades[codigo],tblActividades[descripcion],"(sin catálogo)"))</f>
        <v/>
      </c>
      <c r="AC495" s="20">
        <f>IF(tblOrdenes[[#This Row],[fecha_inicio]]="","",TODAY()-tblOrdenes[[#This Row],[fecha_inicio]])</f>
        <v/>
      </c>
      <c r="AD4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5" s="5">
        <f>IF(tblOrdenes[[#This Row],[backlog_habiles]]="","",IF(tblOrdenes[[#This Row],[backlog_habiles]]&lt;0,"FUTURO",IF(tblOrdenes[[#This Row],[backlog_habiles]]&gt;p_dias_backlog_max,"BACKLOG","MES CORRIENTE")))</f>
        <v/>
      </c>
      <c r="AF495" s="5">
        <f>IF(tblOrdenes[[#This Row],[backlog_habiles]]="",FALSE,AND(tblOrdenes[[#This Row],[backlog_habiles]]&gt;p_dias_backlog_min,tblOrdenes[[#This Row],[backlog_habiles]]&lt;=p_dias_backlog_max))</f>
        <v/>
      </c>
      <c r="AG495" s="4" t="n"/>
      <c r="AH4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5" s="18">
        <f>IF(tblOrdenes[[#This Row],[orden]]="","",_xlfn.XLOOKUP(tblOrdenes[[#This Row],[id_operacion]],tblEjecucion[id_operacion],tblEjecucion[precio],0))</f>
        <v/>
      </c>
      <c r="AL495" s="18">
        <f>IF(tblOrdenes[[#This Row],[orden]]="","",MAX(0,_xlfn.XLOOKUP(tblOrdenes[[#This Row],[id_operacion]],tblEjecucion[id_operacion],tblEjecucion[costo_plan_total],0)-tblOrdenes[[#This Row],[costo_servicio]]))</f>
        <v/>
      </c>
      <c r="AM495" s="18">
        <f>IF(tblOrdenes[[#This Row],[orden]]="","",tblOrdenes[[#This Row],[costo_servicio]]+tblOrdenes[[#This Row],[costo_materiales]])</f>
        <v/>
      </c>
      <c r="AN4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5" s="4" t="n"/>
      <c r="AP495" s="4" t="n"/>
      <c r="AQ495" s="4" t="n"/>
      <c r="AR495" s="5">
        <f>IF(tblOrdenes[[#This Row],[link_checklist]]="","",HYPERLINK(p_ruta_base_checklists&amp;tblOrdenes[[#This Row],[link_checklist]],"abrir"))</f>
        <v/>
      </c>
      <c r="AS495" s="4" t="n"/>
      <c r="AT495" s="5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22" t="n"/>
      <c r="K496" s="5" t="n"/>
      <c r="L496" s="18" t="n"/>
      <c r="M4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5">
        <f>IF(tblOrdenes[[#This Row],[fecha_inicio]]="","",YEAR(tblOrdenes[[#This Row],[fecha_inicio]]))</f>
        <v/>
      </c>
      <c r="Q496" s="5">
        <f>IF(tblOrdenes[[#This Row],[fecha_inicio]]="","",MONTH(tblOrdenes[[#This Row],[fecha_inicio]]))</f>
        <v/>
      </c>
      <c r="R496" s="5">
        <f>IF(tblOrdenes[[#This Row],[fecha_inicio]]="","",tblOrdenes[[#This Row],[anio]]&amp;"-"&amp;TEXT(tblOrdenes[[#This Row],[mes]],"00"))</f>
        <v/>
      </c>
      <c r="S496" s="5">
        <f>IF(tblOrdenes[[#This Row],[fecha_inicio]]="","",INDEX(lista_dias,WEEKDAY(tblOrdenes[[#This Row],[fecha_inicio]],2)))</f>
        <v/>
      </c>
      <c r="T4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6" s="5">
        <f>IF(tblOrdenes[[#This Row],[tipo_ot]]="","",_xlfn.XLOOKUP(tblOrdenes[[#This Row],[tipo_ot]],tblTiposOT[codigo],tblTiposOT[clasificacion],"sin_clasificar"))</f>
        <v/>
      </c>
      <c r="V4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6" s="5">
        <f>IF(tblOrdenes[[#This Row],[centro_costo]]="","",_xlfn.XLOOKUP(tblOrdenes[[#This Row],[centro_costo]],tblCECO[codigo],tblCECO[linea],"(sin catálogo)"))</f>
        <v/>
      </c>
      <c r="X496" s="5">
        <f>IF(tblOrdenes[[#This Row],[centro_costo]]="","",_xlfn.XLOOKUP(tblOrdenes[[#This Row],[centro_costo]],tblCECO[codigo],tblCECO[area],"(sin catálogo)"))</f>
        <v/>
      </c>
      <c r="Y4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6" s="5">
        <f>IF(tblOrdenes[[#This Row],[centro_costo]]="","",_xlfn.XLOOKUP(tblOrdenes[[#This Row],[centro_costo]],tblCECO[codigo],tblCECO[coordinador],"(sin catálogo)"))</f>
        <v/>
      </c>
      <c r="AA496" s="5">
        <f>IF(tblOrdenes[[#This Row],[puesto_trabajo]]="","",_xlfn.XLOOKUP(tblOrdenes[[#This Row],[puesto_trabajo]],tblPuestos[codigo],tblPuestos[especialidad],"(sin catálogo)"))</f>
        <v/>
      </c>
      <c r="AB496" s="5">
        <f>IF(tblOrdenes[[#This Row],[cod_actividad]]="","",_xlfn.XLOOKUP(tblOrdenes[[#This Row],[cod_actividad]],tblActividades[codigo],tblActividades[descripcion],"(sin catálogo)"))</f>
        <v/>
      </c>
      <c r="AC496" s="20">
        <f>IF(tblOrdenes[[#This Row],[fecha_inicio]]="","",TODAY()-tblOrdenes[[#This Row],[fecha_inicio]])</f>
        <v/>
      </c>
      <c r="AD4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6" s="5">
        <f>IF(tblOrdenes[[#This Row],[backlog_habiles]]="","",IF(tblOrdenes[[#This Row],[backlog_habiles]]&lt;0,"FUTURO",IF(tblOrdenes[[#This Row],[backlog_habiles]]&gt;p_dias_backlog_max,"BACKLOG","MES CORRIENTE")))</f>
        <v/>
      </c>
      <c r="AF496" s="5">
        <f>IF(tblOrdenes[[#This Row],[backlog_habiles]]="",FALSE,AND(tblOrdenes[[#This Row],[backlog_habiles]]&gt;p_dias_backlog_min,tblOrdenes[[#This Row],[backlog_habiles]]&lt;=p_dias_backlog_max))</f>
        <v/>
      </c>
      <c r="AG496" s="4" t="n"/>
      <c r="AH4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6" s="18">
        <f>IF(tblOrdenes[[#This Row],[orden]]="","",_xlfn.XLOOKUP(tblOrdenes[[#This Row],[id_operacion]],tblEjecucion[id_operacion],tblEjecucion[precio],0))</f>
        <v/>
      </c>
      <c r="AL496" s="18">
        <f>IF(tblOrdenes[[#This Row],[orden]]="","",MAX(0,_xlfn.XLOOKUP(tblOrdenes[[#This Row],[id_operacion]],tblEjecucion[id_operacion],tblEjecucion[costo_plan_total],0)-tblOrdenes[[#This Row],[costo_servicio]]))</f>
        <v/>
      </c>
      <c r="AM496" s="18">
        <f>IF(tblOrdenes[[#This Row],[orden]]="","",tblOrdenes[[#This Row],[costo_servicio]]+tblOrdenes[[#This Row],[costo_materiales]])</f>
        <v/>
      </c>
      <c r="AN4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6" s="4" t="n"/>
      <c r="AP496" s="4" t="n"/>
      <c r="AQ496" s="4" t="n"/>
      <c r="AR496" s="5">
        <f>IF(tblOrdenes[[#This Row],[link_checklist]]="","",HYPERLINK(p_ruta_base_checklists&amp;tblOrdenes[[#This Row],[link_checklist]],"abrir"))</f>
        <v/>
      </c>
      <c r="AS496" s="4" t="n"/>
      <c r="AT496" s="5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22" t="n"/>
      <c r="K497" s="5" t="n"/>
      <c r="L497" s="18" t="n"/>
      <c r="M4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5">
        <f>IF(tblOrdenes[[#This Row],[fecha_inicio]]="","",YEAR(tblOrdenes[[#This Row],[fecha_inicio]]))</f>
        <v/>
      </c>
      <c r="Q497" s="5">
        <f>IF(tblOrdenes[[#This Row],[fecha_inicio]]="","",MONTH(tblOrdenes[[#This Row],[fecha_inicio]]))</f>
        <v/>
      </c>
      <c r="R497" s="5">
        <f>IF(tblOrdenes[[#This Row],[fecha_inicio]]="","",tblOrdenes[[#This Row],[anio]]&amp;"-"&amp;TEXT(tblOrdenes[[#This Row],[mes]],"00"))</f>
        <v/>
      </c>
      <c r="S497" s="5">
        <f>IF(tblOrdenes[[#This Row],[fecha_inicio]]="","",INDEX(lista_dias,WEEKDAY(tblOrdenes[[#This Row],[fecha_inicio]],2)))</f>
        <v/>
      </c>
      <c r="T4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7" s="5">
        <f>IF(tblOrdenes[[#This Row],[tipo_ot]]="","",_xlfn.XLOOKUP(tblOrdenes[[#This Row],[tipo_ot]],tblTiposOT[codigo],tblTiposOT[clasificacion],"sin_clasificar"))</f>
        <v/>
      </c>
      <c r="V4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7" s="5">
        <f>IF(tblOrdenes[[#This Row],[centro_costo]]="","",_xlfn.XLOOKUP(tblOrdenes[[#This Row],[centro_costo]],tblCECO[codigo],tblCECO[linea],"(sin catálogo)"))</f>
        <v/>
      </c>
      <c r="X497" s="5">
        <f>IF(tblOrdenes[[#This Row],[centro_costo]]="","",_xlfn.XLOOKUP(tblOrdenes[[#This Row],[centro_costo]],tblCECO[codigo],tblCECO[area],"(sin catálogo)"))</f>
        <v/>
      </c>
      <c r="Y4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7" s="5">
        <f>IF(tblOrdenes[[#This Row],[centro_costo]]="","",_xlfn.XLOOKUP(tblOrdenes[[#This Row],[centro_costo]],tblCECO[codigo],tblCECO[coordinador],"(sin catálogo)"))</f>
        <v/>
      </c>
      <c r="AA497" s="5">
        <f>IF(tblOrdenes[[#This Row],[puesto_trabajo]]="","",_xlfn.XLOOKUP(tblOrdenes[[#This Row],[puesto_trabajo]],tblPuestos[codigo],tblPuestos[especialidad],"(sin catálogo)"))</f>
        <v/>
      </c>
      <c r="AB497" s="5">
        <f>IF(tblOrdenes[[#This Row],[cod_actividad]]="","",_xlfn.XLOOKUP(tblOrdenes[[#This Row],[cod_actividad]],tblActividades[codigo],tblActividades[descripcion],"(sin catálogo)"))</f>
        <v/>
      </c>
      <c r="AC497" s="20">
        <f>IF(tblOrdenes[[#This Row],[fecha_inicio]]="","",TODAY()-tblOrdenes[[#This Row],[fecha_inicio]])</f>
        <v/>
      </c>
      <c r="AD4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7" s="5">
        <f>IF(tblOrdenes[[#This Row],[backlog_habiles]]="","",IF(tblOrdenes[[#This Row],[backlog_habiles]]&lt;0,"FUTURO",IF(tblOrdenes[[#This Row],[backlog_habiles]]&gt;p_dias_backlog_max,"BACKLOG","MES CORRIENTE")))</f>
        <v/>
      </c>
      <c r="AF497" s="5">
        <f>IF(tblOrdenes[[#This Row],[backlog_habiles]]="",FALSE,AND(tblOrdenes[[#This Row],[backlog_habiles]]&gt;p_dias_backlog_min,tblOrdenes[[#This Row],[backlog_habiles]]&lt;=p_dias_backlog_max))</f>
        <v/>
      </c>
      <c r="AG497" s="4" t="n"/>
      <c r="AH4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7" s="18">
        <f>IF(tblOrdenes[[#This Row],[orden]]="","",_xlfn.XLOOKUP(tblOrdenes[[#This Row],[id_operacion]],tblEjecucion[id_operacion],tblEjecucion[precio],0))</f>
        <v/>
      </c>
      <c r="AL497" s="18">
        <f>IF(tblOrdenes[[#This Row],[orden]]="","",MAX(0,_xlfn.XLOOKUP(tblOrdenes[[#This Row],[id_operacion]],tblEjecucion[id_operacion],tblEjecucion[costo_plan_total],0)-tblOrdenes[[#This Row],[costo_servicio]]))</f>
        <v/>
      </c>
      <c r="AM497" s="18">
        <f>IF(tblOrdenes[[#This Row],[orden]]="","",tblOrdenes[[#This Row],[costo_servicio]]+tblOrdenes[[#This Row],[costo_materiales]])</f>
        <v/>
      </c>
      <c r="AN4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7" s="4" t="n"/>
      <c r="AP497" s="4" t="n"/>
      <c r="AQ497" s="4" t="n"/>
      <c r="AR497" s="5">
        <f>IF(tblOrdenes[[#This Row],[link_checklist]]="","",HYPERLINK(p_ruta_base_checklists&amp;tblOrdenes[[#This Row],[link_checklist]],"abrir"))</f>
        <v/>
      </c>
      <c r="AS497" s="4" t="n"/>
      <c r="AT497" s="5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22" t="n"/>
      <c r="K498" s="5" t="n"/>
      <c r="L498" s="18" t="n"/>
      <c r="M4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5">
        <f>IF(tblOrdenes[[#This Row],[fecha_inicio]]="","",YEAR(tblOrdenes[[#This Row],[fecha_inicio]]))</f>
        <v/>
      </c>
      <c r="Q498" s="5">
        <f>IF(tblOrdenes[[#This Row],[fecha_inicio]]="","",MONTH(tblOrdenes[[#This Row],[fecha_inicio]]))</f>
        <v/>
      </c>
      <c r="R498" s="5">
        <f>IF(tblOrdenes[[#This Row],[fecha_inicio]]="","",tblOrdenes[[#This Row],[anio]]&amp;"-"&amp;TEXT(tblOrdenes[[#This Row],[mes]],"00"))</f>
        <v/>
      </c>
      <c r="S498" s="5">
        <f>IF(tblOrdenes[[#This Row],[fecha_inicio]]="","",INDEX(lista_dias,WEEKDAY(tblOrdenes[[#This Row],[fecha_inicio]],2)))</f>
        <v/>
      </c>
      <c r="T4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8" s="5">
        <f>IF(tblOrdenes[[#This Row],[tipo_ot]]="","",_xlfn.XLOOKUP(tblOrdenes[[#This Row],[tipo_ot]],tblTiposOT[codigo],tblTiposOT[clasificacion],"sin_clasificar"))</f>
        <v/>
      </c>
      <c r="V4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8" s="5">
        <f>IF(tblOrdenes[[#This Row],[centro_costo]]="","",_xlfn.XLOOKUP(tblOrdenes[[#This Row],[centro_costo]],tblCECO[codigo],tblCECO[linea],"(sin catálogo)"))</f>
        <v/>
      </c>
      <c r="X498" s="5">
        <f>IF(tblOrdenes[[#This Row],[centro_costo]]="","",_xlfn.XLOOKUP(tblOrdenes[[#This Row],[centro_costo]],tblCECO[codigo],tblCECO[area],"(sin catálogo)"))</f>
        <v/>
      </c>
      <c r="Y4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8" s="5">
        <f>IF(tblOrdenes[[#This Row],[centro_costo]]="","",_xlfn.XLOOKUP(tblOrdenes[[#This Row],[centro_costo]],tblCECO[codigo],tblCECO[coordinador],"(sin catálogo)"))</f>
        <v/>
      </c>
      <c r="AA498" s="5">
        <f>IF(tblOrdenes[[#This Row],[puesto_trabajo]]="","",_xlfn.XLOOKUP(tblOrdenes[[#This Row],[puesto_trabajo]],tblPuestos[codigo],tblPuestos[especialidad],"(sin catálogo)"))</f>
        <v/>
      </c>
      <c r="AB498" s="5">
        <f>IF(tblOrdenes[[#This Row],[cod_actividad]]="","",_xlfn.XLOOKUP(tblOrdenes[[#This Row],[cod_actividad]],tblActividades[codigo],tblActividades[descripcion],"(sin catálogo)"))</f>
        <v/>
      </c>
      <c r="AC498" s="20">
        <f>IF(tblOrdenes[[#This Row],[fecha_inicio]]="","",TODAY()-tblOrdenes[[#This Row],[fecha_inicio]])</f>
        <v/>
      </c>
      <c r="AD4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8" s="5">
        <f>IF(tblOrdenes[[#This Row],[backlog_habiles]]="","",IF(tblOrdenes[[#This Row],[backlog_habiles]]&lt;0,"FUTURO",IF(tblOrdenes[[#This Row],[backlog_habiles]]&gt;p_dias_backlog_max,"BACKLOG","MES CORRIENTE")))</f>
        <v/>
      </c>
      <c r="AF498" s="5">
        <f>IF(tblOrdenes[[#This Row],[backlog_habiles]]="",FALSE,AND(tblOrdenes[[#This Row],[backlog_habiles]]&gt;p_dias_backlog_min,tblOrdenes[[#This Row],[backlog_habiles]]&lt;=p_dias_backlog_max))</f>
        <v/>
      </c>
      <c r="AG498" s="4" t="n"/>
      <c r="AH4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8" s="18">
        <f>IF(tblOrdenes[[#This Row],[orden]]="","",_xlfn.XLOOKUP(tblOrdenes[[#This Row],[id_operacion]],tblEjecucion[id_operacion],tblEjecucion[precio],0))</f>
        <v/>
      </c>
      <c r="AL498" s="18">
        <f>IF(tblOrdenes[[#This Row],[orden]]="","",MAX(0,_xlfn.XLOOKUP(tblOrdenes[[#This Row],[id_operacion]],tblEjecucion[id_operacion],tblEjecucion[costo_plan_total],0)-tblOrdenes[[#This Row],[costo_servicio]]))</f>
        <v/>
      </c>
      <c r="AM498" s="18">
        <f>IF(tblOrdenes[[#This Row],[orden]]="","",tblOrdenes[[#This Row],[costo_servicio]]+tblOrdenes[[#This Row],[costo_materiales]])</f>
        <v/>
      </c>
      <c r="AN4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8" s="4" t="n"/>
      <c r="AP498" s="4" t="n"/>
      <c r="AQ498" s="4" t="n"/>
      <c r="AR498" s="5">
        <f>IF(tblOrdenes[[#This Row],[link_checklist]]="","",HYPERLINK(p_ruta_base_checklists&amp;tblOrdenes[[#This Row],[link_checklist]],"abrir"))</f>
        <v/>
      </c>
      <c r="AS498" s="4" t="n"/>
      <c r="AT498" s="5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22" t="n"/>
      <c r="K499" s="5" t="n"/>
      <c r="L499" s="18" t="n"/>
      <c r="M4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5">
        <f>IF(tblOrdenes[[#This Row],[fecha_inicio]]="","",YEAR(tblOrdenes[[#This Row],[fecha_inicio]]))</f>
        <v/>
      </c>
      <c r="Q499" s="5">
        <f>IF(tblOrdenes[[#This Row],[fecha_inicio]]="","",MONTH(tblOrdenes[[#This Row],[fecha_inicio]]))</f>
        <v/>
      </c>
      <c r="R499" s="5">
        <f>IF(tblOrdenes[[#This Row],[fecha_inicio]]="","",tblOrdenes[[#This Row],[anio]]&amp;"-"&amp;TEXT(tblOrdenes[[#This Row],[mes]],"00"))</f>
        <v/>
      </c>
      <c r="S499" s="5">
        <f>IF(tblOrdenes[[#This Row],[fecha_inicio]]="","",INDEX(lista_dias,WEEKDAY(tblOrdenes[[#This Row],[fecha_inicio]],2)))</f>
        <v/>
      </c>
      <c r="T4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9" s="5">
        <f>IF(tblOrdenes[[#This Row],[tipo_ot]]="","",_xlfn.XLOOKUP(tblOrdenes[[#This Row],[tipo_ot]],tblTiposOT[codigo],tblTiposOT[clasificacion],"sin_clasificar"))</f>
        <v/>
      </c>
      <c r="V4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9" s="5">
        <f>IF(tblOrdenes[[#This Row],[centro_costo]]="","",_xlfn.XLOOKUP(tblOrdenes[[#This Row],[centro_costo]],tblCECO[codigo],tblCECO[linea],"(sin catálogo)"))</f>
        <v/>
      </c>
      <c r="X499" s="5">
        <f>IF(tblOrdenes[[#This Row],[centro_costo]]="","",_xlfn.XLOOKUP(tblOrdenes[[#This Row],[centro_costo]],tblCECO[codigo],tblCECO[area],"(sin catálogo)"))</f>
        <v/>
      </c>
      <c r="Y4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499" s="5">
        <f>IF(tblOrdenes[[#This Row],[centro_costo]]="","",_xlfn.XLOOKUP(tblOrdenes[[#This Row],[centro_costo]],tblCECO[codigo],tblCECO[coordinador],"(sin catálogo)"))</f>
        <v/>
      </c>
      <c r="AA499" s="5">
        <f>IF(tblOrdenes[[#This Row],[puesto_trabajo]]="","",_xlfn.XLOOKUP(tblOrdenes[[#This Row],[puesto_trabajo]],tblPuestos[codigo],tblPuestos[especialidad],"(sin catálogo)"))</f>
        <v/>
      </c>
      <c r="AB499" s="5">
        <f>IF(tblOrdenes[[#This Row],[cod_actividad]]="","",_xlfn.XLOOKUP(tblOrdenes[[#This Row],[cod_actividad]],tblActividades[codigo],tblActividades[descripcion],"(sin catálogo)"))</f>
        <v/>
      </c>
      <c r="AC499" s="20">
        <f>IF(tblOrdenes[[#This Row],[fecha_inicio]]="","",TODAY()-tblOrdenes[[#This Row],[fecha_inicio]])</f>
        <v/>
      </c>
      <c r="AD4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499" s="5">
        <f>IF(tblOrdenes[[#This Row],[backlog_habiles]]="","",IF(tblOrdenes[[#This Row],[backlog_habiles]]&lt;0,"FUTURO",IF(tblOrdenes[[#This Row],[backlog_habiles]]&gt;p_dias_backlog_max,"BACKLOG","MES CORRIENTE")))</f>
        <v/>
      </c>
      <c r="AF499" s="5">
        <f>IF(tblOrdenes[[#This Row],[backlog_habiles]]="",FALSE,AND(tblOrdenes[[#This Row],[backlog_habiles]]&gt;p_dias_backlog_min,tblOrdenes[[#This Row],[backlog_habiles]]&lt;=p_dias_backlog_max))</f>
        <v/>
      </c>
      <c r="AG499" s="4" t="n"/>
      <c r="AH4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4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4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499" s="18">
        <f>IF(tblOrdenes[[#This Row],[orden]]="","",_xlfn.XLOOKUP(tblOrdenes[[#This Row],[id_operacion]],tblEjecucion[id_operacion],tblEjecucion[precio],0))</f>
        <v/>
      </c>
      <c r="AL499" s="18">
        <f>IF(tblOrdenes[[#This Row],[orden]]="","",MAX(0,_xlfn.XLOOKUP(tblOrdenes[[#This Row],[id_operacion]],tblEjecucion[id_operacion],tblEjecucion[costo_plan_total],0)-tblOrdenes[[#This Row],[costo_servicio]]))</f>
        <v/>
      </c>
      <c r="AM499" s="18">
        <f>IF(tblOrdenes[[#This Row],[orden]]="","",tblOrdenes[[#This Row],[costo_servicio]]+tblOrdenes[[#This Row],[costo_materiales]])</f>
        <v/>
      </c>
      <c r="AN4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499" s="4" t="n"/>
      <c r="AP499" s="4" t="n"/>
      <c r="AQ499" s="4" t="n"/>
      <c r="AR499" s="5">
        <f>IF(tblOrdenes[[#This Row],[link_checklist]]="","",HYPERLINK(p_ruta_base_checklists&amp;tblOrdenes[[#This Row],[link_checklist]],"abrir"))</f>
        <v/>
      </c>
      <c r="AS499" s="4" t="n"/>
      <c r="AT499" s="5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22" t="n"/>
      <c r="K500" s="5" t="n"/>
      <c r="L500" s="18" t="n"/>
      <c r="M5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5">
        <f>IF(tblOrdenes[[#This Row],[fecha_inicio]]="","",YEAR(tblOrdenes[[#This Row],[fecha_inicio]]))</f>
        <v/>
      </c>
      <c r="Q500" s="5">
        <f>IF(tblOrdenes[[#This Row],[fecha_inicio]]="","",MONTH(tblOrdenes[[#This Row],[fecha_inicio]]))</f>
        <v/>
      </c>
      <c r="R500" s="5">
        <f>IF(tblOrdenes[[#This Row],[fecha_inicio]]="","",tblOrdenes[[#This Row],[anio]]&amp;"-"&amp;TEXT(tblOrdenes[[#This Row],[mes]],"00"))</f>
        <v/>
      </c>
      <c r="S500" s="5">
        <f>IF(tblOrdenes[[#This Row],[fecha_inicio]]="","",INDEX(lista_dias,WEEKDAY(tblOrdenes[[#This Row],[fecha_inicio]],2)))</f>
        <v/>
      </c>
      <c r="T5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0" s="5">
        <f>IF(tblOrdenes[[#This Row],[tipo_ot]]="","",_xlfn.XLOOKUP(tblOrdenes[[#This Row],[tipo_ot]],tblTiposOT[codigo],tblTiposOT[clasificacion],"sin_clasificar"))</f>
        <v/>
      </c>
      <c r="V5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0" s="5">
        <f>IF(tblOrdenes[[#This Row],[centro_costo]]="","",_xlfn.XLOOKUP(tblOrdenes[[#This Row],[centro_costo]],tblCECO[codigo],tblCECO[linea],"(sin catálogo)"))</f>
        <v/>
      </c>
      <c r="X500" s="5">
        <f>IF(tblOrdenes[[#This Row],[centro_costo]]="","",_xlfn.XLOOKUP(tblOrdenes[[#This Row],[centro_costo]],tblCECO[codigo],tblCECO[area],"(sin catálogo)"))</f>
        <v/>
      </c>
      <c r="Y5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0" s="5">
        <f>IF(tblOrdenes[[#This Row],[centro_costo]]="","",_xlfn.XLOOKUP(tblOrdenes[[#This Row],[centro_costo]],tblCECO[codigo],tblCECO[coordinador],"(sin catálogo)"))</f>
        <v/>
      </c>
      <c r="AA500" s="5">
        <f>IF(tblOrdenes[[#This Row],[puesto_trabajo]]="","",_xlfn.XLOOKUP(tblOrdenes[[#This Row],[puesto_trabajo]],tblPuestos[codigo],tblPuestos[especialidad],"(sin catálogo)"))</f>
        <v/>
      </c>
      <c r="AB500" s="5">
        <f>IF(tblOrdenes[[#This Row],[cod_actividad]]="","",_xlfn.XLOOKUP(tblOrdenes[[#This Row],[cod_actividad]],tblActividades[codigo],tblActividades[descripcion],"(sin catálogo)"))</f>
        <v/>
      </c>
      <c r="AC500" s="20">
        <f>IF(tblOrdenes[[#This Row],[fecha_inicio]]="","",TODAY()-tblOrdenes[[#This Row],[fecha_inicio]])</f>
        <v/>
      </c>
      <c r="AD5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0" s="5">
        <f>IF(tblOrdenes[[#This Row],[backlog_habiles]]="","",IF(tblOrdenes[[#This Row],[backlog_habiles]]&lt;0,"FUTURO",IF(tblOrdenes[[#This Row],[backlog_habiles]]&gt;p_dias_backlog_max,"BACKLOG","MES CORRIENTE")))</f>
        <v/>
      </c>
      <c r="AF500" s="5">
        <f>IF(tblOrdenes[[#This Row],[backlog_habiles]]="",FALSE,AND(tblOrdenes[[#This Row],[backlog_habiles]]&gt;p_dias_backlog_min,tblOrdenes[[#This Row],[backlog_habiles]]&lt;=p_dias_backlog_max))</f>
        <v/>
      </c>
      <c r="AG500" s="4" t="n"/>
      <c r="AH5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0" s="18">
        <f>IF(tblOrdenes[[#This Row],[orden]]="","",_xlfn.XLOOKUP(tblOrdenes[[#This Row],[id_operacion]],tblEjecucion[id_operacion],tblEjecucion[precio],0))</f>
        <v/>
      </c>
      <c r="AL500" s="18">
        <f>IF(tblOrdenes[[#This Row],[orden]]="","",MAX(0,_xlfn.XLOOKUP(tblOrdenes[[#This Row],[id_operacion]],tblEjecucion[id_operacion],tblEjecucion[costo_plan_total],0)-tblOrdenes[[#This Row],[costo_servicio]]))</f>
        <v/>
      </c>
      <c r="AM500" s="18">
        <f>IF(tblOrdenes[[#This Row],[orden]]="","",tblOrdenes[[#This Row],[costo_servicio]]+tblOrdenes[[#This Row],[costo_materiales]])</f>
        <v/>
      </c>
      <c r="AN5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0" s="4" t="n"/>
      <c r="AP500" s="4" t="n"/>
      <c r="AQ500" s="4" t="n"/>
      <c r="AR500" s="5">
        <f>IF(tblOrdenes[[#This Row],[link_checklist]]="","",HYPERLINK(p_ruta_base_checklists&amp;tblOrdenes[[#This Row],[link_checklist]],"abrir"))</f>
        <v/>
      </c>
      <c r="AS500" s="4" t="n"/>
      <c r="AT500" s="5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22" t="n"/>
      <c r="K501" s="5" t="n"/>
      <c r="L501" s="18" t="n"/>
      <c r="M5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5">
        <f>IF(tblOrdenes[[#This Row],[fecha_inicio]]="","",YEAR(tblOrdenes[[#This Row],[fecha_inicio]]))</f>
        <v/>
      </c>
      <c r="Q501" s="5">
        <f>IF(tblOrdenes[[#This Row],[fecha_inicio]]="","",MONTH(tblOrdenes[[#This Row],[fecha_inicio]]))</f>
        <v/>
      </c>
      <c r="R501" s="5">
        <f>IF(tblOrdenes[[#This Row],[fecha_inicio]]="","",tblOrdenes[[#This Row],[anio]]&amp;"-"&amp;TEXT(tblOrdenes[[#This Row],[mes]],"00"))</f>
        <v/>
      </c>
      <c r="S501" s="5">
        <f>IF(tblOrdenes[[#This Row],[fecha_inicio]]="","",INDEX(lista_dias,WEEKDAY(tblOrdenes[[#This Row],[fecha_inicio]],2)))</f>
        <v/>
      </c>
      <c r="T5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1" s="5">
        <f>IF(tblOrdenes[[#This Row],[tipo_ot]]="","",_xlfn.XLOOKUP(tblOrdenes[[#This Row],[tipo_ot]],tblTiposOT[codigo],tblTiposOT[clasificacion],"sin_clasificar"))</f>
        <v/>
      </c>
      <c r="V5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1" s="5">
        <f>IF(tblOrdenes[[#This Row],[centro_costo]]="","",_xlfn.XLOOKUP(tblOrdenes[[#This Row],[centro_costo]],tblCECO[codigo],tblCECO[linea],"(sin catálogo)"))</f>
        <v/>
      </c>
      <c r="X501" s="5">
        <f>IF(tblOrdenes[[#This Row],[centro_costo]]="","",_xlfn.XLOOKUP(tblOrdenes[[#This Row],[centro_costo]],tblCECO[codigo],tblCECO[area],"(sin catálogo)"))</f>
        <v/>
      </c>
      <c r="Y5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1" s="5">
        <f>IF(tblOrdenes[[#This Row],[centro_costo]]="","",_xlfn.XLOOKUP(tblOrdenes[[#This Row],[centro_costo]],tblCECO[codigo],tblCECO[coordinador],"(sin catálogo)"))</f>
        <v/>
      </c>
      <c r="AA501" s="5">
        <f>IF(tblOrdenes[[#This Row],[puesto_trabajo]]="","",_xlfn.XLOOKUP(tblOrdenes[[#This Row],[puesto_trabajo]],tblPuestos[codigo],tblPuestos[especialidad],"(sin catálogo)"))</f>
        <v/>
      </c>
      <c r="AB501" s="5">
        <f>IF(tblOrdenes[[#This Row],[cod_actividad]]="","",_xlfn.XLOOKUP(tblOrdenes[[#This Row],[cod_actividad]],tblActividades[codigo],tblActividades[descripcion],"(sin catálogo)"))</f>
        <v/>
      </c>
      <c r="AC501" s="20">
        <f>IF(tblOrdenes[[#This Row],[fecha_inicio]]="","",TODAY()-tblOrdenes[[#This Row],[fecha_inicio]])</f>
        <v/>
      </c>
      <c r="AD5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1" s="5">
        <f>IF(tblOrdenes[[#This Row],[backlog_habiles]]="","",IF(tblOrdenes[[#This Row],[backlog_habiles]]&lt;0,"FUTURO",IF(tblOrdenes[[#This Row],[backlog_habiles]]&gt;p_dias_backlog_max,"BACKLOG","MES CORRIENTE")))</f>
        <v/>
      </c>
      <c r="AF501" s="5">
        <f>IF(tblOrdenes[[#This Row],[backlog_habiles]]="",FALSE,AND(tblOrdenes[[#This Row],[backlog_habiles]]&gt;p_dias_backlog_min,tblOrdenes[[#This Row],[backlog_habiles]]&lt;=p_dias_backlog_max))</f>
        <v/>
      </c>
      <c r="AG501" s="4" t="n"/>
      <c r="AH5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1" s="18">
        <f>IF(tblOrdenes[[#This Row],[orden]]="","",_xlfn.XLOOKUP(tblOrdenes[[#This Row],[id_operacion]],tblEjecucion[id_operacion],tblEjecucion[precio],0))</f>
        <v/>
      </c>
      <c r="AL501" s="18">
        <f>IF(tblOrdenes[[#This Row],[orden]]="","",MAX(0,_xlfn.XLOOKUP(tblOrdenes[[#This Row],[id_operacion]],tblEjecucion[id_operacion],tblEjecucion[costo_plan_total],0)-tblOrdenes[[#This Row],[costo_servicio]]))</f>
        <v/>
      </c>
      <c r="AM501" s="18">
        <f>IF(tblOrdenes[[#This Row],[orden]]="","",tblOrdenes[[#This Row],[costo_servicio]]+tblOrdenes[[#This Row],[costo_materiales]])</f>
        <v/>
      </c>
      <c r="AN5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1" s="4" t="n"/>
      <c r="AP501" s="4" t="n"/>
      <c r="AQ501" s="4" t="n"/>
      <c r="AR501" s="5">
        <f>IF(tblOrdenes[[#This Row],[link_checklist]]="","",HYPERLINK(p_ruta_base_checklists&amp;tblOrdenes[[#This Row],[link_checklist]],"abrir"))</f>
        <v/>
      </c>
      <c r="AS501" s="4" t="n"/>
      <c r="AT501" s="5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22" t="n"/>
      <c r="K502" s="5" t="n"/>
      <c r="L502" s="18" t="n"/>
      <c r="M5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5">
        <f>IF(tblOrdenes[[#This Row],[fecha_inicio]]="","",YEAR(tblOrdenes[[#This Row],[fecha_inicio]]))</f>
        <v/>
      </c>
      <c r="Q502" s="5">
        <f>IF(tblOrdenes[[#This Row],[fecha_inicio]]="","",MONTH(tblOrdenes[[#This Row],[fecha_inicio]]))</f>
        <v/>
      </c>
      <c r="R502" s="5">
        <f>IF(tblOrdenes[[#This Row],[fecha_inicio]]="","",tblOrdenes[[#This Row],[anio]]&amp;"-"&amp;TEXT(tblOrdenes[[#This Row],[mes]],"00"))</f>
        <v/>
      </c>
      <c r="S502" s="5">
        <f>IF(tblOrdenes[[#This Row],[fecha_inicio]]="","",INDEX(lista_dias,WEEKDAY(tblOrdenes[[#This Row],[fecha_inicio]],2)))</f>
        <v/>
      </c>
      <c r="T5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2" s="5">
        <f>IF(tblOrdenes[[#This Row],[tipo_ot]]="","",_xlfn.XLOOKUP(tblOrdenes[[#This Row],[tipo_ot]],tblTiposOT[codigo],tblTiposOT[clasificacion],"sin_clasificar"))</f>
        <v/>
      </c>
      <c r="V5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2" s="5">
        <f>IF(tblOrdenes[[#This Row],[centro_costo]]="","",_xlfn.XLOOKUP(tblOrdenes[[#This Row],[centro_costo]],tblCECO[codigo],tblCECO[linea],"(sin catálogo)"))</f>
        <v/>
      </c>
      <c r="X502" s="5">
        <f>IF(tblOrdenes[[#This Row],[centro_costo]]="","",_xlfn.XLOOKUP(tblOrdenes[[#This Row],[centro_costo]],tblCECO[codigo],tblCECO[area],"(sin catálogo)"))</f>
        <v/>
      </c>
      <c r="Y5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2" s="5">
        <f>IF(tblOrdenes[[#This Row],[centro_costo]]="","",_xlfn.XLOOKUP(tblOrdenes[[#This Row],[centro_costo]],tblCECO[codigo],tblCECO[coordinador],"(sin catálogo)"))</f>
        <v/>
      </c>
      <c r="AA502" s="5">
        <f>IF(tblOrdenes[[#This Row],[puesto_trabajo]]="","",_xlfn.XLOOKUP(tblOrdenes[[#This Row],[puesto_trabajo]],tblPuestos[codigo],tblPuestos[especialidad],"(sin catálogo)"))</f>
        <v/>
      </c>
      <c r="AB502" s="5">
        <f>IF(tblOrdenes[[#This Row],[cod_actividad]]="","",_xlfn.XLOOKUP(tblOrdenes[[#This Row],[cod_actividad]],tblActividades[codigo],tblActividades[descripcion],"(sin catálogo)"))</f>
        <v/>
      </c>
      <c r="AC502" s="20">
        <f>IF(tblOrdenes[[#This Row],[fecha_inicio]]="","",TODAY()-tblOrdenes[[#This Row],[fecha_inicio]])</f>
        <v/>
      </c>
      <c r="AD5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2" s="5">
        <f>IF(tblOrdenes[[#This Row],[backlog_habiles]]="","",IF(tblOrdenes[[#This Row],[backlog_habiles]]&lt;0,"FUTURO",IF(tblOrdenes[[#This Row],[backlog_habiles]]&gt;p_dias_backlog_max,"BACKLOG","MES CORRIENTE")))</f>
        <v/>
      </c>
      <c r="AF502" s="5">
        <f>IF(tblOrdenes[[#This Row],[backlog_habiles]]="",FALSE,AND(tblOrdenes[[#This Row],[backlog_habiles]]&gt;p_dias_backlog_min,tblOrdenes[[#This Row],[backlog_habiles]]&lt;=p_dias_backlog_max))</f>
        <v/>
      </c>
      <c r="AG502" s="4" t="n"/>
      <c r="AH5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2" s="18">
        <f>IF(tblOrdenes[[#This Row],[orden]]="","",_xlfn.XLOOKUP(tblOrdenes[[#This Row],[id_operacion]],tblEjecucion[id_operacion],tblEjecucion[precio],0))</f>
        <v/>
      </c>
      <c r="AL502" s="18">
        <f>IF(tblOrdenes[[#This Row],[orden]]="","",MAX(0,_xlfn.XLOOKUP(tblOrdenes[[#This Row],[id_operacion]],tblEjecucion[id_operacion],tblEjecucion[costo_plan_total],0)-tblOrdenes[[#This Row],[costo_servicio]]))</f>
        <v/>
      </c>
      <c r="AM502" s="18">
        <f>IF(tblOrdenes[[#This Row],[orden]]="","",tblOrdenes[[#This Row],[costo_servicio]]+tblOrdenes[[#This Row],[costo_materiales]])</f>
        <v/>
      </c>
      <c r="AN5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2" s="4" t="n"/>
      <c r="AP502" s="4" t="n"/>
      <c r="AQ502" s="4" t="n"/>
      <c r="AR502" s="5">
        <f>IF(tblOrdenes[[#This Row],[link_checklist]]="","",HYPERLINK(p_ruta_base_checklists&amp;tblOrdenes[[#This Row],[link_checklist]],"abrir"))</f>
        <v/>
      </c>
      <c r="AS502" s="4" t="n"/>
      <c r="AT502" s="5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22" t="n"/>
      <c r="K503" s="5" t="n"/>
      <c r="L503" s="18" t="n"/>
      <c r="M5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5">
        <f>IF(tblOrdenes[[#This Row],[fecha_inicio]]="","",YEAR(tblOrdenes[[#This Row],[fecha_inicio]]))</f>
        <v/>
      </c>
      <c r="Q503" s="5">
        <f>IF(tblOrdenes[[#This Row],[fecha_inicio]]="","",MONTH(tblOrdenes[[#This Row],[fecha_inicio]]))</f>
        <v/>
      </c>
      <c r="R503" s="5">
        <f>IF(tblOrdenes[[#This Row],[fecha_inicio]]="","",tblOrdenes[[#This Row],[anio]]&amp;"-"&amp;TEXT(tblOrdenes[[#This Row],[mes]],"00"))</f>
        <v/>
      </c>
      <c r="S503" s="5">
        <f>IF(tblOrdenes[[#This Row],[fecha_inicio]]="","",INDEX(lista_dias,WEEKDAY(tblOrdenes[[#This Row],[fecha_inicio]],2)))</f>
        <v/>
      </c>
      <c r="T5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3" s="5">
        <f>IF(tblOrdenes[[#This Row],[tipo_ot]]="","",_xlfn.XLOOKUP(tblOrdenes[[#This Row],[tipo_ot]],tblTiposOT[codigo],tblTiposOT[clasificacion],"sin_clasificar"))</f>
        <v/>
      </c>
      <c r="V5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3" s="5">
        <f>IF(tblOrdenes[[#This Row],[centro_costo]]="","",_xlfn.XLOOKUP(tblOrdenes[[#This Row],[centro_costo]],tblCECO[codigo],tblCECO[linea],"(sin catálogo)"))</f>
        <v/>
      </c>
      <c r="X503" s="5">
        <f>IF(tblOrdenes[[#This Row],[centro_costo]]="","",_xlfn.XLOOKUP(tblOrdenes[[#This Row],[centro_costo]],tblCECO[codigo],tblCECO[area],"(sin catálogo)"))</f>
        <v/>
      </c>
      <c r="Y5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3" s="5">
        <f>IF(tblOrdenes[[#This Row],[centro_costo]]="","",_xlfn.XLOOKUP(tblOrdenes[[#This Row],[centro_costo]],tblCECO[codigo],tblCECO[coordinador],"(sin catálogo)"))</f>
        <v/>
      </c>
      <c r="AA503" s="5">
        <f>IF(tblOrdenes[[#This Row],[puesto_trabajo]]="","",_xlfn.XLOOKUP(tblOrdenes[[#This Row],[puesto_trabajo]],tblPuestos[codigo],tblPuestos[especialidad],"(sin catálogo)"))</f>
        <v/>
      </c>
      <c r="AB503" s="5">
        <f>IF(tblOrdenes[[#This Row],[cod_actividad]]="","",_xlfn.XLOOKUP(tblOrdenes[[#This Row],[cod_actividad]],tblActividades[codigo],tblActividades[descripcion],"(sin catálogo)"))</f>
        <v/>
      </c>
      <c r="AC503" s="20">
        <f>IF(tblOrdenes[[#This Row],[fecha_inicio]]="","",TODAY()-tblOrdenes[[#This Row],[fecha_inicio]])</f>
        <v/>
      </c>
      <c r="AD5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3" s="5">
        <f>IF(tblOrdenes[[#This Row],[backlog_habiles]]="","",IF(tblOrdenes[[#This Row],[backlog_habiles]]&lt;0,"FUTURO",IF(tblOrdenes[[#This Row],[backlog_habiles]]&gt;p_dias_backlog_max,"BACKLOG","MES CORRIENTE")))</f>
        <v/>
      </c>
      <c r="AF503" s="5">
        <f>IF(tblOrdenes[[#This Row],[backlog_habiles]]="",FALSE,AND(tblOrdenes[[#This Row],[backlog_habiles]]&gt;p_dias_backlog_min,tblOrdenes[[#This Row],[backlog_habiles]]&lt;=p_dias_backlog_max))</f>
        <v/>
      </c>
      <c r="AG503" s="4" t="n"/>
      <c r="AH5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3" s="18">
        <f>IF(tblOrdenes[[#This Row],[orden]]="","",_xlfn.XLOOKUP(tblOrdenes[[#This Row],[id_operacion]],tblEjecucion[id_operacion],tblEjecucion[precio],0))</f>
        <v/>
      </c>
      <c r="AL503" s="18">
        <f>IF(tblOrdenes[[#This Row],[orden]]="","",MAX(0,_xlfn.XLOOKUP(tblOrdenes[[#This Row],[id_operacion]],tblEjecucion[id_operacion],tblEjecucion[costo_plan_total],0)-tblOrdenes[[#This Row],[costo_servicio]]))</f>
        <v/>
      </c>
      <c r="AM503" s="18">
        <f>IF(tblOrdenes[[#This Row],[orden]]="","",tblOrdenes[[#This Row],[costo_servicio]]+tblOrdenes[[#This Row],[costo_materiales]])</f>
        <v/>
      </c>
      <c r="AN5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3" s="4" t="n"/>
      <c r="AP503" s="4" t="n"/>
      <c r="AQ503" s="4" t="n"/>
      <c r="AR503" s="5">
        <f>IF(tblOrdenes[[#This Row],[link_checklist]]="","",HYPERLINK(p_ruta_base_checklists&amp;tblOrdenes[[#This Row],[link_checklist]],"abrir"))</f>
        <v/>
      </c>
      <c r="AS503" s="4" t="n"/>
      <c r="AT503" s="5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22" t="n"/>
      <c r="K504" s="5" t="n"/>
      <c r="L504" s="18" t="n"/>
      <c r="M5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5">
        <f>IF(tblOrdenes[[#This Row],[fecha_inicio]]="","",YEAR(tblOrdenes[[#This Row],[fecha_inicio]]))</f>
        <v/>
      </c>
      <c r="Q504" s="5">
        <f>IF(tblOrdenes[[#This Row],[fecha_inicio]]="","",MONTH(tblOrdenes[[#This Row],[fecha_inicio]]))</f>
        <v/>
      </c>
      <c r="R504" s="5">
        <f>IF(tblOrdenes[[#This Row],[fecha_inicio]]="","",tblOrdenes[[#This Row],[anio]]&amp;"-"&amp;TEXT(tblOrdenes[[#This Row],[mes]],"00"))</f>
        <v/>
      </c>
      <c r="S504" s="5">
        <f>IF(tblOrdenes[[#This Row],[fecha_inicio]]="","",INDEX(lista_dias,WEEKDAY(tblOrdenes[[#This Row],[fecha_inicio]],2)))</f>
        <v/>
      </c>
      <c r="T5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4" s="5">
        <f>IF(tblOrdenes[[#This Row],[tipo_ot]]="","",_xlfn.XLOOKUP(tblOrdenes[[#This Row],[tipo_ot]],tblTiposOT[codigo],tblTiposOT[clasificacion],"sin_clasificar"))</f>
        <v/>
      </c>
      <c r="V5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4" s="5">
        <f>IF(tblOrdenes[[#This Row],[centro_costo]]="","",_xlfn.XLOOKUP(tblOrdenes[[#This Row],[centro_costo]],tblCECO[codigo],tblCECO[linea],"(sin catálogo)"))</f>
        <v/>
      </c>
      <c r="X504" s="5">
        <f>IF(tblOrdenes[[#This Row],[centro_costo]]="","",_xlfn.XLOOKUP(tblOrdenes[[#This Row],[centro_costo]],tblCECO[codigo],tblCECO[area],"(sin catálogo)"))</f>
        <v/>
      </c>
      <c r="Y5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4" s="5">
        <f>IF(tblOrdenes[[#This Row],[centro_costo]]="","",_xlfn.XLOOKUP(tblOrdenes[[#This Row],[centro_costo]],tblCECO[codigo],tblCECO[coordinador],"(sin catálogo)"))</f>
        <v/>
      </c>
      <c r="AA504" s="5">
        <f>IF(tblOrdenes[[#This Row],[puesto_trabajo]]="","",_xlfn.XLOOKUP(tblOrdenes[[#This Row],[puesto_trabajo]],tblPuestos[codigo],tblPuestos[especialidad],"(sin catálogo)"))</f>
        <v/>
      </c>
      <c r="AB504" s="5">
        <f>IF(tblOrdenes[[#This Row],[cod_actividad]]="","",_xlfn.XLOOKUP(tblOrdenes[[#This Row],[cod_actividad]],tblActividades[codigo],tblActividades[descripcion],"(sin catálogo)"))</f>
        <v/>
      </c>
      <c r="AC504" s="20">
        <f>IF(tblOrdenes[[#This Row],[fecha_inicio]]="","",TODAY()-tblOrdenes[[#This Row],[fecha_inicio]])</f>
        <v/>
      </c>
      <c r="AD5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4" s="5">
        <f>IF(tblOrdenes[[#This Row],[backlog_habiles]]="","",IF(tblOrdenes[[#This Row],[backlog_habiles]]&lt;0,"FUTURO",IF(tblOrdenes[[#This Row],[backlog_habiles]]&gt;p_dias_backlog_max,"BACKLOG","MES CORRIENTE")))</f>
        <v/>
      </c>
      <c r="AF504" s="5">
        <f>IF(tblOrdenes[[#This Row],[backlog_habiles]]="",FALSE,AND(tblOrdenes[[#This Row],[backlog_habiles]]&gt;p_dias_backlog_min,tblOrdenes[[#This Row],[backlog_habiles]]&lt;=p_dias_backlog_max))</f>
        <v/>
      </c>
      <c r="AG504" s="4" t="n"/>
      <c r="AH5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4" s="18">
        <f>IF(tblOrdenes[[#This Row],[orden]]="","",_xlfn.XLOOKUP(tblOrdenes[[#This Row],[id_operacion]],tblEjecucion[id_operacion],tblEjecucion[precio],0))</f>
        <v/>
      </c>
      <c r="AL504" s="18">
        <f>IF(tblOrdenes[[#This Row],[orden]]="","",MAX(0,_xlfn.XLOOKUP(tblOrdenes[[#This Row],[id_operacion]],tblEjecucion[id_operacion],tblEjecucion[costo_plan_total],0)-tblOrdenes[[#This Row],[costo_servicio]]))</f>
        <v/>
      </c>
      <c r="AM504" s="18">
        <f>IF(tblOrdenes[[#This Row],[orden]]="","",tblOrdenes[[#This Row],[costo_servicio]]+tblOrdenes[[#This Row],[costo_materiales]])</f>
        <v/>
      </c>
      <c r="AN5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4" s="4" t="n"/>
      <c r="AP504" s="4" t="n"/>
      <c r="AQ504" s="4" t="n"/>
      <c r="AR504" s="5">
        <f>IF(tblOrdenes[[#This Row],[link_checklist]]="","",HYPERLINK(p_ruta_base_checklists&amp;tblOrdenes[[#This Row],[link_checklist]],"abrir"))</f>
        <v/>
      </c>
      <c r="AS504" s="4" t="n"/>
      <c r="AT504" s="5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22" t="n"/>
      <c r="K505" s="5" t="n"/>
      <c r="L505" s="18" t="n"/>
      <c r="M5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5">
        <f>IF(tblOrdenes[[#This Row],[fecha_inicio]]="","",YEAR(tblOrdenes[[#This Row],[fecha_inicio]]))</f>
        <v/>
      </c>
      <c r="Q505" s="5">
        <f>IF(tblOrdenes[[#This Row],[fecha_inicio]]="","",MONTH(tblOrdenes[[#This Row],[fecha_inicio]]))</f>
        <v/>
      </c>
      <c r="R505" s="5">
        <f>IF(tblOrdenes[[#This Row],[fecha_inicio]]="","",tblOrdenes[[#This Row],[anio]]&amp;"-"&amp;TEXT(tblOrdenes[[#This Row],[mes]],"00"))</f>
        <v/>
      </c>
      <c r="S505" s="5">
        <f>IF(tblOrdenes[[#This Row],[fecha_inicio]]="","",INDEX(lista_dias,WEEKDAY(tblOrdenes[[#This Row],[fecha_inicio]],2)))</f>
        <v/>
      </c>
      <c r="T5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5" s="5">
        <f>IF(tblOrdenes[[#This Row],[tipo_ot]]="","",_xlfn.XLOOKUP(tblOrdenes[[#This Row],[tipo_ot]],tblTiposOT[codigo],tblTiposOT[clasificacion],"sin_clasificar"))</f>
        <v/>
      </c>
      <c r="V5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5" s="5">
        <f>IF(tblOrdenes[[#This Row],[centro_costo]]="","",_xlfn.XLOOKUP(tblOrdenes[[#This Row],[centro_costo]],tblCECO[codigo],tblCECO[linea],"(sin catálogo)"))</f>
        <v/>
      </c>
      <c r="X505" s="5">
        <f>IF(tblOrdenes[[#This Row],[centro_costo]]="","",_xlfn.XLOOKUP(tblOrdenes[[#This Row],[centro_costo]],tblCECO[codigo],tblCECO[area],"(sin catálogo)"))</f>
        <v/>
      </c>
      <c r="Y5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5" s="5">
        <f>IF(tblOrdenes[[#This Row],[centro_costo]]="","",_xlfn.XLOOKUP(tblOrdenes[[#This Row],[centro_costo]],tblCECO[codigo],tblCECO[coordinador],"(sin catálogo)"))</f>
        <v/>
      </c>
      <c r="AA505" s="5">
        <f>IF(tblOrdenes[[#This Row],[puesto_trabajo]]="","",_xlfn.XLOOKUP(tblOrdenes[[#This Row],[puesto_trabajo]],tblPuestos[codigo],tblPuestos[especialidad],"(sin catálogo)"))</f>
        <v/>
      </c>
      <c r="AB505" s="5">
        <f>IF(tblOrdenes[[#This Row],[cod_actividad]]="","",_xlfn.XLOOKUP(tblOrdenes[[#This Row],[cod_actividad]],tblActividades[codigo],tblActividades[descripcion],"(sin catálogo)"))</f>
        <v/>
      </c>
      <c r="AC505" s="20">
        <f>IF(tblOrdenes[[#This Row],[fecha_inicio]]="","",TODAY()-tblOrdenes[[#This Row],[fecha_inicio]])</f>
        <v/>
      </c>
      <c r="AD5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5" s="5">
        <f>IF(tblOrdenes[[#This Row],[backlog_habiles]]="","",IF(tblOrdenes[[#This Row],[backlog_habiles]]&lt;0,"FUTURO",IF(tblOrdenes[[#This Row],[backlog_habiles]]&gt;p_dias_backlog_max,"BACKLOG","MES CORRIENTE")))</f>
        <v/>
      </c>
      <c r="AF505" s="5">
        <f>IF(tblOrdenes[[#This Row],[backlog_habiles]]="",FALSE,AND(tblOrdenes[[#This Row],[backlog_habiles]]&gt;p_dias_backlog_min,tblOrdenes[[#This Row],[backlog_habiles]]&lt;=p_dias_backlog_max))</f>
        <v/>
      </c>
      <c r="AG505" s="4" t="n"/>
      <c r="AH5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5" s="18">
        <f>IF(tblOrdenes[[#This Row],[orden]]="","",_xlfn.XLOOKUP(tblOrdenes[[#This Row],[id_operacion]],tblEjecucion[id_operacion],tblEjecucion[precio],0))</f>
        <v/>
      </c>
      <c r="AL505" s="18">
        <f>IF(tblOrdenes[[#This Row],[orden]]="","",MAX(0,_xlfn.XLOOKUP(tblOrdenes[[#This Row],[id_operacion]],tblEjecucion[id_operacion],tblEjecucion[costo_plan_total],0)-tblOrdenes[[#This Row],[costo_servicio]]))</f>
        <v/>
      </c>
      <c r="AM505" s="18">
        <f>IF(tblOrdenes[[#This Row],[orden]]="","",tblOrdenes[[#This Row],[costo_servicio]]+tblOrdenes[[#This Row],[costo_materiales]])</f>
        <v/>
      </c>
      <c r="AN5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5" s="4" t="n"/>
      <c r="AP505" s="4" t="n"/>
      <c r="AQ505" s="4" t="n"/>
      <c r="AR505" s="5">
        <f>IF(tblOrdenes[[#This Row],[link_checklist]]="","",HYPERLINK(p_ruta_base_checklists&amp;tblOrdenes[[#This Row],[link_checklist]],"abrir"))</f>
        <v/>
      </c>
      <c r="AS505" s="4" t="n"/>
      <c r="AT505" s="5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22" t="n"/>
      <c r="K506" s="5" t="n"/>
      <c r="L506" s="18" t="n"/>
      <c r="M5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5">
        <f>IF(tblOrdenes[[#This Row],[fecha_inicio]]="","",YEAR(tblOrdenes[[#This Row],[fecha_inicio]]))</f>
        <v/>
      </c>
      <c r="Q506" s="5">
        <f>IF(tblOrdenes[[#This Row],[fecha_inicio]]="","",MONTH(tblOrdenes[[#This Row],[fecha_inicio]]))</f>
        <v/>
      </c>
      <c r="R506" s="5">
        <f>IF(tblOrdenes[[#This Row],[fecha_inicio]]="","",tblOrdenes[[#This Row],[anio]]&amp;"-"&amp;TEXT(tblOrdenes[[#This Row],[mes]],"00"))</f>
        <v/>
      </c>
      <c r="S506" s="5">
        <f>IF(tblOrdenes[[#This Row],[fecha_inicio]]="","",INDEX(lista_dias,WEEKDAY(tblOrdenes[[#This Row],[fecha_inicio]],2)))</f>
        <v/>
      </c>
      <c r="T5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6" s="5">
        <f>IF(tblOrdenes[[#This Row],[tipo_ot]]="","",_xlfn.XLOOKUP(tblOrdenes[[#This Row],[tipo_ot]],tblTiposOT[codigo],tblTiposOT[clasificacion],"sin_clasificar"))</f>
        <v/>
      </c>
      <c r="V5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6" s="5">
        <f>IF(tblOrdenes[[#This Row],[centro_costo]]="","",_xlfn.XLOOKUP(tblOrdenes[[#This Row],[centro_costo]],tblCECO[codigo],tblCECO[linea],"(sin catálogo)"))</f>
        <v/>
      </c>
      <c r="X506" s="5">
        <f>IF(tblOrdenes[[#This Row],[centro_costo]]="","",_xlfn.XLOOKUP(tblOrdenes[[#This Row],[centro_costo]],tblCECO[codigo],tblCECO[area],"(sin catálogo)"))</f>
        <v/>
      </c>
      <c r="Y5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6" s="5">
        <f>IF(tblOrdenes[[#This Row],[centro_costo]]="","",_xlfn.XLOOKUP(tblOrdenes[[#This Row],[centro_costo]],tblCECO[codigo],tblCECO[coordinador],"(sin catálogo)"))</f>
        <v/>
      </c>
      <c r="AA506" s="5">
        <f>IF(tblOrdenes[[#This Row],[puesto_trabajo]]="","",_xlfn.XLOOKUP(tblOrdenes[[#This Row],[puesto_trabajo]],tblPuestos[codigo],tblPuestos[especialidad],"(sin catálogo)"))</f>
        <v/>
      </c>
      <c r="AB506" s="5">
        <f>IF(tblOrdenes[[#This Row],[cod_actividad]]="","",_xlfn.XLOOKUP(tblOrdenes[[#This Row],[cod_actividad]],tblActividades[codigo],tblActividades[descripcion],"(sin catálogo)"))</f>
        <v/>
      </c>
      <c r="AC506" s="20">
        <f>IF(tblOrdenes[[#This Row],[fecha_inicio]]="","",TODAY()-tblOrdenes[[#This Row],[fecha_inicio]])</f>
        <v/>
      </c>
      <c r="AD5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6" s="5">
        <f>IF(tblOrdenes[[#This Row],[backlog_habiles]]="","",IF(tblOrdenes[[#This Row],[backlog_habiles]]&lt;0,"FUTURO",IF(tblOrdenes[[#This Row],[backlog_habiles]]&gt;p_dias_backlog_max,"BACKLOG","MES CORRIENTE")))</f>
        <v/>
      </c>
      <c r="AF506" s="5">
        <f>IF(tblOrdenes[[#This Row],[backlog_habiles]]="",FALSE,AND(tblOrdenes[[#This Row],[backlog_habiles]]&gt;p_dias_backlog_min,tblOrdenes[[#This Row],[backlog_habiles]]&lt;=p_dias_backlog_max))</f>
        <v/>
      </c>
      <c r="AG506" s="4" t="n"/>
      <c r="AH5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6" s="18">
        <f>IF(tblOrdenes[[#This Row],[orden]]="","",_xlfn.XLOOKUP(tblOrdenes[[#This Row],[id_operacion]],tblEjecucion[id_operacion],tblEjecucion[precio],0))</f>
        <v/>
      </c>
      <c r="AL506" s="18">
        <f>IF(tblOrdenes[[#This Row],[orden]]="","",MAX(0,_xlfn.XLOOKUP(tblOrdenes[[#This Row],[id_operacion]],tblEjecucion[id_operacion],tblEjecucion[costo_plan_total],0)-tblOrdenes[[#This Row],[costo_servicio]]))</f>
        <v/>
      </c>
      <c r="AM506" s="18">
        <f>IF(tblOrdenes[[#This Row],[orden]]="","",tblOrdenes[[#This Row],[costo_servicio]]+tblOrdenes[[#This Row],[costo_materiales]])</f>
        <v/>
      </c>
      <c r="AN5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6" s="4" t="n"/>
      <c r="AP506" s="4" t="n"/>
      <c r="AQ506" s="4" t="n"/>
      <c r="AR506" s="5">
        <f>IF(tblOrdenes[[#This Row],[link_checklist]]="","",HYPERLINK(p_ruta_base_checklists&amp;tblOrdenes[[#This Row],[link_checklist]],"abrir"))</f>
        <v/>
      </c>
      <c r="AS506" s="4" t="n"/>
      <c r="AT506" s="5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22" t="n"/>
      <c r="K507" s="5" t="n"/>
      <c r="L507" s="18" t="n"/>
      <c r="M5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5">
        <f>IF(tblOrdenes[[#This Row],[fecha_inicio]]="","",YEAR(tblOrdenes[[#This Row],[fecha_inicio]]))</f>
        <v/>
      </c>
      <c r="Q507" s="5">
        <f>IF(tblOrdenes[[#This Row],[fecha_inicio]]="","",MONTH(tblOrdenes[[#This Row],[fecha_inicio]]))</f>
        <v/>
      </c>
      <c r="R507" s="5">
        <f>IF(tblOrdenes[[#This Row],[fecha_inicio]]="","",tblOrdenes[[#This Row],[anio]]&amp;"-"&amp;TEXT(tblOrdenes[[#This Row],[mes]],"00"))</f>
        <v/>
      </c>
      <c r="S507" s="5">
        <f>IF(tblOrdenes[[#This Row],[fecha_inicio]]="","",INDEX(lista_dias,WEEKDAY(tblOrdenes[[#This Row],[fecha_inicio]],2)))</f>
        <v/>
      </c>
      <c r="T5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7" s="5">
        <f>IF(tblOrdenes[[#This Row],[tipo_ot]]="","",_xlfn.XLOOKUP(tblOrdenes[[#This Row],[tipo_ot]],tblTiposOT[codigo],tblTiposOT[clasificacion],"sin_clasificar"))</f>
        <v/>
      </c>
      <c r="V5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7" s="5">
        <f>IF(tblOrdenes[[#This Row],[centro_costo]]="","",_xlfn.XLOOKUP(tblOrdenes[[#This Row],[centro_costo]],tblCECO[codigo],tblCECO[linea],"(sin catálogo)"))</f>
        <v/>
      </c>
      <c r="X507" s="5">
        <f>IF(tblOrdenes[[#This Row],[centro_costo]]="","",_xlfn.XLOOKUP(tblOrdenes[[#This Row],[centro_costo]],tblCECO[codigo],tblCECO[area],"(sin catálogo)"))</f>
        <v/>
      </c>
      <c r="Y5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7" s="5">
        <f>IF(tblOrdenes[[#This Row],[centro_costo]]="","",_xlfn.XLOOKUP(tblOrdenes[[#This Row],[centro_costo]],tblCECO[codigo],tblCECO[coordinador],"(sin catálogo)"))</f>
        <v/>
      </c>
      <c r="AA507" s="5">
        <f>IF(tblOrdenes[[#This Row],[puesto_trabajo]]="","",_xlfn.XLOOKUP(tblOrdenes[[#This Row],[puesto_trabajo]],tblPuestos[codigo],tblPuestos[especialidad],"(sin catálogo)"))</f>
        <v/>
      </c>
      <c r="AB507" s="5">
        <f>IF(tblOrdenes[[#This Row],[cod_actividad]]="","",_xlfn.XLOOKUP(tblOrdenes[[#This Row],[cod_actividad]],tblActividades[codigo],tblActividades[descripcion],"(sin catálogo)"))</f>
        <v/>
      </c>
      <c r="AC507" s="20">
        <f>IF(tblOrdenes[[#This Row],[fecha_inicio]]="","",TODAY()-tblOrdenes[[#This Row],[fecha_inicio]])</f>
        <v/>
      </c>
      <c r="AD5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7" s="5">
        <f>IF(tblOrdenes[[#This Row],[backlog_habiles]]="","",IF(tblOrdenes[[#This Row],[backlog_habiles]]&lt;0,"FUTURO",IF(tblOrdenes[[#This Row],[backlog_habiles]]&gt;p_dias_backlog_max,"BACKLOG","MES CORRIENTE")))</f>
        <v/>
      </c>
      <c r="AF507" s="5">
        <f>IF(tblOrdenes[[#This Row],[backlog_habiles]]="",FALSE,AND(tblOrdenes[[#This Row],[backlog_habiles]]&gt;p_dias_backlog_min,tblOrdenes[[#This Row],[backlog_habiles]]&lt;=p_dias_backlog_max))</f>
        <v/>
      </c>
      <c r="AG507" s="4" t="n"/>
      <c r="AH5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7" s="18">
        <f>IF(tblOrdenes[[#This Row],[orden]]="","",_xlfn.XLOOKUP(tblOrdenes[[#This Row],[id_operacion]],tblEjecucion[id_operacion],tblEjecucion[precio],0))</f>
        <v/>
      </c>
      <c r="AL507" s="18">
        <f>IF(tblOrdenes[[#This Row],[orden]]="","",MAX(0,_xlfn.XLOOKUP(tblOrdenes[[#This Row],[id_operacion]],tblEjecucion[id_operacion],tblEjecucion[costo_plan_total],0)-tblOrdenes[[#This Row],[costo_servicio]]))</f>
        <v/>
      </c>
      <c r="AM507" s="18">
        <f>IF(tblOrdenes[[#This Row],[orden]]="","",tblOrdenes[[#This Row],[costo_servicio]]+tblOrdenes[[#This Row],[costo_materiales]])</f>
        <v/>
      </c>
      <c r="AN5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7" s="4" t="n"/>
      <c r="AP507" s="4" t="n"/>
      <c r="AQ507" s="4" t="n"/>
      <c r="AR507" s="5">
        <f>IF(tblOrdenes[[#This Row],[link_checklist]]="","",HYPERLINK(p_ruta_base_checklists&amp;tblOrdenes[[#This Row],[link_checklist]],"abrir"))</f>
        <v/>
      </c>
      <c r="AS507" s="4" t="n"/>
      <c r="AT507" s="5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22" t="n"/>
      <c r="K508" s="5" t="n"/>
      <c r="L508" s="18" t="n"/>
      <c r="M5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5">
        <f>IF(tblOrdenes[[#This Row],[fecha_inicio]]="","",YEAR(tblOrdenes[[#This Row],[fecha_inicio]]))</f>
        <v/>
      </c>
      <c r="Q508" s="5">
        <f>IF(tblOrdenes[[#This Row],[fecha_inicio]]="","",MONTH(tblOrdenes[[#This Row],[fecha_inicio]]))</f>
        <v/>
      </c>
      <c r="R508" s="5">
        <f>IF(tblOrdenes[[#This Row],[fecha_inicio]]="","",tblOrdenes[[#This Row],[anio]]&amp;"-"&amp;TEXT(tblOrdenes[[#This Row],[mes]],"00"))</f>
        <v/>
      </c>
      <c r="S508" s="5">
        <f>IF(tblOrdenes[[#This Row],[fecha_inicio]]="","",INDEX(lista_dias,WEEKDAY(tblOrdenes[[#This Row],[fecha_inicio]],2)))</f>
        <v/>
      </c>
      <c r="T5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8" s="5">
        <f>IF(tblOrdenes[[#This Row],[tipo_ot]]="","",_xlfn.XLOOKUP(tblOrdenes[[#This Row],[tipo_ot]],tblTiposOT[codigo],tblTiposOT[clasificacion],"sin_clasificar"))</f>
        <v/>
      </c>
      <c r="V5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8" s="5">
        <f>IF(tblOrdenes[[#This Row],[centro_costo]]="","",_xlfn.XLOOKUP(tblOrdenes[[#This Row],[centro_costo]],tblCECO[codigo],tblCECO[linea],"(sin catálogo)"))</f>
        <v/>
      </c>
      <c r="X508" s="5">
        <f>IF(tblOrdenes[[#This Row],[centro_costo]]="","",_xlfn.XLOOKUP(tblOrdenes[[#This Row],[centro_costo]],tblCECO[codigo],tblCECO[area],"(sin catálogo)"))</f>
        <v/>
      </c>
      <c r="Y5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8" s="5">
        <f>IF(tblOrdenes[[#This Row],[centro_costo]]="","",_xlfn.XLOOKUP(tblOrdenes[[#This Row],[centro_costo]],tblCECO[codigo],tblCECO[coordinador],"(sin catálogo)"))</f>
        <v/>
      </c>
      <c r="AA508" s="5">
        <f>IF(tblOrdenes[[#This Row],[puesto_trabajo]]="","",_xlfn.XLOOKUP(tblOrdenes[[#This Row],[puesto_trabajo]],tblPuestos[codigo],tblPuestos[especialidad],"(sin catálogo)"))</f>
        <v/>
      </c>
      <c r="AB508" s="5">
        <f>IF(tblOrdenes[[#This Row],[cod_actividad]]="","",_xlfn.XLOOKUP(tblOrdenes[[#This Row],[cod_actividad]],tblActividades[codigo],tblActividades[descripcion],"(sin catálogo)"))</f>
        <v/>
      </c>
      <c r="AC508" s="20">
        <f>IF(tblOrdenes[[#This Row],[fecha_inicio]]="","",TODAY()-tblOrdenes[[#This Row],[fecha_inicio]])</f>
        <v/>
      </c>
      <c r="AD5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8" s="5">
        <f>IF(tblOrdenes[[#This Row],[backlog_habiles]]="","",IF(tblOrdenes[[#This Row],[backlog_habiles]]&lt;0,"FUTURO",IF(tblOrdenes[[#This Row],[backlog_habiles]]&gt;p_dias_backlog_max,"BACKLOG","MES CORRIENTE")))</f>
        <v/>
      </c>
      <c r="AF508" s="5">
        <f>IF(tblOrdenes[[#This Row],[backlog_habiles]]="",FALSE,AND(tblOrdenes[[#This Row],[backlog_habiles]]&gt;p_dias_backlog_min,tblOrdenes[[#This Row],[backlog_habiles]]&lt;=p_dias_backlog_max))</f>
        <v/>
      </c>
      <c r="AG508" s="4" t="n"/>
      <c r="AH5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8" s="18">
        <f>IF(tblOrdenes[[#This Row],[orden]]="","",_xlfn.XLOOKUP(tblOrdenes[[#This Row],[id_operacion]],tblEjecucion[id_operacion],tblEjecucion[precio],0))</f>
        <v/>
      </c>
      <c r="AL508" s="18">
        <f>IF(tblOrdenes[[#This Row],[orden]]="","",MAX(0,_xlfn.XLOOKUP(tblOrdenes[[#This Row],[id_operacion]],tblEjecucion[id_operacion],tblEjecucion[costo_plan_total],0)-tblOrdenes[[#This Row],[costo_servicio]]))</f>
        <v/>
      </c>
      <c r="AM508" s="18">
        <f>IF(tblOrdenes[[#This Row],[orden]]="","",tblOrdenes[[#This Row],[costo_servicio]]+tblOrdenes[[#This Row],[costo_materiales]])</f>
        <v/>
      </c>
      <c r="AN5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8" s="4" t="n"/>
      <c r="AP508" s="4" t="n"/>
      <c r="AQ508" s="4" t="n"/>
      <c r="AR508" s="5">
        <f>IF(tblOrdenes[[#This Row],[link_checklist]]="","",HYPERLINK(p_ruta_base_checklists&amp;tblOrdenes[[#This Row],[link_checklist]],"abrir"))</f>
        <v/>
      </c>
      <c r="AS508" s="4" t="n"/>
      <c r="AT508" s="5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22" t="n"/>
      <c r="K509" s="5" t="n"/>
      <c r="L509" s="18" t="n"/>
      <c r="M5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5">
        <f>IF(tblOrdenes[[#This Row],[fecha_inicio]]="","",YEAR(tblOrdenes[[#This Row],[fecha_inicio]]))</f>
        <v/>
      </c>
      <c r="Q509" s="5">
        <f>IF(tblOrdenes[[#This Row],[fecha_inicio]]="","",MONTH(tblOrdenes[[#This Row],[fecha_inicio]]))</f>
        <v/>
      </c>
      <c r="R509" s="5">
        <f>IF(tblOrdenes[[#This Row],[fecha_inicio]]="","",tblOrdenes[[#This Row],[anio]]&amp;"-"&amp;TEXT(tblOrdenes[[#This Row],[mes]],"00"))</f>
        <v/>
      </c>
      <c r="S509" s="5">
        <f>IF(tblOrdenes[[#This Row],[fecha_inicio]]="","",INDEX(lista_dias,WEEKDAY(tblOrdenes[[#This Row],[fecha_inicio]],2)))</f>
        <v/>
      </c>
      <c r="T5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9" s="5">
        <f>IF(tblOrdenes[[#This Row],[tipo_ot]]="","",_xlfn.XLOOKUP(tblOrdenes[[#This Row],[tipo_ot]],tblTiposOT[codigo],tblTiposOT[clasificacion],"sin_clasificar"))</f>
        <v/>
      </c>
      <c r="V5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9" s="5">
        <f>IF(tblOrdenes[[#This Row],[centro_costo]]="","",_xlfn.XLOOKUP(tblOrdenes[[#This Row],[centro_costo]],tblCECO[codigo],tblCECO[linea],"(sin catálogo)"))</f>
        <v/>
      </c>
      <c r="X509" s="5">
        <f>IF(tblOrdenes[[#This Row],[centro_costo]]="","",_xlfn.XLOOKUP(tblOrdenes[[#This Row],[centro_costo]],tblCECO[codigo],tblCECO[area],"(sin catálogo)"))</f>
        <v/>
      </c>
      <c r="Y5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09" s="5">
        <f>IF(tblOrdenes[[#This Row],[centro_costo]]="","",_xlfn.XLOOKUP(tblOrdenes[[#This Row],[centro_costo]],tblCECO[codigo],tblCECO[coordinador],"(sin catálogo)"))</f>
        <v/>
      </c>
      <c r="AA509" s="5">
        <f>IF(tblOrdenes[[#This Row],[puesto_trabajo]]="","",_xlfn.XLOOKUP(tblOrdenes[[#This Row],[puesto_trabajo]],tblPuestos[codigo],tblPuestos[especialidad],"(sin catálogo)"))</f>
        <v/>
      </c>
      <c r="AB509" s="5">
        <f>IF(tblOrdenes[[#This Row],[cod_actividad]]="","",_xlfn.XLOOKUP(tblOrdenes[[#This Row],[cod_actividad]],tblActividades[codigo],tblActividades[descripcion],"(sin catálogo)"))</f>
        <v/>
      </c>
      <c r="AC509" s="20">
        <f>IF(tblOrdenes[[#This Row],[fecha_inicio]]="","",TODAY()-tblOrdenes[[#This Row],[fecha_inicio]])</f>
        <v/>
      </c>
      <c r="AD5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09" s="5">
        <f>IF(tblOrdenes[[#This Row],[backlog_habiles]]="","",IF(tblOrdenes[[#This Row],[backlog_habiles]]&lt;0,"FUTURO",IF(tblOrdenes[[#This Row],[backlog_habiles]]&gt;p_dias_backlog_max,"BACKLOG","MES CORRIENTE")))</f>
        <v/>
      </c>
      <c r="AF509" s="5">
        <f>IF(tblOrdenes[[#This Row],[backlog_habiles]]="",FALSE,AND(tblOrdenes[[#This Row],[backlog_habiles]]&gt;p_dias_backlog_min,tblOrdenes[[#This Row],[backlog_habiles]]&lt;=p_dias_backlog_max))</f>
        <v/>
      </c>
      <c r="AG509" s="4" t="n"/>
      <c r="AH5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09" s="18">
        <f>IF(tblOrdenes[[#This Row],[orden]]="","",_xlfn.XLOOKUP(tblOrdenes[[#This Row],[id_operacion]],tblEjecucion[id_operacion],tblEjecucion[precio],0))</f>
        <v/>
      </c>
      <c r="AL509" s="18">
        <f>IF(tblOrdenes[[#This Row],[orden]]="","",MAX(0,_xlfn.XLOOKUP(tblOrdenes[[#This Row],[id_operacion]],tblEjecucion[id_operacion],tblEjecucion[costo_plan_total],0)-tblOrdenes[[#This Row],[costo_servicio]]))</f>
        <v/>
      </c>
      <c r="AM509" s="18">
        <f>IF(tblOrdenes[[#This Row],[orden]]="","",tblOrdenes[[#This Row],[costo_servicio]]+tblOrdenes[[#This Row],[costo_materiales]])</f>
        <v/>
      </c>
      <c r="AN5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09" s="4" t="n"/>
      <c r="AP509" s="4" t="n"/>
      <c r="AQ509" s="4" t="n"/>
      <c r="AR509" s="5">
        <f>IF(tblOrdenes[[#This Row],[link_checklist]]="","",HYPERLINK(p_ruta_base_checklists&amp;tblOrdenes[[#This Row],[link_checklist]],"abrir"))</f>
        <v/>
      </c>
      <c r="AS509" s="4" t="n"/>
      <c r="AT509" s="5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22" t="n"/>
      <c r="K510" s="5" t="n"/>
      <c r="L510" s="18" t="n"/>
      <c r="M5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5">
        <f>IF(tblOrdenes[[#This Row],[fecha_inicio]]="","",YEAR(tblOrdenes[[#This Row],[fecha_inicio]]))</f>
        <v/>
      </c>
      <c r="Q510" s="5">
        <f>IF(tblOrdenes[[#This Row],[fecha_inicio]]="","",MONTH(tblOrdenes[[#This Row],[fecha_inicio]]))</f>
        <v/>
      </c>
      <c r="R510" s="5">
        <f>IF(tblOrdenes[[#This Row],[fecha_inicio]]="","",tblOrdenes[[#This Row],[anio]]&amp;"-"&amp;TEXT(tblOrdenes[[#This Row],[mes]],"00"))</f>
        <v/>
      </c>
      <c r="S510" s="5">
        <f>IF(tblOrdenes[[#This Row],[fecha_inicio]]="","",INDEX(lista_dias,WEEKDAY(tblOrdenes[[#This Row],[fecha_inicio]],2)))</f>
        <v/>
      </c>
      <c r="T5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0" s="5">
        <f>IF(tblOrdenes[[#This Row],[tipo_ot]]="","",_xlfn.XLOOKUP(tblOrdenes[[#This Row],[tipo_ot]],tblTiposOT[codigo],tblTiposOT[clasificacion],"sin_clasificar"))</f>
        <v/>
      </c>
      <c r="V5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0" s="5">
        <f>IF(tblOrdenes[[#This Row],[centro_costo]]="","",_xlfn.XLOOKUP(tblOrdenes[[#This Row],[centro_costo]],tblCECO[codigo],tblCECO[linea],"(sin catálogo)"))</f>
        <v/>
      </c>
      <c r="X510" s="5">
        <f>IF(tblOrdenes[[#This Row],[centro_costo]]="","",_xlfn.XLOOKUP(tblOrdenes[[#This Row],[centro_costo]],tblCECO[codigo],tblCECO[area],"(sin catálogo)"))</f>
        <v/>
      </c>
      <c r="Y5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0" s="5">
        <f>IF(tblOrdenes[[#This Row],[centro_costo]]="","",_xlfn.XLOOKUP(tblOrdenes[[#This Row],[centro_costo]],tblCECO[codigo],tblCECO[coordinador],"(sin catálogo)"))</f>
        <v/>
      </c>
      <c r="AA510" s="5">
        <f>IF(tblOrdenes[[#This Row],[puesto_trabajo]]="","",_xlfn.XLOOKUP(tblOrdenes[[#This Row],[puesto_trabajo]],tblPuestos[codigo],tblPuestos[especialidad],"(sin catálogo)"))</f>
        <v/>
      </c>
      <c r="AB510" s="5">
        <f>IF(tblOrdenes[[#This Row],[cod_actividad]]="","",_xlfn.XLOOKUP(tblOrdenes[[#This Row],[cod_actividad]],tblActividades[codigo],tblActividades[descripcion],"(sin catálogo)"))</f>
        <v/>
      </c>
      <c r="AC510" s="20">
        <f>IF(tblOrdenes[[#This Row],[fecha_inicio]]="","",TODAY()-tblOrdenes[[#This Row],[fecha_inicio]])</f>
        <v/>
      </c>
      <c r="AD5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0" s="5">
        <f>IF(tblOrdenes[[#This Row],[backlog_habiles]]="","",IF(tblOrdenes[[#This Row],[backlog_habiles]]&lt;0,"FUTURO",IF(tblOrdenes[[#This Row],[backlog_habiles]]&gt;p_dias_backlog_max,"BACKLOG","MES CORRIENTE")))</f>
        <v/>
      </c>
      <c r="AF510" s="5">
        <f>IF(tblOrdenes[[#This Row],[backlog_habiles]]="",FALSE,AND(tblOrdenes[[#This Row],[backlog_habiles]]&gt;p_dias_backlog_min,tblOrdenes[[#This Row],[backlog_habiles]]&lt;=p_dias_backlog_max))</f>
        <v/>
      </c>
      <c r="AG510" s="4" t="n"/>
      <c r="AH5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0" s="18">
        <f>IF(tblOrdenes[[#This Row],[orden]]="","",_xlfn.XLOOKUP(tblOrdenes[[#This Row],[id_operacion]],tblEjecucion[id_operacion],tblEjecucion[precio],0))</f>
        <v/>
      </c>
      <c r="AL510" s="18">
        <f>IF(tblOrdenes[[#This Row],[orden]]="","",MAX(0,_xlfn.XLOOKUP(tblOrdenes[[#This Row],[id_operacion]],tblEjecucion[id_operacion],tblEjecucion[costo_plan_total],0)-tblOrdenes[[#This Row],[costo_servicio]]))</f>
        <v/>
      </c>
      <c r="AM510" s="18">
        <f>IF(tblOrdenes[[#This Row],[orden]]="","",tblOrdenes[[#This Row],[costo_servicio]]+tblOrdenes[[#This Row],[costo_materiales]])</f>
        <v/>
      </c>
      <c r="AN5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0" s="4" t="n"/>
      <c r="AP510" s="4" t="n"/>
      <c r="AQ510" s="4" t="n"/>
      <c r="AR510" s="5">
        <f>IF(tblOrdenes[[#This Row],[link_checklist]]="","",HYPERLINK(p_ruta_base_checklists&amp;tblOrdenes[[#This Row],[link_checklist]],"abrir"))</f>
        <v/>
      </c>
      <c r="AS510" s="4" t="n"/>
      <c r="AT510" s="5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22" t="n"/>
      <c r="K511" s="5" t="n"/>
      <c r="L511" s="18" t="n"/>
      <c r="M5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5">
        <f>IF(tblOrdenes[[#This Row],[fecha_inicio]]="","",YEAR(tblOrdenes[[#This Row],[fecha_inicio]]))</f>
        <v/>
      </c>
      <c r="Q511" s="5">
        <f>IF(tblOrdenes[[#This Row],[fecha_inicio]]="","",MONTH(tblOrdenes[[#This Row],[fecha_inicio]]))</f>
        <v/>
      </c>
      <c r="R511" s="5">
        <f>IF(tblOrdenes[[#This Row],[fecha_inicio]]="","",tblOrdenes[[#This Row],[anio]]&amp;"-"&amp;TEXT(tblOrdenes[[#This Row],[mes]],"00"))</f>
        <v/>
      </c>
      <c r="S511" s="5">
        <f>IF(tblOrdenes[[#This Row],[fecha_inicio]]="","",INDEX(lista_dias,WEEKDAY(tblOrdenes[[#This Row],[fecha_inicio]],2)))</f>
        <v/>
      </c>
      <c r="T5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1" s="5">
        <f>IF(tblOrdenes[[#This Row],[tipo_ot]]="","",_xlfn.XLOOKUP(tblOrdenes[[#This Row],[tipo_ot]],tblTiposOT[codigo],tblTiposOT[clasificacion],"sin_clasificar"))</f>
        <v/>
      </c>
      <c r="V5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1" s="5">
        <f>IF(tblOrdenes[[#This Row],[centro_costo]]="","",_xlfn.XLOOKUP(tblOrdenes[[#This Row],[centro_costo]],tblCECO[codigo],tblCECO[linea],"(sin catálogo)"))</f>
        <v/>
      </c>
      <c r="X511" s="5">
        <f>IF(tblOrdenes[[#This Row],[centro_costo]]="","",_xlfn.XLOOKUP(tblOrdenes[[#This Row],[centro_costo]],tblCECO[codigo],tblCECO[area],"(sin catálogo)"))</f>
        <v/>
      </c>
      <c r="Y5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1" s="5">
        <f>IF(tblOrdenes[[#This Row],[centro_costo]]="","",_xlfn.XLOOKUP(tblOrdenes[[#This Row],[centro_costo]],tblCECO[codigo],tblCECO[coordinador],"(sin catálogo)"))</f>
        <v/>
      </c>
      <c r="AA511" s="5">
        <f>IF(tblOrdenes[[#This Row],[puesto_trabajo]]="","",_xlfn.XLOOKUP(tblOrdenes[[#This Row],[puesto_trabajo]],tblPuestos[codigo],tblPuestos[especialidad],"(sin catálogo)"))</f>
        <v/>
      </c>
      <c r="AB511" s="5">
        <f>IF(tblOrdenes[[#This Row],[cod_actividad]]="","",_xlfn.XLOOKUP(tblOrdenes[[#This Row],[cod_actividad]],tblActividades[codigo],tblActividades[descripcion],"(sin catálogo)"))</f>
        <v/>
      </c>
      <c r="AC511" s="20">
        <f>IF(tblOrdenes[[#This Row],[fecha_inicio]]="","",TODAY()-tblOrdenes[[#This Row],[fecha_inicio]])</f>
        <v/>
      </c>
      <c r="AD5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1" s="5">
        <f>IF(tblOrdenes[[#This Row],[backlog_habiles]]="","",IF(tblOrdenes[[#This Row],[backlog_habiles]]&lt;0,"FUTURO",IF(tblOrdenes[[#This Row],[backlog_habiles]]&gt;p_dias_backlog_max,"BACKLOG","MES CORRIENTE")))</f>
        <v/>
      </c>
      <c r="AF511" s="5">
        <f>IF(tblOrdenes[[#This Row],[backlog_habiles]]="",FALSE,AND(tblOrdenes[[#This Row],[backlog_habiles]]&gt;p_dias_backlog_min,tblOrdenes[[#This Row],[backlog_habiles]]&lt;=p_dias_backlog_max))</f>
        <v/>
      </c>
      <c r="AG511" s="4" t="n"/>
      <c r="AH5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1" s="18">
        <f>IF(tblOrdenes[[#This Row],[orden]]="","",_xlfn.XLOOKUP(tblOrdenes[[#This Row],[id_operacion]],tblEjecucion[id_operacion],tblEjecucion[precio],0))</f>
        <v/>
      </c>
      <c r="AL511" s="18">
        <f>IF(tblOrdenes[[#This Row],[orden]]="","",MAX(0,_xlfn.XLOOKUP(tblOrdenes[[#This Row],[id_operacion]],tblEjecucion[id_operacion],tblEjecucion[costo_plan_total],0)-tblOrdenes[[#This Row],[costo_servicio]]))</f>
        <v/>
      </c>
      <c r="AM511" s="18">
        <f>IF(tblOrdenes[[#This Row],[orden]]="","",tblOrdenes[[#This Row],[costo_servicio]]+tblOrdenes[[#This Row],[costo_materiales]])</f>
        <v/>
      </c>
      <c r="AN5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1" s="4" t="n"/>
      <c r="AP511" s="4" t="n"/>
      <c r="AQ511" s="4" t="n"/>
      <c r="AR511" s="5">
        <f>IF(tblOrdenes[[#This Row],[link_checklist]]="","",HYPERLINK(p_ruta_base_checklists&amp;tblOrdenes[[#This Row],[link_checklist]],"abrir"))</f>
        <v/>
      </c>
      <c r="AS511" s="4" t="n"/>
      <c r="AT511" s="5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22" t="n"/>
      <c r="K512" s="5" t="n"/>
      <c r="L512" s="18" t="n"/>
      <c r="M5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5">
        <f>IF(tblOrdenes[[#This Row],[fecha_inicio]]="","",YEAR(tblOrdenes[[#This Row],[fecha_inicio]]))</f>
        <v/>
      </c>
      <c r="Q512" s="5">
        <f>IF(tblOrdenes[[#This Row],[fecha_inicio]]="","",MONTH(tblOrdenes[[#This Row],[fecha_inicio]]))</f>
        <v/>
      </c>
      <c r="R512" s="5">
        <f>IF(tblOrdenes[[#This Row],[fecha_inicio]]="","",tblOrdenes[[#This Row],[anio]]&amp;"-"&amp;TEXT(tblOrdenes[[#This Row],[mes]],"00"))</f>
        <v/>
      </c>
      <c r="S512" s="5">
        <f>IF(tblOrdenes[[#This Row],[fecha_inicio]]="","",INDEX(lista_dias,WEEKDAY(tblOrdenes[[#This Row],[fecha_inicio]],2)))</f>
        <v/>
      </c>
      <c r="T5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2" s="5">
        <f>IF(tblOrdenes[[#This Row],[tipo_ot]]="","",_xlfn.XLOOKUP(tblOrdenes[[#This Row],[tipo_ot]],tblTiposOT[codigo],tblTiposOT[clasificacion],"sin_clasificar"))</f>
        <v/>
      </c>
      <c r="V5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2" s="5">
        <f>IF(tblOrdenes[[#This Row],[centro_costo]]="","",_xlfn.XLOOKUP(tblOrdenes[[#This Row],[centro_costo]],tblCECO[codigo],tblCECO[linea],"(sin catálogo)"))</f>
        <v/>
      </c>
      <c r="X512" s="5">
        <f>IF(tblOrdenes[[#This Row],[centro_costo]]="","",_xlfn.XLOOKUP(tblOrdenes[[#This Row],[centro_costo]],tblCECO[codigo],tblCECO[area],"(sin catálogo)"))</f>
        <v/>
      </c>
      <c r="Y5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2" s="5">
        <f>IF(tblOrdenes[[#This Row],[centro_costo]]="","",_xlfn.XLOOKUP(tblOrdenes[[#This Row],[centro_costo]],tblCECO[codigo],tblCECO[coordinador],"(sin catálogo)"))</f>
        <v/>
      </c>
      <c r="AA512" s="5">
        <f>IF(tblOrdenes[[#This Row],[puesto_trabajo]]="","",_xlfn.XLOOKUP(tblOrdenes[[#This Row],[puesto_trabajo]],tblPuestos[codigo],tblPuestos[especialidad],"(sin catálogo)"))</f>
        <v/>
      </c>
      <c r="AB512" s="5">
        <f>IF(tblOrdenes[[#This Row],[cod_actividad]]="","",_xlfn.XLOOKUP(tblOrdenes[[#This Row],[cod_actividad]],tblActividades[codigo],tblActividades[descripcion],"(sin catálogo)"))</f>
        <v/>
      </c>
      <c r="AC512" s="20">
        <f>IF(tblOrdenes[[#This Row],[fecha_inicio]]="","",TODAY()-tblOrdenes[[#This Row],[fecha_inicio]])</f>
        <v/>
      </c>
      <c r="AD5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2" s="5">
        <f>IF(tblOrdenes[[#This Row],[backlog_habiles]]="","",IF(tblOrdenes[[#This Row],[backlog_habiles]]&lt;0,"FUTURO",IF(tblOrdenes[[#This Row],[backlog_habiles]]&gt;p_dias_backlog_max,"BACKLOG","MES CORRIENTE")))</f>
        <v/>
      </c>
      <c r="AF512" s="5">
        <f>IF(tblOrdenes[[#This Row],[backlog_habiles]]="",FALSE,AND(tblOrdenes[[#This Row],[backlog_habiles]]&gt;p_dias_backlog_min,tblOrdenes[[#This Row],[backlog_habiles]]&lt;=p_dias_backlog_max))</f>
        <v/>
      </c>
      <c r="AG512" s="4" t="n"/>
      <c r="AH5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2" s="18">
        <f>IF(tblOrdenes[[#This Row],[orden]]="","",_xlfn.XLOOKUP(tblOrdenes[[#This Row],[id_operacion]],tblEjecucion[id_operacion],tblEjecucion[precio],0))</f>
        <v/>
      </c>
      <c r="AL512" s="18">
        <f>IF(tblOrdenes[[#This Row],[orden]]="","",MAX(0,_xlfn.XLOOKUP(tblOrdenes[[#This Row],[id_operacion]],tblEjecucion[id_operacion],tblEjecucion[costo_plan_total],0)-tblOrdenes[[#This Row],[costo_servicio]]))</f>
        <v/>
      </c>
      <c r="AM512" s="18">
        <f>IF(tblOrdenes[[#This Row],[orden]]="","",tblOrdenes[[#This Row],[costo_servicio]]+tblOrdenes[[#This Row],[costo_materiales]])</f>
        <v/>
      </c>
      <c r="AN5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2" s="4" t="n"/>
      <c r="AP512" s="4" t="n"/>
      <c r="AQ512" s="4" t="n"/>
      <c r="AR512" s="5">
        <f>IF(tblOrdenes[[#This Row],[link_checklist]]="","",HYPERLINK(p_ruta_base_checklists&amp;tblOrdenes[[#This Row],[link_checklist]],"abrir"))</f>
        <v/>
      </c>
      <c r="AS512" s="4" t="n"/>
      <c r="AT512" s="5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22" t="n"/>
      <c r="K513" s="5" t="n"/>
      <c r="L513" s="18" t="n"/>
      <c r="M5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5">
        <f>IF(tblOrdenes[[#This Row],[fecha_inicio]]="","",YEAR(tblOrdenes[[#This Row],[fecha_inicio]]))</f>
        <v/>
      </c>
      <c r="Q513" s="5">
        <f>IF(tblOrdenes[[#This Row],[fecha_inicio]]="","",MONTH(tblOrdenes[[#This Row],[fecha_inicio]]))</f>
        <v/>
      </c>
      <c r="R513" s="5">
        <f>IF(tblOrdenes[[#This Row],[fecha_inicio]]="","",tblOrdenes[[#This Row],[anio]]&amp;"-"&amp;TEXT(tblOrdenes[[#This Row],[mes]],"00"))</f>
        <v/>
      </c>
      <c r="S513" s="5">
        <f>IF(tblOrdenes[[#This Row],[fecha_inicio]]="","",INDEX(lista_dias,WEEKDAY(tblOrdenes[[#This Row],[fecha_inicio]],2)))</f>
        <v/>
      </c>
      <c r="T5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3" s="5">
        <f>IF(tblOrdenes[[#This Row],[tipo_ot]]="","",_xlfn.XLOOKUP(tblOrdenes[[#This Row],[tipo_ot]],tblTiposOT[codigo],tblTiposOT[clasificacion],"sin_clasificar"))</f>
        <v/>
      </c>
      <c r="V5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3" s="5">
        <f>IF(tblOrdenes[[#This Row],[centro_costo]]="","",_xlfn.XLOOKUP(tblOrdenes[[#This Row],[centro_costo]],tblCECO[codigo],tblCECO[linea],"(sin catálogo)"))</f>
        <v/>
      </c>
      <c r="X513" s="5">
        <f>IF(tblOrdenes[[#This Row],[centro_costo]]="","",_xlfn.XLOOKUP(tblOrdenes[[#This Row],[centro_costo]],tblCECO[codigo],tblCECO[area],"(sin catálogo)"))</f>
        <v/>
      </c>
      <c r="Y5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3" s="5">
        <f>IF(tblOrdenes[[#This Row],[centro_costo]]="","",_xlfn.XLOOKUP(tblOrdenes[[#This Row],[centro_costo]],tblCECO[codigo],tblCECO[coordinador],"(sin catálogo)"))</f>
        <v/>
      </c>
      <c r="AA513" s="5">
        <f>IF(tblOrdenes[[#This Row],[puesto_trabajo]]="","",_xlfn.XLOOKUP(tblOrdenes[[#This Row],[puesto_trabajo]],tblPuestos[codigo],tblPuestos[especialidad],"(sin catálogo)"))</f>
        <v/>
      </c>
      <c r="AB513" s="5">
        <f>IF(tblOrdenes[[#This Row],[cod_actividad]]="","",_xlfn.XLOOKUP(tblOrdenes[[#This Row],[cod_actividad]],tblActividades[codigo],tblActividades[descripcion],"(sin catálogo)"))</f>
        <v/>
      </c>
      <c r="AC513" s="20">
        <f>IF(tblOrdenes[[#This Row],[fecha_inicio]]="","",TODAY()-tblOrdenes[[#This Row],[fecha_inicio]])</f>
        <v/>
      </c>
      <c r="AD5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3" s="5">
        <f>IF(tblOrdenes[[#This Row],[backlog_habiles]]="","",IF(tblOrdenes[[#This Row],[backlog_habiles]]&lt;0,"FUTURO",IF(tblOrdenes[[#This Row],[backlog_habiles]]&gt;p_dias_backlog_max,"BACKLOG","MES CORRIENTE")))</f>
        <v/>
      </c>
      <c r="AF513" s="5">
        <f>IF(tblOrdenes[[#This Row],[backlog_habiles]]="",FALSE,AND(tblOrdenes[[#This Row],[backlog_habiles]]&gt;p_dias_backlog_min,tblOrdenes[[#This Row],[backlog_habiles]]&lt;=p_dias_backlog_max))</f>
        <v/>
      </c>
      <c r="AG513" s="4" t="n"/>
      <c r="AH5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3" s="18">
        <f>IF(tblOrdenes[[#This Row],[orden]]="","",_xlfn.XLOOKUP(tblOrdenes[[#This Row],[id_operacion]],tblEjecucion[id_operacion],tblEjecucion[precio],0))</f>
        <v/>
      </c>
      <c r="AL513" s="18">
        <f>IF(tblOrdenes[[#This Row],[orden]]="","",MAX(0,_xlfn.XLOOKUP(tblOrdenes[[#This Row],[id_operacion]],tblEjecucion[id_operacion],tblEjecucion[costo_plan_total],0)-tblOrdenes[[#This Row],[costo_servicio]]))</f>
        <v/>
      </c>
      <c r="AM513" s="18">
        <f>IF(tblOrdenes[[#This Row],[orden]]="","",tblOrdenes[[#This Row],[costo_servicio]]+tblOrdenes[[#This Row],[costo_materiales]])</f>
        <v/>
      </c>
      <c r="AN5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3" s="4" t="n"/>
      <c r="AP513" s="4" t="n"/>
      <c r="AQ513" s="4" t="n"/>
      <c r="AR513" s="5">
        <f>IF(tblOrdenes[[#This Row],[link_checklist]]="","",HYPERLINK(p_ruta_base_checklists&amp;tblOrdenes[[#This Row],[link_checklist]],"abrir"))</f>
        <v/>
      </c>
      <c r="AS513" s="4" t="n"/>
      <c r="AT513" s="5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22" t="n"/>
      <c r="K514" s="5" t="n"/>
      <c r="L514" s="18" t="n"/>
      <c r="M5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5">
        <f>IF(tblOrdenes[[#This Row],[fecha_inicio]]="","",YEAR(tblOrdenes[[#This Row],[fecha_inicio]]))</f>
        <v/>
      </c>
      <c r="Q514" s="5">
        <f>IF(tblOrdenes[[#This Row],[fecha_inicio]]="","",MONTH(tblOrdenes[[#This Row],[fecha_inicio]]))</f>
        <v/>
      </c>
      <c r="R514" s="5">
        <f>IF(tblOrdenes[[#This Row],[fecha_inicio]]="","",tblOrdenes[[#This Row],[anio]]&amp;"-"&amp;TEXT(tblOrdenes[[#This Row],[mes]],"00"))</f>
        <v/>
      </c>
      <c r="S514" s="5">
        <f>IF(tblOrdenes[[#This Row],[fecha_inicio]]="","",INDEX(lista_dias,WEEKDAY(tblOrdenes[[#This Row],[fecha_inicio]],2)))</f>
        <v/>
      </c>
      <c r="T5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4" s="5">
        <f>IF(tblOrdenes[[#This Row],[tipo_ot]]="","",_xlfn.XLOOKUP(tblOrdenes[[#This Row],[tipo_ot]],tblTiposOT[codigo],tblTiposOT[clasificacion],"sin_clasificar"))</f>
        <v/>
      </c>
      <c r="V5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4" s="5">
        <f>IF(tblOrdenes[[#This Row],[centro_costo]]="","",_xlfn.XLOOKUP(tblOrdenes[[#This Row],[centro_costo]],tblCECO[codigo],tblCECO[linea],"(sin catálogo)"))</f>
        <v/>
      </c>
      <c r="X514" s="5">
        <f>IF(tblOrdenes[[#This Row],[centro_costo]]="","",_xlfn.XLOOKUP(tblOrdenes[[#This Row],[centro_costo]],tblCECO[codigo],tblCECO[area],"(sin catálogo)"))</f>
        <v/>
      </c>
      <c r="Y5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4" s="5">
        <f>IF(tblOrdenes[[#This Row],[centro_costo]]="","",_xlfn.XLOOKUP(tblOrdenes[[#This Row],[centro_costo]],tblCECO[codigo],tblCECO[coordinador],"(sin catálogo)"))</f>
        <v/>
      </c>
      <c r="AA514" s="5">
        <f>IF(tblOrdenes[[#This Row],[puesto_trabajo]]="","",_xlfn.XLOOKUP(tblOrdenes[[#This Row],[puesto_trabajo]],tblPuestos[codigo],tblPuestos[especialidad],"(sin catálogo)"))</f>
        <v/>
      </c>
      <c r="AB514" s="5">
        <f>IF(tblOrdenes[[#This Row],[cod_actividad]]="","",_xlfn.XLOOKUP(tblOrdenes[[#This Row],[cod_actividad]],tblActividades[codigo],tblActividades[descripcion],"(sin catálogo)"))</f>
        <v/>
      </c>
      <c r="AC514" s="20">
        <f>IF(tblOrdenes[[#This Row],[fecha_inicio]]="","",TODAY()-tblOrdenes[[#This Row],[fecha_inicio]])</f>
        <v/>
      </c>
      <c r="AD5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4" s="5">
        <f>IF(tblOrdenes[[#This Row],[backlog_habiles]]="","",IF(tblOrdenes[[#This Row],[backlog_habiles]]&lt;0,"FUTURO",IF(tblOrdenes[[#This Row],[backlog_habiles]]&gt;p_dias_backlog_max,"BACKLOG","MES CORRIENTE")))</f>
        <v/>
      </c>
      <c r="AF514" s="5">
        <f>IF(tblOrdenes[[#This Row],[backlog_habiles]]="",FALSE,AND(tblOrdenes[[#This Row],[backlog_habiles]]&gt;p_dias_backlog_min,tblOrdenes[[#This Row],[backlog_habiles]]&lt;=p_dias_backlog_max))</f>
        <v/>
      </c>
      <c r="AG514" s="4" t="n"/>
      <c r="AH5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4" s="18">
        <f>IF(tblOrdenes[[#This Row],[orden]]="","",_xlfn.XLOOKUP(tblOrdenes[[#This Row],[id_operacion]],tblEjecucion[id_operacion],tblEjecucion[precio],0))</f>
        <v/>
      </c>
      <c r="AL514" s="18">
        <f>IF(tblOrdenes[[#This Row],[orden]]="","",MAX(0,_xlfn.XLOOKUP(tblOrdenes[[#This Row],[id_operacion]],tblEjecucion[id_operacion],tblEjecucion[costo_plan_total],0)-tblOrdenes[[#This Row],[costo_servicio]]))</f>
        <v/>
      </c>
      <c r="AM514" s="18">
        <f>IF(tblOrdenes[[#This Row],[orden]]="","",tblOrdenes[[#This Row],[costo_servicio]]+tblOrdenes[[#This Row],[costo_materiales]])</f>
        <v/>
      </c>
      <c r="AN5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4" s="4" t="n"/>
      <c r="AP514" s="4" t="n"/>
      <c r="AQ514" s="4" t="n"/>
      <c r="AR514" s="5">
        <f>IF(tblOrdenes[[#This Row],[link_checklist]]="","",HYPERLINK(p_ruta_base_checklists&amp;tblOrdenes[[#This Row],[link_checklist]],"abrir"))</f>
        <v/>
      </c>
      <c r="AS514" s="4" t="n"/>
      <c r="AT514" s="5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22" t="n"/>
      <c r="K515" s="5" t="n"/>
      <c r="L515" s="18" t="n"/>
      <c r="M5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5">
        <f>IF(tblOrdenes[[#This Row],[fecha_inicio]]="","",YEAR(tblOrdenes[[#This Row],[fecha_inicio]]))</f>
        <v/>
      </c>
      <c r="Q515" s="5">
        <f>IF(tblOrdenes[[#This Row],[fecha_inicio]]="","",MONTH(tblOrdenes[[#This Row],[fecha_inicio]]))</f>
        <v/>
      </c>
      <c r="R515" s="5">
        <f>IF(tblOrdenes[[#This Row],[fecha_inicio]]="","",tblOrdenes[[#This Row],[anio]]&amp;"-"&amp;TEXT(tblOrdenes[[#This Row],[mes]],"00"))</f>
        <v/>
      </c>
      <c r="S515" s="5">
        <f>IF(tblOrdenes[[#This Row],[fecha_inicio]]="","",INDEX(lista_dias,WEEKDAY(tblOrdenes[[#This Row],[fecha_inicio]],2)))</f>
        <v/>
      </c>
      <c r="T5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5" s="5">
        <f>IF(tblOrdenes[[#This Row],[tipo_ot]]="","",_xlfn.XLOOKUP(tblOrdenes[[#This Row],[tipo_ot]],tblTiposOT[codigo],tblTiposOT[clasificacion],"sin_clasificar"))</f>
        <v/>
      </c>
      <c r="V5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5" s="5">
        <f>IF(tblOrdenes[[#This Row],[centro_costo]]="","",_xlfn.XLOOKUP(tblOrdenes[[#This Row],[centro_costo]],tblCECO[codigo],tblCECO[linea],"(sin catálogo)"))</f>
        <v/>
      </c>
      <c r="X515" s="5">
        <f>IF(tblOrdenes[[#This Row],[centro_costo]]="","",_xlfn.XLOOKUP(tblOrdenes[[#This Row],[centro_costo]],tblCECO[codigo],tblCECO[area],"(sin catálogo)"))</f>
        <v/>
      </c>
      <c r="Y5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5" s="5">
        <f>IF(tblOrdenes[[#This Row],[centro_costo]]="","",_xlfn.XLOOKUP(tblOrdenes[[#This Row],[centro_costo]],tblCECO[codigo],tblCECO[coordinador],"(sin catálogo)"))</f>
        <v/>
      </c>
      <c r="AA515" s="5">
        <f>IF(tblOrdenes[[#This Row],[puesto_trabajo]]="","",_xlfn.XLOOKUP(tblOrdenes[[#This Row],[puesto_trabajo]],tblPuestos[codigo],tblPuestos[especialidad],"(sin catálogo)"))</f>
        <v/>
      </c>
      <c r="AB515" s="5">
        <f>IF(tblOrdenes[[#This Row],[cod_actividad]]="","",_xlfn.XLOOKUP(tblOrdenes[[#This Row],[cod_actividad]],tblActividades[codigo],tblActividades[descripcion],"(sin catálogo)"))</f>
        <v/>
      </c>
      <c r="AC515" s="20">
        <f>IF(tblOrdenes[[#This Row],[fecha_inicio]]="","",TODAY()-tblOrdenes[[#This Row],[fecha_inicio]])</f>
        <v/>
      </c>
      <c r="AD5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5" s="5">
        <f>IF(tblOrdenes[[#This Row],[backlog_habiles]]="","",IF(tblOrdenes[[#This Row],[backlog_habiles]]&lt;0,"FUTURO",IF(tblOrdenes[[#This Row],[backlog_habiles]]&gt;p_dias_backlog_max,"BACKLOG","MES CORRIENTE")))</f>
        <v/>
      </c>
      <c r="AF515" s="5">
        <f>IF(tblOrdenes[[#This Row],[backlog_habiles]]="",FALSE,AND(tblOrdenes[[#This Row],[backlog_habiles]]&gt;p_dias_backlog_min,tblOrdenes[[#This Row],[backlog_habiles]]&lt;=p_dias_backlog_max))</f>
        <v/>
      </c>
      <c r="AG515" s="4" t="n"/>
      <c r="AH5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5" s="18">
        <f>IF(tblOrdenes[[#This Row],[orden]]="","",_xlfn.XLOOKUP(tblOrdenes[[#This Row],[id_operacion]],tblEjecucion[id_operacion],tblEjecucion[precio],0))</f>
        <v/>
      </c>
      <c r="AL515" s="18">
        <f>IF(tblOrdenes[[#This Row],[orden]]="","",MAX(0,_xlfn.XLOOKUP(tblOrdenes[[#This Row],[id_operacion]],tblEjecucion[id_operacion],tblEjecucion[costo_plan_total],0)-tblOrdenes[[#This Row],[costo_servicio]]))</f>
        <v/>
      </c>
      <c r="AM515" s="18">
        <f>IF(tblOrdenes[[#This Row],[orden]]="","",tblOrdenes[[#This Row],[costo_servicio]]+tblOrdenes[[#This Row],[costo_materiales]])</f>
        <v/>
      </c>
      <c r="AN5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5" s="4" t="n"/>
      <c r="AP515" s="4" t="n"/>
      <c r="AQ515" s="4" t="n"/>
      <c r="AR515" s="5">
        <f>IF(tblOrdenes[[#This Row],[link_checklist]]="","",HYPERLINK(p_ruta_base_checklists&amp;tblOrdenes[[#This Row],[link_checklist]],"abrir"))</f>
        <v/>
      </c>
      <c r="AS515" s="4" t="n"/>
      <c r="AT515" s="5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22" t="n"/>
      <c r="K516" s="5" t="n"/>
      <c r="L516" s="18" t="n"/>
      <c r="M5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5">
        <f>IF(tblOrdenes[[#This Row],[fecha_inicio]]="","",YEAR(tblOrdenes[[#This Row],[fecha_inicio]]))</f>
        <v/>
      </c>
      <c r="Q516" s="5">
        <f>IF(tblOrdenes[[#This Row],[fecha_inicio]]="","",MONTH(tblOrdenes[[#This Row],[fecha_inicio]]))</f>
        <v/>
      </c>
      <c r="R516" s="5">
        <f>IF(tblOrdenes[[#This Row],[fecha_inicio]]="","",tblOrdenes[[#This Row],[anio]]&amp;"-"&amp;TEXT(tblOrdenes[[#This Row],[mes]],"00"))</f>
        <v/>
      </c>
      <c r="S516" s="5">
        <f>IF(tblOrdenes[[#This Row],[fecha_inicio]]="","",INDEX(lista_dias,WEEKDAY(tblOrdenes[[#This Row],[fecha_inicio]],2)))</f>
        <v/>
      </c>
      <c r="T5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6" s="5">
        <f>IF(tblOrdenes[[#This Row],[tipo_ot]]="","",_xlfn.XLOOKUP(tblOrdenes[[#This Row],[tipo_ot]],tblTiposOT[codigo],tblTiposOT[clasificacion],"sin_clasificar"))</f>
        <v/>
      </c>
      <c r="V5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6" s="5">
        <f>IF(tblOrdenes[[#This Row],[centro_costo]]="","",_xlfn.XLOOKUP(tblOrdenes[[#This Row],[centro_costo]],tblCECO[codigo],tblCECO[linea],"(sin catálogo)"))</f>
        <v/>
      </c>
      <c r="X516" s="5">
        <f>IF(tblOrdenes[[#This Row],[centro_costo]]="","",_xlfn.XLOOKUP(tblOrdenes[[#This Row],[centro_costo]],tblCECO[codigo],tblCECO[area],"(sin catálogo)"))</f>
        <v/>
      </c>
      <c r="Y5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6" s="5">
        <f>IF(tblOrdenes[[#This Row],[centro_costo]]="","",_xlfn.XLOOKUP(tblOrdenes[[#This Row],[centro_costo]],tblCECO[codigo],tblCECO[coordinador],"(sin catálogo)"))</f>
        <v/>
      </c>
      <c r="AA516" s="5">
        <f>IF(tblOrdenes[[#This Row],[puesto_trabajo]]="","",_xlfn.XLOOKUP(tblOrdenes[[#This Row],[puesto_trabajo]],tblPuestos[codigo],tblPuestos[especialidad],"(sin catálogo)"))</f>
        <v/>
      </c>
      <c r="AB516" s="5">
        <f>IF(tblOrdenes[[#This Row],[cod_actividad]]="","",_xlfn.XLOOKUP(tblOrdenes[[#This Row],[cod_actividad]],tblActividades[codigo],tblActividades[descripcion],"(sin catálogo)"))</f>
        <v/>
      </c>
      <c r="AC516" s="20">
        <f>IF(tblOrdenes[[#This Row],[fecha_inicio]]="","",TODAY()-tblOrdenes[[#This Row],[fecha_inicio]])</f>
        <v/>
      </c>
      <c r="AD5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6" s="5">
        <f>IF(tblOrdenes[[#This Row],[backlog_habiles]]="","",IF(tblOrdenes[[#This Row],[backlog_habiles]]&lt;0,"FUTURO",IF(tblOrdenes[[#This Row],[backlog_habiles]]&gt;p_dias_backlog_max,"BACKLOG","MES CORRIENTE")))</f>
        <v/>
      </c>
      <c r="AF516" s="5">
        <f>IF(tblOrdenes[[#This Row],[backlog_habiles]]="",FALSE,AND(tblOrdenes[[#This Row],[backlog_habiles]]&gt;p_dias_backlog_min,tblOrdenes[[#This Row],[backlog_habiles]]&lt;=p_dias_backlog_max))</f>
        <v/>
      </c>
      <c r="AG516" s="4" t="n"/>
      <c r="AH5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6" s="18">
        <f>IF(tblOrdenes[[#This Row],[orden]]="","",_xlfn.XLOOKUP(tblOrdenes[[#This Row],[id_operacion]],tblEjecucion[id_operacion],tblEjecucion[precio],0))</f>
        <v/>
      </c>
      <c r="AL516" s="18">
        <f>IF(tblOrdenes[[#This Row],[orden]]="","",MAX(0,_xlfn.XLOOKUP(tblOrdenes[[#This Row],[id_operacion]],tblEjecucion[id_operacion],tblEjecucion[costo_plan_total],0)-tblOrdenes[[#This Row],[costo_servicio]]))</f>
        <v/>
      </c>
      <c r="AM516" s="18">
        <f>IF(tblOrdenes[[#This Row],[orden]]="","",tblOrdenes[[#This Row],[costo_servicio]]+tblOrdenes[[#This Row],[costo_materiales]])</f>
        <v/>
      </c>
      <c r="AN5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6" s="4" t="n"/>
      <c r="AP516" s="4" t="n"/>
      <c r="AQ516" s="4" t="n"/>
      <c r="AR516" s="5">
        <f>IF(tblOrdenes[[#This Row],[link_checklist]]="","",HYPERLINK(p_ruta_base_checklists&amp;tblOrdenes[[#This Row],[link_checklist]],"abrir"))</f>
        <v/>
      </c>
      <c r="AS516" s="4" t="n"/>
      <c r="AT516" s="5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22" t="n"/>
      <c r="K517" s="5" t="n"/>
      <c r="L517" s="18" t="n"/>
      <c r="M5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5">
        <f>IF(tblOrdenes[[#This Row],[fecha_inicio]]="","",YEAR(tblOrdenes[[#This Row],[fecha_inicio]]))</f>
        <v/>
      </c>
      <c r="Q517" s="5">
        <f>IF(tblOrdenes[[#This Row],[fecha_inicio]]="","",MONTH(tblOrdenes[[#This Row],[fecha_inicio]]))</f>
        <v/>
      </c>
      <c r="R517" s="5">
        <f>IF(tblOrdenes[[#This Row],[fecha_inicio]]="","",tblOrdenes[[#This Row],[anio]]&amp;"-"&amp;TEXT(tblOrdenes[[#This Row],[mes]],"00"))</f>
        <v/>
      </c>
      <c r="S517" s="5">
        <f>IF(tblOrdenes[[#This Row],[fecha_inicio]]="","",INDEX(lista_dias,WEEKDAY(tblOrdenes[[#This Row],[fecha_inicio]],2)))</f>
        <v/>
      </c>
      <c r="T5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7" s="5">
        <f>IF(tblOrdenes[[#This Row],[tipo_ot]]="","",_xlfn.XLOOKUP(tblOrdenes[[#This Row],[tipo_ot]],tblTiposOT[codigo],tblTiposOT[clasificacion],"sin_clasificar"))</f>
        <v/>
      </c>
      <c r="V5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7" s="5">
        <f>IF(tblOrdenes[[#This Row],[centro_costo]]="","",_xlfn.XLOOKUP(tblOrdenes[[#This Row],[centro_costo]],tblCECO[codigo],tblCECO[linea],"(sin catálogo)"))</f>
        <v/>
      </c>
      <c r="X517" s="5">
        <f>IF(tblOrdenes[[#This Row],[centro_costo]]="","",_xlfn.XLOOKUP(tblOrdenes[[#This Row],[centro_costo]],tblCECO[codigo],tblCECO[area],"(sin catálogo)"))</f>
        <v/>
      </c>
      <c r="Y5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7" s="5">
        <f>IF(tblOrdenes[[#This Row],[centro_costo]]="","",_xlfn.XLOOKUP(tblOrdenes[[#This Row],[centro_costo]],tblCECO[codigo],tblCECO[coordinador],"(sin catálogo)"))</f>
        <v/>
      </c>
      <c r="AA517" s="5">
        <f>IF(tblOrdenes[[#This Row],[puesto_trabajo]]="","",_xlfn.XLOOKUP(tblOrdenes[[#This Row],[puesto_trabajo]],tblPuestos[codigo],tblPuestos[especialidad],"(sin catálogo)"))</f>
        <v/>
      </c>
      <c r="AB517" s="5">
        <f>IF(tblOrdenes[[#This Row],[cod_actividad]]="","",_xlfn.XLOOKUP(tblOrdenes[[#This Row],[cod_actividad]],tblActividades[codigo],tblActividades[descripcion],"(sin catálogo)"))</f>
        <v/>
      </c>
      <c r="AC517" s="20">
        <f>IF(tblOrdenes[[#This Row],[fecha_inicio]]="","",TODAY()-tblOrdenes[[#This Row],[fecha_inicio]])</f>
        <v/>
      </c>
      <c r="AD5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7" s="5">
        <f>IF(tblOrdenes[[#This Row],[backlog_habiles]]="","",IF(tblOrdenes[[#This Row],[backlog_habiles]]&lt;0,"FUTURO",IF(tblOrdenes[[#This Row],[backlog_habiles]]&gt;p_dias_backlog_max,"BACKLOG","MES CORRIENTE")))</f>
        <v/>
      </c>
      <c r="AF517" s="5">
        <f>IF(tblOrdenes[[#This Row],[backlog_habiles]]="",FALSE,AND(tblOrdenes[[#This Row],[backlog_habiles]]&gt;p_dias_backlog_min,tblOrdenes[[#This Row],[backlog_habiles]]&lt;=p_dias_backlog_max))</f>
        <v/>
      </c>
      <c r="AG517" s="4" t="n"/>
      <c r="AH5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7" s="18">
        <f>IF(tblOrdenes[[#This Row],[orden]]="","",_xlfn.XLOOKUP(tblOrdenes[[#This Row],[id_operacion]],tblEjecucion[id_operacion],tblEjecucion[precio],0))</f>
        <v/>
      </c>
      <c r="AL517" s="18">
        <f>IF(tblOrdenes[[#This Row],[orden]]="","",MAX(0,_xlfn.XLOOKUP(tblOrdenes[[#This Row],[id_operacion]],tblEjecucion[id_operacion],tblEjecucion[costo_plan_total],0)-tblOrdenes[[#This Row],[costo_servicio]]))</f>
        <v/>
      </c>
      <c r="AM517" s="18">
        <f>IF(tblOrdenes[[#This Row],[orden]]="","",tblOrdenes[[#This Row],[costo_servicio]]+tblOrdenes[[#This Row],[costo_materiales]])</f>
        <v/>
      </c>
      <c r="AN5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7" s="4" t="n"/>
      <c r="AP517" s="4" t="n"/>
      <c r="AQ517" s="4" t="n"/>
      <c r="AR517" s="5">
        <f>IF(tblOrdenes[[#This Row],[link_checklist]]="","",HYPERLINK(p_ruta_base_checklists&amp;tblOrdenes[[#This Row],[link_checklist]],"abrir"))</f>
        <v/>
      </c>
      <c r="AS517" s="4" t="n"/>
      <c r="AT517" s="5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22" t="n"/>
      <c r="K518" s="5" t="n"/>
      <c r="L518" s="18" t="n"/>
      <c r="M5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5">
        <f>IF(tblOrdenes[[#This Row],[fecha_inicio]]="","",YEAR(tblOrdenes[[#This Row],[fecha_inicio]]))</f>
        <v/>
      </c>
      <c r="Q518" s="5">
        <f>IF(tblOrdenes[[#This Row],[fecha_inicio]]="","",MONTH(tblOrdenes[[#This Row],[fecha_inicio]]))</f>
        <v/>
      </c>
      <c r="R518" s="5">
        <f>IF(tblOrdenes[[#This Row],[fecha_inicio]]="","",tblOrdenes[[#This Row],[anio]]&amp;"-"&amp;TEXT(tblOrdenes[[#This Row],[mes]],"00"))</f>
        <v/>
      </c>
      <c r="S518" s="5">
        <f>IF(tblOrdenes[[#This Row],[fecha_inicio]]="","",INDEX(lista_dias,WEEKDAY(tblOrdenes[[#This Row],[fecha_inicio]],2)))</f>
        <v/>
      </c>
      <c r="T5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8" s="5">
        <f>IF(tblOrdenes[[#This Row],[tipo_ot]]="","",_xlfn.XLOOKUP(tblOrdenes[[#This Row],[tipo_ot]],tblTiposOT[codigo],tblTiposOT[clasificacion],"sin_clasificar"))</f>
        <v/>
      </c>
      <c r="V5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8" s="5">
        <f>IF(tblOrdenes[[#This Row],[centro_costo]]="","",_xlfn.XLOOKUP(tblOrdenes[[#This Row],[centro_costo]],tblCECO[codigo],tblCECO[linea],"(sin catálogo)"))</f>
        <v/>
      </c>
      <c r="X518" s="5">
        <f>IF(tblOrdenes[[#This Row],[centro_costo]]="","",_xlfn.XLOOKUP(tblOrdenes[[#This Row],[centro_costo]],tblCECO[codigo],tblCECO[area],"(sin catálogo)"))</f>
        <v/>
      </c>
      <c r="Y5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8" s="5">
        <f>IF(tblOrdenes[[#This Row],[centro_costo]]="","",_xlfn.XLOOKUP(tblOrdenes[[#This Row],[centro_costo]],tblCECO[codigo],tblCECO[coordinador],"(sin catálogo)"))</f>
        <v/>
      </c>
      <c r="AA518" s="5">
        <f>IF(tblOrdenes[[#This Row],[puesto_trabajo]]="","",_xlfn.XLOOKUP(tblOrdenes[[#This Row],[puesto_trabajo]],tblPuestos[codigo],tblPuestos[especialidad],"(sin catálogo)"))</f>
        <v/>
      </c>
      <c r="AB518" s="5">
        <f>IF(tblOrdenes[[#This Row],[cod_actividad]]="","",_xlfn.XLOOKUP(tblOrdenes[[#This Row],[cod_actividad]],tblActividades[codigo],tblActividades[descripcion],"(sin catálogo)"))</f>
        <v/>
      </c>
      <c r="AC518" s="20">
        <f>IF(tblOrdenes[[#This Row],[fecha_inicio]]="","",TODAY()-tblOrdenes[[#This Row],[fecha_inicio]])</f>
        <v/>
      </c>
      <c r="AD5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8" s="5">
        <f>IF(tblOrdenes[[#This Row],[backlog_habiles]]="","",IF(tblOrdenes[[#This Row],[backlog_habiles]]&lt;0,"FUTURO",IF(tblOrdenes[[#This Row],[backlog_habiles]]&gt;p_dias_backlog_max,"BACKLOG","MES CORRIENTE")))</f>
        <v/>
      </c>
      <c r="AF518" s="5">
        <f>IF(tblOrdenes[[#This Row],[backlog_habiles]]="",FALSE,AND(tblOrdenes[[#This Row],[backlog_habiles]]&gt;p_dias_backlog_min,tblOrdenes[[#This Row],[backlog_habiles]]&lt;=p_dias_backlog_max))</f>
        <v/>
      </c>
      <c r="AG518" s="4" t="n"/>
      <c r="AH5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8" s="18">
        <f>IF(tblOrdenes[[#This Row],[orden]]="","",_xlfn.XLOOKUP(tblOrdenes[[#This Row],[id_operacion]],tblEjecucion[id_operacion],tblEjecucion[precio],0))</f>
        <v/>
      </c>
      <c r="AL518" s="18">
        <f>IF(tblOrdenes[[#This Row],[orden]]="","",MAX(0,_xlfn.XLOOKUP(tblOrdenes[[#This Row],[id_operacion]],tblEjecucion[id_operacion],tblEjecucion[costo_plan_total],0)-tblOrdenes[[#This Row],[costo_servicio]]))</f>
        <v/>
      </c>
      <c r="AM518" s="18">
        <f>IF(tblOrdenes[[#This Row],[orden]]="","",tblOrdenes[[#This Row],[costo_servicio]]+tblOrdenes[[#This Row],[costo_materiales]])</f>
        <v/>
      </c>
      <c r="AN5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8" s="4" t="n"/>
      <c r="AP518" s="4" t="n"/>
      <c r="AQ518" s="4" t="n"/>
      <c r="AR518" s="5">
        <f>IF(tblOrdenes[[#This Row],[link_checklist]]="","",HYPERLINK(p_ruta_base_checklists&amp;tblOrdenes[[#This Row],[link_checklist]],"abrir"))</f>
        <v/>
      </c>
      <c r="AS518" s="4" t="n"/>
      <c r="AT518" s="5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22" t="n"/>
      <c r="K519" s="5" t="n"/>
      <c r="L519" s="18" t="n"/>
      <c r="M5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5">
        <f>IF(tblOrdenes[[#This Row],[fecha_inicio]]="","",YEAR(tblOrdenes[[#This Row],[fecha_inicio]]))</f>
        <v/>
      </c>
      <c r="Q519" s="5">
        <f>IF(tblOrdenes[[#This Row],[fecha_inicio]]="","",MONTH(tblOrdenes[[#This Row],[fecha_inicio]]))</f>
        <v/>
      </c>
      <c r="R519" s="5">
        <f>IF(tblOrdenes[[#This Row],[fecha_inicio]]="","",tblOrdenes[[#This Row],[anio]]&amp;"-"&amp;TEXT(tblOrdenes[[#This Row],[mes]],"00"))</f>
        <v/>
      </c>
      <c r="S519" s="5">
        <f>IF(tblOrdenes[[#This Row],[fecha_inicio]]="","",INDEX(lista_dias,WEEKDAY(tblOrdenes[[#This Row],[fecha_inicio]],2)))</f>
        <v/>
      </c>
      <c r="T5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9" s="5">
        <f>IF(tblOrdenes[[#This Row],[tipo_ot]]="","",_xlfn.XLOOKUP(tblOrdenes[[#This Row],[tipo_ot]],tblTiposOT[codigo],tblTiposOT[clasificacion],"sin_clasificar"))</f>
        <v/>
      </c>
      <c r="V5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9" s="5">
        <f>IF(tblOrdenes[[#This Row],[centro_costo]]="","",_xlfn.XLOOKUP(tblOrdenes[[#This Row],[centro_costo]],tblCECO[codigo],tblCECO[linea],"(sin catálogo)"))</f>
        <v/>
      </c>
      <c r="X519" s="5">
        <f>IF(tblOrdenes[[#This Row],[centro_costo]]="","",_xlfn.XLOOKUP(tblOrdenes[[#This Row],[centro_costo]],tblCECO[codigo],tblCECO[area],"(sin catálogo)"))</f>
        <v/>
      </c>
      <c r="Y5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19" s="5">
        <f>IF(tblOrdenes[[#This Row],[centro_costo]]="","",_xlfn.XLOOKUP(tblOrdenes[[#This Row],[centro_costo]],tblCECO[codigo],tblCECO[coordinador],"(sin catálogo)"))</f>
        <v/>
      </c>
      <c r="AA519" s="5">
        <f>IF(tblOrdenes[[#This Row],[puesto_trabajo]]="","",_xlfn.XLOOKUP(tblOrdenes[[#This Row],[puesto_trabajo]],tblPuestos[codigo],tblPuestos[especialidad],"(sin catálogo)"))</f>
        <v/>
      </c>
      <c r="AB519" s="5">
        <f>IF(tblOrdenes[[#This Row],[cod_actividad]]="","",_xlfn.XLOOKUP(tblOrdenes[[#This Row],[cod_actividad]],tblActividades[codigo],tblActividades[descripcion],"(sin catálogo)"))</f>
        <v/>
      </c>
      <c r="AC519" s="20">
        <f>IF(tblOrdenes[[#This Row],[fecha_inicio]]="","",TODAY()-tblOrdenes[[#This Row],[fecha_inicio]])</f>
        <v/>
      </c>
      <c r="AD5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19" s="5">
        <f>IF(tblOrdenes[[#This Row],[backlog_habiles]]="","",IF(tblOrdenes[[#This Row],[backlog_habiles]]&lt;0,"FUTURO",IF(tblOrdenes[[#This Row],[backlog_habiles]]&gt;p_dias_backlog_max,"BACKLOG","MES CORRIENTE")))</f>
        <v/>
      </c>
      <c r="AF519" s="5">
        <f>IF(tblOrdenes[[#This Row],[backlog_habiles]]="",FALSE,AND(tblOrdenes[[#This Row],[backlog_habiles]]&gt;p_dias_backlog_min,tblOrdenes[[#This Row],[backlog_habiles]]&lt;=p_dias_backlog_max))</f>
        <v/>
      </c>
      <c r="AG519" s="4" t="n"/>
      <c r="AH5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19" s="18">
        <f>IF(tblOrdenes[[#This Row],[orden]]="","",_xlfn.XLOOKUP(tblOrdenes[[#This Row],[id_operacion]],tblEjecucion[id_operacion],tblEjecucion[precio],0))</f>
        <v/>
      </c>
      <c r="AL519" s="18">
        <f>IF(tblOrdenes[[#This Row],[orden]]="","",MAX(0,_xlfn.XLOOKUP(tblOrdenes[[#This Row],[id_operacion]],tblEjecucion[id_operacion],tblEjecucion[costo_plan_total],0)-tblOrdenes[[#This Row],[costo_servicio]]))</f>
        <v/>
      </c>
      <c r="AM519" s="18">
        <f>IF(tblOrdenes[[#This Row],[orden]]="","",tblOrdenes[[#This Row],[costo_servicio]]+tblOrdenes[[#This Row],[costo_materiales]])</f>
        <v/>
      </c>
      <c r="AN5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19" s="4" t="n"/>
      <c r="AP519" s="4" t="n"/>
      <c r="AQ519" s="4" t="n"/>
      <c r="AR519" s="5">
        <f>IF(tblOrdenes[[#This Row],[link_checklist]]="","",HYPERLINK(p_ruta_base_checklists&amp;tblOrdenes[[#This Row],[link_checklist]],"abrir"))</f>
        <v/>
      </c>
      <c r="AS519" s="4" t="n"/>
      <c r="AT519" s="5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22" t="n"/>
      <c r="K520" s="5" t="n"/>
      <c r="L520" s="18" t="n"/>
      <c r="M5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5">
        <f>IF(tblOrdenes[[#This Row],[fecha_inicio]]="","",YEAR(tblOrdenes[[#This Row],[fecha_inicio]]))</f>
        <v/>
      </c>
      <c r="Q520" s="5">
        <f>IF(tblOrdenes[[#This Row],[fecha_inicio]]="","",MONTH(tblOrdenes[[#This Row],[fecha_inicio]]))</f>
        <v/>
      </c>
      <c r="R520" s="5">
        <f>IF(tblOrdenes[[#This Row],[fecha_inicio]]="","",tblOrdenes[[#This Row],[anio]]&amp;"-"&amp;TEXT(tblOrdenes[[#This Row],[mes]],"00"))</f>
        <v/>
      </c>
      <c r="S520" s="5">
        <f>IF(tblOrdenes[[#This Row],[fecha_inicio]]="","",INDEX(lista_dias,WEEKDAY(tblOrdenes[[#This Row],[fecha_inicio]],2)))</f>
        <v/>
      </c>
      <c r="T5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0" s="5">
        <f>IF(tblOrdenes[[#This Row],[tipo_ot]]="","",_xlfn.XLOOKUP(tblOrdenes[[#This Row],[tipo_ot]],tblTiposOT[codigo],tblTiposOT[clasificacion],"sin_clasificar"))</f>
        <v/>
      </c>
      <c r="V5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0" s="5">
        <f>IF(tblOrdenes[[#This Row],[centro_costo]]="","",_xlfn.XLOOKUP(tblOrdenes[[#This Row],[centro_costo]],tblCECO[codigo],tblCECO[linea],"(sin catálogo)"))</f>
        <v/>
      </c>
      <c r="X520" s="5">
        <f>IF(tblOrdenes[[#This Row],[centro_costo]]="","",_xlfn.XLOOKUP(tblOrdenes[[#This Row],[centro_costo]],tblCECO[codigo],tblCECO[area],"(sin catálogo)"))</f>
        <v/>
      </c>
      <c r="Y5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0" s="5">
        <f>IF(tblOrdenes[[#This Row],[centro_costo]]="","",_xlfn.XLOOKUP(tblOrdenes[[#This Row],[centro_costo]],tblCECO[codigo],tblCECO[coordinador],"(sin catálogo)"))</f>
        <v/>
      </c>
      <c r="AA520" s="5">
        <f>IF(tblOrdenes[[#This Row],[puesto_trabajo]]="","",_xlfn.XLOOKUP(tblOrdenes[[#This Row],[puesto_trabajo]],tblPuestos[codigo],tblPuestos[especialidad],"(sin catálogo)"))</f>
        <v/>
      </c>
      <c r="AB520" s="5">
        <f>IF(tblOrdenes[[#This Row],[cod_actividad]]="","",_xlfn.XLOOKUP(tblOrdenes[[#This Row],[cod_actividad]],tblActividades[codigo],tblActividades[descripcion],"(sin catálogo)"))</f>
        <v/>
      </c>
      <c r="AC520" s="20">
        <f>IF(tblOrdenes[[#This Row],[fecha_inicio]]="","",TODAY()-tblOrdenes[[#This Row],[fecha_inicio]])</f>
        <v/>
      </c>
      <c r="AD5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0" s="5">
        <f>IF(tblOrdenes[[#This Row],[backlog_habiles]]="","",IF(tblOrdenes[[#This Row],[backlog_habiles]]&lt;0,"FUTURO",IF(tblOrdenes[[#This Row],[backlog_habiles]]&gt;p_dias_backlog_max,"BACKLOG","MES CORRIENTE")))</f>
        <v/>
      </c>
      <c r="AF520" s="5">
        <f>IF(tblOrdenes[[#This Row],[backlog_habiles]]="",FALSE,AND(tblOrdenes[[#This Row],[backlog_habiles]]&gt;p_dias_backlog_min,tblOrdenes[[#This Row],[backlog_habiles]]&lt;=p_dias_backlog_max))</f>
        <v/>
      </c>
      <c r="AG520" s="4" t="n"/>
      <c r="AH5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0" s="18">
        <f>IF(tblOrdenes[[#This Row],[orden]]="","",_xlfn.XLOOKUP(tblOrdenes[[#This Row],[id_operacion]],tblEjecucion[id_operacion],tblEjecucion[precio],0))</f>
        <v/>
      </c>
      <c r="AL520" s="18">
        <f>IF(tblOrdenes[[#This Row],[orden]]="","",MAX(0,_xlfn.XLOOKUP(tblOrdenes[[#This Row],[id_operacion]],tblEjecucion[id_operacion],tblEjecucion[costo_plan_total],0)-tblOrdenes[[#This Row],[costo_servicio]]))</f>
        <v/>
      </c>
      <c r="AM520" s="18">
        <f>IF(tblOrdenes[[#This Row],[orden]]="","",tblOrdenes[[#This Row],[costo_servicio]]+tblOrdenes[[#This Row],[costo_materiales]])</f>
        <v/>
      </c>
      <c r="AN5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0" s="4" t="n"/>
      <c r="AP520" s="4" t="n"/>
      <c r="AQ520" s="4" t="n"/>
      <c r="AR520" s="5">
        <f>IF(tblOrdenes[[#This Row],[link_checklist]]="","",HYPERLINK(p_ruta_base_checklists&amp;tblOrdenes[[#This Row],[link_checklist]],"abrir"))</f>
        <v/>
      </c>
      <c r="AS520" s="4" t="n"/>
      <c r="AT520" s="5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22" t="n"/>
      <c r="K521" s="5" t="n"/>
      <c r="L521" s="18" t="n"/>
      <c r="M5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5">
        <f>IF(tblOrdenes[[#This Row],[fecha_inicio]]="","",YEAR(tblOrdenes[[#This Row],[fecha_inicio]]))</f>
        <v/>
      </c>
      <c r="Q521" s="5">
        <f>IF(tblOrdenes[[#This Row],[fecha_inicio]]="","",MONTH(tblOrdenes[[#This Row],[fecha_inicio]]))</f>
        <v/>
      </c>
      <c r="R521" s="5">
        <f>IF(tblOrdenes[[#This Row],[fecha_inicio]]="","",tblOrdenes[[#This Row],[anio]]&amp;"-"&amp;TEXT(tblOrdenes[[#This Row],[mes]],"00"))</f>
        <v/>
      </c>
      <c r="S521" s="5">
        <f>IF(tblOrdenes[[#This Row],[fecha_inicio]]="","",INDEX(lista_dias,WEEKDAY(tblOrdenes[[#This Row],[fecha_inicio]],2)))</f>
        <v/>
      </c>
      <c r="T5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1" s="5">
        <f>IF(tblOrdenes[[#This Row],[tipo_ot]]="","",_xlfn.XLOOKUP(tblOrdenes[[#This Row],[tipo_ot]],tblTiposOT[codigo],tblTiposOT[clasificacion],"sin_clasificar"))</f>
        <v/>
      </c>
      <c r="V5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1" s="5">
        <f>IF(tblOrdenes[[#This Row],[centro_costo]]="","",_xlfn.XLOOKUP(tblOrdenes[[#This Row],[centro_costo]],tblCECO[codigo],tblCECO[linea],"(sin catálogo)"))</f>
        <v/>
      </c>
      <c r="X521" s="5">
        <f>IF(tblOrdenes[[#This Row],[centro_costo]]="","",_xlfn.XLOOKUP(tblOrdenes[[#This Row],[centro_costo]],tblCECO[codigo],tblCECO[area],"(sin catálogo)"))</f>
        <v/>
      </c>
      <c r="Y5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1" s="5">
        <f>IF(tblOrdenes[[#This Row],[centro_costo]]="","",_xlfn.XLOOKUP(tblOrdenes[[#This Row],[centro_costo]],tblCECO[codigo],tblCECO[coordinador],"(sin catálogo)"))</f>
        <v/>
      </c>
      <c r="AA521" s="5">
        <f>IF(tblOrdenes[[#This Row],[puesto_trabajo]]="","",_xlfn.XLOOKUP(tblOrdenes[[#This Row],[puesto_trabajo]],tblPuestos[codigo],tblPuestos[especialidad],"(sin catálogo)"))</f>
        <v/>
      </c>
      <c r="AB521" s="5">
        <f>IF(tblOrdenes[[#This Row],[cod_actividad]]="","",_xlfn.XLOOKUP(tblOrdenes[[#This Row],[cod_actividad]],tblActividades[codigo],tblActividades[descripcion],"(sin catálogo)"))</f>
        <v/>
      </c>
      <c r="AC521" s="20">
        <f>IF(tblOrdenes[[#This Row],[fecha_inicio]]="","",TODAY()-tblOrdenes[[#This Row],[fecha_inicio]])</f>
        <v/>
      </c>
      <c r="AD5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1" s="5">
        <f>IF(tblOrdenes[[#This Row],[backlog_habiles]]="","",IF(tblOrdenes[[#This Row],[backlog_habiles]]&lt;0,"FUTURO",IF(tblOrdenes[[#This Row],[backlog_habiles]]&gt;p_dias_backlog_max,"BACKLOG","MES CORRIENTE")))</f>
        <v/>
      </c>
      <c r="AF521" s="5">
        <f>IF(tblOrdenes[[#This Row],[backlog_habiles]]="",FALSE,AND(tblOrdenes[[#This Row],[backlog_habiles]]&gt;p_dias_backlog_min,tblOrdenes[[#This Row],[backlog_habiles]]&lt;=p_dias_backlog_max))</f>
        <v/>
      </c>
      <c r="AG521" s="4" t="n"/>
      <c r="AH5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1" s="18">
        <f>IF(tblOrdenes[[#This Row],[orden]]="","",_xlfn.XLOOKUP(tblOrdenes[[#This Row],[id_operacion]],tblEjecucion[id_operacion],tblEjecucion[precio],0))</f>
        <v/>
      </c>
      <c r="AL521" s="18">
        <f>IF(tblOrdenes[[#This Row],[orden]]="","",MAX(0,_xlfn.XLOOKUP(tblOrdenes[[#This Row],[id_operacion]],tblEjecucion[id_operacion],tblEjecucion[costo_plan_total],0)-tblOrdenes[[#This Row],[costo_servicio]]))</f>
        <v/>
      </c>
      <c r="AM521" s="18">
        <f>IF(tblOrdenes[[#This Row],[orden]]="","",tblOrdenes[[#This Row],[costo_servicio]]+tblOrdenes[[#This Row],[costo_materiales]])</f>
        <v/>
      </c>
      <c r="AN5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1" s="4" t="n"/>
      <c r="AP521" s="4" t="n"/>
      <c r="AQ521" s="4" t="n"/>
      <c r="AR521" s="5">
        <f>IF(tblOrdenes[[#This Row],[link_checklist]]="","",HYPERLINK(p_ruta_base_checklists&amp;tblOrdenes[[#This Row],[link_checklist]],"abrir"))</f>
        <v/>
      </c>
      <c r="AS521" s="4" t="n"/>
      <c r="AT521" s="5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22" t="n"/>
      <c r="K522" s="5" t="n"/>
      <c r="L522" s="18" t="n"/>
      <c r="M5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5">
        <f>IF(tblOrdenes[[#This Row],[fecha_inicio]]="","",YEAR(tblOrdenes[[#This Row],[fecha_inicio]]))</f>
        <v/>
      </c>
      <c r="Q522" s="5">
        <f>IF(tblOrdenes[[#This Row],[fecha_inicio]]="","",MONTH(tblOrdenes[[#This Row],[fecha_inicio]]))</f>
        <v/>
      </c>
      <c r="R522" s="5">
        <f>IF(tblOrdenes[[#This Row],[fecha_inicio]]="","",tblOrdenes[[#This Row],[anio]]&amp;"-"&amp;TEXT(tblOrdenes[[#This Row],[mes]],"00"))</f>
        <v/>
      </c>
      <c r="S522" s="5">
        <f>IF(tblOrdenes[[#This Row],[fecha_inicio]]="","",INDEX(lista_dias,WEEKDAY(tblOrdenes[[#This Row],[fecha_inicio]],2)))</f>
        <v/>
      </c>
      <c r="T5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2" s="5">
        <f>IF(tblOrdenes[[#This Row],[tipo_ot]]="","",_xlfn.XLOOKUP(tblOrdenes[[#This Row],[tipo_ot]],tblTiposOT[codigo],tblTiposOT[clasificacion],"sin_clasificar"))</f>
        <v/>
      </c>
      <c r="V5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2" s="5">
        <f>IF(tblOrdenes[[#This Row],[centro_costo]]="","",_xlfn.XLOOKUP(tblOrdenes[[#This Row],[centro_costo]],tblCECO[codigo],tblCECO[linea],"(sin catálogo)"))</f>
        <v/>
      </c>
      <c r="X522" s="5">
        <f>IF(tblOrdenes[[#This Row],[centro_costo]]="","",_xlfn.XLOOKUP(tblOrdenes[[#This Row],[centro_costo]],tblCECO[codigo],tblCECO[area],"(sin catálogo)"))</f>
        <v/>
      </c>
      <c r="Y5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2" s="5">
        <f>IF(tblOrdenes[[#This Row],[centro_costo]]="","",_xlfn.XLOOKUP(tblOrdenes[[#This Row],[centro_costo]],tblCECO[codigo],tblCECO[coordinador],"(sin catálogo)"))</f>
        <v/>
      </c>
      <c r="AA522" s="5">
        <f>IF(tblOrdenes[[#This Row],[puesto_trabajo]]="","",_xlfn.XLOOKUP(tblOrdenes[[#This Row],[puesto_trabajo]],tblPuestos[codigo],tblPuestos[especialidad],"(sin catálogo)"))</f>
        <v/>
      </c>
      <c r="AB522" s="5">
        <f>IF(tblOrdenes[[#This Row],[cod_actividad]]="","",_xlfn.XLOOKUP(tblOrdenes[[#This Row],[cod_actividad]],tblActividades[codigo],tblActividades[descripcion],"(sin catálogo)"))</f>
        <v/>
      </c>
      <c r="AC522" s="20">
        <f>IF(tblOrdenes[[#This Row],[fecha_inicio]]="","",TODAY()-tblOrdenes[[#This Row],[fecha_inicio]])</f>
        <v/>
      </c>
      <c r="AD5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2" s="5">
        <f>IF(tblOrdenes[[#This Row],[backlog_habiles]]="","",IF(tblOrdenes[[#This Row],[backlog_habiles]]&lt;0,"FUTURO",IF(tblOrdenes[[#This Row],[backlog_habiles]]&gt;p_dias_backlog_max,"BACKLOG","MES CORRIENTE")))</f>
        <v/>
      </c>
      <c r="AF522" s="5">
        <f>IF(tblOrdenes[[#This Row],[backlog_habiles]]="",FALSE,AND(tblOrdenes[[#This Row],[backlog_habiles]]&gt;p_dias_backlog_min,tblOrdenes[[#This Row],[backlog_habiles]]&lt;=p_dias_backlog_max))</f>
        <v/>
      </c>
      <c r="AG522" s="4" t="n"/>
      <c r="AH5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2" s="18">
        <f>IF(tblOrdenes[[#This Row],[orden]]="","",_xlfn.XLOOKUP(tblOrdenes[[#This Row],[id_operacion]],tblEjecucion[id_operacion],tblEjecucion[precio],0))</f>
        <v/>
      </c>
      <c r="AL522" s="18">
        <f>IF(tblOrdenes[[#This Row],[orden]]="","",MAX(0,_xlfn.XLOOKUP(tblOrdenes[[#This Row],[id_operacion]],tblEjecucion[id_operacion],tblEjecucion[costo_plan_total],0)-tblOrdenes[[#This Row],[costo_servicio]]))</f>
        <v/>
      </c>
      <c r="AM522" s="18">
        <f>IF(tblOrdenes[[#This Row],[orden]]="","",tblOrdenes[[#This Row],[costo_servicio]]+tblOrdenes[[#This Row],[costo_materiales]])</f>
        <v/>
      </c>
      <c r="AN5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2" s="4" t="n"/>
      <c r="AP522" s="4" t="n"/>
      <c r="AQ522" s="4" t="n"/>
      <c r="AR522" s="5">
        <f>IF(tblOrdenes[[#This Row],[link_checklist]]="","",HYPERLINK(p_ruta_base_checklists&amp;tblOrdenes[[#This Row],[link_checklist]],"abrir"))</f>
        <v/>
      </c>
      <c r="AS522" s="4" t="n"/>
      <c r="AT522" s="5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22" t="n"/>
      <c r="K523" s="5" t="n"/>
      <c r="L523" s="18" t="n"/>
      <c r="M5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5">
        <f>IF(tblOrdenes[[#This Row],[fecha_inicio]]="","",YEAR(tblOrdenes[[#This Row],[fecha_inicio]]))</f>
        <v/>
      </c>
      <c r="Q523" s="5">
        <f>IF(tblOrdenes[[#This Row],[fecha_inicio]]="","",MONTH(tblOrdenes[[#This Row],[fecha_inicio]]))</f>
        <v/>
      </c>
      <c r="R523" s="5">
        <f>IF(tblOrdenes[[#This Row],[fecha_inicio]]="","",tblOrdenes[[#This Row],[anio]]&amp;"-"&amp;TEXT(tblOrdenes[[#This Row],[mes]],"00"))</f>
        <v/>
      </c>
      <c r="S523" s="5">
        <f>IF(tblOrdenes[[#This Row],[fecha_inicio]]="","",INDEX(lista_dias,WEEKDAY(tblOrdenes[[#This Row],[fecha_inicio]],2)))</f>
        <v/>
      </c>
      <c r="T5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3" s="5">
        <f>IF(tblOrdenes[[#This Row],[tipo_ot]]="","",_xlfn.XLOOKUP(tblOrdenes[[#This Row],[tipo_ot]],tblTiposOT[codigo],tblTiposOT[clasificacion],"sin_clasificar"))</f>
        <v/>
      </c>
      <c r="V5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3" s="5">
        <f>IF(tblOrdenes[[#This Row],[centro_costo]]="","",_xlfn.XLOOKUP(tblOrdenes[[#This Row],[centro_costo]],tblCECO[codigo],tblCECO[linea],"(sin catálogo)"))</f>
        <v/>
      </c>
      <c r="X523" s="5">
        <f>IF(tblOrdenes[[#This Row],[centro_costo]]="","",_xlfn.XLOOKUP(tblOrdenes[[#This Row],[centro_costo]],tblCECO[codigo],tblCECO[area],"(sin catálogo)"))</f>
        <v/>
      </c>
      <c r="Y5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3" s="5">
        <f>IF(tblOrdenes[[#This Row],[centro_costo]]="","",_xlfn.XLOOKUP(tblOrdenes[[#This Row],[centro_costo]],tblCECO[codigo],tblCECO[coordinador],"(sin catálogo)"))</f>
        <v/>
      </c>
      <c r="AA523" s="5">
        <f>IF(tblOrdenes[[#This Row],[puesto_trabajo]]="","",_xlfn.XLOOKUP(tblOrdenes[[#This Row],[puesto_trabajo]],tblPuestos[codigo],tblPuestos[especialidad],"(sin catálogo)"))</f>
        <v/>
      </c>
      <c r="AB523" s="5">
        <f>IF(tblOrdenes[[#This Row],[cod_actividad]]="","",_xlfn.XLOOKUP(tblOrdenes[[#This Row],[cod_actividad]],tblActividades[codigo],tblActividades[descripcion],"(sin catálogo)"))</f>
        <v/>
      </c>
      <c r="AC523" s="20">
        <f>IF(tblOrdenes[[#This Row],[fecha_inicio]]="","",TODAY()-tblOrdenes[[#This Row],[fecha_inicio]])</f>
        <v/>
      </c>
      <c r="AD5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3" s="5">
        <f>IF(tblOrdenes[[#This Row],[backlog_habiles]]="","",IF(tblOrdenes[[#This Row],[backlog_habiles]]&lt;0,"FUTURO",IF(tblOrdenes[[#This Row],[backlog_habiles]]&gt;p_dias_backlog_max,"BACKLOG","MES CORRIENTE")))</f>
        <v/>
      </c>
      <c r="AF523" s="5">
        <f>IF(tblOrdenes[[#This Row],[backlog_habiles]]="",FALSE,AND(tblOrdenes[[#This Row],[backlog_habiles]]&gt;p_dias_backlog_min,tblOrdenes[[#This Row],[backlog_habiles]]&lt;=p_dias_backlog_max))</f>
        <v/>
      </c>
      <c r="AG523" s="4" t="n"/>
      <c r="AH5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3" s="18">
        <f>IF(tblOrdenes[[#This Row],[orden]]="","",_xlfn.XLOOKUP(tblOrdenes[[#This Row],[id_operacion]],tblEjecucion[id_operacion],tblEjecucion[precio],0))</f>
        <v/>
      </c>
      <c r="AL523" s="18">
        <f>IF(tblOrdenes[[#This Row],[orden]]="","",MAX(0,_xlfn.XLOOKUP(tblOrdenes[[#This Row],[id_operacion]],tblEjecucion[id_operacion],tblEjecucion[costo_plan_total],0)-tblOrdenes[[#This Row],[costo_servicio]]))</f>
        <v/>
      </c>
      <c r="AM523" s="18">
        <f>IF(tblOrdenes[[#This Row],[orden]]="","",tblOrdenes[[#This Row],[costo_servicio]]+tblOrdenes[[#This Row],[costo_materiales]])</f>
        <v/>
      </c>
      <c r="AN5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3" s="4" t="n"/>
      <c r="AP523" s="4" t="n"/>
      <c r="AQ523" s="4" t="n"/>
      <c r="AR523" s="5">
        <f>IF(tblOrdenes[[#This Row],[link_checklist]]="","",HYPERLINK(p_ruta_base_checklists&amp;tblOrdenes[[#This Row],[link_checklist]],"abrir"))</f>
        <v/>
      </c>
      <c r="AS523" s="4" t="n"/>
      <c r="AT523" s="5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22" t="n"/>
      <c r="K524" s="5" t="n"/>
      <c r="L524" s="18" t="n"/>
      <c r="M5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5">
        <f>IF(tblOrdenes[[#This Row],[fecha_inicio]]="","",YEAR(tblOrdenes[[#This Row],[fecha_inicio]]))</f>
        <v/>
      </c>
      <c r="Q524" s="5">
        <f>IF(tblOrdenes[[#This Row],[fecha_inicio]]="","",MONTH(tblOrdenes[[#This Row],[fecha_inicio]]))</f>
        <v/>
      </c>
      <c r="R524" s="5">
        <f>IF(tblOrdenes[[#This Row],[fecha_inicio]]="","",tblOrdenes[[#This Row],[anio]]&amp;"-"&amp;TEXT(tblOrdenes[[#This Row],[mes]],"00"))</f>
        <v/>
      </c>
      <c r="S524" s="5">
        <f>IF(tblOrdenes[[#This Row],[fecha_inicio]]="","",INDEX(lista_dias,WEEKDAY(tblOrdenes[[#This Row],[fecha_inicio]],2)))</f>
        <v/>
      </c>
      <c r="T5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4" s="5">
        <f>IF(tblOrdenes[[#This Row],[tipo_ot]]="","",_xlfn.XLOOKUP(tblOrdenes[[#This Row],[tipo_ot]],tblTiposOT[codigo],tblTiposOT[clasificacion],"sin_clasificar"))</f>
        <v/>
      </c>
      <c r="V5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4" s="5">
        <f>IF(tblOrdenes[[#This Row],[centro_costo]]="","",_xlfn.XLOOKUP(tblOrdenes[[#This Row],[centro_costo]],tblCECO[codigo],tblCECO[linea],"(sin catálogo)"))</f>
        <v/>
      </c>
      <c r="X524" s="5">
        <f>IF(tblOrdenes[[#This Row],[centro_costo]]="","",_xlfn.XLOOKUP(tblOrdenes[[#This Row],[centro_costo]],tblCECO[codigo],tblCECO[area],"(sin catálogo)"))</f>
        <v/>
      </c>
      <c r="Y5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4" s="5">
        <f>IF(tblOrdenes[[#This Row],[centro_costo]]="","",_xlfn.XLOOKUP(tblOrdenes[[#This Row],[centro_costo]],tblCECO[codigo],tblCECO[coordinador],"(sin catálogo)"))</f>
        <v/>
      </c>
      <c r="AA524" s="5">
        <f>IF(tblOrdenes[[#This Row],[puesto_trabajo]]="","",_xlfn.XLOOKUP(tblOrdenes[[#This Row],[puesto_trabajo]],tblPuestos[codigo],tblPuestos[especialidad],"(sin catálogo)"))</f>
        <v/>
      </c>
      <c r="AB524" s="5">
        <f>IF(tblOrdenes[[#This Row],[cod_actividad]]="","",_xlfn.XLOOKUP(tblOrdenes[[#This Row],[cod_actividad]],tblActividades[codigo],tblActividades[descripcion],"(sin catálogo)"))</f>
        <v/>
      </c>
      <c r="AC524" s="20">
        <f>IF(tblOrdenes[[#This Row],[fecha_inicio]]="","",TODAY()-tblOrdenes[[#This Row],[fecha_inicio]])</f>
        <v/>
      </c>
      <c r="AD5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4" s="5">
        <f>IF(tblOrdenes[[#This Row],[backlog_habiles]]="","",IF(tblOrdenes[[#This Row],[backlog_habiles]]&lt;0,"FUTURO",IF(tblOrdenes[[#This Row],[backlog_habiles]]&gt;p_dias_backlog_max,"BACKLOG","MES CORRIENTE")))</f>
        <v/>
      </c>
      <c r="AF524" s="5">
        <f>IF(tblOrdenes[[#This Row],[backlog_habiles]]="",FALSE,AND(tblOrdenes[[#This Row],[backlog_habiles]]&gt;p_dias_backlog_min,tblOrdenes[[#This Row],[backlog_habiles]]&lt;=p_dias_backlog_max))</f>
        <v/>
      </c>
      <c r="AG524" s="4" t="n"/>
      <c r="AH5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4" s="18">
        <f>IF(tblOrdenes[[#This Row],[orden]]="","",_xlfn.XLOOKUP(tblOrdenes[[#This Row],[id_operacion]],tblEjecucion[id_operacion],tblEjecucion[precio],0))</f>
        <v/>
      </c>
      <c r="AL524" s="18">
        <f>IF(tblOrdenes[[#This Row],[orden]]="","",MAX(0,_xlfn.XLOOKUP(tblOrdenes[[#This Row],[id_operacion]],tblEjecucion[id_operacion],tblEjecucion[costo_plan_total],0)-tblOrdenes[[#This Row],[costo_servicio]]))</f>
        <v/>
      </c>
      <c r="AM524" s="18">
        <f>IF(tblOrdenes[[#This Row],[orden]]="","",tblOrdenes[[#This Row],[costo_servicio]]+tblOrdenes[[#This Row],[costo_materiales]])</f>
        <v/>
      </c>
      <c r="AN5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4" s="4" t="n"/>
      <c r="AP524" s="4" t="n"/>
      <c r="AQ524" s="4" t="n"/>
      <c r="AR524" s="5">
        <f>IF(tblOrdenes[[#This Row],[link_checklist]]="","",HYPERLINK(p_ruta_base_checklists&amp;tblOrdenes[[#This Row],[link_checklist]],"abrir"))</f>
        <v/>
      </c>
      <c r="AS524" s="4" t="n"/>
      <c r="AT524" s="5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22" t="n"/>
      <c r="K525" s="5" t="n"/>
      <c r="L525" s="18" t="n"/>
      <c r="M5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5">
        <f>IF(tblOrdenes[[#This Row],[fecha_inicio]]="","",YEAR(tblOrdenes[[#This Row],[fecha_inicio]]))</f>
        <v/>
      </c>
      <c r="Q525" s="5">
        <f>IF(tblOrdenes[[#This Row],[fecha_inicio]]="","",MONTH(tblOrdenes[[#This Row],[fecha_inicio]]))</f>
        <v/>
      </c>
      <c r="R525" s="5">
        <f>IF(tblOrdenes[[#This Row],[fecha_inicio]]="","",tblOrdenes[[#This Row],[anio]]&amp;"-"&amp;TEXT(tblOrdenes[[#This Row],[mes]],"00"))</f>
        <v/>
      </c>
      <c r="S525" s="5">
        <f>IF(tblOrdenes[[#This Row],[fecha_inicio]]="","",INDEX(lista_dias,WEEKDAY(tblOrdenes[[#This Row],[fecha_inicio]],2)))</f>
        <v/>
      </c>
      <c r="T5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5" s="5">
        <f>IF(tblOrdenes[[#This Row],[tipo_ot]]="","",_xlfn.XLOOKUP(tblOrdenes[[#This Row],[tipo_ot]],tblTiposOT[codigo],tblTiposOT[clasificacion],"sin_clasificar"))</f>
        <v/>
      </c>
      <c r="V5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5" s="5">
        <f>IF(tblOrdenes[[#This Row],[centro_costo]]="","",_xlfn.XLOOKUP(tblOrdenes[[#This Row],[centro_costo]],tblCECO[codigo],tblCECO[linea],"(sin catálogo)"))</f>
        <v/>
      </c>
      <c r="X525" s="5">
        <f>IF(tblOrdenes[[#This Row],[centro_costo]]="","",_xlfn.XLOOKUP(tblOrdenes[[#This Row],[centro_costo]],tblCECO[codigo],tblCECO[area],"(sin catálogo)"))</f>
        <v/>
      </c>
      <c r="Y5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5" s="5">
        <f>IF(tblOrdenes[[#This Row],[centro_costo]]="","",_xlfn.XLOOKUP(tblOrdenes[[#This Row],[centro_costo]],tblCECO[codigo],tblCECO[coordinador],"(sin catálogo)"))</f>
        <v/>
      </c>
      <c r="AA525" s="5">
        <f>IF(tblOrdenes[[#This Row],[puesto_trabajo]]="","",_xlfn.XLOOKUP(tblOrdenes[[#This Row],[puesto_trabajo]],tblPuestos[codigo],tblPuestos[especialidad],"(sin catálogo)"))</f>
        <v/>
      </c>
      <c r="AB525" s="5">
        <f>IF(tblOrdenes[[#This Row],[cod_actividad]]="","",_xlfn.XLOOKUP(tblOrdenes[[#This Row],[cod_actividad]],tblActividades[codigo],tblActividades[descripcion],"(sin catálogo)"))</f>
        <v/>
      </c>
      <c r="AC525" s="20">
        <f>IF(tblOrdenes[[#This Row],[fecha_inicio]]="","",TODAY()-tblOrdenes[[#This Row],[fecha_inicio]])</f>
        <v/>
      </c>
      <c r="AD5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5" s="5">
        <f>IF(tblOrdenes[[#This Row],[backlog_habiles]]="","",IF(tblOrdenes[[#This Row],[backlog_habiles]]&lt;0,"FUTURO",IF(tblOrdenes[[#This Row],[backlog_habiles]]&gt;p_dias_backlog_max,"BACKLOG","MES CORRIENTE")))</f>
        <v/>
      </c>
      <c r="AF525" s="5">
        <f>IF(tblOrdenes[[#This Row],[backlog_habiles]]="",FALSE,AND(tblOrdenes[[#This Row],[backlog_habiles]]&gt;p_dias_backlog_min,tblOrdenes[[#This Row],[backlog_habiles]]&lt;=p_dias_backlog_max))</f>
        <v/>
      </c>
      <c r="AG525" s="4" t="n"/>
      <c r="AH5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5" s="18">
        <f>IF(tblOrdenes[[#This Row],[orden]]="","",_xlfn.XLOOKUP(tblOrdenes[[#This Row],[id_operacion]],tblEjecucion[id_operacion],tblEjecucion[precio],0))</f>
        <v/>
      </c>
      <c r="AL525" s="18">
        <f>IF(tblOrdenes[[#This Row],[orden]]="","",MAX(0,_xlfn.XLOOKUP(tblOrdenes[[#This Row],[id_operacion]],tblEjecucion[id_operacion],tblEjecucion[costo_plan_total],0)-tblOrdenes[[#This Row],[costo_servicio]]))</f>
        <v/>
      </c>
      <c r="AM525" s="18">
        <f>IF(tblOrdenes[[#This Row],[orden]]="","",tblOrdenes[[#This Row],[costo_servicio]]+tblOrdenes[[#This Row],[costo_materiales]])</f>
        <v/>
      </c>
      <c r="AN5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5" s="4" t="n"/>
      <c r="AP525" s="4" t="n"/>
      <c r="AQ525" s="4" t="n"/>
      <c r="AR525" s="5">
        <f>IF(tblOrdenes[[#This Row],[link_checklist]]="","",HYPERLINK(p_ruta_base_checklists&amp;tblOrdenes[[#This Row],[link_checklist]],"abrir"))</f>
        <v/>
      </c>
      <c r="AS525" s="4" t="n"/>
      <c r="AT525" s="5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22" t="n"/>
      <c r="K526" s="5" t="n"/>
      <c r="L526" s="18" t="n"/>
      <c r="M5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5">
        <f>IF(tblOrdenes[[#This Row],[fecha_inicio]]="","",YEAR(tblOrdenes[[#This Row],[fecha_inicio]]))</f>
        <v/>
      </c>
      <c r="Q526" s="5">
        <f>IF(tblOrdenes[[#This Row],[fecha_inicio]]="","",MONTH(tblOrdenes[[#This Row],[fecha_inicio]]))</f>
        <v/>
      </c>
      <c r="R526" s="5">
        <f>IF(tblOrdenes[[#This Row],[fecha_inicio]]="","",tblOrdenes[[#This Row],[anio]]&amp;"-"&amp;TEXT(tblOrdenes[[#This Row],[mes]],"00"))</f>
        <v/>
      </c>
      <c r="S526" s="5">
        <f>IF(tblOrdenes[[#This Row],[fecha_inicio]]="","",INDEX(lista_dias,WEEKDAY(tblOrdenes[[#This Row],[fecha_inicio]],2)))</f>
        <v/>
      </c>
      <c r="T5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6" s="5">
        <f>IF(tblOrdenes[[#This Row],[tipo_ot]]="","",_xlfn.XLOOKUP(tblOrdenes[[#This Row],[tipo_ot]],tblTiposOT[codigo],tblTiposOT[clasificacion],"sin_clasificar"))</f>
        <v/>
      </c>
      <c r="V5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6" s="5">
        <f>IF(tblOrdenes[[#This Row],[centro_costo]]="","",_xlfn.XLOOKUP(tblOrdenes[[#This Row],[centro_costo]],tblCECO[codigo],tblCECO[linea],"(sin catálogo)"))</f>
        <v/>
      </c>
      <c r="X526" s="5">
        <f>IF(tblOrdenes[[#This Row],[centro_costo]]="","",_xlfn.XLOOKUP(tblOrdenes[[#This Row],[centro_costo]],tblCECO[codigo],tblCECO[area],"(sin catálogo)"))</f>
        <v/>
      </c>
      <c r="Y5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6" s="5">
        <f>IF(tblOrdenes[[#This Row],[centro_costo]]="","",_xlfn.XLOOKUP(tblOrdenes[[#This Row],[centro_costo]],tblCECO[codigo],tblCECO[coordinador],"(sin catálogo)"))</f>
        <v/>
      </c>
      <c r="AA526" s="5">
        <f>IF(tblOrdenes[[#This Row],[puesto_trabajo]]="","",_xlfn.XLOOKUP(tblOrdenes[[#This Row],[puesto_trabajo]],tblPuestos[codigo],tblPuestos[especialidad],"(sin catálogo)"))</f>
        <v/>
      </c>
      <c r="AB526" s="5">
        <f>IF(tblOrdenes[[#This Row],[cod_actividad]]="","",_xlfn.XLOOKUP(tblOrdenes[[#This Row],[cod_actividad]],tblActividades[codigo],tblActividades[descripcion],"(sin catálogo)"))</f>
        <v/>
      </c>
      <c r="AC526" s="20">
        <f>IF(tblOrdenes[[#This Row],[fecha_inicio]]="","",TODAY()-tblOrdenes[[#This Row],[fecha_inicio]])</f>
        <v/>
      </c>
      <c r="AD5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6" s="5">
        <f>IF(tblOrdenes[[#This Row],[backlog_habiles]]="","",IF(tblOrdenes[[#This Row],[backlog_habiles]]&lt;0,"FUTURO",IF(tblOrdenes[[#This Row],[backlog_habiles]]&gt;p_dias_backlog_max,"BACKLOG","MES CORRIENTE")))</f>
        <v/>
      </c>
      <c r="AF526" s="5">
        <f>IF(tblOrdenes[[#This Row],[backlog_habiles]]="",FALSE,AND(tblOrdenes[[#This Row],[backlog_habiles]]&gt;p_dias_backlog_min,tblOrdenes[[#This Row],[backlog_habiles]]&lt;=p_dias_backlog_max))</f>
        <v/>
      </c>
      <c r="AG526" s="4" t="n"/>
      <c r="AH5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6" s="18">
        <f>IF(tblOrdenes[[#This Row],[orden]]="","",_xlfn.XLOOKUP(tblOrdenes[[#This Row],[id_operacion]],tblEjecucion[id_operacion],tblEjecucion[precio],0))</f>
        <v/>
      </c>
      <c r="AL526" s="18">
        <f>IF(tblOrdenes[[#This Row],[orden]]="","",MAX(0,_xlfn.XLOOKUP(tblOrdenes[[#This Row],[id_operacion]],tblEjecucion[id_operacion],tblEjecucion[costo_plan_total],0)-tblOrdenes[[#This Row],[costo_servicio]]))</f>
        <v/>
      </c>
      <c r="AM526" s="18">
        <f>IF(tblOrdenes[[#This Row],[orden]]="","",tblOrdenes[[#This Row],[costo_servicio]]+tblOrdenes[[#This Row],[costo_materiales]])</f>
        <v/>
      </c>
      <c r="AN5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6" s="4" t="n"/>
      <c r="AP526" s="4" t="n"/>
      <c r="AQ526" s="4" t="n"/>
      <c r="AR526" s="5">
        <f>IF(tblOrdenes[[#This Row],[link_checklist]]="","",HYPERLINK(p_ruta_base_checklists&amp;tblOrdenes[[#This Row],[link_checklist]],"abrir"))</f>
        <v/>
      </c>
      <c r="AS526" s="4" t="n"/>
      <c r="AT526" s="5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22" t="n"/>
      <c r="K527" s="5" t="n"/>
      <c r="L527" s="18" t="n"/>
      <c r="M5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5">
        <f>IF(tblOrdenes[[#This Row],[fecha_inicio]]="","",YEAR(tblOrdenes[[#This Row],[fecha_inicio]]))</f>
        <v/>
      </c>
      <c r="Q527" s="5">
        <f>IF(tblOrdenes[[#This Row],[fecha_inicio]]="","",MONTH(tblOrdenes[[#This Row],[fecha_inicio]]))</f>
        <v/>
      </c>
      <c r="R527" s="5">
        <f>IF(tblOrdenes[[#This Row],[fecha_inicio]]="","",tblOrdenes[[#This Row],[anio]]&amp;"-"&amp;TEXT(tblOrdenes[[#This Row],[mes]],"00"))</f>
        <v/>
      </c>
      <c r="S527" s="5">
        <f>IF(tblOrdenes[[#This Row],[fecha_inicio]]="","",INDEX(lista_dias,WEEKDAY(tblOrdenes[[#This Row],[fecha_inicio]],2)))</f>
        <v/>
      </c>
      <c r="T5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7" s="5">
        <f>IF(tblOrdenes[[#This Row],[tipo_ot]]="","",_xlfn.XLOOKUP(tblOrdenes[[#This Row],[tipo_ot]],tblTiposOT[codigo],tblTiposOT[clasificacion],"sin_clasificar"))</f>
        <v/>
      </c>
      <c r="V5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7" s="5">
        <f>IF(tblOrdenes[[#This Row],[centro_costo]]="","",_xlfn.XLOOKUP(tblOrdenes[[#This Row],[centro_costo]],tblCECO[codigo],tblCECO[linea],"(sin catálogo)"))</f>
        <v/>
      </c>
      <c r="X527" s="5">
        <f>IF(tblOrdenes[[#This Row],[centro_costo]]="","",_xlfn.XLOOKUP(tblOrdenes[[#This Row],[centro_costo]],tblCECO[codigo],tblCECO[area],"(sin catálogo)"))</f>
        <v/>
      </c>
      <c r="Y5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7" s="5">
        <f>IF(tblOrdenes[[#This Row],[centro_costo]]="","",_xlfn.XLOOKUP(tblOrdenes[[#This Row],[centro_costo]],tblCECO[codigo],tblCECO[coordinador],"(sin catálogo)"))</f>
        <v/>
      </c>
      <c r="AA527" s="5">
        <f>IF(tblOrdenes[[#This Row],[puesto_trabajo]]="","",_xlfn.XLOOKUP(tblOrdenes[[#This Row],[puesto_trabajo]],tblPuestos[codigo],tblPuestos[especialidad],"(sin catálogo)"))</f>
        <v/>
      </c>
      <c r="AB527" s="5">
        <f>IF(tblOrdenes[[#This Row],[cod_actividad]]="","",_xlfn.XLOOKUP(tblOrdenes[[#This Row],[cod_actividad]],tblActividades[codigo],tblActividades[descripcion],"(sin catálogo)"))</f>
        <v/>
      </c>
      <c r="AC527" s="20">
        <f>IF(tblOrdenes[[#This Row],[fecha_inicio]]="","",TODAY()-tblOrdenes[[#This Row],[fecha_inicio]])</f>
        <v/>
      </c>
      <c r="AD5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7" s="5">
        <f>IF(tblOrdenes[[#This Row],[backlog_habiles]]="","",IF(tblOrdenes[[#This Row],[backlog_habiles]]&lt;0,"FUTURO",IF(tblOrdenes[[#This Row],[backlog_habiles]]&gt;p_dias_backlog_max,"BACKLOG","MES CORRIENTE")))</f>
        <v/>
      </c>
      <c r="AF527" s="5">
        <f>IF(tblOrdenes[[#This Row],[backlog_habiles]]="",FALSE,AND(tblOrdenes[[#This Row],[backlog_habiles]]&gt;p_dias_backlog_min,tblOrdenes[[#This Row],[backlog_habiles]]&lt;=p_dias_backlog_max))</f>
        <v/>
      </c>
      <c r="AG527" s="4" t="n"/>
      <c r="AH5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7" s="18">
        <f>IF(tblOrdenes[[#This Row],[orden]]="","",_xlfn.XLOOKUP(tblOrdenes[[#This Row],[id_operacion]],tblEjecucion[id_operacion],tblEjecucion[precio],0))</f>
        <v/>
      </c>
      <c r="AL527" s="18">
        <f>IF(tblOrdenes[[#This Row],[orden]]="","",MAX(0,_xlfn.XLOOKUP(tblOrdenes[[#This Row],[id_operacion]],tblEjecucion[id_operacion],tblEjecucion[costo_plan_total],0)-tblOrdenes[[#This Row],[costo_servicio]]))</f>
        <v/>
      </c>
      <c r="AM527" s="18">
        <f>IF(tblOrdenes[[#This Row],[orden]]="","",tblOrdenes[[#This Row],[costo_servicio]]+tblOrdenes[[#This Row],[costo_materiales]])</f>
        <v/>
      </c>
      <c r="AN5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7" s="4" t="n"/>
      <c r="AP527" s="4" t="n"/>
      <c r="AQ527" s="4" t="n"/>
      <c r="AR527" s="5">
        <f>IF(tblOrdenes[[#This Row],[link_checklist]]="","",HYPERLINK(p_ruta_base_checklists&amp;tblOrdenes[[#This Row],[link_checklist]],"abrir"))</f>
        <v/>
      </c>
      <c r="AS527" s="4" t="n"/>
      <c r="AT527" s="5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22" t="n"/>
      <c r="K528" s="5" t="n"/>
      <c r="L528" s="18" t="n"/>
      <c r="M5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5">
        <f>IF(tblOrdenes[[#This Row],[fecha_inicio]]="","",YEAR(tblOrdenes[[#This Row],[fecha_inicio]]))</f>
        <v/>
      </c>
      <c r="Q528" s="5">
        <f>IF(tblOrdenes[[#This Row],[fecha_inicio]]="","",MONTH(tblOrdenes[[#This Row],[fecha_inicio]]))</f>
        <v/>
      </c>
      <c r="R528" s="5">
        <f>IF(tblOrdenes[[#This Row],[fecha_inicio]]="","",tblOrdenes[[#This Row],[anio]]&amp;"-"&amp;TEXT(tblOrdenes[[#This Row],[mes]],"00"))</f>
        <v/>
      </c>
      <c r="S528" s="5">
        <f>IF(tblOrdenes[[#This Row],[fecha_inicio]]="","",INDEX(lista_dias,WEEKDAY(tblOrdenes[[#This Row],[fecha_inicio]],2)))</f>
        <v/>
      </c>
      <c r="T5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8" s="5">
        <f>IF(tblOrdenes[[#This Row],[tipo_ot]]="","",_xlfn.XLOOKUP(tblOrdenes[[#This Row],[tipo_ot]],tblTiposOT[codigo],tblTiposOT[clasificacion],"sin_clasificar"))</f>
        <v/>
      </c>
      <c r="V5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8" s="5">
        <f>IF(tblOrdenes[[#This Row],[centro_costo]]="","",_xlfn.XLOOKUP(tblOrdenes[[#This Row],[centro_costo]],tblCECO[codigo],tblCECO[linea],"(sin catálogo)"))</f>
        <v/>
      </c>
      <c r="X528" s="5">
        <f>IF(tblOrdenes[[#This Row],[centro_costo]]="","",_xlfn.XLOOKUP(tblOrdenes[[#This Row],[centro_costo]],tblCECO[codigo],tblCECO[area],"(sin catálogo)"))</f>
        <v/>
      </c>
      <c r="Y5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8" s="5">
        <f>IF(tblOrdenes[[#This Row],[centro_costo]]="","",_xlfn.XLOOKUP(tblOrdenes[[#This Row],[centro_costo]],tblCECO[codigo],tblCECO[coordinador],"(sin catálogo)"))</f>
        <v/>
      </c>
      <c r="AA528" s="5">
        <f>IF(tblOrdenes[[#This Row],[puesto_trabajo]]="","",_xlfn.XLOOKUP(tblOrdenes[[#This Row],[puesto_trabajo]],tblPuestos[codigo],tblPuestos[especialidad],"(sin catálogo)"))</f>
        <v/>
      </c>
      <c r="AB528" s="5">
        <f>IF(tblOrdenes[[#This Row],[cod_actividad]]="","",_xlfn.XLOOKUP(tblOrdenes[[#This Row],[cod_actividad]],tblActividades[codigo],tblActividades[descripcion],"(sin catálogo)"))</f>
        <v/>
      </c>
      <c r="AC528" s="20">
        <f>IF(tblOrdenes[[#This Row],[fecha_inicio]]="","",TODAY()-tblOrdenes[[#This Row],[fecha_inicio]])</f>
        <v/>
      </c>
      <c r="AD5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8" s="5">
        <f>IF(tblOrdenes[[#This Row],[backlog_habiles]]="","",IF(tblOrdenes[[#This Row],[backlog_habiles]]&lt;0,"FUTURO",IF(tblOrdenes[[#This Row],[backlog_habiles]]&gt;p_dias_backlog_max,"BACKLOG","MES CORRIENTE")))</f>
        <v/>
      </c>
      <c r="AF528" s="5">
        <f>IF(tblOrdenes[[#This Row],[backlog_habiles]]="",FALSE,AND(tblOrdenes[[#This Row],[backlog_habiles]]&gt;p_dias_backlog_min,tblOrdenes[[#This Row],[backlog_habiles]]&lt;=p_dias_backlog_max))</f>
        <v/>
      </c>
      <c r="AG528" s="4" t="n"/>
      <c r="AH5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8" s="18">
        <f>IF(tblOrdenes[[#This Row],[orden]]="","",_xlfn.XLOOKUP(tblOrdenes[[#This Row],[id_operacion]],tblEjecucion[id_operacion],tblEjecucion[precio],0))</f>
        <v/>
      </c>
      <c r="AL528" s="18">
        <f>IF(tblOrdenes[[#This Row],[orden]]="","",MAX(0,_xlfn.XLOOKUP(tblOrdenes[[#This Row],[id_operacion]],tblEjecucion[id_operacion],tblEjecucion[costo_plan_total],0)-tblOrdenes[[#This Row],[costo_servicio]]))</f>
        <v/>
      </c>
      <c r="AM528" s="18">
        <f>IF(tblOrdenes[[#This Row],[orden]]="","",tblOrdenes[[#This Row],[costo_servicio]]+tblOrdenes[[#This Row],[costo_materiales]])</f>
        <v/>
      </c>
      <c r="AN5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8" s="4" t="n"/>
      <c r="AP528" s="4" t="n"/>
      <c r="AQ528" s="4" t="n"/>
      <c r="AR528" s="5">
        <f>IF(tblOrdenes[[#This Row],[link_checklist]]="","",HYPERLINK(p_ruta_base_checklists&amp;tblOrdenes[[#This Row],[link_checklist]],"abrir"))</f>
        <v/>
      </c>
      <c r="AS528" s="4" t="n"/>
      <c r="AT528" s="5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22" t="n"/>
      <c r="K529" s="5" t="n"/>
      <c r="L529" s="18" t="n"/>
      <c r="M5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5">
        <f>IF(tblOrdenes[[#This Row],[fecha_inicio]]="","",YEAR(tblOrdenes[[#This Row],[fecha_inicio]]))</f>
        <v/>
      </c>
      <c r="Q529" s="5">
        <f>IF(tblOrdenes[[#This Row],[fecha_inicio]]="","",MONTH(tblOrdenes[[#This Row],[fecha_inicio]]))</f>
        <v/>
      </c>
      <c r="R529" s="5">
        <f>IF(tblOrdenes[[#This Row],[fecha_inicio]]="","",tblOrdenes[[#This Row],[anio]]&amp;"-"&amp;TEXT(tblOrdenes[[#This Row],[mes]],"00"))</f>
        <v/>
      </c>
      <c r="S529" s="5">
        <f>IF(tblOrdenes[[#This Row],[fecha_inicio]]="","",INDEX(lista_dias,WEEKDAY(tblOrdenes[[#This Row],[fecha_inicio]],2)))</f>
        <v/>
      </c>
      <c r="T5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9" s="5">
        <f>IF(tblOrdenes[[#This Row],[tipo_ot]]="","",_xlfn.XLOOKUP(tblOrdenes[[#This Row],[tipo_ot]],tblTiposOT[codigo],tblTiposOT[clasificacion],"sin_clasificar"))</f>
        <v/>
      </c>
      <c r="V5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9" s="5">
        <f>IF(tblOrdenes[[#This Row],[centro_costo]]="","",_xlfn.XLOOKUP(tblOrdenes[[#This Row],[centro_costo]],tblCECO[codigo],tblCECO[linea],"(sin catálogo)"))</f>
        <v/>
      </c>
      <c r="X529" s="5">
        <f>IF(tblOrdenes[[#This Row],[centro_costo]]="","",_xlfn.XLOOKUP(tblOrdenes[[#This Row],[centro_costo]],tblCECO[codigo],tblCECO[area],"(sin catálogo)"))</f>
        <v/>
      </c>
      <c r="Y5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29" s="5">
        <f>IF(tblOrdenes[[#This Row],[centro_costo]]="","",_xlfn.XLOOKUP(tblOrdenes[[#This Row],[centro_costo]],tblCECO[codigo],tblCECO[coordinador],"(sin catálogo)"))</f>
        <v/>
      </c>
      <c r="AA529" s="5">
        <f>IF(tblOrdenes[[#This Row],[puesto_trabajo]]="","",_xlfn.XLOOKUP(tblOrdenes[[#This Row],[puesto_trabajo]],tblPuestos[codigo],tblPuestos[especialidad],"(sin catálogo)"))</f>
        <v/>
      </c>
      <c r="AB529" s="5">
        <f>IF(tblOrdenes[[#This Row],[cod_actividad]]="","",_xlfn.XLOOKUP(tblOrdenes[[#This Row],[cod_actividad]],tblActividades[codigo],tblActividades[descripcion],"(sin catálogo)"))</f>
        <v/>
      </c>
      <c r="AC529" s="20">
        <f>IF(tblOrdenes[[#This Row],[fecha_inicio]]="","",TODAY()-tblOrdenes[[#This Row],[fecha_inicio]])</f>
        <v/>
      </c>
      <c r="AD5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29" s="5">
        <f>IF(tblOrdenes[[#This Row],[backlog_habiles]]="","",IF(tblOrdenes[[#This Row],[backlog_habiles]]&lt;0,"FUTURO",IF(tblOrdenes[[#This Row],[backlog_habiles]]&gt;p_dias_backlog_max,"BACKLOG","MES CORRIENTE")))</f>
        <v/>
      </c>
      <c r="AF529" s="5">
        <f>IF(tblOrdenes[[#This Row],[backlog_habiles]]="",FALSE,AND(tblOrdenes[[#This Row],[backlog_habiles]]&gt;p_dias_backlog_min,tblOrdenes[[#This Row],[backlog_habiles]]&lt;=p_dias_backlog_max))</f>
        <v/>
      </c>
      <c r="AG529" s="4" t="n"/>
      <c r="AH5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29" s="18">
        <f>IF(tblOrdenes[[#This Row],[orden]]="","",_xlfn.XLOOKUP(tblOrdenes[[#This Row],[id_operacion]],tblEjecucion[id_operacion],tblEjecucion[precio],0))</f>
        <v/>
      </c>
      <c r="AL529" s="18">
        <f>IF(tblOrdenes[[#This Row],[orden]]="","",MAX(0,_xlfn.XLOOKUP(tblOrdenes[[#This Row],[id_operacion]],tblEjecucion[id_operacion],tblEjecucion[costo_plan_total],0)-tblOrdenes[[#This Row],[costo_servicio]]))</f>
        <v/>
      </c>
      <c r="AM529" s="18">
        <f>IF(tblOrdenes[[#This Row],[orden]]="","",tblOrdenes[[#This Row],[costo_servicio]]+tblOrdenes[[#This Row],[costo_materiales]])</f>
        <v/>
      </c>
      <c r="AN5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29" s="4" t="n"/>
      <c r="AP529" s="4" t="n"/>
      <c r="AQ529" s="4" t="n"/>
      <c r="AR529" s="5">
        <f>IF(tblOrdenes[[#This Row],[link_checklist]]="","",HYPERLINK(p_ruta_base_checklists&amp;tblOrdenes[[#This Row],[link_checklist]],"abrir"))</f>
        <v/>
      </c>
      <c r="AS529" s="4" t="n"/>
      <c r="AT529" s="5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22" t="n"/>
      <c r="K530" s="5" t="n"/>
      <c r="L530" s="18" t="n"/>
      <c r="M5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5">
        <f>IF(tblOrdenes[[#This Row],[fecha_inicio]]="","",YEAR(tblOrdenes[[#This Row],[fecha_inicio]]))</f>
        <v/>
      </c>
      <c r="Q530" s="5">
        <f>IF(tblOrdenes[[#This Row],[fecha_inicio]]="","",MONTH(tblOrdenes[[#This Row],[fecha_inicio]]))</f>
        <v/>
      </c>
      <c r="R530" s="5">
        <f>IF(tblOrdenes[[#This Row],[fecha_inicio]]="","",tblOrdenes[[#This Row],[anio]]&amp;"-"&amp;TEXT(tblOrdenes[[#This Row],[mes]],"00"))</f>
        <v/>
      </c>
      <c r="S530" s="5">
        <f>IF(tblOrdenes[[#This Row],[fecha_inicio]]="","",INDEX(lista_dias,WEEKDAY(tblOrdenes[[#This Row],[fecha_inicio]],2)))</f>
        <v/>
      </c>
      <c r="T5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0" s="5">
        <f>IF(tblOrdenes[[#This Row],[tipo_ot]]="","",_xlfn.XLOOKUP(tblOrdenes[[#This Row],[tipo_ot]],tblTiposOT[codigo],tblTiposOT[clasificacion],"sin_clasificar"))</f>
        <v/>
      </c>
      <c r="V5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0" s="5">
        <f>IF(tblOrdenes[[#This Row],[centro_costo]]="","",_xlfn.XLOOKUP(tblOrdenes[[#This Row],[centro_costo]],tblCECO[codigo],tblCECO[linea],"(sin catálogo)"))</f>
        <v/>
      </c>
      <c r="X530" s="5">
        <f>IF(tblOrdenes[[#This Row],[centro_costo]]="","",_xlfn.XLOOKUP(tblOrdenes[[#This Row],[centro_costo]],tblCECO[codigo],tblCECO[area],"(sin catálogo)"))</f>
        <v/>
      </c>
      <c r="Y5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0" s="5">
        <f>IF(tblOrdenes[[#This Row],[centro_costo]]="","",_xlfn.XLOOKUP(tblOrdenes[[#This Row],[centro_costo]],tblCECO[codigo],tblCECO[coordinador],"(sin catálogo)"))</f>
        <v/>
      </c>
      <c r="AA530" s="5">
        <f>IF(tblOrdenes[[#This Row],[puesto_trabajo]]="","",_xlfn.XLOOKUP(tblOrdenes[[#This Row],[puesto_trabajo]],tblPuestos[codigo],tblPuestos[especialidad],"(sin catálogo)"))</f>
        <v/>
      </c>
      <c r="AB530" s="5">
        <f>IF(tblOrdenes[[#This Row],[cod_actividad]]="","",_xlfn.XLOOKUP(tblOrdenes[[#This Row],[cod_actividad]],tblActividades[codigo],tblActividades[descripcion],"(sin catálogo)"))</f>
        <v/>
      </c>
      <c r="AC530" s="20">
        <f>IF(tblOrdenes[[#This Row],[fecha_inicio]]="","",TODAY()-tblOrdenes[[#This Row],[fecha_inicio]])</f>
        <v/>
      </c>
      <c r="AD5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0" s="5">
        <f>IF(tblOrdenes[[#This Row],[backlog_habiles]]="","",IF(tblOrdenes[[#This Row],[backlog_habiles]]&lt;0,"FUTURO",IF(tblOrdenes[[#This Row],[backlog_habiles]]&gt;p_dias_backlog_max,"BACKLOG","MES CORRIENTE")))</f>
        <v/>
      </c>
      <c r="AF530" s="5">
        <f>IF(tblOrdenes[[#This Row],[backlog_habiles]]="",FALSE,AND(tblOrdenes[[#This Row],[backlog_habiles]]&gt;p_dias_backlog_min,tblOrdenes[[#This Row],[backlog_habiles]]&lt;=p_dias_backlog_max))</f>
        <v/>
      </c>
      <c r="AG530" s="4" t="n"/>
      <c r="AH5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0" s="18">
        <f>IF(tblOrdenes[[#This Row],[orden]]="","",_xlfn.XLOOKUP(tblOrdenes[[#This Row],[id_operacion]],tblEjecucion[id_operacion],tblEjecucion[precio],0))</f>
        <v/>
      </c>
      <c r="AL530" s="18">
        <f>IF(tblOrdenes[[#This Row],[orden]]="","",MAX(0,_xlfn.XLOOKUP(tblOrdenes[[#This Row],[id_operacion]],tblEjecucion[id_operacion],tblEjecucion[costo_plan_total],0)-tblOrdenes[[#This Row],[costo_servicio]]))</f>
        <v/>
      </c>
      <c r="AM530" s="18">
        <f>IF(tblOrdenes[[#This Row],[orden]]="","",tblOrdenes[[#This Row],[costo_servicio]]+tblOrdenes[[#This Row],[costo_materiales]])</f>
        <v/>
      </c>
      <c r="AN5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0" s="4" t="n"/>
      <c r="AP530" s="4" t="n"/>
      <c r="AQ530" s="4" t="n"/>
      <c r="AR530" s="5">
        <f>IF(tblOrdenes[[#This Row],[link_checklist]]="","",HYPERLINK(p_ruta_base_checklists&amp;tblOrdenes[[#This Row],[link_checklist]],"abrir"))</f>
        <v/>
      </c>
      <c r="AS530" s="4" t="n"/>
      <c r="AT530" s="5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22" t="n"/>
      <c r="K531" s="5" t="n"/>
      <c r="L531" s="18" t="n"/>
      <c r="M5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5">
        <f>IF(tblOrdenes[[#This Row],[fecha_inicio]]="","",YEAR(tblOrdenes[[#This Row],[fecha_inicio]]))</f>
        <v/>
      </c>
      <c r="Q531" s="5">
        <f>IF(tblOrdenes[[#This Row],[fecha_inicio]]="","",MONTH(tblOrdenes[[#This Row],[fecha_inicio]]))</f>
        <v/>
      </c>
      <c r="R531" s="5">
        <f>IF(tblOrdenes[[#This Row],[fecha_inicio]]="","",tblOrdenes[[#This Row],[anio]]&amp;"-"&amp;TEXT(tblOrdenes[[#This Row],[mes]],"00"))</f>
        <v/>
      </c>
      <c r="S531" s="5">
        <f>IF(tblOrdenes[[#This Row],[fecha_inicio]]="","",INDEX(lista_dias,WEEKDAY(tblOrdenes[[#This Row],[fecha_inicio]],2)))</f>
        <v/>
      </c>
      <c r="T5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1" s="5">
        <f>IF(tblOrdenes[[#This Row],[tipo_ot]]="","",_xlfn.XLOOKUP(tblOrdenes[[#This Row],[tipo_ot]],tblTiposOT[codigo],tblTiposOT[clasificacion],"sin_clasificar"))</f>
        <v/>
      </c>
      <c r="V5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1" s="5">
        <f>IF(tblOrdenes[[#This Row],[centro_costo]]="","",_xlfn.XLOOKUP(tblOrdenes[[#This Row],[centro_costo]],tblCECO[codigo],tblCECO[linea],"(sin catálogo)"))</f>
        <v/>
      </c>
      <c r="X531" s="5">
        <f>IF(tblOrdenes[[#This Row],[centro_costo]]="","",_xlfn.XLOOKUP(tblOrdenes[[#This Row],[centro_costo]],tblCECO[codigo],tblCECO[area],"(sin catálogo)"))</f>
        <v/>
      </c>
      <c r="Y5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1" s="5">
        <f>IF(tblOrdenes[[#This Row],[centro_costo]]="","",_xlfn.XLOOKUP(tblOrdenes[[#This Row],[centro_costo]],tblCECO[codigo],tblCECO[coordinador],"(sin catálogo)"))</f>
        <v/>
      </c>
      <c r="AA531" s="5">
        <f>IF(tblOrdenes[[#This Row],[puesto_trabajo]]="","",_xlfn.XLOOKUP(tblOrdenes[[#This Row],[puesto_trabajo]],tblPuestos[codigo],tblPuestos[especialidad],"(sin catálogo)"))</f>
        <v/>
      </c>
      <c r="AB531" s="5">
        <f>IF(tblOrdenes[[#This Row],[cod_actividad]]="","",_xlfn.XLOOKUP(tblOrdenes[[#This Row],[cod_actividad]],tblActividades[codigo],tblActividades[descripcion],"(sin catálogo)"))</f>
        <v/>
      </c>
      <c r="AC531" s="20">
        <f>IF(tblOrdenes[[#This Row],[fecha_inicio]]="","",TODAY()-tblOrdenes[[#This Row],[fecha_inicio]])</f>
        <v/>
      </c>
      <c r="AD5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1" s="5">
        <f>IF(tblOrdenes[[#This Row],[backlog_habiles]]="","",IF(tblOrdenes[[#This Row],[backlog_habiles]]&lt;0,"FUTURO",IF(tblOrdenes[[#This Row],[backlog_habiles]]&gt;p_dias_backlog_max,"BACKLOG","MES CORRIENTE")))</f>
        <v/>
      </c>
      <c r="AF531" s="5">
        <f>IF(tblOrdenes[[#This Row],[backlog_habiles]]="",FALSE,AND(tblOrdenes[[#This Row],[backlog_habiles]]&gt;p_dias_backlog_min,tblOrdenes[[#This Row],[backlog_habiles]]&lt;=p_dias_backlog_max))</f>
        <v/>
      </c>
      <c r="AG531" s="4" t="n"/>
      <c r="AH5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1" s="18">
        <f>IF(tblOrdenes[[#This Row],[orden]]="","",_xlfn.XLOOKUP(tblOrdenes[[#This Row],[id_operacion]],tblEjecucion[id_operacion],tblEjecucion[precio],0))</f>
        <v/>
      </c>
      <c r="AL531" s="18">
        <f>IF(tblOrdenes[[#This Row],[orden]]="","",MAX(0,_xlfn.XLOOKUP(tblOrdenes[[#This Row],[id_operacion]],tblEjecucion[id_operacion],tblEjecucion[costo_plan_total],0)-tblOrdenes[[#This Row],[costo_servicio]]))</f>
        <v/>
      </c>
      <c r="AM531" s="18">
        <f>IF(tblOrdenes[[#This Row],[orden]]="","",tblOrdenes[[#This Row],[costo_servicio]]+tblOrdenes[[#This Row],[costo_materiales]])</f>
        <v/>
      </c>
      <c r="AN5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1" s="4" t="n"/>
      <c r="AP531" s="4" t="n"/>
      <c r="AQ531" s="4" t="n"/>
      <c r="AR531" s="5">
        <f>IF(tblOrdenes[[#This Row],[link_checklist]]="","",HYPERLINK(p_ruta_base_checklists&amp;tblOrdenes[[#This Row],[link_checklist]],"abrir"))</f>
        <v/>
      </c>
      <c r="AS531" s="4" t="n"/>
      <c r="AT531" s="5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22" t="n"/>
      <c r="K532" s="5" t="n"/>
      <c r="L532" s="18" t="n"/>
      <c r="M5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5">
        <f>IF(tblOrdenes[[#This Row],[fecha_inicio]]="","",YEAR(tblOrdenes[[#This Row],[fecha_inicio]]))</f>
        <v/>
      </c>
      <c r="Q532" s="5">
        <f>IF(tblOrdenes[[#This Row],[fecha_inicio]]="","",MONTH(tblOrdenes[[#This Row],[fecha_inicio]]))</f>
        <v/>
      </c>
      <c r="R532" s="5">
        <f>IF(tblOrdenes[[#This Row],[fecha_inicio]]="","",tblOrdenes[[#This Row],[anio]]&amp;"-"&amp;TEXT(tblOrdenes[[#This Row],[mes]],"00"))</f>
        <v/>
      </c>
      <c r="S532" s="5">
        <f>IF(tblOrdenes[[#This Row],[fecha_inicio]]="","",INDEX(lista_dias,WEEKDAY(tblOrdenes[[#This Row],[fecha_inicio]],2)))</f>
        <v/>
      </c>
      <c r="T5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2" s="5">
        <f>IF(tblOrdenes[[#This Row],[tipo_ot]]="","",_xlfn.XLOOKUP(tblOrdenes[[#This Row],[tipo_ot]],tblTiposOT[codigo],tblTiposOT[clasificacion],"sin_clasificar"))</f>
        <v/>
      </c>
      <c r="V5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2" s="5">
        <f>IF(tblOrdenes[[#This Row],[centro_costo]]="","",_xlfn.XLOOKUP(tblOrdenes[[#This Row],[centro_costo]],tblCECO[codigo],tblCECO[linea],"(sin catálogo)"))</f>
        <v/>
      </c>
      <c r="X532" s="5">
        <f>IF(tblOrdenes[[#This Row],[centro_costo]]="","",_xlfn.XLOOKUP(tblOrdenes[[#This Row],[centro_costo]],tblCECO[codigo],tblCECO[area],"(sin catálogo)"))</f>
        <v/>
      </c>
      <c r="Y5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2" s="5">
        <f>IF(tblOrdenes[[#This Row],[centro_costo]]="","",_xlfn.XLOOKUP(tblOrdenes[[#This Row],[centro_costo]],tblCECO[codigo],tblCECO[coordinador],"(sin catálogo)"))</f>
        <v/>
      </c>
      <c r="AA532" s="5">
        <f>IF(tblOrdenes[[#This Row],[puesto_trabajo]]="","",_xlfn.XLOOKUP(tblOrdenes[[#This Row],[puesto_trabajo]],tblPuestos[codigo],tblPuestos[especialidad],"(sin catálogo)"))</f>
        <v/>
      </c>
      <c r="AB532" s="5">
        <f>IF(tblOrdenes[[#This Row],[cod_actividad]]="","",_xlfn.XLOOKUP(tblOrdenes[[#This Row],[cod_actividad]],tblActividades[codigo],tblActividades[descripcion],"(sin catálogo)"))</f>
        <v/>
      </c>
      <c r="AC532" s="20">
        <f>IF(tblOrdenes[[#This Row],[fecha_inicio]]="","",TODAY()-tblOrdenes[[#This Row],[fecha_inicio]])</f>
        <v/>
      </c>
      <c r="AD5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2" s="5">
        <f>IF(tblOrdenes[[#This Row],[backlog_habiles]]="","",IF(tblOrdenes[[#This Row],[backlog_habiles]]&lt;0,"FUTURO",IF(tblOrdenes[[#This Row],[backlog_habiles]]&gt;p_dias_backlog_max,"BACKLOG","MES CORRIENTE")))</f>
        <v/>
      </c>
      <c r="AF532" s="5">
        <f>IF(tblOrdenes[[#This Row],[backlog_habiles]]="",FALSE,AND(tblOrdenes[[#This Row],[backlog_habiles]]&gt;p_dias_backlog_min,tblOrdenes[[#This Row],[backlog_habiles]]&lt;=p_dias_backlog_max))</f>
        <v/>
      </c>
      <c r="AG532" s="4" t="n"/>
      <c r="AH5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2" s="18">
        <f>IF(tblOrdenes[[#This Row],[orden]]="","",_xlfn.XLOOKUP(tblOrdenes[[#This Row],[id_operacion]],tblEjecucion[id_operacion],tblEjecucion[precio],0))</f>
        <v/>
      </c>
      <c r="AL532" s="18">
        <f>IF(tblOrdenes[[#This Row],[orden]]="","",MAX(0,_xlfn.XLOOKUP(tblOrdenes[[#This Row],[id_operacion]],tblEjecucion[id_operacion],tblEjecucion[costo_plan_total],0)-tblOrdenes[[#This Row],[costo_servicio]]))</f>
        <v/>
      </c>
      <c r="AM532" s="18">
        <f>IF(tblOrdenes[[#This Row],[orden]]="","",tblOrdenes[[#This Row],[costo_servicio]]+tblOrdenes[[#This Row],[costo_materiales]])</f>
        <v/>
      </c>
      <c r="AN5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2" s="4" t="n"/>
      <c r="AP532" s="4" t="n"/>
      <c r="AQ532" s="4" t="n"/>
      <c r="AR532" s="5">
        <f>IF(tblOrdenes[[#This Row],[link_checklist]]="","",HYPERLINK(p_ruta_base_checklists&amp;tblOrdenes[[#This Row],[link_checklist]],"abrir"))</f>
        <v/>
      </c>
      <c r="AS532" s="4" t="n"/>
      <c r="AT532" s="5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22" t="n"/>
      <c r="K533" s="5" t="n"/>
      <c r="L533" s="18" t="n"/>
      <c r="M5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5">
        <f>IF(tblOrdenes[[#This Row],[fecha_inicio]]="","",YEAR(tblOrdenes[[#This Row],[fecha_inicio]]))</f>
        <v/>
      </c>
      <c r="Q533" s="5">
        <f>IF(tblOrdenes[[#This Row],[fecha_inicio]]="","",MONTH(tblOrdenes[[#This Row],[fecha_inicio]]))</f>
        <v/>
      </c>
      <c r="R533" s="5">
        <f>IF(tblOrdenes[[#This Row],[fecha_inicio]]="","",tblOrdenes[[#This Row],[anio]]&amp;"-"&amp;TEXT(tblOrdenes[[#This Row],[mes]],"00"))</f>
        <v/>
      </c>
      <c r="S533" s="5">
        <f>IF(tblOrdenes[[#This Row],[fecha_inicio]]="","",INDEX(lista_dias,WEEKDAY(tblOrdenes[[#This Row],[fecha_inicio]],2)))</f>
        <v/>
      </c>
      <c r="T5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3" s="5">
        <f>IF(tblOrdenes[[#This Row],[tipo_ot]]="","",_xlfn.XLOOKUP(tblOrdenes[[#This Row],[tipo_ot]],tblTiposOT[codigo],tblTiposOT[clasificacion],"sin_clasificar"))</f>
        <v/>
      </c>
      <c r="V5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3" s="5">
        <f>IF(tblOrdenes[[#This Row],[centro_costo]]="","",_xlfn.XLOOKUP(tblOrdenes[[#This Row],[centro_costo]],tblCECO[codigo],tblCECO[linea],"(sin catálogo)"))</f>
        <v/>
      </c>
      <c r="X533" s="5">
        <f>IF(tblOrdenes[[#This Row],[centro_costo]]="","",_xlfn.XLOOKUP(tblOrdenes[[#This Row],[centro_costo]],tblCECO[codigo],tblCECO[area],"(sin catálogo)"))</f>
        <v/>
      </c>
      <c r="Y5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3" s="5">
        <f>IF(tblOrdenes[[#This Row],[centro_costo]]="","",_xlfn.XLOOKUP(tblOrdenes[[#This Row],[centro_costo]],tblCECO[codigo],tblCECO[coordinador],"(sin catálogo)"))</f>
        <v/>
      </c>
      <c r="AA533" s="5">
        <f>IF(tblOrdenes[[#This Row],[puesto_trabajo]]="","",_xlfn.XLOOKUP(tblOrdenes[[#This Row],[puesto_trabajo]],tblPuestos[codigo],tblPuestos[especialidad],"(sin catálogo)"))</f>
        <v/>
      </c>
      <c r="AB533" s="5">
        <f>IF(tblOrdenes[[#This Row],[cod_actividad]]="","",_xlfn.XLOOKUP(tblOrdenes[[#This Row],[cod_actividad]],tblActividades[codigo],tblActividades[descripcion],"(sin catálogo)"))</f>
        <v/>
      </c>
      <c r="AC533" s="20">
        <f>IF(tblOrdenes[[#This Row],[fecha_inicio]]="","",TODAY()-tblOrdenes[[#This Row],[fecha_inicio]])</f>
        <v/>
      </c>
      <c r="AD5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3" s="5">
        <f>IF(tblOrdenes[[#This Row],[backlog_habiles]]="","",IF(tblOrdenes[[#This Row],[backlog_habiles]]&lt;0,"FUTURO",IF(tblOrdenes[[#This Row],[backlog_habiles]]&gt;p_dias_backlog_max,"BACKLOG","MES CORRIENTE")))</f>
        <v/>
      </c>
      <c r="AF533" s="5">
        <f>IF(tblOrdenes[[#This Row],[backlog_habiles]]="",FALSE,AND(tblOrdenes[[#This Row],[backlog_habiles]]&gt;p_dias_backlog_min,tblOrdenes[[#This Row],[backlog_habiles]]&lt;=p_dias_backlog_max))</f>
        <v/>
      </c>
      <c r="AG533" s="4" t="n"/>
      <c r="AH5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3" s="18">
        <f>IF(tblOrdenes[[#This Row],[orden]]="","",_xlfn.XLOOKUP(tblOrdenes[[#This Row],[id_operacion]],tblEjecucion[id_operacion],tblEjecucion[precio],0))</f>
        <v/>
      </c>
      <c r="AL533" s="18">
        <f>IF(tblOrdenes[[#This Row],[orden]]="","",MAX(0,_xlfn.XLOOKUP(tblOrdenes[[#This Row],[id_operacion]],tblEjecucion[id_operacion],tblEjecucion[costo_plan_total],0)-tblOrdenes[[#This Row],[costo_servicio]]))</f>
        <v/>
      </c>
      <c r="AM533" s="18">
        <f>IF(tblOrdenes[[#This Row],[orden]]="","",tblOrdenes[[#This Row],[costo_servicio]]+tblOrdenes[[#This Row],[costo_materiales]])</f>
        <v/>
      </c>
      <c r="AN5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3" s="4" t="n"/>
      <c r="AP533" s="4" t="n"/>
      <c r="AQ533" s="4" t="n"/>
      <c r="AR533" s="5">
        <f>IF(tblOrdenes[[#This Row],[link_checklist]]="","",HYPERLINK(p_ruta_base_checklists&amp;tblOrdenes[[#This Row],[link_checklist]],"abrir"))</f>
        <v/>
      </c>
      <c r="AS533" s="4" t="n"/>
      <c r="AT533" s="5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22" t="n"/>
      <c r="K534" s="5" t="n"/>
      <c r="L534" s="18" t="n"/>
      <c r="M5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5">
        <f>IF(tblOrdenes[[#This Row],[fecha_inicio]]="","",YEAR(tblOrdenes[[#This Row],[fecha_inicio]]))</f>
        <v/>
      </c>
      <c r="Q534" s="5">
        <f>IF(tblOrdenes[[#This Row],[fecha_inicio]]="","",MONTH(tblOrdenes[[#This Row],[fecha_inicio]]))</f>
        <v/>
      </c>
      <c r="R534" s="5">
        <f>IF(tblOrdenes[[#This Row],[fecha_inicio]]="","",tblOrdenes[[#This Row],[anio]]&amp;"-"&amp;TEXT(tblOrdenes[[#This Row],[mes]],"00"))</f>
        <v/>
      </c>
      <c r="S534" s="5">
        <f>IF(tblOrdenes[[#This Row],[fecha_inicio]]="","",INDEX(lista_dias,WEEKDAY(tblOrdenes[[#This Row],[fecha_inicio]],2)))</f>
        <v/>
      </c>
      <c r="T5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4" s="5">
        <f>IF(tblOrdenes[[#This Row],[tipo_ot]]="","",_xlfn.XLOOKUP(tblOrdenes[[#This Row],[tipo_ot]],tblTiposOT[codigo],tblTiposOT[clasificacion],"sin_clasificar"))</f>
        <v/>
      </c>
      <c r="V5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4" s="5">
        <f>IF(tblOrdenes[[#This Row],[centro_costo]]="","",_xlfn.XLOOKUP(tblOrdenes[[#This Row],[centro_costo]],tblCECO[codigo],tblCECO[linea],"(sin catálogo)"))</f>
        <v/>
      </c>
      <c r="X534" s="5">
        <f>IF(tblOrdenes[[#This Row],[centro_costo]]="","",_xlfn.XLOOKUP(tblOrdenes[[#This Row],[centro_costo]],tblCECO[codigo],tblCECO[area],"(sin catálogo)"))</f>
        <v/>
      </c>
      <c r="Y5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4" s="5">
        <f>IF(tblOrdenes[[#This Row],[centro_costo]]="","",_xlfn.XLOOKUP(tblOrdenes[[#This Row],[centro_costo]],tblCECO[codigo],tblCECO[coordinador],"(sin catálogo)"))</f>
        <v/>
      </c>
      <c r="AA534" s="5">
        <f>IF(tblOrdenes[[#This Row],[puesto_trabajo]]="","",_xlfn.XLOOKUP(tblOrdenes[[#This Row],[puesto_trabajo]],tblPuestos[codigo],tblPuestos[especialidad],"(sin catálogo)"))</f>
        <v/>
      </c>
      <c r="AB534" s="5">
        <f>IF(tblOrdenes[[#This Row],[cod_actividad]]="","",_xlfn.XLOOKUP(tblOrdenes[[#This Row],[cod_actividad]],tblActividades[codigo],tblActividades[descripcion],"(sin catálogo)"))</f>
        <v/>
      </c>
      <c r="AC534" s="20">
        <f>IF(tblOrdenes[[#This Row],[fecha_inicio]]="","",TODAY()-tblOrdenes[[#This Row],[fecha_inicio]])</f>
        <v/>
      </c>
      <c r="AD5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4" s="5">
        <f>IF(tblOrdenes[[#This Row],[backlog_habiles]]="","",IF(tblOrdenes[[#This Row],[backlog_habiles]]&lt;0,"FUTURO",IF(tblOrdenes[[#This Row],[backlog_habiles]]&gt;p_dias_backlog_max,"BACKLOG","MES CORRIENTE")))</f>
        <v/>
      </c>
      <c r="AF534" s="5">
        <f>IF(tblOrdenes[[#This Row],[backlog_habiles]]="",FALSE,AND(tblOrdenes[[#This Row],[backlog_habiles]]&gt;p_dias_backlog_min,tblOrdenes[[#This Row],[backlog_habiles]]&lt;=p_dias_backlog_max))</f>
        <v/>
      </c>
      <c r="AG534" s="4" t="n"/>
      <c r="AH5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4" s="18">
        <f>IF(tblOrdenes[[#This Row],[orden]]="","",_xlfn.XLOOKUP(tblOrdenes[[#This Row],[id_operacion]],tblEjecucion[id_operacion],tblEjecucion[precio],0))</f>
        <v/>
      </c>
      <c r="AL534" s="18">
        <f>IF(tblOrdenes[[#This Row],[orden]]="","",MAX(0,_xlfn.XLOOKUP(tblOrdenes[[#This Row],[id_operacion]],tblEjecucion[id_operacion],tblEjecucion[costo_plan_total],0)-tblOrdenes[[#This Row],[costo_servicio]]))</f>
        <v/>
      </c>
      <c r="AM534" s="18">
        <f>IF(tblOrdenes[[#This Row],[orden]]="","",tblOrdenes[[#This Row],[costo_servicio]]+tblOrdenes[[#This Row],[costo_materiales]])</f>
        <v/>
      </c>
      <c r="AN5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4" s="4" t="n"/>
      <c r="AP534" s="4" t="n"/>
      <c r="AQ534" s="4" t="n"/>
      <c r="AR534" s="5">
        <f>IF(tblOrdenes[[#This Row],[link_checklist]]="","",HYPERLINK(p_ruta_base_checklists&amp;tblOrdenes[[#This Row],[link_checklist]],"abrir"))</f>
        <v/>
      </c>
      <c r="AS534" s="4" t="n"/>
      <c r="AT534" s="5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22" t="n"/>
      <c r="K535" s="5" t="n"/>
      <c r="L535" s="18" t="n"/>
      <c r="M5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5">
        <f>IF(tblOrdenes[[#This Row],[fecha_inicio]]="","",YEAR(tblOrdenes[[#This Row],[fecha_inicio]]))</f>
        <v/>
      </c>
      <c r="Q535" s="5">
        <f>IF(tblOrdenes[[#This Row],[fecha_inicio]]="","",MONTH(tblOrdenes[[#This Row],[fecha_inicio]]))</f>
        <v/>
      </c>
      <c r="R535" s="5">
        <f>IF(tblOrdenes[[#This Row],[fecha_inicio]]="","",tblOrdenes[[#This Row],[anio]]&amp;"-"&amp;TEXT(tblOrdenes[[#This Row],[mes]],"00"))</f>
        <v/>
      </c>
      <c r="S535" s="5">
        <f>IF(tblOrdenes[[#This Row],[fecha_inicio]]="","",INDEX(lista_dias,WEEKDAY(tblOrdenes[[#This Row],[fecha_inicio]],2)))</f>
        <v/>
      </c>
      <c r="T5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5" s="5">
        <f>IF(tblOrdenes[[#This Row],[tipo_ot]]="","",_xlfn.XLOOKUP(tblOrdenes[[#This Row],[tipo_ot]],tblTiposOT[codigo],tblTiposOT[clasificacion],"sin_clasificar"))</f>
        <v/>
      </c>
      <c r="V5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5" s="5">
        <f>IF(tblOrdenes[[#This Row],[centro_costo]]="","",_xlfn.XLOOKUP(tblOrdenes[[#This Row],[centro_costo]],tblCECO[codigo],tblCECO[linea],"(sin catálogo)"))</f>
        <v/>
      </c>
      <c r="X535" s="5">
        <f>IF(tblOrdenes[[#This Row],[centro_costo]]="","",_xlfn.XLOOKUP(tblOrdenes[[#This Row],[centro_costo]],tblCECO[codigo],tblCECO[area],"(sin catálogo)"))</f>
        <v/>
      </c>
      <c r="Y5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5" s="5">
        <f>IF(tblOrdenes[[#This Row],[centro_costo]]="","",_xlfn.XLOOKUP(tblOrdenes[[#This Row],[centro_costo]],tblCECO[codigo],tblCECO[coordinador],"(sin catálogo)"))</f>
        <v/>
      </c>
      <c r="AA535" s="5">
        <f>IF(tblOrdenes[[#This Row],[puesto_trabajo]]="","",_xlfn.XLOOKUP(tblOrdenes[[#This Row],[puesto_trabajo]],tblPuestos[codigo],tblPuestos[especialidad],"(sin catálogo)"))</f>
        <v/>
      </c>
      <c r="AB535" s="5">
        <f>IF(tblOrdenes[[#This Row],[cod_actividad]]="","",_xlfn.XLOOKUP(tblOrdenes[[#This Row],[cod_actividad]],tblActividades[codigo],tblActividades[descripcion],"(sin catálogo)"))</f>
        <v/>
      </c>
      <c r="AC535" s="20">
        <f>IF(tblOrdenes[[#This Row],[fecha_inicio]]="","",TODAY()-tblOrdenes[[#This Row],[fecha_inicio]])</f>
        <v/>
      </c>
      <c r="AD5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5" s="5">
        <f>IF(tblOrdenes[[#This Row],[backlog_habiles]]="","",IF(tblOrdenes[[#This Row],[backlog_habiles]]&lt;0,"FUTURO",IF(tblOrdenes[[#This Row],[backlog_habiles]]&gt;p_dias_backlog_max,"BACKLOG","MES CORRIENTE")))</f>
        <v/>
      </c>
      <c r="AF535" s="5">
        <f>IF(tblOrdenes[[#This Row],[backlog_habiles]]="",FALSE,AND(tblOrdenes[[#This Row],[backlog_habiles]]&gt;p_dias_backlog_min,tblOrdenes[[#This Row],[backlog_habiles]]&lt;=p_dias_backlog_max))</f>
        <v/>
      </c>
      <c r="AG535" s="4" t="n"/>
      <c r="AH5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5" s="18">
        <f>IF(tblOrdenes[[#This Row],[orden]]="","",_xlfn.XLOOKUP(tblOrdenes[[#This Row],[id_operacion]],tblEjecucion[id_operacion],tblEjecucion[precio],0))</f>
        <v/>
      </c>
      <c r="AL535" s="18">
        <f>IF(tblOrdenes[[#This Row],[orden]]="","",MAX(0,_xlfn.XLOOKUP(tblOrdenes[[#This Row],[id_operacion]],tblEjecucion[id_operacion],tblEjecucion[costo_plan_total],0)-tblOrdenes[[#This Row],[costo_servicio]]))</f>
        <v/>
      </c>
      <c r="AM535" s="18">
        <f>IF(tblOrdenes[[#This Row],[orden]]="","",tblOrdenes[[#This Row],[costo_servicio]]+tblOrdenes[[#This Row],[costo_materiales]])</f>
        <v/>
      </c>
      <c r="AN5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5" s="4" t="n"/>
      <c r="AP535" s="4" t="n"/>
      <c r="AQ535" s="4" t="n"/>
      <c r="AR535" s="5">
        <f>IF(tblOrdenes[[#This Row],[link_checklist]]="","",HYPERLINK(p_ruta_base_checklists&amp;tblOrdenes[[#This Row],[link_checklist]],"abrir"))</f>
        <v/>
      </c>
      <c r="AS535" s="4" t="n"/>
      <c r="AT535" s="5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22" t="n"/>
      <c r="K536" s="5" t="n"/>
      <c r="L536" s="18" t="n"/>
      <c r="M5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5">
        <f>IF(tblOrdenes[[#This Row],[fecha_inicio]]="","",YEAR(tblOrdenes[[#This Row],[fecha_inicio]]))</f>
        <v/>
      </c>
      <c r="Q536" s="5">
        <f>IF(tblOrdenes[[#This Row],[fecha_inicio]]="","",MONTH(tblOrdenes[[#This Row],[fecha_inicio]]))</f>
        <v/>
      </c>
      <c r="R536" s="5">
        <f>IF(tblOrdenes[[#This Row],[fecha_inicio]]="","",tblOrdenes[[#This Row],[anio]]&amp;"-"&amp;TEXT(tblOrdenes[[#This Row],[mes]],"00"))</f>
        <v/>
      </c>
      <c r="S536" s="5">
        <f>IF(tblOrdenes[[#This Row],[fecha_inicio]]="","",INDEX(lista_dias,WEEKDAY(tblOrdenes[[#This Row],[fecha_inicio]],2)))</f>
        <v/>
      </c>
      <c r="T5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6" s="5">
        <f>IF(tblOrdenes[[#This Row],[tipo_ot]]="","",_xlfn.XLOOKUP(tblOrdenes[[#This Row],[tipo_ot]],tblTiposOT[codigo],tblTiposOT[clasificacion],"sin_clasificar"))</f>
        <v/>
      </c>
      <c r="V5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6" s="5">
        <f>IF(tblOrdenes[[#This Row],[centro_costo]]="","",_xlfn.XLOOKUP(tblOrdenes[[#This Row],[centro_costo]],tblCECO[codigo],tblCECO[linea],"(sin catálogo)"))</f>
        <v/>
      </c>
      <c r="X536" s="5">
        <f>IF(tblOrdenes[[#This Row],[centro_costo]]="","",_xlfn.XLOOKUP(tblOrdenes[[#This Row],[centro_costo]],tblCECO[codigo],tblCECO[area],"(sin catálogo)"))</f>
        <v/>
      </c>
      <c r="Y5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6" s="5">
        <f>IF(tblOrdenes[[#This Row],[centro_costo]]="","",_xlfn.XLOOKUP(tblOrdenes[[#This Row],[centro_costo]],tblCECO[codigo],tblCECO[coordinador],"(sin catálogo)"))</f>
        <v/>
      </c>
      <c r="AA536" s="5">
        <f>IF(tblOrdenes[[#This Row],[puesto_trabajo]]="","",_xlfn.XLOOKUP(tblOrdenes[[#This Row],[puesto_trabajo]],tblPuestos[codigo],tblPuestos[especialidad],"(sin catálogo)"))</f>
        <v/>
      </c>
      <c r="AB536" s="5">
        <f>IF(tblOrdenes[[#This Row],[cod_actividad]]="","",_xlfn.XLOOKUP(tblOrdenes[[#This Row],[cod_actividad]],tblActividades[codigo],tblActividades[descripcion],"(sin catálogo)"))</f>
        <v/>
      </c>
      <c r="AC536" s="20">
        <f>IF(tblOrdenes[[#This Row],[fecha_inicio]]="","",TODAY()-tblOrdenes[[#This Row],[fecha_inicio]])</f>
        <v/>
      </c>
      <c r="AD5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6" s="5">
        <f>IF(tblOrdenes[[#This Row],[backlog_habiles]]="","",IF(tblOrdenes[[#This Row],[backlog_habiles]]&lt;0,"FUTURO",IF(tblOrdenes[[#This Row],[backlog_habiles]]&gt;p_dias_backlog_max,"BACKLOG","MES CORRIENTE")))</f>
        <v/>
      </c>
      <c r="AF536" s="5">
        <f>IF(tblOrdenes[[#This Row],[backlog_habiles]]="",FALSE,AND(tblOrdenes[[#This Row],[backlog_habiles]]&gt;p_dias_backlog_min,tblOrdenes[[#This Row],[backlog_habiles]]&lt;=p_dias_backlog_max))</f>
        <v/>
      </c>
      <c r="AG536" s="4" t="n"/>
      <c r="AH5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6" s="18">
        <f>IF(tblOrdenes[[#This Row],[orden]]="","",_xlfn.XLOOKUP(tblOrdenes[[#This Row],[id_operacion]],tblEjecucion[id_operacion],tblEjecucion[precio],0))</f>
        <v/>
      </c>
      <c r="AL536" s="18">
        <f>IF(tblOrdenes[[#This Row],[orden]]="","",MAX(0,_xlfn.XLOOKUP(tblOrdenes[[#This Row],[id_operacion]],tblEjecucion[id_operacion],tblEjecucion[costo_plan_total],0)-tblOrdenes[[#This Row],[costo_servicio]]))</f>
        <v/>
      </c>
      <c r="AM536" s="18">
        <f>IF(tblOrdenes[[#This Row],[orden]]="","",tblOrdenes[[#This Row],[costo_servicio]]+tblOrdenes[[#This Row],[costo_materiales]])</f>
        <v/>
      </c>
      <c r="AN5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6" s="4" t="n"/>
      <c r="AP536" s="4" t="n"/>
      <c r="AQ536" s="4" t="n"/>
      <c r="AR536" s="5">
        <f>IF(tblOrdenes[[#This Row],[link_checklist]]="","",HYPERLINK(p_ruta_base_checklists&amp;tblOrdenes[[#This Row],[link_checklist]],"abrir"))</f>
        <v/>
      </c>
      <c r="AS536" s="4" t="n"/>
      <c r="AT536" s="5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22" t="n"/>
      <c r="K537" s="5" t="n"/>
      <c r="L537" s="18" t="n"/>
      <c r="M5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5">
        <f>IF(tblOrdenes[[#This Row],[fecha_inicio]]="","",YEAR(tblOrdenes[[#This Row],[fecha_inicio]]))</f>
        <v/>
      </c>
      <c r="Q537" s="5">
        <f>IF(tblOrdenes[[#This Row],[fecha_inicio]]="","",MONTH(tblOrdenes[[#This Row],[fecha_inicio]]))</f>
        <v/>
      </c>
      <c r="R537" s="5">
        <f>IF(tblOrdenes[[#This Row],[fecha_inicio]]="","",tblOrdenes[[#This Row],[anio]]&amp;"-"&amp;TEXT(tblOrdenes[[#This Row],[mes]],"00"))</f>
        <v/>
      </c>
      <c r="S537" s="5">
        <f>IF(tblOrdenes[[#This Row],[fecha_inicio]]="","",INDEX(lista_dias,WEEKDAY(tblOrdenes[[#This Row],[fecha_inicio]],2)))</f>
        <v/>
      </c>
      <c r="T5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7" s="5">
        <f>IF(tblOrdenes[[#This Row],[tipo_ot]]="","",_xlfn.XLOOKUP(tblOrdenes[[#This Row],[tipo_ot]],tblTiposOT[codigo],tblTiposOT[clasificacion],"sin_clasificar"))</f>
        <v/>
      </c>
      <c r="V5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7" s="5">
        <f>IF(tblOrdenes[[#This Row],[centro_costo]]="","",_xlfn.XLOOKUP(tblOrdenes[[#This Row],[centro_costo]],tblCECO[codigo],tblCECO[linea],"(sin catálogo)"))</f>
        <v/>
      </c>
      <c r="X537" s="5">
        <f>IF(tblOrdenes[[#This Row],[centro_costo]]="","",_xlfn.XLOOKUP(tblOrdenes[[#This Row],[centro_costo]],tblCECO[codigo],tblCECO[area],"(sin catálogo)"))</f>
        <v/>
      </c>
      <c r="Y5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7" s="5">
        <f>IF(tblOrdenes[[#This Row],[centro_costo]]="","",_xlfn.XLOOKUP(tblOrdenes[[#This Row],[centro_costo]],tblCECO[codigo],tblCECO[coordinador],"(sin catálogo)"))</f>
        <v/>
      </c>
      <c r="AA537" s="5">
        <f>IF(tblOrdenes[[#This Row],[puesto_trabajo]]="","",_xlfn.XLOOKUP(tblOrdenes[[#This Row],[puesto_trabajo]],tblPuestos[codigo],tblPuestos[especialidad],"(sin catálogo)"))</f>
        <v/>
      </c>
      <c r="AB537" s="5">
        <f>IF(tblOrdenes[[#This Row],[cod_actividad]]="","",_xlfn.XLOOKUP(tblOrdenes[[#This Row],[cod_actividad]],tblActividades[codigo],tblActividades[descripcion],"(sin catálogo)"))</f>
        <v/>
      </c>
      <c r="AC537" s="20">
        <f>IF(tblOrdenes[[#This Row],[fecha_inicio]]="","",TODAY()-tblOrdenes[[#This Row],[fecha_inicio]])</f>
        <v/>
      </c>
      <c r="AD5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7" s="5">
        <f>IF(tblOrdenes[[#This Row],[backlog_habiles]]="","",IF(tblOrdenes[[#This Row],[backlog_habiles]]&lt;0,"FUTURO",IF(tblOrdenes[[#This Row],[backlog_habiles]]&gt;p_dias_backlog_max,"BACKLOG","MES CORRIENTE")))</f>
        <v/>
      </c>
      <c r="AF537" s="5">
        <f>IF(tblOrdenes[[#This Row],[backlog_habiles]]="",FALSE,AND(tblOrdenes[[#This Row],[backlog_habiles]]&gt;p_dias_backlog_min,tblOrdenes[[#This Row],[backlog_habiles]]&lt;=p_dias_backlog_max))</f>
        <v/>
      </c>
      <c r="AG537" s="4" t="n"/>
      <c r="AH5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7" s="18">
        <f>IF(tblOrdenes[[#This Row],[orden]]="","",_xlfn.XLOOKUP(tblOrdenes[[#This Row],[id_operacion]],tblEjecucion[id_operacion],tblEjecucion[precio],0))</f>
        <v/>
      </c>
      <c r="AL537" s="18">
        <f>IF(tblOrdenes[[#This Row],[orden]]="","",MAX(0,_xlfn.XLOOKUP(tblOrdenes[[#This Row],[id_operacion]],tblEjecucion[id_operacion],tblEjecucion[costo_plan_total],0)-tblOrdenes[[#This Row],[costo_servicio]]))</f>
        <v/>
      </c>
      <c r="AM537" s="18">
        <f>IF(tblOrdenes[[#This Row],[orden]]="","",tblOrdenes[[#This Row],[costo_servicio]]+tblOrdenes[[#This Row],[costo_materiales]])</f>
        <v/>
      </c>
      <c r="AN5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7" s="4" t="n"/>
      <c r="AP537" s="4" t="n"/>
      <c r="AQ537" s="4" t="n"/>
      <c r="AR537" s="5">
        <f>IF(tblOrdenes[[#This Row],[link_checklist]]="","",HYPERLINK(p_ruta_base_checklists&amp;tblOrdenes[[#This Row],[link_checklist]],"abrir"))</f>
        <v/>
      </c>
      <c r="AS537" s="4" t="n"/>
      <c r="AT537" s="5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22" t="n"/>
      <c r="K538" s="5" t="n"/>
      <c r="L538" s="18" t="n"/>
      <c r="M5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5">
        <f>IF(tblOrdenes[[#This Row],[fecha_inicio]]="","",YEAR(tblOrdenes[[#This Row],[fecha_inicio]]))</f>
        <v/>
      </c>
      <c r="Q538" s="5">
        <f>IF(tblOrdenes[[#This Row],[fecha_inicio]]="","",MONTH(tblOrdenes[[#This Row],[fecha_inicio]]))</f>
        <v/>
      </c>
      <c r="R538" s="5">
        <f>IF(tblOrdenes[[#This Row],[fecha_inicio]]="","",tblOrdenes[[#This Row],[anio]]&amp;"-"&amp;TEXT(tblOrdenes[[#This Row],[mes]],"00"))</f>
        <v/>
      </c>
      <c r="S538" s="5">
        <f>IF(tblOrdenes[[#This Row],[fecha_inicio]]="","",INDEX(lista_dias,WEEKDAY(tblOrdenes[[#This Row],[fecha_inicio]],2)))</f>
        <v/>
      </c>
      <c r="T5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8" s="5">
        <f>IF(tblOrdenes[[#This Row],[tipo_ot]]="","",_xlfn.XLOOKUP(tblOrdenes[[#This Row],[tipo_ot]],tblTiposOT[codigo],tblTiposOT[clasificacion],"sin_clasificar"))</f>
        <v/>
      </c>
      <c r="V5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8" s="5">
        <f>IF(tblOrdenes[[#This Row],[centro_costo]]="","",_xlfn.XLOOKUP(tblOrdenes[[#This Row],[centro_costo]],tblCECO[codigo],tblCECO[linea],"(sin catálogo)"))</f>
        <v/>
      </c>
      <c r="X538" s="5">
        <f>IF(tblOrdenes[[#This Row],[centro_costo]]="","",_xlfn.XLOOKUP(tblOrdenes[[#This Row],[centro_costo]],tblCECO[codigo],tblCECO[area],"(sin catálogo)"))</f>
        <v/>
      </c>
      <c r="Y5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8" s="5">
        <f>IF(tblOrdenes[[#This Row],[centro_costo]]="","",_xlfn.XLOOKUP(tblOrdenes[[#This Row],[centro_costo]],tblCECO[codigo],tblCECO[coordinador],"(sin catálogo)"))</f>
        <v/>
      </c>
      <c r="AA538" s="5">
        <f>IF(tblOrdenes[[#This Row],[puesto_trabajo]]="","",_xlfn.XLOOKUP(tblOrdenes[[#This Row],[puesto_trabajo]],tblPuestos[codigo],tblPuestos[especialidad],"(sin catálogo)"))</f>
        <v/>
      </c>
      <c r="AB538" s="5">
        <f>IF(tblOrdenes[[#This Row],[cod_actividad]]="","",_xlfn.XLOOKUP(tblOrdenes[[#This Row],[cod_actividad]],tblActividades[codigo],tblActividades[descripcion],"(sin catálogo)"))</f>
        <v/>
      </c>
      <c r="AC538" s="20">
        <f>IF(tblOrdenes[[#This Row],[fecha_inicio]]="","",TODAY()-tblOrdenes[[#This Row],[fecha_inicio]])</f>
        <v/>
      </c>
      <c r="AD5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8" s="5">
        <f>IF(tblOrdenes[[#This Row],[backlog_habiles]]="","",IF(tblOrdenes[[#This Row],[backlog_habiles]]&lt;0,"FUTURO",IF(tblOrdenes[[#This Row],[backlog_habiles]]&gt;p_dias_backlog_max,"BACKLOG","MES CORRIENTE")))</f>
        <v/>
      </c>
      <c r="AF538" s="5">
        <f>IF(tblOrdenes[[#This Row],[backlog_habiles]]="",FALSE,AND(tblOrdenes[[#This Row],[backlog_habiles]]&gt;p_dias_backlog_min,tblOrdenes[[#This Row],[backlog_habiles]]&lt;=p_dias_backlog_max))</f>
        <v/>
      </c>
      <c r="AG538" s="4" t="n"/>
      <c r="AH5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8" s="18">
        <f>IF(tblOrdenes[[#This Row],[orden]]="","",_xlfn.XLOOKUP(tblOrdenes[[#This Row],[id_operacion]],tblEjecucion[id_operacion],tblEjecucion[precio],0))</f>
        <v/>
      </c>
      <c r="AL538" s="18">
        <f>IF(tblOrdenes[[#This Row],[orden]]="","",MAX(0,_xlfn.XLOOKUP(tblOrdenes[[#This Row],[id_operacion]],tblEjecucion[id_operacion],tblEjecucion[costo_plan_total],0)-tblOrdenes[[#This Row],[costo_servicio]]))</f>
        <v/>
      </c>
      <c r="AM538" s="18">
        <f>IF(tblOrdenes[[#This Row],[orden]]="","",tblOrdenes[[#This Row],[costo_servicio]]+tblOrdenes[[#This Row],[costo_materiales]])</f>
        <v/>
      </c>
      <c r="AN5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8" s="4" t="n"/>
      <c r="AP538" s="4" t="n"/>
      <c r="AQ538" s="4" t="n"/>
      <c r="AR538" s="5">
        <f>IF(tblOrdenes[[#This Row],[link_checklist]]="","",HYPERLINK(p_ruta_base_checklists&amp;tblOrdenes[[#This Row],[link_checklist]],"abrir"))</f>
        <v/>
      </c>
      <c r="AS538" s="4" t="n"/>
      <c r="AT538" s="5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22" t="n"/>
      <c r="K539" s="5" t="n"/>
      <c r="L539" s="18" t="n"/>
      <c r="M5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5">
        <f>IF(tblOrdenes[[#This Row],[fecha_inicio]]="","",YEAR(tblOrdenes[[#This Row],[fecha_inicio]]))</f>
        <v/>
      </c>
      <c r="Q539" s="5">
        <f>IF(tblOrdenes[[#This Row],[fecha_inicio]]="","",MONTH(tblOrdenes[[#This Row],[fecha_inicio]]))</f>
        <v/>
      </c>
      <c r="R539" s="5">
        <f>IF(tblOrdenes[[#This Row],[fecha_inicio]]="","",tblOrdenes[[#This Row],[anio]]&amp;"-"&amp;TEXT(tblOrdenes[[#This Row],[mes]],"00"))</f>
        <v/>
      </c>
      <c r="S539" s="5">
        <f>IF(tblOrdenes[[#This Row],[fecha_inicio]]="","",INDEX(lista_dias,WEEKDAY(tblOrdenes[[#This Row],[fecha_inicio]],2)))</f>
        <v/>
      </c>
      <c r="T5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9" s="5">
        <f>IF(tblOrdenes[[#This Row],[tipo_ot]]="","",_xlfn.XLOOKUP(tblOrdenes[[#This Row],[tipo_ot]],tblTiposOT[codigo],tblTiposOT[clasificacion],"sin_clasificar"))</f>
        <v/>
      </c>
      <c r="V5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9" s="5">
        <f>IF(tblOrdenes[[#This Row],[centro_costo]]="","",_xlfn.XLOOKUP(tblOrdenes[[#This Row],[centro_costo]],tblCECO[codigo],tblCECO[linea],"(sin catálogo)"))</f>
        <v/>
      </c>
      <c r="X539" s="5">
        <f>IF(tblOrdenes[[#This Row],[centro_costo]]="","",_xlfn.XLOOKUP(tblOrdenes[[#This Row],[centro_costo]],tblCECO[codigo],tblCECO[area],"(sin catálogo)"))</f>
        <v/>
      </c>
      <c r="Y5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39" s="5">
        <f>IF(tblOrdenes[[#This Row],[centro_costo]]="","",_xlfn.XLOOKUP(tblOrdenes[[#This Row],[centro_costo]],tblCECO[codigo],tblCECO[coordinador],"(sin catálogo)"))</f>
        <v/>
      </c>
      <c r="AA539" s="5">
        <f>IF(tblOrdenes[[#This Row],[puesto_trabajo]]="","",_xlfn.XLOOKUP(tblOrdenes[[#This Row],[puesto_trabajo]],tblPuestos[codigo],tblPuestos[especialidad],"(sin catálogo)"))</f>
        <v/>
      </c>
      <c r="AB539" s="5">
        <f>IF(tblOrdenes[[#This Row],[cod_actividad]]="","",_xlfn.XLOOKUP(tblOrdenes[[#This Row],[cod_actividad]],tblActividades[codigo],tblActividades[descripcion],"(sin catálogo)"))</f>
        <v/>
      </c>
      <c r="AC539" s="20">
        <f>IF(tblOrdenes[[#This Row],[fecha_inicio]]="","",TODAY()-tblOrdenes[[#This Row],[fecha_inicio]])</f>
        <v/>
      </c>
      <c r="AD5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39" s="5">
        <f>IF(tblOrdenes[[#This Row],[backlog_habiles]]="","",IF(tblOrdenes[[#This Row],[backlog_habiles]]&lt;0,"FUTURO",IF(tblOrdenes[[#This Row],[backlog_habiles]]&gt;p_dias_backlog_max,"BACKLOG","MES CORRIENTE")))</f>
        <v/>
      </c>
      <c r="AF539" s="5">
        <f>IF(tblOrdenes[[#This Row],[backlog_habiles]]="",FALSE,AND(tblOrdenes[[#This Row],[backlog_habiles]]&gt;p_dias_backlog_min,tblOrdenes[[#This Row],[backlog_habiles]]&lt;=p_dias_backlog_max))</f>
        <v/>
      </c>
      <c r="AG539" s="4" t="n"/>
      <c r="AH5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39" s="18">
        <f>IF(tblOrdenes[[#This Row],[orden]]="","",_xlfn.XLOOKUP(tblOrdenes[[#This Row],[id_operacion]],tblEjecucion[id_operacion],tblEjecucion[precio],0))</f>
        <v/>
      </c>
      <c r="AL539" s="18">
        <f>IF(tblOrdenes[[#This Row],[orden]]="","",MAX(0,_xlfn.XLOOKUP(tblOrdenes[[#This Row],[id_operacion]],tblEjecucion[id_operacion],tblEjecucion[costo_plan_total],0)-tblOrdenes[[#This Row],[costo_servicio]]))</f>
        <v/>
      </c>
      <c r="AM539" s="18">
        <f>IF(tblOrdenes[[#This Row],[orden]]="","",tblOrdenes[[#This Row],[costo_servicio]]+tblOrdenes[[#This Row],[costo_materiales]])</f>
        <v/>
      </c>
      <c r="AN5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39" s="4" t="n"/>
      <c r="AP539" s="4" t="n"/>
      <c r="AQ539" s="4" t="n"/>
      <c r="AR539" s="5">
        <f>IF(tblOrdenes[[#This Row],[link_checklist]]="","",HYPERLINK(p_ruta_base_checklists&amp;tblOrdenes[[#This Row],[link_checklist]],"abrir"))</f>
        <v/>
      </c>
      <c r="AS539" s="4" t="n"/>
      <c r="AT539" s="5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22" t="n"/>
      <c r="K540" s="5" t="n"/>
      <c r="L540" s="18" t="n"/>
      <c r="M5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5">
        <f>IF(tblOrdenes[[#This Row],[fecha_inicio]]="","",YEAR(tblOrdenes[[#This Row],[fecha_inicio]]))</f>
        <v/>
      </c>
      <c r="Q540" s="5">
        <f>IF(tblOrdenes[[#This Row],[fecha_inicio]]="","",MONTH(tblOrdenes[[#This Row],[fecha_inicio]]))</f>
        <v/>
      </c>
      <c r="R540" s="5">
        <f>IF(tblOrdenes[[#This Row],[fecha_inicio]]="","",tblOrdenes[[#This Row],[anio]]&amp;"-"&amp;TEXT(tblOrdenes[[#This Row],[mes]],"00"))</f>
        <v/>
      </c>
      <c r="S540" s="5">
        <f>IF(tblOrdenes[[#This Row],[fecha_inicio]]="","",INDEX(lista_dias,WEEKDAY(tblOrdenes[[#This Row],[fecha_inicio]],2)))</f>
        <v/>
      </c>
      <c r="T5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0" s="5">
        <f>IF(tblOrdenes[[#This Row],[tipo_ot]]="","",_xlfn.XLOOKUP(tblOrdenes[[#This Row],[tipo_ot]],tblTiposOT[codigo],tblTiposOT[clasificacion],"sin_clasificar"))</f>
        <v/>
      </c>
      <c r="V5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0" s="5">
        <f>IF(tblOrdenes[[#This Row],[centro_costo]]="","",_xlfn.XLOOKUP(tblOrdenes[[#This Row],[centro_costo]],tblCECO[codigo],tblCECO[linea],"(sin catálogo)"))</f>
        <v/>
      </c>
      <c r="X540" s="5">
        <f>IF(tblOrdenes[[#This Row],[centro_costo]]="","",_xlfn.XLOOKUP(tblOrdenes[[#This Row],[centro_costo]],tblCECO[codigo],tblCECO[area],"(sin catálogo)"))</f>
        <v/>
      </c>
      <c r="Y5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0" s="5">
        <f>IF(tblOrdenes[[#This Row],[centro_costo]]="","",_xlfn.XLOOKUP(tblOrdenes[[#This Row],[centro_costo]],tblCECO[codigo],tblCECO[coordinador],"(sin catálogo)"))</f>
        <v/>
      </c>
      <c r="AA540" s="5">
        <f>IF(tblOrdenes[[#This Row],[puesto_trabajo]]="","",_xlfn.XLOOKUP(tblOrdenes[[#This Row],[puesto_trabajo]],tblPuestos[codigo],tblPuestos[especialidad],"(sin catálogo)"))</f>
        <v/>
      </c>
      <c r="AB540" s="5">
        <f>IF(tblOrdenes[[#This Row],[cod_actividad]]="","",_xlfn.XLOOKUP(tblOrdenes[[#This Row],[cod_actividad]],tblActividades[codigo],tblActividades[descripcion],"(sin catálogo)"))</f>
        <v/>
      </c>
      <c r="AC540" s="20">
        <f>IF(tblOrdenes[[#This Row],[fecha_inicio]]="","",TODAY()-tblOrdenes[[#This Row],[fecha_inicio]])</f>
        <v/>
      </c>
      <c r="AD5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0" s="5">
        <f>IF(tblOrdenes[[#This Row],[backlog_habiles]]="","",IF(tblOrdenes[[#This Row],[backlog_habiles]]&lt;0,"FUTURO",IF(tblOrdenes[[#This Row],[backlog_habiles]]&gt;p_dias_backlog_max,"BACKLOG","MES CORRIENTE")))</f>
        <v/>
      </c>
      <c r="AF540" s="5">
        <f>IF(tblOrdenes[[#This Row],[backlog_habiles]]="",FALSE,AND(tblOrdenes[[#This Row],[backlog_habiles]]&gt;p_dias_backlog_min,tblOrdenes[[#This Row],[backlog_habiles]]&lt;=p_dias_backlog_max))</f>
        <v/>
      </c>
      <c r="AG540" s="4" t="n"/>
      <c r="AH5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0" s="18">
        <f>IF(tblOrdenes[[#This Row],[orden]]="","",_xlfn.XLOOKUP(tblOrdenes[[#This Row],[id_operacion]],tblEjecucion[id_operacion],tblEjecucion[precio],0))</f>
        <v/>
      </c>
      <c r="AL540" s="18">
        <f>IF(tblOrdenes[[#This Row],[orden]]="","",MAX(0,_xlfn.XLOOKUP(tblOrdenes[[#This Row],[id_operacion]],tblEjecucion[id_operacion],tblEjecucion[costo_plan_total],0)-tblOrdenes[[#This Row],[costo_servicio]]))</f>
        <v/>
      </c>
      <c r="AM540" s="18">
        <f>IF(tblOrdenes[[#This Row],[orden]]="","",tblOrdenes[[#This Row],[costo_servicio]]+tblOrdenes[[#This Row],[costo_materiales]])</f>
        <v/>
      </c>
      <c r="AN5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0" s="4" t="n"/>
      <c r="AP540" s="4" t="n"/>
      <c r="AQ540" s="4" t="n"/>
      <c r="AR540" s="5">
        <f>IF(tblOrdenes[[#This Row],[link_checklist]]="","",HYPERLINK(p_ruta_base_checklists&amp;tblOrdenes[[#This Row],[link_checklist]],"abrir"))</f>
        <v/>
      </c>
      <c r="AS540" s="4" t="n"/>
      <c r="AT540" s="5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22" t="n"/>
      <c r="K541" s="5" t="n"/>
      <c r="L541" s="18" t="n"/>
      <c r="M5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5">
        <f>IF(tblOrdenes[[#This Row],[fecha_inicio]]="","",YEAR(tblOrdenes[[#This Row],[fecha_inicio]]))</f>
        <v/>
      </c>
      <c r="Q541" s="5">
        <f>IF(tblOrdenes[[#This Row],[fecha_inicio]]="","",MONTH(tblOrdenes[[#This Row],[fecha_inicio]]))</f>
        <v/>
      </c>
      <c r="R541" s="5">
        <f>IF(tblOrdenes[[#This Row],[fecha_inicio]]="","",tblOrdenes[[#This Row],[anio]]&amp;"-"&amp;TEXT(tblOrdenes[[#This Row],[mes]],"00"))</f>
        <v/>
      </c>
      <c r="S541" s="5">
        <f>IF(tblOrdenes[[#This Row],[fecha_inicio]]="","",INDEX(lista_dias,WEEKDAY(tblOrdenes[[#This Row],[fecha_inicio]],2)))</f>
        <v/>
      </c>
      <c r="T5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1" s="5">
        <f>IF(tblOrdenes[[#This Row],[tipo_ot]]="","",_xlfn.XLOOKUP(tblOrdenes[[#This Row],[tipo_ot]],tblTiposOT[codigo],tblTiposOT[clasificacion],"sin_clasificar"))</f>
        <v/>
      </c>
      <c r="V5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1" s="5">
        <f>IF(tblOrdenes[[#This Row],[centro_costo]]="","",_xlfn.XLOOKUP(tblOrdenes[[#This Row],[centro_costo]],tblCECO[codigo],tblCECO[linea],"(sin catálogo)"))</f>
        <v/>
      </c>
      <c r="X541" s="5">
        <f>IF(tblOrdenes[[#This Row],[centro_costo]]="","",_xlfn.XLOOKUP(tblOrdenes[[#This Row],[centro_costo]],tblCECO[codigo],tblCECO[area],"(sin catálogo)"))</f>
        <v/>
      </c>
      <c r="Y5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1" s="5">
        <f>IF(tblOrdenes[[#This Row],[centro_costo]]="","",_xlfn.XLOOKUP(tblOrdenes[[#This Row],[centro_costo]],tblCECO[codigo],tblCECO[coordinador],"(sin catálogo)"))</f>
        <v/>
      </c>
      <c r="AA541" s="5">
        <f>IF(tblOrdenes[[#This Row],[puesto_trabajo]]="","",_xlfn.XLOOKUP(tblOrdenes[[#This Row],[puesto_trabajo]],tblPuestos[codigo],tblPuestos[especialidad],"(sin catálogo)"))</f>
        <v/>
      </c>
      <c r="AB541" s="5">
        <f>IF(tblOrdenes[[#This Row],[cod_actividad]]="","",_xlfn.XLOOKUP(tblOrdenes[[#This Row],[cod_actividad]],tblActividades[codigo],tblActividades[descripcion],"(sin catálogo)"))</f>
        <v/>
      </c>
      <c r="AC541" s="20">
        <f>IF(tblOrdenes[[#This Row],[fecha_inicio]]="","",TODAY()-tblOrdenes[[#This Row],[fecha_inicio]])</f>
        <v/>
      </c>
      <c r="AD5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1" s="5">
        <f>IF(tblOrdenes[[#This Row],[backlog_habiles]]="","",IF(tblOrdenes[[#This Row],[backlog_habiles]]&lt;0,"FUTURO",IF(tblOrdenes[[#This Row],[backlog_habiles]]&gt;p_dias_backlog_max,"BACKLOG","MES CORRIENTE")))</f>
        <v/>
      </c>
      <c r="AF541" s="5">
        <f>IF(tblOrdenes[[#This Row],[backlog_habiles]]="",FALSE,AND(tblOrdenes[[#This Row],[backlog_habiles]]&gt;p_dias_backlog_min,tblOrdenes[[#This Row],[backlog_habiles]]&lt;=p_dias_backlog_max))</f>
        <v/>
      </c>
      <c r="AG541" s="4" t="n"/>
      <c r="AH5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1" s="18">
        <f>IF(tblOrdenes[[#This Row],[orden]]="","",_xlfn.XLOOKUP(tblOrdenes[[#This Row],[id_operacion]],tblEjecucion[id_operacion],tblEjecucion[precio],0))</f>
        <v/>
      </c>
      <c r="AL541" s="18">
        <f>IF(tblOrdenes[[#This Row],[orden]]="","",MAX(0,_xlfn.XLOOKUP(tblOrdenes[[#This Row],[id_operacion]],tblEjecucion[id_operacion],tblEjecucion[costo_plan_total],0)-tblOrdenes[[#This Row],[costo_servicio]]))</f>
        <v/>
      </c>
      <c r="AM541" s="18">
        <f>IF(tblOrdenes[[#This Row],[orden]]="","",tblOrdenes[[#This Row],[costo_servicio]]+tblOrdenes[[#This Row],[costo_materiales]])</f>
        <v/>
      </c>
      <c r="AN5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1" s="4" t="n"/>
      <c r="AP541" s="4" t="n"/>
      <c r="AQ541" s="4" t="n"/>
      <c r="AR541" s="5">
        <f>IF(tblOrdenes[[#This Row],[link_checklist]]="","",HYPERLINK(p_ruta_base_checklists&amp;tblOrdenes[[#This Row],[link_checklist]],"abrir"))</f>
        <v/>
      </c>
      <c r="AS541" s="4" t="n"/>
      <c r="AT541" s="5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22" t="n"/>
      <c r="K542" s="5" t="n"/>
      <c r="L542" s="18" t="n"/>
      <c r="M5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5">
        <f>IF(tblOrdenes[[#This Row],[fecha_inicio]]="","",YEAR(tblOrdenes[[#This Row],[fecha_inicio]]))</f>
        <v/>
      </c>
      <c r="Q542" s="5">
        <f>IF(tblOrdenes[[#This Row],[fecha_inicio]]="","",MONTH(tblOrdenes[[#This Row],[fecha_inicio]]))</f>
        <v/>
      </c>
      <c r="R542" s="5">
        <f>IF(tblOrdenes[[#This Row],[fecha_inicio]]="","",tblOrdenes[[#This Row],[anio]]&amp;"-"&amp;TEXT(tblOrdenes[[#This Row],[mes]],"00"))</f>
        <v/>
      </c>
      <c r="S542" s="5">
        <f>IF(tblOrdenes[[#This Row],[fecha_inicio]]="","",INDEX(lista_dias,WEEKDAY(tblOrdenes[[#This Row],[fecha_inicio]],2)))</f>
        <v/>
      </c>
      <c r="T5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2" s="5">
        <f>IF(tblOrdenes[[#This Row],[tipo_ot]]="","",_xlfn.XLOOKUP(tblOrdenes[[#This Row],[tipo_ot]],tblTiposOT[codigo],tblTiposOT[clasificacion],"sin_clasificar"))</f>
        <v/>
      </c>
      <c r="V5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2" s="5">
        <f>IF(tblOrdenes[[#This Row],[centro_costo]]="","",_xlfn.XLOOKUP(tblOrdenes[[#This Row],[centro_costo]],tblCECO[codigo],tblCECO[linea],"(sin catálogo)"))</f>
        <v/>
      </c>
      <c r="X542" s="5">
        <f>IF(tblOrdenes[[#This Row],[centro_costo]]="","",_xlfn.XLOOKUP(tblOrdenes[[#This Row],[centro_costo]],tblCECO[codigo],tblCECO[area],"(sin catálogo)"))</f>
        <v/>
      </c>
      <c r="Y5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2" s="5">
        <f>IF(tblOrdenes[[#This Row],[centro_costo]]="","",_xlfn.XLOOKUP(tblOrdenes[[#This Row],[centro_costo]],tblCECO[codigo],tblCECO[coordinador],"(sin catálogo)"))</f>
        <v/>
      </c>
      <c r="AA542" s="5">
        <f>IF(tblOrdenes[[#This Row],[puesto_trabajo]]="","",_xlfn.XLOOKUP(tblOrdenes[[#This Row],[puesto_trabajo]],tblPuestos[codigo],tblPuestos[especialidad],"(sin catálogo)"))</f>
        <v/>
      </c>
      <c r="AB542" s="5">
        <f>IF(tblOrdenes[[#This Row],[cod_actividad]]="","",_xlfn.XLOOKUP(tblOrdenes[[#This Row],[cod_actividad]],tblActividades[codigo],tblActividades[descripcion],"(sin catálogo)"))</f>
        <v/>
      </c>
      <c r="AC542" s="20">
        <f>IF(tblOrdenes[[#This Row],[fecha_inicio]]="","",TODAY()-tblOrdenes[[#This Row],[fecha_inicio]])</f>
        <v/>
      </c>
      <c r="AD5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2" s="5">
        <f>IF(tblOrdenes[[#This Row],[backlog_habiles]]="","",IF(tblOrdenes[[#This Row],[backlog_habiles]]&lt;0,"FUTURO",IF(tblOrdenes[[#This Row],[backlog_habiles]]&gt;p_dias_backlog_max,"BACKLOG","MES CORRIENTE")))</f>
        <v/>
      </c>
      <c r="AF542" s="5">
        <f>IF(tblOrdenes[[#This Row],[backlog_habiles]]="",FALSE,AND(tblOrdenes[[#This Row],[backlog_habiles]]&gt;p_dias_backlog_min,tblOrdenes[[#This Row],[backlog_habiles]]&lt;=p_dias_backlog_max))</f>
        <v/>
      </c>
      <c r="AG542" s="4" t="n"/>
      <c r="AH5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2" s="18">
        <f>IF(tblOrdenes[[#This Row],[orden]]="","",_xlfn.XLOOKUP(tblOrdenes[[#This Row],[id_operacion]],tblEjecucion[id_operacion],tblEjecucion[precio],0))</f>
        <v/>
      </c>
      <c r="AL542" s="18">
        <f>IF(tblOrdenes[[#This Row],[orden]]="","",MAX(0,_xlfn.XLOOKUP(tblOrdenes[[#This Row],[id_operacion]],tblEjecucion[id_operacion],tblEjecucion[costo_plan_total],0)-tblOrdenes[[#This Row],[costo_servicio]]))</f>
        <v/>
      </c>
      <c r="AM542" s="18">
        <f>IF(tblOrdenes[[#This Row],[orden]]="","",tblOrdenes[[#This Row],[costo_servicio]]+tblOrdenes[[#This Row],[costo_materiales]])</f>
        <v/>
      </c>
      <c r="AN5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2" s="4" t="n"/>
      <c r="AP542" s="4" t="n"/>
      <c r="AQ542" s="4" t="n"/>
      <c r="AR542" s="5">
        <f>IF(tblOrdenes[[#This Row],[link_checklist]]="","",HYPERLINK(p_ruta_base_checklists&amp;tblOrdenes[[#This Row],[link_checklist]],"abrir"))</f>
        <v/>
      </c>
      <c r="AS542" s="4" t="n"/>
      <c r="AT542" s="5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22" t="n"/>
      <c r="K543" s="5" t="n"/>
      <c r="L543" s="18" t="n"/>
      <c r="M5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5">
        <f>IF(tblOrdenes[[#This Row],[fecha_inicio]]="","",YEAR(tblOrdenes[[#This Row],[fecha_inicio]]))</f>
        <v/>
      </c>
      <c r="Q543" s="5">
        <f>IF(tblOrdenes[[#This Row],[fecha_inicio]]="","",MONTH(tblOrdenes[[#This Row],[fecha_inicio]]))</f>
        <v/>
      </c>
      <c r="R543" s="5">
        <f>IF(tblOrdenes[[#This Row],[fecha_inicio]]="","",tblOrdenes[[#This Row],[anio]]&amp;"-"&amp;TEXT(tblOrdenes[[#This Row],[mes]],"00"))</f>
        <v/>
      </c>
      <c r="S543" s="5">
        <f>IF(tblOrdenes[[#This Row],[fecha_inicio]]="","",INDEX(lista_dias,WEEKDAY(tblOrdenes[[#This Row],[fecha_inicio]],2)))</f>
        <v/>
      </c>
      <c r="T5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3" s="5">
        <f>IF(tblOrdenes[[#This Row],[tipo_ot]]="","",_xlfn.XLOOKUP(tblOrdenes[[#This Row],[tipo_ot]],tblTiposOT[codigo],tblTiposOT[clasificacion],"sin_clasificar"))</f>
        <v/>
      </c>
      <c r="V5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3" s="5">
        <f>IF(tblOrdenes[[#This Row],[centro_costo]]="","",_xlfn.XLOOKUP(tblOrdenes[[#This Row],[centro_costo]],tblCECO[codigo],tblCECO[linea],"(sin catálogo)"))</f>
        <v/>
      </c>
      <c r="X543" s="5">
        <f>IF(tblOrdenes[[#This Row],[centro_costo]]="","",_xlfn.XLOOKUP(tblOrdenes[[#This Row],[centro_costo]],tblCECO[codigo],tblCECO[area],"(sin catálogo)"))</f>
        <v/>
      </c>
      <c r="Y5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3" s="5">
        <f>IF(tblOrdenes[[#This Row],[centro_costo]]="","",_xlfn.XLOOKUP(tblOrdenes[[#This Row],[centro_costo]],tblCECO[codigo],tblCECO[coordinador],"(sin catálogo)"))</f>
        <v/>
      </c>
      <c r="AA543" s="5">
        <f>IF(tblOrdenes[[#This Row],[puesto_trabajo]]="","",_xlfn.XLOOKUP(tblOrdenes[[#This Row],[puesto_trabajo]],tblPuestos[codigo],tblPuestos[especialidad],"(sin catálogo)"))</f>
        <v/>
      </c>
      <c r="AB543" s="5">
        <f>IF(tblOrdenes[[#This Row],[cod_actividad]]="","",_xlfn.XLOOKUP(tblOrdenes[[#This Row],[cod_actividad]],tblActividades[codigo],tblActividades[descripcion],"(sin catálogo)"))</f>
        <v/>
      </c>
      <c r="AC543" s="20">
        <f>IF(tblOrdenes[[#This Row],[fecha_inicio]]="","",TODAY()-tblOrdenes[[#This Row],[fecha_inicio]])</f>
        <v/>
      </c>
      <c r="AD5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3" s="5">
        <f>IF(tblOrdenes[[#This Row],[backlog_habiles]]="","",IF(tblOrdenes[[#This Row],[backlog_habiles]]&lt;0,"FUTURO",IF(tblOrdenes[[#This Row],[backlog_habiles]]&gt;p_dias_backlog_max,"BACKLOG","MES CORRIENTE")))</f>
        <v/>
      </c>
      <c r="AF543" s="5">
        <f>IF(tblOrdenes[[#This Row],[backlog_habiles]]="",FALSE,AND(tblOrdenes[[#This Row],[backlog_habiles]]&gt;p_dias_backlog_min,tblOrdenes[[#This Row],[backlog_habiles]]&lt;=p_dias_backlog_max))</f>
        <v/>
      </c>
      <c r="AG543" s="4" t="n"/>
      <c r="AH5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3" s="18">
        <f>IF(tblOrdenes[[#This Row],[orden]]="","",_xlfn.XLOOKUP(tblOrdenes[[#This Row],[id_operacion]],tblEjecucion[id_operacion],tblEjecucion[precio],0))</f>
        <v/>
      </c>
      <c r="AL543" s="18">
        <f>IF(tblOrdenes[[#This Row],[orden]]="","",MAX(0,_xlfn.XLOOKUP(tblOrdenes[[#This Row],[id_operacion]],tblEjecucion[id_operacion],tblEjecucion[costo_plan_total],0)-tblOrdenes[[#This Row],[costo_servicio]]))</f>
        <v/>
      </c>
      <c r="AM543" s="18">
        <f>IF(tblOrdenes[[#This Row],[orden]]="","",tblOrdenes[[#This Row],[costo_servicio]]+tblOrdenes[[#This Row],[costo_materiales]])</f>
        <v/>
      </c>
      <c r="AN5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3" s="4" t="n"/>
      <c r="AP543" s="4" t="n"/>
      <c r="AQ543" s="4" t="n"/>
      <c r="AR543" s="5">
        <f>IF(tblOrdenes[[#This Row],[link_checklist]]="","",HYPERLINK(p_ruta_base_checklists&amp;tblOrdenes[[#This Row],[link_checklist]],"abrir"))</f>
        <v/>
      </c>
      <c r="AS543" s="4" t="n"/>
      <c r="AT543" s="5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22" t="n"/>
      <c r="K544" s="5" t="n"/>
      <c r="L544" s="18" t="n"/>
      <c r="M5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5">
        <f>IF(tblOrdenes[[#This Row],[fecha_inicio]]="","",YEAR(tblOrdenes[[#This Row],[fecha_inicio]]))</f>
        <v/>
      </c>
      <c r="Q544" s="5">
        <f>IF(tblOrdenes[[#This Row],[fecha_inicio]]="","",MONTH(tblOrdenes[[#This Row],[fecha_inicio]]))</f>
        <v/>
      </c>
      <c r="R544" s="5">
        <f>IF(tblOrdenes[[#This Row],[fecha_inicio]]="","",tblOrdenes[[#This Row],[anio]]&amp;"-"&amp;TEXT(tblOrdenes[[#This Row],[mes]],"00"))</f>
        <v/>
      </c>
      <c r="S544" s="5">
        <f>IF(tblOrdenes[[#This Row],[fecha_inicio]]="","",INDEX(lista_dias,WEEKDAY(tblOrdenes[[#This Row],[fecha_inicio]],2)))</f>
        <v/>
      </c>
      <c r="T5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4" s="5">
        <f>IF(tblOrdenes[[#This Row],[tipo_ot]]="","",_xlfn.XLOOKUP(tblOrdenes[[#This Row],[tipo_ot]],tblTiposOT[codigo],tblTiposOT[clasificacion],"sin_clasificar"))</f>
        <v/>
      </c>
      <c r="V5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4" s="5">
        <f>IF(tblOrdenes[[#This Row],[centro_costo]]="","",_xlfn.XLOOKUP(tblOrdenes[[#This Row],[centro_costo]],tblCECO[codigo],tblCECO[linea],"(sin catálogo)"))</f>
        <v/>
      </c>
      <c r="X544" s="5">
        <f>IF(tblOrdenes[[#This Row],[centro_costo]]="","",_xlfn.XLOOKUP(tblOrdenes[[#This Row],[centro_costo]],tblCECO[codigo],tblCECO[area],"(sin catálogo)"))</f>
        <v/>
      </c>
      <c r="Y5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4" s="5">
        <f>IF(tblOrdenes[[#This Row],[centro_costo]]="","",_xlfn.XLOOKUP(tblOrdenes[[#This Row],[centro_costo]],tblCECO[codigo],tblCECO[coordinador],"(sin catálogo)"))</f>
        <v/>
      </c>
      <c r="AA544" s="5">
        <f>IF(tblOrdenes[[#This Row],[puesto_trabajo]]="","",_xlfn.XLOOKUP(tblOrdenes[[#This Row],[puesto_trabajo]],tblPuestos[codigo],tblPuestos[especialidad],"(sin catálogo)"))</f>
        <v/>
      </c>
      <c r="AB544" s="5">
        <f>IF(tblOrdenes[[#This Row],[cod_actividad]]="","",_xlfn.XLOOKUP(tblOrdenes[[#This Row],[cod_actividad]],tblActividades[codigo],tblActividades[descripcion],"(sin catálogo)"))</f>
        <v/>
      </c>
      <c r="AC544" s="20">
        <f>IF(tblOrdenes[[#This Row],[fecha_inicio]]="","",TODAY()-tblOrdenes[[#This Row],[fecha_inicio]])</f>
        <v/>
      </c>
      <c r="AD5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4" s="5">
        <f>IF(tblOrdenes[[#This Row],[backlog_habiles]]="","",IF(tblOrdenes[[#This Row],[backlog_habiles]]&lt;0,"FUTURO",IF(tblOrdenes[[#This Row],[backlog_habiles]]&gt;p_dias_backlog_max,"BACKLOG","MES CORRIENTE")))</f>
        <v/>
      </c>
      <c r="AF544" s="5">
        <f>IF(tblOrdenes[[#This Row],[backlog_habiles]]="",FALSE,AND(tblOrdenes[[#This Row],[backlog_habiles]]&gt;p_dias_backlog_min,tblOrdenes[[#This Row],[backlog_habiles]]&lt;=p_dias_backlog_max))</f>
        <v/>
      </c>
      <c r="AG544" s="4" t="n"/>
      <c r="AH5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4" s="18">
        <f>IF(tblOrdenes[[#This Row],[orden]]="","",_xlfn.XLOOKUP(tblOrdenes[[#This Row],[id_operacion]],tblEjecucion[id_operacion],tblEjecucion[precio],0))</f>
        <v/>
      </c>
      <c r="AL544" s="18">
        <f>IF(tblOrdenes[[#This Row],[orden]]="","",MAX(0,_xlfn.XLOOKUP(tblOrdenes[[#This Row],[id_operacion]],tblEjecucion[id_operacion],tblEjecucion[costo_plan_total],0)-tblOrdenes[[#This Row],[costo_servicio]]))</f>
        <v/>
      </c>
      <c r="AM544" s="18">
        <f>IF(tblOrdenes[[#This Row],[orden]]="","",tblOrdenes[[#This Row],[costo_servicio]]+tblOrdenes[[#This Row],[costo_materiales]])</f>
        <v/>
      </c>
      <c r="AN5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4" s="4" t="n"/>
      <c r="AP544" s="4" t="n"/>
      <c r="AQ544" s="4" t="n"/>
      <c r="AR544" s="5">
        <f>IF(tblOrdenes[[#This Row],[link_checklist]]="","",HYPERLINK(p_ruta_base_checklists&amp;tblOrdenes[[#This Row],[link_checklist]],"abrir"))</f>
        <v/>
      </c>
      <c r="AS544" s="4" t="n"/>
      <c r="AT544" s="5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22" t="n"/>
      <c r="K545" s="5" t="n"/>
      <c r="L545" s="18" t="n"/>
      <c r="M5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5">
        <f>IF(tblOrdenes[[#This Row],[fecha_inicio]]="","",YEAR(tblOrdenes[[#This Row],[fecha_inicio]]))</f>
        <v/>
      </c>
      <c r="Q545" s="5">
        <f>IF(tblOrdenes[[#This Row],[fecha_inicio]]="","",MONTH(tblOrdenes[[#This Row],[fecha_inicio]]))</f>
        <v/>
      </c>
      <c r="R545" s="5">
        <f>IF(tblOrdenes[[#This Row],[fecha_inicio]]="","",tblOrdenes[[#This Row],[anio]]&amp;"-"&amp;TEXT(tblOrdenes[[#This Row],[mes]],"00"))</f>
        <v/>
      </c>
      <c r="S545" s="5">
        <f>IF(tblOrdenes[[#This Row],[fecha_inicio]]="","",INDEX(lista_dias,WEEKDAY(tblOrdenes[[#This Row],[fecha_inicio]],2)))</f>
        <v/>
      </c>
      <c r="T5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5" s="5">
        <f>IF(tblOrdenes[[#This Row],[tipo_ot]]="","",_xlfn.XLOOKUP(tblOrdenes[[#This Row],[tipo_ot]],tblTiposOT[codigo],tblTiposOT[clasificacion],"sin_clasificar"))</f>
        <v/>
      </c>
      <c r="V5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5" s="5">
        <f>IF(tblOrdenes[[#This Row],[centro_costo]]="","",_xlfn.XLOOKUP(tblOrdenes[[#This Row],[centro_costo]],tblCECO[codigo],tblCECO[linea],"(sin catálogo)"))</f>
        <v/>
      </c>
      <c r="X545" s="5">
        <f>IF(tblOrdenes[[#This Row],[centro_costo]]="","",_xlfn.XLOOKUP(tblOrdenes[[#This Row],[centro_costo]],tblCECO[codigo],tblCECO[area],"(sin catálogo)"))</f>
        <v/>
      </c>
      <c r="Y5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5" s="5">
        <f>IF(tblOrdenes[[#This Row],[centro_costo]]="","",_xlfn.XLOOKUP(tblOrdenes[[#This Row],[centro_costo]],tblCECO[codigo],tblCECO[coordinador],"(sin catálogo)"))</f>
        <v/>
      </c>
      <c r="AA545" s="5">
        <f>IF(tblOrdenes[[#This Row],[puesto_trabajo]]="","",_xlfn.XLOOKUP(tblOrdenes[[#This Row],[puesto_trabajo]],tblPuestos[codigo],tblPuestos[especialidad],"(sin catálogo)"))</f>
        <v/>
      </c>
      <c r="AB545" s="5">
        <f>IF(tblOrdenes[[#This Row],[cod_actividad]]="","",_xlfn.XLOOKUP(tblOrdenes[[#This Row],[cod_actividad]],tblActividades[codigo],tblActividades[descripcion],"(sin catálogo)"))</f>
        <v/>
      </c>
      <c r="AC545" s="20">
        <f>IF(tblOrdenes[[#This Row],[fecha_inicio]]="","",TODAY()-tblOrdenes[[#This Row],[fecha_inicio]])</f>
        <v/>
      </c>
      <c r="AD5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5" s="5">
        <f>IF(tblOrdenes[[#This Row],[backlog_habiles]]="","",IF(tblOrdenes[[#This Row],[backlog_habiles]]&lt;0,"FUTURO",IF(tblOrdenes[[#This Row],[backlog_habiles]]&gt;p_dias_backlog_max,"BACKLOG","MES CORRIENTE")))</f>
        <v/>
      </c>
      <c r="AF545" s="5">
        <f>IF(tblOrdenes[[#This Row],[backlog_habiles]]="",FALSE,AND(tblOrdenes[[#This Row],[backlog_habiles]]&gt;p_dias_backlog_min,tblOrdenes[[#This Row],[backlog_habiles]]&lt;=p_dias_backlog_max))</f>
        <v/>
      </c>
      <c r="AG545" s="4" t="n"/>
      <c r="AH5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5" s="18">
        <f>IF(tblOrdenes[[#This Row],[orden]]="","",_xlfn.XLOOKUP(tblOrdenes[[#This Row],[id_operacion]],tblEjecucion[id_operacion],tblEjecucion[precio],0))</f>
        <v/>
      </c>
      <c r="AL545" s="18">
        <f>IF(tblOrdenes[[#This Row],[orden]]="","",MAX(0,_xlfn.XLOOKUP(tblOrdenes[[#This Row],[id_operacion]],tblEjecucion[id_operacion],tblEjecucion[costo_plan_total],0)-tblOrdenes[[#This Row],[costo_servicio]]))</f>
        <v/>
      </c>
      <c r="AM545" s="18">
        <f>IF(tblOrdenes[[#This Row],[orden]]="","",tblOrdenes[[#This Row],[costo_servicio]]+tblOrdenes[[#This Row],[costo_materiales]])</f>
        <v/>
      </c>
      <c r="AN5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5" s="4" t="n"/>
      <c r="AP545" s="4" t="n"/>
      <c r="AQ545" s="4" t="n"/>
      <c r="AR545" s="5">
        <f>IF(tblOrdenes[[#This Row],[link_checklist]]="","",HYPERLINK(p_ruta_base_checklists&amp;tblOrdenes[[#This Row],[link_checklist]],"abrir"))</f>
        <v/>
      </c>
      <c r="AS545" s="4" t="n"/>
      <c r="AT545" s="5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22" t="n"/>
      <c r="K546" s="5" t="n"/>
      <c r="L546" s="18" t="n"/>
      <c r="M5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5">
        <f>IF(tblOrdenes[[#This Row],[fecha_inicio]]="","",YEAR(tblOrdenes[[#This Row],[fecha_inicio]]))</f>
        <v/>
      </c>
      <c r="Q546" s="5">
        <f>IF(tblOrdenes[[#This Row],[fecha_inicio]]="","",MONTH(tblOrdenes[[#This Row],[fecha_inicio]]))</f>
        <v/>
      </c>
      <c r="R546" s="5">
        <f>IF(tblOrdenes[[#This Row],[fecha_inicio]]="","",tblOrdenes[[#This Row],[anio]]&amp;"-"&amp;TEXT(tblOrdenes[[#This Row],[mes]],"00"))</f>
        <v/>
      </c>
      <c r="S546" s="5">
        <f>IF(tblOrdenes[[#This Row],[fecha_inicio]]="","",INDEX(lista_dias,WEEKDAY(tblOrdenes[[#This Row],[fecha_inicio]],2)))</f>
        <v/>
      </c>
      <c r="T5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6" s="5">
        <f>IF(tblOrdenes[[#This Row],[tipo_ot]]="","",_xlfn.XLOOKUP(tblOrdenes[[#This Row],[tipo_ot]],tblTiposOT[codigo],tblTiposOT[clasificacion],"sin_clasificar"))</f>
        <v/>
      </c>
      <c r="V5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6" s="5">
        <f>IF(tblOrdenes[[#This Row],[centro_costo]]="","",_xlfn.XLOOKUP(tblOrdenes[[#This Row],[centro_costo]],tblCECO[codigo],tblCECO[linea],"(sin catálogo)"))</f>
        <v/>
      </c>
      <c r="X546" s="5">
        <f>IF(tblOrdenes[[#This Row],[centro_costo]]="","",_xlfn.XLOOKUP(tblOrdenes[[#This Row],[centro_costo]],tblCECO[codigo],tblCECO[area],"(sin catálogo)"))</f>
        <v/>
      </c>
      <c r="Y5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6" s="5">
        <f>IF(tblOrdenes[[#This Row],[centro_costo]]="","",_xlfn.XLOOKUP(tblOrdenes[[#This Row],[centro_costo]],tblCECO[codigo],tblCECO[coordinador],"(sin catálogo)"))</f>
        <v/>
      </c>
      <c r="AA546" s="5">
        <f>IF(tblOrdenes[[#This Row],[puesto_trabajo]]="","",_xlfn.XLOOKUP(tblOrdenes[[#This Row],[puesto_trabajo]],tblPuestos[codigo],tblPuestos[especialidad],"(sin catálogo)"))</f>
        <v/>
      </c>
      <c r="AB546" s="5">
        <f>IF(tblOrdenes[[#This Row],[cod_actividad]]="","",_xlfn.XLOOKUP(tblOrdenes[[#This Row],[cod_actividad]],tblActividades[codigo],tblActividades[descripcion],"(sin catálogo)"))</f>
        <v/>
      </c>
      <c r="AC546" s="20">
        <f>IF(tblOrdenes[[#This Row],[fecha_inicio]]="","",TODAY()-tblOrdenes[[#This Row],[fecha_inicio]])</f>
        <v/>
      </c>
      <c r="AD5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6" s="5">
        <f>IF(tblOrdenes[[#This Row],[backlog_habiles]]="","",IF(tblOrdenes[[#This Row],[backlog_habiles]]&lt;0,"FUTURO",IF(tblOrdenes[[#This Row],[backlog_habiles]]&gt;p_dias_backlog_max,"BACKLOG","MES CORRIENTE")))</f>
        <v/>
      </c>
      <c r="AF546" s="5">
        <f>IF(tblOrdenes[[#This Row],[backlog_habiles]]="",FALSE,AND(tblOrdenes[[#This Row],[backlog_habiles]]&gt;p_dias_backlog_min,tblOrdenes[[#This Row],[backlog_habiles]]&lt;=p_dias_backlog_max))</f>
        <v/>
      </c>
      <c r="AG546" s="4" t="n"/>
      <c r="AH5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6" s="18">
        <f>IF(tblOrdenes[[#This Row],[orden]]="","",_xlfn.XLOOKUP(tblOrdenes[[#This Row],[id_operacion]],tblEjecucion[id_operacion],tblEjecucion[precio],0))</f>
        <v/>
      </c>
      <c r="AL546" s="18">
        <f>IF(tblOrdenes[[#This Row],[orden]]="","",MAX(0,_xlfn.XLOOKUP(tblOrdenes[[#This Row],[id_operacion]],tblEjecucion[id_operacion],tblEjecucion[costo_plan_total],0)-tblOrdenes[[#This Row],[costo_servicio]]))</f>
        <v/>
      </c>
      <c r="AM546" s="18">
        <f>IF(tblOrdenes[[#This Row],[orden]]="","",tblOrdenes[[#This Row],[costo_servicio]]+tblOrdenes[[#This Row],[costo_materiales]])</f>
        <v/>
      </c>
      <c r="AN5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6" s="4" t="n"/>
      <c r="AP546" s="4" t="n"/>
      <c r="AQ546" s="4" t="n"/>
      <c r="AR546" s="5">
        <f>IF(tblOrdenes[[#This Row],[link_checklist]]="","",HYPERLINK(p_ruta_base_checklists&amp;tblOrdenes[[#This Row],[link_checklist]],"abrir"))</f>
        <v/>
      </c>
      <c r="AS546" s="4" t="n"/>
      <c r="AT546" s="5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22" t="n"/>
      <c r="K547" s="5" t="n"/>
      <c r="L547" s="18" t="n"/>
      <c r="M5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5">
        <f>IF(tblOrdenes[[#This Row],[fecha_inicio]]="","",YEAR(tblOrdenes[[#This Row],[fecha_inicio]]))</f>
        <v/>
      </c>
      <c r="Q547" s="5">
        <f>IF(tblOrdenes[[#This Row],[fecha_inicio]]="","",MONTH(tblOrdenes[[#This Row],[fecha_inicio]]))</f>
        <v/>
      </c>
      <c r="R547" s="5">
        <f>IF(tblOrdenes[[#This Row],[fecha_inicio]]="","",tblOrdenes[[#This Row],[anio]]&amp;"-"&amp;TEXT(tblOrdenes[[#This Row],[mes]],"00"))</f>
        <v/>
      </c>
      <c r="S547" s="5">
        <f>IF(tblOrdenes[[#This Row],[fecha_inicio]]="","",INDEX(lista_dias,WEEKDAY(tblOrdenes[[#This Row],[fecha_inicio]],2)))</f>
        <v/>
      </c>
      <c r="T5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7" s="5">
        <f>IF(tblOrdenes[[#This Row],[tipo_ot]]="","",_xlfn.XLOOKUP(tblOrdenes[[#This Row],[tipo_ot]],tblTiposOT[codigo],tblTiposOT[clasificacion],"sin_clasificar"))</f>
        <v/>
      </c>
      <c r="V5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7" s="5">
        <f>IF(tblOrdenes[[#This Row],[centro_costo]]="","",_xlfn.XLOOKUP(tblOrdenes[[#This Row],[centro_costo]],tblCECO[codigo],tblCECO[linea],"(sin catálogo)"))</f>
        <v/>
      </c>
      <c r="X547" s="5">
        <f>IF(tblOrdenes[[#This Row],[centro_costo]]="","",_xlfn.XLOOKUP(tblOrdenes[[#This Row],[centro_costo]],tblCECO[codigo],tblCECO[area],"(sin catálogo)"))</f>
        <v/>
      </c>
      <c r="Y5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7" s="5">
        <f>IF(tblOrdenes[[#This Row],[centro_costo]]="","",_xlfn.XLOOKUP(tblOrdenes[[#This Row],[centro_costo]],tblCECO[codigo],tblCECO[coordinador],"(sin catálogo)"))</f>
        <v/>
      </c>
      <c r="AA547" s="5">
        <f>IF(tblOrdenes[[#This Row],[puesto_trabajo]]="","",_xlfn.XLOOKUP(tblOrdenes[[#This Row],[puesto_trabajo]],tblPuestos[codigo],tblPuestos[especialidad],"(sin catálogo)"))</f>
        <v/>
      </c>
      <c r="AB547" s="5">
        <f>IF(tblOrdenes[[#This Row],[cod_actividad]]="","",_xlfn.XLOOKUP(tblOrdenes[[#This Row],[cod_actividad]],tblActividades[codigo],tblActividades[descripcion],"(sin catálogo)"))</f>
        <v/>
      </c>
      <c r="AC547" s="20">
        <f>IF(tblOrdenes[[#This Row],[fecha_inicio]]="","",TODAY()-tblOrdenes[[#This Row],[fecha_inicio]])</f>
        <v/>
      </c>
      <c r="AD5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7" s="5">
        <f>IF(tblOrdenes[[#This Row],[backlog_habiles]]="","",IF(tblOrdenes[[#This Row],[backlog_habiles]]&lt;0,"FUTURO",IF(tblOrdenes[[#This Row],[backlog_habiles]]&gt;p_dias_backlog_max,"BACKLOG","MES CORRIENTE")))</f>
        <v/>
      </c>
      <c r="AF547" s="5">
        <f>IF(tblOrdenes[[#This Row],[backlog_habiles]]="",FALSE,AND(tblOrdenes[[#This Row],[backlog_habiles]]&gt;p_dias_backlog_min,tblOrdenes[[#This Row],[backlog_habiles]]&lt;=p_dias_backlog_max))</f>
        <v/>
      </c>
      <c r="AG547" s="4" t="n"/>
      <c r="AH5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7" s="18">
        <f>IF(tblOrdenes[[#This Row],[orden]]="","",_xlfn.XLOOKUP(tblOrdenes[[#This Row],[id_operacion]],tblEjecucion[id_operacion],tblEjecucion[precio],0))</f>
        <v/>
      </c>
      <c r="AL547" s="18">
        <f>IF(tblOrdenes[[#This Row],[orden]]="","",MAX(0,_xlfn.XLOOKUP(tblOrdenes[[#This Row],[id_operacion]],tblEjecucion[id_operacion],tblEjecucion[costo_plan_total],0)-tblOrdenes[[#This Row],[costo_servicio]]))</f>
        <v/>
      </c>
      <c r="AM547" s="18">
        <f>IF(tblOrdenes[[#This Row],[orden]]="","",tblOrdenes[[#This Row],[costo_servicio]]+tblOrdenes[[#This Row],[costo_materiales]])</f>
        <v/>
      </c>
      <c r="AN5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7" s="4" t="n"/>
      <c r="AP547" s="4" t="n"/>
      <c r="AQ547" s="4" t="n"/>
      <c r="AR547" s="5">
        <f>IF(tblOrdenes[[#This Row],[link_checklist]]="","",HYPERLINK(p_ruta_base_checklists&amp;tblOrdenes[[#This Row],[link_checklist]],"abrir"))</f>
        <v/>
      </c>
      <c r="AS547" s="4" t="n"/>
      <c r="AT547" s="5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22" t="n"/>
      <c r="K548" s="5" t="n"/>
      <c r="L548" s="18" t="n"/>
      <c r="M5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5">
        <f>IF(tblOrdenes[[#This Row],[fecha_inicio]]="","",YEAR(tblOrdenes[[#This Row],[fecha_inicio]]))</f>
        <v/>
      </c>
      <c r="Q548" s="5">
        <f>IF(tblOrdenes[[#This Row],[fecha_inicio]]="","",MONTH(tblOrdenes[[#This Row],[fecha_inicio]]))</f>
        <v/>
      </c>
      <c r="R548" s="5">
        <f>IF(tblOrdenes[[#This Row],[fecha_inicio]]="","",tblOrdenes[[#This Row],[anio]]&amp;"-"&amp;TEXT(tblOrdenes[[#This Row],[mes]],"00"))</f>
        <v/>
      </c>
      <c r="S548" s="5">
        <f>IF(tblOrdenes[[#This Row],[fecha_inicio]]="","",INDEX(lista_dias,WEEKDAY(tblOrdenes[[#This Row],[fecha_inicio]],2)))</f>
        <v/>
      </c>
      <c r="T5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8" s="5">
        <f>IF(tblOrdenes[[#This Row],[tipo_ot]]="","",_xlfn.XLOOKUP(tblOrdenes[[#This Row],[tipo_ot]],tblTiposOT[codigo],tblTiposOT[clasificacion],"sin_clasificar"))</f>
        <v/>
      </c>
      <c r="V5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8" s="5">
        <f>IF(tblOrdenes[[#This Row],[centro_costo]]="","",_xlfn.XLOOKUP(tblOrdenes[[#This Row],[centro_costo]],tblCECO[codigo],tblCECO[linea],"(sin catálogo)"))</f>
        <v/>
      </c>
      <c r="X548" s="5">
        <f>IF(tblOrdenes[[#This Row],[centro_costo]]="","",_xlfn.XLOOKUP(tblOrdenes[[#This Row],[centro_costo]],tblCECO[codigo],tblCECO[area],"(sin catálogo)"))</f>
        <v/>
      </c>
      <c r="Y5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8" s="5">
        <f>IF(tblOrdenes[[#This Row],[centro_costo]]="","",_xlfn.XLOOKUP(tblOrdenes[[#This Row],[centro_costo]],tblCECO[codigo],tblCECO[coordinador],"(sin catálogo)"))</f>
        <v/>
      </c>
      <c r="AA548" s="5">
        <f>IF(tblOrdenes[[#This Row],[puesto_trabajo]]="","",_xlfn.XLOOKUP(tblOrdenes[[#This Row],[puesto_trabajo]],tblPuestos[codigo],tblPuestos[especialidad],"(sin catálogo)"))</f>
        <v/>
      </c>
      <c r="AB548" s="5">
        <f>IF(tblOrdenes[[#This Row],[cod_actividad]]="","",_xlfn.XLOOKUP(tblOrdenes[[#This Row],[cod_actividad]],tblActividades[codigo],tblActividades[descripcion],"(sin catálogo)"))</f>
        <v/>
      </c>
      <c r="AC548" s="20">
        <f>IF(tblOrdenes[[#This Row],[fecha_inicio]]="","",TODAY()-tblOrdenes[[#This Row],[fecha_inicio]])</f>
        <v/>
      </c>
      <c r="AD5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8" s="5">
        <f>IF(tblOrdenes[[#This Row],[backlog_habiles]]="","",IF(tblOrdenes[[#This Row],[backlog_habiles]]&lt;0,"FUTURO",IF(tblOrdenes[[#This Row],[backlog_habiles]]&gt;p_dias_backlog_max,"BACKLOG","MES CORRIENTE")))</f>
        <v/>
      </c>
      <c r="AF548" s="5">
        <f>IF(tblOrdenes[[#This Row],[backlog_habiles]]="",FALSE,AND(tblOrdenes[[#This Row],[backlog_habiles]]&gt;p_dias_backlog_min,tblOrdenes[[#This Row],[backlog_habiles]]&lt;=p_dias_backlog_max))</f>
        <v/>
      </c>
      <c r="AG548" s="4" t="n"/>
      <c r="AH5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8" s="18">
        <f>IF(tblOrdenes[[#This Row],[orden]]="","",_xlfn.XLOOKUP(tblOrdenes[[#This Row],[id_operacion]],tblEjecucion[id_operacion],tblEjecucion[precio],0))</f>
        <v/>
      </c>
      <c r="AL548" s="18">
        <f>IF(tblOrdenes[[#This Row],[orden]]="","",MAX(0,_xlfn.XLOOKUP(tblOrdenes[[#This Row],[id_operacion]],tblEjecucion[id_operacion],tblEjecucion[costo_plan_total],0)-tblOrdenes[[#This Row],[costo_servicio]]))</f>
        <v/>
      </c>
      <c r="AM548" s="18">
        <f>IF(tblOrdenes[[#This Row],[orden]]="","",tblOrdenes[[#This Row],[costo_servicio]]+tblOrdenes[[#This Row],[costo_materiales]])</f>
        <v/>
      </c>
      <c r="AN5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8" s="4" t="n"/>
      <c r="AP548" s="4" t="n"/>
      <c r="AQ548" s="4" t="n"/>
      <c r="AR548" s="5">
        <f>IF(tblOrdenes[[#This Row],[link_checklist]]="","",HYPERLINK(p_ruta_base_checklists&amp;tblOrdenes[[#This Row],[link_checklist]],"abrir"))</f>
        <v/>
      </c>
      <c r="AS548" s="4" t="n"/>
      <c r="AT548" s="5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22" t="n"/>
      <c r="K549" s="5" t="n"/>
      <c r="L549" s="18" t="n"/>
      <c r="M5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5">
        <f>IF(tblOrdenes[[#This Row],[fecha_inicio]]="","",YEAR(tblOrdenes[[#This Row],[fecha_inicio]]))</f>
        <v/>
      </c>
      <c r="Q549" s="5">
        <f>IF(tblOrdenes[[#This Row],[fecha_inicio]]="","",MONTH(tblOrdenes[[#This Row],[fecha_inicio]]))</f>
        <v/>
      </c>
      <c r="R549" s="5">
        <f>IF(tblOrdenes[[#This Row],[fecha_inicio]]="","",tblOrdenes[[#This Row],[anio]]&amp;"-"&amp;TEXT(tblOrdenes[[#This Row],[mes]],"00"))</f>
        <v/>
      </c>
      <c r="S549" s="5">
        <f>IF(tblOrdenes[[#This Row],[fecha_inicio]]="","",INDEX(lista_dias,WEEKDAY(tblOrdenes[[#This Row],[fecha_inicio]],2)))</f>
        <v/>
      </c>
      <c r="T5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9" s="5">
        <f>IF(tblOrdenes[[#This Row],[tipo_ot]]="","",_xlfn.XLOOKUP(tblOrdenes[[#This Row],[tipo_ot]],tblTiposOT[codigo],tblTiposOT[clasificacion],"sin_clasificar"))</f>
        <v/>
      </c>
      <c r="V5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9" s="5">
        <f>IF(tblOrdenes[[#This Row],[centro_costo]]="","",_xlfn.XLOOKUP(tblOrdenes[[#This Row],[centro_costo]],tblCECO[codigo],tblCECO[linea],"(sin catálogo)"))</f>
        <v/>
      </c>
      <c r="X549" s="5">
        <f>IF(tblOrdenes[[#This Row],[centro_costo]]="","",_xlfn.XLOOKUP(tblOrdenes[[#This Row],[centro_costo]],tblCECO[codigo],tblCECO[area],"(sin catálogo)"))</f>
        <v/>
      </c>
      <c r="Y5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49" s="5">
        <f>IF(tblOrdenes[[#This Row],[centro_costo]]="","",_xlfn.XLOOKUP(tblOrdenes[[#This Row],[centro_costo]],tblCECO[codigo],tblCECO[coordinador],"(sin catálogo)"))</f>
        <v/>
      </c>
      <c r="AA549" s="5">
        <f>IF(tblOrdenes[[#This Row],[puesto_trabajo]]="","",_xlfn.XLOOKUP(tblOrdenes[[#This Row],[puesto_trabajo]],tblPuestos[codigo],tblPuestos[especialidad],"(sin catálogo)"))</f>
        <v/>
      </c>
      <c r="AB549" s="5">
        <f>IF(tblOrdenes[[#This Row],[cod_actividad]]="","",_xlfn.XLOOKUP(tblOrdenes[[#This Row],[cod_actividad]],tblActividades[codigo],tblActividades[descripcion],"(sin catálogo)"))</f>
        <v/>
      </c>
      <c r="AC549" s="20">
        <f>IF(tblOrdenes[[#This Row],[fecha_inicio]]="","",TODAY()-tblOrdenes[[#This Row],[fecha_inicio]])</f>
        <v/>
      </c>
      <c r="AD5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49" s="5">
        <f>IF(tblOrdenes[[#This Row],[backlog_habiles]]="","",IF(tblOrdenes[[#This Row],[backlog_habiles]]&lt;0,"FUTURO",IF(tblOrdenes[[#This Row],[backlog_habiles]]&gt;p_dias_backlog_max,"BACKLOG","MES CORRIENTE")))</f>
        <v/>
      </c>
      <c r="AF549" s="5">
        <f>IF(tblOrdenes[[#This Row],[backlog_habiles]]="",FALSE,AND(tblOrdenes[[#This Row],[backlog_habiles]]&gt;p_dias_backlog_min,tblOrdenes[[#This Row],[backlog_habiles]]&lt;=p_dias_backlog_max))</f>
        <v/>
      </c>
      <c r="AG549" s="4" t="n"/>
      <c r="AH5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49" s="18">
        <f>IF(tblOrdenes[[#This Row],[orden]]="","",_xlfn.XLOOKUP(tblOrdenes[[#This Row],[id_operacion]],tblEjecucion[id_operacion],tblEjecucion[precio],0))</f>
        <v/>
      </c>
      <c r="AL549" s="18">
        <f>IF(tblOrdenes[[#This Row],[orden]]="","",MAX(0,_xlfn.XLOOKUP(tblOrdenes[[#This Row],[id_operacion]],tblEjecucion[id_operacion],tblEjecucion[costo_plan_total],0)-tblOrdenes[[#This Row],[costo_servicio]]))</f>
        <v/>
      </c>
      <c r="AM549" s="18">
        <f>IF(tblOrdenes[[#This Row],[orden]]="","",tblOrdenes[[#This Row],[costo_servicio]]+tblOrdenes[[#This Row],[costo_materiales]])</f>
        <v/>
      </c>
      <c r="AN5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49" s="4" t="n"/>
      <c r="AP549" s="4" t="n"/>
      <c r="AQ549" s="4" t="n"/>
      <c r="AR549" s="5">
        <f>IF(tblOrdenes[[#This Row],[link_checklist]]="","",HYPERLINK(p_ruta_base_checklists&amp;tblOrdenes[[#This Row],[link_checklist]],"abrir"))</f>
        <v/>
      </c>
      <c r="AS549" s="4" t="n"/>
      <c r="AT549" s="5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22" t="n"/>
      <c r="K550" s="5" t="n"/>
      <c r="L550" s="18" t="n"/>
      <c r="M5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5">
        <f>IF(tblOrdenes[[#This Row],[fecha_inicio]]="","",YEAR(tblOrdenes[[#This Row],[fecha_inicio]]))</f>
        <v/>
      </c>
      <c r="Q550" s="5">
        <f>IF(tblOrdenes[[#This Row],[fecha_inicio]]="","",MONTH(tblOrdenes[[#This Row],[fecha_inicio]]))</f>
        <v/>
      </c>
      <c r="R550" s="5">
        <f>IF(tblOrdenes[[#This Row],[fecha_inicio]]="","",tblOrdenes[[#This Row],[anio]]&amp;"-"&amp;TEXT(tblOrdenes[[#This Row],[mes]],"00"))</f>
        <v/>
      </c>
      <c r="S550" s="5">
        <f>IF(tblOrdenes[[#This Row],[fecha_inicio]]="","",INDEX(lista_dias,WEEKDAY(tblOrdenes[[#This Row],[fecha_inicio]],2)))</f>
        <v/>
      </c>
      <c r="T5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0" s="5">
        <f>IF(tblOrdenes[[#This Row],[tipo_ot]]="","",_xlfn.XLOOKUP(tblOrdenes[[#This Row],[tipo_ot]],tblTiposOT[codigo],tblTiposOT[clasificacion],"sin_clasificar"))</f>
        <v/>
      </c>
      <c r="V5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0" s="5">
        <f>IF(tblOrdenes[[#This Row],[centro_costo]]="","",_xlfn.XLOOKUP(tblOrdenes[[#This Row],[centro_costo]],tblCECO[codigo],tblCECO[linea],"(sin catálogo)"))</f>
        <v/>
      </c>
      <c r="X550" s="5">
        <f>IF(tblOrdenes[[#This Row],[centro_costo]]="","",_xlfn.XLOOKUP(tblOrdenes[[#This Row],[centro_costo]],tblCECO[codigo],tblCECO[area],"(sin catálogo)"))</f>
        <v/>
      </c>
      <c r="Y5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0" s="5">
        <f>IF(tblOrdenes[[#This Row],[centro_costo]]="","",_xlfn.XLOOKUP(tblOrdenes[[#This Row],[centro_costo]],tblCECO[codigo],tblCECO[coordinador],"(sin catálogo)"))</f>
        <v/>
      </c>
      <c r="AA550" s="5">
        <f>IF(tblOrdenes[[#This Row],[puesto_trabajo]]="","",_xlfn.XLOOKUP(tblOrdenes[[#This Row],[puesto_trabajo]],tblPuestos[codigo],tblPuestos[especialidad],"(sin catálogo)"))</f>
        <v/>
      </c>
      <c r="AB550" s="5">
        <f>IF(tblOrdenes[[#This Row],[cod_actividad]]="","",_xlfn.XLOOKUP(tblOrdenes[[#This Row],[cod_actividad]],tblActividades[codigo],tblActividades[descripcion],"(sin catálogo)"))</f>
        <v/>
      </c>
      <c r="AC550" s="20">
        <f>IF(tblOrdenes[[#This Row],[fecha_inicio]]="","",TODAY()-tblOrdenes[[#This Row],[fecha_inicio]])</f>
        <v/>
      </c>
      <c r="AD5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0" s="5">
        <f>IF(tblOrdenes[[#This Row],[backlog_habiles]]="","",IF(tblOrdenes[[#This Row],[backlog_habiles]]&lt;0,"FUTURO",IF(tblOrdenes[[#This Row],[backlog_habiles]]&gt;p_dias_backlog_max,"BACKLOG","MES CORRIENTE")))</f>
        <v/>
      </c>
      <c r="AF550" s="5">
        <f>IF(tblOrdenes[[#This Row],[backlog_habiles]]="",FALSE,AND(tblOrdenes[[#This Row],[backlog_habiles]]&gt;p_dias_backlog_min,tblOrdenes[[#This Row],[backlog_habiles]]&lt;=p_dias_backlog_max))</f>
        <v/>
      </c>
      <c r="AG550" s="4" t="n"/>
      <c r="AH5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0" s="18">
        <f>IF(tblOrdenes[[#This Row],[orden]]="","",_xlfn.XLOOKUP(tblOrdenes[[#This Row],[id_operacion]],tblEjecucion[id_operacion],tblEjecucion[precio],0))</f>
        <v/>
      </c>
      <c r="AL550" s="18">
        <f>IF(tblOrdenes[[#This Row],[orden]]="","",MAX(0,_xlfn.XLOOKUP(tblOrdenes[[#This Row],[id_operacion]],tblEjecucion[id_operacion],tblEjecucion[costo_plan_total],0)-tblOrdenes[[#This Row],[costo_servicio]]))</f>
        <v/>
      </c>
      <c r="AM550" s="18">
        <f>IF(tblOrdenes[[#This Row],[orden]]="","",tblOrdenes[[#This Row],[costo_servicio]]+tblOrdenes[[#This Row],[costo_materiales]])</f>
        <v/>
      </c>
      <c r="AN5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0" s="4" t="n"/>
      <c r="AP550" s="4" t="n"/>
      <c r="AQ550" s="4" t="n"/>
      <c r="AR550" s="5">
        <f>IF(tblOrdenes[[#This Row],[link_checklist]]="","",HYPERLINK(p_ruta_base_checklists&amp;tblOrdenes[[#This Row],[link_checklist]],"abrir"))</f>
        <v/>
      </c>
      <c r="AS550" s="4" t="n"/>
      <c r="AT550" s="5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22" t="n"/>
      <c r="K551" s="5" t="n"/>
      <c r="L551" s="18" t="n"/>
      <c r="M5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5">
        <f>IF(tblOrdenes[[#This Row],[fecha_inicio]]="","",YEAR(tblOrdenes[[#This Row],[fecha_inicio]]))</f>
        <v/>
      </c>
      <c r="Q551" s="5">
        <f>IF(tblOrdenes[[#This Row],[fecha_inicio]]="","",MONTH(tblOrdenes[[#This Row],[fecha_inicio]]))</f>
        <v/>
      </c>
      <c r="R551" s="5">
        <f>IF(tblOrdenes[[#This Row],[fecha_inicio]]="","",tblOrdenes[[#This Row],[anio]]&amp;"-"&amp;TEXT(tblOrdenes[[#This Row],[mes]],"00"))</f>
        <v/>
      </c>
      <c r="S551" s="5">
        <f>IF(tblOrdenes[[#This Row],[fecha_inicio]]="","",INDEX(lista_dias,WEEKDAY(tblOrdenes[[#This Row],[fecha_inicio]],2)))</f>
        <v/>
      </c>
      <c r="T5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1" s="5">
        <f>IF(tblOrdenes[[#This Row],[tipo_ot]]="","",_xlfn.XLOOKUP(tblOrdenes[[#This Row],[tipo_ot]],tblTiposOT[codigo],tblTiposOT[clasificacion],"sin_clasificar"))</f>
        <v/>
      </c>
      <c r="V5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1" s="5">
        <f>IF(tblOrdenes[[#This Row],[centro_costo]]="","",_xlfn.XLOOKUP(tblOrdenes[[#This Row],[centro_costo]],tblCECO[codigo],tblCECO[linea],"(sin catálogo)"))</f>
        <v/>
      </c>
      <c r="X551" s="5">
        <f>IF(tblOrdenes[[#This Row],[centro_costo]]="","",_xlfn.XLOOKUP(tblOrdenes[[#This Row],[centro_costo]],tblCECO[codigo],tblCECO[area],"(sin catálogo)"))</f>
        <v/>
      </c>
      <c r="Y5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1" s="5">
        <f>IF(tblOrdenes[[#This Row],[centro_costo]]="","",_xlfn.XLOOKUP(tblOrdenes[[#This Row],[centro_costo]],tblCECO[codigo],tblCECO[coordinador],"(sin catálogo)"))</f>
        <v/>
      </c>
      <c r="AA551" s="5">
        <f>IF(tblOrdenes[[#This Row],[puesto_trabajo]]="","",_xlfn.XLOOKUP(tblOrdenes[[#This Row],[puesto_trabajo]],tblPuestos[codigo],tblPuestos[especialidad],"(sin catálogo)"))</f>
        <v/>
      </c>
      <c r="AB551" s="5">
        <f>IF(tblOrdenes[[#This Row],[cod_actividad]]="","",_xlfn.XLOOKUP(tblOrdenes[[#This Row],[cod_actividad]],tblActividades[codigo],tblActividades[descripcion],"(sin catálogo)"))</f>
        <v/>
      </c>
      <c r="AC551" s="20">
        <f>IF(tblOrdenes[[#This Row],[fecha_inicio]]="","",TODAY()-tblOrdenes[[#This Row],[fecha_inicio]])</f>
        <v/>
      </c>
      <c r="AD5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1" s="5">
        <f>IF(tblOrdenes[[#This Row],[backlog_habiles]]="","",IF(tblOrdenes[[#This Row],[backlog_habiles]]&lt;0,"FUTURO",IF(tblOrdenes[[#This Row],[backlog_habiles]]&gt;p_dias_backlog_max,"BACKLOG","MES CORRIENTE")))</f>
        <v/>
      </c>
      <c r="AF551" s="5">
        <f>IF(tblOrdenes[[#This Row],[backlog_habiles]]="",FALSE,AND(tblOrdenes[[#This Row],[backlog_habiles]]&gt;p_dias_backlog_min,tblOrdenes[[#This Row],[backlog_habiles]]&lt;=p_dias_backlog_max))</f>
        <v/>
      </c>
      <c r="AG551" s="4" t="n"/>
      <c r="AH5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1" s="18">
        <f>IF(tblOrdenes[[#This Row],[orden]]="","",_xlfn.XLOOKUP(tblOrdenes[[#This Row],[id_operacion]],tblEjecucion[id_operacion],tblEjecucion[precio],0))</f>
        <v/>
      </c>
      <c r="AL551" s="18">
        <f>IF(tblOrdenes[[#This Row],[orden]]="","",MAX(0,_xlfn.XLOOKUP(tblOrdenes[[#This Row],[id_operacion]],tblEjecucion[id_operacion],tblEjecucion[costo_plan_total],0)-tblOrdenes[[#This Row],[costo_servicio]]))</f>
        <v/>
      </c>
      <c r="AM551" s="18">
        <f>IF(tblOrdenes[[#This Row],[orden]]="","",tblOrdenes[[#This Row],[costo_servicio]]+tblOrdenes[[#This Row],[costo_materiales]])</f>
        <v/>
      </c>
      <c r="AN5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1" s="4" t="n"/>
      <c r="AP551" s="4" t="n"/>
      <c r="AQ551" s="4" t="n"/>
      <c r="AR551" s="5">
        <f>IF(tblOrdenes[[#This Row],[link_checklist]]="","",HYPERLINK(p_ruta_base_checklists&amp;tblOrdenes[[#This Row],[link_checklist]],"abrir"))</f>
        <v/>
      </c>
      <c r="AS551" s="4" t="n"/>
      <c r="AT551" s="5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22" t="n"/>
      <c r="K552" s="5" t="n"/>
      <c r="L552" s="18" t="n"/>
      <c r="M5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5">
        <f>IF(tblOrdenes[[#This Row],[fecha_inicio]]="","",YEAR(tblOrdenes[[#This Row],[fecha_inicio]]))</f>
        <v/>
      </c>
      <c r="Q552" s="5">
        <f>IF(tblOrdenes[[#This Row],[fecha_inicio]]="","",MONTH(tblOrdenes[[#This Row],[fecha_inicio]]))</f>
        <v/>
      </c>
      <c r="R552" s="5">
        <f>IF(tblOrdenes[[#This Row],[fecha_inicio]]="","",tblOrdenes[[#This Row],[anio]]&amp;"-"&amp;TEXT(tblOrdenes[[#This Row],[mes]],"00"))</f>
        <v/>
      </c>
      <c r="S552" s="5">
        <f>IF(tblOrdenes[[#This Row],[fecha_inicio]]="","",INDEX(lista_dias,WEEKDAY(tblOrdenes[[#This Row],[fecha_inicio]],2)))</f>
        <v/>
      </c>
      <c r="T5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2" s="5">
        <f>IF(tblOrdenes[[#This Row],[tipo_ot]]="","",_xlfn.XLOOKUP(tblOrdenes[[#This Row],[tipo_ot]],tblTiposOT[codigo],tblTiposOT[clasificacion],"sin_clasificar"))</f>
        <v/>
      </c>
      <c r="V5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2" s="5">
        <f>IF(tblOrdenes[[#This Row],[centro_costo]]="","",_xlfn.XLOOKUP(tblOrdenes[[#This Row],[centro_costo]],tblCECO[codigo],tblCECO[linea],"(sin catálogo)"))</f>
        <v/>
      </c>
      <c r="X552" s="5">
        <f>IF(tblOrdenes[[#This Row],[centro_costo]]="","",_xlfn.XLOOKUP(tblOrdenes[[#This Row],[centro_costo]],tblCECO[codigo],tblCECO[area],"(sin catálogo)"))</f>
        <v/>
      </c>
      <c r="Y5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2" s="5">
        <f>IF(tblOrdenes[[#This Row],[centro_costo]]="","",_xlfn.XLOOKUP(tblOrdenes[[#This Row],[centro_costo]],tblCECO[codigo],tblCECO[coordinador],"(sin catálogo)"))</f>
        <v/>
      </c>
      <c r="AA552" s="5">
        <f>IF(tblOrdenes[[#This Row],[puesto_trabajo]]="","",_xlfn.XLOOKUP(tblOrdenes[[#This Row],[puesto_trabajo]],tblPuestos[codigo],tblPuestos[especialidad],"(sin catálogo)"))</f>
        <v/>
      </c>
      <c r="AB552" s="5">
        <f>IF(tblOrdenes[[#This Row],[cod_actividad]]="","",_xlfn.XLOOKUP(tblOrdenes[[#This Row],[cod_actividad]],tblActividades[codigo],tblActividades[descripcion],"(sin catálogo)"))</f>
        <v/>
      </c>
      <c r="AC552" s="20">
        <f>IF(tblOrdenes[[#This Row],[fecha_inicio]]="","",TODAY()-tblOrdenes[[#This Row],[fecha_inicio]])</f>
        <v/>
      </c>
      <c r="AD5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2" s="5">
        <f>IF(tblOrdenes[[#This Row],[backlog_habiles]]="","",IF(tblOrdenes[[#This Row],[backlog_habiles]]&lt;0,"FUTURO",IF(tblOrdenes[[#This Row],[backlog_habiles]]&gt;p_dias_backlog_max,"BACKLOG","MES CORRIENTE")))</f>
        <v/>
      </c>
      <c r="AF552" s="5">
        <f>IF(tblOrdenes[[#This Row],[backlog_habiles]]="",FALSE,AND(tblOrdenes[[#This Row],[backlog_habiles]]&gt;p_dias_backlog_min,tblOrdenes[[#This Row],[backlog_habiles]]&lt;=p_dias_backlog_max))</f>
        <v/>
      </c>
      <c r="AG552" s="4" t="n"/>
      <c r="AH5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2" s="18">
        <f>IF(tblOrdenes[[#This Row],[orden]]="","",_xlfn.XLOOKUP(tblOrdenes[[#This Row],[id_operacion]],tblEjecucion[id_operacion],tblEjecucion[precio],0))</f>
        <v/>
      </c>
      <c r="AL552" s="18">
        <f>IF(tblOrdenes[[#This Row],[orden]]="","",MAX(0,_xlfn.XLOOKUP(tblOrdenes[[#This Row],[id_operacion]],tblEjecucion[id_operacion],tblEjecucion[costo_plan_total],0)-tblOrdenes[[#This Row],[costo_servicio]]))</f>
        <v/>
      </c>
      <c r="AM552" s="18">
        <f>IF(tblOrdenes[[#This Row],[orden]]="","",tblOrdenes[[#This Row],[costo_servicio]]+tblOrdenes[[#This Row],[costo_materiales]])</f>
        <v/>
      </c>
      <c r="AN5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2" s="4" t="n"/>
      <c r="AP552" s="4" t="n"/>
      <c r="AQ552" s="4" t="n"/>
      <c r="AR552" s="5">
        <f>IF(tblOrdenes[[#This Row],[link_checklist]]="","",HYPERLINK(p_ruta_base_checklists&amp;tblOrdenes[[#This Row],[link_checklist]],"abrir"))</f>
        <v/>
      </c>
      <c r="AS552" s="4" t="n"/>
      <c r="AT552" s="5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22" t="n"/>
      <c r="K553" s="5" t="n"/>
      <c r="L553" s="18" t="n"/>
      <c r="M5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5">
        <f>IF(tblOrdenes[[#This Row],[fecha_inicio]]="","",YEAR(tblOrdenes[[#This Row],[fecha_inicio]]))</f>
        <v/>
      </c>
      <c r="Q553" s="5">
        <f>IF(tblOrdenes[[#This Row],[fecha_inicio]]="","",MONTH(tblOrdenes[[#This Row],[fecha_inicio]]))</f>
        <v/>
      </c>
      <c r="R553" s="5">
        <f>IF(tblOrdenes[[#This Row],[fecha_inicio]]="","",tblOrdenes[[#This Row],[anio]]&amp;"-"&amp;TEXT(tblOrdenes[[#This Row],[mes]],"00"))</f>
        <v/>
      </c>
      <c r="S553" s="5">
        <f>IF(tblOrdenes[[#This Row],[fecha_inicio]]="","",INDEX(lista_dias,WEEKDAY(tblOrdenes[[#This Row],[fecha_inicio]],2)))</f>
        <v/>
      </c>
      <c r="T5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3" s="5">
        <f>IF(tblOrdenes[[#This Row],[tipo_ot]]="","",_xlfn.XLOOKUP(tblOrdenes[[#This Row],[tipo_ot]],tblTiposOT[codigo],tblTiposOT[clasificacion],"sin_clasificar"))</f>
        <v/>
      </c>
      <c r="V5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3" s="5">
        <f>IF(tblOrdenes[[#This Row],[centro_costo]]="","",_xlfn.XLOOKUP(tblOrdenes[[#This Row],[centro_costo]],tblCECO[codigo],tblCECO[linea],"(sin catálogo)"))</f>
        <v/>
      </c>
      <c r="X553" s="5">
        <f>IF(tblOrdenes[[#This Row],[centro_costo]]="","",_xlfn.XLOOKUP(tblOrdenes[[#This Row],[centro_costo]],tblCECO[codigo],tblCECO[area],"(sin catálogo)"))</f>
        <v/>
      </c>
      <c r="Y5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3" s="5">
        <f>IF(tblOrdenes[[#This Row],[centro_costo]]="","",_xlfn.XLOOKUP(tblOrdenes[[#This Row],[centro_costo]],tblCECO[codigo],tblCECO[coordinador],"(sin catálogo)"))</f>
        <v/>
      </c>
      <c r="AA553" s="5">
        <f>IF(tblOrdenes[[#This Row],[puesto_trabajo]]="","",_xlfn.XLOOKUP(tblOrdenes[[#This Row],[puesto_trabajo]],tblPuestos[codigo],tblPuestos[especialidad],"(sin catálogo)"))</f>
        <v/>
      </c>
      <c r="AB553" s="5">
        <f>IF(tblOrdenes[[#This Row],[cod_actividad]]="","",_xlfn.XLOOKUP(tblOrdenes[[#This Row],[cod_actividad]],tblActividades[codigo],tblActividades[descripcion],"(sin catálogo)"))</f>
        <v/>
      </c>
      <c r="AC553" s="20">
        <f>IF(tblOrdenes[[#This Row],[fecha_inicio]]="","",TODAY()-tblOrdenes[[#This Row],[fecha_inicio]])</f>
        <v/>
      </c>
      <c r="AD5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3" s="5">
        <f>IF(tblOrdenes[[#This Row],[backlog_habiles]]="","",IF(tblOrdenes[[#This Row],[backlog_habiles]]&lt;0,"FUTURO",IF(tblOrdenes[[#This Row],[backlog_habiles]]&gt;p_dias_backlog_max,"BACKLOG","MES CORRIENTE")))</f>
        <v/>
      </c>
      <c r="AF553" s="5">
        <f>IF(tblOrdenes[[#This Row],[backlog_habiles]]="",FALSE,AND(tblOrdenes[[#This Row],[backlog_habiles]]&gt;p_dias_backlog_min,tblOrdenes[[#This Row],[backlog_habiles]]&lt;=p_dias_backlog_max))</f>
        <v/>
      </c>
      <c r="AG553" s="4" t="n"/>
      <c r="AH5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3" s="18">
        <f>IF(tblOrdenes[[#This Row],[orden]]="","",_xlfn.XLOOKUP(tblOrdenes[[#This Row],[id_operacion]],tblEjecucion[id_operacion],tblEjecucion[precio],0))</f>
        <v/>
      </c>
      <c r="AL553" s="18">
        <f>IF(tblOrdenes[[#This Row],[orden]]="","",MAX(0,_xlfn.XLOOKUP(tblOrdenes[[#This Row],[id_operacion]],tblEjecucion[id_operacion],tblEjecucion[costo_plan_total],0)-tblOrdenes[[#This Row],[costo_servicio]]))</f>
        <v/>
      </c>
      <c r="AM553" s="18">
        <f>IF(tblOrdenes[[#This Row],[orden]]="","",tblOrdenes[[#This Row],[costo_servicio]]+tblOrdenes[[#This Row],[costo_materiales]])</f>
        <v/>
      </c>
      <c r="AN5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3" s="4" t="n"/>
      <c r="AP553" s="4" t="n"/>
      <c r="AQ553" s="4" t="n"/>
      <c r="AR553" s="5">
        <f>IF(tblOrdenes[[#This Row],[link_checklist]]="","",HYPERLINK(p_ruta_base_checklists&amp;tblOrdenes[[#This Row],[link_checklist]],"abrir"))</f>
        <v/>
      </c>
      <c r="AS553" s="4" t="n"/>
      <c r="AT553" s="5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22" t="n"/>
      <c r="K554" s="5" t="n"/>
      <c r="L554" s="18" t="n"/>
      <c r="M5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5">
        <f>IF(tblOrdenes[[#This Row],[fecha_inicio]]="","",YEAR(tblOrdenes[[#This Row],[fecha_inicio]]))</f>
        <v/>
      </c>
      <c r="Q554" s="5">
        <f>IF(tblOrdenes[[#This Row],[fecha_inicio]]="","",MONTH(tblOrdenes[[#This Row],[fecha_inicio]]))</f>
        <v/>
      </c>
      <c r="R554" s="5">
        <f>IF(tblOrdenes[[#This Row],[fecha_inicio]]="","",tblOrdenes[[#This Row],[anio]]&amp;"-"&amp;TEXT(tblOrdenes[[#This Row],[mes]],"00"))</f>
        <v/>
      </c>
      <c r="S554" s="5">
        <f>IF(tblOrdenes[[#This Row],[fecha_inicio]]="","",INDEX(lista_dias,WEEKDAY(tblOrdenes[[#This Row],[fecha_inicio]],2)))</f>
        <v/>
      </c>
      <c r="T5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4" s="5">
        <f>IF(tblOrdenes[[#This Row],[tipo_ot]]="","",_xlfn.XLOOKUP(tblOrdenes[[#This Row],[tipo_ot]],tblTiposOT[codigo],tblTiposOT[clasificacion],"sin_clasificar"))</f>
        <v/>
      </c>
      <c r="V5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4" s="5">
        <f>IF(tblOrdenes[[#This Row],[centro_costo]]="","",_xlfn.XLOOKUP(tblOrdenes[[#This Row],[centro_costo]],tblCECO[codigo],tblCECO[linea],"(sin catálogo)"))</f>
        <v/>
      </c>
      <c r="X554" s="5">
        <f>IF(tblOrdenes[[#This Row],[centro_costo]]="","",_xlfn.XLOOKUP(tblOrdenes[[#This Row],[centro_costo]],tblCECO[codigo],tblCECO[area],"(sin catálogo)"))</f>
        <v/>
      </c>
      <c r="Y5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4" s="5">
        <f>IF(tblOrdenes[[#This Row],[centro_costo]]="","",_xlfn.XLOOKUP(tblOrdenes[[#This Row],[centro_costo]],tblCECO[codigo],tblCECO[coordinador],"(sin catálogo)"))</f>
        <v/>
      </c>
      <c r="AA554" s="5">
        <f>IF(tblOrdenes[[#This Row],[puesto_trabajo]]="","",_xlfn.XLOOKUP(tblOrdenes[[#This Row],[puesto_trabajo]],tblPuestos[codigo],tblPuestos[especialidad],"(sin catálogo)"))</f>
        <v/>
      </c>
      <c r="AB554" s="5">
        <f>IF(tblOrdenes[[#This Row],[cod_actividad]]="","",_xlfn.XLOOKUP(tblOrdenes[[#This Row],[cod_actividad]],tblActividades[codigo],tblActividades[descripcion],"(sin catálogo)"))</f>
        <v/>
      </c>
      <c r="AC554" s="20">
        <f>IF(tblOrdenes[[#This Row],[fecha_inicio]]="","",TODAY()-tblOrdenes[[#This Row],[fecha_inicio]])</f>
        <v/>
      </c>
      <c r="AD5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4" s="5">
        <f>IF(tblOrdenes[[#This Row],[backlog_habiles]]="","",IF(tblOrdenes[[#This Row],[backlog_habiles]]&lt;0,"FUTURO",IF(tblOrdenes[[#This Row],[backlog_habiles]]&gt;p_dias_backlog_max,"BACKLOG","MES CORRIENTE")))</f>
        <v/>
      </c>
      <c r="AF554" s="5">
        <f>IF(tblOrdenes[[#This Row],[backlog_habiles]]="",FALSE,AND(tblOrdenes[[#This Row],[backlog_habiles]]&gt;p_dias_backlog_min,tblOrdenes[[#This Row],[backlog_habiles]]&lt;=p_dias_backlog_max))</f>
        <v/>
      </c>
      <c r="AG554" s="4" t="n"/>
      <c r="AH5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4" s="18">
        <f>IF(tblOrdenes[[#This Row],[orden]]="","",_xlfn.XLOOKUP(tblOrdenes[[#This Row],[id_operacion]],tblEjecucion[id_operacion],tblEjecucion[precio],0))</f>
        <v/>
      </c>
      <c r="AL554" s="18">
        <f>IF(tblOrdenes[[#This Row],[orden]]="","",MAX(0,_xlfn.XLOOKUP(tblOrdenes[[#This Row],[id_operacion]],tblEjecucion[id_operacion],tblEjecucion[costo_plan_total],0)-tblOrdenes[[#This Row],[costo_servicio]]))</f>
        <v/>
      </c>
      <c r="AM554" s="18">
        <f>IF(tblOrdenes[[#This Row],[orden]]="","",tblOrdenes[[#This Row],[costo_servicio]]+tblOrdenes[[#This Row],[costo_materiales]])</f>
        <v/>
      </c>
      <c r="AN5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4" s="4" t="n"/>
      <c r="AP554" s="4" t="n"/>
      <c r="AQ554" s="4" t="n"/>
      <c r="AR554" s="5">
        <f>IF(tblOrdenes[[#This Row],[link_checklist]]="","",HYPERLINK(p_ruta_base_checklists&amp;tblOrdenes[[#This Row],[link_checklist]],"abrir"))</f>
        <v/>
      </c>
      <c r="AS554" s="4" t="n"/>
      <c r="AT554" s="5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22" t="n"/>
      <c r="K555" s="5" t="n"/>
      <c r="L555" s="18" t="n"/>
      <c r="M5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5">
        <f>IF(tblOrdenes[[#This Row],[fecha_inicio]]="","",YEAR(tblOrdenes[[#This Row],[fecha_inicio]]))</f>
        <v/>
      </c>
      <c r="Q555" s="5">
        <f>IF(tblOrdenes[[#This Row],[fecha_inicio]]="","",MONTH(tblOrdenes[[#This Row],[fecha_inicio]]))</f>
        <v/>
      </c>
      <c r="R555" s="5">
        <f>IF(tblOrdenes[[#This Row],[fecha_inicio]]="","",tblOrdenes[[#This Row],[anio]]&amp;"-"&amp;TEXT(tblOrdenes[[#This Row],[mes]],"00"))</f>
        <v/>
      </c>
      <c r="S555" s="5">
        <f>IF(tblOrdenes[[#This Row],[fecha_inicio]]="","",INDEX(lista_dias,WEEKDAY(tblOrdenes[[#This Row],[fecha_inicio]],2)))</f>
        <v/>
      </c>
      <c r="T5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5" s="5">
        <f>IF(tblOrdenes[[#This Row],[tipo_ot]]="","",_xlfn.XLOOKUP(tblOrdenes[[#This Row],[tipo_ot]],tblTiposOT[codigo],tblTiposOT[clasificacion],"sin_clasificar"))</f>
        <v/>
      </c>
      <c r="V5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5" s="5">
        <f>IF(tblOrdenes[[#This Row],[centro_costo]]="","",_xlfn.XLOOKUP(tblOrdenes[[#This Row],[centro_costo]],tblCECO[codigo],tblCECO[linea],"(sin catálogo)"))</f>
        <v/>
      </c>
      <c r="X555" s="5">
        <f>IF(tblOrdenes[[#This Row],[centro_costo]]="","",_xlfn.XLOOKUP(tblOrdenes[[#This Row],[centro_costo]],tblCECO[codigo],tblCECO[area],"(sin catálogo)"))</f>
        <v/>
      </c>
      <c r="Y5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5" s="5">
        <f>IF(tblOrdenes[[#This Row],[centro_costo]]="","",_xlfn.XLOOKUP(tblOrdenes[[#This Row],[centro_costo]],tblCECO[codigo],tblCECO[coordinador],"(sin catálogo)"))</f>
        <v/>
      </c>
      <c r="AA555" s="5">
        <f>IF(tblOrdenes[[#This Row],[puesto_trabajo]]="","",_xlfn.XLOOKUP(tblOrdenes[[#This Row],[puesto_trabajo]],tblPuestos[codigo],tblPuestos[especialidad],"(sin catálogo)"))</f>
        <v/>
      </c>
      <c r="AB555" s="5">
        <f>IF(tblOrdenes[[#This Row],[cod_actividad]]="","",_xlfn.XLOOKUP(tblOrdenes[[#This Row],[cod_actividad]],tblActividades[codigo],tblActividades[descripcion],"(sin catálogo)"))</f>
        <v/>
      </c>
      <c r="AC555" s="20">
        <f>IF(tblOrdenes[[#This Row],[fecha_inicio]]="","",TODAY()-tblOrdenes[[#This Row],[fecha_inicio]])</f>
        <v/>
      </c>
      <c r="AD5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5" s="5">
        <f>IF(tblOrdenes[[#This Row],[backlog_habiles]]="","",IF(tblOrdenes[[#This Row],[backlog_habiles]]&lt;0,"FUTURO",IF(tblOrdenes[[#This Row],[backlog_habiles]]&gt;p_dias_backlog_max,"BACKLOG","MES CORRIENTE")))</f>
        <v/>
      </c>
      <c r="AF555" s="5">
        <f>IF(tblOrdenes[[#This Row],[backlog_habiles]]="",FALSE,AND(tblOrdenes[[#This Row],[backlog_habiles]]&gt;p_dias_backlog_min,tblOrdenes[[#This Row],[backlog_habiles]]&lt;=p_dias_backlog_max))</f>
        <v/>
      </c>
      <c r="AG555" s="4" t="n"/>
      <c r="AH5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5" s="18">
        <f>IF(tblOrdenes[[#This Row],[orden]]="","",_xlfn.XLOOKUP(tblOrdenes[[#This Row],[id_operacion]],tblEjecucion[id_operacion],tblEjecucion[precio],0))</f>
        <v/>
      </c>
      <c r="AL555" s="18">
        <f>IF(tblOrdenes[[#This Row],[orden]]="","",MAX(0,_xlfn.XLOOKUP(tblOrdenes[[#This Row],[id_operacion]],tblEjecucion[id_operacion],tblEjecucion[costo_plan_total],0)-tblOrdenes[[#This Row],[costo_servicio]]))</f>
        <v/>
      </c>
      <c r="AM555" s="18">
        <f>IF(tblOrdenes[[#This Row],[orden]]="","",tblOrdenes[[#This Row],[costo_servicio]]+tblOrdenes[[#This Row],[costo_materiales]])</f>
        <v/>
      </c>
      <c r="AN5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5" s="4" t="n"/>
      <c r="AP555" s="4" t="n"/>
      <c r="AQ555" s="4" t="n"/>
      <c r="AR555" s="5">
        <f>IF(tblOrdenes[[#This Row],[link_checklist]]="","",HYPERLINK(p_ruta_base_checklists&amp;tblOrdenes[[#This Row],[link_checklist]],"abrir"))</f>
        <v/>
      </c>
      <c r="AS555" s="4" t="n"/>
      <c r="AT555" s="5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22" t="n"/>
      <c r="K556" s="5" t="n"/>
      <c r="L556" s="18" t="n"/>
      <c r="M5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5">
        <f>IF(tblOrdenes[[#This Row],[fecha_inicio]]="","",YEAR(tblOrdenes[[#This Row],[fecha_inicio]]))</f>
        <v/>
      </c>
      <c r="Q556" s="5">
        <f>IF(tblOrdenes[[#This Row],[fecha_inicio]]="","",MONTH(tblOrdenes[[#This Row],[fecha_inicio]]))</f>
        <v/>
      </c>
      <c r="R556" s="5">
        <f>IF(tblOrdenes[[#This Row],[fecha_inicio]]="","",tblOrdenes[[#This Row],[anio]]&amp;"-"&amp;TEXT(tblOrdenes[[#This Row],[mes]],"00"))</f>
        <v/>
      </c>
      <c r="S556" s="5">
        <f>IF(tblOrdenes[[#This Row],[fecha_inicio]]="","",INDEX(lista_dias,WEEKDAY(tblOrdenes[[#This Row],[fecha_inicio]],2)))</f>
        <v/>
      </c>
      <c r="T5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6" s="5">
        <f>IF(tblOrdenes[[#This Row],[tipo_ot]]="","",_xlfn.XLOOKUP(tblOrdenes[[#This Row],[tipo_ot]],tblTiposOT[codigo],tblTiposOT[clasificacion],"sin_clasificar"))</f>
        <v/>
      </c>
      <c r="V5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6" s="5">
        <f>IF(tblOrdenes[[#This Row],[centro_costo]]="","",_xlfn.XLOOKUP(tblOrdenes[[#This Row],[centro_costo]],tblCECO[codigo],tblCECO[linea],"(sin catálogo)"))</f>
        <v/>
      </c>
      <c r="X556" s="5">
        <f>IF(tblOrdenes[[#This Row],[centro_costo]]="","",_xlfn.XLOOKUP(tblOrdenes[[#This Row],[centro_costo]],tblCECO[codigo],tblCECO[area],"(sin catálogo)"))</f>
        <v/>
      </c>
      <c r="Y5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6" s="5">
        <f>IF(tblOrdenes[[#This Row],[centro_costo]]="","",_xlfn.XLOOKUP(tblOrdenes[[#This Row],[centro_costo]],tblCECO[codigo],tblCECO[coordinador],"(sin catálogo)"))</f>
        <v/>
      </c>
      <c r="AA556" s="5">
        <f>IF(tblOrdenes[[#This Row],[puesto_trabajo]]="","",_xlfn.XLOOKUP(tblOrdenes[[#This Row],[puesto_trabajo]],tblPuestos[codigo],tblPuestos[especialidad],"(sin catálogo)"))</f>
        <v/>
      </c>
      <c r="AB556" s="5">
        <f>IF(tblOrdenes[[#This Row],[cod_actividad]]="","",_xlfn.XLOOKUP(tblOrdenes[[#This Row],[cod_actividad]],tblActividades[codigo],tblActividades[descripcion],"(sin catálogo)"))</f>
        <v/>
      </c>
      <c r="AC556" s="20">
        <f>IF(tblOrdenes[[#This Row],[fecha_inicio]]="","",TODAY()-tblOrdenes[[#This Row],[fecha_inicio]])</f>
        <v/>
      </c>
      <c r="AD5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6" s="5">
        <f>IF(tblOrdenes[[#This Row],[backlog_habiles]]="","",IF(tblOrdenes[[#This Row],[backlog_habiles]]&lt;0,"FUTURO",IF(tblOrdenes[[#This Row],[backlog_habiles]]&gt;p_dias_backlog_max,"BACKLOG","MES CORRIENTE")))</f>
        <v/>
      </c>
      <c r="AF556" s="5">
        <f>IF(tblOrdenes[[#This Row],[backlog_habiles]]="",FALSE,AND(tblOrdenes[[#This Row],[backlog_habiles]]&gt;p_dias_backlog_min,tblOrdenes[[#This Row],[backlog_habiles]]&lt;=p_dias_backlog_max))</f>
        <v/>
      </c>
      <c r="AG556" s="4" t="n"/>
      <c r="AH5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6" s="18">
        <f>IF(tblOrdenes[[#This Row],[orden]]="","",_xlfn.XLOOKUP(tblOrdenes[[#This Row],[id_operacion]],tblEjecucion[id_operacion],tblEjecucion[precio],0))</f>
        <v/>
      </c>
      <c r="AL556" s="18">
        <f>IF(tblOrdenes[[#This Row],[orden]]="","",MAX(0,_xlfn.XLOOKUP(tblOrdenes[[#This Row],[id_operacion]],tblEjecucion[id_operacion],tblEjecucion[costo_plan_total],0)-tblOrdenes[[#This Row],[costo_servicio]]))</f>
        <v/>
      </c>
      <c r="AM556" s="18">
        <f>IF(tblOrdenes[[#This Row],[orden]]="","",tblOrdenes[[#This Row],[costo_servicio]]+tblOrdenes[[#This Row],[costo_materiales]])</f>
        <v/>
      </c>
      <c r="AN5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6" s="4" t="n"/>
      <c r="AP556" s="4" t="n"/>
      <c r="AQ556" s="4" t="n"/>
      <c r="AR556" s="5">
        <f>IF(tblOrdenes[[#This Row],[link_checklist]]="","",HYPERLINK(p_ruta_base_checklists&amp;tblOrdenes[[#This Row],[link_checklist]],"abrir"))</f>
        <v/>
      </c>
      <c r="AS556" s="4" t="n"/>
      <c r="AT556" s="5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22" t="n"/>
      <c r="K557" s="5" t="n"/>
      <c r="L557" s="18" t="n"/>
      <c r="M5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5">
        <f>IF(tblOrdenes[[#This Row],[fecha_inicio]]="","",YEAR(tblOrdenes[[#This Row],[fecha_inicio]]))</f>
        <v/>
      </c>
      <c r="Q557" s="5">
        <f>IF(tblOrdenes[[#This Row],[fecha_inicio]]="","",MONTH(tblOrdenes[[#This Row],[fecha_inicio]]))</f>
        <v/>
      </c>
      <c r="R557" s="5">
        <f>IF(tblOrdenes[[#This Row],[fecha_inicio]]="","",tblOrdenes[[#This Row],[anio]]&amp;"-"&amp;TEXT(tblOrdenes[[#This Row],[mes]],"00"))</f>
        <v/>
      </c>
      <c r="S557" s="5">
        <f>IF(tblOrdenes[[#This Row],[fecha_inicio]]="","",INDEX(lista_dias,WEEKDAY(tblOrdenes[[#This Row],[fecha_inicio]],2)))</f>
        <v/>
      </c>
      <c r="T5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7" s="5">
        <f>IF(tblOrdenes[[#This Row],[tipo_ot]]="","",_xlfn.XLOOKUP(tblOrdenes[[#This Row],[tipo_ot]],tblTiposOT[codigo],tblTiposOT[clasificacion],"sin_clasificar"))</f>
        <v/>
      </c>
      <c r="V5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7" s="5">
        <f>IF(tblOrdenes[[#This Row],[centro_costo]]="","",_xlfn.XLOOKUP(tblOrdenes[[#This Row],[centro_costo]],tblCECO[codigo],tblCECO[linea],"(sin catálogo)"))</f>
        <v/>
      </c>
      <c r="X557" s="5">
        <f>IF(tblOrdenes[[#This Row],[centro_costo]]="","",_xlfn.XLOOKUP(tblOrdenes[[#This Row],[centro_costo]],tblCECO[codigo],tblCECO[area],"(sin catálogo)"))</f>
        <v/>
      </c>
      <c r="Y5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7" s="5">
        <f>IF(tblOrdenes[[#This Row],[centro_costo]]="","",_xlfn.XLOOKUP(tblOrdenes[[#This Row],[centro_costo]],tblCECO[codigo],tblCECO[coordinador],"(sin catálogo)"))</f>
        <v/>
      </c>
      <c r="AA557" s="5">
        <f>IF(tblOrdenes[[#This Row],[puesto_trabajo]]="","",_xlfn.XLOOKUP(tblOrdenes[[#This Row],[puesto_trabajo]],tblPuestos[codigo],tblPuestos[especialidad],"(sin catálogo)"))</f>
        <v/>
      </c>
      <c r="AB557" s="5">
        <f>IF(tblOrdenes[[#This Row],[cod_actividad]]="","",_xlfn.XLOOKUP(tblOrdenes[[#This Row],[cod_actividad]],tblActividades[codigo],tblActividades[descripcion],"(sin catálogo)"))</f>
        <v/>
      </c>
      <c r="AC557" s="20">
        <f>IF(tblOrdenes[[#This Row],[fecha_inicio]]="","",TODAY()-tblOrdenes[[#This Row],[fecha_inicio]])</f>
        <v/>
      </c>
      <c r="AD5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7" s="5">
        <f>IF(tblOrdenes[[#This Row],[backlog_habiles]]="","",IF(tblOrdenes[[#This Row],[backlog_habiles]]&lt;0,"FUTURO",IF(tblOrdenes[[#This Row],[backlog_habiles]]&gt;p_dias_backlog_max,"BACKLOG","MES CORRIENTE")))</f>
        <v/>
      </c>
      <c r="AF557" s="5">
        <f>IF(tblOrdenes[[#This Row],[backlog_habiles]]="",FALSE,AND(tblOrdenes[[#This Row],[backlog_habiles]]&gt;p_dias_backlog_min,tblOrdenes[[#This Row],[backlog_habiles]]&lt;=p_dias_backlog_max))</f>
        <v/>
      </c>
      <c r="AG557" s="4" t="n"/>
      <c r="AH5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7" s="18">
        <f>IF(tblOrdenes[[#This Row],[orden]]="","",_xlfn.XLOOKUP(tblOrdenes[[#This Row],[id_operacion]],tblEjecucion[id_operacion],tblEjecucion[precio],0))</f>
        <v/>
      </c>
      <c r="AL557" s="18">
        <f>IF(tblOrdenes[[#This Row],[orden]]="","",MAX(0,_xlfn.XLOOKUP(tblOrdenes[[#This Row],[id_operacion]],tblEjecucion[id_operacion],tblEjecucion[costo_plan_total],0)-tblOrdenes[[#This Row],[costo_servicio]]))</f>
        <v/>
      </c>
      <c r="AM557" s="18">
        <f>IF(tblOrdenes[[#This Row],[orden]]="","",tblOrdenes[[#This Row],[costo_servicio]]+tblOrdenes[[#This Row],[costo_materiales]])</f>
        <v/>
      </c>
      <c r="AN5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7" s="4" t="n"/>
      <c r="AP557" s="4" t="n"/>
      <c r="AQ557" s="4" t="n"/>
      <c r="AR557" s="5">
        <f>IF(tblOrdenes[[#This Row],[link_checklist]]="","",HYPERLINK(p_ruta_base_checklists&amp;tblOrdenes[[#This Row],[link_checklist]],"abrir"))</f>
        <v/>
      </c>
      <c r="AS557" s="4" t="n"/>
      <c r="AT557" s="5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22" t="n"/>
      <c r="K558" s="5" t="n"/>
      <c r="L558" s="18" t="n"/>
      <c r="M5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5">
        <f>IF(tblOrdenes[[#This Row],[fecha_inicio]]="","",YEAR(tblOrdenes[[#This Row],[fecha_inicio]]))</f>
        <v/>
      </c>
      <c r="Q558" s="5">
        <f>IF(tblOrdenes[[#This Row],[fecha_inicio]]="","",MONTH(tblOrdenes[[#This Row],[fecha_inicio]]))</f>
        <v/>
      </c>
      <c r="R558" s="5">
        <f>IF(tblOrdenes[[#This Row],[fecha_inicio]]="","",tblOrdenes[[#This Row],[anio]]&amp;"-"&amp;TEXT(tblOrdenes[[#This Row],[mes]],"00"))</f>
        <v/>
      </c>
      <c r="S558" s="5">
        <f>IF(tblOrdenes[[#This Row],[fecha_inicio]]="","",INDEX(lista_dias,WEEKDAY(tblOrdenes[[#This Row],[fecha_inicio]],2)))</f>
        <v/>
      </c>
      <c r="T5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8" s="5">
        <f>IF(tblOrdenes[[#This Row],[tipo_ot]]="","",_xlfn.XLOOKUP(tblOrdenes[[#This Row],[tipo_ot]],tblTiposOT[codigo],tblTiposOT[clasificacion],"sin_clasificar"))</f>
        <v/>
      </c>
      <c r="V5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8" s="5">
        <f>IF(tblOrdenes[[#This Row],[centro_costo]]="","",_xlfn.XLOOKUP(tblOrdenes[[#This Row],[centro_costo]],tblCECO[codigo],tblCECO[linea],"(sin catálogo)"))</f>
        <v/>
      </c>
      <c r="X558" s="5">
        <f>IF(tblOrdenes[[#This Row],[centro_costo]]="","",_xlfn.XLOOKUP(tblOrdenes[[#This Row],[centro_costo]],tblCECO[codigo],tblCECO[area],"(sin catálogo)"))</f>
        <v/>
      </c>
      <c r="Y5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8" s="5">
        <f>IF(tblOrdenes[[#This Row],[centro_costo]]="","",_xlfn.XLOOKUP(tblOrdenes[[#This Row],[centro_costo]],tblCECO[codigo],tblCECO[coordinador],"(sin catálogo)"))</f>
        <v/>
      </c>
      <c r="AA558" s="5">
        <f>IF(tblOrdenes[[#This Row],[puesto_trabajo]]="","",_xlfn.XLOOKUP(tblOrdenes[[#This Row],[puesto_trabajo]],tblPuestos[codigo],tblPuestos[especialidad],"(sin catálogo)"))</f>
        <v/>
      </c>
      <c r="AB558" s="5">
        <f>IF(tblOrdenes[[#This Row],[cod_actividad]]="","",_xlfn.XLOOKUP(tblOrdenes[[#This Row],[cod_actividad]],tblActividades[codigo],tblActividades[descripcion],"(sin catálogo)"))</f>
        <v/>
      </c>
      <c r="AC558" s="20">
        <f>IF(tblOrdenes[[#This Row],[fecha_inicio]]="","",TODAY()-tblOrdenes[[#This Row],[fecha_inicio]])</f>
        <v/>
      </c>
      <c r="AD5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8" s="5">
        <f>IF(tblOrdenes[[#This Row],[backlog_habiles]]="","",IF(tblOrdenes[[#This Row],[backlog_habiles]]&lt;0,"FUTURO",IF(tblOrdenes[[#This Row],[backlog_habiles]]&gt;p_dias_backlog_max,"BACKLOG","MES CORRIENTE")))</f>
        <v/>
      </c>
      <c r="AF558" s="5">
        <f>IF(tblOrdenes[[#This Row],[backlog_habiles]]="",FALSE,AND(tblOrdenes[[#This Row],[backlog_habiles]]&gt;p_dias_backlog_min,tblOrdenes[[#This Row],[backlog_habiles]]&lt;=p_dias_backlog_max))</f>
        <v/>
      </c>
      <c r="AG558" s="4" t="n"/>
      <c r="AH5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8" s="18">
        <f>IF(tblOrdenes[[#This Row],[orden]]="","",_xlfn.XLOOKUP(tblOrdenes[[#This Row],[id_operacion]],tblEjecucion[id_operacion],tblEjecucion[precio],0))</f>
        <v/>
      </c>
      <c r="AL558" s="18">
        <f>IF(tblOrdenes[[#This Row],[orden]]="","",MAX(0,_xlfn.XLOOKUP(tblOrdenes[[#This Row],[id_operacion]],tblEjecucion[id_operacion],tblEjecucion[costo_plan_total],0)-tblOrdenes[[#This Row],[costo_servicio]]))</f>
        <v/>
      </c>
      <c r="AM558" s="18">
        <f>IF(tblOrdenes[[#This Row],[orden]]="","",tblOrdenes[[#This Row],[costo_servicio]]+tblOrdenes[[#This Row],[costo_materiales]])</f>
        <v/>
      </c>
      <c r="AN5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8" s="4" t="n"/>
      <c r="AP558" s="4" t="n"/>
      <c r="AQ558" s="4" t="n"/>
      <c r="AR558" s="5">
        <f>IF(tblOrdenes[[#This Row],[link_checklist]]="","",HYPERLINK(p_ruta_base_checklists&amp;tblOrdenes[[#This Row],[link_checklist]],"abrir"))</f>
        <v/>
      </c>
      <c r="AS558" s="4" t="n"/>
      <c r="AT558" s="5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22" t="n"/>
      <c r="K559" s="5" t="n"/>
      <c r="L559" s="18" t="n"/>
      <c r="M5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5">
        <f>IF(tblOrdenes[[#This Row],[fecha_inicio]]="","",YEAR(tblOrdenes[[#This Row],[fecha_inicio]]))</f>
        <v/>
      </c>
      <c r="Q559" s="5">
        <f>IF(tblOrdenes[[#This Row],[fecha_inicio]]="","",MONTH(tblOrdenes[[#This Row],[fecha_inicio]]))</f>
        <v/>
      </c>
      <c r="R559" s="5">
        <f>IF(tblOrdenes[[#This Row],[fecha_inicio]]="","",tblOrdenes[[#This Row],[anio]]&amp;"-"&amp;TEXT(tblOrdenes[[#This Row],[mes]],"00"))</f>
        <v/>
      </c>
      <c r="S559" s="5">
        <f>IF(tblOrdenes[[#This Row],[fecha_inicio]]="","",INDEX(lista_dias,WEEKDAY(tblOrdenes[[#This Row],[fecha_inicio]],2)))</f>
        <v/>
      </c>
      <c r="T5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9" s="5">
        <f>IF(tblOrdenes[[#This Row],[tipo_ot]]="","",_xlfn.XLOOKUP(tblOrdenes[[#This Row],[tipo_ot]],tblTiposOT[codigo],tblTiposOT[clasificacion],"sin_clasificar"))</f>
        <v/>
      </c>
      <c r="V5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9" s="5">
        <f>IF(tblOrdenes[[#This Row],[centro_costo]]="","",_xlfn.XLOOKUP(tblOrdenes[[#This Row],[centro_costo]],tblCECO[codigo],tblCECO[linea],"(sin catálogo)"))</f>
        <v/>
      </c>
      <c r="X559" s="5">
        <f>IF(tblOrdenes[[#This Row],[centro_costo]]="","",_xlfn.XLOOKUP(tblOrdenes[[#This Row],[centro_costo]],tblCECO[codigo],tblCECO[area],"(sin catálogo)"))</f>
        <v/>
      </c>
      <c r="Y5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59" s="5">
        <f>IF(tblOrdenes[[#This Row],[centro_costo]]="","",_xlfn.XLOOKUP(tblOrdenes[[#This Row],[centro_costo]],tblCECO[codigo],tblCECO[coordinador],"(sin catálogo)"))</f>
        <v/>
      </c>
      <c r="AA559" s="5">
        <f>IF(tblOrdenes[[#This Row],[puesto_trabajo]]="","",_xlfn.XLOOKUP(tblOrdenes[[#This Row],[puesto_trabajo]],tblPuestos[codigo],tblPuestos[especialidad],"(sin catálogo)"))</f>
        <v/>
      </c>
      <c r="AB559" s="5">
        <f>IF(tblOrdenes[[#This Row],[cod_actividad]]="","",_xlfn.XLOOKUP(tblOrdenes[[#This Row],[cod_actividad]],tblActividades[codigo],tblActividades[descripcion],"(sin catálogo)"))</f>
        <v/>
      </c>
      <c r="AC559" s="20">
        <f>IF(tblOrdenes[[#This Row],[fecha_inicio]]="","",TODAY()-tblOrdenes[[#This Row],[fecha_inicio]])</f>
        <v/>
      </c>
      <c r="AD5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59" s="5">
        <f>IF(tblOrdenes[[#This Row],[backlog_habiles]]="","",IF(tblOrdenes[[#This Row],[backlog_habiles]]&lt;0,"FUTURO",IF(tblOrdenes[[#This Row],[backlog_habiles]]&gt;p_dias_backlog_max,"BACKLOG","MES CORRIENTE")))</f>
        <v/>
      </c>
      <c r="AF559" s="5">
        <f>IF(tblOrdenes[[#This Row],[backlog_habiles]]="",FALSE,AND(tblOrdenes[[#This Row],[backlog_habiles]]&gt;p_dias_backlog_min,tblOrdenes[[#This Row],[backlog_habiles]]&lt;=p_dias_backlog_max))</f>
        <v/>
      </c>
      <c r="AG559" s="4" t="n"/>
      <c r="AH5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59" s="18">
        <f>IF(tblOrdenes[[#This Row],[orden]]="","",_xlfn.XLOOKUP(tblOrdenes[[#This Row],[id_operacion]],tblEjecucion[id_operacion],tblEjecucion[precio],0))</f>
        <v/>
      </c>
      <c r="AL559" s="18">
        <f>IF(tblOrdenes[[#This Row],[orden]]="","",MAX(0,_xlfn.XLOOKUP(tblOrdenes[[#This Row],[id_operacion]],tblEjecucion[id_operacion],tblEjecucion[costo_plan_total],0)-tblOrdenes[[#This Row],[costo_servicio]]))</f>
        <v/>
      </c>
      <c r="AM559" s="18">
        <f>IF(tblOrdenes[[#This Row],[orden]]="","",tblOrdenes[[#This Row],[costo_servicio]]+tblOrdenes[[#This Row],[costo_materiales]])</f>
        <v/>
      </c>
      <c r="AN5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59" s="4" t="n"/>
      <c r="AP559" s="4" t="n"/>
      <c r="AQ559" s="4" t="n"/>
      <c r="AR559" s="5">
        <f>IF(tblOrdenes[[#This Row],[link_checklist]]="","",HYPERLINK(p_ruta_base_checklists&amp;tblOrdenes[[#This Row],[link_checklist]],"abrir"))</f>
        <v/>
      </c>
      <c r="AS559" s="4" t="n"/>
      <c r="AT559" s="5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22" t="n"/>
      <c r="K560" s="5" t="n"/>
      <c r="L560" s="18" t="n"/>
      <c r="M5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5">
        <f>IF(tblOrdenes[[#This Row],[fecha_inicio]]="","",YEAR(tblOrdenes[[#This Row],[fecha_inicio]]))</f>
        <v/>
      </c>
      <c r="Q560" s="5">
        <f>IF(tblOrdenes[[#This Row],[fecha_inicio]]="","",MONTH(tblOrdenes[[#This Row],[fecha_inicio]]))</f>
        <v/>
      </c>
      <c r="R560" s="5">
        <f>IF(tblOrdenes[[#This Row],[fecha_inicio]]="","",tblOrdenes[[#This Row],[anio]]&amp;"-"&amp;TEXT(tblOrdenes[[#This Row],[mes]],"00"))</f>
        <v/>
      </c>
      <c r="S560" s="5">
        <f>IF(tblOrdenes[[#This Row],[fecha_inicio]]="","",INDEX(lista_dias,WEEKDAY(tblOrdenes[[#This Row],[fecha_inicio]],2)))</f>
        <v/>
      </c>
      <c r="T5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0" s="5">
        <f>IF(tblOrdenes[[#This Row],[tipo_ot]]="","",_xlfn.XLOOKUP(tblOrdenes[[#This Row],[tipo_ot]],tblTiposOT[codigo],tblTiposOT[clasificacion],"sin_clasificar"))</f>
        <v/>
      </c>
      <c r="V5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0" s="5">
        <f>IF(tblOrdenes[[#This Row],[centro_costo]]="","",_xlfn.XLOOKUP(tblOrdenes[[#This Row],[centro_costo]],tblCECO[codigo],tblCECO[linea],"(sin catálogo)"))</f>
        <v/>
      </c>
      <c r="X560" s="5">
        <f>IF(tblOrdenes[[#This Row],[centro_costo]]="","",_xlfn.XLOOKUP(tblOrdenes[[#This Row],[centro_costo]],tblCECO[codigo],tblCECO[area],"(sin catálogo)"))</f>
        <v/>
      </c>
      <c r="Y5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0" s="5">
        <f>IF(tblOrdenes[[#This Row],[centro_costo]]="","",_xlfn.XLOOKUP(tblOrdenes[[#This Row],[centro_costo]],tblCECO[codigo],tblCECO[coordinador],"(sin catálogo)"))</f>
        <v/>
      </c>
      <c r="AA560" s="5">
        <f>IF(tblOrdenes[[#This Row],[puesto_trabajo]]="","",_xlfn.XLOOKUP(tblOrdenes[[#This Row],[puesto_trabajo]],tblPuestos[codigo],tblPuestos[especialidad],"(sin catálogo)"))</f>
        <v/>
      </c>
      <c r="AB560" s="5">
        <f>IF(tblOrdenes[[#This Row],[cod_actividad]]="","",_xlfn.XLOOKUP(tblOrdenes[[#This Row],[cod_actividad]],tblActividades[codigo],tblActividades[descripcion],"(sin catálogo)"))</f>
        <v/>
      </c>
      <c r="AC560" s="20">
        <f>IF(tblOrdenes[[#This Row],[fecha_inicio]]="","",TODAY()-tblOrdenes[[#This Row],[fecha_inicio]])</f>
        <v/>
      </c>
      <c r="AD5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0" s="5">
        <f>IF(tblOrdenes[[#This Row],[backlog_habiles]]="","",IF(tblOrdenes[[#This Row],[backlog_habiles]]&lt;0,"FUTURO",IF(tblOrdenes[[#This Row],[backlog_habiles]]&gt;p_dias_backlog_max,"BACKLOG","MES CORRIENTE")))</f>
        <v/>
      </c>
      <c r="AF560" s="5">
        <f>IF(tblOrdenes[[#This Row],[backlog_habiles]]="",FALSE,AND(tblOrdenes[[#This Row],[backlog_habiles]]&gt;p_dias_backlog_min,tblOrdenes[[#This Row],[backlog_habiles]]&lt;=p_dias_backlog_max))</f>
        <v/>
      </c>
      <c r="AG560" s="4" t="n"/>
      <c r="AH5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0" s="18">
        <f>IF(tblOrdenes[[#This Row],[orden]]="","",_xlfn.XLOOKUP(tblOrdenes[[#This Row],[id_operacion]],tblEjecucion[id_operacion],tblEjecucion[precio],0))</f>
        <v/>
      </c>
      <c r="AL560" s="18">
        <f>IF(tblOrdenes[[#This Row],[orden]]="","",MAX(0,_xlfn.XLOOKUP(tblOrdenes[[#This Row],[id_operacion]],tblEjecucion[id_operacion],tblEjecucion[costo_plan_total],0)-tblOrdenes[[#This Row],[costo_servicio]]))</f>
        <v/>
      </c>
      <c r="AM560" s="18">
        <f>IF(tblOrdenes[[#This Row],[orden]]="","",tblOrdenes[[#This Row],[costo_servicio]]+tblOrdenes[[#This Row],[costo_materiales]])</f>
        <v/>
      </c>
      <c r="AN5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0" s="4" t="n"/>
      <c r="AP560" s="4" t="n"/>
      <c r="AQ560" s="4" t="n"/>
      <c r="AR560" s="5">
        <f>IF(tblOrdenes[[#This Row],[link_checklist]]="","",HYPERLINK(p_ruta_base_checklists&amp;tblOrdenes[[#This Row],[link_checklist]],"abrir"))</f>
        <v/>
      </c>
      <c r="AS560" s="4" t="n"/>
      <c r="AT560" s="5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22" t="n"/>
      <c r="K561" s="5" t="n"/>
      <c r="L561" s="18" t="n"/>
      <c r="M5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5">
        <f>IF(tblOrdenes[[#This Row],[fecha_inicio]]="","",YEAR(tblOrdenes[[#This Row],[fecha_inicio]]))</f>
        <v/>
      </c>
      <c r="Q561" s="5">
        <f>IF(tblOrdenes[[#This Row],[fecha_inicio]]="","",MONTH(tblOrdenes[[#This Row],[fecha_inicio]]))</f>
        <v/>
      </c>
      <c r="R561" s="5">
        <f>IF(tblOrdenes[[#This Row],[fecha_inicio]]="","",tblOrdenes[[#This Row],[anio]]&amp;"-"&amp;TEXT(tblOrdenes[[#This Row],[mes]],"00"))</f>
        <v/>
      </c>
      <c r="S561" s="5">
        <f>IF(tblOrdenes[[#This Row],[fecha_inicio]]="","",INDEX(lista_dias,WEEKDAY(tblOrdenes[[#This Row],[fecha_inicio]],2)))</f>
        <v/>
      </c>
      <c r="T5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1" s="5">
        <f>IF(tblOrdenes[[#This Row],[tipo_ot]]="","",_xlfn.XLOOKUP(tblOrdenes[[#This Row],[tipo_ot]],tblTiposOT[codigo],tblTiposOT[clasificacion],"sin_clasificar"))</f>
        <v/>
      </c>
      <c r="V5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1" s="5">
        <f>IF(tblOrdenes[[#This Row],[centro_costo]]="","",_xlfn.XLOOKUP(tblOrdenes[[#This Row],[centro_costo]],tblCECO[codigo],tblCECO[linea],"(sin catálogo)"))</f>
        <v/>
      </c>
      <c r="X561" s="5">
        <f>IF(tblOrdenes[[#This Row],[centro_costo]]="","",_xlfn.XLOOKUP(tblOrdenes[[#This Row],[centro_costo]],tblCECO[codigo],tblCECO[area],"(sin catálogo)"))</f>
        <v/>
      </c>
      <c r="Y5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1" s="5">
        <f>IF(tblOrdenes[[#This Row],[centro_costo]]="","",_xlfn.XLOOKUP(tblOrdenes[[#This Row],[centro_costo]],tblCECO[codigo],tblCECO[coordinador],"(sin catálogo)"))</f>
        <v/>
      </c>
      <c r="AA561" s="5">
        <f>IF(tblOrdenes[[#This Row],[puesto_trabajo]]="","",_xlfn.XLOOKUP(tblOrdenes[[#This Row],[puesto_trabajo]],tblPuestos[codigo],tblPuestos[especialidad],"(sin catálogo)"))</f>
        <v/>
      </c>
      <c r="AB561" s="5">
        <f>IF(tblOrdenes[[#This Row],[cod_actividad]]="","",_xlfn.XLOOKUP(tblOrdenes[[#This Row],[cod_actividad]],tblActividades[codigo],tblActividades[descripcion],"(sin catálogo)"))</f>
        <v/>
      </c>
      <c r="AC561" s="20">
        <f>IF(tblOrdenes[[#This Row],[fecha_inicio]]="","",TODAY()-tblOrdenes[[#This Row],[fecha_inicio]])</f>
        <v/>
      </c>
      <c r="AD5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1" s="5">
        <f>IF(tblOrdenes[[#This Row],[backlog_habiles]]="","",IF(tblOrdenes[[#This Row],[backlog_habiles]]&lt;0,"FUTURO",IF(tblOrdenes[[#This Row],[backlog_habiles]]&gt;p_dias_backlog_max,"BACKLOG","MES CORRIENTE")))</f>
        <v/>
      </c>
      <c r="AF561" s="5">
        <f>IF(tblOrdenes[[#This Row],[backlog_habiles]]="",FALSE,AND(tblOrdenes[[#This Row],[backlog_habiles]]&gt;p_dias_backlog_min,tblOrdenes[[#This Row],[backlog_habiles]]&lt;=p_dias_backlog_max))</f>
        <v/>
      </c>
      <c r="AG561" s="4" t="n"/>
      <c r="AH5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1" s="18">
        <f>IF(tblOrdenes[[#This Row],[orden]]="","",_xlfn.XLOOKUP(tblOrdenes[[#This Row],[id_operacion]],tblEjecucion[id_operacion],tblEjecucion[precio],0))</f>
        <v/>
      </c>
      <c r="AL561" s="18">
        <f>IF(tblOrdenes[[#This Row],[orden]]="","",MAX(0,_xlfn.XLOOKUP(tblOrdenes[[#This Row],[id_operacion]],tblEjecucion[id_operacion],tblEjecucion[costo_plan_total],0)-tblOrdenes[[#This Row],[costo_servicio]]))</f>
        <v/>
      </c>
      <c r="AM561" s="18">
        <f>IF(tblOrdenes[[#This Row],[orden]]="","",tblOrdenes[[#This Row],[costo_servicio]]+tblOrdenes[[#This Row],[costo_materiales]])</f>
        <v/>
      </c>
      <c r="AN5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1" s="4" t="n"/>
      <c r="AP561" s="4" t="n"/>
      <c r="AQ561" s="4" t="n"/>
      <c r="AR561" s="5">
        <f>IF(tblOrdenes[[#This Row],[link_checklist]]="","",HYPERLINK(p_ruta_base_checklists&amp;tblOrdenes[[#This Row],[link_checklist]],"abrir"))</f>
        <v/>
      </c>
      <c r="AS561" s="4" t="n"/>
      <c r="AT561" s="5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22" t="n"/>
      <c r="K562" s="5" t="n"/>
      <c r="L562" s="18" t="n"/>
      <c r="M5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5">
        <f>IF(tblOrdenes[[#This Row],[fecha_inicio]]="","",YEAR(tblOrdenes[[#This Row],[fecha_inicio]]))</f>
        <v/>
      </c>
      <c r="Q562" s="5">
        <f>IF(tblOrdenes[[#This Row],[fecha_inicio]]="","",MONTH(tblOrdenes[[#This Row],[fecha_inicio]]))</f>
        <v/>
      </c>
      <c r="R562" s="5">
        <f>IF(tblOrdenes[[#This Row],[fecha_inicio]]="","",tblOrdenes[[#This Row],[anio]]&amp;"-"&amp;TEXT(tblOrdenes[[#This Row],[mes]],"00"))</f>
        <v/>
      </c>
      <c r="S562" s="5">
        <f>IF(tblOrdenes[[#This Row],[fecha_inicio]]="","",INDEX(lista_dias,WEEKDAY(tblOrdenes[[#This Row],[fecha_inicio]],2)))</f>
        <v/>
      </c>
      <c r="T5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2" s="5">
        <f>IF(tblOrdenes[[#This Row],[tipo_ot]]="","",_xlfn.XLOOKUP(tblOrdenes[[#This Row],[tipo_ot]],tblTiposOT[codigo],tblTiposOT[clasificacion],"sin_clasificar"))</f>
        <v/>
      </c>
      <c r="V5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2" s="5">
        <f>IF(tblOrdenes[[#This Row],[centro_costo]]="","",_xlfn.XLOOKUP(tblOrdenes[[#This Row],[centro_costo]],tblCECO[codigo],tblCECO[linea],"(sin catálogo)"))</f>
        <v/>
      </c>
      <c r="X562" s="5">
        <f>IF(tblOrdenes[[#This Row],[centro_costo]]="","",_xlfn.XLOOKUP(tblOrdenes[[#This Row],[centro_costo]],tblCECO[codigo],tblCECO[area],"(sin catálogo)"))</f>
        <v/>
      </c>
      <c r="Y5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2" s="5">
        <f>IF(tblOrdenes[[#This Row],[centro_costo]]="","",_xlfn.XLOOKUP(tblOrdenes[[#This Row],[centro_costo]],tblCECO[codigo],tblCECO[coordinador],"(sin catálogo)"))</f>
        <v/>
      </c>
      <c r="AA562" s="5">
        <f>IF(tblOrdenes[[#This Row],[puesto_trabajo]]="","",_xlfn.XLOOKUP(tblOrdenes[[#This Row],[puesto_trabajo]],tblPuestos[codigo],tblPuestos[especialidad],"(sin catálogo)"))</f>
        <v/>
      </c>
      <c r="AB562" s="5">
        <f>IF(tblOrdenes[[#This Row],[cod_actividad]]="","",_xlfn.XLOOKUP(tblOrdenes[[#This Row],[cod_actividad]],tblActividades[codigo],tblActividades[descripcion],"(sin catálogo)"))</f>
        <v/>
      </c>
      <c r="AC562" s="20">
        <f>IF(tblOrdenes[[#This Row],[fecha_inicio]]="","",TODAY()-tblOrdenes[[#This Row],[fecha_inicio]])</f>
        <v/>
      </c>
      <c r="AD5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2" s="5">
        <f>IF(tblOrdenes[[#This Row],[backlog_habiles]]="","",IF(tblOrdenes[[#This Row],[backlog_habiles]]&lt;0,"FUTURO",IF(tblOrdenes[[#This Row],[backlog_habiles]]&gt;p_dias_backlog_max,"BACKLOG","MES CORRIENTE")))</f>
        <v/>
      </c>
      <c r="AF562" s="5">
        <f>IF(tblOrdenes[[#This Row],[backlog_habiles]]="",FALSE,AND(tblOrdenes[[#This Row],[backlog_habiles]]&gt;p_dias_backlog_min,tblOrdenes[[#This Row],[backlog_habiles]]&lt;=p_dias_backlog_max))</f>
        <v/>
      </c>
      <c r="AG562" s="4" t="n"/>
      <c r="AH5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2" s="18">
        <f>IF(tblOrdenes[[#This Row],[orden]]="","",_xlfn.XLOOKUP(tblOrdenes[[#This Row],[id_operacion]],tblEjecucion[id_operacion],tblEjecucion[precio],0))</f>
        <v/>
      </c>
      <c r="AL562" s="18">
        <f>IF(tblOrdenes[[#This Row],[orden]]="","",MAX(0,_xlfn.XLOOKUP(tblOrdenes[[#This Row],[id_operacion]],tblEjecucion[id_operacion],tblEjecucion[costo_plan_total],0)-tblOrdenes[[#This Row],[costo_servicio]]))</f>
        <v/>
      </c>
      <c r="AM562" s="18">
        <f>IF(tblOrdenes[[#This Row],[orden]]="","",tblOrdenes[[#This Row],[costo_servicio]]+tblOrdenes[[#This Row],[costo_materiales]])</f>
        <v/>
      </c>
      <c r="AN5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2" s="4" t="n"/>
      <c r="AP562" s="4" t="n"/>
      <c r="AQ562" s="4" t="n"/>
      <c r="AR562" s="5">
        <f>IF(tblOrdenes[[#This Row],[link_checklist]]="","",HYPERLINK(p_ruta_base_checklists&amp;tblOrdenes[[#This Row],[link_checklist]],"abrir"))</f>
        <v/>
      </c>
      <c r="AS562" s="4" t="n"/>
      <c r="AT562" s="5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22" t="n"/>
      <c r="K563" s="5" t="n"/>
      <c r="L563" s="18" t="n"/>
      <c r="M5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5">
        <f>IF(tblOrdenes[[#This Row],[fecha_inicio]]="","",YEAR(tblOrdenes[[#This Row],[fecha_inicio]]))</f>
        <v/>
      </c>
      <c r="Q563" s="5">
        <f>IF(tblOrdenes[[#This Row],[fecha_inicio]]="","",MONTH(tblOrdenes[[#This Row],[fecha_inicio]]))</f>
        <v/>
      </c>
      <c r="R563" s="5">
        <f>IF(tblOrdenes[[#This Row],[fecha_inicio]]="","",tblOrdenes[[#This Row],[anio]]&amp;"-"&amp;TEXT(tblOrdenes[[#This Row],[mes]],"00"))</f>
        <v/>
      </c>
      <c r="S563" s="5">
        <f>IF(tblOrdenes[[#This Row],[fecha_inicio]]="","",INDEX(lista_dias,WEEKDAY(tblOrdenes[[#This Row],[fecha_inicio]],2)))</f>
        <v/>
      </c>
      <c r="T5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3" s="5">
        <f>IF(tblOrdenes[[#This Row],[tipo_ot]]="","",_xlfn.XLOOKUP(tblOrdenes[[#This Row],[tipo_ot]],tblTiposOT[codigo],tblTiposOT[clasificacion],"sin_clasificar"))</f>
        <v/>
      </c>
      <c r="V5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3" s="5">
        <f>IF(tblOrdenes[[#This Row],[centro_costo]]="","",_xlfn.XLOOKUP(tblOrdenes[[#This Row],[centro_costo]],tblCECO[codigo],tblCECO[linea],"(sin catálogo)"))</f>
        <v/>
      </c>
      <c r="X563" s="5">
        <f>IF(tblOrdenes[[#This Row],[centro_costo]]="","",_xlfn.XLOOKUP(tblOrdenes[[#This Row],[centro_costo]],tblCECO[codigo],tblCECO[area],"(sin catálogo)"))</f>
        <v/>
      </c>
      <c r="Y5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3" s="5">
        <f>IF(tblOrdenes[[#This Row],[centro_costo]]="","",_xlfn.XLOOKUP(tblOrdenes[[#This Row],[centro_costo]],tblCECO[codigo],tblCECO[coordinador],"(sin catálogo)"))</f>
        <v/>
      </c>
      <c r="AA563" s="5">
        <f>IF(tblOrdenes[[#This Row],[puesto_trabajo]]="","",_xlfn.XLOOKUP(tblOrdenes[[#This Row],[puesto_trabajo]],tblPuestos[codigo],tblPuestos[especialidad],"(sin catálogo)"))</f>
        <v/>
      </c>
      <c r="AB563" s="5">
        <f>IF(tblOrdenes[[#This Row],[cod_actividad]]="","",_xlfn.XLOOKUP(tblOrdenes[[#This Row],[cod_actividad]],tblActividades[codigo],tblActividades[descripcion],"(sin catálogo)"))</f>
        <v/>
      </c>
      <c r="AC563" s="20">
        <f>IF(tblOrdenes[[#This Row],[fecha_inicio]]="","",TODAY()-tblOrdenes[[#This Row],[fecha_inicio]])</f>
        <v/>
      </c>
      <c r="AD5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3" s="5">
        <f>IF(tblOrdenes[[#This Row],[backlog_habiles]]="","",IF(tblOrdenes[[#This Row],[backlog_habiles]]&lt;0,"FUTURO",IF(tblOrdenes[[#This Row],[backlog_habiles]]&gt;p_dias_backlog_max,"BACKLOG","MES CORRIENTE")))</f>
        <v/>
      </c>
      <c r="AF563" s="5">
        <f>IF(tblOrdenes[[#This Row],[backlog_habiles]]="",FALSE,AND(tblOrdenes[[#This Row],[backlog_habiles]]&gt;p_dias_backlog_min,tblOrdenes[[#This Row],[backlog_habiles]]&lt;=p_dias_backlog_max))</f>
        <v/>
      </c>
      <c r="AG563" s="4" t="n"/>
      <c r="AH5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3" s="18">
        <f>IF(tblOrdenes[[#This Row],[orden]]="","",_xlfn.XLOOKUP(tblOrdenes[[#This Row],[id_operacion]],tblEjecucion[id_operacion],tblEjecucion[precio],0))</f>
        <v/>
      </c>
      <c r="AL563" s="18">
        <f>IF(tblOrdenes[[#This Row],[orden]]="","",MAX(0,_xlfn.XLOOKUP(tblOrdenes[[#This Row],[id_operacion]],tblEjecucion[id_operacion],tblEjecucion[costo_plan_total],0)-tblOrdenes[[#This Row],[costo_servicio]]))</f>
        <v/>
      </c>
      <c r="AM563" s="18">
        <f>IF(tblOrdenes[[#This Row],[orden]]="","",tblOrdenes[[#This Row],[costo_servicio]]+tblOrdenes[[#This Row],[costo_materiales]])</f>
        <v/>
      </c>
      <c r="AN5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3" s="4" t="n"/>
      <c r="AP563" s="4" t="n"/>
      <c r="AQ563" s="4" t="n"/>
      <c r="AR563" s="5">
        <f>IF(tblOrdenes[[#This Row],[link_checklist]]="","",HYPERLINK(p_ruta_base_checklists&amp;tblOrdenes[[#This Row],[link_checklist]],"abrir"))</f>
        <v/>
      </c>
      <c r="AS563" s="4" t="n"/>
      <c r="AT563" s="5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22" t="n"/>
      <c r="K564" s="5" t="n"/>
      <c r="L564" s="18" t="n"/>
      <c r="M5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5">
        <f>IF(tblOrdenes[[#This Row],[fecha_inicio]]="","",YEAR(tblOrdenes[[#This Row],[fecha_inicio]]))</f>
        <v/>
      </c>
      <c r="Q564" s="5">
        <f>IF(tblOrdenes[[#This Row],[fecha_inicio]]="","",MONTH(tblOrdenes[[#This Row],[fecha_inicio]]))</f>
        <v/>
      </c>
      <c r="R564" s="5">
        <f>IF(tblOrdenes[[#This Row],[fecha_inicio]]="","",tblOrdenes[[#This Row],[anio]]&amp;"-"&amp;TEXT(tblOrdenes[[#This Row],[mes]],"00"))</f>
        <v/>
      </c>
      <c r="S564" s="5">
        <f>IF(tblOrdenes[[#This Row],[fecha_inicio]]="","",INDEX(lista_dias,WEEKDAY(tblOrdenes[[#This Row],[fecha_inicio]],2)))</f>
        <v/>
      </c>
      <c r="T5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4" s="5">
        <f>IF(tblOrdenes[[#This Row],[tipo_ot]]="","",_xlfn.XLOOKUP(tblOrdenes[[#This Row],[tipo_ot]],tblTiposOT[codigo],tblTiposOT[clasificacion],"sin_clasificar"))</f>
        <v/>
      </c>
      <c r="V5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4" s="5">
        <f>IF(tblOrdenes[[#This Row],[centro_costo]]="","",_xlfn.XLOOKUP(tblOrdenes[[#This Row],[centro_costo]],tblCECO[codigo],tblCECO[linea],"(sin catálogo)"))</f>
        <v/>
      </c>
      <c r="X564" s="5">
        <f>IF(tblOrdenes[[#This Row],[centro_costo]]="","",_xlfn.XLOOKUP(tblOrdenes[[#This Row],[centro_costo]],tblCECO[codigo],tblCECO[area],"(sin catálogo)"))</f>
        <v/>
      </c>
      <c r="Y5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4" s="5">
        <f>IF(tblOrdenes[[#This Row],[centro_costo]]="","",_xlfn.XLOOKUP(tblOrdenes[[#This Row],[centro_costo]],tblCECO[codigo],tblCECO[coordinador],"(sin catálogo)"))</f>
        <v/>
      </c>
      <c r="AA564" s="5">
        <f>IF(tblOrdenes[[#This Row],[puesto_trabajo]]="","",_xlfn.XLOOKUP(tblOrdenes[[#This Row],[puesto_trabajo]],tblPuestos[codigo],tblPuestos[especialidad],"(sin catálogo)"))</f>
        <v/>
      </c>
      <c r="AB564" s="5">
        <f>IF(tblOrdenes[[#This Row],[cod_actividad]]="","",_xlfn.XLOOKUP(tblOrdenes[[#This Row],[cod_actividad]],tblActividades[codigo],tblActividades[descripcion],"(sin catálogo)"))</f>
        <v/>
      </c>
      <c r="AC564" s="20">
        <f>IF(tblOrdenes[[#This Row],[fecha_inicio]]="","",TODAY()-tblOrdenes[[#This Row],[fecha_inicio]])</f>
        <v/>
      </c>
      <c r="AD5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4" s="5">
        <f>IF(tblOrdenes[[#This Row],[backlog_habiles]]="","",IF(tblOrdenes[[#This Row],[backlog_habiles]]&lt;0,"FUTURO",IF(tblOrdenes[[#This Row],[backlog_habiles]]&gt;p_dias_backlog_max,"BACKLOG","MES CORRIENTE")))</f>
        <v/>
      </c>
      <c r="AF564" s="5">
        <f>IF(tblOrdenes[[#This Row],[backlog_habiles]]="",FALSE,AND(tblOrdenes[[#This Row],[backlog_habiles]]&gt;p_dias_backlog_min,tblOrdenes[[#This Row],[backlog_habiles]]&lt;=p_dias_backlog_max))</f>
        <v/>
      </c>
      <c r="AG564" s="4" t="n"/>
      <c r="AH5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4" s="18">
        <f>IF(tblOrdenes[[#This Row],[orden]]="","",_xlfn.XLOOKUP(tblOrdenes[[#This Row],[id_operacion]],tblEjecucion[id_operacion],tblEjecucion[precio],0))</f>
        <v/>
      </c>
      <c r="AL564" s="18">
        <f>IF(tblOrdenes[[#This Row],[orden]]="","",MAX(0,_xlfn.XLOOKUP(tblOrdenes[[#This Row],[id_operacion]],tblEjecucion[id_operacion],tblEjecucion[costo_plan_total],0)-tblOrdenes[[#This Row],[costo_servicio]]))</f>
        <v/>
      </c>
      <c r="AM564" s="18">
        <f>IF(tblOrdenes[[#This Row],[orden]]="","",tblOrdenes[[#This Row],[costo_servicio]]+tblOrdenes[[#This Row],[costo_materiales]])</f>
        <v/>
      </c>
      <c r="AN5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4" s="4" t="n"/>
      <c r="AP564" s="4" t="n"/>
      <c r="AQ564" s="4" t="n"/>
      <c r="AR564" s="5">
        <f>IF(tblOrdenes[[#This Row],[link_checklist]]="","",HYPERLINK(p_ruta_base_checklists&amp;tblOrdenes[[#This Row],[link_checklist]],"abrir"))</f>
        <v/>
      </c>
      <c r="AS564" s="4" t="n"/>
      <c r="AT564" s="5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22" t="n"/>
      <c r="K565" s="5" t="n"/>
      <c r="L565" s="18" t="n"/>
      <c r="M5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5">
        <f>IF(tblOrdenes[[#This Row],[fecha_inicio]]="","",YEAR(tblOrdenes[[#This Row],[fecha_inicio]]))</f>
        <v/>
      </c>
      <c r="Q565" s="5">
        <f>IF(tblOrdenes[[#This Row],[fecha_inicio]]="","",MONTH(tblOrdenes[[#This Row],[fecha_inicio]]))</f>
        <v/>
      </c>
      <c r="R565" s="5">
        <f>IF(tblOrdenes[[#This Row],[fecha_inicio]]="","",tblOrdenes[[#This Row],[anio]]&amp;"-"&amp;TEXT(tblOrdenes[[#This Row],[mes]],"00"))</f>
        <v/>
      </c>
      <c r="S565" s="5">
        <f>IF(tblOrdenes[[#This Row],[fecha_inicio]]="","",INDEX(lista_dias,WEEKDAY(tblOrdenes[[#This Row],[fecha_inicio]],2)))</f>
        <v/>
      </c>
      <c r="T5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5" s="5">
        <f>IF(tblOrdenes[[#This Row],[tipo_ot]]="","",_xlfn.XLOOKUP(tblOrdenes[[#This Row],[tipo_ot]],tblTiposOT[codigo],tblTiposOT[clasificacion],"sin_clasificar"))</f>
        <v/>
      </c>
      <c r="V5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5" s="5">
        <f>IF(tblOrdenes[[#This Row],[centro_costo]]="","",_xlfn.XLOOKUP(tblOrdenes[[#This Row],[centro_costo]],tblCECO[codigo],tblCECO[linea],"(sin catálogo)"))</f>
        <v/>
      </c>
      <c r="X565" s="5">
        <f>IF(tblOrdenes[[#This Row],[centro_costo]]="","",_xlfn.XLOOKUP(tblOrdenes[[#This Row],[centro_costo]],tblCECO[codigo],tblCECO[area],"(sin catálogo)"))</f>
        <v/>
      </c>
      <c r="Y5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5" s="5">
        <f>IF(tblOrdenes[[#This Row],[centro_costo]]="","",_xlfn.XLOOKUP(tblOrdenes[[#This Row],[centro_costo]],tblCECO[codigo],tblCECO[coordinador],"(sin catálogo)"))</f>
        <v/>
      </c>
      <c r="AA565" s="5">
        <f>IF(tblOrdenes[[#This Row],[puesto_trabajo]]="","",_xlfn.XLOOKUP(tblOrdenes[[#This Row],[puesto_trabajo]],tblPuestos[codigo],tblPuestos[especialidad],"(sin catálogo)"))</f>
        <v/>
      </c>
      <c r="AB565" s="5">
        <f>IF(tblOrdenes[[#This Row],[cod_actividad]]="","",_xlfn.XLOOKUP(tblOrdenes[[#This Row],[cod_actividad]],tblActividades[codigo],tblActividades[descripcion],"(sin catálogo)"))</f>
        <v/>
      </c>
      <c r="AC565" s="20">
        <f>IF(tblOrdenes[[#This Row],[fecha_inicio]]="","",TODAY()-tblOrdenes[[#This Row],[fecha_inicio]])</f>
        <v/>
      </c>
      <c r="AD5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5" s="5">
        <f>IF(tblOrdenes[[#This Row],[backlog_habiles]]="","",IF(tblOrdenes[[#This Row],[backlog_habiles]]&lt;0,"FUTURO",IF(tblOrdenes[[#This Row],[backlog_habiles]]&gt;p_dias_backlog_max,"BACKLOG","MES CORRIENTE")))</f>
        <v/>
      </c>
      <c r="AF565" s="5">
        <f>IF(tblOrdenes[[#This Row],[backlog_habiles]]="",FALSE,AND(tblOrdenes[[#This Row],[backlog_habiles]]&gt;p_dias_backlog_min,tblOrdenes[[#This Row],[backlog_habiles]]&lt;=p_dias_backlog_max))</f>
        <v/>
      </c>
      <c r="AG565" s="4" t="n"/>
      <c r="AH5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5" s="18">
        <f>IF(tblOrdenes[[#This Row],[orden]]="","",_xlfn.XLOOKUP(tblOrdenes[[#This Row],[id_operacion]],tblEjecucion[id_operacion],tblEjecucion[precio],0))</f>
        <v/>
      </c>
      <c r="AL565" s="18">
        <f>IF(tblOrdenes[[#This Row],[orden]]="","",MAX(0,_xlfn.XLOOKUP(tblOrdenes[[#This Row],[id_operacion]],tblEjecucion[id_operacion],tblEjecucion[costo_plan_total],0)-tblOrdenes[[#This Row],[costo_servicio]]))</f>
        <v/>
      </c>
      <c r="AM565" s="18">
        <f>IF(tblOrdenes[[#This Row],[orden]]="","",tblOrdenes[[#This Row],[costo_servicio]]+tblOrdenes[[#This Row],[costo_materiales]])</f>
        <v/>
      </c>
      <c r="AN5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5" s="4" t="n"/>
      <c r="AP565" s="4" t="n"/>
      <c r="AQ565" s="4" t="n"/>
      <c r="AR565" s="5">
        <f>IF(tblOrdenes[[#This Row],[link_checklist]]="","",HYPERLINK(p_ruta_base_checklists&amp;tblOrdenes[[#This Row],[link_checklist]],"abrir"))</f>
        <v/>
      </c>
      <c r="AS565" s="4" t="n"/>
      <c r="AT565" s="5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22" t="n"/>
      <c r="K566" s="5" t="n"/>
      <c r="L566" s="18" t="n"/>
      <c r="M5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5">
        <f>IF(tblOrdenes[[#This Row],[fecha_inicio]]="","",YEAR(tblOrdenes[[#This Row],[fecha_inicio]]))</f>
        <v/>
      </c>
      <c r="Q566" s="5">
        <f>IF(tblOrdenes[[#This Row],[fecha_inicio]]="","",MONTH(tblOrdenes[[#This Row],[fecha_inicio]]))</f>
        <v/>
      </c>
      <c r="R566" s="5">
        <f>IF(tblOrdenes[[#This Row],[fecha_inicio]]="","",tblOrdenes[[#This Row],[anio]]&amp;"-"&amp;TEXT(tblOrdenes[[#This Row],[mes]],"00"))</f>
        <v/>
      </c>
      <c r="S566" s="5">
        <f>IF(tblOrdenes[[#This Row],[fecha_inicio]]="","",INDEX(lista_dias,WEEKDAY(tblOrdenes[[#This Row],[fecha_inicio]],2)))</f>
        <v/>
      </c>
      <c r="T5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6" s="5">
        <f>IF(tblOrdenes[[#This Row],[tipo_ot]]="","",_xlfn.XLOOKUP(tblOrdenes[[#This Row],[tipo_ot]],tblTiposOT[codigo],tblTiposOT[clasificacion],"sin_clasificar"))</f>
        <v/>
      </c>
      <c r="V5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6" s="5">
        <f>IF(tblOrdenes[[#This Row],[centro_costo]]="","",_xlfn.XLOOKUP(tblOrdenes[[#This Row],[centro_costo]],tblCECO[codigo],tblCECO[linea],"(sin catálogo)"))</f>
        <v/>
      </c>
      <c r="X566" s="5">
        <f>IF(tblOrdenes[[#This Row],[centro_costo]]="","",_xlfn.XLOOKUP(tblOrdenes[[#This Row],[centro_costo]],tblCECO[codigo],tblCECO[area],"(sin catálogo)"))</f>
        <v/>
      </c>
      <c r="Y5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6" s="5">
        <f>IF(tblOrdenes[[#This Row],[centro_costo]]="","",_xlfn.XLOOKUP(tblOrdenes[[#This Row],[centro_costo]],tblCECO[codigo],tblCECO[coordinador],"(sin catálogo)"))</f>
        <v/>
      </c>
      <c r="AA566" s="5">
        <f>IF(tblOrdenes[[#This Row],[puesto_trabajo]]="","",_xlfn.XLOOKUP(tblOrdenes[[#This Row],[puesto_trabajo]],tblPuestos[codigo],tblPuestos[especialidad],"(sin catálogo)"))</f>
        <v/>
      </c>
      <c r="AB566" s="5">
        <f>IF(tblOrdenes[[#This Row],[cod_actividad]]="","",_xlfn.XLOOKUP(tblOrdenes[[#This Row],[cod_actividad]],tblActividades[codigo],tblActividades[descripcion],"(sin catálogo)"))</f>
        <v/>
      </c>
      <c r="AC566" s="20">
        <f>IF(tblOrdenes[[#This Row],[fecha_inicio]]="","",TODAY()-tblOrdenes[[#This Row],[fecha_inicio]])</f>
        <v/>
      </c>
      <c r="AD5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6" s="5">
        <f>IF(tblOrdenes[[#This Row],[backlog_habiles]]="","",IF(tblOrdenes[[#This Row],[backlog_habiles]]&lt;0,"FUTURO",IF(tblOrdenes[[#This Row],[backlog_habiles]]&gt;p_dias_backlog_max,"BACKLOG","MES CORRIENTE")))</f>
        <v/>
      </c>
      <c r="AF566" s="5">
        <f>IF(tblOrdenes[[#This Row],[backlog_habiles]]="",FALSE,AND(tblOrdenes[[#This Row],[backlog_habiles]]&gt;p_dias_backlog_min,tblOrdenes[[#This Row],[backlog_habiles]]&lt;=p_dias_backlog_max))</f>
        <v/>
      </c>
      <c r="AG566" s="4" t="n"/>
      <c r="AH5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6" s="18">
        <f>IF(tblOrdenes[[#This Row],[orden]]="","",_xlfn.XLOOKUP(tblOrdenes[[#This Row],[id_operacion]],tblEjecucion[id_operacion],tblEjecucion[precio],0))</f>
        <v/>
      </c>
      <c r="AL566" s="18">
        <f>IF(tblOrdenes[[#This Row],[orden]]="","",MAX(0,_xlfn.XLOOKUP(tblOrdenes[[#This Row],[id_operacion]],tblEjecucion[id_operacion],tblEjecucion[costo_plan_total],0)-tblOrdenes[[#This Row],[costo_servicio]]))</f>
        <v/>
      </c>
      <c r="AM566" s="18">
        <f>IF(tblOrdenes[[#This Row],[orden]]="","",tblOrdenes[[#This Row],[costo_servicio]]+tblOrdenes[[#This Row],[costo_materiales]])</f>
        <v/>
      </c>
      <c r="AN5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6" s="4" t="n"/>
      <c r="AP566" s="4" t="n"/>
      <c r="AQ566" s="4" t="n"/>
      <c r="AR566" s="5">
        <f>IF(tblOrdenes[[#This Row],[link_checklist]]="","",HYPERLINK(p_ruta_base_checklists&amp;tblOrdenes[[#This Row],[link_checklist]],"abrir"))</f>
        <v/>
      </c>
      <c r="AS566" s="4" t="n"/>
      <c r="AT566" s="5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22" t="n"/>
      <c r="K567" s="5" t="n"/>
      <c r="L567" s="18" t="n"/>
      <c r="M5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5">
        <f>IF(tblOrdenes[[#This Row],[fecha_inicio]]="","",YEAR(tblOrdenes[[#This Row],[fecha_inicio]]))</f>
        <v/>
      </c>
      <c r="Q567" s="5">
        <f>IF(tblOrdenes[[#This Row],[fecha_inicio]]="","",MONTH(tblOrdenes[[#This Row],[fecha_inicio]]))</f>
        <v/>
      </c>
      <c r="R567" s="5">
        <f>IF(tblOrdenes[[#This Row],[fecha_inicio]]="","",tblOrdenes[[#This Row],[anio]]&amp;"-"&amp;TEXT(tblOrdenes[[#This Row],[mes]],"00"))</f>
        <v/>
      </c>
      <c r="S567" s="5">
        <f>IF(tblOrdenes[[#This Row],[fecha_inicio]]="","",INDEX(lista_dias,WEEKDAY(tblOrdenes[[#This Row],[fecha_inicio]],2)))</f>
        <v/>
      </c>
      <c r="T5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7" s="5">
        <f>IF(tblOrdenes[[#This Row],[tipo_ot]]="","",_xlfn.XLOOKUP(tblOrdenes[[#This Row],[tipo_ot]],tblTiposOT[codigo],tblTiposOT[clasificacion],"sin_clasificar"))</f>
        <v/>
      </c>
      <c r="V5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7" s="5">
        <f>IF(tblOrdenes[[#This Row],[centro_costo]]="","",_xlfn.XLOOKUP(tblOrdenes[[#This Row],[centro_costo]],tblCECO[codigo],tblCECO[linea],"(sin catálogo)"))</f>
        <v/>
      </c>
      <c r="X567" s="5">
        <f>IF(tblOrdenes[[#This Row],[centro_costo]]="","",_xlfn.XLOOKUP(tblOrdenes[[#This Row],[centro_costo]],tblCECO[codigo],tblCECO[area],"(sin catálogo)"))</f>
        <v/>
      </c>
      <c r="Y5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7" s="5">
        <f>IF(tblOrdenes[[#This Row],[centro_costo]]="","",_xlfn.XLOOKUP(tblOrdenes[[#This Row],[centro_costo]],tblCECO[codigo],tblCECO[coordinador],"(sin catálogo)"))</f>
        <v/>
      </c>
      <c r="AA567" s="5">
        <f>IF(tblOrdenes[[#This Row],[puesto_trabajo]]="","",_xlfn.XLOOKUP(tblOrdenes[[#This Row],[puesto_trabajo]],tblPuestos[codigo],tblPuestos[especialidad],"(sin catálogo)"))</f>
        <v/>
      </c>
      <c r="AB567" s="5">
        <f>IF(tblOrdenes[[#This Row],[cod_actividad]]="","",_xlfn.XLOOKUP(tblOrdenes[[#This Row],[cod_actividad]],tblActividades[codigo],tblActividades[descripcion],"(sin catálogo)"))</f>
        <v/>
      </c>
      <c r="AC567" s="20">
        <f>IF(tblOrdenes[[#This Row],[fecha_inicio]]="","",TODAY()-tblOrdenes[[#This Row],[fecha_inicio]])</f>
        <v/>
      </c>
      <c r="AD5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7" s="5">
        <f>IF(tblOrdenes[[#This Row],[backlog_habiles]]="","",IF(tblOrdenes[[#This Row],[backlog_habiles]]&lt;0,"FUTURO",IF(tblOrdenes[[#This Row],[backlog_habiles]]&gt;p_dias_backlog_max,"BACKLOG","MES CORRIENTE")))</f>
        <v/>
      </c>
      <c r="AF567" s="5">
        <f>IF(tblOrdenes[[#This Row],[backlog_habiles]]="",FALSE,AND(tblOrdenes[[#This Row],[backlog_habiles]]&gt;p_dias_backlog_min,tblOrdenes[[#This Row],[backlog_habiles]]&lt;=p_dias_backlog_max))</f>
        <v/>
      </c>
      <c r="AG567" s="4" t="n"/>
      <c r="AH5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7" s="18">
        <f>IF(tblOrdenes[[#This Row],[orden]]="","",_xlfn.XLOOKUP(tblOrdenes[[#This Row],[id_operacion]],tblEjecucion[id_operacion],tblEjecucion[precio],0))</f>
        <v/>
      </c>
      <c r="AL567" s="18">
        <f>IF(tblOrdenes[[#This Row],[orden]]="","",MAX(0,_xlfn.XLOOKUP(tblOrdenes[[#This Row],[id_operacion]],tblEjecucion[id_operacion],tblEjecucion[costo_plan_total],0)-tblOrdenes[[#This Row],[costo_servicio]]))</f>
        <v/>
      </c>
      <c r="AM567" s="18">
        <f>IF(tblOrdenes[[#This Row],[orden]]="","",tblOrdenes[[#This Row],[costo_servicio]]+tblOrdenes[[#This Row],[costo_materiales]])</f>
        <v/>
      </c>
      <c r="AN5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7" s="4" t="n"/>
      <c r="AP567" s="4" t="n"/>
      <c r="AQ567" s="4" t="n"/>
      <c r="AR567" s="5">
        <f>IF(tblOrdenes[[#This Row],[link_checklist]]="","",HYPERLINK(p_ruta_base_checklists&amp;tblOrdenes[[#This Row],[link_checklist]],"abrir"))</f>
        <v/>
      </c>
      <c r="AS567" s="4" t="n"/>
      <c r="AT567" s="5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22" t="n"/>
      <c r="K568" s="5" t="n"/>
      <c r="L568" s="18" t="n"/>
      <c r="M5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5">
        <f>IF(tblOrdenes[[#This Row],[fecha_inicio]]="","",YEAR(tblOrdenes[[#This Row],[fecha_inicio]]))</f>
        <v/>
      </c>
      <c r="Q568" s="5">
        <f>IF(tblOrdenes[[#This Row],[fecha_inicio]]="","",MONTH(tblOrdenes[[#This Row],[fecha_inicio]]))</f>
        <v/>
      </c>
      <c r="R568" s="5">
        <f>IF(tblOrdenes[[#This Row],[fecha_inicio]]="","",tblOrdenes[[#This Row],[anio]]&amp;"-"&amp;TEXT(tblOrdenes[[#This Row],[mes]],"00"))</f>
        <v/>
      </c>
      <c r="S568" s="5">
        <f>IF(tblOrdenes[[#This Row],[fecha_inicio]]="","",INDEX(lista_dias,WEEKDAY(tblOrdenes[[#This Row],[fecha_inicio]],2)))</f>
        <v/>
      </c>
      <c r="T5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8" s="5">
        <f>IF(tblOrdenes[[#This Row],[tipo_ot]]="","",_xlfn.XLOOKUP(tblOrdenes[[#This Row],[tipo_ot]],tblTiposOT[codigo],tblTiposOT[clasificacion],"sin_clasificar"))</f>
        <v/>
      </c>
      <c r="V5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8" s="5">
        <f>IF(tblOrdenes[[#This Row],[centro_costo]]="","",_xlfn.XLOOKUP(tblOrdenes[[#This Row],[centro_costo]],tblCECO[codigo],tblCECO[linea],"(sin catálogo)"))</f>
        <v/>
      </c>
      <c r="X568" s="5">
        <f>IF(tblOrdenes[[#This Row],[centro_costo]]="","",_xlfn.XLOOKUP(tblOrdenes[[#This Row],[centro_costo]],tblCECO[codigo],tblCECO[area],"(sin catálogo)"))</f>
        <v/>
      </c>
      <c r="Y5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8" s="5">
        <f>IF(tblOrdenes[[#This Row],[centro_costo]]="","",_xlfn.XLOOKUP(tblOrdenes[[#This Row],[centro_costo]],tblCECO[codigo],tblCECO[coordinador],"(sin catálogo)"))</f>
        <v/>
      </c>
      <c r="AA568" s="5">
        <f>IF(tblOrdenes[[#This Row],[puesto_trabajo]]="","",_xlfn.XLOOKUP(tblOrdenes[[#This Row],[puesto_trabajo]],tblPuestos[codigo],tblPuestos[especialidad],"(sin catálogo)"))</f>
        <v/>
      </c>
      <c r="AB568" s="5">
        <f>IF(tblOrdenes[[#This Row],[cod_actividad]]="","",_xlfn.XLOOKUP(tblOrdenes[[#This Row],[cod_actividad]],tblActividades[codigo],tblActividades[descripcion],"(sin catálogo)"))</f>
        <v/>
      </c>
      <c r="AC568" s="20">
        <f>IF(tblOrdenes[[#This Row],[fecha_inicio]]="","",TODAY()-tblOrdenes[[#This Row],[fecha_inicio]])</f>
        <v/>
      </c>
      <c r="AD5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8" s="5">
        <f>IF(tblOrdenes[[#This Row],[backlog_habiles]]="","",IF(tblOrdenes[[#This Row],[backlog_habiles]]&lt;0,"FUTURO",IF(tblOrdenes[[#This Row],[backlog_habiles]]&gt;p_dias_backlog_max,"BACKLOG","MES CORRIENTE")))</f>
        <v/>
      </c>
      <c r="AF568" s="5">
        <f>IF(tblOrdenes[[#This Row],[backlog_habiles]]="",FALSE,AND(tblOrdenes[[#This Row],[backlog_habiles]]&gt;p_dias_backlog_min,tblOrdenes[[#This Row],[backlog_habiles]]&lt;=p_dias_backlog_max))</f>
        <v/>
      </c>
      <c r="AG568" s="4" t="n"/>
      <c r="AH5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8" s="18">
        <f>IF(tblOrdenes[[#This Row],[orden]]="","",_xlfn.XLOOKUP(tblOrdenes[[#This Row],[id_operacion]],tblEjecucion[id_operacion],tblEjecucion[precio],0))</f>
        <v/>
      </c>
      <c r="AL568" s="18">
        <f>IF(tblOrdenes[[#This Row],[orden]]="","",MAX(0,_xlfn.XLOOKUP(tblOrdenes[[#This Row],[id_operacion]],tblEjecucion[id_operacion],tblEjecucion[costo_plan_total],0)-tblOrdenes[[#This Row],[costo_servicio]]))</f>
        <v/>
      </c>
      <c r="AM568" s="18">
        <f>IF(tblOrdenes[[#This Row],[orden]]="","",tblOrdenes[[#This Row],[costo_servicio]]+tblOrdenes[[#This Row],[costo_materiales]])</f>
        <v/>
      </c>
      <c r="AN5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8" s="4" t="n"/>
      <c r="AP568" s="4" t="n"/>
      <c r="AQ568" s="4" t="n"/>
      <c r="AR568" s="5">
        <f>IF(tblOrdenes[[#This Row],[link_checklist]]="","",HYPERLINK(p_ruta_base_checklists&amp;tblOrdenes[[#This Row],[link_checklist]],"abrir"))</f>
        <v/>
      </c>
      <c r="AS568" s="4" t="n"/>
      <c r="AT568" s="5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22" t="n"/>
      <c r="K569" s="5" t="n"/>
      <c r="L569" s="18" t="n"/>
      <c r="M5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5">
        <f>IF(tblOrdenes[[#This Row],[fecha_inicio]]="","",YEAR(tblOrdenes[[#This Row],[fecha_inicio]]))</f>
        <v/>
      </c>
      <c r="Q569" s="5">
        <f>IF(tblOrdenes[[#This Row],[fecha_inicio]]="","",MONTH(tblOrdenes[[#This Row],[fecha_inicio]]))</f>
        <v/>
      </c>
      <c r="R569" s="5">
        <f>IF(tblOrdenes[[#This Row],[fecha_inicio]]="","",tblOrdenes[[#This Row],[anio]]&amp;"-"&amp;TEXT(tblOrdenes[[#This Row],[mes]],"00"))</f>
        <v/>
      </c>
      <c r="S569" s="5">
        <f>IF(tblOrdenes[[#This Row],[fecha_inicio]]="","",INDEX(lista_dias,WEEKDAY(tblOrdenes[[#This Row],[fecha_inicio]],2)))</f>
        <v/>
      </c>
      <c r="T5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9" s="5">
        <f>IF(tblOrdenes[[#This Row],[tipo_ot]]="","",_xlfn.XLOOKUP(tblOrdenes[[#This Row],[tipo_ot]],tblTiposOT[codigo],tblTiposOT[clasificacion],"sin_clasificar"))</f>
        <v/>
      </c>
      <c r="V5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9" s="5">
        <f>IF(tblOrdenes[[#This Row],[centro_costo]]="","",_xlfn.XLOOKUP(tblOrdenes[[#This Row],[centro_costo]],tblCECO[codigo],tblCECO[linea],"(sin catálogo)"))</f>
        <v/>
      </c>
      <c r="X569" s="5">
        <f>IF(tblOrdenes[[#This Row],[centro_costo]]="","",_xlfn.XLOOKUP(tblOrdenes[[#This Row],[centro_costo]],tblCECO[codigo],tblCECO[area],"(sin catálogo)"))</f>
        <v/>
      </c>
      <c r="Y5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69" s="5">
        <f>IF(tblOrdenes[[#This Row],[centro_costo]]="","",_xlfn.XLOOKUP(tblOrdenes[[#This Row],[centro_costo]],tblCECO[codigo],tblCECO[coordinador],"(sin catálogo)"))</f>
        <v/>
      </c>
      <c r="AA569" s="5">
        <f>IF(tblOrdenes[[#This Row],[puesto_trabajo]]="","",_xlfn.XLOOKUP(tblOrdenes[[#This Row],[puesto_trabajo]],tblPuestos[codigo],tblPuestos[especialidad],"(sin catálogo)"))</f>
        <v/>
      </c>
      <c r="AB569" s="5">
        <f>IF(tblOrdenes[[#This Row],[cod_actividad]]="","",_xlfn.XLOOKUP(tblOrdenes[[#This Row],[cod_actividad]],tblActividades[codigo],tblActividades[descripcion],"(sin catálogo)"))</f>
        <v/>
      </c>
      <c r="AC569" s="20">
        <f>IF(tblOrdenes[[#This Row],[fecha_inicio]]="","",TODAY()-tblOrdenes[[#This Row],[fecha_inicio]])</f>
        <v/>
      </c>
      <c r="AD5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69" s="5">
        <f>IF(tblOrdenes[[#This Row],[backlog_habiles]]="","",IF(tblOrdenes[[#This Row],[backlog_habiles]]&lt;0,"FUTURO",IF(tblOrdenes[[#This Row],[backlog_habiles]]&gt;p_dias_backlog_max,"BACKLOG","MES CORRIENTE")))</f>
        <v/>
      </c>
      <c r="AF569" s="5">
        <f>IF(tblOrdenes[[#This Row],[backlog_habiles]]="",FALSE,AND(tblOrdenes[[#This Row],[backlog_habiles]]&gt;p_dias_backlog_min,tblOrdenes[[#This Row],[backlog_habiles]]&lt;=p_dias_backlog_max))</f>
        <v/>
      </c>
      <c r="AG569" s="4" t="n"/>
      <c r="AH5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69" s="18">
        <f>IF(tblOrdenes[[#This Row],[orden]]="","",_xlfn.XLOOKUP(tblOrdenes[[#This Row],[id_operacion]],tblEjecucion[id_operacion],tblEjecucion[precio],0))</f>
        <v/>
      </c>
      <c r="AL569" s="18">
        <f>IF(tblOrdenes[[#This Row],[orden]]="","",MAX(0,_xlfn.XLOOKUP(tblOrdenes[[#This Row],[id_operacion]],tblEjecucion[id_operacion],tblEjecucion[costo_plan_total],0)-tblOrdenes[[#This Row],[costo_servicio]]))</f>
        <v/>
      </c>
      <c r="AM569" s="18">
        <f>IF(tblOrdenes[[#This Row],[orden]]="","",tblOrdenes[[#This Row],[costo_servicio]]+tblOrdenes[[#This Row],[costo_materiales]])</f>
        <v/>
      </c>
      <c r="AN5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69" s="4" t="n"/>
      <c r="AP569" s="4" t="n"/>
      <c r="AQ569" s="4" t="n"/>
      <c r="AR569" s="5">
        <f>IF(tblOrdenes[[#This Row],[link_checklist]]="","",HYPERLINK(p_ruta_base_checklists&amp;tblOrdenes[[#This Row],[link_checklist]],"abrir"))</f>
        <v/>
      </c>
      <c r="AS569" s="4" t="n"/>
      <c r="AT569" s="5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22" t="n"/>
      <c r="K570" s="5" t="n"/>
      <c r="L570" s="18" t="n"/>
      <c r="M5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5">
        <f>IF(tblOrdenes[[#This Row],[fecha_inicio]]="","",YEAR(tblOrdenes[[#This Row],[fecha_inicio]]))</f>
        <v/>
      </c>
      <c r="Q570" s="5">
        <f>IF(tblOrdenes[[#This Row],[fecha_inicio]]="","",MONTH(tblOrdenes[[#This Row],[fecha_inicio]]))</f>
        <v/>
      </c>
      <c r="R570" s="5">
        <f>IF(tblOrdenes[[#This Row],[fecha_inicio]]="","",tblOrdenes[[#This Row],[anio]]&amp;"-"&amp;TEXT(tblOrdenes[[#This Row],[mes]],"00"))</f>
        <v/>
      </c>
      <c r="S570" s="5">
        <f>IF(tblOrdenes[[#This Row],[fecha_inicio]]="","",INDEX(lista_dias,WEEKDAY(tblOrdenes[[#This Row],[fecha_inicio]],2)))</f>
        <v/>
      </c>
      <c r="T5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0" s="5">
        <f>IF(tblOrdenes[[#This Row],[tipo_ot]]="","",_xlfn.XLOOKUP(tblOrdenes[[#This Row],[tipo_ot]],tblTiposOT[codigo],tblTiposOT[clasificacion],"sin_clasificar"))</f>
        <v/>
      </c>
      <c r="V5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0" s="5">
        <f>IF(tblOrdenes[[#This Row],[centro_costo]]="","",_xlfn.XLOOKUP(tblOrdenes[[#This Row],[centro_costo]],tblCECO[codigo],tblCECO[linea],"(sin catálogo)"))</f>
        <v/>
      </c>
      <c r="X570" s="5">
        <f>IF(tblOrdenes[[#This Row],[centro_costo]]="","",_xlfn.XLOOKUP(tblOrdenes[[#This Row],[centro_costo]],tblCECO[codigo],tblCECO[area],"(sin catálogo)"))</f>
        <v/>
      </c>
      <c r="Y5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0" s="5">
        <f>IF(tblOrdenes[[#This Row],[centro_costo]]="","",_xlfn.XLOOKUP(tblOrdenes[[#This Row],[centro_costo]],tblCECO[codigo],tblCECO[coordinador],"(sin catálogo)"))</f>
        <v/>
      </c>
      <c r="AA570" s="5">
        <f>IF(tblOrdenes[[#This Row],[puesto_trabajo]]="","",_xlfn.XLOOKUP(tblOrdenes[[#This Row],[puesto_trabajo]],tblPuestos[codigo],tblPuestos[especialidad],"(sin catálogo)"))</f>
        <v/>
      </c>
      <c r="AB570" s="5">
        <f>IF(tblOrdenes[[#This Row],[cod_actividad]]="","",_xlfn.XLOOKUP(tblOrdenes[[#This Row],[cod_actividad]],tblActividades[codigo],tblActividades[descripcion],"(sin catálogo)"))</f>
        <v/>
      </c>
      <c r="AC570" s="20">
        <f>IF(tblOrdenes[[#This Row],[fecha_inicio]]="","",TODAY()-tblOrdenes[[#This Row],[fecha_inicio]])</f>
        <v/>
      </c>
      <c r="AD5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0" s="5">
        <f>IF(tblOrdenes[[#This Row],[backlog_habiles]]="","",IF(tblOrdenes[[#This Row],[backlog_habiles]]&lt;0,"FUTURO",IF(tblOrdenes[[#This Row],[backlog_habiles]]&gt;p_dias_backlog_max,"BACKLOG","MES CORRIENTE")))</f>
        <v/>
      </c>
      <c r="AF570" s="5">
        <f>IF(tblOrdenes[[#This Row],[backlog_habiles]]="",FALSE,AND(tblOrdenes[[#This Row],[backlog_habiles]]&gt;p_dias_backlog_min,tblOrdenes[[#This Row],[backlog_habiles]]&lt;=p_dias_backlog_max))</f>
        <v/>
      </c>
      <c r="AG570" s="4" t="n"/>
      <c r="AH5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0" s="18">
        <f>IF(tblOrdenes[[#This Row],[orden]]="","",_xlfn.XLOOKUP(tblOrdenes[[#This Row],[id_operacion]],tblEjecucion[id_operacion],tblEjecucion[precio],0))</f>
        <v/>
      </c>
      <c r="AL570" s="18">
        <f>IF(tblOrdenes[[#This Row],[orden]]="","",MAX(0,_xlfn.XLOOKUP(tblOrdenes[[#This Row],[id_operacion]],tblEjecucion[id_operacion],tblEjecucion[costo_plan_total],0)-tblOrdenes[[#This Row],[costo_servicio]]))</f>
        <v/>
      </c>
      <c r="AM570" s="18">
        <f>IF(tblOrdenes[[#This Row],[orden]]="","",tblOrdenes[[#This Row],[costo_servicio]]+tblOrdenes[[#This Row],[costo_materiales]])</f>
        <v/>
      </c>
      <c r="AN5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0" s="4" t="n"/>
      <c r="AP570" s="4" t="n"/>
      <c r="AQ570" s="4" t="n"/>
      <c r="AR570" s="5">
        <f>IF(tblOrdenes[[#This Row],[link_checklist]]="","",HYPERLINK(p_ruta_base_checklists&amp;tblOrdenes[[#This Row],[link_checklist]],"abrir"))</f>
        <v/>
      </c>
      <c r="AS570" s="4" t="n"/>
      <c r="AT570" s="5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22" t="n"/>
      <c r="K571" s="5" t="n"/>
      <c r="L571" s="18" t="n"/>
      <c r="M5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5">
        <f>IF(tblOrdenes[[#This Row],[fecha_inicio]]="","",YEAR(tblOrdenes[[#This Row],[fecha_inicio]]))</f>
        <v/>
      </c>
      <c r="Q571" s="5">
        <f>IF(tblOrdenes[[#This Row],[fecha_inicio]]="","",MONTH(tblOrdenes[[#This Row],[fecha_inicio]]))</f>
        <v/>
      </c>
      <c r="R571" s="5">
        <f>IF(tblOrdenes[[#This Row],[fecha_inicio]]="","",tblOrdenes[[#This Row],[anio]]&amp;"-"&amp;TEXT(tblOrdenes[[#This Row],[mes]],"00"))</f>
        <v/>
      </c>
      <c r="S571" s="5">
        <f>IF(tblOrdenes[[#This Row],[fecha_inicio]]="","",INDEX(lista_dias,WEEKDAY(tblOrdenes[[#This Row],[fecha_inicio]],2)))</f>
        <v/>
      </c>
      <c r="T5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1" s="5">
        <f>IF(tblOrdenes[[#This Row],[tipo_ot]]="","",_xlfn.XLOOKUP(tblOrdenes[[#This Row],[tipo_ot]],tblTiposOT[codigo],tblTiposOT[clasificacion],"sin_clasificar"))</f>
        <v/>
      </c>
      <c r="V5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1" s="5">
        <f>IF(tblOrdenes[[#This Row],[centro_costo]]="","",_xlfn.XLOOKUP(tblOrdenes[[#This Row],[centro_costo]],tblCECO[codigo],tblCECO[linea],"(sin catálogo)"))</f>
        <v/>
      </c>
      <c r="X571" s="5">
        <f>IF(tblOrdenes[[#This Row],[centro_costo]]="","",_xlfn.XLOOKUP(tblOrdenes[[#This Row],[centro_costo]],tblCECO[codigo],tblCECO[area],"(sin catálogo)"))</f>
        <v/>
      </c>
      <c r="Y5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1" s="5">
        <f>IF(tblOrdenes[[#This Row],[centro_costo]]="","",_xlfn.XLOOKUP(tblOrdenes[[#This Row],[centro_costo]],tblCECO[codigo],tblCECO[coordinador],"(sin catálogo)"))</f>
        <v/>
      </c>
      <c r="AA571" s="5">
        <f>IF(tblOrdenes[[#This Row],[puesto_trabajo]]="","",_xlfn.XLOOKUP(tblOrdenes[[#This Row],[puesto_trabajo]],tblPuestos[codigo],tblPuestos[especialidad],"(sin catálogo)"))</f>
        <v/>
      </c>
      <c r="AB571" s="5">
        <f>IF(tblOrdenes[[#This Row],[cod_actividad]]="","",_xlfn.XLOOKUP(tblOrdenes[[#This Row],[cod_actividad]],tblActividades[codigo],tblActividades[descripcion],"(sin catálogo)"))</f>
        <v/>
      </c>
      <c r="AC571" s="20">
        <f>IF(tblOrdenes[[#This Row],[fecha_inicio]]="","",TODAY()-tblOrdenes[[#This Row],[fecha_inicio]])</f>
        <v/>
      </c>
      <c r="AD5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1" s="5">
        <f>IF(tblOrdenes[[#This Row],[backlog_habiles]]="","",IF(tblOrdenes[[#This Row],[backlog_habiles]]&lt;0,"FUTURO",IF(tblOrdenes[[#This Row],[backlog_habiles]]&gt;p_dias_backlog_max,"BACKLOG","MES CORRIENTE")))</f>
        <v/>
      </c>
      <c r="AF571" s="5">
        <f>IF(tblOrdenes[[#This Row],[backlog_habiles]]="",FALSE,AND(tblOrdenes[[#This Row],[backlog_habiles]]&gt;p_dias_backlog_min,tblOrdenes[[#This Row],[backlog_habiles]]&lt;=p_dias_backlog_max))</f>
        <v/>
      </c>
      <c r="AG571" s="4" t="n"/>
      <c r="AH5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1" s="18">
        <f>IF(tblOrdenes[[#This Row],[orden]]="","",_xlfn.XLOOKUP(tblOrdenes[[#This Row],[id_operacion]],tblEjecucion[id_operacion],tblEjecucion[precio],0))</f>
        <v/>
      </c>
      <c r="AL571" s="18">
        <f>IF(tblOrdenes[[#This Row],[orden]]="","",MAX(0,_xlfn.XLOOKUP(tblOrdenes[[#This Row],[id_operacion]],tblEjecucion[id_operacion],tblEjecucion[costo_plan_total],0)-tblOrdenes[[#This Row],[costo_servicio]]))</f>
        <v/>
      </c>
      <c r="AM571" s="18">
        <f>IF(tblOrdenes[[#This Row],[orden]]="","",tblOrdenes[[#This Row],[costo_servicio]]+tblOrdenes[[#This Row],[costo_materiales]])</f>
        <v/>
      </c>
      <c r="AN5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1" s="4" t="n"/>
      <c r="AP571" s="4" t="n"/>
      <c r="AQ571" s="4" t="n"/>
      <c r="AR571" s="5">
        <f>IF(tblOrdenes[[#This Row],[link_checklist]]="","",HYPERLINK(p_ruta_base_checklists&amp;tblOrdenes[[#This Row],[link_checklist]],"abrir"))</f>
        <v/>
      </c>
      <c r="AS571" s="4" t="n"/>
      <c r="AT571" s="5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22" t="n"/>
      <c r="K572" s="5" t="n"/>
      <c r="L572" s="18" t="n"/>
      <c r="M5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5">
        <f>IF(tblOrdenes[[#This Row],[fecha_inicio]]="","",YEAR(tblOrdenes[[#This Row],[fecha_inicio]]))</f>
        <v/>
      </c>
      <c r="Q572" s="5">
        <f>IF(tblOrdenes[[#This Row],[fecha_inicio]]="","",MONTH(tblOrdenes[[#This Row],[fecha_inicio]]))</f>
        <v/>
      </c>
      <c r="R572" s="5">
        <f>IF(tblOrdenes[[#This Row],[fecha_inicio]]="","",tblOrdenes[[#This Row],[anio]]&amp;"-"&amp;TEXT(tblOrdenes[[#This Row],[mes]],"00"))</f>
        <v/>
      </c>
      <c r="S572" s="5">
        <f>IF(tblOrdenes[[#This Row],[fecha_inicio]]="","",INDEX(lista_dias,WEEKDAY(tblOrdenes[[#This Row],[fecha_inicio]],2)))</f>
        <v/>
      </c>
      <c r="T5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2" s="5">
        <f>IF(tblOrdenes[[#This Row],[tipo_ot]]="","",_xlfn.XLOOKUP(tblOrdenes[[#This Row],[tipo_ot]],tblTiposOT[codigo],tblTiposOT[clasificacion],"sin_clasificar"))</f>
        <v/>
      </c>
      <c r="V5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2" s="5">
        <f>IF(tblOrdenes[[#This Row],[centro_costo]]="","",_xlfn.XLOOKUP(tblOrdenes[[#This Row],[centro_costo]],tblCECO[codigo],tblCECO[linea],"(sin catálogo)"))</f>
        <v/>
      </c>
      <c r="X572" s="5">
        <f>IF(tblOrdenes[[#This Row],[centro_costo]]="","",_xlfn.XLOOKUP(tblOrdenes[[#This Row],[centro_costo]],tblCECO[codigo],tblCECO[area],"(sin catálogo)"))</f>
        <v/>
      </c>
      <c r="Y5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2" s="5">
        <f>IF(tblOrdenes[[#This Row],[centro_costo]]="","",_xlfn.XLOOKUP(tblOrdenes[[#This Row],[centro_costo]],tblCECO[codigo],tblCECO[coordinador],"(sin catálogo)"))</f>
        <v/>
      </c>
      <c r="AA572" s="5">
        <f>IF(tblOrdenes[[#This Row],[puesto_trabajo]]="","",_xlfn.XLOOKUP(tblOrdenes[[#This Row],[puesto_trabajo]],tblPuestos[codigo],tblPuestos[especialidad],"(sin catálogo)"))</f>
        <v/>
      </c>
      <c r="AB572" s="5">
        <f>IF(tblOrdenes[[#This Row],[cod_actividad]]="","",_xlfn.XLOOKUP(tblOrdenes[[#This Row],[cod_actividad]],tblActividades[codigo],tblActividades[descripcion],"(sin catálogo)"))</f>
        <v/>
      </c>
      <c r="AC572" s="20">
        <f>IF(tblOrdenes[[#This Row],[fecha_inicio]]="","",TODAY()-tblOrdenes[[#This Row],[fecha_inicio]])</f>
        <v/>
      </c>
      <c r="AD5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2" s="5">
        <f>IF(tblOrdenes[[#This Row],[backlog_habiles]]="","",IF(tblOrdenes[[#This Row],[backlog_habiles]]&lt;0,"FUTURO",IF(tblOrdenes[[#This Row],[backlog_habiles]]&gt;p_dias_backlog_max,"BACKLOG","MES CORRIENTE")))</f>
        <v/>
      </c>
      <c r="AF572" s="5">
        <f>IF(tblOrdenes[[#This Row],[backlog_habiles]]="",FALSE,AND(tblOrdenes[[#This Row],[backlog_habiles]]&gt;p_dias_backlog_min,tblOrdenes[[#This Row],[backlog_habiles]]&lt;=p_dias_backlog_max))</f>
        <v/>
      </c>
      <c r="AG572" s="4" t="n"/>
      <c r="AH5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2" s="18">
        <f>IF(tblOrdenes[[#This Row],[orden]]="","",_xlfn.XLOOKUP(tblOrdenes[[#This Row],[id_operacion]],tblEjecucion[id_operacion],tblEjecucion[precio],0))</f>
        <v/>
      </c>
      <c r="AL572" s="18">
        <f>IF(tblOrdenes[[#This Row],[orden]]="","",MAX(0,_xlfn.XLOOKUP(tblOrdenes[[#This Row],[id_operacion]],tblEjecucion[id_operacion],tblEjecucion[costo_plan_total],0)-tblOrdenes[[#This Row],[costo_servicio]]))</f>
        <v/>
      </c>
      <c r="AM572" s="18">
        <f>IF(tblOrdenes[[#This Row],[orden]]="","",tblOrdenes[[#This Row],[costo_servicio]]+tblOrdenes[[#This Row],[costo_materiales]])</f>
        <v/>
      </c>
      <c r="AN5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2" s="4" t="n"/>
      <c r="AP572" s="4" t="n"/>
      <c r="AQ572" s="4" t="n"/>
      <c r="AR572" s="5">
        <f>IF(tblOrdenes[[#This Row],[link_checklist]]="","",HYPERLINK(p_ruta_base_checklists&amp;tblOrdenes[[#This Row],[link_checklist]],"abrir"))</f>
        <v/>
      </c>
      <c r="AS572" s="4" t="n"/>
      <c r="AT572" s="5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22" t="n"/>
      <c r="K573" s="5" t="n"/>
      <c r="L573" s="18" t="n"/>
      <c r="M5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5">
        <f>IF(tblOrdenes[[#This Row],[fecha_inicio]]="","",YEAR(tblOrdenes[[#This Row],[fecha_inicio]]))</f>
        <v/>
      </c>
      <c r="Q573" s="5">
        <f>IF(tblOrdenes[[#This Row],[fecha_inicio]]="","",MONTH(tblOrdenes[[#This Row],[fecha_inicio]]))</f>
        <v/>
      </c>
      <c r="R573" s="5">
        <f>IF(tblOrdenes[[#This Row],[fecha_inicio]]="","",tblOrdenes[[#This Row],[anio]]&amp;"-"&amp;TEXT(tblOrdenes[[#This Row],[mes]],"00"))</f>
        <v/>
      </c>
      <c r="S573" s="5">
        <f>IF(tblOrdenes[[#This Row],[fecha_inicio]]="","",INDEX(lista_dias,WEEKDAY(tblOrdenes[[#This Row],[fecha_inicio]],2)))</f>
        <v/>
      </c>
      <c r="T5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3" s="5">
        <f>IF(tblOrdenes[[#This Row],[tipo_ot]]="","",_xlfn.XLOOKUP(tblOrdenes[[#This Row],[tipo_ot]],tblTiposOT[codigo],tblTiposOT[clasificacion],"sin_clasificar"))</f>
        <v/>
      </c>
      <c r="V5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3" s="5">
        <f>IF(tblOrdenes[[#This Row],[centro_costo]]="","",_xlfn.XLOOKUP(tblOrdenes[[#This Row],[centro_costo]],tblCECO[codigo],tblCECO[linea],"(sin catálogo)"))</f>
        <v/>
      </c>
      <c r="X573" s="5">
        <f>IF(tblOrdenes[[#This Row],[centro_costo]]="","",_xlfn.XLOOKUP(tblOrdenes[[#This Row],[centro_costo]],tblCECO[codigo],tblCECO[area],"(sin catálogo)"))</f>
        <v/>
      </c>
      <c r="Y5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3" s="5">
        <f>IF(tblOrdenes[[#This Row],[centro_costo]]="","",_xlfn.XLOOKUP(tblOrdenes[[#This Row],[centro_costo]],tblCECO[codigo],tblCECO[coordinador],"(sin catálogo)"))</f>
        <v/>
      </c>
      <c r="AA573" s="5">
        <f>IF(tblOrdenes[[#This Row],[puesto_trabajo]]="","",_xlfn.XLOOKUP(tblOrdenes[[#This Row],[puesto_trabajo]],tblPuestos[codigo],tblPuestos[especialidad],"(sin catálogo)"))</f>
        <v/>
      </c>
      <c r="AB573" s="5">
        <f>IF(tblOrdenes[[#This Row],[cod_actividad]]="","",_xlfn.XLOOKUP(tblOrdenes[[#This Row],[cod_actividad]],tblActividades[codigo],tblActividades[descripcion],"(sin catálogo)"))</f>
        <v/>
      </c>
      <c r="AC573" s="20">
        <f>IF(tblOrdenes[[#This Row],[fecha_inicio]]="","",TODAY()-tblOrdenes[[#This Row],[fecha_inicio]])</f>
        <v/>
      </c>
      <c r="AD5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3" s="5">
        <f>IF(tblOrdenes[[#This Row],[backlog_habiles]]="","",IF(tblOrdenes[[#This Row],[backlog_habiles]]&lt;0,"FUTURO",IF(tblOrdenes[[#This Row],[backlog_habiles]]&gt;p_dias_backlog_max,"BACKLOG","MES CORRIENTE")))</f>
        <v/>
      </c>
      <c r="AF573" s="5">
        <f>IF(tblOrdenes[[#This Row],[backlog_habiles]]="",FALSE,AND(tblOrdenes[[#This Row],[backlog_habiles]]&gt;p_dias_backlog_min,tblOrdenes[[#This Row],[backlog_habiles]]&lt;=p_dias_backlog_max))</f>
        <v/>
      </c>
      <c r="AG573" s="4" t="n"/>
      <c r="AH5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3" s="18">
        <f>IF(tblOrdenes[[#This Row],[orden]]="","",_xlfn.XLOOKUP(tblOrdenes[[#This Row],[id_operacion]],tblEjecucion[id_operacion],tblEjecucion[precio],0))</f>
        <v/>
      </c>
      <c r="AL573" s="18">
        <f>IF(tblOrdenes[[#This Row],[orden]]="","",MAX(0,_xlfn.XLOOKUP(tblOrdenes[[#This Row],[id_operacion]],tblEjecucion[id_operacion],tblEjecucion[costo_plan_total],0)-tblOrdenes[[#This Row],[costo_servicio]]))</f>
        <v/>
      </c>
      <c r="AM573" s="18">
        <f>IF(tblOrdenes[[#This Row],[orden]]="","",tblOrdenes[[#This Row],[costo_servicio]]+tblOrdenes[[#This Row],[costo_materiales]])</f>
        <v/>
      </c>
      <c r="AN5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3" s="4" t="n"/>
      <c r="AP573" s="4" t="n"/>
      <c r="AQ573" s="4" t="n"/>
      <c r="AR573" s="5">
        <f>IF(tblOrdenes[[#This Row],[link_checklist]]="","",HYPERLINK(p_ruta_base_checklists&amp;tblOrdenes[[#This Row],[link_checklist]],"abrir"))</f>
        <v/>
      </c>
      <c r="AS573" s="4" t="n"/>
      <c r="AT573" s="5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22" t="n"/>
      <c r="K574" s="5" t="n"/>
      <c r="L574" s="18" t="n"/>
      <c r="M5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5">
        <f>IF(tblOrdenes[[#This Row],[fecha_inicio]]="","",YEAR(tblOrdenes[[#This Row],[fecha_inicio]]))</f>
        <v/>
      </c>
      <c r="Q574" s="5">
        <f>IF(tblOrdenes[[#This Row],[fecha_inicio]]="","",MONTH(tblOrdenes[[#This Row],[fecha_inicio]]))</f>
        <v/>
      </c>
      <c r="R574" s="5">
        <f>IF(tblOrdenes[[#This Row],[fecha_inicio]]="","",tblOrdenes[[#This Row],[anio]]&amp;"-"&amp;TEXT(tblOrdenes[[#This Row],[mes]],"00"))</f>
        <v/>
      </c>
      <c r="S574" s="5">
        <f>IF(tblOrdenes[[#This Row],[fecha_inicio]]="","",INDEX(lista_dias,WEEKDAY(tblOrdenes[[#This Row],[fecha_inicio]],2)))</f>
        <v/>
      </c>
      <c r="T5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4" s="5">
        <f>IF(tblOrdenes[[#This Row],[tipo_ot]]="","",_xlfn.XLOOKUP(tblOrdenes[[#This Row],[tipo_ot]],tblTiposOT[codigo],tblTiposOT[clasificacion],"sin_clasificar"))</f>
        <v/>
      </c>
      <c r="V5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4" s="5">
        <f>IF(tblOrdenes[[#This Row],[centro_costo]]="","",_xlfn.XLOOKUP(tblOrdenes[[#This Row],[centro_costo]],tblCECO[codigo],tblCECO[linea],"(sin catálogo)"))</f>
        <v/>
      </c>
      <c r="X574" s="5">
        <f>IF(tblOrdenes[[#This Row],[centro_costo]]="","",_xlfn.XLOOKUP(tblOrdenes[[#This Row],[centro_costo]],tblCECO[codigo],tblCECO[area],"(sin catálogo)"))</f>
        <v/>
      </c>
      <c r="Y5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4" s="5">
        <f>IF(tblOrdenes[[#This Row],[centro_costo]]="","",_xlfn.XLOOKUP(tblOrdenes[[#This Row],[centro_costo]],tblCECO[codigo],tblCECO[coordinador],"(sin catálogo)"))</f>
        <v/>
      </c>
      <c r="AA574" s="5">
        <f>IF(tblOrdenes[[#This Row],[puesto_trabajo]]="","",_xlfn.XLOOKUP(tblOrdenes[[#This Row],[puesto_trabajo]],tblPuestos[codigo],tblPuestos[especialidad],"(sin catálogo)"))</f>
        <v/>
      </c>
      <c r="AB574" s="5">
        <f>IF(tblOrdenes[[#This Row],[cod_actividad]]="","",_xlfn.XLOOKUP(tblOrdenes[[#This Row],[cod_actividad]],tblActividades[codigo],tblActividades[descripcion],"(sin catálogo)"))</f>
        <v/>
      </c>
      <c r="AC574" s="20">
        <f>IF(tblOrdenes[[#This Row],[fecha_inicio]]="","",TODAY()-tblOrdenes[[#This Row],[fecha_inicio]])</f>
        <v/>
      </c>
      <c r="AD5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4" s="5">
        <f>IF(tblOrdenes[[#This Row],[backlog_habiles]]="","",IF(tblOrdenes[[#This Row],[backlog_habiles]]&lt;0,"FUTURO",IF(tblOrdenes[[#This Row],[backlog_habiles]]&gt;p_dias_backlog_max,"BACKLOG","MES CORRIENTE")))</f>
        <v/>
      </c>
      <c r="AF574" s="5">
        <f>IF(tblOrdenes[[#This Row],[backlog_habiles]]="",FALSE,AND(tblOrdenes[[#This Row],[backlog_habiles]]&gt;p_dias_backlog_min,tblOrdenes[[#This Row],[backlog_habiles]]&lt;=p_dias_backlog_max))</f>
        <v/>
      </c>
      <c r="AG574" s="4" t="n"/>
      <c r="AH5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4" s="18">
        <f>IF(tblOrdenes[[#This Row],[orden]]="","",_xlfn.XLOOKUP(tblOrdenes[[#This Row],[id_operacion]],tblEjecucion[id_operacion],tblEjecucion[precio],0))</f>
        <v/>
      </c>
      <c r="AL574" s="18">
        <f>IF(tblOrdenes[[#This Row],[orden]]="","",MAX(0,_xlfn.XLOOKUP(tblOrdenes[[#This Row],[id_operacion]],tblEjecucion[id_operacion],tblEjecucion[costo_plan_total],0)-tblOrdenes[[#This Row],[costo_servicio]]))</f>
        <v/>
      </c>
      <c r="AM574" s="18">
        <f>IF(tblOrdenes[[#This Row],[orden]]="","",tblOrdenes[[#This Row],[costo_servicio]]+tblOrdenes[[#This Row],[costo_materiales]])</f>
        <v/>
      </c>
      <c r="AN5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4" s="4" t="n"/>
      <c r="AP574" s="4" t="n"/>
      <c r="AQ574" s="4" t="n"/>
      <c r="AR574" s="5">
        <f>IF(tblOrdenes[[#This Row],[link_checklist]]="","",HYPERLINK(p_ruta_base_checklists&amp;tblOrdenes[[#This Row],[link_checklist]],"abrir"))</f>
        <v/>
      </c>
      <c r="AS574" s="4" t="n"/>
      <c r="AT574" s="5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22" t="n"/>
      <c r="K575" s="5" t="n"/>
      <c r="L575" s="18" t="n"/>
      <c r="M5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5">
        <f>IF(tblOrdenes[[#This Row],[fecha_inicio]]="","",YEAR(tblOrdenes[[#This Row],[fecha_inicio]]))</f>
        <v/>
      </c>
      <c r="Q575" s="5">
        <f>IF(tblOrdenes[[#This Row],[fecha_inicio]]="","",MONTH(tblOrdenes[[#This Row],[fecha_inicio]]))</f>
        <v/>
      </c>
      <c r="R575" s="5">
        <f>IF(tblOrdenes[[#This Row],[fecha_inicio]]="","",tblOrdenes[[#This Row],[anio]]&amp;"-"&amp;TEXT(tblOrdenes[[#This Row],[mes]],"00"))</f>
        <v/>
      </c>
      <c r="S575" s="5">
        <f>IF(tblOrdenes[[#This Row],[fecha_inicio]]="","",INDEX(lista_dias,WEEKDAY(tblOrdenes[[#This Row],[fecha_inicio]],2)))</f>
        <v/>
      </c>
      <c r="T5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5" s="5">
        <f>IF(tblOrdenes[[#This Row],[tipo_ot]]="","",_xlfn.XLOOKUP(tblOrdenes[[#This Row],[tipo_ot]],tblTiposOT[codigo],tblTiposOT[clasificacion],"sin_clasificar"))</f>
        <v/>
      </c>
      <c r="V5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5" s="5">
        <f>IF(tblOrdenes[[#This Row],[centro_costo]]="","",_xlfn.XLOOKUP(tblOrdenes[[#This Row],[centro_costo]],tblCECO[codigo],tblCECO[linea],"(sin catálogo)"))</f>
        <v/>
      </c>
      <c r="X575" s="5">
        <f>IF(tblOrdenes[[#This Row],[centro_costo]]="","",_xlfn.XLOOKUP(tblOrdenes[[#This Row],[centro_costo]],tblCECO[codigo],tblCECO[area],"(sin catálogo)"))</f>
        <v/>
      </c>
      <c r="Y5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5" s="5">
        <f>IF(tblOrdenes[[#This Row],[centro_costo]]="","",_xlfn.XLOOKUP(tblOrdenes[[#This Row],[centro_costo]],tblCECO[codigo],tblCECO[coordinador],"(sin catálogo)"))</f>
        <v/>
      </c>
      <c r="AA575" s="5">
        <f>IF(tblOrdenes[[#This Row],[puesto_trabajo]]="","",_xlfn.XLOOKUP(tblOrdenes[[#This Row],[puesto_trabajo]],tblPuestos[codigo],tblPuestos[especialidad],"(sin catálogo)"))</f>
        <v/>
      </c>
      <c r="AB575" s="5">
        <f>IF(tblOrdenes[[#This Row],[cod_actividad]]="","",_xlfn.XLOOKUP(tblOrdenes[[#This Row],[cod_actividad]],tblActividades[codigo],tblActividades[descripcion],"(sin catálogo)"))</f>
        <v/>
      </c>
      <c r="AC575" s="20">
        <f>IF(tblOrdenes[[#This Row],[fecha_inicio]]="","",TODAY()-tblOrdenes[[#This Row],[fecha_inicio]])</f>
        <v/>
      </c>
      <c r="AD5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5" s="5">
        <f>IF(tblOrdenes[[#This Row],[backlog_habiles]]="","",IF(tblOrdenes[[#This Row],[backlog_habiles]]&lt;0,"FUTURO",IF(tblOrdenes[[#This Row],[backlog_habiles]]&gt;p_dias_backlog_max,"BACKLOG","MES CORRIENTE")))</f>
        <v/>
      </c>
      <c r="AF575" s="5">
        <f>IF(tblOrdenes[[#This Row],[backlog_habiles]]="",FALSE,AND(tblOrdenes[[#This Row],[backlog_habiles]]&gt;p_dias_backlog_min,tblOrdenes[[#This Row],[backlog_habiles]]&lt;=p_dias_backlog_max))</f>
        <v/>
      </c>
      <c r="AG575" s="4" t="n"/>
      <c r="AH5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5" s="18">
        <f>IF(tblOrdenes[[#This Row],[orden]]="","",_xlfn.XLOOKUP(tblOrdenes[[#This Row],[id_operacion]],tblEjecucion[id_operacion],tblEjecucion[precio],0))</f>
        <v/>
      </c>
      <c r="AL575" s="18">
        <f>IF(tblOrdenes[[#This Row],[orden]]="","",MAX(0,_xlfn.XLOOKUP(tblOrdenes[[#This Row],[id_operacion]],tblEjecucion[id_operacion],tblEjecucion[costo_plan_total],0)-tblOrdenes[[#This Row],[costo_servicio]]))</f>
        <v/>
      </c>
      <c r="AM575" s="18">
        <f>IF(tblOrdenes[[#This Row],[orden]]="","",tblOrdenes[[#This Row],[costo_servicio]]+tblOrdenes[[#This Row],[costo_materiales]])</f>
        <v/>
      </c>
      <c r="AN5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5" s="4" t="n"/>
      <c r="AP575" s="4" t="n"/>
      <c r="AQ575" s="4" t="n"/>
      <c r="AR575" s="5">
        <f>IF(tblOrdenes[[#This Row],[link_checklist]]="","",HYPERLINK(p_ruta_base_checklists&amp;tblOrdenes[[#This Row],[link_checklist]],"abrir"))</f>
        <v/>
      </c>
      <c r="AS575" s="4" t="n"/>
      <c r="AT575" s="5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22" t="n"/>
      <c r="K576" s="5" t="n"/>
      <c r="L576" s="18" t="n"/>
      <c r="M5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5">
        <f>IF(tblOrdenes[[#This Row],[fecha_inicio]]="","",YEAR(tblOrdenes[[#This Row],[fecha_inicio]]))</f>
        <v/>
      </c>
      <c r="Q576" s="5">
        <f>IF(tblOrdenes[[#This Row],[fecha_inicio]]="","",MONTH(tblOrdenes[[#This Row],[fecha_inicio]]))</f>
        <v/>
      </c>
      <c r="R576" s="5">
        <f>IF(tblOrdenes[[#This Row],[fecha_inicio]]="","",tblOrdenes[[#This Row],[anio]]&amp;"-"&amp;TEXT(tblOrdenes[[#This Row],[mes]],"00"))</f>
        <v/>
      </c>
      <c r="S576" s="5">
        <f>IF(tblOrdenes[[#This Row],[fecha_inicio]]="","",INDEX(lista_dias,WEEKDAY(tblOrdenes[[#This Row],[fecha_inicio]],2)))</f>
        <v/>
      </c>
      <c r="T5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6" s="5">
        <f>IF(tblOrdenes[[#This Row],[tipo_ot]]="","",_xlfn.XLOOKUP(tblOrdenes[[#This Row],[tipo_ot]],tblTiposOT[codigo],tblTiposOT[clasificacion],"sin_clasificar"))</f>
        <v/>
      </c>
      <c r="V5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6" s="5">
        <f>IF(tblOrdenes[[#This Row],[centro_costo]]="","",_xlfn.XLOOKUP(tblOrdenes[[#This Row],[centro_costo]],tblCECO[codigo],tblCECO[linea],"(sin catálogo)"))</f>
        <v/>
      </c>
      <c r="X576" s="5">
        <f>IF(tblOrdenes[[#This Row],[centro_costo]]="","",_xlfn.XLOOKUP(tblOrdenes[[#This Row],[centro_costo]],tblCECO[codigo],tblCECO[area],"(sin catálogo)"))</f>
        <v/>
      </c>
      <c r="Y5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6" s="5">
        <f>IF(tblOrdenes[[#This Row],[centro_costo]]="","",_xlfn.XLOOKUP(tblOrdenes[[#This Row],[centro_costo]],tblCECO[codigo],tblCECO[coordinador],"(sin catálogo)"))</f>
        <v/>
      </c>
      <c r="AA576" s="5">
        <f>IF(tblOrdenes[[#This Row],[puesto_trabajo]]="","",_xlfn.XLOOKUP(tblOrdenes[[#This Row],[puesto_trabajo]],tblPuestos[codigo],tblPuestos[especialidad],"(sin catálogo)"))</f>
        <v/>
      </c>
      <c r="AB576" s="5">
        <f>IF(tblOrdenes[[#This Row],[cod_actividad]]="","",_xlfn.XLOOKUP(tblOrdenes[[#This Row],[cod_actividad]],tblActividades[codigo],tblActividades[descripcion],"(sin catálogo)"))</f>
        <v/>
      </c>
      <c r="AC576" s="20">
        <f>IF(tblOrdenes[[#This Row],[fecha_inicio]]="","",TODAY()-tblOrdenes[[#This Row],[fecha_inicio]])</f>
        <v/>
      </c>
      <c r="AD5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6" s="5">
        <f>IF(tblOrdenes[[#This Row],[backlog_habiles]]="","",IF(tblOrdenes[[#This Row],[backlog_habiles]]&lt;0,"FUTURO",IF(tblOrdenes[[#This Row],[backlog_habiles]]&gt;p_dias_backlog_max,"BACKLOG","MES CORRIENTE")))</f>
        <v/>
      </c>
      <c r="AF576" s="5">
        <f>IF(tblOrdenes[[#This Row],[backlog_habiles]]="",FALSE,AND(tblOrdenes[[#This Row],[backlog_habiles]]&gt;p_dias_backlog_min,tblOrdenes[[#This Row],[backlog_habiles]]&lt;=p_dias_backlog_max))</f>
        <v/>
      </c>
      <c r="AG576" s="4" t="n"/>
      <c r="AH5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6" s="18">
        <f>IF(tblOrdenes[[#This Row],[orden]]="","",_xlfn.XLOOKUP(tblOrdenes[[#This Row],[id_operacion]],tblEjecucion[id_operacion],tblEjecucion[precio],0))</f>
        <v/>
      </c>
      <c r="AL576" s="18">
        <f>IF(tblOrdenes[[#This Row],[orden]]="","",MAX(0,_xlfn.XLOOKUP(tblOrdenes[[#This Row],[id_operacion]],tblEjecucion[id_operacion],tblEjecucion[costo_plan_total],0)-tblOrdenes[[#This Row],[costo_servicio]]))</f>
        <v/>
      </c>
      <c r="AM576" s="18">
        <f>IF(tblOrdenes[[#This Row],[orden]]="","",tblOrdenes[[#This Row],[costo_servicio]]+tblOrdenes[[#This Row],[costo_materiales]])</f>
        <v/>
      </c>
      <c r="AN5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6" s="4" t="n"/>
      <c r="AP576" s="4" t="n"/>
      <c r="AQ576" s="4" t="n"/>
      <c r="AR576" s="5">
        <f>IF(tblOrdenes[[#This Row],[link_checklist]]="","",HYPERLINK(p_ruta_base_checklists&amp;tblOrdenes[[#This Row],[link_checklist]],"abrir"))</f>
        <v/>
      </c>
      <c r="AS576" s="4" t="n"/>
      <c r="AT576" s="5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22" t="n"/>
      <c r="K577" s="5" t="n"/>
      <c r="L577" s="18" t="n"/>
      <c r="M5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5">
        <f>IF(tblOrdenes[[#This Row],[fecha_inicio]]="","",YEAR(tblOrdenes[[#This Row],[fecha_inicio]]))</f>
        <v/>
      </c>
      <c r="Q577" s="5">
        <f>IF(tblOrdenes[[#This Row],[fecha_inicio]]="","",MONTH(tblOrdenes[[#This Row],[fecha_inicio]]))</f>
        <v/>
      </c>
      <c r="R577" s="5">
        <f>IF(tblOrdenes[[#This Row],[fecha_inicio]]="","",tblOrdenes[[#This Row],[anio]]&amp;"-"&amp;TEXT(tblOrdenes[[#This Row],[mes]],"00"))</f>
        <v/>
      </c>
      <c r="S577" s="5">
        <f>IF(tblOrdenes[[#This Row],[fecha_inicio]]="","",INDEX(lista_dias,WEEKDAY(tblOrdenes[[#This Row],[fecha_inicio]],2)))</f>
        <v/>
      </c>
      <c r="T5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7" s="5">
        <f>IF(tblOrdenes[[#This Row],[tipo_ot]]="","",_xlfn.XLOOKUP(tblOrdenes[[#This Row],[tipo_ot]],tblTiposOT[codigo],tblTiposOT[clasificacion],"sin_clasificar"))</f>
        <v/>
      </c>
      <c r="V5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7" s="5">
        <f>IF(tblOrdenes[[#This Row],[centro_costo]]="","",_xlfn.XLOOKUP(tblOrdenes[[#This Row],[centro_costo]],tblCECO[codigo],tblCECO[linea],"(sin catálogo)"))</f>
        <v/>
      </c>
      <c r="X577" s="5">
        <f>IF(tblOrdenes[[#This Row],[centro_costo]]="","",_xlfn.XLOOKUP(tblOrdenes[[#This Row],[centro_costo]],tblCECO[codigo],tblCECO[area],"(sin catálogo)"))</f>
        <v/>
      </c>
      <c r="Y5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7" s="5">
        <f>IF(tblOrdenes[[#This Row],[centro_costo]]="","",_xlfn.XLOOKUP(tblOrdenes[[#This Row],[centro_costo]],tblCECO[codigo],tblCECO[coordinador],"(sin catálogo)"))</f>
        <v/>
      </c>
      <c r="AA577" s="5">
        <f>IF(tblOrdenes[[#This Row],[puesto_trabajo]]="","",_xlfn.XLOOKUP(tblOrdenes[[#This Row],[puesto_trabajo]],tblPuestos[codigo],tblPuestos[especialidad],"(sin catálogo)"))</f>
        <v/>
      </c>
      <c r="AB577" s="5">
        <f>IF(tblOrdenes[[#This Row],[cod_actividad]]="","",_xlfn.XLOOKUP(tblOrdenes[[#This Row],[cod_actividad]],tblActividades[codigo],tblActividades[descripcion],"(sin catálogo)"))</f>
        <v/>
      </c>
      <c r="AC577" s="20">
        <f>IF(tblOrdenes[[#This Row],[fecha_inicio]]="","",TODAY()-tblOrdenes[[#This Row],[fecha_inicio]])</f>
        <v/>
      </c>
      <c r="AD5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7" s="5">
        <f>IF(tblOrdenes[[#This Row],[backlog_habiles]]="","",IF(tblOrdenes[[#This Row],[backlog_habiles]]&lt;0,"FUTURO",IF(tblOrdenes[[#This Row],[backlog_habiles]]&gt;p_dias_backlog_max,"BACKLOG","MES CORRIENTE")))</f>
        <v/>
      </c>
      <c r="AF577" s="5">
        <f>IF(tblOrdenes[[#This Row],[backlog_habiles]]="",FALSE,AND(tblOrdenes[[#This Row],[backlog_habiles]]&gt;p_dias_backlog_min,tblOrdenes[[#This Row],[backlog_habiles]]&lt;=p_dias_backlog_max))</f>
        <v/>
      </c>
      <c r="AG577" s="4" t="n"/>
      <c r="AH5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7" s="18">
        <f>IF(tblOrdenes[[#This Row],[orden]]="","",_xlfn.XLOOKUP(tblOrdenes[[#This Row],[id_operacion]],tblEjecucion[id_operacion],tblEjecucion[precio],0))</f>
        <v/>
      </c>
      <c r="AL577" s="18">
        <f>IF(tblOrdenes[[#This Row],[orden]]="","",MAX(0,_xlfn.XLOOKUP(tblOrdenes[[#This Row],[id_operacion]],tblEjecucion[id_operacion],tblEjecucion[costo_plan_total],0)-tblOrdenes[[#This Row],[costo_servicio]]))</f>
        <v/>
      </c>
      <c r="AM577" s="18">
        <f>IF(tblOrdenes[[#This Row],[orden]]="","",tblOrdenes[[#This Row],[costo_servicio]]+tblOrdenes[[#This Row],[costo_materiales]])</f>
        <v/>
      </c>
      <c r="AN5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7" s="4" t="n"/>
      <c r="AP577" s="4" t="n"/>
      <c r="AQ577" s="4" t="n"/>
      <c r="AR577" s="5">
        <f>IF(tblOrdenes[[#This Row],[link_checklist]]="","",HYPERLINK(p_ruta_base_checklists&amp;tblOrdenes[[#This Row],[link_checklist]],"abrir"))</f>
        <v/>
      </c>
      <c r="AS577" s="4" t="n"/>
      <c r="AT577" s="5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22" t="n"/>
      <c r="K578" s="5" t="n"/>
      <c r="L578" s="18" t="n"/>
      <c r="M5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5">
        <f>IF(tblOrdenes[[#This Row],[fecha_inicio]]="","",YEAR(tblOrdenes[[#This Row],[fecha_inicio]]))</f>
        <v/>
      </c>
      <c r="Q578" s="5">
        <f>IF(tblOrdenes[[#This Row],[fecha_inicio]]="","",MONTH(tblOrdenes[[#This Row],[fecha_inicio]]))</f>
        <v/>
      </c>
      <c r="R578" s="5">
        <f>IF(tblOrdenes[[#This Row],[fecha_inicio]]="","",tblOrdenes[[#This Row],[anio]]&amp;"-"&amp;TEXT(tblOrdenes[[#This Row],[mes]],"00"))</f>
        <v/>
      </c>
      <c r="S578" s="5">
        <f>IF(tblOrdenes[[#This Row],[fecha_inicio]]="","",INDEX(lista_dias,WEEKDAY(tblOrdenes[[#This Row],[fecha_inicio]],2)))</f>
        <v/>
      </c>
      <c r="T5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8" s="5">
        <f>IF(tblOrdenes[[#This Row],[tipo_ot]]="","",_xlfn.XLOOKUP(tblOrdenes[[#This Row],[tipo_ot]],tblTiposOT[codigo],tblTiposOT[clasificacion],"sin_clasificar"))</f>
        <v/>
      </c>
      <c r="V5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8" s="5">
        <f>IF(tblOrdenes[[#This Row],[centro_costo]]="","",_xlfn.XLOOKUP(tblOrdenes[[#This Row],[centro_costo]],tblCECO[codigo],tblCECO[linea],"(sin catálogo)"))</f>
        <v/>
      </c>
      <c r="X578" s="5">
        <f>IF(tblOrdenes[[#This Row],[centro_costo]]="","",_xlfn.XLOOKUP(tblOrdenes[[#This Row],[centro_costo]],tblCECO[codigo],tblCECO[area],"(sin catálogo)"))</f>
        <v/>
      </c>
      <c r="Y5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8" s="5">
        <f>IF(tblOrdenes[[#This Row],[centro_costo]]="","",_xlfn.XLOOKUP(tblOrdenes[[#This Row],[centro_costo]],tblCECO[codigo],tblCECO[coordinador],"(sin catálogo)"))</f>
        <v/>
      </c>
      <c r="AA578" s="5">
        <f>IF(tblOrdenes[[#This Row],[puesto_trabajo]]="","",_xlfn.XLOOKUP(tblOrdenes[[#This Row],[puesto_trabajo]],tblPuestos[codigo],tblPuestos[especialidad],"(sin catálogo)"))</f>
        <v/>
      </c>
      <c r="AB578" s="5">
        <f>IF(tblOrdenes[[#This Row],[cod_actividad]]="","",_xlfn.XLOOKUP(tblOrdenes[[#This Row],[cod_actividad]],tblActividades[codigo],tblActividades[descripcion],"(sin catálogo)"))</f>
        <v/>
      </c>
      <c r="AC578" s="20">
        <f>IF(tblOrdenes[[#This Row],[fecha_inicio]]="","",TODAY()-tblOrdenes[[#This Row],[fecha_inicio]])</f>
        <v/>
      </c>
      <c r="AD5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8" s="5">
        <f>IF(tblOrdenes[[#This Row],[backlog_habiles]]="","",IF(tblOrdenes[[#This Row],[backlog_habiles]]&lt;0,"FUTURO",IF(tblOrdenes[[#This Row],[backlog_habiles]]&gt;p_dias_backlog_max,"BACKLOG","MES CORRIENTE")))</f>
        <v/>
      </c>
      <c r="AF578" s="5">
        <f>IF(tblOrdenes[[#This Row],[backlog_habiles]]="",FALSE,AND(tblOrdenes[[#This Row],[backlog_habiles]]&gt;p_dias_backlog_min,tblOrdenes[[#This Row],[backlog_habiles]]&lt;=p_dias_backlog_max))</f>
        <v/>
      </c>
      <c r="AG578" s="4" t="n"/>
      <c r="AH5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8" s="18">
        <f>IF(tblOrdenes[[#This Row],[orden]]="","",_xlfn.XLOOKUP(tblOrdenes[[#This Row],[id_operacion]],tblEjecucion[id_operacion],tblEjecucion[precio],0))</f>
        <v/>
      </c>
      <c r="AL578" s="18">
        <f>IF(tblOrdenes[[#This Row],[orden]]="","",MAX(0,_xlfn.XLOOKUP(tblOrdenes[[#This Row],[id_operacion]],tblEjecucion[id_operacion],tblEjecucion[costo_plan_total],0)-tblOrdenes[[#This Row],[costo_servicio]]))</f>
        <v/>
      </c>
      <c r="AM578" s="18">
        <f>IF(tblOrdenes[[#This Row],[orden]]="","",tblOrdenes[[#This Row],[costo_servicio]]+tblOrdenes[[#This Row],[costo_materiales]])</f>
        <v/>
      </c>
      <c r="AN5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8" s="4" t="n"/>
      <c r="AP578" s="4" t="n"/>
      <c r="AQ578" s="4" t="n"/>
      <c r="AR578" s="5">
        <f>IF(tblOrdenes[[#This Row],[link_checklist]]="","",HYPERLINK(p_ruta_base_checklists&amp;tblOrdenes[[#This Row],[link_checklist]],"abrir"))</f>
        <v/>
      </c>
      <c r="AS578" s="4" t="n"/>
      <c r="AT578" s="5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22" t="n"/>
      <c r="K579" s="5" t="n"/>
      <c r="L579" s="18" t="n"/>
      <c r="M5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5">
        <f>IF(tblOrdenes[[#This Row],[fecha_inicio]]="","",YEAR(tblOrdenes[[#This Row],[fecha_inicio]]))</f>
        <v/>
      </c>
      <c r="Q579" s="5">
        <f>IF(tblOrdenes[[#This Row],[fecha_inicio]]="","",MONTH(tblOrdenes[[#This Row],[fecha_inicio]]))</f>
        <v/>
      </c>
      <c r="R579" s="5">
        <f>IF(tblOrdenes[[#This Row],[fecha_inicio]]="","",tblOrdenes[[#This Row],[anio]]&amp;"-"&amp;TEXT(tblOrdenes[[#This Row],[mes]],"00"))</f>
        <v/>
      </c>
      <c r="S579" s="5">
        <f>IF(tblOrdenes[[#This Row],[fecha_inicio]]="","",INDEX(lista_dias,WEEKDAY(tblOrdenes[[#This Row],[fecha_inicio]],2)))</f>
        <v/>
      </c>
      <c r="T5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9" s="5">
        <f>IF(tblOrdenes[[#This Row],[tipo_ot]]="","",_xlfn.XLOOKUP(tblOrdenes[[#This Row],[tipo_ot]],tblTiposOT[codigo],tblTiposOT[clasificacion],"sin_clasificar"))</f>
        <v/>
      </c>
      <c r="V5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9" s="5">
        <f>IF(tblOrdenes[[#This Row],[centro_costo]]="","",_xlfn.XLOOKUP(tblOrdenes[[#This Row],[centro_costo]],tblCECO[codigo],tblCECO[linea],"(sin catálogo)"))</f>
        <v/>
      </c>
      <c r="X579" s="5">
        <f>IF(tblOrdenes[[#This Row],[centro_costo]]="","",_xlfn.XLOOKUP(tblOrdenes[[#This Row],[centro_costo]],tblCECO[codigo],tblCECO[area],"(sin catálogo)"))</f>
        <v/>
      </c>
      <c r="Y5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79" s="5">
        <f>IF(tblOrdenes[[#This Row],[centro_costo]]="","",_xlfn.XLOOKUP(tblOrdenes[[#This Row],[centro_costo]],tblCECO[codigo],tblCECO[coordinador],"(sin catálogo)"))</f>
        <v/>
      </c>
      <c r="AA579" s="5">
        <f>IF(tblOrdenes[[#This Row],[puesto_trabajo]]="","",_xlfn.XLOOKUP(tblOrdenes[[#This Row],[puesto_trabajo]],tblPuestos[codigo],tblPuestos[especialidad],"(sin catálogo)"))</f>
        <v/>
      </c>
      <c r="AB579" s="5">
        <f>IF(tblOrdenes[[#This Row],[cod_actividad]]="","",_xlfn.XLOOKUP(tblOrdenes[[#This Row],[cod_actividad]],tblActividades[codigo],tblActividades[descripcion],"(sin catálogo)"))</f>
        <v/>
      </c>
      <c r="AC579" s="20">
        <f>IF(tblOrdenes[[#This Row],[fecha_inicio]]="","",TODAY()-tblOrdenes[[#This Row],[fecha_inicio]])</f>
        <v/>
      </c>
      <c r="AD5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79" s="5">
        <f>IF(tblOrdenes[[#This Row],[backlog_habiles]]="","",IF(tblOrdenes[[#This Row],[backlog_habiles]]&lt;0,"FUTURO",IF(tblOrdenes[[#This Row],[backlog_habiles]]&gt;p_dias_backlog_max,"BACKLOG","MES CORRIENTE")))</f>
        <v/>
      </c>
      <c r="AF579" s="5">
        <f>IF(tblOrdenes[[#This Row],[backlog_habiles]]="",FALSE,AND(tblOrdenes[[#This Row],[backlog_habiles]]&gt;p_dias_backlog_min,tblOrdenes[[#This Row],[backlog_habiles]]&lt;=p_dias_backlog_max))</f>
        <v/>
      </c>
      <c r="AG579" s="4" t="n"/>
      <c r="AH5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79" s="18">
        <f>IF(tblOrdenes[[#This Row],[orden]]="","",_xlfn.XLOOKUP(tblOrdenes[[#This Row],[id_operacion]],tblEjecucion[id_operacion],tblEjecucion[precio],0))</f>
        <v/>
      </c>
      <c r="AL579" s="18">
        <f>IF(tblOrdenes[[#This Row],[orden]]="","",MAX(0,_xlfn.XLOOKUP(tblOrdenes[[#This Row],[id_operacion]],tblEjecucion[id_operacion],tblEjecucion[costo_plan_total],0)-tblOrdenes[[#This Row],[costo_servicio]]))</f>
        <v/>
      </c>
      <c r="AM579" s="18">
        <f>IF(tblOrdenes[[#This Row],[orden]]="","",tblOrdenes[[#This Row],[costo_servicio]]+tblOrdenes[[#This Row],[costo_materiales]])</f>
        <v/>
      </c>
      <c r="AN5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79" s="4" t="n"/>
      <c r="AP579" s="4" t="n"/>
      <c r="AQ579" s="4" t="n"/>
      <c r="AR579" s="5">
        <f>IF(tblOrdenes[[#This Row],[link_checklist]]="","",HYPERLINK(p_ruta_base_checklists&amp;tblOrdenes[[#This Row],[link_checklist]],"abrir"))</f>
        <v/>
      </c>
      <c r="AS579" s="4" t="n"/>
      <c r="AT579" s="5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22" t="n"/>
      <c r="K580" s="5" t="n"/>
      <c r="L580" s="18" t="n"/>
      <c r="M5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5">
        <f>IF(tblOrdenes[[#This Row],[fecha_inicio]]="","",YEAR(tblOrdenes[[#This Row],[fecha_inicio]]))</f>
        <v/>
      </c>
      <c r="Q580" s="5">
        <f>IF(tblOrdenes[[#This Row],[fecha_inicio]]="","",MONTH(tblOrdenes[[#This Row],[fecha_inicio]]))</f>
        <v/>
      </c>
      <c r="R580" s="5">
        <f>IF(tblOrdenes[[#This Row],[fecha_inicio]]="","",tblOrdenes[[#This Row],[anio]]&amp;"-"&amp;TEXT(tblOrdenes[[#This Row],[mes]],"00"))</f>
        <v/>
      </c>
      <c r="S580" s="5">
        <f>IF(tblOrdenes[[#This Row],[fecha_inicio]]="","",INDEX(lista_dias,WEEKDAY(tblOrdenes[[#This Row],[fecha_inicio]],2)))</f>
        <v/>
      </c>
      <c r="T5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0" s="5">
        <f>IF(tblOrdenes[[#This Row],[tipo_ot]]="","",_xlfn.XLOOKUP(tblOrdenes[[#This Row],[tipo_ot]],tblTiposOT[codigo],tblTiposOT[clasificacion],"sin_clasificar"))</f>
        <v/>
      </c>
      <c r="V5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0" s="5">
        <f>IF(tblOrdenes[[#This Row],[centro_costo]]="","",_xlfn.XLOOKUP(tblOrdenes[[#This Row],[centro_costo]],tblCECO[codigo],tblCECO[linea],"(sin catálogo)"))</f>
        <v/>
      </c>
      <c r="X580" s="5">
        <f>IF(tblOrdenes[[#This Row],[centro_costo]]="","",_xlfn.XLOOKUP(tblOrdenes[[#This Row],[centro_costo]],tblCECO[codigo],tblCECO[area],"(sin catálogo)"))</f>
        <v/>
      </c>
      <c r="Y5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0" s="5">
        <f>IF(tblOrdenes[[#This Row],[centro_costo]]="","",_xlfn.XLOOKUP(tblOrdenes[[#This Row],[centro_costo]],tblCECO[codigo],tblCECO[coordinador],"(sin catálogo)"))</f>
        <v/>
      </c>
      <c r="AA580" s="5">
        <f>IF(tblOrdenes[[#This Row],[puesto_trabajo]]="","",_xlfn.XLOOKUP(tblOrdenes[[#This Row],[puesto_trabajo]],tblPuestos[codigo],tblPuestos[especialidad],"(sin catálogo)"))</f>
        <v/>
      </c>
      <c r="AB580" s="5">
        <f>IF(tblOrdenes[[#This Row],[cod_actividad]]="","",_xlfn.XLOOKUP(tblOrdenes[[#This Row],[cod_actividad]],tblActividades[codigo],tblActividades[descripcion],"(sin catálogo)"))</f>
        <v/>
      </c>
      <c r="AC580" s="20">
        <f>IF(tblOrdenes[[#This Row],[fecha_inicio]]="","",TODAY()-tblOrdenes[[#This Row],[fecha_inicio]])</f>
        <v/>
      </c>
      <c r="AD5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0" s="5">
        <f>IF(tblOrdenes[[#This Row],[backlog_habiles]]="","",IF(tblOrdenes[[#This Row],[backlog_habiles]]&lt;0,"FUTURO",IF(tblOrdenes[[#This Row],[backlog_habiles]]&gt;p_dias_backlog_max,"BACKLOG","MES CORRIENTE")))</f>
        <v/>
      </c>
      <c r="AF580" s="5">
        <f>IF(tblOrdenes[[#This Row],[backlog_habiles]]="",FALSE,AND(tblOrdenes[[#This Row],[backlog_habiles]]&gt;p_dias_backlog_min,tblOrdenes[[#This Row],[backlog_habiles]]&lt;=p_dias_backlog_max))</f>
        <v/>
      </c>
      <c r="AG580" s="4" t="n"/>
      <c r="AH5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0" s="18">
        <f>IF(tblOrdenes[[#This Row],[orden]]="","",_xlfn.XLOOKUP(tblOrdenes[[#This Row],[id_operacion]],tblEjecucion[id_operacion],tblEjecucion[precio],0))</f>
        <v/>
      </c>
      <c r="AL580" s="18">
        <f>IF(tblOrdenes[[#This Row],[orden]]="","",MAX(0,_xlfn.XLOOKUP(tblOrdenes[[#This Row],[id_operacion]],tblEjecucion[id_operacion],tblEjecucion[costo_plan_total],0)-tblOrdenes[[#This Row],[costo_servicio]]))</f>
        <v/>
      </c>
      <c r="AM580" s="18">
        <f>IF(tblOrdenes[[#This Row],[orden]]="","",tblOrdenes[[#This Row],[costo_servicio]]+tblOrdenes[[#This Row],[costo_materiales]])</f>
        <v/>
      </c>
      <c r="AN5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0" s="4" t="n"/>
      <c r="AP580" s="4" t="n"/>
      <c r="AQ580" s="4" t="n"/>
      <c r="AR580" s="5">
        <f>IF(tblOrdenes[[#This Row],[link_checklist]]="","",HYPERLINK(p_ruta_base_checklists&amp;tblOrdenes[[#This Row],[link_checklist]],"abrir"))</f>
        <v/>
      </c>
      <c r="AS580" s="4" t="n"/>
      <c r="AT580" s="5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22" t="n"/>
      <c r="K581" s="5" t="n"/>
      <c r="L581" s="18" t="n"/>
      <c r="M5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5">
        <f>IF(tblOrdenes[[#This Row],[fecha_inicio]]="","",YEAR(tblOrdenes[[#This Row],[fecha_inicio]]))</f>
        <v/>
      </c>
      <c r="Q581" s="5">
        <f>IF(tblOrdenes[[#This Row],[fecha_inicio]]="","",MONTH(tblOrdenes[[#This Row],[fecha_inicio]]))</f>
        <v/>
      </c>
      <c r="R581" s="5">
        <f>IF(tblOrdenes[[#This Row],[fecha_inicio]]="","",tblOrdenes[[#This Row],[anio]]&amp;"-"&amp;TEXT(tblOrdenes[[#This Row],[mes]],"00"))</f>
        <v/>
      </c>
      <c r="S581" s="5">
        <f>IF(tblOrdenes[[#This Row],[fecha_inicio]]="","",INDEX(lista_dias,WEEKDAY(tblOrdenes[[#This Row],[fecha_inicio]],2)))</f>
        <v/>
      </c>
      <c r="T5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1" s="5">
        <f>IF(tblOrdenes[[#This Row],[tipo_ot]]="","",_xlfn.XLOOKUP(tblOrdenes[[#This Row],[tipo_ot]],tblTiposOT[codigo],tblTiposOT[clasificacion],"sin_clasificar"))</f>
        <v/>
      </c>
      <c r="V5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1" s="5">
        <f>IF(tblOrdenes[[#This Row],[centro_costo]]="","",_xlfn.XLOOKUP(tblOrdenes[[#This Row],[centro_costo]],tblCECO[codigo],tblCECO[linea],"(sin catálogo)"))</f>
        <v/>
      </c>
      <c r="X581" s="5">
        <f>IF(tblOrdenes[[#This Row],[centro_costo]]="","",_xlfn.XLOOKUP(tblOrdenes[[#This Row],[centro_costo]],tblCECO[codigo],tblCECO[area],"(sin catálogo)"))</f>
        <v/>
      </c>
      <c r="Y5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1" s="5">
        <f>IF(tblOrdenes[[#This Row],[centro_costo]]="","",_xlfn.XLOOKUP(tblOrdenes[[#This Row],[centro_costo]],tblCECO[codigo],tblCECO[coordinador],"(sin catálogo)"))</f>
        <v/>
      </c>
      <c r="AA581" s="5">
        <f>IF(tblOrdenes[[#This Row],[puesto_trabajo]]="","",_xlfn.XLOOKUP(tblOrdenes[[#This Row],[puesto_trabajo]],tblPuestos[codigo],tblPuestos[especialidad],"(sin catálogo)"))</f>
        <v/>
      </c>
      <c r="AB581" s="5">
        <f>IF(tblOrdenes[[#This Row],[cod_actividad]]="","",_xlfn.XLOOKUP(tblOrdenes[[#This Row],[cod_actividad]],tblActividades[codigo],tblActividades[descripcion],"(sin catálogo)"))</f>
        <v/>
      </c>
      <c r="AC581" s="20">
        <f>IF(tblOrdenes[[#This Row],[fecha_inicio]]="","",TODAY()-tblOrdenes[[#This Row],[fecha_inicio]])</f>
        <v/>
      </c>
      <c r="AD5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1" s="5">
        <f>IF(tblOrdenes[[#This Row],[backlog_habiles]]="","",IF(tblOrdenes[[#This Row],[backlog_habiles]]&lt;0,"FUTURO",IF(tblOrdenes[[#This Row],[backlog_habiles]]&gt;p_dias_backlog_max,"BACKLOG","MES CORRIENTE")))</f>
        <v/>
      </c>
      <c r="AF581" s="5">
        <f>IF(tblOrdenes[[#This Row],[backlog_habiles]]="",FALSE,AND(tblOrdenes[[#This Row],[backlog_habiles]]&gt;p_dias_backlog_min,tblOrdenes[[#This Row],[backlog_habiles]]&lt;=p_dias_backlog_max))</f>
        <v/>
      </c>
      <c r="AG581" s="4" t="n"/>
      <c r="AH5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1" s="18">
        <f>IF(tblOrdenes[[#This Row],[orden]]="","",_xlfn.XLOOKUP(tblOrdenes[[#This Row],[id_operacion]],tblEjecucion[id_operacion],tblEjecucion[precio],0))</f>
        <v/>
      </c>
      <c r="AL581" s="18">
        <f>IF(tblOrdenes[[#This Row],[orden]]="","",MAX(0,_xlfn.XLOOKUP(tblOrdenes[[#This Row],[id_operacion]],tblEjecucion[id_operacion],tblEjecucion[costo_plan_total],0)-tblOrdenes[[#This Row],[costo_servicio]]))</f>
        <v/>
      </c>
      <c r="AM581" s="18">
        <f>IF(tblOrdenes[[#This Row],[orden]]="","",tblOrdenes[[#This Row],[costo_servicio]]+tblOrdenes[[#This Row],[costo_materiales]])</f>
        <v/>
      </c>
      <c r="AN5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1" s="4" t="n"/>
      <c r="AP581" s="4" t="n"/>
      <c r="AQ581" s="4" t="n"/>
      <c r="AR581" s="5">
        <f>IF(tblOrdenes[[#This Row],[link_checklist]]="","",HYPERLINK(p_ruta_base_checklists&amp;tblOrdenes[[#This Row],[link_checklist]],"abrir"))</f>
        <v/>
      </c>
      <c r="AS581" s="4" t="n"/>
      <c r="AT581" s="5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22" t="n"/>
      <c r="K582" s="5" t="n"/>
      <c r="L582" s="18" t="n"/>
      <c r="M5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5">
        <f>IF(tblOrdenes[[#This Row],[fecha_inicio]]="","",YEAR(tblOrdenes[[#This Row],[fecha_inicio]]))</f>
        <v/>
      </c>
      <c r="Q582" s="5">
        <f>IF(tblOrdenes[[#This Row],[fecha_inicio]]="","",MONTH(tblOrdenes[[#This Row],[fecha_inicio]]))</f>
        <v/>
      </c>
      <c r="R582" s="5">
        <f>IF(tblOrdenes[[#This Row],[fecha_inicio]]="","",tblOrdenes[[#This Row],[anio]]&amp;"-"&amp;TEXT(tblOrdenes[[#This Row],[mes]],"00"))</f>
        <v/>
      </c>
      <c r="S582" s="5">
        <f>IF(tblOrdenes[[#This Row],[fecha_inicio]]="","",INDEX(lista_dias,WEEKDAY(tblOrdenes[[#This Row],[fecha_inicio]],2)))</f>
        <v/>
      </c>
      <c r="T5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2" s="5">
        <f>IF(tblOrdenes[[#This Row],[tipo_ot]]="","",_xlfn.XLOOKUP(tblOrdenes[[#This Row],[tipo_ot]],tblTiposOT[codigo],tblTiposOT[clasificacion],"sin_clasificar"))</f>
        <v/>
      </c>
      <c r="V5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2" s="5">
        <f>IF(tblOrdenes[[#This Row],[centro_costo]]="","",_xlfn.XLOOKUP(tblOrdenes[[#This Row],[centro_costo]],tblCECO[codigo],tblCECO[linea],"(sin catálogo)"))</f>
        <v/>
      </c>
      <c r="X582" s="5">
        <f>IF(tblOrdenes[[#This Row],[centro_costo]]="","",_xlfn.XLOOKUP(tblOrdenes[[#This Row],[centro_costo]],tblCECO[codigo],tblCECO[area],"(sin catálogo)"))</f>
        <v/>
      </c>
      <c r="Y5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2" s="5">
        <f>IF(tblOrdenes[[#This Row],[centro_costo]]="","",_xlfn.XLOOKUP(tblOrdenes[[#This Row],[centro_costo]],tblCECO[codigo],tblCECO[coordinador],"(sin catálogo)"))</f>
        <v/>
      </c>
      <c r="AA582" s="5">
        <f>IF(tblOrdenes[[#This Row],[puesto_trabajo]]="","",_xlfn.XLOOKUP(tblOrdenes[[#This Row],[puesto_trabajo]],tblPuestos[codigo],tblPuestos[especialidad],"(sin catálogo)"))</f>
        <v/>
      </c>
      <c r="AB582" s="5">
        <f>IF(tblOrdenes[[#This Row],[cod_actividad]]="","",_xlfn.XLOOKUP(tblOrdenes[[#This Row],[cod_actividad]],tblActividades[codigo],tblActividades[descripcion],"(sin catálogo)"))</f>
        <v/>
      </c>
      <c r="AC582" s="20">
        <f>IF(tblOrdenes[[#This Row],[fecha_inicio]]="","",TODAY()-tblOrdenes[[#This Row],[fecha_inicio]])</f>
        <v/>
      </c>
      <c r="AD5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2" s="5">
        <f>IF(tblOrdenes[[#This Row],[backlog_habiles]]="","",IF(tblOrdenes[[#This Row],[backlog_habiles]]&lt;0,"FUTURO",IF(tblOrdenes[[#This Row],[backlog_habiles]]&gt;p_dias_backlog_max,"BACKLOG","MES CORRIENTE")))</f>
        <v/>
      </c>
      <c r="AF582" s="5">
        <f>IF(tblOrdenes[[#This Row],[backlog_habiles]]="",FALSE,AND(tblOrdenes[[#This Row],[backlog_habiles]]&gt;p_dias_backlog_min,tblOrdenes[[#This Row],[backlog_habiles]]&lt;=p_dias_backlog_max))</f>
        <v/>
      </c>
      <c r="AG582" s="4" t="n"/>
      <c r="AH5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2" s="18">
        <f>IF(tblOrdenes[[#This Row],[orden]]="","",_xlfn.XLOOKUP(tblOrdenes[[#This Row],[id_operacion]],tblEjecucion[id_operacion],tblEjecucion[precio],0))</f>
        <v/>
      </c>
      <c r="AL582" s="18">
        <f>IF(tblOrdenes[[#This Row],[orden]]="","",MAX(0,_xlfn.XLOOKUP(tblOrdenes[[#This Row],[id_operacion]],tblEjecucion[id_operacion],tblEjecucion[costo_plan_total],0)-tblOrdenes[[#This Row],[costo_servicio]]))</f>
        <v/>
      </c>
      <c r="AM582" s="18">
        <f>IF(tblOrdenes[[#This Row],[orden]]="","",tblOrdenes[[#This Row],[costo_servicio]]+tblOrdenes[[#This Row],[costo_materiales]])</f>
        <v/>
      </c>
      <c r="AN5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2" s="4" t="n"/>
      <c r="AP582" s="4" t="n"/>
      <c r="AQ582" s="4" t="n"/>
      <c r="AR582" s="5">
        <f>IF(tblOrdenes[[#This Row],[link_checklist]]="","",HYPERLINK(p_ruta_base_checklists&amp;tblOrdenes[[#This Row],[link_checklist]],"abrir"))</f>
        <v/>
      </c>
      <c r="AS582" s="4" t="n"/>
      <c r="AT582" s="5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22" t="n"/>
      <c r="K583" s="5" t="n"/>
      <c r="L583" s="18" t="n"/>
      <c r="M5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5">
        <f>IF(tblOrdenes[[#This Row],[fecha_inicio]]="","",YEAR(tblOrdenes[[#This Row],[fecha_inicio]]))</f>
        <v/>
      </c>
      <c r="Q583" s="5">
        <f>IF(tblOrdenes[[#This Row],[fecha_inicio]]="","",MONTH(tblOrdenes[[#This Row],[fecha_inicio]]))</f>
        <v/>
      </c>
      <c r="R583" s="5">
        <f>IF(tblOrdenes[[#This Row],[fecha_inicio]]="","",tblOrdenes[[#This Row],[anio]]&amp;"-"&amp;TEXT(tblOrdenes[[#This Row],[mes]],"00"))</f>
        <v/>
      </c>
      <c r="S583" s="5">
        <f>IF(tblOrdenes[[#This Row],[fecha_inicio]]="","",INDEX(lista_dias,WEEKDAY(tblOrdenes[[#This Row],[fecha_inicio]],2)))</f>
        <v/>
      </c>
      <c r="T5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3" s="5">
        <f>IF(tblOrdenes[[#This Row],[tipo_ot]]="","",_xlfn.XLOOKUP(tblOrdenes[[#This Row],[tipo_ot]],tblTiposOT[codigo],tblTiposOT[clasificacion],"sin_clasificar"))</f>
        <v/>
      </c>
      <c r="V5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3" s="5">
        <f>IF(tblOrdenes[[#This Row],[centro_costo]]="","",_xlfn.XLOOKUP(tblOrdenes[[#This Row],[centro_costo]],tblCECO[codigo],tblCECO[linea],"(sin catálogo)"))</f>
        <v/>
      </c>
      <c r="X583" s="5">
        <f>IF(tblOrdenes[[#This Row],[centro_costo]]="","",_xlfn.XLOOKUP(tblOrdenes[[#This Row],[centro_costo]],tblCECO[codigo],tblCECO[area],"(sin catálogo)"))</f>
        <v/>
      </c>
      <c r="Y5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3" s="5">
        <f>IF(tblOrdenes[[#This Row],[centro_costo]]="","",_xlfn.XLOOKUP(tblOrdenes[[#This Row],[centro_costo]],tblCECO[codigo],tblCECO[coordinador],"(sin catálogo)"))</f>
        <v/>
      </c>
      <c r="AA583" s="5">
        <f>IF(tblOrdenes[[#This Row],[puesto_trabajo]]="","",_xlfn.XLOOKUP(tblOrdenes[[#This Row],[puesto_trabajo]],tblPuestos[codigo],tblPuestos[especialidad],"(sin catálogo)"))</f>
        <v/>
      </c>
      <c r="AB583" s="5">
        <f>IF(tblOrdenes[[#This Row],[cod_actividad]]="","",_xlfn.XLOOKUP(tblOrdenes[[#This Row],[cod_actividad]],tblActividades[codigo],tblActividades[descripcion],"(sin catálogo)"))</f>
        <v/>
      </c>
      <c r="AC583" s="20">
        <f>IF(tblOrdenes[[#This Row],[fecha_inicio]]="","",TODAY()-tblOrdenes[[#This Row],[fecha_inicio]])</f>
        <v/>
      </c>
      <c r="AD5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3" s="5">
        <f>IF(tblOrdenes[[#This Row],[backlog_habiles]]="","",IF(tblOrdenes[[#This Row],[backlog_habiles]]&lt;0,"FUTURO",IF(tblOrdenes[[#This Row],[backlog_habiles]]&gt;p_dias_backlog_max,"BACKLOG","MES CORRIENTE")))</f>
        <v/>
      </c>
      <c r="AF583" s="5">
        <f>IF(tblOrdenes[[#This Row],[backlog_habiles]]="",FALSE,AND(tblOrdenes[[#This Row],[backlog_habiles]]&gt;p_dias_backlog_min,tblOrdenes[[#This Row],[backlog_habiles]]&lt;=p_dias_backlog_max))</f>
        <v/>
      </c>
      <c r="AG583" s="4" t="n"/>
      <c r="AH5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3" s="18">
        <f>IF(tblOrdenes[[#This Row],[orden]]="","",_xlfn.XLOOKUP(tblOrdenes[[#This Row],[id_operacion]],tblEjecucion[id_operacion],tblEjecucion[precio],0))</f>
        <v/>
      </c>
      <c r="AL583" s="18">
        <f>IF(tblOrdenes[[#This Row],[orden]]="","",MAX(0,_xlfn.XLOOKUP(tblOrdenes[[#This Row],[id_operacion]],tblEjecucion[id_operacion],tblEjecucion[costo_plan_total],0)-tblOrdenes[[#This Row],[costo_servicio]]))</f>
        <v/>
      </c>
      <c r="AM583" s="18">
        <f>IF(tblOrdenes[[#This Row],[orden]]="","",tblOrdenes[[#This Row],[costo_servicio]]+tblOrdenes[[#This Row],[costo_materiales]])</f>
        <v/>
      </c>
      <c r="AN5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3" s="4" t="n"/>
      <c r="AP583" s="4" t="n"/>
      <c r="AQ583" s="4" t="n"/>
      <c r="AR583" s="5">
        <f>IF(tblOrdenes[[#This Row],[link_checklist]]="","",HYPERLINK(p_ruta_base_checklists&amp;tblOrdenes[[#This Row],[link_checklist]],"abrir"))</f>
        <v/>
      </c>
      <c r="AS583" s="4" t="n"/>
      <c r="AT583" s="5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22" t="n"/>
      <c r="K584" s="5" t="n"/>
      <c r="L584" s="18" t="n"/>
      <c r="M5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5">
        <f>IF(tblOrdenes[[#This Row],[fecha_inicio]]="","",YEAR(tblOrdenes[[#This Row],[fecha_inicio]]))</f>
        <v/>
      </c>
      <c r="Q584" s="5">
        <f>IF(tblOrdenes[[#This Row],[fecha_inicio]]="","",MONTH(tblOrdenes[[#This Row],[fecha_inicio]]))</f>
        <v/>
      </c>
      <c r="R584" s="5">
        <f>IF(tblOrdenes[[#This Row],[fecha_inicio]]="","",tblOrdenes[[#This Row],[anio]]&amp;"-"&amp;TEXT(tblOrdenes[[#This Row],[mes]],"00"))</f>
        <v/>
      </c>
      <c r="S584" s="5">
        <f>IF(tblOrdenes[[#This Row],[fecha_inicio]]="","",INDEX(lista_dias,WEEKDAY(tblOrdenes[[#This Row],[fecha_inicio]],2)))</f>
        <v/>
      </c>
      <c r="T5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4" s="5">
        <f>IF(tblOrdenes[[#This Row],[tipo_ot]]="","",_xlfn.XLOOKUP(tblOrdenes[[#This Row],[tipo_ot]],tblTiposOT[codigo],tblTiposOT[clasificacion],"sin_clasificar"))</f>
        <v/>
      </c>
      <c r="V5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4" s="5">
        <f>IF(tblOrdenes[[#This Row],[centro_costo]]="","",_xlfn.XLOOKUP(tblOrdenes[[#This Row],[centro_costo]],tblCECO[codigo],tblCECO[linea],"(sin catálogo)"))</f>
        <v/>
      </c>
      <c r="X584" s="5">
        <f>IF(tblOrdenes[[#This Row],[centro_costo]]="","",_xlfn.XLOOKUP(tblOrdenes[[#This Row],[centro_costo]],tblCECO[codigo],tblCECO[area],"(sin catálogo)"))</f>
        <v/>
      </c>
      <c r="Y5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4" s="5">
        <f>IF(tblOrdenes[[#This Row],[centro_costo]]="","",_xlfn.XLOOKUP(tblOrdenes[[#This Row],[centro_costo]],tblCECO[codigo],tblCECO[coordinador],"(sin catálogo)"))</f>
        <v/>
      </c>
      <c r="AA584" s="5">
        <f>IF(tblOrdenes[[#This Row],[puesto_trabajo]]="","",_xlfn.XLOOKUP(tblOrdenes[[#This Row],[puesto_trabajo]],tblPuestos[codigo],tblPuestos[especialidad],"(sin catálogo)"))</f>
        <v/>
      </c>
      <c r="AB584" s="5">
        <f>IF(tblOrdenes[[#This Row],[cod_actividad]]="","",_xlfn.XLOOKUP(tblOrdenes[[#This Row],[cod_actividad]],tblActividades[codigo],tblActividades[descripcion],"(sin catálogo)"))</f>
        <v/>
      </c>
      <c r="AC584" s="20">
        <f>IF(tblOrdenes[[#This Row],[fecha_inicio]]="","",TODAY()-tblOrdenes[[#This Row],[fecha_inicio]])</f>
        <v/>
      </c>
      <c r="AD5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4" s="5">
        <f>IF(tblOrdenes[[#This Row],[backlog_habiles]]="","",IF(tblOrdenes[[#This Row],[backlog_habiles]]&lt;0,"FUTURO",IF(tblOrdenes[[#This Row],[backlog_habiles]]&gt;p_dias_backlog_max,"BACKLOG","MES CORRIENTE")))</f>
        <v/>
      </c>
      <c r="AF584" s="5">
        <f>IF(tblOrdenes[[#This Row],[backlog_habiles]]="",FALSE,AND(tblOrdenes[[#This Row],[backlog_habiles]]&gt;p_dias_backlog_min,tblOrdenes[[#This Row],[backlog_habiles]]&lt;=p_dias_backlog_max))</f>
        <v/>
      </c>
      <c r="AG584" s="4" t="n"/>
      <c r="AH5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4" s="18">
        <f>IF(tblOrdenes[[#This Row],[orden]]="","",_xlfn.XLOOKUP(tblOrdenes[[#This Row],[id_operacion]],tblEjecucion[id_operacion],tblEjecucion[precio],0))</f>
        <v/>
      </c>
      <c r="AL584" s="18">
        <f>IF(tblOrdenes[[#This Row],[orden]]="","",MAX(0,_xlfn.XLOOKUP(tblOrdenes[[#This Row],[id_operacion]],tblEjecucion[id_operacion],tblEjecucion[costo_plan_total],0)-tblOrdenes[[#This Row],[costo_servicio]]))</f>
        <v/>
      </c>
      <c r="AM584" s="18">
        <f>IF(tblOrdenes[[#This Row],[orden]]="","",tblOrdenes[[#This Row],[costo_servicio]]+tblOrdenes[[#This Row],[costo_materiales]])</f>
        <v/>
      </c>
      <c r="AN5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4" s="4" t="n"/>
      <c r="AP584" s="4" t="n"/>
      <c r="AQ584" s="4" t="n"/>
      <c r="AR584" s="5">
        <f>IF(tblOrdenes[[#This Row],[link_checklist]]="","",HYPERLINK(p_ruta_base_checklists&amp;tblOrdenes[[#This Row],[link_checklist]],"abrir"))</f>
        <v/>
      </c>
      <c r="AS584" s="4" t="n"/>
      <c r="AT584" s="5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22" t="n"/>
      <c r="K585" s="5" t="n"/>
      <c r="L585" s="18" t="n"/>
      <c r="M5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5">
        <f>IF(tblOrdenes[[#This Row],[fecha_inicio]]="","",YEAR(tblOrdenes[[#This Row],[fecha_inicio]]))</f>
        <v/>
      </c>
      <c r="Q585" s="5">
        <f>IF(tblOrdenes[[#This Row],[fecha_inicio]]="","",MONTH(tblOrdenes[[#This Row],[fecha_inicio]]))</f>
        <v/>
      </c>
      <c r="R585" s="5">
        <f>IF(tblOrdenes[[#This Row],[fecha_inicio]]="","",tblOrdenes[[#This Row],[anio]]&amp;"-"&amp;TEXT(tblOrdenes[[#This Row],[mes]],"00"))</f>
        <v/>
      </c>
      <c r="S585" s="5">
        <f>IF(tblOrdenes[[#This Row],[fecha_inicio]]="","",INDEX(lista_dias,WEEKDAY(tblOrdenes[[#This Row],[fecha_inicio]],2)))</f>
        <v/>
      </c>
      <c r="T5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5" s="5">
        <f>IF(tblOrdenes[[#This Row],[tipo_ot]]="","",_xlfn.XLOOKUP(tblOrdenes[[#This Row],[tipo_ot]],tblTiposOT[codigo],tblTiposOT[clasificacion],"sin_clasificar"))</f>
        <v/>
      </c>
      <c r="V5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5" s="5">
        <f>IF(tblOrdenes[[#This Row],[centro_costo]]="","",_xlfn.XLOOKUP(tblOrdenes[[#This Row],[centro_costo]],tblCECO[codigo],tblCECO[linea],"(sin catálogo)"))</f>
        <v/>
      </c>
      <c r="X585" s="5">
        <f>IF(tblOrdenes[[#This Row],[centro_costo]]="","",_xlfn.XLOOKUP(tblOrdenes[[#This Row],[centro_costo]],tblCECO[codigo],tblCECO[area],"(sin catálogo)"))</f>
        <v/>
      </c>
      <c r="Y5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5" s="5">
        <f>IF(tblOrdenes[[#This Row],[centro_costo]]="","",_xlfn.XLOOKUP(tblOrdenes[[#This Row],[centro_costo]],tblCECO[codigo],tblCECO[coordinador],"(sin catálogo)"))</f>
        <v/>
      </c>
      <c r="AA585" s="5">
        <f>IF(tblOrdenes[[#This Row],[puesto_trabajo]]="","",_xlfn.XLOOKUP(tblOrdenes[[#This Row],[puesto_trabajo]],tblPuestos[codigo],tblPuestos[especialidad],"(sin catálogo)"))</f>
        <v/>
      </c>
      <c r="AB585" s="5">
        <f>IF(tblOrdenes[[#This Row],[cod_actividad]]="","",_xlfn.XLOOKUP(tblOrdenes[[#This Row],[cod_actividad]],tblActividades[codigo],tblActividades[descripcion],"(sin catálogo)"))</f>
        <v/>
      </c>
      <c r="AC585" s="20">
        <f>IF(tblOrdenes[[#This Row],[fecha_inicio]]="","",TODAY()-tblOrdenes[[#This Row],[fecha_inicio]])</f>
        <v/>
      </c>
      <c r="AD5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5" s="5">
        <f>IF(tblOrdenes[[#This Row],[backlog_habiles]]="","",IF(tblOrdenes[[#This Row],[backlog_habiles]]&lt;0,"FUTURO",IF(tblOrdenes[[#This Row],[backlog_habiles]]&gt;p_dias_backlog_max,"BACKLOG","MES CORRIENTE")))</f>
        <v/>
      </c>
      <c r="AF585" s="5">
        <f>IF(tblOrdenes[[#This Row],[backlog_habiles]]="",FALSE,AND(tblOrdenes[[#This Row],[backlog_habiles]]&gt;p_dias_backlog_min,tblOrdenes[[#This Row],[backlog_habiles]]&lt;=p_dias_backlog_max))</f>
        <v/>
      </c>
      <c r="AG585" s="4" t="n"/>
      <c r="AH5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5" s="18">
        <f>IF(tblOrdenes[[#This Row],[orden]]="","",_xlfn.XLOOKUP(tblOrdenes[[#This Row],[id_operacion]],tblEjecucion[id_operacion],tblEjecucion[precio],0))</f>
        <v/>
      </c>
      <c r="AL585" s="18">
        <f>IF(tblOrdenes[[#This Row],[orden]]="","",MAX(0,_xlfn.XLOOKUP(tblOrdenes[[#This Row],[id_operacion]],tblEjecucion[id_operacion],tblEjecucion[costo_plan_total],0)-tblOrdenes[[#This Row],[costo_servicio]]))</f>
        <v/>
      </c>
      <c r="AM585" s="18">
        <f>IF(tblOrdenes[[#This Row],[orden]]="","",tblOrdenes[[#This Row],[costo_servicio]]+tblOrdenes[[#This Row],[costo_materiales]])</f>
        <v/>
      </c>
      <c r="AN5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5" s="4" t="n"/>
      <c r="AP585" s="4" t="n"/>
      <c r="AQ585" s="4" t="n"/>
      <c r="AR585" s="5">
        <f>IF(tblOrdenes[[#This Row],[link_checklist]]="","",HYPERLINK(p_ruta_base_checklists&amp;tblOrdenes[[#This Row],[link_checklist]],"abrir"))</f>
        <v/>
      </c>
      <c r="AS585" s="4" t="n"/>
      <c r="AT585" s="5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22" t="n"/>
      <c r="K586" s="5" t="n"/>
      <c r="L586" s="18" t="n"/>
      <c r="M5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5">
        <f>IF(tblOrdenes[[#This Row],[fecha_inicio]]="","",YEAR(tblOrdenes[[#This Row],[fecha_inicio]]))</f>
        <v/>
      </c>
      <c r="Q586" s="5">
        <f>IF(tblOrdenes[[#This Row],[fecha_inicio]]="","",MONTH(tblOrdenes[[#This Row],[fecha_inicio]]))</f>
        <v/>
      </c>
      <c r="R586" s="5">
        <f>IF(tblOrdenes[[#This Row],[fecha_inicio]]="","",tblOrdenes[[#This Row],[anio]]&amp;"-"&amp;TEXT(tblOrdenes[[#This Row],[mes]],"00"))</f>
        <v/>
      </c>
      <c r="S586" s="5">
        <f>IF(tblOrdenes[[#This Row],[fecha_inicio]]="","",INDEX(lista_dias,WEEKDAY(tblOrdenes[[#This Row],[fecha_inicio]],2)))</f>
        <v/>
      </c>
      <c r="T5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6" s="5">
        <f>IF(tblOrdenes[[#This Row],[tipo_ot]]="","",_xlfn.XLOOKUP(tblOrdenes[[#This Row],[tipo_ot]],tblTiposOT[codigo],tblTiposOT[clasificacion],"sin_clasificar"))</f>
        <v/>
      </c>
      <c r="V5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6" s="5">
        <f>IF(tblOrdenes[[#This Row],[centro_costo]]="","",_xlfn.XLOOKUP(tblOrdenes[[#This Row],[centro_costo]],tblCECO[codigo],tblCECO[linea],"(sin catálogo)"))</f>
        <v/>
      </c>
      <c r="X586" s="5">
        <f>IF(tblOrdenes[[#This Row],[centro_costo]]="","",_xlfn.XLOOKUP(tblOrdenes[[#This Row],[centro_costo]],tblCECO[codigo],tblCECO[area],"(sin catálogo)"))</f>
        <v/>
      </c>
      <c r="Y5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6" s="5">
        <f>IF(tblOrdenes[[#This Row],[centro_costo]]="","",_xlfn.XLOOKUP(tblOrdenes[[#This Row],[centro_costo]],tblCECO[codigo],tblCECO[coordinador],"(sin catálogo)"))</f>
        <v/>
      </c>
      <c r="AA586" s="5">
        <f>IF(tblOrdenes[[#This Row],[puesto_trabajo]]="","",_xlfn.XLOOKUP(tblOrdenes[[#This Row],[puesto_trabajo]],tblPuestos[codigo],tblPuestos[especialidad],"(sin catálogo)"))</f>
        <v/>
      </c>
      <c r="AB586" s="5">
        <f>IF(tblOrdenes[[#This Row],[cod_actividad]]="","",_xlfn.XLOOKUP(tblOrdenes[[#This Row],[cod_actividad]],tblActividades[codigo],tblActividades[descripcion],"(sin catálogo)"))</f>
        <v/>
      </c>
      <c r="AC586" s="20">
        <f>IF(tblOrdenes[[#This Row],[fecha_inicio]]="","",TODAY()-tblOrdenes[[#This Row],[fecha_inicio]])</f>
        <v/>
      </c>
      <c r="AD5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6" s="5">
        <f>IF(tblOrdenes[[#This Row],[backlog_habiles]]="","",IF(tblOrdenes[[#This Row],[backlog_habiles]]&lt;0,"FUTURO",IF(tblOrdenes[[#This Row],[backlog_habiles]]&gt;p_dias_backlog_max,"BACKLOG","MES CORRIENTE")))</f>
        <v/>
      </c>
      <c r="AF586" s="5">
        <f>IF(tblOrdenes[[#This Row],[backlog_habiles]]="",FALSE,AND(tblOrdenes[[#This Row],[backlog_habiles]]&gt;p_dias_backlog_min,tblOrdenes[[#This Row],[backlog_habiles]]&lt;=p_dias_backlog_max))</f>
        <v/>
      </c>
      <c r="AG586" s="4" t="n"/>
      <c r="AH5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6" s="18">
        <f>IF(tblOrdenes[[#This Row],[orden]]="","",_xlfn.XLOOKUP(tblOrdenes[[#This Row],[id_operacion]],tblEjecucion[id_operacion],tblEjecucion[precio],0))</f>
        <v/>
      </c>
      <c r="AL586" s="18">
        <f>IF(tblOrdenes[[#This Row],[orden]]="","",MAX(0,_xlfn.XLOOKUP(tblOrdenes[[#This Row],[id_operacion]],tblEjecucion[id_operacion],tblEjecucion[costo_plan_total],0)-tblOrdenes[[#This Row],[costo_servicio]]))</f>
        <v/>
      </c>
      <c r="AM586" s="18">
        <f>IF(tblOrdenes[[#This Row],[orden]]="","",tblOrdenes[[#This Row],[costo_servicio]]+tblOrdenes[[#This Row],[costo_materiales]])</f>
        <v/>
      </c>
      <c r="AN5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6" s="4" t="n"/>
      <c r="AP586" s="4" t="n"/>
      <c r="AQ586" s="4" t="n"/>
      <c r="AR586" s="5">
        <f>IF(tblOrdenes[[#This Row],[link_checklist]]="","",HYPERLINK(p_ruta_base_checklists&amp;tblOrdenes[[#This Row],[link_checklist]],"abrir"))</f>
        <v/>
      </c>
      <c r="AS586" s="4" t="n"/>
      <c r="AT586" s="5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22" t="n"/>
      <c r="K587" s="5" t="n"/>
      <c r="L587" s="18" t="n"/>
      <c r="M5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5">
        <f>IF(tblOrdenes[[#This Row],[fecha_inicio]]="","",YEAR(tblOrdenes[[#This Row],[fecha_inicio]]))</f>
        <v/>
      </c>
      <c r="Q587" s="5">
        <f>IF(tblOrdenes[[#This Row],[fecha_inicio]]="","",MONTH(tblOrdenes[[#This Row],[fecha_inicio]]))</f>
        <v/>
      </c>
      <c r="R587" s="5">
        <f>IF(tblOrdenes[[#This Row],[fecha_inicio]]="","",tblOrdenes[[#This Row],[anio]]&amp;"-"&amp;TEXT(tblOrdenes[[#This Row],[mes]],"00"))</f>
        <v/>
      </c>
      <c r="S587" s="5">
        <f>IF(tblOrdenes[[#This Row],[fecha_inicio]]="","",INDEX(lista_dias,WEEKDAY(tblOrdenes[[#This Row],[fecha_inicio]],2)))</f>
        <v/>
      </c>
      <c r="T5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7" s="5">
        <f>IF(tblOrdenes[[#This Row],[tipo_ot]]="","",_xlfn.XLOOKUP(tblOrdenes[[#This Row],[tipo_ot]],tblTiposOT[codigo],tblTiposOT[clasificacion],"sin_clasificar"))</f>
        <v/>
      </c>
      <c r="V5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7" s="5">
        <f>IF(tblOrdenes[[#This Row],[centro_costo]]="","",_xlfn.XLOOKUP(tblOrdenes[[#This Row],[centro_costo]],tblCECO[codigo],tblCECO[linea],"(sin catálogo)"))</f>
        <v/>
      </c>
      <c r="X587" s="5">
        <f>IF(tblOrdenes[[#This Row],[centro_costo]]="","",_xlfn.XLOOKUP(tblOrdenes[[#This Row],[centro_costo]],tblCECO[codigo],tblCECO[area],"(sin catálogo)"))</f>
        <v/>
      </c>
      <c r="Y5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7" s="5">
        <f>IF(tblOrdenes[[#This Row],[centro_costo]]="","",_xlfn.XLOOKUP(tblOrdenes[[#This Row],[centro_costo]],tblCECO[codigo],tblCECO[coordinador],"(sin catálogo)"))</f>
        <v/>
      </c>
      <c r="AA587" s="5">
        <f>IF(tblOrdenes[[#This Row],[puesto_trabajo]]="","",_xlfn.XLOOKUP(tblOrdenes[[#This Row],[puesto_trabajo]],tblPuestos[codigo],tblPuestos[especialidad],"(sin catálogo)"))</f>
        <v/>
      </c>
      <c r="AB587" s="5">
        <f>IF(tblOrdenes[[#This Row],[cod_actividad]]="","",_xlfn.XLOOKUP(tblOrdenes[[#This Row],[cod_actividad]],tblActividades[codigo],tblActividades[descripcion],"(sin catálogo)"))</f>
        <v/>
      </c>
      <c r="AC587" s="20">
        <f>IF(tblOrdenes[[#This Row],[fecha_inicio]]="","",TODAY()-tblOrdenes[[#This Row],[fecha_inicio]])</f>
        <v/>
      </c>
      <c r="AD5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7" s="5">
        <f>IF(tblOrdenes[[#This Row],[backlog_habiles]]="","",IF(tblOrdenes[[#This Row],[backlog_habiles]]&lt;0,"FUTURO",IF(tblOrdenes[[#This Row],[backlog_habiles]]&gt;p_dias_backlog_max,"BACKLOG","MES CORRIENTE")))</f>
        <v/>
      </c>
      <c r="AF587" s="5">
        <f>IF(tblOrdenes[[#This Row],[backlog_habiles]]="",FALSE,AND(tblOrdenes[[#This Row],[backlog_habiles]]&gt;p_dias_backlog_min,tblOrdenes[[#This Row],[backlog_habiles]]&lt;=p_dias_backlog_max))</f>
        <v/>
      </c>
      <c r="AG587" s="4" t="n"/>
      <c r="AH5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7" s="18">
        <f>IF(tblOrdenes[[#This Row],[orden]]="","",_xlfn.XLOOKUP(tblOrdenes[[#This Row],[id_operacion]],tblEjecucion[id_operacion],tblEjecucion[precio],0))</f>
        <v/>
      </c>
      <c r="AL587" s="18">
        <f>IF(tblOrdenes[[#This Row],[orden]]="","",MAX(0,_xlfn.XLOOKUP(tblOrdenes[[#This Row],[id_operacion]],tblEjecucion[id_operacion],tblEjecucion[costo_plan_total],0)-tblOrdenes[[#This Row],[costo_servicio]]))</f>
        <v/>
      </c>
      <c r="AM587" s="18">
        <f>IF(tblOrdenes[[#This Row],[orden]]="","",tblOrdenes[[#This Row],[costo_servicio]]+tblOrdenes[[#This Row],[costo_materiales]])</f>
        <v/>
      </c>
      <c r="AN5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7" s="4" t="n"/>
      <c r="AP587" s="4" t="n"/>
      <c r="AQ587" s="4" t="n"/>
      <c r="AR587" s="5">
        <f>IF(tblOrdenes[[#This Row],[link_checklist]]="","",HYPERLINK(p_ruta_base_checklists&amp;tblOrdenes[[#This Row],[link_checklist]],"abrir"))</f>
        <v/>
      </c>
      <c r="AS587" s="4" t="n"/>
      <c r="AT587" s="5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22" t="n"/>
      <c r="K588" s="5" t="n"/>
      <c r="L588" s="18" t="n"/>
      <c r="M5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5">
        <f>IF(tblOrdenes[[#This Row],[fecha_inicio]]="","",YEAR(tblOrdenes[[#This Row],[fecha_inicio]]))</f>
        <v/>
      </c>
      <c r="Q588" s="5">
        <f>IF(tblOrdenes[[#This Row],[fecha_inicio]]="","",MONTH(tblOrdenes[[#This Row],[fecha_inicio]]))</f>
        <v/>
      </c>
      <c r="R588" s="5">
        <f>IF(tblOrdenes[[#This Row],[fecha_inicio]]="","",tblOrdenes[[#This Row],[anio]]&amp;"-"&amp;TEXT(tblOrdenes[[#This Row],[mes]],"00"))</f>
        <v/>
      </c>
      <c r="S588" s="5">
        <f>IF(tblOrdenes[[#This Row],[fecha_inicio]]="","",INDEX(lista_dias,WEEKDAY(tblOrdenes[[#This Row],[fecha_inicio]],2)))</f>
        <v/>
      </c>
      <c r="T5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8" s="5">
        <f>IF(tblOrdenes[[#This Row],[tipo_ot]]="","",_xlfn.XLOOKUP(tblOrdenes[[#This Row],[tipo_ot]],tblTiposOT[codigo],tblTiposOT[clasificacion],"sin_clasificar"))</f>
        <v/>
      </c>
      <c r="V5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8" s="5">
        <f>IF(tblOrdenes[[#This Row],[centro_costo]]="","",_xlfn.XLOOKUP(tblOrdenes[[#This Row],[centro_costo]],tblCECO[codigo],tblCECO[linea],"(sin catálogo)"))</f>
        <v/>
      </c>
      <c r="X588" s="5">
        <f>IF(tblOrdenes[[#This Row],[centro_costo]]="","",_xlfn.XLOOKUP(tblOrdenes[[#This Row],[centro_costo]],tblCECO[codigo],tblCECO[area],"(sin catálogo)"))</f>
        <v/>
      </c>
      <c r="Y5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8" s="5">
        <f>IF(tblOrdenes[[#This Row],[centro_costo]]="","",_xlfn.XLOOKUP(tblOrdenes[[#This Row],[centro_costo]],tblCECO[codigo],tblCECO[coordinador],"(sin catálogo)"))</f>
        <v/>
      </c>
      <c r="AA588" s="5">
        <f>IF(tblOrdenes[[#This Row],[puesto_trabajo]]="","",_xlfn.XLOOKUP(tblOrdenes[[#This Row],[puesto_trabajo]],tblPuestos[codigo],tblPuestos[especialidad],"(sin catálogo)"))</f>
        <v/>
      </c>
      <c r="AB588" s="5">
        <f>IF(tblOrdenes[[#This Row],[cod_actividad]]="","",_xlfn.XLOOKUP(tblOrdenes[[#This Row],[cod_actividad]],tblActividades[codigo],tblActividades[descripcion],"(sin catálogo)"))</f>
        <v/>
      </c>
      <c r="AC588" s="20">
        <f>IF(tblOrdenes[[#This Row],[fecha_inicio]]="","",TODAY()-tblOrdenes[[#This Row],[fecha_inicio]])</f>
        <v/>
      </c>
      <c r="AD5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8" s="5">
        <f>IF(tblOrdenes[[#This Row],[backlog_habiles]]="","",IF(tblOrdenes[[#This Row],[backlog_habiles]]&lt;0,"FUTURO",IF(tblOrdenes[[#This Row],[backlog_habiles]]&gt;p_dias_backlog_max,"BACKLOG","MES CORRIENTE")))</f>
        <v/>
      </c>
      <c r="AF588" s="5">
        <f>IF(tblOrdenes[[#This Row],[backlog_habiles]]="",FALSE,AND(tblOrdenes[[#This Row],[backlog_habiles]]&gt;p_dias_backlog_min,tblOrdenes[[#This Row],[backlog_habiles]]&lt;=p_dias_backlog_max))</f>
        <v/>
      </c>
      <c r="AG588" s="4" t="n"/>
      <c r="AH5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8" s="18">
        <f>IF(tblOrdenes[[#This Row],[orden]]="","",_xlfn.XLOOKUP(tblOrdenes[[#This Row],[id_operacion]],tblEjecucion[id_operacion],tblEjecucion[precio],0))</f>
        <v/>
      </c>
      <c r="AL588" s="18">
        <f>IF(tblOrdenes[[#This Row],[orden]]="","",MAX(0,_xlfn.XLOOKUP(tblOrdenes[[#This Row],[id_operacion]],tblEjecucion[id_operacion],tblEjecucion[costo_plan_total],0)-tblOrdenes[[#This Row],[costo_servicio]]))</f>
        <v/>
      </c>
      <c r="AM588" s="18">
        <f>IF(tblOrdenes[[#This Row],[orden]]="","",tblOrdenes[[#This Row],[costo_servicio]]+tblOrdenes[[#This Row],[costo_materiales]])</f>
        <v/>
      </c>
      <c r="AN5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8" s="4" t="n"/>
      <c r="AP588" s="4" t="n"/>
      <c r="AQ588" s="4" t="n"/>
      <c r="AR588" s="5">
        <f>IF(tblOrdenes[[#This Row],[link_checklist]]="","",HYPERLINK(p_ruta_base_checklists&amp;tblOrdenes[[#This Row],[link_checklist]],"abrir"))</f>
        <v/>
      </c>
      <c r="AS588" s="4" t="n"/>
      <c r="AT588" s="5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22" t="n"/>
      <c r="K589" s="5" t="n"/>
      <c r="L589" s="18" t="n"/>
      <c r="M5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5">
        <f>IF(tblOrdenes[[#This Row],[fecha_inicio]]="","",YEAR(tblOrdenes[[#This Row],[fecha_inicio]]))</f>
        <v/>
      </c>
      <c r="Q589" s="5">
        <f>IF(tblOrdenes[[#This Row],[fecha_inicio]]="","",MONTH(tblOrdenes[[#This Row],[fecha_inicio]]))</f>
        <v/>
      </c>
      <c r="R589" s="5">
        <f>IF(tblOrdenes[[#This Row],[fecha_inicio]]="","",tblOrdenes[[#This Row],[anio]]&amp;"-"&amp;TEXT(tblOrdenes[[#This Row],[mes]],"00"))</f>
        <v/>
      </c>
      <c r="S589" s="5">
        <f>IF(tblOrdenes[[#This Row],[fecha_inicio]]="","",INDEX(lista_dias,WEEKDAY(tblOrdenes[[#This Row],[fecha_inicio]],2)))</f>
        <v/>
      </c>
      <c r="T5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9" s="5">
        <f>IF(tblOrdenes[[#This Row],[tipo_ot]]="","",_xlfn.XLOOKUP(tblOrdenes[[#This Row],[tipo_ot]],tblTiposOT[codigo],tblTiposOT[clasificacion],"sin_clasificar"))</f>
        <v/>
      </c>
      <c r="V5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9" s="5">
        <f>IF(tblOrdenes[[#This Row],[centro_costo]]="","",_xlfn.XLOOKUP(tblOrdenes[[#This Row],[centro_costo]],tblCECO[codigo],tblCECO[linea],"(sin catálogo)"))</f>
        <v/>
      </c>
      <c r="X589" s="5">
        <f>IF(tblOrdenes[[#This Row],[centro_costo]]="","",_xlfn.XLOOKUP(tblOrdenes[[#This Row],[centro_costo]],tblCECO[codigo],tblCECO[area],"(sin catálogo)"))</f>
        <v/>
      </c>
      <c r="Y5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89" s="5">
        <f>IF(tblOrdenes[[#This Row],[centro_costo]]="","",_xlfn.XLOOKUP(tblOrdenes[[#This Row],[centro_costo]],tblCECO[codigo],tblCECO[coordinador],"(sin catálogo)"))</f>
        <v/>
      </c>
      <c r="AA589" s="5">
        <f>IF(tblOrdenes[[#This Row],[puesto_trabajo]]="","",_xlfn.XLOOKUP(tblOrdenes[[#This Row],[puesto_trabajo]],tblPuestos[codigo],tblPuestos[especialidad],"(sin catálogo)"))</f>
        <v/>
      </c>
      <c r="AB589" s="5">
        <f>IF(tblOrdenes[[#This Row],[cod_actividad]]="","",_xlfn.XLOOKUP(tblOrdenes[[#This Row],[cod_actividad]],tblActividades[codigo],tblActividades[descripcion],"(sin catálogo)"))</f>
        <v/>
      </c>
      <c r="AC589" s="20">
        <f>IF(tblOrdenes[[#This Row],[fecha_inicio]]="","",TODAY()-tblOrdenes[[#This Row],[fecha_inicio]])</f>
        <v/>
      </c>
      <c r="AD5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89" s="5">
        <f>IF(tblOrdenes[[#This Row],[backlog_habiles]]="","",IF(tblOrdenes[[#This Row],[backlog_habiles]]&lt;0,"FUTURO",IF(tblOrdenes[[#This Row],[backlog_habiles]]&gt;p_dias_backlog_max,"BACKLOG","MES CORRIENTE")))</f>
        <v/>
      </c>
      <c r="AF589" s="5">
        <f>IF(tblOrdenes[[#This Row],[backlog_habiles]]="",FALSE,AND(tblOrdenes[[#This Row],[backlog_habiles]]&gt;p_dias_backlog_min,tblOrdenes[[#This Row],[backlog_habiles]]&lt;=p_dias_backlog_max))</f>
        <v/>
      </c>
      <c r="AG589" s="4" t="n"/>
      <c r="AH5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89" s="18">
        <f>IF(tblOrdenes[[#This Row],[orden]]="","",_xlfn.XLOOKUP(tblOrdenes[[#This Row],[id_operacion]],tblEjecucion[id_operacion],tblEjecucion[precio],0))</f>
        <v/>
      </c>
      <c r="AL589" s="18">
        <f>IF(tblOrdenes[[#This Row],[orden]]="","",MAX(0,_xlfn.XLOOKUP(tblOrdenes[[#This Row],[id_operacion]],tblEjecucion[id_operacion],tblEjecucion[costo_plan_total],0)-tblOrdenes[[#This Row],[costo_servicio]]))</f>
        <v/>
      </c>
      <c r="AM589" s="18">
        <f>IF(tblOrdenes[[#This Row],[orden]]="","",tblOrdenes[[#This Row],[costo_servicio]]+tblOrdenes[[#This Row],[costo_materiales]])</f>
        <v/>
      </c>
      <c r="AN5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89" s="4" t="n"/>
      <c r="AP589" s="4" t="n"/>
      <c r="AQ589" s="4" t="n"/>
      <c r="AR589" s="5">
        <f>IF(tblOrdenes[[#This Row],[link_checklist]]="","",HYPERLINK(p_ruta_base_checklists&amp;tblOrdenes[[#This Row],[link_checklist]],"abrir"))</f>
        <v/>
      </c>
      <c r="AS589" s="4" t="n"/>
      <c r="AT589" s="5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22" t="n"/>
      <c r="K590" s="5" t="n"/>
      <c r="L590" s="18" t="n"/>
      <c r="M5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5">
        <f>IF(tblOrdenes[[#This Row],[fecha_inicio]]="","",YEAR(tblOrdenes[[#This Row],[fecha_inicio]]))</f>
        <v/>
      </c>
      <c r="Q590" s="5">
        <f>IF(tblOrdenes[[#This Row],[fecha_inicio]]="","",MONTH(tblOrdenes[[#This Row],[fecha_inicio]]))</f>
        <v/>
      </c>
      <c r="R590" s="5">
        <f>IF(tblOrdenes[[#This Row],[fecha_inicio]]="","",tblOrdenes[[#This Row],[anio]]&amp;"-"&amp;TEXT(tblOrdenes[[#This Row],[mes]],"00"))</f>
        <v/>
      </c>
      <c r="S590" s="5">
        <f>IF(tblOrdenes[[#This Row],[fecha_inicio]]="","",INDEX(lista_dias,WEEKDAY(tblOrdenes[[#This Row],[fecha_inicio]],2)))</f>
        <v/>
      </c>
      <c r="T5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0" s="5">
        <f>IF(tblOrdenes[[#This Row],[tipo_ot]]="","",_xlfn.XLOOKUP(tblOrdenes[[#This Row],[tipo_ot]],tblTiposOT[codigo],tblTiposOT[clasificacion],"sin_clasificar"))</f>
        <v/>
      </c>
      <c r="V5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0" s="5">
        <f>IF(tblOrdenes[[#This Row],[centro_costo]]="","",_xlfn.XLOOKUP(tblOrdenes[[#This Row],[centro_costo]],tblCECO[codigo],tblCECO[linea],"(sin catálogo)"))</f>
        <v/>
      </c>
      <c r="X590" s="5">
        <f>IF(tblOrdenes[[#This Row],[centro_costo]]="","",_xlfn.XLOOKUP(tblOrdenes[[#This Row],[centro_costo]],tblCECO[codigo],tblCECO[area],"(sin catálogo)"))</f>
        <v/>
      </c>
      <c r="Y5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0" s="5">
        <f>IF(tblOrdenes[[#This Row],[centro_costo]]="","",_xlfn.XLOOKUP(tblOrdenes[[#This Row],[centro_costo]],tblCECO[codigo],tblCECO[coordinador],"(sin catálogo)"))</f>
        <v/>
      </c>
      <c r="AA590" s="5">
        <f>IF(tblOrdenes[[#This Row],[puesto_trabajo]]="","",_xlfn.XLOOKUP(tblOrdenes[[#This Row],[puesto_trabajo]],tblPuestos[codigo],tblPuestos[especialidad],"(sin catálogo)"))</f>
        <v/>
      </c>
      <c r="AB590" s="5">
        <f>IF(tblOrdenes[[#This Row],[cod_actividad]]="","",_xlfn.XLOOKUP(tblOrdenes[[#This Row],[cod_actividad]],tblActividades[codigo],tblActividades[descripcion],"(sin catálogo)"))</f>
        <v/>
      </c>
      <c r="AC590" s="20">
        <f>IF(tblOrdenes[[#This Row],[fecha_inicio]]="","",TODAY()-tblOrdenes[[#This Row],[fecha_inicio]])</f>
        <v/>
      </c>
      <c r="AD5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0" s="5">
        <f>IF(tblOrdenes[[#This Row],[backlog_habiles]]="","",IF(tblOrdenes[[#This Row],[backlog_habiles]]&lt;0,"FUTURO",IF(tblOrdenes[[#This Row],[backlog_habiles]]&gt;p_dias_backlog_max,"BACKLOG","MES CORRIENTE")))</f>
        <v/>
      </c>
      <c r="AF590" s="5">
        <f>IF(tblOrdenes[[#This Row],[backlog_habiles]]="",FALSE,AND(tblOrdenes[[#This Row],[backlog_habiles]]&gt;p_dias_backlog_min,tblOrdenes[[#This Row],[backlog_habiles]]&lt;=p_dias_backlog_max))</f>
        <v/>
      </c>
      <c r="AG590" s="4" t="n"/>
      <c r="AH5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0" s="18">
        <f>IF(tblOrdenes[[#This Row],[orden]]="","",_xlfn.XLOOKUP(tblOrdenes[[#This Row],[id_operacion]],tblEjecucion[id_operacion],tblEjecucion[precio],0))</f>
        <v/>
      </c>
      <c r="AL590" s="18">
        <f>IF(tblOrdenes[[#This Row],[orden]]="","",MAX(0,_xlfn.XLOOKUP(tblOrdenes[[#This Row],[id_operacion]],tblEjecucion[id_operacion],tblEjecucion[costo_plan_total],0)-tblOrdenes[[#This Row],[costo_servicio]]))</f>
        <v/>
      </c>
      <c r="AM590" s="18">
        <f>IF(tblOrdenes[[#This Row],[orden]]="","",tblOrdenes[[#This Row],[costo_servicio]]+tblOrdenes[[#This Row],[costo_materiales]])</f>
        <v/>
      </c>
      <c r="AN5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0" s="4" t="n"/>
      <c r="AP590" s="4" t="n"/>
      <c r="AQ590" s="4" t="n"/>
      <c r="AR590" s="5">
        <f>IF(tblOrdenes[[#This Row],[link_checklist]]="","",HYPERLINK(p_ruta_base_checklists&amp;tblOrdenes[[#This Row],[link_checklist]],"abrir"))</f>
        <v/>
      </c>
      <c r="AS590" s="4" t="n"/>
      <c r="AT590" s="5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22" t="n"/>
      <c r="K591" s="5" t="n"/>
      <c r="L591" s="18" t="n"/>
      <c r="M5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5">
        <f>IF(tblOrdenes[[#This Row],[fecha_inicio]]="","",YEAR(tblOrdenes[[#This Row],[fecha_inicio]]))</f>
        <v/>
      </c>
      <c r="Q591" s="5">
        <f>IF(tblOrdenes[[#This Row],[fecha_inicio]]="","",MONTH(tblOrdenes[[#This Row],[fecha_inicio]]))</f>
        <v/>
      </c>
      <c r="R591" s="5">
        <f>IF(tblOrdenes[[#This Row],[fecha_inicio]]="","",tblOrdenes[[#This Row],[anio]]&amp;"-"&amp;TEXT(tblOrdenes[[#This Row],[mes]],"00"))</f>
        <v/>
      </c>
      <c r="S591" s="5">
        <f>IF(tblOrdenes[[#This Row],[fecha_inicio]]="","",INDEX(lista_dias,WEEKDAY(tblOrdenes[[#This Row],[fecha_inicio]],2)))</f>
        <v/>
      </c>
      <c r="T5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1" s="5">
        <f>IF(tblOrdenes[[#This Row],[tipo_ot]]="","",_xlfn.XLOOKUP(tblOrdenes[[#This Row],[tipo_ot]],tblTiposOT[codigo],tblTiposOT[clasificacion],"sin_clasificar"))</f>
        <v/>
      </c>
      <c r="V5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1" s="5">
        <f>IF(tblOrdenes[[#This Row],[centro_costo]]="","",_xlfn.XLOOKUP(tblOrdenes[[#This Row],[centro_costo]],tblCECO[codigo],tblCECO[linea],"(sin catálogo)"))</f>
        <v/>
      </c>
      <c r="X591" s="5">
        <f>IF(tblOrdenes[[#This Row],[centro_costo]]="","",_xlfn.XLOOKUP(tblOrdenes[[#This Row],[centro_costo]],tblCECO[codigo],tblCECO[area],"(sin catálogo)"))</f>
        <v/>
      </c>
      <c r="Y5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1" s="5">
        <f>IF(tblOrdenes[[#This Row],[centro_costo]]="","",_xlfn.XLOOKUP(tblOrdenes[[#This Row],[centro_costo]],tblCECO[codigo],tblCECO[coordinador],"(sin catálogo)"))</f>
        <v/>
      </c>
      <c r="AA591" s="5">
        <f>IF(tblOrdenes[[#This Row],[puesto_trabajo]]="","",_xlfn.XLOOKUP(tblOrdenes[[#This Row],[puesto_trabajo]],tblPuestos[codigo],tblPuestos[especialidad],"(sin catálogo)"))</f>
        <v/>
      </c>
      <c r="AB591" s="5">
        <f>IF(tblOrdenes[[#This Row],[cod_actividad]]="","",_xlfn.XLOOKUP(tblOrdenes[[#This Row],[cod_actividad]],tblActividades[codigo],tblActividades[descripcion],"(sin catálogo)"))</f>
        <v/>
      </c>
      <c r="AC591" s="20">
        <f>IF(tblOrdenes[[#This Row],[fecha_inicio]]="","",TODAY()-tblOrdenes[[#This Row],[fecha_inicio]])</f>
        <v/>
      </c>
      <c r="AD5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1" s="5">
        <f>IF(tblOrdenes[[#This Row],[backlog_habiles]]="","",IF(tblOrdenes[[#This Row],[backlog_habiles]]&lt;0,"FUTURO",IF(tblOrdenes[[#This Row],[backlog_habiles]]&gt;p_dias_backlog_max,"BACKLOG","MES CORRIENTE")))</f>
        <v/>
      </c>
      <c r="AF591" s="5">
        <f>IF(tblOrdenes[[#This Row],[backlog_habiles]]="",FALSE,AND(tblOrdenes[[#This Row],[backlog_habiles]]&gt;p_dias_backlog_min,tblOrdenes[[#This Row],[backlog_habiles]]&lt;=p_dias_backlog_max))</f>
        <v/>
      </c>
      <c r="AG591" s="4" t="n"/>
      <c r="AH5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1" s="18">
        <f>IF(tblOrdenes[[#This Row],[orden]]="","",_xlfn.XLOOKUP(tblOrdenes[[#This Row],[id_operacion]],tblEjecucion[id_operacion],tblEjecucion[precio],0))</f>
        <v/>
      </c>
      <c r="AL591" s="18">
        <f>IF(tblOrdenes[[#This Row],[orden]]="","",MAX(0,_xlfn.XLOOKUP(tblOrdenes[[#This Row],[id_operacion]],tblEjecucion[id_operacion],tblEjecucion[costo_plan_total],0)-tblOrdenes[[#This Row],[costo_servicio]]))</f>
        <v/>
      </c>
      <c r="AM591" s="18">
        <f>IF(tblOrdenes[[#This Row],[orden]]="","",tblOrdenes[[#This Row],[costo_servicio]]+tblOrdenes[[#This Row],[costo_materiales]])</f>
        <v/>
      </c>
      <c r="AN5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1" s="4" t="n"/>
      <c r="AP591" s="4" t="n"/>
      <c r="AQ591" s="4" t="n"/>
      <c r="AR591" s="5">
        <f>IF(tblOrdenes[[#This Row],[link_checklist]]="","",HYPERLINK(p_ruta_base_checklists&amp;tblOrdenes[[#This Row],[link_checklist]],"abrir"))</f>
        <v/>
      </c>
      <c r="AS591" s="4" t="n"/>
      <c r="AT591" s="5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22" t="n"/>
      <c r="K592" s="5" t="n"/>
      <c r="L592" s="18" t="n"/>
      <c r="M5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5">
        <f>IF(tblOrdenes[[#This Row],[fecha_inicio]]="","",YEAR(tblOrdenes[[#This Row],[fecha_inicio]]))</f>
        <v/>
      </c>
      <c r="Q592" s="5">
        <f>IF(tblOrdenes[[#This Row],[fecha_inicio]]="","",MONTH(tblOrdenes[[#This Row],[fecha_inicio]]))</f>
        <v/>
      </c>
      <c r="R592" s="5">
        <f>IF(tblOrdenes[[#This Row],[fecha_inicio]]="","",tblOrdenes[[#This Row],[anio]]&amp;"-"&amp;TEXT(tblOrdenes[[#This Row],[mes]],"00"))</f>
        <v/>
      </c>
      <c r="S592" s="5">
        <f>IF(tblOrdenes[[#This Row],[fecha_inicio]]="","",INDEX(lista_dias,WEEKDAY(tblOrdenes[[#This Row],[fecha_inicio]],2)))</f>
        <v/>
      </c>
      <c r="T5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2" s="5">
        <f>IF(tblOrdenes[[#This Row],[tipo_ot]]="","",_xlfn.XLOOKUP(tblOrdenes[[#This Row],[tipo_ot]],tblTiposOT[codigo],tblTiposOT[clasificacion],"sin_clasificar"))</f>
        <v/>
      </c>
      <c r="V5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2" s="5">
        <f>IF(tblOrdenes[[#This Row],[centro_costo]]="","",_xlfn.XLOOKUP(tblOrdenes[[#This Row],[centro_costo]],tblCECO[codigo],tblCECO[linea],"(sin catálogo)"))</f>
        <v/>
      </c>
      <c r="X592" s="5">
        <f>IF(tblOrdenes[[#This Row],[centro_costo]]="","",_xlfn.XLOOKUP(tblOrdenes[[#This Row],[centro_costo]],tblCECO[codigo],tblCECO[area],"(sin catálogo)"))</f>
        <v/>
      </c>
      <c r="Y5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2" s="5">
        <f>IF(tblOrdenes[[#This Row],[centro_costo]]="","",_xlfn.XLOOKUP(tblOrdenes[[#This Row],[centro_costo]],tblCECO[codigo],tblCECO[coordinador],"(sin catálogo)"))</f>
        <v/>
      </c>
      <c r="AA592" s="5">
        <f>IF(tblOrdenes[[#This Row],[puesto_trabajo]]="","",_xlfn.XLOOKUP(tblOrdenes[[#This Row],[puesto_trabajo]],tblPuestos[codigo],tblPuestos[especialidad],"(sin catálogo)"))</f>
        <v/>
      </c>
      <c r="AB592" s="5">
        <f>IF(tblOrdenes[[#This Row],[cod_actividad]]="","",_xlfn.XLOOKUP(tblOrdenes[[#This Row],[cod_actividad]],tblActividades[codigo],tblActividades[descripcion],"(sin catálogo)"))</f>
        <v/>
      </c>
      <c r="AC592" s="20">
        <f>IF(tblOrdenes[[#This Row],[fecha_inicio]]="","",TODAY()-tblOrdenes[[#This Row],[fecha_inicio]])</f>
        <v/>
      </c>
      <c r="AD5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2" s="5">
        <f>IF(tblOrdenes[[#This Row],[backlog_habiles]]="","",IF(tblOrdenes[[#This Row],[backlog_habiles]]&lt;0,"FUTURO",IF(tblOrdenes[[#This Row],[backlog_habiles]]&gt;p_dias_backlog_max,"BACKLOG","MES CORRIENTE")))</f>
        <v/>
      </c>
      <c r="AF592" s="5">
        <f>IF(tblOrdenes[[#This Row],[backlog_habiles]]="",FALSE,AND(tblOrdenes[[#This Row],[backlog_habiles]]&gt;p_dias_backlog_min,tblOrdenes[[#This Row],[backlog_habiles]]&lt;=p_dias_backlog_max))</f>
        <v/>
      </c>
      <c r="AG592" s="4" t="n"/>
      <c r="AH5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2" s="18">
        <f>IF(tblOrdenes[[#This Row],[orden]]="","",_xlfn.XLOOKUP(tblOrdenes[[#This Row],[id_operacion]],tblEjecucion[id_operacion],tblEjecucion[precio],0))</f>
        <v/>
      </c>
      <c r="AL592" s="18">
        <f>IF(tblOrdenes[[#This Row],[orden]]="","",MAX(0,_xlfn.XLOOKUP(tblOrdenes[[#This Row],[id_operacion]],tblEjecucion[id_operacion],tblEjecucion[costo_plan_total],0)-tblOrdenes[[#This Row],[costo_servicio]]))</f>
        <v/>
      </c>
      <c r="AM592" s="18">
        <f>IF(tblOrdenes[[#This Row],[orden]]="","",tblOrdenes[[#This Row],[costo_servicio]]+tblOrdenes[[#This Row],[costo_materiales]])</f>
        <v/>
      </c>
      <c r="AN5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2" s="4" t="n"/>
      <c r="AP592" s="4" t="n"/>
      <c r="AQ592" s="4" t="n"/>
      <c r="AR592" s="5">
        <f>IF(tblOrdenes[[#This Row],[link_checklist]]="","",HYPERLINK(p_ruta_base_checklists&amp;tblOrdenes[[#This Row],[link_checklist]],"abrir"))</f>
        <v/>
      </c>
      <c r="AS592" s="4" t="n"/>
      <c r="AT592" s="5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22" t="n"/>
      <c r="K593" s="5" t="n"/>
      <c r="L593" s="18" t="n"/>
      <c r="M5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5">
        <f>IF(tblOrdenes[[#This Row],[fecha_inicio]]="","",YEAR(tblOrdenes[[#This Row],[fecha_inicio]]))</f>
        <v/>
      </c>
      <c r="Q593" s="5">
        <f>IF(tblOrdenes[[#This Row],[fecha_inicio]]="","",MONTH(tblOrdenes[[#This Row],[fecha_inicio]]))</f>
        <v/>
      </c>
      <c r="R593" s="5">
        <f>IF(tblOrdenes[[#This Row],[fecha_inicio]]="","",tblOrdenes[[#This Row],[anio]]&amp;"-"&amp;TEXT(tblOrdenes[[#This Row],[mes]],"00"))</f>
        <v/>
      </c>
      <c r="S593" s="5">
        <f>IF(tblOrdenes[[#This Row],[fecha_inicio]]="","",INDEX(lista_dias,WEEKDAY(tblOrdenes[[#This Row],[fecha_inicio]],2)))</f>
        <v/>
      </c>
      <c r="T5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3" s="5">
        <f>IF(tblOrdenes[[#This Row],[tipo_ot]]="","",_xlfn.XLOOKUP(tblOrdenes[[#This Row],[tipo_ot]],tblTiposOT[codigo],tblTiposOT[clasificacion],"sin_clasificar"))</f>
        <v/>
      </c>
      <c r="V5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3" s="5">
        <f>IF(tblOrdenes[[#This Row],[centro_costo]]="","",_xlfn.XLOOKUP(tblOrdenes[[#This Row],[centro_costo]],tblCECO[codigo],tblCECO[linea],"(sin catálogo)"))</f>
        <v/>
      </c>
      <c r="X593" s="5">
        <f>IF(tblOrdenes[[#This Row],[centro_costo]]="","",_xlfn.XLOOKUP(tblOrdenes[[#This Row],[centro_costo]],tblCECO[codigo],tblCECO[area],"(sin catálogo)"))</f>
        <v/>
      </c>
      <c r="Y5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3" s="5">
        <f>IF(tblOrdenes[[#This Row],[centro_costo]]="","",_xlfn.XLOOKUP(tblOrdenes[[#This Row],[centro_costo]],tblCECO[codigo],tblCECO[coordinador],"(sin catálogo)"))</f>
        <v/>
      </c>
      <c r="AA593" s="5">
        <f>IF(tblOrdenes[[#This Row],[puesto_trabajo]]="","",_xlfn.XLOOKUP(tblOrdenes[[#This Row],[puesto_trabajo]],tblPuestos[codigo],tblPuestos[especialidad],"(sin catálogo)"))</f>
        <v/>
      </c>
      <c r="AB593" s="5">
        <f>IF(tblOrdenes[[#This Row],[cod_actividad]]="","",_xlfn.XLOOKUP(tblOrdenes[[#This Row],[cod_actividad]],tblActividades[codigo],tblActividades[descripcion],"(sin catálogo)"))</f>
        <v/>
      </c>
      <c r="AC593" s="20">
        <f>IF(tblOrdenes[[#This Row],[fecha_inicio]]="","",TODAY()-tblOrdenes[[#This Row],[fecha_inicio]])</f>
        <v/>
      </c>
      <c r="AD5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3" s="5">
        <f>IF(tblOrdenes[[#This Row],[backlog_habiles]]="","",IF(tblOrdenes[[#This Row],[backlog_habiles]]&lt;0,"FUTURO",IF(tblOrdenes[[#This Row],[backlog_habiles]]&gt;p_dias_backlog_max,"BACKLOG","MES CORRIENTE")))</f>
        <v/>
      </c>
      <c r="AF593" s="5">
        <f>IF(tblOrdenes[[#This Row],[backlog_habiles]]="",FALSE,AND(tblOrdenes[[#This Row],[backlog_habiles]]&gt;p_dias_backlog_min,tblOrdenes[[#This Row],[backlog_habiles]]&lt;=p_dias_backlog_max))</f>
        <v/>
      </c>
      <c r="AG593" s="4" t="n"/>
      <c r="AH5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3" s="18">
        <f>IF(tblOrdenes[[#This Row],[orden]]="","",_xlfn.XLOOKUP(tblOrdenes[[#This Row],[id_operacion]],tblEjecucion[id_operacion],tblEjecucion[precio],0))</f>
        <v/>
      </c>
      <c r="AL593" s="18">
        <f>IF(tblOrdenes[[#This Row],[orden]]="","",MAX(0,_xlfn.XLOOKUP(tblOrdenes[[#This Row],[id_operacion]],tblEjecucion[id_operacion],tblEjecucion[costo_plan_total],0)-tblOrdenes[[#This Row],[costo_servicio]]))</f>
        <v/>
      </c>
      <c r="AM593" s="18">
        <f>IF(tblOrdenes[[#This Row],[orden]]="","",tblOrdenes[[#This Row],[costo_servicio]]+tblOrdenes[[#This Row],[costo_materiales]])</f>
        <v/>
      </c>
      <c r="AN5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3" s="4" t="n"/>
      <c r="AP593" s="4" t="n"/>
      <c r="AQ593" s="4" t="n"/>
      <c r="AR593" s="5">
        <f>IF(tblOrdenes[[#This Row],[link_checklist]]="","",HYPERLINK(p_ruta_base_checklists&amp;tblOrdenes[[#This Row],[link_checklist]],"abrir"))</f>
        <v/>
      </c>
      <c r="AS593" s="4" t="n"/>
      <c r="AT593" s="5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22" t="n"/>
      <c r="K594" s="5" t="n"/>
      <c r="L594" s="18" t="n"/>
      <c r="M5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5">
        <f>IF(tblOrdenes[[#This Row],[fecha_inicio]]="","",YEAR(tblOrdenes[[#This Row],[fecha_inicio]]))</f>
        <v/>
      </c>
      <c r="Q594" s="5">
        <f>IF(tblOrdenes[[#This Row],[fecha_inicio]]="","",MONTH(tblOrdenes[[#This Row],[fecha_inicio]]))</f>
        <v/>
      </c>
      <c r="R594" s="5">
        <f>IF(tblOrdenes[[#This Row],[fecha_inicio]]="","",tblOrdenes[[#This Row],[anio]]&amp;"-"&amp;TEXT(tblOrdenes[[#This Row],[mes]],"00"))</f>
        <v/>
      </c>
      <c r="S594" s="5">
        <f>IF(tblOrdenes[[#This Row],[fecha_inicio]]="","",INDEX(lista_dias,WEEKDAY(tblOrdenes[[#This Row],[fecha_inicio]],2)))</f>
        <v/>
      </c>
      <c r="T5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4" s="5">
        <f>IF(tblOrdenes[[#This Row],[tipo_ot]]="","",_xlfn.XLOOKUP(tblOrdenes[[#This Row],[tipo_ot]],tblTiposOT[codigo],tblTiposOT[clasificacion],"sin_clasificar"))</f>
        <v/>
      </c>
      <c r="V5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4" s="5">
        <f>IF(tblOrdenes[[#This Row],[centro_costo]]="","",_xlfn.XLOOKUP(tblOrdenes[[#This Row],[centro_costo]],tblCECO[codigo],tblCECO[linea],"(sin catálogo)"))</f>
        <v/>
      </c>
      <c r="X594" s="5">
        <f>IF(tblOrdenes[[#This Row],[centro_costo]]="","",_xlfn.XLOOKUP(tblOrdenes[[#This Row],[centro_costo]],tblCECO[codigo],tblCECO[area],"(sin catálogo)"))</f>
        <v/>
      </c>
      <c r="Y5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4" s="5">
        <f>IF(tblOrdenes[[#This Row],[centro_costo]]="","",_xlfn.XLOOKUP(tblOrdenes[[#This Row],[centro_costo]],tblCECO[codigo],tblCECO[coordinador],"(sin catálogo)"))</f>
        <v/>
      </c>
      <c r="AA594" s="5">
        <f>IF(tblOrdenes[[#This Row],[puesto_trabajo]]="","",_xlfn.XLOOKUP(tblOrdenes[[#This Row],[puesto_trabajo]],tblPuestos[codigo],tblPuestos[especialidad],"(sin catálogo)"))</f>
        <v/>
      </c>
      <c r="AB594" s="5">
        <f>IF(tblOrdenes[[#This Row],[cod_actividad]]="","",_xlfn.XLOOKUP(tblOrdenes[[#This Row],[cod_actividad]],tblActividades[codigo],tblActividades[descripcion],"(sin catálogo)"))</f>
        <v/>
      </c>
      <c r="AC594" s="20">
        <f>IF(tblOrdenes[[#This Row],[fecha_inicio]]="","",TODAY()-tblOrdenes[[#This Row],[fecha_inicio]])</f>
        <v/>
      </c>
      <c r="AD5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4" s="5">
        <f>IF(tblOrdenes[[#This Row],[backlog_habiles]]="","",IF(tblOrdenes[[#This Row],[backlog_habiles]]&lt;0,"FUTURO",IF(tblOrdenes[[#This Row],[backlog_habiles]]&gt;p_dias_backlog_max,"BACKLOG","MES CORRIENTE")))</f>
        <v/>
      </c>
      <c r="AF594" s="5">
        <f>IF(tblOrdenes[[#This Row],[backlog_habiles]]="",FALSE,AND(tblOrdenes[[#This Row],[backlog_habiles]]&gt;p_dias_backlog_min,tblOrdenes[[#This Row],[backlog_habiles]]&lt;=p_dias_backlog_max))</f>
        <v/>
      </c>
      <c r="AG594" s="4" t="n"/>
      <c r="AH5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4" s="18">
        <f>IF(tblOrdenes[[#This Row],[orden]]="","",_xlfn.XLOOKUP(tblOrdenes[[#This Row],[id_operacion]],tblEjecucion[id_operacion],tblEjecucion[precio],0))</f>
        <v/>
      </c>
      <c r="AL594" s="18">
        <f>IF(tblOrdenes[[#This Row],[orden]]="","",MAX(0,_xlfn.XLOOKUP(tblOrdenes[[#This Row],[id_operacion]],tblEjecucion[id_operacion],tblEjecucion[costo_plan_total],0)-tblOrdenes[[#This Row],[costo_servicio]]))</f>
        <v/>
      </c>
      <c r="AM594" s="18">
        <f>IF(tblOrdenes[[#This Row],[orden]]="","",tblOrdenes[[#This Row],[costo_servicio]]+tblOrdenes[[#This Row],[costo_materiales]])</f>
        <v/>
      </c>
      <c r="AN5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4" s="4" t="n"/>
      <c r="AP594" s="4" t="n"/>
      <c r="AQ594" s="4" t="n"/>
      <c r="AR594" s="5">
        <f>IF(tblOrdenes[[#This Row],[link_checklist]]="","",HYPERLINK(p_ruta_base_checklists&amp;tblOrdenes[[#This Row],[link_checklist]],"abrir"))</f>
        <v/>
      </c>
      <c r="AS594" s="4" t="n"/>
      <c r="AT594" s="5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22" t="n"/>
      <c r="K595" s="5" t="n"/>
      <c r="L595" s="18" t="n"/>
      <c r="M5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5">
        <f>IF(tblOrdenes[[#This Row],[fecha_inicio]]="","",YEAR(tblOrdenes[[#This Row],[fecha_inicio]]))</f>
        <v/>
      </c>
      <c r="Q595" s="5">
        <f>IF(tblOrdenes[[#This Row],[fecha_inicio]]="","",MONTH(tblOrdenes[[#This Row],[fecha_inicio]]))</f>
        <v/>
      </c>
      <c r="R595" s="5">
        <f>IF(tblOrdenes[[#This Row],[fecha_inicio]]="","",tblOrdenes[[#This Row],[anio]]&amp;"-"&amp;TEXT(tblOrdenes[[#This Row],[mes]],"00"))</f>
        <v/>
      </c>
      <c r="S595" s="5">
        <f>IF(tblOrdenes[[#This Row],[fecha_inicio]]="","",INDEX(lista_dias,WEEKDAY(tblOrdenes[[#This Row],[fecha_inicio]],2)))</f>
        <v/>
      </c>
      <c r="T5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5" s="5">
        <f>IF(tblOrdenes[[#This Row],[tipo_ot]]="","",_xlfn.XLOOKUP(tblOrdenes[[#This Row],[tipo_ot]],tblTiposOT[codigo],tblTiposOT[clasificacion],"sin_clasificar"))</f>
        <v/>
      </c>
      <c r="V5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5" s="5">
        <f>IF(tblOrdenes[[#This Row],[centro_costo]]="","",_xlfn.XLOOKUP(tblOrdenes[[#This Row],[centro_costo]],tblCECO[codigo],tblCECO[linea],"(sin catálogo)"))</f>
        <v/>
      </c>
      <c r="X595" s="5">
        <f>IF(tblOrdenes[[#This Row],[centro_costo]]="","",_xlfn.XLOOKUP(tblOrdenes[[#This Row],[centro_costo]],tblCECO[codigo],tblCECO[area],"(sin catálogo)"))</f>
        <v/>
      </c>
      <c r="Y5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5" s="5">
        <f>IF(tblOrdenes[[#This Row],[centro_costo]]="","",_xlfn.XLOOKUP(tblOrdenes[[#This Row],[centro_costo]],tblCECO[codigo],tblCECO[coordinador],"(sin catálogo)"))</f>
        <v/>
      </c>
      <c r="AA595" s="5">
        <f>IF(tblOrdenes[[#This Row],[puesto_trabajo]]="","",_xlfn.XLOOKUP(tblOrdenes[[#This Row],[puesto_trabajo]],tblPuestos[codigo],tblPuestos[especialidad],"(sin catálogo)"))</f>
        <v/>
      </c>
      <c r="AB595" s="5">
        <f>IF(tblOrdenes[[#This Row],[cod_actividad]]="","",_xlfn.XLOOKUP(tblOrdenes[[#This Row],[cod_actividad]],tblActividades[codigo],tblActividades[descripcion],"(sin catálogo)"))</f>
        <v/>
      </c>
      <c r="AC595" s="20">
        <f>IF(tblOrdenes[[#This Row],[fecha_inicio]]="","",TODAY()-tblOrdenes[[#This Row],[fecha_inicio]])</f>
        <v/>
      </c>
      <c r="AD5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5" s="5">
        <f>IF(tblOrdenes[[#This Row],[backlog_habiles]]="","",IF(tblOrdenes[[#This Row],[backlog_habiles]]&lt;0,"FUTURO",IF(tblOrdenes[[#This Row],[backlog_habiles]]&gt;p_dias_backlog_max,"BACKLOG","MES CORRIENTE")))</f>
        <v/>
      </c>
      <c r="AF595" s="5">
        <f>IF(tblOrdenes[[#This Row],[backlog_habiles]]="",FALSE,AND(tblOrdenes[[#This Row],[backlog_habiles]]&gt;p_dias_backlog_min,tblOrdenes[[#This Row],[backlog_habiles]]&lt;=p_dias_backlog_max))</f>
        <v/>
      </c>
      <c r="AG595" s="4" t="n"/>
      <c r="AH5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5" s="18">
        <f>IF(tblOrdenes[[#This Row],[orden]]="","",_xlfn.XLOOKUP(tblOrdenes[[#This Row],[id_operacion]],tblEjecucion[id_operacion],tblEjecucion[precio],0))</f>
        <v/>
      </c>
      <c r="AL595" s="18">
        <f>IF(tblOrdenes[[#This Row],[orden]]="","",MAX(0,_xlfn.XLOOKUP(tblOrdenes[[#This Row],[id_operacion]],tblEjecucion[id_operacion],tblEjecucion[costo_plan_total],0)-tblOrdenes[[#This Row],[costo_servicio]]))</f>
        <v/>
      </c>
      <c r="AM595" s="18">
        <f>IF(tblOrdenes[[#This Row],[orden]]="","",tblOrdenes[[#This Row],[costo_servicio]]+tblOrdenes[[#This Row],[costo_materiales]])</f>
        <v/>
      </c>
      <c r="AN5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5" s="4" t="n"/>
      <c r="AP595" s="4" t="n"/>
      <c r="AQ595" s="4" t="n"/>
      <c r="AR595" s="5">
        <f>IF(tblOrdenes[[#This Row],[link_checklist]]="","",HYPERLINK(p_ruta_base_checklists&amp;tblOrdenes[[#This Row],[link_checklist]],"abrir"))</f>
        <v/>
      </c>
      <c r="AS595" s="4" t="n"/>
      <c r="AT595" s="5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22" t="n"/>
      <c r="K596" s="5" t="n"/>
      <c r="L596" s="18" t="n"/>
      <c r="M5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5">
        <f>IF(tblOrdenes[[#This Row],[fecha_inicio]]="","",YEAR(tblOrdenes[[#This Row],[fecha_inicio]]))</f>
        <v/>
      </c>
      <c r="Q596" s="5">
        <f>IF(tblOrdenes[[#This Row],[fecha_inicio]]="","",MONTH(tblOrdenes[[#This Row],[fecha_inicio]]))</f>
        <v/>
      </c>
      <c r="R596" s="5">
        <f>IF(tblOrdenes[[#This Row],[fecha_inicio]]="","",tblOrdenes[[#This Row],[anio]]&amp;"-"&amp;TEXT(tblOrdenes[[#This Row],[mes]],"00"))</f>
        <v/>
      </c>
      <c r="S596" s="5">
        <f>IF(tblOrdenes[[#This Row],[fecha_inicio]]="","",INDEX(lista_dias,WEEKDAY(tblOrdenes[[#This Row],[fecha_inicio]],2)))</f>
        <v/>
      </c>
      <c r="T5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6" s="5">
        <f>IF(tblOrdenes[[#This Row],[tipo_ot]]="","",_xlfn.XLOOKUP(tblOrdenes[[#This Row],[tipo_ot]],tblTiposOT[codigo],tblTiposOT[clasificacion],"sin_clasificar"))</f>
        <v/>
      </c>
      <c r="V5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6" s="5">
        <f>IF(tblOrdenes[[#This Row],[centro_costo]]="","",_xlfn.XLOOKUP(tblOrdenes[[#This Row],[centro_costo]],tblCECO[codigo],tblCECO[linea],"(sin catálogo)"))</f>
        <v/>
      </c>
      <c r="X596" s="5">
        <f>IF(tblOrdenes[[#This Row],[centro_costo]]="","",_xlfn.XLOOKUP(tblOrdenes[[#This Row],[centro_costo]],tblCECO[codigo],tblCECO[area],"(sin catálogo)"))</f>
        <v/>
      </c>
      <c r="Y5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6" s="5">
        <f>IF(tblOrdenes[[#This Row],[centro_costo]]="","",_xlfn.XLOOKUP(tblOrdenes[[#This Row],[centro_costo]],tblCECO[codigo],tblCECO[coordinador],"(sin catálogo)"))</f>
        <v/>
      </c>
      <c r="AA596" s="5">
        <f>IF(tblOrdenes[[#This Row],[puesto_trabajo]]="","",_xlfn.XLOOKUP(tblOrdenes[[#This Row],[puesto_trabajo]],tblPuestos[codigo],tblPuestos[especialidad],"(sin catálogo)"))</f>
        <v/>
      </c>
      <c r="AB596" s="5">
        <f>IF(tblOrdenes[[#This Row],[cod_actividad]]="","",_xlfn.XLOOKUP(tblOrdenes[[#This Row],[cod_actividad]],tblActividades[codigo],tblActividades[descripcion],"(sin catálogo)"))</f>
        <v/>
      </c>
      <c r="AC596" s="20">
        <f>IF(tblOrdenes[[#This Row],[fecha_inicio]]="","",TODAY()-tblOrdenes[[#This Row],[fecha_inicio]])</f>
        <v/>
      </c>
      <c r="AD5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6" s="5">
        <f>IF(tblOrdenes[[#This Row],[backlog_habiles]]="","",IF(tblOrdenes[[#This Row],[backlog_habiles]]&lt;0,"FUTURO",IF(tblOrdenes[[#This Row],[backlog_habiles]]&gt;p_dias_backlog_max,"BACKLOG","MES CORRIENTE")))</f>
        <v/>
      </c>
      <c r="AF596" s="5">
        <f>IF(tblOrdenes[[#This Row],[backlog_habiles]]="",FALSE,AND(tblOrdenes[[#This Row],[backlog_habiles]]&gt;p_dias_backlog_min,tblOrdenes[[#This Row],[backlog_habiles]]&lt;=p_dias_backlog_max))</f>
        <v/>
      </c>
      <c r="AG596" s="4" t="n"/>
      <c r="AH5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6" s="18">
        <f>IF(tblOrdenes[[#This Row],[orden]]="","",_xlfn.XLOOKUP(tblOrdenes[[#This Row],[id_operacion]],tblEjecucion[id_operacion],tblEjecucion[precio],0))</f>
        <v/>
      </c>
      <c r="AL596" s="18">
        <f>IF(tblOrdenes[[#This Row],[orden]]="","",MAX(0,_xlfn.XLOOKUP(tblOrdenes[[#This Row],[id_operacion]],tblEjecucion[id_operacion],tblEjecucion[costo_plan_total],0)-tblOrdenes[[#This Row],[costo_servicio]]))</f>
        <v/>
      </c>
      <c r="AM596" s="18">
        <f>IF(tblOrdenes[[#This Row],[orden]]="","",tblOrdenes[[#This Row],[costo_servicio]]+tblOrdenes[[#This Row],[costo_materiales]])</f>
        <v/>
      </c>
      <c r="AN5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6" s="4" t="n"/>
      <c r="AP596" s="4" t="n"/>
      <c r="AQ596" s="4" t="n"/>
      <c r="AR596" s="5">
        <f>IF(tblOrdenes[[#This Row],[link_checklist]]="","",HYPERLINK(p_ruta_base_checklists&amp;tblOrdenes[[#This Row],[link_checklist]],"abrir"))</f>
        <v/>
      </c>
      <c r="AS596" s="4" t="n"/>
      <c r="AT596" s="5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22" t="n"/>
      <c r="K597" s="5" t="n"/>
      <c r="L597" s="18" t="n"/>
      <c r="M5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5">
        <f>IF(tblOrdenes[[#This Row],[fecha_inicio]]="","",YEAR(tblOrdenes[[#This Row],[fecha_inicio]]))</f>
        <v/>
      </c>
      <c r="Q597" s="5">
        <f>IF(tblOrdenes[[#This Row],[fecha_inicio]]="","",MONTH(tblOrdenes[[#This Row],[fecha_inicio]]))</f>
        <v/>
      </c>
      <c r="R597" s="5">
        <f>IF(tblOrdenes[[#This Row],[fecha_inicio]]="","",tblOrdenes[[#This Row],[anio]]&amp;"-"&amp;TEXT(tblOrdenes[[#This Row],[mes]],"00"))</f>
        <v/>
      </c>
      <c r="S597" s="5">
        <f>IF(tblOrdenes[[#This Row],[fecha_inicio]]="","",INDEX(lista_dias,WEEKDAY(tblOrdenes[[#This Row],[fecha_inicio]],2)))</f>
        <v/>
      </c>
      <c r="T5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7" s="5">
        <f>IF(tblOrdenes[[#This Row],[tipo_ot]]="","",_xlfn.XLOOKUP(tblOrdenes[[#This Row],[tipo_ot]],tblTiposOT[codigo],tblTiposOT[clasificacion],"sin_clasificar"))</f>
        <v/>
      </c>
      <c r="V5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7" s="5">
        <f>IF(tblOrdenes[[#This Row],[centro_costo]]="","",_xlfn.XLOOKUP(tblOrdenes[[#This Row],[centro_costo]],tblCECO[codigo],tblCECO[linea],"(sin catálogo)"))</f>
        <v/>
      </c>
      <c r="X597" s="5">
        <f>IF(tblOrdenes[[#This Row],[centro_costo]]="","",_xlfn.XLOOKUP(tblOrdenes[[#This Row],[centro_costo]],tblCECO[codigo],tblCECO[area],"(sin catálogo)"))</f>
        <v/>
      </c>
      <c r="Y5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7" s="5">
        <f>IF(tblOrdenes[[#This Row],[centro_costo]]="","",_xlfn.XLOOKUP(tblOrdenes[[#This Row],[centro_costo]],tblCECO[codigo],tblCECO[coordinador],"(sin catálogo)"))</f>
        <v/>
      </c>
      <c r="AA597" s="5">
        <f>IF(tblOrdenes[[#This Row],[puesto_trabajo]]="","",_xlfn.XLOOKUP(tblOrdenes[[#This Row],[puesto_trabajo]],tblPuestos[codigo],tblPuestos[especialidad],"(sin catálogo)"))</f>
        <v/>
      </c>
      <c r="AB597" s="5">
        <f>IF(tblOrdenes[[#This Row],[cod_actividad]]="","",_xlfn.XLOOKUP(tblOrdenes[[#This Row],[cod_actividad]],tblActividades[codigo],tblActividades[descripcion],"(sin catálogo)"))</f>
        <v/>
      </c>
      <c r="AC597" s="20">
        <f>IF(tblOrdenes[[#This Row],[fecha_inicio]]="","",TODAY()-tblOrdenes[[#This Row],[fecha_inicio]])</f>
        <v/>
      </c>
      <c r="AD5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7" s="5">
        <f>IF(tblOrdenes[[#This Row],[backlog_habiles]]="","",IF(tblOrdenes[[#This Row],[backlog_habiles]]&lt;0,"FUTURO",IF(tblOrdenes[[#This Row],[backlog_habiles]]&gt;p_dias_backlog_max,"BACKLOG","MES CORRIENTE")))</f>
        <v/>
      </c>
      <c r="AF597" s="5">
        <f>IF(tblOrdenes[[#This Row],[backlog_habiles]]="",FALSE,AND(tblOrdenes[[#This Row],[backlog_habiles]]&gt;p_dias_backlog_min,tblOrdenes[[#This Row],[backlog_habiles]]&lt;=p_dias_backlog_max))</f>
        <v/>
      </c>
      <c r="AG597" s="4" t="n"/>
      <c r="AH5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7" s="18">
        <f>IF(tblOrdenes[[#This Row],[orden]]="","",_xlfn.XLOOKUP(tblOrdenes[[#This Row],[id_operacion]],tblEjecucion[id_operacion],tblEjecucion[precio],0))</f>
        <v/>
      </c>
      <c r="AL597" s="18">
        <f>IF(tblOrdenes[[#This Row],[orden]]="","",MAX(0,_xlfn.XLOOKUP(tblOrdenes[[#This Row],[id_operacion]],tblEjecucion[id_operacion],tblEjecucion[costo_plan_total],0)-tblOrdenes[[#This Row],[costo_servicio]]))</f>
        <v/>
      </c>
      <c r="AM597" s="18">
        <f>IF(tblOrdenes[[#This Row],[orden]]="","",tblOrdenes[[#This Row],[costo_servicio]]+tblOrdenes[[#This Row],[costo_materiales]])</f>
        <v/>
      </c>
      <c r="AN5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7" s="4" t="n"/>
      <c r="AP597" s="4" t="n"/>
      <c r="AQ597" s="4" t="n"/>
      <c r="AR597" s="5">
        <f>IF(tblOrdenes[[#This Row],[link_checklist]]="","",HYPERLINK(p_ruta_base_checklists&amp;tblOrdenes[[#This Row],[link_checklist]],"abrir"))</f>
        <v/>
      </c>
      <c r="AS597" s="4" t="n"/>
      <c r="AT597" s="5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22" t="n"/>
      <c r="K598" s="5" t="n"/>
      <c r="L598" s="18" t="n"/>
      <c r="M5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5">
        <f>IF(tblOrdenes[[#This Row],[fecha_inicio]]="","",YEAR(tblOrdenes[[#This Row],[fecha_inicio]]))</f>
        <v/>
      </c>
      <c r="Q598" s="5">
        <f>IF(tblOrdenes[[#This Row],[fecha_inicio]]="","",MONTH(tblOrdenes[[#This Row],[fecha_inicio]]))</f>
        <v/>
      </c>
      <c r="R598" s="5">
        <f>IF(tblOrdenes[[#This Row],[fecha_inicio]]="","",tblOrdenes[[#This Row],[anio]]&amp;"-"&amp;TEXT(tblOrdenes[[#This Row],[mes]],"00"))</f>
        <v/>
      </c>
      <c r="S598" s="5">
        <f>IF(tblOrdenes[[#This Row],[fecha_inicio]]="","",INDEX(lista_dias,WEEKDAY(tblOrdenes[[#This Row],[fecha_inicio]],2)))</f>
        <v/>
      </c>
      <c r="T5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8" s="5">
        <f>IF(tblOrdenes[[#This Row],[tipo_ot]]="","",_xlfn.XLOOKUP(tblOrdenes[[#This Row],[tipo_ot]],tblTiposOT[codigo],tblTiposOT[clasificacion],"sin_clasificar"))</f>
        <v/>
      </c>
      <c r="V5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8" s="5">
        <f>IF(tblOrdenes[[#This Row],[centro_costo]]="","",_xlfn.XLOOKUP(tblOrdenes[[#This Row],[centro_costo]],tblCECO[codigo],tblCECO[linea],"(sin catálogo)"))</f>
        <v/>
      </c>
      <c r="X598" s="5">
        <f>IF(tblOrdenes[[#This Row],[centro_costo]]="","",_xlfn.XLOOKUP(tblOrdenes[[#This Row],[centro_costo]],tblCECO[codigo],tblCECO[area],"(sin catálogo)"))</f>
        <v/>
      </c>
      <c r="Y5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8" s="5">
        <f>IF(tblOrdenes[[#This Row],[centro_costo]]="","",_xlfn.XLOOKUP(tblOrdenes[[#This Row],[centro_costo]],tblCECO[codigo],tblCECO[coordinador],"(sin catálogo)"))</f>
        <v/>
      </c>
      <c r="AA598" s="5">
        <f>IF(tblOrdenes[[#This Row],[puesto_trabajo]]="","",_xlfn.XLOOKUP(tblOrdenes[[#This Row],[puesto_trabajo]],tblPuestos[codigo],tblPuestos[especialidad],"(sin catálogo)"))</f>
        <v/>
      </c>
      <c r="AB598" s="5">
        <f>IF(tblOrdenes[[#This Row],[cod_actividad]]="","",_xlfn.XLOOKUP(tblOrdenes[[#This Row],[cod_actividad]],tblActividades[codigo],tblActividades[descripcion],"(sin catálogo)"))</f>
        <v/>
      </c>
      <c r="AC598" s="20">
        <f>IF(tblOrdenes[[#This Row],[fecha_inicio]]="","",TODAY()-tblOrdenes[[#This Row],[fecha_inicio]])</f>
        <v/>
      </c>
      <c r="AD5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8" s="5">
        <f>IF(tblOrdenes[[#This Row],[backlog_habiles]]="","",IF(tblOrdenes[[#This Row],[backlog_habiles]]&lt;0,"FUTURO",IF(tblOrdenes[[#This Row],[backlog_habiles]]&gt;p_dias_backlog_max,"BACKLOG","MES CORRIENTE")))</f>
        <v/>
      </c>
      <c r="AF598" s="5">
        <f>IF(tblOrdenes[[#This Row],[backlog_habiles]]="",FALSE,AND(tblOrdenes[[#This Row],[backlog_habiles]]&gt;p_dias_backlog_min,tblOrdenes[[#This Row],[backlog_habiles]]&lt;=p_dias_backlog_max))</f>
        <v/>
      </c>
      <c r="AG598" s="4" t="n"/>
      <c r="AH5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8" s="18">
        <f>IF(tblOrdenes[[#This Row],[orden]]="","",_xlfn.XLOOKUP(tblOrdenes[[#This Row],[id_operacion]],tblEjecucion[id_operacion],tblEjecucion[precio],0))</f>
        <v/>
      </c>
      <c r="AL598" s="18">
        <f>IF(tblOrdenes[[#This Row],[orden]]="","",MAX(0,_xlfn.XLOOKUP(tblOrdenes[[#This Row],[id_operacion]],tblEjecucion[id_operacion],tblEjecucion[costo_plan_total],0)-tblOrdenes[[#This Row],[costo_servicio]]))</f>
        <v/>
      </c>
      <c r="AM598" s="18">
        <f>IF(tblOrdenes[[#This Row],[orden]]="","",tblOrdenes[[#This Row],[costo_servicio]]+tblOrdenes[[#This Row],[costo_materiales]])</f>
        <v/>
      </c>
      <c r="AN5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8" s="4" t="n"/>
      <c r="AP598" s="4" t="n"/>
      <c r="AQ598" s="4" t="n"/>
      <c r="AR598" s="5">
        <f>IF(tblOrdenes[[#This Row],[link_checklist]]="","",HYPERLINK(p_ruta_base_checklists&amp;tblOrdenes[[#This Row],[link_checklist]],"abrir"))</f>
        <v/>
      </c>
      <c r="AS598" s="4" t="n"/>
      <c r="AT598" s="5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22" t="n"/>
      <c r="K599" s="5" t="n"/>
      <c r="L599" s="18" t="n"/>
      <c r="M5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5">
        <f>IF(tblOrdenes[[#This Row],[fecha_inicio]]="","",YEAR(tblOrdenes[[#This Row],[fecha_inicio]]))</f>
        <v/>
      </c>
      <c r="Q599" s="5">
        <f>IF(tblOrdenes[[#This Row],[fecha_inicio]]="","",MONTH(tblOrdenes[[#This Row],[fecha_inicio]]))</f>
        <v/>
      </c>
      <c r="R599" s="5">
        <f>IF(tblOrdenes[[#This Row],[fecha_inicio]]="","",tblOrdenes[[#This Row],[anio]]&amp;"-"&amp;TEXT(tblOrdenes[[#This Row],[mes]],"00"))</f>
        <v/>
      </c>
      <c r="S599" s="5">
        <f>IF(tblOrdenes[[#This Row],[fecha_inicio]]="","",INDEX(lista_dias,WEEKDAY(tblOrdenes[[#This Row],[fecha_inicio]],2)))</f>
        <v/>
      </c>
      <c r="T5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9" s="5">
        <f>IF(tblOrdenes[[#This Row],[tipo_ot]]="","",_xlfn.XLOOKUP(tblOrdenes[[#This Row],[tipo_ot]],tblTiposOT[codigo],tblTiposOT[clasificacion],"sin_clasificar"))</f>
        <v/>
      </c>
      <c r="V5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9" s="5">
        <f>IF(tblOrdenes[[#This Row],[centro_costo]]="","",_xlfn.XLOOKUP(tblOrdenes[[#This Row],[centro_costo]],tblCECO[codigo],tblCECO[linea],"(sin catálogo)"))</f>
        <v/>
      </c>
      <c r="X599" s="5">
        <f>IF(tblOrdenes[[#This Row],[centro_costo]]="","",_xlfn.XLOOKUP(tblOrdenes[[#This Row],[centro_costo]],tblCECO[codigo],tblCECO[area],"(sin catálogo)"))</f>
        <v/>
      </c>
      <c r="Y5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599" s="5">
        <f>IF(tblOrdenes[[#This Row],[centro_costo]]="","",_xlfn.XLOOKUP(tblOrdenes[[#This Row],[centro_costo]],tblCECO[codigo],tblCECO[coordinador],"(sin catálogo)"))</f>
        <v/>
      </c>
      <c r="AA599" s="5">
        <f>IF(tblOrdenes[[#This Row],[puesto_trabajo]]="","",_xlfn.XLOOKUP(tblOrdenes[[#This Row],[puesto_trabajo]],tblPuestos[codigo],tblPuestos[especialidad],"(sin catálogo)"))</f>
        <v/>
      </c>
      <c r="AB599" s="5">
        <f>IF(tblOrdenes[[#This Row],[cod_actividad]]="","",_xlfn.XLOOKUP(tblOrdenes[[#This Row],[cod_actividad]],tblActividades[codigo],tblActividades[descripcion],"(sin catálogo)"))</f>
        <v/>
      </c>
      <c r="AC599" s="20">
        <f>IF(tblOrdenes[[#This Row],[fecha_inicio]]="","",TODAY()-tblOrdenes[[#This Row],[fecha_inicio]])</f>
        <v/>
      </c>
      <c r="AD5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599" s="5">
        <f>IF(tblOrdenes[[#This Row],[backlog_habiles]]="","",IF(tblOrdenes[[#This Row],[backlog_habiles]]&lt;0,"FUTURO",IF(tblOrdenes[[#This Row],[backlog_habiles]]&gt;p_dias_backlog_max,"BACKLOG","MES CORRIENTE")))</f>
        <v/>
      </c>
      <c r="AF599" s="5">
        <f>IF(tblOrdenes[[#This Row],[backlog_habiles]]="",FALSE,AND(tblOrdenes[[#This Row],[backlog_habiles]]&gt;p_dias_backlog_min,tblOrdenes[[#This Row],[backlog_habiles]]&lt;=p_dias_backlog_max))</f>
        <v/>
      </c>
      <c r="AG599" s="4" t="n"/>
      <c r="AH5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5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5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599" s="18">
        <f>IF(tblOrdenes[[#This Row],[orden]]="","",_xlfn.XLOOKUP(tblOrdenes[[#This Row],[id_operacion]],tblEjecucion[id_operacion],tblEjecucion[precio],0))</f>
        <v/>
      </c>
      <c r="AL599" s="18">
        <f>IF(tblOrdenes[[#This Row],[orden]]="","",MAX(0,_xlfn.XLOOKUP(tblOrdenes[[#This Row],[id_operacion]],tblEjecucion[id_operacion],tblEjecucion[costo_plan_total],0)-tblOrdenes[[#This Row],[costo_servicio]]))</f>
        <v/>
      </c>
      <c r="AM599" s="18">
        <f>IF(tblOrdenes[[#This Row],[orden]]="","",tblOrdenes[[#This Row],[costo_servicio]]+tblOrdenes[[#This Row],[costo_materiales]])</f>
        <v/>
      </c>
      <c r="AN5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599" s="4" t="n"/>
      <c r="AP599" s="4" t="n"/>
      <c r="AQ599" s="4" t="n"/>
      <c r="AR599" s="5">
        <f>IF(tblOrdenes[[#This Row],[link_checklist]]="","",HYPERLINK(p_ruta_base_checklists&amp;tblOrdenes[[#This Row],[link_checklist]],"abrir"))</f>
        <v/>
      </c>
      <c r="AS599" s="4" t="n"/>
      <c r="AT599" s="5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22" t="n"/>
      <c r="K600" s="5" t="n"/>
      <c r="L600" s="18" t="n"/>
      <c r="M6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5">
        <f>IF(tblOrdenes[[#This Row],[fecha_inicio]]="","",YEAR(tblOrdenes[[#This Row],[fecha_inicio]]))</f>
        <v/>
      </c>
      <c r="Q600" s="5">
        <f>IF(tblOrdenes[[#This Row],[fecha_inicio]]="","",MONTH(tblOrdenes[[#This Row],[fecha_inicio]]))</f>
        <v/>
      </c>
      <c r="R600" s="5">
        <f>IF(tblOrdenes[[#This Row],[fecha_inicio]]="","",tblOrdenes[[#This Row],[anio]]&amp;"-"&amp;TEXT(tblOrdenes[[#This Row],[mes]],"00"))</f>
        <v/>
      </c>
      <c r="S600" s="5">
        <f>IF(tblOrdenes[[#This Row],[fecha_inicio]]="","",INDEX(lista_dias,WEEKDAY(tblOrdenes[[#This Row],[fecha_inicio]],2)))</f>
        <v/>
      </c>
      <c r="T6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0" s="5">
        <f>IF(tblOrdenes[[#This Row],[tipo_ot]]="","",_xlfn.XLOOKUP(tblOrdenes[[#This Row],[tipo_ot]],tblTiposOT[codigo],tblTiposOT[clasificacion],"sin_clasificar"))</f>
        <v/>
      </c>
      <c r="V6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0" s="5">
        <f>IF(tblOrdenes[[#This Row],[centro_costo]]="","",_xlfn.XLOOKUP(tblOrdenes[[#This Row],[centro_costo]],tblCECO[codigo],tblCECO[linea],"(sin catálogo)"))</f>
        <v/>
      </c>
      <c r="X600" s="5">
        <f>IF(tblOrdenes[[#This Row],[centro_costo]]="","",_xlfn.XLOOKUP(tblOrdenes[[#This Row],[centro_costo]],tblCECO[codigo],tblCECO[area],"(sin catálogo)"))</f>
        <v/>
      </c>
      <c r="Y6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0" s="5">
        <f>IF(tblOrdenes[[#This Row],[centro_costo]]="","",_xlfn.XLOOKUP(tblOrdenes[[#This Row],[centro_costo]],tblCECO[codigo],tblCECO[coordinador],"(sin catálogo)"))</f>
        <v/>
      </c>
      <c r="AA600" s="5">
        <f>IF(tblOrdenes[[#This Row],[puesto_trabajo]]="","",_xlfn.XLOOKUP(tblOrdenes[[#This Row],[puesto_trabajo]],tblPuestos[codigo],tblPuestos[especialidad],"(sin catálogo)"))</f>
        <v/>
      </c>
      <c r="AB600" s="5">
        <f>IF(tblOrdenes[[#This Row],[cod_actividad]]="","",_xlfn.XLOOKUP(tblOrdenes[[#This Row],[cod_actividad]],tblActividades[codigo],tblActividades[descripcion],"(sin catálogo)"))</f>
        <v/>
      </c>
      <c r="AC600" s="20">
        <f>IF(tblOrdenes[[#This Row],[fecha_inicio]]="","",TODAY()-tblOrdenes[[#This Row],[fecha_inicio]])</f>
        <v/>
      </c>
      <c r="AD6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0" s="5">
        <f>IF(tblOrdenes[[#This Row],[backlog_habiles]]="","",IF(tblOrdenes[[#This Row],[backlog_habiles]]&lt;0,"FUTURO",IF(tblOrdenes[[#This Row],[backlog_habiles]]&gt;p_dias_backlog_max,"BACKLOG","MES CORRIENTE")))</f>
        <v/>
      </c>
      <c r="AF600" s="5">
        <f>IF(tblOrdenes[[#This Row],[backlog_habiles]]="",FALSE,AND(tblOrdenes[[#This Row],[backlog_habiles]]&gt;p_dias_backlog_min,tblOrdenes[[#This Row],[backlog_habiles]]&lt;=p_dias_backlog_max))</f>
        <v/>
      </c>
      <c r="AG600" s="4" t="n"/>
      <c r="AH6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0" s="18">
        <f>IF(tblOrdenes[[#This Row],[orden]]="","",_xlfn.XLOOKUP(tblOrdenes[[#This Row],[id_operacion]],tblEjecucion[id_operacion],tblEjecucion[precio],0))</f>
        <v/>
      </c>
      <c r="AL600" s="18">
        <f>IF(tblOrdenes[[#This Row],[orden]]="","",MAX(0,_xlfn.XLOOKUP(tblOrdenes[[#This Row],[id_operacion]],tblEjecucion[id_operacion],tblEjecucion[costo_plan_total],0)-tblOrdenes[[#This Row],[costo_servicio]]))</f>
        <v/>
      </c>
      <c r="AM600" s="18">
        <f>IF(tblOrdenes[[#This Row],[orden]]="","",tblOrdenes[[#This Row],[costo_servicio]]+tblOrdenes[[#This Row],[costo_materiales]])</f>
        <v/>
      </c>
      <c r="AN6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0" s="4" t="n"/>
      <c r="AP600" s="4" t="n"/>
      <c r="AQ600" s="4" t="n"/>
      <c r="AR600" s="5">
        <f>IF(tblOrdenes[[#This Row],[link_checklist]]="","",HYPERLINK(p_ruta_base_checklists&amp;tblOrdenes[[#This Row],[link_checklist]],"abrir"))</f>
        <v/>
      </c>
      <c r="AS600" s="4" t="n"/>
      <c r="AT600" s="5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22" t="n"/>
      <c r="K601" s="5" t="n"/>
      <c r="L601" s="18" t="n"/>
      <c r="M6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5">
        <f>IF(tblOrdenes[[#This Row],[fecha_inicio]]="","",YEAR(tblOrdenes[[#This Row],[fecha_inicio]]))</f>
        <v/>
      </c>
      <c r="Q601" s="5">
        <f>IF(tblOrdenes[[#This Row],[fecha_inicio]]="","",MONTH(tblOrdenes[[#This Row],[fecha_inicio]]))</f>
        <v/>
      </c>
      <c r="R601" s="5">
        <f>IF(tblOrdenes[[#This Row],[fecha_inicio]]="","",tblOrdenes[[#This Row],[anio]]&amp;"-"&amp;TEXT(tblOrdenes[[#This Row],[mes]],"00"))</f>
        <v/>
      </c>
      <c r="S601" s="5">
        <f>IF(tblOrdenes[[#This Row],[fecha_inicio]]="","",INDEX(lista_dias,WEEKDAY(tblOrdenes[[#This Row],[fecha_inicio]],2)))</f>
        <v/>
      </c>
      <c r="T6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1" s="5">
        <f>IF(tblOrdenes[[#This Row],[tipo_ot]]="","",_xlfn.XLOOKUP(tblOrdenes[[#This Row],[tipo_ot]],tblTiposOT[codigo],tblTiposOT[clasificacion],"sin_clasificar"))</f>
        <v/>
      </c>
      <c r="V6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1" s="5">
        <f>IF(tblOrdenes[[#This Row],[centro_costo]]="","",_xlfn.XLOOKUP(tblOrdenes[[#This Row],[centro_costo]],tblCECO[codigo],tblCECO[linea],"(sin catálogo)"))</f>
        <v/>
      </c>
      <c r="X601" s="5">
        <f>IF(tblOrdenes[[#This Row],[centro_costo]]="","",_xlfn.XLOOKUP(tblOrdenes[[#This Row],[centro_costo]],tblCECO[codigo],tblCECO[area],"(sin catálogo)"))</f>
        <v/>
      </c>
      <c r="Y6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1" s="5">
        <f>IF(tblOrdenes[[#This Row],[centro_costo]]="","",_xlfn.XLOOKUP(tblOrdenes[[#This Row],[centro_costo]],tblCECO[codigo],tblCECO[coordinador],"(sin catálogo)"))</f>
        <v/>
      </c>
      <c r="AA601" s="5">
        <f>IF(tblOrdenes[[#This Row],[puesto_trabajo]]="","",_xlfn.XLOOKUP(tblOrdenes[[#This Row],[puesto_trabajo]],tblPuestos[codigo],tblPuestos[especialidad],"(sin catálogo)"))</f>
        <v/>
      </c>
      <c r="AB601" s="5">
        <f>IF(tblOrdenes[[#This Row],[cod_actividad]]="","",_xlfn.XLOOKUP(tblOrdenes[[#This Row],[cod_actividad]],tblActividades[codigo],tblActividades[descripcion],"(sin catálogo)"))</f>
        <v/>
      </c>
      <c r="AC601" s="20">
        <f>IF(tblOrdenes[[#This Row],[fecha_inicio]]="","",TODAY()-tblOrdenes[[#This Row],[fecha_inicio]])</f>
        <v/>
      </c>
      <c r="AD6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1" s="5">
        <f>IF(tblOrdenes[[#This Row],[backlog_habiles]]="","",IF(tblOrdenes[[#This Row],[backlog_habiles]]&lt;0,"FUTURO",IF(tblOrdenes[[#This Row],[backlog_habiles]]&gt;p_dias_backlog_max,"BACKLOG","MES CORRIENTE")))</f>
        <v/>
      </c>
      <c r="AF601" s="5">
        <f>IF(tblOrdenes[[#This Row],[backlog_habiles]]="",FALSE,AND(tblOrdenes[[#This Row],[backlog_habiles]]&gt;p_dias_backlog_min,tblOrdenes[[#This Row],[backlog_habiles]]&lt;=p_dias_backlog_max))</f>
        <v/>
      </c>
      <c r="AG601" s="4" t="n"/>
      <c r="AH6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1" s="18">
        <f>IF(tblOrdenes[[#This Row],[orden]]="","",_xlfn.XLOOKUP(tblOrdenes[[#This Row],[id_operacion]],tblEjecucion[id_operacion],tblEjecucion[precio],0))</f>
        <v/>
      </c>
      <c r="AL601" s="18">
        <f>IF(tblOrdenes[[#This Row],[orden]]="","",MAX(0,_xlfn.XLOOKUP(tblOrdenes[[#This Row],[id_operacion]],tblEjecucion[id_operacion],tblEjecucion[costo_plan_total],0)-tblOrdenes[[#This Row],[costo_servicio]]))</f>
        <v/>
      </c>
      <c r="AM601" s="18">
        <f>IF(tblOrdenes[[#This Row],[orden]]="","",tblOrdenes[[#This Row],[costo_servicio]]+tblOrdenes[[#This Row],[costo_materiales]])</f>
        <v/>
      </c>
      <c r="AN6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1" s="4" t="n"/>
      <c r="AP601" s="4" t="n"/>
      <c r="AQ601" s="4" t="n"/>
      <c r="AR601" s="5">
        <f>IF(tblOrdenes[[#This Row],[link_checklist]]="","",HYPERLINK(p_ruta_base_checklists&amp;tblOrdenes[[#This Row],[link_checklist]],"abrir"))</f>
        <v/>
      </c>
      <c r="AS601" s="4" t="n"/>
      <c r="AT601" s="5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22" t="n"/>
      <c r="K602" s="5" t="n"/>
      <c r="L602" s="18" t="n"/>
      <c r="M6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5">
        <f>IF(tblOrdenes[[#This Row],[fecha_inicio]]="","",YEAR(tblOrdenes[[#This Row],[fecha_inicio]]))</f>
        <v/>
      </c>
      <c r="Q602" s="5">
        <f>IF(tblOrdenes[[#This Row],[fecha_inicio]]="","",MONTH(tblOrdenes[[#This Row],[fecha_inicio]]))</f>
        <v/>
      </c>
      <c r="R602" s="5">
        <f>IF(tblOrdenes[[#This Row],[fecha_inicio]]="","",tblOrdenes[[#This Row],[anio]]&amp;"-"&amp;TEXT(tblOrdenes[[#This Row],[mes]],"00"))</f>
        <v/>
      </c>
      <c r="S602" s="5">
        <f>IF(tblOrdenes[[#This Row],[fecha_inicio]]="","",INDEX(lista_dias,WEEKDAY(tblOrdenes[[#This Row],[fecha_inicio]],2)))</f>
        <v/>
      </c>
      <c r="T6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2" s="5">
        <f>IF(tblOrdenes[[#This Row],[tipo_ot]]="","",_xlfn.XLOOKUP(tblOrdenes[[#This Row],[tipo_ot]],tblTiposOT[codigo],tblTiposOT[clasificacion],"sin_clasificar"))</f>
        <v/>
      </c>
      <c r="V6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2" s="5">
        <f>IF(tblOrdenes[[#This Row],[centro_costo]]="","",_xlfn.XLOOKUP(tblOrdenes[[#This Row],[centro_costo]],tblCECO[codigo],tblCECO[linea],"(sin catálogo)"))</f>
        <v/>
      </c>
      <c r="X602" s="5">
        <f>IF(tblOrdenes[[#This Row],[centro_costo]]="","",_xlfn.XLOOKUP(tblOrdenes[[#This Row],[centro_costo]],tblCECO[codigo],tblCECO[area],"(sin catálogo)"))</f>
        <v/>
      </c>
      <c r="Y6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2" s="5">
        <f>IF(tblOrdenes[[#This Row],[centro_costo]]="","",_xlfn.XLOOKUP(tblOrdenes[[#This Row],[centro_costo]],tblCECO[codigo],tblCECO[coordinador],"(sin catálogo)"))</f>
        <v/>
      </c>
      <c r="AA602" s="5">
        <f>IF(tblOrdenes[[#This Row],[puesto_trabajo]]="","",_xlfn.XLOOKUP(tblOrdenes[[#This Row],[puesto_trabajo]],tblPuestos[codigo],tblPuestos[especialidad],"(sin catálogo)"))</f>
        <v/>
      </c>
      <c r="AB602" s="5">
        <f>IF(tblOrdenes[[#This Row],[cod_actividad]]="","",_xlfn.XLOOKUP(tblOrdenes[[#This Row],[cod_actividad]],tblActividades[codigo],tblActividades[descripcion],"(sin catálogo)"))</f>
        <v/>
      </c>
      <c r="AC602" s="20">
        <f>IF(tblOrdenes[[#This Row],[fecha_inicio]]="","",TODAY()-tblOrdenes[[#This Row],[fecha_inicio]])</f>
        <v/>
      </c>
      <c r="AD6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2" s="5">
        <f>IF(tblOrdenes[[#This Row],[backlog_habiles]]="","",IF(tblOrdenes[[#This Row],[backlog_habiles]]&lt;0,"FUTURO",IF(tblOrdenes[[#This Row],[backlog_habiles]]&gt;p_dias_backlog_max,"BACKLOG","MES CORRIENTE")))</f>
        <v/>
      </c>
      <c r="AF602" s="5">
        <f>IF(tblOrdenes[[#This Row],[backlog_habiles]]="",FALSE,AND(tblOrdenes[[#This Row],[backlog_habiles]]&gt;p_dias_backlog_min,tblOrdenes[[#This Row],[backlog_habiles]]&lt;=p_dias_backlog_max))</f>
        <v/>
      </c>
      <c r="AG602" s="4" t="n"/>
      <c r="AH6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2" s="18">
        <f>IF(tblOrdenes[[#This Row],[orden]]="","",_xlfn.XLOOKUP(tblOrdenes[[#This Row],[id_operacion]],tblEjecucion[id_operacion],tblEjecucion[precio],0))</f>
        <v/>
      </c>
      <c r="AL602" s="18">
        <f>IF(tblOrdenes[[#This Row],[orden]]="","",MAX(0,_xlfn.XLOOKUP(tblOrdenes[[#This Row],[id_operacion]],tblEjecucion[id_operacion],tblEjecucion[costo_plan_total],0)-tblOrdenes[[#This Row],[costo_servicio]]))</f>
        <v/>
      </c>
      <c r="AM602" s="18">
        <f>IF(tblOrdenes[[#This Row],[orden]]="","",tblOrdenes[[#This Row],[costo_servicio]]+tblOrdenes[[#This Row],[costo_materiales]])</f>
        <v/>
      </c>
      <c r="AN6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2" s="4" t="n"/>
      <c r="AP602" s="4" t="n"/>
      <c r="AQ602" s="4" t="n"/>
      <c r="AR602" s="5">
        <f>IF(tblOrdenes[[#This Row],[link_checklist]]="","",HYPERLINK(p_ruta_base_checklists&amp;tblOrdenes[[#This Row],[link_checklist]],"abrir"))</f>
        <v/>
      </c>
      <c r="AS602" s="4" t="n"/>
      <c r="AT602" s="5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22" t="n"/>
      <c r="K603" s="5" t="n"/>
      <c r="L603" s="18" t="n"/>
      <c r="M6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5">
        <f>IF(tblOrdenes[[#This Row],[fecha_inicio]]="","",YEAR(tblOrdenes[[#This Row],[fecha_inicio]]))</f>
        <v/>
      </c>
      <c r="Q603" s="5">
        <f>IF(tblOrdenes[[#This Row],[fecha_inicio]]="","",MONTH(tblOrdenes[[#This Row],[fecha_inicio]]))</f>
        <v/>
      </c>
      <c r="R603" s="5">
        <f>IF(tblOrdenes[[#This Row],[fecha_inicio]]="","",tblOrdenes[[#This Row],[anio]]&amp;"-"&amp;TEXT(tblOrdenes[[#This Row],[mes]],"00"))</f>
        <v/>
      </c>
      <c r="S603" s="5">
        <f>IF(tblOrdenes[[#This Row],[fecha_inicio]]="","",INDEX(lista_dias,WEEKDAY(tblOrdenes[[#This Row],[fecha_inicio]],2)))</f>
        <v/>
      </c>
      <c r="T6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3" s="5">
        <f>IF(tblOrdenes[[#This Row],[tipo_ot]]="","",_xlfn.XLOOKUP(tblOrdenes[[#This Row],[tipo_ot]],tblTiposOT[codigo],tblTiposOT[clasificacion],"sin_clasificar"))</f>
        <v/>
      </c>
      <c r="V6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3" s="5">
        <f>IF(tblOrdenes[[#This Row],[centro_costo]]="","",_xlfn.XLOOKUP(tblOrdenes[[#This Row],[centro_costo]],tblCECO[codigo],tblCECO[linea],"(sin catálogo)"))</f>
        <v/>
      </c>
      <c r="X603" s="5">
        <f>IF(tblOrdenes[[#This Row],[centro_costo]]="","",_xlfn.XLOOKUP(tblOrdenes[[#This Row],[centro_costo]],tblCECO[codigo],tblCECO[area],"(sin catálogo)"))</f>
        <v/>
      </c>
      <c r="Y6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3" s="5">
        <f>IF(tblOrdenes[[#This Row],[centro_costo]]="","",_xlfn.XLOOKUP(tblOrdenes[[#This Row],[centro_costo]],tblCECO[codigo],tblCECO[coordinador],"(sin catálogo)"))</f>
        <v/>
      </c>
      <c r="AA603" s="5">
        <f>IF(tblOrdenes[[#This Row],[puesto_trabajo]]="","",_xlfn.XLOOKUP(tblOrdenes[[#This Row],[puesto_trabajo]],tblPuestos[codigo],tblPuestos[especialidad],"(sin catálogo)"))</f>
        <v/>
      </c>
      <c r="AB603" s="5">
        <f>IF(tblOrdenes[[#This Row],[cod_actividad]]="","",_xlfn.XLOOKUP(tblOrdenes[[#This Row],[cod_actividad]],tblActividades[codigo],tblActividades[descripcion],"(sin catálogo)"))</f>
        <v/>
      </c>
      <c r="AC603" s="20">
        <f>IF(tblOrdenes[[#This Row],[fecha_inicio]]="","",TODAY()-tblOrdenes[[#This Row],[fecha_inicio]])</f>
        <v/>
      </c>
      <c r="AD6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3" s="5">
        <f>IF(tblOrdenes[[#This Row],[backlog_habiles]]="","",IF(tblOrdenes[[#This Row],[backlog_habiles]]&lt;0,"FUTURO",IF(tblOrdenes[[#This Row],[backlog_habiles]]&gt;p_dias_backlog_max,"BACKLOG","MES CORRIENTE")))</f>
        <v/>
      </c>
      <c r="AF603" s="5">
        <f>IF(tblOrdenes[[#This Row],[backlog_habiles]]="",FALSE,AND(tblOrdenes[[#This Row],[backlog_habiles]]&gt;p_dias_backlog_min,tblOrdenes[[#This Row],[backlog_habiles]]&lt;=p_dias_backlog_max))</f>
        <v/>
      </c>
      <c r="AG603" s="4" t="n"/>
      <c r="AH6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3" s="18">
        <f>IF(tblOrdenes[[#This Row],[orden]]="","",_xlfn.XLOOKUP(tblOrdenes[[#This Row],[id_operacion]],tblEjecucion[id_operacion],tblEjecucion[precio],0))</f>
        <v/>
      </c>
      <c r="AL603" s="18">
        <f>IF(tblOrdenes[[#This Row],[orden]]="","",MAX(0,_xlfn.XLOOKUP(tblOrdenes[[#This Row],[id_operacion]],tblEjecucion[id_operacion],tblEjecucion[costo_plan_total],0)-tblOrdenes[[#This Row],[costo_servicio]]))</f>
        <v/>
      </c>
      <c r="AM603" s="18">
        <f>IF(tblOrdenes[[#This Row],[orden]]="","",tblOrdenes[[#This Row],[costo_servicio]]+tblOrdenes[[#This Row],[costo_materiales]])</f>
        <v/>
      </c>
      <c r="AN6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3" s="4" t="n"/>
      <c r="AP603" s="4" t="n"/>
      <c r="AQ603" s="4" t="n"/>
      <c r="AR603" s="5">
        <f>IF(tblOrdenes[[#This Row],[link_checklist]]="","",HYPERLINK(p_ruta_base_checklists&amp;tblOrdenes[[#This Row],[link_checklist]],"abrir"))</f>
        <v/>
      </c>
      <c r="AS603" s="4" t="n"/>
      <c r="AT603" s="5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22" t="n"/>
      <c r="K604" s="5" t="n"/>
      <c r="L604" s="18" t="n"/>
      <c r="M6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5">
        <f>IF(tblOrdenes[[#This Row],[fecha_inicio]]="","",YEAR(tblOrdenes[[#This Row],[fecha_inicio]]))</f>
        <v/>
      </c>
      <c r="Q604" s="5">
        <f>IF(tblOrdenes[[#This Row],[fecha_inicio]]="","",MONTH(tblOrdenes[[#This Row],[fecha_inicio]]))</f>
        <v/>
      </c>
      <c r="R604" s="5">
        <f>IF(tblOrdenes[[#This Row],[fecha_inicio]]="","",tblOrdenes[[#This Row],[anio]]&amp;"-"&amp;TEXT(tblOrdenes[[#This Row],[mes]],"00"))</f>
        <v/>
      </c>
      <c r="S604" s="5">
        <f>IF(tblOrdenes[[#This Row],[fecha_inicio]]="","",INDEX(lista_dias,WEEKDAY(tblOrdenes[[#This Row],[fecha_inicio]],2)))</f>
        <v/>
      </c>
      <c r="T6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4" s="5">
        <f>IF(tblOrdenes[[#This Row],[tipo_ot]]="","",_xlfn.XLOOKUP(tblOrdenes[[#This Row],[tipo_ot]],tblTiposOT[codigo],tblTiposOT[clasificacion],"sin_clasificar"))</f>
        <v/>
      </c>
      <c r="V6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4" s="5">
        <f>IF(tblOrdenes[[#This Row],[centro_costo]]="","",_xlfn.XLOOKUP(tblOrdenes[[#This Row],[centro_costo]],tblCECO[codigo],tblCECO[linea],"(sin catálogo)"))</f>
        <v/>
      </c>
      <c r="X604" s="5">
        <f>IF(tblOrdenes[[#This Row],[centro_costo]]="","",_xlfn.XLOOKUP(tblOrdenes[[#This Row],[centro_costo]],tblCECO[codigo],tblCECO[area],"(sin catálogo)"))</f>
        <v/>
      </c>
      <c r="Y6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4" s="5">
        <f>IF(tblOrdenes[[#This Row],[centro_costo]]="","",_xlfn.XLOOKUP(tblOrdenes[[#This Row],[centro_costo]],tblCECO[codigo],tblCECO[coordinador],"(sin catálogo)"))</f>
        <v/>
      </c>
      <c r="AA604" s="5">
        <f>IF(tblOrdenes[[#This Row],[puesto_trabajo]]="","",_xlfn.XLOOKUP(tblOrdenes[[#This Row],[puesto_trabajo]],tblPuestos[codigo],tblPuestos[especialidad],"(sin catálogo)"))</f>
        <v/>
      </c>
      <c r="AB604" s="5">
        <f>IF(tblOrdenes[[#This Row],[cod_actividad]]="","",_xlfn.XLOOKUP(tblOrdenes[[#This Row],[cod_actividad]],tblActividades[codigo],tblActividades[descripcion],"(sin catálogo)"))</f>
        <v/>
      </c>
      <c r="AC604" s="20">
        <f>IF(tblOrdenes[[#This Row],[fecha_inicio]]="","",TODAY()-tblOrdenes[[#This Row],[fecha_inicio]])</f>
        <v/>
      </c>
      <c r="AD6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4" s="5">
        <f>IF(tblOrdenes[[#This Row],[backlog_habiles]]="","",IF(tblOrdenes[[#This Row],[backlog_habiles]]&lt;0,"FUTURO",IF(tblOrdenes[[#This Row],[backlog_habiles]]&gt;p_dias_backlog_max,"BACKLOG","MES CORRIENTE")))</f>
        <v/>
      </c>
      <c r="AF604" s="5">
        <f>IF(tblOrdenes[[#This Row],[backlog_habiles]]="",FALSE,AND(tblOrdenes[[#This Row],[backlog_habiles]]&gt;p_dias_backlog_min,tblOrdenes[[#This Row],[backlog_habiles]]&lt;=p_dias_backlog_max))</f>
        <v/>
      </c>
      <c r="AG604" s="4" t="n"/>
      <c r="AH6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4" s="18">
        <f>IF(tblOrdenes[[#This Row],[orden]]="","",_xlfn.XLOOKUP(tblOrdenes[[#This Row],[id_operacion]],tblEjecucion[id_operacion],tblEjecucion[precio],0))</f>
        <v/>
      </c>
      <c r="AL604" s="18">
        <f>IF(tblOrdenes[[#This Row],[orden]]="","",MAX(0,_xlfn.XLOOKUP(tblOrdenes[[#This Row],[id_operacion]],tblEjecucion[id_operacion],tblEjecucion[costo_plan_total],0)-tblOrdenes[[#This Row],[costo_servicio]]))</f>
        <v/>
      </c>
      <c r="AM604" s="18">
        <f>IF(tblOrdenes[[#This Row],[orden]]="","",tblOrdenes[[#This Row],[costo_servicio]]+tblOrdenes[[#This Row],[costo_materiales]])</f>
        <v/>
      </c>
      <c r="AN6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4" s="4" t="n"/>
      <c r="AP604" s="4" t="n"/>
      <c r="AQ604" s="4" t="n"/>
      <c r="AR604" s="5">
        <f>IF(tblOrdenes[[#This Row],[link_checklist]]="","",HYPERLINK(p_ruta_base_checklists&amp;tblOrdenes[[#This Row],[link_checklist]],"abrir"))</f>
        <v/>
      </c>
      <c r="AS604" s="4" t="n"/>
      <c r="AT604" s="5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22" t="n"/>
      <c r="K605" s="5" t="n"/>
      <c r="L605" s="18" t="n"/>
      <c r="M6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5">
        <f>IF(tblOrdenes[[#This Row],[fecha_inicio]]="","",YEAR(tblOrdenes[[#This Row],[fecha_inicio]]))</f>
        <v/>
      </c>
      <c r="Q605" s="5">
        <f>IF(tblOrdenes[[#This Row],[fecha_inicio]]="","",MONTH(tblOrdenes[[#This Row],[fecha_inicio]]))</f>
        <v/>
      </c>
      <c r="R605" s="5">
        <f>IF(tblOrdenes[[#This Row],[fecha_inicio]]="","",tblOrdenes[[#This Row],[anio]]&amp;"-"&amp;TEXT(tblOrdenes[[#This Row],[mes]],"00"))</f>
        <v/>
      </c>
      <c r="S605" s="5">
        <f>IF(tblOrdenes[[#This Row],[fecha_inicio]]="","",INDEX(lista_dias,WEEKDAY(tblOrdenes[[#This Row],[fecha_inicio]],2)))</f>
        <v/>
      </c>
      <c r="T6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5" s="5">
        <f>IF(tblOrdenes[[#This Row],[tipo_ot]]="","",_xlfn.XLOOKUP(tblOrdenes[[#This Row],[tipo_ot]],tblTiposOT[codigo],tblTiposOT[clasificacion],"sin_clasificar"))</f>
        <v/>
      </c>
      <c r="V6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5" s="5">
        <f>IF(tblOrdenes[[#This Row],[centro_costo]]="","",_xlfn.XLOOKUP(tblOrdenes[[#This Row],[centro_costo]],tblCECO[codigo],tblCECO[linea],"(sin catálogo)"))</f>
        <v/>
      </c>
      <c r="X605" s="5">
        <f>IF(tblOrdenes[[#This Row],[centro_costo]]="","",_xlfn.XLOOKUP(tblOrdenes[[#This Row],[centro_costo]],tblCECO[codigo],tblCECO[area],"(sin catálogo)"))</f>
        <v/>
      </c>
      <c r="Y6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5" s="5">
        <f>IF(tblOrdenes[[#This Row],[centro_costo]]="","",_xlfn.XLOOKUP(tblOrdenes[[#This Row],[centro_costo]],tblCECO[codigo],tblCECO[coordinador],"(sin catálogo)"))</f>
        <v/>
      </c>
      <c r="AA605" s="5">
        <f>IF(tblOrdenes[[#This Row],[puesto_trabajo]]="","",_xlfn.XLOOKUP(tblOrdenes[[#This Row],[puesto_trabajo]],tblPuestos[codigo],tblPuestos[especialidad],"(sin catálogo)"))</f>
        <v/>
      </c>
      <c r="AB605" s="5">
        <f>IF(tblOrdenes[[#This Row],[cod_actividad]]="","",_xlfn.XLOOKUP(tblOrdenes[[#This Row],[cod_actividad]],tblActividades[codigo],tblActividades[descripcion],"(sin catálogo)"))</f>
        <v/>
      </c>
      <c r="AC605" s="20">
        <f>IF(tblOrdenes[[#This Row],[fecha_inicio]]="","",TODAY()-tblOrdenes[[#This Row],[fecha_inicio]])</f>
        <v/>
      </c>
      <c r="AD6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5" s="5">
        <f>IF(tblOrdenes[[#This Row],[backlog_habiles]]="","",IF(tblOrdenes[[#This Row],[backlog_habiles]]&lt;0,"FUTURO",IF(tblOrdenes[[#This Row],[backlog_habiles]]&gt;p_dias_backlog_max,"BACKLOG","MES CORRIENTE")))</f>
        <v/>
      </c>
      <c r="AF605" s="5">
        <f>IF(tblOrdenes[[#This Row],[backlog_habiles]]="",FALSE,AND(tblOrdenes[[#This Row],[backlog_habiles]]&gt;p_dias_backlog_min,tblOrdenes[[#This Row],[backlog_habiles]]&lt;=p_dias_backlog_max))</f>
        <v/>
      </c>
      <c r="AG605" s="4" t="n"/>
      <c r="AH6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5" s="18">
        <f>IF(tblOrdenes[[#This Row],[orden]]="","",_xlfn.XLOOKUP(tblOrdenes[[#This Row],[id_operacion]],tblEjecucion[id_operacion],tblEjecucion[precio],0))</f>
        <v/>
      </c>
      <c r="AL605" s="18">
        <f>IF(tblOrdenes[[#This Row],[orden]]="","",MAX(0,_xlfn.XLOOKUP(tblOrdenes[[#This Row],[id_operacion]],tblEjecucion[id_operacion],tblEjecucion[costo_plan_total],0)-tblOrdenes[[#This Row],[costo_servicio]]))</f>
        <v/>
      </c>
      <c r="AM605" s="18">
        <f>IF(tblOrdenes[[#This Row],[orden]]="","",tblOrdenes[[#This Row],[costo_servicio]]+tblOrdenes[[#This Row],[costo_materiales]])</f>
        <v/>
      </c>
      <c r="AN6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5" s="4" t="n"/>
      <c r="AP605" s="4" t="n"/>
      <c r="AQ605" s="4" t="n"/>
      <c r="AR605" s="5">
        <f>IF(tblOrdenes[[#This Row],[link_checklist]]="","",HYPERLINK(p_ruta_base_checklists&amp;tblOrdenes[[#This Row],[link_checklist]],"abrir"))</f>
        <v/>
      </c>
      <c r="AS605" s="4" t="n"/>
      <c r="AT605" s="5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22" t="n"/>
      <c r="K606" s="5" t="n"/>
      <c r="L606" s="18" t="n"/>
      <c r="M6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5">
        <f>IF(tblOrdenes[[#This Row],[fecha_inicio]]="","",YEAR(tblOrdenes[[#This Row],[fecha_inicio]]))</f>
        <v/>
      </c>
      <c r="Q606" s="5">
        <f>IF(tblOrdenes[[#This Row],[fecha_inicio]]="","",MONTH(tblOrdenes[[#This Row],[fecha_inicio]]))</f>
        <v/>
      </c>
      <c r="R606" s="5">
        <f>IF(tblOrdenes[[#This Row],[fecha_inicio]]="","",tblOrdenes[[#This Row],[anio]]&amp;"-"&amp;TEXT(tblOrdenes[[#This Row],[mes]],"00"))</f>
        <v/>
      </c>
      <c r="S606" s="5">
        <f>IF(tblOrdenes[[#This Row],[fecha_inicio]]="","",INDEX(lista_dias,WEEKDAY(tblOrdenes[[#This Row],[fecha_inicio]],2)))</f>
        <v/>
      </c>
      <c r="T6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6" s="5">
        <f>IF(tblOrdenes[[#This Row],[tipo_ot]]="","",_xlfn.XLOOKUP(tblOrdenes[[#This Row],[tipo_ot]],tblTiposOT[codigo],tblTiposOT[clasificacion],"sin_clasificar"))</f>
        <v/>
      </c>
      <c r="V6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6" s="5">
        <f>IF(tblOrdenes[[#This Row],[centro_costo]]="","",_xlfn.XLOOKUP(tblOrdenes[[#This Row],[centro_costo]],tblCECO[codigo],tblCECO[linea],"(sin catálogo)"))</f>
        <v/>
      </c>
      <c r="X606" s="5">
        <f>IF(tblOrdenes[[#This Row],[centro_costo]]="","",_xlfn.XLOOKUP(tblOrdenes[[#This Row],[centro_costo]],tblCECO[codigo],tblCECO[area],"(sin catálogo)"))</f>
        <v/>
      </c>
      <c r="Y6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6" s="5">
        <f>IF(tblOrdenes[[#This Row],[centro_costo]]="","",_xlfn.XLOOKUP(tblOrdenes[[#This Row],[centro_costo]],tblCECO[codigo],tblCECO[coordinador],"(sin catálogo)"))</f>
        <v/>
      </c>
      <c r="AA606" s="5">
        <f>IF(tblOrdenes[[#This Row],[puesto_trabajo]]="","",_xlfn.XLOOKUP(tblOrdenes[[#This Row],[puesto_trabajo]],tblPuestos[codigo],tblPuestos[especialidad],"(sin catálogo)"))</f>
        <v/>
      </c>
      <c r="AB606" s="5">
        <f>IF(tblOrdenes[[#This Row],[cod_actividad]]="","",_xlfn.XLOOKUP(tblOrdenes[[#This Row],[cod_actividad]],tblActividades[codigo],tblActividades[descripcion],"(sin catálogo)"))</f>
        <v/>
      </c>
      <c r="AC606" s="20">
        <f>IF(tblOrdenes[[#This Row],[fecha_inicio]]="","",TODAY()-tblOrdenes[[#This Row],[fecha_inicio]])</f>
        <v/>
      </c>
      <c r="AD6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6" s="5">
        <f>IF(tblOrdenes[[#This Row],[backlog_habiles]]="","",IF(tblOrdenes[[#This Row],[backlog_habiles]]&lt;0,"FUTURO",IF(tblOrdenes[[#This Row],[backlog_habiles]]&gt;p_dias_backlog_max,"BACKLOG","MES CORRIENTE")))</f>
        <v/>
      </c>
      <c r="AF606" s="5">
        <f>IF(tblOrdenes[[#This Row],[backlog_habiles]]="",FALSE,AND(tblOrdenes[[#This Row],[backlog_habiles]]&gt;p_dias_backlog_min,tblOrdenes[[#This Row],[backlog_habiles]]&lt;=p_dias_backlog_max))</f>
        <v/>
      </c>
      <c r="AG606" s="4" t="n"/>
      <c r="AH6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6" s="18">
        <f>IF(tblOrdenes[[#This Row],[orden]]="","",_xlfn.XLOOKUP(tblOrdenes[[#This Row],[id_operacion]],tblEjecucion[id_operacion],tblEjecucion[precio],0))</f>
        <v/>
      </c>
      <c r="AL606" s="18">
        <f>IF(tblOrdenes[[#This Row],[orden]]="","",MAX(0,_xlfn.XLOOKUP(tblOrdenes[[#This Row],[id_operacion]],tblEjecucion[id_operacion],tblEjecucion[costo_plan_total],0)-tblOrdenes[[#This Row],[costo_servicio]]))</f>
        <v/>
      </c>
      <c r="AM606" s="18">
        <f>IF(tblOrdenes[[#This Row],[orden]]="","",tblOrdenes[[#This Row],[costo_servicio]]+tblOrdenes[[#This Row],[costo_materiales]])</f>
        <v/>
      </c>
      <c r="AN6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6" s="4" t="n"/>
      <c r="AP606" s="4" t="n"/>
      <c r="AQ606" s="4" t="n"/>
      <c r="AR606" s="5">
        <f>IF(tblOrdenes[[#This Row],[link_checklist]]="","",HYPERLINK(p_ruta_base_checklists&amp;tblOrdenes[[#This Row],[link_checklist]],"abrir"))</f>
        <v/>
      </c>
      <c r="AS606" s="4" t="n"/>
      <c r="AT606" s="5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22" t="n"/>
      <c r="K607" s="5" t="n"/>
      <c r="L607" s="18" t="n"/>
      <c r="M6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5">
        <f>IF(tblOrdenes[[#This Row],[fecha_inicio]]="","",YEAR(tblOrdenes[[#This Row],[fecha_inicio]]))</f>
        <v/>
      </c>
      <c r="Q607" s="5">
        <f>IF(tblOrdenes[[#This Row],[fecha_inicio]]="","",MONTH(tblOrdenes[[#This Row],[fecha_inicio]]))</f>
        <v/>
      </c>
      <c r="R607" s="5">
        <f>IF(tblOrdenes[[#This Row],[fecha_inicio]]="","",tblOrdenes[[#This Row],[anio]]&amp;"-"&amp;TEXT(tblOrdenes[[#This Row],[mes]],"00"))</f>
        <v/>
      </c>
      <c r="S607" s="5">
        <f>IF(tblOrdenes[[#This Row],[fecha_inicio]]="","",INDEX(lista_dias,WEEKDAY(tblOrdenes[[#This Row],[fecha_inicio]],2)))</f>
        <v/>
      </c>
      <c r="T6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7" s="5">
        <f>IF(tblOrdenes[[#This Row],[tipo_ot]]="","",_xlfn.XLOOKUP(tblOrdenes[[#This Row],[tipo_ot]],tblTiposOT[codigo],tblTiposOT[clasificacion],"sin_clasificar"))</f>
        <v/>
      </c>
      <c r="V6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7" s="5">
        <f>IF(tblOrdenes[[#This Row],[centro_costo]]="","",_xlfn.XLOOKUP(tblOrdenes[[#This Row],[centro_costo]],tblCECO[codigo],tblCECO[linea],"(sin catálogo)"))</f>
        <v/>
      </c>
      <c r="X607" s="5">
        <f>IF(tblOrdenes[[#This Row],[centro_costo]]="","",_xlfn.XLOOKUP(tblOrdenes[[#This Row],[centro_costo]],tblCECO[codigo],tblCECO[area],"(sin catálogo)"))</f>
        <v/>
      </c>
      <c r="Y6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7" s="5">
        <f>IF(tblOrdenes[[#This Row],[centro_costo]]="","",_xlfn.XLOOKUP(tblOrdenes[[#This Row],[centro_costo]],tblCECO[codigo],tblCECO[coordinador],"(sin catálogo)"))</f>
        <v/>
      </c>
      <c r="AA607" s="5">
        <f>IF(tblOrdenes[[#This Row],[puesto_trabajo]]="","",_xlfn.XLOOKUP(tblOrdenes[[#This Row],[puesto_trabajo]],tblPuestos[codigo],tblPuestos[especialidad],"(sin catálogo)"))</f>
        <v/>
      </c>
      <c r="AB607" s="5">
        <f>IF(tblOrdenes[[#This Row],[cod_actividad]]="","",_xlfn.XLOOKUP(tblOrdenes[[#This Row],[cod_actividad]],tblActividades[codigo],tblActividades[descripcion],"(sin catálogo)"))</f>
        <v/>
      </c>
      <c r="AC607" s="20">
        <f>IF(tblOrdenes[[#This Row],[fecha_inicio]]="","",TODAY()-tblOrdenes[[#This Row],[fecha_inicio]])</f>
        <v/>
      </c>
      <c r="AD6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7" s="5">
        <f>IF(tblOrdenes[[#This Row],[backlog_habiles]]="","",IF(tblOrdenes[[#This Row],[backlog_habiles]]&lt;0,"FUTURO",IF(tblOrdenes[[#This Row],[backlog_habiles]]&gt;p_dias_backlog_max,"BACKLOG","MES CORRIENTE")))</f>
        <v/>
      </c>
      <c r="AF607" s="5">
        <f>IF(tblOrdenes[[#This Row],[backlog_habiles]]="",FALSE,AND(tblOrdenes[[#This Row],[backlog_habiles]]&gt;p_dias_backlog_min,tblOrdenes[[#This Row],[backlog_habiles]]&lt;=p_dias_backlog_max))</f>
        <v/>
      </c>
      <c r="AG607" s="4" t="n"/>
      <c r="AH6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7" s="18">
        <f>IF(tblOrdenes[[#This Row],[orden]]="","",_xlfn.XLOOKUP(tblOrdenes[[#This Row],[id_operacion]],tblEjecucion[id_operacion],tblEjecucion[precio],0))</f>
        <v/>
      </c>
      <c r="AL607" s="18">
        <f>IF(tblOrdenes[[#This Row],[orden]]="","",MAX(0,_xlfn.XLOOKUP(tblOrdenes[[#This Row],[id_operacion]],tblEjecucion[id_operacion],tblEjecucion[costo_plan_total],0)-tblOrdenes[[#This Row],[costo_servicio]]))</f>
        <v/>
      </c>
      <c r="AM607" s="18">
        <f>IF(tblOrdenes[[#This Row],[orden]]="","",tblOrdenes[[#This Row],[costo_servicio]]+tblOrdenes[[#This Row],[costo_materiales]])</f>
        <v/>
      </c>
      <c r="AN6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7" s="4" t="n"/>
      <c r="AP607" s="4" t="n"/>
      <c r="AQ607" s="4" t="n"/>
      <c r="AR607" s="5">
        <f>IF(tblOrdenes[[#This Row],[link_checklist]]="","",HYPERLINK(p_ruta_base_checklists&amp;tblOrdenes[[#This Row],[link_checklist]],"abrir"))</f>
        <v/>
      </c>
      <c r="AS607" s="4" t="n"/>
      <c r="AT607" s="5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22" t="n"/>
      <c r="K608" s="5" t="n"/>
      <c r="L608" s="18" t="n"/>
      <c r="M6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5">
        <f>IF(tblOrdenes[[#This Row],[fecha_inicio]]="","",YEAR(tblOrdenes[[#This Row],[fecha_inicio]]))</f>
        <v/>
      </c>
      <c r="Q608" s="5">
        <f>IF(tblOrdenes[[#This Row],[fecha_inicio]]="","",MONTH(tblOrdenes[[#This Row],[fecha_inicio]]))</f>
        <v/>
      </c>
      <c r="R608" s="5">
        <f>IF(tblOrdenes[[#This Row],[fecha_inicio]]="","",tblOrdenes[[#This Row],[anio]]&amp;"-"&amp;TEXT(tblOrdenes[[#This Row],[mes]],"00"))</f>
        <v/>
      </c>
      <c r="S608" s="5">
        <f>IF(tblOrdenes[[#This Row],[fecha_inicio]]="","",INDEX(lista_dias,WEEKDAY(tblOrdenes[[#This Row],[fecha_inicio]],2)))</f>
        <v/>
      </c>
      <c r="T6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8" s="5">
        <f>IF(tblOrdenes[[#This Row],[tipo_ot]]="","",_xlfn.XLOOKUP(tblOrdenes[[#This Row],[tipo_ot]],tblTiposOT[codigo],tblTiposOT[clasificacion],"sin_clasificar"))</f>
        <v/>
      </c>
      <c r="V6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8" s="5">
        <f>IF(tblOrdenes[[#This Row],[centro_costo]]="","",_xlfn.XLOOKUP(tblOrdenes[[#This Row],[centro_costo]],tblCECO[codigo],tblCECO[linea],"(sin catálogo)"))</f>
        <v/>
      </c>
      <c r="X608" s="5">
        <f>IF(tblOrdenes[[#This Row],[centro_costo]]="","",_xlfn.XLOOKUP(tblOrdenes[[#This Row],[centro_costo]],tblCECO[codigo],tblCECO[area],"(sin catálogo)"))</f>
        <v/>
      </c>
      <c r="Y6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8" s="5">
        <f>IF(tblOrdenes[[#This Row],[centro_costo]]="","",_xlfn.XLOOKUP(tblOrdenes[[#This Row],[centro_costo]],tblCECO[codigo],tblCECO[coordinador],"(sin catálogo)"))</f>
        <v/>
      </c>
      <c r="AA608" s="5">
        <f>IF(tblOrdenes[[#This Row],[puesto_trabajo]]="","",_xlfn.XLOOKUP(tblOrdenes[[#This Row],[puesto_trabajo]],tblPuestos[codigo],tblPuestos[especialidad],"(sin catálogo)"))</f>
        <v/>
      </c>
      <c r="AB608" s="5">
        <f>IF(tblOrdenes[[#This Row],[cod_actividad]]="","",_xlfn.XLOOKUP(tblOrdenes[[#This Row],[cod_actividad]],tblActividades[codigo],tblActividades[descripcion],"(sin catálogo)"))</f>
        <v/>
      </c>
      <c r="AC608" s="20">
        <f>IF(tblOrdenes[[#This Row],[fecha_inicio]]="","",TODAY()-tblOrdenes[[#This Row],[fecha_inicio]])</f>
        <v/>
      </c>
      <c r="AD6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8" s="5">
        <f>IF(tblOrdenes[[#This Row],[backlog_habiles]]="","",IF(tblOrdenes[[#This Row],[backlog_habiles]]&lt;0,"FUTURO",IF(tblOrdenes[[#This Row],[backlog_habiles]]&gt;p_dias_backlog_max,"BACKLOG","MES CORRIENTE")))</f>
        <v/>
      </c>
      <c r="AF608" s="5">
        <f>IF(tblOrdenes[[#This Row],[backlog_habiles]]="",FALSE,AND(tblOrdenes[[#This Row],[backlog_habiles]]&gt;p_dias_backlog_min,tblOrdenes[[#This Row],[backlog_habiles]]&lt;=p_dias_backlog_max))</f>
        <v/>
      </c>
      <c r="AG608" s="4" t="n"/>
      <c r="AH6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8" s="18">
        <f>IF(tblOrdenes[[#This Row],[orden]]="","",_xlfn.XLOOKUP(tblOrdenes[[#This Row],[id_operacion]],tblEjecucion[id_operacion],tblEjecucion[precio],0))</f>
        <v/>
      </c>
      <c r="AL608" s="18">
        <f>IF(tblOrdenes[[#This Row],[orden]]="","",MAX(0,_xlfn.XLOOKUP(tblOrdenes[[#This Row],[id_operacion]],tblEjecucion[id_operacion],tblEjecucion[costo_plan_total],0)-tblOrdenes[[#This Row],[costo_servicio]]))</f>
        <v/>
      </c>
      <c r="AM608" s="18">
        <f>IF(tblOrdenes[[#This Row],[orden]]="","",tblOrdenes[[#This Row],[costo_servicio]]+tblOrdenes[[#This Row],[costo_materiales]])</f>
        <v/>
      </c>
      <c r="AN6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8" s="4" t="n"/>
      <c r="AP608" s="4" t="n"/>
      <c r="AQ608" s="4" t="n"/>
      <c r="AR608" s="5">
        <f>IF(tblOrdenes[[#This Row],[link_checklist]]="","",HYPERLINK(p_ruta_base_checklists&amp;tblOrdenes[[#This Row],[link_checklist]],"abrir"))</f>
        <v/>
      </c>
      <c r="AS608" s="4" t="n"/>
      <c r="AT608" s="5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22" t="n"/>
      <c r="K609" s="5" t="n"/>
      <c r="L609" s="18" t="n"/>
      <c r="M6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5">
        <f>IF(tblOrdenes[[#This Row],[fecha_inicio]]="","",YEAR(tblOrdenes[[#This Row],[fecha_inicio]]))</f>
        <v/>
      </c>
      <c r="Q609" s="5">
        <f>IF(tblOrdenes[[#This Row],[fecha_inicio]]="","",MONTH(tblOrdenes[[#This Row],[fecha_inicio]]))</f>
        <v/>
      </c>
      <c r="R609" s="5">
        <f>IF(tblOrdenes[[#This Row],[fecha_inicio]]="","",tblOrdenes[[#This Row],[anio]]&amp;"-"&amp;TEXT(tblOrdenes[[#This Row],[mes]],"00"))</f>
        <v/>
      </c>
      <c r="S609" s="5">
        <f>IF(tblOrdenes[[#This Row],[fecha_inicio]]="","",INDEX(lista_dias,WEEKDAY(tblOrdenes[[#This Row],[fecha_inicio]],2)))</f>
        <v/>
      </c>
      <c r="T6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9" s="5">
        <f>IF(tblOrdenes[[#This Row],[tipo_ot]]="","",_xlfn.XLOOKUP(tblOrdenes[[#This Row],[tipo_ot]],tblTiposOT[codigo],tblTiposOT[clasificacion],"sin_clasificar"))</f>
        <v/>
      </c>
      <c r="V6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9" s="5">
        <f>IF(tblOrdenes[[#This Row],[centro_costo]]="","",_xlfn.XLOOKUP(tblOrdenes[[#This Row],[centro_costo]],tblCECO[codigo],tblCECO[linea],"(sin catálogo)"))</f>
        <v/>
      </c>
      <c r="X609" s="5">
        <f>IF(tblOrdenes[[#This Row],[centro_costo]]="","",_xlfn.XLOOKUP(tblOrdenes[[#This Row],[centro_costo]],tblCECO[codigo],tblCECO[area],"(sin catálogo)"))</f>
        <v/>
      </c>
      <c r="Y6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09" s="5">
        <f>IF(tblOrdenes[[#This Row],[centro_costo]]="","",_xlfn.XLOOKUP(tblOrdenes[[#This Row],[centro_costo]],tblCECO[codigo],tblCECO[coordinador],"(sin catálogo)"))</f>
        <v/>
      </c>
      <c r="AA609" s="5">
        <f>IF(tblOrdenes[[#This Row],[puesto_trabajo]]="","",_xlfn.XLOOKUP(tblOrdenes[[#This Row],[puesto_trabajo]],tblPuestos[codigo],tblPuestos[especialidad],"(sin catálogo)"))</f>
        <v/>
      </c>
      <c r="AB609" s="5">
        <f>IF(tblOrdenes[[#This Row],[cod_actividad]]="","",_xlfn.XLOOKUP(tblOrdenes[[#This Row],[cod_actividad]],tblActividades[codigo],tblActividades[descripcion],"(sin catálogo)"))</f>
        <v/>
      </c>
      <c r="AC609" s="20">
        <f>IF(tblOrdenes[[#This Row],[fecha_inicio]]="","",TODAY()-tblOrdenes[[#This Row],[fecha_inicio]])</f>
        <v/>
      </c>
      <c r="AD6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09" s="5">
        <f>IF(tblOrdenes[[#This Row],[backlog_habiles]]="","",IF(tblOrdenes[[#This Row],[backlog_habiles]]&lt;0,"FUTURO",IF(tblOrdenes[[#This Row],[backlog_habiles]]&gt;p_dias_backlog_max,"BACKLOG","MES CORRIENTE")))</f>
        <v/>
      </c>
      <c r="AF609" s="5">
        <f>IF(tblOrdenes[[#This Row],[backlog_habiles]]="",FALSE,AND(tblOrdenes[[#This Row],[backlog_habiles]]&gt;p_dias_backlog_min,tblOrdenes[[#This Row],[backlog_habiles]]&lt;=p_dias_backlog_max))</f>
        <v/>
      </c>
      <c r="AG609" s="4" t="n"/>
      <c r="AH6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09" s="18">
        <f>IF(tblOrdenes[[#This Row],[orden]]="","",_xlfn.XLOOKUP(tblOrdenes[[#This Row],[id_operacion]],tblEjecucion[id_operacion],tblEjecucion[precio],0))</f>
        <v/>
      </c>
      <c r="AL609" s="18">
        <f>IF(tblOrdenes[[#This Row],[orden]]="","",MAX(0,_xlfn.XLOOKUP(tblOrdenes[[#This Row],[id_operacion]],tblEjecucion[id_operacion],tblEjecucion[costo_plan_total],0)-tblOrdenes[[#This Row],[costo_servicio]]))</f>
        <v/>
      </c>
      <c r="AM609" s="18">
        <f>IF(tblOrdenes[[#This Row],[orden]]="","",tblOrdenes[[#This Row],[costo_servicio]]+tblOrdenes[[#This Row],[costo_materiales]])</f>
        <v/>
      </c>
      <c r="AN6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09" s="4" t="n"/>
      <c r="AP609" s="4" t="n"/>
      <c r="AQ609" s="4" t="n"/>
      <c r="AR609" s="5">
        <f>IF(tblOrdenes[[#This Row],[link_checklist]]="","",HYPERLINK(p_ruta_base_checklists&amp;tblOrdenes[[#This Row],[link_checklist]],"abrir"))</f>
        <v/>
      </c>
      <c r="AS609" s="4" t="n"/>
      <c r="AT609" s="5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22" t="n"/>
      <c r="K610" s="5" t="n"/>
      <c r="L610" s="18" t="n"/>
      <c r="M6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5">
        <f>IF(tblOrdenes[[#This Row],[fecha_inicio]]="","",YEAR(tblOrdenes[[#This Row],[fecha_inicio]]))</f>
        <v/>
      </c>
      <c r="Q610" s="5">
        <f>IF(tblOrdenes[[#This Row],[fecha_inicio]]="","",MONTH(tblOrdenes[[#This Row],[fecha_inicio]]))</f>
        <v/>
      </c>
      <c r="R610" s="5">
        <f>IF(tblOrdenes[[#This Row],[fecha_inicio]]="","",tblOrdenes[[#This Row],[anio]]&amp;"-"&amp;TEXT(tblOrdenes[[#This Row],[mes]],"00"))</f>
        <v/>
      </c>
      <c r="S610" s="5">
        <f>IF(tblOrdenes[[#This Row],[fecha_inicio]]="","",INDEX(lista_dias,WEEKDAY(tblOrdenes[[#This Row],[fecha_inicio]],2)))</f>
        <v/>
      </c>
      <c r="T6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0" s="5">
        <f>IF(tblOrdenes[[#This Row],[tipo_ot]]="","",_xlfn.XLOOKUP(tblOrdenes[[#This Row],[tipo_ot]],tblTiposOT[codigo],tblTiposOT[clasificacion],"sin_clasificar"))</f>
        <v/>
      </c>
      <c r="V6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0" s="5">
        <f>IF(tblOrdenes[[#This Row],[centro_costo]]="","",_xlfn.XLOOKUP(tblOrdenes[[#This Row],[centro_costo]],tblCECO[codigo],tblCECO[linea],"(sin catálogo)"))</f>
        <v/>
      </c>
      <c r="X610" s="5">
        <f>IF(tblOrdenes[[#This Row],[centro_costo]]="","",_xlfn.XLOOKUP(tblOrdenes[[#This Row],[centro_costo]],tblCECO[codigo],tblCECO[area],"(sin catálogo)"))</f>
        <v/>
      </c>
      <c r="Y6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0" s="5">
        <f>IF(tblOrdenes[[#This Row],[centro_costo]]="","",_xlfn.XLOOKUP(tblOrdenes[[#This Row],[centro_costo]],tblCECO[codigo],tblCECO[coordinador],"(sin catálogo)"))</f>
        <v/>
      </c>
      <c r="AA610" s="5">
        <f>IF(tblOrdenes[[#This Row],[puesto_trabajo]]="","",_xlfn.XLOOKUP(tblOrdenes[[#This Row],[puesto_trabajo]],tblPuestos[codigo],tblPuestos[especialidad],"(sin catálogo)"))</f>
        <v/>
      </c>
      <c r="AB610" s="5">
        <f>IF(tblOrdenes[[#This Row],[cod_actividad]]="","",_xlfn.XLOOKUP(tblOrdenes[[#This Row],[cod_actividad]],tblActividades[codigo],tblActividades[descripcion],"(sin catálogo)"))</f>
        <v/>
      </c>
      <c r="AC610" s="20">
        <f>IF(tblOrdenes[[#This Row],[fecha_inicio]]="","",TODAY()-tblOrdenes[[#This Row],[fecha_inicio]])</f>
        <v/>
      </c>
      <c r="AD6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0" s="5">
        <f>IF(tblOrdenes[[#This Row],[backlog_habiles]]="","",IF(tblOrdenes[[#This Row],[backlog_habiles]]&lt;0,"FUTURO",IF(tblOrdenes[[#This Row],[backlog_habiles]]&gt;p_dias_backlog_max,"BACKLOG","MES CORRIENTE")))</f>
        <v/>
      </c>
      <c r="AF610" s="5">
        <f>IF(tblOrdenes[[#This Row],[backlog_habiles]]="",FALSE,AND(tblOrdenes[[#This Row],[backlog_habiles]]&gt;p_dias_backlog_min,tblOrdenes[[#This Row],[backlog_habiles]]&lt;=p_dias_backlog_max))</f>
        <v/>
      </c>
      <c r="AG610" s="4" t="n"/>
      <c r="AH6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0" s="18">
        <f>IF(tblOrdenes[[#This Row],[orden]]="","",_xlfn.XLOOKUP(tblOrdenes[[#This Row],[id_operacion]],tblEjecucion[id_operacion],tblEjecucion[precio],0))</f>
        <v/>
      </c>
      <c r="AL610" s="18">
        <f>IF(tblOrdenes[[#This Row],[orden]]="","",MAX(0,_xlfn.XLOOKUP(tblOrdenes[[#This Row],[id_operacion]],tblEjecucion[id_operacion],tblEjecucion[costo_plan_total],0)-tblOrdenes[[#This Row],[costo_servicio]]))</f>
        <v/>
      </c>
      <c r="AM610" s="18">
        <f>IF(tblOrdenes[[#This Row],[orden]]="","",tblOrdenes[[#This Row],[costo_servicio]]+tblOrdenes[[#This Row],[costo_materiales]])</f>
        <v/>
      </c>
      <c r="AN6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0" s="4" t="n"/>
      <c r="AP610" s="4" t="n"/>
      <c r="AQ610" s="4" t="n"/>
      <c r="AR610" s="5">
        <f>IF(tblOrdenes[[#This Row],[link_checklist]]="","",HYPERLINK(p_ruta_base_checklists&amp;tblOrdenes[[#This Row],[link_checklist]],"abrir"))</f>
        <v/>
      </c>
      <c r="AS610" s="4" t="n"/>
      <c r="AT610" s="5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22" t="n"/>
      <c r="K611" s="5" t="n"/>
      <c r="L611" s="18" t="n"/>
      <c r="M6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5">
        <f>IF(tblOrdenes[[#This Row],[fecha_inicio]]="","",YEAR(tblOrdenes[[#This Row],[fecha_inicio]]))</f>
        <v/>
      </c>
      <c r="Q611" s="5">
        <f>IF(tblOrdenes[[#This Row],[fecha_inicio]]="","",MONTH(tblOrdenes[[#This Row],[fecha_inicio]]))</f>
        <v/>
      </c>
      <c r="R611" s="5">
        <f>IF(tblOrdenes[[#This Row],[fecha_inicio]]="","",tblOrdenes[[#This Row],[anio]]&amp;"-"&amp;TEXT(tblOrdenes[[#This Row],[mes]],"00"))</f>
        <v/>
      </c>
      <c r="S611" s="5">
        <f>IF(tblOrdenes[[#This Row],[fecha_inicio]]="","",INDEX(lista_dias,WEEKDAY(tblOrdenes[[#This Row],[fecha_inicio]],2)))</f>
        <v/>
      </c>
      <c r="T6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1" s="5">
        <f>IF(tblOrdenes[[#This Row],[tipo_ot]]="","",_xlfn.XLOOKUP(tblOrdenes[[#This Row],[tipo_ot]],tblTiposOT[codigo],tblTiposOT[clasificacion],"sin_clasificar"))</f>
        <v/>
      </c>
      <c r="V6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1" s="5">
        <f>IF(tblOrdenes[[#This Row],[centro_costo]]="","",_xlfn.XLOOKUP(tblOrdenes[[#This Row],[centro_costo]],tblCECO[codigo],tblCECO[linea],"(sin catálogo)"))</f>
        <v/>
      </c>
      <c r="X611" s="5">
        <f>IF(tblOrdenes[[#This Row],[centro_costo]]="","",_xlfn.XLOOKUP(tblOrdenes[[#This Row],[centro_costo]],tblCECO[codigo],tblCECO[area],"(sin catálogo)"))</f>
        <v/>
      </c>
      <c r="Y6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1" s="5">
        <f>IF(tblOrdenes[[#This Row],[centro_costo]]="","",_xlfn.XLOOKUP(tblOrdenes[[#This Row],[centro_costo]],tblCECO[codigo],tblCECO[coordinador],"(sin catálogo)"))</f>
        <v/>
      </c>
      <c r="AA611" s="5">
        <f>IF(tblOrdenes[[#This Row],[puesto_trabajo]]="","",_xlfn.XLOOKUP(tblOrdenes[[#This Row],[puesto_trabajo]],tblPuestos[codigo],tblPuestos[especialidad],"(sin catálogo)"))</f>
        <v/>
      </c>
      <c r="AB611" s="5">
        <f>IF(tblOrdenes[[#This Row],[cod_actividad]]="","",_xlfn.XLOOKUP(tblOrdenes[[#This Row],[cod_actividad]],tblActividades[codigo],tblActividades[descripcion],"(sin catálogo)"))</f>
        <v/>
      </c>
      <c r="AC611" s="20">
        <f>IF(tblOrdenes[[#This Row],[fecha_inicio]]="","",TODAY()-tblOrdenes[[#This Row],[fecha_inicio]])</f>
        <v/>
      </c>
      <c r="AD6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1" s="5">
        <f>IF(tblOrdenes[[#This Row],[backlog_habiles]]="","",IF(tblOrdenes[[#This Row],[backlog_habiles]]&lt;0,"FUTURO",IF(tblOrdenes[[#This Row],[backlog_habiles]]&gt;p_dias_backlog_max,"BACKLOG","MES CORRIENTE")))</f>
        <v/>
      </c>
      <c r="AF611" s="5">
        <f>IF(tblOrdenes[[#This Row],[backlog_habiles]]="",FALSE,AND(tblOrdenes[[#This Row],[backlog_habiles]]&gt;p_dias_backlog_min,tblOrdenes[[#This Row],[backlog_habiles]]&lt;=p_dias_backlog_max))</f>
        <v/>
      </c>
      <c r="AG611" s="4" t="n"/>
      <c r="AH6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1" s="18">
        <f>IF(tblOrdenes[[#This Row],[orden]]="","",_xlfn.XLOOKUP(tblOrdenes[[#This Row],[id_operacion]],tblEjecucion[id_operacion],tblEjecucion[precio],0))</f>
        <v/>
      </c>
      <c r="AL611" s="18">
        <f>IF(tblOrdenes[[#This Row],[orden]]="","",MAX(0,_xlfn.XLOOKUP(tblOrdenes[[#This Row],[id_operacion]],tblEjecucion[id_operacion],tblEjecucion[costo_plan_total],0)-tblOrdenes[[#This Row],[costo_servicio]]))</f>
        <v/>
      </c>
      <c r="AM611" s="18">
        <f>IF(tblOrdenes[[#This Row],[orden]]="","",tblOrdenes[[#This Row],[costo_servicio]]+tblOrdenes[[#This Row],[costo_materiales]])</f>
        <v/>
      </c>
      <c r="AN6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1" s="4" t="n"/>
      <c r="AP611" s="4" t="n"/>
      <c r="AQ611" s="4" t="n"/>
      <c r="AR611" s="5">
        <f>IF(tblOrdenes[[#This Row],[link_checklist]]="","",HYPERLINK(p_ruta_base_checklists&amp;tblOrdenes[[#This Row],[link_checklist]],"abrir"))</f>
        <v/>
      </c>
      <c r="AS611" s="4" t="n"/>
      <c r="AT611" s="5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22" t="n"/>
      <c r="K612" s="5" t="n"/>
      <c r="L612" s="18" t="n"/>
      <c r="M6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5">
        <f>IF(tblOrdenes[[#This Row],[fecha_inicio]]="","",YEAR(tblOrdenes[[#This Row],[fecha_inicio]]))</f>
        <v/>
      </c>
      <c r="Q612" s="5">
        <f>IF(tblOrdenes[[#This Row],[fecha_inicio]]="","",MONTH(tblOrdenes[[#This Row],[fecha_inicio]]))</f>
        <v/>
      </c>
      <c r="R612" s="5">
        <f>IF(tblOrdenes[[#This Row],[fecha_inicio]]="","",tblOrdenes[[#This Row],[anio]]&amp;"-"&amp;TEXT(tblOrdenes[[#This Row],[mes]],"00"))</f>
        <v/>
      </c>
      <c r="S612" s="5">
        <f>IF(tblOrdenes[[#This Row],[fecha_inicio]]="","",INDEX(lista_dias,WEEKDAY(tblOrdenes[[#This Row],[fecha_inicio]],2)))</f>
        <v/>
      </c>
      <c r="T6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2" s="5">
        <f>IF(tblOrdenes[[#This Row],[tipo_ot]]="","",_xlfn.XLOOKUP(tblOrdenes[[#This Row],[tipo_ot]],tblTiposOT[codigo],tblTiposOT[clasificacion],"sin_clasificar"))</f>
        <v/>
      </c>
      <c r="V6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2" s="5">
        <f>IF(tblOrdenes[[#This Row],[centro_costo]]="","",_xlfn.XLOOKUP(tblOrdenes[[#This Row],[centro_costo]],tblCECO[codigo],tblCECO[linea],"(sin catálogo)"))</f>
        <v/>
      </c>
      <c r="X612" s="5">
        <f>IF(tblOrdenes[[#This Row],[centro_costo]]="","",_xlfn.XLOOKUP(tblOrdenes[[#This Row],[centro_costo]],tblCECO[codigo],tblCECO[area],"(sin catálogo)"))</f>
        <v/>
      </c>
      <c r="Y6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2" s="5">
        <f>IF(tblOrdenes[[#This Row],[centro_costo]]="","",_xlfn.XLOOKUP(tblOrdenes[[#This Row],[centro_costo]],tblCECO[codigo],tblCECO[coordinador],"(sin catálogo)"))</f>
        <v/>
      </c>
      <c r="AA612" s="5">
        <f>IF(tblOrdenes[[#This Row],[puesto_trabajo]]="","",_xlfn.XLOOKUP(tblOrdenes[[#This Row],[puesto_trabajo]],tblPuestos[codigo],tblPuestos[especialidad],"(sin catálogo)"))</f>
        <v/>
      </c>
      <c r="AB612" s="5">
        <f>IF(tblOrdenes[[#This Row],[cod_actividad]]="","",_xlfn.XLOOKUP(tblOrdenes[[#This Row],[cod_actividad]],tblActividades[codigo],tblActividades[descripcion],"(sin catálogo)"))</f>
        <v/>
      </c>
      <c r="AC612" s="20">
        <f>IF(tblOrdenes[[#This Row],[fecha_inicio]]="","",TODAY()-tblOrdenes[[#This Row],[fecha_inicio]])</f>
        <v/>
      </c>
      <c r="AD6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2" s="5">
        <f>IF(tblOrdenes[[#This Row],[backlog_habiles]]="","",IF(tblOrdenes[[#This Row],[backlog_habiles]]&lt;0,"FUTURO",IF(tblOrdenes[[#This Row],[backlog_habiles]]&gt;p_dias_backlog_max,"BACKLOG","MES CORRIENTE")))</f>
        <v/>
      </c>
      <c r="AF612" s="5">
        <f>IF(tblOrdenes[[#This Row],[backlog_habiles]]="",FALSE,AND(tblOrdenes[[#This Row],[backlog_habiles]]&gt;p_dias_backlog_min,tblOrdenes[[#This Row],[backlog_habiles]]&lt;=p_dias_backlog_max))</f>
        <v/>
      </c>
      <c r="AG612" s="4" t="n"/>
      <c r="AH6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2" s="18">
        <f>IF(tblOrdenes[[#This Row],[orden]]="","",_xlfn.XLOOKUP(tblOrdenes[[#This Row],[id_operacion]],tblEjecucion[id_operacion],tblEjecucion[precio],0))</f>
        <v/>
      </c>
      <c r="AL612" s="18">
        <f>IF(tblOrdenes[[#This Row],[orden]]="","",MAX(0,_xlfn.XLOOKUP(tblOrdenes[[#This Row],[id_operacion]],tblEjecucion[id_operacion],tblEjecucion[costo_plan_total],0)-tblOrdenes[[#This Row],[costo_servicio]]))</f>
        <v/>
      </c>
      <c r="AM612" s="18">
        <f>IF(tblOrdenes[[#This Row],[orden]]="","",tblOrdenes[[#This Row],[costo_servicio]]+tblOrdenes[[#This Row],[costo_materiales]])</f>
        <v/>
      </c>
      <c r="AN6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2" s="4" t="n"/>
      <c r="AP612" s="4" t="n"/>
      <c r="AQ612" s="4" t="n"/>
      <c r="AR612" s="5">
        <f>IF(tblOrdenes[[#This Row],[link_checklist]]="","",HYPERLINK(p_ruta_base_checklists&amp;tblOrdenes[[#This Row],[link_checklist]],"abrir"))</f>
        <v/>
      </c>
      <c r="AS612" s="4" t="n"/>
      <c r="AT612" s="5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22" t="n"/>
      <c r="K613" s="5" t="n"/>
      <c r="L613" s="18" t="n"/>
      <c r="M6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5">
        <f>IF(tblOrdenes[[#This Row],[fecha_inicio]]="","",YEAR(tblOrdenes[[#This Row],[fecha_inicio]]))</f>
        <v/>
      </c>
      <c r="Q613" s="5">
        <f>IF(tblOrdenes[[#This Row],[fecha_inicio]]="","",MONTH(tblOrdenes[[#This Row],[fecha_inicio]]))</f>
        <v/>
      </c>
      <c r="R613" s="5">
        <f>IF(tblOrdenes[[#This Row],[fecha_inicio]]="","",tblOrdenes[[#This Row],[anio]]&amp;"-"&amp;TEXT(tblOrdenes[[#This Row],[mes]],"00"))</f>
        <v/>
      </c>
      <c r="S613" s="5">
        <f>IF(tblOrdenes[[#This Row],[fecha_inicio]]="","",INDEX(lista_dias,WEEKDAY(tblOrdenes[[#This Row],[fecha_inicio]],2)))</f>
        <v/>
      </c>
      <c r="T6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3" s="5">
        <f>IF(tblOrdenes[[#This Row],[tipo_ot]]="","",_xlfn.XLOOKUP(tblOrdenes[[#This Row],[tipo_ot]],tblTiposOT[codigo],tblTiposOT[clasificacion],"sin_clasificar"))</f>
        <v/>
      </c>
      <c r="V6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3" s="5">
        <f>IF(tblOrdenes[[#This Row],[centro_costo]]="","",_xlfn.XLOOKUP(tblOrdenes[[#This Row],[centro_costo]],tblCECO[codigo],tblCECO[linea],"(sin catálogo)"))</f>
        <v/>
      </c>
      <c r="X613" s="5">
        <f>IF(tblOrdenes[[#This Row],[centro_costo]]="","",_xlfn.XLOOKUP(tblOrdenes[[#This Row],[centro_costo]],tblCECO[codigo],tblCECO[area],"(sin catálogo)"))</f>
        <v/>
      </c>
      <c r="Y6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3" s="5">
        <f>IF(tblOrdenes[[#This Row],[centro_costo]]="","",_xlfn.XLOOKUP(tblOrdenes[[#This Row],[centro_costo]],tblCECO[codigo],tblCECO[coordinador],"(sin catálogo)"))</f>
        <v/>
      </c>
      <c r="AA613" s="5">
        <f>IF(tblOrdenes[[#This Row],[puesto_trabajo]]="","",_xlfn.XLOOKUP(tblOrdenes[[#This Row],[puesto_trabajo]],tblPuestos[codigo],tblPuestos[especialidad],"(sin catálogo)"))</f>
        <v/>
      </c>
      <c r="AB613" s="5">
        <f>IF(tblOrdenes[[#This Row],[cod_actividad]]="","",_xlfn.XLOOKUP(tblOrdenes[[#This Row],[cod_actividad]],tblActividades[codigo],tblActividades[descripcion],"(sin catálogo)"))</f>
        <v/>
      </c>
      <c r="AC613" s="20">
        <f>IF(tblOrdenes[[#This Row],[fecha_inicio]]="","",TODAY()-tblOrdenes[[#This Row],[fecha_inicio]])</f>
        <v/>
      </c>
      <c r="AD6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3" s="5">
        <f>IF(tblOrdenes[[#This Row],[backlog_habiles]]="","",IF(tblOrdenes[[#This Row],[backlog_habiles]]&lt;0,"FUTURO",IF(tblOrdenes[[#This Row],[backlog_habiles]]&gt;p_dias_backlog_max,"BACKLOG","MES CORRIENTE")))</f>
        <v/>
      </c>
      <c r="AF613" s="5">
        <f>IF(tblOrdenes[[#This Row],[backlog_habiles]]="",FALSE,AND(tblOrdenes[[#This Row],[backlog_habiles]]&gt;p_dias_backlog_min,tblOrdenes[[#This Row],[backlog_habiles]]&lt;=p_dias_backlog_max))</f>
        <v/>
      </c>
      <c r="AG613" s="4" t="n"/>
      <c r="AH6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3" s="18">
        <f>IF(tblOrdenes[[#This Row],[orden]]="","",_xlfn.XLOOKUP(tblOrdenes[[#This Row],[id_operacion]],tblEjecucion[id_operacion],tblEjecucion[precio],0))</f>
        <v/>
      </c>
      <c r="AL613" s="18">
        <f>IF(tblOrdenes[[#This Row],[orden]]="","",MAX(0,_xlfn.XLOOKUP(tblOrdenes[[#This Row],[id_operacion]],tblEjecucion[id_operacion],tblEjecucion[costo_plan_total],0)-tblOrdenes[[#This Row],[costo_servicio]]))</f>
        <v/>
      </c>
      <c r="AM613" s="18">
        <f>IF(tblOrdenes[[#This Row],[orden]]="","",tblOrdenes[[#This Row],[costo_servicio]]+tblOrdenes[[#This Row],[costo_materiales]])</f>
        <v/>
      </c>
      <c r="AN6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3" s="4" t="n"/>
      <c r="AP613" s="4" t="n"/>
      <c r="AQ613" s="4" t="n"/>
      <c r="AR613" s="5">
        <f>IF(tblOrdenes[[#This Row],[link_checklist]]="","",HYPERLINK(p_ruta_base_checklists&amp;tblOrdenes[[#This Row],[link_checklist]],"abrir"))</f>
        <v/>
      </c>
      <c r="AS613" s="4" t="n"/>
      <c r="AT613" s="5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22" t="n"/>
      <c r="K614" s="5" t="n"/>
      <c r="L614" s="18" t="n"/>
      <c r="M6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5">
        <f>IF(tblOrdenes[[#This Row],[fecha_inicio]]="","",YEAR(tblOrdenes[[#This Row],[fecha_inicio]]))</f>
        <v/>
      </c>
      <c r="Q614" s="5">
        <f>IF(tblOrdenes[[#This Row],[fecha_inicio]]="","",MONTH(tblOrdenes[[#This Row],[fecha_inicio]]))</f>
        <v/>
      </c>
      <c r="R614" s="5">
        <f>IF(tblOrdenes[[#This Row],[fecha_inicio]]="","",tblOrdenes[[#This Row],[anio]]&amp;"-"&amp;TEXT(tblOrdenes[[#This Row],[mes]],"00"))</f>
        <v/>
      </c>
      <c r="S614" s="5">
        <f>IF(tblOrdenes[[#This Row],[fecha_inicio]]="","",INDEX(lista_dias,WEEKDAY(tblOrdenes[[#This Row],[fecha_inicio]],2)))</f>
        <v/>
      </c>
      <c r="T6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4" s="5">
        <f>IF(tblOrdenes[[#This Row],[tipo_ot]]="","",_xlfn.XLOOKUP(tblOrdenes[[#This Row],[tipo_ot]],tblTiposOT[codigo],tblTiposOT[clasificacion],"sin_clasificar"))</f>
        <v/>
      </c>
      <c r="V6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4" s="5">
        <f>IF(tblOrdenes[[#This Row],[centro_costo]]="","",_xlfn.XLOOKUP(tblOrdenes[[#This Row],[centro_costo]],tblCECO[codigo],tblCECO[linea],"(sin catálogo)"))</f>
        <v/>
      </c>
      <c r="X614" s="5">
        <f>IF(tblOrdenes[[#This Row],[centro_costo]]="","",_xlfn.XLOOKUP(tblOrdenes[[#This Row],[centro_costo]],tblCECO[codigo],tblCECO[area],"(sin catálogo)"))</f>
        <v/>
      </c>
      <c r="Y6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4" s="5">
        <f>IF(tblOrdenes[[#This Row],[centro_costo]]="","",_xlfn.XLOOKUP(tblOrdenes[[#This Row],[centro_costo]],tblCECO[codigo],tblCECO[coordinador],"(sin catálogo)"))</f>
        <v/>
      </c>
      <c r="AA614" s="5">
        <f>IF(tblOrdenes[[#This Row],[puesto_trabajo]]="","",_xlfn.XLOOKUP(tblOrdenes[[#This Row],[puesto_trabajo]],tblPuestos[codigo],tblPuestos[especialidad],"(sin catálogo)"))</f>
        <v/>
      </c>
      <c r="AB614" s="5">
        <f>IF(tblOrdenes[[#This Row],[cod_actividad]]="","",_xlfn.XLOOKUP(tblOrdenes[[#This Row],[cod_actividad]],tblActividades[codigo],tblActividades[descripcion],"(sin catálogo)"))</f>
        <v/>
      </c>
      <c r="AC614" s="20">
        <f>IF(tblOrdenes[[#This Row],[fecha_inicio]]="","",TODAY()-tblOrdenes[[#This Row],[fecha_inicio]])</f>
        <v/>
      </c>
      <c r="AD6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4" s="5">
        <f>IF(tblOrdenes[[#This Row],[backlog_habiles]]="","",IF(tblOrdenes[[#This Row],[backlog_habiles]]&lt;0,"FUTURO",IF(tblOrdenes[[#This Row],[backlog_habiles]]&gt;p_dias_backlog_max,"BACKLOG","MES CORRIENTE")))</f>
        <v/>
      </c>
      <c r="AF614" s="5">
        <f>IF(tblOrdenes[[#This Row],[backlog_habiles]]="",FALSE,AND(tblOrdenes[[#This Row],[backlog_habiles]]&gt;p_dias_backlog_min,tblOrdenes[[#This Row],[backlog_habiles]]&lt;=p_dias_backlog_max))</f>
        <v/>
      </c>
      <c r="AG614" s="4" t="n"/>
      <c r="AH6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4" s="18">
        <f>IF(tblOrdenes[[#This Row],[orden]]="","",_xlfn.XLOOKUP(tblOrdenes[[#This Row],[id_operacion]],tblEjecucion[id_operacion],tblEjecucion[precio],0))</f>
        <v/>
      </c>
      <c r="AL614" s="18">
        <f>IF(tblOrdenes[[#This Row],[orden]]="","",MAX(0,_xlfn.XLOOKUP(tblOrdenes[[#This Row],[id_operacion]],tblEjecucion[id_operacion],tblEjecucion[costo_plan_total],0)-tblOrdenes[[#This Row],[costo_servicio]]))</f>
        <v/>
      </c>
      <c r="AM614" s="18">
        <f>IF(tblOrdenes[[#This Row],[orden]]="","",tblOrdenes[[#This Row],[costo_servicio]]+tblOrdenes[[#This Row],[costo_materiales]])</f>
        <v/>
      </c>
      <c r="AN6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4" s="4" t="n"/>
      <c r="AP614" s="4" t="n"/>
      <c r="AQ614" s="4" t="n"/>
      <c r="AR614" s="5">
        <f>IF(tblOrdenes[[#This Row],[link_checklist]]="","",HYPERLINK(p_ruta_base_checklists&amp;tblOrdenes[[#This Row],[link_checklist]],"abrir"))</f>
        <v/>
      </c>
      <c r="AS614" s="4" t="n"/>
      <c r="AT614" s="5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22" t="n"/>
      <c r="K615" s="5" t="n"/>
      <c r="L615" s="18" t="n"/>
      <c r="M6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5">
        <f>IF(tblOrdenes[[#This Row],[fecha_inicio]]="","",YEAR(tblOrdenes[[#This Row],[fecha_inicio]]))</f>
        <v/>
      </c>
      <c r="Q615" s="5">
        <f>IF(tblOrdenes[[#This Row],[fecha_inicio]]="","",MONTH(tblOrdenes[[#This Row],[fecha_inicio]]))</f>
        <v/>
      </c>
      <c r="R615" s="5">
        <f>IF(tblOrdenes[[#This Row],[fecha_inicio]]="","",tblOrdenes[[#This Row],[anio]]&amp;"-"&amp;TEXT(tblOrdenes[[#This Row],[mes]],"00"))</f>
        <v/>
      </c>
      <c r="S615" s="5">
        <f>IF(tblOrdenes[[#This Row],[fecha_inicio]]="","",INDEX(lista_dias,WEEKDAY(tblOrdenes[[#This Row],[fecha_inicio]],2)))</f>
        <v/>
      </c>
      <c r="T6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5" s="5">
        <f>IF(tblOrdenes[[#This Row],[tipo_ot]]="","",_xlfn.XLOOKUP(tblOrdenes[[#This Row],[tipo_ot]],tblTiposOT[codigo],tblTiposOT[clasificacion],"sin_clasificar"))</f>
        <v/>
      </c>
      <c r="V6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5" s="5">
        <f>IF(tblOrdenes[[#This Row],[centro_costo]]="","",_xlfn.XLOOKUP(tblOrdenes[[#This Row],[centro_costo]],tblCECO[codigo],tblCECO[linea],"(sin catálogo)"))</f>
        <v/>
      </c>
      <c r="X615" s="5">
        <f>IF(tblOrdenes[[#This Row],[centro_costo]]="","",_xlfn.XLOOKUP(tblOrdenes[[#This Row],[centro_costo]],tblCECO[codigo],tblCECO[area],"(sin catálogo)"))</f>
        <v/>
      </c>
      <c r="Y6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5" s="5">
        <f>IF(tblOrdenes[[#This Row],[centro_costo]]="","",_xlfn.XLOOKUP(tblOrdenes[[#This Row],[centro_costo]],tblCECO[codigo],tblCECO[coordinador],"(sin catálogo)"))</f>
        <v/>
      </c>
      <c r="AA615" s="5">
        <f>IF(tblOrdenes[[#This Row],[puesto_trabajo]]="","",_xlfn.XLOOKUP(tblOrdenes[[#This Row],[puesto_trabajo]],tblPuestos[codigo],tblPuestos[especialidad],"(sin catálogo)"))</f>
        <v/>
      </c>
      <c r="AB615" s="5">
        <f>IF(tblOrdenes[[#This Row],[cod_actividad]]="","",_xlfn.XLOOKUP(tblOrdenes[[#This Row],[cod_actividad]],tblActividades[codigo],tblActividades[descripcion],"(sin catálogo)"))</f>
        <v/>
      </c>
      <c r="AC615" s="20">
        <f>IF(tblOrdenes[[#This Row],[fecha_inicio]]="","",TODAY()-tblOrdenes[[#This Row],[fecha_inicio]])</f>
        <v/>
      </c>
      <c r="AD6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5" s="5">
        <f>IF(tblOrdenes[[#This Row],[backlog_habiles]]="","",IF(tblOrdenes[[#This Row],[backlog_habiles]]&lt;0,"FUTURO",IF(tblOrdenes[[#This Row],[backlog_habiles]]&gt;p_dias_backlog_max,"BACKLOG","MES CORRIENTE")))</f>
        <v/>
      </c>
      <c r="AF615" s="5">
        <f>IF(tblOrdenes[[#This Row],[backlog_habiles]]="",FALSE,AND(tblOrdenes[[#This Row],[backlog_habiles]]&gt;p_dias_backlog_min,tblOrdenes[[#This Row],[backlog_habiles]]&lt;=p_dias_backlog_max))</f>
        <v/>
      </c>
      <c r="AG615" s="4" t="n"/>
      <c r="AH6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5" s="18">
        <f>IF(tblOrdenes[[#This Row],[orden]]="","",_xlfn.XLOOKUP(tblOrdenes[[#This Row],[id_operacion]],tblEjecucion[id_operacion],tblEjecucion[precio],0))</f>
        <v/>
      </c>
      <c r="AL615" s="18">
        <f>IF(tblOrdenes[[#This Row],[orden]]="","",MAX(0,_xlfn.XLOOKUP(tblOrdenes[[#This Row],[id_operacion]],tblEjecucion[id_operacion],tblEjecucion[costo_plan_total],0)-tblOrdenes[[#This Row],[costo_servicio]]))</f>
        <v/>
      </c>
      <c r="AM615" s="18">
        <f>IF(tblOrdenes[[#This Row],[orden]]="","",tblOrdenes[[#This Row],[costo_servicio]]+tblOrdenes[[#This Row],[costo_materiales]])</f>
        <v/>
      </c>
      <c r="AN6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5" s="4" t="n"/>
      <c r="AP615" s="4" t="n"/>
      <c r="AQ615" s="4" t="n"/>
      <c r="AR615" s="5">
        <f>IF(tblOrdenes[[#This Row],[link_checklist]]="","",HYPERLINK(p_ruta_base_checklists&amp;tblOrdenes[[#This Row],[link_checklist]],"abrir"))</f>
        <v/>
      </c>
      <c r="AS615" s="4" t="n"/>
      <c r="AT615" s="5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22" t="n"/>
      <c r="K616" s="5" t="n"/>
      <c r="L616" s="18" t="n"/>
      <c r="M6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5">
        <f>IF(tblOrdenes[[#This Row],[fecha_inicio]]="","",YEAR(tblOrdenes[[#This Row],[fecha_inicio]]))</f>
        <v/>
      </c>
      <c r="Q616" s="5">
        <f>IF(tblOrdenes[[#This Row],[fecha_inicio]]="","",MONTH(tblOrdenes[[#This Row],[fecha_inicio]]))</f>
        <v/>
      </c>
      <c r="R616" s="5">
        <f>IF(tblOrdenes[[#This Row],[fecha_inicio]]="","",tblOrdenes[[#This Row],[anio]]&amp;"-"&amp;TEXT(tblOrdenes[[#This Row],[mes]],"00"))</f>
        <v/>
      </c>
      <c r="S616" s="5">
        <f>IF(tblOrdenes[[#This Row],[fecha_inicio]]="","",INDEX(lista_dias,WEEKDAY(tblOrdenes[[#This Row],[fecha_inicio]],2)))</f>
        <v/>
      </c>
      <c r="T6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6" s="5">
        <f>IF(tblOrdenes[[#This Row],[tipo_ot]]="","",_xlfn.XLOOKUP(tblOrdenes[[#This Row],[tipo_ot]],tblTiposOT[codigo],tblTiposOT[clasificacion],"sin_clasificar"))</f>
        <v/>
      </c>
      <c r="V6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6" s="5">
        <f>IF(tblOrdenes[[#This Row],[centro_costo]]="","",_xlfn.XLOOKUP(tblOrdenes[[#This Row],[centro_costo]],tblCECO[codigo],tblCECO[linea],"(sin catálogo)"))</f>
        <v/>
      </c>
      <c r="X616" s="5">
        <f>IF(tblOrdenes[[#This Row],[centro_costo]]="","",_xlfn.XLOOKUP(tblOrdenes[[#This Row],[centro_costo]],tblCECO[codigo],tblCECO[area],"(sin catálogo)"))</f>
        <v/>
      </c>
      <c r="Y6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6" s="5">
        <f>IF(tblOrdenes[[#This Row],[centro_costo]]="","",_xlfn.XLOOKUP(tblOrdenes[[#This Row],[centro_costo]],tblCECO[codigo],tblCECO[coordinador],"(sin catálogo)"))</f>
        <v/>
      </c>
      <c r="AA616" s="5">
        <f>IF(tblOrdenes[[#This Row],[puesto_trabajo]]="","",_xlfn.XLOOKUP(tblOrdenes[[#This Row],[puesto_trabajo]],tblPuestos[codigo],tblPuestos[especialidad],"(sin catálogo)"))</f>
        <v/>
      </c>
      <c r="AB616" s="5">
        <f>IF(tblOrdenes[[#This Row],[cod_actividad]]="","",_xlfn.XLOOKUP(tblOrdenes[[#This Row],[cod_actividad]],tblActividades[codigo],tblActividades[descripcion],"(sin catálogo)"))</f>
        <v/>
      </c>
      <c r="AC616" s="20">
        <f>IF(tblOrdenes[[#This Row],[fecha_inicio]]="","",TODAY()-tblOrdenes[[#This Row],[fecha_inicio]])</f>
        <v/>
      </c>
      <c r="AD6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6" s="5">
        <f>IF(tblOrdenes[[#This Row],[backlog_habiles]]="","",IF(tblOrdenes[[#This Row],[backlog_habiles]]&lt;0,"FUTURO",IF(tblOrdenes[[#This Row],[backlog_habiles]]&gt;p_dias_backlog_max,"BACKLOG","MES CORRIENTE")))</f>
        <v/>
      </c>
      <c r="AF616" s="5">
        <f>IF(tblOrdenes[[#This Row],[backlog_habiles]]="",FALSE,AND(tblOrdenes[[#This Row],[backlog_habiles]]&gt;p_dias_backlog_min,tblOrdenes[[#This Row],[backlog_habiles]]&lt;=p_dias_backlog_max))</f>
        <v/>
      </c>
      <c r="AG616" s="4" t="n"/>
      <c r="AH6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6" s="18">
        <f>IF(tblOrdenes[[#This Row],[orden]]="","",_xlfn.XLOOKUP(tblOrdenes[[#This Row],[id_operacion]],tblEjecucion[id_operacion],tblEjecucion[precio],0))</f>
        <v/>
      </c>
      <c r="AL616" s="18">
        <f>IF(tblOrdenes[[#This Row],[orden]]="","",MAX(0,_xlfn.XLOOKUP(tblOrdenes[[#This Row],[id_operacion]],tblEjecucion[id_operacion],tblEjecucion[costo_plan_total],0)-tblOrdenes[[#This Row],[costo_servicio]]))</f>
        <v/>
      </c>
      <c r="AM616" s="18">
        <f>IF(tblOrdenes[[#This Row],[orden]]="","",tblOrdenes[[#This Row],[costo_servicio]]+tblOrdenes[[#This Row],[costo_materiales]])</f>
        <v/>
      </c>
      <c r="AN6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6" s="4" t="n"/>
      <c r="AP616" s="4" t="n"/>
      <c r="AQ616" s="4" t="n"/>
      <c r="AR616" s="5">
        <f>IF(tblOrdenes[[#This Row],[link_checklist]]="","",HYPERLINK(p_ruta_base_checklists&amp;tblOrdenes[[#This Row],[link_checklist]],"abrir"))</f>
        <v/>
      </c>
      <c r="AS616" s="4" t="n"/>
      <c r="AT616" s="5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22" t="n"/>
      <c r="K617" s="5" t="n"/>
      <c r="L617" s="18" t="n"/>
      <c r="M6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5">
        <f>IF(tblOrdenes[[#This Row],[fecha_inicio]]="","",YEAR(tblOrdenes[[#This Row],[fecha_inicio]]))</f>
        <v/>
      </c>
      <c r="Q617" s="5">
        <f>IF(tblOrdenes[[#This Row],[fecha_inicio]]="","",MONTH(tblOrdenes[[#This Row],[fecha_inicio]]))</f>
        <v/>
      </c>
      <c r="R617" s="5">
        <f>IF(tblOrdenes[[#This Row],[fecha_inicio]]="","",tblOrdenes[[#This Row],[anio]]&amp;"-"&amp;TEXT(tblOrdenes[[#This Row],[mes]],"00"))</f>
        <v/>
      </c>
      <c r="S617" s="5">
        <f>IF(tblOrdenes[[#This Row],[fecha_inicio]]="","",INDEX(lista_dias,WEEKDAY(tblOrdenes[[#This Row],[fecha_inicio]],2)))</f>
        <v/>
      </c>
      <c r="T6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7" s="5">
        <f>IF(tblOrdenes[[#This Row],[tipo_ot]]="","",_xlfn.XLOOKUP(tblOrdenes[[#This Row],[tipo_ot]],tblTiposOT[codigo],tblTiposOT[clasificacion],"sin_clasificar"))</f>
        <v/>
      </c>
      <c r="V6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7" s="5">
        <f>IF(tblOrdenes[[#This Row],[centro_costo]]="","",_xlfn.XLOOKUP(tblOrdenes[[#This Row],[centro_costo]],tblCECO[codigo],tblCECO[linea],"(sin catálogo)"))</f>
        <v/>
      </c>
      <c r="X617" s="5">
        <f>IF(tblOrdenes[[#This Row],[centro_costo]]="","",_xlfn.XLOOKUP(tblOrdenes[[#This Row],[centro_costo]],tblCECO[codigo],tblCECO[area],"(sin catálogo)"))</f>
        <v/>
      </c>
      <c r="Y6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7" s="5">
        <f>IF(tblOrdenes[[#This Row],[centro_costo]]="","",_xlfn.XLOOKUP(tblOrdenes[[#This Row],[centro_costo]],tblCECO[codigo],tblCECO[coordinador],"(sin catálogo)"))</f>
        <v/>
      </c>
      <c r="AA617" s="5">
        <f>IF(tblOrdenes[[#This Row],[puesto_trabajo]]="","",_xlfn.XLOOKUP(tblOrdenes[[#This Row],[puesto_trabajo]],tblPuestos[codigo],tblPuestos[especialidad],"(sin catálogo)"))</f>
        <v/>
      </c>
      <c r="AB617" s="5">
        <f>IF(tblOrdenes[[#This Row],[cod_actividad]]="","",_xlfn.XLOOKUP(tblOrdenes[[#This Row],[cod_actividad]],tblActividades[codigo],tblActividades[descripcion],"(sin catálogo)"))</f>
        <v/>
      </c>
      <c r="AC617" s="20">
        <f>IF(tblOrdenes[[#This Row],[fecha_inicio]]="","",TODAY()-tblOrdenes[[#This Row],[fecha_inicio]])</f>
        <v/>
      </c>
      <c r="AD6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7" s="5">
        <f>IF(tblOrdenes[[#This Row],[backlog_habiles]]="","",IF(tblOrdenes[[#This Row],[backlog_habiles]]&lt;0,"FUTURO",IF(tblOrdenes[[#This Row],[backlog_habiles]]&gt;p_dias_backlog_max,"BACKLOG","MES CORRIENTE")))</f>
        <v/>
      </c>
      <c r="AF617" s="5">
        <f>IF(tblOrdenes[[#This Row],[backlog_habiles]]="",FALSE,AND(tblOrdenes[[#This Row],[backlog_habiles]]&gt;p_dias_backlog_min,tblOrdenes[[#This Row],[backlog_habiles]]&lt;=p_dias_backlog_max))</f>
        <v/>
      </c>
      <c r="AG617" s="4" t="n"/>
      <c r="AH6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7" s="18">
        <f>IF(tblOrdenes[[#This Row],[orden]]="","",_xlfn.XLOOKUP(tblOrdenes[[#This Row],[id_operacion]],tblEjecucion[id_operacion],tblEjecucion[precio],0))</f>
        <v/>
      </c>
      <c r="AL617" s="18">
        <f>IF(tblOrdenes[[#This Row],[orden]]="","",MAX(0,_xlfn.XLOOKUP(tblOrdenes[[#This Row],[id_operacion]],tblEjecucion[id_operacion],tblEjecucion[costo_plan_total],0)-tblOrdenes[[#This Row],[costo_servicio]]))</f>
        <v/>
      </c>
      <c r="AM617" s="18">
        <f>IF(tblOrdenes[[#This Row],[orden]]="","",tblOrdenes[[#This Row],[costo_servicio]]+tblOrdenes[[#This Row],[costo_materiales]])</f>
        <v/>
      </c>
      <c r="AN6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7" s="4" t="n"/>
      <c r="AP617" s="4" t="n"/>
      <c r="AQ617" s="4" t="n"/>
      <c r="AR617" s="5">
        <f>IF(tblOrdenes[[#This Row],[link_checklist]]="","",HYPERLINK(p_ruta_base_checklists&amp;tblOrdenes[[#This Row],[link_checklist]],"abrir"))</f>
        <v/>
      </c>
      <c r="AS617" s="4" t="n"/>
      <c r="AT617" s="5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22" t="n"/>
      <c r="K618" s="5" t="n"/>
      <c r="L618" s="18" t="n"/>
      <c r="M6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5">
        <f>IF(tblOrdenes[[#This Row],[fecha_inicio]]="","",YEAR(tblOrdenes[[#This Row],[fecha_inicio]]))</f>
        <v/>
      </c>
      <c r="Q618" s="5">
        <f>IF(tblOrdenes[[#This Row],[fecha_inicio]]="","",MONTH(tblOrdenes[[#This Row],[fecha_inicio]]))</f>
        <v/>
      </c>
      <c r="R618" s="5">
        <f>IF(tblOrdenes[[#This Row],[fecha_inicio]]="","",tblOrdenes[[#This Row],[anio]]&amp;"-"&amp;TEXT(tblOrdenes[[#This Row],[mes]],"00"))</f>
        <v/>
      </c>
      <c r="S618" s="5">
        <f>IF(tblOrdenes[[#This Row],[fecha_inicio]]="","",INDEX(lista_dias,WEEKDAY(tblOrdenes[[#This Row],[fecha_inicio]],2)))</f>
        <v/>
      </c>
      <c r="T6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8" s="5">
        <f>IF(tblOrdenes[[#This Row],[tipo_ot]]="","",_xlfn.XLOOKUP(tblOrdenes[[#This Row],[tipo_ot]],tblTiposOT[codigo],tblTiposOT[clasificacion],"sin_clasificar"))</f>
        <v/>
      </c>
      <c r="V6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8" s="5">
        <f>IF(tblOrdenes[[#This Row],[centro_costo]]="","",_xlfn.XLOOKUP(tblOrdenes[[#This Row],[centro_costo]],tblCECO[codigo],tblCECO[linea],"(sin catálogo)"))</f>
        <v/>
      </c>
      <c r="X618" s="5">
        <f>IF(tblOrdenes[[#This Row],[centro_costo]]="","",_xlfn.XLOOKUP(tblOrdenes[[#This Row],[centro_costo]],tblCECO[codigo],tblCECO[area],"(sin catálogo)"))</f>
        <v/>
      </c>
      <c r="Y6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8" s="5">
        <f>IF(tblOrdenes[[#This Row],[centro_costo]]="","",_xlfn.XLOOKUP(tblOrdenes[[#This Row],[centro_costo]],tblCECO[codigo],tblCECO[coordinador],"(sin catálogo)"))</f>
        <v/>
      </c>
      <c r="AA618" s="5">
        <f>IF(tblOrdenes[[#This Row],[puesto_trabajo]]="","",_xlfn.XLOOKUP(tblOrdenes[[#This Row],[puesto_trabajo]],tblPuestos[codigo],tblPuestos[especialidad],"(sin catálogo)"))</f>
        <v/>
      </c>
      <c r="AB618" s="5">
        <f>IF(tblOrdenes[[#This Row],[cod_actividad]]="","",_xlfn.XLOOKUP(tblOrdenes[[#This Row],[cod_actividad]],tblActividades[codigo],tblActividades[descripcion],"(sin catálogo)"))</f>
        <v/>
      </c>
      <c r="AC618" s="20">
        <f>IF(tblOrdenes[[#This Row],[fecha_inicio]]="","",TODAY()-tblOrdenes[[#This Row],[fecha_inicio]])</f>
        <v/>
      </c>
      <c r="AD6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8" s="5">
        <f>IF(tblOrdenes[[#This Row],[backlog_habiles]]="","",IF(tblOrdenes[[#This Row],[backlog_habiles]]&lt;0,"FUTURO",IF(tblOrdenes[[#This Row],[backlog_habiles]]&gt;p_dias_backlog_max,"BACKLOG","MES CORRIENTE")))</f>
        <v/>
      </c>
      <c r="AF618" s="5">
        <f>IF(tblOrdenes[[#This Row],[backlog_habiles]]="",FALSE,AND(tblOrdenes[[#This Row],[backlog_habiles]]&gt;p_dias_backlog_min,tblOrdenes[[#This Row],[backlog_habiles]]&lt;=p_dias_backlog_max))</f>
        <v/>
      </c>
      <c r="AG618" s="4" t="n"/>
      <c r="AH6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8" s="18">
        <f>IF(tblOrdenes[[#This Row],[orden]]="","",_xlfn.XLOOKUP(tblOrdenes[[#This Row],[id_operacion]],tblEjecucion[id_operacion],tblEjecucion[precio],0))</f>
        <v/>
      </c>
      <c r="AL618" s="18">
        <f>IF(tblOrdenes[[#This Row],[orden]]="","",MAX(0,_xlfn.XLOOKUP(tblOrdenes[[#This Row],[id_operacion]],tblEjecucion[id_operacion],tblEjecucion[costo_plan_total],0)-tblOrdenes[[#This Row],[costo_servicio]]))</f>
        <v/>
      </c>
      <c r="AM618" s="18">
        <f>IF(tblOrdenes[[#This Row],[orden]]="","",tblOrdenes[[#This Row],[costo_servicio]]+tblOrdenes[[#This Row],[costo_materiales]])</f>
        <v/>
      </c>
      <c r="AN6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8" s="4" t="n"/>
      <c r="AP618" s="4" t="n"/>
      <c r="AQ618" s="4" t="n"/>
      <c r="AR618" s="5">
        <f>IF(tblOrdenes[[#This Row],[link_checklist]]="","",HYPERLINK(p_ruta_base_checklists&amp;tblOrdenes[[#This Row],[link_checklist]],"abrir"))</f>
        <v/>
      </c>
      <c r="AS618" s="4" t="n"/>
      <c r="AT618" s="5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22" t="n"/>
      <c r="K619" s="5" t="n"/>
      <c r="L619" s="18" t="n"/>
      <c r="M6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5">
        <f>IF(tblOrdenes[[#This Row],[fecha_inicio]]="","",YEAR(tblOrdenes[[#This Row],[fecha_inicio]]))</f>
        <v/>
      </c>
      <c r="Q619" s="5">
        <f>IF(tblOrdenes[[#This Row],[fecha_inicio]]="","",MONTH(tblOrdenes[[#This Row],[fecha_inicio]]))</f>
        <v/>
      </c>
      <c r="R619" s="5">
        <f>IF(tblOrdenes[[#This Row],[fecha_inicio]]="","",tblOrdenes[[#This Row],[anio]]&amp;"-"&amp;TEXT(tblOrdenes[[#This Row],[mes]],"00"))</f>
        <v/>
      </c>
      <c r="S619" s="5">
        <f>IF(tblOrdenes[[#This Row],[fecha_inicio]]="","",INDEX(lista_dias,WEEKDAY(tblOrdenes[[#This Row],[fecha_inicio]],2)))</f>
        <v/>
      </c>
      <c r="T6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9" s="5">
        <f>IF(tblOrdenes[[#This Row],[tipo_ot]]="","",_xlfn.XLOOKUP(tblOrdenes[[#This Row],[tipo_ot]],tblTiposOT[codigo],tblTiposOT[clasificacion],"sin_clasificar"))</f>
        <v/>
      </c>
      <c r="V6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9" s="5">
        <f>IF(tblOrdenes[[#This Row],[centro_costo]]="","",_xlfn.XLOOKUP(tblOrdenes[[#This Row],[centro_costo]],tblCECO[codigo],tblCECO[linea],"(sin catálogo)"))</f>
        <v/>
      </c>
      <c r="X619" s="5">
        <f>IF(tblOrdenes[[#This Row],[centro_costo]]="","",_xlfn.XLOOKUP(tblOrdenes[[#This Row],[centro_costo]],tblCECO[codigo],tblCECO[area],"(sin catálogo)"))</f>
        <v/>
      </c>
      <c r="Y6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19" s="5">
        <f>IF(tblOrdenes[[#This Row],[centro_costo]]="","",_xlfn.XLOOKUP(tblOrdenes[[#This Row],[centro_costo]],tblCECO[codigo],tblCECO[coordinador],"(sin catálogo)"))</f>
        <v/>
      </c>
      <c r="AA619" s="5">
        <f>IF(tblOrdenes[[#This Row],[puesto_trabajo]]="","",_xlfn.XLOOKUP(tblOrdenes[[#This Row],[puesto_trabajo]],tblPuestos[codigo],tblPuestos[especialidad],"(sin catálogo)"))</f>
        <v/>
      </c>
      <c r="AB619" s="5">
        <f>IF(tblOrdenes[[#This Row],[cod_actividad]]="","",_xlfn.XLOOKUP(tblOrdenes[[#This Row],[cod_actividad]],tblActividades[codigo],tblActividades[descripcion],"(sin catálogo)"))</f>
        <v/>
      </c>
      <c r="AC619" s="20">
        <f>IF(tblOrdenes[[#This Row],[fecha_inicio]]="","",TODAY()-tblOrdenes[[#This Row],[fecha_inicio]])</f>
        <v/>
      </c>
      <c r="AD6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19" s="5">
        <f>IF(tblOrdenes[[#This Row],[backlog_habiles]]="","",IF(tblOrdenes[[#This Row],[backlog_habiles]]&lt;0,"FUTURO",IF(tblOrdenes[[#This Row],[backlog_habiles]]&gt;p_dias_backlog_max,"BACKLOG","MES CORRIENTE")))</f>
        <v/>
      </c>
      <c r="AF619" s="5">
        <f>IF(tblOrdenes[[#This Row],[backlog_habiles]]="",FALSE,AND(tblOrdenes[[#This Row],[backlog_habiles]]&gt;p_dias_backlog_min,tblOrdenes[[#This Row],[backlog_habiles]]&lt;=p_dias_backlog_max))</f>
        <v/>
      </c>
      <c r="AG619" s="4" t="n"/>
      <c r="AH6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19" s="18">
        <f>IF(tblOrdenes[[#This Row],[orden]]="","",_xlfn.XLOOKUP(tblOrdenes[[#This Row],[id_operacion]],tblEjecucion[id_operacion],tblEjecucion[precio],0))</f>
        <v/>
      </c>
      <c r="AL619" s="18">
        <f>IF(tblOrdenes[[#This Row],[orden]]="","",MAX(0,_xlfn.XLOOKUP(tblOrdenes[[#This Row],[id_operacion]],tblEjecucion[id_operacion],tblEjecucion[costo_plan_total],0)-tblOrdenes[[#This Row],[costo_servicio]]))</f>
        <v/>
      </c>
      <c r="AM619" s="18">
        <f>IF(tblOrdenes[[#This Row],[orden]]="","",tblOrdenes[[#This Row],[costo_servicio]]+tblOrdenes[[#This Row],[costo_materiales]])</f>
        <v/>
      </c>
      <c r="AN6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19" s="4" t="n"/>
      <c r="AP619" s="4" t="n"/>
      <c r="AQ619" s="4" t="n"/>
      <c r="AR619" s="5">
        <f>IF(tblOrdenes[[#This Row],[link_checklist]]="","",HYPERLINK(p_ruta_base_checklists&amp;tblOrdenes[[#This Row],[link_checklist]],"abrir"))</f>
        <v/>
      </c>
      <c r="AS619" s="4" t="n"/>
      <c r="AT619" s="5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22" t="n"/>
      <c r="K620" s="5" t="n"/>
      <c r="L620" s="18" t="n"/>
      <c r="M6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5">
        <f>IF(tblOrdenes[[#This Row],[fecha_inicio]]="","",YEAR(tblOrdenes[[#This Row],[fecha_inicio]]))</f>
        <v/>
      </c>
      <c r="Q620" s="5">
        <f>IF(tblOrdenes[[#This Row],[fecha_inicio]]="","",MONTH(tblOrdenes[[#This Row],[fecha_inicio]]))</f>
        <v/>
      </c>
      <c r="R620" s="5">
        <f>IF(tblOrdenes[[#This Row],[fecha_inicio]]="","",tblOrdenes[[#This Row],[anio]]&amp;"-"&amp;TEXT(tblOrdenes[[#This Row],[mes]],"00"))</f>
        <v/>
      </c>
      <c r="S620" s="5">
        <f>IF(tblOrdenes[[#This Row],[fecha_inicio]]="","",INDEX(lista_dias,WEEKDAY(tblOrdenes[[#This Row],[fecha_inicio]],2)))</f>
        <v/>
      </c>
      <c r="T6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0" s="5">
        <f>IF(tblOrdenes[[#This Row],[tipo_ot]]="","",_xlfn.XLOOKUP(tblOrdenes[[#This Row],[tipo_ot]],tblTiposOT[codigo],tblTiposOT[clasificacion],"sin_clasificar"))</f>
        <v/>
      </c>
      <c r="V6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0" s="5">
        <f>IF(tblOrdenes[[#This Row],[centro_costo]]="","",_xlfn.XLOOKUP(tblOrdenes[[#This Row],[centro_costo]],tblCECO[codigo],tblCECO[linea],"(sin catálogo)"))</f>
        <v/>
      </c>
      <c r="X620" s="5">
        <f>IF(tblOrdenes[[#This Row],[centro_costo]]="","",_xlfn.XLOOKUP(tblOrdenes[[#This Row],[centro_costo]],tblCECO[codigo],tblCECO[area],"(sin catálogo)"))</f>
        <v/>
      </c>
      <c r="Y6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0" s="5">
        <f>IF(tblOrdenes[[#This Row],[centro_costo]]="","",_xlfn.XLOOKUP(tblOrdenes[[#This Row],[centro_costo]],tblCECO[codigo],tblCECO[coordinador],"(sin catálogo)"))</f>
        <v/>
      </c>
      <c r="AA620" s="5">
        <f>IF(tblOrdenes[[#This Row],[puesto_trabajo]]="","",_xlfn.XLOOKUP(tblOrdenes[[#This Row],[puesto_trabajo]],tblPuestos[codigo],tblPuestos[especialidad],"(sin catálogo)"))</f>
        <v/>
      </c>
      <c r="AB620" s="5">
        <f>IF(tblOrdenes[[#This Row],[cod_actividad]]="","",_xlfn.XLOOKUP(tblOrdenes[[#This Row],[cod_actividad]],tblActividades[codigo],tblActividades[descripcion],"(sin catálogo)"))</f>
        <v/>
      </c>
      <c r="AC620" s="20">
        <f>IF(tblOrdenes[[#This Row],[fecha_inicio]]="","",TODAY()-tblOrdenes[[#This Row],[fecha_inicio]])</f>
        <v/>
      </c>
      <c r="AD6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0" s="5">
        <f>IF(tblOrdenes[[#This Row],[backlog_habiles]]="","",IF(tblOrdenes[[#This Row],[backlog_habiles]]&lt;0,"FUTURO",IF(tblOrdenes[[#This Row],[backlog_habiles]]&gt;p_dias_backlog_max,"BACKLOG","MES CORRIENTE")))</f>
        <v/>
      </c>
      <c r="AF620" s="5">
        <f>IF(tblOrdenes[[#This Row],[backlog_habiles]]="",FALSE,AND(tblOrdenes[[#This Row],[backlog_habiles]]&gt;p_dias_backlog_min,tblOrdenes[[#This Row],[backlog_habiles]]&lt;=p_dias_backlog_max))</f>
        <v/>
      </c>
      <c r="AG620" s="4" t="n"/>
      <c r="AH6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0" s="18">
        <f>IF(tblOrdenes[[#This Row],[orden]]="","",_xlfn.XLOOKUP(tblOrdenes[[#This Row],[id_operacion]],tblEjecucion[id_operacion],tblEjecucion[precio],0))</f>
        <v/>
      </c>
      <c r="AL620" s="18">
        <f>IF(tblOrdenes[[#This Row],[orden]]="","",MAX(0,_xlfn.XLOOKUP(tblOrdenes[[#This Row],[id_operacion]],tblEjecucion[id_operacion],tblEjecucion[costo_plan_total],0)-tblOrdenes[[#This Row],[costo_servicio]]))</f>
        <v/>
      </c>
      <c r="AM620" s="18">
        <f>IF(tblOrdenes[[#This Row],[orden]]="","",tblOrdenes[[#This Row],[costo_servicio]]+tblOrdenes[[#This Row],[costo_materiales]])</f>
        <v/>
      </c>
      <c r="AN6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0" s="4" t="n"/>
      <c r="AP620" s="4" t="n"/>
      <c r="AQ620" s="4" t="n"/>
      <c r="AR620" s="5">
        <f>IF(tblOrdenes[[#This Row],[link_checklist]]="","",HYPERLINK(p_ruta_base_checklists&amp;tblOrdenes[[#This Row],[link_checklist]],"abrir"))</f>
        <v/>
      </c>
      <c r="AS620" s="4" t="n"/>
      <c r="AT620" s="5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22" t="n"/>
      <c r="K621" s="5" t="n"/>
      <c r="L621" s="18" t="n"/>
      <c r="M6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5">
        <f>IF(tblOrdenes[[#This Row],[fecha_inicio]]="","",YEAR(tblOrdenes[[#This Row],[fecha_inicio]]))</f>
        <v/>
      </c>
      <c r="Q621" s="5">
        <f>IF(tblOrdenes[[#This Row],[fecha_inicio]]="","",MONTH(tblOrdenes[[#This Row],[fecha_inicio]]))</f>
        <v/>
      </c>
      <c r="R621" s="5">
        <f>IF(tblOrdenes[[#This Row],[fecha_inicio]]="","",tblOrdenes[[#This Row],[anio]]&amp;"-"&amp;TEXT(tblOrdenes[[#This Row],[mes]],"00"))</f>
        <v/>
      </c>
      <c r="S621" s="5">
        <f>IF(tblOrdenes[[#This Row],[fecha_inicio]]="","",INDEX(lista_dias,WEEKDAY(tblOrdenes[[#This Row],[fecha_inicio]],2)))</f>
        <v/>
      </c>
      <c r="T6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1" s="5">
        <f>IF(tblOrdenes[[#This Row],[tipo_ot]]="","",_xlfn.XLOOKUP(tblOrdenes[[#This Row],[tipo_ot]],tblTiposOT[codigo],tblTiposOT[clasificacion],"sin_clasificar"))</f>
        <v/>
      </c>
      <c r="V6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1" s="5">
        <f>IF(tblOrdenes[[#This Row],[centro_costo]]="","",_xlfn.XLOOKUP(tblOrdenes[[#This Row],[centro_costo]],tblCECO[codigo],tblCECO[linea],"(sin catálogo)"))</f>
        <v/>
      </c>
      <c r="X621" s="5">
        <f>IF(tblOrdenes[[#This Row],[centro_costo]]="","",_xlfn.XLOOKUP(tblOrdenes[[#This Row],[centro_costo]],tblCECO[codigo],tblCECO[area],"(sin catálogo)"))</f>
        <v/>
      </c>
      <c r="Y6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1" s="5">
        <f>IF(tblOrdenes[[#This Row],[centro_costo]]="","",_xlfn.XLOOKUP(tblOrdenes[[#This Row],[centro_costo]],tblCECO[codigo],tblCECO[coordinador],"(sin catálogo)"))</f>
        <v/>
      </c>
      <c r="AA621" s="5">
        <f>IF(tblOrdenes[[#This Row],[puesto_trabajo]]="","",_xlfn.XLOOKUP(tblOrdenes[[#This Row],[puesto_trabajo]],tblPuestos[codigo],tblPuestos[especialidad],"(sin catálogo)"))</f>
        <v/>
      </c>
      <c r="AB621" s="5">
        <f>IF(tblOrdenes[[#This Row],[cod_actividad]]="","",_xlfn.XLOOKUP(tblOrdenes[[#This Row],[cod_actividad]],tblActividades[codigo],tblActividades[descripcion],"(sin catálogo)"))</f>
        <v/>
      </c>
      <c r="AC621" s="20">
        <f>IF(tblOrdenes[[#This Row],[fecha_inicio]]="","",TODAY()-tblOrdenes[[#This Row],[fecha_inicio]])</f>
        <v/>
      </c>
      <c r="AD6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1" s="5">
        <f>IF(tblOrdenes[[#This Row],[backlog_habiles]]="","",IF(tblOrdenes[[#This Row],[backlog_habiles]]&lt;0,"FUTURO",IF(tblOrdenes[[#This Row],[backlog_habiles]]&gt;p_dias_backlog_max,"BACKLOG","MES CORRIENTE")))</f>
        <v/>
      </c>
      <c r="AF621" s="5">
        <f>IF(tblOrdenes[[#This Row],[backlog_habiles]]="",FALSE,AND(tblOrdenes[[#This Row],[backlog_habiles]]&gt;p_dias_backlog_min,tblOrdenes[[#This Row],[backlog_habiles]]&lt;=p_dias_backlog_max))</f>
        <v/>
      </c>
      <c r="AG621" s="4" t="n"/>
      <c r="AH6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1" s="18">
        <f>IF(tblOrdenes[[#This Row],[orden]]="","",_xlfn.XLOOKUP(tblOrdenes[[#This Row],[id_operacion]],tblEjecucion[id_operacion],tblEjecucion[precio],0))</f>
        <v/>
      </c>
      <c r="AL621" s="18">
        <f>IF(tblOrdenes[[#This Row],[orden]]="","",MAX(0,_xlfn.XLOOKUP(tblOrdenes[[#This Row],[id_operacion]],tblEjecucion[id_operacion],tblEjecucion[costo_plan_total],0)-tblOrdenes[[#This Row],[costo_servicio]]))</f>
        <v/>
      </c>
      <c r="AM621" s="18">
        <f>IF(tblOrdenes[[#This Row],[orden]]="","",tblOrdenes[[#This Row],[costo_servicio]]+tblOrdenes[[#This Row],[costo_materiales]])</f>
        <v/>
      </c>
      <c r="AN6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1" s="4" t="n"/>
      <c r="AP621" s="4" t="n"/>
      <c r="AQ621" s="4" t="n"/>
      <c r="AR621" s="5">
        <f>IF(tblOrdenes[[#This Row],[link_checklist]]="","",HYPERLINK(p_ruta_base_checklists&amp;tblOrdenes[[#This Row],[link_checklist]],"abrir"))</f>
        <v/>
      </c>
      <c r="AS621" s="4" t="n"/>
      <c r="AT621" s="5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22" t="n"/>
      <c r="K622" s="5" t="n"/>
      <c r="L622" s="18" t="n"/>
      <c r="M6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5">
        <f>IF(tblOrdenes[[#This Row],[fecha_inicio]]="","",YEAR(tblOrdenes[[#This Row],[fecha_inicio]]))</f>
        <v/>
      </c>
      <c r="Q622" s="5">
        <f>IF(tblOrdenes[[#This Row],[fecha_inicio]]="","",MONTH(tblOrdenes[[#This Row],[fecha_inicio]]))</f>
        <v/>
      </c>
      <c r="R622" s="5">
        <f>IF(tblOrdenes[[#This Row],[fecha_inicio]]="","",tblOrdenes[[#This Row],[anio]]&amp;"-"&amp;TEXT(tblOrdenes[[#This Row],[mes]],"00"))</f>
        <v/>
      </c>
      <c r="S622" s="5">
        <f>IF(tblOrdenes[[#This Row],[fecha_inicio]]="","",INDEX(lista_dias,WEEKDAY(tblOrdenes[[#This Row],[fecha_inicio]],2)))</f>
        <v/>
      </c>
      <c r="T6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2" s="5">
        <f>IF(tblOrdenes[[#This Row],[tipo_ot]]="","",_xlfn.XLOOKUP(tblOrdenes[[#This Row],[tipo_ot]],tblTiposOT[codigo],tblTiposOT[clasificacion],"sin_clasificar"))</f>
        <v/>
      </c>
      <c r="V6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2" s="5">
        <f>IF(tblOrdenes[[#This Row],[centro_costo]]="","",_xlfn.XLOOKUP(tblOrdenes[[#This Row],[centro_costo]],tblCECO[codigo],tblCECO[linea],"(sin catálogo)"))</f>
        <v/>
      </c>
      <c r="X622" s="5">
        <f>IF(tblOrdenes[[#This Row],[centro_costo]]="","",_xlfn.XLOOKUP(tblOrdenes[[#This Row],[centro_costo]],tblCECO[codigo],tblCECO[area],"(sin catálogo)"))</f>
        <v/>
      </c>
      <c r="Y6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2" s="5">
        <f>IF(tblOrdenes[[#This Row],[centro_costo]]="","",_xlfn.XLOOKUP(tblOrdenes[[#This Row],[centro_costo]],tblCECO[codigo],tblCECO[coordinador],"(sin catálogo)"))</f>
        <v/>
      </c>
      <c r="AA622" s="5">
        <f>IF(tblOrdenes[[#This Row],[puesto_trabajo]]="","",_xlfn.XLOOKUP(tblOrdenes[[#This Row],[puesto_trabajo]],tblPuestos[codigo],tblPuestos[especialidad],"(sin catálogo)"))</f>
        <v/>
      </c>
      <c r="AB622" s="5">
        <f>IF(tblOrdenes[[#This Row],[cod_actividad]]="","",_xlfn.XLOOKUP(tblOrdenes[[#This Row],[cod_actividad]],tblActividades[codigo],tblActividades[descripcion],"(sin catálogo)"))</f>
        <v/>
      </c>
      <c r="AC622" s="20">
        <f>IF(tblOrdenes[[#This Row],[fecha_inicio]]="","",TODAY()-tblOrdenes[[#This Row],[fecha_inicio]])</f>
        <v/>
      </c>
      <c r="AD6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2" s="5">
        <f>IF(tblOrdenes[[#This Row],[backlog_habiles]]="","",IF(tblOrdenes[[#This Row],[backlog_habiles]]&lt;0,"FUTURO",IF(tblOrdenes[[#This Row],[backlog_habiles]]&gt;p_dias_backlog_max,"BACKLOG","MES CORRIENTE")))</f>
        <v/>
      </c>
      <c r="AF622" s="5">
        <f>IF(tblOrdenes[[#This Row],[backlog_habiles]]="",FALSE,AND(tblOrdenes[[#This Row],[backlog_habiles]]&gt;p_dias_backlog_min,tblOrdenes[[#This Row],[backlog_habiles]]&lt;=p_dias_backlog_max))</f>
        <v/>
      </c>
      <c r="AG622" s="4" t="n"/>
      <c r="AH6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2" s="18">
        <f>IF(tblOrdenes[[#This Row],[orden]]="","",_xlfn.XLOOKUP(tblOrdenes[[#This Row],[id_operacion]],tblEjecucion[id_operacion],tblEjecucion[precio],0))</f>
        <v/>
      </c>
      <c r="AL622" s="18">
        <f>IF(tblOrdenes[[#This Row],[orden]]="","",MAX(0,_xlfn.XLOOKUP(tblOrdenes[[#This Row],[id_operacion]],tblEjecucion[id_operacion],tblEjecucion[costo_plan_total],0)-tblOrdenes[[#This Row],[costo_servicio]]))</f>
        <v/>
      </c>
      <c r="AM622" s="18">
        <f>IF(tblOrdenes[[#This Row],[orden]]="","",tblOrdenes[[#This Row],[costo_servicio]]+tblOrdenes[[#This Row],[costo_materiales]])</f>
        <v/>
      </c>
      <c r="AN6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2" s="4" t="n"/>
      <c r="AP622" s="4" t="n"/>
      <c r="AQ622" s="4" t="n"/>
      <c r="AR622" s="5">
        <f>IF(tblOrdenes[[#This Row],[link_checklist]]="","",HYPERLINK(p_ruta_base_checklists&amp;tblOrdenes[[#This Row],[link_checklist]],"abrir"))</f>
        <v/>
      </c>
      <c r="AS622" s="4" t="n"/>
      <c r="AT622" s="5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22" t="n"/>
      <c r="K623" s="5" t="n"/>
      <c r="L623" s="18" t="n"/>
      <c r="M6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5">
        <f>IF(tblOrdenes[[#This Row],[fecha_inicio]]="","",YEAR(tblOrdenes[[#This Row],[fecha_inicio]]))</f>
        <v/>
      </c>
      <c r="Q623" s="5">
        <f>IF(tblOrdenes[[#This Row],[fecha_inicio]]="","",MONTH(tblOrdenes[[#This Row],[fecha_inicio]]))</f>
        <v/>
      </c>
      <c r="R623" s="5">
        <f>IF(tblOrdenes[[#This Row],[fecha_inicio]]="","",tblOrdenes[[#This Row],[anio]]&amp;"-"&amp;TEXT(tblOrdenes[[#This Row],[mes]],"00"))</f>
        <v/>
      </c>
      <c r="S623" s="5">
        <f>IF(tblOrdenes[[#This Row],[fecha_inicio]]="","",INDEX(lista_dias,WEEKDAY(tblOrdenes[[#This Row],[fecha_inicio]],2)))</f>
        <v/>
      </c>
      <c r="T6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3" s="5">
        <f>IF(tblOrdenes[[#This Row],[tipo_ot]]="","",_xlfn.XLOOKUP(tblOrdenes[[#This Row],[tipo_ot]],tblTiposOT[codigo],tblTiposOT[clasificacion],"sin_clasificar"))</f>
        <v/>
      </c>
      <c r="V6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3" s="5">
        <f>IF(tblOrdenes[[#This Row],[centro_costo]]="","",_xlfn.XLOOKUP(tblOrdenes[[#This Row],[centro_costo]],tblCECO[codigo],tblCECO[linea],"(sin catálogo)"))</f>
        <v/>
      </c>
      <c r="X623" s="5">
        <f>IF(tblOrdenes[[#This Row],[centro_costo]]="","",_xlfn.XLOOKUP(tblOrdenes[[#This Row],[centro_costo]],tblCECO[codigo],tblCECO[area],"(sin catálogo)"))</f>
        <v/>
      </c>
      <c r="Y6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3" s="5">
        <f>IF(tblOrdenes[[#This Row],[centro_costo]]="","",_xlfn.XLOOKUP(tblOrdenes[[#This Row],[centro_costo]],tblCECO[codigo],tblCECO[coordinador],"(sin catálogo)"))</f>
        <v/>
      </c>
      <c r="AA623" s="5">
        <f>IF(tblOrdenes[[#This Row],[puesto_trabajo]]="","",_xlfn.XLOOKUP(tblOrdenes[[#This Row],[puesto_trabajo]],tblPuestos[codigo],tblPuestos[especialidad],"(sin catálogo)"))</f>
        <v/>
      </c>
      <c r="AB623" s="5">
        <f>IF(tblOrdenes[[#This Row],[cod_actividad]]="","",_xlfn.XLOOKUP(tblOrdenes[[#This Row],[cod_actividad]],tblActividades[codigo],tblActividades[descripcion],"(sin catálogo)"))</f>
        <v/>
      </c>
      <c r="AC623" s="20">
        <f>IF(tblOrdenes[[#This Row],[fecha_inicio]]="","",TODAY()-tblOrdenes[[#This Row],[fecha_inicio]])</f>
        <v/>
      </c>
      <c r="AD6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3" s="5">
        <f>IF(tblOrdenes[[#This Row],[backlog_habiles]]="","",IF(tblOrdenes[[#This Row],[backlog_habiles]]&lt;0,"FUTURO",IF(tblOrdenes[[#This Row],[backlog_habiles]]&gt;p_dias_backlog_max,"BACKLOG","MES CORRIENTE")))</f>
        <v/>
      </c>
      <c r="AF623" s="5">
        <f>IF(tblOrdenes[[#This Row],[backlog_habiles]]="",FALSE,AND(tblOrdenes[[#This Row],[backlog_habiles]]&gt;p_dias_backlog_min,tblOrdenes[[#This Row],[backlog_habiles]]&lt;=p_dias_backlog_max))</f>
        <v/>
      </c>
      <c r="AG623" s="4" t="n"/>
      <c r="AH6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3" s="18">
        <f>IF(tblOrdenes[[#This Row],[orden]]="","",_xlfn.XLOOKUP(tblOrdenes[[#This Row],[id_operacion]],tblEjecucion[id_operacion],tblEjecucion[precio],0))</f>
        <v/>
      </c>
      <c r="AL623" s="18">
        <f>IF(tblOrdenes[[#This Row],[orden]]="","",MAX(0,_xlfn.XLOOKUP(tblOrdenes[[#This Row],[id_operacion]],tblEjecucion[id_operacion],tblEjecucion[costo_plan_total],0)-tblOrdenes[[#This Row],[costo_servicio]]))</f>
        <v/>
      </c>
      <c r="AM623" s="18">
        <f>IF(tblOrdenes[[#This Row],[orden]]="","",tblOrdenes[[#This Row],[costo_servicio]]+tblOrdenes[[#This Row],[costo_materiales]])</f>
        <v/>
      </c>
      <c r="AN6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3" s="4" t="n"/>
      <c r="AP623" s="4" t="n"/>
      <c r="AQ623" s="4" t="n"/>
      <c r="AR623" s="5">
        <f>IF(tblOrdenes[[#This Row],[link_checklist]]="","",HYPERLINK(p_ruta_base_checklists&amp;tblOrdenes[[#This Row],[link_checklist]],"abrir"))</f>
        <v/>
      </c>
      <c r="AS623" s="4" t="n"/>
      <c r="AT623" s="5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22" t="n"/>
      <c r="K624" s="5" t="n"/>
      <c r="L624" s="18" t="n"/>
      <c r="M6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5">
        <f>IF(tblOrdenes[[#This Row],[fecha_inicio]]="","",YEAR(tblOrdenes[[#This Row],[fecha_inicio]]))</f>
        <v/>
      </c>
      <c r="Q624" s="5">
        <f>IF(tblOrdenes[[#This Row],[fecha_inicio]]="","",MONTH(tblOrdenes[[#This Row],[fecha_inicio]]))</f>
        <v/>
      </c>
      <c r="R624" s="5">
        <f>IF(tblOrdenes[[#This Row],[fecha_inicio]]="","",tblOrdenes[[#This Row],[anio]]&amp;"-"&amp;TEXT(tblOrdenes[[#This Row],[mes]],"00"))</f>
        <v/>
      </c>
      <c r="S624" s="5">
        <f>IF(tblOrdenes[[#This Row],[fecha_inicio]]="","",INDEX(lista_dias,WEEKDAY(tblOrdenes[[#This Row],[fecha_inicio]],2)))</f>
        <v/>
      </c>
      <c r="T6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4" s="5">
        <f>IF(tblOrdenes[[#This Row],[tipo_ot]]="","",_xlfn.XLOOKUP(tblOrdenes[[#This Row],[tipo_ot]],tblTiposOT[codigo],tblTiposOT[clasificacion],"sin_clasificar"))</f>
        <v/>
      </c>
      <c r="V6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4" s="5">
        <f>IF(tblOrdenes[[#This Row],[centro_costo]]="","",_xlfn.XLOOKUP(tblOrdenes[[#This Row],[centro_costo]],tblCECO[codigo],tblCECO[linea],"(sin catálogo)"))</f>
        <v/>
      </c>
      <c r="X624" s="5">
        <f>IF(tblOrdenes[[#This Row],[centro_costo]]="","",_xlfn.XLOOKUP(tblOrdenes[[#This Row],[centro_costo]],tblCECO[codigo],tblCECO[area],"(sin catálogo)"))</f>
        <v/>
      </c>
      <c r="Y6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4" s="5">
        <f>IF(tblOrdenes[[#This Row],[centro_costo]]="","",_xlfn.XLOOKUP(tblOrdenes[[#This Row],[centro_costo]],tblCECO[codigo],tblCECO[coordinador],"(sin catálogo)"))</f>
        <v/>
      </c>
      <c r="AA624" s="5">
        <f>IF(tblOrdenes[[#This Row],[puesto_trabajo]]="","",_xlfn.XLOOKUP(tblOrdenes[[#This Row],[puesto_trabajo]],tblPuestos[codigo],tblPuestos[especialidad],"(sin catálogo)"))</f>
        <v/>
      </c>
      <c r="AB624" s="5">
        <f>IF(tblOrdenes[[#This Row],[cod_actividad]]="","",_xlfn.XLOOKUP(tblOrdenes[[#This Row],[cod_actividad]],tblActividades[codigo],tblActividades[descripcion],"(sin catálogo)"))</f>
        <v/>
      </c>
      <c r="AC624" s="20">
        <f>IF(tblOrdenes[[#This Row],[fecha_inicio]]="","",TODAY()-tblOrdenes[[#This Row],[fecha_inicio]])</f>
        <v/>
      </c>
      <c r="AD6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4" s="5">
        <f>IF(tblOrdenes[[#This Row],[backlog_habiles]]="","",IF(tblOrdenes[[#This Row],[backlog_habiles]]&lt;0,"FUTURO",IF(tblOrdenes[[#This Row],[backlog_habiles]]&gt;p_dias_backlog_max,"BACKLOG","MES CORRIENTE")))</f>
        <v/>
      </c>
      <c r="AF624" s="5">
        <f>IF(tblOrdenes[[#This Row],[backlog_habiles]]="",FALSE,AND(tblOrdenes[[#This Row],[backlog_habiles]]&gt;p_dias_backlog_min,tblOrdenes[[#This Row],[backlog_habiles]]&lt;=p_dias_backlog_max))</f>
        <v/>
      </c>
      <c r="AG624" s="4" t="n"/>
      <c r="AH6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4" s="18">
        <f>IF(tblOrdenes[[#This Row],[orden]]="","",_xlfn.XLOOKUP(tblOrdenes[[#This Row],[id_operacion]],tblEjecucion[id_operacion],tblEjecucion[precio],0))</f>
        <v/>
      </c>
      <c r="AL624" s="18">
        <f>IF(tblOrdenes[[#This Row],[orden]]="","",MAX(0,_xlfn.XLOOKUP(tblOrdenes[[#This Row],[id_operacion]],tblEjecucion[id_operacion],tblEjecucion[costo_plan_total],0)-tblOrdenes[[#This Row],[costo_servicio]]))</f>
        <v/>
      </c>
      <c r="AM624" s="18">
        <f>IF(tblOrdenes[[#This Row],[orden]]="","",tblOrdenes[[#This Row],[costo_servicio]]+tblOrdenes[[#This Row],[costo_materiales]])</f>
        <v/>
      </c>
      <c r="AN6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4" s="4" t="n"/>
      <c r="AP624" s="4" t="n"/>
      <c r="AQ624" s="4" t="n"/>
      <c r="AR624" s="5">
        <f>IF(tblOrdenes[[#This Row],[link_checklist]]="","",HYPERLINK(p_ruta_base_checklists&amp;tblOrdenes[[#This Row],[link_checklist]],"abrir"))</f>
        <v/>
      </c>
      <c r="AS624" s="4" t="n"/>
      <c r="AT624" s="5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22" t="n"/>
      <c r="K625" s="5" t="n"/>
      <c r="L625" s="18" t="n"/>
      <c r="M6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5">
        <f>IF(tblOrdenes[[#This Row],[fecha_inicio]]="","",YEAR(tblOrdenes[[#This Row],[fecha_inicio]]))</f>
        <v/>
      </c>
      <c r="Q625" s="5">
        <f>IF(tblOrdenes[[#This Row],[fecha_inicio]]="","",MONTH(tblOrdenes[[#This Row],[fecha_inicio]]))</f>
        <v/>
      </c>
      <c r="R625" s="5">
        <f>IF(tblOrdenes[[#This Row],[fecha_inicio]]="","",tblOrdenes[[#This Row],[anio]]&amp;"-"&amp;TEXT(tblOrdenes[[#This Row],[mes]],"00"))</f>
        <v/>
      </c>
      <c r="S625" s="5">
        <f>IF(tblOrdenes[[#This Row],[fecha_inicio]]="","",INDEX(lista_dias,WEEKDAY(tblOrdenes[[#This Row],[fecha_inicio]],2)))</f>
        <v/>
      </c>
      <c r="T6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5" s="5">
        <f>IF(tblOrdenes[[#This Row],[tipo_ot]]="","",_xlfn.XLOOKUP(tblOrdenes[[#This Row],[tipo_ot]],tblTiposOT[codigo],tblTiposOT[clasificacion],"sin_clasificar"))</f>
        <v/>
      </c>
      <c r="V6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5" s="5">
        <f>IF(tblOrdenes[[#This Row],[centro_costo]]="","",_xlfn.XLOOKUP(tblOrdenes[[#This Row],[centro_costo]],tblCECO[codigo],tblCECO[linea],"(sin catálogo)"))</f>
        <v/>
      </c>
      <c r="X625" s="5">
        <f>IF(tblOrdenes[[#This Row],[centro_costo]]="","",_xlfn.XLOOKUP(tblOrdenes[[#This Row],[centro_costo]],tblCECO[codigo],tblCECO[area],"(sin catálogo)"))</f>
        <v/>
      </c>
      <c r="Y6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5" s="5">
        <f>IF(tblOrdenes[[#This Row],[centro_costo]]="","",_xlfn.XLOOKUP(tblOrdenes[[#This Row],[centro_costo]],tblCECO[codigo],tblCECO[coordinador],"(sin catálogo)"))</f>
        <v/>
      </c>
      <c r="AA625" s="5">
        <f>IF(tblOrdenes[[#This Row],[puesto_trabajo]]="","",_xlfn.XLOOKUP(tblOrdenes[[#This Row],[puesto_trabajo]],tblPuestos[codigo],tblPuestos[especialidad],"(sin catálogo)"))</f>
        <v/>
      </c>
      <c r="AB625" s="5">
        <f>IF(tblOrdenes[[#This Row],[cod_actividad]]="","",_xlfn.XLOOKUP(tblOrdenes[[#This Row],[cod_actividad]],tblActividades[codigo],tblActividades[descripcion],"(sin catálogo)"))</f>
        <v/>
      </c>
      <c r="AC625" s="20">
        <f>IF(tblOrdenes[[#This Row],[fecha_inicio]]="","",TODAY()-tblOrdenes[[#This Row],[fecha_inicio]])</f>
        <v/>
      </c>
      <c r="AD6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5" s="5">
        <f>IF(tblOrdenes[[#This Row],[backlog_habiles]]="","",IF(tblOrdenes[[#This Row],[backlog_habiles]]&lt;0,"FUTURO",IF(tblOrdenes[[#This Row],[backlog_habiles]]&gt;p_dias_backlog_max,"BACKLOG","MES CORRIENTE")))</f>
        <v/>
      </c>
      <c r="AF625" s="5">
        <f>IF(tblOrdenes[[#This Row],[backlog_habiles]]="",FALSE,AND(tblOrdenes[[#This Row],[backlog_habiles]]&gt;p_dias_backlog_min,tblOrdenes[[#This Row],[backlog_habiles]]&lt;=p_dias_backlog_max))</f>
        <v/>
      </c>
      <c r="AG625" s="4" t="n"/>
      <c r="AH6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5" s="18">
        <f>IF(tblOrdenes[[#This Row],[orden]]="","",_xlfn.XLOOKUP(tblOrdenes[[#This Row],[id_operacion]],tblEjecucion[id_operacion],tblEjecucion[precio],0))</f>
        <v/>
      </c>
      <c r="AL625" s="18">
        <f>IF(tblOrdenes[[#This Row],[orden]]="","",MAX(0,_xlfn.XLOOKUP(tblOrdenes[[#This Row],[id_operacion]],tblEjecucion[id_operacion],tblEjecucion[costo_plan_total],0)-tblOrdenes[[#This Row],[costo_servicio]]))</f>
        <v/>
      </c>
      <c r="AM625" s="18">
        <f>IF(tblOrdenes[[#This Row],[orden]]="","",tblOrdenes[[#This Row],[costo_servicio]]+tblOrdenes[[#This Row],[costo_materiales]])</f>
        <v/>
      </c>
      <c r="AN6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5" s="4" t="n"/>
      <c r="AP625" s="4" t="n"/>
      <c r="AQ625" s="4" t="n"/>
      <c r="AR625" s="5">
        <f>IF(tblOrdenes[[#This Row],[link_checklist]]="","",HYPERLINK(p_ruta_base_checklists&amp;tblOrdenes[[#This Row],[link_checklist]],"abrir"))</f>
        <v/>
      </c>
      <c r="AS625" s="4" t="n"/>
      <c r="AT625" s="5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22" t="n"/>
      <c r="K626" s="5" t="n"/>
      <c r="L626" s="18" t="n"/>
      <c r="M6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5">
        <f>IF(tblOrdenes[[#This Row],[fecha_inicio]]="","",YEAR(tblOrdenes[[#This Row],[fecha_inicio]]))</f>
        <v/>
      </c>
      <c r="Q626" s="5">
        <f>IF(tblOrdenes[[#This Row],[fecha_inicio]]="","",MONTH(tblOrdenes[[#This Row],[fecha_inicio]]))</f>
        <v/>
      </c>
      <c r="R626" s="5">
        <f>IF(tblOrdenes[[#This Row],[fecha_inicio]]="","",tblOrdenes[[#This Row],[anio]]&amp;"-"&amp;TEXT(tblOrdenes[[#This Row],[mes]],"00"))</f>
        <v/>
      </c>
      <c r="S626" s="5">
        <f>IF(tblOrdenes[[#This Row],[fecha_inicio]]="","",INDEX(lista_dias,WEEKDAY(tblOrdenes[[#This Row],[fecha_inicio]],2)))</f>
        <v/>
      </c>
      <c r="T6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6" s="5">
        <f>IF(tblOrdenes[[#This Row],[tipo_ot]]="","",_xlfn.XLOOKUP(tblOrdenes[[#This Row],[tipo_ot]],tblTiposOT[codigo],tblTiposOT[clasificacion],"sin_clasificar"))</f>
        <v/>
      </c>
      <c r="V6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6" s="5">
        <f>IF(tblOrdenes[[#This Row],[centro_costo]]="","",_xlfn.XLOOKUP(tblOrdenes[[#This Row],[centro_costo]],tblCECO[codigo],tblCECO[linea],"(sin catálogo)"))</f>
        <v/>
      </c>
      <c r="X626" s="5">
        <f>IF(tblOrdenes[[#This Row],[centro_costo]]="","",_xlfn.XLOOKUP(tblOrdenes[[#This Row],[centro_costo]],tblCECO[codigo],tblCECO[area],"(sin catálogo)"))</f>
        <v/>
      </c>
      <c r="Y6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6" s="5">
        <f>IF(tblOrdenes[[#This Row],[centro_costo]]="","",_xlfn.XLOOKUP(tblOrdenes[[#This Row],[centro_costo]],tblCECO[codigo],tblCECO[coordinador],"(sin catálogo)"))</f>
        <v/>
      </c>
      <c r="AA626" s="5">
        <f>IF(tblOrdenes[[#This Row],[puesto_trabajo]]="","",_xlfn.XLOOKUP(tblOrdenes[[#This Row],[puesto_trabajo]],tblPuestos[codigo],tblPuestos[especialidad],"(sin catálogo)"))</f>
        <v/>
      </c>
      <c r="AB626" s="5">
        <f>IF(tblOrdenes[[#This Row],[cod_actividad]]="","",_xlfn.XLOOKUP(tblOrdenes[[#This Row],[cod_actividad]],tblActividades[codigo],tblActividades[descripcion],"(sin catálogo)"))</f>
        <v/>
      </c>
      <c r="AC626" s="20">
        <f>IF(tblOrdenes[[#This Row],[fecha_inicio]]="","",TODAY()-tblOrdenes[[#This Row],[fecha_inicio]])</f>
        <v/>
      </c>
      <c r="AD6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6" s="5">
        <f>IF(tblOrdenes[[#This Row],[backlog_habiles]]="","",IF(tblOrdenes[[#This Row],[backlog_habiles]]&lt;0,"FUTURO",IF(tblOrdenes[[#This Row],[backlog_habiles]]&gt;p_dias_backlog_max,"BACKLOG","MES CORRIENTE")))</f>
        <v/>
      </c>
      <c r="AF626" s="5">
        <f>IF(tblOrdenes[[#This Row],[backlog_habiles]]="",FALSE,AND(tblOrdenes[[#This Row],[backlog_habiles]]&gt;p_dias_backlog_min,tblOrdenes[[#This Row],[backlog_habiles]]&lt;=p_dias_backlog_max))</f>
        <v/>
      </c>
      <c r="AG626" s="4" t="n"/>
      <c r="AH6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6" s="18">
        <f>IF(tblOrdenes[[#This Row],[orden]]="","",_xlfn.XLOOKUP(tblOrdenes[[#This Row],[id_operacion]],tblEjecucion[id_operacion],tblEjecucion[precio],0))</f>
        <v/>
      </c>
      <c r="AL626" s="18">
        <f>IF(tblOrdenes[[#This Row],[orden]]="","",MAX(0,_xlfn.XLOOKUP(tblOrdenes[[#This Row],[id_operacion]],tblEjecucion[id_operacion],tblEjecucion[costo_plan_total],0)-tblOrdenes[[#This Row],[costo_servicio]]))</f>
        <v/>
      </c>
      <c r="AM626" s="18">
        <f>IF(tblOrdenes[[#This Row],[orden]]="","",tblOrdenes[[#This Row],[costo_servicio]]+tblOrdenes[[#This Row],[costo_materiales]])</f>
        <v/>
      </c>
      <c r="AN6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6" s="4" t="n"/>
      <c r="AP626" s="4" t="n"/>
      <c r="AQ626" s="4" t="n"/>
      <c r="AR626" s="5">
        <f>IF(tblOrdenes[[#This Row],[link_checklist]]="","",HYPERLINK(p_ruta_base_checklists&amp;tblOrdenes[[#This Row],[link_checklist]],"abrir"))</f>
        <v/>
      </c>
      <c r="AS626" s="4" t="n"/>
      <c r="AT626" s="5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22" t="n"/>
      <c r="K627" s="5" t="n"/>
      <c r="L627" s="18" t="n"/>
      <c r="M6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5">
        <f>IF(tblOrdenes[[#This Row],[fecha_inicio]]="","",YEAR(tblOrdenes[[#This Row],[fecha_inicio]]))</f>
        <v/>
      </c>
      <c r="Q627" s="5">
        <f>IF(tblOrdenes[[#This Row],[fecha_inicio]]="","",MONTH(tblOrdenes[[#This Row],[fecha_inicio]]))</f>
        <v/>
      </c>
      <c r="R627" s="5">
        <f>IF(tblOrdenes[[#This Row],[fecha_inicio]]="","",tblOrdenes[[#This Row],[anio]]&amp;"-"&amp;TEXT(tblOrdenes[[#This Row],[mes]],"00"))</f>
        <v/>
      </c>
      <c r="S627" s="5">
        <f>IF(tblOrdenes[[#This Row],[fecha_inicio]]="","",INDEX(lista_dias,WEEKDAY(tblOrdenes[[#This Row],[fecha_inicio]],2)))</f>
        <v/>
      </c>
      <c r="T6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7" s="5">
        <f>IF(tblOrdenes[[#This Row],[tipo_ot]]="","",_xlfn.XLOOKUP(tblOrdenes[[#This Row],[tipo_ot]],tblTiposOT[codigo],tblTiposOT[clasificacion],"sin_clasificar"))</f>
        <v/>
      </c>
      <c r="V6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7" s="5">
        <f>IF(tblOrdenes[[#This Row],[centro_costo]]="","",_xlfn.XLOOKUP(tblOrdenes[[#This Row],[centro_costo]],tblCECO[codigo],tblCECO[linea],"(sin catálogo)"))</f>
        <v/>
      </c>
      <c r="X627" s="5">
        <f>IF(tblOrdenes[[#This Row],[centro_costo]]="","",_xlfn.XLOOKUP(tblOrdenes[[#This Row],[centro_costo]],tblCECO[codigo],tblCECO[area],"(sin catálogo)"))</f>
        <v/>
      </c>
      <c r="Y6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7" s="5">
        <f>IF(tblOrdenes[[#This Row],[centro_costo]]="","",_xlfn.XLOOKUP(tblOrdenes[[#This Row],[centro_costo]],tblCECO[codigo],tblCECO[coordinador],"(sin catálogo)"))</f>
        <v/>
      </c>
      <c r="AA627" s="5">
        <f>IF(tblOrdenes[[#This Row],[puesto_trabajo]]="","",_xlfn.XLOOKUP(tblOrdenes[[#This Row],[puesto_trabajo]],tblPuestos[codigo],tblPuestos[especialidad],"(sin catálogo)"))</f>
        <v/>
      </c>
      <c r="AB627" s="5">
        <f>IF(tblOrdenes[[#This Row],[cod_actividad]]="","",_xlfn.XLOOKUP(tblOrdenes[[#This Row],[cod_actividad]],tblActividades[codigo],tblActividades[descripcion],"(sin catálogo)"))</f>
        <v/>
      </c>
      <c r="AC627" s="20">
        <f>IF(tblOrdenes[[#This Row],[fecha_inicio]]="","",TODAY()-tblOrdenes[[#This Row],[fecha_inicio]])</f>
        <v/>
      </c>
      <c r="AD6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7" s="5">
        <f>IF(tblOrdenes[[#This Row],[backlog_habiles]]="","",IF(tblOrdenes[[#This Row],[backlog_habiles]]&lt;0,"FUTURO",IF(tblOrdenes[[#This Row],[backlog_habiles]]&gt;p_dias_backlog_max,"BACKLOG","MES CORRIENTE")))</f>
        <v/>
      </c>
      <c r="AF627" s="5">
        <f>IF(tblOrdenes[[#This Row],[backlog_habiles]]="",FALSE,AND(tblOrdenes[[#This Row],[backlog_habiles]]&gt;p_dias_backlog_min,tblOrdenes[[#This Row],[backlog_habiles]]&lt;=p_dias_backlog_max))</f>
        <v/>
      </c>
      <c r="AG627" s="4" t="n"/>
      <c r="AH6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7" s="18">
        <f>IF(tblOrdenes[[#This Row],[orden]]="","",_xlfn.XLOOKUP(tblOrdenes[[#This Row],[id_operacion]],tblEjecucion[id_operacion],tblEjecucion[precio],0))</f>
        <v/>
      </c>
      <c r="AL627" s="18">
        <f>IF(tblOrdenes[[#This Row],[orden]]="","",MAX(0,_xlfn.XLOOKUP(tblOrdenes[[#This Row],[id_operacion]],tblEjecucion[id_operacion],tblEjecucion[costo_plan_total],0)-tblOrdenes[[#This Row],[costo_servicio]]))</f>
        <v/>
      </c>
      <c r="AM627" s="18">
        <f>IF(tblOrdenes[[#This Row],[orden]]="","",tblOrdenes[[#This Row],[costo_servicio]]+tblOrdenes[[#This Row],[costo_materiales]])</f>
        <v/>
      </c>
      <c r="AN6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7" s="4" t="n"/>
      <c r="AP627" s="4" t="n"/>
      <c r="AQ627" s="4" t="n"/>
      <c r="AR627" s="5">
        <f>IF(tblOrdenes[[#This Row],[link_checklist]]="","",HYPERLINK(p_ruta_base_checklists&amp;tblOrdenes[[#This Row],[link_checklist]],"abrir"))</f>
        <v/>
      </c>
      <c r="AS627" s="4" t="n"/>
      <c r="AT627" s="5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22" t="n"/>
      <c r="K628" s="5" t="n"/>
      <c r="L628" s="18" t="n"/>
      <c r="M6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5">
        <f>IF(tblOrdenes[[#This Row],[fecha_inicio]]="","",YEAR(tblOrdenes[[#This Row],[fecha_inicio]]))</f>
        <v/>
      </c>
      <c r="Q628" s="5">
        <f>IF(tblOrdenes[[#This Row],[fecha_inicio]]="","",MONTH(tblOrdenes[[#This Row],[fecha_inicio]]))</f>
        <v/>
      </c>
      <c r="R628" s="5">
        <f>IF(tblOrdenes[[#This Row],[fecha_inicio]]="","",tblOrdenes[[#This Row],[anio]]&amp;"-"&amp;TEXT(tblOrdenes[[#This Row],[mes]],"00"))</f>
        <v/>
      </c>
      <c r="S628" s="5">
        <f>IF(tblOrdenes[[#This Row],[fecha_inicio]]="","",INDEX(lista_dias,WEEKDAY(tblOrdenes[[#This Row],[fecha_inicio]],2)))</f>
        <v/>
      </c>
      <c r="T6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8" s="5">
        <f>IF(tblOrdenes[[#This Row],[tipo_ot]]="","",_xlfn.XLOOKUP(tblOrdenes[[#This Row],[tipo_ot]],tblTiposOT[codigo],tblTiposOT[clasificacion],"sin_clasificar"))</f>
        <v/>
      </c>
      <c r="V6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8" s="5">
        <f>IF(tblOrdenes[[#This Row],[centro_costo]]="","",_xlfn.XLOOKUP(tblOrdenes[[#This Row],[centro_costo]],tblCECO[codigo],tblCECO[linea],"(sin catálogo)"))</f>
        <v/>
      </c>
      <c r="X628" s="5">
        <f>IF(tblOrdenes[[#This Row],[centro_costo]]="","",_xlfn.XLOOKUP(tblOrdenes[[#This Row],[centro_costo]],tblCECO[codigo],tblCECO[area],"(sin catálogo)"))</f>
        <v/>
      </c>
      <c r="Y6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8" s="5">
        <f>IF(tblOrdenes[[#This Row],[centro_costo]]="","",_xlfn.XLOOKUP(tblOrdenes[[#This Row],[centro_costo]],tblCECO[codigo],tblCECO[coordinador],"(sin catálogo)"))</f>
        <v/>
      </c>
      <c r="AA628" s="5">
        <f>IF(tblOrdenes[[#This Row],[puesto_trabajo]]="","",_xlfn.XLOOKUP(tblOrdenes[[#This Row],[puesto_trabajo]],tblPuestos[codigo],tblPuestos[especialidad],"(sin catálogo)"))</f>
        <v/>
      </c>
      <c r="AB628" s="5">
        <f>IF(tblOrdenes[[#This Row],[cod_actividad]]="","",_xlfn.XLOOKUP(tblOrdenes[[#This Row],[cod_actividad]],tblActividades[codigo],tblActividades[descripcion],"(sin catálogo)"))</f>
        <v/>
      </c>
      <c r="AC628" s="20">
        <f>IF(tblOrdenes[[#This Row],[fecha_inicio]]="","",TODAY()-tblOrdenes[[#This Row],[fecha_inicio]])</f>
        <v/>
      </c>
      <c r="AD6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8" s="5">
        <f>IF(tblOrdenes[[#This Row],[backlog_habiles]]="","",IF(tblOrdenes[[#This Row],[backlog_habiles]]&lt;0,"FUTURO",IF(tblOrdenes[[#This Row],[backlog_habiles]]&gt;p_dias_backlog_max,"BACKLOG","MES CORRIENTE")))</f>
        <v/>
      </c>
      <c r="AF628" s="5">
        <f>IF(tblOrdenes[[#This Row],[backlog_habiles]]="",FALSE,AND(tblOrdenes[[#This Row],[backlog_habiles]]&gt;p_dias_backlog_min,tblOrdenes[[#This Row],[backlog_habiles]]&lt;=p_dias_backlog_max))</f>
        <v/>
      </c>
      <c r="AG628" s="4" t="n"/>
      <c r="AH6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8" s="18">
        <f>IF(tblOrdenes[[#This Row],[orden]]="","",_xlfn.XLOOKUP(tblOrdenes[[#This Row],[id_operacion]],tblEjecucion[id_operacion],tblEjecucion[precio],0))</f>
        <v/>
      </c>
      <c r="AL628" s="18">
        <f>IF(tblOrdenes[[#This Row],[orden]]="","",MAX(0,_xlfn.XLOOKUP(tblOrdenes[[#This Row],[id_operacion]],tblEjecucion[id_operacion],tblEjecucion[costo_plan_total],0)-tblOrdenes[[#This Row],[costo_servicio]]))</f>
        <v/>
      </c>
      <c r="AM628" s="18">
        <f>IF(tblOrdenes[[#This Row],[orden]]="","",tblOrdenes[[#This Row],[costo_servicio]]+tblOrdenes[[#This Row],[costo_materiales]])</f>
        <v/>
      </c>
      <c r="AN6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8" s="4" t="n"/>
      <c r="AP628" s="4" t="n"/>
      <c r="AQ628" s="4" t="n"/>
      <c r="AR628" s="5">
        <f>IF(tblOrdenes[[#This Row],[link_checklist]]="","",HYPERLINK(p_ruta_base_checklists&amp;tblOrdenes[[#This Row],[link_checklist]],"abrir"))</f>
        <v/>
      </c>
      <c r="AS628" s="4" t="n"/>
      <c r="AT628" s="5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22" t="n"/>
      <c r="K629" s="5" t="n"/>
      <c r="L629" s="18" t="n"/>
      <c r="M6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5">
        <f>IF(tblOrdenes[[#This Row],[fecha_inicio]]="","",YEAR(tblOrdenes[[#This Row],[fecha_inicio]]))</f>
        <v/>
      </c>
      <c r="Q629" s="5">
        <f>IF(tblOrdenes[[#This Row],[fecha_inicio]]="","",MONTH(tblOrdenes[[#This Row],[fecha_inicio]]))</f>
        <v/>
      </c>
      <c r="R629" s="5">
        <f>IF(tblOrdenes[[#This Row],[fecha_inicio]]="","",tblOrdenes[[#This Row],[anio]]&amp;"-"&amp;TEXT(tblOrdenes[[#This Row],[mes]],"00"))</f>
        <v/>
      </c>
      <c r="S629" s="5">
        <f>IF(tblOrdenes[[#This Row],[fecha_inicio]]="","",INDEX(lista_dias,WEEKDAY(tblOrdenes[[#This Row],[fecha_inicio]],2)))</f>
        <v/>
      </c>
      <c r="T6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9" s="5">
        <f>IF(tblOrdenes[[#This Row],[tipo_ot]]="","",_xlfn.XLOOKUP(tblOrdenes[[#This Row],[tipo_ot]],tblTiposOT[codigo],tblTiposOT[clasificacion],"sin_clasificar"))</f>
        <v/>
      </c>
      <c r="V6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9" s="5">
        <f>IF(tblOrdenes[[#This Row],[centro_costo]]="","",_xlfn.XLOOKUP(tblOrdenes[[#This Row],[centro_costo]],tblCECO[codigo],tblCECO[linea],"(sin catálogo)"))</f>
        <v/>
      </c>
      <c r="X629" s="5">
        <f>IF(tblOrdenes[[#This Row],[centro_costo]]="","",_xlfn.XLOOKUP(tblOrdenes[[#This Row],[centro_costo]],tblCECO[codigo],tblCECO[area],"(sin catálogo)"))</f>
        <v/>
      </c>
      <c r="Y6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29" s="5">
        <f>IF(tblOrdenes[[#This Row],[centro_costo]]="","",_xlfn.XLOOKUP(tblOrdenes[[#This Row],[centro_costo]],tblCECO[codigo],tblCECO[coordinador],"(sin catálogo)"))</f>
        <v/>
      </c>
      <c r="AA629" s="5">
        <f>IF(tblOrdenes[[#This Row],[puesto_trabajo]]="","",_xlfn.XLOOKUP(tblOrdenes[[#This Row],[puesto_trabajo]],tblPuestos[codigo],tblPuestos[especialidad],"(sin catálogo)"))</f>
        <v/>
      </c>
      <c r="AB629" s="5">
        <f>IF(tblOrdenes[[#This Row],[cod_actividad]]="","",_xlfn.XLOOKUP(tblOrdenes[[#This Row],[cod_actividad]],tblActividades[codigo],tblActividades[descripcion],"(sin catálogo)"))</f>
        <v/>
      </c>
      <c r="AC629" s="20">
        <f>IF(tblOrdenes[[#This Row],[fecha_inicio]]="","",TODAY()-tblOrdenes[[#This Row],[fecha_inicio]])</f>
        <v/>
      </c>
      <c r="AD6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29" s="5">
        <f>IF(tblOrdenes[[#This Row],[backlog_habiles]]="","",IF(tblOrdenes[[#This Row],[backlog_habiles]]&lt;0,"FUTURO",IF(tblOrdenes[[#This Row],[backlog_habiles]]&gt;p_dias_backlog_max,"BACKLOG","MES CORRIENTE")))</f>
        <v/>
      </c>
      <c r="AF629" s="5">
        <f>IF(tblOrdenes[[#This Row],[backlog_habiles]]="",FALSE,AND(tblOrdenes[[#This Row],[backlog_habiles]]&gt;p_dias_backlog_min,tblOrdenes[[#This Row],[backlog_habiles]]&lt;=p_dias_backlog_max))</f>
        <v/>
      </c>
      <c r="AG629" s="4" t="n"/>
      <c r="AH6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29" s="18">
        <f>IF(tblOrdenes[[#This Row],[orden]]="","",_xlfn.XLOOKUP(tblOrdenes[[#This Row],[id_operacion]],tblEjecucion[id_operacion],tblEjecucion[precio],0))</f>
        <v/>
      </c>
      <c r="AL629" s="18">
        <f>IF(tblOrdenes[[#This Row],[orden]]="","",MAX(0,_xlfn.XLOOKUP(tblOrdenes[[#This Row],[id_operacion]],tblEjecucion[id_operacion],tblEjecucion[costo_plan_total],0)-tblOrdenes[[#This Row],[costo_servicio]]))</f>
        <v/>
      </c>
      <c r="AM629" s="18">
        <f>IF(tblOrdenes[[#This Row],[orden]]="","",tblOrdenes[[#This Row],[costo_servicio]]+tblOrdenes[[#This Row],[costo_materiales]])</f>
        <v/>
      </c>
      <c r="AN6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29" s="4" t="n"/>
      <c r="AP629" s="4" t="n"/>
      <c r="AQ629" s="4" t="n"/>
      <c r="AR629" s="5">
        <f>IF(tblOrdenes[[#This Row],[link_checklist]]="","",HYPERLINK(p_ruta_base_checklists&amp;tblOrdenes[[#This Row],[link_checklist]],"abrir"))</f>
        <v/>
      </c>
      <c r="AS629" s="4" t="n"/>
      <c r="AT629" s="5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22" t="n"/>
      <c r="K630" s="5" t="n"/>
      <c r="L630" s="18" t="n"/>
      <c r="M6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5">
        <f>IF(tblOrdenes[[#This Row],[fecha_inicio]]="","",YEAR(tblOrdenes[[#This Row],[fecha_inicio]]))</f>
        <v/>
      </c>
      <c r="Q630" s="5">
        <f>IF(tblOrdenes[[#This Row],[fecha_inicio]]="","",MONTH(tblOrdenes[[#This Row],[fecha_inicio]]))</f>
        <v/>
      </c>
      <c r="R630" s="5">
        <f>IF(tblOrdenes[[#This Row],[fecha_inicio]]="","",tblOrdenes[[#This Row],[anio]]&amp;"-"&amp;TEXT(tblOrdenes[[#This Row],[mes]],"00"))</f>
        <v/>
      </c>
      <c r="S630" s="5">
        <f>IF(tblOrdenes[[#This Row],[fecha_inicio]]="","",INDEX(lista_dias,WEEKDAY(tblOrdenes[[#This Row],[fecha_inicio]],2)))</f>
        <v/>
      </c>
      <c r="T6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0" s="5">
        <f>IF(tblOrdenes[[#This Row],[tipo_ot]]="","",_xlfn.XLOOKUP(tblOrdenes[[#This Row],[tipo_ot]],tblTiposOT[codigo],tblTiposOT[clasificacion],"sin_clasificar"))</f>
        <v/>
      </c>
      <c r="V6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0" s="5">
        <f>IF(tblOrdenes[[#This Row],[centro_costo]]="","",_xlfn.XLOOKUP(tblOrdenes[[#This Row],[centro_costo]],tblCECO[codigo],tblCECO[linea],"(sin catálogo)"))</f>
        <v/>
      </c>
      <c r="X630" s="5">
        <f>IF(tblOrdenes[[#This Row],[centro_costo]]="","",_xlfn.XLOOKUP(tblOrdenes[[#This Row],[centro_costo]],tblCECO[codigo],tblCECO[area],"(sin catálogo)"))</f>
        <v/>
      </c>
      <c r="Y6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0" s="5">
        <f>IF(tblOrdenes[[#This Row],[centro_costo]]="","",_xlfn.XLOOKUP(tblOrdenes[[#This Row],[centro_costo]],tblCECO[codigo],tblCECO[coordinador],"(sin catálogo)"))</f>
        <v/>
      </c>
      <c r="AA630" s="5">
        <f>IF(tblOrdenes[[#This Row],[puesto_trabajo]]="","",_xlfn.XLOOKUP(tblOrdenes[[#This Row],[puesto_trabajo]],tblPuestos[codigo],tblPuestos[especialidad],"(sin catálogo)"))</f>
        <v/>
      </c>
      <c r="AB630" s="5">
        <f>IF(tblOrdenes[[#This Row],[cod_actividad]]="","",_xlfn.XLOOKUP(tblOrdenes[[#This Row],[cod_actividad]],tblActividades[codigo],tblActividades[descripcion],"(sin catálogo)"))</f>
        <v/>
      </c>
      <c r="AC630" s="20">
        <f>IF(tblOrdenes[[#This Row],[fecha_inicio]]="","",TODAY()-tblOrdenes[[#This Row],[fecha_inicio]])</f>
        <v/>
      </c>
      <c r="AD6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0" s="5">
        <f>IF(tblOrdenes[[#This Row],[backlog_habiles]]="","",IF(tblOrdenes[[#This Row],[backlog_habiles]]&lt;0,"FUTURO",IF(tblOrdenes[[#This Row],[backlog_habiles]]&gt;p_dias_backlog_max,"BACKLOG","MES CORRIENTE")))</f>
        <v/>
      </c>
      <c r="AF630" s="5">
        <f>IF(tblOrdenes[[#This Row],[backlog_habiles]]="",FALSE,AND(tblOrdenes[[#This Row],[backlog_habiles]]&gt;p_dias_backlog_min,tblOrdenes[[#This Row],[backlog_habiles]]&lt;=p_dias_backlog_max))</f>
        <v/>
      </c>
      <c r="AG630" s="4" t="n"/>
      <c r="AH6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0" s="18">
        <f>IF(tblOrdenes[[#This Row],[orden]]="","",_xlfn.XLOOKUP(tblOrdenes[[#This Row],[id_operacion]],tblEjecucion[id_operacion],tblEjecucion[precio],0))</f>
        <v/>
      </c>
      <c r="AL630" s="18">
        <f>IF(tblOrdenes[[#This Row],[orden]]="","",MAX(0,_xlfn.XLOOKUP(tblOrdenes[[#This Row],[id_operacion]],tblEjecucion[id_operacion],tblEjecucion[costo_plan_total],0)-tblOrdenes[[#This Row],[costo_servicio]]))</f>
        <v/>
      </c>
      <c r="AM630" s="18">
        <f>IF(tblOrdenes[[#This Row],[orden]]="","",tblOrdenes[[#This Row],[costo_servicio]]+tblOrdenes[[#This Row],[costo_materiales]])</f>
        <v/>
      </c>
      <c r="AN6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0" s="4" t="n"/>
      <c r="AP630" s="4" t="n"/>
      <c r="AQ630" s="4" t="n"/>
      <c r="AR630" s="5">
        <f>IF(tblOrdenes[[#This Row],[link_checklist]]="","",HYPERLINK(p_ruta_base_checklists&amp;tblOrdenes[[#This Row],[link_checklist]],"abrir"))</f>
        <v/>
      </c>
      <c r="AS630" s="4" t="n"/>
      <c r="AT630" s="5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22" t="n"/>
      <c r="K631" s="5" t="n"/>
      <c r="L631" s="18" t="n"/>
      <c r="M6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5">
        <f>IF(tblOrdenes[[#This Row],[fecha_inicio]]="","",YEAR(tblOrdenes[[#This Row],[fecha_inicio]]))</f>
        <v/>
      </c>
      <c r="Q631" s="5">
        <f>IF(tblOrdenes[[#This Row],[fecha_inicio]]="","",MONTH(tblOrdenes[[#This Row],[fecha_inicio]]))</f>
        <v/>
      </c>
      <c r="R631" s="5">
        <f>IF(tblOrdenes[[#This Row],[fecha_inicio]]="","",tblOrdenes[[#This Row],[anio]]&amp;"-"&amp;TEXT(tblOrdenes[[#This Row],[mes]],"00"))</f>
        <v/>
      </c>
      <c r="S631" s="5">
        <f>IF(tblOrdenes[[#This Row],[fecha_inicio]]="","",INDEX(lista_dias,WEEKDAY(tblOrdenes[[#This Row],[fecha_inicio]],2)))</f>
        <v/>
      </c>
      <c r="T6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1" s="5">
        <f>IF(tblOrdenes[[#This Row],[tipo_ot]]="","",_xlfn.XLOOKUP(tblOrdenes[[#This Row],[tipo_ot]],tblTiposOT[codigo],tblTiposOT[clasificacion],"sin_clasificar"))</f>
        <v/>
      </c>
      <c r="V6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1" s="5">
        <f>IF(tblOrdenes[[#This Row],[centro_costo]]="","",_xlfn.XLOOKUP(tblOrdenes[[#This Row],[centro_costo]],tblCECO[codigo],tblCECO[linea],"(sin catálogo)"))</f>
        <v/>
      </c>
      <c r="X631" s="5">
        <f>IF(tblOrdenes[[#This Row],[centro_costo]]="","",_xlfn.XLOOKUP(tblOrdenes[[#This Row],[centro_costo]],tblCECO[codigo],tblCECO[area],"(sin catálogo)"))</f>
        <v/>
      </c>
      <c r="Y6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1" s="5">
        <f>IF(tblOrdenes[[#This Row],[centro_costo]]="","",_xlfn.XLOOKUP(tblOrdenes[[#This Row],[centro_costo]],tblCECO[codigo],tblCECO[coordinador],"(sin catálogo)"))</f>
        <v/>
      </c>
      <c r="AA631" s="5">
        <f>IF(tblOrdenes[[#This Row],[puesto_trabajo]]="","",_xlfn.XLOOKUP(tblOrdenes[[#This Row],[puesto_trabajo]],tblPuestos[codigo],tblPuestos[especialidad],"(sin catálogo)"))</f>
        <v/>
      </c>
      <c r="AB631" s="5">
        <f>IF(tblOrdenes[[#This Row],[cod_actividad]]="","",_xlfn.XLOOKUP(tblOrdenes[[#This Row],[cod_actividad]],tblActividades[codigo],tblActividades[descripcion],"(sin catálogo)"))</f>
        <v/>
      </c>
      <c r="AC631" s="20">
        <f>IF(tblOrdenes[[#This Row],[fecha_inicio]]="","",TODAY()-tblOrdenes[[#This Row],[fecha_inicio]])</f>
        <v/>
      </c>
      <c r="AD6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1" s="5">
        <f>IF(tblOrdenes[[#This Row],[backlog_habiles]]="","",IF(tblOrdenes[[#This Row],[backlog_habiles]]&lt;0,"FUTURO",IF(tblOrdenes[[#This Row],[backlog_habiles]]&gt;p_dias_backlog_max,"BACKLOG","MES CORRIENTE")))</f>
        <v/>
      </c>
      <c r="AF631" s="5">
        <f>IF(tblOrdenes[[#This Row],[backlog_habiles]]="",FALSE,AND(tblOrdenes[[#This Row],[backlog_habiles]]&gt;p_dias_backlog_min,tblOrdenes[[#This Row],[backlog_habiles]]&lt;=p_dias_backlog_max))</f>
        <v/>
      </c>
      <c r="AG631" s="4" t="n"/>
      <c r="AH6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1" s="18">
        <f>IF(tblOrdenes[[#This Row],[orden]]="","",_xlfn.XLOOKUP(tblOrdenes[[#This Row],[id_operacion]],tblEjecucion[id_operacion],tblEjecucion[precio],0))</f>
        <v/>
      </c>
      <c r="AL631" s="18">
        <f>IF(tblOrdenes[[#This Row],[orden]]="","",MAX(0,_xlfn.XLOOKUP(tblOrdenes[[#This Row],[id_operacion]],tblEjecucion[id_operacion],tblEjecucion[costo_plan_total],0)-tblOrdenes[[#This Row],[costo_servicio]]))</f>
        <v/>
      </c>
      <c r="AM631" s="18">
        <f>IF(tblOrdenes[[#This Row],[orden]]="","",tblOrdenes[[#This Row],[costo_servicio]]+tblOrdenes[[#This Row],[costo_materiales]])</f>
        <v/>
      </c>
      <c r="AN6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1" s="4" t="n"/>
      <c r="AP631" s="4" t="n"/>
      <c r="AQ631" s="4" t="n"/>
      <c r="AR631" s="5">
        <f>IF(tblOrdenes[[#This Row],[link_checklist]]="","",HYPERLINK(p_ruta_base_checklists&amp;tblOrdenes[[#This Row],[link_checklist]],"abrir"))</f>
        <v/>
      </c>
      <c r="AS631" s="4" t="n"/>
      <c r="AT631" s="5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22" t="n"/>
      <c r="K632" s="5" t="n"/>
      <c r="L632" s="18" t="n"/>
      <c r="M6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5">
        <f>IF(tblOrdenes[[#This Row],[fecha_inicio]]="","",YEAR(tblOrdenes[[#This Row],[fecha_inicio]]))</f>
        <v/>
      </c>
      <c r="Q632" s="5">
        <f>IF(tblOrdenes[[#This Row],[fecha_inicio]]="","",MONTH(tblOrdenes[[#This Row],[fecha_inicio]]))</f>
        <v/>
      </c>
      <c r="R632" s="5">
        <f>IF(tblOrdenes[[#This Row],[fecha_inicio]]="","",tblOrdenes[[#This Row],[anio]]&amp;"-"&amp;TEXT(tblOrdenes[[#This Row],[mes]],"00"))</f>
        <v/>
      </c>
      <c r="S632" s="5">
        <f>IF(tblOrdenes[[#This Row],[fecha_inicio]]="","",INDEX(lista_dias,WEEKDAY(tblOrdenes[[#This Row],[fecha_inicio]],2)))</f>
        <v/>
      </c>
      <c r="T6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2" s="5">
        <f>IF(tblOrdenes[[#This Row],[tipo_ot]]="","",_xlfn.XLOOKUP(tblOrdenes[[#This Row],[tipo_ot]],tblTiposOT[codigo],tblTiposOT[clasificacion],"sin_clasificar"))</f>
        <v/>
      </c>
      <c r="V6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2" s="5">
        <f>IF(tblOrdenes[[#This Row],[centro_costo]]="","",_xlfn.XLOOKUP(tblOrdenes[[#This Row],[centro_costo]],tblCECO[codigo],tblCECO[linea],"(sin catálogo)"))</f>
        <v/>
      </c>
      <c r="X632" s="5">
        <f>IF(tblOrdenes[[#This Row],[centro_costo]]="","",_xlfn.XLOOKUP(tblOrdenes[[#This Row],[centro_costo]],tblCECO[codigo],tblCECO[area],"(sin catálogo)"))</f>
        <v/>
      </c>
      <c r="Y6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2" s="5">
        <f>IF(tblOrdenes[[#This Row],[centro_costo]]="","",_xlfn.XLOOKUP(tblOrdenes[[#This Row],[centro_costo]],tblCECO[codigo],tblCECO[coordinador],"(sin catálogo)"))</f>
        <v/>
      </c>
      <c r="AA632" s="5">
        <f>IF(tblOrdenes[[#This Row],[puesto_trabajo]]="","",_xlfn.XLOOKUP(tblOrdenes[[#This Row],[puesto_trabajo]],tblPuestos[codigo],tblPuestos[especialidad],"(sin catálogo)"))</f>
        <v/>
      </c>
      <c r="AB632" s="5">
        <f>IF(tblOrdenes[[#This Row],[cod_actividad]]="","",_xlfn.XLOOKUP(tblOrdenes[[#This Row],[cod_actividad]],tblActividades[codigo],tblActividades[descripcion],"(sin catálogo)"))</f>
        <v/>
      </c>
      <c r="AC632" s="20">
        <f>IF(tblOrdenes[[#This Row],[fecha_inicio]]="","",TODAY()-tblOrdenes[[#This Row],[fecha_inicio]])</f>
        <v/>
      </c>
      <c r="AD6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2" s="5">
        <f>IF(tblOrdenes[[#This Row],[backlog_habiles]]="","",IF(tblOrdenes[[#This Row],[backlog_habiles]]&lt;0,"FUTURO",IF(tblOrdenes[[#This Row],[backlog_habiles]]&gt;p_dias_backlog_max,"BACKLOG","MES CORRIENTE")))</f>
        <v/>
      </c>
      <c r="AF632" s="5">
        <f>IF(tblOrdenes[[#This Row],[backlog_habiles]]="",FALSE,AND(tblOrdenes[[#This Row],[backlog_habiles]]&gt;p_dias_backlog_min,tblOrdenes[[#This Row],[backlog_habiles]]&lt;=p_dias_backlog_max))</f>
        <v/>
      </c>
      <c r="AG632" s="4" t="n"/>
      <c r="AH6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2" s="18">
        <f>IF(tblOrdenes[[#This Row],[orden]]="","",_xlfn.XLOOKUP(tblOrdenes[[#This Row],[id_operacion]],tblEjecucion[id_operacion],tblEjecucion[precio],0))</f>
        <v/>
      </c>
      <c r="AL632" s="18">
        <f>IF(tblOrdenes[[#This Row],[orden]]="","",MAX(0,_xlfn.XLOOKUP(tblOrdenes[[#This Row],[id_operacion]],tblEjecucion[id_operacion],tblEjecucion[costo_plan_total],0)-tblOrdenes[[#This Row],[costo_servicio]]))</f>
        <v/>
      </c>
      <c r="AM632" s="18">
        <f>IF(tblOrdenes[[#This Row],[orden]]="","",tblOrdenes[[#This Row],[costo_servicio]]+tblOrdenes[[#This Row],[costo_materiales]])</f>
        <v/>
      </c>
      <c r="AN6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2" s="4" t="n"/>
      <c r="AP632" s="4" t="n"/>
      <c r="AQ632" s="4" t="n"/>
      <c r="AR632" s="5">
        <f>IF(tblOrdenes[[#This Row],[link_checklist]]="","",HYPERLINK(p_ruta_base_checklists&amp;tblOrdenes[[#This Row],[link_checklist]],"abrir"))</f>
        <v/>
      </c>
      <c r="AS632" s="4" t="n"/>
      <c r="AT632" s="5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22" t="n"/>
      <c r="K633" s="5" t="n"/>
      <c r="L633" s="18" t="n"/>
      <c r="M6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5">
        <f>IF(tblOrdenes[[#This Row],[fecha_inicio]]="","",YEAR(tblOrdenes[[#This Row],[fecha_inicio]]))</f>
        <v/>
      </c>
      <c r="Q633" s="5">
        <f>IF(tblOrdenes[[#This Row],[fecha_inicio]]="","",MONTH(tblOrdenes[[#This Row],[fecha_inicio]]))</f>
        <v/>
      </c>
      <c r="R633" s="5">
        <f>IF(tblOrdenes[[#This Row],[fecha_inicio]]="","",tblOrdenes[[#This Row],[anio]]&amp;"-"&amp;TEXT(tblOrdenes[[#This Row],[mes]],"00"))</f>
        <v/>
      </c>
      <c r="S633" s="5">
        <f>IF(tblOrdenes[[#This Row],[fecha_inicio]]="","",INDEX(lista_dias,WEEKDAY(tblOrdenes[[#This Row],[fecha_inicio]],2)))</f>
        <v/>
      </c>
      <c r="T6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3" s="5">
        <f>IF(tblOrdenes[[#This Row],[tipo_ot]]="","",_xlfn.XLOOKUP(tblOrdenes[[#This Row],[tipo_ot]],tblTiposOT[codigo],tblTiposOT[clasificacion],"sin_clasificar"))</f>
        <v/>
      </c>
      <c r="V6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3" s="5">
        <f>IF(tblOrdenes[[#This Row],[centro_costo]]="","",_xlfn.XLOOKUP(tblOrdenes[[#This Row],[centro_costo]],tblCECO[codigo],tblCECO[linea],"(sin catálogo)"))</f>
        <v/>
      </c>
      <c r="X633" s="5">
        <f>IF(tblOrdenes[[#This Row],[centro_costo]]="","",_xlfn.XLOOKUP(tblOrdenes[[#This Row],[centro_costo]],tblCECO[codigo],tblCECO[area],"(sin catálogo)"))</f>
        <v/>
      </c>
      <c r="Y6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3" s="5">
        <f>IF(tblOrdenes[[#This Row],[centro_costo]]="","",_xlfn.XLOOKUP(tblOrdenes[[#This Row],[centro_costo]],tblCECO[codigo],tblCECO[coordinador],"(sin catálogo)"))</f>
        <v/>
      </c>
      <c r="AA633" s="5">
        <f>IF(tblOrdenes[[#This Row],[puesto_trabajo]]="","",_xlfn.XLOOKUP(tblOrdenes[[#This Row],[puesto_trabajo]],tblPuestos[codigo],tblPuestos[especialidad],"(sin catálogo)"))</f>
        <v/>
      </c>
      <c r="AB633" s="5">
        <f>IF(tblOrdenes[[#This Row],[cod_actividad]]="","",_xlfn.XLOOKUP(tblOrdenes[[#This Row],[cod_actividad]],tblActividades[codigo],tblActividades[descripcion],"(sin catálogo)"))</f>
        <v/>
      </c>
      <c r="AC633" s="20">
        <f>IF(tblOrdenes[[#This Row],[fecha_inicio]]="","",TODAY()-tblOrdenes[[#This Row],[fecha_inicio]])</f>
        <v/>
      </c>
      <c r="AD6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3" s="5">
        <f>IF(tblOrdenes[[#This Row],[backlog_habiles]]="","",IF(tblOrdenes[[#This Row],[backlog_habiles]]&lt;0,"FUTURO",IF(tblOrdenes[[#This Row],[backlog_habiles]]&gt;p_dias_backlog_max,"BACKLOG","MES CORRIENTE")))</f>
        <v/>
      </c>
      <c r="AF633" s="5">
        <f>IF(tblOrdenes[[#This Row],[backlog_habiles]]="",FALSE,AND(tblOrdenes[[#This Row],[backlog_habiles]]&gt;p_dias_backlog_min,tblOrdenes[[#This Row],[backlog_habiles]]&lt;=p_dias_backlog_max))</f>
        <v/>
      </c>
      <c r="AG633" s="4" t="n"/>
      <c r="AH6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3" s="18">
        <f>IF(tblOrdenes[[#This Row],[orden]]="","",_xlfn.XLOOKUP(tblOrdenes[[#This Row],[id_operacion]],tblEjecucion[id_operacion],tblEjecucion[precio],0))</f>
        <v/>
      </c>
      <c r="AL633" s="18">
        <f>IF(tblOrdenes[[#This Row],[orden]]="","",MAX(0,_xlfn.XLOOKUP(tblOrdenes[[#This Row],[id_operacion]],tblEjecucion[id_operacion],tblEjecucion[costo_plan_total],0)-tblOrdenes[[#This Row],[costo_servicio]]))</f>
        <v/>
      </c>
      <c r="AM633" s="18">
        <f>IF(tblOrdenes[[#This Row],[orden]]="","",tblOrdenes[[#This Row],[costo_servicio]]+tblOrdenes[[#This Row],[costo_materiales]])</f>
        <v/>
      </c>
      <c r="AN6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3" s="4" t="n"/>
      <c r="AP633" s="4" t="n"/>
      <c r="AQ633" s="4" t="n"/>
      <c r="AR633" s="5">
        <f>IF(tblOrdenes[[#This Row],[link_checklist]]="","",HYPERLINK(p_ruta_base_checklists&amp;tblOrdenes[[#This Row],[link_checklist]],"abrir"))</f>
        <v/>
      </c>
      <c r="AS633" s="4" t="n"/>
      <c r="AT633" s="5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22" t="n"/>
      <c r="K634" s="5" t="n"/>
      <c r="L634" s="18" t="n"/>
      <c r="M6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5">
        <f>IF(tblOrdenes[[#This Row],[fecha_inicio]]="","",YEAR(tblOrdenes[[#This Row],[fecha_inicio]]))</f>
        <v/>
      </c>
      <c r="Q634" s="5">
        <f>IF(tblOrdenes[[#This Row],[fecha_inicio]]="","",MONTH(tblOrdenes[[#This Row],[fecha_inicio]]))</f>
        <v/>
      </c>
      <c r="R634" s="5">
        <f>IF(tblOrdenes[[#This Row],[fecha_inicio]]="","",tblOrdenes[[#This Row],[anio]]&amp;"-"&amp;TEXT(tblOrdenes[[#This Row],[mes]],"00"))</f>
        <v/>
      </c>
      <c r="S634" s="5">
        <f>IF(tblOrdenes[[#This Row],[fecha_inicio]]="","",INDEX(lista_dias,WEEKDAY(tblOrdenes[[#This Row],[fecha_inicio]],2)))</f>
        <v/>
      </c>
      <c r="T6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4" s="5">
        <f>IF(tblOrdenes[[#This Row],[tipo_ot]]="","",_xlfn.XLOOKUP(tblOrdenes[[#This Row],[tipo_ot]],tblTiposOT[codigo],tblTiposOT[clasificacion],"sin_clasificar"))</f>
        <v/>
      </c>
      <c r="V6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4" s="5">
        <f>IF(tblOrdenes[[#This Row],[centro_costo]]="","",_xlfn.XLOOKUP(tblOrdenes[[#This Row],[centro_costo]],tblCECO[codigo],tblCECO[linea],"(sin catálogo)"))</f>
        <v/>
      </c>
      <c r="X634" s="5">
        <f>IF(tblOrdenes[[#This Row],[centro_costo]]="","",_xlfn.XLOOKUP(tblOrdenes[[#This Row],[centro_costo]],tblCECO[codigo],tblCECO[area],"(sin catálogo)"))</f>
        <v/>
      </c>
      <c r="Y6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4" s="5">
        <f>IF(tblOrdenes[[#This Row],[centro_costo]]="","",_xlfn.XLOOKUP(tblOrdenes[[#This Row],[centro_costo]],tblCECO[codigo],tblCECO[coordinador],"(sin catálogo)"))</f>
        <v/>
      </c>
      <c r="AA634" s="5">
        <f>IF(tblOrdenes[[#This Row],[puesto_trabajo]]="","",_xlfn.XLOOKUP(tblOrdenes[[#This Row],[puesto_trabajo]],tblPuestos[codigo],tblPuestos[especialidad],"(sin catálogo)"))</f>
        <v/>
      </c>
      <c r="AB634" s="5">
        <f>IF(tblOrdenes[[#This Row],[cod_actividad]]="","",_xlfn.XLOOKUP(tblOrdenes[[#This Row],[cod_actividad]],tblActividades[codigo],tblActividades[descripcion],"(sin catálogo)"))</f>
        <v/>
      </c>
      <c r="AC634" s="20">
        <f>IF(tblOrdenes[[#This Row],[fecha_inicio]]="","",TODAY()-tblOrdenes[[#This Row],[fecha_inicio]])</f>
        <v/>
      </c>
      <c r="AD6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4" s="5">
        <f>IF(tblOrdenes[[#This Row],[backlog_habiles]]="","",IF(tblOrdenes[[#This Row],[backlog_habiles]]&lt;0,"FUTURO",IF(tblOrdenes[[#This Row],[backlog_habiles]]&gt;p_dias_backlog_max,"BACKLOG","MES CORRIENTE")))</f>
        <v/>
      </c>
      <c r="AF634" s="5">
        <f>IF(tblOrdenes[[#This Row],[backlog_habiles]]="",FALSE,AND(tblOrdenes[[#This Row],[backlog_habiles]]&gt;p_dias_backlog_min,tblOrdenes[[#This Row],[backlog_habiles]]&lt;=p_dias_backlog_max))</f>
        <v/>
      </c>
      <c r="AG634" s="4" t="n"/>
      <c r="AH6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4" s="18">
        <f>IF(tblOrdenes[[#This Row],[orden]]="","",_xlfn.XLOOKUP(tblOrdenes[[#This Row],[id_operacion]],tblEjecucion[id_operacion],tblEjecucion[precio],0))</f>
        <v/>
      </c>
      <c r="AL634" s="18">
        <f>IF(tblOrdenes[[#This Row],[orden]]="","",MAX(0,_xlfn.XLOOKUP(tblOrdenes[[#This Row],[id_operacion]],tblEjecucion[id_operacion],tblEjecucion[costo_plan_total],0)-tblOrdenes[[#This Row],[costo_servicio]]))</f>
        <v/>
      </c>
      <c r="AM634" s="18">
        <f>IF(tblOrdenes[[#This Row],[orden]]="","",tblOrdenes[[#This Row],[costo_servicio]]+tblOrdenes[[#This Row],[costo_materiales]])</f>
        <v/>
      </c>
      <c r="AN6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4" s="4" t="n"/>
      <c r="AP634" s="4" t="n"/>
      <c r="AQ634" s="4" t="n"/>
      <c r="AR634" s="5">
        <f>IF(tblOrdenes[[#This Row],[link_checklist]]="","",HYPERLINK(p_ruta_base_checklists&amp;tblOrdenes[[#This Row],[link_checklist]],"abrir"))</f>
        <v/>
      </c>
      <c r="AS634" s="4" t="n"/>
      <c r="AT634" s="5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22" t="n"/>
      <c r="K635" s="5" t="n"/>
      <c r="L635" s="18" t="n"/>
      <c r="M6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5">
        <f>IF(tblOrdenes[[#This Row],[fecha_inicio]]="","",YEAR(tblOrdenes[[#This Row],[fecha_inicio]]))</f>
        <v/>
      </c>
      <c r="Q635" s="5">
        <f>IF(tblOrdenes[[#This Row],[fecha_inicio]]="","",MONTH(tblOrdenes[[#This Row],[fecha_inicio]]))</f>
        <v/>
      </c>
      <c r="R635" s="5">
        <f>IF(tblOrdenes[[#This Row],[fecha_inicio]]="","",tblOrdenes[[#This Row],[anio]]&amp;"-"&amp;TEXT(tblOrdenes[[#This Row],[mes]],"00"))</f>
        <v/>
      </c>
      <c r="S635" s="5">
        <f>IF(tblOrdenes[[#This Row],[fecha_inicio]]="","",INDEX(lista_dias,WEEKDAY(tblOrdenes[[#This Row],[fecha_inicio]],2)))</f>
        <v/>
      </c>
      <c r="T6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5" s="5">
        <f>IF(tblOrdenes[[#This Row],[tipo_ot]]="","",_xlfn.XLOOKUP(tblOrdenes[[#This Row],[tipo_ot]],tblTiposOT[codigo],tblTiposOT[clasificacion],"sin_clasificar"))</f>
        <v/>
      </c>
      <c r="V6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5" s="5">
        <f>IF(tblOrdenes[[#This Row],[centro_costo]]="","",_xlfn.XLOOKUP(tblOrdenes[[#This Row],[centro_costo]],tblCECO[codigo],tblCECO[linea],"(sin catálogo)"))</f>
        <v/>
      </c>
      <c r="X635" s="5">
        <f>IF(tblOrdenes[[#This Row],[centro_costo]]="","",_xlfn.XLOOKUP(tblOrdenes[[#This Row],[centro_costo]],tblCECO[codigo],tblCECO[area],"(sin catálogo)"))</f>
        <v/>
      </c>
      <c r="Y6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5" s="5">
        <f>IF(tblOrdenes[[#This Row],[centro_costo]]="","",_xlfn.XLOOKUP(tblOrdenes[[#This Row],[centro_costo]],tblCECO[codigo],tblCECO[coordinador],"(sin catálogo)"))</f>
        <v/>
      </c>
      <c r="AA635" s="5">
        <f>IF(tblOrdenes[[#This Row],[puesto_trabajo]]="","",_xlfn.XLOOKUP(tblOrdenes[[#This Row],[puesto_trabajo]],tblPuestos[codigo],tblPuestos[especialidad],"(sin catálogo)"))</f>
        <v/>
      </c>
      <c r="AB635" s="5">
        <f>IF(tblOrdenes[[#This Row],[cod_actividad]]="","",_xlfn.XLOOKUP(tblOrdenes[[#This Row],[cod_actividad]],tblActividades[codigo],tblActividades[descripcion],"(sin catálogo)"))</f>
        <v/>
      </c>
      <c r="AC635" s="20">
        <f>IF(tblOrdenes[[#This Row],[fecha_inicio]]="","",TODAY()-tblOrdenes[[#This Row],[fecha_inicio]])</f>
        <v/>
      </c>
      <c r="AD6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5" s="5">
        <f>IF(tblOrdenes[[#This Row],[backlog_habiles]]="","",IF(tblOrdenes[[#This Row],[backlog_habiles]]&lt;0,"FUTURO",IF(tblOrdenes[[#This Row],[backlog_habiles]]&gt;p_dias_backlog_max,"BACKLOG","MES CORRIENTE")))</f>
        <v/>
      </c>
      <c r="AF635" s="5">
        <f>IF(tblOrdenes[[#This Row],[backlog_habiles]]="",FALSE,AND(tblOrdenes[[#This Row],[backlog_habiles]]&gt;p_dias_backlog_min,tblOrdenes[[#This Row],[backlog_habiles]]&lt;=p_dias_backlog_max))</f>
        <v/>
      </c>
      <c r="AG635" s="4" t="n"/>
      <c r="AH6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5" s="18">
        <f>IF(tblOrdenes[[#This Row],[orden]]="","",_xlfn.XLOOKUP(tblOrdenes[[#This Row],[id_operacion]],tblEjecucion[id_operacion],tblEjecucion[precio],0))</f>
        <v/>
      </c>
      <c r="AL635" s="18">
        <f>IF(tblOrdenes[[#This Row],[orden]]="","",MAX(0,_xlfn.XLOOKUP(tblOrdenes[[#This Row],[id_operacion]],tblEjecucion[id_operacion],tblEjecucion[costo_plan_total],0)-tblOrdenes[[#This Row],[costo_servicio]]))</f>
        <v/>
      </c>
      <c r="AM635" s="18">
        <f>IF(tblOrdenes[[#This Row],[orden]]="","",tblOrdenes[[#This Row],[costo_servicio]]+tblOrdenes[[#This Row],[costo_materiales]])</f>
        <v/>
      </c>
      <c r="AN6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5" s="4" t="n"/>
      <c r="AP635" s="4" t="n"/>
      <c r="AQ635" s="4" t="n"/>
      <c r="AR635" s="5">
        <f>IF(tblOrdenes[[#This Row],[link_checklist]]="","",HYPERLINK(p_ruta_base_checklists&amp;tblOrdenes[[#This Row],[link_checklist]],"abrir"))</f>
        <v/>
      </c>
      <c r="AS635" s="4" t="n"/>
      <c r="AT635" s="5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22" t="n"/>
      <c r="K636" s="5" t="n"/>
      <c r="L636" s="18" t="n"/>
      <c r="M6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5">
        <f>IF(tblOrdenes[[#This Row],[fecha_inicio]]="","",YEAR(tblOrdenes[[#This Row],[fecha_inicio]]))</f>
        <v/>
      </c>
      <c r="Q636" s="5">
        <f>IF(tblOrdenes[[#This Row],[fecha_inicio]]="","",MONTH(tblOrdenes[[#This Row],[fecha_inicio]]))</f>
        <v/>
      </c>
      <c r="R636" s="5">
        <f>IF(tblOrdenes[[#This Row],[fecha_inicio]]="","",tblOrdenes[[#This Row],[anio]]&amp;"-"&amp;TEXT(tblOrdenes[[#This Row],[mes]],"00"))</f>
        <v/>
      </c>
      <c r="S636" s="5">
        <f>IF(tblOrdenes[[#This Row],[fecha_inicio]]="","",INDEX(lista_dias,WEEKDAY(tblOrdenes[[#This Row],[fecha_inicio]],2)))</f>
        <v/>
      </c>
      <c r="T6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6" s="5">
        <f>IF(tblOrdenes[[#This Row],[tipo_ot]]="","",_xlfn.XLOOKUP(tblOrdenes[[#This Row],[tipo_ot]],tblTiposOT[codigo],tblTiposOT[clasificacion],"sin_clasificar"))</f>
        <v/>
      </c>
      <c r="V6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6" s="5">
        <f>IF(tblOrdenes[[#This Row],[centro_costo]]="","",_xlfn.XLOOKUP(tblOrdenes[[#This Row],[centro_costo]],tblCECO[codigo],tblCECO[linea],"(sin catálogo)"))</f>
        <v/>
      </c>
      <c r="X636" s="5">
        <f>IF(tblOrdenes[[#This Row],[centro_costo]]="","",_xlfn.XLOOKUP(tblOrdenes[[#This Row],[centro_costo]],tblCECO[codigo],tblCECO[area],"(sin catálogo)"))</f>
        <v/>
      </c>
      <c r="Y6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6" s="5">
        <f>IF(tblOrdenes[[#This Row],[centro_costo]]="","",_xlfn.XLOOKUP(tblOrdenes[[#This Row],[centro_costo]],tblCECO[codigo],tblCECO[coordinador],"(sin catálogo)"))</f>
        <v/>
      </c>
      <c r="AA636" s="5">
        <f>IF(tblOrdenes[[#This Row],[puesto_trabajo]]="","",_xlfn.XLOOKUP(tblOrdenes[[#This Row],[puesto_trabajo]],tblPuestos[codigo],tblPuestos[especialidad],"(sin catálogo)"))</f>
        <v/>
      </c>
      <c r="AB636" s="5">
        <f>IF(tblOrdenes[[#This Row],[cod_actividad]]="","",_xlfn.XLOOKUP(tblOrdenes[[#This Row],[cod_actividad]],tblActividades[codigo],tblActividades[descripcion],"(sin catálogo)"))</f>
        <v/>
      </c>
      <c r="AC636" s="20">
        <f>IF(tblOrdenes[[#This Row],[fecha_inicio]]="","",TODAY()-tblOrdenes[[#This Row],[fecha_inicio]])</f>
        <v/>
      </c>
      <c r="AD6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6" s="5">
        <f>IF(tblOrdenes[[#This Row],[backlog_habiles]]="","",IF(tblOrdenes[[#This Row],[backlog_habiles]]&lt;0,"FUTURO",IF(tblOrdenes[[#This Row],[backlog_habiles]]&gt;p_dias_backlog_max,"BACKLOG","MES CORRIENTE")))</f>
        <v/>
      </c>
      <c r="AF636" s="5">
        <f>IF(tblOrdenes[[#This Row],[backlog_habiles]]="",FALSE,AND(tblOrdenes[[#This Row],[backlog_habiles]]&gt;p_dias_backlog_min,tblOrdenes[[#This Row],[backlog_habiles]]&lt;=p_dias_backlog_max))</f>
        <v/>
      </c>
      <c r="AG636" s="4" t="n"/>
      <c r="AH6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6" s="18">
        <f>IF(tblOrdenes[[#This Row],[orden]]="","",_xlfn.XLOOKUP(tblOrdenes[[#This Row],[id_operacion]],tblEjecucion[id_operacion],tblEjecucion[precio],0))</f>
        <v/>
      </c>
      <c r="AL636" s="18">
        <f>IF(tblOrdenes[[#This Row],[orden]]="","",MAX(0,_xlfn.XLOOKUP(tblOrdenes[[#This Row],[id_operacion]],tblEjecucion[id_operacion],tblEjecucion[costo_plan_total],0)-tblOrdenes[[#This Row],[costo_servicio]]))</f>
        <v/>
      </c>
      <c r="AM636" s="18">
        <f>IF(tblOrdenes[[#This Row],[orden]]="","",tblOrdenes[[#This Row],[costo_servicio]]+tblOrdenes[[#This Row],[costo_materiales]])</f>
        <v/>
      </c>
      <c r="AN6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6" s="4" t="n"/>
      <c r="AP636" s="4" t="n"/>
      <c r="AQ636" s="4" t="n"/>
      <c r="AR636" s="5">
        <f>IF(tblOrdenes[[#This Row],[link_checklist]]="","",HYPERLINK(p_ruta_base_checklists&amp;tblOrdenes[[#This Row],[link_checklist]],"abrir"))</f>
        <v/>
      </c>
      <c r="AS636" s="4" t="n"/>
      <c r="AT636" s="5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22" t="n"/>
      <c r="K637" s="5" t="n"/>
      <c r="L637" s="18" t="n"/>
      <c r="M6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5">
        <f>IF(tblOrdenes[[#This Row],[fecha_inicio]]="","",YEAR(tblOrdenes[[#This Row],[fecha_inicio]]))</f>
        <v/>
      </c>
      <c r="Q637" s="5">
        <f>IF(tblOrdenes[[#This Row],[fecha_inicio]]="","",MONTH(tblOrdenes[[#This Row],[fecha_inicio]]))</f>
        <v/>
      </c>
      <c r="R637" s="5">
        <f>IF(tblOrdenes[[#This Row],[fecha_inicio]]="","",tblOrdenes[[#This Row],[anio]]&amp;"-"&amp;TEXT(tblOrdenes[[#This Row],[mes]],"00"))</f>
        <v/>
      </c>
      <c r="S637" s="5">
        <f>IF(tblOrdenes[[#This Row],[fecha_inicio]]="","",INDEX(lista_dias,WEEKDAY(tblOrdenes[[#This Row],[fecha_inicio]],2)))</f>
        <v/>
      </c>
      <c r="T6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7" s="5">
        <f>IF(tblOrdenes[[#This Row],[tipo_ot]]="","",_xlfn.XLOOKUP(tblOrdenes[[#This Row],[tipo_ot]],tblTiposOT[codigo],tblTiposOT[clasificacion],"sin_clasificar"))</f>
        <v/>
      </c>
      <c r="V6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7" s="5">
        <f>IF(tblOrdenes[[#This Row],[centro_costo]]="","",_xlfn.XLOOKUP(tblOrdenes[[#This Row],[centro_costo]],tblCECO[codigo],tblCECO[linea],"(sin catálogo)"))</f>
        <v/>
      </c>
      <c r="X637" s="5">
        <f>IF(tblOrdenes[[#This Row],[centro_costo]]="","",_xlfn.XLOOKUP(tblOrdenes[[#This Row],[centro_costo]],tblCECO[codigo],tblCECO[area],"(sin catálogo)"))</f>
        <v/>
      </c>
      <c r="Y6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7" s="5">
        <f>IF(tblOrdenes[[#This Row],[centro_costo]]="","",_xlfn.XLOOKUP(tblOrdenes[[#This Row],[centro_costo]],tblCECO[codigo],tblCECO[coordinador],"(sin catálogo)"))</f>
        <v/>
      </c>
      <c r="AA637" s="5">
        <f>IF(tblOrdenes[[#This Row],[puesto_trabajo]]="","",_xlfn.XLOOKUP(tblOrdenes[[#This Row],[puesto_trabajo]],tblPuestos[codigo],tblPuestos[especialidad],"(sin catálogo)"))</f>
        <v/>
      </c>
      <c r="AB637" s="5">
        <f>IF(tblOrdenes[[#This Row],[cod_actividad]]="","",_xlfn.XLOOKUP(tblOrdenes[[#This Row],[cod_actividad]],tblActividades[codigo],tblActividades[descripcion],"(sin catálogo)"))</f>
        <v/>
      </c>
      <c r="AC637" s="20">
        <f>IF(tblOrdenes[[#This Row],[fecha_inicio]]="","",TODAY()-tblOrdenes[[#This Row],[fecha_inicio]])</f>
        <v/>
      </c>
      <c r="AD6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7" s="5">
        <f>IF(tblOrdenes[[#This Row],[backlog_habiles]]="","",IF(tblOrdenes[[#This Row],[backlog_habiles]]&lt;0,"FUTURO",IF(tblOrdenes[[#This Row],[backlog_habiles]]&gt;p_dias_backlog_max,"BACKLOG","MES CORRIENTE")))</f>
        <v/>
      </c>
      <c r="AF637" s="5">
        <f>IF(tblOrdenes[[#This Row],[backlog_habiles]]="",FALSE,AND(tblOrdenes[[#This Row],[backlog_habiles]]&gt;p_dias_backlog_min,tblOrdenes[[#This Row],[backlog_habiles]]&lt;=p_dias_backlog_max))</f>
        <v/>
      </c>
      <c r="AG637" s="4" t="n"/>
      <c r="AH6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7" s="18">
        <f>IF(tblOrdenes[[#This Row],[orden]]="","",_xlfn.XLOOKUP(tblOrdenes[[#This Row],[id_operacion]],tblEjecucion[id_operacion],tblEjecucion[precio],0))</f>
        <v/>
      </c>
      <c r="AL637" s="18">
        <f>IF(tblOrdenes[[#This Row],[orden]]="","",MAX(0,_xlfn.XLOOKUP(tblOrdenes[[#This Row],[id_operacion]],tblEjecucion[id_operacion],tblEjecucion[costo_plan_total],0)-tblOrdenes[[#This Row],[costo_servicio]]))</f>
        <v/>
      </c>
      <c r="AM637" s="18">
        <f>IF(tblOrdenes[[#This Row],[orden]]="","",tblOrdenes[[#This Row],[costo_servicio]]+tblOrdenes[[#This Row],[costo_materiales]])</f>
        <v/>
      </c>
      <c r="AN6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7" s="4" t="n"/>
      <c r="AP637" s="4" t="n"/>
      <c r="AQ637" s="4" t="n"/>
      <c r="AR637" s="5">
        <f>IF(tblOrdenes[[#This Row],[link_checklist]]="","",HYPERLINK(p_ruta_base_checklists&amp;tblOrdenes[[#This Row],[link_checklist]],"abrir"))</f>
        <v/>
      </c>
      <c r="AS637" s="4" t="n"/>
      <c r="AT637" s="5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22" t="n"/>
      <c r="K638" s="5" t="n"/>
      <c r="L638" s="18" t="n"/>
      <c r="M6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5">
        <f>IF(tblOrdenes[[#This Row],[fecha_inicio]]="","",YEAR(tblOrdenes[[#This Row],[fecha_inicio]]))</f>
        <v/>
      </c>
      <c r="Q638" s="5">
        <f>IF(tblOrdenes[[#This Row],[fecha_inicio]]="","",MONTH(tblOrdenes[[#This Row],[fecha_inicio]]))</f>
        <v/>
      </c>
      <c r="R638" s="5">
        <f>IF(tblOrdenes[[#This Row],[fecha_inicio]]="","",tblOrdenes[[#This Row],[anio]]&amp;"-"&amp;TEXT(tblOrdenes[[#This Row],[mes]],"00"))</f>
        <v/>
      </c>
      <c r="S638" s="5">
        <f>IF(tblOrdenes[[#This Row],[fecha_inicio]]="","",INDEX(lista_dias,WEEKDAY(tblOrdenes[[#This Row],[fecha_inicio]],2)))</f>
        <v/>
      </c>
      <c r="T6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8" s="5">
        <f>IF(tblOrdenes[[#This Row],[tipo_ot]]="","",_xlfn.XLOOKUP(tblOrdenes[[#This Row],[tipo_ot]],tblTiposOT[codigo],tblTiposOT[clasificacion],"sin_clasificar"))</f>
        <v/>
      </c>
      <c r="V6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8" s="5">
        <f>IF(tblOrdenes[[#This Row],[centro_costo]]="","",_xlfn.XLOOKUP(tblOrdenes[[#This Row],[centro_costo]],tblCECO[codigo],tblCECO[linea],"(sin catálogo)"))</f>
        <v/>
      </c>
      <c r="X638" s="5">
        <f>IF(tblOrdenes[[#This Row],[centro_costo]]="","",_xlfn.XLOOKUP(tblOrdenes[[#This Row],[centro_costo]],tblCECO[codigo],tblCECO[area],"(sin catálogo)"))</f>
        <v/>
      </c>
      <c r="Y6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8" s="5">
        <f>IF(tblOrdenes[[#This Row],[centro_costo]]="","",_xlfn.XLOOKUP(tblOrdenes[[#This Row],[centro_costo]],tblCECO[codigo],tblCECO[coordinador],"(sin catálogo)"))</f>
        <v/>
      </c>
      <c r="AA638" s="5">
        <f>IF(tblOrdenes[[#This Row],[puesto_trabajo]]="","",_xlfn.XLOOKUP(tblOrdenes[[#This Row],[puesto_trabajo]],tblPuestos[codigo],tblPuestos[especialidad],"(sin catálogo)"))</f>
        <v/>
      </c>
      <c r="AB638" s="5">
        <f>IF(tblOrdenes[[#This Row],[cod_actividad]]="","",_xlfn.XLOOKUP(tblOrdenes[[#This Row],[cod_actividad]],tblActividades[codigo],tblActividades[descripcion],"(sin catálogo)"))</f>
        <v/>
      </c>
      <c r="AC638" s="20">
        <f>IF(tblOrdenes[[#This Row],[fecha_inicio]]="","",TODAY()-tblOrdenes[[#This Row],[fecha_inicio]])</f>
        <v/>
      </c>
      <c r="AD6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8" s="5">
        <f>IF(tblOrdenes[[#This Row],[backlog_habiles]]="","",IF(tblOrdenes[[#This Row],[backlog_habiles]]&lt;0,"FUTURO",IF(tblOrdenes[[#This Row],[backlog_habiles]]&gt;p_dias_backlog_max,"BACKLOG","MES CORRIENTE")))</f>
        <v/>
      </c>
      <c r="AF638" s="5">
        <f>IF(tblOrdenes[[#This Row],[backlog_habiles]]="",FALSE,AND(tblOrdenes[[#This Row],[backlog_habiles]]&gt;p_dias_backlog_min,tblOrdenes[[#This Row],[backlog_habiles]]&lt;=p_dias_backlog_max))</f>
        <v/>
      </c>
      <c r="AG638" s="4" t="n"/>
      <c r="AH6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8" s="18">
        <f>IF(tblOrdenes[[#This Row],[orden]]="","",_xlfn.XLOOKUP(tblOrdenes[[#This Row],[id_operacion]],tblEjecucion[id_operacion],tblEjecucion[precio],0))</f>
        <v/>
      </c>
      <c r="AL638" s="18">
        <f>IF(tblOrdenes[[#This Row],[orden]]="","",MAX(0,_xlfn.XLOOKUP(tblOrdenes[[#This Row],[id_operacion]],tblEjecucion[id_operacion],tblEjecucion[costo_plan_total],0)-tblOrdenes[[#This Row],[costo_servicio]]))</f>
        <v/>
      </c>
      <c r="AM638" s="18">
        <f>IF(tblOrdenes[[#This Row],[orden]]="","",tblOrdenes[[#This Row],[costo_servicio]]+tblOrdenes[[#This Row],[costo_materiales]])</f>
        <v/>
      </c>
      <c r="AN6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8" s="4" t="n"/>
      <c r="AP638" s="4" t="n"/>
      <c r="AQ638" s="4" t="n"/>
      <c r="AR638" s="5">
        <f>IF(tblOrdenes[[#This Row],[link_checklist]]="","",HYPERLINK(p_ruta_base_checklists&amp;tblOrdenes[[#This Row],[link_checklist]],"abrir"))</f>
        <v/>
      </c>
      <c r="AS638" s="4" t="n"/>
      <c r="AT638" s="5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22" t="n"/>
      <c r="K639" s="5" t="n"/>
      <c r="L639" s="18" t="n"/>
      <c r="M6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5">
        <f>IF(tblOrdenes[[#This Row],[fecha_inicio]]="","",YEAR(tblOrdenes[[#This Row],[fecha_inicio]]))</f>
        <v/>
      </c>
      <c r="Q639" s="5">
        <f>IF(tblOrdenes[[#This Row],[fecha_inicio]]="","",MONTH(tblOrdenes[[#This Row],[fecha_inicio]]))</f>
        <v/>
      </c>
      <c r="R639" s="5">
        <f>IF(tblOrdenes[[#This Row],[fecha_inicio]]="","",tblOrdenes[[#This Row],[anio]]&amp;"-"&amp;TEXT(tblOrdenes[[#This Row],[mes]],"00"))</f>
        <v/>
      </c>
      <c r="S639" s="5">
        <f>IF(tblOrdenes[[#This Row],[fecha_inicio]]="","",INDEX(lista_dias,WEEKDAY(tblOrdenes[[#This Row],[fecha_inicio]],2)))</f>
        <v/>
      </c>
      <c r="T6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9" s="5">
        <f>IF(tblOrdenes[[#This Row],[tipo_ot]]="","",_xlfn.XLOOKUP(tblOrdenes[[#This Row],[tipo_ot]],tblTiposOT[codigo],tblTiposOT[clasificacion],"sin_clasificar"))</f>
        <v/>
      </c>
      <c r="V6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9" s="5">
        <f>IF(tblOrdenes[[#This Row],[centro_costo]]="","",_xlfn.XLOOKUP(tblOrdenes[[#This Row],[centro_costo]],tblCECO[codigo],tblCECO[linea],"(sin catálogo)"))</f>
        <v/>
      </c>
      <c r="X639" s="5">
        <f>IF(tblOrdenes[[#This Row],[centro_costo]]="","",_xlfn.XLOOKUP(tblOrdenes[[#This Row],[centro_costo]],tblCECO[codigo],tblCECO[area],"(sin catálogo)"))</f>
        <v/>
      </c>
      <c r="Y6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39" s="5">
        <f>IF(tblOrdenes[[#This Row],[centro_costo]]="","",_xlfn.XLOOKUP(tblOrdenes[[#This Row],[centro_costo]],tblCECO[codigo],tblCECO[coordinador],"(sin catálogo)"))</f>
        <v/>
      </c>
      <c r="AA639" s="5">
        <f>IF(tblOrdenes[[#This Row],[puesto_trabajo]]="","",_xlfn.XLOOKUP(tblOrdenes[[#This Row],[puesto_trabajo]],tblPuestos[codigo],tblPuestos[especialidad],"(sin catálogo)"))</f>
        <v/>
      </c>
      <c r="AB639" s="5">
        <f>IF(tblOrdenes[[#This Row],[cod_actividad]]="","",_xlfn.XLOOKUP(tblOrdenes[[#This Row],[cod_actividad]],tblActividades[codigo],tblActividades[descripcion],"(sin catálogo)"))</f>
        <v/>
      </c>
      <c r="AC639" s="20">
        <f>IF(tblOrdenes[[#This Row],[fecha_inicio]]="","",TODAY()-tblOrdenes[[#This Row],[fecha_inicio]])</f>
        <v/>
      </c>
      <c r="AD6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39" s="5">
        <f>IF(tblOrdenes[[#This Row],[backlog_habiles]]="","",IF(tblOrdenes[[#This Row],[backlog_habiles]]&lt;0,"FUTURO",IF(tblOrdenes[[#This Row],[backlog_habiles]]&gt;p_dias_backlog_max,"BACKLOG","MES CORRIENTE")))</f>
        <v/>
      </c>
      <c r="AF639" s="5">
        <f>IF(tblOrdenes[[#This Row],[backlog_habiles]]="",FALSE,AND(tblOrdenes[[#This Row],[backlog_habiles]]&gt;p_dias_backlog_min,tblOrdenes[[#This Row],[backlog_habiles]]&lt;=p_dias_backlog_max))</f>
        <v/>
      </c>
      <c r="AG639" s="4" t="n"/>
      <c r="AH6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39" s="18">
        <f>IF(tblOrdenes[[#This Row],[orden]]="","",_xlfn.XLOOKUP(tblOrdenes[[#This Row],[id_operacion]],tblEjecucion[id_operacion],tblEjecucion[precio],0))</f>
        <v/>
      </c>
      <c r="AL639" s="18">
        <f>IF(tblOrdenes[[#This Row],[orden]]="","",MAX(0,_xlfn.XLOOKUP(tblOrdenes[[#This Row],[id_operacion]],tblEjecucion[id_operacion],tblEjecucion[costo_plan_total],0)-tblOrdenes[[#This Row],[costo_servicio]]))</f>
        <v/>
      </c>
      <c r="AM639" s="18">
        <f>IF(tblOrdenes[[#This Row],[orden]]="","",tblOrdenes[[#This Row],[costo_servicio]]+tblOrdenes[[#This Row],[costo_materiales]])</f>
        <v/>
      </c>
      <c r="AN6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39" s="4" t="n"/>
      <c r="AP639" s="4" t="n"/>
      <c r="AQ639" s="4" t="n"/>
      <c r="AR639" s="5">
        <f>IF(tblOrdenes[[#This Row],[link_checklist]]="","",HYPERLINK(p_ruta_base_checklists&amp;tblOrdenes[[#This Row],[link_checklist]],"abrir"))</f>
        <v/>
      </c>
      <c r="AS639" s="4" t="n"/>
      <c r="AT639" s="5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22" t="n"/>
      <c r="K640" s="5" t="n"/>
      <c r="L640" s="18" t="n"/>
      <c r="M6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5">
        <f>IF(tblOrdenes[[#This Row],[fecha_inicio]]="","",YEAR(tblOrdenes[[#This Row],[fecha_inicio]]))</f>
        <v/>
      </c>
      <c r="Q640" s="5">
        <f>IF(tblOrdenes[[#This Row],[fecha_inicio]]="","",MONTH(tblOrdenes[[#This Row],[fecha_inicio]]))</f>
        <v/>
      </c>
      <c r="R640" s="5">
        <f>IF(tblOrdenes[[#This Row],[fecha_inicio]]="","",tblOrdenes[[#This Row],[anio]]&amp;"-"&amp;TEXT(tblOrdenes[[#This Row],[mes]],"00"))</f>
        <v/>
      </c>
      <c r="S640" s="5">
        <f>IF(tblOrdenes[[#This Row],[fecha_inicio]]="","",INDEX(lista_dias,WEEKDAY(tblOrdenes[[#This Row],[fecha_inicio]],2)))</f>
        <v/>
      </c>
      <c r="T6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0" s="5">
        <f>IF(tblOrdenes[[#This Row],[tipo_ot]]="","",_xlfn.XLOOKUP(tblOrdenes[[#This Row],[tipo_ot]],tblTiposOT[codigo],tblTiposOT[clasificacion],"sin_clasificar"))</f>
        <v/>
      </c>
      <c r="V6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0" s="5">
        <f>IF(tblOrdenes[[#This Row],[centro_costo]]="","",_xlfn.XLOOKUP(tblOrdenes[[#This Row],[centro_costo]],tblCECO[codigo],tblCECO[linea],"(sin catálogo)"))</f>
        <v/>
      </c>
      <c r="X640" s="5">
        <f>IF(tblOrdenes[[#This Row],[centro_costo]]="","",_xlfn.XLOOKUP(tblOrdenes[[#This Row],[centro_costo]],tblCECO[codigo],tblCECO[area],"(sin catálogo)"))</f>
        <v/>
      </c>
      <c r="Y6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0" s="5">
        <f>IF(tblOrdenes[[#This Row],[centro_costo]]="","",_xlfn.XLOOKUP(tblOrdenes[[#This Row],[centro_costo]],tblCECO[codigo],tblCECO[coordinador],"(sin catálogo)"))</f>
        <v/>
      </c>
      <c r="AA640" s="5">
        <f>IF(tblOrdenes[[#This Row],[puesto_trabajo]]="","",_xlfn.XLOOKUP(tblOrdenes[[#This Row],[puesto_trabajo]],tblPuestos[codigo],tblPuestos[especialidad],"(sin catálogo)"))</f>
        <v/>
      </c>
      <c r="AB640" s="5">
        <f>IF(tblOrdenes[[#This Row],[cod_actividad]]="","",_xlfn.XLOOKUP(tblOrdenes[[#This Row],[cod_actividad]],tblActividades[codigo],tblActividades[descripcion],"(sin catálogo)"))</f>
        <v/>
      </c>
      <c r="AC640" s="20">
        <f>IF(tblOrdenes[[#This Row],[fecha_inicio]]="","",TODAY()-tblOrdenes[[#This Row],[fecha_inicio]])</f>
        <v/>
      </c>
      <c r="AD6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0" s="5">
        <f>IF(tblOrdenes[[#This Row],[backlog_habiles]]="","",IF(tblOrdenes[[#This Row],[backlog_habiles]]&lt;0,"FUTURO",IF(tblOrdenes[[#This Row],[backlog_habiles]]&gt;p_dias_backlog_max,"BACKLOG","MES CORRIENTE")))</f>
        <v/>
      </c>
      <c r="AF640" s="5">
        <f>IF(tblOrdenes[[#This Row],[backlog_habiles]]="",FALSE,AND(tblOrdenes[[#This Row],[backlog_habiles]]&gt;p_dias_backlog_min,tblOrdenes[[#This Row],[backlog_habiles]]&lt;=p_dias_backlog_max))</f>
        <v/>
      </c>
      <c r="AG640" s="4" t="n"/>
      <c r="AH6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0" s="18">
        <f>IF(tblOrdenes[[#This Row],[orden]]="","",_xlfn.XLOOKUP(tblOrdenes[[#This Row],[id_operacion]],tblEjecucion[id_operacion],tblEjecucion[precio],0))</f>
        <v/>
      </c>
      <c r="AL640" s="18">
        <f>IF(tblOrdenes[[#This Row],[orden]]="","",MAX(0,_xlfn.XLOOKUP(tblOrdenes[[#This Row],[id_operacion]],tblEjecucion[id_operacion],tblEjecucion[costo_plan_total],0)-tblOrdenes[[#This Row],[costo_servicio]]))</f>
        <v/>
      </c>
      <c r="AM640" s="18">
        <f>IF(tblOrdenes[[#This Row],[orden]]="","",tblOrdenes[[#This Row],[costo_servicio]]+tblOrdenes[[#This Row],[costo_materiales]])</f>
        <v/>
      </c>
      <c r="AN6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0" s="4" t="n"/>
      <c r="AP640" s="4" t="n"/>
      <c r="AQ640" s="4" t="n"/>
      <c r="AR640" s="5">
        <f>IF(tblOrdenes[[#This Row],[link_checklist]]="","",HYPERLINK(p_ruta_base_checklists&amp;tblOrdenes[[#This Row],[link_checklist]],"abrir"))</f>
        <v/>
      </c>
      <c r="AS640" s="4" t="n"/>
      <c r="AT640" s="5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22" t="n"/>
      <c r="K641" s="5" t="n"/>
      <c r="L641" s="18" t="n"/>
      <c r="M6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5">
        <f>IF(tblOrdenes[[#This Row],[fecha_inicio]]="","",YEAR(tblOrdenes[[#This Row],[fecha_inicio]]))</f>
        <v/>
      </c>
      <c r="Q641" s="5">
        <f>IF(tblOrdenes[[#This Row],[fecha_inicio]]="","",MONTH(tblOrdenes[[#This Row],[fecha_inicio]]))</f>
        <v/>
      </c>
      <c r="R641" s="5">
        <f>IF(tblOrdenes[[#This Row],[fecha_inicio]]="","",tblOrdenes[[#This Row],[anio]]&amp;"-"&amp;TEXT(tblOrdenes[[#This Row],[mes]],"00"))</f>
        <v/>
      </c>
      <c r="S641" s="5">
        <f>IF(tblOrdenes[[#This Row],[fecha_inicio]]="","",INDEX(lista_dias,WEEKDAY(tblOrdenes[[#This Row],[fecha_inicio]],2)))</f>
        <v/>
      </c>
      <c r="T6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1" s="5">
        <f>IF(tblOrdenes[[#This Row],[tipo_ot]]="","",_xlfn.XLOOKUP(tblOrdenes[[#This Row],[tipo_ot]],tblTiposOT[codigo],tblTiposOT[clasificacion],"sin_clasificar"))</f>
        <v/>
      </c>
      <c r="V6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1" s="5">
        <f>IF(tblOrdenes[[#This Row],[centro_costo]]="","",_xlfn.XLOOKUP(tblOrdenes[[#This Row],[centro_costo]],tblCECO[codigo],tblCECO[linea],"(sin catálogo)"))</f>
        <v/>
      </c>
      <c r="X641" s="5">
        <f>IF(tblOrdenes[[#This Row],[centro_costo]]="","",_xlfn.XLOOKUP(tblOrdenes[[#This Row],[centro_costo]],tblCECO[codigo],tblCECO[area],"(sin catálogo)"))</f>
        <v/>
      </c>
      <c r="Y6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1" s="5">
        <f>IF(tblOrdenes[[#This Row],[centro_costo]]="","",_xlfn.XLOOKUP(tblOrdenes[[#This Row],[centro_costo]],tblCECO[codigo],tblCECO[coordinador],"(sin catálogo)"))</f>
        <v/>
      </c>
      <c r="AA641" s="5">
        <f>IF(tblOrdenes[[#This Row],[puesto_trabajo]]="","",_xlfn.XLOOKUP(tblOrdenes[[#This Row],[puesto_trabajo]],tblPuestos[codigo],tblPuestos[especialidad],"(sin catálogo)"))</f>
        <v/>
      </c>
      <c r="AB641" s="5">
        <f>IF(tblOrdenes[[#This Row],[cod_actividad]]="","",_xlfn.XLOOKUP(tblOrdenes[[#This Row],[cod_actividad]],tblActividades[codigo],tblActividades[descripcion],"(sin catálogo)"))</f>
        <v/>
      </c>
      <c r="AC641" s="20">
        <f>IF(tblOrdenes[[#This Row],[fecha_inicio]]="","",TODAY()-tblOrdenes[[#This Row],[fecha_inicio]])</f>
        <v/>
      </c>
      <c r="AD6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1" s="5">
        <f>IF(tblOrdenes[[#This Row],[backlog_habiles]]="","",IF(tblOrdenes[[#This Row],[backlog_habiles]]&lt;0,"FUTURO",IF(tblOrdenes[[#This Row],[backlog_habiles]]&gt;p_dias_backlog_max,"BACKLOG","MES CORRIENTE")))</f>
        <v/>
      </c>
      <c r="AF641" s="5">
        <f>IF(tblOrdenes[[#This Row],[backlog_habiles]]="",FALSE,AND(tblOrdenes[[#This Row],[backlog_habiles]]&gt;p_dias_backlog_min,tblOrdenes[[#This Row],[backlog_habiles]]&lt;=p_dias_backlog_max))</f>
        <v/>
      </c>
      <c r="AG641" s="4" t="n"/>
      <c r="AH6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1" s="18">
        <f>IF(tblOrdenes[[#This Row],[orden]]="","",_xlfn.XLOOKUP(tblOrdenes[[#This Row],[id_operacion]],tblEjecucion[id_operacion],tblEjecucion[precio],0))</f>
        <v/>
      </c>
      <c r="AL641" s="18">
        <f>IF(tblOrdenes[[#This Row],[orden]]="","",MAX(0,_xlfn.XLOOKUP(tblOrdenes[[#This Row],[id_operacion]],tblEjecucion[id_operacion],tblEjecucion[costo_plan_total],0)-tblOrdenes[[#This Row],[costo_servicio]]))</f>
        <v/>
      </c>
      <c r="AM641" s="18">
        <f>IF(tblOrdenes[[#This Row],[orden]]="","",tblOrdenes[[#This Row],[costo_servicio]]+tblOrdenes[[#This Row],[costo_materiales]])</f>
        <v/>
      </c>
      <c r="AN6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1" s="4" t="n"/>
      <c r="AP641" s="4" t="n"/>
      <c r="AQ641" s="4" t="n"/>
      <c r="AR641" s="5">
        <f>IF(tblOrdenes[[#This Row],[link_checklist]]="","",HYPERLINK(p_ruta_base_checklists&amp;tblOrdenes[[#This Row],[link_checklist]],"abrir"))</f>
        <v/>
      </c>
      <c r="AS641" s="4" t="n"/>
      <c r="AT641" s="5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22" t="n"/>
      <c r="K642" s="5" t="n"/>
      <c r="L642" s="18" t="n"/>
      <c r="M6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5">
        <f>IF(tblOrdenes[[#This Row],[fecha_inicio]]="","",YEAR(tblOrdenes[[#This Row],[fecha_inicio]]))</f>
        <v/>
      </c>
      <c r="Q642" s="5">
        <f>IF(tblOrdenes[[#This Row],[fecha_inicio]]="","",MONTH(tblOrdenes[[#This Row],[fecha_inicio]]))</f>
        <v/>
      </c>
      <c r="R642" s="5">
        <f>IF(tblOrdenes[[#This Row],[fecha_inicio]]="","",tblOrdenes[[#This Row],[anio]]&amp;"-"&amp;TEXT(tblOrdenes[[#This Row],[mes]],"00"))</f>
        <v/>
      </c>
      <c r="S642" s="5">
        <f>IF(tblOrdenes[[#This Row],[fecha_inicio]]="","",INDEX(lista_dias,WEEKDAY(tblOrdenes[[#This Row],[fecha_inicio]],2)))</f>
        <v/>
      </c>
      <c r="T6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2" s="5">
        <f>IF(tblOrdenes[[#This Row],[tipo_ot]]="","",_xlfn.XLOOKUP(tblOrdenes[[#This Row],[tipo_ot]],tblTiposOT[codigo],tblTiposOT[clasificacion],"sin_clasificar"))</f>
        <v/>
      </c>
      <c r="V6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2" s="5">
        <f>IF(tblOrdenes[[#This Row],[centro_costo]]="","",_xlfn.XLOOKUP(tblOrdenes[[#This Row],[centro_costo]],tblCECO[codigo],tblCECO[linea],"(sin catálogo)"))</f>
        <v/>
      </c>
      <c r="X642" s="5">
        <f>IF(tblOrdenes[[#This Row],[centro_costo]]="","",_xlfn.XLOOKUP(tblOrdenes[[#This Row],[centro_costo]],tblCECO[codigo],tblCECO[area],"(sin catálogo)"))</f>
        <v/>
      </c>
      <c r="Y6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2" s="5">
        <f>IF(tblOrdenes[[#This Row],[centro_costo]]="","",_xlfn.XLOOKUP(tblOrdenes[[#This Row],[centro_costo]],tblCECO[codigo],tblCECO[coordinador],"(sin catálogo)"))</f>
        <v/>
      </c>
      <c r="AA642" s="5">
        <f>IF(tblOrdenes[[#This Row],[puesto_trabajo]]="","",_xlfn.XLOOKUP(tblOrdenes[[#This Row],[puesto_trabajo]],tblPuestos[codigo],tblPuestos[especialidad],"(sin catálogo)"))</f>
        <v/>
      </c>
      <c r="AB642" s="5">
        <f>IF(tblOrdenes[[#This Row],[cod_actividad]]="","",_xlfn.XLOOKUP(tblOrdenes[[#This Row],[cod_actividad]],tblActividades[codigo],tblActividades[descripcion],"(sin catálogo)"))</f>
        <v/>
      </c>
      <c r="AC642" s="20">
        <f>IF(tblOrdenes[[#This Row],[fecha_inicio]]="","",TODAY()-tblOrdenes[[#This Row],[fecha_inicio]])</f>
        <v/>
      </c>
      <c r="AD6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2" s="5">
        <f>IF(tblOrdenes[[#This Row],[backlog_habiles]]="","",IF(tblOrdenes[[#This Row],[backlog_habiles]]&lt;0,"FUTURO",IF(tblOrdenes[[#This Row],[backlog_habiles]]&gt;p_dias_backlog_max,"BACKLOG","MES CORRIENTE")))</f>
        <v/>
      </c>
      <c r="AF642" s="5">
        <f>IF(tblOrdenes[[#This Row],[backlog_habiles]]="",FALSE,AND(tblOrdenes[[#This Row],[backlog_habiles]]&gt;p_dias_backlog_min,tblOrdenes[[#This Row],[backlog_habiles]]&lt;=p_dias_backlog_max))</f>
        <v/>
      </c>
      <c r="AG642" s="4" t="n"/>
      <c r="AH6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2" s="18">
        <f>IF(tblOrdenes[[#This Row],[orden]]="","",_xlfn.XLOOKUP(tblOrdenes[[#This Row],[id_operacion]],tblEjecucion[id_operacion],tblEjecucion[precio],0))</f>
        <v/>
      </c>
      <c r="AL642" s="18">
        <f>IF(tblOrdenes[[#This Row],[orden]]="","",MAX(0,_xlfn.XLOOKUP(tblOrdenes[[#This Row],[id_operacion]],tblEjecucion[id_operacion],tblEjecucion[costo_plan_total],0)-tblOrdenes[[#This Row],[costo_servicio]]))</f>
        <v/>
      </c>
      <c r="AM642" s="18">
        <f>IF(tblOrdenes[[#This Row],[orden]]="","",tblOrdenes[[#This Row],[costo_servicio]]+tblOrdenes[[#This Row],[costo_materiales]])</f>
        <v/>
      </c>
      <c r="AN6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2" s="4" t="n"/>
      <c r="AP642" s="4" t="n"/>
      <c r="AQ642" s="4" t="n"/>
      <c r="AR642" s="5">
        <f>IF(tblOrdenes[[#This Row],[link_checklist]]="","",HYPERLINK(p_ruta_base_checklists&amp;tblOrdenes[[#This Row],[link_checklist]],"abrir"))</f>
        <v/>
      </c>
      <c r="AS642" s="4" t="n"/>
      <c r="AT642" s="5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22" t="n"/>
      <c r="K643" s="5" t="n"/>
      <c r="L643" s="18" t="n"/>
      <c r="M6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5">
        <f>IF(tblOrdenes[[#This Row],[fecha_inicio]]="","",YEAR(tblOrdenes[[#This Row],[fecha_inicio]]))</f>
        <v/>
      </c>
      <c r="Q643" s="5">
        <f>IF(tblOrdenes[[#This Row],[fecha_inicio]]="","",MONTH(tblOrdenes[[#This Row],[fecha_inicio]]))</f>
        <v/>
      </c>
      <c r="R643" s="5">
        <f>IF(tblOrdenes[[#This Row],[fecha_inicio]]="","",tblOrdenes[[#This Row],[anio]]&amp;"-"&amp;TEXT(tblOrdenes[[#This Row],[mes]],"00"))</f>
        <v/>
      </c>
      <c r="S643" s="5">
        <f>IF(tblOrdenes[[#This Row],[fecha_inicio]]="","",INDEX(lista_dias,WEEKDAY(tblOrdenes[[#This Row],[fecha_inicio]],2)))</f>
        <v/>
      </c>
      <c r="T6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3" s="5">
        <f>IF(tblOrdenes[[#This Row],[tipo_ot]]="","",_xlfn.XLOOKUP(tblOrdenes[[#This Row],[tipo_ot]],tblTiposOT[codigo],tblTiposOT[clasificacion],"sin_clasificar"))</f>
        <v/>
      </c>
      <c r="V6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3" s="5">
        <f>IF(tblOrdenes[[#This Row],[centro_costo]]="","",_xlfn.XLOOKUP(tblOrdenes[[#This Row],[centro_costo]],tblCECO[codigo],tblCECO[linea],"(sin catálogo)"))</f>
        <v/>
      </c>
      <c r="X643" s="5">
        <f>IF(tblOrdenes[[#This Row],[centro_costo]]="","",_xlfn.XLOOKUP(tblOrdenes[[#This Row],[centro_costo]],tblCECO[codigo],tblCECO[area],"(sin catálogo)"))</f>
        <v/>
      </c>
      <c r="Y6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3" s="5">
        <f>IF(tblOrdenes[[#This Row],[centro_costo]]="","",_xlfn.XLOOKUP(tblOrdenes[[#This Row],[centro_costo]],tblCECO[codigo],tblCECO[coordinador],"(sin catálogo)"))</f>
        <v/>
      </c>
      <c r="AA643" s="5">
        <f>IF(tblOrdenes[[#This Row],[puesto_trabajo]]="","",_xlfn.XLOOKUP(tblOrdenes[[#This Row],[puesto_trabajo]],tblPuestos[codigo],tblPuestos[especialidad],"(sin catálogo)"))</f>
        <v/>
      </c>
      <c r="AB643" s="5">
        <f>IF(tblOrdenes[[#This Row],[cod_actividad]]="","",_xlfn.XLOOKUP(tblOrdenes[[#This Row],[cod_actividad]],tblActividades[codigo],tblActividades[descripcion],"(sin catálogo)"))</f>
        <v/>
      </c>
      <c r="AC643" s="20">
        <f>IF(tblOrdenes[[#This Row],[fecha_inicio]]="","",TODAY()-tblOrdenes[[#This Row],[fecha_inicio]])</f>
        <v/>
      </c>
      <c r="AD6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3" s="5">
        <f>IF(tblOrdenes[[#This Row],[backlog_habiles]]="","",IF(tblOrdenes[[#This Row],[backlog_habiles]]&lt;0,"FUTURO",IF(tblOrdenes[[#This Row],[backlog_habiles]]&gt;p_dias_backlog_max,"BACKLOG","MES CORRIENTE")))</f>
        <v/>
      </c>
      <c r="AF643" s="5">
        <f>IF(tblOrdenes[[#This Row],[backlog_habiles]]="",FALSE,AND(tblOrdenes[[#This Row],[backlog_habiles]]&gt;p_dias_backlog_min,tblOrdenes[[#This Row],[backlog_habiles]]&lt;=p_dias_backlog_max))</f>
        <v/>
      </c>
      <c r="AG643" s="4" t="n"/>
      <c r="AH6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3" s="18">
        <f>IF(tblOrdenes[[#This Row],[orden]]="","",_xlfn.XLOOKUP(tblOrdenes[[#This Row],[id_operacion]],tblEjecucion[id_operacion],tblEjecucion[precio],0))</f>
        <v/>
      </c>
      <c r="AL643" s="18">
        <f>IF(tblOrdenes[[#This Row],[orden]]="","",MAX(0,_xlfn.XLOOKUP(tblOrdenes[[#This Row],[id_operacion]],tblEjecucion[id_operacion],tblEjecucion[costo_plan_total],0)-tblOrdenes[[#This Row],[costo_servicio]]))</f>
        <v/>
      </c>
      <c r="AM643" s="18">
        <f>IF(tblOrdenes[[#This Row],[orden]]="","",tblOrdenes[[#This Row],[costo_servicio]]+tblOrdenes[[#This Row],[costo_materiales]])</f>
        <v/>
      </c>
      <c r="AN6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3" s="4" t="n"/>
      <c r="AP643" s="4" t="n"/>
      <c r="AQ643" s="4" t="n"/>
      <c r="AR643" s="5">
        <f>IF(tblOrdenes[[#This Row],[link_checklist]]="","",HYPERLINK(p_ruta_base_checklists&amp;tblOrdenes[[#This Row],[link_checklist]],"abrir"))</f>
        <v/>
      </c>
      <c r="AS643" s="4" t="n"/>
      <c r="AT643" s="5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22" t="n"/>
      <c r="K644" s="5" t="n"/>
      <c r="L644" s="18" t="n"/>
      <c r="M6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5">
        <f>IF(tblOrdenes[[#This Row],[fecha_inicio]]="","",YEAR(tblOrdenes[[#This Row],[fecha_inicio]]))</f>
        <v/>
      </c>
      <c r="Q644" s="5">
        <f>IF(tblOrdenes[[#This Row],[fecha_inicio]]="","",MONTH(tblOrdenes[[#This Row],[fecha_inicio]]))</f>
        <v/>
      </c>
      <c r="R644" s="5">
        <f>IF(tblOrdenes[[#This Row],[fecha_inicio]]="","",tblOrdenes[[#This Row],[anio]]&amp;"-"&amp;TEXT(tblOrdenes[[#This Row],[mes]],"00"))</f>
        <v/>
      </c>
      <c r="S644" s="5">
        <f>IF(tblOrdenes[[#This Row],[fecha_inicio]]="","",INDEX(lista_dias,WEEKDAY(tblOrdenes[[#This Row],[fecha_inicio]],2)))</f>
        <v/>
      </c>
      <c r="T6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4" s="5">
        <f>IF(tblOrdenes[[#This Row],[tipo_ot]]="","",_xlfn.XLOOKUP(tblOrdenes[[#This Row],[tipo_ot]],tblTiposOT[codigo],tblTiposOT[clasificacion],"sin_clasificar"))</f>
        <v/>
      </c>
      <c r="V6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4" s="5">
        <f>IF(tblOrdenes[[#This Row],[centro_costo]]="","",_xlfn.XLOOKUP(tblOrdenes[[#This Row],[centro_costo]],tblCECO[codigo],tblCECO[linea],"(sin catálogo)"))</f>
        <v/>
      </c>
      <c r="X644" s="5">
        <f>IF(tblOrdenes[[#This Row],[centro_costo]]="","",_xlfn.XLOOKUP(tblOrdenes[[#This Row],[centro_costo]],tblCECO[codigo],tblCECO[area],"(sin catálogo)"))</f>
        <v/>
      </c>
      <c r="Y6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4" s="5">
        <f>IF(tblOrdenes[[#This Row],[centro_costo]]="","",_xlfn.XLOOKUP(tblOrdenes[[#This Row],[centro_costo]],tblCECO[codigo],tblCECO[coordinador],"(sin catálogo)"))</f>
        <v/>
      </c>
      <c r="AA644" s="5">
        <f>IF(tblOrdenes[[#This Row],[puesto_trabajo]]="","",_xlfn.XLOOKUP(tblOrdenes[[#This Row],[puesto_trabajo]],tblPuestos[codigo],tblPuestos[especialidad],"(sin catálogo)"))</f>
        <v/>
      </c>
      <c r="AB644" s="5">
        <f>IF(tblOrdenes[[#This Row],[cod_actividad]]="","",_xlfn.XLOOKUP(tblOrdenes[[#This Row],[cod_actividad]],tblActividades[codigo],tblActividades[descripcion],"(sin catálogo)"))</f>
        <v/>
      </c>
      <c r="AC644" s="20">
        <f>IF(tblOrdenes[[#This Row],[fecha_inicio]]="","",TODAY()-tblOrdenes[[#This Row],[fecha_inicio]])</f>
        <v/>
      </c>
      <c r="AD6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4" s="5">
        <f>IF(tblOrdenes[[#This Row],[backlog_habiles]]="","",IF(tblOrdenes[[#This Row],[backlog_habiles]]&lt;0,"FUTURO",IF(tblOrdenes[[#This Row],[backlog_habiles]]&gt;p_dias_backlog_max,"BACKLOG","MES CORRIENTE")))</f>
        <v/>
      </c>
      <c r="AF644" s="5">
        <f>IF(tblOrdenes[[#This Row],[backlog_habiles]]="",FALSE,AND(tblOrdenes[[#This Row],[backlog_habiles]]&gt;p_dias_backlog_min,tblOrdenes[[#This Row],[backlog_habiles]]&lt;=p_dias_backlog_max))</f>
        <v/>
      </c>
      <c r="AG644" s="4" t="n"/>
      <c r="AH6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4" s="18">
        <f>IF(tblOrdenes[[#This Row],[orden]]="","",_xlfn.XLOOKUP(tblOrdenes[[#This Row],[id_operacion]],tblEjecucion[id_operacion],tblEjecucion[precio],0))</f>
        <v/>
      </c>
      <c r="AL644" s="18">
        <f>IF(tblOrdenes[[#This Row],[orden]]="","",MAX(0,_xlfn.XLOOKUP(tblOrdenes[[#This Row],[id_operacion]],tblEjecucion[id_operacion],tblEjecucion[costo_plan_total],0)-tblOrdenes[[#This Row],[costo_servicio]]))</f>
        <v/>
      </c>
      <c r="AM644" s="18">
        <f>IF(tblOrdenes[[#This Row],[orden]]="","",tblOrdenes[[#This Row],[costo_servicio]]+tblOrdenes[[#This Row],[costo_materiales]])</f>
        <v/>
      </c>
      <c r="AN6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4" s="4" t="n"/>
      <c r="AP644" s="4" t="n"/>
      <c r="AQ644" s="4" t="n"/>
      <c r="AR644" s="5">
        <f>IF(tblOrdenes[[#This Row],[link_checklist]]="","",HYPERLINK(p_ruta_base_checklists&amp;tblOrdenes[[#This Row],[link_checklist]],"abrir"))</f>
        <v/>
      </c>
      <c r="AS644" s="4" t="n"/>
      <c r="AT644" s="5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22" t="n"/>
      <c r="K645" s="5" t="n"/>
      <c r="L645" s="18" t="n"/>
      <c r="M6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5">
        <f>IF(tblOrdenes[[#This Row],[fecha_inicio]]="","",YEAR(tblOrdenes[[#This Row],[fecha_inicio]]))</f>
        <v/>
      </c>
      <c r="Q645" s="5">
        <f>IF(tblOrdenes[[#This Row],[fecha_inicio]]="","",MONTH(tblOrdenes[[#This Row],[fecha_inicio]]))</f>
        <v/>
      </c>
      <c r="R645" s="5">
        <f>IF(tblOrdenes[[#This Row],[fecha_inicio]]="","",tblOrdenes[[#This Row],[anio]]&amp;"-"&amp;TEXT(tblOrdenes[[#This Row],[mes]],"00"))</f>
        <v/>
      </c>
      <c r="S645" s="5">
        <f>IF(tblOrdenes[[#This Row],[fecha_inicio]]="","",INDEX(lista_dias,WEEKDAY(tblOrdenes[[#This Row],[fecha_inicio]],2)))</f>
        <v/>
      </c>
      <c r="T6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5" s="5">
        <f>IF(tblOrdenes[[#This Row],[tipo_ot]]="","",_xlfn.XLOOKUP(tblOrdenes[[#This Row],[tipo_ot]],tblTiposOT[codigo],tblTiposOT[clasificacion],"sin_clasificar"))</f>
        <v/>
      </c>
      <c r="V6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5" s="5">
        <f>IF(tblOrdenes[[#This Row],[centro_costo]]="","",_xlfn.XLOOKUP(tblOrdenes[[#This Row],[centro_costo]],tblCECO[codigo],tblCECO[linea],"(sin catálogo)"))</f>
        <v/>
      </c>
      <c r="X645" s="5">
        <f>IF(tblOrdenes[[#This Row],[centro_costo]]="","",_xlfn.XLOOKUP(tblOrdenes[[#This Row],[centro_costo]],tblCECO[codigo],tblCECO[area],"(sin catálogo)"))</f>
        <v/>
      </c>
      <c r="Y6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5" s="5">
        <f>IF(tblOrdenes[[#This Row],[centro_costo]]="","",_xlfn.XLOOKUP(tblOrdenes[[#This Row],[centro_costo]],tblCECO[codigo],tblCECO[coordinador],"(sin catálogo)"))</f>
        <v/>
      </c>
      <c r="AA645" s="5">
        <f>IF(tblOrdenes[[#This Row],[puesto_trabajo]]="","",_xlfn.XLOOKUP(tblOrdenes[[#This Row],[puesto_trabajo]],tblPuestos[codigo],tblPuestos[especialidad],"(sin catálogo)"))</f>
        <v/>
      </c>
      <c r="AB645" s="5">
        <f>IF(tblOrdenes[[#This Row],[cod_actividad]]="","",_xlfn.XLOOKUP(tblOrdenes[[#This Row],[cod_actividad]],tblActividades[codigo],tblActividades[descripcion],"(sin catálogo)"))</f>
        <v/>
      </c>
      <c r="AC645" s="20">
        <f>IF(tblOrdenes[[#This Row],[fecha_inicio]]="","",TODAY()-tblOrdenes[[#This Row],[fecha_inicio]])</f>
        <v/>
      </c>
      <c r="AD6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5" s="5">
        <f>IF(tblOrdenes[[#This Row],[backlog_habiles]]="","",IF(tblOrdenes[[#This Row],[backlog_habiles]]&lt;0,"FUTURO",IF(tblOrdenes[[#This Row],[backlog_habiles]]&gt;p_dias_backlog_max,"BACKLOG","MES CORRIENTE")))</f>
        <v/>
      </c>
      <c r="AF645" s="5">
        <f>IF(tblOrdenes[[#This Row],[backlog_habiles]]="",FALSE,AND(tblOrdenes[[#This Row],[backlog_habiles]]&gt;p_dias_backlog_min,tblOrdenes[[#This Row],[backlog_habiles]]&lt;=p_dias_backlog_max))</f>
        <v/>
      </c>
      <c r="AG645" s="4" t="n"/>
      <c r="AH6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5" s="18">
        <f>IF(tblOrdenes[[#This Row],[orden]]="","",_xlfn.XLOOKUP(tblOrdenes[[#This Row],[id_operacion]],tblEjecucion[id_operacion],tblEjecucion[precio],0))</f>
        <v/>
      </c>
      <c r="AL645" s="18">
        <f>IF(tblOrdenes[[#This Row],[orden]]="","",MAX(0,_xlfn.XLOOKUP(tblOrdenes[[#This Row],[id_operacion]],tblEjecucion[id_operacion],tblEjecucion[costo_plan_total],0)-tblOrdenes[[#This Row],[costo_servicio]]))</f>
        <v/>
      </c>
      <c r="AM645" s="18">
        <f>IF(tblOrdenes[[#This Row],[orden]]="","",tblOrdenes[[#This Row],[costo_servicio]]+tblOrdenes[[#This Row],[costo_materiales]])</f>
        <v/>
      </c>
      <c r="AN6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5" s="4" t="n"/>
      <c r="AP645" s="4" t="n"/>
      <c r="AQ645" s="4" t="n"/>
      <c r="AR645" s="5">
        <f>IF(tblOrdenes[[#This Row],[link_checklist]]="","",HYPERLINK(p_ruta_base_checklists&amp;tblOrdenes[[#This Row],[link_checklist]],"abrir"))</f>
        <v/>
      </c>
      <c r="AS645" s="4" t="n"/>
      <c r="AT645" s="5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22" t="n"/>
      <c r="K646" s="5" t="n"/>
      <c r="L646" s="18" t="n"/>
      <c r="M6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5">
        <f>IF(tblOrdenes[[#This Row],[fecha_inicio]]="","",YEAR(tblOrdenes[[#This Row],[fecha_inicio]]))</f>
        <v/>
      </c>
      <c r="Q646" s="5">
        <f>IF(tblOrdenes[[#This Row],[fecha_inicio]]="","",MONTH(tblOrdenes[[#This Row],[fecha_inicio]]))</f>
        <v/>
      </c>
      <c r="R646" s="5">
        <f>IF(tblOrdenes[[#This Row],[fecha_inicio]]="","",tblOrdenes[[#This Row],[anio]]&amp;"-"&amp;TEXT(tblOrdenes[[#This Row],[mes]],"00"))</f>
        <v/>
      </c>
      <c r="S646" s="5">
        <f>IF(tblOrdenes[[#This Row],[fecha_inicio]]="","",INDEX(lista_dias,WEEKDAY(tblOrdenes[[#This Row],[fecha_inicio]],2)))</f>
        <v/>
      </c>
      <c r="T6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6" s="5">
        <f>IF(tblOrdenes[[#This Row],[tipo_ot]]="","",_xlfn.XLOOKUP(tblOrdenes[[#This Row],[tipo_ot]],tblTiposOT[codigo],tblTiposOT[clasificacion],"sin_clasificar"))</f>
        <v/>
      </c>
      <c r="V6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6" s="5">
        <f>IF(tblOrdenes[[#This Row],[centro_costo]]="","",_xlfn.XLOOKUP(tblOrdenes[[#This Row],[centro_costo]],tblCECO[codigo],tblCECO[linea],"(sin catálogo)"))</f>
        <v/>
      </c>
      <c r="X646" s="5">
        <f>IF(tblOrdenes[[#This Row],[centro_costo]]="","",_xlfn.XLOOKUP(tblOrdenes[[#This Row],[centro_costo]],tblCECO[codigo],tblCECO[area],"(sin catálogo)"))</f>
        <v/>
      </c>
      <c r="Y6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6" s="5">
        <f>IF(tblOrdenes[[#This Row],[centro_costo]]="","",_xlfn.XLOOKUP(tblOrdenes[[#This Row],[centro_costo]],tblCECO[codigo],tblCECO[coordinador],"(sin catálogo)"))</f>
        <v/>
      </c>
      <c r="AA646" s="5">
        <f>IF(tblOrdenes[[#This Row],[puesto_trabajo]]="","",_xlfn.XLOOKUP(tblOrdenes[[#This Row],[puesto_trabajo]],tblPuestos[codigo],tblPuestos[especialidad],"(sin catálogo)"))</f>
        <v/>
      </c>
      <c r="AB646" s="5">
        <f>IF(tblOrdenes[[#This Row],[cod_actividad]]="","",_xlfn.XLOOKUP(tblOrdenes[[#This Row],[cod_actividad]],tblActividades[codigo],tblActividades[descripcion],"(sin catálogo)"))</f>
        <v/>
      </c>
      <c r="AC646" s="20">
        <f>IF(tblOrdenes[[#This Row],[fecha_inicio]]="","",TODAY()-tblOrdenes[[#This Row],[fecha_inicio]])</f>
        <v/>
      </c>
      <c r="AD6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6" s="5">
        <f>IF(tblOrdenes[[#This Row],[backlog_habiles]]="","",IF(tblOrdenes[[#This Row],[backlog_habiles]]&lt;0,"FUTURO",IF(tblOrdenes[[#This Row],[backlog_habiles]]&gt;p_dias_backlog_max,"BACKLOG","MES CORRIENTE")))</f>
        <v/>
      </c>
      <c r="AF646" s="5">
        <f>IF(tblOrdenes[[#This Row],[backlog_habiles]]="",FALSE,AND(tblOrdenes[[#This Row],[backlog_habiles]]&gt;p_dias_backlog_min,tblOrdenes[[#This Row],[backlog_habiles]]&lt;=p_dias_backlog_max))</f>
        <v/>
      </c>
      <c r="AG646" s="4" t="n"/>
      <c r="AH6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6" s="18">
        <f>IF(tblOrdenes[[#This Row],[orden]]="","",_xlfn.XLOOKUP(tblOrdenes[[#This Row],[id_operacion]],tblEjecucion[id_operacion],tblEjecucion[precio],0))</f>
        <v/>
      </c>
      <c r="AL646" s="18">
        <f>IF(tblOrdenes[[#This Row],[orden]]="","",MAX(0,_xlfn.XLOOKUP(tblOrdenes[[#This Row],[id_operacion]],tblEjecucion[id_operacion],tblEjecucion[costo_plan_total],0)-tblOrdenes[[#This Row],[costo_servicio]]))</f>
        <v/>
      </c>
      <c r="AM646" s="18">
        <f>IF(tblOrdenes[[#This Row],[orden]]="","",tblOrdenes[[#This Row],[costo_servicio]]+tblOrdenes[[#This Row],[costo_materiales]])</f>
        <v/>
      </c>
      <c r="AN6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6" s="4" t="n"/>
      <c r="AP646" s="4" t="n"/>
      <c r="AQ646" s="4" t="n"/>
      <c r="AR646" s="5">
        <f>IF(tblOrdenes[[#This Row],[link_checklist]]="","",HYPERLINK(p_ruta_base_checklists&amp;tblOrdenes[[#This Row],[link_checklist]],"abrir"))</f>
        <v/>
      </c>
      <c r="AS646" s="4" t="n"/>
      <c r="AT646" s="5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22" t="n"/>
      <c r="K647" s="5" t="n"/>
      <c r="L647" s="18" t="n"/>
      <c r="M6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5">
        <f>IF(tblOrdenes[[#This Row],[fecha_inicio]]="","",YEAR(tblOrdenes[[#This Row],[fecha_inicio]]))</f>
        <v/>
      </c>
      <c r="Q647" s="5">
        <f>IF(tblOrdenes[[#This Row],[fecha_inicio]]="","",MONTH(tblOrdenes[[#This Row],[fecha_inicio]]))</f>
        <v/>
      </c>
      <c r="R647" s="5">
        <f>IF(tblOrdenes[[#This Row],[fecha_inicio]]="","",tblOrdenes[[#This Row],[anio]]&amp;"-"&amp;TEXT(tblOrdenes[[#This Row],[mes]],"00"))</f>
        <v/>
      </c>
      <c r="S647" s="5">
        <f>IF(tblOrdenes[[#This Row],[fecha_inicio]]="","",INDEX(lista_dias,WEEKDAY(tblOrdenes[[#This Row],[fecha_inicio]],2)))</f>
        <v/>
      </c>
      <c r="T6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7" s="5">
        <f>IF(tblOrdenes[[#This Row],[tipo_ot]]="","",_xlfn.XLOOKUP(tblOrdenes[[#This Row],[tipo_ot]],tblTiposOT[codigo],tblTiposOT[clasificacion],"sin_clasificar"))</f>
        <v/>
      </c>
      <c r="V6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7" s="5">
        <f>IF(tblOrdenes[[#This Row],[centro_costo]]="","",_xlfn.XLOOKUP(tblOrdenes[[#This Row],[centro_costo]],tblCECO[codigo],tblCECO[linea],"(sin catálogo)"))</f>
        <v/>
      </c>
      <c r="X647" s="5">
        <f>IF(tblOrdenes[[#This Row],[centro_costo]]="","",_xlfn.XLOOKUP(tblOrdenes[[#This Row],[centro_costo]],tblCECO[codigo],tblCECO[area],"(sin catálogo)"))</f>
        <v/>
      </c>
      <c r="Y6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7" s="5">
        <f>IF(tblOrdenes[[#This Row],[centro_costo]]="","",_xlfn.XLOOKUP(tblOrdenes[[#This Row],[centro_costo]],tblCECO[codigo],tblCECO[coordinador],"(sin catálogo)"))</f>
        <v/>
      </c>
      <c r="AA647" s="5">
        <f>IF(tblOrdenes[[#This Row],[puesto_trabajo]]="","",_xlfn.XLOOKUP(tblOrdenes[[#This Row],[puesto_trabajo]],tblPuestos[codigo],tblPuestos[especialidad],"(sin catálogo)"))</f>
        <v/>
      </c>
      <c r="AB647" s="5">
        <f>IF(tblOrdenes[[#This Row],[cod_actividad]]="","",_xlfn.XLOOKUP(tblOrdenes[[#This Row],[cod_actividad]],tblActividades[codigo],tblActividades[descripcion],"(sin catálogo)"))</f>
        <v/>
      </c>
      <c r="AC647" s="20">
        <f>IF(tblOrdenes[[#This Row],[fecha_inicio]]="","",TODAY()-tblOrdenes[[#This Row],[fecha_inicio]])</f>
        <v/>
      </c>
      <c r="AD6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7" s="5">
        <f>IF(tblOrdenes[[#This Row],[backlog_habiles]]="","",IF(tblOrdenes[[#This Row],[backlog_habiles]]&lt;0,"FUTURO",IF(tblOrdenes[[#This Row],[backlog_habiles]]&gt;p_dias_backlog_max,"BACKLOG","MES CORRIENTE")))</f>
        <v/>
      </c>
      <c r="AF647" s="5">
        <f>IF(tblOrdenes[[#This Row],[backlog_habiles]]="",FALSE,AND(tblOrdenes[[#This Row],[backlog_habiles]]&gt;p_dias_backlog_min,tblOrdenes[[#This Row],[backlog_habiles]]&lt;=p_dias_backlog_max))</f>
        <v/>
      </c>
      <c r="AG647" s="4" t="n"/>
      <c r="AH6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7" s="18">
        <f>IF(tblOrdenes[[#This Row],[orden]]="","",_xlfn.XLOOKUP(tblOrdenes[[#This Row],[id_operacion]],tblEjecucion[id_operacion],tblEjecucion[precio],0))</f>
        <v/>
      </c>
      <c r="AL647" s="18">
        <f>IF(tblOrdenes[[#This Row],[orden]]="","",MAX(0,_xlfn.XLOOKUP(tblOrdenes[[#This Row],[id_operacion]],tblEjecucion[id_operacion],tblEjecucion[costo_plan_total],0)-tblOrdenes[[#This Row],[costo_servicio]]))</f>
        <v/>
      </c>
      <c r="AM647" s="18">
        <f>IF(tblOrdenes[[#This Row],[orden]]="","",tblOrdenes[[#This Row],[costo_servicio]]+tblOrdenes[[#This Row],[costo_materiales]])</f>
        <v/>
      </c>
      <c r="AN6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7" s="4" t="n"/>
      <c r="AP647" s="4" t="n"/>
      <c r="AQ647" s="4" t="n"/>
      <c r="AR647" s="5">
        <f>IF(tblOrdenes[[#This Row],[link_checklist]]="","",HYPERLINK(p_ruta_base_checklists&amp;tblOrdenes[[#This Row],[link_checklist]],"abrir"))</f>
        <v/>
      </c>
      <c r="AS647" s="4" t="n"/>
      <c r="AT647" s="5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22" t="n"/>
      <c r="K648" s="5" t="n"/>
      <c r="L648" s="18" t="n"/>
      <c r="M6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5">
        <f>IF(tblOrdenes[[#This Row],[fecha_inicio]]="","",YEAR(tblOrdenes[[#This Row],[fecha_inicio]]))</f>
        <v/>
      </c>
      <c r="Q648" s="5">
        <f>IF(tblOrdenes[[#This Row],[fecha_inicio]]="","",MONTH(tblOrdenes[[#This Row],[fecha_inicio]]))</f>
        <v/>
      </c>
      <c r="R648" s="5">
        <f>IF(tblOrdenes[[#This Row],[fecha_inicio]]="","",tblOrdenes[[#This Row],[anio]]&amp;"-"&amp;TEXT(tblOrdenes[[#This Row],[mes]],"00"))</f>
        <v/>
      </c>
      <c r="S648" s="5">
        <f>IF(tblOrdenes[[#This Row],[fecha_inicio]]="","",INDEX(lista_dias,WEEKDAY(tblOrdenes[[#This Row],[fecha_inicio]],2)))</f>
        <v/>
      </c>
      <c r="T6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8" s="5">
        <f>IF(tblOrdenes[[#This Row],[tipo_ot]]="","",_xlfn.XLOOKUP(tblOrdenes[[#This Row],[tipo_ot]],tblTiposOT[codigo],tblTiposOT[clasificacion],"sin_clasificar"))</f>
        <v/>
      </c>
      <c r="V6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8" s="5">
        <f>IF(tblOrdenes[[#This Row],[centro_costo]]="","",_xlfn.XLOOKUP(tblOrdenes[[#This Row],[centro_costo]],tblCECO[codigo],tblCECO[linea],"(sin catálogo)"))</f>
        <v/>
      </c>
      <c r="X648" s="5">
        <f>IF(tblOrdenes[[#This Row],[centro_costo]]="","",_xlfn.XLOOKUP(tblOrdenes[[#This Row],[centro_costo]],tblCECO[codigo],tblCECO[area],"(sin catálogo)"))</f>
        <v/>
      </c>
      <c r="Y6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8" s="5">
        <f>IF(tblOrdenes[[#This Row],[centro_costo]]="","",_xlfn.XLOOKUP(tblOrdenes[[#This Row],[centro_costo]],tblCECO[codigo],tblCECO[coordinador],"(sin catálogo)"))</f>
        <v/>
      </c>
      <c r="AA648" s="5">
        <f>IF(tblOrdenes[[#This Row],[puesto_trabajo]]="","",_xlfn.XLOOKUP(tblOrdenes[[#This Row],[puesto_trabajo]],tblPuestos[codigo],tblPuestos[especialidad],"(sin catálogo)"))</f>
        <v/>
      </c>
      <c r="AB648" s="5">
        <f>IF(tblOrdenes[[#This Row],[cod_actividad]]="","",_xlfn.XLOOKUP(tblOrdenes[[#This Row],[cod_actividad]],tblActividades[codigo],tblActividades[descripcion],"(sin catálogo)"))</f>
        <v/>
      </c>
      <c r="AC648" s="20">
        <f>IF(tblOrdenes[[#This Row],[fecha_inicio]]="","",TODAY()-tblOrdenes[[#This Row],[fecha_inicio]])</f>
        <v/>
      </c>
      <c r="AD6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8" s="5">
        <f>IF(tblOrdenes[[#This Row],[backlog_habiles]]="","",IF(tblOrdenes[[#This Row],[backlog_habiles]]&lt;0,"FUTURO",IF(tblOrdenes[[#This Row],[backlog_habiles]]&gt;p_dias_backlog_max,"BACKLOG","MES CORRIENTE")))</f>
        <v/>
      </c>
      <c r="AF648" s="5">
        <f>IF(tblOrdenes[[#This Row],[backlog_habiles]]="",FALSE,AND(tblOrdenes[[#This Row],[backlog_habiles]]&gt;p_dias_backlog_min,tblOrdenes[[#This Row],[backlog_habiles]]&lt;=p_dias_backlog_max))</f>
        <v/>
      </c>
      <c r="AG648" s="4" t="n"/>
      <c r="AH6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8" s="18">
        <f>IF(tblOrdenes[[#This Row],[orden]]="","",_xlfn.XLOOKUP(tblOrdenes[[#This Row],[id_operacion]],tblEjecucion[id_operacion],tblEjecucion[precio],0))</f>
        <v/>
      </c>
      <c r="AL648" s="18">
        <f>IF(tblOrdenes[[#This Row],[orden]]="","",MAX(0,_xlfn.XLOOKUP(tblOrdenes[[#This Row],[id_operacion]],tblEjecucion[id_operacion],tblEjecucion[costo_plan_total],0)-tblOrdenes[[#This Row],[costo_servicio]]))</f>
        <v/>
      </c>
      <c r="AM648" s="18">
        <f>IF(tblOrdenes[[#This Row],[orden]]="","",tblOrdenes[[#This Row],[costo_servicio]]+tblOrdenes[[#This Row],[costo_materiales]])</f>
        <v/>
      </c>
      <c r="AN6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8" s="4" t="n"/>
      <c r="AP648" s="4" t="n"/>
      <c r="AQ648" s="4" t="n"/>
      <c r="AR648" s="5">
        <f>IF(tblOrdenes[[#This Row],[link_checklist]]="","",HYPERLINK(p_ruta_base_checklists&amp;tblOrdenes[[#This Row],[link_checklist]],"abrir"))</f>
        <v/>
      </c>
      <c r="AS648" s="4" t="n"/>
      <c r="AT648" s="5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22" t="n"/>
      <c r="K649" s="5" t="n"/>
      <c r="L649" s="18" t="n"/>
      <c r="M6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5">
        <f>IF(tblOrdenes[[#This Row],[fecha_inicio]]="","",YEAR(tblOrdenes[[#This Row],[fecha_inicio]]))</f>
        <v/>
      </c>
      <c r="Q649" s="5">
        <f>IF(tblOrdenes[[#This Row],[fecha_inicio]]="","",MONTH(tblOrdenes[[#This Row],[fecha_inicio]]))</f>
        <v/>
      </c>
      <c r="R649" s="5">
        <f>IF(tblOrdenes[[#This Row],[fecha_inicio]]="","",tblOrdenes[[#This Row],[anio]]&amp;"-"&amp;TEXT(tblOrdenes[[#This Row],[mes]],"00"))</f>
        <v/>
      </c>
      <c r="S649" s="5">
        <f>IF(tblOrdenes[[#This Row],[fecha_inicio]]="","",INDEX(lista_dias,WEEKDAY(tblOrdenes[[#This Row],[fecha_inicio]],2)))</f>
        <v/>
      </c>
      <c r="T6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9" s="5">
        <f>IF(tblOrdenes[[#This Row],[tipo_ot]]="","",_xlfn.XLOOKUP(tblOrdenes[[#This Row],[tipo_ot]],tblTiposOT[codigo],tblTiposOT[clasificacion],"sin_clasificar"))</f>
        <v/>
      </c>
      <c r="V6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9" s="5">
        <f>IF(tblOrdenes[[#This Row],[centro_costo]]="","",_xlfn.XLOOKUP(tblOrdenes[[#This Row],[centro_costo]],tblCECO[codigo],tblCECO[linea],"(sin catálogo)"))</f>
        <v/>
      </c>
      <c r="X649" s="5">
        <f>IF(tblOrdenes[[#This Row],[centro_costo]]="","",_xlfn.XLOOKUP(tblOrdenes[[#This Row],[centro_costo]],tblCECO[codigo],tblCECO[area],"(sin catálogo)"))</f>
        <v/>
      </c>
      <c r="Y6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49" s="5">
        <f>IF(tblOrdenes[[#This Row],[centro_costo]]="","",_xlfn.XLOOKUP(tblOrdenes[[#This Row],[centro_costo]],tblCECO[codigo],tblCECO[coordinador],"(sin catálogo)"))</f>
        <v/>
      </c>
      <c r="AA649" s="5">
        <f>IF(tblOrdenes[[#This Row],[puesto_trabajo]]="","",_xlfn.XLOOKUP(tblOrdenes[[#This Row],[puesto_trabajo]],tblPuestos[codigo],tblPuestos[especialidad],"(sin catálogo)"))</f>
        <v/>
      </c>
      <c r="AB649" s="5">
        <f>IF(tblOrdenes[[#This Row],[cod_actividad]]="","",_xlfn.XLOOKUP(tblOrdenes[[#This Row],[cod_actividad]],tblActividades[codigo],tblActividades[descripcion],"(sin catálogo)"))</f>
        <v/>
      </c>
      <c r="AC649" s="20">
        <f>IF(tblOrdenes[[#This Row],[fecha_inicio]]="","",TODAY()-tblOrdenes[[#This Row],[fecha_inicio]])</f>
        <v/>
      </c>
      <c r="AD6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49" s="5">
        <f>IF(tblOrdenes[[#This Row],[backlog_habiles]]="","",IF(tblOrdenes[[#This Row],[backlog_habiles]]&lt;0,"FUTURO",IF(tblOrdenes[[#This Row],[backlog_habiles]]&gt;p_dias_backlog_max,"BACKLOG","MES CORRIENTE")))</f>
        <v/>
      </c>
      <c r="AF649" s="5">
        <f>IF(tblOrdenes[[#This Row],[backlog_habiles]]="",FALSE,AND(tblOrdenes[[#This Row],[backlog_habiles]]&gt;p_dias_backlog_min,tblOrdenes[[#This Row],[backlog_habiles]]&lt;=p_dias_backlog_max))</f>
        <v/>
      </c>
      <c r="AG649" s="4" t="n"/>
      <c r="AH6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49" s="18">
        <f>IF(tblOrdenes[[#This Row],[orden]]="","",_xlfn.XLOOKUP(tblOrdenes[[#This Row],[id_operacion]],tblEjecucion[id_operacion],tblEjecucion[precio],0))</f>
        <v/>
      </c>
      <c r="AL649" s="18">
        <f>IF(tblOrdenes[[#This Row],[orden]]="","",MAX(0,_xlfn.XLOOKUP(tblOrdenes[[#This Row],[id_operacion]],tblEjecucion[id_operacion],tblEjecucion[costo_plan_total],0)-tblOrdenes[[#This Row],[costo_servicio]]))</f>
        <v/>
      </c>
      <c r="AM649" s="18">
        <f>IF(tblOrdenes[[#This Row],[orden]]="","",tblOrdenes[[#This Row],[costo_servicio]]+tblOrdenes[[#This Row],[costo_materiales]])</f>
        <v/>
      </c>
      <c r="AN6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49" s="4" t="n"/>
      <c r="AP649" s="4" t="n"/>
      <c r="AQ649" s="4" t="n"/>
      <c r="AR649" s="5">
        <f>IF(tblOrdenes[[#This Row],[link_checklist]]="","",HYPERLINK(p_ruta_base_checklists&amp;tblOrdenes[[#This Row],[link_checklist]],"abrir"))</f>
        <v/>
      </c>
      <c r="AS649" s="4" t="n"/>
      <c r="AT649" s="5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22" t="n"/>
      <c r="K650" s="5" t="n"/>
      <c r="L650" s="18" t="n"/>
      <c r="M6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5">
        <f>IF(tblOrdenes[[#This Row],[fecha_inicio]]="","",YEAR(tblOrdenes[[#This Row],[fecha_inicio]]))</f>
        <v/>
      </c>
      <c r="Q650" s="5">
        <f>IF(tblOrdenes[[#This Row],[fecha_inicio]]="","",MONTH(tblOrdenes[[#This Row],[fecha_inicio]]))</f>
        <v/>
      </c>
      <c r="R650" s="5">
        <f>IF(tblOrdenes[[#This Row],[fecha_inicio]]="","",tblOrdenes[[#This Row],[anio]]&amp;"-"&amp;TEXT(tblOrdenes[[#This Row],[mes]],"00"))</f>
        <v/>
      </c>
      <c r="S650" s="5">
        <f>IF(tblOrdenes[[#This Row],[fecha_inicio]]="","",INDEX(lista_dias,WEEKDAY(tblOrdenes[[#This Row],[fecha_inicio]],2)))</f>
        <v/>
      </c>
      <c r="T6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0" s="5">
        <f>IF(tblOrdenes[[#This Row],[tipo_ot]]="","",_xlfn.XLOOKUP(tblOrdenes[[#This Row],[tipo_ot]],tblTiposOT[codigo],tblTiposOT[clasificacion],"sin_clasificar"))</f>
        <v/>
      </c>
      <c r="V6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0" s="5">
        <f>IF(tblOrdenes[[#This Row],[centro_costo]]="","",_xlfn.XLOOKUP(tblOrdenes[[#This Row],[centro_costo]],tblCECO[codigo],tblCECO[linea],"(sin catálogo)"))</f>
        <v/>
      </c>
      <c r="X650" s="5">
        <f>IF(tblOrdenes[[#This Row],[centro_costo]]="","",_xlfn.XLOOKUP(tblOrdenes[[#This Row],[centro_costo]],tblCECO[codigo],tblCECO[area],"(sin catálogo)"))</f>
        <v/>
      </c>
      <c r="Y6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0" s="5">
        <f>IF(tblOrdenes[[#This Row],[centro_costo]]="","",_xlfn.XLOOKUP(tblOrdenes[[#This Row],[centro_costo]],tblCECO[codigo],tblCECO[coordinador],"(sin catálogo)"))</f>
        <v/>
      </c>
      <c r="AA650" s="5">
        <f>IF(tblOrdenes[[#This Row],[puesto_trabajo]]="","",_xlfn.XLOOKUP(tblOrdenes[[#This Row],[puesto_trabajo]],tblPuestos[codigo],tblPuestos[especialidad],"(sin catálogo)"))</f>
        <v/>
      </c>
      <c r="AB650" s="5">
        <f>IF(tblOrdenes[[#This Row],[cod_actividad]]="","",_xlfn.XLOOKUP(tblOrdenes[[#This Row],[cod_actividad]],tblActividades[codigo],tblActividades[descripcion],"(sin catálogo)"))</f>
        <v/>
      </c>
      <c r="AC650" s="20">
        <f>IF(tblOrdenes[[#This Row],[fecha_inicio]]="","",TODAY()-tblOrdenes[[#This Row],[fecha_inicio]])</f>
        <v/>
      </c>
      <c r="AD6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0" s="5">
        <f>IF(tblOrdenes[[#This Row],[backlog_habiles]]="","",IF(tblOrdenes[[#This Row],[backlog_habiles]]&lt;0,"FUTURO",IF(tblOrdenes[[#This Row],[backlog_habiles]]&gt;p_dias_backlog_max,"BACKLOG","MES CORRIENTE")))</f>
        <v/>
      </c>
      <c r="AF650" s="5">
        <f>IF(tblOrdenes[[#This Row],[backlog_habiles]]="",FALSE,AND(tblOrdenes[[#This Row],[backlog_habiles]]&gt;p_dias_backlog_min,tblOrdenes[[#This Row],[backlog_habiles]]&lt;=p_dias_backlog_max))</f>
        <v/>
      </c>
      <c r="AG650" s="4" t="n"/>
      <c r="AH6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0" s="18">
        <f>IF(tblOrdenes[[#This Row],[orden]]="","",_xlfn.XLOOKUP(tblOrdenes[[#This Row],[id_operacion]],tblEjecucion[id_operacion],tblEjecucion[precio],0))</f>
        <v/>
      </c>
      <c r="AL650" s="18">
        <f>IF(tblOrdenes[[#This Row],[orden]]="","",MAX(0,_xlfn.XLOOKUP(tblOrdenes[[#This Row],[id_operacion]],tblEjecucion[id_operacion],tblEjecucion[costo_plan_total],0)-tblOrdenes[[#This Row],[costo_servicio]]))</f>
        <v/>
      </c>
      <c r="AM650" s="18">
        <f>IF(tblOrdenes[[#This Row],[orden]]="","",tblOrdenes[[#This Row],[costo_servicio]]+tblOrdenes[[#This Row],[costo_materiales]])</f>
        <v/>
      </c>
      <c r="AN6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0" s="4" t="n"/>
      <c r="AP650" s="4" t="n"/>
      <c r="AQ650" s="4" t="n"/>
      <c r="AR650" s="5">
        <f>IF(tblOrdenes[[#This Row],[link_checklist]]="","",HYPERLINK(p_ruta_base_checklists&amp;tblOrdenes[[#This Row],[link_checklist]],"abrir"))</f>
        <v/>
      </c>
      <c r="AS650" s="4" t="n"/>
      <c r="AT650" s="5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22" t="n"/>
      <c r="K651" s="5" t="n"/>
      <c r="L651" s="18" t="n"/>
      <c r="M6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5">
        <f>IF(tblOrdenes[[#This Row],[fecha_inicio]]="","",YEAR(tblOrdenes[[#This Row],[fecha_inicio]]))</f>
        <v/>
      </c>
      <c r="Q651" s="5">
        <f>IF(tblOrdenes[[#This Row],[fecha_inicio]]="","",MONTH(tblOrdenes[[#This Row],[fecha_inicio]]))</f>
        <v/>
      </c>
      <c r="R651" s="5">
        <f>IF(tblOrdenes[[#This Row],[fecha_inicio]]="","",tblOrdenes[[#This Row],[anio]]&amp;"-"&amp;TEXT(tblOrdenes[[#This Row],[mes]],"00"))</f>
        <v/>
      </c>
      <c r="S651" s="5">
        <f>IF(tblOrdenes[[#This Row],[fecha_inicio]]="","",INDEX(lista_dias,WEEKDAY(tblOrdenes[[#This Row],[fecha_inicio]],2)))</f>
        <v/>
      </c>
      <c r="T6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1" s="5">
        <f>IF(tblOrdenes[[#This Row],[tipo_ot]]="","",_xlfn.XLOOKUP(tblOrdenes[[#This Row],[tipo_ot]],tblTiposOT[codigo],tblTiposOT[clasificacion],"sin_clasificar"))</f>
        <v/>
      </c>
      <c r="V6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1" s="5">
        <f>IF(tblOrdenes[[#This Row],[centro_costo]]="","",_xlfn.XLOOKUP(tblOrdenes[[#This Row],[centro_costo]],tblCECO[codigo],tblCECO[linea],"(sin catálogo)"))</f>
        <v/>
      </c>
      <c r="X651" s="5">
        <f>IF(tblOrdenes[[#This Row],[centro_costo]]="","",_xlfn.XLOOKUP(tblOrdenes[[#This Row],[centro_costo]],tblCECO[codigo],tblCECO[area],"(sin catálogo)"))</f>
        <v/>
      </c>
      <c r="Y6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1" s="5">
        <f>IF(tblOrdenes[[#This Row],[centro_costo]]="","",_xlfn.XLOOKUP(tblOrdenes[[#This Row],[centro_costo]],tblCECO[codigo],tblCECO[coordinador],"(sin catálogo)"))</f>
        <v/>
      </c>
      <c r="AA651" s="5">
        <f>IF(tblOrdenes[[#This Row],[puesto_trabajo]]="","",_xlfn.XLOOKUP(tblOrdenes[[#This Row],[puesto_trabajo]],tblPuestos[codigo],tblPuestos[especialidad],"(sin catálogo)"))</f>
        <v/>
      </c>
      <c r="AB651" s="5">
        <f>IF(tblOrdenes[[#This Row],[cod_actividad]]="","",_xlfn.XLOOKUP(tblOrdenes[[#This Row],[cod_actividad]],tblActividades[codigo],tblActividades[descripcion],"(sin catálogo)"))</f>
        <v/>
      </c>
      <c r="AC651" s="20">
        <f>IF(tblOrdenes[[#This Row],[fecha_inicio]]="","",TODAY()-tblOrdenes[[#This Row],[fecha_inicio]])</f>
        <v/>
      </c>
      <c r="AD6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1" s="5">
        <f>IF(tblOrdenes[[#This Row],[backlog_habiles]]="","",IF(tblOrdenes[[#This Row],[backlog_habiles]]&lt;0,"FUTURO",IF(tblOrdenes[[#This Row],[backlog_habiles]]&gt;p_dias_backlog_max,"BACKLOG","MES CORRIENTE")))</f>
        <v/>
      </c>
      <c r="AF651" s="5">
        <f>IF(tblOrdenes[[#This Row],[backlog_habiles]]="",FALSE,AND(tblOrdenes[[#This Row],[backlog_habiles]]&gt;p_dias_backlog_min,tblOrdenes[[#This Row],[backlog_habiles]]&lt;=p_dias_backlog_max))</f>
        <v/>
      </c>
      <c r="AG651" s="4" t="n"/>
      <c r="AH6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1" s="18">
        <f>IF(tblOrdenes[[#This Row],[orden]]="","",_xlfn.XLOOKUP(tblOrdenes[[#This Row],[id_operacion]],tblEjecucion[id_operacion],tblEjecucion[precio],0))</f>
        <v/>
      </c>
      <c r="AL651" s="18">
        <f>IF(tblOrdenes[[#This Row],[orden]]="","",MAX(0,_xlfn.XLOOKUP(tblOrdenes[[#This Row],[id_operacion]],tblEjecucion[id_operacion],tblEjecucion[costo_plan_total],0)-tblOrdenes[[#This Row],[costo_servicio]]))</f>
        <v/>
      </c>
      <c r="AM651" s="18">
        <f>IF(tblOrdenes[[#This Row],[orden]]="","",tblOrdenes[[#This Row],[costo_servicio]]+tblOrdenes[[#This Row],[costo_materiales]])</f>
        <v/>
      </c>
      <c r="AN6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1" s="4" t="n"/>
      <c r="AP651" s="4" t="n"/>
      <c r="AQ651" s="4" t="n"/>
      <c r="AR651" s="5">
        <f>IF(tblOrdenes[[#This Row],[link_checklist]]="","",HYPERLINK(p_ruta_base_checklists&amp;tblOrdenes[[#This Row],[link_checklist]],"abrir"))</f>
        <v/>
      </c>
      <c r="AS651" s="4" t="n"/>
      <c r="AT651" s="5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22" t="n"/>
      <c r="K652" s="5" t="n"/>
      <c r="L652" s="18" t="n"/>
      <c r="M6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5">
        <f>IF(tblOrdenes[[#This Row],[fecha_inicio]]="","",YEAR(tblOrdenes[[#This Row],[fecha_inicio]]))</f>
        <v/>
      </c>
      <c r="Q652" s="5">
        <f>IF(tblOrdenes[[#This Row],[fecha_inicio]]="","",MONTH(tblOrdenes[[#This Row],[fecha_inicio]]))</f>
        <v/>
      </c>
      <c r="R652" s="5">
        <f>IF(tblOrdenes[[#This Row],[fecha_inicio]]="","",tblOrdenes[[#This Row],[anio]]&amp;"-"&amp;TEXT(tblOrdenes[[#This Row],[mes]],"00"))</f>
        <v/>
      </c>
      <c r="S652" s="5">
        <f>IF(tblOrdenes[[#This Row],[fecha_inicio]]="","",INDEX(lista_dias,WEEKDAY(tblOrdenes[[#This Row],[fecha_inicio]],2)))</f>
        <v/>
      </c>
      <c r="T6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2" s="5">
        <f>IF(tblOrdenes[[#This Row],[tipo_ot]]="","",_xlfn.XLOOKUP(tblOrdenes[[#This Row],[tipo_ot]],tblTiposOT[codigo],tblTiposOT[clasificacion],"sin_clasificar"))</f>
        <v/>
      </c>
      <c r="V6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2" s="5">
        <f>IF(tblOrdenes[[#This Row],[centro_costo]]="","",_xlfn.XLOOKUP(tblOrdenes[[#This Row],[centro_costo]],tblCECO[codigo],tblCECO[linea],"(sin catálogo)"))</f>
        <v/>
      </c>
      <c r="X652" s="5">
        <f>IF(tblOrdenes[[#This Row],[centro_costo]]="","",_xlfn.XLOOKUP(tblOrdenes[[#This Row],[centro_costo]],tblCECO[codigo],tblCECO[area],"(sin catálogo)"))</f>
        <v/>
      </c>
      <c r="Y6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2" s="5">
        <f>IF(tblOrdenes[[#This Row],[centro_costo]]="","",_xlfn.XLOOKUP(tblOrdenes[[#This Row],[centro_costo]],tblCECO[codigo],tblCECO[coordinador],"(sin catálogo)"))</f>
        <v/>
      </c>
      <c r="AA652" s="5">
        <f>IF(tblOrdenes[[#This Row],[puesto_trabajo]]="","",_xlfn.XLOOKUP(tblOrdenes[[#This Row],[puesto_trabajo]],tblPuestos[codigo],tblPuestos[especialidad],"(sin catálogo)"))</f>
        <v/>
      </c>
      <c r="AB652" s="5">
        <f>IF(tblOrdenes[[#This Row],[cod_actividad]]="","",_xlfn.XLOOKUP(tblOrdenes[[#This Row],[cod_actividad]],tblActividades[codigo],tblActividades[descripcion],"(sin catálogo)"))</f>
        <v/>
      </c>
      <c r="AC652" s="20">
        <f>IF(tblOrdenes[[#This Row],[fecha_inicio]]="","",TODAY()-tblOrdenes[[#This Row],[fecha_inicio]])</f>
        <v/>
      </c>
      <c r="AD6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2" s="5">
        <f>IF(tblOrdenes[[#This Row],[backlog_habiles]]="","",IF(tblOrdenes[[#This Row],[backlog_habiles]]&lt;0,"FUTURO",IF(tblOrdenes[[#This Row],[backlog_habiles]]&gt;p_dias_backlog_max,"BACKLOG","MES CORRIENTE")))</f>
        <v/>
      </c>
      <c r="AF652" s="5">
        <f>IF(tblOrdenes[[#This Row],[backlog_habiles]]="",FALSE,AND(tblOrdenes[[#This Row],[backlog_habiles]]&gt;p_dias_backlog_min,tblOrdenes[[#This Row],[backlog_habiles]]&lt;=p_dias_backlog_max))</f>
        <v/>
      </c>
      <c r="AG652" s="4" t="n"/>
      <c r="AH6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2" s="18">
        <f>IF(tblOrdenes[[#This Row],[orden]]="","",_xlfn.XLOOKUP(tblOrdenes[[#This Row],[id_operacion]],tblEjecucion[id_operacion],tblEjecucion[precio],0))</f>
        <v/>
      </c>
      <c r="AL652" s="18">
        <f>IF(tblOrdenes[[#This Row],[orden]]="","",MAX(0,_xlfn.XLOOKUP(tblOrdenes[[#This Row],[id_operacion]],tblEjecucion[id_operacion],tblEjecucion[costo_plan_total],0)-tblOrdenes[[#This Row],[costo_servicio]]))</f>
        <v/>
      </c>
      <c r="AM652" s="18">
        <f>IF(tblOrdenes[[#This Row],[orden]]="","",tblOrdenes[[#This Row],[costo_servicio]]+tblOrdenes[[#This Row],[costo_materiales]])</f>
        <v/>
      </c>
      <c r="AN6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2" s="4" t="n"/>
      <c r="AP652" s="4" t="n"/>
      <c r="AQ652" s="4" t="n"/>
      <c r="AR652" s="5">
        <f>IF(tblOrdenes[[#This Row],[link_checklist]]="","",HYPERLINK(p_ruta_base_checklists&amp;tblOrdenes[[#This Row],[link_checklist]],"abrir"))</f>
        <v/>
      </c>
      <c r="AS652" s="4" t="n"/>
      <c r="AT652" s="5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22" t="n"/>
      <c r="K653" s="5" t="n"/>
      <c r="L653" s="18" t="n"/>
      <c r="M6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5">
        <f>IF(tblOrdenes[[#This Row],[fecha_inicio]]="","",YEAR(tblOrdenes[[#This Row],[fecha_inicio]]))</f>
        <v/>
      </c>
      <c r="Q653" s="5">
        <f>IF(tblOrdenes[[#This Row],[fecha_inicio]]="","",MONTH(tblOrdenes[[#This Row],[fecha_inicio]]))</f>
        <v/>
      </c>
      <c r="R653" s="5">
        <f>IF(tblOrdenes[[#This Row],[fecha_inicio]]="","",tblOrdenes[[#This Row],[anio]]&amp;"-"&amp;TEXT(tblOrdenes[[#This Row],[mes]],"00"))</f>
        <v/>
      </c>
      <c r="S653" s="5">
        <f>IF(tblOrdenes[[#This Row],[fecha_inicio]]="","",INDEX(lista_dias,WEEKDAY(tblOrdenes[[#This Row],[fecha_inicio]],2)))</f>
        <v/>
      </c>
      <c r="T6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3" s="5">
        <f>IF(tblOrdenes[[#This Row],[tipo_ot]]="","",_xlfn.XLOOKUP(tblOrdenes[[#This Row],[tipo_ot]],tblTiposOT[codigo],tblTiposOT[clasificacion],"sin_clasificar"))</f>
        <v/>
      </c>
      <c r="V6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3" s="5">
        <f>IF(tblOrdenes[[#This Row],[centro_costo]]="","",_xlfn.XLOOKUP(tblOrdenes[[#This Row],[centro_costo]],tblCECO[codigo],tblCECO[linea],"(sin catálogo)"))</f>
        <v/>
      </c>
      <c r="X653" s="5">
        <f>IF(tblOrdenes[[#This Row],[centro_costo]]="","",_xlfn.XLOOKUP(tblOrdenes[[#This Row],[centro_costo]],tblCECO[codigo],tblCECO[area],"(sin catálogo)"))</f>
        <v/>
      </c>
      <c r="Y6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3" s="5">
        <f>IF(tblOrdenes[[#This Row],[centro_costo]]="","",_xlfn.XLOOKUP(tblOrdenes[[#This Row],[centro_costo]],tblCECO[codigo],tblCECO[coordinador],"(sin catálogo)"))</f>
        <v/>
      </c>
      <c r="AA653" s="5">
        <f>IF(tblOrdenes[[#This Row],[puesto_trabajo]]="","",_xlfn.XLOOKUP(tblOrdenes[[#This Row],[puesto_trabajo]],tblPuestos[codigo],tblPuestos[especialidad],"(sin catálogo)"))</f>
        <v/>
      </c>
      <c r="AB653" s="5">
        <f>IF(tblOrdenes[[#This Row],[cod_actividad]]="","",_xlfn.XLOOKUP(tblOrdenes[[#This Row],[cod_actividad]],tblActividades[codigo],tblActividades[descripcion],"(sin catálogo)"))</f>
        <v/>
      </c>
      <c r="AC653" s="20">
        <f>IF(tblOrdenes[[#This Row],[fecha_inicio]]="","",TODAY()-tblOrdenes[[#This Row],[fecha_inicio]])</f>
        <v/>
      </c>
      <c r="AD6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3" s="5">
        <f>IF(tblOrdenes[[#This Row],[backlog_habiles]]="","",IF(tblOrdenes[[#This Row],[backlog_habiles]]&lt;0,"FUTURO",IF(tblOrdenes[[#This Row],[backlog_habiles]]&gt;p_dias_backlog_max,"BACKLOG","MES CORRIENTE")))</f>
        <v/>
      </c>
      <c r="AF653" s="5">
        <f>IF(tblOrdenes[[#This Row],[backlog_habiles]]="",FALSE,AND(tblOrdenes[[#This Row],[backlog_habiles]]&gt;p_dias_backlog_min,tblOrdenes[[#This Row],[backlog_habiles]]&lt;=p_dias_backlog_max))</f>
        <v/>
      </c>
      <c r="AG653" s="4" t="n"/>
      <c r="AH6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3" s="18">
        <f>IF(tblOrdenes[[#This Row],[orden]]="","",_xlfn.XLOOKUP(tblOrdenes[[#This Row],[id_operacion]],tblEjecucion[id_operacion],tblEjecucion[precio],0))</f>
        <v/>
      </c>
      <c r="AL653" s="18">
        <f>IF(tblOrdenes[[#This Row],[orden]]="","",MAX(0,_xlfn.XLOOKUP(tblOrdenes[[#This Row],[id_operacion]],tblEjecucion[id_operacion],tblEjecucion[costo_plan_total],0)-tblOrdenes[[#This Row],[costo_servicio]]))</f>
        <v/>
      </c>
      <c r="AM653" s="18">
        <f>IF(tblOrdenes[[#This Row],[orden]]="","",tblOrdenes[[#This Row],[costo_servicio]]+tblOrdenes[[#This Row],[costo_materiales]])</f>
        <v/>
      </c>
      <c r="AN6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3" s="4" t="n"/>
      <c r="AP653" s="4" t="n"/>
      <c r="AQ653" s="4" t="n"/>
      <c r="AR653" s="5">
        <f>IF(tblOrdenes[[#This Row],[link_checklist]]="","",HYPERLINK(p_ruta_base_checklists&amp;tblOrdenes[[#This Row],[link_checklist]],"abrir"))</f>
        <v/>
      </c>
      <c r="AS653" s="4" t="n"/>
      <c r="AT653" s="5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22" t="n"/>
      <c r="K654" s="5" t="n"/>
      <c r="L654" s="18" t="n"/>
      <c r="M6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5">
        <f>IF(tblOrdenes[[#This Row],[fecha_inicio]]="","",YEAR(tblOrdenes[[#This Row],[fecha_inicio]]))</f>
        <v/>
      </c>
      <c r="Q654" s="5">
        <f>IF(tblOrdenes[[#This Row],[fecha_inicio]]="","",MONTH(tblOrdenes[[#This Row],[fecha_inicio]]))</f>
        <v/>
      </c>
      <c r="R654" s="5">
        <f>IF(tblOrdenes[[#This Row],[fecha_inicio]]="","",tblOrdenes[[#This Row],[anio]]&amp;"-"&amp;TEXT(tblOrdenes[[#This Row],[mes]],"00"))</f>
        <v/>
      </c>
      <c r="S654" s="5">
        <f>IF(tblOrdenes[[#This Row],[fecha_inicio]]="","",INDEX(lista_dias,WEEKDAY(tblOrdenes[[#This Row],[fecha_inicio]],2)))</f>
        <v/>
      </c>
      <c r="T6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4" s="5">
        <f>IF(tblOrdenes[[#This Row],[tipo_ot]]="","",_xlfn.XLOOKUP(tblOrdenes[[#This Row],[tipo_ot]],tblTiposOT[codigo],tblTiposOT[clasificacion],"sin_clasificar"))</f>
        <v/>
      </c>
      <c r="V6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4" s="5">
        <f>IF(tblOrdenes[[#This Row],[centro_costo]]="","",_xlfn.XLOOKUP(tblOrdenes[[#This Row],[centro_costo]],tblCECO[codigo],tblCECO[linea],"(sin catálogo)"))</f>
        <v/>
      </c>
      <c r="X654" s="5">
        <f>IF(tblOrdenes[[#This Row],[centro_costo]]="","",_xlfn.XLOOKUP(tblOrdenes[[#This Row],[centro_costo]],tblCECO[codigo],tblCECO[area],"(sin catálogo)"))</f>
        <v/>
      </c>
      <c r="Y6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4" s="5">
        <f>IF(tblOrdenes[[#This Row],[centro_costo]]="","",_xlfn.XLOOKUP(tblOrdenes[[#This Row],[centro_costo]],tblCECO[codigo],tblCECO[coordinador],"(sin catálogo)"))</f>
        <v/>
      </c>
      <c r="AA654" s="5">
        <f>IF(tblOrdenes[[#This Row],[puesto_trabajo]]="","",_xlfn.XLOOKUP(tblOrdenes[[#This Row],[puesto_trabajo]],tblPuestos[codigo],tblPuestos[especialidad],"(sin catálogo)"))</f>
        <v/>
      </c>
      <c r="AB654" s="5">
        <f>IF(tblOrdenes[[#This Row],[cod_actividad]]="","",_xlfn.XLOOKUP(tblOrdenes[[#This Row],[cod_actividad]],tblActividades[codigo],tblActividades[descripcion],"(sin catálogo)"))</f>
        <v/>
      </c>
      <c r="AC654" s="20">
        <f>IF(tblOrdenes[[#This Row],[fecha_inicio]]="","",TODAY()-tblOrdenes[[#This Row],[fecha_inicio]])</f>
        <v/>
      </c>
      <c r="AD6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4" s="5">
        <f>IF(tblOrdenes[[#This Row],[backlog_habiles]]="","",IF(tblOrdenes[[#This Row],[backlog_habiles]]&lt;0,"FUTURO",IF(tblOrdenes[[#This Row],[backlog_habiles]]&gt;p_dias_backlog_max,"BACKLOG","MES CORRIENTE")))</f>
        <v/>
      </c>
      <c r="AF654" s="5">
        <f>IF(tblOrdenes[[#This Row],[backlog_habiles]]="",FALSE,AND(tblOrdenes[[#This Row],[backlog_habiles]]&gt;p_dias_backlog_min,tblOrdenes[[#This Row],[backlog_habiles]]&lt;=p_dias_backlog_max))</f>
        <v/>
      </c>
      <c r="AG654" s="4" t="n"/>
      <c r="AH6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4" s="18">
        <f>IF(tblOrdenes[[#This Row],[orden]]="","",_xlfn.XLOOKUP(tblOrdenes[[#This Row],[id_operacion]],tblEjecucion[id_operacion],tblEjecucion[precio],0))</f>
        <v/>
      </c>
      <c r="AL654" s="18">
        <f>IF(tblOrdenes[[#This Row],[orden]]="","",MAX(0,_xlfn.XLOOKUP(tblOrdenes[[#This Row],[id_operacion]],tblEjecucion[id_operacion],tblEjecucion[costo_plan_total],0)-tblOrdenes[[#This Row],[costo_servicio]]))</f>
        <v/>
      </c>
      <c r="AM654" s="18">
        <f>IF(tblOrdenes[[#This Row],[orden]]="","",tblOrdenes[[#This Row],[costo_servicio]]+tblOrdenes[[#This Row],[costo_materiales]])</f>
        <v/>
      </c>
      <c r="AN6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4" s="4" t="n"/>
      <c r="AP654" s="4" t="n"/>
      <c r="AQ654" s="4" t="n"/>
      <c r="AR654" s="5">
        <f>IF(tblOrdenes[[#This Row],[link_checklist]]="","",HYPERLINK(p_ruta_base_checklists&amp;tblOrdenes[[#This Row],[link_checklist]],"abrir"))</f>
        <v/>
      </c>
      <c r="AS654" s="4" t="n"/>
      <c r="AT654" s="5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22" t="n"/>
      <c r="K655" s="5" t="n"/>
      <c r="L655" s="18" t="n"/>
      <c r="M6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5">
        <f>IF(tblOrdenes[[#This Row],[fecha_inicio]]="","",YEAR(tblOrdenes[[#This Row],[fecha_inicio]]))</f>
        <v/>
      </c>
      <c r="Q655" s="5">
        <f>IF(tblOrdenes[[#This Row],[fecha_inicio]]="","",MONTH(tblOrdenes[[#This Row],[fecha_inicio]]))</f>
        <v/>
      </c>
      <c r="R655" s="5">
        <f>IF(tblOrdenes[[#This Row],[fecha_inicio]]="","",tblOrdenes[[#This Row],[anio]]&amp;"-"&amp;TEXT(tblOrdenes[[#This Row],[mes]],"00"))</f>
        <v/>
      </c>
      <c r="S655" s="5">
        <f>IF(tblOrdenes[[#This Row],[fecha_inicio]]="","",INDEX(lista_dias,WEEKDAY(tblOrdenes[[#This Row],[fecha_inicio]],2)))</f>
        <v/>
      </c>
      <c r="T6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5" s="5">
        <f>IF(tblOrdenes[[#This Row],[tipo_ot]]="","",_xlfn.XLOOKUP(tblOrdenes[[#This Row],[tipo_ot]],tblTiposOT[codigo],tblTiposOT[clasificacion],"sin_clasificar"))</f>
        <v/>
      </c>
      <c r="V6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5" s="5">
        <f>IF(tblOrdenes[[#This Row],[centro_costo]]="","",_xlfn.XLOOKUP(tblOrdenes[[#This Row],[centro_costo]],tblCECO[codigo],tblCECO[linea],"(sin catálogo)"))</f>
        <v/>
      </c>
      <c r="X655" s="5">
        <f>IF(tblOrdenes[[#This Row],[centro_costo]]="","",_xlfn.XLOOKUP(tblOrdenes[[#This Row],[centro_costo]],tblCECO[codigo],tblCECO[area],"(sin catálogo)"))</f>
        <v/>
      </c>
      <c r="Y6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5" s="5">
        <f>IF(tblOrdenes[[#This Row],[centro_costo]]="","",_xlfn.XLOOKUP(tblOrdenes[[#This Row],[centro_costo]],tblCECO[codigo],tblCECO[coordinador],"(sin catálogo)"))</f>
        <v/>
      </c>
      <c r="AA655" s="5">
        <f>IF(tblOrdenes[[#This Row],[puesto_trabajo]]="","",_xlfn.XLOOKUP(tblOrdenes[[#This Row],[puesto_trabajo]],tblPuestos[codigo],tblPuestos[especialidad],"(sin catálogo)"))</f>
        <v/>
      </c>
      <c r="AB655" s="5">
        <f>IF(tblOrdenes[[#This Row],[cod_actividad]]="","",_xlfn.XLOOKUP(tblOrdenes[[#This Row],[cod_actividad]],tblActividades[codigo],tblActividades[descripcion],"(sin catálogo)"))</f>
        <v/>
      </c>
      <c r="AC655" s="20">
        <f>IF(tblOrdenes[[#This Row],[fecha_inicio]]="","",TODAY()-tblOrdenes[[#This Row],[fecha_inicio]])</f>
        <v/>
      </c>
      <c r="AD6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5" s="5">
        <f>IF(tblOrdenes[[#This Row],[backlog_habiles]]="","",IF(tblOrdenes[[#This Row],[backlog_habiles]]&lt;0,"FUTURO",IF(tblOrdenes[[#This Row],[backlog_habiles]]&gt;p_dias_backlog_max,"BACKLOG","MES CORRIENTE")))</f>
        <v/>
      </c>
      <c r="AF655" s="5">
        <f>IF(tblOrdenes[[#This Row],[backlog_habiles]]="",FALSE,AND(tblOrdenes[[#This Row],[backlog_habiles]]&gt;p_dias_backlog_min,tblOrdenes[[#This Row],[backlog_habiles]]&lt;=p_dias_backlog_max))</f>
        <v/>
      </c>
      <c r="AG655" s="4" t="n"/>
      <c r="AH6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5" s="18">
        <f>IF(tblOrdenes[[#This Row],[orden]]="","",_xlfn.XLOOKUP(tblOrdenes[[#This Row],[id_operacion]],tblEjecucion[id_operacion],tblEjecucion[precio],0))</f>
        <v/>
      </c>
      <c r="AL655" s="18">
        <f>IF(tblOrdenes[[#This Row],[orden]]="","",MAX(0,_xlfn.XLOOKUP(tblOrdenes[[#This Row],[id_operacion]],tblEjecucion[id_operacion],tblEjecucion[costo_plan_total],0)-tblOrdenes[[#This Row],[costo_servicio]]))</f>
        <v/>
      </c>
      <c r="AM655" s="18">
        <f>IF(tblOrdenes[[#This Row],[orden]]="","",tblOrdenes[[#This Row],[costo_servicio]]+tblOrdenes[[#This Row],[costo_materiales]])</f>
        <v/>
      </c>
      <c r="AN6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5" s="4" t="n"/>
      <c r="AP655" s="4" t="n"/>
      <c r="AQ655" s="4" t="n"/>
      <c r="AR655" s="5">
        <f>IF(tblOrdenes[[#This Row],[link_checklist]]="","",HYPERLINK(p_ruta_base_checklists&amp;tblOrdenes[[#This Row],[link_checklist]],"abrir"))</f>
        <v/>
      </c>
      <c r="AS655" s="4" t="n"/>
      <c r="AT655" s="5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22" t="n"/>
      <c r="K656" s="5" t="n"/>
      <c r="L656" s="18" t="n"/>
      <c r="M6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5">
        <f>IF(tblOrdenes[[#This Row],[fecha_inicio]]="","",YEAR(tblOrdenes[[#This Row],[fecha_inicio]]))</f>
        <v/>
      </c>
      <c r="Q656" s="5">
        <f>IF(tblOrdenes[[#This Row],[fecha_inicio]]="","",MONTH(tblOrdenes[[#This Row],[fecha_inicio]]))</f>
        <v/>
      </c>
      <c r="R656" s="5">
        <f>IF(tblOrdenes[[#This Row],[fecha_inicio]]="","",tblOrdenes[[#This Row],[anio]]&amp;"-"&amp;TEXT(tblOrdenes[[#This Row],[mes]],"00"))</f>
        <v/>
      </c>
      <c r="S656" s="5">
        <f>IF(tblOrdenes[[#This Row],[fecha_inicio]]="","",INDEX(lista_dias,WEEKDAY(tblOrdenes[[#This Row],[fecha_inicio]],2)))</f>
        <v/>
      </c>
      <c r="T6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6" s="5">
        <f>IF(tblOrdenes[[#This Row],[tipo_ot]]="","",_xlfn.XLOOKUP(tblOrdenes[[#This Row],[tipo_ot]],tblTiposOT[codigo],tblTiposOT[clasificacion],"sin_clasificar"))</f>
        <v/>
      </c>
      <c r="V6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6" s="5">
        <f>IF(tblOrdenes[[#This Row],[centro_costo]]="","",_xlfn.XLOOKUP(tblOrdenes[[#This Row],[centro_costo]],tblCECO[codigo],tblCECO[linea],"(sin catálogo)"))</f>
        <v/>
      </c>
      <c r="X656" s="5">
        <f>IF(tblOrdenes[[#This Row],[centro_costo]]="","",_xlfn.XLOOKUP(tblOrdenes[[#This Row],[centro_costo]],tblCECO[codigo],tblCECO[area],"(sin catálogo)"))</f>
        <v/>
      </c>
      <c r="Y6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6" s="5">
        <f>IF(tblOrdenes[[#This Row],[centro_costo]]="","",_xlfn.XLOOKUP(tblOrdenes[[#This Row],[centro_costo]],tblCECO[codigo],tblCECO[coordinador],"(sin catálogo)"))</f>
        <v/>
      </c>
      <c r="AA656" s="5">
        <f>IF(tblOrdenes[[#This Row],[puesto_trabajo]]="","",_xlfn.XLOOKUP(tblOrdenes[[#This Row],[puesto_trabajo]],tblPuestos[codigo],tblPuestos[especialidad],"(sin catálogo)"))</f>
        <v/>
      </c>
      <c r="AB656" s="5">
        <f>IF(tblOrdenes[[#This Row],[cod_actividad]]="","",_xlfn.XLOOKUP(tblOrdenes[[#This Row],[cod_actividad]],tblActividades[codigo],tblActividades[descripcion],"(sin catálogo)"))</f>
        <v/>
      </c>
      <c r="AC656" s="20">
        <f>IF(tblOrdenes[[#This Row],[fecha_inicio]]="","",TODAY()-tblOrdenes[[#This Row],[fecha_inicio]])</f>
        <v/>
      </c>
      <c r="AD6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6" s="5">
        <f>IF(tblOrdenes[[#This Row],[backlog_habiles]]="","",IF(tblOrdenes[[#This Row],[backlog_habiles]]&lt;0,"FUTURO",IF(tblOrdenes[[#This Row],[backlog_habiles]]&gt;p_dias_backlog_max,"BACKLOG","MES CORRIENTE")))</f>
        <v/>
      </c>
      <c r="AF656" s="5">
        <f>IF(tblOrdenes[[#This Row],[backlog_habiles]]="",FALSE,AND(tblOrdenes[[#This Row],[backlog_habiles]]&gt;p_dias_backlog_min,tblOrdenes[[#This Row],[backlog_habiles]]&lt;=p_dias_backlog_max))</f>
        <v/>
      </c>
      <c r="AG656" s="4" t="n"/>
      <c r="AH6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6" s="18">
        <f>IF(tblOrdenes[[#This Row],[orden]]="","",_xlfn.XLOOKUP(tblOrdenes[[#This Row],[id_operacion]],tblEjecucion[id_operacion],tblEjecucion[precio],0))</f>
        <v/>
      </c>
      <c r="AL656" s="18">
        <f>IF(tblOrdenes[[#This Row],[orden]]="","",MAX(0,_xlfn.XLOOKUP(tblOrdenes[[#This Row],[id_operacion]],tblEjecucion[id_operacion],tblEjecucion[costo_plan_total],0)-tblOrdenes[[#This Row],[costo_servicio]]))</f>
        <v/>
      </c>
      <c r="AM656" s="18">
        <f>IF(tblOrdenes[[#This Row],[orden]]="","",tblOrdenes[[#This Row],[costo_servicio]]+tblOrdenes[[#This Row],[costo_materiales]])</f>
        <v/>
      </c>
      <c r="AN6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6" s="4" t="n"/>
      <c r="AP656" s="4" t="n"/>
      <c r="AQ656" s="4" t="n"/>
      <c r="AR656" s="5">
        <f>IF(tblOrdenes[[#This Row],[link_checklist]]="","",HYPERLINK(p_ruta_base_checklists&amp;tblOrdenes[[#This Row],[link_checklist]],"abrir"))</f>
        <v/>
      </c>
      <c r="AS656" s="4" t="n"/>
      <c r="AT656" s="5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22" t="n"/>
      <c r="K657" s="5" t="n"/>
      <c r="L657" s="18" t="n"/>
      <c r="M6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5">
        <f>IF(tblOrdenes[[#This Row],[fecha_inicio]]="","",YEAR(tblOrdenes[[#This Row],[fecha_inicio]]))</f>
        <v/>
      </c>
      <c r="Q657" s="5">
        <f>IF(tblOrdenes[[#This Row],[fecha_inicio]]="","",MONTH(tblOrdenes[[#This Row],[fecha_inicio]]))</f>
        <v/>
      </c>
      <c r="R657" s="5">
        <f>IF(tblOrdenes[[#This Row],[fecha_inicio]]="","",tblOrdenes[[#This Row],[anio]]&amp;"-"&amp;TEXT(tblOrdenes[[#This Row],[mes]],"00"))</f>
        <v/>
      </c>
      <c r="S657" s="5">
        <f>IF(tblOrdenes[[#This Row],[fecha_inicio]]="","",INDEX(lista_dias,WEEKDAY(tblOrdenes[[#This Row],[fecha_inicio]],2)))</f>
        <v/>
      </c>
      <c r="T6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7" s="5">
        <f>IF(tblOrdenes[[#This Row],[tipo_ot]]="","",_xlfn.XLOOKUP(tblOrdenes[[#This Row],[tipo_ot]],tblTiposOT[codigo],tblTiposOT[clasificacion],"sin_clasificar"))</f>
        <v/>
      </c>
      <c r="V6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7" s="5">
        <f>IF(tblOrdenes[[#This Row],[centro_costo]]="","",_xlfn.XLOOKUP(tblOrdenes[[#This Row],[centro_costo]],tblCECO[codigo],tblCECO[linea],"(sin catálogo)"))</f>
        <v/>
      </c>
      <c r="X657" s="5">
        <f>IF(tblOrdenes[[#This Row],[centro_costo]]="","",_xlfn.XLOOKUP(tblOrdenes[[#This Row],[centro_costo]],tblCECO[codigo],tblCECO[area],"(sin catálogo)"))</f>
        <v/>
      </c>
      <c r="Y6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7" s="5">
        <f>IF(tblOrdenes[[#This Row],[centro_costo]]="","",_xlfn.XLOOKUP(tblOrdenes[[#This Row],[centro_costo]],tblCECO[codigo],tblCECO[coordinador],"(sin catálogo)"))</f>
        <v/>
      </c>
      <c r="AA657" s="5">
        <f>IF(tblOrdenes[[#This Row],[puesto_trabajo]]="","",_xlfn.XLOOKUP(tblOrdenes[[#This Row],[puesto_trabajo]],tblPuestos[codigo],tblPuestos[especialidad],"(sin catálogo)"))</f>
        <v/>
      </c>
      <c r="AB657" s="5">
        <f>IF(tblOrdenes[[#This Row],[cod_actividad]]="","",_xlfn.XLOOKUP(tblOrdenes[[#This Row],[cod_actividad]],tblActividades[codigo],tblActividades[descripcion],"(sin catálogo)"))</f>
        <v/>
      </c>
      <c r="AC657" s="20">
        <f>IF(tblOrdenes[[#This Row],[fecha_inicio]]="","",TODAY()-tblOrdenes[[#This Row],[fecha_inicio]])</f>
        <v/>
      </c>
      <c r="AD6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7" s="5">
        <f>IF(tblOrdenes[[#This Row],[backlog_habiles]]="","",IF(tblOrdenes[[#This Row],[backlog_habiles]]&lt;0,"FUTURO",IF(tblOrdenes[[#This Row],[backlog_habiles]]&gt;p_dias_backlog_max,"BACKLOG","MES CORRIENTE")))</f>
        <v/>
      </c>
      <c r="AF657" s="5">
        <f>IF(tblOrdenes[[#This Row],[backlog_habiles]]="",FALSE,AND(tblOrdenes[[#This Row],[backlog_habiles]]&gt;p_dias_backlog_min,tblOrdenes[[#This Row],[backlog_habiles]]&lt;=p_dias_backlog_max))</f>
        <v/>
      </c>
      <c r="AG657" s="4" t="n"/>
      <c r="AH6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7" s="18">
        <f>IF(tblOrdenes[[#This Row],[orden]]="","",_xlfn.XLOOKUP(tblOrdenes[[#This Row],[id_operacion]],tblEjecucion[id_operacion],tblEjecucion[precio],0))</f>
        <v/>
      </c>
      <c r="AL657" s="18">
        <f>IF(tblOrdenes[[#This Row],[orden]]="","",MAX(0,_xlfn.XLOOKUP(tblOrdenes[[#This Row],[id_operacion]],tblEjecucion[id_operacion],tblEjecucion[costo_plan_total],0)-tblOrdenes[[#This Row],[costo_servicio]]))</f>
        <v/>
      </c>
      <c r="AM657" s="18">
        <f>IF(tblOrdenes[[#This Row],[orden]]="","",tblOrdenes[[#This Row],[costo_servicio]]+tblOrdenes[[#This Row],[costo_materiales]])</f>
        <v/>
      </c>
      <c r="AN6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7" s="4" t="n"/>
      <c r="AP657" s="4" t="n"/>
      <c r="AQ657" s="4" t="n"/>
      <c r="AR657" s="5">
        <f>IF(tblOrdenes[[#This Row],[link_checklist]]="","",HYPERLINK(p_ruta_base_checklists&amp;tblOrdenes[[#This Row],[link_checklist]],"abrir"))</f>
        <v/>
      </c>
      <c r="AS657" s="4" t="n"/>
      <c r="AT657" s="5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22" t="n"/>
      <c r="K658" s="5" t="n"/>
      <c r="L658" s="18" t="n"/>
      <c r="M6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5">
        <f>IF(tblOrdenes[[#This Row],[fecha_inicio]]="","",YEAR(tblOrdenes[[#This Row],[fecha_inicio]]))</f>
        <v/>
      </c>
      <c r="Q658" s="5">
        <f>IF(tblOrdenes[[#This Row],[fecha_inicio]]="","",MONTH(tblOrdenes[[#This Row],[fecha_inicio]]))</f>
        <v/>
      </c>
      <c r="R658" s="5">
        <f>IF(tblOrdenes[[#This Row],[fecha_inicio]]="","",tblOrdenes[[#This Row],[anio]]&amp;"-"&amp;TEXT(tblOrdenes[[#This Row],[mes]],"00"))</f>
        <v/>
      </c>
      <c r="S658" s="5">
        <f>IF(tblOrdenes[[#This Row],[fecha_inicio]]="","",INDEX(lista_dias,WEEKDAY(tblOrdenes[[#This Row],[fecha_inicio]],2)))</f>
        <v/>
      </c>
      <c r="T6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8" s="5">
        <f>IF(tblOrdenes[[#This Row],[tipo_ot]]="","",_xlfn.XLOOKUP(tblOrdenes[[#This Row],[tipo_ot]],tblTiposOT[codigo],tblTiposOT[clasificacion],"sin_clasificar"))</f>
        <v/>
      </c>
      <c r="V6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8" s="5">
        <f>IF(tblOrdenes[[#This Row],[centro_costo]]="","",_xlfn.XLOOKUP(tblOrdenes[[#This Row],[centro_costo]],tblCECO[codigo],tblCECO[linea],"(sin catálogo)"))</f>
        <v/>
      </c>
      <c r="X658" s="5">
        <f>IF(tblOrdenes[[#This Row],[centro_costo]]="","",_xlfn.XLOOKUP(tblOrdenes[[#This Row],[centro_costo]],tblCECO[codigo],tblCECO[area],"(sin catálogo)"))</f>
        <v/>
      </c>
      <c r="Y6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8" s="5">
        <f>IF(tblOrdenes[[#This Row],[centro_costo]]="","",_xlfn.XLOOKUP(tblOrdenes[[#This Row],[centro_costo]],tblCECO[codigo],tblCECO[coordinador],"(sin catálogo)"))</f>
        <v/>
      </c>
      <c r="AA658" s="5">
        <f>IF(tblOrdenes[[#This Row],[puesto_trabajo]]="","",_xlfn.XLOOKUP(tblOrdenes[[#This Row],[puesto_trabajo]],tblPuestos[codigo],tblPuestos[especialidad],"(sin catálogo)"))</f>
        <v/>
      </c>
      <c r="AB658" s="5">
        <f>IF(tblOrdenes[[#This Row],[cod_actividad]]="","",_xlfn.XLOOKUP(tblOrdenes[[#This Row],[cod_actividad]],tblActividades[codigo],tblActividades[descripcion],"(sin catálogo)"))</f>
        <v/>
      </c>
      <c r="AC658" s="20">
        <f>IF(tblOrdenes[[#This Row],[fecha_inicio]]="","",TODAY()-tblOrdenes[[#This Row],[fecha_inicio]])</f>
        <v/>
      </c>
      <c r="AD6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8" s="5">
        <f>IF(tblOrdenes[[#This Row],[backlog_habiles]]="","",IF(tblOrdenes[[#This Row],[backlog_habiles]]&lt;0,"FUTURO",IF(tblOrdenes[[#This Row],[backlog_habiles]]&gt;p_dias_backlog_max,"BACKLOG","MES CORRIENTE")))</f>
        <v/>
      </c>
      <c r="AF658" s="5">
        <f>IF(tblOrdenes[[#This Row],[backlog_habiles]]="",FALSE,AND(tblOrdenes[[#This Row],[backlog_habiles]]&gt;p_dias_backlog_min,tblOrdenes[[#This Row],[backlog_habiles]]&lt;=p_dias_backlog_max))</f>
        <v/>
      </c>
      <c r="AG658" s="4" t="n"/>
      <c r="AH6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8" s="18">
        <f>IF(tblOrdenes[[#This Row],[orden]]="","",_xlfn.XLOOKUP(tblOrdenes[[#This Row],[id_operacion]],tblEjecucion[id_operacion],tblEjecucion[precio],0))</f>
        <v/>
      </c>
      <c r="AL658" s="18">
        <f>IF(tblOrdenes[[#This Row],[orden]]="","",MAX(0,_xlfn.XLOOKUP(tblOrdenes[[#This Row],[id_operacion]],tblEjecucion[id_operacion],tblEjecucion[costo_plan_total],0)-tblOrdenes[[#This Row],[costo_servicio]]))</f>
        <v/>
      </c>
      <c r="AM658" s="18">
        <f>IF(tblOrdenes[[#This Row],[orden]]="","",tblOrdenes[[#This Row],[costo_servicio]]+tblOrdenes[[#This Row],[costo_materiales]])</f>
        <v/>
      </c>
      <c r="AN6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8" s="4" t="n"/>
      <c r="AP658" s="4" t="n"/>
      <c r="AQ658" s="4" t="n"/>
      <c r="AR658" s="5">
        <f>IF(tblOrdenes[[#This Row],[link_checklist]]="","",HYPERLINK(p_ruta_base_checklists&amp;tblOrdenes[[#This Row],[link_checklist]],"abrir"))</f>
        <v/>
      </c>
      <c r="AS658" s="4" t="n"/>
      <c r="AT658" s="5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22" t="n"/>
      <c r="K659" s="5" t="n"/>
      <c r="L659" s="18" t="n"/>
      <c r="M6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5">
        <f>IF(tblOrdenes[[#This Row],[fecha_inicio]]="","",YEAR(tblOrdenes[[#This Row],[fecha_inicio]]))</f>
        <v/>
      </c>
      <c r="Q659" s="5">
        <f>IF(tblOrdenes[[#This Row],[fecha_inicio]]="","",MONTH(tblOrdenes[[#This Row],[fecha_inicio]]))</f>
        <v/>
      </c>
      <c r="R659" s="5">
        <f>IF(tblOrdenes[[#This Row],[fecha_inicio]]="","",tblOrdenes[[#This Row],[anio]]&amp;"-"&amp;TEXT(tblOrdenes[[#This Row],[mes]],"00"))</f>
        <v/>
      </c>
      <c r="S659" s="5">
        <f>IF(tblOrdenes[[#This Row],[fecha_inicio]]="","",INDEX(lista_dias,WEEKDAY(tblOrdenes[[#This Row],[fecha_inicio]],2)))</f>
        <v/>
      </c>
      <c r="T6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9" s="5">
        <f>IF(tblOrdenes[[#This Row],[tipo_ot]]="","",_xlfn.XLOOKUP(tblOrdenes[[#This Row],[tipo_ot]],tblTiposOT[codigo],tblTiposOT[clasificacion],"sin_clasificar"))</f>
        <v/>
      </c>
      <c r="V6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9" s="5">
        <f>IF(tblOrdenes[[#This Row],[centro_costo]]="","",_xlfn.XLOOKUP(tblOrdenes[[#This Row],[centro_costo]],tblCECO[codigo],tblCECO[linea],"(sin catálogo)"))</f>
        <v/>
      </c>
      <c r="X659" s="5">
        <f>IF(tblOrdenes[[#This Row],[centro_costo]]="","",_xlfn.XLOOKUP(tblOrdenes[[#This Row],[centro_costo]],tblCECO[codigo],tblCECO[area],"(sin catálogo)"))</f>
        <v/>
      </c>
      <c r="Y6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59" s="5">
        <f>IF(tblOrdenes[[#This Row],[centro_costo]]="","",_xlfn.XLOOKUP(tblOrdenes[[#This Row],[centro_costo]],tblCECO[codigo],tblCECO[coordinador],"(sin catálogo)"))</f>
        <v/>
      </c>
      <c r="AA659" s="5">
        <f>IF(tblOrdenes[[#This Row],[puesto_trabajo]]="","",_xlfn.XLOOKUP(tblOrdenes[[#This Row],[puesto_trabajo]],tblPuestos[codigo],tblPuestos[especialidad],"(sin catálogo)"))</f>
        <v/>
      </c>
      <c r="AB659" s="5">
        <f>IF(tblOrdenes[[#This Row],[cod_actividad]]="","",_xlfn.XLOOKUP(tblOrdenes[[#This Row],[cod_actividad]],tblActividades[codigo],tblActividades[descripcion],"(sin catálogo)"))</f>
        <v/>
      </c>
      <c r="AC659" s="20">
        <f>IF(tblOrdenes[[#This Row],[fecha_inicio]]="","",TODAY()-tblOrdenes[[#This Row],[fecha_inicio]])</f>
        <v/>
      </c>
      <c r="AD6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59" s="5">
        <f>IF(tblOrdenes[[#This Row],[backlog_habiles]]="","",IF(tblOrdenes[[#This Row],[backlog_habiles]]&lt;0,"FUTURO",IF(tblOrdenes[[#This Row],[backlog_habiles]]&gt;p_dias_backlog_max,"BACKLOG","MES CORRIENTE")))</f>
        <v/>
      </c>
      <c r="AF659" s="5">
        <f>IF(tblOrdenes[[#This Row],[backlog_habiles]]="",FALSE,AND(tblOrdenes[[#This Row],[backlog_habiles]]&gt;p_dias_backlog_min,tblOrdenes[[#This Row],[backlog_habiles]]&lt;=p_dias_backlog_max))</f>
        <v/>
      </c>
      <c r="AG659" s="4" t="n"/>
      <c r="AH6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59" s="18">
        <f>IF(tblOrdenes[[#This Row],[orden]]="","",_xlfn.XLOOKUP(tblOrdenes[[#This Row],[id_operacion]],tblEjecucion[id_operacion],tblEjecucion[precio],0))</f>
        <v/>
      </c>
      <c r="AL659" s="18">
        <f>IF(tblOrdenes[[#This Row],[orden]]="","",MAX(0,_xlfn.XLOOKUP(tblOrdenes[[#This Row],[id_operacion]],tblEjecucion[id_operacion],tblEjecucion[costo_plan_total],0)-tblOrdenes[[#This Row],[costo_servicio]]))</f>
        <v/>
      </c>
      <c r="AM659" s="18">
        <f>IF(tblOrdenes[[#This Row],[orden]]="","",tblOrdenes[[#This Row],[costo_servicio]]+tblOrdenes[[#This Row],[costo_materiales]])</f>
        <v/>
      </c>
      <c r="AN6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59" s="4" t="n"/>
      <c r="AP659" s="4" t="n"/>
      <c r="AQ659" s="4" t="n"/>
      <c r="AR659" s="5">
        <f>IF(tblOrdenes[[#This Row],[link_checklist]]="","",HYPERLINK(p_ruta_base_checklists&amp;tblOrdenes[[#This Row],[link_checklist]],"abrir"))</f>
        <v/>
      </c>
      <c r="AS659" s="4" t="n"/>
      <c r="AT659" s="5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22" t="n"/>
      <c r="K660" s="5" t="n"/>
      <c r="L660" s="18" t="n"/>
      <c r="M6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5">
        <f>IF(tblOrdenes[[#This Row],[fecha_inicio]]="","",YEAR(tblOrdenes[[#This Row],[fecha_inicio]]))</f>
        <v/>
      </c>
      <c r="Q660" s="5">
        <f>IF(tblOrdenes[[#This Row],[fecha_inicio]]="","",MONTH(tblOrdenes[[#This Row],[fecha_inicio]]))</f>
        <v/>
      </c>
      <c r="R660" s="5">
        <f>IF(tblOrdenes[[#This Row],[fecha_inicio]]="","",tblOrdenes[[#This Row],[anio]]&amp;"-"&amp;TEXT(tblOrdenes[[#This Row],[mes]],"00"))</f>
        <v/>
      </c>
      <c r="S660" s="5">
        <f>IF(tblOrdenes[[#This Row],[fecha_inicio]]="","",INDEX(lista_dias,WEEKDAY(tblOrdenes[[#This Row],[fecha_inicio]],2)))</f>
        <v/>
      </c>
      <c r="T6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0" s="5">
        <f>IF(tblOrdenes[[#This Row],[tipo_ot]]="","",_xlfn.XLOOKUP(tblOrdenes[[#This Row],[tipo_ot]],tblTiposOT[codigo],tblTiposOT[clasificacion],"sin_clasificar"))</f>
        <v/>
      </c>
      <c r="V6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0" s="5">
        <f>IF(tblOrdenes[[#This Row],[centro_costo]]="","",_xlfn.XLOOKUP(tblOrdenes[[#This Row],[centro_costo]],tblCECO[codigo],tblCECO[linea],"(sin catálogo)"))</f>
        <v/>
      </c>
      <c r="X660" s="5">
        <f>IF(tblOrdenes[[#This Row],[centro_costo]]="","",_xlfn.XLOOKUP(tblOrdenes[[#This Row],[centro_costo]],tblCECO[codigo],tblCECO[area],"(sin catálogo)"))</f>
        <v/>
      </c>
      <c r="Y6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0" s="5">
        <f>IF(tblOrdenes[[#This Row],[centro_costo]]="","",_xlfn.XLOOKUP(tblOrdenes[[#This Row],[centro_costo]],tblCECO[codigo],tblCECO[coordinador],"(sin catálogo)"))</f>
        <v/>
      </c>
      <c r="AA660" s="5">
        <f>IF(tblOrdenes[[#This Row],[puesto_trabajo]]="","",_xlfn.XLOOKUP(tblOrdenes[[#This Row],[puesto_trabajo]],tblPuestos[codigo],tblPuestos[especialidad],"(sin catálogo)"))</f>
        <v/>
      </c>
      <c r="AB660" s="5">
        <f>IF(tblOrdenes[[#This Row],[cod_actividad]]="","",_xlfn.XLOOKUP(tblOrdenes[[#This Row],[cod_actividad]],tblActividades[codigo],tblActividades[descripcion],"(sin catálogo)"))</f>
        <v/>
      </c>
      <c r="AC660" s="20">
        <f>IF(tblOrdenes[[#This Row],[fecha_inicio]]="","",TODAY()-tblOrdenes[[#This Row],[fecha_inicio]])</f>
        <v/>
      </c>
      <c r="AD6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0" s="5">
        <f>IF(tblOrdenes[[#This Row],[backlog_habiles]]="","",IF(tblOrdenes[[#This Row],[backlog_habiles]]&lt;0,"FUTURO",IF(tblOrdenes[[#This Row],[backlog_habiles]]&gt;p_dias_backlog_max,"BACKLOG","MES CORRIENTE")))</f>
        <v/>
      </c>
      <c r="AF660" s="5">
        <f>IF(tblOrdenes[[#This Row],[backlog_habiles]]="",FALSE,AND(tblOrdenes[[#This Row],[backlog_habiles]]&gt;p_dias_backlog_min,tblOrdenes[[#This Row],[backlog_habiles]]&lt;=p_dias_backlog_max))</f>
        <v/>
      </c>
      <c r="AG660" s="4" t="n"/>
      <c r="AH6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0" s="18">
        <f>IF(tblOrdenes[[#This Row],[orden]]="","",_xlfn.XLOOKUP(tblOrdenes[[#This Row],[id_operacion]],tblEjecucion[id_operacion],tblEjecucion[precio],0))</f>
        <v/>
      </c>
      <c r="AL660" s="18">
        <f>IF(tblOrdenes[[#This Row],[orden]]="","",MAX(0,_xlfn.XLOOKUP(tblOrdenes[[#This Row],[id_operacion]],tblEjecucion[id_operacion],tblEjecucion[costo_plan_total],0)-tblOrdenes[[#This Row],[costo_servicio]]))</f>
        <v/>
      </c>
      <c r="AM660" s="18">
        <f>IF(tblOrdenes[[#This Row],[orden]]="","",tblOrdenes[[#This Row],[costo_servicio]]+tblOrdenes[[#This Row],[costo_materiales]])</f>
        <v/>
      </c>
      <c r="AN6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0" s="4" t="n"/>
      <c r="AP660" s="4" t="n"/>
      <c r="AQ660" s="4" t="n"/>
      <c r="AR660" s="5">
        <f>IF(tblOrdenes[[#This Row],[link_checklist]]="","",HYPERLINK(p_ruta_base_checklists&amp;tblOrdenes[[#This Row],[link_checklist]],"abrir"))</f>
        <v/>
      </c>
      <c r="AS660" s="4" t="n"/>
      <c r="AT660" s="5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22" t="n"/>
      <c r="K661" s="5" t="n"/>
      <c r="L661" s="18" t="n"/>
      <c r="M6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5">
        <f>IF(tblOrdenes[[#This Row],[fecha_inicio]]="","",YEAR(tblOrdenes[[#This Row],[fecha_inicio]]))</f>
        <v/>
      </c>
      <c r="Q661" s="5">
        <f>IF(tblOrdenes[[#This Row],[fecha_inicio]]="","",MONTH(tblOrdenes[[#This Row],[fecha_inicio]]))</f>
        <v/>
      </c>
      <c r="R661" s="5">
        <f>IF(tblOrdenes[[#This Row],[fecha_inicio]]="","",tblOrdenes[[#This Row],[anio]]&amp;"-"&amp;TEXT(tblOrdenes[[#This Row],[mes]],"00"))</f>
        <v/>
      </c>
      <c r="S661" s="5">
        <f>IF(tblOrdenes[[#This Row],[fecha_inicio]]="","",INDEX(lista_dias,WEEKDAY(tblOrdenes[[#This Row],[fecha_inicio]],2)))</f>
        <v/>
      </c>
      <c r="T6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1" s="5">
        <f>IF(tblOrdenes[[#This Row],[tipo_ot]]="","",_xlfn.XLOOKUP(tblOrdenes[[#This Row],[tipo_ot]],tblTiposOT[codigo],tblTiposOT[clasificacion],"sin_clasificar"))</f>
        <v/>
      </c>
      <c r="V6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1" s="5">
        <f>IF(tblOrdenes[[#This Row],[centro_costo]]="","",_xlfn.XLOOKUP(tblOrdenes[[#This Row],[centro_costo]],tblCECO[codigo],tblCECO[linea],"(sin catálogo)"))</f>
        <v/>
      </c>
      <c r="X661" s="5">
        <f>IF(tblOrdenes[[#This Row],[centro_costo]]="","",_xlfn.XLOOKUP(tblOrdenes[[#This Row],[centro_costo]],tblCECO[codigo],tblCECO[area],"(sin catálogo)"))</f>
        <v/>
      </c>
      <c r="Y6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1" s="5">
        <f>IF(tblOrdenes[[#This Row],[centro_costo]]="","",_xlfn.XLOOKUP(tblOrdenes[[#This Row],[centro_costo]],tblCECO[codigo],tblCECO[coordinador],"(sin catálogo)"))</f>
        <v/>
      </c>
      <c r="AA661" s="5">
        <f>IF(tblOrdenes[[#This Row],[puesto_trabajo]]="","",_xlfn.XLOOKUP(tblOrdenes[[#This Row],[puesto_trabajo]],tblPuestos[codigo],tblPuestos[especialidad],"(sin catálogo)"))</f>
        <v/>
      </c>
      <c r="AB661" s="5">
        <f>IF(tblOrdenes[[#This Row],[cod_actividad]]="","",_xlfn.XLOOKUP(tblOrdenes[[#This Row],[cod_actividad]],tblActividades[codigo],tblActividades[descripcion],"(sin catálogo)"))</f>
        <v/>
      </c>
      <c r="AC661" s="20">
        <f>IF(tblOrdenes[[#This Row],[fecha_inicio]]="","",TODAY()-tblOrdenes[[#This Row],[fecha_inicio]])</f>
        <v/>
      </c>
      <c r="AD6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1" s="5">
        <f>IF(tblOrdenes[[#This Row],[backlog_habiles]]="","",IF(tblOrdenes[[#This Row],[backlog_habiles]]&lt;0,"FUTURO",IF(tblOrdenes[[#This Row],[backlog_habiles]]&gt;p_dias_backlog_max,"BACKLOG","MES CORRIENTE")))</f>
        <v/>
      </c>
      <c r="AF661" s="5">
        <f>IF(tblOrdenes[[#This Row],[backlog_habiles]]="",FALSE,AND(tblOrdenes[[#This Row],[backlog_habiles]]&gt;p_dias_backlog_min,tblOrdenes[[#This Row],[backlog_habiles]]&lt;=p_dias_backlog_max))</f>
        <v/>
      </c>
      <c r="AG661" s="4" t="n"/>
      <c r="AH6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1" s="18">
        <f>IF(tblOrdenes[[#This Row],[orden]]="","",_xlfn.XLOOKUP(tblOrdenes[[#This Row],[id_operacion]],tblEjecucion[id_operacion],tblEjecucion[precio],0))</f>
        <v/>
      </c>
      <c r="AL661" s="18">
        <f>IF(tblOrdenes[[#This Row],[orden]]="","",MAX(0,_xlfn.XLOOKUP(tblOrdenes[[#This Row],[id_operacion]],tblEjecucion[id_operacion],tblEjecucion[costo_plan_total],0)-tblOrdenes[[#This Row],[costo_servicio]]))</f>
        <v/>
      </c>
      <c r="AM661" s="18">
        <f>IF(tblOrdenes[[#This Row],[orden]]="","",tblOrdenes[[#This Row],[costo_servicio]]+tblOrdenes[[#This Row],[costo_materiales]])</f>
        <v/>
      </c>
      <c r="AN6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1" s="4" t="n"/>
      <c r="AP661" s="4" t="n"/>
      <c r="AQ661" s="4" t="n"/>
      <c r="AR661" s="5">
        <f>IF(tblOrdenes[[#This Row],[link_checklist]]="","",HYPERLINK(p_ruta_base_checklists&amp;tblOrdenes[[#This Row],[link_checklist]],"abrir"))</f>
        <v/>
      </c>
      <c r="AS661" s="4" t="n"/>
      <c r="AT661" s="5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22" t="n"/>
      <c r="K662" s="5" t="n"/>
      <c r="L662" s="18" t="n"/>
      <c r="M6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5">
        <f>IF(tblOrdenes[[#This Row],[fecha_inicio]]="","",YEAR(tblOrdenes[[#This Row],[fecha_inicio]]))</f>
        <v/>
      </c>
      <c r="Q662" s="5">
        <f>IF(tblOrdenes[[#This Row],[fecha_inicio]]="","",MONTH(tblOrdenes[[#This Row],[fecha_inicio]]))</f>
        <v/>
      </c>
      <c r="R662" s="5">
        <f>IF(tblOrdenes[[#This Row],[fecha_inicio]]="","",tblOrdenes[[#This Row],[anio]]&amp;"-"&amp;TEXT(tblOrdenes[[#This Row],[mes]],"00"))</f>
        <v/>
      </c>
      <c r="S662" s="5">
        <f>IF(tblOrdenes[[#This Row],[fecha_inicio]]="","",INDEX(lista_dias,WEEKDAY(tblOrdenes[[#This Row],[fecha_inicio]],2)))</f>
        <v/>
      </c>
      <c r="T6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2" s="5">
        <f>IF(tblOrdenes[[#This Row],[tipo_ot]]="","",_xlfn.XLOOKUP(tblOrdenes[[#This Row],[tipo_ot]],tblTiposOT[codigo],tblTiposOT[clasificacion],"sin_clasificar"))</f>
        <v/>
      </c>
      <c r="V6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2" s="5">
        <f>IF(tblOrdenes[[#This Row],[centro_costo]]="","",_xlfn.XLOOKUP(tblOrdenes[[#This Row],[centro_costo]],tblCECO[codigo],tblCECO[linea],"(sin catálogo)"))</f>
        <v/>
      </c>
      <c r="X662" s="5">
        <f>IF(tblOrdenes[[#This Row],[centro_costo]]="","",_xlfn.XLOOKUP(tblOrdenes[[#This Row],[centro_costo]],tblCECO[codigo],tblCECO[area],"(sin catálogo)"))</f>
        <v/>
      </c>
      <c r="Y6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2" s="5">
        <f>IF(tblOrdenes[[#This Row],[centro_costo]]="","",_xlfn.XLOOKUP(tblOrdenes[[#This Row],[centro_costo]],tblCECO[codigo],tblCECO[coordinador],"(sin catálogo)"))</f>
        <v/>
      </c>
      <c r="AA662" s="5">
        <f>IF(tblOrdenes[[#This Row],[puesto_trabajo]]="","",_xlfn.XLOOKUP(tblOrdenes[[#This Row],[puesto_trabajo]],tblPuestos[codigo],tblPuestos[especialidad],"(sin catálogo)"))</f>
        <v/>
      </c>
      <c r="AB662" s="5">
        <f>IF(tblOrdenes[[#This Row],[cod_actividad]]="","",_xlfn.XLOOKUP(tblOrdenes[[#This Row],[cod_actividad]],tblActividades[codigo],tblActividades[descripcion],"(sin catálogo)"))</f>
        <v/>
      </c>
      <c r="AC662" s="20">
        <f>IF(tblOrdenes[[#This Row],[fecha_inicio]]="","",TODAY()-tblOrdenes[[#This Row],[fecha_inicio]])</f>
        <v/>
      </c>
      <c r="AD6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2" s="5">
        <f>IF(tblOrdenes[[#This Row],[backlog_habiles]]="","",IF(tblOrdenes[[#This Row],[backlog_habiles]]&lt;0,"FUTURO",IF(tblOrdenes[[#This Row],[backlog_habiles]]&gt;p_dias_backlog_max,"BACKLOG","MES CORRIENTE")))</f>
        <v/>
      </c>
      <c r="AF662" s="5">
        <f>IF(tblOrdenes[[#This Row],[backlog_habiles]]="",FALSE,AND(tblOrdenes[[#This Row],[backlog_habiles]]&gt;p_dias_backlog_min,tblOrdenes[[#This Row],[backlog_habiles]]&lt;=p_dias_backlog_max))</f>
        <v/>
      </c>
      <c r="AG662" s="4" t="n"/>
      <c r="AH6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2" s="18">
        <f>IF(tblOrdenes[[#This Row],[orden]]="","",_xlfn.XLOOKUP(tblOrdenes[[#This Row],[id_operacion]],tblEjecucion[id_operacion],tblEjecucion[precio],0))</f>
        <v/>
      </c>
      <c r="AL662" s="18">
        <f>IF(tblOrdenes[[#This Row],[orden]]="","",MAX(0,_xlfn.XLOOKUP(tblOrdenes[[#This Row],[id_operacion]],tblEjecucion[id_operacion],tblEjecucion[costo_plan_total],0)-tblOrdenes[[#This Row],[costo_servicio]]))</f>
        <v/>
      </c>
      <c r="AM662" s="18">
        <f>IF(tblOrdenes[[#This Row],[orden]]="","",tblOrdenes[[#This Row],[costo_servicio]]+tblOrdenes[[#This Row],[costo_materiales]])</f>
        <v/>
      </c>
      <c r="AN6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2" s="4" t="n"/>
      <c r="AP662" s="4" t="n"/>
      <c r="AQ662" s="4" t="n"/>
      <c r="AR662" s="5">
        <f>IF(tblOrdenes[[#This Row],[link_checklist]]="","",HYPERLINK(p_ruta_base_checklists&amp;tblOrdenes[[#This Row],[link_checklist]],"abrir"))</f>
        <v/>
      </c>
      <c r="AS662" s="4" t="n"/>
      <c r="AT662" s="5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22" t="n"/>
      <c r="K663" s="5" t="n"/>
      <c r="L663" s="18" t="n"/>
      <c r="M6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5">
        <f>IF(tblOrdenes[[#This Row],[fecha_inicio]]="","",YEAR(tblOrdenes[[#This Row],[fecha_inicio]]))</f>
        <v/>
      </c>
      <c r="Q663" s="5">
        <f>IF(tblOrdenes[[#This Row],[fecha_inicio]]="","",MONTH(tblOrdenes[[#This Row],[fecha_inicio]]))</f>
        <v/>
      </c>
      <c r="R663" s="5">
        <f>IF(tblOrdenes[[#This Row],[fecha_inicio]]="","",tblOrdenes[[#This Row],[anio]]&amp;"-"&amp;TEXT(tblOrdenes[[#This Row],[mes]],"00"))</f>
        <v/>
      </c>
      <c r="S663" s="5">
        <f>IF(tblOrdenes[[#This Row],[fecha_inicio]]="","",INDEX(lista_dias,WEEKDAY(tblOrdenes[[#This Row],[fecha_inicio]],2)))</f>
        <v/>
      </c>
      <c r="T6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3" s="5">
        <f>IF(tblOrdenes[[#This Row],[tipo_ot]]="","",_xlfn.XLOOKUP(tblOrdenes[[#This Row],[tipo_ot]],tblTiposOT[codigo],tblTiposOT[clasificacion],"sin_clasificar"))</f>
        <v/>
      </c>
      <c r="V6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3" s="5">
        <f>IF(tblOrdenes[[#This Row],[centro_costo]]="","",_xlfn.XLOOKUP(tblOrdenes[[#This Row],[centro_costo]],tblCECO[codigo],tblCECO[linea],"(sin catálogo)"))</f>
        <v/>
      </c>
      <c r="X663" s="5">
        <f>IF(tblOrdenes[[#This Row],[centro_costo]]="","",_xlfn.XLOOKUP(tblOrdenes[[#This Row],[centro_costo]],tblCECO[codigo],tblCECO[area],"(sin catálogo)"))</f>
        <v/>
      </c>
      <c r="Y6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3" s="5">
        <f>IF(tblOrdenes[[#This Row],[centro_costo]]="","",_xlfn.XLOOKUP(tblOrdenes[[#This Row],[centro_costo]],tblCECO[codigo],tblCECO[coordinador],"(sin catálogo)"))</f>
        <v/>
      </c>
      <c r="AA663" s="5">
        <f>IF(tblOrdenes[[#This Row],[puesto_trabajo]]="","",_xlfn.XLOOKUP(tblOrdenes[[#This Row],[puesto_trabajo]],tblPuestos[codigo],tblPuestos[especialidad],"(sin catálogo)"))</f>
        <v/>
      </c>
      <c r="AB663" s="5">
        <f>IF(tblOrdenes[[#This Row],[cod_actividad]]="","",_xlfn.XLOOKUP(tblOrdenes[[#This Row],[cod_actividad]],tblActividades[codigo],tblActividades[descripcion],"(sin catálogo)"))</f>
        <v/>
      </c>
      <c r="AC663" s="20">
        <f>IF(tblOrdenes[[#This Row],[fecha_inicio]]="","",TODAY()-tblOrdenes[[#This Row],[fecha_inicio]])</f>
        <v/>
      </c>
      <c r="AD6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3" s="5">
        <f>IF(tblOrdenes[[#This Row],[backlog_habiles]]="","",IF(tblOrdenes[[#This Row],[backlog_habiles]]&lt;0,"FUTURO",IF(tblOrdenes[[#This Row],[backlog_habiles]]&gt;p_dias_backlog_max,"BACKLOG","MES CORRIENTE")))</f>
        <v/>
      </c>
      <c r="AF663" s="5">
        <f>IF(tblOrdenes[[#This Row],[backlog_habiles]]="",FALSE,AND(tblOrdenes[[#This Row],[backlog_habiles]]&gt;p_dias_backlog_min,tblOrdenes[[#This Row],[backlog_habiles]]&lt;=p_dias_backlog_max))</f>
        <v/>
      </c>
      <c r="AG663" s="4" t="n"/>
      <c r="AH6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3" s="18">
        <f>IF(tblOrdenes[[#This Row],[orden]]="","",_xlfn.XLOOKUP(tblOrdenes[[#This Row],[id_operacion]],tblEjecucion[id_operacion],tblEjecucion[precio],0))</f>
        <v/>
      </c>
      <c r="AL663" s="18">
        <f>IF(tblOrdenes[[#This Row],[orden]]="","",MAX(0,_xlfn.XLOOKUP(tblOrdenes[[#This Row],[id_operacion]],tblEjecucion[id_operacion],tblEjecucion[costo_plan_total],0)-tblOrdenes[[#This Row],[costo_servicio]]))</f>
        <v/>
      </c>
      <c r="AM663" s="18">
        <f>IF(tblOrdenes[[#This Row],[orden]]="","",tblOrdenes[[#This Row],[costo_servicio]]+tblOrdenes[[#This Row],[costo_materiales]])</f>
        <v/>
      </c>
      <c r="AN6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3" s="4" t="n"/>
      <c r="AP663" s="4" t="n"/>
      <c r="AQ663" s="4" t="n"/>
      <c r="AR663" s="5">
        <f>IF(tblOrdenes[[#This Row],[link_checklist]]="","",HYPERLINK(p_ruta_base_checklists&amp;tblOrdenes[[#This Row],[link_checklist]],"abrir"))</f>
        <v/>
      </c>
      <c r="AS663" s="4" t="n"/>
      <c r="AT663" s="5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22" t="n"/>
      <c r="K664" s="5" t="n"/>
      <c r="L664" s="18" t="n"/>
      <c r="M6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5">
        <f>IF(tblOrdenes[[#This Row],[fecha_inicio]]="","",YEAR(tblOrdenes[[#This Row],[fecha_inicio]]))</f>
        <v/>
      </c>
      <c r="Q664" s="5">
        <f>IF(tblOrdenes[[#This Row],[fecha_inicio]]="","",MONTH(tblOrdenes[[#This Row],[fecha_inicio]]))</f>
        <v/>
      </c>
      <c r="R664" s="5">
        <f>IF(tblOrdenes[[#This Row],[fecha_inicio]]="","",tblOrdenes[[#This Row],[anio]]&amp;"-"&amp;TEXT(tblOrdenes[[#This Row],[mes]],"00"))</f>
        <v/>
      </c>
      <c r="S664" s="5">
        <f>IF(tblOrdenes[[#This Row],[fecha_inicio]]="","",INDEX(lista_dias,WEEKDAY(tblOrdenes[[#This Row],[fecha_inicio]],2)))</f>
        <v/>
      </c>
      <c r="T6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4" s="5">
        <f>IF(tblOrdenes[[#This Row],[tipo_ot]]="","",_xlfn.XLOOKUP(tblOrdenes[[#This Row],[tipo_ot]],tblTiposOT[codigo],tblTiposOT[clasificacion],"sin_clasificar"))</f>
        <v/>
      </c>
      <c r="V6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4" s="5">
        <f>IF(tblOrdenes[[#This Row],[centro_costo]]="","",_xlfn.XLOOKUP(tblOrdenes[[#This Row],[centro_costo]],tblCECO[codigo],tblCECO[linea],"(sin catálogo)"))</f>
        <v/>
      </c>
      <c r="X664" s="5">
        <f>IF(tblOrdenes[[#This Row],[centro_costo]]="","",_xlfn.XLOOKUP(tblOrdenes[[#This Row],[centro_costo]],tblCECO[codigo],tblCECO[area],"(sin catálogo)"))</f>
        <v/>
      </c>
      <c r="Y6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4" s="5">
        <f>IF(tblOrdenes[[#This Row],[centro_costo]]="","",_xlfn.XLOOKUP(tblOrdenes[[#This Row],[centro_costo]],tblCECO[codigo],tblCECO[coordinador],"(sin catálogo)"))</f>
        <v/>
      </c>
      <c r="AA664" s="5">
        <f>IF(tblOrdenes[[#This Row],[puesto_trabajo]]="","",_xlfn.XLOOKUP(tblOrdenes[[#This Row],[puesto_trabajo]],tblPuestos[codigo],tblPuestos[especialidad],"(sin catálogo)"))</f>
        <v/>
      </c>
      <c r="AB664" s="5">
        <f>IF(tblOrdenes[[#This Row],[cod_actividad]]="","",_xlfn.XLOOKUP(tblOrdenes[[#This Row],[cod_actividad]],tblActividades[codigo],tblActividades[descripcion],"(sin catálogo)"))</f>
        <v/>
      </c>
      <c r="AC664" s="20">
        <f>IF(tblOrdenes[[#This Row],[fecha_inicio]]="","",TODAY()-tblOrdenes[[#This Row],[fecha_inicio]])</f>
        <v/>
      </c>
      <c r="AD6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4" s="5">
        <f>IF(tblOrdenes[[#This Row],[backlog_habiles]]="","",IF(tblOrdenes[[#This Row],[backlog_habiles]]&lt;0,"FUTURO",IF(tblOrdenes[[#This Row],[backlog_habiles]]&gt;p_dias_backlog_max,"BACKLOG","MES CORRIENTE")))</f>
        <v/>
      </c>
      <c r="AF664" s="5">
        <f>IF(tblOrdenes[[#This Row],[backlog_habiles]]="",FALSE,AND(tblOrdenes[[#This Row],[backlog_habiles]]&gt;p_dias_backlog_min,tblOrdenes[[#This Row],[backlog_habiles]]&lt;=p_dias_backlog_max))</f>
        <v/>
      </c>
      <c r="AG664" s="4" t="n"/>
      <c r="AH6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4" s="18">
        <f>IF(tblOrdenes[[#This Row],[orden]]="","",_xlfn.XLOOKUP(tblOrdenes[[#This Row],[id_operacion]],tblEjecucion[id_operacion],tblEjecucion[precio],0))</f>
        <v/>
      </c>
      <c r="AL664" s="18">
        <f>IF(tblOrdenes[[#This Row],[orden]]="","",MAX(0,_xlfn.XLOOKUP(tblOrdenes[[#This Row],[id_operacion]],tblEjecucion[id_operacion],tblEjecucion[costo_plan_total],0)-tblOrdenes[[#This Row],[costo_servicio]]))</f>
        <v/>
      </c>
      <c r="AM664" s="18">
        <f>IF(tblOrdenes[[#This Row],[orden]]="","",tblOrdenes[[#This Row],[costo_servicio]]+tblOrdenes[[#This Row],[costo_materiales]])</f>
        <v/>
      </c>
      <c r="AN6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4" s="4" t="n"/>
      <c r="AP664" s="4" t="n"/>
      <c r="AQ664" s="4" t="n"/>
      <c r="AR664" s="5">
        <f>IF(tblOrdenes[[#This Row],[link_checklist]]="","",HYPERLINK(p_ruta_base_checklists&amp;tblOrdenes[[#This Row],[link_checklist]],"abrir"))</f>
        <v/>
      </c>
      <c r="AS664" s="4" t="n"/>
      <c r="AT664" s="5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22" t="n"/>
      <c r="K665" s="5" t="n"/>
      <c r="L665" s="18" t="n"/>
      <c r="M6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5">
        <f>IF(tblOrdenes[[#This Row],[fecha_inicio]]="","",YEAR(tblOrdenes[[#This Row],[fecha_inicio]]))</f>
        <v/>
      </c>
      <c r="Q665" s="5">
        <f>IF(tblOrdenes[[#This Row],[fecha_inicio]]="","",MONTH(tblOrdenes[[#This Row],[fecha_inicio]]))</f>
        <v/>
      </c>
      <c r="R665" s="5">
        <f>IF(tblOrdenes[[#This Row],[fecha_inicio]]="","",tblOrdenes[[#This Row],[anio]]&amp;"-"&amp;TEXT(tblOrdenes[[#This Row],[mes]],"00"))</f>
        <v/>
      </c>
      <c r="S665" s="5">
        <f>IF(tblOrdenes[[#This Row],[fecha_inicio]]="","",INDEX(lista_dias,WEEKDAY(tblOrdenes[[#This Row],[fecha_inicio]],2)))</f>
        <v/>
      </c>
      <c r="T6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5" s="5">
        <f>IF(tblOrdenes[[#This Row],[tipo_ot]]="","",_xlfn.XLOOKUP(tblOrdenes[[#This Row],[tipo_ot]],tblTiposOT[codigo],tblTiposOT[clasificacion],"sin_clasificar"))</f>
        <v/>
      </c>
      <c r="V6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5" s="5">
        <f>IF(tblOrdenes[[#This Row],[centro_costo]]="","",_xlfn.XLOOKUP(tblOrdenes[[#This Row],[centro_costo]],tblCECO[codigo],tblCECO[linea],"(sin catálogo)"))</f>
        <v/>
      </c>
      <c r="X665" s="5">
        <f>IF(tblOrdenes[[#This Row],[centro_costo]]="","",_xlfn.XLOOKUP(tblOrdenes[[#This Row],[centro_costo]],tblCECO[codigo],tblCECO[area],"(sin catálogo)"))</f>
        <v/>
      </c>
      <c r="Y6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5" s="5">
        <f>IF(tblOrdenes[[#This Row],[centro_costo]]="","",_xlfn.XLOOKUP(tblOrdenes[[#This Row],[centro_costo]],tblCECO[codigo],tblCECO[coordinador],"(sin catálogo)"))</f>
        <v/>
      </c>
      <c r="AA665" s="5">
        <f>IF(tblOrdenes[[#This Row],[puesto_trabajo]]="","",_xlfn.XLOOKUP(tblOrdenes[[#This Row],[puesto_trabajo]],tblPuestos[codigo],tblPuestos[especialidad],"(sin catálogo)"))</f>
        <v/>
      </c>
      <c r="AB665" s="5">
        <f>IF(tblOrdenes[[#This Row],[cod_actividad]]="","",_xlfn.XLOOKUP(tblOrdenes[[#This Row],[cod_actividad]],tblActividades[codigo],tblActividades[descripcion],"(sin catálogo)"))</f>
        <v/>
      </c>
      <c r="AC665" s="20">
        <f>IF(tblOrdenes[[#This Row],[fecha_inicio]]="","",TODAY()-tblOrdenes[[#This Row],[fecha_inicio]])</f>
        <v/>
      </c>
      <c r="AD6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5" s="5">
        <f>IF(tblOrdenes[[#This Row],[backlog_habiles]]="","",IF(tblOrdenes[[#This Row],[backlog_habiles]]&lt;0,"FUTURO",IF(tblOrdenes[[#This Row],[backlog_habiles]]&gt;p_dias_backlog_max,"BACKLOG","MES CORRIENTE")))</f>
        <v/>
      </c>
      <c r="AF665" s="5">
        <f>IF(tblOrdenes[[#This Row],[backlog_habiles]]="",FALSE,AND(tblOrdenes[[#This Row],[backlog_habiles]]&gt;p_dias_backlog_min,tblOrdenes[[#This Row],[backlog_habiles]]&lt;=p_dias_backlog_max))</f>
        <v/>
      </c>
      <c r="AG665" s="4" t="n"/>
      <c r="AH6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5" s="18">
        <f>IF(tblOrdenes[[#This Row],[orden]]="","",_xlfn.XLOOKUP(tblOrdenes[[#This Row],[id_operacion]],tblEjecucion[id_operacion],tblEjecucion[precio],0))</f>
        <v/>
      </c>
      <c r="AL665" s="18">
        <f>IF(tblOrdenes[[#This Row],[orden]]="","",MAX(0,_xlfn.XLOOKUP(tblOrdenes[[#This Row],[id_operacion]],tblEjecucion[id_operacion],tblEjecucion[costo_plan_total],0)-tblOrdenes[[#This Row],[costo_servicio]]))</f>
        <v/>
      </c>
      <c r="AM665" s="18">
        <f>IF(tblOrdenes[[#This Row],[orden]]="","",tblOrdenes[[#This Row],[costo_servicio]]+tblOrdenes[[#This Row],[costo_materiales]])</f>
        <v/>
      </c>
      <c r="AN6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5" s="4" t="n"/>
      <c r="AP665" s="4" t="n"/>
      <c r="AQ665" s="4" t="n"/>
      <c r="AR665" s="5">
        <f>IF(tblOrdenes[[#This Row],[link_checklist]]="","",HYPERLINK(p_ruta_base_checklists&amp;tblOrdenes[[#This Row],[link_checklist]],"abrir"))</f>
        <v/>
      </c>
      <c r="AS665" s="4" t="n"/>
      <c r="AT665" s="5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22" t="n"/>
      <c r="K666" s="5" t="n"/>
      <c r="L666" s="18" t="n"/>
      <c r="M6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5">
        <f>IF(tblOrdenes[[#This Row],[fecha_inicio]]="","",YEAR(tblOrdenes[[#This Row],[fecha_inicio]]))</f>
        <v/>
      </c>
      <c r="Q666" s="5">
        <f>IF(tblOrdenes[[#This Row],[fecha_inicio]]="","",MONTH(tblOrdenes[[#This Row],[fecha_inicio]]))</f>
        <v/>
      </c>
      <c r="R666" s="5">
        <f>IF(tblOrdenes[[#This Row],[fecha_inicio]]="","",tblOrdenes[[#This Row],[anio]]&amp;"-"&amp;TEXT(tblOrdenes[[#This Row],[mes]],"00"))</f>
        <v/>
      </c>
      <c r="S666" s="5">
        <f>IF(tblOrdenes[[#This Row],[fecha_inicio]]="","",INDEX(lista_dias,WEEKDAY(tblOrdenes[[#This Row],[fecha_inicio]],2)))</f>
        <v/>
      </c>
      <c r="T6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6" s="5">
        <f>IF(tblOrdenes[[#This Row],[tipo_ot]]="","",_xlfn.XLOOKUP(tblOrdenes[[#This Row],[tipo_ot]],tblTiposOT[codigo],tblTiposOT[clasificacion],"sin_clasificar"))</f>
        <v/>
      </c>
      <c r="V6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6" s="5">
        <f>IF(tblOrdenes[[#This Row],[centro_costo]]="","",_xlfn.XLOOKUP(tblOrdenes[[#This Row],[centro_costo]],tblCECO[codigo],tblCECO[linea],"(sin catálogo)"))</f>
        <v/>
      </c>
      <c r="X666" s="5">
        <f>IF(tblOrdenes[[#This Row],[centro_costo]]="","",_xlfn.XLOOKUP(tblOrdenes[[#This Row],[centro_costo]],tblCECO[codigo],tblCECO[area],"(sin catálogo)"))</f>
        <v/>
      </c>
      <c r="Y6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6" s="5">
        <f>IF(tblOrdenes[[#This Row],[centro_costo]]="","",_xlfn.XLOOKUP(tblOrdenes[[#This Row],[centro_costo]],tblCECO[codigo],tblCECO[coordinador],"(sin catálogo)"))</f>
        <v/>
      </c>
      <c r="AA666" s="5">
        <f>IF(tblOrdenes[[#This Row],[puesto_trabajo]]="","",_xlfn.XLOOKUP(tblOrdenes[[#This Row],[puesto_trabajo]],tblPuestos[codigo],tblPuestos[especialidad],"(sin catálogo)"))</f>
        <v/>
      </c>
      <c r="AB666" s="5">
        <f>IF(tblOrdenes[[#This Row],[cod_actividad]]="","",_xlfn.XLOOKUP(tblOrdenes[[#This Row],[cod_actividad]],tblActividades[codigo],tblActividades[descripcion],"(sin catálogo)"))</f>
        <v/>
      </c>
      <c r="AC666" s="20">
        <f>IF(tblOrdenes[[#This Row],[fecha_inicio]]="","",TODAY()-tblOrdenes[[#This Row],[fecha_inicio]])</f>
        <v/>
      </c>
      <c r="AD6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6" s="5">
        <f>IF(tblOrdenes[[#This Row],[backlog_habiles]]="","",IF(tblOrdenes[[#This Row],[backlog_habiles]]&lt;0,"FUTURO",IF(tblOrdenes[[#This Row],[backlog_habiles]]&gt;p_dias_backlog_max,"BACKLOG","MES CORRIENTE")))</f>
        <v/>
      </c>
      <c r="AF666" s="5">
        <f>IF(tblOrdenes[[#This Row],[backlog_habiles]]="",FALSE,AND(tblOrdenes[[#This Row],[backlog_habiles]]&gt;p_dias_backlog_min,tblOrdenes[[#This Row],[backlog_habiles]]&lt;=p_dias_backlog_max))</f>
        <v/>
      </c>
      <c r="AG666" s="4" t="n"/>
      <c r="AH6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6" s="18">
        <f>IF(tblOrdenes[[#This Row],[orden]]="","",_xlfn.XLOOKUP(tblOrdenes[[#This Row],[id_operacion]],tblEjecucion[id_operacion],tblEjecucion[precio],0))</f>
        <v/>
      </c>
      <c r="AL666" s="18">
        <f>IF(tblOrdenes[[#This Row],[orden]]="","",MAX(0,_xlfn.XLOOKUP(tblOrdenes[[#This Row],[id_operacion]],tblEjecucion[id_operacion],tblEjecucion[costo_plan_total],0)-tblOrdenes[[#This Row],[costo_servicio]]))</f>
        <v/>
      </c>
      <c r="AM666" s="18">
        <f>IF(tblOrdenes[[#This Row],[orden]]="","",tblOrdenes[[#This Row],[costo_servicio]]+tblOrdenes[[#This Row],[costo_materiales]])</f>
        <v/>
      </c>
      <c r="AN6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6" s="4" t="n"/>
      <c r="AP666" s="4" t="n"/>
      <c r="AQ666" s="4" t="n"/>
      <c r="AR666" s="5">
        <f>IF(tblOrdenes[[#This Row],[link_checklist]]="","",HYPERLINK(p_ruta_base_checklists&amp;tblOrdenes[[#This Row],[link_checklist]],"abrir"))</f>
        <v/>
      </c>
      <c r="AS666" s="4" t="n"/>
      <c r="AT666" s="5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22" t="n"/>
      <c r="K667" s="5" t="n"/>
      <c r="L667" s="18" t="n"/>
      <c r="M6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5">
        <f>IF(tblOrdenes[[#This Row],[fecha_inicio]]="","",YEAR(tblOrdenes[[#This Row],[fecha_inicio]]))</f>
        <v/>
      </c>
      <c r="Q667" s="5">
        <f>IF(tblOrdenes[[#This Row],[fecha_inicio]]="","",MONTH(tblOrdenes[[#This Row],[fecha_inicio]]))</f>
        <v/>
      </c>
      <c r="R667" s="5">
        <f>IF(tblOrdenes[[#This Row],[fecha_inicio]]="","",tblOrdenes[[#This Row],[anio]]&amp;"-"&amp;TEXT(tblOrdenes[[#This Row],[mes]],"00"))</f>
        <v/>
      </c>
      <c r="S667" s="5">
        <f>IF(tblOrdenes[[#This Row],[fecha_inicio]]="","",INDEX(lista_dias,WEEKDAY(tblOrdenes[[#This Row],[fecha_inicio]],2)))</f>
        <v/>
      </c>
      <c r="T6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7" s="5">
        <f>IF(tblOrdenes[[#This Row],[tipo_ot]]="","",_xlfn.XLOOKUP(tblOrdenes[[#This Row],[tipo_ot]],tblTiposOT[codigo],tblTiposOT[clasificacion],"sin_clasificar"))</f>
        <v/>
      </c>
      <c r="V6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7" s="5">
        <f>IF(tblOrdenes[[#This Row],[centro_costo]]="","",_xlfn.XLOOKUP(tblOrdenes[[#This Row],[centro_costo]],tblCECO[codigo],tblCECO[linea],"(sin catálogo)"))</f>
        <v/>
      </c>
      <c r="X667" s="5">
        <f>IF(tblOrdenes[[#This Row],[centro_costo]]="","",_xlfn.XLOOKUP(tblOrdenes[[#This Row],[centro_costo]],tblCECO[codigo],tblCECO[area],"(sin catálogo)"))</f>
        <v/>
      </c>
      <c r="Y6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7" s="5">
        <f>IF(tblOrdenes[[#This Row],[centro_costo]]="","",_xlfn.XLOOKUP(tblOrdenes[[#This Row],[centro_costo]],tblCECO[codigo],tblCECO[coordinador],"(sin catálogo)"))</f>
        <v/>
      </c>
      <c r="AA667" s="5">
        <f>IF(tblOrdenes[[#This Row],[puesto_trabajo]]="","",_xlfn.XLOOKUP(tblOrdenes[[#This Row],[puesto_trabajo]],tblPuestos[codigo],tblPuestos[especialidad],"(sin catálogo)"))</f>
        <v/>
      </c>
      <c r="AB667" s="5">
        <f>IF(tblOrdenes[[#This Row],[cod_actividad]]="","",_xlfn.XLOOKUP(tblOrdenes[[#This Row],[cod_actividad]],tblActividades[codigo],tblActividades[descripcion],"(sin catálogo)"))</f>
        <v/>
      </c>
      <c r="AC667" s="20">
        <f>IF(tblOrdenes[[#This Row],[fecha_inicio]]="","",TODAY()-tblOrdenes[[#This Row],[fecha_inicio]])</f>
        <v/>
      </c>
      <c r="AD6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7" s="5">
        <f>IF(tblOrdenes[[#This Row],[backlog_habiles]]="","",IF(tblOrdenes[[#This Row],[backlog_habiles]]&lt;0,"FUTURO",IF(tblOrdenes[[#This Row],[backlog_habiles]]&gt;p_dias_backlog_max,"BACKLOG","MES CORRIENTE")))</f>
        <v/>
      </c>
      <c r="AF667" s="5">
        <f>IF(tblOrdenes[[#This Row],[backlog_habiles]]="",FALSE,AND(tblOrdenes[[#This Row],[backlog_habiles]]&gt;p_dias_backlog_min,tblOrdenes[[#This Row],[backlog_habiles]]&lt;=p_dias_backlog_max))</f>
        <v/>
      </c>
      <c r="AG667" s="4" t="n"/>
      <c r="AH6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7" s="18">
        <f>IF(tblOrdenes[[#This Row],[orden]]="","",_xlfn.XLOOKUP(tblOrdenes[[#This Row],[id_operacion]],tblEjecucion[id_operacion],tblEjecucion[precio],0))</f>
        <v/>
      </c>
      <c r="AL667" s="18">
        <f>IF(tblOrdenes[[#This Row],[orden]]="","",MAX(0,_xlfn.XLOOKUP(tblOrdenes[[#This Row],[id_operacion]],tblEjecucion[id_operacion],tblEjecucion[costo_plan_total],0)-tblOrdenes[[#This Row],[costo_servicio]]))</f>
        <v/>
      </c>
      <c r="AM667" s="18">
        <f>IF(tblOrdenes[[#This Row],[orden]]="","",tblOrdenes[[#This Row],[costo_servicio]]+tblOrdenes[[#This Row],[costo_materiales]])</f>
        <v/>
      </c>
      <c r="AN6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7" s="4" t="n"/>
      <c r="AP667" s="4" t="n"/>
      <c r="AQ667" s="4" t="n"/>
      <c r="AR667" s="5">
        <f>IF(tblOrdenes[[#This Row],[link_checklist]]="","",HYPERLINK(p_ruta_base_checklists&amp;tblOrdenes[[#This Row],[link_checklist]],"abrir"))</f>
        <v/>
      </c>
      <c r="AS667" s="4" t="n"/>
      <c r="AT667" s="5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22" t="n"/>
      <c r="K668" s="5" t="n"/>
      <c r="L668" s="18" t="n"/>
      <c r="M6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5">
        <f>IF(tblOrdenes[[#This Row],[fecha_inicio]]="","",YEAR(tblOrdenes[[#This Row],[fecha_inicio]]))</f>
        <v/>
      </c>
      <c r="Q668" s="5">
        <f>IF(tblOrdenes[[#This Row],[fecha_inicio]]="","",MONTH(tblOrdenes[[#This Row],[fecha_inicio]]))</f>
        <v/>
      </c>
      <c r="R668" s="5">
        <f>IF(tblOrdenes[[#This Row],[fecha_inicio]]="","",tblOrdenes[[#This Row],[anio]]&amp;"-"&amp;TEXT(tblOrdenes[[#This Row],[mes]],"00"))</f>
        <v/>
      </c>
      <c r="S668" s="5">
        <f>IF(tblOrdenes[[#This Row],[fecha_inicio]]="","",INDEX(lista_dias,WEEKDAY(tblOrdenes[[#This Row],[fecha_inicio]],2)))</f>
        <v/>
      </c>
      <c r="T6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8" s="5">
        <f>IF(tblOrdenes[[#This Row],[tipo_ot]]="","",_xlfn.XLOOKUP(tblOrdenes[[#This Row],[tipo_ot]],tblTiposOT[codigo],tblTiposOT[clasificacion],"sin_clasificar"))</f>
        <v/>
      </c>
      <c r="V6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8" s="5">
        <f>IF(tblOrdenes[[#This Row],[centro_costo]]="","",_xlfn.XLOOKUP(tblOrdenes[[#This Row],[centro_costo]],tblCECO[codigo],tblCECO[linea],"(sin catálogo)"))</f>
        <v/>
      </c>
      <c r="X668" s="5">
        <f>IF(tblOrdenes[[#This Row],[centro_costo]]="","",_xlfn.XLOOKUP(tblOrdenes[[#This Row],[centro_costo]],tblCECO[codigo],tblCECO[area],"(sin catálogo)"))</f>
        <v/>
      </c>
      <c r="Y6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8" s="5">
        <f>IF(tblOrdenes[[#This Row],[centro_costo]]="","",_xlfn.XLOOKUP(tblOrdenes[[#This Row],[centro_costo]],tblCECO[codigo],tblCECO[coordinador],"(sin catálogo)"))</f>
        <v/>
      </c>
      <c r="AA668" s="5">
        <f>IF(tblOrdenes[[#This Row],[puesto_trabajo]]="","",_xlfn.XLOOKUP(tblOrdenes[[#This Row],[puesto_trabajo]],tblPuestos[codigo],tblPuestos[especialidad],"(sin catálogo)"))</f>
        <v/>
      </c>
      <c r="AB668" s="5">
        <f>IF(tblOrdenes[[#This Row],[cod_actividad]]="","",_xlfn.XLOOKUP(tblOrdenes[[#This Row],[cod_actividad]],tblActividades[codigo],tblActividades[descripcion],"(sin catálogo)"))</f>
        <v/>
      </c>
      <c r="AC668" s="20">
        <f>IF(tblOrdenes[[#This Row],[fecha_inicio]]="","",TODAY()-tblOrdenes[[#This Row],[fecha_inicio]])</f>
        <v/>
      </c>
      <c r="AD6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8" s="5">
        <f>IF(tblOrdenes[[#This Row],[backlog_habiles]]="","",IF(tblOrdenes[[#This Row],[backlog_habiles]]&lt;0,"FUTURO",IF(tblOrdenes[[#This Row],[backlog_habiles]]&gt;p_dias_backlog_max,"BACKLOG","MES CORRIENTE")))</f>
        <v/>
      </c>
      <c r="AF668" s="5">
        <f>IF(tblOrdenes[[#This Row],[backlog_habiles]]="",FALSE,AND(tblOrdenes[[#This Row],[backlog_habiles]]&gt;p_dias_backlog_min,tblOrdenes[[#This Row],[backlog_habiles]]&lt;=p_dias_backlog_max))</f>
        <v/>
      </c>
      <c r="AG668" s="4" t="n"/>
      <c r="AH6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8" s="18">
        <f>IF(tblOrdenes[[#This Row],[orden]]="","",_xlfn.XLOOKUP(tblOrdenes[[#This Row],[id_operacion]],tblEjecucion[id_operacion],tblEjecucion[precio],0))</f>
        <v/>
      </c>
      <c r="AL668" s="18">
        <f>IF(tblOrdenes[[#This Row],[orden]]="","",MAX(0,_xlfn.XLOOKUP(tblOrdenes[[#This Row],[id_operacion]],tblEjecucion[id_operacion],tblEjecucion[costo_plan_total],0)-tblOrdenes[[#This Row],[costo_servicio]]))</f>
        <v/>
      </c>
      <c r="AM668" s="18">
        <f>IF(tblOrdenes[[#This Row],[orden]]="","",tblOrdenes[[#This Row],[costo_servicio]]+tblOrdenes[[#This Row],[costo_materiales]])</f>
        <v/>
      </c>
      <c r="AN6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8" s="4" t="n"/>
      <c r="AP668" s="4" t="n"/>
      <c r="AQ668" s="4" t="n"/>
      <c r="AR668" s="5">
        <f>IF(tblOrdenes[[#This Row],[link_checklist]]="","",HYPERLINK(p_ruta_base_checklists&amp;tblOrdenes[[#This Row],[link_checklist]],"abrir"))</f>
        <v/>
      </c>
      <c r="AS668" s="4" t="n"/>
      <c r="AT668" s="5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22" t="n"/>
      <c r="K669" s="5" t="n"/>
      <c r="L669" s="18" t="n"/>
      <c r="M6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5">
        <f>IF(tblOrdenes[[#This Row],[fecha_inicio]]="","",YEAR(tblOrdenes[[#This Row],[fecha_inicio]]))</f>
        <v/>
      </c>
      <c r="Q669" s="5">
        <f>IF(tblOrdenes[[#This Row],[fecha_inicio]]="","",MONTH(tblOrdenes[[#This Row],[fecha_inicio]]))</f>
        <v/>
      </c>
      <c r="R669" s="5">
        <f>IF(tblOrdenes[[#This Row],[fecha_inicio]]="","",tblOrdenes[[#This Row],[anio]]&amp;"-"&amp;TEXT(tblOrdenes[[#This Row],[mes]],"00"))</f>
        <v/>
      </c>
      <c r="S669" s="5">
        <f>IF(tblOrdenes[[#This Row],[fecha_inicio]]="","",INDEX(lista_dias,WEEKDAY(tblOrdenes[[#This Row],[fecha_inicio]],2)))</f>
        <v/>
      </c>
      <c r="T6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9" s="5">
        <f>IF(tblOrdenes[[#This Row],[tipo_ot]]="","",_xlfn.XLOOKUP(tblOrdenes[[#This Row],[tipo_ot]],tblTiposOT[codigo],tblTiposOT[clasificacion],"sin_clasificar"))</f>
        <v/>
      </c>
      <c r="V6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9" s="5">
        <f>IF(tblOrdenes[[#This Row],[centro_costo]]="","",_xlfn.XLOOKUP(tblOrdenes[[#This Row],[centro_costo]],tblCECO[codigo],tblCECO[linea],"(sin catálogo)"))</f>
        <v/>
      </c>
      <c r="X669" s="5">
        <f>IF(tblOrdenes[[#This Row],[centro_costo]]="","",_xlfn.XLOOKUP(tblOrdenes[[#This Row],[centro_costo]],tblCECO[codigo],tblCECO[area],"(sin catálogo)"))</f>
        <v/>
      </c>
      <c r="Y6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69" s="5">
        <f>IF(tblOrdenes[[#This Row],[centro_costo]]="","",_xlfn.XLOOKUP(tblOrdenes[[#This Row],[centro_costo]],tblCECO[codigo],tblCECO[coordinador],"(sin catálogo)"))</f>
        <v/>
      </c>
      <c r="AA669" s="5">
        <f>IF(tblOrdenes[[#This Row],[puesto_trabajo]]="","",_xlfn.XLOOKUP(tblOrdenes[[#This Row],[puesto_trabajo]],tblPuestos[codigo],tblPuestos[especialidad],"(sin catálogo)"))</f>
        <v/>
      </c>
      <c r="AB669" s="5">
        <f>IF(tblOrdenes[[#This Row],[cod_actividad]]="","",_xlfn.XLOOKUP(tblOrdenes[[#This Row],[cod_actividad]],tblActividades[codigo],tblActividades[descripcion],"(sin catálogo)"))</f>
        <v/>
      </c>
      <c r="AC669" s="20">
        <f>IF(tblOrdenes[[#This Row],[fecha_inicio]]="","",TODAY()-tblOrdenes[[#This Row],[fecha_inicio]])</f>
        <v/>
      </c>
      <c r="AD6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69" s="5">
        <f>IF(tblOrdenes[[#This Row],[backlog_habiles]]="","",IF(tblOrdenes[[#This Row],[backlog_habiles]]&lt;0,"FUTURO",IF(tblOrdenes[[#This Row],[backlog_habiles]]&gt;p_dias_backlog_max,"BACKLOG","MES CORRIENTE")))</f>
        <v/>
      </c>
      <c r="AF669" s="5">
        <f>IF(tblOrdenes[[#This Row],[backlog_habiles]]="",FALSE,AND(tblOrdenes[[#This Row],[backlog_habiles]]&gt;p_dias_backlog_min,tblOrdenes[[#This Row],[backlog_habiles]]&lt;=p_dias_backlog_max))</f>
        <v/>
      </c>
      <c r="AG669" s="4" t="n"/>
      <c r="AH6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69" s="18">
        <f>IF(tblOrdenes[[#This Row],[orden]]="","",_xlfn.XLOOKUP(tblOrdenes[[#This Row],[id_operacion]],tblEjecucion[id_operacion],tblEjecucion[precio],0))</f>
        <v/>
      </c>
      <c r="AL669" s="18">
        <f>IF(tblOrdenes[[#This Row],[orden]]="","",MAX(0,_xlfn.XLOOKUP(tblOrdenes[[#This Row],[id_operacion]],tblEjecucion[id_operacion],tblEjecucion[costo_plan_total],0)-tblOrdenes[[#This Row],[costo_servicio]]))</f>
        <v/>
      </c>
      <c r="AM669" s="18">
        <f>IF(tblOrdenes[[#This Row],[orden]]="","",tblOrdenes[[#This Row],[costo_servicio]]+tblOrdenes[[#This Row],[costo_materiales]])</f>
        <v/>
      </c>
      <c r="AN6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69" s="4" t="n"/>
      <c r="AP669" s="4" t="n"/>
      <c r="AQ669" s="4" t="n"/>
      <c r="AR669" s="5">
        <f>IF(tblOrdenes[[#This Row],[link_checklist]]="","",HYPERLINK(p_ruta_base_checklists&amp;tblOrdenes[[#This Row],[link_checklist]],"abrir"))</f>
        <v/>
      </c>
      <c r="AS669" s="4" t="n"/>
      <c r="AT669" s="5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22" t="n"/>
      <c r="K670" s="5" t="n"/>
      <c r="L670" s="18" t="n"/>
      <c r="M6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5">
        <f>IF(tblOrdenes[[#This Row],[fecha_inicio]]="","",YEAR(tblOrdenes[[#This Row],[fecha_inicio]]))</f>
        <v/>
      </c>
      <c r="Q670" s="5">
        <f>IF(tblOrdenes[[#This Row],[fecha_inicio]]="","",MONTH(tblOrdenes[[#This Row],[fecha_inicio]]))</f>
        <v/>
      </c>
      <c r="R670" s="5">
        <f>IF(tblOrdenes[[#This Row],[fecha_inicio]]="","",tblOrdenes[[#This Row],[anio]]&amp;"-"&amp;TEXT(tblOrdenes[[#This Row],[mes]],"00"))</f>
        <v/>
      </c>
      <c r="S670" s="5">
        <f>IF(tblOrdenes[[#This Row],[fecha_inicio]]="","",INDEX(lista_dias,WEEKDAY(tblOrdenes[[#This Row],[fecha_inicio]],2)))</f>
        <v/>
      </c>
      <c r="T6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0" s="5">
        <f>IF(tblOrdenes[[#This Row],[tipo_ot]]="","",_xlfn.XLOOKUP(tblOrdenes[[#This Row],[tipo_ot]],tblTiposOT[codigo],tblTiposOT[clasificacion],"sin_clasificar"))</f>
        <v/>
      </c>
      <c r="V6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0" s="5">
        <f>IF(tblOrdenes[[#This Row],[centro_costo]]="","",_xlfn.XLOOKUP(tblOrdenes[[#This Row],[centro_costo]],tblCECO[codigo],tblCECO[linea],"(sin catálogo)"))</f>
        <v/>
      </c>
      <c r="X670" s="5">
        <f>IF(tblOrdenes[[#This Row],[centro_costo]]="","",_xlfn.XLOOKUP(tblOrdenes[[#This Row],[centro_costo]],tblCECO[codigo],tblCECO[area],"(sin catálogo)"))</f>
        <v/>
      </c>
      <c r="Y6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0" s="5">
        <f>IF(tblOrdenes[[#This Row],[centro_costo]]="","",_xlfn.XLOOKUP(tblOrdenes[[#This Row],[centro_costo]],tblCECO[codigo],tblCECO[coordinador],"(sin catálogo)"))</f>
        <v/>
      </c>
      <c r="AA670" s="5">
        <f>IF(tblOrdenes[[#This Row],[puesto_trabajo]]="","",_xlfn.XLOOKUP(tblOrdenes[[#This Row],[puesto_trabajo]],tblPuestos[codigo],tblPuestos[especialidad],"(sin catálogo)"))</f>
        <v/>
      </c>
      <c r="AB670" s="5">
        <f>IF(tblOrdenes[[#This Row],[cod_actividad]]="","",_xlfn.XLOOKUP(tblOrdenes[[#This Row],[cod_actividad]],tblActividades[codigo],tblActividades[descripcion],"(sin catálogo)"))</f>
        <v/>
      </c>
      <c r="AC670" s="20">
        <f>IF(tblOrdenes[[#This Row],[fecha_inicio]]="","",TODAY()-tblOrdenes[[#This Row],[fecha_inicio]])</f>
        <v/>
      </c>
      <c r="AD6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0" s="5">
        <f>IF(tblOrdenes[[#This Row],[backlog_habiles]]="","",IF(tblOrdenes[[#This Row],[backlog_habiles]]&lt;0,"FUTURO",IF(tblOrdenes[[#This Row],[backlog_habiles]]&gt;p_dias_backlog_max,"BACKLOG","MES CORRIENTE")))</f>
        <v/>
      </c>
      <c r="AF670" s="5">
        <f>IF(tblOrdenes[[#This Row],[backlog_habiles]]="",FALSE,AND(tblOrdenes[[#This Row],[backlog_habiles]]&gt;p_dias_backlog_min,tblOrdenes[[#This Row],[backlog_habiles]]&lt;=p_dias_backlog_max))</f>
        <v/>
      </c>
      <c r="AG670" s="4" t="n"/>
      <c r="AH6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0" s="18">
        <f>IF(tblOrdenes[[#This Row],[orden]]="","",_xlfn.XLOOKUP(tblOrdenes[[#This Row],[id_operacion]],tblEjecucion[id_operacion],tblEjecucion[precio],0))</f>
        <v/>
      </c>
      <c r="AL670" s="18">
        <f>IF(tblOrdenes[[#This Row],[orden]]="","",MAX(0,_xlfn.XLOOKUP(tblOrdenes[[#This Row],[id_operacion]],tblEjecucion[id_operacion],tblEjecucion[costo_plan_total],0)-tblOrdenes[[#This Row],[costo_servicio]]))</f>
        <v/>
      </c>
      <c r="AM670" s="18">
        <f>IF(tblOrdenes[[#This Row],[orden]]="","",tblOrdenes[[#This Row],[costo_servicio]]+tblOrdenes[[#This Row],[costo_materiales]])</f>
        <v/>
      </c>
      <c r="AN6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0" s="4" t="n"/>
      <c r="AP670" s="4" t="n"/>
      <c r="AQ670" s="4" t="n"/>
      <c r="AR670" s="5">
        <f>IF(tblOrdenes[[#This Row],[link_checklist]]="","",HYPERLINK(p_ruta_base_checklists&amp;tblOrdenes[[#This Row],[link_checklist]],"abrir"))</f>
        <v/>
      </c>
      <c r="AS670" s="4" t="n"/>
      <c r="AT670" s="5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22" t="n"/>
      <c r="K671" s="5" t="n"/>
      <c r="L671" s="18" t="n"/>
      <c r="M6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5">
        <f>IF(tblOrdenes[[#This Row],[fecha_inicio]]="","",YEAR(tblOrdenes[[#This Row],[fecha_inicio]]))</f>
        <v/>
      </c>
      <c r="Q671" s="5">
        <f>IF(tblOrdenes[[#This Row],[fecha_inicio]]="","",MONTH(tblOrdenes[[#This Row],[fecha_inicio]]))</f>
        <v/>
      </c>
      <c r="R671" s="5">
        <f>IF(tblOrdenes[[#This Row],[fecha_inicio]]="","",tblOrdenes[[#This Row],[anio]]&amp;"-"&amp;TEXT(tblOrdenes[[#This Row],[mes]],"00"))</f>
        <v/>
      </c>
      <c r="S671" s="5">
        <f>IF(tblOrdenes[[#This Row],[fecha_inicio]]="","",INDEX(lista_dias,WEEKDAY(tblOrdenes[[#This Row],[fecha_inicio]],2)))</f>
        <v/>
      </c>
      <c r="T6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1" s="5">
        <f>IF(tblOrdenes[[#This Row],[tipo_ot]]="","",_xlfn.XLOOKUP(tblOrdenes[[#This Row],[tipo_ot]],tblTiposOT[codigo],tblTiposOT[clasificacion],"sin_clasificar"))</f>
        <v/>
      </c>
      <c r="V6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1" s="5">
        <f>IF(tblOrdenes[[#This Row],[centro_costo]]="","",_xlfn.XLOOKUP(tblOrdenes[[#This Row],[centro_costo]],tblCECO[codigo],tblCECO[linea],"(sin catálogo)"))</f>
        <v/>
      </c>
      <c r="X671" s="5">
        <f>IF(tblOrdenes[[#This Row],[centro_costo]]="","",_xlfn.XLOOKUP(tblOrdenes[[#This Row],[centro_costo]],tblCECO[codigo],tblCECO[area],"(sin catálogo)"))</f>
        <v/>
      </c>
      <c r="Y6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1" s="5">
        <f>IF(tblOrdenes[[#This Row],[centro_costo]]="","",_xlfn.XLOOKUP(tblOrdenes[[#This Row],[centro_costo]],tblCECO[codigo],tblCECO[coordinador],"(sin catálogo)"))</f>
        <v/>
      </c>
      <c r="AA671" s="5">
        <f>IF(tblOrdenes[[#This Row],[puesto_trabajo]]="","",_xlfn.XLOOKUP(tblOrdenes[[#This Row],[puesto_trabajo]],tblPuestos[codigo],tblPuestos[especialidad],"(sin catálogo)"))</f>
        <v/>
      </c>
      <c r="AB671" s="5">
        <f>IF(tblOrdenes[[#This Row],[cod_actividad]]="","",_xlfn.XLOOKUP(tblOrdenes[[#This Row],[cod_actividad]],tblActividades[codigo],tblActividades[descripcion],"(sin catálogo)"))</f>
        <v/>
      </c>
      <c r="AC671" s="20">
        <f>IF(tblOrdenes[[#This Row],[fecha_inicio]]="","",TODAY()-tblOrdenes[[#This Row],[fecha_inicio]])</f>
        <v/>
      </c>
      <c r="AD6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1" s="5">
        <f>IF(tblOrdenes[[#This Row],[backlog_habiles]]="","",IF(tblOrdenes[[#This Row],[backlog_habiles]]&lt;0,"FUTURO",IF(tblOrdenes[[#This Row],[backlog_habiles]]&gt;p_dias_backlog_max,"BACKLOG","MES CORRIENTE")))</f>
        <v/>
      </c>
      <c r="AF671" s="5">
        <f>IF(tblOrdenes[[#This Row],[backlog_habiles]]="",FALSE,AND(tblOrdenes[[#This Row],[backlog_habiles]]&gt;p_dias_backlog_min,tblOrdenes[[#This Row],[backlog_habiles]]&lt;=p_dias_backlog_max))</f>
        <v/>
      </c>
      <c r="AG671" s="4" t="n"/>
      <c r="AH6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1" s="18">
        <f>IF(tblOrdenes[[#This Row],[orden]]="","",_xlfn.XLOOKUP(tblOrdenes[[#This Row],[id_operacion]],tblEjecucion[id_operacion],tblEjecucion[precio],0))</f>
        <v/>
      </c>
      <c r="AL671" s="18">
        <f>IF(tblOrdenes[[#This Row],[orden]]="","",MAX(0,_xlfn.XLOOKUP(tblOrdenes[[#This Row],[id_operacion]],tblEjecucion[id_operacion],tblEjecucion[costo_plan_total],0)-tblOrdenes[[#This Row],[costo_servicio]]))</f>
        <v/>
      </c>
      <c r="AM671" s="18">
        <f>IF(tblOrdenes[[#This Row],[orden]]="","",tblOrdenes[[#This Row],[costo_servicio]]+tblOrdenes[[#This Row],[costo_materiales]])</f>
        <v/>
      </c>
      <c r="AN6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1" s="4" t="n"/>
      <c r="AP671" s="4" t="n"/>
      <c r="AQ671" s="4" t="n"/>
      <c r="AR671" s="5">
        <f>IF(tblOrdenes[[#This Row],[link_checklist]]="","",HYPERLINK(p_ruta_base_checklists&amp;tblOrdenes[[#This Row],[link_checklist]],"abrir"))</f>
        <v/>
      </c>
      <c r="AS671" s="4" t="n"/>
      <c r="AT671" s="5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22" t="n"/>
      <c r="K672" s="5" t="n"/>
      <c r="L672" s="18" t="n"/>
      <c r="M6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5">
        <f>IF(tblOrdenes[[#This Row],[fecha_inicio]]="","",YEAR(tblOrdenes[[#This Row],[fecha_inicio]]))</f>
        <v/>
      </c>
      <c r="Q672" s="5">
        <f>IF(tblOrdenes[[#This Row],[fecha_inicio]]="","",MONTH(tblOrdenes[[#This Row],[fecha_inicio]]))</f>
        <v/>
      </c>
      <c r="R672" s="5">
        <f>IF(tblOrdenes[[#This Row],[fecha_inicio]]="","",tblOrdenes[[#This Row],[anio]]&amp;"-"&amp;TEXT(tblOrdenes[[#This Row],[mes]],"00"))</f>
        <v/>
      </c>
      <c r="S672" s="5">
        <f>IF(tblOrdenes[[#This Row],[fecha_inicio]]="","",INDEX(lista_dias,WEEKDAY(tblOrdenes[[#This Row],[fecha_inicio]],2)))</f>
        <v/>
      </c>
      <c r="T6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2" s="5">
        <f>IF(tblOrdenes[[#This Row],[tipo_ot]]="","",_xlfn.XLOOKUP(tblOrdenes[[#This Row],[tipo_ot]],tblTiposOT[codigo],tblTiposOT[clasificacion],"sin_clasificar"))</f>
        <v/>
      </c>
      <c r="V6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2" s="5">
        <f>IF(tblOrdenes[[#This Row],[centro_costo]]="","",_xlfn.XLOOKUP(tblOrdenes[[#This Row],[centro_costo]],tblCECO[codigo],tblCECO[linea],"(sin catálogo)"))</f>
        <v/>
      </c>
      <c r="X672" s="5">
        <f>IF(tblOrdenes[[#This Row],[centro_costo]]="","",_xlfn.XLOOKUP(tblOrdenes[[#This Row],[centro_costo]],tblCECO[codigo],tblCECO[area],"(sin catálogo)"))</f>
        <v/>
      </c>
      <c r="Y6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2" s="5">
        <f>IF(tblOrdenes[[#This Row],[centro_costo]]="","",_xlfn.XLOOKUP(tblOrdenes[[#This Row],[centro_costo]],tblCECO[codigo],tblCECO[coordinador],"(sin catálogo)"))</f>
        <v/>
      </c>
      <c r="AA672" s="5">
        <f>IF(tblOrdenes[[#This Row],[puesto_trabajo]]="","",_xlfn.XLOOKUP(tblOrdenes[[#This Row],[puesto_trabajo]],tblPuestos[codigo],tblPuestos[especialidad],"(sin catálogo)"))</f>
        <v/>
      </c>
      <c r="AB672" s="5">
        <f>IF(tblOrdenes[[#This Row],[cod_actividad]]="","",_xlfn.XLOOKUP(tblOrdenes[[#This Row],[cod_actividad]],tblActividades[codigo],tblActividades[descripcion],"(sin catálogo)"))</f>
        <v/>
      </c>
      <c r="AC672" s="20">
        <f>IF(tblOrdenes[[#This Row],[fecha_inicio]]="","",TODAY()-tblOrdenes[[#This Row],[fecha_inicio]])</f>
        <v/>
      </c>
      <c r="AD6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2" s="5">
        <f>IF(tblOrdenes[[#This Row],[backlog_habiles]]="","",IF(tblOrdenes[[#This Row],[backlog_habiles]]&lt;0,"FUTURO",IF(tblOrdenes[[#This Row],[backlog_habiles]]&gt;p_dias_backlog_max,"BACKLOG","MES CORRIENTE")))</f>
        <v/>
      </c>
      <c r="AF672" s="5">
        <f>IF(tblOrdenes[[#This Row],[backlog_habiles]]="",FALSE,AND(tblOrdenes[[#This Row],[backlog_habiles]]&gt;p_dias_backlog_min,tblOrdenes[[#This Row],[backlog_habiles]]&lt;=p_dias_backlog_max))</f>
        <v/>
      </c>
      <c r="AG672" s="4" t="n"/>
      <c r="AH6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2" s="18">
        <f>IF(tblOrdenes[[#This Row],[orden]]="","",_xlfn.XLOOKUP(tblOrdenes[[#This Row],[id_operacion]],tblEjecucion[id_operacion],tblEjecucion[precio],0))</f>
        <v/>
      </c>
      <c r="AL672" s="18">
        <f>IF(tblOrdenes[[#This Row],[orden]]="","",MAX(0,_xlfn.XLOOKUP(tblOrdenes[[#This Row],[id_operacion]],tblEjecucion[id_operacion],tblEjecucion[costo_plan_total],0)-tblOrdenes[[#This Row],[costo_servicio]]))</f>
        <v/>
      </c>
      <c r="AM672" s="18">
        <f>IF(tblOrdenes[[#This Row],[orden]]="","",tblOrdenes[[#This Row],[costo_servicio]]+tblOrdenes[[#This Row],[costo_materiales]])</f>
        <v/>
      </c>
      <c r="AN6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2" s="4" t="n"/>
      <c r="AP672" s="4" t="n"/>
      <c r="AQ672" s="4" t="n"/>
      <c r="AR672" s="5">
        <f>IF(tblOrdenes[[#This Row],[link_checklist]]="","",HYPERLINK(p_ruta_base_checklists&amp;tblOrdenes[[#This Row],[link_checklist]],"abrir"))</f>
        <v/>
      </c>
      <c r="AS672" s="4" t="n"/>
      <c r="AT672" s="5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22" t="n"/>
      <c r="K673" s="5" t="n"/>
      <c r="L673" s="18" t="n"/>
      <c r="M6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5">
        <f>IF(tblOrdenes[[#This Row],[fecha_inicio]]="","",YEAR(tblOrdenes[[#This Row],[fecha_inicio]]))</f>
        <v/>
      </c>
      <c r="Q673" s="5">
        <f>IF(tblOrdenes[[#This Row],[fecha_inicio]]="","",MONTH(tblOrdenes[[#This Row],[fecha_inicio]]))</f>
        <v/>
      </c>
      <c r="R673" s="5">
        <f>IF(tblOrdenes[[#This Row],[fecha_inicio]]="","",tblOrdenes[[#This Row],[anio]]&amp;"-"&amp;TEXT(tblOrdenes[[#This Row],[mes]],"00"))</f>
        <v/>
      </c>
      <c r="S673" s="5">
        <f>IF(tblOrdenes[[#This Row],[fecha_inicio]]="","",INDEX(lista_dias,WEEKDAY(tblOrdenes[[#This Row],[fecha_inicio]],2)))</f>
        <v/>
      </c>
      <c r="T6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3" s="5">
        <f>IF(tblOrdenes[[#This Row],[tipo_ot]]="","",_xlfn.XLOOKUP(tblOrdenes[[#This Row],[tipo_ot]],tblTiposOT[codigo],tblTiposOT[clasificacion],"sin_clasificar"))</f>
        <v/>
      </c>
      <c r="V6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3" s="5">
        <f>IF(tblOrdenes[[#This Row],[centro_costo]]="","",_xlfn.XLOOKUP(tblOrdenes[[#This Row],[centro_costo]],tblCECO[codigo],tblCECO[linea],"(sin catálogo)"))</f>
        <v/>
      </c>
      <c r="X673" s="5">
        <f>IF(tblOrdenes[[#This Row],[centro_costo]]="","",_xlfn.XLOOKUP(tblOrdenes[[#This Row],[centro_costo]],tblCECO[codigo],tblCECO[area],"(sin catálogo)"))</f>
        <v/>
      </c>
      <c r="Y6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3" s="5">
        <f>IF(tblOrdenes[[#This Row],[centro_costo]]="","",_xlfn.XLOOKUP(tblOrdenes[[#This Row],[centro_costo]],tblCECO[codigo],tblCECO[coordinador],"(sin catálogo)"))</f>
        <v/>
      </c>
      <c r="AA673" s="5">
        <f>IF(tblOrdenes[[#This Row],[puesto_trabajo]]="","",_xlfn.XLOOKUP(tblOrdenes[[#This Row],[puesto_trabajo]],tblPuestos[codigo],tblPuestos[especialidad],"(sin catálogo)"))</f>
        <v/>
      </c>
      <c r="AB673" s="5">
        <f>IF(tblOrdenes[[#This Row],[cod_actividad]]="","",_xlfn.XLOOKUP(tblOrdenes[[#This Row],[cod_actividad]],tblActividades[codigo],tblActividades[descripcion],"(sin catálogo)"))</f>
        <v/>
      </c>
      <c r="AC673" s="20">
        <f>IF(tblOrdenes[[#This Row],[fecha_inicio]]="","",TODAY()-tblOrdenes[[#This Row],[fecha_inicio]])</f>
        <v/>
      </c>
      <c r="AD6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3" s="5">
        <f>IF(tblOrdenes[[#This Row],[backlog_habiles]]="","",IF(tblOrdenes[[#This Row],[backlog_habiles]]&lt;0,"FUTURO",IF(tblOrdenes[[#This Row],[backlog_habiles]]&gt;p_dias_backlog_max,"BACKLOG","MES CORRIENTE")))</f>
        <v/>
      </c>
      <c r="AF673" s="5">
        <f>IF(tblOrdenes[[#This Row],[backlog_habiles]]="",FALSE,AND(tblOrdenes[[#This Row],[backlog_habiles]]&gt;p_dias_backlog_min,tblOrdenes[[#This Row],[backlog_habiles]]&lt;=p_dias_backlog_max))</f>
        <v/>
      </c>
      <c r="AG673" s="4" t="n"/>
      <c r="AH6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3" s="18">
        <f>IF(tblOrdenes[[#This Row],[orden]]="","",_xlfn.XLOOKUP(tblOrdenes[[#This Row],[id_operacion]],tblEjecucion[id_operacion],tblEjecucion[precio],0))</f>
        <v/>
      </c>
      <c r="AL673" s="18">
        <f>IF(tblOrdenes[[#This Row],[orden]]="","",MAX(0,_xlfn.XLOOKUP(tblOrdenes[[#This Row],[id_operacion]],tblEjecucion[id_operacion],tblEjecucion[costo_plan_total],0)-tblOrdenes[[#This Row],[costo_servicio]]))</f>
        <v/>
      </c>
      <c r="AM673" s="18">
        <f>IF(tblOrdenes[[#This Row],[orden]]="","",tblOrdenes[[#This Row],[costo_servicio]]+tblOrdenes[[#This Row],[costo_materiales]])</f>
        <v/>
      </c>
      <c r="AN6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3" s="4" t="n"/>
      <c r="AP673" s="4" t="n"/>
      <c r="AQ673" s="4" t="n"/>
      <c r="AR673" s="5">
        <f>IF(tblOrdenes[[#This Row],[link_checklist]]="","",HYPERLINK(p_ruta_base_checklists&amp;tblOrdenes[[#This Row],[link_checklist]],"abrir"))</f>
        <v/>
      </c>
      <c r="AS673" s="4" t="n"/>
      <c r="AT673" s="5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22" t="n"/>
      <c r="K674" s="5" t="n"/>
      <c r="L674" s="18" t="n"/>
      <c r="M6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5">
        <f>IF(tblOrdenes[[#This Row],[fecha_inicio]]="","",YEAR(tblOrdenes[[#This Row],[fecha_inicio]]))</f>
        <v/>
      </c>
      <c r="Q674" s="5">
        <f>IF(tblOrdenes[[#This Row],[fecha_inicio]]="","",MONTH(tblOrdenes[[#This Row],[fecha_inicio]]))</f>
        <v/>
      </c>
      <c r="R674" s="5">
        <f>IF(tblOrdenes[[#This Row],[fecha_inicio]]="","",tblOrdenes[[#This Row],[anio]]&amp;"-"&amp;TEXT(tblOrdenes[[#This Row],[mes]],"00"))</f>
        <v/>
      </c>
      <c r="S674" s="5">
        <f>IF(tblOrdenes[[#This Row],[fecha_inicio]]="","",INDEX(lista_dias,WEEKDAY(tblOrdenes[[#This Row],[fecha_inicio]],2)))</f>
        <v/>
      </c>
      <c r="T6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4" s="5">
        <f>IF(tblOrdenes[[#This Row],[tipo_ot]]="","",_xlfn.XLOOKUP(tblOrdenes[[#This Row],[tipo_ot]],tblTiposOT[codigo],tblTiposOT[clasificacion],"sin_clasificar"))</f>
        <v/>
      </c>
      <c r="V6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4" s="5">
        <f>IF(tblOrdenes[[#This Row],[centro_costo]]="","",_xlfn.XLOOKUP(tblOrdenes[[#This Row],[centro_costo]],tblCECO[codigo],tblCECO[linea],"(sin catálogo)"))</f>
        <v/>
      </c>
      <c r="X674" s="5">
        <f>IF(tblOrdenes[[#This Row],[centro_costo]]="","",_xlfn.XLOOKUP(tblOrdenes[[#This Row],[centro_costo]],tblCECO[codigo],tblCECO[area],"(sin catálogo)"))</f>
        <v/>
      </c>
      <c r="Y6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4" s="5">
        <f>IF(tblOrdenes[[#This Row],[centro_costo]]="","",_xlfn.XLOOKUP(tblOrdenes[[#This Row],[centro_costo]],tblCECO[codigo],tblCECO[coordinador],"(sin catálogo)"))</f>
        <v/>
      </c>
      <c r="AA674" s="5">
        <f>IF(tblOrdenes[[#This Row],[puesto_trabajo]]="","",_xlfn.XLOOKUP(tblOrdenes[[#This Row],[puesto_trabajo]],tblPuestos[codigo],tblPuestos[especialidad],"(sin catálogo)"))</f>
        <v/>
      </c>
      <c r="AB674" s="5">
        <f>IF(tblOrdenes[[#This Row],[cod_actividad]]="","",_xlfn.XLOOKUP(tblOrdenes[[#This Row],[cod_actividad]],tblActividades[codigo],tblActividades[descripcion],"(sin catálogo)"))</f>
        <v/>
      </c>
      <c r="AC674" s="20">
        <f>IF(tblOrdenes[[#This Row],[fecha_inicio]]="","",TODAY()-tblOrdenes[[#This Row],[fecha_inicio]])</f>
        <v/>
      </c>
      <c r="AD6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4" s="5">
        <f>IF(tblOrdenes[[#This Row],[backlog_habiles]]="","",IF(tblOrdenes[[#This Row],[backlog_habiles]]&lt;0,"FUTURO",IF(tblOrdenes[[#This Row],[backlog_habiles]]&gt;p_dias_backlog_max,"BACKLOG","MES CORRIENTE")))</f>
        <v/>
      </c>
      <c r="AF674" s="5">
        <f>IF(tblOrdenes[[#This Row],[backlog_habiles]]="",FALSE,AND(tblOrdenes[[#This Row],[backlog_habiles]]&gt;p_dias_backlog_min,tblOrdenes[[#This Row],[backlog_habiles]]&lt;=p_dias_backlog_max))</f>
        <v/>
      </c>
      <c r="AG674" s="4" t="n"/>
      <c r="AH6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4" s="18">
        <f>IF(tblOrdenes[[#This Row],[orden]]="","",_xlfn.XLOOKUP(tblOrdenes[[#This Row],[id_operacion]],tblEjecucion[id_operacion],tblEjecucion[precio],0))</f>
        <v/>
      </c>
      <c r="AL674" s="18">
        <f>IF(tblOrdenes[[#This Row],[orden]]="","",MAX(0,_xlfn.XLOOKUP(tblOrdenes[[#This Row],[id_operacion]],tblEjecucion[id_operacion],tblEjecucion[costo_plan_total],0)-tblOrdenes[[#This Row],[costo_servicio]]))</f>
        <v/>
      </c>
      <c r="AM674" s="18">
        <f>IF(tblOrdenes[[#This Row],[orden]]="","",tblOrdenes[[#This Row],[costo_servicio]]+tblOrdenes[[#This Row],[costo_materiales]])</f>
        <v/>
      </c>
      <c r="AN6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4" s="4" t="n"/>
      <c r="AP674" s="4" t="n"/>
      <c r="AQ674" s="4" t="n"/>
      <c r="AR674" s="5">
        <f>IF(tblOrdenes[[#This Row],[link_checklist]]="","",HYPERLINK(p_ruta_base_checklists&amp;tblOrdenes[[#This Row],[link_checklist]],"abrir"))</f>
        <v/>
      </c>
      <c r="AS674" s="4" t="n"/>
      <c r="AT674" s="5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22" t="n"/>
      <c r="K675" s="5" t="n"/>
      <c r="L675" s="18" t="n"/>
      <c r="M6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5">
        <f>IF(tblOrdenes[[#This Row],[fecha_inicio]]="","",YEAR(tblOrdenes[[#This Row],[fecha_inicio]]))</f>
        <v/>
      </c>
      <c r="Q675" s="5">
        <f>IF(tblOrdenes[[#This Row],[fecha_inicio]]="","",MONTH(tblOrdenes[[#This Row],[fecha_inicio]]))</f>
        <v/>
      </c>
      <c r="R675" s="5">
        <f>IF(tblOrdenes[[#This Row],[fecha_inicio]]="","",tblOrdenes[[#This Row],[anio]]&amp;"-"&amp;TEXT(tblOrdenes[[#This Row],[mes]],"00"))</f>
        <v/>
      </c>
      <c r="S675" s="5">
        <f>IF(tblOrdenes[[#This Row],[fecha_inicio]]="","",INDEX(lista_dias,WEEKDAY(tblOrdenes[[#This Row],[fecha_inicio]],2)))</f>
        <v/>
      </c>
      <c r="T6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5" s="5">
        <f>IF(tblOrdenes[[#This Row],[tipo_ot]]="","",_xlfn.XLOOKUP(tblOrdenes[[#This Row],[tipo_ot]],tblTiposOT[codigo],tblTiposOT[clasificacion],"sin_clasificar"))</f>
        <v/>
      </c>
      <c r="V6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5" s="5">
        <f>IF(tblOrdenes[[#This Row],[centro_costo]]="","",_xlfn.XLOOKUP(tblOrdenes[[#This Row],[centro_costo]],tblCECO[codigo],tblCECO[linea],"(sin catálogo)"))</f>
        <v/>
      </c>
      <c r="X675" s="5">
        <f>IF(tblOrdenes[[#This Row],[centro_costo]]="","",_xlfn.XLOOKUP(tblOrdenes[[#This Row],[centro_costo]],tblCECO[codigo],tblCECO[area],"(sin catálogo)"))</f>
        <v/>
      </c>
      <c r="Y6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5" s="5">
        <f>IF(tblOrdenes[[#This Row],[centro_costo]]="","",_xlfn.XLOOKUP(tblOrdenes[[#This Row],[centro_costo]],tblCECO[codigo],tblCECO[coordinador],"(sin catálogo)"))</f>
        <v/>
      </c>
      <c r="AA675" s="5">
        <f>IF(tblOrdenes[[#This Row],[puesto_trabajo]]="","",_xlfn.XLOOKUP(tblOrdenes[[#This Row],[puesto_trabajo]],tblPuestos[codigo],tblPuestos[especialidad],"(sin catálogo)"))</f>
        <v/>
      </c>
      <c r="AB675" s="5">
        <f>IF(tblOrdenes[[#This Row],[cod_actividad]]="","",_xlfn.XLOOKUP(tblOrdenes[[#This Row],[cod_actividad]],tblActividades[codigo],tblActividades[descripcion],"(sin catálogo)"))</f>
        <v/>
      </c>
      <c r="AC675" s="20">
        <f>IF(tblOrdenes[[#This Row],[fecha_inicio]]="","",TODAY()-tblOrdenes[[#This Row],[fecha_inicio]])</f>
        <v/>
      </c>
      <c r="AD6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5" s="5">
        <f>IF(tblOrdenes[[#This Row],[backlog_habiles]]="","",IF(tblOrdenes[[#This Row],[backlog_habiles]]&lt;0,"FUTURO",IF(tblOrdenes[[#This Row],[backlog_habiles]]&gt;p_dias_backlog_max,"BACKLOG","MES CORRIENTE")))</f>
        <v/>
      </c>
      <c r="AF675" s="5">
        <f>IF(tblOrdenes[[#This Row],[backlog_habiles]]="",FALSE,AND(tblOrdenes[[#This Row],[backlog_habiles]]&gt;p_dias_backlog_min,tblOrdenes[[#This Row],[backlog_habiles]]&lt;=p_dias_backlog_max))</f>
        <v/>
      </c>
      <c r="AG675" s="4" t="n"/>
      <c r="AH6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5" s="18">
        <f>IF(tblOrdenes[[#This Row],[orden]]="","",_xlfn.XLOOKUP(tblOrdenes[[#This Row],[id_operacion]],tblEjecucion[id_operacion],tblEjecucion[precio],0))</f>
        <v/>
      </c>
      <c r="AL675" s="18">
        <f>IF(tblOrdenes[[#This Row],[orden]]="","",MAX(0,_xlfn.XLOOKUP(tblOrdenes[[#This Row],[id_operacion]],tblEjecucion[id_operacion],tblEjecucion[costo_plan_total],0)-tblOrdenes[[#This Row],[costo_servicio]]))</f>
        <v/>
      </c>
      <c r="AM675" s="18">
        <f>IF(tblOrdenes[[#This Row],[orden]]="","",tblOrdenes[[#This Row],[costo_servicio]]+tblOrdenes[[#This Row],[costo_materiales]])</f>
        <v/>
      </c>
      <c r="AN6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5" s="4" t="n"/>
      <c r="AP675" s="4" t="n"/>
      <c r="AQ675" s="4" t="n"/>
      <c r="AR675" s="5">
        <f>IF(tblOrdenes[[#This Row],[link_checklist]]="","",HYPERLINK(p_ruta_base_checklists&amp;tblOrdenes[[#This Row],[link_checklist]],"abrir"))</f>
        <v/>
      </c>
      <c r="AS675" s="4" t="n"/>
      <c r="AT675" s="5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22" t="n"/>
      <c r="K676" s="5" t="n"/>
      <c r="L676" s="18" t="n"/>
      <c r="M6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5">
        <f>IF(tblOrdenes[[#This Row],[fecha_inicio]]="","",YEAR(tblOrdenes[[#This Row],[fecha_inicio]]))</f>
        <v/>
      </c>
      <c r="Q676" s="5">
        <f>IF(tblOrdenes[[#This Row],[fecha_inicio]]="","",MONTH(tblOrdenes[[#This Row],[fecha_inicio]]))</f>
        <v/>
      </c>
      <c r="R676" s="5">
        <f>IF(tblOrdenes[[#This Row],[fecha_inicio]]="","",tblOrdenes[[#This Row],[anio]]&amp;"-"&amp;TEXT(tblOrdenes[[#This Row],[mes]],"00"))</f>
        <v/>
      </c>
      <c r="S676" s="5">
        <f>IF(tblOrdenes[[#This Row],[fecha_inicio]]="","",INDEX(lista_dias,WEEKDAY(tblOrdenes[[#This Row],[fecha_inicio]],2)))</f>
        <v/>
      </c>
      <c r="T6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6" s="5">
        <f>IF(tblOrdenes[[#This Row],[tipo_ot]]="","",_xlfn.XLOOKUP(tblOrdenes[[#This Row],[tipo_ot]],tblTiposOT[codigo],tblTiposOT[clasificacion],"sin_clasificar"))</f>
        <v/>
      </c>
      <c r="V6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6" s="5">
        <f>IF(tblOrdenes[[#This Row],[centro_costo]]="","",_xlfn.XLOOKUP(tblOrdenes[[#This Row],[centro_costo]],tblCECO[codigo],tblCECO[linea],"(sin catálogo)"))</f>
        <v/>
      </c>
      <c r="X676" s="5">
        <f>IF(tblOrdenes[[#This Row],[centro_costo]]="","",_xlfn.XLOOKUP(tblOrdenes[[#This Row],[centro_costo]],tblCECO[codigo],tblCECO[area],"(sin catálogo)"))</f>
        <v/>
      </c>
      <c r="Y6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6" s="5">
        <f>IF(tblOrdenes[[#This Row],[centro_costo]]="","",_xlfn.XLOOKUP(tblOrdenes[[#This Row],[centro_costo]],tblCECO[codigo],tblCECO[coordinador],"(sin catálogo)"))</f>
        <v/>
      </c>
      <c r="AA676" s="5">
        <f>IF(tblOrdenes[[#This Row],[puesto_trabajo]]="","",_xlfn.XLOOKUP(tblOrdenes[[#This Row],[puesto_trabajo]],tblPuestos[codigo],tblPuestos[especialidad],"(sin catálogo)"))</f>
        <v/>
      </c>
      <c r="AB676" s="5">
        <f>IF(tblOrdenes[[#This Row],[cod_actividad]]="","",_xlfn.XLOOKUP(tblOrdenes[[#This Row],[cod_actividad]],tblActividades[codigo],tblActividades[descripcion],"(sin catálogo)"))</f>
        <v/>
      </c>
      <c r="AC676" s="20">
        <f>IF(tblOrdenes[[#This Row],[fecha_inicio]]="","",TODAY()-tblOrdenes[[#This Row],[fecha_inicio]])</f>
        <v/>
      </c>
      <c r="AD6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6" s="5">
        <f>IF(tblOrdenes[[#This Row],[backlog_habiles]]="","",IF(tblOrdenes[[#This Row],[backlog_habiles]]&lt;0,"FUTURO",IF(tblOrdenes[[#This Row],[backlog_habiles]]&gt;p_dias_backlog_max,"BACKLOG","MES CORRIENTE")))</f>
        <v/>
      </c>
      <c r="AF676" s="5">
        <f>IF(tblOrdenes[[#This Row],[backlog_habiles]]="",FALSE,AND(tblOrdenes[[#This Row],[backlog_habiles]]&gt;p_dias_backlog_min,tblOrdenes[[#This Row],[backlog_habiles]]&lt;=p_dias_backlog_max))</f>
        <v/>
      </c>
      <c r="AG676" s="4" t="n"/>
      <c r="AH6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6" s="18">
        <f>IF(tblOrdenes[[#This Row],[orden]]="","",_xlfn.XLOOKUP(tblOrdenes[[#This Row],[id_operacion]],tblEjecucion[id_operacion],tblEjecucion[precio],0))</f>
        <v/>
      </c>
      <c r="AL676" s="18">
        <f>IF(tblOrdenes[[#This Row],[orden]]="","",MAX(0,_xlfn.XLOOKUP(tblOrdenes[[#This Row],[id_operacion]],tblEjecucion[id_operacion],tblEjecucion[costo_plan_total],0)-tblOrdenes[[#This Row],[costo_servicio]]))</f>
        <v/>
      </c>
      <c r="AM676" s="18">
        <f>IF(tblOrdenes[[#This Row],[orden]]="","",tblOrdenes[[#This Row],[costo_servicio]]+tblOrdenes[[#This Row],[costo_materiales]])</f>
        <v/>
      </c>
      <c r="AN6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6" s="4" t="n"/>
      <c r="AP676" s="4" t="n"/>
      <c r="AQ676" s="4" t="n"/>
      <c r="AR676" s="5">
        <f>IF(tblOrdenes[[#This Row],[link_checklist]]="","",HYPERLINK(p_ruta_base_checklists&amp;tblOrdenes[[#This Row],[link_checklist]],"abrir"))</f>
        <v/>
      </c>
      <c r="AS676" s="4" t="n"/>
      <c r="AT676" s="5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22" t="n"/>
      <c r="K677" s="5" t="n"/>
      <c r="L677" s="18" t="n"/>
      <c r="M6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5">
        <f>IF(tblOrdenes[[#This Row],[fecha_inicio]]="","",YEAR(tblOrdenes[[#This Row],[fecha_inicio]]))</f>
        <v/>
      </c>
      <c r="Q677" s="5">
        <f>IF(tblOrdenes[[#This Row],[fecha_inicio]]="","",MONTH(tblOrdenes[[#This Row],[fecha_inicio]]))</f>
        <v/>
      </c>
      <c r="R677" s="5">
        <f>IF(tblOrdenes[[#This Row],[fecha_inicio]]="","",tblOrdenes[[#This Row],[anio]]&amp;"-"&amp;TEXT(tblOrdenes[[#This Row],[mes]],"00"))</f>
        <v/>
      </c>
      <c r="S677" s="5">
        <f>IF(tblOrdenes[[#This Row],[fecha_inicio]]="","",INDEX(lista_dias,WEEKDAY(tblOrdenes[[#This Row],[fecha_inicio]],2)))</f>
        <v/>
      </c>
      <c r="T6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7" s="5">
        <f>IF(tblOrdenes[[#This Row],[tipo_ot]]="","",_xlfn.XLOOKUP(tblOrdenes[[#This Row],[tipo_ot]],tblTiposOT[codigo],tblTiposOT[clasificacion],"sin_clasificar"))</f>
        <v/>
      </c>
      <c r="V6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7" s="5">
        <f>IF(tblOrdenes[[#This Row],[centro_costo]]="","",_xlfn.XLOOKUP(tblOrdenes[[#This Row],[centro_costo]],tblCECO[codigo],tblCECO[linea],"(sin catálogo)"))</f>
        <v/>
      </c>
      <c r="X677" s="5">
        <f>IF(tblOrdenes[[#This Row],[centro_costo]]="","",_xlfn.XLOOKUP(tblOrdenes[[#This Row],[centro_costo]],tblCECO[codigo],tblCECO[area],"(sin catálogo)"))</f>
        <v/>
      </c>
      <c r="Y6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7" s="5">
        <f>IF(tblOrdenes[[#This Row],[centro_costo]]="","",_xlfn.XLOOKUP(tblOrdenes[[#This Row],[centro_costo]],tblCECO[codigo],tblCECO[coordinador],"(sin catálogo)"))</f>
        <v/>
      </c>
      <c r="AA677" s="5">
        <f>IF(tblOrdenes[[#This Row],[puesto_trabajo]]="","",_xlfn.XLOOKUP(tblOrdenes[[#This Row],[puesto_trabajo]],tblPuestos[codigo],tblPuestos[especialidad],"(sin catálogo)"))</f>
        <v/>
      </c>
      <c r="AB677" s="5">
        <f>IF(tblOrdenes[[#This Row],[cod_actividad]]="","",_xlfn.XLOOKUP(tblOrdenes[[#This Row],[cod_actividad]],tblActividades[codigo],tblActividades[descripcion],"(sin catálogo)"))</f>
        <v/>
      </c>
      <c r="AC677" s="20">
        <f>IF(tblOrdenes[[#This Row],[fecha_inicio]]="","",TODAY()-tblOrdenes[[#This Row],[fecha_inicio]])</f>
        <v/>
      </c>
      <c r="AD6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7" s="5">
        <f>IF(tblOrdenes[[#This Row],[backlog_habiles]]="","",IF(tblOrdenes[[#This Row],[backlog_habiles]]&lt;0,"FUTURO",IF(tblOrdenes[[#This Row],[backlog_habiles]]&gt;p_dias_backlog_max,"BACKLOG","MES CORRIENTE")))</f>
        <v/>
      </c>
      <c r="AF677" s="5">
        <f>IF(tblOrdenes[[#This Row],[backlog_habiles]]="",FALSE,AND(tblOrdenes[[#This Row],[backlog_habiles]]&gt;p_dias_backlog_min,tblOrdenes[[#This Row],[backlog_habiles]]&lt;=p_dias_backlog_max))</f>
        <v/>
      </c>
      <c r="AG677" s="4" t="n"/>
      <c r="AH6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7" s="18">
        <f>IF(tblOrdenes[[#This Row],[orden]]="","",_xlfn.XLOOKUP(tblOrdenes[[#This Row],[id_operacion]],tblEjecucion[id_operacion],tblEjecucion[precio],0))</f>
        <v/>
      </c>
      <c r="AL677" s="18">
        <f>IF(tblOrdenes[[#This Row],[orden]]="","",MAX(0,_xlfn.XLOOKUP(tblOrdenes[[#This Row],[id_operacion]],tblEjecucion[id_operacion],tblEjecucion[costo_plan_total],0)-tblOrdenes[[#This Row],[costo_servicio]]))</f>
        <v/>
      </c>
      <c r="AM677" s="18">
        <f>IF(tblOrdenes[[#This Row],[orden]]="","",tblOrdenes[[#This Row],[costo_servicio]]+tblOrdenes[[#This Row],[costo_materiales]])</f>
        <v/>
      </c>
      <c r="AN6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7" s="4" t="n"/>
      <c r="AP677" s="4" t="n"/>
      <c r="AQ677" s="4" t="n"/>
      <c r="AR677" s="5">
        <f>IF(tblOrdenes[[#This Row],[link_checklist]]="","",HYPERLINK(p_ruta_base_checklists&amp;tblOrdenes[[#This Row],[link_checklist]],"abrir"))</f>
        <v/>
      </c>
      <c r="AS677" s="4" t="n"/>
      <c r="AT677" s="5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22" t="n"/>
      <c r="K678" s="5" t="n"/>
      <c r="L678" s="18" t="n"/>
      <c r="M6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5">
        <f>IF(tblOrdenes[[#This Row],[fecha_inicio]]="","",YEAR(tblOrdenes[[#This Row],[fecha_inicio]]))</f>
        <v/>
      </c>
      <c r="Q678" s="5">
        <f>IF(tblOrdenes[[#This Row],[fecha_inicio]]="","",MONTH(tblOrdenes[[#This Row],[fecha_inicio]]))</f>
        <v/>
      </c>
      <c r="R678" s="5">
        <f>IF(tblOrdenes[[#This Row],[fecha_inicio]]="","",tblOrdenes[[#This Row],[anio]]&amp;"-"&amp;TEXT(tblOrdenes[[#This Row],[mes]],"00"))</f>
        <v/>
      </c>
      <c r="S678" s="5">
        <f>IF(tblOrdenes[[#This Row],[fecha_inicio]]="","",INDEX(lista_dias,WEEKDAY(tblOrdenes[[#This Row],[fecha_inicio]],2)))</f>
        <v/>
      </c>
      <c r="T6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8" s="5">
        <f>IF(tblOrdenes[[#This Row],[tipo_ot]]="","",_xlfn.XLOOKUP(tblOrdenes[[#This Row],[tipo_ot]],tblTiposOT[codigo],tblTiposOT[clasificacion],"sin_clasificar"))</f>
        <v/>
      </c>
      <c r="V6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8" s="5">
        <f>IF(tblOrdenes[[#This Row],[centro_costo]]="","",_xlfn.XLOOKUP(tblOrdenes[[#This Row],[centro_costo]],tblCECO[codigo],tblCECO[linea],"(sin catálogo)"))</f>
        <v/>
      </c>
      <c r="X678" s="5">
        <f>IF(tblOrdenes[[#This Row],[centro_costo]]="","",_xlfn.XLOOKUP(tblOrdenes[[#This Row],[centro_costo]],tblCECO[codigo],tblCECO[area],"(sin catálogo)"))</f>
        <v/>
      </c>
      <c r="Y6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8" s="5">
        <f>IF(tblOrdenes[[#This Row],[centro_costo]]="","",_xlfn.XLOOKUP(tblOrdenes[[#This Row],[centro_costo]],tblCECO[codigo],tblCECO[coordinador],"(sin catálogo)"))</f>
        <v/>
      </c>
      <c r="AA678" s="5">
        <f>IF(tblOrdenes[[#This Row],[puesto_trabajo]]="","",_xlfn.XLOOKUP(tblOrdenes[[#This Row],[puesto_trabajo]],tblPuestos[codigo],tblPuestos[especialidad],"(sin catálogo)"))</f>
        <v/>
      </c>
      <c r="AB678" s="5">
        <f>IF(tblOrdenes[[#This Row],[cod_actividad]]="","",_xlfn.XLOOKUP(tblOrdenes[[#This Row],[cod_actividad]],tblActividades[codigo],tblActividades[descripcion],"(sin catálogo)"))</f>
        <v/>
      </c>
      <c r="AC678" s="20">
        <f>IF(tblOrdenes[[#This Row],[fecha_inicio]]="","",TODAY()-tblOrdenes[[#This Row],[fecha_inicio]])</f>
        <v/>
      </c>
      <c r="AD6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8" s="5">
        <f>IF(tblOrdenes[[#This Row],[backlog_habiles]]="","",IF(tblOrdenes[[#This Row],[backlog_habiles]]&lt;0,"FUTURO",IF(tblOrdenes[[#This Row],[backlog_habiles]]&gt;p_dias_backlog_max,"BACKLOG","MES CORRIENTE")))</f>
        <v/>
      </c>
      <c r="AF678" s="5">
        <f>IF(tblOrdenes[[#This Row],[backlog_habiles]]="",FALSE,AND(tblOrdenes[[#This Row],[backlog_habiles]]&gt;p_dias_backlog_min,tblOrdenes[[#This Row],[backlog_habiles]]&lt;=p_dias_backlog_max))</f>
        <v/>
      </c>
      <c r="AG678" s="4" t="n"/>
      <c r="AH6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8" s="18">
        <f>IF(tblOrdenes[[#This Row],[orden]]="","",_xlfn.XLOOKUP(tblOrdenes[[#This Row],[id_operacion]],tblEjecucion[id_operacion],tblEjecucion[precio],0))</f>
        <v/>
      </c>
      <c r="AL678" s="18">
        <f>IF(tblOrdenes[[#This Row],[orden]]="","",MAX(0,_xlfn.XLOOKUP(tblOrdenes[[#This Row],[id_operacion]],tblEjecucion[id_operacion],tblEjecucion[costo_plan_total],0)-tblOrdenes[[#This Row],[costo_servicio]]))</f>
        <v/>
      </c>
      <c r="AM678" s="18">
        <f>IF(tblOrdenes[[#This Row],[orden]]="","",tblOrdenes[[#This Row],[costo_servicio]]+tblOrdenes[[#This Row],[costo_materiales]])</f>
        <v/>
      </c>
      <c r="AN6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8" s="4" t="n"/>
      <c r="AP678" s="4" t="n"/>
      <c r="AQ678" s="4" t="n"/>
      <c r="AR678" s="5">
        <f>IF(tblOrdenes[[#This Row],[link_checklist]]="","",HYPERLINK(p_ruta_base_checklists&amp;tblOrdenes[[#This Row],[link_checklist]],"abrir"))</f>
        <v/>
      </c>
      <c r="AS678" s="4" t="n"/>
      <c r="AT678" s="5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22" t="n"/>
      <c r="K679" s="5" t="n"/>
      <c r="L679" s="18" t="n"/>
      <c r="M6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5">
        <f>IF(tblOrdenes[[#This Row],[fecha_inicio]]="","",YEAR(tblOrdenes[[#This Row],[fecha_inicio]]))</f>
        <v/>
      </c>
      <c r="Q679" s="5">
        <f>IF(tblOrdenes[[#This Row],[fecha_inicio]]="","",MONTH(tblOrdenes[[#This Row],[fecha_inicio]]))</f>
        <v/>
      </c>
      <c r="R679" s="5">
        <f>IF(tblOrdenes[[#This Row],[fecha_inicio]]="","",tblOrdenes[[#This Row],[anio]]&amp;"-"&amp;TEXT(tblOrdenes[[#This Row],[mes]],"00"))</f>
        <v/>
      </c>
      <c r="S679" s="5">
        <f>IF(tblOrdenes[[#This Row],[fecha_inicio]]="","",INDEX(lista_dias,WEEKDAY(tblOrdenes[[#This Row],[fecha_inicio]],2)))</f>
        <v/>
      </c>
      <c r="T6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9" s="5">
        <f>IF(tblOrdenes[[#This Row],[tipo_ot]]="","",_xlfn.XLOOKUP(tblOrdenes[[#This Row],[tipo_ot]],tblTiposOT[codigo],tblTiposOT[clasificacion],"sin_clasificar"))</f>
        <v/>
      </c>
      <c r="V6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9" s="5">
        <f>IF(tblOrdenes[[#This Row],[centro_costo]]="","",_xlfn.XLOOKUP(tblOrdenes[[#This Row],[centro_costo]],tblCECO[codigo],tblCECO[linea],"(sin catálogo)"))</f>
        <v/>
      </c>
      <c r="X679" s="5">
        <f>IF(tblOrdenes[[#This Row],[centro_costo]]="","",_xlfn.XLOOKUP(tblOrdenes[[#This Row],[centro_costo]],tblCECO[codigo],tblCECO[area],"(sin catálogo)"))</f>
        <v/>
      </c>
      <c r="Y6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79" s="5">
        <f>IF(tblOrdenes[[#This Row],[centro_costo]]="","",_xlfn.XLOOKUP(tblOrdenes[[#This Row],[centro_costo]],tblCECO[codigo],tblCECO[coordinador],"(sin catálogo)"))</f>
        <v/>
      </c>
      <c r="AA679" s="5">
        <f>IF(tblOrdenes[[#This Row],[puesto_trabajo]]="","",_xlfn.XLOOKUP(tblOrdenes[[#This Row],[puesto_trabajo]],tblPuestos[codigo],tblPuestos[especialidad],"(sin catálogo)"))</f>
        <v/>
      </c>
      <c r="AB679" s="5">
        <f>IF(tblOrdenes[[#This Row],[cod_actividad]]="","",_xlfn.XLOOKUP(tblOrdenes[[#This Row],[cod_actividad]],tblActividades[codigo],tblActividades[descripcion],"(sin catálogo)"))</f>
        <v/>
      </c>
      <c r="AC679" s="20">
        <f>IF(tblOrdenes[[#This Row],[fecha_inicio]]="","",TODAY()-tblOrdenes[[#This Row],[fecha_inicio]])</f>
        <v/>
      </c>
      <c r="AD6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79" s="5">
        <f>IF(tblOrdenes[[#This Row],[backlog_habiles]]="","",IF(tblOrdenes[[#This Row],[backlog_habiles]]&lt;0,"FUTURO",IF(tblOrdenes[[#This Row],[backlog_habiles]]&gt;p_dias_backlog_max,"BACKLOG","MES CORRIENTE")))</f>
        <v/>
      </c>
      <c r="AF679" s="5">
        <f>IF(tblOrdenes[[#This Row],[backlog_habiles]]="",FALSE,AND(tblOrdenes[[#This Row],[backlog_habiles]]&gt;p_dias_backlog_min,tblOrdenes[[#This Row],[backlog_habiles]]&lt;=p_dias_backlog_max))</f>
        <v/>
      </c>
      <c r="AG679" s="4" t="n"/>
      <c r="AH6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79" s="18">
        <f>IF(tblOrdenes[[#This Row],[orden]]="","",_xlfn.XLOOKUP(tblOrdenes[[#This Row],[id_operacion]],tblEjecucion[id_operacion],tblEjecucion[precio],0))</f>
        <v/>
      </c>
      <c r="AL679" s="18">
        <f>IF(tblOrdenes[[#This Row],[orden]]="","",MAX(0,_xlfn.XLOOKUP(tblOrdenes[[#This Row],[id_operacion]],tblEjecucion[id_operacion],tblEjecucion[costo_plan_total],0)-tblOrdenes[[#This Row],[costo_servicio]]))</f>
        <v/>
      </c>
      <c r="AM679" s="18">
        <f>IF(tblOrdenes[[#This Row],[orden]]="","",tblOrdenes[[#This Row],[costo_servicio]]+tblOrdenes[[#This Row],[costo_materiales]])</f>
        <v/>
      </c>
      <c r="AN6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79" s="4" t="n"/>
      <c r="AP679" s="4" t="n"/>
      <c r="AQ679" s="4" t="n"/>
      <c r="AR679" s="5">
        <f>IF(tblOrdenes[[#This Row],[link_checklist]]="","",HYPERLINK(p_ruta_base_checklists&amp;tblOrdenes[[#This Row],[link_checklist]],"abrir"))</f>
        <v/>
      </c>
      <c r="AS679" s="4" t="n"/>
      <c r="AT679" s="5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22" t="n"/>
      <c r="K680" s="5" t="n"/>
      <c r="L680" s="18" t="n"/>
      <c r="M6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5">
        <f>IF(tblOrdenes[[#This Row],[fecha_inicio]]="","",YEAR(tblOrdenes[[#This Row],[fecha_inicio]]))</f>
        <v/>
      </c>
      <c r="Q680" s="5">
        <f>IF(tblOrdenes[[#This Row],[fecha_inicio]]="","",MONTH(tblOrdenes[[#This Row],[fecha_inicio]]))</f>
        <v/>
      </c>
      <c r="R680" s="5">
        <f>IF(tblOrdenes[[#This Row],[fecha_inicio]]="","",tblOrdenes[[#This Row],[anio]]&amp;"-"&amp;TEXT(tblOrdenes[[#This Row],[mes]],"00"))</f>
        <v/>
      </c>
      <c r="S680" s="5">
        <f>IF(tblOrdenes[[#This Row],[fecha_inicio]]="","",INDEX(lista_dias,WEEKDAY(tblOrdenes[[#This Row],[fecha_inicio]],2)))</f>
        <v/>
      </c>
      <c r="T6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0" s="5">
        <f>IF(tblOrdenes[[#This Row],[tipo_ot]]="","",_xlfn.XLOOKUP(tblOrdenes[[#This Row],[tipo_ot]],tblTiposOT[codigo],tblTiposOT[clasificacion],"sin_clasificar"))</f>
        <v/>
      </c>
      <c r="V6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0" s="5">
        <f>IF(tblOrdenes[[#This Row],[centro_costo]]="","",_xlfn.XLOOKUP(tblOrdenes[[#This Row],[centro_costo]],tblCECO[codigo],tblCECO[linea],"(sin catálogo)"))</f>
        <v/>
      </c>
      <c r="X680" s="5">
        <f>IF(tblOrdenes[[#This Row],[centro_costo]]="","",_xlfn.XLOOKUP(tblOrdenes[[#This Row],[centro_costo]],tblCECO[codigo],tblCECO[area],"(sin catálogo)"))</f>
        <v/>
      </c>
      <c r="Y6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0" s="5">
        <f>IF(tblOrdenes[[#This Row],[centro_costo]]="","",_xlfn.XLOOKUP(tblOrdenes[[#This Row],[centro_costo]],tblCECO[codigo],tblCECO[coordinador],"(sin catálogo)"))</f>
        <v/>
      </c>
      <c r="AA680" s="5">
        <f>IF(tblOrdenes[[#This Row],[puesto_trabajo]]="","",_xlfn.XLOOKUP(tblOrdenes[[#This Row],[puesto_trabajo]],tblPuestos[codigo],tblPuestos[especialidad],"(sin catálogo)"))</f>
        <v/>
      </c>
      <c r="AB680" s="5">
        <f>IF(tblOrdenes[[#This Row],[cod_actividad]]="","",_xlfn.XLOOKUP(tblOrdenes[[#This Row],[cod_actividad]],tblActividades[codigo],tblActividades[descripcion],"(sin catálogo)"))</f>
        <v/>
      </c>
      <c r="AC680" s="20">
        <f>IF(tblOrdenes[[#This Row],[fecha_inicio]]="","",TODAY()-tblOrdenes[[#This Row],[fecha_inicio]])</f>
        <v/>
      </c>
      <c r="AD6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0" s="5">
        <f>IF(tblOrdenes[[#This Row],[backlog_habiles]]="","",IF(tblOrdenes[[#This Row],[backlog_habiles]]&lt;0,"FUTURO",IF(tblOrdenes[[#This Row],[backlog_habiles]]&gt;p_dias_backlog_max,"BACKLOG","MES CORRIENTE")))</f>
        <v/>
      </c>
      <c r="AF680" s="5">
        <f>IF(tblOrdenes[[#This Row],[backlog_habiles]]="",FALSE,AND(tblOrdenes[[#This Row],[backlog_habiles]]&gt;p_dias_backlog_min,tblOrdenes[[#This Row],[backlog_habiles]]&lt;=p_dias_backlog_max))</f>
        <v/>
      </c>
      <c r="AG680" s="4" t="n"/>
      <c r="AH6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0" s="18">
        <f>IF(tblOrdenes[[#This Row],[orden]]="","",_xlfn.XLOOKUP(tblOrdenes[[#This Row],[id_operacion]],tblEjecucion[id_operacion],tblEjecucion[precio],0))</f>
        <v/>
      </c>
      <c r="AL680" s="18">
        <f>IF(tblOrdenes[[#This Row],[orden]]="","",MAX(0,_xlfn.XLOOKUP(tblOrdenes[[#This Row],[id_operacion]],tblEjecucion[id_operacion],tblEjecucion[costo_plan_total],0)-tblOrdenes[[#This Row],[costo_servicio]]))</f>
        <v/>
      </c>
      <c r="AM680" s="18">
        <f>IF(tblOrdenes[[#This Row],[orden]]="","",tblOrdenes[[#This Row],[costo_servicio]]+tblOrdenes[[#This Row],[costo_materiales]])</f>
        <v/>
      </c>
      <c r="AN6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0" s="4" t="n"/>
      <c r="AP680" s="4" t="n"/>
      <c r="AQ680" s="4" t="n"/>
      <c r="AR680" s="5">
        <f>IF(tblOrdenes[[#This Row],[link_checklist]]="","",HYPERLINK(p_ruta_base_checklists&amp;tblOrdenes[[#This Row],[link_checklist]],"abrir"))</f>
        <v/>
      </c>
      <c r="AS680" s="4" t="n"/>
      <c r="AT680" s="5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22" t="n"/>
      <c r="K681" s="5" t="n"/>
      <c r="L681" s="18" t="n"/>
      <c r="M6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5">
        <f>IF(tblOrdenes[[#This Row],[fecha_inicio]]="","",YEAR(tblOrdenes[[#This Row],[fecha_inicio]]))</f>
        <v/>
      </c>
      <c r="Q681" s="5">
        <f>IF(tblOrdenes[[#This Row],[fecha_inicio]]="","",MONTH(tblOrdenes[[#This Row],[fecha_inicio]]))</f>
        <v/>
      </c>
      <c r="R681" s="5">
        <f>IF(tblOrdenes[[#This Row],[fecha_inicio]]="","",tblOrdenes[[#This Row],[anio]]&amp;"-"&amp;TEXT(tblOrdenes[[#This Row],[mes]],"00"))</f>
        <v/>
      </c>
      <c r="S681" s="5">
        <f>IF(tblOrdenes[[#This Row],[fecha_inicio]]="","",INDEX(lista_dias,WEEKDAY(tblOrdenes[[#This Row],[fecha_inicio]],2)))</f>
        <v/>
      </c>
      <c r="T6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1" s="5">
        <f>IF(tblOrdenes[[#This Row],[tipo_ot]]="","",_xlfn.XLOOKUP(tblOrdenes[[#This Row],[tipo_ot]],tblTiposOT[codigo],tblTiposOT[clasificacion],"sin_clasificar"))</f>
        <v/>
      </c>
      <c r="V6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1" s="5">
        <f>IF(tblOrdenes[[#This Row],[centro_costo]]="","",_xlfn.XLOOKUP(tblOrdenes[[#This Row],[centro_costo]],tblCECO[codigo],tblCECO[linea],"(sin catálogo)"))</f>
        <v/>
      </c>
      <c r="X681" s="5">
        <f>IF(tblOrdenes[[#This Row],[centro_costo]]="","",_xlfn.XLOOKUP(tblOrdenes[[#This Row],[centro_costo]],tblCECO[codigo],tblCECO[area],"(sin catálogo)"))</f>
        <v/>
      </c>
      <c r="Y6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1" s="5">
        <f>IF(tblOrdenes[[#This Row],[centro_costo]]="","",_xlfn.XLOOKUP(tblOrdenes[[#This Row],[centro_costo]],tblCECO[codigo],tblCECO[coordinador],"(sin catálogo)"))</f>
        <v/>
      </c>
      <c r="AA681" s="5">
        <f>IF(tblOrdenes[[#This Row],[puesto_trabajo]]="","",_xlfn.XLOOKUP(tblOrdenes[[#This Row],[puesto_trabajo]],tblPuestos[codigo],tblPuestos[especialidad],"(sin catálogo)"))</f>
        <v/>
      </c>
      <c r="AB681" s="5">
        <f>IF(tblOrdenes[[#This Row],[cod_actividad]]="","",_xlfn.XLOOKUP(tblOrdenes[[#This Row],[cod_actividad]],tblActividades[codigo],tblActividades[descripcion],"(sin catálogo)"))</f>
        <v/>
      </c>
      <c r="AC681" s="20">
        <f>IF(tblOrdenes[[#This Row],[fecha_inicio]]="","",TODAY()-tblOrdenes[[#This Row],[fecha_inicio]])</f>
        <v/>
      </c>
      <c r="AD6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1" s="5">
        <f>IF(tblOrdenes[[#This Row],[backlog_habiles]]="","",IF(tblOrdenes[[#This Row],[backlog_habiles]]&lt;0,"FUTURO",IF(tblOrdenes[[#This Row],[backlog_habiles]]&gt;p_dias_backlog_max,"BACKLOG","MES CORRIENTE")))</f>
        <v/>
      </c>
      <c r="AF681" s="5">
        <f>IF(tblOrdenes[[#This Row],[backlog_habiles]]="",FALSE,AND(tblOrdenes[[#This Row],[backlog_habiles]]&gt;p_dias_backlog_min,tblOrdenes[[#This Row],[backlog_habiles]]&lt;=p_dias_backlog_max))</f>
        <v/>
      </c>
      <c r="AG681" s="4" t="n"/>
      <c r="AH6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1" s="18">
        <f>IF(tblOrdenes[[#This Row],[orden]]="","",_xlfn.XLOOKUP(tblOrdenes[[#This Row],[id_operacion]],tblEjecucion[id_operacion],tblEjecucion[precio],0))</f>
        <v/>
      </c>
      <c r="AL681" s="18">
        <f>IF(tblOrdenes[[#This Row],[orden]]="","",MAX(0,_xlfn.XLOOKUP(tblOrdenes[[#This Row],[id_operacion]],tblEjecucion[id_operacion],tblEjecucion[costo_plan_total],0)-tblOrdenes[[#This Row],[costo_servicio]]))</f>
        <v/>
      </c>
      <c r="AM681" s="18">
        <f>IF(tblOrdenes[[#This Row],[orden]]="","",tblOrdenes[[#This Row],[costo_servicio]]+tblOrdenes[[#This Row],[costo_materiales]])</f>
        <v/>
      </c>
      <c r="AN6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1" s="4" t="n"/>
      <c r="AP681" s="4" t="n"/>
      <c r="AQ681" s="4" t="n"/>
      <c r="AR681" s="5">
        <f>IF(tblOrdenes[[#This Row],[link_checklist]]="","",HYPERLINK(p_ruta_base_checklists&amp;tblOrdenes[[#This Row],[link_checklist]],"abrir"))</f>
        <v/>
      </c>
      <c r="AS681" s="4" t="n"/>
      <c r="AT681" s="5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22" t="n"/>
      <c r="K682" s="5" t="n"/>
      <c r="L682" s="18" t="n"/>
      <c r="M6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5">
        <f>IF(tblOrdenes[[#This Row],[fecha_inicio]]="","",YEAR(tblOrdenes[[#This Row],[fecha_inicio]]))</f>
        <v/>
      </c>
      <c r="Q682" s="5">
        <f>IF(tblOrdenes[[#This Row],[fecha_inicio]]="","",MONTH(tblOrdenes[[#This Row],[fecha_inicio]]))</f>
        <v/>
      </c>
      <c r="R682" s="5">
        <f>IF(tblOrdenes[[#This Row],[fecha_inicio]]="","",tblOrdenes[[#This Row],[anio]]&amp;"-"&amp;TEXT(tblOrdenes[[#This Row],[mes]],"00"))</f>
        <v/>
      </c>
      <c r="S682" s="5">
        <f>IF(tblOrdenes[[#This Row],[fecha_inicio]]="","",INDEX(lista_dias,WEEKDAY(tblOrdenes[[#This Row],[fecha_inicio]],2)))</f>
        <v/>
      </c>
      <c r="T6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2" s="5">
        <f>IF(tblOrdenes[[#This Row],[tipo_ot]]="","",_xlfn.XLOOKUP(tblOrdenes[[#This Row],[tipo_ot]],tblTiposOT[codigo],tblTiposOT[clasificacion],"sin_clasificar"))</f>
        <v/>
      </c>
      <c r="V6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2" s="5">
        <f>IF(tblOrdenes[[#This Row],[centro_costo]]="","",_xlfn.XLOOKUP(tblOrdenes[[#This Row],[centro_costo]],tblCECO[codigo],tblCECO[linea],"(sin catálogo)"))</f>
        <v/>
      </c>
      <c r="X682" s="5">
        <f>IF(tblOrdenes[[#This Row],[centro_costo]]="","",_xlfn.XLOOKUP(tblOrdenes[[#This Row],[centro_costo]],tblCECO[codigo],tblCECO[area],"(sin catálogo)"))</f>
        <v/>
      </c>
      <c r="Y6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2" s="5">
        <f>IF(tblOrdenes[[#This Row],[centro_costo]]="","",_xlfn.XLOOKUP(tblOrdenes[[#This Row],[centro_costo]],tblCECO[codigo],tblCECO[coordinador],"(sin catálogo)"))</f>
        <v/>
      </c>
      <c r="AA682" s="5">
        <f>IF(tblOrdenes[[#This Row],[puesto_trabajo]]="","",_xlfn.XLOOKUP(tblOrdenes[[#This Row],[puesto_trabajo]],tblPuestos[codigo],tblPuestos[especialidad],"(sin catálogo)"))</f>
        <v/>
      </c>
      <c r="AB682" s="5">
        <f>IF(tblOrdenes[[#This Row],[cod_actividad]]="","",_xlfn.XLOOKUP(tblOrdenes[[#This Row],[cod_actividad]],tblActividades[codigo],tblActividades[descripcion],"(sin catálogo)"))</f>
        <v/>
      </c>
      <c r="AC682" s="20">
        <f>IF(tblOrdenes[[#This Row],[fecha_inicio]]="","",TODAY()-tblOrdenes[[#This Row],[fecha_inicio]])</f>
        <v/>
      </c>
      <c r="AD6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2" s="5">
        <f>IF(tblOrdenes[[#This Row],[backlog_habiles]]="","",IF(tblOrdenes[[#This Row],[backlog_habiles]]&lt;0,"FUTURO",IF(tblOrdenes[[#This Row],[backlog_habiles]]&gt;p_dias_backlog_max,"BACKLOG","MES CORRIENTE")))</f>
        <v/>
      </c>
      <c r="AF682" s="5">
        <f>IF(tblOrdenes[[#This Row],[backlog_habiles]]="",FALSE,AND(tblOrdenes[[#This Row],[backlog_habiles]]&gt;p_dias_backlog_min,tblOrdenes[[#This Row],[backlog_habiles]]&lt;=p_dias_backlog_max))</f>
        <v/>
      </c>
      <c r="AG682" s="4" t="n"/>
      <c r="AH6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2" s="18">
        <f>IF(tblOrdenes[[#This Row],[orden]]="","",_xlfn.XLOOKUP(tblOrdenes[[#This Row],[id_operacion]],tblEjecucion[id_operacion],tblEjecucion[precio],0))</f>
        <v/>
      </c>
      <c r="AL682" s="18">
        <f>IF(tblOrdenes[[#This Row],[orden]]="","",MAX(0,_xlfn.XLOOKUP(tblOrdenes[[#This Row],[id_operacion]],tblEjecucion[id_operacion],tblEjecucion[costo_plan_total],0)-tblOrdenes[[#This Row],[costo_servicio]]))</f>
        <v/>
      </c>
      <c r="AM682" s="18">
        <f>IF(tblOrdenes[[#This Row],[orden]]="","",tblOrdenes[[#This Row],[costo_servicio]]+tblOrdenes[[#This Row],[costo_materiales]])</f>
        <v/>
      </c>
      <c r="AN6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2" s="4" t="n"/>
      <c r="AP682" s="4" t="n"/>
      <c r="AQ682" s="4" t="n"/>
      <c r="AR682" s="5">
        <f>IF(tblOrdenes[[#This Row],[link_checklist]]="","",HYPERLINK(p_ruta_base_checklists&amp;tblOrdenes[[#This Row],[link_checklist]],"abrir"))</f>
        <v/>
      </c>
      <c r="AS682" s="4" t="n"/>
      <c r="AT682" s="5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22" t="n"/>
      <c r="K683" s="5" t="n"/>
      <c r="L683" s="18" t="n"/>
      <c r="M6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5">
        <f>IF(tblOrdenes[[#This Row],[fecha_inicio]]="","",YEAR(tblOrdenes[[#This Row],[fecha_inicio]]))</f>
        <v/>
      </c>
      <c r="Q683" s="5">
        <f>IF(tblOrdenes[[#This Row],[fecha_inicio]]="","",MONTH(tblOrdenes[[#This Row],[fecha_inicio]]))</f>
        <v/>
      </c>
      <c r="R683" s="5">
        <f>IF(tblOrdenes[[#This Row],[fecha_inicio]]="","",tblOrdenes[[#This Row],[anio]]&amp;"-"&amp;TEXT(tblOrdenes[[#This Row],[mes]],"00"))</f>
        <v/>
      </c>
      <c r="S683" s="5">
        <f>IF(tblOrdenes[[#This Row],[fecha_inicio]]="","",INDEX(lista_dias,WEEKDAY(tblOrdenes[[#This Row],[fecha_inicio]],2)))</f>
        <v/>
      </c>
      <c r="T6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3" s="5">
        <f>IF(tblOrdenes[[#This Row],[tipo_ot]]="","",_xlfn.XLOOKUP(tblOrdenes[[#This Row],[tipo_ot]],tblTiposOT[codigo],tblTiposOT[clasificacion],"sin_clasificar"))</f>
        <v/>
      </c>
      <c r="V6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3" s="5">
        <f>IF(tblOrdenes[[#This Row],[centro_costo]]="","",_xlfn.XLOOKUP(tblOrdenes[[#This Row],[centro_costo]],tblCECO[codigo],tblCECO[linea],"(sin catálogo)"))</f>
        <v/>
      </c>
      <c r="X683" s="5">
        <f>IF(tblOrdenes[[#This Row],[centro_costo]]="","",_xlfn.XLOOKUP(tblOrdenes[[#This Row],[centro_costo]],tblCECO[codigo],tblCECO[area],"(sin catálogo)"))</f>
        <v/>
      </c>
      <c r="Y6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3" s="5">
        <f>IF(tblOrdenes[[#This Row],[centro_costo]]="","",_xlfn.XLOOKUP(tblOrdenes[[#This Row],[centro_costo]],tblCECO[codigo],tblCECO[coordinador],"(sin catálogo)"))</f>
        <v/>
      </c>
      <c r="AA683" s="5">
        <f>IF(tblOrdenes[[#This Row],[puesto_trabajo]]="","",_xlfn.XLOOKUP(tblOrdenes[[#This Row],[puesto_trabajo]],tblPuestos[codigo],tblPuestos[especialidad],"(sin catálogo)"))</f>
        <v/>
      </c>
      <c r="AB683" s="5">
        <f>IF(tblOrdenes[[#This Row],[cod_actividad]]="","",_xlfn.XLOOKUP(tblOrdenes[[#This Row],[cod_actividad]],tblActividades[codigo],tblActividades[descripcion],"(sin catálogo)"))</f>
        <v/>
      </c>
      <c r="AC683" s="20">
        <f>IF(tblOrdenes[[#This Row],[fecha_inicio]]="","",TODAY()-tblOrdenes[[#This Row],[fecha_inicio]])</f>
        <v/>
      </c>
      <c r="AD6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3" s="5">
        <f>IF(tblOrdenes[[#This Row],[backlog_habiles]]="","",IF(tblOrdenes[[#This Row],[backlog_habiles]]&lt;0,"FUTURO",IF(tblOrdenes[[#This Row],[backlog_habiles]]&gt;p_dias_backlog_max,"BACKLOG","MES CORRIENTE")))</f>
        <v/>
      </c>
      <c r="AF683" s="5">
        <f>IF(tblOrdenes[[#This Row],[backlog_habiles]]="",FALSE,AND(tblOrdenes[[#This Row],[backlog_habiles]]&gt;p_dias_backlog_min,tblOrdenes[[#This Row],[backlog_habiles]]&lt;=p_dias_backlog_max))</f>
        <v/>
      </c>
      <c r="AG683" s="4" t="n"/>
      <c r="AH6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3" s="18">
        <f>IF(tblOrdenes[[#This Row],[orden]]="","",_xlfn.XLOOKUP(tblOrdenes[[#This Row],[id_operacion]],tblEjecucion[id_operacion],tblEjecucion[precio],0))</f>
        <v/>
      </c>
      <c r="AL683" s="18">
        <f>IF(tblOrdenes[[#This Row],[orden]]="","",MAX(0,_xlfn.XLOOKUP(tblOrdenes[[#This Row],[id_operacion]],tblEjecucion[id_operacion],tblEjecucion[costo_plan_total],0)-tblOrdenes[[#This Row],[costo_servicio]]))</f>
        <v/>
      </c>
      <c r="AM683" s="18">
        <f>IF(tblOrdenes[[#This Row],[orden]]="","",tblOrdenes[[#This Row],[costo_servicio]]+tblOrdenes[[#This Row],[costo_materiales]])</f>
        <v/>
      </c>
      <c r="AN6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3" s="4" t="n"/>
      <c r="AP683" s="4" t="n"/>
      <c r="AQ683" s="4" t="n"/>
      <c r="AR683" s="5">
        <f>IF(tblOrdenes[[#This Row],[link_checklist]]="","",HYPERLINK(p_ruta_base_checklists&amp;tblOrdenes[[#This Row],[link_checklist]],"abrir"))</f>
        <v/>
      </c>
      <c r="AS683" s="4" t="n"/>
      <c r="AT683" s="5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22" t="n"/>
      <c r="K684" s="5" t="n"/>
      <c r="L684" s="18" t="n"/>
      <c r="M6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5">
        <f>IF(tblOrdenes[[#This Row],[fecha_inicio]]="","",YEAR(tblOrdenes[[#This Row],[fecha_inicio]]))</f>
        <v/>
      </c>
      <c r="Q684" s="5">
        <f>IF(tblOrdenes[[#This Row],[fecha_inicio]]="","",MONTH(tblOrdenes[[#This Row],[fecha_inicio]]))</f>
        <v/>
      </c>
      <c r="R684" s="5">
        <f>IF(tblOrdenes[[#This Row],[fecha_inicio]]="","",tblOrdenes[[#This Row],[anio]]&amp;"-"&amp;TEXT(tblOrdenes[[#This Row],[mes]],"00"))</f>
        <v/>
      </c>
      <c r="S684" s="5">
        <f>IF(tblOrdenes[[#This Row],[fecha_inicio]]="","",INDEX(lista_dias,WEEKDAY(tblOrdenes[[#This Row],[fecha_inicio]],2)))</f>
        <v/>
      </c>
      <c r="T6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4" s="5">
        <f>IF(tblOrdenes[[#This Row],[tipo_ot]]="","",_xlfn.XLOOKUP(tblOrdenes[[#This Row],[tipo_ot]],tblTiposOT[codigo],tblTiposOT[clasificacion],"sin_clasificar"))</f>
        <v/>
      </c>
      <c r="V6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4" s="5">
        <f>IF(tblOrdenes[[#This Row],[centro_costo]]="","",_xlfn.XLOOKUP(tblOrdenes[[#This Row],[centro_costo]],tblCECO[codigo],tblCECO[linea],"(sin catálogo)"))</f>
        <v/>
      </c>
      <c r="X684" s="5">
        <f>IF(tblOrdenes[[#This Row],[centro_costo]]="","",_xlfn.XLOOKUP(tblOrdenes[[#This Row],[centro_costo]],tblCECO[codigo],tblCECO[area],"(sin catálogo)"))</f>
        <v/>
      </c>
      <c r="Y6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4" s="5">
        <f>IF(tblOrdenes[[#This Row],[centro_costo]]="","",_xlfn.XLOOKUP(tblOrdenes[[#This Row],[centro_costo]],tblCECO[codigo],tblCECO[coordinador],"(sin catálogo)"))</f>
        <v/>
      </c>
      <c r="AA684" s="5">
        <f>IF(tblOrdenes[[#This Row],[puesto_trabajo]]="","",_xlfn.XLOOKUP(tblOrdenes[[#This Row],[puesto_trabajo]],tblPuestos[codigo],tblPuestos[especialidad],"(sin catálogo)"))</f>
        <v/>
      </c>
      <c r="AB684" s="5">
        <f>IF(tblOrdenes[[#This Row],[cod_actividad]]="","",_xlfn.XLOOKUP(tblOrdenes[[#This Row],[cod_actividad]],tblActividades[codigo],tblActividades[descripcion],"(sin catálogo)"))</f>
        <v/>
      </c>
      <c r="AC684" s="20">
        <f>IF(tblOrdenes[[#This Row],[fecha_inicio]]="","",TODAY()-tblOrdenes[[#This Row],[fecha_inicio]])</f>
        <v/>
      </c>
      <c r="AD6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4" s="5">
        <f>IF(tblOrdenes[[#This Row],[backlog_habiles]]="","",IF(tblOrdenes[[#This Row],[backlog_habiles]]&lt;0,"FUTURO",IF(tblOrdenes[[#This Row],[backlog_habiles]]&gt;p_dias_backlog_max,"BACKLOG","MES CORRIENTE")))</f>
        <v/>
      </c>
      <c r="AF684" s="5">
        <f>IF(tblOrdenes[[#This Row],[backlog_habiles]]="",FALSE,AND(tblOrdenes[[#This Row],[backlog_habiles]]&gt;p_dias_backlog_min,tblOrdenes[[#This Row],[backlog_habiles]]&lt;=p_dias_backlog_max))</f>
        <v/>
      </c>
      <c r="AG684" s="4" t="n"/>
      <c r="AH6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4" s="18">
        <f>IF(tblOrdenes[[#This Row],[orden]]="","",_xlfn.XLOOKUP(tblOrdenes[[#This Row],[id_operacion]],tblEjecucion[id_operacion],tblEjecucion[precio],0))</f>
        <v/>
      </c>
      <c r="AL684" s="18">
        <f>IF(tblOrdenes[[#This Row],[orden]]="","",MAX(0,_xlfn.XLOOKUP(tblOrdenes[[#This Row],[id_operacion]],tblEjecucion[id_operacion],tblEjecucion[costo_plan_total],0)-tblOrdenes[[#This Row],[costo_servicio]]))</f>
        <v/>
      </c>
      <c r="AM684" s="18">
        <f>IF(tblOrdenes[[#This Row],[orden]]="","",tblOrdenes[[#This Row],[costo_servicio]]+tblOrdenes[[#This Row],[costo_materiales]])</f>
        <v/>
      </c>
      <c r="AN6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4" s="4" t="n"/>
      <c r="AP684" s="4" t="n"/>
      <c r="AQ684" s="4" t="n"/>
      <c r="AR684" s="5">
        <f>IF(tblOrdenes[[#This Row],[link_checklist]]="","",HYPERLINK(p_ruta_base_checklists&amp;tblOrdenes[[#This Row],[link_checklist]],"abrir"))</f>
        <v/>
      </c>
      <c r="AS684" s="4" t="n"/>
      <c r="AT684" s="5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22" t="n"/>
      <c r="K685" s="5" t="n"/>
      <c r="L685" s="18" t="n"/>
      <c r="M6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5">
        <f>IF(tblOrdenes[[#This Row],[fecha_inicio]]="","",YEAR(tblOrdenes[[#This Row],[fecha_inicio]]))</f>
        <v/>
      </c>
      <c r="Q685" s="5">
        <f>IF(tblOrdenes[[#This Row],[fecha_inicio]]="","",MONTH(tblOrdenes[[#This Row],[fecha_inicio]]))</f>
        <v/>
      </c>
      <c r="R685" s="5">
        <f>IF(tblOrdenes[[#This Row],[fecha_inicio]]="","",tblOrdenes[[#This Row],[anio]]&amp;"-"&amp;TEXT(tblOrdenes[[#This Row],[mes]],"00"))</f>
        <v/>
      </c>
      <c r="S685" s="5">
        <f>IF(tblOrdenes[[#This Row],[fecha_inicio]]="","",INDEX(lista_dias,WEEKDAY(tblOrdenes[[#This Row],[fecha_inicio]],2)))</f>
        <v/>
      </c>
      <c r="T6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5" s="5">
        <f>IF(tblOrdenes[[#This Row],[tipo_ot]]="","",_xlfn.XLOOKUP(tblOrdenes[[#This Row],[tipo_ot]],tblTiposOT[codigo],tblTiposOT[clasificacion],"sin_clasificar"))</f>
        <v/>
      </c>
      <c r="V6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5" s="5">
        <f>IF(tblOrdenes[[#This Row],[centro_costo]]="","",_xlfn.XLOOKUP(tblOrdenes[[#This Row],[centro_costo]],tblCECO[codigo],tblCECO[linea],"(sin catálogo)"))</f>
        <v/>
      </c>
      <c r="X685" s="5">
        <f>IF(tblOrdenes[[#This Row],[centro_costo]]="","",_xlfn.XLOOKUP(tblOrdenes[[#This Row],[centro_costo]],tblCECO[codigo],tblCECO[area],"(sin catálogo)"))</f>
        <v/>
      </c>
      <c r="Y6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5" s="5">
        <f>IF(tblOrdenes[[#This Row],[centro_costo]]="","",_xlfn.XLOOKUP(tblOrdenes[[#This Row],[centro_costo]],tblCECO[codigo],tblCECO[coordinador],"(sin catálogo)"))</f>
        <v/>
      </c>
      <c r="AA685" s="5">
        <f>IF(tblOrdenes[[#This Row],[puesto_trabajo]]="","",_xlfn.XLOOKUP(tblOrdenes[[#This Row],[puesto_trabajo]],tblPuestos[codigo],tblPuestos[especialidad],"(sin catálogo)"))</f>
        <v/>
      </c>
      <c r="AB685" s="5">
        <f>IF(tblOrdenes[[#This Row],[cod_actividad]]="","",_xlfn.XLOOKUP(tblOrdenes[[#This Row],[cod_actividad]],tblActividades[codigo],tblActividades[descripcion],"(sin catálogo)"))</f>
        <v/>
      </c>
      <c r="AC685" s="20">
        <f>IF(tblOrdenes[[#This Row],[fecha_inicio]]="","",TODAY()-tblOrdenes[[#This Row],[fecha_inicio]])</f>
        <v/>
      </c>
      <c r="AD6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5" s="5">
        <f>IF(tblOrdenes[[#This Row],[backlog_habiles]]="","",IF(tblOrdenes[[#This Row],[backlog_habiles]]&lt;0,"FUTURO",IF(tblOrdenes[[#This Row],[backlog_habiles]]&gt;p_dias_backlog_max,"BACKLOG","MES CORRIENTE")))</f>
        <v/>
      </c>
      <c r="AF685" s="5">
        <f>IF(tblOrdenes[[#This Row],[backlog_habiles]]="",FALSE,AND(tblOrdenes[[#This Row],[backlog_habiles]]&gt;p_dias_backlog_min,tblOrdenes[[#This Row],[backlog_habiles]]&lt;=p_dias_backlog_max))</f>
        <v/>
      </c>
      <c r="AG685" s="4" t="n"/>
      <c r="AH6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5" s="18">
        <f>IF(tblOrdenes[[#This Row],[orden]]="","",_xlfn.XLOOKUP(tblOrdenes[[#This Row],[id_operacion]],tblEjecucion[id_operacion],tblEjecucion[precio],0))</f>
        <v/>
      </c>
      <c r="AL685" s="18">
        <f>IF(tblOrdenes[[#This Row],[orden]]="","",MAX(0,_xlfn.XLOOKUP(tblOrdenes[[#This Row],[id_operacion]],tblEjecucion[id_operacion],tblEjecucion[costo_plan_total],0)-tblOrdenes[[#This Row],[costo_servicio]]))</f>
        <v/>
      </c>
      <c r="AM685" s="18">
        <f>IF(tblOrdenes[[#This Row],[orden]]="","",tblOrdenes[[#This Row],[costo_servicio]]+tblOrdenes[[#This Row],[costo_materiales]])</f>
        <v/>
      </c>
      <c r="AN6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5" s="4" t="n"/>
      <c r="AP685" s="4" t="n"/>
      <c r="AQ685" s="4" t="n"/>
      <c r="AR685" s="5">
        <f>IF(tblOrdenes[[#This Row],[link_checklist]]="","",HYPERLINK(p_ruta_base_checklists&amp;tblOrdenes[[#This Row],[link_checklist]],"abrir"))</f>
        <v/>
      </c>
      <c r="AS685" s="4" t="n"/>
      <c r="AT685" s="5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22" t="n"/>
      <c r="K686" s="5" t="n"/>
      <c r="L686" s="18" t="n"/>
      <c r="M6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5">
        <f>IF(tblOrdenes[[#This Row],[fecha_inicio]]="","",YEAR(tblOrdenes[[#This Row],[fecha_inicio]]))</f>
        <v/>
      </c>
      <c r="Q686" s="5">
        <f>IF(tblOrdenes[[#This Row],[fecha_inicio]]="","",MONTH(tblOrdenes[[#This Row],[fecha_inicio]]))</f>
        <v/>
      </c>
      <c r="R686" s="5">
        <f>IF(tblOrdenes[[#This Row],[fecha_inicio]]="","",tblOrdenes[[#This Row],[anio]]&amp;"-"&amp;TEXT(tblOrdenes[[#This Row],[mes]],"00"))</f>
        <v/>
      </c>
      <c r="S686" s="5">
        <f>IF(tblOrdenes[[#This Row],[fecha_inicio]]="","",INDEX(lista_dias,WEEKDAY(tblOrdenes[[#This Row],[fecha_inicio]],2)))</f>
        <v/>
      </c>
      <c r="T6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6" s="5">
        <f>IF(tblOrdenes[[#This Row],[tipo_ot]]="","",_xlfn.XLOOKUP(tblOrdenes[[#This Row],[tipo_ot]],tblTiposOT[codigo],tblTiposOT[clasificacion],"sin_clasificar"))</f>
        <v/>
      </c>
      <c r="V6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6" s="5">
        <f>IF(tblOrdenes[[#This Row],[centro_costo]]="","",_xlfn.XLOOKUP(tblOrdenes[[#This Row],[centro_costo]],tblCECO[codigo],tblCECO[linea],"(sin catálogo)"))</f>
        <v/>
      </c>
      <c r="X686" s="5">
        <f>IF(tblOrdenes[[#This Row],[centro_costo]]="","",_xlfn.XLOOKUP(tblOrdenes[[#This Row],[centro_costo]],tblCECO[codigo],tblCECO[area],"(sin catálogo)"))</f>
        <v/>
      </c>
      <c r="Y6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6" s="5">
        <f>IF(tblOrdenes[[#This Row],[centro_costo]]="","",_xlfn.XLOOKUP(tblOrdenes[[#This Row],[centro_costo]],tblCECO[codigo],tblCECO[coordinador],"(sin catálogo)"))</f>
        <v/>
      </c>
      <c r="AA686" s="5">
        <f>IF(tblOrdenes[[#This Row],[puesto_trabajo]]="","",_xlfn.XLOOKUP(tblOrdenes[[#This Row],[puesto_trabajo]],tblPuestos[codigo],tblPuestos[especialidad],"(sin catálogo)"))</f>
        <v/>
      </c>
      <c r="AB686" s="5">
        <f>IF(tblOrdenes[[#This Row],[cod_actividad]]="","",_xlfn.XLOOKUP(tblOrdenes[[#This Row],[cod_actividad]],tblActividades[codigo],tblActividades[descripcion],"(sin catálogo)"))</f>
        <v/>
      </c>
      <c r="AC686" s="20">
        <f>IF(tblOrdenes[[#This Row],[fecha_inicio]]="","",TODAY()-tblOrdenes[[#This Row],[fecha_inicio]])</f>
        <v/>
      </c>
      <c r="AD6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6" s="5">
        <f>IF(tblOrdenes[[#This Row],[backlog_habiles]]="","",IF(tblOrdenes[[#This Row],[backlog_habiles]]&lt;0,"FUTURO",IF(tblOrdenes[[#This Row],[backlog_habiles]]&gt;p_dias_backlog_max,"BACKLOG","MES CORRIENTE")))</f>
        <v/>
      </c>
      <c r="AF686" s="5">
        <f>IF(tblOrdenes[[#This Row],[backlog_habiles]]="",FALSE,AND(tblOrdenes[[#This Row],[backlog_habiles]]&gt;p_dias_backlog_min,tblOrdenes[[#This Row],[backlog_habiles]]&lt;=p_dias_backlog_max))</f>
        <v/>
      </c>
      <c r="AG686" s="4" t="n"/>
      <c r="AH6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6" s="18">
        <f>IF(tblOrdenes[[#This Row],[orden]]="","",_xlfn.XLOOKUP(tblOrdenes[[#This Row],[id_operacion]],tblEjecucion[id_operacion],tblEjecucion[precio],0))</f>
        <v/>
      </c>
      <c r="AL686" s="18">
        <f>IF(tblOrdenes[[#This Row],[orden]]="","",MAX(0,_xlfn.XLOOKUP(tblOrdenes[[#This Row],[id_operacion]],tblEjecucion[id_operacion],tblEjecucion[costo_plan_total],0)-tblOrdenes[[#This Row],[costo_servicio]]))</f>
        <v/>
      </c>
      <c r="AM686" s="18">
        <f>IF(tblOrdenes[[#This Row],[orden]]="","",tblOrdenes[[#This Row],[costo_servicio]]+tblOrdenes[[#This Row],[costo_materiales]])</f>
        <v/>
      </c>
      <c r="AN6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6" s="4" t="n"/>
      <c r="AP686" s="4" t="n"/>
      <c r="AQ686" s="4" t="n"/>
      <c r="AR686" s="5">
        <f>IF(tblOrdenes[[#This Row],[link_checklist]]="","",HYPERLINK(p_ruta_base_checklists&amp;tblOrdenes[[#This Row],[link_checklist]],"abrir"))</f>
        <v/>
      </c>
      <c r="AS686" s="4" t="n"/>
      <c r="AT686" s="5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22" t="n"/>
      <c r="K687" s="5" t="n"/>
      <c r="L687" s="18" t="n"/>
      <c r="M6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5">
        <f>IF(tblOrdenes[[#This Row],[fecha_inicio]]="","",YEAR(tblOrdenes[[#This Row],[fecha_inicio]]))</f>
        <v/>
      </c>
      <c r="Q687" s="5">
        <f>IF(tblOrdenes[[#This Row],[fecha_inicio]]="","",MONTH(tblOrdenes[[#This Row],[fecha_inicio]]))</f>
        <v/>
      </c>
      <c r="R687" s="5">
        <f>IF(tblOrdenes[[#This Row],[fecha_inicio]]="","",tblOrdenes[[#This Row],[anio]]&amp;"-"&amp;TEXT(tblOrdenes[[#This Row],[mes]],"00"))</f>
        <v/>
      </c>
      <c r="S687" s="5">
        <f>IF(tblOrdenes[[#This Row],[fecha_inicio]]="","",INDEX(lista_dias,WEEKDAY(tblOrdenes[[#This Row],[fecha_inicio]],2)))</f>
        <v/>
      </c>
      <c r="T6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7" s="5">
        <f>IF(tblOrdenes[[#This Row],[tipo_ot]]="","",_xlfn.XLOOKUP(tblOrdenes[[#This Row],[tipo_ot]],tblTiposOT[codigo],tblTiposOT[clasificacion],"sin_clasificar"))</f>
        <v/>
      </c>
      <c r="V6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7" s="5">
        <f>IF(tblOrdenes[[#This Row],[centro_costo]]="","",_xlfn.XLOOKUP(tblOrdenes[[#This Row],[centro_costo]],tblCECO[codigo],tblCECO[linea],"(sin catálogo)"))</f>
        <v/>
      </c>
      <c r="X687" s="5">
        <f>IF(tblOrdenes[[#This Row],[centro_costo]]="","",_xlfn.XLOOKUP(tblOrdenes[[#This Row],[centro_costo]],tblCECO[codigo],tblCECO[area],"(sin catálogo)"))</f>
        <v/>
      </c>
      <c r="Y6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7" s="5">
        <f>IF(tblOrdenes[[#This Row],[centro_costo]]="","",_xlfn.XLOOKUP(tblOrdenes[[#This Row],[centro_costo]],tblCECO[codigo],tblCECO[coordinador],"(sin catálogo)"))</f>
        <v/>
      </c>
      <c r="AA687" s="5">
        <f>IF(tblOrdenes[[#This Row],[puesto_trabajo]]="","",_xlfn.XLOOKUP(tblOrdenes[[#This Row],[puesto_trabajo]],tblPuestos[codigo],tblPuestos[especialidad],"(sin catálogo)"))</f>
        <v/>
      </c>
      <c r="AB687" s="5">
        <f>IF(tblOrdenes[[#This Row],[cod_actividad]]="","",_xlfn.XLOOKUP(tblOrdenes[[#This Row],[cod_actividad]],tblActividades[codigo],tblActividades[descripcion],"(sin catálogo)"))</f>
        <v/>
      </c>
      <c r="AC687" s="20">
        <f>IF(tblOrdenes[[#This Row],[fecha_inicio]]="","",TODAY()-tblOrdenes[[#This Row],[fecha_inicio]])</f>
        <v/>
      </c>
      <c r="AD6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7" s="5">
        <f>IF(tblOrdenes[[#This Row],[backlog_habiles]]="","",IF(tblOrdenes[[#This Row],[backlog_habiles]]&lt;0,"FUTURO",IF(tblOrdenes[[#This Row],[backlog_habiles]]&gt;p_dias_backlog_max,"BACKLOG","MES CORRIENTE")))</f>
        <v/>
      </c>
      <c r="AF687" s="5">
        <f>IF(tblOrdenes[[#This Row],[backlog_habiles]]="",FALSE,AND(tblOrdenes[[#This Row],[backlog_habiles]]&gt;p_dias_backlog_min,tblOrdenes[[#This Row],[backlog_habiles]]&lt;=p_dias_backlog_max))</f>
        <v/>
      </c>
      <c r="AG687" s="4" t="n"/>
      <c r="AH6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7" s="18">
        <f>IF(tblOrdenes[[#This Row],[orden]]="","",_xlfn.XLOOKUP(tblOrdenes[[#This Row],[id_operacion]],tblEjecucion[id_operacion],tblEjecucion[precio],0))</f>
        <v/>
      </c>
      <c r="AL687" s="18">
        <f>IF(tblOrdenes[[#This Row],[orden]]="","",MAX(0,_xlfn.XLOOKUP(tblOrdenes[[#This Row],[id_operacion]],tblEjecucion[id_operacion],tblEjecucion[costo_plan_total],0)-tblOrdenes[[#This Row],[costo_servicio]]))</f>
        <v/>
      </c>
      <c r="AM687" s="18">
        <f>IF(tblOrdenes[[#This Row],[orden]]="","",tblOrdenes[[#This Row],[costo_servicio]]+tblOrdenes[[#This Row],[costo_materiales]])</f>
        <v/>
      </c>
      <c r="AN6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7" s="4" t="n"/>
      <c r="AP687" s="4" t="n"/>
      <c r="AQ687" s="4" t="n"/>
      <c r="AR687" s="5">
        <f>IF(tblOrdenes[[#This Row],[link_checklist]]="","",HYPERLINK(p_ruta_base_checklists&amp;tblOrdenes[[#This Row],[link_checklist]],"abrir"))</f>
        <v/>
      </c>
      <c r="AS687" s="4" t="n"/>
      <c r="AT687" s="5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22" t="n"/>
      <c r="K688" s="5" t="n"/>
      <c r="L688" s="18" t="n"/>
      <c r="M6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5">
        <f>IF(tblOrdenes[[#This Row],[fecha_inicio]]="","",YEAR(tblOrdenes[[#This Row],[fecha_inicio]]))</f>
        <v/>
      </c>
      <c r="Q688" s="5">
        <f>IF(tblOrdenes[[#This Row],[fecha_inicio]]="","",MONTH(tblOrdenes[[#This Row],[fecha_inicio]]))</f>
        <v/>
      </c>
      <c r="R688" s="5">
        <f>IF(tblOrdenes[[#This Row],[fecha_inicio]]="","",tblOrdenes[[#This Row],[anio]]&amp;"-"&amp;TEXT(tblOrdenes[[#This Row],[mes]],"00"))</f>
        <v/>
      </c>
      <c r="S688" s="5">
        <f>IF(tblOrdenes[[#This Row],[fecha_inicio]]="","",INDEX(lista_dias,WEEKDAY(tblOrdenes[[#This Row],[fecha_inicio]],2)))</f>
        <v/>
      </c>
      <c r="T6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8" s="5">
        <f>IF(tblOrdenes[[#This Row],[tipo_ot]]="","",_xlfn.XLOOKUP(tblOrdenes[[#This Row],[tipo_ot]],tblTiposOT[codigo],tblTiposOT[clasificacion],"sin_clasificar"))</f>
        <v/>
      </c>
      <c r="V6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8" s="5">
        <f>IF(tblOrdenes[[#This Row],[centro_costo]]="","",_xlfn.XLOOKUP(tblOrdenes[[#This Row],[centro_costo]],tblCECO[codigo],tblCECO[linea],"(sin catálogo)"))</f>
        <v/>
      </c>
      <c r="X688" s="5">
        <f>IF(tblOrdenes[[#This Row],[centro_costo]]="","",_xlfn.XLOOKUP(tblOrdenes[[#This Row],[centro_costo]],tblCECO[codigo],tblCECO[area],"(sin catálogo)"))</f>
        <v/>
      </c>
      <c r="Y6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8" s="5">
        <f>IF(tblOrdenes[[#This Row],[centro_costo]]="","",_xlfn.XLOOKUP(tblOrdenes[[#This Row],[centro_costo]],tblCECO[codigo],tblCECO[coordinador],"(sin catálogo)"))</f>
        <v/>
      </c>
      <c r="AA688" s="5">
        <f>IF(tblOrdenes[[#This Row],[puesto_trabajo]]="","",_xlfn.XLOOKUP(tblOrdenes[[#This Row],[puesto_trabajo]],tblPuestos[codigo],tblPuestos[especialidad],"(sin catálogo)"))</f>
        <v/>
      </c>
      <c r="AB688" s="5">
        <f>IF(tblOrdenes[[#This Row],[cod_actividad]]="","",_xlfn.XLOOKUP(tblOrdenes[[#This Row],[cod_actividad]],tblActividades[codigo],tblActividades[descripcion],"(sin catálogo)"))</f>
        <v/>
      </c>
      <c r="AC688" s="20">
        <f>IF(tblOrdenes[[#This Row],[fecha_inicio]]="","",TODAY()-tblOrdenes[[#This Row],[fecha_inicio]])</f>
        <v/>
      </c>
      <c r="AD6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8" s="5">
        <f>IF(tblOrdenes[[#This Row],[backlog_habiles]]="","",IF(tblOrdenes[[#This Row],[backlog_habiles]]&lt;0,"FUTURO",IF(tblOrdenes[[#This Row],[backlog_habiles]]&gt;p_dias_backlog_max,"BACKLOG","MES CORRIENTE")))</f>
        <v/>
      </c>
      <c r="AF688" s="5">
        <f>IF(tblOrdenes[[#This Row],[backlog_habiles]]="",FALSE,AND(tblOrdenes[[#This Row],[backlog_habiles]]&gt;p_dias_backlog_min,tblOrdenes[[#This Row],[backlog_habiles]]&lt;=p_dias_backlog_max))</f>
        <v/>
      </c>
      <c r="AG688" s="4" t="n"/>
      <c r="AH6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8" s="18">
        <f>IF(tblOrdenes[[#This Row],[orden]]="","",_xlfn.XLOOKUP(tblOrdenes[[#This Row],[id_operacion]],tblEjecucion[id_operacion],tblEjecucion[precio],0))</f>
        <v/>
      </c>
      <c r="AL688" s="18">
        <f>IF(tblOrdenes[[#This Row],[orden]]="","",MAX(0,_xlfn.XLOOKUP(tblOrdenes[[#This Row],[id_operacion]],tblEjecucion[id_operacion],tblEjecucion[costo_plan_total],0)-tblOrdenes[[#This Row],[costo_servicio]]))</f>
        <v/>
      </c>
      <c r="AM688" s="18">
        <f>IF(tblOrdenes[[#This Row],[orden]]="","",tblOrdenes[[#This Row],[costo_servicio]]+tblOrdenes[[#This Row],[costo_materiales]])</f>
        <v/>
      </c>
      <c r="AN6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8" s="4" t="n"/>
      <c r="AP688" s="4" t="n"/>
      <c r="AQ688" s="4" t="n"/>
      <c r="AR688" s="5">
        <f>IF(tblOrdenes[[#This Row],[link_checklist]]="","",HYPERLINK(p_ruta_base_checklists&amp;tblOrdenes[[#This Row],[link_checklist]],"abrir"))</f>
        <v/>
      </c>
      <c r="AS688" s="4" t="n"/>
      <c r="AT688" s="5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22" t="n"/>
      <c r="K689" s="5" t="n"/>
      <c r="L689" s="18" t="n"/>
      <c r="M6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5">
        <f>IF(tblOrdenes[[#This Row],[fecha_inicio]]="","",YEAR(tblOrdenes[[#This Row],[fecha_inicio]]))</f>
        <v/>
      </c>
      <c r="Q689" s="5">
        <f>IF(tblOrdenes[[#This Row],[fecha_inicio]]="","",MONTH(tblOrdenes[[#This Row],[fecha_inicio]]))</f>
        <v/>
      </c>
      <c r="R689" s="5">
        <f>IF(tblOrdenes[[#This Row],[fecha_inicio]]="","",tblOrdenes[[#This Row],[anio]]&amp;"-"&amp;TEXT(tblOrdenes[[#This Row],[mes]],"00"))</f>
        <v/>
      </c>
      <c r="S689" s="5">
        <f>IF(tblOrdenes[[#This Row],[fecha_inicio]]="","",INDEX(lista_dias,WEEKDAY(tblOrdenes[[#This Row],[fecha_inicio]],2)))</f>
        <v/>
      </c>
      <c r="T6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9" s="5">
        <f>IF(tblOrdenes[[#This Row],[tipo_ot]]="","",_xlfn.XLOOKUP(tblOrdenes[[#This Row],[tipo_ot]],tblTiposOT[codigo],tblTiposOT[clasificacion],"sin_clasificar"))</f>
        <v/>
      </c>
      <c r="V6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9" s="5">
        <f>IF(tblOrdenes[[#This Row],[centro_costo]]="","",_xlfn.XLOOKUP(tblOrdenes[[#This Row],[centro_costo]],tblCECO[codigo],tblCECO[linea],"(sin catálogo)"))</f>
        <v/>
      </c>
      <c r="X689" s="5">
        <f>IF(tblOrdenes[[#This Row],[centro_costo]]="","",_xlfn.XLOOKUP(tblOrdenes[[#This Row],[centro_costo]],tblCECO[codigo],tblCECO[area],"(sin catálogo)"))</f>
        <v/>
      </c>
      <c r="Y6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89" s="5">
        <f>IF(tblOrdenes[[#This Row],[centro_costo]]="","",_xlfn.XLOOKUP(tblOrdenes[[#This Row],[centro_costo]],tblCECO[codigo],tblCECO[coordinador],"(sin catálogo)"))</f>
        <v/>
      </c>
      <c r="AA689" s="5">
        <f>IF(tblOrdenes[[#This Row],[puesto_trabajo]]="","",_xlfn.XLOOKUP(tblOrdenes[[#This Row],[puesto_trabajo]],tblPuestos[codigo],tblPuestos[especialidad],"(sin catálogo)"))</f>
        <v/>
      </c>
      <c r="AB689" s="5">
        <f>IF(tblOrdenes[[#This Row],[cod_actividad]]="","",_xlfn.XLOOKUP(tblOrdenes[[#This Row],[cod_actividad]],tblActividades[codigo],tblActividades[descripcion],"(sin catálogo)"))</f>
        <v/>
      </c>
      <c r="AC689" s="20">
        <f>IF(tblOrdenes[[#This Row],[fecha_inicio]]="","",TODAY()-tblOrdenes[[#This Row],[fecha_inicio]])</f>
        <v/>
      </c>
      <c r="AD6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89" s="5">
        <f>IF(tblOrdenes[[#This Row],[backlog_habiles]]="","",IF(tblOrdenes[[#This Row],[backlog_habiles]]&lt;0,"FUTURO",IF(tblOrdenes[[#This Row],[backlog_habiles]]&gt;p_dias_backlog_max,"BACKLOG","MES CORRIENTE")))</f>
        <v/>
      </c>
      <c r="AF689" s="5">
        <f>IF(tblOrdenes[[#This Row],[backlog_habiles]]="",FALSE,AND(tblOrdenes[[#This Row],[backlog_habiles]]&gt;p_dias_backlog_min,tblOrdenes[[#This Row],[backlog_habiles]]&lt;=p_dias_backlog_max))</f>
        <v/>
      </c>
      <c r="AG689" s="4" t="n"/>
      <c r="AH6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89" s="18">
        <f>IF(tblOrdenes[[#This Row],[orden]]="","",_xlfn.XLOOKUP(tblOrdenes[[#This Row],[id_operacion]],tblEjecucion[id_operacion],tblEjecucion[precio],0))</f>
        <v/>
      </c>
      <c r="AL689" s="18">
        <f>IF(tblOrdenes[[#This Row],[orden]]="","",MAX(0,_xlfn.XLOOKUP(tblOrdenes[[#This Row],[id_operacion]],tblEjecucion[id_operacion],tblEjecucion[costo_plan_total],0)-tblOrdenes[[#This Row],[costo_servicio]]))</f>
        <v/>
      </c>
      <c r="AM689" s="18">
        <f>IF(tblOrdenes[[#This Row],[orden]]="","",tblOrdenes[[#This Row],[costo_servicio]]+tblOrdenes[[#This Row],[costo_materiales]])</f>
        <v/>
      </c>
      <c r="AN6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89" s="4" t="n"/>
      <c r="AP689" s="4" t="n"/>
      <c r="AQ689" s="4" t="n"/>
      <c r="AR689" s="5">
        <f>IF(tblOrdenes[[#This Row],[link_checklist]]="","",HYPERLINK(p_ruta_base_checklists&amp;tblOrdenes[[#This Row],[link_checklist]],"abrir"))</f>
        <v/>
      </c>
      <c r="AS689" s="4" t="n"/>
      <c r="AT689" s="5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22" t="n"/>
      <c r="K690" s="5" t="n"/>
      <c r="L690" s="18" t="n"/>
      <c r="M6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5">
        <f>IF(tblOrdenes[[#This Row],[fecha_inicio]]="","",YEAR(tblOrdenes[[#This Row],[fecha_inicio]]))</f>
        <v/>
      </c>
      <c r="Q690" s="5">
        <f>IF(tblOrdenes[[#This Row],[fecha_inicio]]="","",MONTH(tblOrdenes[[#This Row],[fecha_inicio]]))</f>
        <v/>
      </c>
      <c r="R690" s="5">
        <f>IF(tblOrdenes[[#This Row],[fecha_inicio]]="","",tblOrdenes[[#This Row],[anio]]&amp;"-"&amp;TEXT(tblOrdenes[[#This Row],[mes]],"00"))</f>
        <v/>
      </c>
      <c r="S690" s="5">
        <f>IF(tblOrdenes[[#This Row],[fecha_inicio]]="","",INDEX(lista_dias,WEEKDAY(tblOrdenes[[#This Row],[fecha_inicio]],2)))</f>
        <v/>
      </c>
      <c r="T6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0" s="5">
        <f>IF(tblOrdenes[[#This Row],[tipo_ot]]="","",_xlfn.XLOOKUP(tblOrdenes[[#This Row],[tipo_ot]],tblTiposOT[codigo],tblTiposOT[clasificacion],"sin_clasificar"))</f>
        <v/>
      </c>
      <c r="V6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0" s="5">
        <f>IF(tblOrdenes[[#This Row],[centro_costo]]="","",_xlfn.XLOOKUP(tblOrdenes[[#This Row],[centro_costo]],tblCECO[codigo],tblCECO[linea],"(sin catálogo)"))</f>
        <v/>
      </c>
      <c r="X690" s="5">
        <f>IF(tblOrdenes[[#This Row],[centro_costo]]="","",_xlfn.XLOOKUP(tblOrdenes[[#This Row],[centro_costo]],tblCECO[codigo],tblCECO[area],"(sin catálogo)"))</f>
        <v/>
      </c>
      <c r="Y6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0" s="5">
        <f>IF(tblOrdenes[[#This Row],[centro_costo]]="","",_xlfn.XLOOKUP(tblOrdenes[[#This Row],[centro_costo]],tblCECO[codigo],tblCECO[coordinador],"(sin catálogo)"))</f>
        <v/>
      </c>
      <c r="AA690" s="5">
        <f>IF(tblOrdenes[[#This Row],[puesto_trabajo]]="","",_xlfn.XLOOKUP(tblOrdenes[[#This Row],[puesto_trabajo]],tblPuestos[codigo],tblPuestos[especialidad],"(sin catálogo)"))</f>
        <v/>
      </c>
      <c r="AB690" s="5">
        <f>IF(tblOrdenes[[#This Row],[cod_actividad]]="","",_xlfn.XLOOKUP(tblOrdenes[[#This Row],[cod_actividad]],tblActividades[codigo],tblActividades[descripcion],"(sin catálogo)"))</f>
        <v/>
      </c>
      <c r="AC690" s="20">
        <f>IF(tblOrdenes[[#This Row],[fecha_inicio]]="","",TODAY()-tblOrdenes[[#This Row],[fecha_inicio]])</f>
        <v/>
      </c>
      <c r="AD6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0" s="5">
        <f>IF(tblOrdenes[[#This Row],[backlog_habiles]]="","",IF(tblOrdenes[[#This Row],[backlog_habiles]]&lt;0,"FUTURO",IF(tblOrdenes[[#This Row],[backlog_habiles]]&gt;p_dias_backlog_max,"BACKLOG","MES CORRIENTE")))</f>
        <v/>
      </c>
      <c r="AF690" s="5">
        <f>IF(tblOrdenes[[#This Row],[backlog_habiles]]="",FALSE,AND(tblOrdenes[[#This Row],[backlog_habiles]]&gt;p_dias_backlog_min,tblOrdenes[[#This Row],[backlog_habiles]]&lt;=p_dias_backlog_max))</f>
        <v/>
      </c>
      <c r="AG690" s="4" t="n"/>
      <c r="AH6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0" s="18">
        <f>IF(tblOrdenes[[#This Row],[orden]]="","",_xlfn.XLOOKUP(tblOrdenes[[#This Row],[id_operacion]],tblEjecucion[id_operacion],tblEjecucion[precio],0))</f>
        <v/>
      </c>
      <c r="AL690" s="18">
        <f>IF(tblOrdenes[[#This Row],[orden]]="","",MAX(0,_xlfn.XLOOKUP(tblOrdenes[[#This Row],[id_operacion]],tblEjecucion[id_operacion],tblEjecucion[costo_plan_total],0)-tblOrdenes[[#This Row],[costo_servicio]]))</f>
        <v/>
      </c>
      <c r="AM690" s="18">
        <f>IF(tblOrdenes[[#This Row],[orden]]="","",tblOrdenes[[#This Row],[costo_servicio]]+tblOrdenes[[#This Row],[costo_materiales]])</f>
        <v/>
      </c>
      <c r="AN6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0" s="4" t="n"/>
      <c r="AP690" s="4" t="n"/>
      <c r="AQ690" s="4" t="n"/>
      <c r="AR690" s="5">
        <f>IF(tblOrdenes[[#This Row],[link_checklist]]="","",HYPERLINK(p_ruta_base_checklists&amp;tblOrdenes[[#This Row],[link_checklist]],"abrir"))</f>
        <v/>
      </c>
      <c r="AS690" s="4" t="n"/>
      <c r="AT690" s="5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22" t="n"/>
      <c r="K691" s="5" t="n"/>
      <c r="L691" s="18" t="n"/>
      <c r="M6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5">
        <f>IF(tblOrdenes[[#This Row],[fecha_inicio]]="","",YEAR(tblOrdenes[[#This Row],[fecha_inicio]]))</f>
        <v/>
      </c>
      <c r="Q691" s="5">
        <f>IF(tblOrdenes[[#This Row],[fecha_inicio]]="","",MONTH(tblOrdenes[[#This Row],[fecha_inicio]]))</f>
        <v/>
      </c>
      <c r="R691" s="5">
        <f>IF(tblOrdenes[[#This Row],[fecha_inicio]]="","",tblOrdenes[[#This Row],[anio]]&amp;"-"&amp;TEXT(tblOrdenes[[#This Row],[mes]],"00"))</f>
        <v/>
      </c>
      <c r="S691" s="5">
        <f>IF(tblOrdenes[[#This Row],[fecha_inicio]]="","",INDEX(lista_dias,WEEKDAY(tblOrdenes[[#This Row],[fecha_inicio]],2)))</f>
        <v/>
      </c>
      <c r="T6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1" s="5">
        <f>IF(tblOrdenes[[#This Row],[tipo_ot]]="","",_xlfn.XLOOKUP(tblOrdenes[[#This Row],[tipo_ot]],tblTiposOT[codigo],tblTiposOT[clasificacion],"sin_clasificar"))</f>
        <v/>
      </c>
      <c r="V6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1" s="5">
        <f>IF(tblOrdenes[[#This Row],[centro_costo]]="","",_xlfn.XLOOKUP(tblOrdenes[[#This Row],[centro_costo]],tblCECO[codigo],tblCECO[linea],"(sin catálogo)"))</f>
        <v/>
      </c>
      <c r="X691" s="5">
        <f>IF(tblOrdenes[[#This Row],[centro_costo]]="","",_xlfn.XLOOKUP(tblOrdenes[[#This Row],[centro_costo]],tblCECO[codigo],tblCECO[area],"(sin catálogo)"))</f>
        <v/>
      </c>
      <c r="Y6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1" s="5">
        <f>IF(tblOrdenes[[#This Row],[centro_costo]]="","",_xlfn.XLOOKUP(tblOrdenes[[#This Row],[centro_costo]],tblCECO[codigo],tblCECO[coordinador],"(sin catálogo)"))</f>
        <v/>
      </c>
      <c r="AA691" s="5">
        <f>IF(tblOrdenes[[#This Row],[puesto_trabajo]]="","",_xlfn.XLOOKUP(tblOrdenes[[#This Row],[puesto_trabajo]],tblPuestos[codigo],tblPuestos[especialidad],"(sin catálogo)"))</f>
        <v/>
      </c>
      <c r="AB691" s="5">
        <f>IF(tblOrdenes[[#This Row],[cod_actividad]]="","",_xlfn.XLOOKUP(tblOrdenes[[#This Row],[cod_actividad]],tblActividades[codigo],tblActividades[descripcion],"(sin catálogo)"))</f>
        <v/>
      </c>
      <c r="AC691" s="20">
        <f>IF(tblOrdenes[[#This Row],[fecha_inicio]]="","",TODAY()-tblOrdenes[[#This Row],[fecha_inicio]])</f>
        <v/>
      </c>
      <c r="AD6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1" s="5">
        <f>IF(tblOrdenes[[#This Row],[backlog_habiles]]="","",IF(tblOrdenes[[#This Row],[backlog_habiles]]&lt;0,"FUTURO",IF(tblOrdenes[[#This Row],[backlog_habiles]]&gt;p_dias_backlog_max,"BACKLOG","MES CORRIENTE")))</f>
        <v/>
      </c>
      <c r="AF691" s="5">
        <f>IF(tblOrdenes[[#This Row],[backlog_habiles]]="",FALSE,AND(tblOrdenes[[#This Row],[backlog_habiles]]&gt;p_dias_backlog_min,tblOrdenes[[#This Row],[backlog_habiles]]&lt;=p_dias_backlog_max))</f>
        <v/>
      </c>
      <c r="AG691" s="4" t="n"/>
      <c r="AH6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1" s="18">
        <f>IF(tblOrdenes[[#This Row],[orden]]="","",_xlfn.XLOOKUP(tblOrdenes[[#This Row],[id_operacion]],tblEjecucion[id_operacion],tblEjecucion[precio],0))</f>
        <v/>
      </c>
      <c r="AL691" s="18">
        <f>IF(tblOrdenes[[#This Row],[orden]]="","",MAX(0,_xlfn.XLOOKUP(tblOrdenes[[#This Row],[id_operacion]],tblEjecucion[id_operacion],tblEjecucion[costo_plan_total],0)-tblOrdenes[[#This Row],[costo_servicio]]))</f>
        <v/>
      </c>
      <c r="AM691" s="18">
        <f>IF(tblOrdenes[[#This Row],[orden]]="","",tblOrdenes[[#This Row],[costo_servicio]]+tblOrdenes[[#This Row],[costo_materiales]])</f>
        <v/>
      </c>
      <c r="AN6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1" s="4" t="n"/>
      <c r="AP691" s="4" t="n"/>
      <c r="AQ691" s="4" t="n"/>
      <c r="AR691" s="5">
        <f>IF(tblOrdenes[[#This Row],[link_checklist]]="","",HYPERLINK(p_ruta_base_checklists&amp;tblOrdenes[[#This Row],[link_checklist]],"abrir"))</f>
        <v/>
      </c>
      <c r="AS691" s="4" t="n"/>
      <c r="AT691" s="5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22" t="n"/>
      <c r="K692" s="5" t="n"/>
      <c r="L692" s="18" t="n"/>
      <c r="M6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5">
        <f>IF(tblOrdenes[[#This Row],[fecha_inicio]]="","",YEAR(tblOrdenes[[#This Row],[fecha_inicio]]))</f>
        <v/>
      </c>
      <c r="Q692" s="5">
        <f>IF(tblOrdenes[[#This Row],[fecha_inicio]]="","",MONTH(tblOrdenes[[#This Row],[fecha_inicio]]))</f>
        <v/>
      </c>
      <c r="R692" s="5">
        <f>IF(tblOrdenes[[#This Row],[fecha_inicio]]="","",tblOrdenes[[#This Row],[anio]]&amp;"-"&amp;TEXT(tblOrdenes[[#This Row],[mes]],"00"))</f>
        <v/>
      </c>
      <c r="S692" s="5">
        <f>IF(tblOrdenes[[#This Row],[fecha_inicio]]="","",INDEX(lista_dias,WEEKDAY(tblOrdenes[[#This Row],[fecha_inicio]],2)))</f>
        <v/>
      </c>
      <c r="T6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2" s="5">
        <f>IF(tblOrdenes[[#This Row],[tipo_ot]]="","",_xlfn.XLOOKUP(tblOrdenes[[#This Row],[tipo_ot]],tblTiposOT[codigo],tblTiposOT[clasificacion],"sin_clasificar"))</f>
        <v/>
      </c>
      <c r="V6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2" s="5">
        <f>IF(tblOrdenes[[#This Row],[centro_costo]]="","",_xlfn.XLOOKUP(tblOrdenes[[#This Row],[centro_costo]],tblCECO[codigo],tblCECO[linea],"(sin catálogo)"))</f>
        <v/>
      </c>
      <c r="X692" s="5">
        <f>IF(tblOrdenes[[#This Row],[centro_costo]]="","",_xlfn.XLOOKUP(tblOrdenes[[#This Row],[centro_costo]],tblCECO[codigo],tblCECO[area],"(sin catálogo)"))</f>
        <v/>
      </c>
      <c r="Y6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2" s="5">
        <f>IF(tblOrdenes[[#This Row],[centro_costo]]="","",_xlfn.XLOOKUP(tblOrdenes[[#This Row],[centro_costo]],tblCECO[codigo],tblCECO[coordinador],"(sin catálogo)"))</f>
        <v/>
      </c>
      <c r="AA692" s="5">
        <f>IF(tblOrdenes[[#This Row],[puesto_trabajo]]="","",_xlfn.XLOOKUP(tblOrdenes[[#This Row],[puesto_trabajo]],tblPuestos[codigo],tblPuestos[especialidad],"(sin catálogo)"))</f>
        <v/>
      </c>
      <c r="AB692" s="5">
        <f>IF(tblOrdenes[[#This Row],[cod_actividad]]="","",_xlfn.XLOOKUP(tblOrdenes[[#This Row],[cod_actividad]],tblActividades[codigo],tblActividades[descripcion],"(sin catálogo)"))</f>
        <v/>
      </c>
      <c r="AC692" s="20">
        <f>IF(tblOrdenes[[#This Row],[fecha_inicio]]="","",TODAY()-tblOrdenes[[#This Row],[fecha_inicio]])</f>
        <v/>
      </c>
      <c r="AD6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2" s="5">
        <f>IF(tblOrdenes[[#This Row],[backlog_habiles]]="","",IF(tblOrdenes[[#This Row],[backlog_habiles]]&lt;0,"FUTURO",IF(tblOrdenes[[#This Row],[backlog_habiles]]&gt;p_dias_backlog_max,"BACKLOG","MES CORRIENTE")))</f>
        <v/>
      </c>
      <c r="AF692" s="5">
        <f>IF(tblOrdenes[[#This Row],[backlog_habiles]]="",FALSE,AND(tblOrdenes[[#This Row],[backlog_habiles]]&gt;p_dias_backlog_min,tblOrdenes[[#This Row],[backlog_habiles]]&lt;=p_dias_backlog_max))</f>
        <v/>
      </c>
      <c r="AG692" s="4" t="n"/>
      <c r="AH6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2" s="18">
        <f>IF(tblOrdenes[[#This Row],[orden]]="","",_xlfn.XLOOKUP(tblOrdenes[[#This Row],[id_operacion]],tblEjecucion[id_operacion],tblEjecucion[precio],0))</f>
        <v/>
      </c>
      <c r="AL692" s="18">
        <f>IF(tblOrdenes[[#This Row],[orden]]="","",MAX(0,_xlfn.XLOOKUP(tblOrdenes[[#This Row],[id_operacion]],tblEjecucion[id_operacion],tblEjecucion[costo_plan_total],0)-tblOrdenes[[#This Row],[costo_servicio]]))</f>
        <v/>
      </c>
      <c r="AM692" s="18">
        <f>IF(tblOrdenes[[#This Row],[orden]]="","",tblOrdenes[[#This Row],[costo_servicio]]+tblOrdenes[[#This Row],[costo_materiales]])</f>
        <v/>
      </c>
      <c r="AN6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2" s="4" t="n"/>
      <c r="AP692" s="4" t="n"/>
      <c r="AQ692" s="4" t="n"/>
      <c r="AR692" s="5">
        <f>IF(tblOrdenes[[#This Row],[link_checklist]]="","",HYPERLINK(p_ruta_base_checklists&amp;tblOrdenes[[#This Row],[link_checklist]],"abrir"))</f>
        <v/>
      </c>
      <c r="AS692" s="4" t="n"/>
      <c r="AT692" s="5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22" t="n"/>
      <c r="K693" s="5" t="n"/>
      <c r="L693" s="18" t="n"/>
      <c r="M6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5">
        <f>IF(tblOrdenes[[#This Row],[fecha_inicio]]="","",YEAR(tblOrdenes[[#This Row],[fecha_inicio]]))</f>
        <v/>
      </c>
      <c r="Q693" s="5">
        <f>IF(tblOrdenes[[#This Row],[fecha_inicio]]="","",MONTH(tblOrdenes[[#This Row],[fecha_inicio]]))</f>
        <v/>
      </c>
      <c r="R693" s="5">
        <f>IF(tblOrdenes[[#This Row],[fecha_inicio]]="","",tblOrdenes[[#This Row],[anio]]&amp;"-"&amp;TEXT(tblOrdenes[[#This Row],[mes]],"00"))</f>
        <v/>
      </c>
      <c r="S693" s="5">
        <f>IF(tblOrdenes[[#This Row],[fecha_inicio]]="","",INDEX(lista_dias,WEEKDAY(tblOrdenes[[#This Row],[fecha_inicio]],2)))</f>
        <v/>
      </c>
      <c r="T6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3" s="5">
        <f>IF(tblOrdenes[[#This Row],[tipo_ot]]="","",_xlfn.XLOOKUP(tblOrdenes[[#This Row],[tipo_ot]],tblTiposOT[codigo],tblTiposOT[clasificacion],"sin_clasificar"))</f>
        <v/>
      </c>
      <c r="V6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3" s="5">
        <f>IF(tblOrdenes[[#This Row],[centro_costo]]="","",_xlfn.XLOOKUP(tblOrdenes[[#This Row],[centro_costo]],tblCECO[codigo],tblCECO[linea],"(sin catálogo)"))</f>
        <v/>
      </c>
      <c r="X693" s="5">
        <f>IF(tblOrdenes[[#This Row],[centro_costo]]="","",_xlfn.XLOOKUP(tblOrdenes[[#This Row],[centro_costo]],tblCECO[codigo],tblCECO[area],"(sin catálogo)"))</f>
        <v/>
      </c>
      <c r="Y6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3" s="5">
        <f>IF(tblOrdenes[[#This Row],[centro_costo]]="","",_xlfn.XLOOKUP(tblOrdenes[[#This Row],[centro_costo]],tblCECO[codigo],tblCECO[coordinador],"(sin catálogo)"))</f>
        <v/>
      </c>
      <c r="AA693" s="5">
        <f>IF(tblOrdenes[[#This Row],[puesto_trabajo]]="","",_xlfn.XLOOKUP(tblOrdenes[[#This Row],[puesto_trabajo]],tblPuestos[codigo],tblPuestos[especialidad],"(sin catálogo)"))</f>
        <v/>
      </c>
      <c r="AB693" s="5">
        <f>IF(tblOrdenes[[#This Row],[cod_actividad]]="","",_xlfn.XLOOKUP(tblOrdenes[[#This Row],[cod_actividad]],tblActividades[codigo],tblActividades[descripcion],"(sin catálogo)"))</f>
        <v/>
      </c>
      <c r="AC693" s="20">
        <f>IF(tblOrdenes[[#This Row],[fecha_inicio]]="","",TODAY()-tblOrdenes[[#This Row],[fecha_inicio]])</f>
        <v/>
      </c>
      <c r="AD6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3" s="5">
        <f>IF(tblOrdenes[[#This Row],[backlog_habiles]]="","",IF(tblOrdenes[[#This Row],[backlog_habiles]]&lt;0,"FUTURO",IF(tblOrdenes[[#This Row],[backlog_habiles]]&gt;p_dias_backlog_max,"BACKLOG","MES CORRIENTE")))</f>
        <v/>
      </c>
      <c r="AF693" s="5">
        <f>IF(tblOrdenes[[#This Row],[backlog_habiles]]="",FALSE,AND(tblOrdenes[[#This Row],[backlog_habiles]]&gt;p_dias_backlog_min,tblOrdenes[[#This Row],[backlog_habiles]]&lt;=p_dias_backlog_max))</f>
        <v/>
      </c>
      <c r="AG693" s="4" t="n"/>
      <c r="AH6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3" s="18">
        <f>IF(tblOrdenes[[#This Row],[orden]]="","",_xlfn.XLOOKUP(tblOrdenes[[#This Row],[id_operacion]],tblEjecucion[id_operacion],tblEjecucion[precio],0))</f>
        <v/>
      </c>
      <c r="AL693" s="18">
        <f>IF(tblOrdenes[[#This Row],[orden]]="","",MAX(0,_xlfn.XLOOKUP(tblOrdenes[[#This Row],[id_operacion]],tblEjecucion[id_operacion],tblEjecucion[costo_plan_total],0)-tblOrdenes[[#This Row],[costo_servicio]]))</f>
        <v/>
      </c>
      <c r="AM693" s="18">
        <f>IF(tblOrdenes[[#This Row],[orden]]="","",tblOrdenes[[#This Row],[costo_servicio]]+tblOrdenes[[#This Row],[costo_materiales]])</f>
        <v/>
      </c>
      <c r="AN6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3" s="4" t="n"/>
      <c r="AP693" s="4" t="n"/>
      <c r="AQ693" s="4" t="n"/>
      <c r="AR693" s="5">
        <f>IF(tblOrdenes[[#This Row],[link_checklist]]="","",HYPERLINK(p_ruta_base_checklists&amp;tblOrdenes[[#This Row],[link_checklist]],"abrir"))</f>
        <v/>
      </c>
      <c r="AS693" s="4" t="n"/>
      <c r="AT693" s="5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22" t="n"/>
      <c r="K694" s="5" t="n"/>
      <c r="L694" s="18" t="n"/>
      <c r="M6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5">
        <f>IF(tblOrdenes[[#This Row],[fecha_inicio]]="","",YEAR(tblOrdenes[[#This Row],[fecha_inicio]]))</f>
        <v/>
      </c>
      <c r="Q694" s="5">
        <f>IF(tblOrdenes[[#This Row],[fecha_inicio]]="","",MONTH(tblOrdenes[[#This Row],[fecha_inicio]]))</f>
        <v/>
      </c>
      <c r="R694" s="5">
        <f>IF(tblOrdenes[[#This Row],[fecha_inicio]]="","",tblOrdenes[[#This Row],[anio]]&amp;"-"&amp;TEXT(tblOrdenes[[#This Row],[mes]],"00"))</f>
        <v/>
      </c>
      <c r="S694" s="5">
        <f>IF(tblOrdenes[[#This Row],[fecha_inicio]]="","",INDEX(lista_dias,WEEKDAY(tblOrdenes[[#This Row],[fecha_inicio]],2)))</f>
        <v/>
      </c>
      <c r="T6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4" s="5">
        <f>IF(tblOrdenes[[#This Row],[tipo_ot]]="","",_xlfn.XLOOKUP(tblOrdenes[[#This Row],[tipo_ot]],tblTiposOT[codigo],tblTiposOT[clasificacion],"sin_clasificar"))</f>
        <v/>
      </c>
      <c r="V6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4" s="5">
        <f>IF(tblOrdenes[[#This Row],[centro_costo]]="","",_xlfn.XLOOKUP(tblOrdenes[[#This Row],[centro_costo]],tblCECO[codigo],tblCECO[linea],"(sin catálogo)"))</f>
        <v/>
      </c>
      <c r="X694" s="5">
        <f>IF(tblOrdenes[[#This Row],[centro_costo]]="","",_xlfn.XLOOKUP(tblOrdenes[[#This Row],[centro_costo]],tblCECO[codigo],tblCECO[area],"(sin catálogo)"))</f>
        <v/>
      </c>
      <c r="Y6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4" s="5">
        <f>IF(tblOrdenes[[#This Row],[centro_costo]]="","",_xlfn.XLOOKUP(tblOrdenes[[#This Row],[centro_costo]],tblCECO[codigo],tblCECO[coordinador],"(sin catálogo)"))</f>
        <v/>
      </c>
      <c r="AA694" s="5">
        <f>IF(tblOrdenes[[#This Row],[puesto_trabajo]]="","",_xlfn.XLOOKUP(tblOrdenes[[#This Row],[puesto_trabajo]],tblPuestos[codigo],tblPuestos[especialidad],"(sin catálogo)"))</f>
        <v/>
      </c>
      <c r="AB694" s="5">
        <f>IF(tblOrdenes[[#This Row],[cod_actividad]]="","",_xlfn.XLOOKUP(tblOrdenes[[#This Row],[cod_actividad]],tblActividades[codigo],tblActividades[descripcion],"(sin catálogo)"))</f>
        <v/>
      </c>
      <c r="AC694" s="20">
        <f>IF(tblOrdenes[[#This Row],[fecha_inicio]]="","",TODAY()-tblOrdenes[[#This Row],[fecha_inicio]])</f>
        <v/>
      </c>
      <c r="AD6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4" s="5">
        <f>IF(tblOrdenes[[#This Row],[backlog_habiles]]="","",IF(tblOrdenes[[#This Row],[backlog_habiles]]&lt;0,"FUTURO",IF(tblOrdenes[[#This Row],[backlog_habiles]]&gt;p_dias_backlog_max,"BACKLOG","MES CORRIENTE")))</f>
        <v/>
      </c>
      <c r="AF694" s="5">
        <f>IF(tblOrdenes[[#This Row],[backlog_habiles]]="",FALSE,AND(tblOrdenes[[#This Row],[backlog_habiles]]&gt;p_dias_backlog_min,tblOrdenes[[#This Row],[backlog_habiles]]&lt;=p_dias_backlog_max))</f>
        <v/>
      </c>
      <c r="AG694" s="4" t="n"/>
      <c r="AH6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4" s="18">
        <f>IF(tblOrdenes[[#This Row],[orden]]="","",_xlfn.XLOOKUP(tblOrdenes[[#This Row],[id_operacion]],tblEjecucion[id_operacion],tblEjecucion[precio],0))</f>
        <v/>
      </c>
      <c r="AL694" s="18">
        <f>IF(tblOrdenes[[#This Row],[orden]]="","",MAX(0,_xlfn.XLOOKUP(tblOrdenes[[#This Row],[id_operacion]],tblEjecucion[id_operacion],tblEjecucion[costo_plan_total],0)-tblOrdenes[[#This Row],[costo_servicio]]))</f>
        <v/>
      </c>
      <c r="AM694" s="18">
        <f>IF(tblOrdenes[[#This Row],[orden]]="","",tblOrdenes[[#This Row],[costo_servicio]]+tblOrdenes[[#This Row],[costo_materiales]])</f>
        <v/>
      </c>
      <c r="AN6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4" s="4" t="n"/>
      <c r="AP694" s="4" t="n"/>
      <c r="AQ694" s="4" t="n"/>
      <c r="AR694" s="5">
        <f>IF(tblOrdenes[[#This Row],[link_checklist]]="","",HYPERLINK(p_ruta_base_checklists&amp;tblOrdenes[[#This Row],[link_checklist]],"abrir"))</f>
        <v/>
      </c>
      <c r="AS694" s="4" t="n"/>
      <c r="AT694" s="5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22" t="n"/>
      <c r="K695" s="5" t="n"/>
      <c r="L695" s="18" t="n"/>
      <c r="M6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5">
        <f>IF(tblOrdenes[[#This Row],[fecha_inicio]]="","",YEAR(tblOrdenes[[#This Row],[fecha_inicio]]))</f>
        <v/>
      </c>
      <c r="Q695" s="5">
        <f>IF(tblOrdenes[[#This Row],[fecha_inicio]]="","",MONTH(tblOrdenes[[#This Row],[fecha_inicio]]))</f>
        <v/>
      </c>
      <c r="R695" s="5">
        <f>IF(tblOrdenes[[#This Row],[fecha_inicio]]="","",tblOrdenes[[#This Row],[anio]]&amp;"-"&amp;TEXT(tblOrdenes[[#This Row],[mes]],"00"))</f>
        <v/>
      </c>
      <c r="S695" s="5">
        <f>IF(tblOrdenes[[#This Row],[fecha_inicio]]="","",INDEX(lista_dias,WEEKDAY(tblOrdenes[[#This Row],[fecha_inicio]],2)))</f>
        <v/>
      </c>
      <c r="T6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5" s="5">
        <f>IF(tblOrdenes[[#This Row],[tipo_ot]]="","",_xlfn.XLOOKUP(tblOrdenes[[#This Row],[tipo_ot]],tblTiposOT[codigo],tblTiposOT[clasificacion],"sin_clasificar"))</f>
        <v/>
      </c>
      <c r="V6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5" s="5">
        <f>IF(tblOrdenes[[#This Row],[centro_costo]]="","",_xlfn.XLOOKUP(tblOrdenes[[#This Row],[centro_costo]],tblCECO[codigo],tblCECO[linea],"(sin catálogo)"))</f>
        <v/>
      </c>
      <c r="X695" s="5">
        <f>IF(tblOrdenes[[#This Row],[centro_costo]]="","",_xlfn.XLOOKUP(tblOrdenes[[#This Row],[centro_costo]],tblCECO[codigo],tblCECO[area],"(sin catálogo)"))</f>
        <v/>
      </c>
      <c r="Y6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5" s="5">
        <f>IF(tblOrdenes[[#This Row],[centro_costo]]="","",_xlfn.XLOOKUP(tblOrdenes[[#This Row],[centro_costo]],tblCECO[codigo],tblCECO[coordinador],"(sin catálogo)"))</f>
        <v/>
      </c>
      <c r="AA695" s="5">
        <f>IF(tblOrdenes[[#This Row],[puesto_trabajo]]="","",_xlfn.XLOOKUP(tblOrdenes[[#This Row],[puesto_trabajo]],tblPuestos[codigo],tblPuestos[especialidad],"(sin catálogo)"))</f>
        <v/>
      </c>
      <c r="AB695" s="5">
        <f>IF(tblOrdenes[[#This Row],[cod_actividad]]="","",_xlfn.XLOOKUP(tblOrdenes[[#This Row],[cod_actividad]],tblActividades[codigo],tblActividades[descripcion],"(sin catálogo)"))</f>
        <v/>
      </c>
      <c r="AC695" s="20">
        <f>IF(tblOrdenes[[#This Row],[fecha_inicio]]="","",TODAY()-tblOrdenes[[#This Row],[fecha_inicio]])</f>
        <v/>
      </c>
      <c r="AD6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5" s="5">
        <f>IF(tblOrdenes[[#This Row],[backlog_habiles]]="","",IF(tblOrdenes[[#This Row],[backlog_habiles]]&lt;0,"FUTURO",IF(tblOrdenes[[#This Row],[backlog_habiles]]&gt;p_dias_backlog_max,"BACKLOG","MES CORRIENTE")))</f>
        <v/>
      </c>
      <c r="AF695" s="5">
        <f>IF(tblOrdenes[[#This Row],[backlog_habiles]]="",FALSE,AND(tblOrdenes[[#This Row],[backlog_habiles]]&gt;p_dias_backlog_min,tblOrdenes[[#This Row],[backlog_habiles]]&lt;=p_dias_backlog_max))</f>
        <v/>
      </c>
      <c r="AG695" s="4" t="n"/>
      <c r="AH6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5" s="18">
        <f>IF(tblOrdenes[[#This Row],[orden]]="","",_xlfn.XLOOKUP(tblOrdenes[[#This Row],[id_operacion]],tblEjecucion[id_operacion],tblEjecucion[precio],0))</f>
        <v/>
      </c>
      <c r="AL695" s="18">
        <f>IF(tblOrdenes[[#This Row],[orden]]="","",MAX(0,_xlfn.XLOOKUP(tblOrdenes[[#This Row],[id_operacion]],tblEjecucion[id_operacion],tblEjecucion[costo_plan_total],0)-tblOrdenes[[#This Row],[costo_servicio]]))</f>
        <v/>
      </c>
      <c r="AM695" s="18">
        <f>IF(tblOrdenes[[#This Row],[orden]]="","",tblOrdenes[[#This Row],[costo_servicio]]+tblOrdenes[[#This Row],[costo_materiales]])</f>
        <v/>
      </c>
      <c r="AN6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5" s="4" t="n"/>
      <c r="AP695" s="4" t="n"/>
      <c r="AQ695" s="4" t="n"/>
      <c r="AR695" s="5">
        <f>IF(tblOrdenes[[#This Row],[link_checklist]]="","",HYPERLINK(p_ruta_base_checklists&amp;tblOrdenes[[#This Row],[link_checklist]],"abrir"))</f>
        <v/>
      </c>
      <c r="AS695" s="4" t="n"/>
      <c r="AT695" s="5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22" t="n"/>
      <c r="K696" s="5" t="n"/>
      <c r="L696" s="18" t="n"/>
      <c r="M6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5">
        <f>IF(tblOrdenes[[#This Row],[fecha_inicio]]="","",YEAR(tblOrdenes[[#This Row],[fecha_inicio]]))</f>
        <v/>
      </c>
      <c r="Q696" s="5">
        <f>IF(tblOrdenes[[#This Row],[fecha_inicio]]="","",MONTH(tblOrdenes[[#This Row],[fecha_inicio]]))</f>
        <v/>
      </c>
      <c r="R696" s="5">
        <f>IF(tblOrdenes[[#This Row],[fecha_inicio]]="","",tblOrdenes[[#This Row],[anio]]&amp;"-"&amp;TEXT(tblOrdenes[[#This Row],[mes]],"00"))</f>
        <v/>
      </c>
      <c r="S696" s="5">
        <f>IF(tblOrdenes[[#This Row],[fecha_inicio]]="","",INDEX(lista_dias,WEEKDAY(tblOrdenes[[#This Row],[fecha_inicio]],2)))</f>
        <v/>
      </c>
      <c r="T6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6" s="5">
        <f>IF(tblOrdenes[[#This Row],[tipo_ot]]="","",_xlfn.XLOOKUP(tblOrdenes[[#This Row],[tipo_ot]],tblTiposOT[codigo],tblTiposOT[clasificacion],"sin_clasificar"))</f>
        <v/>
      </c>
      <c r="V6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6" s="5">
        <f>IF(tblOrdenes[[#This Row],[centro_costo]]="","",_xlfn.XLOOKUP(tblOrdenes[[#This Row],[centro_costo]],tblCECO[codigo],tblCECO[linea],"(sin catálogo)"))</f>
        <v/>
      </c>
      <c r="X696" s="5">
        <f>IF(tblOrdenes[[#This Row],[centro_costo]]="","",_xlfn.XLOOKUP(tblOrdenes[[#This Row],[centro_costo]],tblCECO[codigo],tblCECO[area],"(sin catálogo)"))</f>
        <v/>
      </c>
      <c r="Y6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6" s="5">
        <f>IF(tblOrdenes[[#This Row],[centro_costo]]="","",_xlfn.XLOOKUP(tblOrdenes[[#This Row],[centro_costo]],tblCECO[codigo],tblCECO[coordinador],"(sin catálogo)"))</f>
        <v/>
      </c>
      <c r="AA696" s="5">
        <f>IF(tblOrdenes[[#This Row],[puesto_trabajo]]="","",_xlfn.XLOOKUP(tblOrdenes[[#This Row],[puesto_trabajo]],tblPuestos[codigo],tblPuestos[especialidad],"(sin catálogo)"))</f>
        <v/>
      </c>
      <c r="AB696" s="5">
        <f>IF(tblOrdenes[[#This Row],[cod_actividad]]="","",_xlfn.XLOOKUP(tblOrdenes[[#This Row],[cod_actividad]],tblActividades[codigo],tblActividades[descripcion],"(sin catálogo)"))</f>
        <v/>
      </c>
      <c r="AC696" s="20">
        <f>IF(tblOrdenes[[#This Row],[fecha_inicio]]="","",TODAY()-tblOrdenes[[#This Row],[fecha_inicio]])</f>
        <v/>
      </c>
      <c r="AD6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6" s="5">
        <f>IF(tblOrdenes[[#This Row],[backlog_habiles]]="","",IF(tblOrdenes[[#This Row],[backlog_habiles]]&lt;0,"FUTURO",IF(tblOrdenes[[#This Row],[backlog_habiles]]&gt;p_dias_backlog_max,"BACKLOG","MES CORRIENTE")))</f>
        <v/>
      </c>
      <c r="AF696" s="5">
        <f>IF(tblOrdenes[[#This Row],[backlog_habiles]]="",FALSE,AND(tblOrdenes[[#This Row],[backlog_habiles]]&gt;p_dias_backlog_min,tblOrdenes[[#This Row],[backlog_habiles]]&lt;=p_dias_backlog_max))</f>
        <v/>
      </c>
      <c r="AG696" s="4" t="n"/>
      <c r="AH6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6" s="18">
        <f>IF(tblOrdenes[[#This Row],[orden]]="","",_xlfn.XLOOKUP(tblOrdenes[[#This Row],[id_operacion]],tblEjecucion[id_operacion],tblEjecucion[precio],0))</f>
        <v/>
      </c>
      <c r="AL696" s="18">
        <f>IF(tblOrdenes[[#This Row],[orden]]="","",MAX(0,_xlfn.XLOOKUP(tblOrdenes[[#This Row],[id_operacion]],tblEjecucion[id_operacion],tblEjecucion[costo_plan_total],0)-tblOrdenes[[#This Row],[costo_servicio]]))</f>
        <v/>
      </c>
      <c r="AM696" s="18">
        <f>IF(tblOrdenes[[#This Row],[orden]]="","",tblOrdenes[[#This Row],[costo_servicio]]+tblOrdenes[[#This Row],[costo_materiales]])</f>
        <v/>
      </c>
      <c r="AN6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6" s="4" t="n"/>
      <c r="AP696" s="4" t="n"/>
      <c r="AQ696" s="4" t="n"/>
      <c r="AR696" s="5">
        <f>IF(tblOrdenes[[#This Row],[link_checklist]]="","",HYPERLINK(p_ruta_base_checklists&amp;tblOrdenes[[#This Row],[link_checklist]],"abrir"))</f>
        <v/>
      </c>
      <c r="AS696" s="4" t="n"/>
      <c r="AT696" s="5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22" t="n"/>
      <c r="K697" s="5" t="n"/>
      <c r="L697" s="18" t="n"/>
      <c r="M6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5">
        <f>IF(tblOrdenes[[#This Row],[fecha_inicio]]="","",YEAR(tblOrdenes[[#This Row],[fecha_inicio]]))</f>
        <v/>
      </c>
      <c r="Q697" s="5">
        <f>IF(tblOrdenes[[#This Row],[fecha_inicio]]="","",MONTH(tblOrdenes[[#This Row],[fecha_inicio]]))</f>
        <v/>
      </c>
      <c r="R697" s="5">
        <f>IF(tblOrdenes[[#This Row],[fecha_inicio]]="","",tblOrdenes[[#This Row],[anio]]&amp;"-"&amp;TEXT(tblOrdenes[[#This Row],[mes]],"00"))</f>
        <v/>
      </c>
      <c r="S697" s="5">
        <f>IF(tblOrdenes[[#This Row],[fecha_inicio]]="","",INDEX(lista_dias,WEEKDAY(tblOrdenes[[#This Row],[fecha_inicio]],2)))</f>
        <v/>
      </c>
      <c r="T6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7" s="5">
        <f>IF(tblOrdenes[[#This Row],[tipo_ot]]="","",_xlfn.XLOOKUP(tblOrdenes[[#This Row],[tipo_ot]],tblTiposOT[codigo],tblTiposOT[clasificacion],"sin_clasificar"))</f>
        <v/>
      </c>
      <c r="V6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7" s="5">
        <f>IF(tblOrdenes[[#This Row],[centro_costo]]="","",_xlfn.XLOOKUP(tblOrdenes[[#This Row],[centro_costo]],tblCECO[codigo],tblCECO[linea],"(sin catálogo)"))</f>
        <v/>
      </c>
      <c r="X697" s="5">
        <f>IF(tblOrdenes[[#This Row],[centro_costo]]="","",_xlfn.XLOOKUP(tblOrdenes[[#This Row],[centro_costo]],tblCECO[codigo],tblCECO[area],"(sin catálogo)"))</f>
        <v/>
      </c>
      <c r="Y6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7" s="5">
        <f>IF(tblOrdenes[[#This Row],[centro_costo]]="","",_xlfn.XLOOKUP(tblOrdenes[[#This Row],[centro_costo]],tblCECO[codigo],tblCECO[coordinador],"(sin catálogo)"))</f>
        <v/>
      </c>
      <c r="AA697" s="5">
        <f>IF(tblOrdenes[[#This Row],[puesto_trabajo]]="","",_xlfn.XLOOKUP(tblOrdenes[[#This Row],[puesto_trabajo]],tblPuestos[codigo],tblPuestos[especialidad],"(sin catálogo)"))</f>
        <v/>
      </c>
      <c r="AB697" s="5">
        <f>IF(tblOrdenes[[#This Row],[cod_actividad]]="","",_xlfn.XLOOKUP(tblOrdenes[[#This Row],[cod_actividad]],tblActividades[codigo],tblActividades[descripcion],"(sin catálogo)"))</f>
        <v/>
      </c>
      <c r="AC697" s="20">
        <f>IF(tblOrdenes[[#This Row],[fecha_inicio]]="","",TODAY()-tblOrdenes[[#This Row],[fecha_inicio]])</f>
        <v/>
      </c>
      <c r="AD6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7" s="5">
        <f>IF(tblOrdenes[[#This Row],[backlog_habiles]]="","",IF(tblOrdenes[[#This Row],[backlog_habiles]]&lt;0,"FUTURO",IF(tblOrdenes[[#This Row],[backlog_habiles]]&gt;p_dias_backlog_max,"BACKLOG","MES CORRIENTE")))</f>
        <v/>
      </c>
      <c r="AF697" s="5">
        <f>IF(tblOrdenes[[#This Row],[backlog_habiles]]="",FALSE,AND(tblOrdenes[[#This Row],[backlog_habiles]]&gt;p_dias_backlog_min,tblOrdenes[[#This Row],[backlog_habiles]]&lt;=p_dias_backlog_max))</f>
        <v/>
      </c>
      <c r="AG697" s="4" t="n"/>
      <c r="AH6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7" s="18">
        <f>IF(tblOrdenes[[#This Row],[orden]]="","",_xlfn.XLOOKUP(tblOrdenes[[#This Row],[id_operacion]],tblEjecucion[id_operacion],tblEjecucion[precio],0))</f>
        <v/>
      </c>
      <c r="AL697" s="18">
        <f>IF(tblOrdenes[[#This Row],[orden]]="","",MAX(0,_xlfn.XLOOKUP(tblOrdenes[[#This Row],[id_operacion]],tblEjecucion[id_operacion],tblEjecucion[costo_plan_total],0)-tblOrdenes[[#This Row],[costo_servicio]]))</f>
        <v/>
      </c>
      <c r="AM697" s="18">
        <f>IF(tblOrdenes[[#This Row],[orden]]="","",tblOrdenes[[#This Row],[costo_servicio]]+tblOrdenes[[#This Row],[costo_materiales]])</f>
        <v/>
      </c>
      <c r="AN6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7" s="4" t="n"/>
      <c r="AP697" s="4" t="n"/>
      <c r="AQ697" s="4" t="n"/>
      <c r="AR697" s="5">
        <f>IF(tblOrdenes[[#This Row],[link_checklist]]="","",HYPERLINK(p_ruta_base_checklists&amp;tblOrdenes[[#This Row],[link_checklist]],"abrir"))</f>
        <v/>
      </c>
      <c r="AS697" s="4" t="n"/>
      <c r="AT697" s="5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22" t="n"/>
      <c r="K698" s="5" t="n"/>
      <c r="L698" s="18" t="n"/>
      <c r="M6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5">
        <f>IF(tblOrdenes[[#This Row],[fecha_inicio]]="","",YEAR(tblOrdenes[[#This Row],[fecha_inicio]]))</f>
        <v/>
      </c>
      <c r="Q698" s="5">
        <f>IF(tblOrdenes[[#This Row],[fecha_inicio]]="","",MONTH(tblOrdenes[[#This Row],[fecha_inicio]]))</f>
        <v/>
      </c>
      <c r="R698" s="5">
        <f>IF(tblOrdenes[[#This Row],[fecha_inicio]]="","",tblOrdenes[[#This Row],[anio]]&amp;"-"&amp;TEXT(tblOrdenes[[#This Row],[mes]],"00"))</f>
        <v/>
      </c>
      <c r="S698" s="5">
        <f>IF(tblOrdenes[[#This Row],[fecha_inicio]]="","",INDEX(lista_dias,WEEKDAY(tblOrdenes[[#This Row],[fecha_inicio]],2)))</f>
        <v/>
      </c>
      <c r="T6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8" s="5">
        <f>IF(tblOrdenes[[#This Row],[tipo_ot]]="","",_xlfn.XLOOKUP(tblOrdenes[[#This Row],[tipo_ot]],tblTiposOT[codigo],tblTiposOT[clasificacion],"sin_clasificar"))</f>
        <v/>
      </c>
      <c r="V6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8" s="5">
        <f>IF(tblOrdenes[[#This Row],[centro_costo]]="","",_xlfn.XLOOKUP(tblOrdenes[[#This Row],[centro_costo]],tblCECO[codigo],tblCECO[linea],"(sin catálogo)"))</f>
        <v/>
      </c>
      <c r="X698" s="5">
        <f>IF(tblOrdenes[[#This Row],[centro_costo]]="","",_xlfn.XLOOKUP(tblOrdenes[[#This Row],[centro_costo]],tblCECO[codigo],tblCECO[area],"(sin catálogo)"))</f>
        <v/>
      </c>
      <c r="Y6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8" s="5">
        <f>IF(tblOrdenes[[#This Row],[centro_costo]]="","",_xlfn.XLOOKUP(tblOrdenes[[#This Row],[centro_costo]],tblCECO[codigo],tblCECO[coordinador],"(sin catálogo)"))</f>
        <v/>
      </c>
      <c r="AA698" s="5">
        <f>IF(tblOrdenes[[#This Row],[puesto_trabajo]]="","",_xlfn.XLOOKUP(tblOrdenes[[#This Row],[puesto_trabajo]],tblPuestos[codigo],tblPuestos[especialidad],"(sin catálogo)"))</f>
        <v/>
      </c>
      <c r="AB698" s="5">
        <f>IF(tblOrdenes[[#This Row],[cod_actividad]]="","",_xlfn.XLOOKUP(tblOrdenes[[#This Row],[cod_actividad]],tblActividades[codigo],tblActividades[descripcion],"(sin catálogo)"))</f>
        <v/>
      </c>
      <c r="AC698" s="20">
        <f>IF(tblOrdenes[[#This Row],[fecha_inicio]]="","",TODAY()-tblOrdenes[[#This Row],[fecha_inicio]])</f>
        <v/>
      </c>
      <c r="AD6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8" s="5">
        <f>IF(tblOrdenes[[#This Row],[backlog_habiles]]="","",IF(tblOrdenes[[#This Row],[backlog_habiles]]&lt;0,"FUTURO",IF(tblOrdenes[[#This Row],[backlog_habiles]]&gt;p_dias_backlog_max,"BACKLOG","MES CORRIENTE")))</f>
        <v/>
      </c>
      <c r="AF698" s="5">
        <f>IF(tblOrdenes[[#This Row],[backlog_habiles]]="",FALSE,AND(tblOrdenes[[#This Row],[backlog_habiles]]&gt;p_dias_backlog_min,tblOrdenes[[#This Row],[backlog_habiles]]&lt;=p_dias_backlog_max))</f>
        <v/>
      </c>
      <c r="AG698" s="4" t="n"/>
      <c r="AH6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8" s="18">
        <f>IF(tblOrdenes[[#This Row],[orden]]="","",_xlfn.XLOOKUP(tblOrdenes[[#This Row],[id_operacion]],tblEjecucion[id_operacion],tblEjecucion[precio],0))</f>
        <v/>
      </c>
      <c r="AL698" s="18">
        <f>IF(tblOrdenes[[#This Row],[orden]]="","",MAX(0,_xlfn.XLOOKUP(tblOrdenes[[#This Row],[id_operacion]],tblEjecucion[id_operacion],tblEjecucion[costo_plan_total],0)-tblOrdenes[[#This Row],[costo_servicio]]))</f>
        <v/>
      </c>
      <c r="AM698" s="18">
        <f>IF(tblOrdenes[[#This Row],[orden]]="","",tblOrdenes[[#This Row],[costo_servicio]]+tblOrdenes[[#This Row],[costo_materiales]])</f>
        <v/>
      </c>
      <c r="AN6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8" s="4" t="n"/>
      <c r="AP698" s="4" t="n"/>
      <c r="AQ698" s="4" t="n"/>
      <c r="AR698" s="5">
        <f>IF(tblOrdenes[[#This Row],[link_checklist]]="","",HYPERLINK(p_ruta_base_checklists&amp;tblOrdenes[[#This Row],[link_checklist]],"abrir"))</f>
        <v/>
      </c>
      <c r="AS698" s="4" t="n"/>
      <c r="AT698" s="5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22" t="n"/>
      <c r="K699" s="5" t="n"/>
      <c r="L699" s="18" t="n"/>
      <c r="M6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5">
        <f>IF(tblOrdenes[[#This Row],[fecha_inicio]]="","",YEAR(tblOrdenes[[#This Row],[fecha_inicio]]))</f>
        <v/>
      </c>
      <c r="Q699" s="5">
        <f>IF(tblOrdenes[[#This Row],[fecha_inicio]]="","",MONTH(tblOrdenes[[#This Row],[fecha_inicio]]))</f>
        <v/>
      </c>
      <c r="R699" s="5">
        <f>IF(tblOrdenes[[#This Row],[fecha_inicio]]="","",tblOrdenes[[#This Row],[anio]]&amp;"-"&amp;TEXT(tblOrdenes[[#This Row],[mes]],"00"))</f>
        <v/>
      </c>
      <c r="S699" s="5">
        <f>IF(tblOrdenes[[#This Row],[fecha_inicio]]="","",INDEX(lista_dias,WEEKDAY(tblOrdenes[[#This Row],[fecha_inicio]],2)))</f>
        <v/>
      </c>
      <c r="T6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9" s="5">
        <f>IF(tblOrdenes[[#This Row],[tipo_ot]]="","",_xlfn.XLOOKUP(tblOrdenes[[#This Row],[tipo_ot]],tblTiposOT[codigo],tblTiposOT[clasificacion],"sin_clasificar"))</f>
        <v/>
      </c>
      <c r="V6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9" s="5">
        <f>IF(tblOrdenes[[#This Row],[centro_costo]]="","",_xlfn.XLOOKUP(tblOrdenes[[#This Row],[centro_costo]],tblCECO[codigo],tblCECO[linea],"(sin catálogo)"))</f>
        <v/>
      </c>
      <c r="X699" s="5">
        <f>IF(tblOrdenes[[#This Row],[centro_costo]]="","",_xlfn.XLOOKUP(tblOrdenes[[#This Row],[centro_costo]],tblCECO[codigo],tblCECO[area],"(sin catálogo)"))</f>
        <v/>
      </c>
      <c r="Y6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699" s="5">
        <f>IF(tblOrdenes[[#This Row],[centro_costo]]="","",_xlfn.XLOOKUP(tblOrdenes[[#This Row],[centro_costo]],tblCECO[codigo],tblCECO[coordinador],"(sin catálogo)"))</f>
        <v/>
      </c>
      <c r="AA699" s="5">
        <f>IF(tblOrdenes[[#This Row],[puesto_trabajo]]="","",_xlfn.XLOOKUP(tblOrdenes[[#This Row],[puesto_trabajo]],tblPuestos[codigo],tblPuestos[especialidad],"(sin catálogo)"))</f>
        <v/>
      </c>
      <c r="AB699" s="5">
        <f>IF(tblOrdenes[[#This Row],[cod_actividad]]="","",_xlfn.XLOOKUP(tblOrdenes[[#This Row],[cod_actividad]],tblActividades[codigo],tblActividades[descripcion],"(sin catálogo)"))</f>
        <v/>
      </c>
      <c r="AC699" s="20">
        <f>IF(tblOrdenes[[#This Row],[fecha_inicio]]="","",TODAY()-tblOrdenes[[#This Row],[fecha_inicio]])</f>
        <v/>
      </c>
      <c r="AD6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699" s="5">
        <f>IF(tblOrdenes[[#This Row],[backlog_habiles]]="","",IF(tblOrdenes[[#This Row],[backlog_habiles]]&lt;0,"FUTURO",IF(tblOrdenes[[#This Row],[backlog_habiles]]&gt;p_dias_backlog_max,"BACKLOG","MES CORRIENTE")))</f>
        <v/>
      </c>
      <c r="AF699" s="5">
        <f>IF(tblOrdenes[[#This Row],[backlog_habiles]]="",FALSE,AND(tblOrdenes[[#This Row],[backlog_habiles]]&gt;p_dias_backlog_min,tblOrdenes[[#This Row],[backlog_habiles]]&lt;=p_dias_backlog_max))</f>
        <v/>
      </c>
      <c r="AG699" s="4" t="n"/>
      <c r="AH6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6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6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699" s="18">
        <f>IF(tblOrdenes[[#This Row],[orden]]="","",_xlfn.XLOOKUP(tblOrdenes[[#This Row],[id_operacion]],tblEjecucion[id_operacion],tblEjecucion[precio],0))</f>
        <v/>
      </c>
      <c r="AL699" s="18">
        <f>IF(tblOrdenes[[#This Row],[orden]]="","",MAX(0,_xlfn.XLOOKUP(tblOrdenes[[#This Row],[id_operacion]],tblEjecucion[id_operacion],tblEjecucion[costo_plan_total],0)-tblOrdenes[[#This Row],[costo_servicio]]))</f>
        <v/>
      </c>
      <c r="AM699" s="18">
        <f>IF(tblOrdenes[[#This Row],[orden]]="","",tblOrdenes[[#This Row],[costo_servicio]]+tblOrdenes[[#This Row],[costo_materiales]])</f>
        <v/>
      </c>
      <c r="AN6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699" s="4" t="n"/>
      <c r="AP699" s="4" t="n"/>
      <c r="AQ699" s="4" t="n"/>
      <c r="AR699" s="5">
        <f>IF(tblOrdenes[[#This Row],[link_checklist]]="","",HYPERLINK(p_ruta_base_checklists&amp;tblOrdenes[[#This Row],[link_checklist]],"abrir"))</f>
        <v/>
      </c>
      <c r="AS699" s="4" t="n"/>
      <c r="AT699" s="5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22" t="n"/>
      <c r="K700" s="5" t="n"/>
      <c r="L700" s="18" t="n"/>
      <c r="M7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5">
        <f>IF(tblOrdenes[[#This Row],[fecha_inicio]]="","",YEAR(tblOrdenes[[#This Row],[fecha_inicio]]))</f>
        <v/>
      </c>
      <c r="Q700" s="5">
        <f>IF(tblOrdenes[[#This Row],[fecha_inicio]]="","",MONTH(tblOrdenes[[#This Row],[fecha_inicio]]))</f>
        <v/>
      </c>
      <c r="R700" s="5">
        <f>IF(tblOrdenes[[#This Row],[fecha_inicio]]="","",tblOrdenes[[#This Row],[anio]]&amp;"-"&amp;TEXT(tblOrdenes[[#This Row],[mes]],"00"))</f>
        <v/>
      </c>
      <c r="S700" s="5">
        <f>IF(tblOrdenes[[#This Row],[fecha_inicio]]="","",INDEX(lista_dias,WEEKDAY(tblOrdenes[[#This Row],[fecha_inicio]],2)))</f>
        <v/>
      </c>
      <c r="T7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0" s="5">
        <f>IF(tblOrdenes[[#This Row],[tipo_ot]]="","",_xlfn.XLOOKUP(tblOrdenes[[#This Row],[tipo_ot]],tblTiposOT[codigo],tblTiposOT[clasificacion],"sin_clasificar"))</f>
        <v/>
      </c>
      <c r="V7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0" s="5">
        <f>IF(tblOrdenes[[#This Row],[centro_costo]]="","",_xlfn.XLOOKUP(tblOrdenes[[#This Row],[centro_costo]],tblCECO[codigo],tblCECO[linea],"(sin catálogo)"))</f>
        <v/>
      </c>
      <c r="X700" s="5">
        <f>IF(tblOrdenes[[#This Row],[centro_costo]]="","",_xlfn.XLOOKUP(tblOrdenes[[#This Row],[centro_costo]],tblCECO[codigo],tblCECO[area],"(sin catálogo)"))</f>
        <v/>
      </c>
      <c r="Y7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0" s="5">
        <f>IF(tblOrdenes[[#This Row],[centro_costo]]="","",_xlfn.XLOOKUP(tblOrdenes[[#This Row],[centro_costo]],tblCECO[codigo],tblCECO[coordinador],"(sin catálogo)"))</f>
        <v/>
      </c>
      <c r="AA700" s="5">
        <f>IF(tblOrdenes[[#This Row],[puesto_trabajo]]="","",_xlfn.XLOOKUP(tblOrdenes[[#This Row],[puesto_trabajo]],tblPuestos[codigo],tblPuestos[especialidad],"(sin catálogo)"))</f>
        <v/>
      </c>
      <c r="AB700" s="5">
        <f>IF(tblOrdenes[[#This Row],[cod_actividad]]="","",_xlfn.XLOOKUP(tblOrdenes[[#This Row],[cod_actividad]],tblActividades[codigo],tblActividades[descripcion],"(sin catálogo)"))</f>
        <v/>
      </c>
      <c r="AC700" s="20">
        <f>IF(tblOrdenes[[#This Row],[fecha_inicio]]="","",TODAY()-tblOrdenes[[#This Row],[fecha_inicio]])</f>
        <v/>
      </c>
      <c r="AD7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0" s="5">
        <f>IF(tblOrdenes[[#This Row],[backlog_habiles]]="","",IF(tblOrdenes[[#This Row],[backlog_habiles]]&lt;0,"FUTURO",IF(tblOrdenes[[#This Row],[backlog_habiles]]&gt;p_dias_backlog_max,"BACKLOG","MES CORRIENTE")))</f>
        <v/>
      </c>
      <c r="AF700" s="5">
        <f>IF(tblOrdenes[[#This Row],[backlog_habiles]]="",FALSE,AND(tblOrdenes[[#This Row],[backlog_habiles]]&gt;p_dias_backlog_min,tblOrdenes[[#This Row],[backlog_habiles]]&lt;=p_dias_backlog_max))</f>
        <v/>
      </c>
      <c r="AG700" s="4" t="n"/>
      <c r="AH7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0" s="18">
        <f>IF(tblOrdenes[[#This Row],[orden]]="","",_xlfn.XLOOKUP(tblOrdenes[[#This Row],[id_operacion]],tblEjecucion[id_operacion],tblEjecucion[precio],0))</f>
        <v/>
      </c>
      <c r="AL700" s="18">
        <f>IF(tblOrdenes[[#This Row],[orden]]="","",MAX(0,_xlfn.XLOOKUP(tblOrdenes[[#This Row],[id_operacion]],tblEjecucion[id_operacion],tblEjecucion[costo_plan_total],0)-tblOrdenes[[#This Row],[costo_servicio]]))</f>
        <v/>
      </c>
      <c r="AM700" s="18">
        <f>IF(tblOrdenes[[#This Row],[orden]]="","",tblOrdenes[[#This Row],[costo_servicio]]+tblOrdenes[[#This Row],[costo_materiales]])</f>
        <v/>
      </c>
      <c r="AN7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0" s="4" t="n"/>
      <c r="AP700" s="4" t="n"/>
      <c r="AQ700" s="4" t="n"/>
      <c r="AR700" s="5">
        <f>IF(tblOrdenes[[#This Row],[link_checklist]]="","",HYPERLINK(p_ruta_base_checklists&amp;tblOrdenes[[#This Row],[link_checklist]],"abrir"))</f>
        <v/>
      </c>
      <c r="AS700" s="4" t="n"/>
      <c r="AT700" s="5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22" t="n"/>
      <c r="K701" s="5" t="n"/>
      <c r="L701" s="18" t="n"/>
      <c r="M7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5">
        <f>IF(tblOrdenes[[#This Row],[fecha_inicio]]="","",YEAR(tblOrdenes[[#This Row],[fecha_inicio]]))</f>
        <v/>
      </c>
      <c r="Q701" s="5">
        <f>IF(tblOrdenes[[#This Row],[fecha_inicio]]="","",MONTH(tblOrdenes[[#This Row],[fecha_inicio]]))</f>
        <v/>
      </c>
      <c r="R701" s="5">
        <f>IF(tblOrdenes[[#This Row],[fecha_inicio]]="","",tblOrdenes[[#This Row],[anio]]&amp;"-"&amp;TEXT(tblOrdenes[[#This Row],[mes]],"00"))</f>
        <v/>
      </c>
      <c r="S701" s="5">
        <f>IF(tblOrdenes[[#This Row],[fecha_inicio]]="","",INDEX(lista_dias,WEEKDAY(tblOrdenes[[#This Row],[fecha_inicio]],2)))</f>
        <v/>
      </c>
      <c r="T7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1" s="5">
        <f>IF(tblOrdenes[[#This Row],[tipo_ot]]="","",_xlfn.XLOOKUP(tblOrdenes[[#This Row],[tipo_ot]],tblTiposOT[codigo],tblTiposOT[clasificacion],"sin_clasificar"))</f>
        <v/>
      </c>
      <c r="V7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1" s="5">
        <f>IF(tblOrdenes[[#This Row],[centro_costo]]="","",_xlfn.XLOOKUP(tblOrdenes[[#This Row],[centro_costo]],tblCECO[codigo],tblCECO[linea],"(sin catálogo)"))</f>
        <v/>
      </c>
      <c r="X701" s="5">
        <f>IF(tblOrdenes[[#This Row],[centro_costo]]="","",_xlfn.XLOOKUP(tblOrdenes[[#This Row],[centro_costo]],tblCECO[codigo],tblCECO[area],"(sin catálogo)"))</f>
        <v/>
      </c>
      <c r="Y7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1" s="5">
        <f>IF(tblOrdenes[[#This Row],[centro_costo]]="","",_xlfn.XLOOKUP(tblOrdenes[[#This Row],[centro_costo]],tblCECO[codigo],tblCECO[coordinador],"(sin catálogo)"))</f>
        <v/>
      </c>
      <c r="AA701" s="5">
        <f>IF(tblOrdenes[[#This Row],[puesto_trabajo]]="","",_xlfn.XLOOKUP(tblOrdenes[[#This Row],[puesto_trabajo]],tblPuestos[codigo],tblPuestos[especialidad],"(sin catálogo)"))</f>
        <v/>
      </c>
      <c r="AB701" s="5">
        <f>IF(tblOrdenes[[#This Row],[cod_actividad]]="","",_xlfn.XLOOKUP(tblOrdenes[[#This Row],[cod_actividad]],tblActividades[codigo],tblActividades[descripcion],"(sin catálogo)"))</f>
        <v/>
      </c>
      <c r="AC701" s="20">
        <f>IF(tblOrdenes[[#This Row],[fecha_inicio]]="","",TODAY()-tblOrdenes[[#This Row],[fecha_inicio]])</f>
        <v/>
      </c>
      <c r="AD7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1" s="5">
        <f>IF(tblOrdenes[[#This Row],[backlog_habiles]]="","",IF(tblOrdenes[[#This Row],[backlog_habiles]]&lt;0,"FUTURO",IF(tblOrdenes[[#This Row],[backlog_habiles]]&gt;p_dias_backlog_max,"BACKLOG","MES CORRIENTE")))</f>
        <v/>
      </c>
      <c r="AF701" s="5">
        <f>IF(tblOrdenes[[#This Row],[backlog_habiles]]="",FALSE,AND(tblOrdenes[[#This Row],[backlog_habiles]]&gt;p_dias_backlog_min,tblOrdenes[[#This Row],[backlog_habiles]]&lt;=p_dias_backlog_max))</f>
        <v/>
      </c>
      <c r="AG701" s="4" t="n"/>
      <c r="AH7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1" s="18">
        <f>IF(tblOrdenes[[#This Row],[orden]]="","",_xlfn.XLOOKUP(tblOrdenes[[#This Row],[id_operacion]],tblEjecucion[id_operacion],tblEjecucion[precio],0))</f>
        <v/>
      </c>
      <c r="AL701" s="18">
        <f>IF(tblOrdenes[[#This Row],[orden]]="","",MAX(0,_xlfn.XLOOKUP(tblOrdenes[[#This Row],[id_operacion]],tblEjecucion[id_operacion],tblEjecucion[costo_plan_total],0)-tblOrdenes[[#This Row],[costo_servicio]]))</f>
        <v/>
      </c>
      <c r="AM701" s="18">
        <f>IF(tblOrdenes[[#This Row],[orden]]="","",tblOrdenes[[#This Row],[costo_servicio]]+tblOrdenes[[#This Row],[costo_materiales]])</f>
        <v/>
      </c>
      <c r="AN7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1" s="4" t="n"/>
      <c r="AP701" s="4" t="n"/>
      <c r="AQ701" s="4" t="n"/>
      <c r="AR701" s="5">
        <f>IF(tblOrdenes[[#This Row],[link_checklist]]="","",HYPERLINK(p_ruta_base_checklists&amp;tblOrdenes[[#This Row],[link_checklist]],"abrir"))</f>
        <v/>
      </c>
      <c r="AS701" s="4" t="n"/>
      <c r="AT701" s="5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22" t="n"/>
      <c r="K702" s="5" t="n"/>
      <c r="L702" s="18" t="n"/>
      <c r="M7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5">
        <f>IF(tblOrdenes[[#This Row],[fecha_inicio]]="","",YEAR(tblOrdenes[[#This Row],[fecha_inicio]]))</f>
        <v/>
      </c>
      <c r="Q702" s="5">
        <f>IF(tblOrdenes[[#This Row],[fecha_inicio]]="","",MONTH(tblOrdenes[[#This Row],[fecha_inicio]]))</f>
        <v/>
      </c>
      <c r="R702" s="5">
        <f>IF(tblOrdenes[[#This Row],[fecha_inicio]]="","",tblOrdenes[[#This Row],[anio]]&amp;"-"&amp;TEXT(tblOrdenes[[#This Row],[mes]],"00"))</f>
        <v/>
      </c>
      <c r="S702" s="5">
        <f>IF(tblOrdenes[[#This Row],[fecha_inicio]]="","",INDEX(lista_dias,WEEKDAY(tblOrdenes[[#This Row],[fecha_inicio]],2)))</f>
        <v/>
      </c>
      <c r="T7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2" s="5">
        <f>IF(tblOrdenes[[#This Row],[tipo_ot]]="","",_xlfn.XLOOKUP(tblOrdenes[[#This Row],[tipo_ot]],tblTiposOT[codigo],tblTiposOT[clasificacion],"sin_clasificar"))</f>
        <v/>
      </c>
      <c r="V7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2" s="5">
        <f>IF(tblOrdenes[[#This Row],[centro_costo]]="","",_xlfn.XLOOKUP(tblOrdenes[[#This Row],[centro_costo]],tblCECO[codigo],tblCECO[linea],"(sin catálogo)"))</f>
        <v/>
      </c>
      <c r="X702" s="5">
        <f>IF(tblOrdenes[[#This Row],[centro_costo]]="","",_xlfn.XLOOKUP(tblOrdenes[[#This Row],[centro_costo]],tblCECO[codigo],tblCECO[area],"(sin catálogo)"))</f>
        <v/>
      </c>
      <c r="Y7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2" s="5">
        <f>IF(tblOrdenes[[#This Row],[centro_costo]]="","",_xlfn.XLOOKUP(tblOrdenes[[#This Row],[centro_costo]],tblCECO[codigo],tblCECO[coordinador],"(sin catálogo)"))</f>
        <v/>
      </c>
      <c r="AA702" s="5">
        <f>IF(tblOrdenes[[#This Row],[puesto_trabajo]]="","",_xlfn.XLOOKUP(tblOrdenes[[#This Row],[puesto_trabajo]],tblPuestos[codigo],tblPuestos[especialidad],"(sin catálogo)"))</f>
        <v/>
      </c>
      <c r="AB702" s="5">
        <f>IF(tblOrdenes[[#This Row],[cod_actividad]]="","",_xlfn.XLOOKUP(tblOrdenes[[#This Row],[cod_actividad]],tblActividades[codigo],tblActividades[descripcion],"(sin catálogo)"))</f>
        <v/>
      </c>
      <c r="AC702" s="20">
        <f>IF(tblOrdenes[[#This Row],[fecha_inicio]]="","",TODAY()-tblOrdenes[[#This Row],[fecha_inicio]])</f>
        <v/>
      </c>
      <c r="AD7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2" s="5">
        <f>IF(tblOrdenes[[#This Row],[backlog_habiles]]="","",IF(tblOrdenes[[#This Row],[backlog_habiles]]&lt;0,"FUTURO",IF(tblOrdenes[[#This Row],[backlog_habiles]]&gt;p_dias_backlog_max,"BACKLOG","MES CORRIENTE")))</f>
        <v/>
      </c>
      <c r="AF702" s="5">
        <f>IF(tblOrdenes[[#This Row],[backlog_habiles]]="",FALSE,AND(tblOrdenes[[#This Row],[backlog_habiles]]&gt;p_dias_backlog_min,tblOrdenes[[#This Row],[backlog_habiles]]&lt;=p_dias_backlog_max))</f>
        <v/>
      </c>
      <c r="AG702" s="4" t="n"/>
      <c r="AH7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2" s="18">
        <f>IF(tblOrdenes[[#This Row],[orden]]="","",_xlfn.XLOOKUP(tblOrdenes[[#This Row],[id_operacion]],tblEjecucion[id_operacion],tblEjecucion[precio],0))</f>
        <v/>
      </c>
      <c r="AL702" s="18">
        <f>IF(tblOrdenes[[#This Row],[orden]]="","",MAX(0,_xlfn.XLOOKUP(tblOrdenes[[#This Row],[id_operacion]],tblEjecucion[id_operacion],tblEjecucion[costo_plan_total],0)-tblOrdenes[[#This Row],[costo_servicio]]))</f>
        <v/>
      </c>
      <c r="AM702" s="18">
        <f>IF(tblOrdenes[[#This Row],[orden]]="","",tblOrdenes[[#This Row],[costo_servicio]]+tblOrdenes[[#This Row],[costo_materiales]])</f>
        <v/>
      </c>
      <c r="AN7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2" s="4" t="n"/>
      <c r="AP702" s="4" t="n"/>
      <c r="AQ702" s="4" t="n"/>
      <c r="AR702" s="5">
        <f>IF(tblOrdenes[[#This Row],[link_checklist]]="","",HYPERLINK(p_ruta_base_checklists&amp;tblOrdenes[[#This Row],[link_checklist]],"abrir"))</f>
        <v/>
      </c>
      <c r="AS702" s="4" t="n"/>
      <c r="AT702" s="5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22" t="n"/>
      <c r="K703" s="5" t="n"/>
      <c r="L703" s="18" t="n"/>
      <c r="M7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5">
        <f>IF(tblOrdenes[[#This Row],[fecha_inicio]]="","",YEAR(tblOrdenes[[#This Row],[fecha_inicio]]))</f>
        <v/>
      </c>
      <c r="Q703" s="5">
        <f>IF(tblOrdenes[[#This Row],[fecha_inicio]]="","",MONTH(tblOrdenes[[#This Row],[fecha_inicio]]))</f>
        <v/>
      </c>
      <c r="R703" s="5">
        <f>IF(tblOrdenes[[#This Row],[fecha_inicio]]="","",tblOrdenes[[#This Row],[anio]]&amp;"-"&amp;TEXT(tblOrdenes[[#This Row],[mes]],"00"))</f>
        <v/>
      </c>
      <c r="S703" s="5">
        <f>IF(tblOrdenes[[#This Row],[fecha_inicio]]="","",INDEX(lista_dias,WEEKDAY(tblOrdenes[[#This Row],[fecha_inicio]],2)))</f>
        <v/>
      </c>
      <c r="T7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3" s="5">
        <f>IF(tblOrdenes[[#This Row],[tipo_ot]]="","",_xlfn.XLOOKUP(tblOrdenes[[#This Row],[tipo_ot]],tblTiposOT[codigo],tblTiposOT[clasificacion],"sin_clasificar"))</f>
        <v/>
      </c>
      <c r="V7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3" s="5">
        <f>IF(tblOrdenes[[#This Row],[centro_costo]]="","",_xlfn.XLOOKUP(tblOrdenes[[#This Row],[centro_costo]],tblCECO[codigo],tblCECO[linea],"(sin catálogo)"))</f>
        <v/>
      </c>
      <c r="X703" s="5">
        <f>IF(tblOrdenes[[#This Row],[centro_costo]]="","",_xlfn.XLOOKUP(tblOrdenes[[#This Row],[centro_costo]],tblCECO[codigo],tblCECO[area],"(sin catálogo)"))</f>
        <v/>
      </c>
      <c r="Y7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3" s="5">
        <f>IF(tblOrdenes[[#This Row],[centro_costo]]="","",_xlfn.XLOOKUP(tblOrdenes[[#This Row],[centro_costo]],tblCECO[codigo],tblCECO[coordinador],"(sin catálogo)"))</f>
        <v/>
      </c>
      <c r="AA703" s="5">
        <f>IF(tblOrdenes[[#This Row],[puesto_trabajo]]="","",_xlfn.XLOOKUP(tblOrdenes[[#This Row],[puesto_trabajo]],tblPuestos[codigo],tblPuestos[especialidad],"(sin catálogo)"))</f>
        <v/>
      </c>
      <c r="AB703" s="5">
        <f>IF(tblOrdenes[[#This Row],[cod_actividad]]="","",_xlfn.XLOOKUP(tblOrdenes[[#This Row],[cod_actividad]],tblActividades[codigo],tblActividades[descripcion],"(sin catálogo)"))</f>
        <v/>
      </c>
      <c r="AC703" s="20">
        <f>IF(tblOrdenes[[#This Row],[fecha_inicio]]="","",TODAY()-tblOrdenes[[#This Row],[fecha_inicio]])</f>
        <v/>
      </c>
      <c r="AD7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3" s="5">
        <f>IF(tblOrdenes[[#This Row],[backlog_habiles]]="","",IF(tblOrdenes[[#This Row],[backlog_habiles]]&lt;0,"FUTURO",IF(tblOrdenes[[#This Row],[backlog_habiles]]&gt;p_dias_backlog_max,"BACKLOG","MES CORRIENTE")))</f>
        <v/>
      </c>
      <c r="AF703" s="5">
        <f>IF(tblOrdenes[[#This Row],[backlog_habiles]]="",FALSE,AND(tblOrdenes[[#This Row],[backlog_habiles]]&gt;p_dias_backlog_min,tblOrdenes[[#This Row],[backlog_habiles]]&lt;=p_dias_backlog_max))</f>
        <v/>
      </c>
      <c r="AG703" s="4" t="n"/>
      <c r="AH7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3" s="18">
        <f>IF(tblOrdenes[[#This Row],[orden]]="","",_xlfn.XLOOKUP(tblOrdenes[[#This Row],[id_operacion]],tblEjecucion[id_operacion],tblEjecucion[precio],0))</f>
        <v/>
      </c>
      <c r="AL703" s="18">
        <f>IF(tblOrdenes[[#This Row],[orden]]="","",MAX(0,_xlfn.XLOOKUP(tblOrdenes[[#This Row],[id_operacion]],tblEjecucion[id_operacion],tblEjecucion[costo_plan_total],0)-tblOrdenes[[#This Row],[costo_servicio]]))</f>
        <v/>
      </c>
      <c r="AM703" s="18">
        <f>IF(tblOrdenes[[#This Row],[orden]]="","",tblOrdenes[[#This Row],[costo_servicio]]+tblOrdenes[[#This Row],[costo_materiales]])</f>
        <v/>
      </c>
      <c r="AN7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3" s="4" t="n"/>
      <c r="AP703" s="4" t="n"/>
      <c r="AQ703" s="4" t="n"/>
      <c r="AR703" s="5">
        <f>IF(tblOrdenes[[#This Row],[link_checklist]]="","",HYPERLINK(p_ruta_base_checklists&amp;tblOrdenes[[#This Row],[link_checklist]],"abrir"))</f>
        <v/>
      </c>
      <c r="AS703" s="4" t="n"/>
      <c r="AT703" s="5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22" t="n"/>
      <c r="K704" s="5" t="n"/>
      <c r="L704" s="18" t="n"/>
      <c r="M7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5">
        <f>IF(tblOrdenes[[#This Row],[fecha_inicio]]="","",YEAR(tblOrdenes[[#This Row],[fecha_inicio]]))</f>
        <v/>
      </c>
      <c r="Q704" s="5">
        <f>IF(tblOrdenes[[#This Row],[fecha_inicio]]="","",MONTH(tblOrdenes[[#This Row],[fecha_inicio]]))</f>
        <v/>
      </c>
      <c r="R704" s="5">
        <f>IF(tblOrdenes[[#This Row],[fecha_inicio]]="","",tblOrdenes[[#This Row],[anio]]&amp;"-"&amp;TEXT(tblOrdenes[[#This Row],[mes]],"00"))</f>
        <v/>
      </c>
      <c r="S704" s="5">
        <f>IF(tblOrdenes[[#This Row],[fecha_inicio]]="","",INDEX(lista_dias,WEEKDAY(tblOrdenes[[#This Row],[fecha_inicio]],2)))</f>
        <v/>
      </c>
      <c r="T7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4" s="5">
        <f>IF(tblOrdenes[[#This Row],[tipo_ot]]="","",_xlfn.XLOOKUP(tblOrdenes[[#This Row],[tipo_ot]],tblTiposOT[codigo],tblTiposOT[clasificacion],"sin_clasificar"))</f>
        <v/>
      </c>
      <c r="V7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4" s="5">
        <f>IF(tblOrdenes[[#This Row],[centro_costo]]="","",_xlfn.XLOOKUP(tblOrdenes[[#This Row],[centro_costo]],tblCECO[codigo],tblCECO[linea],"(sin catálogo)"))</f>
        <v/>
      </c>
      <c r="X704" s="5">
        <f>IF(tblOrdenes[[#This Row],[centro_costo]]="","",_xlfn.XLOOKUP(tblOrdenes[[#This Row],[centro_costo]],tblCECO[codigo],tblCECO[area],"(sin catálogo)"))</f>
        <v/>
      </c>
      <c r="Y7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4" s="5">
        <f>IF(tblOrdenes[[#This Row],[centro_costo]]="","",_xlfn.XLOOKUP(tblOrdenes[[#This Row],[centro_costo]],tblCECO[codigo],tblCECO[coordinador],"(sin catálogo)"))</f>
        <v/>
      </c>
      <c r="AA704" s="5">
        <f>IF(tblOrdenes[[#This Row],[puesto_trabajo]]="","",_xlfn.XLOOKUP(tblOrdenes[[#This Row],[puesto_trabajo]],tblPuestos[codigo],tblPuestos[especialidad],"(sin catálogo)"))</f>
        <v/>
      </c>
      <c r="AB704" s="5">
        <f>IF(tblOrdenes[[#This Row],[cod_actividad]]="","",_xlfn.XLOOKUP(tblOrdenes[[#This Row],[cod_actividad]],tblActividades[codigo],tblActividades[descripcion],"(sin catálogo)"))</f>
        <v/>
      </c>
      <c r="AC704" s="20">
        <f>IF(tblOrdenes[[#This Row],[fecha_inicio]]="","",TODAY()-tblOrdenes[[#This Row],[fecha_inicio]])</f>
        <v/>
      </c>
      <c r="AD7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4" s="5">
        <f>IF(tblOrdenes[[#This Row],[backlog_habiles]]="","",IF(tblOrdenes[[#This Row],[backlog_habiles]]&lt;0,"FUTURO",IF(tblOrdenes[[#This Row],[backlog_habiles]]&gt;p_dias_backlog_max,"BACKLOG","MES CORRIENTE")))</f>
        <v/>
      </c>
      <c r="AF704" s="5">
        <f>IF(tblOrdenes[[#This Row],[backlog_habiles]]="",FALSE,AND(tblOrdenes[[#This Row],[backlog_habiles]]&gt;p_dias_backlog_min,tblOrdenes[[#This Row],[backlog_habiles]]&lt;=p_dias_backlog_max))</f>
        <v/>
      </c>
      <c r="AG704" s="4" t="n"/>
      <c r="AH7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4" s="18">
        <f>IF(tblOrdenes[[#This Row],[orden]]="","",_xlfn.XLOOKUP(tblOrdenes[[#This Row],[id_operacion]],tblEjecucion[id_operacion],tblEjecucion[precio],0))</f>
        <v/>
      </c>
      <c r="AL704" s="18">
        <f>IF(tblOrdenes[[#This Row],[orden]]="","",MAX(0,_xlfn.XLOOKUP(tblOrdenes[[#This Row],[id_operacion]],tblEjecucion[id_operacion],tblEjecucion[costo_plan_total],0)-tblOrdenes[[#This Row],[costo_servicio]]))</f>
        <v/>
      </c>
      <c r="AM704" s="18">
        <f>IF(tblOrdenes[[#This Row],[orden]]="","",tblOrdenes[[#This Row],[costo_servicio]]+tblOrdenes[[#This Row],[costo_materiales]])</f>
        <v/>
      </c>
      <c r="AN7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4" s="4" t="n"/>
      <c r="AP704" s="4" t="n"/>
      <c r="AQ704" s="4" t="n"/>
      <c r="AR704" s="5">
        <f>IF(tblOrdenes[[#This Row],[link_checklist]]="","",HYPERLINK(p_ruta_base_checklists&amp;tblOrdenes[[#This Row],[link_checklist]],"abrir"))</f>
        <v/>
      </c>
      <c r="AS704" s="4" t="n"/>
      <c r="AT704" s="5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22" t="n"/>
      <c r="K705" s="5" t="n"/>
      <c r="L705" s="18" t="n"/>
      <c r="M7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5">
        <f>IF(tblOrdenes[[#This Row],[fecha_inicio]]="","",YEAR(tblOrdenes[[#This Row],[fecha_inicio]]))</f>
        <v/>
      </c>
      <c r="Q705" s="5">
        <f>IF(tblOrdenes[[#This Row],[fecha_inicio]]="","",MONTH(tblOrdenes[[#This Row],[fecha_inicio]]))</f>
        <v/>
      </c>
      <c r="R705" s="5">
        <f>IF(tblOrdenes[[#This Row],[fecha_inicio]]="","",tblOrdenes[[#This Row],[anio]]&amp;"-"&amp;TEXT(tblOrdenes[[#This Row],[mes]],"00"))</f>
        <v/>
      </c>
      <c r="S705" s="5">
        <f>IF(tblOrdenes[[#This Row],[fecha_inicio]]="","",INDEX(lista_dias,WEEKDAY(tblOrdenes[[#This Row],[fecha_inicio]],2)))</f>
        <v/>
      </c>
      <c r="T7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5" s="5">
        <f>IF(tblOrdenes[[#This Row],[tipo_ot]]="","",_xlfn.XLOOKUP(tblOrdenes[[#This Row],[tipo_ot]],tblTiposOT[codigo],tblTiposOT[clasificacion],"sin_clasificar"))</f>
        <v/>
      </c>
      <c r="V7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5" s="5">
        <f>IF(tblOrdenes[[#This Row],[centro_costo]]="","",_xlfn.XLOOKUP(tblOrdenes[[#This Row],[centro_costo]],tblCECO[codigo],tblCECO[linea],"(sin catálogo)"))</f>
        <v/>
      </c>
      <c r="X705" s="5">
        <f>IF(tblOrdenes[[#This Row],[centro_costo]]="","",_xlfn.XLOOKUP(tblOrdenes[[#This Row],[centro_costo]],tblCECO[codigo],tblCECO[area],"(sin catálogo)"))</f>
        <v/>
      </c>
      <c r="Y7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5" s="5">
        <f>IF(tblOrdenes[[#This Row],[centro_costo]]="","",_xlfn.XLOOKUP(tblOrdenes[[#This Row],[centro_costo]],tblCECO[codigo],tblCECO[coordinador],"(sin catálogo)"))</f>
        <v/>
      </c>
      <c r="AA705" s="5">
        <f>IF(tblOrdenes[[#This Row],[puesto_trabajo]]="","",_xlfn.XLOOKUP(tblOrdenes[[#This Row],[puesto_trabajo]],tblPuestos[codigo],tblPuestos[especialidad],"(sin catálogo)"))</f>
        <v/>
      </c>
      <c r="AB705" s="5">
        <f>IF(tblOrdenes[[#This Row],[cod_actividad]]="","",_xlfn.XLOOKUP(tblOrdenes[[#This Row],[cod_actividad]],tblActividades[codigo],tblActividades[descripcion],"(sin catálogo)"))</f>
        <v/>
      </c>
      <c r="AC705" s="20">
        <f>IF(tblOrdenes[[#This Row],[fecha_inicio]]="","",TODAY()-tblOrdenes[[#This Row],[fecha_inicio]])</f>
        <v/>
      </c>
      <c r="AD7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5" s="5">
        <f>IF(tblOrdenes[[#This Row],[backlog_habiles]]="","",IF(tblOrdenes[[#This Row],[backlog_habiles]]&lt;0,"FUTURO",IF(tblOrdenes[[#This Row],[backlog_habiles]]&gt;p_dias_backlog_max,"BACKLOG","MES CORRIENTE")))</f>
        <v/>
      </c>
      <c r="AF705" s="5">
        <f>IF(tblOrdenes[[#This Row],[backlog_habiles]]="",FALSE,AND(tblOrdenes[[#This Row],[backlog_habiles]]&gt;p_dias_backlog_min,tblOrdenes[[#This Row],[backlog_habiles]]&lt;=p_dias_backlog_max))</f>
        <v/>
      </c>
      <c r="AG705" s="4" t="n"/>
      <c r="AH7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5" s="18">
        <f>IF(tblOrdenes[[#This Row],[orden]]="","",_xlfn.XLOOKUP(tblOrdenes[[#This Row],[id_operacion]],tblEjecucion[id_operacion],tblEjecucion[precio],0))</f>
        <v/>
      </c>
      <c r="AL705" s="18">
        <f>IF(tblOrdenes[[#This Row],[orden]]="","",MAX(0,_xlfn.XLOOKUP(tblOrdenes[[#This Row],[id_operacion]],tblEjecucion[id_operacion],tblEjecucion[costo_plan_total],0)-tblOrdenes[[#This Row],[costo_servicio]]))</f>
        <v/>
      </c>
      <c r="AM705" s="18">
        <f>IF(tblOrdenes[[#This Row],[orden]]="","",tblOrdenes[[#This Row],[costo_servicio]]+tblOrdenes[[#This Row],[costo_materiales]])</f>
        <v/>
      </c>
      <c r="AN7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5" s="4" t="n"/>
      <c r="AP705" s="4" t="n"/>
      <c r="AQ705" s="4" t="n"/>
      <c r="AR705" s="5">
        <f>IF(tblOrdenes[[#This Row],[link_checklist]]="","",HYPERLINK(p_ruta_base_checklists&amp;tblOrdenes[[#This Row],[link_checklist]],"abrir"))</f>
        <v/>
      </c>
      <c r="AS705" s="4" t="n"/>
      <c r="AT705" s="5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22" t="n"/>
      <c r="K706" s="5" t="n"/>
      <c r="L706" s="18" t="n"/>
      <c r="M7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5">
        <f>IF(tblOrdenes[[#This Row],[fecha_inicio]]="","",YEAR(tblOrdenes[[#This Row],[fecha_inicio]]))</f>
        <v/>
      </c>
      <c r="Q706" s="5">
        <f>IF(tblOrdenes[[#This Row],[fecha_inicio]]="","",MONTH(tblOrdenes[[#This Row],[fecha_inicio]]))</f>
        <v/>
      </c>
      <c r="R706" s="5">
        <f>IF(tblOrdenes[[#This Row],[fecha_inicio]]="","",tblOrdenes[[#This Row],[anio]]&amp;"-"&amp;TEXT(tblOrdenes[[#This Row],[mes]],"00"))</f>
        <v/>
      </c>
      <c r="S706" s="5">
        <f>IF(tblOrdenes[[#This Row],[fecha_inicio]]="","",INDEX(lista_dias,WEEKDAY(tblOrdenes[[#This Row],[fecha_inicio]],2)))</f>
        <v/>
      </c>
      <c r="T7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6" s="5">
        <f>IF(tblOrdenes[[#This Row],[tipo_ot]]="","",_xlfn.XLOOKUP(tblOrdenes[[#This Row],[tipo_ot]],tblTiposOT[codigo],tblTiposOT[clasificacion],"sin_clasificar"))</f>
        <v/>
      </c>
      <c r="V7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6" s="5">
        <f>IF(tblOrdenes[[#This Row],[centro_costo]]="","",_xlfn.XLOOKUP(tblOrdenes[[#This Row],[centro_costo]],tblCECO[codigo],tblCECO[linea],"(sin catálogo)"))</f>
        <v/>
      </c>
      <c r="X706" s="5">
        <f>IF(tblOrdenes[[#This Row],[centro_costo]]="","",_xlfn.XLOOKUP(tblOrdenes[[#This Row],[centro_costo]],tblCECO[codigo],tblCECO[area],"(sin catálogo)"))</f>
        <v/>
      </c>
      <c r="Y7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6" s="5">
        <f>IF(tblOrdenes[[#This Row],[centro_costo]]="","",_xlfn.XLOOKUP(tblOrdenes[[#This Row],[centro_costo]],tblCECO[codigo],tblCECO[coordinador],"(sin catálogo)"))</f>
        <v/>
      </c>
      <c r="AA706" s="5">
        <f>IF(tblOrdenes[[#This Row],[puesto_trabajo]]="","",_xlfn.XLOOKUP(tblOrdenes[[#This Row],[puesto_trabajo]],tblPuestos[codigo],tblPuestos[especialidad],"(sin catálogo)"))</f>
        <v/>
      </c>
      <c r="AB706" s="5">
        <f>IF(tblOrdenes[[#This Row],[cod_actividad]]="","",_xlfn.XLOOKUP(tblOrdenes[[#This Row],[cod_actividad]],tblActividades[codigo],tblActividades[descripcion],"(sin catálogo)"))</f>
        <v/>
      </c>
      <c r="AC706" s="20">
        <f>IF(tblOrdenes[[#This Row],[fecha_inicio]]="","",TODAY()-tblOrdenes[[#This Row],[fecha_inicio]])</f>
        <v/>
      </c>
      <c r="AD7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6" s="5">
        <f>IF(tblOrdenes[[#This Row],[backlog_habiles]]="","",IF(tblOrdenes[[#This Row],[backlog_habiles]]&lt;0,"FUTURO",IF(tblOrdenes[[#This Row],[backlog_habiles]]&gt;p_dias_backlog_max,"BACKLOG","MES CORRIENTE")))</f>
        <v/>
      </c>
      <c r="AF706" s="5">
        <f>IF(tblOrdenes[[#This Row],[backlog_habiles]]="",FALSE,AND(tblOrdenes[[#This Row],[backlog_habiles]]&gt;p_dias_backlog_min,tblOrdenes[[#This Row],[backlog_habiles]]&lt;=p_dias_backlog_max))</f>
        <v/>
      </c>
      <c r="AG706" s="4" t="n"/>
      <c r="AH7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6" s="18">
        <f>IF(tblOrdenes[[#This Row],[orden]]="","",_xlfn.XLOOKUP(tblOrdenes[[#This Row],[id_operacion]],tblEjecucion[id_operacion],tblEjecucion[precio],0))</f>
        <v/>
      </c>
      <c r="AL706" s="18">
        <f>IF(tblOrdenes[[#This Row],[orden]]="","",MAX(0,_xlfn.XLOOKUP(tblOrdenes[[#This Row],[id_operacion]],tblEjecucion[id_operacion],tblEjecucion[costo_plan_total],0)-tblOrdenes[[#This Row],[costo_servicio]]))</f>
        <v/>
      </c>
      <c r="AM706" s="18">
        <f>IF(tblOrdenes[[#This Row],[orden]]="","",tblOrdenes[[#This Row],[costo_servicio]]+tblOrdenes[[#This Row],[costo_materiales]])</f>
        <v/>
      </c>
      <c r="AN7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6" s="4" t="n"/>
      <c r="AP706" s="4" t="n"/>
      <c r="AQ706" s="4" t="n"/>
      <c r="AR706" s="5">
        <f>IF(tblOrdenes[[#This Row],[link_checklist]]="","",HYPERLINK(p_ruta_base_checklists&amp;tblOrdenes[[#This Row],[link_checklist]],"abrir"))</f>
        <v/>
      </c>
      <c r="AS706" s="4" t="n"/>
      <c r="AT706" s="5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22" t="n"/>
      <c r="K707" s="5" t="n"/>
      <c r="L707" s="18" t="n"/>
      <c r="M7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5">
        <f>IF(tblOrdenes[[#This Row],[fecha_inicio]]="","",YEAR(tblOrdenes[[#This Row],[fecha_inicio]]))</f>
        <v/>
      </c>
      <c r="Q707" s="5">
        <f>IF(tblOrdenes[[#This Row],[fecha_inicio]]="","",MONTH(tblOrdenes[[#This Row],[fecha_inicio]]))</f>
        <v/>
      </c>
      <c r="R707" s="5">
        <f>IF(tblOrdenes[[#This Row],[fecha_inicio]]="","",tblOrdenes[[#This Row],[anio]]&amp;"-"&amp;TEXT(tblOrdenes[[#This Row],[mes]],"00"))</f>
        <v/>
      </c>
      <c r="S707" s="5">
        <f>IF(tblOrdenes[[#This Row],[fecha_inicio]]="","",INDEX(lista_dias,WEEKDAY(tblOrdenes[[#This Row],[fecha_inicio]],2)))</f>
        <v/>
      </c>
      <c r="T7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7" s="5">
        <f>IF(tblOrdenes[[#This Row],[tipo_ot]]="","",_xlfn.XLOOKUP(tblOrdenes[[#This Row],[tipo_ot]],tblTiposOT[codigo],tblTiposOT[clasificacion],"sin_clasificar"))</f>
        <v/>
      </c>
      <c r="V7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7" s="5">
        <f>IF(tblOrdenes[[#This Row],[centro_costo]]="","",_xlfn.XLOOKUP(tblOrdenes[[#This Row],[centro_costo]],tblCECO[codigo],tblCECO[linea],"(sin catálogo)"))</f>
        <v/>
      </c>
      <c r="X707" s="5">
        <f>IF(tblOrdenes[[#This Row],[centro_costo]]="","",_xlfn.XLOOKUP(tblOrdenes[[#This Row],[centro_costo]],tblCECO[codigo],tblCECO[area],"(sin catálogo)"))</f>
        <v/>
      </c>
      <c r="Y7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7" s="5">
        <f>IF(tblOrdenes[[#This Row],[centro_costo]]="","",_xlfn.XLOOKUP(tblOrdenes[[#This Row],[centro_costo]],tblCECO[codigo],tblCECO[coordinador],"(sin catálogo)"))</f>
        <v/>
      </c>
      <c r="AA707" s="5">
        <f>IF(tblOrdenes[[#This Row],[puesto_trabajo]]="","",_xlfn.XLOOKUP(tblOrdenes[[#This Row],[puesto_trabajo]],tblPuestos[codigo],tblPuestos[especialidad],"(sin catálogo)"))</f>
        <v/>
      </c>
      <c r="AB707" s="5">
        <f>IF(tblOrdenes[[#This Row],[cod_actividad]]="","",_xlfn.XLOOKUP(tblOrdenes[[#This Row],[cod_actividad]],tblActividades[codigo],tblActividades[descripcion],"(sin catálogo)"))</f>
        <v/>
      </c>
      <c r="AC707" s="20">
        <f>IF(tblOrdenes[[#This Row],[fecha_inicio]]="","",TODAY()-tblOrdenes[[#This Row],[fecha_inicio]])</f>
        <v/>
      </c>
      <c r="AD7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7" s="5">
        <f>IF(tblOrdenes[[#This Row],[backlog_habiles]]="","",IF(tblOrdenes[[#This Row],[backlog_habiles]]&lt;0,"FUTURO",IF(tblOrdenes[[#This Row],[backlog_habiles]]&gt;p_dias_backlog_max,"BACKLOG","MES CORRIENTE")))</f>
        <v/>
      </c>
      <c r="AF707" s="5">
        <f>IF(tblOrdenes[[#This Row],[backlog_habiles]]="",FALSE,AND(tblOrdenes[[#This Row],[backlog_habiles]]&gt;p_dias_backlog_min,tblOrdenes[[#This Row],[backlog_habiles]]&lt;=p_dias_backlog_max))</f>
        <v/>
      </c>
      <c r="AG707" s="4" t="n"/>
      <c r="AH7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7" s="18">
        <f>IF(tblOrdenes[[#This Row],[orden]]="","",_xlfn.XLOOKUP(tblOrdenes[[#This Row],[id_operacion]],tblEjecucion[id_operacion],tblEjecucion[precio],0))</f>
        <v/>
      </c>
      <c r="AL707" s="18">
        <f>IF(tblOrdenes[[#This Row],[orden]]="","",MAX(0,_xlfn.XLOOKUP(tblOrdenes[[#This Row],[id_operacion]],tblEjecucion[id_operacion],tblEjecucion[costo_plan_total],0)-tblOrdenes[[#This Row],[costo_servicio]]))</f>
        <v/>
      </c>
      <c r="AM707" s="18">
        <f>IF(tblOrdenes[[#This Row],[orden]]="","",tblOrdenes[[#This Row],[costo_servicio]]+tblOrdenes[[#This Row],[costo_materiales]])</f>
        <v/>
      </c>
      <c r="AN7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7" s="4" t="n"/>
      <c r="AP707" s="4" t="n"/>
      <c r="AQ707" s="4" t="n"/>
      <c r="AR707" s="5">
        <f>IF(tblOrdenes[[#This Row],[link_checklist]]="","",HYPERLINK(p_ruta_base_checklists&amp;tblOrdenes[[#This Row],[link_checklist]],"abrir"))</f>
        <v/>
      </c>
      <c r="AS707" s="4" t="n"/>
      <c r="AT707" s="5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22" t="n"/>
      <c r="K708" s="5" t="n"/>
      <c r="L708" s="18" t="n"/>
      <c r="M7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5">
        <f>IF(tblOrdenes[[#This Row],[fecha_inicio]]="","",YEAR(tblOrdenes[[#This Row],[fecha_inicio]]))</f>
        <v/>
      </c>
      <c r="Q708" s="5">
        <f>IF(tblOrdenes[[#This Row],[fecha_inicio]]="","",MONTH(tblOrdenes[[#This Row],[fecha_inicio]]))</f>
        <v/>
      </c>
      <c r="R708" s="5">
        <f>IF(tblOrdenes[[#This Row],[fecha_inicio]]="","",tblOrdenes[[#This Row],[anio]]&amp;"-"&amp;TEXT(tblOrdenes[[#This Row],[mes]],"00"))</f>
        <v/>
      </c>
      <c r="S708" s="5">
        <f>IF(tblOrdenes[[#This Row],[fecha_inicio]]="","",INDEX(lista_dias,WEEKDAY(tblOrdenes[[#This Row],[fecha_inicio]],2)))</f>
        <v/>
      </c>
      <c r="T7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8" s="5">
        <f>IF(tblOrdenes[[#This Row],[tipo_ot]]="","",_xlfn.XLOOKUP(tblOrdenes[[#This Row],[tipo_ot]],tblTiposOT[codigo],tblTiposOT[clasificacion],"sin_clasificar"))</f>
        <v/>
      </c>
      <c r="V7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8" s="5">
        <f>IF(tblOrdenes[[#This Row],[centro_costo]]="","",_xlfn.XLOOKUP(tblOrdenes[[#This Row],[centro_costo]],tblCECO[codigo],tblCECO[linea],"(sin catálogo)"))</f>
        <v/>
      </c>
      <c r="X708" s="5">
        <f>IF(tblOrdenes[[#This Row],[centro_costo]]="","",_xlfn.XLOOKUP(tblOrdenes[[#This Row],[centro_costo]],tblCECO[codigo],tblCECO[area],"(sin catálogo)"))</f>
        <v/>
      </c>
      <c r="Y7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8" s="5">
        <f>IF(tblOrdenes[[#This Row],[centro_costo]]="","",_xlfn.XLOOKUP(tblOrdenes[[#This Row],[centro_costo]],tblCECO[codigo],tblCECO[coordinador],"(sin catálogo)"))</f>
        <v/>
      </c>
      <c r="AA708" s="5">
        <f>IF(tblOrdenes[[#This Row],[puesto_trabajo]]="","",_xlfn.XLOOKUP(tblOrdenes[[#This Row],[puesto_trabajo]],tblPuestos[codigo],tblPuestos[especialidad],"(sin catálogo)"))</f>
        <v/>
      </c>
      <c r="AB708" s="5">
        <f>IF(tblOrdenes[[#This Row],[cod_actividad]]="","",_xlfn.XLOOKUP(tblOrdenes[[#This Row],[cod_actividad]],tblActividades[codigo],tblActividades[descripcion],"(sin catálogo)"))</f>
        <v/>
      </c>
      <c r="AC708" s="20">
        <f>IF(tblOrdenes[[#This Row],[fecha_inicio]]="","",TODAY()-tblOrdenes[[#This Row],[fecha_inicio]])</f>
        <v/>
      </c>
      <c r="AD7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8" s="5">
        <f>IF(tblOrdenes[[#This Row],[backlog_habiles]]="","",IF(tblOrdenes[[#This Row],[backlog_habiles]]&lt;0,"FUTURO",IF(tblOrdenes[[#This Row],[backlog_habiles]]&gt;p_dias_backlog_max,"BACKLOG","MES CORRIENTE")))</f>
        <v/>
      </c>
      <c r="AF708" s="5">
        <f>IF(tblOrdenes[[#This Row],[backlog_habiles]]="",FALSE,AND(tblOrdenes[[#This Row],[backlog_habiles]]&gt;p_dias_backlog_min,tblOrdenes[[#This Row],[backlog_habiles]]&lt;=p_dias_backlog_max))</f>
        <v/>
      </c>
      <c r="AG708" s="4" t="n"/>
      <c r="AH7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8" s="18">
        <f>IF(tblOrdenes[[#This Row],[orden]]="","",_xlfn.XLOOKUP(tblOrdenes[[#This Row],[id_operacion]],tblEjecucion[id_operacion],tblEjecucion[precio],0))</f>
        <v/>
      </c>
      <c r="AL708" s="18">
        <f>IF(tblOrdenes[[#This Row],[orden]]="","",MAX(0,_xlfn.XLOOKUP(tblOrdenes[[#This Row],[id_operacion]],tblEjecucion[id_operacion],tblEjecucion[costo_plan_total],0)-tblOrdenes[[#This Row],[costo_servicio]]))</f>
        <v/>
      </c>
      <c r="AM708" s="18">
        <f>IF(tblOrdenes[[#This Row],[orden]]="","",tblOrdenes[[#This Row],[costo_servicio]]+tblOrdenes[[#This Row],[costo_materiales]])</f>
        <v/>
      </c>
      <c r="AN7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8" s="4" t="n"/>
      <c r="AP708" s="4" t="n"/>
      <c r="AQ708" s="4" t="n"/>
      <c r="AR708" s="5">
        <f>IF(tblOrdenes[[#This Row],[link_checklist]]="","",HYPERLINK(p_ruta_base_checklists&amp;tblOrdenes[[#This Row],[link_checklist]],"abrir"))</f>
        <v/>
      </c>
      <c r="AS708" s="4" t="n"/>
      <c r="AT708" s="5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22" t="n"/>
      <c r="K709" s="5" t="n"/>
      <c r="L709" s="18" t="n"/>
      <c r="M7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5">
        <f>IF(tblOrdenes[[#This Row],[fecha_inicio]]="","",YEAR(tblOrdenes[[#This Row],[fecha_inicio]]))</f>
        <v/>
      </c>
      <c r="Q709" s="5">
        <f>IF(tblOrdenes[[#This Row],[fecha_inicio]]="","",MONTH(tblOrdenes[[#This Row],[fecha_inicio]]))</f>
        <v/>
      </c>
      <c r="R709" s="5">
        <f>IF(tblOrdenes[[#This Row],[fecha_inicio]]="","",tblOrdenes[[#This Row],[anio]]&amp;"-"&amp;TEXT(tblOrdenes[[#This Row],[mes]],"00"))</f>
        <v/>
      </c>
      <c r="S709" s="5">
        <f>IF(tblOrdenes[[#This Row],[fecha_inicio]]="","",INDEX(lista_dias,WEEKDAY(tblOrdenes[[#This Row],[fecha_inicio]],2)))</f>
        <v/>
      </c>
      <c r="T7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9" s="5">
        <f>IF(tblOrdenes[[#This Row],[tipo_ot]]="","",_xlfn.XLOOKUP(tblOrdenes[[#This Row],[tipo_ot]],tblTiposOT[codigo],tblTiposOT[clasificacion],"sin_clasificar"))</f>
        <v/>
      </c>
      <c r="V7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9" s="5">
        <f>IF(tblOrdenes[[#This Row],[centro_costo]]="","",_xlfn.XLOOKUP(tblOrdenes[[#This Row],[centro_costo]],tblCECO[codigo],tblCECO[linea],"(sin catálogo)"))</f>
        <v/>
      </c>
      <c r="X709" s="5">
        <f>IF(tblOrdenes[[#This Row],[centro_costo]]="","",_xlfn.XLOOKUP(tblOrdenes[[#This Row],[centro_costo]],tblCECO[codigo],tblCECO[area],"(sin catálogo)"))</f>
        <v/>
      </c>
      <c r="Y7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09" s="5">
        <f>IF(tblOrdenes[[#This Row],[centro_costo]]="","",_xlfn.XLOOKUP(tblOrdenes[[#This Row],[centro_costo]],tblCECO[codigo],tblCECO[coordinador],"(sin catálogo)"))</f>
        <v/>
      </c>
      <c r="AA709" s="5">
        <f>IF(tblOrdenes[[#This Row],[puesto_trabajo]]="","",_xlfn.XLOOKUP(tblOrdenes[[#This Row],[puesto_trabajo]],tblPuestos[codigo],tblPuestos[especialidad],"(sin catálogo)"))</f>
        <v/>
      </c>
      <c r="AB709" s="5">
        <f>IF(tblOrdenes[[#This Row],[cod_actividad]]="","",_xlfn.XLOOKUP(tblOrdenes[[#This Row],[cod_actividad]],tblActividades[codigo],tblActividades[descripcion],"(sin catálogo)"))</f>
        <v/>
      </c>
      <c r="AC709" s="20">
        <f>IF(tblOrdenes[[#This Row],[fecha_inicio]]="","",TODAY()-tblOrdenes[[#This Row],[fecha_inicio]])</f>
        <v/>
      </c>
      <c r="AD7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09" s="5">
        <f>IF(tblOrdenes[[#This Row],[backlog_habiles]]="","",IF(tblOrdenes[[#This Row],[backlog_habiles]]&lt;0,"FUTURO",IF(tblOrdenes[[#This Row],[backlog_habiles]]&gt;p_dias_backlog_max,"BACKLOG","MES CORRIENTE")))</f>
        <v/>
      </c>
      <c r="AF709" s="5">
        <f>IF(tblOrdenes[[#This Row],[backlog_habiles]]="",FALSE,AND(tblOrdenes[[#This Row],[backlog_habiles]]&gt;p_dias_backlog_min,tblOrdenes[[#This Row],[backlog_habiles]]&lt;=p_dias_backlog_max))</f>
        <v/>
      </c>
      <c r="AG709" s="4" t="n"/>
      <c r="AH7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09" s="18">
        <f>IF(tblOrdenes[[#This Row],[orden]]="","",_xlfn.XLOOKUP(tblOrdenes[[#This Row],[id_operacion]],tblEjecucion[id_operacion],tblEjecucion[precio],0))</f>
        <v/>
      </c>
      <c r="AL709" s="18">
        <f>IF(tblOrdenes[[#This Row],[orden]]="","",MAX(0,_xlfn.XLOOKUP(tblOrdenes[[#This Row],[id_operacion]],tblEjecucion[id_operacion],tblEjecucion[costo_plan_total],0)-tblOrdenes[[#This Row],[costo_servicio]]))</f>
        <v/>
      </c>
      <c r="AM709" s="18">
        <f>IF(tblOrdenes[[#This Row],[orden]]="","",tblOrdenes[[#This Row],[costo_servicio]]+tblOrdenes[[#This Row],[costo_materiales]])</f>
        <v/>
      </c>
      <c r="AN7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09" s="4" t="n"/>
      <c r="AP709" s="4" t="n"/>
      <c r="AQ709" s="4" t="n"/>
      <c r="AR709" s="5">
        <f>IF(tblOrdenes[[#This Row],[link_checklist]]="","",HYPERLINK(p_ruta_base_checklists&amp;tblOrdenes[[#This Row],[link_checklist]],"abrir"))</f>
        <v/>
      </c>
      <c r="AS709" s="4" t="n"/>
      <c r="AT709" s="5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22" t="n"/>
      <c r="K710" s="5" t="n"/>
      <c r="L710" s="18" t="n"/>
      <c r="M7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5">
        <f>IF(tblOrdenes[[#This Row],[fecha_inicio]]="","",YEAR(tblOrdenes[[#This Row],[fecha_inicio]]))</f>
        <v/>
      </c>
      <c r="Q710" s="5">
        <f>IF(tblOrdenes[[#This Row],[fecha_inicio]]="","",MONTH(tblOrdenes[[#This Row],[fecha_inicio]]))</f>
        <v/>
      </c>
      <c r="R710" s="5">
        <f>IF(tblOrdenes[[#This Row],[fecha_inicio]]="","",tblOrdenes[[#This Row],[anio]]&amp;"-"&amp;TEXT(tblOrdenes[[#This Row],[mes]],"00"))</f>
        <v/>
      </c>
      <c r="S710" s="5">
        <f>IF(tblOrdenes[[#This Row],[fecha_inicio]]="","",INDEX(lista_dias,WEEKDAY(tblOrdenes[[#This Row],[fecha_inicio]],2)))</f>
        <v/>
      </c>
      <c r="T7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0" s="5">
        <f>IF(tblOrdenes[[#This Row],[tipo_ot]]="","",_xlfn.XLOOKUP(tblOrdenes[[#This Row],[tipo_ot]],tblTiposOT[codigo],tblTiposOT[clasificacion],"sin_clasificar"))</f>
        <v/>
      </c>
      <c r="V7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0" s="5">
        <f>IF(tblOrdenes[[#This Row],[centro_costo]]="","",_xlfn.XLOOKUP(tblOrdenes[[#This Row],[centro_costo]],tblCECO[codigo],tblCECO[linea],"(sin catálogo)"))</f>
        <v/>
      </c>
      <c r="X710" s="5">
        <f>IF(tblOrdenes[[#This Row],[centro_costo]]="","",_xlfn.XLOOKUP(tblOrdenes[[#This Row],[centro_costo]],tblCECO[codigo],tblCECO[area],"(sin catálogo)"))</f>
        <v/>
      </c>
      <c r="Y7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0" s="5">
        <f>IF(tblOrdenes[[#This Row],[centro_costo]]="","",_xlfn.XLOOKUP(tblOrdenes[[#This Row],[centro_costo]],tblCECO[codigo],tblCECO[coordinador],"(sin catálogo)"))</f>
        <v/>
      </c>
      <c r="AA710" s="5">
        <f>IF(tblOrdenes[[#This Row],[puesto_trabajo]]="","",_xlfn.XLOOKUP(tblOrdenes[[#This Row],[puesto_trabajo]],tblPuestos[codigo],tblPuestos[especialidad],"(sin catálogo)"))</f>
        <v/>
      </c>
      <c r="AB710" s="5">
        <f>IF(tblOrdenes[[#This Row],[cod_actividad]]="","",_xlfn.XLOOKUP(tblOrdenes[[#This Row],[cod_actividad]],tblActividades[codigo],tblActividades[descripcion],"(sin catálogo)"))</f>
        <v/>
      </c>
      <c r="AC710" s="20">
        <f>IF(tblOrdenes[[#This Row],[fecha_inicio]]="","",TODAY()-tblOrdenes[[#This Row],[fecha_inicio]])</f>
        <v/>
      </c>
      <c r="AD7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0" s="5">
        <f>IF(tblOrdenes[[#This Row],[backlog_habiles]]="","",IF(tblOrdenes[[#This Row],[backlog_habiles]]&lt;0,"FUTURO",IF(tblOrdenes[[#This Row],[backlog_habiles]]&gt;p_dias_backlog_max,"BACKLOG","MES CORRIENTE")))</f>
        <v/>
      </c>
      <c r="AF710" s="5">
        <f>IF(tblOrdenes[[#This Row],[backlog_habiles]]="",FALSE,AND(tblOrdenes[[#This Row],[backlog_habiles]]&gt;p_dias_backlog_min,tblOrdenes[[#This Row],[backlog_habiles]]&lt;=p_dias_backlog_max))</f>
        <v/>
      </c>
      <c r="AG710" s="4" t="n"/>
      <c r="AH7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0" s="18">
        <f>IF(tblOrdenes[[#This Row],[orden]]="","",_xlfn.XLOOKUP(tblOrdenes[[#This Row],[id_operacion]],tblEjecucion[id_operacion],tblEjecucion[precio],0))</f>
        <v/>
      </c>
      <c r="AL710" s="18">
        <f>IF(tblOrdenes[[#This Row],[orden]]="","",MAX(0,_xlfn.XLOOKUP(tblOrdenes[[#This Row],[id_operacion]],tblEjecucion[id_operacion],tblEjecucion[costo_plan_total],0)-tblOrdenes[[#This Row],[costo_servicio]]))</f>
        <v/>
      </c>
      <c r="AM710" s="18">
        <f>IF(tblOrdenes[[#This Row],[orden]]="","",tblOrdenes[[#This Row],[costo_servicio]]+tblOrdenes[[#This Row],[costo_materiales]])</f>
        <v/>
      </c>
      <c r="AN7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0" s="4" t="n"/>
      <c r="AP710" s="4" t="n"/>
      <c r="AQ710" s="4" t="n"/>
      <c r="AR710" s="5">
        <f>IF(tblOrdenes[[#This Row],[link_checklist]]="","",HYPERLINK(p_ruta_base_checklists&amp;tblOrdenes[[#This Row],[link_checklist]],"abrir"))</f>
        <v/>
      </c>
      <c r="AS710" s="4" t="n"/>
      <c r="AT710" s="5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22" t="n"/>
      <c r="K711" s="5" t="n"/>
      <c r="L711" s="18" t="n"/>
      <c r="M7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5">
        <f>IF(tblOrdenes[[#This Row],[fecha_inicio]]="","",YEAR(tblOrdenes[[#This Row],[fecha_inicio]]))</f>
        <v/>
      </c>
      <c r="Q711" s="5">
        <f>IF(tblOrdenes[[#This Row],[fecha_inicio]]="","",MONTH(tblOrdenes[[#This Row],[fecha_inicio]]))</f>
        <v/>
      </c>
      <c r="R711" s="5">
        <f>IF(tblOrdenes[[#This Row],[fecha_inicio]]="","",tblOrdenes[[#This Row],[anio]]&amp;"-"&amp;TEXT(tblOrdenes[[#This Row],[mes]],"00"))</f>
        <v/>
      </c>
      <c r="S711" s="5">
        <f>IF(tblOrdenes[[#This Row],[fecha_inicio]]="","",INDEX(lista_dias,WEEKDAY(tblOrdenes[[#This Row],[fecha_inicio]],2)))</f>
        <v/>
      </c>
      <c r="T7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1" s="5">
        <f>IF(tblOrdenes[[#This Row],[tipo_ot]]="","",_xlfn.XLOOKUP(tblOrdenes[[#This Row],[tipo_ot]],tblTiposOT[codigo],tblTiposOT[clasificacion],"sin_clasificar"))</f>
        <v/>
      </c>
      <c r="V7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1" s="5">
        <f>IF(tblOrdenes[[#This Row],[centro_costo]]="","",_xlfn.XLOOKUP(tblOrdenes[[#This Row],[centro_costo]],tblCECO[codigo],tblCECO[linea],"(sin catálogo)"))</f>
        <v/>
      </c>
      <c r="X711" s="5">
        <f>IF(tblOrdenes[[#This Row],[centro_costo]]="","",_xlfn.XLOOKUP(tblOrdenes[[#This Row],[centro_costo]],tblCECO[codigo],tblCECO[area],"(sin catálogo)"))</f>
        <v/>
      </c>
      <c r="Y7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1" s="5">
        <f>IF(tblOrdenes[[#This Row],[centro_costo]]="","",_xlfn.XLOOKUP(tblOrdenes[[#This Row],[centro_costo]],tblCECO[codigo],tblCECO[coordinador],"(sin catálogo)"))</f>
        <v/>
      </c>
      <c r="AA711" s="5">
        <f>IF(tblOrdenes[[#This Row],[puesto_trabajo]]="","",_xlfn.XLOOKUP(tblOrdenes[[#This Row],[puesto_trabajo]],tblPuestos[codigo],tblPuestos[especialidad],"(sin catálogo)"))</f>
        <v/>
      </c>
      <c r="AB711" s="5">
        <f>IF(tblOrdenes[[#This Row],[cod_actividad]]="","",_xlfn.XLOOKUP(tblOrdenes[[#This Row],[cod_actividad]],tblActividades[codigo],tblActividades[descripcion],"(sin catálogo)"))</f>
        <v/>
      </c>
      <c r="AC711" s="20">
        <f>IF(tblOrdenes[[#This Row],[fecha_inicio]]="","",TODAY()-tblOrdenes[[#This Row],[fecha_inicio]])</f>
        <v/>
      </c>
      <c r="AD7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1" s="5">
        <f>IF(tblOrdenes[[#This Row],[backlog_habiles]]="","",IF(tblOrdenes[[#This Row],[backlog_habiles]]&lt;0,"FUTURO",IF(tblOrdenes[[#This Row],[backlog_habiles]]&gt;p_dias_backlog_max,"BACKLOG","MES CORRIENTE")))</f>
        <v/>
      </c>
      <c r="AF711" s="5">
        <f>IF(tblOrdenes[[#This Row],[backlog_habiles]]="",FALSE,AND(tblOrdenes[[#This Row],[backlog_habiles]]&gt;p_dias_backlog_min,tblOrdenes[[#This Row],[backlog_habiles]]&lt;=p_dias_backlog_max))</f>
        <v/>
      </c>
      <c r="AG711" s="4" t="n"/>
      <c r="AH7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1" s="18">
        <f>IF(tblOrdenes[[#This Row],[orden]]="","",_xlfn.XLOOKUP(tblOrdenes[[#This Row],[id_operacion]],tblEjecucion[id_operacion],tblEjecucion[precio],0))</f>
        <v/>
      </c>
      <c r="AL711" s="18">
        <f>IF(tblOrdenes[[#This Row],[orden]]="","",MAX(0,_xlfn.XLOOKUP(tblOrdenes[[#This Row],[id_operacion]],tblEjecucion[id_operacion],tblEjecucion[costo_plan_total],0)-tblOrdenes[[#This Row],[costo_servicio]]))</f>
        <v/>
      </c>
      <c r="AM711" s="18">
        <f>IF(tblOrdenes[[#This Row],[orden]]="","",tblOrdenes[[#This Row],[costo_servicio]]+tblOrdenes[[#This Row],[costo_materiales]])</f>
        <v/>
      </c>
      <c r="AN7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1" s="4" t="n"/>
      <c r="AP711" s="4" t="n"/>
      <c r="AQ711" s="4" t="n"/>
      <c r="AR711" s="5">
        <f>IF(tblOrdenes[[#This Row],[link_checklist]]="","",HYPERLINK(p_ruta_base_checklists&amp;tblOrdenes[[#This Row],[link_checklist]],"abrir"))</f>
        <v/>
      </c>
      <c r="AS711" s="4" t="n"/>
      <c r="AT711" s="5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22" t="n"/>
      <c r="K712" s="5" t="n"/>
      <c r="L712" s="18" t="n"/>
      <c r="M7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5">
        <f>IF(tblOrdenes[[#This Row],[fecha_inicio]]="","",YEAR(tblOrdenes[[#This Row],[fecha_inicio]]))</f>
        <v/>
      </c>
      <c r="Q712" s="5">
        <f>IF(tblOrdenes[[#This Row],[fecha_inicio]]="","",MONTH(tblOrdenes[[#This Row],[fecha_inicio]]))</f>
        <v/>
      </c>
      <c r="R712" s="5">
        <f>IF(tblOrdenes[[#This Row],[fecha_inicio]]="","",tblOrdenes[[#This Row],[anio]]&amp;"-"&amp;TEXT(tblOrdenes[[#This Row],[mes]],"00"))</f>
        <v/>
      </c>
      <c r="S712" s="5">
        <f>IF(tblOrdenes[[#This Row],[fecha_inicio]]="","",INDEX(lista_dias,WEEKDAY(tblOrdenes[[#This Row],[fecha_inicio]],2)))</f>
        <v/>
      </c>
      <c r="T7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2" s="5">
        <f>IF(tblOrdenes[[#This Row],[tipo_ot]]="","",_xlfn.XLOOKUP(tblOrdenes[[#This Row],[tipo_ot]],tblTiposOT[codigo],tblTiposOT[clasificacion],"sin_clasificar"))</f>
        <v/>
      </c>
      <c r="V7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2" s="5">
        <f>IF(tblOrdenes[[#This Row],[centro_costo]]="","",_xlfn.XLOOKUP(tblOrdenes[[#This Row],[centro_costo]],tblCECO[codigo],tblCECO[linea],"(sin catálogo)"))</f>
        <v/>
      </c>
      <c r="X712" s="5">
        <f>IF(tblOrdenes[[#This Row],[centro_costo]]="","",_xlfn.XLOOKUP(tblOrdenes[[#This Row],[centro_costo]],tblCECO[codigo],tblCECO[area],"(sin catálogo)"))</f>
        <v/>
      </c>
      <c r="Y7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2" s="5">
        <f>IF(tblOrdenes[[#This Row],[centro_costo]]="","",_xlfn.XLOOKUP(tblOrdenes[[#This Row],[centro_costo]],tblCECO[codigo],tblCECO[coordinador],"(sin catálogo)"))</f>
        <v/>
      </c>
      <c r="AA712" s="5">
        <f>IF(tblOrdenes[[#This Row],[puesto_trabajo]]="","",_xlfn.XLOOKUP(tblOrdenes[[#This Row],[puesto_trabajo]],tblPuestos[codigo],tblPuestos[especialidad],"(sin catálogo)"))</f>
        <v/>
      </c>
      <c r="AB712" s="5">
        <f>IF(tblOrdenes[[#This Row],[cod_actividad]]="","",_xlfn.XLOOKUP(tblOrdenes[[#This Row],[cod_actividad]],tblActividades[codigo],tblActividades[descripcion],"(sin catálogo)"))</f>
        <v/>
      </c>
      <c r="AC712" s="20">
        <f>IF(tblOrdenes[[#This Row],[fecha_inicio]]="","",TODAY()-tblOrdenes[[#This Row],[fecha_inicio]])</f>
        <v/>
      </c>
      <c r="AD7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2" s="5">
        <f>IF(tblOrdenes[[#This Row],[backlog_habiles]]="","",IF(tblOrdenes[[#This Row],[backlog_habiles]]&lt;0,"FUTURO",IF(tblOrdenes[[#This Row],[backlog_habiles]]&gt;p_dias_backlog_max,"BACKLOG","MES CORRIENTE")))</f>
        <v/>
      </c>
      <c r="AF712" s="5">
        <f>IF(tblOrdenes[[#This Row],[backlog_habiles]]="",FALSE,AND(tblOrdenes[[#This Row],[backlog_habiles]]&gt;p_dias_backlog_min,tblOrdenes[[#This Row],[backlog_habiles]]&lt;=p_dias_backlog_max))</f>
        <v/>
      </c>
      <c r="AG712" s="4" t="n"/>
      <c r="AH7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2" s="18">
        <f>IF(tblOrdenes[[#This Row],[orden]]="","",_xlfn.XLOOKUP(tblOrdenes[[#This Row],[id_operacion]],tblEjecucion[id_operacion],tblEjecucion[precio],0))</f>
        <v/>
      </c>
      <c r="AL712" s="18">
        <f>IF(tblOrdenes[[#This Row],[orden]]="","",MAX(0,_xlfn.XLOOKUP(tblOrdenes[[#This Row],[id_operacion]],tblEjecucion[id_operacion],tblEjecucion[costo_plan_total],0)-tblOrdenes[[#This Row],[costo_servicio]]))</f>
        <v/>
      </c>
      <c r="AM712" s="18">
        <f>IF(tblOrdenes[[#This Row],[orden]]="","",tblOrdenes[[#This Row],[costo_servicio]]+tblOrdenes[[#This Row],[costo_materiales]])</f>
        <v/>
      </c>
      <c r="AN7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2" s="4" t="n"/>
      <c r="AP712" s="4" t="n"/>
      <c r="AQ712" s="4" t="n"/>
      <c r="AR712" s="5">
        <f>IF(tblOrdenes[[#This Row],[link_checklist]]="","",HYPERLINK(p_ruta_base_checklists&amp;tblOrdenes[[#This Row],[link_checklist]],"abrir"))</f>
        <v/>
      </c>
      <c r="AS712" s="4" t="n"/>
      <c r="AT712" s="5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22" t="n"/>
      <c r="K713" s="5" t="n"/>
      <c r="L713" s="18" t="n"/>
      <c r="M7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5">
        <f>IF(tblOrdenes[[#This Row],[fecha_inicio]]="","",YEAR(tblOrdenes[[#This Row],[fecha_inicio]]))</f>
        <v/>
      </c>
      <c r="Q713" s="5">
        <f>IF(tblOrdenes[[#This Row],[fecha_inicio]]="","",MONTH(tblOrdenes[[#This Row],[fecha_inicio]]))</f>
        <v/>
      </c>
      <c r="R713" s="5">
        <f>IF(tblOrdenes[[#This Row],[fecha_inicio]]="","",tblOrdenes[[#This Row],[anio]]&amp;"-"&amp;TEXT(tblOrdenes[[#This Row],[mes]],"00"))</f>
        <v/>
      </c>
      <c r="S713" s="5">
        <f>IF(tblOrdenes[[#This Row],[fecha_inicio]]="","",INDEX(lista_dias,WEEKDAY(tblOrdenes[[#This Row],[fecha_inicio]],2)))</f>
        <v/>
      </c>
      <c r="T7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3" s="5">
        <f>IF(tblOrdenes[[#This Row],[tipo_ot]]="","",_xlfn.XLOOKUP(tblOrdenes[[#This Row],[tipo_ot]],tblTiposOT[codigo],tblTiposOT[clasificacion],"sin_clasificar"))</f>
        <v/>
      </c>
      <c r="V7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3" s="5">
        <f>IF(tblOrdenes[[#This Row],[centro_costo]]="","",_xlfn.XLOOKUP(tblOrdenes[[#This Row],[centro_costo]],tblCECO[codigo],tblCECO[linea],"(sin catálogo)"))</f>
        <v/>
      </c>
      <c r="X713" s="5">
        <f>IF(tblOrdenes[[#This Row],[centro_costo]]="","",_xlfn.XLOOKUP(tblOrdenes[[#This Row],[centro_costo]],tblCECO[codigo],tblCECO[area],"(sin catálogo)"))</f>
        <v/>
      </c>
      <c r="Y7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3" s="5">
        <f>IF(tblOrdenes[[#This Row],[centro_costo]]="","",_xlfn.XLOOKUP(tblOrdenes[[#This Row],[centro_costo]],tblCECO[codigo],tblCECO[coordinador],"(sin catálogo)"))</f>
        <v/>
      </c>
      <c r="AA713" s="5">
        <f>IF(tblOrdenes[[#This Row],[puesto_trabajo]]="","",_xlfn.XLOOKUP(tblOrdenes[[#This Row],[puesto_trabajo]],tblPuestos[codigo],tblPuestos[especialidad],"(sin catálogo)"))</f>
        <v/>
      </c>
      <c r="AB713" s="5">
        <f>IF(tblOrdenes[[#This Row],[cod_actividad]]="","",_xlfn.XLOOKUP(tblOrdenes[[#This Row],[cod_actividad]],tblActividades[codigo],tblActividades[descripcion],"(sin catálogo)"))</f>
        <v/>
      </c>
      <c r="AC713" s="20">
        <f>IF(tblOrdenes[[#This Row],[fecha_inicio]]="","",TODAY()-tblOrdenes[[#This Row],[fecha_inicio]])</f>
        <v/>
      </c>
      <c r="AD7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3" s="5">
        <f>IF(tblOrdenes[[#This Row],[backlog_habiles]]="","",IF(tblOrdenes[[#This Row],[backlog_habiles]]&lt;0,"FUTURO",IF(tblOrdenes[[#This Row],[backlog_habiles]]&gt;p_dias_backlog_max,"BACKLOG","MES CORRIENTE")))</f>
        <v/>
      </c>
      <c r="AF713" s="5">
        <f>IF(tblOrdenes[[#This Row],[backlog_habiles]]="",FALSE,AND(tblOrdenes[[#This Row],[backlog_habiles]]&gt;p_dias_backlog_min,tblOrdenes[[#This Row],[backlog_habiles]]&lt;=p_dias_backlog_max))</f>
        <v/>
      </c>
      <c r="AG713" s="4" t="n"/>
      <c r="AH7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3" s="18">
        <f>IF(tblOrdenes[[#This Row],[orden]]="","",_xlfn.XLOOKUP(tblOrdenes[[#This Row],[id_operacion]],tblEjecucion[id_operacion],tblEjecucion[precio],0))</f>
        <v/>
      </c>
      <c r="AL713" s="18">
        <f>IF(tblOrdenes[[#This Row],[orden]]="","",MAX(0,_xlfn.XLOOKUP(tblOrdenes[[#This Row],[id_operacion]],tblEjecucion[id_operacion],tblEjecucion[costo_plan_total],0)-tblOrdenes[[#This Row],[costo_servicio]]))</f>
        <v/>
      </c>
      <c r="AM713" s="18">
        <f>IF(tblOrdenes[[#This Row],[orden]]="","",tblOrdenes[[#This Row],[costo_servicio]]+tblOrdenes[[#This Row],[costo_materiales]])</f>
        <v/>
      </c>
      <c r="AN7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3" s="4" t="n"/>
      <c r="AP713" s="4" t="n"/>
      <c r="AQ713" s="4" t="n"/>
      <c r="AR713" s="5">
        <f>IF(tblOrdenes[[#This Row],[link_checklist]]="","",HYPERLINK(p_ruta_base_checklists&amp;tblOrdenes[[#This Row],[link_checklist]],"abrir"))</f>
        <v/>
      </c>
      <c r="AS713" s="4" t="n"/>
      <c r="AT713" s="5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22" t="n"/>
      <c r="K714" s="5" t="n"/>
      <c r="L714" s="18" t="n"/>
      <c r="M7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5">
        <f>IF(tblOrdenes[[#This Row],[fecha_inicio]]="","",YEAR(tblOrdenes[[#This Row],[fecha_inicio]]))</f>
        <v/>
      </c>
      <c r="Q714" s="5">
        <f>IF(tblOrdenes[[#This Row],[fecha_inicio]]="","",MONTH(tblOrdenes[[#This Row],[fecha_inicio]]))</f>
        <v/>
      </c>
      <c r="R714" s="5">
        <f>IF(tblOrdenes[[#This Row],[fecha_inicio]]="","",tblOrdenes[[#This Row],[anio]]&amp;"-"&amp;TEXT(tblOrdenes[[#This Row],[mes]],"00"))</f>
        <v/>
      </c>
      <c r="S714" s="5">
        <f>IF(tblOrdenes[[#This Row],[fecha_inicio]]="","",INDEX(lista_dias,WEEKDAY(tblOrdenes[[#This Row],[fecha_inicio]],2)))</f>
        <v/>
      </c>
      <c r="T7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4" s="5">
        <f>IF(tblOrdenes[[#This Row],[tipo_ot]]="","",_xlfn.XLOOKUP(tblOrdenes[[#This Row],[tipo_ot]],tblTiposOT[codigo],tblTiposOT[clasificacion],"sin_clasificar"))</f>
        <v/>
      </c>
      <c r="V7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4" s="5">
        <f>IF(tblOrdenes[[#This Row],[centro_costo]]="","",_xlfn.XLOOKUP(tblOrdenes[[#This Row],[centro_costo]],tblCECO[codigo],tblCECO[linea],"(sin catálogo)"))</f>
        <v/>
      </c>
      <c r="X714" s="5">
        <f>IF(tblOrdenes[[#This Row],[centro_costo]]="","",_xlfn.XLOOKUP(tblOrdenes[[#This Row],[centro_costo]],tblCECO[codigo],tblCECO[area],"(sin catálogo)"))</f>
        <v/>
      </c>
      <c r="Y7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4" s="5">
        <f>IF(tblOrdenes[[#This Row],[centro_costo]]="","",_xlfn.XLOOKUP(tblOrdenes[[#This Row],[centro_costo]],tblCECO[codigo],tblCECO[coordinador],"(sin catálogo)"))</f>
        <v/>
      </c>
      <c r="AA714" s="5">
        <f>IF(tblOrdenes[[#This Row],[puesto_trabajo]]="","",_xlfn.XLOOKUP(tblOrdenes[[#This Row],[puesto_trabajo]],tblPuestos[codigo],tblPuestos[especialidad],"(sin catálogo)"))</f>
        <v/>
      </c>
      <c r="AB714" s="5">
        <f>IF(tblOrdenes[[#This Row],[cod_actividad]]="","",_xlfn.XLOOKUP(tblOrdenes[[#This Row],[cod_actividad]],tblActividades[codigo],tblActividades[descripcion],"(sin catálogo)"))</f>
        <v/>
      </c>
      <c r="AC714" s="20">
        <f>IF(tblOrdenes[[#This Row],[fecha_inicio]]="","",TODAY()-tblOrdenes[[#This Row],[fecha_inicio]])</f>
        <v/>
      </c>
      <c r="AD7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4" s="5">
        <f>IF(tblOrdenes[[#This Row],[backlog_habiles]]="","",IF(tblOrdenes[[#This Row],[backlog_habiles]]&lt;0,"FUTURO",IF(tblOrdenes[[#This Row],[backlog_habiles]]&gt;p_dias_backlog_max,"BACKLOG","MES CORRIENTE")))</f>
        <v/>
      </c>
      <c r="AF714" s="5">
        <f>IF(tblOrdenes[[#This Row],[backlog_habiles]]="",FALSE,AND(tblOrdenes[[#This Row],[backlog_habiles]]&gt;p_dias_backlog_min,tblOrdenes[[#This Row],[backlog_habiles]]&lt;=p_dias_backlog_max))</f>
        <v/>
      </c>
      <c r="AG714" s="4" t="n"/>
      <c r="AH7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4" s="18">
        <f>IF(tblOrdenes[[#This Row],[orden]]="","",_xlfn.XLOOKUP(tblOrdenes[[#This Row],[id_operacion]],tblEjecucion[id_operacion],tblEjecucion[precio],0))</f>
        <v/>
      </c>
      <c r="AL714" s="18">
        <f>IF(tblOrdenes[[#This Row],[orden]]="","",MAX(0,_xlfn.XLOOKUP(tblOrdenes[[#This Row],[id_operacion]],tblEjecucion[id_operacion],tblEjecucion[costo_plan_total],0)-tblOrdenes[[#This Row],[costo_servicio]]))</f>
        <v/>
      </c>
      <c r="AM714" s="18">
        <f>IF(tblOrdenes[[#This Row],[orden]]="","",tblOrdenes[[#This Row],[costo_servicio]]+tblOrdenes[[#This Row],[costo_materiales]])</f>
        <v/>
      </c>
      <c r="AN7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4" s="4" t="n"/>
      <c r="AP714" s="4" t="n"/>
      <c r="AQ714" s="4" t="n"/>
      <c r="AR714" s="5">
        <f>IF(tblOrdenes[[#This Row],[link_checklist]]="","",HYPERLINK(p_ruta_base_checklists&amp;tblOrdenes[[#This Row],[link_checklist]],"abrir"))</f>
        <v/>
      </c>
      <c r="AS714" s="4" t="n"/>
      <c r="AT714" s="5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22" t="n"/>
      <c r="K715" s="5" t="n"/>
      <c r="L715" s="18" t="n"/>
      <c r="M7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5">
        <f>IF(tblOrdenes[[#This Row],[fecha_inicio]]="","",YEAR(tblOrdenes[[#This Row],[fecha_inicio]]))</f>
        <v/>
      </c>
      <c r="Q715" s="5">
        <f>IF(tblOrdenes[[#This Row],[fecha_inicio]]="","",MONTH(tblOrdenes[[#This Row],[fecha_inicio]]))</f>
        <v/>
      </c>
      <c r="R715" s="5">
        <f>IF(tblOrdenes[[#This Row],[fecha_inicio]]="","",tblOrdenes[[#This Row],[anio]]&amp;"-"&amp;TEXT(tblOrdenes[[#This Row],[mes]],"00"))</f>
        <v/>
      </c>
      <c r="S715" s="5">
        <f>IF(tblOrdenes[[#This Row],[fecha_inicio]]="","",INDEX(lista_dias,WEEKDAY(tblOrdenes[[#This Row],[fecha_inicio]],2)))</f>
        <v/>
      </c>
      <c r="T7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5" s="5">
        <f>IF(tblOrdenes[[#This Row],[tipo_ot]]="","",_xlfn.XLOOKUP(tblOrdenes[[#This Row],[tipo_ot]],tblTiposOT[codigo],tblTiposOT[clasificacion],"sin_clasificar"))</f>
        <v/>
      </c>
      <c r="V7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5" s="5">
        <f>IF(tblOrdenes[[#This Row],[centro_costo]]="","",_xlfn.XLOOKUP(tblOrdenes[[#This Row],[centro_costo]],tblCECO[codigo],tblCECO[linea],"(sin catálogo)"))</f>
        <v/>
      </c>
      <c r="X715" s="5">
        <f>IF(tblOrdenes[[#This Row],[centro_costo]]="","",_xlfn.XLOOKUP(tblOrdenes[[#This Row],[centro_costo]],tblCECO[codigo],tblCECO[area],"(sin catálogo)"))</f>
        <v/>
      </c>
      <c r="Y7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5" s="5">
        <f>IF(tblOrdenes[[#This Row],[centro_costo]]="","",_xlfn.XLOOKUP(tblOrdenes[[#This Row],[centro_costo]],tblCECO[codigo],tblCECO[coordinador],"(sin catálogo)"))</f>
        <v/>
      </c>
      <c r="AA715" s="5">
        <f>IF(tblOrdenes[[#This Row],[puesto_trabajo]]="","",_xlfn.XLOOKUP(tblOrdenes[[#This Row],[puesto_trabajo]],tblPuestos[codigo],tblPuestos[especialidad],"(sin catálogo)"))</f>
        <v/>
      </c>
      <c r="AB715" s="5">
        <f>IF(tblOrdenes[[#This Row],[cod_actividad]]="","",_xlfn.XLOOKUP(tblOrdenes[[#This Row],[cod_actividad]],tblActividades[codigo],tblActividades[descripcion],"(sin catálogo)"))</f>
        <v/>
      </c>
      <c r="AC715" s="20">
        <f>IF(tblOrdenes[[#This Row],[fecha_inicio]]="","",TODAY()-tblOrdenes[[#This Row],[fecha_inicio]])</f>
        <v/>
      </c>
      <c r="AD7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5" s="5">
        <f>IF(tblOrdenes[[#This Row],[backlog_habiles]]="","",IF(tblOrdenes[[#This Row],[backlog_habiles]]&lt;0,"FUTURO",IF(tblOrdenes[[#This Row],[backlog_habiles]]&gt;p_dias_backlog_max,"BACKLOG","MES CORRIENTE")))</f>
        <v/>
      </c>
      <c r="AF715" s="5">
        <f>IF(tblOrdenes[[#This Row],[backlog_habiles]]="",FALSE,AND(tblOrdenes[[#This Row],[backlog_habiles]]&gt;p_dias_backlog_min,tblOrdenes[[#This Row],[backlog_habiles]]&lt;=p_dias_backlog_max))</f>
        <v/>
      </c>
      <c r="AG715" s="4" t="n"/>
      <c r="AH7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5" s="18">
        <f>IF(tblOrdenes[[#This Row],[orden]]="","",_xlfn.XLOOKUP(tblOrdenes[[#This Row],[id_operacion]],tblEjecucion[id_operacion],tblEjecucion[precio],0))</f>
        <v/>
      </c>
      <c r="AL715" s="18">
        <f>IF(tblOrdenes[[#This Row],[orden]]="","",MAX(0,_xlfn.XLOOKUP(tblOrdenes[[#This Row],[id_operacion]],tblEjecucion[id_operacion],tblEjecucion[costo_plan_total],0)-tblOrdenes[[#This Row],[costo_servicio]]))</f>
        <v/>
      </c>
      <c r="AM715" s="18">
        <f>IF(tblOrdenes[[#This Row],[orden]]="","",tblOrdenes[[#This Row],[costo_servicio]]+tblOrdenes[[#This Row],[costo_materiales]])</f>
        <v/>
      </c>
      <c r="AN7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5" s="4" t="n"/>
      <c r="AP715" s="4" t="n"/>
      <c r="AQ715" s="4" t="n"/>
      <c r="AR715" s="5">
        <f>IF(tblOrdenes[[#This Row],[link_checklist]]="","",HYPERLINK(p_ruta_base_checklists&amp;tblOrdenes[[#This Row],[link_checklist]],"abrir"))</f>
        <v/>
      </c>
      <c r="AS715" s="4" t="n"/>
      <c r="AT715" s="5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22" t="n"/>
      <c r="K716" s="5" t="n"/>
      <c r="L716" s="18" t="n"/>
      <c r="M7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5">
        <f>IF(tblOrdenes[[#This Row],[fecha_inicio]]="","",YEAR(tblOrdenes[[#This Row],[fecha_inicio]]))</f>
        <v/>
      </c>
      <c r="Q716" s="5">
        <f>IF(tblOrdenes[[#This Row],[fecha_inicio]]="","",MONTH(tblOrdenes[[#This Row],[fecha_inicio]]))</f>
        <v/>
      </c>
      <c r="R716" s="5">
        <f>IF(tblOrdenes[[#This Row],[fecha_inicio]]="","",tblOrdenes[[#This Row],[anio]]&amp;"-"&amp;TEXT(tblOrdenes[[#This Row],[mes]],"00"))</f>
        <v/>
      </c>
      <c r="S716" s="5">
        <f>IF(tblOrdenes[[#This Row],[fecha_inicio]]="","",INDEX(lista_dias,WEEKDAY(tblOrdenes[[#This Row],[fecha_inicio]],2)))</f>
        <v/>
      </c>
      <c r="T7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6" s="5">
        <f>IF(tblOrdenes[[#This Row],[tipo_ot]]="","",_xlfn.XLOOKUP(tblOrdenes[[#This Row],[tipo_ot]],tblTiposOT[codigo],tblTiposOT[clasificacion],"sin_clasificar"))</f>
        <v/>
      </c>
      <c r="V7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6" s="5">
        <f>IF(tblOrdenes[[#This Row],[centro_costo]]="","",_xlfn.XLOOKUP(tblOrdenes[[#This Row],[centro_costo]],tblCECO[codigo],tblCECO[linea],"(sin catálogo)"))</f>
        <v/>
      </c>
      <c r="X716" s="5">
        <f>IF(tblOrdenes[[#This Row],[centro_costo]]="","",_xlfn.XLOOKUP(tblOrdenes[[#This Row],[centro_costo]],tblCECO[codigo],tblCECO[area],"(sin catálogo)"))</f>
        <v/>
      </c>
      <c r="Y7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6" s="5">
        <f>IF(tblOrdenes[[#This Row],[centro_costo]]="","",_xlfn.XLOOKUP(tblOrdenes[[#This Row],[centro_costo]],tblCECO[codigo],tblCECO[coordinador],"(sin catálogo)"))</f>
        <v/>
      </c>
      <c r="AA716" s="5">
        <f>IF(tblOrdenes[[#This Row],[puesto_trabajo]]="","",_xlfn.XLOOKUP(tblOrdenes[[#This Row],[puesto_trabajo]],tblPuestos[codigo],tblPuestos[especialidad],"(sin catálogo)"))</f>
        <v/>
      </c>
      <c r="AB716" s="5">
        <f>IF(tblOrdenes[[#This Row],[cod_actividad]]="","",_xlfn.XLOOKUP(tblOrdenes[[#This Row],[cod_actividad]],tblActividades[codigo],tblActividades[descripcion],"(sin catálogo)"))</f>
        <v/>
      </c>
      <c r="AC716" s="20">
        <f>IF(tblOrdenes[[#This Row],[fecha_inicio]]="","",TODAY()-tblOrdenes[[#This Row],[fecha_inicio]])</f>
        <v/>
      </c>
      <c r="AD7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6" s="5">
        <f>IF(tblOrdenes[[#This Row],[backlog_habiles]]="","",IF(tblOrdenes[[#This Row],[backlog_habiles]]&lt;0,"FUTURO",IF(tblOrdenes[[#This Row],[backlog_habiles]]&gt;p_dias_backlog_max,"BACKLOG","MES CORRIENTE")))</f>
        <v/>
      </c>
      <c r="AF716" s="5">
        <f>IF(tblOrdenes[[#This Row],[backlog_habiles]]="",FALSE,AND(tblOrdenes[[#This Row],[backlog_habiles]]&gt;p_dias_backlog_min,tblOrdenes[[#This Row],[backlog_habiles]]&lt;=p_dias_backlog_max))</f>
        <v/>
      </c>
      <c r="AG716" s="4" t="n"/>
      <c r="AH7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6" s="18">
        <f>IF(tblOrdenes[[#This Row],[orden]]="","",_xlfn.XLOOKUP(tblOrdenes[[#This Row],[id_operacion]],tblEjecucion[id_operacion],tblEjecucion[precio],0))</f>
        <v/>
      </c>
      <c r="AL716" s="18">
        <f>IF(tblOrdenes[[#This Row],[orden]]="","",MAX(0,_xlfn.XLOOKUP(tblOrdenes[[#This Row],[id_operacion]],tblEjecucion[id_operacion],tblEjecucion[costo_plan_total],0)-tblOrdenes[[#This Row],[costo_servicio]]))</f>
        <v/>
      </c>
      <c r="AM716" s="18">
        <f>IF(tblOrdenes[[#This Row],[orden]]="","",tblOrdenes[[#This Row],[costo_servicio]]+tblOrdenes[[#This Row],[costo_materiales]])</f>
        <v/>
      </c>
      <c r="AN7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6" s="4" t="n"/>
      <c r="AP716" s="4" t="n"/>
      <c r="AQ716" s="4" t="n"/>
      <c r="AR716" s="5">
        <f>IF(tblOrdenes[[#This Row],[link_checklist]]="","",HYPERLINK(p_ruta_base_checklists&amp;tblOrdenes[[#This Row],[link_checklist]],"abrir"))</f>
        <v/>
      </c>
      <c r="AS716" s="4" t="n"/>
      <c r="AT716" s="5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22" t="n"/>
      <c r="K717" s="5" t="n"/>
      <c r="L717" s="18" t="n"/>
      <c r="M7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5">
        <f>IF(tblOrdenes[[#This Row],[fecha_inicio]]="","",YEAR(tblOrdenes[[#This Row],[fecha_inicio]]))</f>
        <v/>
      </c>
      <c r="Q717" s="5">
        <f>IF(tblOrdenes[[#This Row],[fecha_inicio]]="","",MONTH(tblOrdenes[[#This Row],[fecha_inicio]]))</f>
        <v/>
      </c>
      <c r="R717" s="5">
        <f>IF(tblOrdenes[[#This Row],[fecha_inicio]]="","",tblOrdenes[[#This Row],[anio]]&amp;"-"&amp;TEXT(tblOrdenes[[#This Row],[mes]],"00"))</f>
        <v/>
      </c>
      <c r="S717" s="5">
        <f>IF(tblOrdenes[[#This Row],[fecha_inicio]]="","",INDEX(lista_dias,WEEKDAY(tblOrdenes[[#This Row],[fecha_inicio]],2)))</f>
        <v/>
      </c>
      <c r="T7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7" s="5">
        <f>IF(tblOrdenes[[#This Row],[tipo_ot]]="","",_xlfn.XLOOKUP(tblOrdenes[[#This Row],[tipo_ot]],tblTiposOT[codigo],tblTiposOT[clasificacion],"sin_clasificar"))</f>
        <v/>
      </c>
      <c r="V7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7" s="5">
        <f>IF(tblOrdenes[[#This Row],[centro_costo]]="","",_xlfn.XLOOKUP(tblOrdenes[[#This Row],[centro_costo]],tblCECO[codigo],tblCECO[linea],"(sin catálogo)"))</f>
        <v/>
      </c>
      <c r="X717" s="5">
        <f>IF(tblOrdenes[[#This Row],[centro_costo]]="","",_xlfn.XLOOKUP(tblOrdenes[[#This Row],[centro_costo]],tblCECO[codigo],tblCECO[area],"(sin catálogo)"))</f>
        <v/>
      </c>
      <c r="Y7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7" s="5">
        <f>IF(tblOrdenes[[#This Row],[centro_costo]]="","",_xlfn.XLOOKUP(tblOrdenes[[#This Row],[centro_costo]],tblCECO[codigo],tblCECO[coordinador],"(sin catálogo)"))</f>
        <v/>
      </c>
      <c r="AA717" s="5">
        <f>IF(tblOrdenes[[#This Row],[puesto_trabajo]]="","",_xlfn.XLOOKUP(tblOrdenes[[#This Row],[puesto_trabajo]],tblPuestos[codigo],tblPuestos[especialidad],"(sin catálogo)"))</f>
        <v/>
      </c>
      <c r="AB717" s="5">
        <f>IF(tblOrdenes[[#This Row],[cod_actividad]]="","",_xlfn.XLOOKUP(tblOrdenes[[#This Row],[cod_actividad]],tblActividades[codigo],tblActividades[descripcion],"(sin catálogo)"))</f>
        <v/>
      </c>
      <c r="AC717" s="20">
        <f>IF(tblOrdenes[[#This Row],[fecha_inicio]]="","",TODAY()-tblOrdenes[[#This Row],[fecha_inicio]])</f>
        <v/>
      </c>
      <c r="AD7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7" s="5">
        <f>IF(tblOrdenes[[#This Row],[backlog_habiles]]="","",IF(tblOrdenes[[#This Row],[backlog_habiles]]&lt;0,"FUTURO",IF(tblOrdenes[[#This Row],[backlog_habiles]]&gt;p_dias_backlog_max,"BACKLOG","MES CORRIENTE")))</f>
        <v/>
      </c>
      <c r="AF717" s="5">
        <f>IF(tblOrdenes[[#This Row],[backlog_habiles]]="",FALSE,AND(tblOrdenes[[#This Row],[backlog_habiles]]&gt;p_dias_backlog_min,tblOrdenes[[#This Row],[backlog_habiles]]&lt;=p_dias_backlog_max))</f>
        <v/>
      </c>
      <c r="AG717" s="4" t="n"/>
      <c r="AH7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7" s="18">
        <f>IF(tblOrdenes[[#This Row],[orden]]="","",_xlfn.XLOOKUP(tblOrdenes[[#This Row],[id_operacion]],tblEjecucion[id_operacion],tblEjecucion[precio],0))</f>
        <v/>
      </c>
      <c r="AL717" s="18">
        <f>IF(tblOrdenes[[#This Row],[orden]]="","",MAX(0,_xlfn.XLOOKUP(tblOrdenes[[#This Row],[id_operacion]],tblEjecucion[id_operacion],tblEjecucion[costo_plan_total],0)-tblOrdenes[[#This Row],[costo_servicio]]))</f>
        <v/>
      </c>
      <c r="AM717" s="18">
        <f>IF(tblOrdenes[[#This Row],[orden]]="","",tblOrdenes[[#This Row],[costo_servicio]]+tblOrdenes[[#This Row],[costo_materiales]])</f>
        <v/>
      </c>
      <c r="AN7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7" s="4" t="n"/>
      <c r="AP717" s="4" t="n"/>
      <c r="AQ717" s="4" t="n"/>
      <c r="AR717" s="5">
        <f>IF(tblOrdenes[[#This Row],[link_checklist]]="","",HYPERLINK(p_ruta_base_checklists&amp;tblOrdenes[[#This Row],[link_checklist]],"abrir"))</f>
        <v/>
      </c>
      <c r="AS717" s="4" t="n"/>
      <c r="AT717" s="5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22" t="n"/>
      <c r="K718" s="5" t="n"/>
      <c r="L718" s="18" t="n"/>
      <c r="M7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5">
        <f>IF(tblOrdenes[[#This Row],[fecha_inicio]]="","",YEAR(tblOrdenes[[#This Row],[fecha_inicio]]))</f>
        <v/>
      </c>
      <c r="Q718" s="5">
        <f>IF(tblOrdenes[[#This Row],[fecha_inicio]]="","",MONTH(tblOrdenes[[#This Row],[fecha_inicio]]))</f>
        <v/>
      </c>
      <c r="R718" s="5">
        <f>IF(tblOrdenes[[#This Row],[fecha_inicio]]="","",tblOrdenes[[#This Row],[anio]]&amp;"-"&amp;TEXT(tblOrdenes[[#This Row],[mes]],"00"))</f>
        <v/>
      </c>
      <c r="S718" s="5">
        <f>IF(tblOrdenes[[#This Row],[fecha_inicio]]="","",INDEX(lista_dias,WEEKDAY(tblOrdenes[[#This Row],[fecha_inicio]],2)))</f>
        <v/>
      </c>
      <c r="T7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8" s="5">
        <f>IF(tblOrdenes[[#This Row],[tipo_ot]]="","",_xlfn.XLOOKUP(tblOrdenes[[#This Row],[tipo_ot]],tblTiposOT[codigo],tblTiposOT[clasificacion],"sin_clasificar"))</f>
        <v/>
      </c>
      <c r="V7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8" s="5">
        <f>IF(tblOrdenes[[#This Row],[centro_costo]]="","",_xlfn.XLOOKUP(tblOrdenes[[#This Row],[centro_costo]],tblCECO[codigo],tblCECO[linea],"(sin catálogo)"))</f>
        <v/>
      </c>
      <c r="X718" s="5">
        <f>IF(tblOrdenes[[#This Row],[centro_costo]]="","",_xlfn.XLOOKUP(tblOrdenes[[#This Row],[centro_costo]],tblCECO[codigo],tblCECO[area],"(sin catálogo)"))</f>
        <v/>
      </c>
      <c r="Y7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8" s="5">
        <f>IF(tblOrdenes[[#This Row],[centro_costo]]="","",_xlfn.XLOOKUP(tblOrdenes[[#This Row],[centro_costo]],tblCECO[codigo],tblCECO[coordinador],"(sin catálogo)"))</f>
        <v/>
      </c>
      <c r="AA718" s="5">
        <f>IF(tblOrdenes[[#This Row],[puesto_trabajo]]="","",_xlfn.XLOOKUP(tblOrdenes[[#This Row],[puesto_trabajo]],tblPuestos[codigo],tblPuestos[especialidad],"(sin catálogo)"))</f>
        <v/>
      </c>
      <c r="AB718" s="5">
        <f>IF(tblOrdenes[[#This Row],[cod_actividad]]="","",_xlfn.XLOOKUP(tblOrdenes[[#This Row],[cod_actividad]],tblActividades[codigo],tblActividades[descripcion],"(sin catálogo)"))</f>
        <v/>
      </c>
      <c r="AC718" s="20">
        <f>IF(tblOrdenes[[#This Row],[fecha_inicio]]="","",TODAY()-tblOrdenes[[#This Row],[fecha_inicio]])</f>
        <v/>
      </c>
      <c r="AD7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8" s="5">
        <f>IF(tblOrdenes[[#This Row],[backlog_habiles]]="","",IF(tblOrdenes[[#This Row],[backlog_habiles]]&lt;0,"FUTURO",IF(tblOrdenes[[#This Row],[backlog_habiles]]&gt;p_dias_backlog_max,"BACKLOG","MES CORRIENTE")))</f>
        <v/>
      </c>
      <c r="AF718" s="5">
        <f>IF(tblOrdenes[[#This Row],[backlog_habiles]]="",FALSE,AND(tblOrdenes[[#This Row],[backlog_habiles]]&gt;p_dias_backlog_min,tblOrdenes[[#This Row],[backlog_habiles]]&lt;=p_dias_backlog_max))</f>
        <v/>
      </c>
      <c r="AG718" s="4" t="n"/>
      <c r="AH7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8" s="18">
        <f>IF(tblOrdenes[[#This Row],[orden]]="","",_xlfn.XLOOKUP(tblOrdenes[[#This Row],[id_operacion]],tblEjecucion[id_operacion],tblEjecucion[precio],0))</f>
        <v/>
      </c>
      <c r="AL718" s="18">
        <f>IF(tblOrdenes[[#This Row],[orden]]="","",MAX(0,_xlfn.XLOOKUP(tblOrdenes[[#This Row],[id_operacion]],tblEjecucion[id_operacion],tblEjecucion[costo_plan_total],0)-tblOrdenes[[#This Row],[costo_servicio]]))</f>
        <v/>
      </c>
      <c r="AM718" s="18">
        <f>IF(tblOrdenes[[#This Row],[orden]]="","",tblOrdenes[[#This Row],[costo_servicio]]+tblOrdenes[[#This Row],[costo_materiales]])</f>
        <v/>
      </c>
      <c r="AN7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8" s="4" t="n"/>
      <c r="AP718" s="4" t="n"/>
      <c r="AQ718" s="4" t="n"/>
      <c r="AR718" s="5">
        <f>IF(tblOrdenes[[#This Row],[link_checklist]]="","",HYPERLINK(p_ruta_base_checklists&amp;tblOrdenes[[#This Row],[link_checklist]],"abrir"))</f>
        <v/>
      </c>
      <c r="AS718" s="4" t="n"/>
      <c r="AT718" s="5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22" t="n"/>
      <c r="K719" s="5" t="n"/>
      <c r="L719" s="18" t="n"/>
      <c r="M7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5">
        <f>IF(tblOrdenes[[#This Row],[fecha_inicio]]="","",YEAR(tblOrdenes[[#This Row],[fecha_inicio]]))</f>
        <v/>
      </c>
      <c r="Q719" s="5">
        <f>IF(tblOrdenes[[#This Row],[fecha_inicio]]="","",MONTH(tblOrdenes[[#This Row],[fecha_inicio]]))</f>
        <v/>
      </c>
      <c r="R719" s="5">
        <f>IF(tblOrdenes[[#This Row],[fecha_inicio]]="","",tblOrdenes[[#This Row],[anio]]&amp;"-"&amp;TEXT(tblOrdenes[[#This Row],[mes]],"00"))</f>
        <v/>
      </c>
      <c r="S719" s="5">
        <f>IF(tblOrdenes[[#This Row],[fecha_inicio]]="","",INDEX(lista_dias,WEEKDAY(tblOrdenes[[#This Row],[fecha_inicio]],2)))</f>
        <v/>
      </c>
      <c r="T7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9" s="5">
        <f>IF(tblOrdenes[[#This Row],[tipo_ot]]="","",_xlfn.XLOOKUP(tblOrdenes[[#This Row],[tipo_ot]],tblTiposOT[codigo],tblTiposOT[clasificacion],"sin_clasificar"))</f>
        <v/>
      </c>
      <c r="V7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9" s="5">
        <f>IF(tblOrdenes[[#This Row],[centro_costo]]="","",_xlfn.XLOOKUP(tblOrdenes[[#This Row],[centro_costo]],tblCECO[codigo],tblCECO[linea],"(sin catálogo)"))</f>
        <v/>
      </c>
      <c r="X719" s="5">
        <f>IF(tblOrdenes[[#This Row],[centro_costo]]="","",_xlfn.XLOOKUP(tblOrdenes[[#This Row],[centro_costo]],tblCECO[codigo],tblCECO[area],"(sin catálogo)"))</f>
        <v/>
      </c>
      <c r="Y7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19" s="5">
        <f>IF(tblOrdenes[[#This Row],[centro_costo]]="","",_xlfn.XLOOKUP(tblOrdenes[[#This Row],[centro_costo]],tblCECO[codigo],tblCECO[coordinador],"(sin catálogo)"))</f>
        <v/>
      </c>
      <c r="AA719" s="5">
        <f>IF(tblOrdenes[[#This Row],[puesto_trabajo]]="","",_xlfn.XLOOKUP(tblOrdenes[[#This Row],[puesto_trabajo]],tblPuestos[codigo],tblPuestos[especialidad],"(sin catálogo)"))</f>
        <v/>
      </c>
      <c r="AB719" s="5">
        <f>IF(tblOrdenes[[#This Row],[cod_actividad]]="","",_xlfn.XLOOKUP(tblOrdenes[[#This Row],[cod_actividad]],tblActividades[codigo],tblActividades[descripcion],"(sin catálogo)"))</f>
        <v/>
      </c>
      <c r="AC719" s="20">
        <f>IF(tblOrdenes[[#This Row],[fecha_inicio]]="","",TODAY()-tblOrdenes[[#This Row],[fecha_inicio]])</f>
        <v/>
      </c>
      <c r="AD7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19" s="5">
        <f>IF(tblOrdenes[[#This Row],[backlog_habiles]]="","",IF(tblOrdenes[[#This Row],[backlog_habiles]]&lt;0,"FUTURO",IF(tblOrdenes[[#This Row],[backlog_habiles]]&gt;p_dias_backlog_max,"BACKLOG","MES CORRIENTE")))</f>
        <v/>
      </c>
      <c r="AF719" s="5">
        <f>IF(tblOrdenes[[#This Row],[backlog_habiles]]="",FALSE,AND(tblOrdenes[[#This Row],[backlog_habiles]]&gt;p_dias_backlog_min,tblOrdenes[[#This Row],[backlog_habiles]]&lt;=p_dias_backlog_max))</f>
        <v/>
      </c>
      <c r="AG719" s="4" t="n"/>
      <c r="AH7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19" s="18">
        <f>IF(tblOrdenes[[#This Row],[orden]]="","",_xlfn.XLOOKUP(tblOrdenes[[#This Row],[id_operacion]],tblEjecucion[id_operacion],tblEjecucion[precio],0))</f>
        <v/>
      </c>
      <c r="AL719" s="18">
        <f>IF(tblOrdenes[[#This Row],[orden]]="","",MAX(0,_xlfn.XLOOKUP(tblOrdenes[[#This Row],[id_operacion]],tblEjecucion[id_operacion],tblEjecucion[costo_plan_total],0)-tblOrdenes[[#This Row],[costo_servicio]]))</f>
        <v/>
      </c>
      <c r="AM719" s="18">
        <f>IF(tblOrdenes[[#This Row],[orden]]="","",tblOrdenes[[#This Row],[costo_servicio]]+tblOrdenes[[#This Row],[costo_materiales]])</f>
        <v/>
      </c>
      <c r="AN7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19" s="4" t="n"/>
      <c r="AP719" s="4" t="n"/>
      <c r="AQ719" s="4" t="n"/>
      <c r="AR719" s="5">
        <f>IF(tblOrdenes[[#This Row],[link_checklist]]="","",HYPERLINK(p_ruta_base_checklists&amp;tblOrdenes[[#This Row],[link_checklist]],"abrir"))</f>
        <v/>
      </c>
      <c r="AS719" s="4" t="n"/>
      <c r="AT719" s="5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22" t="n"/>
      <c r="K720" s="5" t="n"/>
      <c r="L720" s="18" t="n"/>
      <c r="M7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5">
        <f>IF(tblOrdenes[[#This Row],[fecha_inicio]]="","",YEAR(tblOrdenes[[#This Row],[fecha_inicio]]))</f>
        <v/>
      </c>
      <c r="Q720" s="5">
        <f>IF(tblOrdenes[[#This Row],[fecha_inicio]]="","",MONTH(tblOrdenes[[#This Row],[fecha_inicio]]))</f>
        <v/>
      </c>
      <c r="R720" s="5">
        <f>IF(tblOrdenes[[#This Row],[fecha_inicio]]="","",tblOrdenes[[#This Row],[anio]]&amp;"-"&amp;TEXT(tblOrdenes[[#This Row],[mes]],"00"))</f>
        <v/>
      </c>
      <c r="S720" s="5">
        <f>IF(tblOrdenes[[#This Row],[fecha_inicio]]="","",INDEX(lista_dias,WEEKDAY(tblOrdenes[[#This Row],[fecha_inicio]],2)))</f>
        <v/>
      </c>
      <c r="T7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0" s="5">
        <f>IF(tblOrdenes[[#This Row],[tipo_ot]]="","",_xlfn.XLOOKUP(tblOrdenes[[#This Row],[tipo_ot]],tblTiposOT[codigo],tblTiposOT[clasificacion],"sin_clasificar"))</f>
        <v/>
      </c>
      <c r="V7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0" s="5">
        <f>IF(tblOrdenes[[#This Row],[centro_costo]]="","",_xlfn.XLOOKUP(tblOrdenes[[#This Row],[centro_costo]],tblCECO[codigo],tblCECO[linea],"(sin catálogo)"))</f>
        <v/>
      </c>
      <c r="X720" s="5">
        <f>IF(tblOrdenes[[#This Row],[centro_costo]]="","",_xlfn.XLOOKUP(tblOrdenes[[#This Row],[centro_costo]],tblCECO[codigo],tblCECO[area],"(sin catálogo)"))</f>
        <v/>
      </c>
      <c r="Y7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0" s="5">
        <f>IF(tblOrdenes[[#This Row],[centro_costo]]="","",_xlfn.XLOOKUP(tblOrdenes[[#This Row],[centro_costo]],tblCECO[codigo],tblCECO[coordinador],"(sin catálogo)"))</f>
        <v/>
      </c>
      <c r="AA720" s="5">
        <f>IF(tblOrdenes[[#This Row],[puesto_trabajo]]="","",_xlfn.XLOOKUP(tblOrdenes[[#This Row],[puesto_trabajo]],tblPuestos[codigo],tblPuestos[especialidad],"(sin catálogo)"))</f>
        <v/>
      </c>
      <c r="AB720" s="5">
        <f>IF(tblOrdenes[[#This Row],[cod_actividad]]="","",_xlfn.XLOOKUP(tblOrdenes[[#This Row],[cod_actividad]],tblActividades[codigo],tblActividades[descripcion],"(sin catálogo)"))</f>
        <v/>
      </c>
      <c r="AC720" s="20">
        <f>IF(tblOrdenes[[#This Row],[fecha_inicio]]="","",TODAY()-tblOrdenes[[#This Row],[fecha_inicio]])</f>
        <v/>
      </c>
      <c r="AD7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0" s="5">
        <f>IF(tblOrdenes[[#This Row],[backlog_habiles]]="","",IF(tblOrdenes[[#This Row],[backlog_habiles]]&lt;0,"FUTURO",IF(tblOrdenes[[#This Row],[backlog_habiles]]&gt;p_dias_backlog_max,"BACKLOG","MES CORRIENTE")))</f>
        <v/>
      </c>
      <c r="AF720" s="5">
        <f>IF(tblOrdenes[[#This Row],[backlog_habiles]]="",FALSE,AND(tblOrdenes[[#This Row],[backlog_habiles]]&gt;p_dias_backlog_min,tblOrdenes[[#This Row],[backlog_habiles]]&lt;=p_dias_backlog_max))</f>
        <v/>
      </c>
      <c r="AG720" s="4" t="n"/>
      <c r="AH7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0" s="18">
        <f>IF(tblOrdenes[[#This Row],[orden]]="","",_xlfn.XLOOKUP(tblOrdenes[[#This Row],[id_operacion]],tblEjecucion[id_operacion],tblEjecucion[precio],0))</f>
        <v/>
      </c>
      <c r="AL720" s="18">
        <f>IF(tblOrdenes[[#This Row],[orden]]="","",MAX(0,_xlfn.XLOOKUP(tblOrdenes[[#This Row],[id_operacion]],tblEjecucion[id_operacion],tblEjecucion[costo_plan_total],0)-tblOrdenes[[#This Row],[costo_servicio]]))</f>
        <v/>
      </c>
      <c r="AM720" s="18">
        <f>IF(tblOrdenes[[#This Row],[orden]]="","",tblOrdenes[[#This Row],[costo_servicio]]+tblOrdenes[[#This Row],[costo_materiales]])</f>
        <v/>
      </c>
      <c r="AN7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0" s="4" t="n"/>
      <c r="AP720" s="4" t="n"/>
      <c r="AQ720" s="4" t="n"/>
      <c r="AR720" s="5">
        <f>IF(tblOrdenes[[#This Row],[link_checklist]]="","",HYPERLINK(p_ruta_base_checklists&amp;tblOrdenes[[#This Row],[link_checklist]],"abrir"))</f>
        <v/>
      </c>
      <c r="AS720" s="4" t="n"/>
      <c r="AT720" s="5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22" t="n"/>
      <c r="K721" s="5" t="n"/>
      <c r="L721" s="18" t="n"/>
      <c r="M7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5">
        <f>IF(tblOrdenes[[#This Row],[fecha_inicio]]="","",YEAR(tblOrdenes[[#This Row],[fecha_inicio]]))</f>
        <v/>
      </c>
      <c r="Q721" s="5">
        <f>IF(tblOrdenes[[#This Row],[fecha_inicio]]="","",MONTH(tblOrdenes[[#This Row],[fecha_inicio]]))</f>
        <v/>
      </c>
      <c r="R721" s="5">
        <f>IF(tblOrdenes[[#This Row],[fecha_inicio]]="","",tblOrdenes[[#This Row],[anio]]&amp;"-"&amp;TEXT(tblOrdenes[[#This Row],[mes]],"00"))</f>
        <v/>
      </c>
      <c r="S721" s="5">
        <f>IF(tblOrdenes[[#This Row],[fecha_inicio]]="","",INDEX(lista_dias,WEEKDAY(tblOrdenes[[#This Row],[fecha_inicio]],2)))</f>
        <v/>
      </c>
      <c r="T7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1" s="5">
        <f>IF(tblOrdenes[[#This Row],[tipo_ot]]="","",_xlfn.XLOOKUP(tblOrdenes[[#This Row],[tipo_ot]],tblTiposOT[codigo],tblTiposOT[clasificacion],"sin_clasificar"))</f>
        <v/>
      </c>
      <c r="V7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1" s="5">
        <f>IF(tblOrdenes[[#This Row],[centro_costo]]="","",_xlfn.XLOOKUP(tblOrdenes[[#This Row],[centro_costo]],tblCECO[codigo],tblCECO[linea],"(sin catálogo)"))</f>
        <v/>
      </c>
      <c r="X721" s="5">
        <f>IF(tblOrdenes[[#This Row],[centro_costo]]="","",_xlfn.XLOOKUP(tblOrdenes[[#This Row],[centro_costo]],tblCECO[codigo],tblCECO[area],"(sin catálogo)"))</f>
        <v/>
      </c>
      <c r="Y7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1" s="5">
        <f>IF(tblOrdenes[[#This Row],[centro_costo]]="","",_xlfn.XLOOKUP(tblOrdenes[[#This Row],[centro_costo]],tblCECO[codigo],tblCECO[coordinador],"(sin catálogo)"))</f>
        <v/>
      </c>
      <c r="AA721" s="5">
        <f>IF(tblOrdenes[[#This Row],[puesto_trabajo]]="","",_xlfn.XLOOKUP(tblOrdenes[[#This Row],[puesto_trabajo]],tblPuestos[codigo],tblPuestos[especialidad],"(sin catálogo)"))</f>
        <v/>
      </c>
      <c r="AB721" s="5">
        <f>IF(tblOrdenes[[#This Row],[cod_actividad]]="","",_xlfn.XLOOKUP(tblOrdenes[[#This Row],[cod_actividad]],tblActividades[codigo],tblActividades[descripcion],"(sin catálogo)"))</f>
        <v/>
      </c>
      <c r="AC721" s="20">
        <f>IF(tblOrdenes[[#This Row],[fecha_inicio]]="","",TODAY()-tblOrdenes[[#This Row],[fecha_inicio]])</f>
        <v/>
      </c>
      <c r="AD7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1" s="5">
        <f>IF(tblOrdenes[[#This Row],[backlog_habiles]]="","",IF(tblOrdenes[[#This Row],[backlog_habiles]]&lt;0,"FUTURO",IF(tblOrdenes[[#This Row],[backlog_habiles]]&gt;p_dias_backlog_max,"BACKLOG","MES CORRIENTE")))</f>
        <v/>
      </c>
      <c r="AF721" s="5">
        <f>IF(tblOrdenes[[#This Row],[backlog_habiles]]="",FALSE,AND(tblOrdenes[[#This Row],[backlog_habiles]]&gt;p_dias_backlog_min,tblOrdenes[[#This Row],[backlog_habiles]]&lt;=p_dias_backlog_max))</f>
        <v/>
      </c>
      <c r="AG721" s="4" t="n"/>
      <c r="AH7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1" s="18">
        <f>IF(tblOrdenes[[#This Row],[orden]]="","",_xlfn.XLOOKUP(tblOrdenes[[#This Row],[id_operacion]],tblEjecucion[id_operacion],tblEjecucion[precio],0))</f>
        <v/>
      </c>
      <c r="AL721" s="18">
        <f>IF(tblOrdenes[[#This Row],[orden]]="","",MAX(0,_xlfn.XLOOKUP(tblOrdenes[[#This Row],[id_operacion]],tblEjecucion[id_operacion],tblEjecucion[costo_plan_total],0)-tblOrdenes[[#This Row],[costo_servicio]]))</f>
        <v/>
      </c>
      <c r="AM721" s="18">
        <f>IF(tblOrdenes[[#This Row],[orden]]="","",tblOrdenes[[#This Row],[costo_servicio]]+tblOrdenes[[#This Row],[costo_materiales]])</f>
        <v/>
      </c>
      <c r="AN7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1" s="4" t="n"/>
      <c r="AP721" s="4" t="n"/>
      <c r="AQ721" s="4" t="n"/>
      <c r="AR721" s="5">
        <f>IF(tblOrdenes[[#This Row],[link_checklist]]="","",HYPERLINK(p_ruta_base_checklists&amp;tblOrdenes[[#This Row],[link_checklist]],"abrir"))</f>
        <v/>
      </c>
      <c r="AS721" s="4" t="n"/>
      <c r="AT721" s="5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22" t="n"/>
      <c r="K722" s="5" t="n"/>
      <c r="L722" s="18" t="n"/>
      <c r="M7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5">
        <f>IF(tblOrdenes[[#This Row],[fecha_inicio]]="","",YEAR(tblOrdenes[[#This Row],[fecha_inicio]]))</f>
        <v/>
      </c>
      <c r="Q722" s="5">
        <f>IF(tblOrdenes[[#This Row],[fecha_inicio]]="","",MONTH(tblOrdenes[[#This Row],[fecha_inicio]]))</f>
        <v/>
      </c>
      <c r="R722" s="5">
        <f>IF(tblOrdenes[[#This Row],[fecha_inicio]]="","",tblOrdenes[[#This Row],[anio]]&amp;"-"&amp;TEXT(tblOrdenes[[#This Row],[mes]],"00"))</f>
        <v/>
      </c>
      <c r="S722" s="5">
        <f>IF(tblOrdenes[[#This Row],[fecha_inicio]]="","",INDEX(lista_dias,WEEKDAY(tblOrdenes[[#This Row],[fecha_inicio]],2)))</f>
        <v/>
      </c>
      <c r="T7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2" s="5">
        <f>IF(tblOrdenes[[#This Row],[tipo_ot]]="","",_xlfn.XLOOKUP(tblOrdenes[[#This Row],[tipo_ot]],tblTiposOT[codigo],tblTiposOT[clasificacion],"sin_clasificar"))</f>
        <v/>
      </c>
      <c r="V7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2" s="5">
        <f>IF(tblOrdenes[[#This Row],[centro_costo]]="","",_xlfn.XLOOKUP(tblOrdenes[[#This Row],[centro_costo]],tblCECO[codigo],tblCECO[linea],"(sin catálogo)"))</f>
        <v/>
      </c>
      <c r="X722" s="5">
        <f>IF(tblOrdenes[[#This Row],[centro_costo]]="","",_xlfn.XLOOKUP(tblOrdenes[[#This Row],[centro_costo]],tblCECO[codigo],tblCECO[area],"(sin catálogo)"))</f>
        <v/>
      </c>
      <c r="Y7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2" s="5">
        <f>IF(tblOrdenes[[#This Row],[centro_costo]]="","",_xlfn.XLOOKUP(tblOrdenes[[#This Row],[centro_costo]],tblCECO[codigo],tblCECO[coordinador],"(sin catálogo)"))</f>
        <v/>
      </c>
      <c r="AA722" s="5">
        <f>IF(tblOrdenes[[#This Row],[puesto_trabajo]]="","",_xlfn.XLOOKUP(tblOrdenes[[#This Row],[puesto_trabajo]],tblPuestos[codigo],tblPuestos[especialidad],"(sin catálogo)"))</f>
        <v/>
      </c>
      <c r="AB722" s="5">
        <f>IF(tblOrdenes[[#This Row],[cod_actividad]]="","",_xlfn.XLOOKUP(tblOrdenes[[#This Row],[cod_actividad]],tblActividades[codigo],tblActividades[descripcion],"(sin catálogo)"))</f>
        <v/>
      </c>
      <c r="AC722" s="20">
        <f>IF(tblOrdenes[[#This Row],[fecha_inicio]]="","",TODAY()-tblOrdenes[[#This Row],[fecha_inicio]])</f>
        <v/>
      </c>
      <c r="AD7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2" s="5">
        <f>IF(tblOrdenes[[#This Row],[backlog_habiles]]="","",IF(tblOrdenes[[#This Row],[backlog_habiles]]&lt;0,"FUTURO",IF(tblOrdenes[[#This Row],[backlog_habiles]]&gt;p_dias_backlog_max,"BACKLOG","MES CORRIENTE")))</f>
        <v/>
      </c>
      <c r="AF722" s="5">
        <f>IF(tblOrdenes[[#This Row],[backlog_habiles]]="",FALSE,AND(tblOrdenes[[#This Row],[backlog_habiles]]&gt;p_dias_backlog_min,tblOrdenes[[#This Row],[backlog_habiles]]&lt;=p_dias_backlog_max))</f>
        <v/>
      </c>
      <c r="AG722" s="4" t="n"/>
      <c r="AH7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2" s="18">
        <f>IF(tblOrdenes[[#This Row],[orden]]="","",_xlfn.XLOOKUP(tblOrdenes[[#This Row],[id_operacion]],tblEjecucion[id_operacion],tblEjecucion[precio],0))</f>
        <v/>
      </c>
      <c r="AL722" s="18">
        <f>IF(tblOrdenes[[#This Row],[orden]]="","",MAX(0,_xlfn.XLOOKUP(tblOrdenes[[#This Row],[id_operacion]],tblEjecucion[id_operacion],tblEjecucion[costo_plan_total],0)-tblOrdenes[[#This Row],[costo_servicio]]))</f>
        <v/>
      </c>
      <c r="AM722" s="18">
        <f>IF(tblOrdenes[[#This Row],[orden]]="","",tblOrdenes[[#This Row],[costo_servicio]]+tblOrdenes[[#This Row],[costo_materiales]])</f>
        <v/>
      </c>
      <c r="AN7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2" s="4" t="n"/>
      <c r="AP722" s="4" t="n"/>
      <c r="AQ722" s="4" t="n"/>
      <c r="AR722" s="5">
        <f>IF(tblOrdenes[[#This Row],[link_checklist]]="","",HYPERLINK(p_ruta_base_checklists&amp;tblOrdenes[[#This Row],[link_checklist]],"abrir"))</f>
        <v/>
      </c>
      <c r="AS722" s="4" t="n"/>
      <c r="AT722" s="5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22" t="n"/>
      <c r="K723" s="5" t="n"/>
      <c r="L723" s="18" t="n"/>
      <c r="M7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5">
        <f>IF(tblOrdenes[[#This Row],[fecha_inicio]]="","",YEAR(tblOrdenes[[#This Row],[fecha_inicio]]))</f>
        <v/>
      </c>
      <c r="Q723" s="5">
        <f>IF(tblOrdenes[[#This Row],[fecha_inicio]]="","",MONTH(tblOrdenes[[#This Row],[fecha_inicio]]))</f>
        <v/>
      </c>
      <c r="R723" s="5">
        <f>IF(tblOrdenes[[#This Row],[fecha_inicio]]="","",tblOrdenes[[#This Row],[anio]]&amp;"-"&amp;TEXT(tblOrdenes[[#This Row],[mes]],"00"))</f>
        <v/>
      </c>
      <c r="S723" s="5">
        <f>IF(tblOrdenes[[#This Row],[fecha_inicio]]="","",INDEX(lista_dias,WEEKDAY(tblOrdenes[[#This Row],[fecha_inicio]],2)))</f>
        <v/>
      </c>
      <c r="T7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3" s="5">
        <f>IF(tblOrdenes[[#This Row],[tipo_ot]]="","",_xlfn.XLOOKUP(tblOrdenes[[#This Row],[tipo_ot]],tblTiposOT[codigo],tblTiposOT[clasificacion],"sin_clasificar"))</f>
        <v/>
      </c>
      <c r="V7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3" s="5">
        <f>IF(tblOrdenes[[#This Row],[centro_costo]]="","",_xlfn.XLOOKUP(tblOrdenes[[#This Row],[centro_costo]],tblCECO[codigo],tblCECO[linea],"(sin catálogo)"))</f>
        <v/>
      </c>
      <c r="X723" s="5">
        <f>IF(tblOrdenes[[#This Row],[centro_costo]]="","",_xlfn.XLOOKUP(tblOrdenes[[#This Row],[centro_costo]],tblCECO[codigo],tblCECO[area],"(sin catálogo)"))</f>
        <v/>
      </c>
      <c r="Y7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3" s="5">
        <f>IF(tblOrdenes[[#This Row],[centro_costo]]="","",_xlfn.XLOOKUP(tblOrdenes[[#This Row],[centro_costo]],tblCECO[codigo],tblCECO[coordinador],"(sin catálogo)"))</f>
        <v/>
      </c>
      <c r="AA723" s="5">
        <f>IF(tblOrdenes[[#This Row],[puesto_trabajo]]="","",_xlfn.XLOOKUP(tblOrdenes[[#This Row],[puesto_trabajo]],tblPuestos[codigo],tblPuestos[especialidad],"(sin catálogo)"))</f>
        <v/>
      </c>
      <c r="AB723" s="5">
        <f>IF(tblOrdenes[[#This Row],[cod_actividad]]="","",_xlfn.XLOOKUP(tblOrdenes[[#This Row],[cod_actividad]],tblActividades[codigo],tblActividades[descripcion],"(sin catálogo)"))</f>
        <v/>
      </c>
      <c r="AC723" s="20">
        <f>IF(tblOrdenes[[#This Row],[fecha_inicio]]="","",TODAY()-tblOrdenes[[#This Row],[fecha_inicio]])</f>
        <v/>
      </c>
      <c r="AD7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3" s="5">
        <f>IF(tblOrdenes[[#This Row],[backlog_habiles]]="","",IF(tblOrdenes[[#This Row],[backlog_habiles]]&lt;0,"FUTURO",IF(tblOrdenes[[#This Row],[backlog_habiles]]&gt;p_dias_backlog_max,"BACKLOG","MES CORRIENTE")))</f>
        <v/>
      </c>
      <c r="AF723" s="5">
        <f>IF(tblOrdenes[[#This Row],[backlog_habiles]]="",FALSE,AND(tblOrdenes[[#This Row],[backlog_habiles]]&gt;p_dias_backlog_min,tblOrdenes[[#This Row],[backlog_habiles]]&lt;=p_dias_backlog_max))</f>
        <v/>
      </c>
      <c r="AG723" s="4" t="n"/>
      <c r="AH7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3" s="18">
        <f>IF(tblOrdenes[[#This Row],[orden]]="","",_xlfn.XLOOKUP(tblOrdenes[[#This Row],[id_operacion]],tblEjecucion[id_operacion],tblEjecucion[precio],0))</f>
        <v/>
      </c>
      <c r="AL723" s="18">
        <f>IF(tblOrdenes[[#This Row],[orden]]="","",MAX(0,_xlfn.XLOOKUP(tblOrdenes[[#This Row],[id_operacion]],tblEjecucion[id_operacion],tblEjecucion[costo_plan_total],0)-tblOrdenes[[#This Row],[costo_servicio]]))</f>
        <v/>
      </c>
      <c r="AM723" s="18">
        <f>IF(tblOrdenes[[#This Row],[orden]]="","",tblOrdenes[[#This Row],[costo_servicio]]+tblOrdenes[[#This Row],[costo_materiales]])</f>
        <v/>
      </c>
      <c r="AN7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3" s="4" t="n"/>
      <c r="AP723" s="4" t="n"/>
      <c r="AQ723" s="4" t="n"/>
      <c r="AR723" s="5">
        <f>IF(tblOrdenes[[#This Row],[link_checklist]]="","",HYPERLINK(p_ruta_base_checklists&amp;tblOrdenes[[#This Row],[link_checklist]],"abrir"))</f>
        <v/>
      </c>
      <c r="AS723" s="4" t="n"/>
      <c r="AT723" s="5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22" t="n"/>
      <c r="K724" s="5" t="n"/>
      <c r="L724" s="18" t="n"/>
      <c r="M7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5">
        <f>IF(tblOrdenes[[#This Row],[fecha_inicio]]="","",YEAR(tblOrdenes[[#This Row],[fecha_inicio]]))</f>
        <v/>
      </c>
      <c r="Q724" s="5">
        <f>IF(tblOrdenes[[#This Row],[fecha_inicio]]="","",MONTH(tblOrdenes[[#This Row],[fecha_inicio]]))</f>
        <v/>
      </c>
      <c r="R724" s="5">
        <f>IF(tblOrdenes[[#This Row],[fecha_inicio]]="","",tblOrdenes[[#This Row],[anio]]&amp;"-"&amp;TEXT(tblOrdenes[[#This Row],[mes]],"00"))</f>
        <v/>
      </c>
      <c r="S724" s="5">
        <f>IF(tblOrdenes[[#This Row],[fecha_inicio]]="","",INDEX(lista_dias,WEEKDAY(tblOrdenes[[#This Row],[fecha_inicio]],2)))</f>
        <v/>
      </c>
      <c r="T7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4" s="5">
        <f>IF(tblOrdenes[[#This Row],[tipo_ot]]="","",_xlfn.XLOOKUP(tblOrdenes[[#This Row],[tipo_ot]],tblTiposOT[codigo],tblTiposOT[clasificacion],"sin_clasificar"))</f>
        <v/>
      </c>
      <c r="V7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4" s="5">
        <f>IF(tblOrdenes[[#This Row],[centro_costo]]="","",_xlfn.XLOOKUP(tblOrdenes[[#This Row],[centro_costo]],tblCECO[codigo],tblCECO[linea],"(sin catálogo)"))</f>
        <v/>
      </c>
      <c r="X724" s="5">
        <f>IF(tblOrdenes[[#This Row],[centro_costo]]="","",_xlfn.XLOOKUP(tblOrdenes[[#This Row],[centro_costo]],tblCECO[codigo],tblCECO[area],"(sin catálogo)"))</f>
        <v/>
      </c>
      <c r="Y7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4" s="5">
        <f>IF(tblOrdenes[[#This Row],[centro_costo]]="","",_xlfn.XLOOKUP(tblOrdenes[[#This Row],[centro_costo]],tblCECO[codigo],tblCECO[coordinador],"(sin catálogo)"))</f>
        <v/>
      </c>
      <c r="AA724" s="5">
        <f>IF(tblOrdenes[[#This Row],[puesto_trabajo]]="","",_xlfn.XLOOKUP(tblOrdenes[[#This Row],[puesto_trabajo]],tblPuestos[codigo],tblPuestos[especialidad],"(sin catálogo)"))</f>
        <v/>
      </c>
      <c r="AB724" s="5">
        <f>IF(tblOrdenes[[#This Row],[cod_actividad]]="","",_xlfn.XLOOKUP(tblOrdenes[[#This Row],[cod_actividad]],tblActividades[codigo],tblActividades[descripcion],"(sin catálogo)"))</f>
        <v/>
      </c>
      <c r="AC724" s="20">
        <f>IF(tblOrdenes[[#This Row],[fecha_inicio]]="","",TODAY()-tblOrdenes[[#This Row],[fecha_inicio]])</f>
        <v/>
      </c>
      <c r="AD7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4" s="5">
        <f>IF(tblOrdenes[[#This Row],[backlog_habiles]]="","",IF(tblOrdenes[[#This Row],[backlog_habiles]]&lt;0,"FUTURO",IF(tblOrdenes[[#This Row],[backlog_habiles]]&gt;p_dias_backlog_max,"BACKLOG","MES CORRIENTE")))</f>
        <v/>
      </c>
      <c r="AF724" s="5">
        <f>IF(tblOrdenes[[#This Row],[backlog_habiles]]="",FALSE,AND(tblOrdenes[[#This Row],[backlog_habiles]]&gt;p_dias_backlog_min,tblOrdenes[[#This Row],[backlog_habiles]]&lt;=p_dias_backlog_max))</f>
        <v/>
      </c>
      <c r="AG724" s="4" t="n"/>
      <c r="AH7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4" s="18">
        <f>IF(tblOrdenes[[#This Row],[orden]]="","",_xlfn.XLOOKUP(tblOrdenes[[#This Row],[id_operacion]],tblEjecucion[id_operacion],tblEjecucion[precio],0))</f>
        <v/>
      </c>
      <c r="AL724" s="18">
        <f>IF(tblOrdenes[[#This Row],[orden]]="","",MAX(0,_xlfn.XLOOKUP(tblOrdenes[[#This Row],[id_operacion]],tblEjecucion[id_operacion],tblEjecucion[costo_plan_total],0)-tblOrdenes[[#This Row],[costo_servicio]]))</f>
        <v/>
      </c>
      <c r="AM724" s="18">
        <f>IF(tblOrdenes[[#This Row],[orden]]="","",tblOrdenes[[#This Row],[costo_servicio]]+tblOrdenes[[#This Row],[costo_materiales]])</f>
        <v/>
      </c>
      <c r="AN7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4" s="4" t="n"/>
      <c r="AP724" s="4" t="n"/>
      <c r="AQ724" s="4" t="n"/>
      <c r="AR724" s="5">
        <f>IF(tblOrdenes[[#This Row],[link_checklist]]="","",HYPERLINK(p_ruta_base_checklists&amp;tblOrdenes[[#This Row],[link_checklist]],"abrir"))</f>
        <v/>
      </c>
      <c r="AS724" s="4" t="n"/>
      <c r="AT724" s="5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22" t="n"/>
      <c r="K725" s="5" t="n"/>
      <c r="L725" s="18" t="n"/>
      <c r="M7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5">
        <f>IF(tblOrdenes[[#This Row],[fecha_inicio]]="","",YEAR(tblOrdenes[[#This Row],[fecha_inicio]]))</f>
        <v/>
      </c>
      <c r="Q725" s="5">
        <f>IF(tblOrdenes[[#This Row],[fecha_inicio]]="","",MONTH(tblOrdenes[[#This Row],[fecha_inicio]]))</f>
        <v/>
      </c>
      <c r="R725" s="5">
        <f>IF(tblOrdenes[[#This Row],[fecha_inicio]]="","",tblOrdenes[[#This Row],[anio]]&amp;"-"&amp;TEXT(tblOrdenes[[#This Row],[mes]],"00"))</f>
        <v/>
      </c>
      <c r="S725" s="5">
        <f>IF(tblOrdenes[[#This Row],[fecha_inicio]]="","",INDEX(lista_dias,WEEKDAY(tblOrdenes[[#This Row],[fecha_inicio]],2)))</f>
        <v/>
      </c>
      <c r="T7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5" s="5">
        <f>IF(tblOrdenes[[#This Row],[tipo_ot]]="","",_xlfn.XLOOKUP(tblOrdenes[[#This Row],[tipo_ot]],tblTiposOT[codigo],tblTiposOT[clasificacion],"sin_clasificar"))</f>
        <v/>
      </c>
      <c r="V7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5" s="5">
        <f>IF(tblOrdenes[[#This Row],[centro_costo]]="","",_xlfn.XLOOKUP(tblOrdenes[[#This Row],[centro_costo]],tblCECO[codigo],tblCECO[linea],"(sin catálogo)"))</f>
        <v/>
      </c>
      <c r="X725" s="5">
        <f>IF(tblOrdenes[[#This Row],[centro_costo]]="","",_xlfn.XLOOKUP(tblOrdenes[[#This Row],[centro_costo]],tblCECO[codigo],tblCECO[area],"(sin catálogo)"))</f>
        <v/>
      </c>
      <c r="Y7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5" s="5">
        <f>IF(tblOrdenes[[#This Row],[centro_costo]]="","",_xlfn.XLOOKUP(tblOrdenes[[#This Row],[centro_costo]],tblCECO[codigo],tblCECO[coordinador],"(sin catálogo)"))</f>
        <v/>
      </c>
      <c r="AA725" s="5">
        <f>IF(tblOrdenes[[#This Row],[puesto_trabajo]]="","",_xlfn.XLOOKUP(tblOrdenes[[#This Row],[puesto_trabajo]],tblPuestos[codigo],tblPuestos[especialidad],"(sin catálogo)"))</f>
        <v/>
      </c>
      <c r="AB725" s="5">
        <f>IF(tblOrdenes[[#This Row],[cod_actividad]]="","",_xlfn.XLOOKUP(tblOrdenes[[#This Row],[cod_actividad]],tblActividades[codigo],tblActividades[descripcion],"(sin catálogo)"))</f>
        <v/>
      </c>
      <c r="AC725" s="20">
        <f>IF(tblOrdenes[[#This Row],[fecha_inicio]]="","",TODAY()-tblOrdenes[[#This Row],[fecha_inicio]])</f>
        <v/>
      </c>
      <c r="AD7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5" s="5">
        <f>IF(tblOrdenes[[#This Row],[backlog_habiles]]="","",IF(tblOrdenes[[#This Row],[backlog_habiles]]&lt;0,"FUTURO",IF(tblOrdenes[[#This Row],[backlog_habiles]]&gt;p_dias_backlog_max,"BACKLOG","MES CORRIENTE")))</f>
        <v/>
      </c>
      <c r="AF725" s="5">
        <f>IF(tblOrdenes[[#This Row],[backlog_habiles]]="",FALSE,AND(tblOrdenes[[#This Row],[backlog_habiles]]&gt;p_dias_backlog_min,tblOrdenes[[#This Row],[backlog_habiles]]&lt;=p_dias_backlog_max))</f>
        <v/>
      </c>
      <c r="AG725" s="4" t="n"/>
      <c r="AH7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5" s="18">
        <f>IF(tblOrdenes[[#This Row],[orden]]="","",_xlfn.XLOOKUP(tblOrdenes[[#This Row],[id_operacion]],tblEjecucion[id_operacion],tblEjecucion[precio],0))</f>
        <v/>
      </c>
      <c r="AL725" s="18">
        <f>IF(tblOrdenes[[#This Row],[orden]]="","",MAX(0,_xlfn.XLOOKUP(tblOrdenes[[#This Row],[id_operacion]],tblEjecucion[id_operacion],tblEjecucion[costo_plan_total],0)-tblOrdenes[[#This Row],[costo_servicio]]))</f>
        <v/>
      </c>
      <c r="AM725" s="18">
        <f>IF(tblOrdenes[[#This Row],[orden]]="","",tblOrdenes[[#This Row],[costo_servicio]]+tblOrdenes[[#This Row],[costo_materiales]])</f>
        <v/>
      </c>
      <c r="AN7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5" s="4" t="n"/>
      <c r="AP725" s="4" t="n"/>
      <c r="AQ725" s="4" t="n"/>
      <c r="AR725" s="5">
        <f>IF(tblOrdenes[[#This Row],[link_checklist]]="","",HYPERLINK(p_ruta_base_checklists&amp;tblOrdenes[[#This Row],[link_checklist]],"abrir"))</f>
        <v/>
      </c>
      <c r="AS725" s="4" t="n"/>
      <c r="AT725" s="5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22" t="n"/>
      <c r="K726" s="5" t="n"/>
      <c r="L726" s="18" t="n"/>
      <c r="M7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5">
        <f>IF(tblOrdenes[[#This Row],[fecha_inicio]]="","",YEAR(tblOrdenes[[#This Row],[fecha_inicio]]))</f>
        <v/>
      </c>
      <c r="Q726" s="5">
        <f>IF(tblOrdenes[[#This Row],[fecha_inicio]]="","",MONTH(tblOrdenes[[#This Row],[fecha_inicio]]))</f>
        <v/>
      </c>
      <c r="R726" s="5">
        <f>IF(tblOrdenes[[#This Row],[fecha_inicio]]="","",tblOrdenes[[#This Row],[anio]]&amp;"-"&amp;TEXT(tblOrdenes[[#This Row],[mes]],"00"))</f>
        <v/>
      </c>
      <c r="S726" s="5">
        <f>IF(tblOrdenes[[#This Row],[fecha_inicio]]="","",INDEX(lista_dias,WEEKDAY(tblOrdenes[[#This Row],[fecha_inicio]],2)))</f>
        <v/>
      </c>
      <c r="T7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6" s="5">
        <f>IF(tblOrdenes[[#This Row],[tipo_ot]]="","",_xlfn.XLOOKUP(tblOrdenes[[#This Row],[tipo_ot]],tblTiposOT[codigo],tblTiposOT[clasificacion],"sin_clasificar"))</f>
        <v/>
      </c>
      <c r="V7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6" s="5">
        <f>IF(tblOrdenes[[#This Row],[centro_costo]]="","",_xlfn.XLOOKUP(tblOrdenes[[#This Row],[centro_costo]],tblCECO[codigo],tblCECO[linea],"(sin catálogo)"))</f>
        <v/>
      </c>
      <c r="X726" s="5">
        <f>IF(tblOrdenes[[#This Row],[centro_costo]]="","",_xlfn.XLOOKUP(tblOrdenes[[#This Row],[centro_costo]],tblCECO[codigo],tblCECO[area],"(sin catálogo)"))</f>
        <v/>
      </c>
      <c r="Y7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6" s="5">
        <f>IF(tblOrdenes[[#This Row],[centro_costo]]="","",_xlfn.XLOOKUP(tblOrdenes[[#This Row],[centro_costo]],tblCECO[codigo],tblCECO[coordinador],"(sin catálogo)"))</f>
        <v/>
      </c>
      <c r="AA726" s="5">
        <f>IF(tblOrdenes[[#This Row],[puesto_trabajo]]="","",_xlfn.XLOOKUP(tblOrdenes[[#This Row],[puesto_trabajo]],tblPuestos[codigo],tblPuestos[especialidad],"(sin catálogo)"))</f>
        <v/>
      </c>
      <c r="AB726" s="5">
        <f>IF(tblOrdenes[[#This Row],[cod_actividad]]="","",_xlfn.XLOOKUP(tblOrdenes[[#This Row],[cod_actividad]],tblActividades[codigo],tblActividades[descripcion],"(sin catálogo)"))</f>
        <v/>
      </c>
      <c r="AC726" s="20">
        <f>IF(tblOrdenes[[#This Row],[fecha_inicio]]="","",TODAY()-tblOrdenes[[#This Row],[fecha_inicio]])</f>
        <v/>
      </c>
      <c r="AD7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6" s="5">
        <f>IF(tblOrdenes[[#This Row],[backlog_habiles]]="","",IF(tblOrdenes[[#This Row],[backlog_habiles]]&lt;0,"FUTURO",IF(tblOrdenes[[#This Row],[backlog_habiles]]&gt;p_dias_backlog_max,"BACKLOG","MES CORRIENTE")))</f>
        <v/>
      </c>
      <c r="AF726" s="5">
        <f>IF(tblOrdenes[[#This Row],[backlog_habiles]]="",FALSE,AND(tblOrdenes[[#This Row],[backlog_habiles]]&gt;p_dias_backlog_min,tblOrdenes[[#This Row],[backlog_habiles]]&lt;=p_dias_backlog_max))</f>
        <v/>
      </c>
      <c r="AG726" s="4" t="n"/>
      <c r="AH7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6" s="18">
        <f>IF(tblOrdenes[[#This Row],[orden]]="","",_xlfn.XLOOKUP(tblOrdenes[[#This Row],[id_operacion]],tblEjecucion[id_operacion],tblEjecucion[precio],0))</f>
        <v/>
      </c>
      <c r="AL726" s="18">
        <f>IF(tblOrdenes[[#This Row],[orden]]="","",MAX(0,_xlfn.XLOOKUP(tblOrdenes[[#This Row],[id_operacion]],tblEjecucion[id_operacion],tblEjecucion[costo_plan_total],0)-tblOrdenes[[#This Row],[costo_servicio]]))</f>
        <v/>
      </c>
      <c r="AM726" s="18">
        <f>IF(tblOrdenes[[#This Row],[orden]]="","",tblOrdenes[[#This Row],[costo_servicio]]+tblOrdenes[[#This Row],[costo_materiales]])</f>
        <v/>
      </c>
      <c r="AN7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6" s="4" t="n"/>
      <c r="AP726" s="4" t="n"/>
      <c r="AQ726" s="4" t="n"/>
      <c r="AR726" s="5">
        <f>IF(tblOrdenes[[#This Row],[link_checklist]]="","",HYPERLINK(p_ruta_base_checklists&amp;tblOrdenes[[#This Row],[link_checklist]],"abrir"))</f>
        <v/>
      </c>
      <c r="AS726" s="4" t="n"/>
      <c r="AT726" s="5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22" t="n"/>
      <c r="K727" s="5" t="n"/>
      <c r="L727" s="18" t="n"/>
      <c r="M7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5">
        <f>IF(tblOrdenes[[#This Row],[fecha_inicio]]="","",YEAR(tblOrdenes[[#This Row],[fecha_inicio]]))</f>
        <v/>
      </c>
      <c r="Q727" s="5">
        <f>IF(tblOrdenes[[#This Row],[fecha_inicio]]="","",MONTH(tblOrdenes[[#This Row],[fecha_inicio]]))</f>
        <v/>
      </c>
      <c r="R727" s="5">
        <f>IF(tblOrdenes[[#This Row],[fecha_inicio]]="","",tblOrdenes[[#This Row],[anio]]&amp;"-"&amp;TEXT(tblOrdenes[[#This Row],[mes]],"00"))</f>
        <v/>
      </c>
      <c r="S727" s="5">
        <f>IF(tblOrdenes[[#This Row],[fecha_inicio]]="","",INDEX(lista_dias,WEEKDAY(tblOrdenes[[#This Row],[fecha_inicio]],2)))</f>
        <v/>
      </c>
      <c r="T7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7" s="5">
        <f>IF(tblOrdenes[[#This Row],[tipo_ot]]="","",_xlfn.XLOOKUP(tblOrdenes[[#This Row],[tipo_ot]],tblTiposOT[codigo],tblTiposOT[clasificacion],"sin_clasificar"))</f>
        <v/>
      </c>
      <c r="V7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7" s="5">
        <f>IF(tblOrdenes[[#This Row],[centro_costo]]="","",_xlfn.XLOOKUP(tblOrdenes[[#This Row],[centro_costo]],tblCECO[codigo],tblCECO[linea],"(sin catálogo)"))</f>
        <v/>
      </c>
      <c r="X727" s="5">
        <f>IF(tblOrdenes[[#This Row],[centro_costo]]="","",_xlfn.XLOOKUP(tblOrdenes[[#This Row],[centro_costo]],tblCECO[codigo],tblCECO[area],"(sin catálogo)"))</f>
        <v/>
      </c>
      <c r="Y7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7" s="5">
        <f>IF(tblOrdenes[[#This Row],[centro_costo]]="","",_xlfn.XLOOKUP(tblOrdenes[[#This Row],[centro_costo]],tblCECO[codigo],tblCECO[coordinador],"(sin catálogo)"))</f>
        <v/>
      </c>
      <c r="AA727" s="5">
        <f>IF(tblOrdenes[[#This Row],[puesto_trabajo]]="","",_xlfn.XLOOKUP(tblOrdenes[[#This Row],[puesto_trabajo]],tblPuestos[codigo],tblPuestos[especialidad],"(sin catálogo)"))</f>
        <v/>
      </c>
      <c r="AB727" s="5">
        <f>IF(tblOrdenes[[#This Row],[cod_actividad]]="","",_xlfn.XLOOKUP(tblOrdenes[[#This Row],[cod_actividad]],tblActividades[codigo],tblActividades[descripcion],"(sin catálogo)"))</f>
        <v/>
      </c>
      <c r="AC727" s="20">
        <f>IF(tblOrdenes[[#This Row],[fecha_inicio]]="","",TODAY()-tblOrdenes[[#This Row],[fecha_inicio]])</f>
        <v/>
      </c>
      <c r="AD7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7" s="5">
        <f>IF(tblOrdenes[[#This Row],[backlog_habiles]]="","",IF(tblOrdenes[[#This Row],[backlog_habiles]]&lt;0,"FUTURO",IF(tblOrdenes[[#This Row],[backlog_habiles]]&gt;p_dias_backlog_max,"BACKLOG","MES CORRIENTE")))</f>
        <v/>
      </c>
      <c r="AF727" s="5">
        <f>IF(tblOrdenes[[#This Row],[backlog_habiles]]="",FALSE,AND(tblOrdenes[[#This Row],[backlog_habiles]]&gt;p_dias_backlog_min,tblOrdenes[[#This Row],[backlog_habiles]]&lt;=p_dias_backlog_max))</f>
        <v/>
      </c>
      <c r="AG727" s="4" t="n"/>
      <c r="AH7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7" s="18">
        <f>IF(tblOrdenes[[#This Row],[orden]]="","",_xlfn.XLOOKUP(tblOrdenes[[#This Row],[id_operacion]],tblEjecucion[id_operacion],tblEjecucion[precio],0))</f>
        <v/>
      </c>
      <c r="AL727" s="18">
        <f>IF(tblOrdenes[[#This Row],[orden]]="","",MAX(0,_xlfn.XLOOKUP(tblOrdenes[[#This Row],[id_operacion]],tblEjecucion[id_operacion],tblEjecucion[costo_plan_total],0)-tblOrdenes[[#This Row],[costo_servicio]]))</f>
        <v/>
      </c>
      <c r="AM727" s="18">
        <f>IF(tblOrdenes[[#This Row],[orden]]="","",tblOrdenes[[#This Row],[costo_servicio]]+tblOrdenes[[#This Row],[costo_materiales]])</f>
        <v/>
      </c>
      <c r="AN7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7" s="4" t="n"/>
      <c r="AP727" s="4" t="n"/>
      <c r="AQ727" s="4" t="n"/>
      <c r="AR727" s="5">
        <f>IF(tblOrdenes[[#This Row],[link_checklist]]="","",HYPERLINK(p_ruta_base_checklists&amp;tblOrdenes[[#This Row],[link_checklist]],"abrir"))</f>
        <v/>
      </c>
      <c r="AS727" s="4" t="n"/>
      <c r="AT727" s="5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22" t="n"/>
      <c r="K728" s="5" t="n"/>
      <c r="L728" s="18" t="n"/>
      <c r="M7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5">
        <f>IF(tblOrdenes[[#This Row],[fecha_inicio]]="","",YEAR(tblOrdenes[[#This Row],[fecha_inicio]]))</f>
        <v/>
      </c>
      <c r="Q728" s="5">
        <f>IF(tblOrdenes[[#This Row],[fecha_inicio]]="","",MONTH(tblOrdenes[[#This Row],[fecha_inicio]]))</f>
        <v/>
      </c>
      <c r="R728" s="5">
        <f>IF(tblOrdenes[[#This Row],[fecha_inicio]]="","",tblOrdenes[[#This Row],[anio]]&amp;"-"&amp;TEXT(tblOrdenes[[#This Row],[mes]],"00"))</f>
        <v/>
      </c>
      <c r="S728" s="5">
        <f>IF(tblOrdenes[[#This Row],[fecha_inicio]]="","",INDEX(lista_dias,WEEKDAY(tblOrdenes[[#This Row],[fecha_inicio]],2)))</f>
        <v/>
      </c>
      <c r="T7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8" s="5">
        <f>IF(tblOrdenes[[#This Row],[tipo_ot]]="","",_xlfn.XLOOKUP(tblOrdenes[[#This Row],[tipo_ot]],tblTiposOT[codigo],tblTiposOT[clasificacion],"sin_clasificar"))</f>
        <v/>
      </c>
      <c r="V7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8" s="5">
        <f>IF(tblOrdenes[[#This Row],[centro_costo]]="","",_xlfn.XLOOKUP(tblOrdenes[[#This Row],[centro_costo]],tblCECO[codigo],tblCECO[linea],"(sin catálogo)"))</f>
        <v/>
      </c>
      <c r="X728" s="5">
        <f>IF(tblOrdenes[[#This Row],[centro_costo]]="","",_xlfn.XLOOKUP(tblOrdenes[[#This Row],[centro_costo]],tblCECO[codigo],tblCECO[area],"(sin catálogo)"))</f>
        <v/>
      </c>
      <c r="Y7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8" s="5">
        <f>IF(tblOrdenes[[#This Row],[centro_costo]]="","",_xlfn.XLOOKUP(tblOrdenes[[#This Row],[centro_costo]],tblCECO[codigo],tblCECO[coordinador],"(sin catálogo)"))</f>
        <v/>
      </c>
      <c r="AA728" s="5">
        <f>IF(tblOrdenes[[#This Row],[puesto_trabajo]]="","",_xlfn.XLOOKUP(tblOrdenes[[#This Row],[puesto_trabajo]],tblPuestos[codigo],tblPuestos[especialidad],"(sin catálogo)"))</f>
        <v/>
      </c>
      <c r="AB728" s="5">
        <f>IF(tblOrdenes[[#This Row],[cod_actividad]]="","",_xlfn.XLOOKUP(tblOrdenes[[#This Row],[cod_actividad]],tblActividades[codigo],tblActividades[descripcion],"(sin catálogo)"))</f>
        <v/>
      </c>
      <c r="AC728" s="20">
        <f>IF(tblOrdenes[[#This Row],[fecha_inicio]]="","",TODAY()-tblOrdenes[[#This Row],[fecha_inicio]])</f>
        <v/>
      </c>
      <c r="AD7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8" s="5">
        <f>IF(tblOrdenes[[#This Row],[backlog_habiles]]="","",IF(tblOrdenes[[#This Row],[backlog_habiles]]&lt;0,"FUTURO",IF(tblOrdenes[[#This Row],[backlog_habiles]]&gt;p_dias_backlog_max,"BACKLOG","MES CORRIENTE")))</f>
        <v/>
      </c>
      <c r="AF728" s="5">
        <f>IF(tblOrdenes[[#This Row],[backlog_habiles]]="",FALSE,AND(tblOrdenes[[#This Row],[backlog_habiles]]&gt;p_dias_backlog_min,tblOrdenes[[#This Row],[backlog_habiles]]&lt;=p_dias_backlog_max))</f>
        <v/>
      </c>
      <c r="AG728" s="4" t="n"/>
      <c r="AH7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8" s="18">
        <f>IF(tblOrdenes[[#This Row],[orden]]="","",_xlfn.XLOOKUP(tblOrdenes[[#This Row],[id_operacion]],tblEjecucion[id_operacion],tblEjecucion[precio],0))</f>
        <v/>
      </c>
      <c r="AL728" s="18">
        <f>IF(tblOrdenes[[#This Row],[orden]]="","",MAX(0,_xlfn.XLOOKUP(tblOrdenes[[#This Row],[id_operacion]],tblEjecucion[id_operacion],tblEjecucion[costo_plan_total],0)-tblOrdenes[[#This Row],[costo_servicio]]))</f>
        <v/>
      </c>
      <c r="AM728" s="18">
        <f>IF(tblOrdenes[[#This Row],[orden]]="","",tblOrdenes[[#This Row],[costo_servicio]]+tblOrdenes[[#This Row],[costo_materiales]])</f>
        <v/>
      </c>
      <c r="AN7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8" s="4" t="n"/>
      <c r="AP728" s="4" t="n"/>
      <c r="AQ728" s="4" t="n"/>
      <c r="AR728" s="5">
        <f>IF(tblOrdenes[[#This Row],[link_checklist]]="","",HYPERLINK(p_ruta_base_checklists&amp;tblOrdenes[[#This Row],[link_checklist]],"abrir"))</f>
        <v/>
      </c>
      <c r="AS728" s="4" t="n"/>
      <c r="AT728" s="5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22" t="n"/>
      <c r="K729" s="5" t="n"/>
      <c r="L729" s="18" t="n"/>
      <c r="M7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5">
        <f>IF(tblOrdenes[[#This Row],[fecha_inicio]]="","",YEAR(tblOrdenes[[#This Row],[fecha_inicio]]))</f>
        <v/>
      </c>
      <c r="Q729" s="5">
        <f>IF(tblOrdenes[[#This Row],[fecha_inicio]]="","",MONTH(tblOrdenes[[#This Row],[fecha_inicio]]))</f>
        <v/>
      </c>
      <c r="R729" s="5">
        <f>IF(tblOrdenes[[#This Row],[fecha_inicio]]="","",tblOrdenes[[#This Row],[anio]]&amp;"-"&amp;TEXT(tblOrdenes[[#This Row],[mes]],"00"))</f>
        <v/>
      </c>
      <c r="S729" s="5">
        <f>IF(tblOrdenes[[#This Row],[fecha_inicio]]="","",INDEX(lista_dias,WEEKDAY(tblOrdenes[[#This Row],[fecha_inicio]],2)))</f>
        <v/>
      </c>
      <c r="T7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9" s="5">
        <f>IF(tblOrdenes[[#This Row],[tipo_ot]]="","",_xlfn.XLOOKUP(tblOrdenes[[#This Row],[tipo_ot]],tblTiposOT[codigo],tblTiposOT[clasificacion],"sin_clasificar"))</f>
        <v/>
      </c>
      <c r="V7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9" s="5">
        <f>IF(tblOrdenes[[#This Row],[centro_costo]]="","",_xlfn.XLOOKUP(tblOrdenes[[#This Row],[centro_costo]],tblCECO[codigo],tblCECO[linea],"(sin catálogo)"))</f>
        <v/>
      </c>
      <c r="X729" s="5">
        <f>IF(tblOrdenes[[#This Row],[centro_costo]]="","",_xlfn.XLOOKUP(tblOrdenes[[#This Row],[centro_costo]],tblCECO[codigo],tblCECO[area],"(sin catálogo)"))</f>
        <v/>
      </c>
      <c r="Y7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29" s="5">
        <f>IF(tblOrdenes[[#This Row],[centro_costo]]="","",_xlfn.XLOOKUP(tblOrdenes[[#This Row],[centro_costo]],tblCECO[codigo],tblCECO[coordinador],"(sin catálogo)"))</f>
        <v/>
      </c>
      <c r="AA729" s="5">
        <f>IF(tblOrdenes[[#This Row],[puesto_trabajo]]="","",_xlfn.XLOOKUP(tblOrdenes[[#This Row],[puesto_trabajo]],tblPuestos[codigo],tblPuestos[especialidad],"(sin catálogo)"))</f>
        <v/>
      </c>
      <c r="AB729" s="5">
        <f>IF(tblOrdenes[[#This Row],[cod_actividad]]="","",_xlfn.XLOOKUP(tblOrdenes[[#This Row],[cod_actividad]],tblActividades[codigo],tblActividades[descripcion],"(sin catálogo)"))</f>
        <v/>
      </c>
      <c r="AC729" s="20">
        <f>IF(tblOrdenes[[#This Row],[fecha_inicio]]="","",TODAY()-tblOrdenes[[#This Row],[fecha_inicio]])</f>
        <v/>
      </c>
      <c r="AD7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29" s="5">
        <f>IF(tblOrdenes[[#This Row],[backlog_habiles]]="","",IF(tblOrdenes[[#This Row],[backlog_habiles]]&lt;0,"FUTURO",IF(tblOrdenes[[#This Row],[backlog_habiles]]&gt;p_dias_backlog_max,"BACKLOG","MES CORRIENTE")))</f>
        <v/>
      </c>
      <c r="AF729" s="5">
        <f>IF(tblOrdenes[[#This Row],[backlog_habiles]]="",FALSE,AND(tblOrdenes[[#This Row],[backlog_habiles]]&gt;p_dias_backlog_min,tblOrdenes[[#This Row],[backlog_habiles]]&lt;=p_dias_backlog_max))</f>
        <v/>
      </c>
      <c r="AG729" s="4" t="n"/>
      <c r="AH7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29" s="18">
        <f>IF(tblOrdenes[[#This Row],[orden]]="","",_xlfn.XLOOKUP(tblOrdenes[[#This Row],[id_operacion]],tblEjecucion[id_operacion],tblEjecucion[precio],0))</f>
        <v/>
      </c>
      <c r="AL729" s="18">
        <f>IF(tblOrdenes[[#This Row],[orden]]="","",MAX(0,_xlfn.XLOOKUP(tblOrdenes[[#This Row],[id_operacion]],tblEjecucion[id_operacion],tblEjecucion[costo_plan_total],0)-tblOrdenes[[#This Row],[costo_servicio]]))</f>
        <v/>
      </c>
      <c r="AM729" s="18">
        <f>IF(tblOrdenes[[#This Row],[orden]]="","",tblOrdenes[[#This Row],[costo_servicio]]+tblOrdenes[[#This Row],[costo_materiales]])</f>
        <v/>
      </c>
      <c r="AN7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29" s="4" t="n"/>
      <c r="AP729" s="4" t="n"/>
      <c r="AQ729" s="4" t="n"/>
      <c r="AR729" s="5">
        <f>IF(tblOrdenes[[#This Row],[link_checklist]]="","",HYPERLINK(p_ruta_base_checklists&amp;tblOrdenes[[#This Row],[link_checklist]],"abrir"))</f>
        <v/>
      </c>
      <c r="AS729" s="4" t="n"/>
      <c r="AT729" s="5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22" t="n"/>
      <c r="K730" s="5" t="n"/>
      <c r="L730" s="18" t="n"/>
      <c r="M7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5">
        <f>IF(tblOrdenes[[#This Row],[fecha_inicio]]="","",YEAR(tblOrdenes[[#This Row],[fecha_inicio]]))</f>
        <v/>
      </c>
      <c r="Q730" s="5">
        <f>IF(tblOrdenes[[#This Row],[fecha_inicio]]="","",MONTH(tblOrdenes[[#This Row],[fecha_inicio]]))</f>
        <v/>
      </c>
      <c r="R730" s="5">
        <f>IF(tblOrdenes[[#This Row],[fecha_inicio]]="","",tblOrdenes[[#This Row],[anio]]&amp;"-"&amp;TEXT(tblOrdenes[[#This Row],[mes]],"00"))</f>
        <v/>
      </c>
      <c r="S730" s="5">
        <f>IF(tblOrdenes[[#This Row],[fecha_inicio]]="","",INDEX(lista_dias,WEEKDAY(tblOrdenes[[#This Row],[fecha_inicio]],2)))</f>
        <v/>
      </c>
      <c r="T7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0" s="5">
        <f>IF(tblOrdenes[[#This Row],[tipo_ot]]="","",_xlfn.XLOOKUP(tblOrdenes[[#This Row],[tipo_ot]],tblTiposOT[codigo],tblTiposOT[clasificacion],"sin_clasificar"))</f>
        <v/>
      </c>
      <c r="V7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0" s="5">
        <f>IF(tblOrdenes[[#This Row],[centro_costo]]="","",_xlfn.XLOOKUP(tblOrdenes[[#This Row],[centro_costo]],tblCECO[codigo],tblCECO[linea],"(sin catálogo)"))</f>
        <v/>
      </c>
      <c r="X730" s="5">
        <f>IF(tblOrdenes[[#This Row],[centro_costo]]="","",_xlfn.XLOOKUP(tblOrdenes[[#This Row],[centro_costo]],tblCECO[codigo],tblCECO[area],"(sin catálogo)"))</f>
        <v/>
      </c>
      <c r="Y7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0" s="5">
        <f>IF(tblOrdenes[[#This Row],[centro_costo]]="","",_xlfn.XLOOKUP(tblOrdenes[[#This Row],[centro_costo]],tblCECO[codigo],tblCECO[coordinador],"(sin catálogo)"))</f>
        <v/>
      </c>
      <c r="AA730" s="5">
        <f>IF(tblOrdenes[[#This Row],[puesto_trabajo]]="","",_xlfn.XLOOKUP(tblOrdenes[[#This Row],[puesto_trabajo]],tblPuestos[codigo],tblPuestos[especialidad],"(sin catálogo)"))</f>
        <v/>
      </c>
      <c r="AB730" s="5">
        <f>IF(tblOrdenes[[#This Row],[cod_actividad]]="","",_xlfn.XLOOKUP(tblOrdenes[[#This Row],[cod_actividad]],tblActividades[codigo],tblActividades[descripcion],"(sin catálogo)"))</f>
        <v/>
      </c>
      <c r="AC730" s="20">
        <f>IF(tblOrdenes[[#This Row],[fecha_inicio]]="","",TODAY()-tblOrdenes[[#This Row],[fecha_inicio]])</f>
        <v/>
      </c>
      <c r="AD7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0" s="5">
        <f>IF(tblOrdenes[[#This Row],[backlog_habiles]]="","",IF(tblOrdenes[[#This Row],[backlog_habiles]]&lt;0,"FUTURO",IF(tblOrdenes[[#This Row],[backlog_habiles]]&gt;p_dias_backlog_max,"BACKLOG","MES CORRIENTE")))</f>
        <v/>
      </c>
      <c r="AF730" s="5">
        <f>IF(tblOrdenes[[#This Row],[backlog_habiles]]="",FALSE,AND(tblOrdenes[[#This Row],[backlog_habiles]]&gt;p_dias_backlog_min,tblOrdenes[[#This Row],[backlog_habiles]]&lt;=p_dias_backlog_max))</f>
        <v/>
      </c>
      <c r="AG730" s="4" t="n"/>
      <c r="AH7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0" s="18">
        <f>IF(tblOrdenes[[#This Row],[orden]]="","",_xlfn.XLOOKUP(tblOrdenes[[#This Row],[id_operacion]],tblEjecucion[id_operacion],tblEjecucion[precio],0))</f>
        <v/>
      </c>
      <c r="AL730" s="18">
        <f>IF(tblOrdenes[[#This Row],[orden]]="","",MAX(0,_xlfn.XLOOKUP(tblOrdenes[[#This Row],[id_operacion]],tblEjecucion[id_operacion],tblEjecucion[costo_plan_total],0)-tblOrdenes[[#This Row],[costo_servicio]]))</f>
        <v/>
      </c>
      <c r="AM730" s="18">
        <f>IF(tblOrdenes[[#This Row],[orden]]="","",tblOrdenes[[#This Row],[costo_servicio]]+tblOrdenes[[#This Row],[costo_materiales]])</f>
        <v/>
      </c>
      <c r="AN7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0" s="4" t="n"/>
      <c r="AP730" s="4" t="n"/>
      <c r="AQ730" s="4" t="n"/>
      <c r="AR730" s="5">
        <f>IF(tblOrdenes[[#This Row],[link_checklist]]="","",HYPERLINK(p_ruta_base_checklists&amp;tblOrdenes[[#This Row],[link_checklist]],"abrir"))</f>
        <v/>
      </c>
      <c r="AS730" s="4" t="n"/>
      <c r="AT730" s="5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22" t="n"/>
      <c r="K731" s="5" t="n"/>
      <c r="L731" s="18" t="n"/>
      <c r="M7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5">
        <f>IF(tblOrdenes[[#This Row],[fecha_inicio]]="","",YEAR(tblOrdenes[[#This Row],[fecha_inicio]]))</f>
        <v/>
      </c>
      <c r="Q731" s="5">
        <f>IF(tblOrdenes[[#This Row],[fecha_inicio]]="","",MONTH(tblOrdenes[[#This Row],[fecha_inicio]]))</f>
        <v/>
      </c>
      <c r="R731" s="5">
        <f>IF(tblOrdenes[[#This Row],[fecha_inicio]]="","",tblOrdenes[[#This Row],[anio]]&amp;"-"&amp;TEXT(tblOrdenes[[#This Row],[mes]],"00"))</f>
        <v/>
      </c>
      <c r="S731" s="5">
        <f>IF(tblOrdenes[[#This Row],[fecha_inicio]]="","",INDEX(lista_dias,WEEKDAY(tblOrdenes[[#This Row],[fecha_inicio]],2)))</f>
        <v/>
      </c>
      <c r="T7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1" s="5">
        <f>IF(tblOrdenes[[#This Row],[tipo_ot]]="","",_xlfn.XLOOKUP(tblOrdenes[[#This Row],[tipo_ot]],tblTiposOT[codigo],tblTiposOT[clasificacion],"sin_clasificar"))</f>
        <v/>
      </c>
      <c r="V7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1" s="5">
        <f>IF(tblOrdenes[[#This Row],[centro_costo]]="","",_xlfn.XLOOKUP(tblOrdenes[[#This Row],[centro_costo]],tblCECO[codigo],tblCECO[linea],"(sin catálogo)"))</f>
        <v/>
      </c>
      <c r="X731" s="5">
        <f>IF(tblOrdenes[[#This Row],[centro_costo]]="","",_xlfn.XLOOKUP(tblOrdenes[[#This Row],[centro_costo]],tblCECO[codigo],tblCECO[area],"(sin catálogo)"))</f>
        <v/>
      </c>
      <c r="Y7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1" s="5">
        <f>IF(tblOrdenes[[#This Row],[centro_costo]]="","",_xlfn.XLOOKUP(tblOrdenes[[#This Row],[centro_costo]],tblCECO[codigo],tblCECO[coordinador],"(sin catálogo)"))</f>
        <v/>
      </c>
      <c r="AA731" s="5">
        <f>IF(tblOrdenes[[#This Row],[puesto_trabajo]]="","",_xlfn.XLOOKUP(tblOrdenes[[#This Row],[puesto_trabajo]],tblPuestos[codigo],tblPuestos[especialidad],"(sin catálogo)"))</f>
        <v/>
      </c>
      <c r="AB731" s="5">
        <f>IF(tblOrdenes[[#This Row],[cod_actividad]]="","",_xlfn.XLOOKUP(tblOrdenes[[#This Row],[cod_actividad]],tblActividades[codigo],tblActividades[descripcion],"(sin catálogo)"))</f>
        <v/>
      </c>
      <c r="AC731" s="20">
        <f>IF(tblOrdenes[[#This Row],[fecha_inicio]]="","",TODAY()-tblOrdenes[[#This Row],[fecha_inicio]])</f>
        <v/>
      </c>
      <c r="AD7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1" s="5">
        <f>IF(tblOrdenes[[#This Row],[backlog_habiles]]="","",IF(tblOrdenes[[#This Row],[backlog_habiles]]&lt;0,"FUTURO",IF(tblOrdenes[[#This Row],[backlog_habiles]]&gt;p_dias_backlog_max,"BACKLOG","MES CORRIENTE")))</f>
        <v/>
      </c>
      <c r="AF731" s="5">
        <f>IF(tblOrdenes[[#This Row],[backlog_habiles]]="",FALSE,AND(tblOrdenes[[#This Row],[backlog_habiles]]&gt;p_dias_backlog_min,tblOrdenes[[#This Row],[backlog_habiles]]&lt;=p_dias_backlog_max))</f>
        <v/>
      </c>
      <c r="AG731" s="4" t="n"/>
      <c r="AH7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1" s="18">
        <f>IF(tblOrdenes[[#This Row],[orden]]="","",_xlfn.XLOOKUP(tblOrdenes[[#This Row],[id_operacion]],tblEjecucion[id_operacion],tblEjecucion[precio],0))</f>
        <v/>
      </c>
      <c r="AL731" s="18">
        <f>IF(tblOrdenes[[#This Row],[orden]]="","",MAX(0,_xlfn.XLOOKUP(tblOrdenes[[#This Row],[id_operacion]],tblEjecucion[id_operacion],tblEjecucion[costo_plan_total],0)-tblOrdenes[[#This Row],[costo_servicio]]))</f>
        <v/>
      </c>
      <c r="AM731" s="18">
        <f>IF(tblOrdenes[[#This Row],[orden]]="","",tblOrdenes[[#This Row],[costo_servicio]]+tblOrdenes[[#This Row],[costo_materiales]])</f>
        <v/>
      </c>
      <c r="AN7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1" s="4" t="n"/>
      <c r="AP731" s="4" t="n"/>
      <c r="AQ731" s="4" t="n"/>
      <c r="AR731" s="5">
        <f>IF(tblOrdenes[[#This Row],[link_checklist]]="","",HYPERLINK(p_ruta_base_checklists&amp;tblOrdenes[[#This Row],[link_checklist]],"abrir"))</f>
        <v/>
      </c>
      <c r="AS731" s="4" t="n"/>
      <c r="AT731" s="5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22" t="n"/>
      <c r="K732" s="5" t="n"/>
      <c r="L732" s="18" t="n"/>
      <c r="M7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5">
        <f>IF(tblOrdenes[[#This Row],[fecha_inicio]]="","",YEAR(tblOrdenes[[#This Row],[fecha_inicio]]))</f>
        <v/>
      </c>
      <c r="Q732" s="5">
        <f>IF(tblOrdenes[[#This Row],[fecha_inicio]]="","",MONTH(tblOrdenes[[#This Row],[fecha_inicio]]))</f>
        <v/>
      </c>
      <c r="R732" s="5">
        <f>IF(tblOrdenes[[#This Row],[fecha_inicio]]="","",tblOrdenes[[#This Row],[anio]]&amp;"-"&amp;TEXT(tblOrdenes[[#This Row],[mes]],"00"))</f>
        <v/>
      </c>
      <c r="S732" s="5">
        <f>IF(tblOrdenes[[#This Row],[fecha_inicio]]="","",INDEX(lista_dias,WEEKDAY(tblOrdenes[[#This Row],[fecha_inicio]],2)))</f>
        <v/>
      </c>
      <c r="T7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2" s="5">
        <f>IF(tblOrdenes[[#This Row],[tipo_ot]]="","",_xlfn.XLOOKUP(tblOrdenes[[#This Row],[tipo_ot]],tblTiposOT[codigo],tblTiposOT[clasificacion],"sin_clasificar"))</f>
        <v/>
      </c>
      <c r="V7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2" s="5">
        <f>IF(tblOrdenes[[#This Row],[centro_costo]]="","",_xlfn.XLOOKUP(tblOrdenes[[#This Row],[centro_costo]],tblCECO[codigo],tblCECO[linea],"(sin catálogo)"))</f>
        <v/>
      </c>
      <c r="X732" s="5">
        <f>IF(tblOrdenes[[#This Row],[centro_costo]]="","",_xlfn.XLOOKUP(tblOrdenes[[#This Row],[centro_costo]],tblCECO[codigo],tblCECO[area],"(sin catálogo)"))</f>
        <v/>
      </c>
      <c r="Y7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2" s="5">
        <f>IF(tblOrdenes[[#This Row],[centro_costo]]="","",_xlfn.XLOOKUP(tblOrdenes[[#This Row],[centro_costo]],tblCECO[codigo],tblCECO[coordinador],"(sin catálogo)"))</f>
        <v/>
      </c>
      <c r="AA732" s="5">
        <f>IF(tblOrdenes[[#This Row],[puesto_trabajo]]="","",_xlfn.XLOOKUP(tblOrdenes[[#This Row],[puesto_trabajo]],tblPuestos[codigo],tblPuestos[especialidad],"(sin catálogo)"))</f>
        <v/>
      </c>
      <c r="AB732" s="5">
        <f>IF(tblOrdenes[[#This Row],[cod_actividad]]="","",_xlfn.XLOOKUP(tblOrdenes[[#This Row],[cod_actividad]],tblActividades[codigo],tblActividades[descripcion],"(sin catálogo)"))</f>
        <v/>
      </c>
      <c r="AC732" s="20">
        <f>IF(tblOrdenes[[#This Row],[fecha_inicio]]="","",TODAY()-tblOrdenes[[#This Row],[fecha_inicio]])</f>
        <v/>
      </c>
      <c r="AD7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2" s="5">
        <f>IF(tblOrdenes[[#This Row],[backlog_habiles]]="","",IF(tblOrdenes[[#This Row],[backlog_habiles]]&lt;0,"FUTURO",IF(tblOrdenes[[#This Row],[backlog_habiles]]&gt;p_dias_backlog_max,"BACKLOG","MES CORRIENTE")))</f>
        <v/>
      </c>
      <c r="AF732" s="5">
        <f>IF(tblOrdenes[[#This Row],[backlog_habiles]]="",FALSE,AND(tblOrdenes[[#This Row],[backlog_habiles]]&gt;p_dias_backlog_min,tblOrdenes[[#This Row],[backlog_habiles]]&lt;=p_dias_backlog_max))</f>
        <v/>
      </c>
      <c r="AG732" s="4" t="n"/>
      <c r="AH7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2" s="18">
        <f>IF(tblOrdenes[[#This Row],[orden]]="","",_xlfn.XLOOKUP(tblOrdenes[[#This Row],[id_operacion]],tblEjecucion[id_operacion],tblEjecucion[precio],0))</f>
        <v/>
      </c>
      <c r="AL732" s="18">
        <f>IF(tblOrdenes[[#This Row],[orden]]="","",MAX(0,_xlfn.XLOOKUP(tblOrdenes[[#This Row],[id_operacion]],tblEjecucion[id_operacion],tblEjecucion[costo_plan_total],0)-tblOrdenes[[#This Row],[costo_servicio]]))</f>
        <v/>
      </c>
      <c r="AM732" s="18">
        <f>IF(tblOrdenes[[#This Row],[orden]]="","",tblOrdenes[[#This Row],[costo_servicio]]+tblOrdenes[[#This Row],[costo_materiales]])</f>
        <v/>
      </c>
      <c r="AN7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2" s="4" t="n"/>
      <c r="AP732" s="4" t="n"/>
      <c r="AQ732" s="4" t="n"/>
      <c r="AR732" s="5">
        <f>IF(tblOrdenes[[#This Row],[link_checklist]]="","",HYPERLINK(p_ruta_base_checklists&amp;tblOrdenes[[#This Row],[link_checklist]],"abrir"))</f>
        <v/>
      </c>
      <c r="AS732" s="4" t="n"/>
      <c r="AT732" s="5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22" t="n"/>
      <c r="K733" s="5" t="n"/>
      <c r="L733" s="18" t="n"/>
      <c r="M7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5">
        <f>IF(tblOrdenes[[#This Row],[fecha_inicio]]="","",YEAR(tblOrdenes[[#This Row],[fecha_inicio]]))</f>
        <v/>
      </c>
      <c r="Q733" s="5">
        <f>IF(tblOrdenes[[#This Row],[fecha_inicio]]="","",MONTH(tblOrdenes[[#This Row],[fecha_inicio]]))</f>
        <v/>
      </c>
      <c r="R733" s="5">
        <f>IF(tblOrdenes[[#This Row],[fecha_inicio]]="","",tblOrdenes[[#This Row],[anio]]&amp;"-"&amp;TEXT(tblOrdenes[[#This Row],[mes]],"00"))</f>
        <v/>
      </c>
      <c r="S733" s="5">
        <f>IF(tblOrdenes[[#This Row],[fecha_inicio]]="","",INDEX(lista_dias,WEEKDAY(tblOrdenes[[#This Row],[fecha_inicio]],2)))</f>
        <v/>
      </c>
      <c r="T7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3" s="5">
        <f>IF(tblOrdenes[[#This Row],[tipo_ot]]="","",_xlfn.XLOOKUP(tblOrdenes[[#This Row],[tipo_ot]],tblTiposOT[codigo],tblTiposOT[clasificacion],"sin_clasificar"))</f>
        <v/>
      </c>
      <c r="V7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3" s="5">
        <f>IF(tblOrdenes[[#This Row],[centro_costo]]="","",_xlfn.XLOOKUP(tblOrdenes[[#This Row],[centro_costo]],tblCECO[codigo],tblCECO[linea],"(sin catálogo)"))</f>
        <v/>
      </c>
      <c r="X733" s="5">
        <f>IF(tblOrdenes[[#This Row],[centro_costo]]="","",_xlfn.XLOOKUP(tblOrdenes[[#This Row],[centro_costo]],tblCECO[codigo],tblCECO[area],"(sin catálogo)"))</f>
        <v/>
      </c>
      <c r="Y7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3" s="5">
        <f>IF(tblOrdenes[[#This Row],[centro_costo]]="","",_xlfn.XLOOKUP(tblOrdenes[[#This Row],[centro_costo]],tblCECO[codigo],tblCECO[coordinador],"(sin catálogo)"))</f>
        <v/>
      </c>
      <c r="AA733" s="5">
        <f>IF(tblOrdenes[[#This Row],[puesto_trabajo]]="","",_xlfn.XLOOKUP(tblOrdenes[[#This Row],[puesto_trabajo]],tblPuestos[codigo],tblPuestos[especialidad],"(sin catálogo)"))</f>
        <v/>
      </c>
      <c r="AB733" s="5">
        <f>IF(tblOrdenes[[#This Row],[cod_actividad]]="","",_xlfn.XLOOKUP(tblOrdenes[[#This Row],[cod_actividad]],tblActividades[codigo],tblActividades[descripcion],"(sin catálogo)"))</f>
        <v/>
      </c>
      <c r="AC733" s="20">
        <f>IF(tblOrdenes[[#This Row],[fecha_inicio]]="","",TODAY()-tblOrdenes[[#This Row],[fecha_inicio]])</f>
        <v/>
      </c>
      <c r="AD7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3" s="5">
        <f>IF(tblOrdenes[[#This Row],[backlog_habiles]]="","",IF(tblOrdenes[[#This Row],[backlog_habiles]]&lt;0,"FUTURO",IF(tblOrdenes[[#This Row],[backlog_habiles]]&gt;p_dias_backlog_max,"BACKLOG","MES CORRIENTE")))</f>
        <v/>
      </c>
      <c r="AF733" s="5">
        <f>IF(tblOrdenes[[#This Row],[backlog_habiles]]="",FALSE,AND(tblOrdenes[[#This Row],[backlog_habiles]]&gt;p_dias_backlog_min,tblOrdenes[[#This Row],[backlog_habiles]]&lt;=p_dias_backlog_max))</f>
        <v/>
      </c>
      <c r="AG733" s="4" t="n"/>
      <c r="AH7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3" s="18">
        <f>IF(tblOrdenes[[#This Row],[orden]]="","",_xlfn.XLOOKUP(tblOrdenes[[#This Row],[id_operacion]],tblEjecucion[id_operacion],tblEjecucion[precio],0))</f>
        <v/>
      </c>
      <c r="AL733" s="18">
        <f>IF(tblOrdenes[[#This Row],[orden]]="","",MAX(0,_xlfn.XLOOKUP(tblOrdenes[[#This Row],[id_operacion]],tblEjecucion[id_operacion],tblEjecucion[costo_plan_total],0)-tblOrdenes[[#This Row],[costo_servicio]]))</f>
        <v/>
      </c>
      <c r="AM733" s="18">
        <f>IF(tblOrdenes[[#This Row],[orden]]="","",tblOrdenes[[#This Row],[costo_servicio]]+tblOrdenes[[#This Row],[costo_materiales]])</f>
        <v/>
      </c>
      <c r="AN7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3" s="4" t="n"/>
      <c r="AP733" s="4" t="n"/>
      <c r="AQ733" s="4" t="n"/>
      <c r="AR733" s="5">
        <f>IF(tblOrdenes[[#This Row],[link_checklist]]="","",HYPERLINK(p_ruta_base_checklists&amp;tblOrdenes[[#This Row],[link_checklist]],"abrir"))</f>
        <v/>
      </c>
      <c r="AS733" s="4" t="n"/>
      <c r="AT733" s="5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22" t="n"/>
      <c r="K734" s="5" t="n"/>
      <c r="L734" s="18" t="n"/>
      <c r="M7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5">
        <f>IF(tblOrdenes[[#This Row],[fecha_inicio]]="","",YEAR(tblOrdenes[[#This Row],[fecha_inicio]]))</f>
        <v/>
      </c>
      <c r="Q734" s="5">
        <f>IF(tblOrdenes[[#This Row],[fecha_inicio]]="","",MONTH(tblOrdenes[[#This Row],[fecha_inicio]]))</f>
        <v/>
      </c>
      <c r="R734" s="5">
        <f>IF(tblOrdenes[[#This Row],[fecha_inicio]]="","",tblOrdenes[[#This Row],[anio]]&amp;"-"&amp;TEXT(tblOrdenes[[#This Row],[mes]],"00"))</f>
        <v/>
      </c>
      <c r="S734" s="5">
        <f>IF(tblOrdenes[[#This Row],[fecha_inicio]]="","",INDEX(lista_dias,WEEKDAY(tblOrdenes[[#This Row],[fecha_inicio]],2)))</f>
        <v/>
      </c>
      <c r="T7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4" s="5">
        <f>IF(tblOrdenes[[#This Row],[tipo_ot]]="","",_xlfn.XLOOKUP(tblOrdenes[[#This Row],[tipo_ot]],tblTiposOT[codigo],tblTiposOT[clasificacion],"sin_clasificar"))</f>
        <v/>
      </c>
      <c r="V7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4" s="5">
        <f>IF(tblOrdenes[[#This Row],[centro_costo]]="","",_xlfn.XLOOKUP(tblOrdenes[[#This Row],[centro_costo]],tblCECO[codigo],tblCECO[linea],"(sin catálogo)"))</f>
        <v/>
      </c>
      <c r="X734" s="5">
        <f>IF(tblOrdenes[[#This Row],[centro_costo]]="","",_xlfn.XLOOKUP(tblOrdenes[[#This Row],[centro_costo]],tblCECO[codigo],tblCECO[area],"(sin catálogo)"))</f>
        <v/>
      </c>
      <c r="Y7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4" s="5">
        <f>IF(tblOrdenes[[#This Row],[centro_costo]]="","",_xlfn.XLOOKUP(tblOrdenes[[#This Row],[centro_costo]],tblCECO[codigo],tblCECO[coordinador],"(sin catálogo)"))</f>
        <v/>
      </c>
      <c r="AA734" s="5">
        <f>IF(tblOrdenes[[#This Row],[puesto_trabajo]]="","",_xlfn.XLOOKUP(tblOrdenes[[#This Row],[puesto_trabajo]],tblPuestos[codigo],tblPuestos[especialidad],"(sin catálogo)"))</f>
        <v/>
      </c>
      <c r="AB734" s="5">
        <f>IF(tblOrdenes[[#This Row],[cod_actividad]]="","",_xlfn.XLOOKUP(tblOrdenes[[#This Row],[cod_actividad]],tblActividades[codigo],tblActividades[descripcion],"(sin catálogo)"))</f>
        <v/>
      </c>
      <c r="AC734" s="20">
        <f>IF(tblOrdenes[[#This Row],[fecha_inicio]]="","",TODAY()-tblOrdenes[[#This Row],[fecha_inicio]])</f>
        <v/>
      </c>
      <c r="AD7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4" s="5">
        <f>IF(tblOrdenes[[#This Row],[backlog_habiles]]="","",IF(tblOrdenes[[#This Row],[backlog_habiles]]&lt;0,"FUTURO",IF(tblOrdenes[[#This Row],[backlog_habiles]]&gt;p_dias_backlog_max,"BACKLOG","MES CORRIENTE")))</f>
        <v/>
      </c>
      <c r="AF734" s="5">
        <f>IF(tblOrdenes[[#This Row],[backlog_habiles]]="",FALSE,AND(tblOrdenes[[#This Row],[backlog_habiles]]&gt;p_dias_backlog_min,tblOrdenes[[#This Row],[backlog_habiles]]&lt;=p_dias_backlog_max))</f>
        <v/>
      </c>
      <c r="AG734" s="4" t="n"/>
      <c r="AH7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4" s="18">
        <f>IF(tblOrdenes[[#This Row],[orden]]="","",_xlfn.XLOOKUP(tblOrdenes[[#This Row],[id_operacion]],tblEjecucion[id_operacion],tblEjecucion[precio],0))</f>
        <v/>
      </c>
      <c r="AL734" s="18">
        <f>IF(tblOrdenes[[#This Row],[orden]]="","",MAX(0,_xlfn.XLOOKUP(tblOrdenes[[#This Row],[id_operacion]],tblEjecucion[id_operacion],tblEjecucion[costo_plan_total],0)-tblOrdenes[[#This Row],[costo_servicio]]))</f>
        <v/>
      </c>
      <c r="AM734" s="18">
        <f>IF(tblOrdenes[[#This Row],[orden]]="","",tblOrdenes[[#This Row],[costo_servicio]]+tblOrdenes[[#This Row],[costo_materiales]])</f>
        <v/>
      </c>
      <c r="AN7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4" s="4" t="n"/>
      <c r="AP734" s="4" t="n"/>
      <c r="AQ734" s="4" t="n"/>
      <c r="AR734" s="5">
        <f>IF(tblOrdenes[[#This Row],[link_checklist]]="","",HYPERLINK(p_ruta_base_checklists&amp;tblOrdenes[[#This Row],[link_checklist]],"abrir"))</f>
        <v/>
      </c>
      <c r="AS734" s="4" t="n"/>
      <c r="AT734" s="5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22" t="n"/>
      <c r="K735" s="5" t="n"/>
      <c r="L735" s="18" t="n"/>
      <c r="M7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5">
        <f>IF(tblOrdenes[[#This Row],[fecha_inicio]]="","",YEAR(tblOrdenes[[#This Row],[fecha_inicio]]))</f>
        <v/>
      </c>
      <c r="Q735" s="5">
        <f>IF(tblOrdenes[[#This Row],[fecha_inicio]]="","",MONTH(tblOrdenes[[#This Row],[fecha_inicio]]))</f>
        <v/>
      </c>
      <c r="R735" s="5">
        <f>IF(tblOrdenes[[#This Row],[fecha_inicio]]="","",tblOrdenes[[#This Row],[anio]]&amp;"-"&amp;TEXT(tblOrdenes[[#This Row],[mes]],"00"))</f>
        <v/>
      </c>
      <c r="S735" s="5">
        <f>IF(tblOrdenes[[#This Row],[fecha_inicio]]="","",INDEX(lista_dias,WEEKDAY(tblOrdenes[[#This Row],[fecha_inicio]],2)))</f>
        <v/>
      </c>
      <c r="T7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5" s="5">
        <f>IF(tblOrdenes[[#This Row],[tipo_ot]]="","",_xlfn.XLOOKUP(tblOrdenes[[#This Row],[tipo_ot]],tblTiposOT[codigo],tblTiposOT[clasificacion],"sin_clasificar"))</f>
        <v/>
      </c>
      <c r="V7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5" s="5">
        <f>IF(tblOrdenes[[#This Row],[centro_costo]]="","",_xlfn.XLOOKUP(tblOrdenes[[#This Row],[centro_costo]],tblCECO[codigo],tblCECO[linea],"(sin catálogo)"))</f>
        <v/>
      </c>
      <c r="X735" s="5">
        <f>IF(tblOrdenes[[#This Row],[centro_costo]]="","",_xlfn.XLOOKUP(tblOrdenes[[#This Row],[centro_costo]],tblCECO[codigo],tblCECO[area],"(sin catálogo)"))</f>
        <v/>
      </c>
      <c r="Y7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5" s="5">
        <f>IF(tblOrdenes[[#This Row],[centro_costo]]="","",_xlfn.XLOOKUP(tblOrdenes[[#This Row],[centro_costo]],tblCECO[codigo],tblCECO[coordinador],"(sin catálogo)"))</f>
        <v/>
      </c>
      <c r="AA735" s="5">
        <f>IF(tblOrdenes[[#This Row],[puesto_trabajo]]="","",_xlfn.XLOOKUP(tblOrdenes[[#This Row],[puesto_trabajo]],tblPuestos[codigo],tblPuestos[especialidad],"(sin catálogo)"))</f>
        <v/>
      </c>
      <c r="AB735" s="5">
        <f>IF(tblOrdenes[[#This Row],[cod_actividad]]="","",_xlfn.XLOOKUP(tblOrdenes[[#This Row],[cod_actividad]],tblActividades[codigo],tblActividades[descripcion],"(sin catálogo)"))</f>
        <v/>
      </c>
      <c r="AC735" s="20">
        <f>IF(tblOrdenes[[#This Row],[fecha_inicio]]="","",TODAY()-tblOrdenes[[#This Row],[fecha_inicio]])</f>
        <v/>
      </c>
      <c r="AD7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5" s="5">
        <f>IF(tblOrdenes[[#This Row],[backlog_habiles]]="","",IF(tblOrdenes[[#This Row],[backlog_habiles]]&lt;0,"FUTURO",IF(tblOrdenes[[#This Row],[backlog_habiles]]&gt;p_dias_backlog_max,"BACKLOG","MES CORRIENTE")))</f>
        <v/>
      </c>
      <c r="AF735" s="5">
        <f>IF(tblOrdenes[[#This Row],[backlog_habiles]]="",FALSE,AND(tblOrdenes[[#This Row],[backlog_habiles]]&gt;p_dias_backlog_min,tblOrdenes[[#This Row],[backlog_habiles]]&lt;=p_dias_backlog_max))</f>
        <v/>
      </c>
      <c r="AG735" s="4" t="n"/>
      <c r="AH7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5" s="18">
        <f>IF(tblOrdenes[[#This Row],[orden]]="","",_xlfn.XLOOKUP(tblOrdenes[[#This Row],[id_operacion]],tblEjecucion[id_operacion],tblEjecucion[precio],0))</f>
        <v/>
      </c>
      <c r="AL735" s="18">
        <f>IF(tblOrdenes[[#This Row],[orden]]="","",MAX(0,_xlfn.XLOOKUP(tblOrdenes[[#This Row],[id_operacion]],tblEjecucion[id_operacion],tblEjecucion[costo_plan_total],0)-tblOrdenes[[#This Row],[costo_servicio]]))</f>
        <v/>
      </c>
      <c r="AM735" s="18">
        <f>IF(tblOrdenes[[#This Row],[orden]]="","",tblOrdenes[[#This Row],[costo_servicio]]+tblOrdenes[[#This Row],[costo_materiales]])</f>
        <v/>
      </c>
      <c r="AN7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5" s="4" t="n"/>
      <c r="AP735" s="4" t="n"/>
      <c r="AQ735" s="4" t="n"/>
      <c r="AR735" s="5">
        <f>IF(tblOrdenes[[#This Row],[link_checklist]]="","",HYPERLINK(p_ruta_base_checklists&amp;tblOrdenes[[#This Row],[link_checklist]],"abrir"))</f>
        <v/>
      </c>
      <c r="AS735" s="4" t="n"/>
      <c r="AT735" s="5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22" t="n"/>
      <c r="K736" s="5" t="n"/>
      <c r="L736" s="18" t="n"/>
      <c r="M7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5">
        <f>IF(tblOrdenes[[#This Row],[fecha_inicio]]="","",YEAR(tblOrdenes[[#This Row],[fecha_inicio]]))</f>
        <v/>
      </c>
      <c r="Q736" s="5">
        <f>IF(tblOrdenes[[#This Row],[fecha_inicio]]="","",MONTH(tblOrdenes[[#This Row],[fecha_inicio]]))</f>
        <v/>
      </c>
      <c r="R736" s="5">
        <f>IF(tblOrdenes[[#This Row],[fecha_inicio]]="","",tblOrdenes[[#This Row],[anio]]&amp;"-"&amp;TEXT(tblOrdenes[[#This Row],[mes]],"00"))</f>
        <v/>
      </c>
      <c r="S736" s="5">
        <f>IF(tblOrdenes[[#This Row],[fecha_inicio]]="","",INDEX(lista_dias,WEEKDAY(tblOrdenes[[#This Row],[fecha_inicio]],2)))</f>
        <v/>
      </c>
      <c r="T7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6" s="5">
        <f>IF(tblOrdenes[[#This Row],[tipo_ot]]="","",_xlfn.XLOOKUP(tblOrdenes[[#This Row],[tipo_ot]],tblTiposOT[codigo],tblTiposOT[clasificacion],"sin_clasificar"))</f>
        <v/>
      </c>
      <c r="V7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6" s="5">
        <f>IF(tblOrdenes[[#This Row],[centro_costo]]="","",_xlfn.XLOOKUP(tblOrdenes[[#This Row],[centro_costo]],tblCECO[codigo],tblCECO[linea],"(sin catálogo)"))</f>
        <v/>
      </c>
      <c r="X736" s="5">
        <f>IF(tblOrdenes[[#This Row],[centro_costo]]="","",_xlfn.XLOOKUP(tblOrdenes[[#This Row],[centro_costo]],tblCECO[codigo],tblCECO[area],"(sin catálogo)"))</f>
        <v/>
      </c>
      <c r="Y7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6" s="5">
        <f>IF(tblOrdenes[[#This Row],[centro_costo]]="","",_xlfn.XLOOKUP(tblOrdenes[[#This Row],[centro_costo]],tblCECO[codigo],tblCECO[coordinador],"(sin catálogo)"))</f>
        <v/>
      </c>
      <c r="AA736" s="5">
        <f>IF(tblOrdenes[[#This Row],[puesto_trabajo]]="","",_xlfn.XLOOKUP(tblOrdenes[[#This Row],[puesto_trabajo]],tblPuestos[codigo],tblPuestos[especialidad],"(sin catálogo)"))</f>
        <v/>
      </c>
      <c r="AB736" s="5">
        <f>IF(tblOrdenes[[#This Row],[cod_actividad]]="","",_xlfn.XLOOKUP(tblOrdenes[[#This Row],[cod_actividad]],tblActividades[codigo],tblActividades[descripcion],"(sin catálogo)"))</f>
        <v/>
      </c>
      <c r="AC736" s="20">
        <f>IF(tblOrdenes[[#This Row],[fecha_inicio]]="","",TODAY()-tblOrdenes[[#This Row],[fecha_inicio]])</f>
        <v/>
      </c>
      <c r="AD7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6" s="5">
        <f>IF(tblOrdenes[[#This Row],[backlog_habiles]]="","",IF(tblOrdenes[[#This Row],[backlog_habiles]]&lt;0,"FUTURO",IF(tblOrdenes[[#This Row],[backlog_habiles]]&gt;p_dias_backlog_max,"BACKLOG","MES CORRIENTE")))</f>
        <v/>
      </c>
      <c r="AF736" s="5">
        <f>IF(tblOrdenes[[#This Row],[backlog_habiles]]="",FALSE,AND(tblOrdenes[[#This Row],[backlog_habiles]]&gt;p_dias_backlog_min,tblOrdenes[[#This Row],[backlog_habiles]]&lt;=p_dias_backlog_max))</f>
        <v/>
      </c>
      <c r="AG736" s="4" t="n"/>
      <c r="AH7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6" s="18">
        <f>IF(tblOrdenes[[#This Row],[orden]]="","",_xlfn.XLOOKUP(tblOrdenes[[#This Row],[id_operacion]],tblEjecucion[id_operacion],tblEjecucion[precio],0))</f>
        <v/>
      </c>
      <c r="AL736" s="18">
        <f>IF(tblOrdenes[[#This Row],[orden]]="","",MAX(0,_xlfn.XLOOKUP(tblOrdenes[[#This Row],[id_operacion]],tblEjecucion[id_operacion],tblEjecucion[costo_plan_total],0)-tblOrdenes[[#This Row],[costo_servicio]]))</f>
        <v/>
      </c>
      <c r="AM736" s="18">
        <f>IF(tblOrdenes[[#This Row],[orden]]="","",tblOrdenes[[#This Row],[costo_servicio]]+tblOrdenes[[#This Row],[costo_materiales]])</f>
        <v/>
      </c>
      <c r="AN7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6" s="4" t="n"/>
      <c r="AP736" s="4" t="n"/>
      <c r="AQ736" s="4" t="n"/>
      <c r="AR736" s="5">
        <f>IF(tblOrdenes[[#This Row],[link_checklist]]="","",HYPERLINK(p_ruta_base_checklists&amp;tblOrdenes[[#This Row],[link_checklist]],"abrir"))</f>
        <v/>
      </c>
      <c r="AS736" s="4" t="n"/>
      <c r="AT736" s="5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22" t="n"/>
      <c r="K737" s="5" t="n"/>
      <c r="L737" s="18" t="n"/>
      <c r="M7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5">
        <f>IF(tblOrdenes[[#This Row],[fecha_inicio]]="","",YEAR(tblOrdenes[[#This Row],[fecha_inicio]]))</f>
        <v/>
      </c>
      <c r="Q737" s="5">
        <f>IF(tblOrdenes[[#This Row],[fecha_inicio]]="","",MONTH(tblOrdenes[[#This Row],[fecha_inicio]]))</f>
        <v/>
      </c>
      <c r="R737" s="5">
        <f>IF(tblOrdenes[[#This Row],[fecha_inicio]]="","",tblOrdenes[[#This Row],[anio]]&amp;"-"&amp;TEXT(tblOrdenes[[#This Row],[mes]],"00"))</f>
        <v/>
      </c>
      <c r="S737" s="5">
        <f>IF(tblOrdenes[[#This Row],[fecha_inicio]]="","",INDEX(lista_dias,WEEKDAY(tblOrdenes[[#This Row],[fecha_inicio]],2)))</f>
        <v/>
      </c>
      <c r="T7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7" s="5">
        <f>IF(tblOrdenes[[#This Row],[tipo_ot]]="","",_xlfn.XLOOKUP(tblOrdenes[[#This Row],[tipo_ot]],tblTiposOT[codigo],tblTiposOT[clasificacion],"sin_clasificar"))</f>
        <v/>
      </c>
      <c r="V7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7" s="5">
        <f>IF(tblOrdenes[[#This Row],[centro_costo]]="","",_xlfn.XLOOKUP(tblOrdenes[[#This Row],[centro_costo]],tblCECO[codigo],tblCECO[linea],"(sin catálogo)"))</f>
        <v/>
      </c>
      <c r="X737" s="5">
        <f>IF(tblOrdenes[[#This Row],[centro_costo]]="","",_xlfn.XLOOKUP(tblOrdenes[[#This Row],[centro_costo]],tblCECO[codigo],tblCECO[area],"(sin catálogo)"))</f>
        <v/>
      </c>
      <c r="Y7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7" s="5">
        <f>IF(tblOrdenes[[#This Row],[centro_costo]]="","",_xlfn.XLOOKUP(tblOrdenes[[#This Row],[centro_costo]],tblCECO[codigo],tblCECO[coordinador],"(sin catálogo)"))</f>
        <v/>
      </c>
      <c r="AA737" s="5">
        <f>IF(tblOrdenes[[#This Row],[puesto_trabajo]]="","",_xlfn.XLOOKUP(tblOrdenes[[#This Row],[puesto_trabajo]],tblPuestos[codigo],tblPuestos[especialidad],"(sin catálogo)"))</f>
        <v/>
      </c>
      <c r="AB737" s="5">
        <f>IF(tblOrdenes[[#This Row],[cod_actividad]]="","",_xlfn.XLOOKUP(tblOrdenes[[#This Row],[cod_actividad]],tblActividades[codigo],tblActividades[descripcion],"(sin catálogo)"))</f>
        <v/>
      </c>
      <c r="AC737" s="20">
        <f>IF(tblOrdenes[[#This Row],[fecha_inicio]]="","",TODAY()-tblOrdenes[[#This Row],[fecha_inicio]])</f>
        <v/>
      </c>
      <c r="AD7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7" s="5">
        <f>IF(tblOrdenes[[#This Row],[backlog_habiles]]="","",IF(tblOrdenes[[#This Row],[backlog_habiles]]&lt;0,"FUTURO",IF(tblOrdenes[[#This Row],[backlog_habiles]]&gt;p_dias_backlog_max,"BACKLOG","MES CORRIENTE")))</f>
        <v/>
      </c>
      <c r="AF737" s="5">
        <f>IF(tblOrdenes[[#This Row],[backlog_habiles]]="",FALSE,AND(tblOrdenes[[#This Row],[backlog_habiles]]&gt;p_dias_backlog_min,tblOrdenes[[#This Row],[backlog_habiles]]&lt;=p_dias_backlog_max))</f>
        <v/>
      </c>
      <c r="AG737" s="4" t="n"/>
      <c r="AH7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7" s="18">
        <f>IF(tblOrdenes[[#This Row],[orden]]="","",_xlfn.XLOOKUP(tblOrdenes[[#This Row],[id_operacion]],tblEjecucion[id_operacion],tblEjecucion[precio],0))</f>
        <v/>
      </c>
      <c r="AL737" s="18">
        <f>IF(tblOrdenes[[#This Row],[orden]]="","",MAX(0,_xlfn.XLOOKUP(tblOrdenes[[#This Row],[id_operacion]],tblEjecucion[id_operacion],tblEjecucion[costo_plan_total],0)-tblOrdenes[[#This Row],[costo_servicio]]))</f>
        <v/>
      </c>
      <c r="AM737" s="18">
        <f>IF(tblOrdenes[[#This Row],[orden]]="","",tblOrdenes[[#This Row],[costo_servicio]]+tblOrdenes[[#This Row],[costo_materiales]])</f>
        <v/>
      </c>
      <c r="AN7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7" s="4" t="n"/>
      <c r="AP737" s="4" t="n"/>
      <c r="AQ737" s="4" t="n"/>
      <c r="AR737" s="5">
        <f>IF(tblOrdenes[[#This Row],[link_checklist]]="","",HYPERLINK(p_ruta_base_checklists&amp;tblOrdenes[[#This Row],[link_checklist]],"abrir"))</f>
        <v/>
      </c>
      <c r="AS737" s="4" t="n"/>
      <c r="AT737" s="5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22" t="n"/>
      <c r="K738" s="5" t="n"/>
      <c r="L738" s="18" t="n"/>
      <c r="M7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5">
        <f>IF(tblOrdenes[[#This Row],[fecha_inicio]]="","",YEAR(tblOrdenes[[#This Row],[fecha_inicio]]))</f>
        <v/>
      </c>
      <c r="Q738" s="5">
        <f>IF(tblOrdenes[[#This Row],[fecha_inicio]]="","",MONTH(tblOrdenes[[#This Row],[fecha_inicio]]))</f>
        <v/>
      </c>
      <c r="R738" s="5">
        <f>IF(tblOrdenes[[#This Row],[fecha_inicio]]="","",tblOrdenes[[#This Row],[anio]]&amp;"-"&amp;TEXT(tblOrdenes[[#This Row],[mes]],"00"))</f>
        <v/>
      </c>
      <c r="S738" s="5">
        <f>IF(tblOrdenes[[#This Row],[fecha_inicio]]="","",INDEX(lista_dias,WEEKDAY(tblOrdenes[[#This Row],[fecha_inicio]],2)))</f>
        <v/>
      </c>
      <c r="T7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8" s="5">
        <f>IF(tblOrdenes[[#This Row],[tipo_ot]]="","",_xlfn.XLOOKUP(tblOrdenes[[#This Row],[tipo_ot]],tblTiposOT[codigo],tblTiposOT[clasificacion],"sin_clasificar"))</f>
        <v/>
      </c>
      <c r="V7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8" s="5">
        <f>IF(tblOrdenes[[#This Row],[centro_costo]]="","",_xlfn.XLOOKUP(tblOrdenes[[#This Row],[centro_costo]],tblCECO[codigo],tblCECO[linea],"(sin catálogo)"))</f>
        <v/>
      </c>
      <c r="X738" s="5">
        <f>IF(tblOrdenes[[#This Row],[centro_costo]]="","",_xlfn.XLOOKUP(tblOrdenes[[#This Row],[centro_costo]],tblCECO[codigo],tblCECO[area],"(sin catálogo)"))</f>
        <v/>
      </c>
      <c r="Y7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8" s="5">
        <f>IF(tblOrdenes[[#This Row],[centro_costo]]="","",_xlfn.XLOOKUP(tblOrdenes[[#This Row],[centro_costo]],tblCECO[codigo],tblCECO[coordinador],"(sin catálogo)"))</f>
        <v/>
      </c>
      <c r="AA738" s="5">
        <f>IF(tblOrdenes[[#This Row],[puesto_trabajo]]="","",_xlfn.XLOOKUP(tblOrdenes[[#This Row],[puesto_trabajo]],tblPuestos[codigo],tblPuestos[especialidad],"(sin catálogo)"))</f>
        <v/>
      </c>
      <c r="AB738" s="5">
        <f>IF(tblOrdenes[[#This Row],[cod_actividad]]="","",_xlfn.XLOOKUP(tblOrdenes[[#This Row],[cod_actividad]],tblActividades[codigo],tblActividades[descripcion],"(sin catálogo)"))</f>
        <v/>
      </c>
      <c r="AC738" s="20">
        <f>IF(tblOrdenes[[#This Row],[fecha_inicio]]="","",TODAY()-tblOrdenes[[#This Row],[fecha_inicio]])</f>
        <v/>
      </c>
      <c r="AD7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8" s="5">
        <f>IF(tblOrdenes[[#This Row],[backlog_habiles]]="","",IF(tblOrdenes[[#This Row],[backlog_habiles]]&lt;0,"FUTURO",IF(tblOrdenes[[#This Row],[backlog_habiles]]&gt;p_dias_backlog_max,"BACKLOG","MES CORRIENTE")))</f>
        <v/>
      </c>
      <c r="AF738" s="5">
        <f>IF(tblOrdenes[[#This Row],[backlog_habiles]]="",FALSE,AND(tblOrdenes[[#This Row],[backlog_habiles]]&gt;p_dias_backlog_min,tblOrdenes[[#This Row],[backlog_habiles]]&lt;=p_dias_backlog_max))</f>
        <v/>
      </c>
      <c r="AG738" s="4" t="n"/>
      <c r="AH7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8" s="18">
        <f>IF(tblOrdenes[[#This Row],[orden]]="","",_xlfn.XLOOKUP(tblOrdenes[[#This Row],[id_operacion]],tblEjecucion[id_operacion],tblEjecucion[precio],0))</f>
        <v/>
      </c>
      <c r="AL738" s="18">
        <f>IF(tblOrdenes[[#This Row],[orden]]="","",MAX(0,_xlfn.XLOOKUP(tblOrdenes[[#This Row],[id_operacion]],tblEjecucion[id_operacion],tblEjecucion[costo_plan_total],0)-tblOrdenes[[#This Row],[costo_servicio]]))</f>
        <v/>
      </c>
      <c r="AM738" s="18">
        <f>IF(tblOrdenes[[#This Row],[orden]]="","",tblOrdenes[[#This Row],[costo_servicio]]+tblOrdenes[[#This Row],[costo_materiales]])</f>
        <v/>
      </c>
      <c r="AN7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8" s="4" t="n"/>
      <c r="AP738" s="4" t="n"/>
      <c r="AQ738" s="4" t="n"/>
      <c r="AR738" s="5">
        <f>IF(tblOrdenes[[#This Row],[link_checklist]]="","",HYPERLINK(p_ruta_base_checklists&amp;tblOrdenes[[#This Row],[link_checklist]],"abrir"))</f>
        <v/>
      </c>
      <c r="AS738" s="4" t="n"/>
      <c r="AT738" s="5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22" t="n"/>
      <c r="K739" s="5" t="n"/>
      <c r="L739" s="18" t="n"/>
      <c r="M7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5">
        <f>IF(tblOrdenes[[#This Row],[fecha_inicio]]="","",YEAR(tblOrdenes[[#This Row],[fecha_inicio]]))</f>
        <v/>
      </c>
      <c r="Q739" s="5">
        <f>IF(tblOrdenes[[#This Row],[fecha_inicio]]="","",MONTH(tblOrdenes[[#This Row],[fecha_inicio]]))</f>
        <v/>
      </c>
      <c r="R739" s="5">
        <f>IF(tblOrdenes[[#This Row],[fecha_inicio]]="","",tblOrdenes[[#This Row],[anio]]&amp;"-"&amp;TEXT(tblOrdenes[[#This Row],[mes]],"00"))</f>
        <v/>
      </c>
      <c r="S739" s="5">
        <f>IF(tblOrdenes[[#This Row],[fecha_inicio]]="","",INDEX(lista_dias,WEEKDAY(tblOrdenes[[#This Row],[fecha_inicio]],2)))</f>
        <v/>
      </c>
      <c r="T7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9" s="5">
        <f>IF(tblOrdenes[[#This Row],[tipo_ot]]="","",_xlfn.XLOOKUP(tblOrdenes[[#This Row],[tipo_ot]],tblTiposOT[codigo],tblTiposOT[clasificacion],"sin_clasificar"))</f>
        <v/>
      </c>
      <c r="V7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9" s="5">
        <f>IF(tblOrdenes[[#This Row],[centro_costo]]="","",_xlfn.XLOOKUP(tblOrdenes[[#This Row],[centro_costo]],tblCECO[codigo],tblCECO[linea],"(sin catálogo)"))</f>
        <v/>
      </c>
      <c r="X739" s="5">
        <f>IF(tblOrdenes[[#This Row],[centro_costo]]="","",_xlfn.XLOOKUP(tblOrdenes[[#This Row],[centro_costo]],tblCECO[codigo],tblCECO[area],"(sin catálogo)"))</f>
        <v/>
      </c>
      <c r="Y7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39" s="5">
        <f>IF(tblOrdenes[[#This Row],[centro_costo]]="","",_xlfn.XLOOKUP(tblOrdenes[[#This Row],[centro_costo]],tblCECO[codigo],tblCECO[coordinador],"(sin catálogo)"))</f>
        <v/>
      </c>
      <c r="AA739" s="5">
        <f>IF(tblOrdenes[[#This Row],[puesto_trabajo]]="","",_xlfn.XLOOKUP(tblOrdenes[[#This Row],[puesto_trabajo]],tblPuestos[codigo],tblPuestos[especialidad],"(sin catálogo)"))</f>
        <v/>
      </c>
      <c r="AB739" s="5">
        <f>IF(tblOrdenes[[#This Row],[cod_actividad]]="","",_xlfn.XLOOKUP(tblOrdenes[[#This Row],[cod_actividad]],tblActividades[codigo],tblActividades[descripcion],"(sin catálogo)"))</f>
        <v/>
      </c>
      <c r="AC739" s="20">
        <f>IF(tblOrdenes[[#This Row],[fecha_inicio]]="","",TODAY()-tblOrdenes[[#This Row],[fecha_inicio]])</f>
        <v/>
      </c>
      <c r="AD7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39" s="5">
        <f>IF(tblOrdenes[[#This Row],[backlog_habiles]]="","",IF(tblOrdenes[[#This Row],[backlog_habiles]]&lt;0,"FUTURO",IF(tblOrdenes[[#This Row],[backlog_habiles]]&gt;p_dias_backlog_max,"BACKLOG","MES CORRIENTE")))</f>
        <v/>
      </c>
      <c r="AF739" s="5">
        <f>IF(tblOrdenes[[#This Row],[backlog_habiles]]="",FALSE,AND(tblOrdenes[[#This Row],[backlog_habiles]]&gt;p_dias_backlog_min,tblOrdenes[[#This Row],[backlog_habiles]]&lt;=p_dias_backlog_max))</f>
        <v/>
      </c>
      <c r="AG739" s="4" t="n"/>
      <c r="AH7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39" s="18">
        <f>IF(tblOrdenes[[#This Row],[orden]]="","",_xlfn.XLOOKUP(tblOrdenes[[#This Row],[id_operacion]],tblEjecucion[id_operacion],tblEjecucion[precio],0))</f>
        <v/>
      </c>
      <c r="AL739" s="18">
        <f>IF(tblOrdenes[[#This Row],[orden]]="","",MAX(0,_xlfn.XLOOKUP(tblOrdenes[[#This Row],[id_operacion]],tblEjecucion[id_operacion],tblEjecucion[costo_plan_total],0)-tblOrdenes[[#This Row],[costo_servicio]]))</f>
        <v/>
      </c>
      <c r="AM739" s="18">
        <f>IF(tblOrdenes[[#This Row],[orden]]="","",tblOrdenes[[#This Row],[costo_servicio]]+tblOrdenes[[#This Row],[costo_materiales]])</f>
        <v/>
      </c>
      <c r="AN7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39" s="4" t="n"/>
      <c r="AP739" s="4" t="n"/>
      <c r="AQ739" s="4" t="n"/>
      <c r="AR739" s="5">
        <f>IF(tblOrdenes[[#This Row],[link_checklist]]="","",HYPERLINK(p_ruta_base_checklists&amp;tblOrdenes[[#This Row],[link_checklist]],"abrir"))</f>
        <v/>
      </c>
      <c r="AS739" s="4" t="n"/>
      <c r="AT739" s="5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22" t="n"/>
      <c r="K740" s="5" t="n"/>
      <c r="L740" s="18" t="n"/>
      <c r="M7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5">
        <f>IF(tblOrdenes[[#This Row],[fecha_inicio]]="","",YEAR(tblOrdenes[[#This Row],[fecha_inicio]]))</f>
        <v/>
      </c>
      <c r="Q740" s="5">
        <f>IF(tblOrdenes[[#This Row],[fecha_inicio]]="","",MONTH(tblOrdenes[[#This Row],[fecha_inicio]]))</f>
        <v/>
      </c>
      <c r="R740" s="5">
        <f>IF(tblOrdenes[[#This Row],[fecha_inicio]]="","",tblOrdenes[[#This Row],[anio]]&amp;"-"&amp;TEXT(tblOrdenes[[#This Row],[mes]],"00"))</f>
        <v/>
      </c>
      <c r="S740" s="5">
        <f>IF(tblOrdenes[[#This Row],[fecha_inicio]]="","",INDEX(lista_dias,WEEKDAY(tblOrdenes[[#This Row],[fecha_inicio]],2)))</f>
        <v/>
      </c>
      <c r="T7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0" s="5">
        <f>IF(tblOrdenes[[#This Row],[tipo_ot]]="","",_xlfn.XLOOKUP(tblOrdenes[[#This Row],[tipo_ot]],tblTiposOT[codigo],tblTiposOT[clasificacion],"sin_clasificar"))</f>
        <v/>
      </c>
      <c r="V7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0" s="5">
        <f>IF(tblOrdenes[[#This Row],[centro_costo]]="","",_xlfn.XLOOKUP(tblOrdenes[[#This Row],[centro_costo]],tblCECO[codigo],tblCECO[linea],"(sin catálogo)"))</f>
        <v/>
      </c>
      <c r="X740" s="5">
        <f>IF(tblOrdenes[[#This Row],[centro_costo]]="","",_xlfn.XLOOKUP(tblOrdenes[[#This Row],[centro_costo]],tblCECO[codigo],tblCECO[area],"(sin catálogo)"))</f>
        <v/>
      </c>
      <c r="Y7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0" s="5">
        <f>IF(tblOrdenes[[#This Row],[centro_costo]]="","",_xlfn.XLOOKUP(tblOrdenes[[#This Row],[centro_costo]],tblCECO[codigo],tblCECO[coordinador],"(sin catálogo)"))</f>
        <v/>
      </c>
      <c r="AA740" s="5">
        <f>IF(tblOrdenes[[#This Row],[puesto_trabajo]]="","",_xlfn.XLOOKUP(tblOrdenes[[#This Row],[puesto_trabajo]],tblPuestos[codigo],tblPuestos[especialidad],"(sin catálogo)"))</f>
        <v/>
      </c>
      <c r="AB740" s="5">
        <f>IF(tblOrdenes[[#This Row],[cod_actividad]]="","",_xlfn.XLOOKUP(tblOrdenes[[#This Row],[cod_actividad]],tblActividades[codigo],tblActividades[descripcion],"(sin catálogo)"))</f>
        <v/>
      </c>
      <c r="AC740" s="20">
        <f>IF(tblOrdenes[[#This Row],[fecha_inicio]]="","",TODAY()-tblOrdenes[[#This Row],[fecha_inicio]])</f>
        <v/>
      </c>
      <c r="AD7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0" s="5">
        <f>IF(tblOrdenes[[#This Row],[backlog_habiles]]="","",IF(tblOrdenes[[#This Row],[backlog_habiles]]&lt;0,"FUTURO",IF(tblOrdenes[[#This Row],[backlog_habiles]]&gt;p_dias_backlog_max,"BACKLOG","MES CORRIENTE")))</f>
        <v/>
      </c>
      <c r="AF740" s="5">
        <f>IF(tblOrdenes[[#This Row],[backlog_habiles]]="",FALSE,AND(tblOrdenes[[#This Row],[backlog_habiles]]&gt;p_dias_backlog_min,tblOrdenes[[#This Row],[backlog_habiles]]&lt;=p_dias_backlog_max))</f>
        <v/>
      </c>
      <c r="AG740" s="4" t="n"/>
      <c r="AH7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0" s="18">
        <f>IF(tblOrdenes[[#This Row],[orden]]="","",_xlfn.XLOOKUP(tblOrdenes[[#This Row],[id_operacion]],tblEjecucion[id_operacion],tblEjecucion[precio],0))</f>
        <v/>
      </c>
      <c r="AL740" s="18">
        <f>IF(tblOrdenes[[#This Row],[orden]]="","",MAX(0,_xlfn.XLOOKUP(tblOrdenes[[#This Row],[id_operacion]],tblEjecucion[id_operacion],tblEjecucion[costo_plan_total],0)-tblOrdenes[[#This Row],[costo_servicio]]))</f>
        <v/>
      </c>
      <c r="AM740" s="18">
        <f>IF(tblOrdenes[[#This Row],[orden]]="","",tblOrdenes[[#This Row],[costo_servicio]]+tblOrdenes[[#This Row],[costo_materiales]])</f>
        <v/>
      </c>
      <c r="AN7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0" s="4" t="n"/>
      <c r="AP740" s="4" t="n"/>
      <c r="AQ740" s="4" t="n"/>
      <c r="AR740" s="5">
        <f>IF(tblOrdenes[[#This Row],[link_checklist]]="","",HYPERLINK(p_ruta_base_checklists&amp;tblOrdenes[[#This Row],[link_checklist]],"abrir"))</f>
        <v/>
      </c>
      <c r="AS740" s="4" t="n"/>
      <c r="AT740" s="5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22" t="n"/>
      <c r="K741" s="5" t="n"/>
      <c r="L741" s="18" t="n"/>
      <c r="M7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5">
        <f>IF(tblOrdenes[[#This Row],[fecha_inicio]]="","",YEAR(tblOrdenes[[#This Row],[fecha_inicio]]))</f>
        <v/>
      </c>
      <c r="Q741" s="5">
        <f>IF(tblOrdenes[[#This Row],[fecha_inicio]]="","",MONTH(tblOrdenes[[#This Row],[fecha_inicio]]))</f>
        <v/>
      </c>
      <c r="R741" s="5">
        <f>IF(tblOrdenes[[#This Row],[fecha_inicio]]="","",tblOrdenes[[#This Row],[anio]]&amp;"-"&amp;TEXT(tblOrdenes[[#This Row],[mes]],"00"))</f>
        <v/>
      </c>
      <c r="S741" s="5">
        <f>IF(tblOrdenes[[#This Row],[fecha_inicio]]="","",INDEX(lista_dias,WEEKDAY(tblOrdenes[[#This Row],[fecha_inicio]],2)))</f>
        <v/>
      </c>
      <c r="T7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1" s="5">
        <f>IF(tblOrdenes[[#This Row],[tipo_ot]]="","",_xlfn.XLOOKUP(tblOrdenes[[#This Row],[tipo_ot]],tblTiposOT[codigo],tblTiposOT[clasificacion],"sin_clasificar"))</f>
        <v/>
      </c>
      <c r="V7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1" s="5">
        <f>IF(tblOrdenes[[#This Row],[centro_costo]]="","",_xlfn.XLOOKUP(tblOrdenes[[#This Row],[centro_costo]],tblCECO[codigo],tblCECO[linea],"(sin catálogo)"))</f>
        <v/>
      </c>
      <c r="X741" s="5">
        <f>IF(tblOrdenes[[#This Row],[centro_costo]]="","",_xlfn.XLOOKUP(tblOrdenes[[#This Row],[centro_costo]],tblCECO[codigo],tblCECO[area],"(sin catálogo)"))</f>
        <v/>
      </c>
      <c r="Y7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1" s="5">
        <f>IF(tblOrdenes[[#This Row],[centro_costo]]="","",_xlfn.XLOOKUP(tblOrdenes[[#This Row],[centro_costo]],tblCECO[codigo],tblCECO[coordinador],"(sin catálogo)"))</f>
        <v/>
      </c>
      <c r="AA741" s="5">
        <f>IF(tblOrdenes[[#This Row],[puesto_trabajo]]="","",_xlfn.XLOOKUP(tblOrdenes[[#This Row],[puesto_trabajo]],tblPuestos[codigo],tblPuestos[especialidad],"(sin catálogo)"))</f>
        <v/>
      </c>
      <c r="AB741" s="5">
        <f>IF(tblOrdenes[[#This Row],[cod_actividad]]="","",_xlfn.XLOOKUP(tblOrdenes[[#This Row],[cod_actividad]],tblActividades[codigo],tblActividades[descripcion],"(sin catálogo)"))</f>
        <v/>
      </c>
      <c r="AC741" s="20">
        <f>IF(tblOrdenes[[#This Row],[fecha_inicio]]="","",TODAY()-tblOrdenes[[#This Row],[fecha_inicio]])</f>
        <v/>
      </c>
      <c r="AD7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1" s="5">
        <f>IF(tblOrdenes[[#This Row],[backlog_habiles]]="","",IF(tblOrdenes[[#This Row],[backlog_habiles]]&lt;0,"FUTURO",IF(tblOrdenes[[#This Row],[backlog_habiles]]&gt;p_dias_backlog_max,"BACKLOG","MES CORRIENTE")))</f>
        <v/>
      </c>
      <c r="AF741" s="5">
        <f>IF(tblOrdenes[[#This Row],[backlog_habiles]]="",FALSE,AND(tblOrdenes[[#This Row],[backlog_habiles]]&gt;p_dias_backlog_min,tblOrdenes[[#This Row],[backlog_habiles]]&lt;=p_dias_backlog_max))</f>
        <v/>
      </c>
      <c r="AG741" s="4" t="n"/>
      <c r="AH7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1" s="18">
        <f>IF(tblOrdenes[[#This Row],[orden]]="","",_xlfn.XLOOKUP(tblOrdenes[[#This Row],[id_operacion]],tblEjecucion[id_operacion],tblEjecucion[precio],0))</f>
        <v/>
      </c>
      <c r="AL741" s="18">
        <f>IF(tblOrdenes[[#This Row],[orden]]="","",MAX(0,_xlfn.XLOOKUP(tblOrdenes[[#This Row],[id_operacion]],tblEjecucion[id_operacion],tblEjecucion[costo_plan_total],0)-tblOrdenes[[#This Row],[costo_servicio]]))</f>
        <v/>
      </c>
      <c r="AM741" s="18">
        <f>IF(tblOrdenes[[#This Row],[orden]]="","",tblOrdenes[[#This Row],[costo_servicio]]+tblOrdenes[[#This Row],[costo_materiales]])</f>
        <v/>
      </c>
      <c r="AN7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1" s="4" t="n"/>
      <c r="AP741" s="4" t="n"/>
      <c r="AQ741" s="4" t="n"/>
      <c r="AR741" s="5">
        <f>IF(tblOrdenes[[#This Row],[link_checklist]]="","",HYPERLINK(p_ruta_base_checklists&amp;tblOrdenes[[#This Row],[link_checklist]],"abrir"))</f>
        <v/>
      </c>
      <c r="AS741" s="4" t="n"/>
      <c r="AT741" s="5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22" t="n"/>
      <c r="K742" s="5" t="n"/>
      <c r="L742" s="18" t="n"/>
      <c r="M7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5">
        <f>IF(tblOrdenes[[#This Row],[fecha_inicio]]="","",YEAR(tblOrdenes[[#This Row],[fecha_inicio]]))</f>
        <v/>
      </c>
      <c r="Q742" s="5">
        <f>IF(tblOrdenes[[#This Row],[fecha_inicio]]="","",MONTH(tblOrdenes[[#This Row],[fecha_inicio]]))</f>
        <v/>
      </c>
      <c r="R742" s="5">
        <f>IF(tblOrdenes[[#This Row],[fecha_inicio]]="","",tblOrdenes[[#This Row],[anio]]&amp;"-"&amp;TEXT(tblOrdenes[[#This Row],[mes]],"00"))</f>
        <v/>
      </c>
      <c r="S742" s="5">
        <f>IF(tblOrdenes[[#This Row],[fecha_inicio]]="","",INDEX(lista_dias,WEEKDAY(tblOrdenes[[#This Row],[fecha_inicio]],2)))</f>
        <v/>
      </c>
      <c r="T7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2" s="5">
        <f>IF(tblOrdenes[[#This Row],[tipo_ot]]="","",_xlfn.XLOOKUP(tblOrdenes[[#This Row],[tipo_ot]],tblTiposOT[codigo],tblTiposOT[clasificacion],"sin_clasificar"))</f>
        <v/>
      </c>
      <c r="V7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2" s="5">
        <f>IF(tblOrdenes[[#This Row],[centro_costo]]="","",_xlfn.XLOOKUP(tblOrdenes[[#This Row],[centro_costo]],tblCECO[codigo],tblCECO[linea],"(sin catálogo)"))</f>
        <v/>
      </c>
      <c r="X742" s="5">
        <f>IF(tblOrdenes[[#This Row],[centro_costo]]="","",_xlfn.XLOOKUP(tblOrdenes[[#This Row],[centro_costo]],tblCECO[codigo],tblCECO[area],"(sin catálogo)"))</f>
        <v/>
      </c>
      <c r="Y7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2" s="5">
        <f>IF(tblOrdenes[[#This Row],[centro_costo]]="","",_xlfn.XLOOKUP(tblOrdenes[[#This Row],[centro_costo]],tblCECO[codigo],tblCECO[coordinador],"(sin catálogo)"))</f>
        <v/>
      </c>
      <c r="AA742" s="5">
        <f>IF(tblOrdenes[[#This Row],[puesto_trabajo]]="","",_xlfn.XLOOKUP(tblOrdenes[[#This Row],[puesto_trabajo]],tblPuestos[codigo],tblPuestos[especialidad],"(sin catálogo)"))</f>
        <v/>
      </c>
      <c r="AB742" s="5">
        <f>IF(tblOrdenes[[#This Row],[cod_actividad]]="","",_xlfn.XLOOKUP(tblOrdenes[[#This Row],[cod_actividad]],tblActividades[codigo],tblActividades[descripcion],"(sin catálogo)"))</f>
        <v/>
      </c>
      <c r="AC742" s="20">
        <f>IF(tblOrdenes[[#This Row],[fecha_inicio]]="","",TODAY()-tblOrdenes[[#This Row],[fecha_inicio]])</f>
        <v/>
      </c>
      <c r="AD7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2" s="5">
        <f>IF(tblOrdenes[[#This Row],[backlog_habiles]]="","",IF(tblOrdenes[[#This Row],[backlog_habiles]]&lt;0,"FUTURO",IF(tblOrdenes[[#This Row],[backlog_habiles]]&gt;p_dias_backlog_max,"BACKLOG","MES CORRIENTE")))</f>
        <v/>
      </c>
      <c r="AF742" s="5">
        <f>IF(tblOrdenes[[#This Row],[backlog_habiles]]="",FALSE,AND(tblOrdenes[[#This Row],[backlog_habiles]]&gt;p_dias_backlog_min,tblOrdenes[[#This Row],[backlog_habiles]]&lt;=p_dias_backlog_max))</f>
        <v/>
      </c>
      <c r="AG742" s="4" t="n"/>
      <c r="AH7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2" s="18">
        <f>IF(tblOrdenes[[#This Row],[orden]]="","",_xlfn.XLOOKUP(tblOrdenes[[#This Row],[id_operacion]],tblEjecucion[id_operacion],tblEjecucion[precio],0))</f>
        <v/>
      </c>
      <c r="AL742" s="18">
        <f>IF(tblOrdenes[[#This Row],[orden]]="","",MAX(0,_xlfn.XLOOKUP(tblOrdenes[[#This Row],[id_operacion]],tblEjecucion[id_operacion],tblEjecucion[costo_plan_total],0)-tblOrdenes[[#This Row],[costo_servicio]]))</f>
        <v/>
      </c>
      <c r="AM742" s="18">
        <f>IF(tblOrdenes[[#This Row],[orden]]="","",tblOrdenes[[#This Row],[costo_servicio]]+tblOrdenes[[#This Row],[costo_materiales]])</f>
        <v/>
      </c>
      <c r="AN7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2" s="4" t="n"/>
      <c r="AP742" s="4" t="n"/>
      <c r="AQ742" s="4" t="n"/>
      <c r="AR742" s="5">
        <f>IF(tblOrdenes[[#This Row],[link_checklist]]="","",HYPERLINK(p_ruta_base_checklists&amp;tblOrdenes[[#This Row],[link_checklist]],"abrir"))</f>
        <v/>
      </c>
      <c r="AS742" s="4" t="n"/>
      <c r="AT742" s="5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22" t="n"/>
      <c r="K743" s="5" t="n"/>
      <c r="L743" s="18" t="n"/>
      <c r="M7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5">
        <f>IF(tblOrdenes[[#This Row],[fecha_inicio]]="","",YEAR(tblOrdenes[[#This Row],[fecha_inicio]]))</f>
        <v/>
      </c>
      <c r="Q743" s="5">
        <f>IF(tblOrdenes[[#This Row],[fecha_inicio]]="","",MONTH(tblOrdenes[[#This Row],[fecha_inicio]]))</f>
        <v/>
      </c>
      <c r="R743" s="5">
        <f>IF(tblOrdenes[[#This Row],[fecha_inicio]]="","",tblOrdenes[[#This Row],[anio]]&amp;"-"&amp;TEXT(tblOrdenes[[#This Row],[mes]],"00"))</f>
        <v/>
      </c>
      <c r="S743" s="5">
        <f>IF(tblOrdenes[[#This Row],[fecha_inicio]]="","",INDEX(lista_dias,WEEKDAY(tblOrdenes[[#This Row],[fecha_inicio]],2)))</f>
        <v/>
      </c>
      <c r="T7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3" s="5">
        <f>IF(tblOrdenes[[#This Row],[tipo_ot]]="","",_xlfn.XLOOKUP(tblOrdenes[[#This Row],[tipo_ot]],tblTiposOT[codigo],tblTiposOT[clasificacion],"sin_clasificar"))</f>
        <v/>
      </c>
      <c r="V7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3" s="5">
        <f>IF(tblOrdenes[[#This Row],[centro_costo]]="","",_xlfn.XLOOKUP(tblOrdenes[[#This Row],[centro_costo]],tblCECO[codigo],tblCECO[linea],"(sin catálogo)"))</f>
        <v/>
      </c>
      <c r="X743" s="5">
        <f>IF(tblOrdenes[[#This Row],[centro_costo]]="","",_xlfn.XLOOKUP(tblOrdenes[[#This Row],[centro_costo]],tblCECO[codigo],tblCECO[area],"(sin catálogo)"))</f>
        <v/>
      </c>
      <c r="Y7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3" s="5">
        <f>IF(tblOrdenes[[#This Row],[centro_costo]]="","",_xlfn.XLOOKUP(tblOrdenes[[#This Row],[centro_costo]],tblCECO[codigo],tblCECO[coordinador],"(sin catálogo)"))</f>
        <v/>
      </c>
      <c r="AA743" s="5">
        <f>IF(tblOrdenes[[#This Row],[puesto_trabajo]]="","",_xlfn.XLOOKUP(tblOrdenes[[#This Row],[puesto_trabajo]],tblPuestos[codigo],tblPuestos[especialidad],"(sin catálogo)"))</f>
        <v/>
      </c>
      <c r="AB743" s="5">
        <f>IF(tblOrdenes[[#This Row],[cod_actividad]]="","",_xlfn.XLOOKUP(tblOrdenes[[#This Row],[cod_actividad]],tblActividades[codigo],tblActividades[descripcion],"(sin catálogo)"))</f>
        <v/>
      </c>
      <c r="AC743" s="20">
        <f>IF(tblOrdenes[[#This Row],[fecha_inicio]]="","",TODAY()-tblOrdenes[[#This Row],[fecha_inicio]])</f>
        <v/>
      </c>
      <c r="AD7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3" s="5">
        <f>IF(tblOrdenes[[#This Row],[backlog_habiles]]="","",IF(tblOrdenes[[#This Row],[backlog_habiles]]&lt;0,"FUTURO",IF(tblOrdenes[[#This Row],[backlog_habiles]]&gt;p_dias_backlog_max,"BACKLOG","MES CORRIENTE")))</f>
        <v/>
      </c>
      <c r="AF743" s="5">
        <f>IF(tblOrdenes[[#This Row],[backlog_habiles]]="",FALSE,AND(tblOrdenes[[#This Row],[backlog_habiles]]&gt;p_dias_backlog_min,tblOrdenes[[#This Row],[backlog_habiles]]&lt;=p_dias_backlog_max))</f>
        <v/>
      </c>
      <c r="AG743" s="4" t="n"/>
      <c r="AH7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3" s="18">
        <f>IF(tblOrdenes[[#This Row],[orden]]="","",_xlfn.XLOOKUP(tblOrdenes[[#This Row],[id_operacion]],tblEjecucion[id_operacion],tblEjecucion[precio],0))</f>
        <v/>
      </c>
      <c r="AL743" s="18">
        <f>IF(tblOrdenes[[#This Row],[orden]]="","",MAX(0,_xlfn.XLOOKUP(tblOrdenes[[#This Row],[id_operacion]],tblEjecucion[id_operacion],tblEjecucion[costo_plan_total],0)-tblOrdenes[[#This Row],[costo_servicio]]))</f>
        <v/>
      </c>
      <c r="AM743" s="18">
        <f>IF(tblOrdenes[[#This Row],[orden]]="","",tblOrdenes[[#This Row],[costo_servicio]]+tblOrdenes[[#This Row],[costo_materiales]])</f>
        <v/>
      </c>
      <c r="AN7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3" s="4" t="n"/>
      <c r="AP743" s="4" t="n"/>
      <c r="AQ743" s="4" t="n"/>
      <c r="AR743" s="5">
        <f>IF(tblOrdenes[[#This Row],[link_checklist]]="","",HYPERLINK(p_ruta_base_checklists&amp;tblOrdenes[[#This Row],[link_checklist]],"abrir"))</f>
        <v/>
      </c>
      <c r="AS743" s="4" t="n"/>
      <c r="AT743" s="5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22" t="n"/>
      <c r="K744" s="5" t="n"/>
      <c r="L744" s="18" t="n"/>
      <c r="M7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5">
        <f>IF(tblOrdenes[[#This Row],[fecha_inicio]]="","",YEAR(tblOrdenes[[#This Row],[fecha_inicio]]))</f>
        <v/>
      </c>
      <c r="Q744" s="5">
        <f>IF(tblOrdenes[[#This Row],[fecha_inicio]]="","",MONTH(tblOrdenes[[#This Row],[fecha_inicio]]))</f>
        <v/>
      </c>
      <c r="R744" s="5">
        <f>IF(tblOrdenes[[#This Row],[fecha_inicio]]="","",tblOrdenes[[#This Row],[anio]]&amp;"-"&amp;TEXT(tblOrdenes[[#This Row],[mes]],"00"))</f>
        <v/>
      </c>
      <c r="S744" s="5">
        <f>IF(tblOrdenes[[#This Row],[fecha_inicio]]="","",INDEX(lista_dias,WEEKDAY(tblOrdenes[[#This Row],[fecha_inicio]],2)))</f>
        <v/>
      </c>
      <c r="T7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4" s="5">
        <f>IF(tblOrdenes[[#This Row],[tipo_ot]]="","",_xlfn.XLOOKUP(tblOrdenes[[#This Row],[tipo_ot]],tblTiposOT[codigo],tblTiposOT[clasificacion],"sin_clasificar"))</f>
        <v/>
      </c>
      <c r="V7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4" s="5">
        <f>IF(tblOrdenes[[#This Row],[centro_costo]]="","",_xlfn.XLOOKUP(tblOrdenes[[#This Row],[centro_costo]],tblCECO[codigo],tblCECO[linea],"(sin catálogo)"))</f>
        <v/>
      </c>
      <c r="X744" s="5">
        <f>IF(tblOrdenes[[#This Row],[centro_costo]]="","",_xlfn.XLOOKUP(tblOrdenes[[#This Row],[centro_costo]],tblCECO[codigo],tblCECO[area],"(sin catálogo)"))</f>
        <v/>
      </c>
      <c r="Y7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4" s="5">
        <f>IF(tblOrdenes[[#This Row],[centro_costo]]="","",_xlfn.XLOOKUP(tblOrdenes[[#This Row],[centro_costo]],tblCECO[codigo],tblCECO[coordinador],"(sin catálogo)"))</f>
        <v/>
      </c>
      <c r="AA744" s="5">
        <f>IF(tblOrdenes[[#This Row],[puesto_trabajo]]="","",_xlfn.XLOOKUP(tblOrdenes[[#This Row],[puesto_trabajo]],tblPuestos[codigo],tblPuestos[especialidad],"(sin catálogo)"))</f>
        <v/>
      </c>
      <c r="AB744" s="5">
        <f>IF(tblOrdenes[[#This Row],[cod_actividad]]="","",_xlfn.XLOOKUP(tblOrdenes[[#This Row],[cod_actividad]],tblActividades[codigo],tblActividades[descripcion],"(sin catálogo)"))</f>
        <v/>
      </c>
      <c r="AC744" s="20">
        <f>IF(tblOrdenes[[#This Row],[fecha_inicio]]="","",TODAY()-tblOrdenes[[#This Row],[fecha_inicio]])</f>
        <v/>
      </c>
      <c r="AD7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4" s="5">
        <f>IF(tblOrdenes[[#This Row],[backlog_habiles]]="","",IF(tblOrdenes[[#This Row],[backlog_habiles]]&lt;0,"FUTURO",IF(tblOrdenes[[#This Row],[backlog_habiles]]&gt;p_dias_backlog_max,"BACKLOG","MES CORRIENTE")))</f>
        <v/>
      </c>
      <c r="AF744" s="5">
        <f>IF(tblOrdenes[[#This Row],[backlog_habiles]]="",FALSE,AND(tblOrdenes[[#This Row],[backlog_habiles]]&gt;p_dias_backlog_min,tblOrdenes[[#This Row],[backlog_habiles]]&lt;=p_dias_backlog_max))</f>
        <v/>
      </c>
      <c r="AG744" s="4" t="n"/>
      <c r="AH7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4" s="18">
        <f>IF(tblOrdenes[[#This Row],[orden]]="","",_xlfn.XLOOKUP(tblOrdenes[[#This Row],[id_operacion]],tblEjecucion[id_operacion],tblEjecucion[precio],0))</f>
        <v/>
      </c>
      <c r="AL744" s="18">
        <f>IF(tblOrdenes[[#This Row],[orden]]="","",MAX(0,_xlfn.XLOOKUP(tblOrdenes[[#This Row],[id_operacion]],tblEjecucion[id_operacion],tblEjecucion[costo_plan_total],0)-tblOrdenes[[#This Row],[costo_servicio]]))</f>
        <v/>
      </c>
      <c r="AM744" s="18">
        <f>IF(tblOrdenes[[#This Row],[orden]]="","",tblOrdenes[[#This Row],[costo_servicio]]+tblOrdenes[[#This Row],[costo_materiales]])</f>
        <v/>
      </c>
      <c r="AN7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4" s="4" t="n"/>
      <c r="AP744" s="4" t="n"/>
      <c r="AQ744" s="4" t="n"/>
      <c r="AR744" s="5">
        <f>IF(tblOrdenes[[#This Row],[link_checklist]]="","",HYPERLINK(p_ruta_base_checklists&amp;tblOrdenes[[#This Row],[link_checklist]],"abrir"))</f>
        <v/>
      </c>
      <c r="AS744" s="4" t="n"/>
      <c r="AT744" s="5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22" t="n"/>
      <c r="K745" s="5" t="n"/>
      <c r="L745" s="18" t="n"/>
      <c r="M7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5">
        <f>IF(tblOrdenes[[#This Row],[fecha_inicio]]="","",YEAR(tblOrdenes[[#This Row],[fecha_inicio]]))</f>
        <v/>
      </c>
      <c r="Q745" s="5">
        <f>IF(tblOrdenes[[#This Row],[fecha_inicio]]="","",MONTH(tblOrdenes[[#This Row],[fecha_inicio]]))</f>
        <v/>
      </c>
      <c r="R745" s="5">
        <f>IF(tblOrdenes[[#This Row],[fecha_inicio]]="","",tblOrdenes[[#This Row],[anio]]&amp;"-"&amp;TEXT(tblOrdenes[[#This Row],[mes]],"00"))</f>
        <v/>
      </c>
      <c r="S745" s="5">
        <f>IF(tblOrdenes[[#This Row],[fecha_inicio]]="","",INDEX(lista_dias,WEEKDAY(tblOrdenes[[#This Row],[fecha_inicio]],2)))</f>
        <v/>
      </c>
      <c r="T7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5" s="5">
        <f>IF(tblOrdenes[[#This Row],[tipo_ot]]="","",_xlfn.XLOOKUP(tblOrdenes[[#This Row],[tipo_ot]],tblTiposOT[codigo],tblTiposOT[clasificacion],"sin_clasificar"))</f>
        <v/>
      </c>
      <c r="V7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5" s="5">
        <f>IF(tblOrdenes[[#This Row],[centro_costo]]="","",_xlfn.XLOOKUP(tblOrdenes[[#This Row],[centro_costo]],tblCECO[codigo],tblCECO[linea],"(sin catálogo)"))</f>
        <v/>
      </c>
      <c r="X745" s="5">
        <f>IF(tblOrdenes[[#This Row],[centro_costo]]="","",_xlfn.XLOOKUP(tblOrdenes[[#This Row],[centro_costo]],tblCECO[codigo],tblCECO[area],"(sin catálogo)"))</f>
        <v/>
      </c>
      <c r="Y7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5" s="5">
        <f>IF(tblOrdenes[[#This Row],[centro_costo]]="","",_xlfn.XLOOKUP(tblOrdenes[[#This Row],[centro_costo]],tblCECO[codigo],tblCECO[coordinador],"(sin catálogo)"))</f>
        <v/>
      </c>
      <c r="AA745" s="5">
        <f>IF(tblOrdenes[[#This Row],[puesto_trabajo]]="","",_xlfn.XLOOKUP(tblOrdenes[[#This Row],[puesto_trabajo]],tblPuestos[codigo],tblPuestos[especialidad],"(sin catálogo)"))</f>
        <v/>
      </c>
      <c r="AB745" s="5">
        <f>IF(tblOrdenes[[#This Row],[cod_actividad]]="","",_xlfn.XLOOKUP(tblOrdenes[[#This Row],[cod_actividad]],tblActividades[codigo],tblActividades[descripcion],"(sin catálogo)"))</f>
        <v/>
      </c>
      <c r="AC745" s="20">
        <f>IF(tblOrdenes[[#This Row],[fecha_inicio]]="","",TODAY()-tblOrdenes[[#This Row],[fecha_inicio]])</f>
        <v/>
      </c>
      <c r="AD7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5" s="5">
        <f>IF(tblOrdenes[[#This Row],[backlog_habiles]]="","",IF(tblOrdenes[[#This Row],[backlog_habiles]]&lt;0,"FUTURO",IF(tblOrdenes[[#This Row],[backlog_habiles]]&gt;p_dias_backlog_max,"BACKLOG","MES CORRIENTE")))</f>
        <v/>
      </c>
      <c r="AF745" s="5">
        <f>IF(tblOrdenes[[#This Row],[backlog_habiles]]="",FALSE,AND(tblOrdenes[[#This Row],[backlog_habiles]]&gt;p_dias_backlog_min,tblOrdenes[[#This Row],[backlog_habiles]]&lt;=p_dias_backlog_max))</f>
        <v/>
      </c>
      <c r="AG745" s="4" t="n"/>
      <c r="AH7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5" s="18">
        <f>IF(tblOrdenes[[#This Row],[orden]]="","",_xlfn.XLOOKUP(tblOrdenes[[#This Row],[id_operacion]],tblEjecucion[id_operacion],tblEjecucion[precio],0))</f>
        <v/>
      </c>
      <c r="AL745" s="18">
        <f>IF(tblOrdenes[[#This Row],[orden]]="","",MAX(0,_xlfn.XLOOKUP(tblOrdenes[[#This Row],[id_operacion]],tblEjecucion[id_operacion],tblEjecucion[costo_plan_total],0)-tblOrdenes[[#This Row],[costo_servicio]]))</f>
        <v/>
      </c>
      <c r="AM745" s="18">
        <f>IF(tblOrdenes[[#This Row],[orden]]="","",tblOrdenes[[#This Row],[costo_servicio]]+tblOrdenes[[#This Row],[costo_materiales]])</f>
        <v/>
      </c>
      <c r="AN7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5" s="4" t="n"/>
      <c r="AP745" s="4" t="n"/>
      <c r="AQ745" s="4" t="n"/>
      <c r="AR745" s="5">
        <f>IF(tblOrdenes[[#This Row],[link_checklist]]="","",HYPERLINK(p_ruta_base_checklists&amp;tblOrdenes[[#This Row],[link_checklist]],"abrir"))</f>
        <v/>
      </c>
      <c r="AS745" s="4" t="n"/>
      <c r="AT745" s="5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22" t="n"/>
      <c r="K746" s="5" t="n"/>
      <c r="L746" s="18" t="n"/>
      <c r="M7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5">
        <f>IF(tblOrdenes[[#This Row],[fecha_inicio]]="","",YEAR(tblOrdenes[[#This Row],[fecha_inicio]]))</f>
        <v/>
      </c>
      <c r="Q746" s="5">
        <f>IF(tblOrdenes[[#This Row],[fecha_inicio]]="","",MONTH(tblOrdenes[[#This Row],[fecha_inicio]]))</f>
        <v/>
      </c>
      <c r="R746" s="5">
        <f>IF(tblOrdenes[[#This Row],[fecha_inicio]]="","",tblOrdenes[[#This Row],[anio]]&amp;"-"&amp;TEXT(tblOrdenes[[#This Row],[mes]],"00"))</f>
        <v/>
      </c>
      <c r="S746" s="5">
        <f>IF(tblOrdenes[[#This Row],[fecha_inicio]]="","",INDEX(lista_dias,WEEKDAY(tblOrdenes[[#This Row],[fecha_inicio]],2)))</f>
        <v/>
      </c>
      <c r="T7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6" s="5">
        <f>IF(tblOrdenes[[#This Row],[tipo_ot]]="","",_xlfn.XLOOKUP(tblOrdenes[[#This Row],[tipo_ot]],tblTiposOT[codigo],tblTiposOT[clasificacion],"sin_clasificar"))</f>
        <v/>
      </c>
      <c r="V7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6" s="5">
        <f>IF(tblOrdenes[[#This Row],[centro_costo]]="","",_xlfn.XLOOKUP(tblOrdenes[[#This Row],[centro_costo]],tblCECO[codigo],tblCECO[linea],"(sin catálogo)"))</f>
        <v/>
      </c>
      <c r="X746" s="5">
        <f>IF(tblOrdenes[[#This Row],[centro_costo]]="","",_xlfn.XLOOKUP(tblOrdenes[[#This Row],[centro_costo]],tblCECO[codigo],tblCECO[area],"(sin catálogo)"))</f>
        <v/>
      </c>
      <c r="Y7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6" s="5">
        <f>IF(tblOrdenes[[#This Row],[centro_costo]]="","",_xlfn.XLOOKUP(tblOrdenes[[#This Row],[centro_costo]],tblCECO[codigo],tblCECO[coordinador],"(sin catálogo)"))</f>
        <v/>
      </c>
      <c r="AA746" s="5">
        <f>IF(tblOrdenes[[#This Row],[puesto_trabajo]]="","",_xlfn.XLOOKUP(tblOrdenes[[#This Row],[puesto_trabajo]],tblPuestos[codigo],tblPuestos[especialidad],"(sin catálogo)"))</f>
        <v/>
      </c>
      <c r="AB746" s="5">
        <f>IF(tblOrdenes[[#This Row],[cod_actividad]]="","",_xlfn.XLOOKUP(tblOrdenes[[#This Row],[cod_actividad]],tblActividades[codigo],tblActividades[descripcion],"(sin catálogo)"))</f>
        <v/>
      </c>
      <c r="AC746" s="20">
        <f>IF(tblOrdenes[[#This Row],[fecha_inicio]]="","",TODAY()-tblOrdenes[[#This Row],[fecha_inicio]])</f>
        <v/>
      </c>
      <c r="AD7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6" s="5">
        <f>IF(tblOrdenes[[#This Row],[backlog_habiles]]="","",IF(tblOrdenes[[#This Row],[backlog_habiles]]&lt;0,"FUTURO",IF(tblOrdenes[[#This Row],[backlog_habiles]]&gt;p_dias_backlog_max,"BACKLOG","MES CORRIENTE")))</f>
        <v/>
      </c>
      <c r="AF746" s="5">
        <f>IF(tblOrdenes[[#This Row],[backlog_habiles]]="",FALSE,AND(tblOrdenes[[#This Row],[backlog_habiles]]&gt;p_dias_backlog_min,tblOrdenes[[#This Row],[backlog_habiles]]&lt;=p_dias_backlog_max))</f>
        <v/>
      </c>
      <c r="AG746" s="4" t="n"/>
      <c r="AH7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6" s="18">
        <f>IF(tblOrdenes[[#This Row],[orden]]="","",_xlfn.XLOOKUP(tblOrdenes[[#This Row],[id_operacion]],tblEjecucion[id_operacion],tblEjecucion[precio],0))</f>
        <v/>
      </c>
      <c r="AL746" s="18">
        <f>IF(tblOrdenes[[#This Row],[orden]]="","",MAX(0,_xlfn.XLOOKUP(tblOrdenes[[#This Row],[id_operacion]],tblEjecucion[id_operacion],tblEjecucion[costo_plan_total],0)-tblOrdenes[[#This Row],[costo_servicio]]))</f>
        <v/>
      </c>
      <c r="AM746" s="18">
        <f>IF(tblOrdenes[[#This Row],[orden]]="","",tblOrdenes[[#This Row],[costo_servicio]]+tblOrdenes[[#This Row],[costo_materiales]])</f>
        <v/>
      </c>
      <c r="AN7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6" s="4" t="n"/>
      <c r="AP746" s="4" t="n"/>
      <c r="AQ746" s="4" t="n"/>
      <c r="AR746" s="5">
        <f>IF(tblOrdenes[[#This Row],[link_checklist]]="","",HYPERLINK(p_ruta_base_checklists&amp;tblOrdenes[[#This Row],[link_checklist]],"abrir"))</f>
        <v/>
      </c>
      <c r="AS746" s="4" t="n"/>
      <c r="AT746" s="5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22" t="n"/>
      <c r="K747" s="5" t="n"/>
      <c r="L747" s="18" t="n"/>
      <c r="M7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5">
        <f>IF(tblOrdenes[[#This Row],[fecha_inicio]]="","",YEAR(tblOrdenes[[#This Row],[fecha_inicio]]))</f>
        <v/>
      </c>
      <c r="Q747" s="5">
        <f>IF(tblOrdenes[[#This Row],[fecha_inicio]]="","",MONTH(tblOrdenes[[#This Row],[fecha_inicio]]))</f>
        <v/>
      </c>
      <c r="R747" s="5">
        <f>IF(tblOrdenes[[#This Row],[fecha_inicio]]="","",tblOrdenes[[#This Row],[anio]]&amp;"-"&amp;TEXT(tblOrdenes[[#This Row],[mes]],"00"))</f>
        <v/>
      </c>
      <c r="S747" s="5">
        <f>IF(tblOrdenes[[#This Row],[fecha_inicio]]="","",INDEX(lista_dias,WEEKDAY(tblOrdenes[[#This Row],[fecha_inicio]],2)))</f>
        <v/>
      </c>
      <c r="T7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7" s="5">
        <f>IF(tblOrdenes[[#This Row],[tipo_ot]]="","",_xlfn.XLOOKUP(tblOrdenes[[#This Row],[tipo_ot]],tblTiposOT[codigo],tblTiposOT[clasificacion],"sin_clasificar"))</f>
        <v/>
      </c>
      <c r="V7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7" s="5">
        <f>IF(tblOrdenes[[#This Row],[centro_costo]]="","",_xlfn.XLOOKUP(tblOrdenes[[#This Row],[centro_costo]],tblCECO[codigo],tblCECO[linea],"(sin catálogo)"))</f>
        <v/>
      </c>
      <c r="X747" s="5">
        <f>IF(tblOrdenes[[#This Row],[centro_costo]]="","",_xlfn.XLOOKUP(tblOrdenes[[#This Row],[centro_costo]],tblCECO[codigo],tblCECO[area],"(sin catálogo)"))</f>
        <v/>
      </c>
      <c r="Y7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7" s="5">
        <f>IF(tblOrdenes[[#This Row],[centro_costo]]="","",_xlfn.XLOOKUP(tblOrdenes[[#This Row],[centro_costo]],tblCECO[codigo],tblCECO[coordinador],"(sin catálogo)"))</f>
        <v/>
      </c>
      <c r="AA747" s="5">
        <f>IF(tblOrdenes[[#This Row],[puesto_trabajo]]="","",_xlfn.XLOOKUP(tblOrdenes[[#This Row],[puesto_trabajo]],tblPuestos[codigo],tblPuestos[especialidad],"(sin catálogo)"))</f>
        <v/>
      </c>
      <c r="AB747" s="5">
        <f>IF(tblOrdenes[[#This Row],[cod_actividad]]="","",_xlfn.XLOOKUP(tblOrdenes[[#This Row],[cod_actividad]],tblActividades[codigo],tblActividades[descripcion],"(sin catálogo)"))</f>
        <v/>
      </c>
      <c r="AC747" s="20">
        <f>IF(tblOrdenes[[#This Row],[fecha_inicio]]="","",TODAY()-tblOrdenes[[#This Row],[fecha_inicio]])</f>
        <v/>
      </c>
      <c r="AD7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7" s="5">
        <f>IF(tblOrdenes[[#This Row],[backlog_habiles]]="","",IF(tblOrdenes[[#This Row],[backlog_habiles]]&lt;0,"FUTURO",IF(tblOrdenes[[#This Row],[backlog_habiles]]&gt;p_dias_backlog_max,"BACKLOG","MES CORRIENTE")))</f>
        <v/>
      </c>
      <c r="AF747" s="5">
        <f>IF(tblOrdenes[[#This Row],[backlog_habiles]]="",FALSE,AND(tblOrdenes[[#This Row],[backlog_habiles]]&gt;p_dias_backlog_min,tblOrdenes[[#This Row],[backlog_habiles]]&lt;=p_dias_backlog_max))</f>
        <v/>
      </c>
      <c r="AG747" s="4" t="n"/>
      <c r="AH7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7" s="18">
        <f>IF(tblOrdenes[[#This Row],[orden]]="","",_xlfn.XLOOKUP(tblOrdenes[[#This Row],[id_operacion]],tblEjecucion[id_operacion],tblEjecucion[precio],0))</f>
        <v/>
      </c>
      <c r="AL747" s="18">
        <f>IF(tblOrdenes[[#This Row],[orden]]="","",MAX(0,_xlfn.XLOOKUP(tblOrdenes[[#This Row],[id_operacion]],tblEjecucion[id_operacion],tblEjecucion[costo_plan_total],0)-tblOrdenes[[#This Row],[costo_servicio]]))</f>
        <v/>
      </c>
      <c r="AM747" s="18">
        <f>IF(tblOrdenes[[#This Row],[orden]]="","",tblOrdenes[[#This Row],[costo_servicio]]+tblOrdenes[[#This Row],[costo_materiales]])</f>
        <v/>
      </c>
      <c r="AN7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7" s="4" t="n"/>
      <c r="AP747" s="4" t="n"/>
      <c r="AQ747" s="4" t="n"/>
      <c r="AR747" s="5">
        <f>IF(tblOrdenes[[#This Row],[link_checklist]]="","",HYPERLINK(p_ruta_base_checklists&amp;tblOrdenes[[#This Row],[link_checklist]],"abrir"))</f>
        <v/>
      </c>
      <c r="AS747" s="4" t="n"/>
      <c r="AT747" s="5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22" t="n"/>
      <c r="K748" s="5" t="n"/>
      <c r="L748" s="18" t="n"/>
      <c r="M7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5">
        <f>IF(tblOrdenes[[#This Row],[fecha_inicio]]="","",YEAR(tblOrdenes[[#This Row],[fecha_inicio]]))</f>
        <v/>
      </c>
      <c r="Q748" s="5">
        <f>IF(tblOrdenes[[#This Row],[fecha_inicio]]="","",MONTH(tblOrdenes[[#This Row],[fecha_inicio]]))</f>
        <v/>
      </c>
      <c r="R748" s="5">
        <f>IF(tblOrdenes[[#This Row],[fecha_inicio]]="","",tblOrdenes[[#This Row],[anio]]&amp;"-"&amp;TEXT(tblOrdenes[[#This Row],[mes]],"00"))</f>
        <v/>
      </c>
      <c r="S748" s="5">
        <f>IF(tblOrdenes[[#This Row],[fecha_inicio]]="","",INDEX(lista_dias,WEEKDAY(tblOrdenes[[#This Row],[fecha_inicio]],2)))</f>
        <v/>
      </c>
      <c r="T7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8" s="5">
        <f>IF(tblOrdenes[[#This Row],[tipo_ot]]="","",_xlfn.XLOOKUP(tblOrdenes[[#This Row],[tipo_ot]],tblTiposOT[codigo],tblTiposOT[clasificacion],"sin_clasificar"))</f>
        <v/>
      </c>
      <c r="V7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8" s="5">
        <f>IF(tblOrdenes[[#This Row],[centro_costo]]="","",_xlfn.XLOOKUP(tblOrdenes[[#This Row],[centro_costo]],tblCECO[codigo],tblCECO[linea],"(sin catálogo)"))</f>
        <v/>
      </c>
      <c r="X748" s="5">
        <f>IF(tblOrdenes[[#This Row],[centro_costo]]="","",_xlfn.XLOOKUP(tblOrdenes[[#This Row],[centro_costo]],tblCECO[codigo],tblCECO[area],"(sin catálogo)"))</f>
        <v/>
      </c>
      <c r="Y7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8" s="5">
        <f>IF(tblOrdenes[[#This Row],[centro_costo]]="","",_xlfn.XLOOKUP(tblOrdenes[[#This Row],[centro_costo]],tblCECO[codigo],tblCECO[coordinador],"(sin catálogo)"))</f>
        <v/>
      </c>
      <c r="AA748" s="5">
        <f>IF(tblOrdenes[[#This Row],[puesto_trabajo]]="","",_xlfn.XLOOKUP(tblOrdenes[[#This Row],[puesto_trabajo]],tblPuestos[codigo],tblPuestos[especialidad],"(sin catálogo)"))</f>
        <v/>
      </c>
      <c r="AB748" s="5">
        <f>IF(tblOrdenes[[#This Row],[cod_actividad]]="","",_xlfn.XLOOKUP(tblOrdenes[[#This Row],[cod_actividad]],tblActividades[codigo],tblActividades[descripcion],"(sin catálogo)"))</f>
        <v/>
      </c>
      <c r="AC748" s="20">
        <f>IF(tblOrdenes[[#This Row],[fecha_inicio]]="","",TODAY()-tblOrdenes[[#This Row],[fecha_inicio]])</f>
        <v/>
      </c>
      <c r="AD7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8" s="5">
        <f>IF(tblOrdenes[[#This Row],[backlog_habiles]]="","",IF(tblOrdenes[[#This Row],[backlog_habiles]]&lt;0,"FUTURO",IF(tblOrdenes[[#This Row],[backlog_habiles]]&gt;p_dias_backlog_max,"BACKLOG","MES CORRIENTE")))</f>
        <v/>
      </c>
      <c r="AF748" s="5">
        <f>IF(tblOrdenes[[#This Row],[backlog_habiles]]="",FALSE,AND(tblOrdenes[[#This Row],[backlog_habiles]]&gt;p_dias_backlog_min,tblOrdenes[[#This Row],[backlog_habiles]]&lt;=p_dias_backlog_max))</f>
        <v/>
      </c>
      <c r="AG748" s="4" t="n"/>
      <c r="AH7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8" s="18">
        <f>IF(tblOrdenes[[#This Row],[orden]]="","",_xlfn.XLOOKUP(tblOrdenes[[#This Row],[id_operacion]],tblEjecucion[id_operacion],tblEjecucion[precio],0))</f>
        <v/>
      </c>
      <c r="AL748" s="18">
        <f>IF(tblOrdenes[[#This Row],[orden]]="","",MAX(0,_xlfn.XLOOKUP(tblOrdenes[[#This Row],[id_operacion]],tblEjecucion[id_operacion],tblEjecucion[costo_plan_total],0)-tblOrdenes[[#This Row],[costo_servicio]]))</f>
        <v/>
      </c>
      <c r="AM748" s="18">
        <f>IF(tblOrdenes[[#This Row],[orden]]="","",tblOrdenes[[#This Row],[costo_servicio]]+tblOrdenes[[#This Row],[costo_materiales]])</f>
        <v/>
      </c>
      <c r="AN7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8" s="4" t="n"/>
      <c r="AP748" s="4" t="n"/>
      <c r="AQ748" s="4" t="n"/>
      <c r="AR748" s="5">
        <f>IF(tblOrdenes[[#This Row],[link_checklist]]="","",HYPERLINK(p_ruta_base_checklists&amp;tblOrdenes[[#This Row],[link_checklist]],"abrir"))</f>
        <v/>
      </c>
      <c r="AS748" s="4" t="n"/>
      <c r="AT748" s="5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22" t="n"/>
      <c r="K749" s="5" t="n"/>
      <c r="L749" s="18" t="n"/>
      <c r="M7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5">
        <f>IF(tblOrdenes[[#This Row],[fecha_inicio]]="","",YEAR(tblOrdenes[[#This Row],[fecha_inicio]]))</f>
        <v/>
      </c>
      <c r="Q749" s="5">
        <f>IF(tblOrdenes[[#This Row],[fecha_inicio]]="","",MONTH(tblOrdenes[[#This Row],[fecha_inicio]]))</f>
        <v/>
      </c>
      <c r="R749" s="5">
        <f>IF(tblOrdenes[[#This Row],[fecha_inicio]]="","",tblOrdenes[[#This Row],[anio]]&amp;"-"&amp;TEXT(tblOrdenes[[#This Row],[mes]],"00"))</f>
        <v/>
      </c>
      <c r="S749" s="5">
        <f>IF(tblOrdenes[[#This Row],[fecha_inicio]]="","",INDEX(lista_dias,WEEKDAY(tblOrdenes[[#This Row],[fecha_inicio]],2)))</f>
        <v/>
      </c>
      <c r="T7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9" s="5">
        <f>IF(tblOrdenes[[#This Row],[tipo_ot]]="","",_xlfn.XLOOKUP(tblOrdenes[[#This Row],[tipo_ot]],tblTiposOT[codigo],tblTiposOT[clasificacion],"sin_clasificar"))</f>
        <v/>
      </c>
      <c r="V7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9" s="5">
        <f>IF(tblOrdenes[[#This Row],[centro_costo]]="","",_xlfn.XLOOKUP(tblOrdenes[[#This Row],[centro_costo]],tblCECO[codigo],tblCECO[linea],"(sin catálogo)"))</f>
        <v/>
      </c>
      <c r="X749" s="5">
        <f>IF(tblOrdenes[[#This Row],[centro_costo]]="","",_xlfn.XLOOKUP(tblOrdenes[[#This Row],[centro_costo]],tblCECO[codigo],tblCECO[area],"(sin catálogo)"))</f>
        <v/>
      </c>
      <c r="Y7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49" s="5">
        <f>IF(tblOrdenes[[#This Row],[centro_costo]]="","",_xlfn.XLOOKUP(tblOrdenes[[#This Row],[centro_costo]],tblCECO[codigo],tblCECO[coordinador],"(sin catálogo)"))</f>
        <v/>
      </c>
      <c r="AA749" s="5">
        <f>IF(tblOrdenes[[#This Row],[puesto_trabajo]]="","",_xlfn.XLOOKUP(tblOrdenes[[#This Row],[puesto_trabajo]],tblPuestos[codigo],tblPuestos[especialidad],"(sin catálogo)"))</f>
        <v/>
      </c>
      <c r="AB749" s="5">
        <f>IF(tblOrdenes[[#This Row],[cod_actividad]]="","",_xlfn.XLOOKUP(tblOrdenes[[#This Row],[cod_actividad]],tblActividades[codigo],tblActividades[descripcion],"(sin catálogo)"))</f>
        <v/>
      </c>
      <c r="AC749" s="20">
        <f>IF(tblOrdenes[[#This Row],[fecha_inicio]]="","",TODAY()-tblOrdenes[[#This Row],[fecha_inicio]])</f>
        <v/>
      </c>
      <c r="AD7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49" s="5">
        <f>IF(tblOrdenes[[#This Row],[backlog_habiles]]="","",IF(tblOrdenes[[#This Row],[backlog_habiles]]&lt;0,"FUTURO",IF(tblOrdenes[[#This Row],[backlog_habiles]]&gt;p_dias_backlog_max,"BACKLOG","MES CORRIENTE")))</f>
        <v/>
      </c>
      <c r="AF749" s="5">
        <f>IF(tblOrdenes[[#This Row],[backlog_habiles]]="",FALSE,AND(tblOrdenes[[#This Row],[backlog_habiles]]&gt;p_dias_backlog_min,tblOrdenes[[#This Row],[backlog_habiles]]&lt;=p_dias_backlog_max))</f>
        <v/>
      </c>
      <c r="AG749" s="4" t="n"/>
      <c r="AH7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49" s="18">
        <f>IF(tblOrdenes[[#This Row],[orden]]="","",_xlfn.XLOOKUP(tblOrdenes[[#This Row],[id_operacion]],tblEjecucion[id_operacion],tblEjecucion[precio],0))</f>
        <v/>
      </c>
      <c r="AL749" s="18">
        <f>IF(tblOrdenes[[#This Row],[orden]]="","",MAX(0,_xlfn.XLOOKUP(tblOrdenes[[#This Row],[id_operacion]],tblEjecucion[id_operacion],tblEjecucion[costo_plan_total],0)-tblOrdenes[[#This Row],[costo_servicio]]))</f>
        <v/>
      </c>
      <c r="AM749" s="18">
        <f>IF(tblOrdenes[[#This Row],[orden]]="","",tblOrdenes[[#This Row],[costo_servicio]]+tblOrdenes[[#This Row],[costo_materiales]])</f>
        <v/>
      </c>
      <c r="AN7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49" s="4" t="n"/>
      <c r="AP749" s="4" t="n"/>
      <c r="AQ749" s="4" t="n"/>
      <c r="AR749" s="5">
        <f>IF(tblOrdenes[[#This Row],[link_checklist]]="","",HYPERLINK(p_ruta_base_checklists&amp;tblOrdenes[[#This Row],[link_checklist]],"abrir"))</f>
        <v/>
      </c>
      <c r="AS749" s="4" t="n"/>
      <c r="AT749" s="5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22" t="n"/>
      <c r="K750" s="5" t="n"/>
      <c r="L750" s="18" t="n"/>
      <c r="M7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5">
        <f>IF(tblOrdenes[[#This Row],[fecha_inicio]]="","",YEAR(tblOrdenes[[#This Row],[fecha_inicio]]))</f>
        <v/>
      </c>
      <c r="Q750" s="5">
        <f>IF(tblOrdenes[[#This Row],[fecha_inicio]]="","",MONTH(tblOrdenes[[#This Row],[fecha_inicio]]))</f>
        <v/>
      </c>
      <c r="R750" s="5">
        <f>IF(tblOrdenes[[#This Row],[fecha_inicio]]="","",tblOrdenes[[#This Row],[anio]]&amp;"-"&amp;TEXT(tblOrdenes[[#This Row],[mes]],"00"))</f>
        <v/>
      </c>
      <c r="S750" s="5">
        <f>IF(tblOrdenes[[#This Row],[fecha_inicio]]="","",INDEX(lista_dias,WEEKDAY(tblOrdenes[[#This Row],[fecha_inicio]],2)))</f>
        <v/>
      </c>
      <c r="T7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0" s="5">
        <f>IF(tblOrdenes[[#This Row],[tipo_ot]]="","",_xlfn.XLOOKUP(tblOrdenes[[#This Row],[tipo_ot]],tblTiposOT[codigo],tblTiposOT[clasificacion],"sin_clasificar"))</f>
        <v/>
      </c>
      <c r="V7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0" s="5">
        <f>IF(tblOrdenes[[#This Row],[centro_costo]]="","",_xlfn.XLOOKUP(tblOrdenes[[#This Row],[centro_costo]],tblCECO[codigo],tblCECO[linea],"(sin catálogo)"))</f>
        <v/>
      </c>
      <c r="X750" s="5">
        <f>IF(tblOrdenes[[#This Row],[centro_costo]]="","",_xlfn.XLOOKUP(tblOrdenes[[#This Row],[centro_costo]],tblCECO[codigo],tblCECO[area],"(sin catálogo)"))</f>
        <v/>
      </c>
      <c r="Y7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0" s="5">
        <f>IF(tblOrdenes[[#This Row],[centro_costo]]="","",_xlfn.XLOOKUP(tblOrdenes[[#This Row],[centro_costo]],tblCECO[codigo],tblCECO[coordinador],"(sin catálogo)"))</f>
        <v/>
      </c>
      <c r="AA750" s="5">
        <f>IF(tblOrdenes[[#This Row],[puesto_trabajo]]="","",_xlfn.XLOOKUP(tblOrdenes[[#This Row],[puesto_trabajo]],tblPuestos[codigo],tblPuestos[especialidad],"(sin catálogo)"))</f>
        <v/>
      </c>
      <c r="AB750" s="5">
        <f>IF(tblOrdenes[[#This Row],[cod_actividad]]="","",_xlfn.XLOOKUP(tblOrdenes[[#This Row],[cod_actividad]],tblActividades[codigo],tblActividades[descripcion],"(sin catálogo)"))</f>
        <v/>
      </c>
      <c r="AC750" s="20">
        <f>IF(tblOrdenes[[#This Row],[fecha_inicio]]="","",TODAY()-tblOrdenes[[#This Row],[fecha_inicio]])</f>
        <v/>
      </c>
      <c r="AD7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0" s="5">
        <f>IF(tblOrdenes[[#This Row],[backlog_habiles]]="","",IF(tblOrdenes[[#This Row],[backlog_habiles]]&lt;0,"FUTURO",IF(tblOrdenes[[#This Row],[backlog_habiles]]&gt;p_dias_backlog_max,"BACKLOG","MES CORRIENTE")))</f>
        <v/>
      </c>
      <c r="AF750" s="5">
        <f>IF(tblOrdenes[[#This Row],[backlog_habiles]]="",FALSE,AND(tblOrdenes[[#This Row],[backlog_habiles]]&gt;p_dias_backlog_min,tblOrdenes[[#This Row],[backlog_habiles]]&lt;=p_dias_backlog_max))</f>
        <v/>
      </c>
      <c r="AG750" s="4" t="n"/>
      <c r="AH7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0" s="18">
        <f>IF(tblOrdenes[[#This Row],[orden]]="","",_xlfn.XLOOKUP(tblOrdenes[[#This Row],[id_operacion]],tblEjecucion[id_operacion],tblEjecucion[precio],0))</f>
        <v/>
      </c>
      <c r="AL750" s="18">
        <f>IF(tblOrdenes[[#This Row],[orden]]="","",MAX(0,_xlfn.XLOOKUP(tblOrdenes[[#This Row],[id_operacion]],tblEjecucion[id_operacion],tblEjecucion[costo_plan_total],0)-tblOrdenes[[#This Row],[costo_servicio]]))</f>
        <v/>
      </c>
      <c r="AM750" s="18">
        <f>IF(tblOrdenes[[#This Row],[orden]]="","",tblOrdenes[[#This Row],[costo_servicio]]+tblOrdenes[[#This Row],[costo_materiales]])</f>
        <v/>
      </c>
      <c r="AN7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0" s="4" t="n"/>
      <c r="AP750" s="4" t="n"/>
      <c r="AQ750" s="4" t="n"/>
      <c r="AR750" s="5">
        <f>IF(tblOrdenes[[#This Row],[link_checklist]]="","",HYPERLINK(p_ruta_base_checklists&amp;tblOrdenes[[#This Row],[link_checklist]],"abrir"))</f>
        <v/>
      </c>
      <c r="AS750" s="4" t="n"/>
      <c r="AT750" s="5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22" t="n"/>
      <c r="K751" s="5" t="n"/>
      <c r="L751" s="18" t="n"/>
      <c r="M7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5">
        <f>IF(tblOrdenes[[#This Row],[fecha_inicio]]="","",YEAR(tblOrdenes[[#This Row],[fecha_inicio]]))</f>
        <v/>
      </c>
      <c r="Q751" s="5">
        <f>IF(tblOrdenes[[#This Row],[fecha_inicio]]="","",MONTH(tblOrdenes[[#This Row],[fecha_inicio]]))</f>
        <v/>
      </c>
      <c r="R751" s="5">
        <f>IF(tblOrdenes[[#This Row],[fecha_inicio]]="","",tblOrdenes[[#This Row],[anio]]&amp;"-"&amp;TEXT(tblOrdenes[[#This Row],[mes]],"00"))</f>
        <v/>
      </c>
      <c r="S751" s="5">
        <f>IF(tblOrdenes[[#This Row],[fecha_inicio]]="","",INDEX(lista_dias,WEEKDAY(tblOrdenes[[#This Row],[fecha_inicio]],2)))</f>
        <v/>
      </c>
      <c r="T7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1" s="5">
        <f>IF(tblOrdenes[[#This Row],[tipo_ot]]="","",_xlfn.XLOOKUP(tblOrdenes[[#This Row],[tipo_ot]],tblTiposOT[codigo],tblTiposOT[clasificacion],"sin_clasificar"))</f>
        <v/>
      </c>
      <c r="V7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1" s="5">
        <f>IF(tblOrdenes[[#This Row],[centro_costo]]="","",_xlfn.XLOOKUP(tblOrdenes[[#This Row],[centro_costo]],tblCECO[codigo],tblCECO[linea],"(sin catálogo)"))</f>
        <v/>
      </c>
      <c r="X751" s="5">
        <f>IF(tblOrdenes[[#This Row],[centro_costo]]="","",_xlfn.XLOOKUP(tblOrdenes[[#This Row],[centro_costo]],tblCECO[codigo],tblCECO[area],"(sin catálogo)"))</f>
        <v/>
      </c>
      <c r="Y7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1" s="5">
        <f>IF(tblOrdenes[[#This Row],[centro_costo]]="","",_xlfn.XLOOKUP(tblOrdenes[[#This Row],[centro_costo]],tblCECO[codigo],tblCECO[coordinador],"(sin catálogo)"))</f>
        <v/>
      </c>
      <c r="AA751" s="5">
        <f>IF(tblOrdenes[[#This Row],[puesto_trabajo]]="","",_xlfn.XLOOKUP(tblOrdenes[[#This Row],[puesto_trabajo]],tblPuestos[codigo],tblPuestos[especialidad],"(sin catálogo)"))</f>
        <v/>
      </c>
      <c r="AB751" s="5">
        <f>IF(tblOrdenes[[#This Row],[cod_actividad]]="","",_xlfn.XLOOKUP(tblOrdenes[[#This Row],[cod_actividad]],tblActividades[codigo],tblActividades[descripcion],"(sin catálogo)"))</f>
        <v/>
      </c>
      <c r="AC751" s="20">
        <f>IF(tblOrdenes[[#This Row],[fecha_inicio]]="","",TODAY()-tblOrdenes[[#This Row],[fecha_inicio]])</f>
        <v/>
      </c>
      <c r="AD7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1" s="5">
        <f>IF(tblOrdenes[[#This Row],[backlog_habiles]]="","",IF(tblOrdenes[[#This Row],[backlog_habiles]]&lt;0,"FUTURO",IF(tblOrdenes[[#This Row],[backlog_habiles]]&gt;p_dias_backlog_max,"BACKLOG","MES CORRIENTE")))</f>
        <v/>
      </c>
      <c r="AF751" s="5">
        <f>IF(tblOrdenes[[#This Row],[backlog_habiles]]="",FALSE,AND(tblOrdenes[[#This Row],[backlog_habiles]]&gt;p_dias_backlog_min,tblOrdenes[[#This Row],[backlog_habiles]]&lt;=p_dias_backlog_max))</f>
        <v/>
      </c>
      <c r="AG751" s="4" t="n"/>
      <c r="AH7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1" s="18">
        <f>IF(tblOrdenes[[#This Row],[orden]]="","",_xlfn.XLOOKUP(tblOrdenes[[#This Row],[id_operacion]],tblEjecucion[id_operacion],tblEjecucion[precio],0))</f>
        <v/>
      </c>
      <c r="AL751" s="18">
        <f>IF(tblOrdenes[[#This Row],[orden]]="","",MAX(0,_xlfn.XLOOKUP(tblOrdenes[[#This Row],[id_operacion]],tblEjecucion[id_operacion],tblEjecucion[costo_plan_total],0)-tblOrdenes[[#This Row],[costo_servicio]]))</f>
        <v/>
      </c>
      <c r="AM751" s="18">
        <f>IF(tblOrdenes[[#This Row],[orden]]="","",tblOrdenes[[#This Row],[costo_servicio]]+tblOrdenes[[#This Row],[costo_materiales]])</f>
        <v/>
      </c>
      <c r="AN7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1" s="4" t="n"/>
      <c r="AP751" s="4" t="n"/>
      <c r="AQ751" s="4" t="n"/>
      <c r="AR751" s="5">
        <f>IF(tblOrdenes[[#This Row],[link_checklist]]="","",HYPERLINK(p_ruta_base_checklists&amp;tblOrdenes[[#This Row],[link_checklist]],"abrir"))</f>
        <v/>
      </c>
      <c r="AS751" s="4" t="n"/>
      <c r="AT751" s="5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22" t="n"/>
      <c r="K752" s="5" t="n"/>
      <c r="L752" s="18" t="n"/>
      <c r="M7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5">
        <f>IF(tblOrdenes[[#This Row],[fecha_inicio]]="","",YEAR(tblOrdenes[[#This Row],[fecha_inicio]]))</f>
        <v/>
      </c>
      <c r="Q752" s="5">
        <f>IF(tblOrdenes[[#This Row],[fecha_inicio]]="","",MONTH(tblOrdenes[[#This Row],[fecha_inicio]]))</f>
        <v/>
      </c>
      <c r="R752" s="5">
        <f>IF(tblOrdenes[[#This Row],[fecha_inicio]]="","",tblOrdenes[[#This Row],[anio]]&amp;"-"&amp;TEXT(tblOrdenes[[#This Row],[mes]],"00"))</f>
        <v/>
      </c>
      <c r="S752" s="5">
        <f>IF(tblOrdenes[[#This Row],[fecha_inicio]]="","",INDEX(lista_dias,WEEKDAY(tblOrdenes[[#This Row],[fecha_inicio]],2)))</f>
        <v/>
      </c>
      <c r="T7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2" s="5">
        <f>IF(tblOrdenes[[#This Row],[tipo_ot]]="","",_xlfn.XLOOKUP(tblOrdenes[[#This Row],[tipo_ot]],tblTiposOT[codigo],tblTiposOT[clasificacion],"sin_clasificar"))</f>
        <v/>
      </c>
      <c r="V7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2" s="5">
        <f>IF(tblOrdenes[[#This Row],[centro_costo]]="","",_xlfn.XLOOKUP(tblOrdenes[[#This Row],[centro_costo]],tblCECO[codigo],tblCECO[linea],"(sin catálogo)"))</f>
        <v/>
      </c>
      <c r="X752" s="5">
        <f>IF(tblOrdenes[[#This Row],[centro_costo]]="","",_xlfn.XLOOKUP(tblOrdenes[[#This Row],[centro_costo]],tblCECO[codigo],tblCECO[area],"(sin catálogo)"))</f>
        <v/>
      </c>
      <c r="Y7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2" s="5">
        <f>IF(tblOrdenes[[#This Row],[centro_costo]]="","",_xlfn.XLOOKUP(tblOrdenes[[#This Row],[centro_costo]],tblCECO[codigo],tblCECO[coordinador],"(sin catálogo)"))</f>
        <v/>
      </c>
      <c r="AA752" s="5">
        <f>IF(tblOrdenes[[#This Row],[puesto_trabajo]]="","",_xlfn.XLOOKUP(tblOrdenes[[#This Row],[puesto_trabajo]],tblPuestos[codigo],tblPuestos[especialidad],"(sin catálogo)"))</f>
        <v/>
      </c>
      <c r="AB752" s="5">
        <f>IF(tblOrdenes[[#This Row],[cod_actividad]]="","",_xlfn.XLOOKUP(tblOrdenes[[#This Row],[cod_actividad]],tblActividades[codigo],tblActividades[descripcion],"(sin catálogo)"))</f>
        <v/>
      </c>
      <c r="AC752" s="20">
        <f>IF(tblOrdenes[[#This Row],[fecha_inicio]]="","",TODAY()-tblOrdenes[[#This Row],[fecha_inicio]])</f>
        <v/>
      </c>
      <c r="AD7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2" s="5">
        <f>IF(tblOrdenes[[#This Row],[backlog_habiles]]="","",IF(tblOrdenes[[#This Row],[backlog_habiles]]&lt;0,"FUTURO",IF(tblOrdenes[[#This Row],[backlog_habiles]]&gt;p_dias_backlog_max,"BACKLOG","MES CORRIENTE")))</f>
        <v/>
      </c>
      <c r="AF752" s="5">
        <f>IF(tblOrdenes[[#This Row],[backlog_habiles]]="",FALSE,AND(tblOrdenes[[#This Row],[backlog_habiles]]&gt;p_dias_backlog_min,tblOrdenes[[#This Row],[backlog_habiles]]&lt;=p_dias_backlog_max))</f>
        <v/>
      </c>
      <c r="AG752" s="4" t="n"/>
      <c r="AH7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2" s="18">
        <f>IF(tblOrdenes[[#This Row],[orden]]="","",_xlfn.XLOOKUP(tblOrdenes[[#This Row],[id_operacion]],tblEjecucion[id_operacion],tblEjecucion[precio],0))</f>
        <v/>
      </c>
      <c r="AL752" s="18">
        <f>IF(tblOrdenes[[#This Row],[orden]]="","",MAX(0,_xlfn.XLOOKUP(tblOrdenes[[#This Row],[id_operacion]],tblEjecucion[id_operacion],tblEjecucion[costo_plan_total],0)-tblOrdenes[[#This Row],[costo_servicio]]))</f>
        <v/>
      </c>
      <c r="AM752" s="18">
        <f>IF(tblOrdenes[[#This Row],[orden]]="","",tblOrdenes[[#This Row],[costo_servicio]]+tblOrdenes[[#This Row],[costo_materiales]])</f>
        <v/>
      </c>
      <c r="AN7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2" s="4" t="n"/>
      <c r="AP752" s="4" t="n"/>
      <c r="AQ752" s="4" t="n"/>
      <c r="AR752" s="5">
        <f>IF(tblOrdenes[[#This Row],[link_checklist]]="","",HYPERLINK(p_ruta_base_checklists&amp;tblOrdenes[[#This Row],[link_checklist]],"abrir"))</f>
        <v/>
      </c>
      <c r="AS752" s="4" t="n"/>
      <c r="AT752" s="5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22" t="n"/>
      <c r="K753" s="5" t="n"/>
      <c r="L753" s="18" t="n"/>
      <c r="M7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5">
        <f>IF(tblOrdenes[[#This Row],[fecha_inicio]]="","",YEAR(tblOrdenes[[#This Row],[fecha_inicio]]))</f>
        <v/>
      </c>
      <c r="Q753" s="5">
        <f>IF(tblOrdenes[[#This Row],[fecha_inicio]]="","",MONTH(tblOrdenes[[#This Row],[fecha_inicio]]))</f>
        <v/>
      </c>
      <c r="R753" s="5">
        <f>IF(tblOrdenes[[#This Row],[fecha_inicio]]="","",tblOrdenes[[#This Row],[anio]]&amp;"-"&amp;TEXT(tblOrdenes[[#This Row],[mes]],"00"))</f>
        <v/>
      </c>
      <c r="S753" s="5">
        <f>IF(tblOrdenes[[#This Row],[fecha_inicio]]="","",INDEX(lista_dias,WEEKDAY(tblOrdenes[[#This Row],[fecha_inicio]],2)))</f>
        <v/>
      </c>
      <c r="T7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3" s="5">
        <f>IF(tblOrdenes[[#This Row],[tipo_ot]]="","",_xlfn.XLOOKUP(tblOrdenes[[#This Row],[tipo_ot]],tblTiposOT[codigo],tblTiposOT[clasificacion],"sin_clasificar"))</f>
        <v/>
      </c>
      <c r="V7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3" s="5">
        <f>IF(tblOrdenes[[#This Row],[centro_costo]]="","",_xlfn.XLOOKUP(tblOrdenes[[#This Row],[centro_costo]],tblCECO[codigo],tblCECO[linea],"(sin catálogo)"))</f>
        <v/>
      </c>
      <c r="X753" s="5">
        <f>IF(tblOrdenes[[#This Row],[centro_costo]]="","",_xlfn.XLOOKUP(tblOrdenes[[#This Row],[centro_costo]],tblCECO[codigo],tblCECO[area],"(sin catálogo)"))</f>
        <v/>
      </c>
      <c r="Y7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3" s="5">
        <f>IF(tblOrdenes[[#This Row],[centro_costo]]="","",_xlfn.XLOOKUP(tblOrdenes[[#This Row],[centro_costo]],tblCECO[codigo],tblCECO[coordinador],"(sin catálogo)"))</f>
        <v/>
      </c>
      <c r="AA753" s="5">
        <f>IF(tblOrdenes[[#This Row],[puesto_trabajo]]="","",_xlfn.XLOOKUP(tblOrdenes[[#This Row],[puesto_trabajo]],tblPuestos[codigo],tblPuestos[especialidad],"(sin catálogo)"))</f>
        <v/>
      </c>
      <c r="AB753" s="5">
        <f>IF(tblOrdenes[[#This Row],[cod_actividad]]="","",_xlfn.XLOOKUP(tblOrdenes[[#This Row],[cod_actividad]],tblActividades[codigo],tblActividades[descripcion],"(sin catálogo)"))</f>
        <v/>
      </c>
      <c r="AC753" s="20">
        <f>IF(tblOrdenes[[#This Row],[fecha_inicio]]="","",TODAY()-tblOrdenes[[#This Row],[fecha_inicio]])</f>
        <v/>
      </c>
      <c r="AD7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3" s="5">
        <f>IF(tblOrdenes[[#This Row],[backlog_habiles]]="","",IF(tblOrdenes[[#This Row],[backlog_habiles]]&lt;0,"FUTURO",IF(tblOrdenes[[#This Row],[backlog_habiles]]&gt;p_dias_backlog_max,"BACKLOG","MES CORRIENTE")))</f>
        <v/>
      </c>
      <c r="AF753" s="5">
        <f>IF(tblOrdenes[[#This Row],[backlog_habiles]]="",FALSE,AND(tblOrdenes[[#This Row],[backlog_habiles]]&gt;p_dias_backlog_min,tblOrdenes[[#This Row],[backlog_habiles]]&lt;=p_dias_backlog_max))</f>
        <v/>
      </c>
      <c r="AG753" s="4" t="n"/>
      <c r="AH7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3" s="18">
        <f>IF(tblOrdenes[[#This Row],[orden]]="","",_xlfn.XLOOKUP(tblOrdenes[[#This Row],[id_operacion]],tblEjecucion[id_operacion],tblEjecucion[precio],0))</f>
        <v/>
      </c>
      <c r="AL753" s="18">
        <f>IF(tblOrdenes[[#This Row],[orden]]="","",MAX(0,_xlfn.XLOOKUP(tblOrdenes[[#This Row],[id_operacion]],tblEjecucion[id_operacion],tblEjecucion[costo_plan_total],0)-tblOrdenes[[#This Row],[costo_servicio]]))</f>
        <v/>
      </c>
      <c r="AM753" s="18">
        <f>IF(tblOrdenes[[#This Row],[orden]]="","",tblOrdenes[[#This Row],[costo_servicio]]+tblOrdenes[[#This Row],[costo_materiales]])</f>
        <v/>
      </c>
      <c r="AN7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3" s="4" t="n"/>
      <c r="AP753" s="4" t="n"/>
      <c r="AQ753" s="4" t="n"/>
      <c r="AR753" s="5">
        <f>IF(tblOrdenes[[#This Row],[link_checklist]]="","",HYPERLINK(p_ruta_base_checklists&amp;tblOrdenes[[#This Row],[link_checklist]],"abrir"))</f>
        <v/>
      </c>
      <c r="AS753" s="4" t="n"/>
      <c r="AT753" s="5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22" t="n"/>
      <c r="K754" s="5" t="n"/>
      <c r="L754" s="18" t="n"/>
      <c r="M7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5">
        <f>IF(tblOrdenes[[#This Row],[fecha_inicio]]="","",YEAR(tblOrdenes[[#This Row],[fecha_inicio]]))</f>
        <v/>
      </c>
      <c r="Q754" s="5">
        <f>IF(tblOrdenes[[#This Row],[fecha_inicio]]="","",MONTH(tblOrdenes[[#This Row],[fecha_inicio]]))</f>
        <v/>
      </c>
      <c r="R754" s="5">
        <f>IF(tblOrdenes[[#This Row],[fecha_inicio]]="","",tblOrdenes[[#This Row],[anio]]&amp;"-"&amp;TEXT(tblOrdenes[[#This Row],[mes]],"00"))</f>
        <v/>
      </c>
      <c r="S754" s="5">
        <f>IF(tblOrdenes[[#This Row],[fecha_inicio]]="","",INDEX(lista_dias,WEEKDAY(tblOrdenes[[#This Row],[fecha_inicio]],2)))</f>
        <v/>
      </c>
      <c r="T7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4" s="5">
        <f>IF(tblOrdenes[[#This Row],[tipo_ot]]="","",_xlfn.XLOOKUP(tblOrdenes[[#This Row],[tipo_ot]],tblTiposOT[codigo],tblTiposOT[clasificacion],"sin_clasificar"))</f>
        <v/>
      </c>
      <c r="V7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4" s="5">
        <f>IF(tblOrdenes[[#This Row],[centro_costo]]="","",_xlfn.XLOOKUP(tblOrdenes[[#This Row],[centro_costo]],tblCECO[codigo],tblCECO[linea],"(sin catálogo)"))</f>
        <v/>
      </c>
      <c r="X754" s="5">
        <f>IF(tblOrdenes[[#This Row],[centro_costo]]="","",_xlfn.XLOOKUP(tblOrdenes[[#This Row],[centro_costo]],tblCECO[codigo],tblCECO[area],"(sin catálogo)"))</f>
        <v/>
      </c>
      <c r="Y7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4" s="5">
        <f>IF(tblOrdenes[[#This Row],[centro_costo]]="","",_xlfn.XLOOKUP(tblOrdenes[[#This Row],[centro_costo]],tblCECO[codigo],tblCECO[coordinador],"(sin catálogo)"))</f>
        <v/>
      </c>
      <c r="AA754" s="5">
        <f>IF(tblOrdenes[[#This Row],[puesto_trabajo]]="","",_xlfn.XLOOKUP(tblOrdenes[[#This Row],[puesto_trabajo]],tblPuestos[codigo],tblPuestos[especialidad],"(sin catálogo)"))</f>
        <v/>
      </c>
      <c r="AB754" s="5">
        <f>IF(tblOrdenes[[#This Row],[cod_actividad]]="","",_xlfn.XLOOKUP(tblOrdenes[[#This Row],[cod_actividad]],tblActividades[codigo],tblActividades[descripcion],"(sin catálogo)"))</f>
        <v/>
      </c>
      <c r="AC754" s="20">
        <f>IF(tblOrdenes[[#This Row],[fecha_inicio]]="","",TODAY()-tblOrdenes[[#This Row],[fecha_inicio]])</f>
        <v/>
      </c>
      <c r="AD7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4" s="5">
        <f>IF(tblOrdenes[[#This Row],[backlog_habiles]]="","",IF(tblOrdenes[[#This Row],[backlog_habiles]]&lt;0,"FUTURO",IF(tblOrdenes[[#This Row],[backlog_habiles]]&gt;p_dias_backlog_max,"BACKLOG","MES CORRIENTE")))</f>
        <v/>
      </c>
      <c r="AF754" s="5">
        <f>IF(tblOrdenes[[#This Row],[backlog_habiles]]="",FALSE,AND(tblOrdenes[[#This Row],[backlog_habiles]]&gt;p_dias_backlog_min,tblOrdenes[[#This Row],[backlog_habiles]]&lt;=p_dias_backlog_max))</f>
        <v/>
      </c>
      <c r="AG754" s="4" t="n"/>
      <c r="AH7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4" s="18">
        <f>IF(tblOrdenes[[#This Row],[orden]]="","",_xlfn.XLOOKUP(tblOrdenes[[#This Row],[id_operacion]],tblEjecucion[id_operacion],tblEjecucion[precio],0))</f>
        <v/>
      </c>
      <c r="AL754" s="18">
        <f>IF(tblOrdenes[[#This Row],[orden]]="","",MAX(0,_xlfn.XLOOKUP(tblOrdenes[[#This Row],[id_operacion]],tblEjecucion[id_operacion],tblEjecucion[costo_plan_total],0)-tblOrdenes[[#This Row],[costo_servicio]]))</f>
        <v/>
      </c>
      <c r="AM754" s="18">
        <f>IF(tblOrdenes[[#This Row],[orden]]="","",tblOrdenes[[#This Row],[costo_servicio]]+tblOrdenes[[#This Row],[costo_materiales]])</f>
        <v/>
      </c>
      <c r="AN7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4" s="4" t="n"/>
      <c r="AP754" s="4" t="n"/>
      <c r="AQ754" s="4" t="n"/>
      <c r="AR754" s="5">
        <f>IF(tblOrdenes[[#This Row],[link_checklist]]="","",HYPERLINK(p_ruta_base_checklists&amp;tblOrdenes[[#This Row],[link_checklist]],"abrir"))</f>
        <v/>
      </c>
      <c r="AS754" s="4" t="n"/>
      <c r="AT754" s="5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22" t="n"/>
      <c r="K755" s="5" t="n"/>
      <c r="L755" s="18" t="n"/>
      <c r="M7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5">
        <f>IF(tblOrdenes[[#This Row],[fecha_inicio]]="","",YEAR(tblOrdenes[[#This Row],[fecha_inicio]]))</f>
        <v/>
      </c>
      <c r="Q755" s="5">
        <f>IF(tblOrdenes[[#This Row],[fecha_inicio]]="","",MONTH(tblOrdenes[[#This Row],[fecha_inicio]]))</f>
        <v/>
      </c>
      <c r="R755" s="5">
        <f>IF(tblOrdenes[[#This Row],[fecha_inicio]]="","",tblOrdenes[[#This Row],[anio]]&amp;"-"&amp;TEXT(tblOrdenes[[#This Row],[mes]],"00"))</f>
        <v/>
      </c>
      <c r="S755" s="5">
        <f>IF(tblOrdenes[[#This Row],[fecha_inicio]]="","",INDEX(lista_dias,WEEKDAY(tblOrdenes[[#This Row],[fecha_inicio]],2)))</f>
        <v/>
      </c>
      <c r="T7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5" s="5">
        <f>IF(tblOrdenes[[#This Row],[tipo_ot]]="","",_xlfn.XLOOKUP(tblOrdenes[[#This Row],[tipo_ot]],tblTiposOT[codigo],tblTiposOT[clasificacion],"sin_clasificar"))</f>
        <v/>
      </c>
      <c r="V7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5" s="5">
        <f>IF(tblOrdenes[[#This Row],[centro_costo]]="","",_xlfn.XLOOKUP(tblOrdenes[[#This Row],[centro_costo]],tblCECO[codigo],tblCECO[linea],"(sin catálogo)"))</f>
        <v/>
      </c>
      <c r="X755" s="5">
        <f>IF(tblOrdenes[[#This Row],[centro_costo]]="","",_xlfn.XLOOKUP(tblOrdenes[[#This Row],[centro_costo]],tblCECO[codigo],tblCECO[area],"(sin catálogo)"))</f>
        <v/>
      </c>
      <c r="Y7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5" s="5">
        <f>IF(tblOrdenes[[#This Row],[centro_costo]]="","",_xlfn.XLOOKUP(tblOrdenes[[#This Row],[centro_costo]],tblCECO[codigo],tblCECO[coordinador],"(sin catálogo)"))</f>
        <v/>
      </c>
      <c r="AA755" s="5">
        <f>IF(tblOrdenes[[#This Row],[puesto_trabajo]]="","",_xlfn.XLOOKUP(tblOrdenes[[#This Row],[puesto_trabajo]],tblPuestos[codigo],tblPuestos[especialidad],"(sin catálogo)"))</f>
        <v/>
      </c>
      <c r="AB755" s="5">
        <f>IF(tblOrdenes[[#This Row],[cod_actividad]]="","",_xlfn.XLOOKUP(tblOrdenes[[#This Row],[cod_actividad]],tblActividades[codigo],tblActividades[descripcion],"(sin catálogo)"))</f>
        <v/>
      </c>
      <c r="AC755" s="20">
        <f>IF(tblOrdenes[[#This Row],[fecha_inicio]]="","",TODAY()-tblOrdenes[[#This Row],[fecha_inicio]])</f>
        <v/>
      </c>
      <c r="AD7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5" s="5">
        <f>IF(tblOrdenes[[#This Row],[backlog_habiles]]="","",IF(tblOrdenes[[#This Row],[backlog_habiles]]&lt;0,"FUTURO",IF(tblOrdenes[[#This Row],[backlog_habiles]]&gt;p_dias_backlog_max,"BACKLOG","MES CORRIENTE")))</f>
        <v/>
      </c>
      <c r="AF755" s="5">
        <f>IF(tblOrdenes[[#This Row],[backlog_habiles]]="",FALSE,AND(tblOrdenes[[#This Row],[backlog_habiles]]&gt;p_dias_backlog_min,tblOrdenes[[#This Row],[backlog_habiles]]&lt;=p_dias_backlog_max))</f>
        <v/>
      </c>
      <c r="AG755" s="4" t="n"/>
      <c r="AH7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5" s="18">
        <f>IF(tblOrdenes[[#This Row],[orden]]="","",_xlfn.XLOOKUP(tblOrdenes[[#This Row],[id_operacion]],tblEjecucion[id_operacion],tblEjecucion[precio],0))</f>
        <v/>
      </c>
      <c r="AL755" s="18">
        <f>IF(tblOrdenes[[#This Row],[orden]]="","",MAX(0,_xlfn.XLOOKUP(tblOrdenes[[#This Row],[id_operacion]],tblEjecucion[id_operacion],tblEjecucion[costo_plan_total],0)-tblOrdenes[[#This Row],[costo_servicio]]))</f>
        <v/>
      </c>
      <c r="AM755" s="18">
        <f>IF(tblOrdenes[[#This Row],[orden]]="","",tblOrdenes[[#This Row],[costo_servicio]]+tblOrdenes[[#This Row],[costo_materiales]])</f>
        <v/>
      </c>
      <c r="AN7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5" s="4" t="n"/>
      <c r="AP755" s="4" t="n"/>
      <c r="AQ755" s="4" t="n"/>
      <c r="AR755" s="5">
        <f>IF(tblOrdenes[[#This Row],[link_checklist]]="","",HYPERLINK(p_ruta_base_checklists&amp;tblOrdenes[[#This Row],[link_checklist]],"abrir"))</f>
        <v/>
      </c>
      <c r="AS755" s="4" t="n"/>
      <c r="AT755" s="5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22" t="n"/>
      <c r="K756" s="5" t="n"/>
      <c r="L756" s="18" t="n"/>
      <c r="M7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5">
        <f>IF(tblOrdenes[[#This Row],[fecha_inicio]]="","",YEAR(tblOrdenes[[#This Row],[fecha_inicio]]))</f>
        <v/>
      </c>
      <c r="Q756" s="5">
        <f>IF(tblOrdenes[[#This Row],[fecha_inicio]]="","",MONTH(tblOrdenes[[#This Row],[fecha_inicio]]))</f>
        <v/>
      </c>
      <c r="R756" s="5">
        <f>IF(tblOrdenes[[#This Row],[fecha_inicio]]="","",tblOrdenes[[#This Row],[anio]]&amp;"-"&amp;TEXT(tblOrdenes[[#This Row],[mes]],"00"))</f>
        <v/>
      </c>
      <c r="S756" s="5">
        <f>IF(tblOrdenes[[#This Row],[fecha_inicio]]="","",INDEX(lista_dias,WEEKDAY(tblOrdenes[[#This Row],[fecha_inicio]],2)))</f>
        <v/>
      </c>
      <c r="T7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6" s="5">
        <f>IF(tblOrdenes[[#This Row],[tipo_ot]]="","",_xlfn.XLOOKUP(tblOrdenes[[#This Row],[tipo_ot]],tblTiposOT[codigo],tblTiposOT[clasificacion],"sin_clasificar"))</f>
        <v/>
      </c>
      <c r="V7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6" s="5">
        <f>IF(tblOrdenes[[#This Row],[centro_costo]]="","",_xlfn.XLOOKUP(tblOrdenes[[#This Row],[centro_costo]],tblCECO[codigo],tblCECO[linea],"(sin catálogo)"))</f>
        <v/>
      </c>
      <c r="X756" s="5">
        <f>IF(tblOrdenes[[#This Row],[centro_costo]]="","",_xlfn.XLOOKUP(tblOrdenes[[#This Row],[centro_costo]],tblCECO[codigo],tblCECO[area],"(sin catálogo)"))</f>
        <v/>
      </c>
      <c r="Y7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6" s="5">
        <f>IF(tblOrdenes[[#This Row],[centro_costo]]="","",_xlfn.XLOOKUP(tblOrdenes[[#This Row],[centro_costo]],tblCECO[codigo],tblCECO[coordinador],"(sin catálogo)"))</f>
        <v/>
      </c>
      <c r="AA756" s="5">
        <f>IF(tblOrdenes[[#This Row],[puesto_trabajo]]="","",_xlfn.XLOOKUP(tblOrdenes[[#This Row],[puesto_trabajo]],tblPuestos[codigo],tblPuestos[especialidad],"(sin catálogo)"))</f>
        <v/>
      </c>
      <c r="AB756" s="5">
        <f>IF(tblOrdenes[[#This Row],[cod_actividad]]="","",_xlfn.XLOOKUP(tblOrdenes[[#This Row],[cod_actividad]],tblActividades[codigo],tblActividades[descripcion],"(sin catálogo)"))</f>
        <v/>
      </c>
      <c r="AC756" s="20">
        <f>IF(tblOrdenes[[#This Row],[fecha_inicio]]="","",TODAY()-tblOrdenes[[#This Row],[fecha_inicio]])</f>
        <v/>
      </c>
      <c r="AD7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6" s="5">
        <f>IF(tblOrdenes[[#This Row],[backlog_habiles]]="","",IF(tblOrdenes[[#This Row],[backlog_habiles]]&lt;0,"FUTURO",IF(tblOrdenes[[#This Row],[backlog_habiles]]&gt;p_dias_backlog_max,"BACKLOG","MES CORRIENTE")))</f>
        <v/>
      </c>
      <c r="AF756" s="5">
        <f>IF(tblOrdenes[[#This Row],[backlog_habiles]]="",FALSE,AND(tblOrdenes[[#This Row],[backlog_habiles]]&gt;p_dias_backlog_min,tblOrdenes[[#This Row],[backlog_habiles]]&lt;=p_dias_backlog_max))</f>
        <v/>
      </c>
      <c r="AG756" s="4" t="n"/>
      <c r="AH7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6" s="18">
        <f>IF(tblOrdenes[[#This Row],[orden]]="","",_xlfn.XLOOKUP(tblOrdenes[[#This Row],[id_operacion]],tblEjecucion[id_operacion],tblEjecucion[precio],0))</f>
        <v/>
      </c>
      <c r="AL756" s="18">
        <f>IF(tblOrdenes[[#This Row],[orden]]="","",MAX(0,_xlfn.XLOOKUP(tblOrdenes[[#This Row],[id_operacion]],tblEjecucion[id_operacion],tblEjecucion[costo_plan_total],0)-tblOrdenes[[#This Row],[costo_servicio]]))</f>
        <v/>
      </c>
      <c r="AM756" s="18">
        <f>IF(tblOrdenes[[#This Row],[orden]]="","",tblOrdenes[[#This Row],[costo_servicio]]+tblOrdenes[[#This Row],[costo_materiales]])</f>
        <v/>
      </c>
      <c r="AN7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6" s="4" t="n"/>
      <c r="AP756" s="4" t="n"/>
      <c r="AQ756" s="4" t="n"/>
      <c r="AR756" s="5">
        <f>IF(tblOrdenes[[#This Row],[link_checklist]]="","",HYPERLINK(p_ruta_base_checklists&amp;tblOrdenes[[#This Row],[link_checklist]],"abrir"))</f>
        <v/>
      </c>
      <c r="AS756" s="4" t="n"/>
      <c r="AT756" s="5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22" t="n"/>
      <c r="K757" s="5" t="n"/>
      <c r="L757" s="18" t="n"/>
      <c r="M7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5">
        <f>IF(tblOrdenes[[#This Row],[fecha_inicio]]="","",YEAR(tblOrdenes[[#This Row],[fecha_inicio]]))</f>
        <v/>
      </c>
      <c r="Q757" s="5">
        <f>IF(tblOrdenes[[#This Row],[fecha_inicio]]="","",MONTH(tblOrdenes[[#This Row],[fecha_inicio]]))</f>
        <v/>
      </c>
      <c r="R757" s="5">
        <f>IF(tblOrdenes[[#This Row],[fecha_inicio]]="","",tblOrdenes[[#This Row],[anio]]&amp;"-"&amp;TEXT(tblOrdenes[[#This Row],[mes]],"00"))</f>
        <v/>
      </c>
      <c r="S757" s="5">
        <f>IF(tblOrdenes[[#This Row],[fecha_inicio]]="","",INDEX(lista_dias,WEEKDAY(tblOrdenes[[#This Row],[fecha_inicio]],2)))</f>
        <v/>
      </c>
      <c r="T7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7" s="5">
        <f>IF(tblOrdenes[[#This Row],[tipo_ot]]="","",_xlfn.XLOOKUP(tblOrdenes[[#This Row],[tipo_ot]],tblTiposOT[codigo],tblTiposOT[clasificacion],"sin_clasificar"))</f>
        <v/>
      </c>
      <c r="V7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7" s="5">
        <f>IF(tblOrdenes[[#This Row],[centro_costo]]="","",_xlfn.XLOOKUP(tblOrdenes[[#This Row],[centro_costo]],tblCECO[codigo],tblCECO[linea],"(sin catálogo)"))</f>
        <v/>
      </c>
      <c r="X757" s="5">
        <f>IF(tblOrdenes[[#This Row],[centro_costo]]="","",_xlfn.XLOOKUP(tblOrdenes[[#This Row],[centro_costo]],tblCECO[codigo],tblCECO[area],"(sin catálogo)"))</f>
        <v/>
      </c>
      <c r="Y7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7" s="5">
        <f>IF(tblOrdenes[[#This Row],[centro_costo]]="","",_xlfn.XLOOKUP(tblOrdenes[[#This Row],[centro_costo]],tblCECO[codigo],tblCECO[coordinador],"(sin catálogo)"))</f>
        <v/>
      </c>
      <c r="AA757" s="5">
        <f>IF(tblOrdenes[[#This Row],[puesto_trabajo]]="","",_xlfn.XLOOKUP(tblOrdenes[[#This Row],[puesto_trabajo]],tblPuestos[codigo],tblPuestos[especialidad],"(sin catálogo)"))</f>
        <v/>
      </c>
      <c r="AB757" s="5">
        <f>IF(tblOrdenes[[#This Row],[cod_actividad]]="","",_xlfn.XLOOKUP(tblOrdenes[[#This Row],[cod_actividad]],tblActividades[codigo],tblActividades[descripcion],"(sin catálogo)"))</f>
        <v/>
      </c>
      <c r="AC757" s="20">
        <f>IF(tblOrdenes[[#This Row],[fecha_inicio]]="","",TODAY()-tblOrdenes[[#This Row],[fecha_inicio]])</f>
        <v/>
      </c>
      <c r="AD7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7" s="5">
        <f>IF(tblOrdenes[[#This Row],[backlog_habiles]]="","",IF(tblOrdenes[[#This Row],[backlog_habiles]]&lt;0,"FUTURO",IF(tblOrdenes[[#This Row],[backlog_habiles]]&gt;p_dias_backlog_max,"BACKLOG","MES CORRIENTE")))</f>
        <v/>
      </c>
      <c r="AF757" s="5">
        <f>IF(tblOrdenes[[#This Row],[backlog_habiles]]="",FALSE,AND(tblOrdenes[[#This Row],[backlog_habiles]]&gt;p_dias_backlog_min,tblOrdenes[[#This Row],[backlog_habiles]]&lt;=p_dias_backlog_max))</f>
        <v/>
      </c>
      <c r="AG757" s="4" t="n"/>
      <c r="AH7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7" s="18">
        <f>IF(tblOrdenes[[#This Row],[orden]]="","",_xlfn.XLOOKUP(tblOrdenes[[#This Row],[id_operacion]],tblEjecucion[id_operacion],tblEjecucion[precio],0))</f>
        <v/>
      </c>
      <c r="AL757" s="18">
        <f>IF(tblOrdenes[[#This Row],[orden]]="","",MAX(0,_xlfn.XLOOKUP(tblOrdenes[[#This Row],[id_operacion]],tblEjecucion[id_operacion],tblEjecucion[costo_plan_total],0)-tblOrdenes[[#This Row],[costo_servicio]]))</f>
        <v/>
      </c>
      <c r="AM757" s="18">
        <f>IF(tblOrdenes[[#This Row],[orden]]="","",tblOrdenes[[#This Row],[costo_servicio]]+tblOrdenes[[#This Row],[costo_materiales]])</f>
        <v/>
      </c>
      <c r="AN7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7" s="4" t="n"/>
      <c r="AP757" s="4" t="n"/>
      <c r="AQ757" s="4" t="n"/>
      <c r="AR757" s="5">
        <f>IF(tblOrdenes[[#This Row],[link_checklist]]="","",HYPERLINK(p_ruta_base_checklists&amp;tblOrdenes[[#This Row],[link_checklist]],"abrir"))</f>
        <v/>
      </c>
      <c r="AS757" s="4" t="n"/>
      <c r="AT757" s="5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22" t="n"/>
      <c r="K758" s="5" t="n"/>
      <c r="L758" s="18" t="n"/>
      <c r="M7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5">
        <f>IF(tblOrdenes[[#This Row],[fecha_inicio]]="","",YEAR(tblOrdenes[[#This Row],[fecha_inicio]]))</f>
        <v/>
      </c>
      <c r="Q758" s="5">
        <f>IF(tblOrdenes[[#This Row],[fecha_inicio]]="","",MONTH(tblOrdenes[[#This Row],[fecha_inicio]]))</f>
        <v/>
      </c>
      <c r="R758" s="5">
        <f>IF(tblOrdenes[[#This Row],[fecha_inicio]]="","",tblOrdenes[[#This Row],[anio]]&amp;"-"&amp;TEXT(tblOrdenes[[#This Row],[mes]],"00"))</f>
        <v/>
      </c>
      <c r="S758" s="5">
        <f>IF(tblOrdenes[[#This Row],[fecha_inicio]]="","",INDEX(lista_dias,WEEKDAY(tblOrdenes[[#This Row],[fecha_inicio]],2)))</f>
        <v/>
      </c>
      <c r="T7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8" s="5">
        <f>IF(tblOrdenes[[#This Row],[tipo_ot]]="","",_xlfn.XLOOKUP(tblOrdenes[[#This Row],[tipo_ot]],tblTiposOT[codigo],tblTiposOT[clasificacion],"sin_clasificar"))</f>
        <v/>
      </c>
      <c r="V7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8" s="5">
        <f>IF(tblOrdenes[[#This Row],[centro_costo]]="","",_xlfn.XLOOKUP(tblOrdenes[[#This Row],[centro_costo]],tblCECO[codigo],tblCECO[linea],"(sin catálogo)"))</f>
        <v/>
      </c>
      <c r="X758" s="5">
        <f>IF(tblOrdenes[[#This Row],[centro_costo]]="","",_xlfn.XLOOKUP(tblOrdenes[[#This Row],[centro_costo]],tblCECO[codigo],tblCECO[area],"(sin catálogo)"))</f>
        <v/>
      </c>
      <c r="Y7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8" s="5">
        <f>IF(tblOrdenes[[#This Row],[centro_costo]]="","",_xlfn.XLOOKUP(tblOrdenes[[#This Row],[centro_costo]],tblCECO[codigo],tblCECO[coordinador],"(sin catálogo)"))</f>
        <v/>
      </c>
      <c r="AA758" s="5">
        <f>IF(tblOrdenes[[#This Row],[puesto_trabajo]]="","",_xlfn.XLOOKUP(tblOrdenes[[#This Row],[puesto_trabajo]],tblPuestos[codigo],tblPuestos[especialidad],"(sin catálogo)"))</f>
        <v/>
      </c>
      <c r="AB758" s="5">
        <f>IF(tblOrdenes[[#This Row],[cod_actividad]]="","",_xlfn.XLOOKUP(tblOrdenes[[#This Row],[cod_actividad]],tblActividades[codigo],tblActividades[descripcion],"(sin catálogo)"))</f>
        <v/>
      </c>
      <c r="AC758" s="20">
        <f>IF(tblOrdenes[[#This Row],[fecha_inicio]]="","",TODAY()-tblOrdenes[[#This Row],[fecha_inicio]])</f>
        <v/>
      </c>
      <c r="AD7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8" s="5">
        <f>IF(tblOrdenes[[#This Row],[backlog_habiles]]="","",IF(tblOrdenes[[#This Row],[backlog_habiles]]&lt;0,"FUTURO",IF(tblOrdenes[[#This Row],[backlog_habiles]]&gt;p_dias_backlog_max,"BACKLOG","MES CORRIENTE")))</f>
        <v/>
      </c>
      <c r="AF758" s="5">
        <f>IF(tblOrdenes[[#This Row],[backlog_habiles]]="",FALSE,AND(tblOrdenes[[#This Row],[backlog_habiles]]&gt;p_dias_backlog_min,tblOrdenes[[#This Row],[backlog_habiles]]&lt;=p_dias_backlog_max))</f>
        <v/>
      </c>
      <c r="AG758" s="4" t="n"/>
      <c r="AH7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8" s="18">
        <f>IF(tblOrdenes[[#This Row],[orden]]="","",_xlfn.XLOOKUP(tblOrdenes[[#This Row],[id_operacion]],tblEjecucion[id_operacion],tblEjecucion[precio],0))</f>
        <v/>
      </c>
      <c r="AL758" s="18">
        <f>IF(tblOrdenes[[#This Row],[orden]]="","",MAX(0,_xlfn.XLOOKUP(tblOrdenes[[#This Row],[id_operacion]],tblEjecucion[id_operacion],tblEjecucion[costo_plan_total],0)-tblOrdenes[[#This Row],[costo_servicio]]))</f>
        <v/>
      </c>
      <c r="AM758" s="18">
        <f>IF(tblOrdenes[[#This Row],[orden]]="","",tblOrdenes[[#This Row],[costo_servicio]]+tblOrdenes[[#This Row],[costo_materiales]])</f>
        <v/>
      </c>
      <c r="AN7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8" s="4" t="n"/>
      <c r="AP758" s="4" t="n"/>
      <c r="AQ758" s="4" t="n"/>
      <c r="AR758" s="5">
        <f>IF(tblOrdenes[[#This Row],[link_checklist]]="","",HYPERLINK(p_ruta_base_checklists&amp;tblOrdenes[[#This Row],[link_checklist]],"abrir"))</f>
        <v/>
      </c>
      <c r="AS758" s="4" t="n"/>
      <c r="AT758" s="5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22" t="n"/>
      <c r="K759" s="5" t="n"/>
      <c r="L759" s="18" t="n"/>
      <c r="M7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5">
        <f>IF(tblOrdenes[[#This Row],[fecha_inicio]]="","",YEAR(tblOrdenes[[#This Row],[fecha_inicio]]))</f>
        <v/>
      </c>
      <c r="Q759" s="5">
        <f>IF(tblOrdenes[[#This Row],[fecha_inicio]]="","",MONTH(tblOrdenes[[#This Row],[fecha_inicio]]))</f>
        <v/>
      </c>
      <c r="R759" s="5">
        <f>IF(tblOrdenes[[#This Row],[fecha_inicio]]="","",tblOrdenes[[#This Row],[anio]]&amp;"-"&amp;TEXT(tblOrdenes[[#This Row],[mes]],"00"))</f>
        <v/>
      </c>
      <c r="S759" s="5">
        <f>IF(tblOrdenes[[#This Row],[fecha_inicio]]="","",INDEX(lista_dias,WEEKDAY(tblOrdenes[[#This Row],[fecha_inicio]],2)))</f>
        <v/>
      </c>
      <c r="T7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9" s="5">
        <f>IF(tblOrdenes[[#This Row],[tipo_ot]]="","",_xlfn.XLOOKUP(tblOrdenes[[#This Row],[tipo_ot]],tblTiposOT[codigo],tblTiposOT[clasificacion],"sin_clasificar"))</f>
        <v/>
      </c>
      <c r="V7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9" s="5">
        <f>IF(tblOrdenes[[#This Row],[centro_costo]]="","",_xlfn.XLOOKUP(tblOrdenes[[#This Row],[centro_costo]],tblCECO[codigo],tblCECO[linea],"(sin catálogo)"))</f>
        <v/>
      </c>
      <c r="X759" s="5">
        <f>IF(tblOrdenes[[#This Row],[centro_costo]]="","",_xlfn.XLOOKUP(tblOrdenes[[#This Row],[centro_costo]],tblCECO[codigo],tblCECO[area],"(sin catálogo)"))</f>
        <v/>
      </c>
      <c r="Y7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59" s="5">
        <f>IF(tblOrdenes[[#This Row],[centro_costo]]="","",_xlfn.XLOOKUP(tblOrdenes[[#This Row],[centro_costo]],tblCECO[codigo],tblCECO[coordinador],"(sin catálogo)"))</f>
        <v/>
      </c>
      <c r="AA759" s="5">
        <f>IF(tblOrdenes[[#This Row],[puesto_trabajo]]="","",_xlfn.XLOOKUP(tblOrdenes[[#This Row],[puesto_trabajo]],tblPuestos[codigo],tblPuestos[especialidad],"(sin catálogo)"))</f>
        <v/>
      </c>
      <c r="AB759" s="5">
        <f>IF(tblOrdenes[[#This Row],[cod_actividad]]="","",_xlfn.XLOOKUP(tblOrdenes[[#This Row],[cod_actividad]],tblActividades[codigo],tblActividades[descripcion],"(sin catálogo)"))</f>
        <v/>
      </c>
      <c r="AC759" s="20">
        <f>IF(tblOrdenes[[#This Row],[fecha_inicio]]="","",TODAY()-tblOrdenes[[#This Row],[fecha_inicio]])</f>
        <v/>
      </c>
      <c r="AD7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59" s="5">
        <f>IF(tblOrdenes[[#This Row],[backlog_habiles]]="","",IF(tblOrdenes[[#This Row],[backlog_habiles]]&lt;0,"FUTURO",IF(tblOrdenes[[#This Row],[backlog_habiles]]&gt;p_dias_backlog_max,"BACKLOG","MES CORRIENTE")))</f>
        <v/>
      </c>
      <c r="AF759" s="5">
        <f>IF(tblOrdenes[[#This Row],[backlog_habiles]]="",FALSE,AND(tblOrdenes[[#This Row],[backlog_habiles]]&gt;p_dias_backlog_min,tblOrdenes[[#This Row],[backlog_habiles]]&lt;=p_dias_backlog_max))</f>
        <v/>
      </c>
      <c r="AG759" s="4" t="n"/>
      <c r="AH7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59" s="18">
        <f>IF(tblOrdenes[[#This Row],[orden]]="","",_xlfn.XLOOKUP(tblOrdenes[[#This Row],[id_operacion]],tblEjecucion[id_operacion],tblEjecucion[precio],0))</f>
        <v/>
      </c>
      <c r="AL759" s="18">
        <f>IF(tblOrdenes[[#This Row],[orden]]="","",MAX(0,_xlfn.XLOOKUP(tblOrdenes[[#This Row],[id_operacion]],tblEjecucion[id_operacion],tblEjecucion[costo_plan_total],0)-tblOrdenes[[#This Row],[costo_servicio]]))</f>
        <v/>
      </c>
      <c r="AM759" s="18">
        <f>IF(tblOrdenes[[#This Row],[orden]]="","",tblOrdenes[[#This Row],[costo_servicio]]+tblOrdenes[[#This Row],[costo_materiales]])</f>
        <v/>
      </c>
      <c r="AN7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59" s="4" t="n"/>
      <c r="AP759" s="4" t="n"/>
      <c r="AQ759" s="4" t="n"/>
      <c r="AR759" s="5">
        <f>IF(tblOrdenes[[#This Row],[link_checklist]]="","",HYPERLINK(p_ruta_base_checklists&amp;tblOrdenes[[#This Row],[link_checklist]],"abrir"))</f>
        <v/>
      </c>
      <c r="AS759" s="4" t="n"/>
      <c r="AT759" s="5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22" t="n"/>
      <c r="K760" s="5" t="n"/>
      <c r="L760" s="18" t="n"/>
      <c r="M7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5">
        <f>IF(tblOrdenes[[#This Row],[fecha_inicio]]="","",YEAR(tblOrdenes[[#This Row],[fecha_inicio]]))</f>
        <v/>
      </c>
      <c r="Q760" s="5">
        <f>IF(tblOrdenes[[#This Row],[fecha_inicio]]="","",MONTH(tblOrdenes[[#This Row],[fecha_inicio]]))</f>
        <v/>
      </c>
      <c r="R760" s="5">
        <f>IF(tblOrdenes[[#This Row],[fecha_inicio]]="","",tblOrdenes[[#This Row],[anio]]&amp;"-"&amp;TEXT(tblOrdenes[[#This Row],[mes]],"00"))</f>
        <v/>
      </c>
      <c r="S760" s="5">
        <f>IF(tblOrdenes[[#This Row],[fecha_inicio]]="","",INDEX(lista_dias,WEEKDAY(tblOrdenes[[#This Row],[fecha_inicio]],2)))</f>
        <v/>
      </c>
      <c r="T7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0" s="5">
        <f>IF(tblOrdenes[[#This Row],[tipo_ot]]="","",_xlfn.XLOOKUP(tblOrdenes[[#This Row],[tipo_ot]],tblTiposOT[codigo],tblTiposOT[clasificacion],"sin_clasificar"))</f>
        <v/>
      </c>
      <c r="V7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0" s="5">
        <f>IF(tblOrdenes[[#This Row],[centro_costo]]="","",_xlfn.XLOOKUP(tblOrdenes[[#This Row],[centro_costo]],tblCECO[codigo],tblCECO[linea],"(sin catálogo)"))</f>
        <v/>
      </c>
      <c r="X760" s="5">
        <f>IF(tblOrdenes[[#This Row],[centro_costo]]="","",_xlfn.XLOOKUP(tblOrdenes[[#This Row],[centro_costo]],tblCECO[codigo],tblCECO[area],"(sin catálogo)"))</f>
        <v/>
      </c>
      <c r="Y7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0" s="5">
        <f>IF(tblOrdenes[[#This Row],[centro_costo]]="","",_xlfn.XLOOKUP(tblOrdenes[[#This Row],[centro_costo]],tblCECO[codigo],tblCECO[coordinador],"(sin catálogo)"))</f>
        <v/>
      </c>
      <c r="AA760" s="5">
        <f>IF(tblOrdenes[[#This Row],[puesto_trabajo]]="","",_xlfn.XLOOKUP(tblOrdenes[[#This Row],[puesto_trabajo]],tblPuestos[codigo],tblPuestos[especialidad],"(sin catálogo)"))</f>
        <v/>
      </c>
      <c r="AB760" s="5">
        <f>IF(tblOrdenes[[#This Row],[cod_actividad]]="","",_xlfn.XLOOKUP(tblOrdenes[[#This Row],[cod_actividad]],tblActividades[codigo],tblActividades[descripcion],"(sin catálogo)"))</f>
        <v/>
      </c>
      <c r="AC760" s="20">
        <f>IF(tblOrdenes[[#This Row],[fecha_inicio]]="","",TODAY()-tblOrdenes[[#This Row],[fecha_inicio]])</f>
        <v/>
      </c>
      <c r="AD7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0" s="5">
        <f>IF(tblOrdenes[[#This Row],[backlog_habiles]]="","",IF(tblOrdenes[[#This Row],[backlog_habiles]]&lt;0,"FUTURO",IF(tblOrdenes[[#This Row],[backlog_habiles]]&gt;p_dias_backlog_max,"BACKLOG","MES CORRIENTE")))</f>
        <v/>
      </c>
      <c r="AF760" s="5">
        <f>IF(tblOrdenes[[#This Row],[backlog_habiles]]="",FALSE,AND(tblOrdenes[[#This Row],[backlog_habiles]]&gt;p_dias_backlog_min,tblOrdenes[[#This Row],[backlog_habiles]]&lt;=p_dias_backlog_max))</f>
        <v/>
      </c>
      <c r="AG760" s="4" t="n"/>
      <c r="AH7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0" s="18">
        <f>IF(tblOrdenes[[#This Row],[orden]]="","",_xlfn.XLOOKUP(tblOrdenes[[#This Row],[id_operacion]],tblEjecucion[id_operacion],tblEjecucion[precio],0))</f>
        <v/>
      </c>
      <c r="AL760" s="18">
        <f>IF(tblOrdenes[[#This Row],[orden]]="","",MAX(0,_xlfn.XLOOKUP(tblOrdenes[[#This Row],[id_operacion]],tblEjecucion[id_operacion],tblEjecucion[costo_plan_total],0)-tblOrdenes[[#This Row],[costo_servicio]]))</f>
        <v/>
      </c>
      <c r="AM760" s="18">
        <f>IF(tblOrdenes[[#This Row],[orden]]="","",tblOrdenes[[#This Row],[costo_servicio]]+tblOrdenes[[#This Row],[costo_materiales]])</f>
        <v/>
      </c>
      <c r="AN7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0" s="4" t="n"/>
      <c r="AP760" s="4" t="n"/>
      <c r="AQ760" s="4" t="n"/>
      <c r="AR760" s="5">
        <f>IF(tblOrdenes[[#This Row],[link_checklist]]="","",HYPERLINK(p_ruta_base_checklists&amp;tblOrdenes[[#This Row],[link_checklist]],"abrir"))</f>
        <v/>
      </c>
      <c r="AS760" s="4" t="n"/>
      <c r="AT760" s="5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22" t="n"/>
      <c r="K761" s="5" t="n"/>
      <c r="L761" s="18" t="n"/>
      <c r="M7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5">
        <f>IF(tblOrdenes[[#This Row],[fecha_inicio]]="","",YEAR(tblOrdenes[[#This Row],[fecha_inicio]]))</f>
        <v/>
      </c>
      <c r="Q761" s="5">
        <f>IF(tblOrdenes[[#This Row],[fecha_inicio]]="","",MONTH(tblOrdenes[[#This Row],[fecha_inicio]]))</f>
        <v/>
      </c>
      <c r="R761" s="5">
        <f>IF(tblOrdenes[[#This Row],[fecha_inicio]]="","",tblOrdenes[[#This Row],[anio]]&amp;"-"&amp;TEXT(tblOrdenes[[#This Row],[mes]],"00"))</f>
        <v/>
      </c>
      <c r="S761" s="5">
        <f>IF(tblOrdenes[[#This Row],[fecha_inicio]]="","",INDEX(lista_dias,WEEKDAY(tblOrdenes[[#This Row],[fecha_inicio]],2)))</f>
        <v/>
      </c>
      <c r="T7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1" s="5">
        <f>IF(tblOrdenes[[#This Row],[tipo_ot]]="","",_xlfn.XLOOKUP(tblOrdenes[[#This Row],[tipo_ot]],tblTiposOT[codigo],tblTiposOT[clasificacion],"sin_clasificar"))</f>
        <v/>
      </c>
      <c r="V7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1" s="5">
        <f>IF(tblOrdenes[[#This Row],[centro_costo]]="","",_xlfn.XLOOKUP(tblOrdenes[[#This Row],[centro_costo]],tblCECO[codigo],tblCECO[linea],"(sin catálogo)"))</f>
        <v/>
      </c>
      <c r="X761" s="5">
        <f>IF(tblOrdenes[[#This Row],[centro_costo]]="","",_xlfn.XLOOKUP(tblOrdenes[[#This Row],[centro_costo]],tblCECO[codigo],tblCECO[area],"(sin catálogo)"))</f>
        <v/>
      </c>
      <c r="Y7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1" s="5">
        <f>IF(tblOrdenes[[#This Row],[centro_costo]]="","",_xlfn.XLOOKUP(tblOrdenes[[#This Row],[centro_costo]],tblCECO[codigo],tblCECO[coordinador],"(sin catálogo)"))</f>
        <v/>
      </c>
      <c r="AA761" s="5">
        <f>IF(tblOrdenes[[#This Row],[puesto_trabajo]]="","",_xlfn.XLOOKUP(tblOrdenes[[#This Row],[puesto_trabajo]],tblPuestos[codigo],tblPuestos[especialidad],"(sin catálogo)"))</f>
        <v/>
      </c>
      <c r="AB761" s="5">
        <f>IF(tblOrdenes[[#This Row],[cod_actividad]]="","",_xlfn.XLOOKUP(tblOrdenes[[#This Row],[cod_actividad]],tblActividades[codigo],tblActividades[descripcion],"(sin catálogo)"))</f>
        <v/>
      </c>
      <c r="AC761" s="20">
        <f>IF(tblOrdenes[[#This Row],[fecha_inicio]]="","",TODAY()-tblOrdenes[[#This Row],[fecha_inicio]])</f>
        <v/>
      </c>
      <c r="AD7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1" s="5">
        <f>IF(tblOrdenes[[#This Row],[backlog_habiles]]="","",IF(tblOrdenes[[#This Row],[backlog_habiles]]&lt;0,"FUTURO",IF(tblOrdenes[[#This Row],[backlog_habiles]]&gt;p_dias_backlog_max,"BACKLOG","MES CORRIENTE")))</f>
        <v/>
      </c>
      <c r="AF761" s="5">
        <f>IF(tblOrdenes[[#This Row],[backlog_habiles]]="",FALSE,AND(tblOrdenes[[#This Row],[backlog_habiles]]&gt;p_dias_backlog_min,tblOrdenes[[#This Row],[backlog_habiles]]&lt;=p_dias_backlog_max))</f>
        <v/>
      </c>
      <c r="AG761" s="4" t="n"/>
      <c r="AH7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1" s="18">
        <f>IF(tblOrdenes[[#This Row],[orden]]="","",_xlfn.XLOOKUP(tblOrdenes[[#This Row],[id_operacion]],tblEjecucion[id_operacion],tblEjecucion[precio],0))</f>
        <v/>
      </c>
      <c r="AL761" s="18">
        <f>IF(tblOrdenes[[#This Row],[orden]]="","",MAX(0,_xlfn.XLOOKUP(tblOrdenes[[#This Row],[id_operacion]],tblEjecucion[id_operacion],tblEjecucion[costo_plan_total],0)-tblOrdenes[[#This Row],[costo_servicio]]))</f>
        <v/>
      </c>
      <c r="AM761" s="18">
        <f>IF(tblOrdenes[[#This Row],[orden]]="","",tblOrdenes[[#This Row],[costo_servicio]]+tblOrdenes[[#This Row],[costo_materiales]])</f>
        <v/>
      </c>
      <c r="AN7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1" s="4" t="n"/>
      <c r="AP761" s="4" t="n"/>
      <c r="AQ761" s="4" t="n"/>
      <c r="AR761" s="5">
        <f>IF(tblOrdenes[[#This Row],[link_checklist]]="","",HYPERLINK(p_ruta_base_checklists&amp;tblOrdenes[[#This Row],[link_checklist]],"abrir"))</f>
        <v/>
      </c>
      <c r="AS761" s="4" t="n"/>
      <c r="AT761" s="5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22" t="n"/>
      <c r="K762" s="5" t="n"/>
      <c r="L762" s="18" t="n"/>
      <c r="M7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5">
        <f>IF(tblOrdenes[[#This Row],[fecha_inicio]]="","",YEAR(tblOrdenes[[#This Row],[fecha_inicio]]))</f>
        <v/>
      </c>
      <c r="Q762" s="5">
        <f>IF(tblOrdenes[[#This Row],[fecha_inicio]]="","",MONTH(tblOrdenes[[#This Row],[fecha_inicio]]))</f>
        <v/>
      </c>
      <c r="R762" s="5">
        <f>IF(tblOrdenes[[#This Row],[fecha_inicio]]="","",tblOrdenes[[#This Row],[anio]]&amp;"-"&amp;TEXT(tblOrdenes[[#This Row],[mes]],"00"))</f>
        <v/>
      </c>
      <c r="S762" s="5">
        <f>IF(tblOrdenes[[#This Row],[fecha_inicio]]="","",INDEX(lista_dias,WEEKDAY(tblOrdenes[[#This Row],[fecha_inicio]],2)))</f>
        <v/>
      </c>
      <c r="T7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2" s="5">
        <f>IF(tblOrdenes[[#This Row],[tipo_ot]]="","",_xlfn.XLOOKUP(tblOrdenes[[#This Row],[tipo_ot]],tblTiposOT[codigo],tblTiposOT[clasificacion],"sin_clasificar"))</f>
        <v/>
      </c>
      <c r="V7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2" s="5">
        <f>IF(tblOrdenes[[#This Row],[centro_costo]]="","",_xlfn.XLOOKUP(tblOrdenes[[#This Row],[centro_costo]],tblCECO[codigo],tblCECO[linea],"(sin catálogo)"))</f>
        <v/>
      </c>
      <c r="X762" s="5">
        <f>IF(tblOrdenes[[#This Row],[centro_costo]]="","",_xlfn.XLOOKUP(tblOrdenes[[#This Row],[centro_costo]],tblCECO[codigo],tblCECO[area],"(sin catálogo)"))</f>
        <v/>
      </c>
      <c r="Y7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2" s="5">
        <f>IF(tblOrdenes[[#This Row],[centro_costo]]="","",_xlfn.XLOOKUP(tblOrdenes[[#This Row],[centro_costo]],tblCECO[codigo],tblCECO[coordinador],"(sin catálogo)"))</f>
        <v/>
      </c>
      <c r="AA762" s="5">
        <f>IF(tblOrdenes[[#This Row],[puesto_trabajo]]="","",_xlfn.XLOOKUP(tblOrdenes[[#This Row],[puesto_trabajo]],tblPuestos[codigo],tblPuestos[especialidad],"(sin catálogo)"))</f>
        <v/>
      </c>
      <c r="AB762" s="5">
        <f>IF(tblOrdenes[[#This Row],[cod_actividad]]="","",_xlfn.XLOOKUP(tblOrdenes[[#This Row],[cod_actividad]],tblActividades[codigo],tblActividades[descripcion],"(sin catálogo)"))</f>
        <v/>
      </c>
      <c r="AC762" s="20">
        <f>IF(tblOrdenes[[#This Row],[fecha_inicio]]="","",TODAY()-tblOrdenes[[#This Row],[fecha_inicio]])</f>
        <v/>
      </c>
      <c r="AD7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2" s="5">
        <f>IF(tblOrdenes[[#This Row],[backlog_habiles]]="","",IF(tblOrdenes[[#This Row],[backlog_habiles]]&lt;0,"FUTURO",IF(tblOrdenes[[#This Row],[backlog_habiles]]&gt;p_dias_backlog_max,"BACKLOG","MES CORRIENTE")))</f>
        <v/>
      </c>
      <c r="AF762" s="5">
        <f>IF(tblOrdenes[[#This Row],[backlog_habiles]]="",FALSE,AND(tblOrdenes[[#This Row],[backlog_habiles]]&gt;p_dias_backlog_min,tblOrdenes[[#This Row],[backlog_habiles]]&lt;=p_dias_backlog_max))</f>
        <v/>
      </c>
      <c r="AG762" s="4" t="n"/>
      <c r="AH7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2" s="18">
        <f>IF(tblOrdenes[[#This Row],[orden]]="","",_xlfn.XLOOKUP(tblOrdenes[[#This Row],[id_operacion]],tblEjecucion[id_operacion],tblEjecucion[precio],0))</f>
        <v/>
      </c>
      <c r="AL762" s="18">
        <f>IF(tblOrdenes[[#This Row],[orden]]="","",MAX(0,_xlfn.XLOOKUP(tblOrdenes[[#This Row],[id_operacion]],tblEjecucion[id_operacion],tblEjecucion[costo_plan_total],0)-tblOrdenes[[#This Row],[costo_servicio]]))</f>
        <v/>
      </c>
      <c r="AM762" s="18">
        <f>IF(tblOrdenes[[#This Row],[orden]]="","",tblOrdenes[[#This Row],[costo_servicio]]+tblOrdenes[[#This Row],[costo_materiales]])</f>
        <v/>
      </c>
      <c r="AN7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2" s="4" t="n"/>
      <c r="AP762" s="4" t="n"/>
      <c r="AQ762" s="4" t="n"/>
      <c r="AR762" s="5">
        <f>IF(tblOrdenes[[#This Row],[link_checklist]]="","",HYPERLINK(p_ruta_base_checklists&amp;tblOrdenes[[#This Row],[link_checklist]],"abrir"))</f>
        <v/>
      </c>
      <c r="AS762" s="4" t="n"/>
      <c r="AT762" s="5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22" t="n"/>
      <c r="K763" s="5" t="n"/>
      <c r="L763" s="18" t="n"/>
      <c r="M7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5">
        <f>IF(tblOrdenes[[#This Row],[fecha_inicio]]="","",YEAR(tblOrdenes[[#This Row],[fecha_inicio]]))</f>
        <v/>
      </c>
      <c r="Q763" s="5">
        <f>IF(tblOrdenes[[#This Row],[fecha_inicio]]="","",MONTH(tblOrdenes[[#This Row],[fecha_inicio]]))</f>
        <v/>
      </c>
      <c r="R763" s="5">
        <f>IF(tblOrdenes[[#This Row],[fecha_inicio]]="","",tblOrdenes[[#This Row],[anio]]&amp;"-"&amp;TEXT(tblOrdenes[[#This Row],[mes]],"00"))</f>
        <v/>
      </c>
      <c r="S763" s="5">
        <f>IF(tblOrdenes[[#This Row],[fecha_inicio]]="","",INDEX(lista_dias,WEEKDAY(tblOrdenes[[#This Row],[fecha_inicio]],2)))</f>
        <v/>
      </c>
      <c r="T7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3" s="5">
        <f>IF(tblOrdenes[[#This Row],[tipo_ot]]="","",_xlfn.XLOOKUP(tblOrdenes[[#This Row],[tipo_ot]],tblTiposOT[codigo],tblTiposOT[clasificacion],"sin_clasificar"))</f>
        <v/>
      </c>
      <c r="V7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3" s="5">
        <f>IF(tblOrdenes[[#This Row],[centro_costo]]="","",_xlfn.XLOOKUP(tblOrdenes[[#This Row],[centro_costo]],tblCECO[codigo],tblCECO[linea],"(sin catálogo)"))</f>
        <v/>
      </c>
      <c r="X763" s="5">
        <f>IF(tblOrdenes[[#This Row],[centro_costo]]="","",_xlfn.XLOOKUP(tblOrdenes[[#This Row],[centro_costo]],tblCECO[codigo],tblCECO[area],"(sin catálogo)"))</f>
        <v/>
      </c>
      <c r="Y7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3" s="5">
        <f>IF(tblOrdenes[[#This Row],[centro_costo]]="","",_xlfn.XLOOKUP(tblOrdenes[[#This Row],[centro_costo]],tblCECO[codigo],tblCECO[coordinador],"(sin catálogo)"))</f>
        <v/>
      </c>
      <c r="AA763" s="5">
        <f>IF(tblOrdenes[[#This Row],[puesto_trabajo]]="","",_xlfn.XLOOKUP(tblOrdenes[[#This Row],[puesto_trabajo]],tblPuestos[codigo],tblPuestos[especialidad],"(sin catálogo)"))</f>
        <v/>
      </c>
      <c r="AB763" s="5">
        <f>IF(tblOrdenes[[#This Row],[cod_actividad]]="","",_xlfn.XLOOKUP(tblOrdenes[[#This Row],[cod_actividad]],tblActividades[codigo],tblActividades[descripcion],"(sin catálogo)"))</f>
        <v/>
      </c>
      <c r="AC763" s="20">
        <f>IF(tblOrdenes[[#This Row],[fecha_inicio]]="","",TODAY()-tblOrdenes[[#This Row],[fecha_inicio]])</f>
        <v/>
      </c>
      <c r="AD7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3" s="5">
        <f>IF(tblOrdenes[[#This Row],[backlog_habiles]]="","",IF(tblOrdenes[[#This Row],[backlog_habiles]]&lt;0,"FUTURO",IF(tblOrdenes[[#This Row],[backlog_habiles]]&gt;p_dias_backlog_max,"BACKLOG","MES CORRIENTE")))</f>
        <v/>
      </c>
      <c r="AF763" s="5">
        <f>IF(tblOrdenes[[#This Row],[backlog_habiles]]="",FALSE,AND(tblOrdenes[[#This Row],[backlog_habiles]]&gt;p_dias_backlog_min,tblOrdenes[[#This Row],[backlog_habiles]]&lt;=p_dias_backlog_max))</f>
        <v/>
      </c>
      <c r="AG763" s="4" t="n"/>
      <c r="AH7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3" s="18">
        <f>IF(tblOrdenes[[#This Row],[orden]]="","",_xlfn.XLOOKUP(tblOrdenes[[#This Row],[id_operacion]],tblEjecucion[id_operacion],tblEjecucion[precio],0))</f>
        <v/>
      </c>
      <c r="AL763" s="18">
        <f>IF(tblOrdenes[[#This Row],[orden]]="","",MAX(0,_xlfn.XLOOKUP(tblOrdenes[[#This Row],[id_operacion]],tblEjecucion[id_operacion],tblEjecucion[costo_plan_total],0)-tblOrdenes[[#This Row],[costo_servicio]]))</f>
        <v/>
      </c>
      <c r="AM763" s="18">
        <f>IF(tblOrdenes[[#This Row],[orden]]="","",tblOrdenes[[#This Row],[costo_servicio]]+tblOrdenes[[#This Row],[costo_materiales]])</f>
        <v/>
      </c>
      <c r="AN7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3" s="4" t="n"/>
      <c r="AP763" s="4" t="n"/>
      <c r="AQ763" s="4" t="n"/>
      <c r="AR763" s="5">
        <f>IF(tblOrdenes[[#This Row],[link_checklist]]="","",HYPERLINK(p_ruta_base_checklists&amp;tblOrdenes[[#This Row],[link_checklist]],"abrir"))</f>
        <v/>
      </c>
      <c r="AS763" s="4" t="n"/>
      <c r="AT763" s="5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22" t="n"/>
      <c r="K764" s="5" t="n"/>
      <c r="L764" s="18" t="n"/>
      <c r="M7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5">
        <f>IF(tblOrdenes[[#This Row],[fecha_inicio]]="","",YEAR(tblOrdenes[[#This Row],[fecha_inicio]]))</f>
        <v/>
      </c>
      <c r="Q764" s="5">
        <f>IF(tblOrdenes[[#This Row],[fecha_inicio]]="","",MONTH(tblOrdenes[[#This Row],[fecha_inicio]]))</f>
        <v/>
      </c>
      <c r="R764" s="5">
        <f>IF(tblOrdenes[[#This Row],[fecha_inicio]]="","",tblOrdenes[[#This Row],[anio]]&amp;"-"&amp;TEXT(tblOrdenes[[#This Row],[mes]],"00"))</f>
        <v/>
      </c>
      <c r="S764" s="5">
        <f>IF(tblOrdenes[[#This Row],[fecha_inicio]]="","",INDEX(lista_dias,WEEKDAY(tblOrdenes[[#This Row],[fecha_inicio]],2)))</f>
        <v/>
      </c>
      <c r="T7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4" s="5">
        <f>IF(tblOrdenes[[#This Row],[tipo_ot]]="","",_xlfn.XLOOKUP(tblOrdenes[[#This Row],[tipo_ot]],tblTiposOT[codigo],tblTiposOT[clasificacion],"sin_clasificar"))</f>
        <v/>
      </c>
      <c r="V7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4" s="5">
        <f>IF(tblOrdenes[[#This Row],[centro_costo]]="","",_xlfn.XLOOKUP(tblOrdenes[[#This Row],[centro_costo]],tblCECO[codigo],tblCECO[linea],"(sin catálogo)"))</f>
        <v/>
      </c>
      <c r="X764" s="5">
        <f>IF(tblOrdenes[[#This Row],[centro_costo]]="","",_xlfn.XLOOKUP(tblOrdenes[[#This Row],[centro_costo]],tblCECO[codigo],tblCECO[area],"(sin catálogo)"))</f>
        <v/>
      </c>
      <c r="Y7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4" s="5">
        <f>IF(tblOrdenes[[#This Row],[centro_costo]]="","",_xlfn.XLOOKUP(tblOrdenes[[#This Row],[centro_costo]],tblCECO[codigo],tblCECO[coordinador],"(sin catálogo)"))</f>
        <v/>
      </c>
      <c r="AA764" s="5">
        <f>IF(tblOrdenes[[#This Row],[puesto_trabajo]]="","",_xlfn.XLOOKUP(tblOrdenes[[#This Row],[puesto_trabajo]],tblPuestos[codigo],tblPuestos[especialidad],"(sin catálogo)"))</f>
        <v/>
      </c>
      <c r="AB764" s="5">
        <f>IF(tblOrdenes[[#This Row],[cod_actividad]]="","",_xlfn.XLOOKUP(tblOrdenes[[#This Row],[cod_actividad]],tblActividades[codigo],tblActividades[descripcion],"(sin catálogo)"))</f>
        <v/>
      </c>
      <c r="AC764" s="20">
        <f>IF(tblOrdenes[[#This Row],[fecha_inicio]]="","",TODAY()-tblOrdenes[[#This Row],[fecha_inicio]])</f>
        <v/>
      </c>
      <c r="AD7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4" s="5">
        <f>IF(tblOrdenes[[#This Row],[backlog_habiles]]="","",IF(tblOrdenes[[#This Row],[backlog_habiles]]&lt;0,"FUTURO",IF(tblOrdenes[[#This Row],[backlog_habiles]]&gt;p_dias_backlog_max,"BACKLOG","MES CORRIENTE")))</f>
        <v/>
      </c>
      <c r="AF764" s="5">
        <f>IF(tblOrdenes[[#This Row],[backlog_habiles]]="",FALSE,AND(tblOrdenes[[#This Row],[backlog_habiles]]&gt;p_dias_backlog_min,tblOrdenes[[#This Row],[backlog_habiles]]&lt;=p_dias_backlog_max))</f>
        <v/>
      </c>
      <c r="AG764" s="4" t="n"/>
      <c r="AH7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4" s="18">
        <f>IF(tblOrdenes[[#This Row],[orden]]="","",_xlfn.XLOOKUP(tblOrdenes[[#This Row],[id_operacion]],tblEjecucion[id_operacion],tblEjecucion[precio],0))</f>
        <v/>
      </c>
      <c r="AL764" s="18">
        <f>IF(tblOrdenes[[#This Row],[orden]]="","",MAX(0,_xlfn.XLOOKUP(tblOrdenes[[#This Row],[id_operacion]],tblEjecucion[id_operacion],tblEjecucion[costo_plan_total],0)-tblOrdenes[[#This Row],[costo_servicio]]))</f>
        <v/>
      </c>
      <c r="AM764" s="18">
        <f>IF(tblOrdenes[[#This Row],[orden]]="","",tblOrdenes[[#This Row],[costo_servicio]]+tblOrdenes[[#This Row],[costo_materiales]])</f>
        <v/>
      </c>
      <c r="AN7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4" s="4" t="n"/>
      <c r="AP764" s="4" t="n"/>
      <c r="AQ764" s="4" t="n"/>
      <c r="AR764" s="5">
        <f>IF(tblOrdenes[[#This Row],[link_checklist]]="","",HYPERLINK(p_ruta_base_checklists&amp;tblOrdenes[[#This Row],[link_checklist]],"abrir"))</f>
        <v/>
      </c>
      <c r="AS764" s="4" t="n"/>
      <c r="AT764" s="5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22" t="n"/>
      <c r="K765" s="5" t="n"/>
      <c r="L765" s="18" t="n"/>
      <c r="M7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5">
        <f>IF(tblOrdenes[[#This Row],[fecha_inicio]]="","",YEAR(tblOrdenes[[#This Row],[fecha_inicio]]))</f>
        <v/>
      </c>
      <c r="Q765" s="5">
        <f>IF(tblOrdenes[[#This Row],[fecha_inicio]]="","",MONTH(tblOrdenes[[#This Row],[fecha_inicio]]))</f>
        <v/>
      </c>
      <c r="R765" s="5">
        <f>IF(tblOrdenes[[#This Row],[fecha_inicio]]="","",tblOrdenes[[#This Row],[anio]]&amp;"-"&amp;TEXT(tblOrdenes[[#This Row],[mes]],"00"))</f>
        <v/>
      </c>
      <c r="S765" s="5">
        <f>IF(tblOrdenes[[#This Row],[fecha_inicio]]="","",INDEX(lista_dias,WEEKDAY(tblOrdenes[[#This Row],[fecha_inicio]],2)))</f>
        <v/>
      </c>
      <c r="T7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5" s="5">
        <f>IF(tblOrdenes[[#This Row],[tipo_ot]]="","",_xlfn.XLOOKUP(tblOrdenes[[#This Row],[tipo_ot]],tblTiposOT[codigo],tblTiposOT[clasificacion],"sin_clasificar"))</f>
        <v/>
      </c>
      <c r="V7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5" s="5">
        <f>IF(tblOrdenes[[#This Row],[centro_costo]]="","",_xlfn.XLOOKUP(tblOrdenes[[#This Row],[centro_costo]],tblCECO[codigo],tblCECO[linea],"(sin catálogo)"))</f>
        <v/>
      </c>
      <c r="X765" s="5">
        <f>IF(tblOrdenes[[#This Row],[centro_costo]]="","",_xlfn.XLOOKUP(tblOrdenes[[#This Row],[centro_costo]],tblCECO[codigo],tblCECO[area],"(sin catálogo)"))</f>
        <v/>
      </c>
      <c r="Y7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5" s="5">
        <f>IF(tblOrdenes[[#This Row],[centro_costo]]="","",_xlfn.XLOOKUP(tblOrdenes[[#This Row],[centro_costo]],tblCECO[codigo],tblCECO[coordinador],"(sin catálogo)"))</f>
        <v/>
      </c>
      <c r="AA765" s="5">
        <f>IF(tblOrdenes[[#This Row],[puesto_trabajo]]="","",_xlfn.XLOOKUP(tblOrdenes[[#This Row],[puesto_trabajo]],tblPuestos[codigo],tblPuestos[especialidad],"(sin catálogo)"))</f>
        <v/>
      </c>
      <c r="AB765" s="5">
        <f>IF(tblOrdenes[[#This Row],[cod_actividad]]="","",_xlfn.XLOOKUP(tblOrdenes[[#This Row],[cod_actividad]],tblActividades[codigo],tblActividades[descripcion],"(sin catálogo)"))</f>
        <v/>
      </c>
      <c r="AC765" s="20">
        <f>IF(tblOrdenes[[#This Row],[fecha_inicio]]="","",TODAY()-tblOrdenes[[#This Row],[fecha_inicio]])</f>
        <v/>
      </c>
      <c r="AD7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5" s="5">
        <f>IF(tblOrdenes[[#This Row],[backlog_habiles]]="","",IF(tblOrdenes[[#This Row],[backlog_habiles]]&lt;0,"FUTURO",IF(tblOrdenes[[#This Row],[backlog_habiles]]&gt;p_dias_backlog_max,"BACKLOG","MES CORRIENTE")))</f>
        <v/>
      </c>
      <c r="AF765" s="5">
        <f>IF(tblOrdenes[[#This Row],[backlog_habiles]]="",FALSE,AND(tblOrdenes[[#This Row],[backlog_habiles]]&gt;p_dias_backlog_min,tblOrdenes[[#This Row],[backlog_habiles]]&lt;=p_dias_backlog_max))</f>
        <v/>
      </c>
      <c r="AG765" s="4" t="n"/>
      <c r="AH7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5" s="18">
        <f>IF(tblOrdenes[[#This Row],[orden]]="","",_xlfn.XLOOKUP(tblOrdenes[[#This Row],[id_operacion]],tblEjecucion[id_operacion],tblEjecucion[precio],0))</f>
        <v/>
      </c>
      <c r="AL765" s="18">
        <f>IF(tblOrdenes[[#This Row],[orden]]="","",MAX(0,_xlfn.XLOOKUP(tblOrdenes[[#This Row],[id_operacion]],tblEjecucion[id_operacion],tblEjecucion[costo_plan_total],0)-tblOrdenes[[#This Row],[costo_servicio]]))</f>
        <v/>
      </c>
      <c r="AM765" s="18">
        <f>IF(tblOrdenes[[#This Row],[orden]]="","",tblOrdenes[[#This Row],[costo_servicio]]+tblOrdenes[[#This Row],[costo_materiales]])</f>
        <v/>
      </c>
      <c r="AN7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5" s="4" t="n"/>
      <c r="AP765" s="4" t="n"/>
      <c r="AQ765" s="4" t="n"/>
      <c r="AR765" s="5">
        <f>IF(tblOrdenes[[#This Row],[link_checklist]]="","",HYPERLINK(p_ruta_base_checklists&amp;tblOrdenes[[#This Row],[link_checklist]],"abrir"))</f>
        <v/>
      </c>
      <c r="AS765" s="4" t="n"/>
      <c r="AT765" s="5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22" t="n"/>
      <c r="K766" s="5" t="n"/>
      <c r="L766" s="18" t="n"/>
      <c r="M7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5">
        <f>IF(tblOrdenes[[#This Row],[fecha_inicio]]="","",YEAR(tblOrdenes[[#This Row],[fecha_inicio]]))</f>
        <v/>
      </c>
      <c r="Q766" s="5">
        <f>IF(tblOrdenes[[#This Row],[fecha_inicio]]="","",MONTH(tblOrdenes[[#This Row],[fecha_inicio]]))</f>
        <v/>
      </c>
      <c r="R766" s="5">
        <f>IF(tblOrdenes[[#This Row],[fecha_inicio]]="","",tblOrdenes[[#This Row],[anio]]&amp;"-"&amp;TEXT(tblOrdenes[[#This Row],[mes]],"00"))</f>
        <v/>
      </c>
      <c r="S766" s="5">
        <f>IF(tblOrdenes[[#This Row],[fecha_inicio]]="","",INDEX(lista_dias,WEEKDAY(tblOrdenes[[#This Row],[fecha_inicio]],2)))</f>
        <v/>
      </c>
      <c r="T7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6" s="5">
        <f>IF(tblOrdenes[[#This Row],[tipo_ot]]="","",_xlfn.XLOOKUP(tblOrdenes[[#This Row],[tipo_ot]],tblTiposOT[codigo],tblTiposOT[clasificacion],"sin_clasificar"))</f>
        <v/>
      </c>
      <c r="V7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6" s="5">
        <f>IF(tblOrdenes[[#This Row],[centro_costo]]="","",_xlfn.XLOOKUP(tblOrdenes[[#This Row],[centro_costo]],tblCECO[codigo],tblCECO[linea],"(sin catálogo)"))</f>
        <v/>
      </c>
      <c r="X766" s="5">
        <f>IF(tblOrdenes[[#This Row],[centro_costo]]="","",_xlfn.XLOOKUP(tblOrdenes[[#This Row],[centro_costo]],tblCECO[codigo],tblCECO[area],"(sin catálogo)"))</f>
        <v/>
      </c>
      <c r="Y7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6" s="5">
        <f>IF(tblOrdenes[[#This Row],[centro_costo]]="","",_xlfn.XLOOKUP(tblOrdenes[[#This Row],[centro_costo]],tblCECO[codigo],tblCECO[coordinador],"(sin catálogo)"))</f>
        <v/>
      </c>
      <c r="AA766" s="5">
        <f>IF(tblOrdenes[[#This Row],[puesto_trabajo]]="","",_xlfn.XLOOKUP(tblOrdenes[[#This Row],[puesto_trabajo]],tblPuestos[codigo],tblPuestos[especialidad],"(sin catálogo)"))</f>
        <v/>
      </c>
      <c r="AB766" s="5">
        <f>IF(tblOrdenes[[#This Row],[cod_actividad]]="","",_xlfn.XLOOKUP(tblOrdenes[[#This Row],[cod_actividad]],tblActividades[codigo],tblActividades[descripcion],"(sin catálogo)"))</f>
        <v/>
      </c>
      <c r="AC766" s="20">
        <f>IF(tblOrdenes[[#This Row],[fecha_inicio]]="","",TODAY()-tblOrdenes[[#This Row],[fecha_inicio]])</f>
        <v/>
      </c>
      <c r="AD7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6" s="5">
        <f>IF(tblOrdenes[[#This Row],[backlog_habiles]]="","",IF(tblOrdenes[[#This Row],[backlog_habiles]]&lt;0,"FUTURO",IF(tblOrdenes[[#This Row],[backlog_habiles]]&gt;p_dias_backlog_max,"BACKLOG","MES CORRIENTE")))</f>
        <v/>
      </c>
      <c r="AF766" s="5">
        <f>IF(tblOrdenes[[#This Row],[backlog_habiles]]="",FALSE,AND(tblOrdenes[[#This Row],[backlog_habiles]]&gt;p_dias_backlog_min,tblOrdenes[[#This Row],[backlog_habiles]]&lt;=p_dias_backlog_max))</f>
        <v/>
      </c>
      <c r="AG766" s="4" t="n"/>
      <c r="AH7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6" s="18">
        <f>IF(tblOrdenes[[#This Row],[orden]]="","",_xlfn.XLOOKUP(tblOrdenes[[#This Row],[id_operacion]],tblEjecucion[id_operacion],tblEjecucion[precio],0))</f>
        <v/>
      </c>
      <c r="AL766" s="18">
        <f>IF(tblOrdenes[[#This Row],[orden]]="","",MAX(0,_xlfn.XLOOKUP(tblOrdenes[[#This Row],[id_operacion]],tblEjecucion[id_operacion],tblEjecucion[costo_plan_total],0)-tblOrdenes[[#This Row],[costo_servicio]]))</f>
        <v/>
      </c>
      <c r="AM766" s="18">
        <f>IF(tblOrdenes[[#This Row],[orden]]="","",tblOrdenes[[#This Row],[costo_servicio]]+tblOrdenes[[#This Row],[costo_materiales]])</f>
        <v/>
      </c>
      <c r="AN7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6" s="4" t="n"/>
      <c r="AP766" s="4" t="n"/>
      <c r="AQ766" s="4" t="n"/>
      <c r="AR766" s="5">
        <f>IF(tblOrdenes[[#This Row],[link_checklist]]="","",HYPERLINK(p_ruta_base_checklists&amp;tblOrdenes[[#This Row],[link_checklist]],"abrir"))</f>
        <v/>
      </c>
      <c r="AS766" s="4" t="n"/>
      <c r="AT766" s="5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22" t="n"/>
      <c r="K767" s="5" t="n"/>
      <c r="L767" s="18" t="n"/>
      <c r="M7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5">
        <f>IF(tblOrdenes[[#This Row],[fecha_inicio]]="","",YEAR(tblOrdenes[[#This Row],[fecha_inicio]]))</f>
        <v/>
      </c>
      <c r="Q767" s="5">
        <f>IF(tblOrdenes[[#This Row],[fecha_inicio]]="","",MONTH(tblOrdenes[[#This Row],[fecha_inicio]]))</f>
        <v/>
      </c>
      <c r="R767" s="5">
        <f>IF(tblOrdenes[[#This Row],[fecha_inicio]]="","",tblOrdenes[[#This Row],[anio]]&amp;"-"&amp;TEXT(tblOrdenes[[#This Row],[mes]],"00"))</f>
        <v/>
      </c>
      <c r="S767" s="5">
        <f>IF(tblOrdenes[[#This Row],[fecha_inicio]]="","",INDEX(lista_dias,WEEKDAY(tblOrdenes[[#This Row],[fecha_inicio]],2)))</f>
        <v/>
      </c>
      <c r="T7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7" s="5">
        <f>IF(tblOrdenes[[#This Row],[tipo_ot]]="","",_xlfn.XLOOKUP(tblOrdenes[[#This Row],[tipo_ot]],tblTiposOT[codigo],tblTiposOT[clasificacion],"sin_clasificar"))</f>
        <v/>
      </c>
      <c r="V7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7" s="5">
        <f>IF(tblOrdenes[[#This Row],[centro_costo]]="","",_xlfn.XLOOKUP(tblOrdenes[[#This Row],[centro_costo]],tblCECO[codigo],tblCECO[linea],"(sin catálogo)"))</f>
        <v/>
      </c>
      <c r="X767" s="5">
        <f>IF(tblOrdenes[[#This Row],[centro_costo]]="","",_xlfn.XLOOKUP(tblOrdenes[[#This Row],[centro_costo]],tblCECO[codigo],tblCECO[area],"(sin catálogo)"))</f>
        <v/>
      </c>
      <c r="Y7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7" s="5">
        <f>IF(tblOrdenes[[#This Row],[centro_costo]]="","",_xlfn.XLOOKUP(tblOrdenes[[#This Row],[centro_costo]],tblCECO[codigo],tblCECO[coordinador],"(sin catálogo)"))</f>
        <v/>
      </c>
      <c r="AA767" s="5">
        <f>IF(tblOrdenes[[#This Row],[puesto_trabajo]]="","",_xlfn.XLOOKUP(tblOrdenes[[#This Row],[puesto_trabajo]],tblPuestos[codigo],tblPuestos[especialidad],"(sin catálogo)"))</f>
        <v/>
      </c>
      <c r="AB767" s="5">
        <f>IF(tblOrdenes[[#This Row],[cod_actividad]]="","",_xlfn.XLOOKUP(tblOrdenes[[#This Row],[cod_actividad]],tblActividades[codigo],tblActividades[descripcion],"(sin catálogo)"))</f>
        <v/>
      </c>
      <c r="AC767" s="20">
        <f>IF(tblOrdenes[[#This Row],[fecha_inicio]]="","",TODAY()-tblOrdenes[[#This Row],[fecha_inicio]])</f>
        <v/>
      </c>
      <c r="AD7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7" s="5">
        <f>IF(tblOrdenes[[#This Row],[backlog_habiles]]="","",IF(tblOrdenes[[#This Row],[backlog_habiles]]&lt;0,"FUTURO",IF(tblOrdenes[[#This Row],[backlog_habiles]]&gt;p_dias_backlog_max,"BACKLOG","MES CORRIENTE")))</f>
        <v/>
      </c>
      <c r="AF767" s="5">
        <f>IF(tblOrdenes[[#This Row],[backlog_habiles]]="",FALSE,AND(tblOrdenes[[#This Row],[backlog_habiles]]&gt;p_dias_backlog_min,tblOrdenes[[#This Row],[backlog_habiles]]&lt;=p_dias_backlog_max))</f>
        <v/>
      </c>
      <c r="AG767" s="4" t="n"/>
      <c r="AH7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7" s="18">
        <f>IF(tblOrdenes[[#This Row],[orden]]="","",_xlfn.XLOOKUP(tblOrdenes[[#This Row],[id_operacion]],tblEjecucion[id_operacion],tblEjecucion[precio],0))</f>
        <v/>
      </c>
      <c r="AL767" s="18">
        <f>IF(tblOrdenes[[#This Row],[orden]]="","",MAX(0,_xlfn.XLOOKUP(tblOrdenes[[#This Row],[id_operacion]],tblEjecucion[id_operacion],tblEjecucion[costo_plan_total],0)-tblOrdenes[[#This Row],[costo_servicio]]))</f>
        <v/>
      </c>
      <c r="AM767" s="18">
        <f>IF(tblOrdenes[[#This Row],[orden]]="","",tblOrdenes[[#This Row],[costo_servicio]]+tblOrdenes[[#This Row],[costo_materiales]])</f>
        <v/>
      </c>
      <c r="AN7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7" s="4" t="n"/>
      <c r="AP767" s="4" t="n"/>
      <c r="AQ767" s="4" t="n"/>
      <c r="AR767" s="5">
        <f>IF(tblOrdenes[[#This Row],[link_checklist]]="","",HYPERLINK(p_ruta_base_checklists&amp;tblOrdenes[[#This Row],[link_checklist]],"abrir"))</f>
        <v/>
      </c>
      <c r="AS767" s="4" t="n"/>
      <c r="AT767" s="5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22" t="n"/>
      <c r="K768" s="5" t="n"/>
      <c r="L768" s="18" t="n"/>
      <c r="M7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5">
        <f>IF(tblOrdenes[[#This Row],[fecha_inicio]]="","",YEAR(tblOrdenes[[#This Row],[fecha_inicio]]))</f>
        <v/>
      </c>
      <c r="Q768" s="5">
        <f>IF(tblOrdenes[[#This Row],[fecha_inicio]]="","",MONTH(tblOrdenes[[#This Row],[fecha_inicio]]))</f>
        <v/>
      </c>
      <c r="R768" s="5">
        <f>IF(tblOrdenes[[#This Row],[fecha_inicio]]="","",tblOrdenes[[#This Row],[anio]]&amp;"-"&amp;TEXT(tblOrdenes[[#This Row],[mes]],"00"))</f>
        <v/>
      </c>
      <c r="S768" s="5">
        <f>IF(tblOrdenes[[#This Row],[fecha_inicio]]="","",INDEX(lista_dias,WEEKDAY(tblOrdenes[[#This Row],[fecha_inicio]],2)))</f>
        <v/>
      </c>
      <c r="T7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8" s="5">
        <f>IF(tblOrdenes[[#This Row],[tipo_ot]]="","",_xlfn.XLOOKUP(tblOrdenes[[#This Row],[tipo_ot]],tblTiposOT[codigo],tblTiposOT[clasificacion],"sin_clasificar"))</f>
        <v/>
      </c>
      <c r="V7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8" s="5">
        <f>IF(tblOrdenes[[#This Row],[centro_costo]]="","",_xlfn.XLOOKUP(tblOrdenes[[#This Row],[centro_costo]],tblCECO[codigo],tblCECO[linea],"(sin catálogo)"))</f>
        <v/>
      </c>
      <c r="X768" s="5">
        <f>IF(tblOrdenes[[#This Row],[centro_costo]]="","",_xlfn.XLOOKUP(tblOrdenes[[#This Row],[centro_costo]],tblCECO[codigo],tblCECO[area],"(sin catálogo)"))</f>
        <v/>
      </c>
      <c r="Y7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8" s="5">
        <f>IF(tblOrdenes[[#This Row],[centro_costo]]="","",_xlfn.XLOOKUP(tblOrdenes[[#This Row],[centro_costo]],tblCECO[codigo],tblCECO[coordinador],"(sin catálogo)"))</f>
        <v/>
      </c>
      <c r="AA768" s="5">
        <f>IF(tblOrdenes[[#This Row],[puesto_trabajo]]="","",_xlfn.XLOOKUP(tblOrdenes[[#This Row],[puesto_trabajo]],tblPuestos[codigo],tblPuestos[especialidad],"(sin catálogo)"))</f>
        <v/>
      </c>
      <c r="AB768" s="5">
        <f>IF(tblOrdenes[[#This Row],[cod_actividad]]="","",_xlfn.XLOOKUP(tblOrdenes[[#This Row],[cod_actividad]],tblActividades[codigo],tblActividades[descripcion],"(sin catálogo)"))</f>
        <v/>
      </c>
      <c r="AC768" s="20">
        <f>IF(tblOrdenes[[#This Row],[fecha_inicio]]="","",TODAY()-tblOrdenes[[#This Row],[fecha_inicio]])</f>
        <v/>
      </c>
      <c r="AD7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8" s="5">
        <f>IF(tblOrdenes[[#This Row],[backlog_habiles]]="","",IF(tblOrdenes[[#This Row],[backlog_habiles]]&lt;0,"FUTURO",IF(tblOrdenes[[#This Row],[backlog_habiles]]&gt;p_dias_backlog_max,"BACKLOG","MES CORRIENTE")))</f>
        <v/>
      </c>
      <c r="AF768" s="5">
        <f>IF(tblOrdenes[[#This Row],[backlog_habiles]]="",FALSE,AND(tblOrdenes[[#This Row],[backlog_habiles]]&gt;p_dias_backlog_min,tblOrdenes[[#This Row],[backlog_habiles]]&lt;=p_dias_backlog_max))</f>
        <v/>
      </c>
      <c r="AG768" s="4" t="n"/>
      <c r="AH7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8" s="18">
        <f>IF(tblOrdenes[[#This Row],[orden]]="","",_xlfn.XLOOKUP(tblOrdenes[[#This Row],[id_operacion]],tblEjecucion[id_operacion],tblEjecucion[precio],0))</f>
        <v/>
      </c>
      <c r="AL768" s="18">
        <f>IF(tblOrdenes[[#This Row],[orden]]="","",MAX(0,_xlfn.XLOOKUP(tblOrdenes[[#This Row],[id_operacion]],tblEjecucion[id_operacion],tblEjecucion[costo_plan_total],0)-tblOrdenes[[#This Row],[costo_servicio]]))</f>
        <v/>
      </c>
      <c r="AM768" s="18">
        <f>IF(tblOrdenes[[#This Row],[orden]]="","",tblOrdenes[[#This Row],[costo_servicio]]+tblOrdenes[[#This Row],[costo_materiales]])</f>
        <v/>
      </c>
      <c r="AN7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8" s="4" t="n"/>
      <c r="AP768" s="4" t="n"/>
      <c r="AQ768" s="4" t="n"/>
      <c r="AR768" s="5">
        <f>IF(tblOrdenes[[#This Row],[link_checklist]]="","",HYPERLINK(p_ruta_base_checklists&amp;tblOrdenes[[#This Row],[link_checklist]],"abrir"))</f>
        <v/>
      </c>
      <c r="AS768" s="4" t="n"/>
      <c r="AT768" s="5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22" t="n"/>
      <c r="K769" s="5" t="n"/>
      <c r="L769" s="18" t="n"/>
      <c r="M7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5">
        <f>IF(tblOrdenes[[#This Row],[fecha_inicio]]="","",YEAR(tblOrdenes[[#This Row],[fecha_inicio]]))</f>
        <v/>
      </c>
      <c r="Q769" s="5">
        <f>IF(tblOrdenes[[#This Row],[fecha_inicio]]="","",MONTH(tblOrdenes[[#This Row],[fecha_inicio]]))</f>
        <v/>
      </c>
      <c r="R769" s="5">
        <f>IF(tblOrdenes[[#This Row],[fecha_inicio]]="","",tblOrdenes[[#This Row],[anio]]&amp;"-"&amp;TEXT(tblOrdenes[[#This Row],[mes]],"00"))</f>
        <v/>
      </c>
      <c r="S769" s="5">
        <f>IF(tblOrdenes[[#This Row],[fecha_inicio]]="","",INDEX(lista_dias,WEEKDAY(tblOrdenes[[#This Row],[fecha_inicio]],2)))</f>
        <v/>
      </c>
      <c r="T7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9" s="5">
        <f>IF(tblOrdenes[[#This Row],[tipo_ot]]="","",_xlfn.XLOOKUP(tblOrdenes[[#This Row],[tipo_ot]],tblTiposOT[codigo],tblTiposOT[clasificacion],"sin_clasificar"))</f>
        <v/>
      </c>
      <c r="V7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9" s="5">
        <f>IF(tblOrdenes[[#This Row],[centro_costo]]="","",_xlfn.XLOOKUP(tblOrdenes[[#This Row],[centro_costo]],tblCECO[codigo],tblCECO[linea],"(sin catálogo)"))</f>
        <v/>
      </c>
      <c r="X769" s="5">
        <f>IF(tblOrdenes[[#This Row],[centro_costo]]="","",_xlfn.XLOOKUP(tblOrdenes[[#This Row],[centro_costo]],tblCECO[codigo],tblCECO[area],"(sin catálogo)"))</f>
        <v/>
      </c>
      <c r="Y7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69" s="5">
        <f>IF(tblOrdenes[[#This Row],[centro_costo]]="","",_xlfn.XLOOKUP(tblOrdenes[[#This Row],[centro_costo]],tblCECO[codigo],tblCECO[coordinador],"(sin catálogo)"))</f>
        <v/>
      </c>
      <c r="AA769" s="5">
        <f>IF(tblOrdenes[[#This Row],[puesto_trabajo]]="","",_xlfn.XLOOKUP(tblOrdenes[[#This Row],[puesto_trabajo]],tblPuestos[codigo],tblPuestos[especialidad],"(sin catálogo)"))</f>
        <v/>
      </c>
      <c r="AB769" s="5">
        <f>IF(tblOrdenes[[#This Row],[cod_actividad]]="","",_xlfn.XLOOKUP(tblOrdenes[[#This Row],[cod_actividad]],tblActividades[codigo],tblActividades[descripcion],"(sin catálogo)"))</f>
        <v/>
      </c>
      <c r="AC769" s="20">
        <f>IF(tblOrdenes[[#This Row],[fecha_inicio]]="","",TODAY()-tblOrdenes[[#This Row],[fecha_inicio]])</f>
        <v/>
      </c>
      <c r="AD7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69" s="5">
        <f>IF(tblOrdenes[[#This Row],[backlog_habiles]]="","",IF(tblOrdenes[[#This Row],[backlog_habiles]]&lt;0,"FUTURO",IF(tblOrdenes[[#This Row],[backlog_habiles]]&gt;p_dias_backlog_max,"BACKLOG","MES CORRIENTE")))</f>
        <v/>
      </c>
      <c r="AF769" s="5">
        <f>IF(tblOrdenes[[#This Row],[backlog_habiles]]="",FALSE,AND(tblOrdenes[[#This Row],[backlog_habiles]]&gt;p_dias_backlog_min,tblOrdenes[[#This Row],[backlog_habiles]]&lt;=p_dias_backlog_max))</f>
        <v/>
      </c>
      <c r="AG769" s="4" t="n"/>
      <c r="AH7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69" s="18">
        <f>IF(tblOrdenes[[#This Row],[orden]]="","",_xlfn.XLOOKUP(tblOrdenes[[#This Row],[id_operacion]],tblEjecucion[id_operacion],tblEjecucion[precio],0))</f>
        <v/>
      </c>
      <c r="AL769" s="18">
        <f>IF(tblOrdenes[[#This Row],[orden]]="","",MAX(0,_xlfn.XLOOKUP(tblOrdenes[[#This Row],[id_operacion]],tblEjecucion[id_operacion],tblEjecucion[costo_plan_total],0)-tblOrdenes[[#This Row],[costo_servicio]]))</f>
        <v/>
      </c>
      <c r="AM769" s="18">
        <f>IF(tblOrdenes[[#This Row],[orden]]="","",tblOrdenes[[#This Row],[costo_servicio]]+tblOrdenes[[#This Row],[costo_materiales]])</f>
        <v/>
      </c>
      <c r="AN7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69" s="4" t="n"/>
      <c r="AP769" s="4" t="n"/>
      <c r="AQ769" s="4" t="n"/>
      <c r="AR769" s="5">
        <f>IF(tblOrdenes[[#This Row],[link_checklist]]="","",HYPERLINK(p_ruta_base_checklists&amp;tblOrdenes[[#This Row],[link_checklist]],"abrir"))</f>
        <v/>
      </c>
      <c r="AS769" s="4" t="n"/>
      <c r="AT769" s="5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22" t="n"/>
      <c r="K770" s="5" t="n"/>
      <c r="L770" s="18" t="n"/>
      <c r="M7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5">
        <f>IF(tblOrdenes[[#This Row],[fecha_inicio]]="","",YEAR(tblOrdenes[[#This Row],[fecha_inicio]]))</f>
        <v/>
      </c>
      <c r="Q770" s="5">
        <f>IF(tblOrdenes[[#This Row],[fecha_inicio]]="","",MONTH(tblOrdenes[[#This Row],[fecha_inicio]]))</f>
        <v/>
      </c>
      <c r="R770" s="5">
        <f>IF(tblOrdenes[[#This Row],[fecha_inicio]]="","",tblOrdenes[[#This Row],[anio]]&amp;"-"&amp;TEXT(tblOrdenes[[#This Row],[mes]],"00"))</f>
        <v/>
      </c>
      <c r="S770" s="5">
        <f>IF(tblOrdenes[[#This Row],[fecha_inicio]]="","",INDEX(lista_dias,WEEKDAY(tblOrdenes[[#This Row],[fecha_inicio]],2)))</f>
        <v/>
      </c>
      <c r="T7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0" s="5">
        <f>IF(tblOrdenes[[#This Row],[tipo_ot]]="","",_xlfn.XLOOKUP(tblOrdenes[[#This Row],[tipo_ot]],tblTiposOT[codigo],tblTiposOT[clasificacion],"sin_clasificar"))</f>
        <v/>
      </c>
      <c r="V7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0" s="5">
        <f>IF(tblOrdenes[[#This Row],[centro_costo]]="","",_xlfn.XLOOKUP(tblOrdenes[[#This Row],[centro_costo]],tblCECO[codigo],tblCECO[linea],"(sin catálogo)"))</f>
        <v/>
      </c>
      <c r="X770" s="5">
        <f>IF(tblOrdenes[[#This Row],[centro_costo]]="","",_xlfn.XLOOKUP(tblOrdenes[[#This Row],[centro_costo]],tblCECO[codigo],tblCECO[area],"(sin catálogo)"))</f>
        <v/>
      </c>
      <c r="Y7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0" s="5">
        <f>IF(tblOrdenes[[#This Row],[centro_costo]]="","",_xlfn.XLOOKUP(tblOrdenes[[#This Row],[centro_costo]],tblCECO[codigo],tblCECO[coordinador],"(sin catálogo)"))</f>
        <v/>
      </c>
      <c r="AA770" s="5">
        <f>IF(tblOrdenes[[#This Row],[puesto_trabajo]]="","",_xlfn.XLOOKUP(tblOrdenes[[#This Row],[puesto_trabajo]],tblPuestos[codigo],tblPuestos[especialidad],"(sin catálogo)"))</f>
        <v/>
      </c>
      <c r="AB770" s="5">
        <f>IF(tblOrdenes[[#This Row],[cod_actividad]]="","",_xlfn.XLOOKUP(tblOrdenes[[#This Row],[cod_actividad]],tblActividades[codigo],tblActividades[descripcion],"(sin catálogo)"))</f>
        <v/>
      </c>
      <c r="AC770" s="20">
        <f>IF(tblOrdenes[[#This Row],[fecha_inicio]]="","",TODAY()-tblOrdenes[[#This Row],[fecha_inicio]])</f>
        <v/>
      </c>
      <c r="AD7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0" s="5">
        <f>IF(tblOrdenes[[#This Row],[backlog_habiles]]="","",IF(tblOrdenes[[#This Row],[backlog_habiles]]&lt;0,"FUTURO",IF(tblOrdenes[[#This Row],[backlog_habiles]]&gt;p_dias_backlog_max,"BACKLOG","MES CORRIENTE")))</f>
        <v/>
      </c>
      <c r="AF770" s="5">
        <f>IF(tblOrdenes[[#This Row],[backlog_habiles]]="",FALSE,AND(tblOrdenes[[#This Row],[backlog_habiles]]&gt;p_dias_backlog_min,tblOrdenes[[#This Row],[backlog_habiles]]&lt;=p_dias_backlog_max))</f>
        <v/>
      </c>
      <c r="AG770" s="4" t="n"/>
      <c r="AH7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0" s="18">
        <f>IF(tblOrdenes[[#This Row],[orden]]="","",_xlfn.XLOOKUP(tblOrdenes[[#This Row],[id_operacion]],tblEjecucion[id_operacion],tblEjecucion[precio],0))</f>
        <v/>
      </c>
      <c r="AL770" s="18">
        <f>IF(tblOrdenes[[#This Row],[orden]]="","",MAX(0,_xlfn.XLOOKUP(tblOrdenes[[#This Row],[id_operacion]],tblEjecucion[id_operacion],tblEjecucion[costo_plan_total],0)-tblOrdenes[[#This Row],[costo_servicio]]))</f>
        <v/>
      </c>
      <c r="AM770" s="18">
        <f>IF(tblOrdenes[[#This Row],[orden]]="","",tblOrdenes[[#This Row],[costo_servicio]]+tblOrdenes[[#This Row],[costo_materiales]])</f>
        <v/>
      </c>
      <c r="AN7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0" s="4" t="n"/>
      <c r="AP770" s="4" t="n"/>
      <c r="AQ770" s="4" t="n"/>
      <c r="AR770" s="5">
        <f>IF(tblOrdenes[[#This Row],[link_checklist]]="","",HYPERLINK(p_ruta_base_checklists&amp;tblOrdenes[[#This Row],[link_checklist]],"abrir"))</f>
        <v/>
      </c>
      <c r="AS770" s="4" t="n"/>
      <c r="AT770" s="5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22" t="n"/>
      <c r="K771" s="5" t="n"/>
      <c r="L771" s="18" t="n"/>
      <c r="M7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5">
        <f>IF(tblOrdenes[[#This Row],[fecha_inicio]]="","",YEAR(tblOrdenes[[#This Row],[fecha_inicio]]))</f>
        <v/>
      </c>
      <c r="Q771" s="5">
        <f>IF(tblOrdenes[[#This Row],[fecha_inicio]]="","",MONTH(tblOrdenes[[#This Row],[fecha_inicio]]))</f>
        <v/>
      </c>
      <c r="R771" s="5">
        <f>IF(tblOrdenes[[#This Row],[fecha_inicio]]="","",tblOrdenes[[#This Row],[anio]]&amp;"-"&amp;TEXT(tblOrdenes[[#This Row],[mes]],"00"))</f>
        <v/>
      </c>
      <c r="S771" s="5">
        <f>IF(tblOrdenes[[#This Row],[fecha_inicio]]="","",INDEX(lista_dias,WEEKDAY(tblOrdenes[[#This Row],[fecha_inicio]],2)))</f>
        <v/>
      </c>
      <c r="T7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1" s="5">
        <f>IF(tblOrdenes[[#This Row],[tipo_ot]]="","",_xlfn.XLOOKUP(tblOrdenes[[#This Row],[tipo_ot]],tblTiposOT[codigo],tblTiposOT[clasificacion],"sin_clasificar"))</f>
        <v/>
      </c>
      <c r="V7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1" s="5">
        <f>IF(tblOrdenes[[#This Row],[centro_costo]]="","",_xlfn.XLOOKUP(tblOrdenes[[#This Row],[centro_costo]],tblCECO[codigo],tblCECO[linea],"(sin catálogo)"))</f>
        <v/>
      </c>
      <c r="X771" s="5">
        <f>IF(tblOrdenes[[#This Row],[centro_costo]]="","",_xlfn.XLOOKUP(tblOrdenes[[#This Row],[centro_costo]],tblCECO[codigo],tblCECO[area],"(sin catálogo)"))</f>
        <v/>
      </c>
      <c r="Y7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1" s="5">
        <f>IF(tblOrdenes[[#This Row],[centro_costo]]="","",_xlfn.XLOOKUP(tblOrdenes[[#This Row],[centro_costo]],tblCECO[codigo],tblCECO[coordinador],"(sin catálogo)"))</f>
        <v/>
      </c>
      <c r="AA771" s="5">
        <f>IF(tblOrdenes[[#This Row],[puesto_trabajo]]="","",_xlfn.XLOOKUP(tblOrdenes[[#This Row],[puesto_trabajo]],tblPuestos[codigo],tblPuestos[especialidad],"(sin catálogo)"))</f>
        <v/>
      </c>
      <c r="AB771" s="5">
        <f>IF(tblOrdenes[[#This Row],[cod_actividad]]="","",_xlfn.XLOOKUP(tblOrdenes[[#This Row],[cod_actividad]],tblActividades[codigo],tblActividades[descripcion],"(sin catálogo)"))</f>
        <v/>
      </c>
      <c r="AC771" s="20">
        <f>IF(tblOrdenes[[#This Row],[fecha_inicio]]="","",TODAY()-tblOrdenes[[#This Row],[fecha_inicio]])</f>
        <v/>
      </c>
      <c r="AD7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1" s="5">
        <f>IF(tblOrdenes[[#This Row],[backlog_habiles]]="","",IF(tblOrdenes[[#This Row],[backlog_habiles]]&lt;0,"FUTURO",IF(tblOrdenes[[#This Row],[backlog_habiles]]&gt;p_dias_backlog_max,"BACKLOG","MES CORRIENTE")))</f>
        <v/>
      </c>
      <c r="AF771" s="5">
        <f>IF(tblOrdenes[[#This Row],[backlog_habiles]]="",FALSE,AND(tblOrdenes[[#This Row],[backlog_habiles]]&gt;p_dias_backlog_min,tblOrdenes[[#This Row],[backlog_habiles]]&lt;=p_dias_backlog_max))</f>
        <v/>
      </c>
      <c r="AG771" s="4" t="n"/>
      <c r="AH7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1" s="18">
        <f>IF(tblOrdenes[[#This Row],[orden]]="","",_xlfn.XLOOKUP(tblOrdenes[[#This Row],[id_operacion]],tblEjecucion[id_operacion],tblEjecucion[precio],0))</f>
        <v/>
      </c>
      <c r="AL771" s="18">
        <f>IF(tblOrdenes[[#This Row],[orden]]="","",MAX(0,_xlfn.XLOOKUP(tblOrdenes[[#This Row],[id_operacion]],tblEjecucion[id_operacion],tblEjecucion[costo_plan_total],0)-tblOrdenes[[#This Row],[costo_servicio]]))</f>
        <v/>
      </c>
      <c r="AM771" s="18">
        <f>IF(tblOrdenes[[#This Row],[orden]]="","",tblOrdenes[[#This Row],[costo_servicio]]+tblOrdenes[[#This Row],[costo_materiales]])</f>
        <v/>
      </c>
      <c r="AN7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1" s="4" t="n"/>
      <c r="AP771" s="4" t="n"/>
      <c r="AQ771" s="4" t="n"/>
      <c r="AR771" s="5">
        <f>IF(tblOrdenes[[#This Row],[link_checklist]]="","",HYPERLINK(p_ruta_base_checklists&amp;tblOrdenes[[#This Row],[link_checklist]],"abrir"))</f>
        <v/>
      </c>
      <c r="AS771" s="4" t="n"/>
      <c r="AT771" s="5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22" t="n"/>
      <c r="K772" s="5" t="n"/>
      <c r="L772" s="18" t="n"/>
      <c r="M7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5">
        <f>IF(tblOrdenes[[#This Row],[fecha_inicio]]="","",YEAR(tblOrdenes[[#This Row],[fecha_inicio]]))</f>
        <v/>
      </c>
      <c r="Q772" s="5">
        <f>IF(tblOrdenes[[#This Row],[fecha_inicio]]="","",MONTH(tblOrdenes[[#This Row],[fecha_inicio]]))</f>
        <v/>
      </c>
      <c r="R772" s="5">
        <f>IF(tblOrdenes[[#This Row],[fecha_inicio]]="","",tblOrdenes[[#This Row],[anio]]&amp;"-"&amp;TEXT(tblOrdenes[[#This Row],[mes]],"00"))</f>
        <v/>
      </c>
      <c r="S772" s="5">
        <f>IF(tblOrdenes[[#This Row],[fecha_inicio]]="","",INDEX(lista_dias,WEEKDAY(tblOrdenes[[#This Row],[fecha_inicio]],2)))</f>
        <v/>
      </c>
      <c r="T7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2" s="5">
        <f>IF(tblOrdenes[[#This Row],[tipo_ot]]="","",_xlfn.XLOOKUP(tblOrdenes[[#This Row],[tipo_ot]],tblTiposOT[codigo],tblTiposOT[clasificacion],"sin_clasificar"))</f>
        <v/>
      </c>
      <c r="V7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2" s="5">
        <f>IF(tblOrdenes[[#This Row],[centro_costo]]="","",_xlfn.XLOOKUP(tblOrdenes[[#This Row],[centro_costo]],tblCECO[codigo],tblCECO[linea],"(sin catálogo)"))</f>
        <v/>
      </c>
      <c r="X772" s="5">
        <f>IF(tblOrdenes[[#This Row],[centro_costo]]="","",_xlfn.XLOOKUP(tblOrdenes[[#This Row],[centro_costo]],tblCECO[codigo],tblCECO[area],"(sin catálogo)"))</f>
        <v/>
      </c>
      <c r="Y7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2" s="5">
        <f>IF(tblOrdenes[[#This Row],[centro_costo]]="","",_xlfn.XLOOKUP(tblOrdenes[[#This Row],[centro_costo]],tblCECO[codigo],tblCECO[coordinador],"(sin catálogo)"))</f>
        <v/>
      </c>
      <c r="AA772" s="5">
        <f>IF(tblOrdenes[[#This Row],[puesto_trabajo]]="","",_xlfn.XLOOKUP(tblOrdenes[[#This Row],[puesto_trabajo]],tblPuestos[codigo],tblPuestos[especialidad],"(sin catálogo)"))</f>
        <v/>
      </c>
      <c r="AB772" s="5">
        <f>IF(tblOrdenes[[#This Row],[cod_actividad]]="","",_xlfn.XLOOKUP(tblOrdenes[[#This Row],[cod_actividad]],tblActividades[codigo],tblActividades[descripcion],"(sin catálogo)"))</f>
        <v/>
      </c>
      <c r="AC772" s="20">
        <f>IF(tblOrdenes[[#This Row],[fecha_inicio]]="","",TODAY()-tblOrdenes[[#This Row],[fecha_inicio]])</f>
        <v/>
      </c>
      <c r="AD7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2" s="5">
        <f>IF(tblOrdenes[[#This Row],[backlog_habiles]]="","",IF(tblOrdenes[[#This Row],[backlog_habiles]]&lt;0,"FUTURO",IF(tblOrdenes[[#This Row],[backlog_habiles]]&gt;p_dias_backlog_max,"BACKLOG","MES CORRIENTE")))</f>
        <v/>
      </c>
      <c r="AF772" s="5">
        <f>IF(tblOrdenes[[#This Row],[backlog_habiles]]="",FALSE,AND(tblOrdenes[[#This Row],[backlog_habiles]]&gt;p_dias_backlog_min,tblOrdenes[[#This Row],[backlog_habiles]]&lt;=p_dias_backlog_max))</f>
        <v/>
      </c>
      <c r="AG772" s="4" t="n"/>
      <c r="AH7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2" s="18">
        <f>IF(tblOrdenes[[#This Row],[orden]]="","",_xlfn.XLOOKUP(tblOrdenes[[#This Row],[id_operacion]],tblEjecucion[id_operacion],tblEjecucion[precio],0))</f>
        <v/>
      </c>
      <c r="AL772" s="18">
        <f>IF(tblOrdenes[[#This Row],[orden]]="","",MAX(0,_xlfn.XLOOKUP(tblOrdenes[[#This Row],[id_operacion]],tblEjecucion[id_operacion],tblEjecucion[costo_plan_total],0)-tblOrdenes[[#This Row],[costo_servicio]]))</f>
        <v/>
      </c>
      <c r="AM772" s="18">
        <f>IF(tblOrdenes[[#This Row],[orden]]="","",tblOrdenes[[#This Row],[costo_servicio]]+tblOrdenes[[#This Row],[costo_materiales]])</f>
        <v/>
      </c>
      <c r="AN7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2" s="4" t="n"/>
      <c r="AP772" s="4" t="n"/>
      <c r="AQ772" s="4" t="n"/>
      <c r="AR772" s="5">
        <f>IF(tblOrdenes[[#This Row],[link_checklist]]="","",HYPERLINK(p_ruta_base_checklists&amp;tblOrdenes[[#This Row],[link_checklist]],"abrir"))</f>
        <v/>
      </c>
      <c r="AS772" s="4" t="n"/>
      <c r="AT772" s="5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22" t="n"/>
      <c r="K773" s="5" t="n"/>
      <c r="L773" s="18" t="n"/>
      <c r="M7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5">
        <f>IF(tblOrdenes[[#This Row],[fecha_inicio]]="","",YEAR(tblOrdenes[[#This Row],[fecha_inicio]]))</f>
        <v/>
      </c>
      <c r="Q773" s="5">
        <f>IF(tblOrdenes[[#This Row],[fecha_inicio]]="","",MONTH(tblOrdenes[[#This Row],[fecha_inicio]]))</f>
        <v/>
      </c>
      <c r="R773" s="5">
        <f>IF(tblOrdenes[[#This Row],[fecha_inicio]]="","",tblOrdenes[[#This Row],[anio]]&amp;"-"&amp;TEXT(tblOrdenes[[#This Row],[mes]],"00"))</f>
        <v/>
      </c>
      <c r="S773" s="5">
        <f>IF(tblOrdenes[[#This Row],[fecha_inicio]]="","",INDEX(lista_dias,WEEKDAY(tblOrdenes[[#This Row],[fecha_inicio]],2)))</f>
        <v/>
      </c>
      <c r="T7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3" s="5">
        <f>IF(tblOrdenes[[#This Row],[tipo_ot]]="","",_xlfn.XLOOKUP(tblOrdenes[[#This Row],[tipo_ot]],tblTiposOT[codigo],tblTiposOT[clasificacion],"sin_clasificar"))</f>
        <v/>
      </c>
      <c r="V7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3" s="5">
        <f>IF(tblOrdenes[[#This Row],[centro_costo]]="","",_xlfn.XLOOKUP(tblOrdenes[[#This Row],[centro_costo]],tblCECO[codigo],tblCECO[linea],"(sin catálogo)"))</f>
        <v/>
      </c>
      <c r="X773" s="5">
        <f>IF(tblOrdenes[[#This Row],[centro_costo]]="","",_xlfn.XLOOKUP(tblOrdenes[[#This Row],[centro_costo]],tblCECO[codigo],tblCECO[area],"(sin catálogo)"))</f>
        <v/>
      </c>
      <c r="Y7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3" s="5">
        <f>IF(tblOrdenes[[#This Row],[centro_costo]]="","",_xlfn.XLOOKUP(tblOrdenes[[#This Row],[centro_costo]],tblCECO[codigo],tblCECO[coordinador],"(sin catálogo)"))</f>
        <v/>
      </c>
      <c r="AA773" s="5">
        <f>IF(tblOrdenes[[#This Row],[puesto_trabajo]]="","",_xlfn.XLOOKUP(tblOrdenes[[#This Row],[puesto_trabajo]],tblPuestos[codigo],tblPuestos[especialidad],"(sin catálogo)"))</f>
        <v/>
      </c>
      <c r="AB773" s="5">
        <f>IF(tblOrdenes[[#This Row],[cod_actividad]]="","",_xlfn.XLOOKUP(tblOrdenes[[#This Row],[cod_actividad]],tblActividades[codigo],tblActividades[descripcion],"(sin catálogo)"))</f>
        <v/>
      </c>
      <c r="AC773" s="20">
        <f>IF(tblOrdenes[[#This Row],[fecha_inicio]]="","",TODAY()-tblOrdenes[[#This Row],[fecha_inicio]])</f>
        <v/>
      </c>
      <c r="AD7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3" s="5">
        <f>IF(tblOrdenes[[#This Row],[backlog_habiles]]="","",IF(tblOrdenes[[#This Row],[backlog_habiles]]&lt;0,"FUTURO",IF(tblOrdenes[[#This Row],[backlog_habiles]]&gt;p_dias_backlog_max,"BACKLOG","MES CORRIENTE")))</f>
        <v/>
      </c>
      <c r="AF773" s="5">
        <f>IF(tblOrdenes[[#This Row],[backlog_habiles]]="",FALSE,AND(tblOrdenes[[#This Row],[backlog_habiles]]&gt;p_dias_backlog_min,tblOrdenes[[#This Row],[backlog_habiles]]&lt;=p_dias_backlog_max))</f>
        <v/>
      </c>
      <c r="AG773" s="4" t="n"/>
      <c r="AH7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3" s="18">
        <f>IF(tblOrdenes[[#This Row],[orden]]="","",_xlfn.XLOOKUP(tblOrdenes[[#This Row],[id_operacion]],tblEjecucion[id_operacion],tblEjecucion[precio],0))</f>
        <v/>
      </c>
      <c r="AL773" s="18">
        <f>IF(tblOrdenes[[#This Row],[orden]]="","",MAX(0,_xlfn.XLOOKUP(tblOrdenes[[#This Row],[id_operacion]],tblEjecucion[id_operacion],tblEjecucion[costo_plan_total],0)-tblOrdenes[[#This Row],[costo_servicio]]))</f>
        <v/>
      </c>
      <c r="AM773" s="18">
        <f>IF(tblOrdenes[[#This Row],[orden]]="","",tblOrdenes[[#This Row],[costo_servicio]]+tblOrdenes[[#This Row],[costo_materiales]])</f>
        <v/>
      </c>
      <c r="AN7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3" s="4" t="n"/>
      <c r="AP773" s="4" t="n"/>
      <c r="AQ773" s="4" t="n"/>
      <c r="AR773" s="5">
        <f>IF(tblOrdenes[[#This Row],[link_checklist]]="","",HYPERLINK(p_ruta_base_checklists&amp;tblOrdenes[[#This Row],[link_checklist]],"abrir"))</f>
        <v/>
      </c>
      <c r="AS773" s="4" t="n"/>
      <c r="AT773" s="5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22" t="n"/>
      <c r="K774" s="5" t="n"/>
      <c r="L774" s="18" t="n"/>
      <c r="M7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5">
        <f>IF(tblOrdenes[[#This Row],[fecha_inicio]]="","",YEAR(tblOrdenes[[#This Row],[fecha_inicio]]))</f>
        <v/>
      </c>
      <c r="Q774" s="5">
        <f>IF(tblOrdenes[[#This Row],[fecha_inicio]]="","",MONTH(tblOrdenes[[#This Row],[fecha_inicio]]))</f>
        <v/>
      </c>
      <c r="R774" s="5">
        <f>IF(tblOrdenes[[#This Row],[fecha_inicio]]="","",tblOrdenes[[#This Row],[anio]]&amp;"-"&amp;TEXT(tblOrdenes[[#This Row],[mes]],"00"))</f>
        <v/>
      </c>
      <c r="S774" s="5">
        <f>IF(tblOrdenes[[#This Row],[fecha_inicio]]="","",INDEX(lista_dias,WEEKDAY(tblOrdenes[[#This Row],[fecha_inicio]],2)))</f>
        <v/>
      </c>
      <c r="T7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4" s="5">
        <f>IF(tblOrdenes[[#This Row],[tipo_ot]]="","",_xlfn.XLOOKUP(tblOrdenes[[#This Row],[tipo_ot]],tblTiposOT[codigo],tblTiposOT[clasificacion],"sin_clasificar"))</f>
        <v/>
      </c>
      <c r="V7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4" s="5">
        <f>IF(tblOrdenes[[#This Row],[centro_costo]]="","",_xlfn.XLOOKUP(tblOrdenes[[#This Row],[centro_costo]],tblCECO[codigo],tblCECO[linea],"(sin catálogo)"))</f>
        <v/>
      </c>
      <c r="X774" s="5">
        <f>IF(tblOrdenes[[#This Row],[centro_costo]]="","",_xlfn.XLOOKUP(tblOrdenes[[#This Row],[centro_costo]],tblCECO[codigo],tblCECO[area],"(sin catálogo)"))</f>
        <v/>
      </c>
      <c r="Y7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4" s="5">
        <f>IF(tblOrdenes[[#This Row],[centro_costo]]="","",_xlfn.XLOOKUP(tblOrdenes[[#This Row],[centro_costo]],tblCECO[codigo],tblCECO[coordinador],"(sin catálogo)"))</f>
        <v/>
      </c>
      <c r="AA774" s="5">
        <f>IF(tblOrdenes[[#This Row],[puesto_trabajo]]="","",_xlfn.XLOOKUP(tblOrdenes[[#This Row],[puesto_trabajo]],tblPuestos[codigo],tblPuestos[especialidad],"(sin catálogo)"))</f>
        <v/>
      </c>
      <c r="AB774" s="5">
        <f>IF(tblOrdenes[[#This Row],[cod_actividad]]="","",_xlfn.XLOOKUP(tblOrdenes[[#This Row],[cod_actividad]],tblActividades[codigo],tblActividades[descripcion],"(sin catálogo)"))</f>
        <v/>
      </c>
      <c r="AC774" s="20">
        <f>IF(tblOrdenes[[#This Row],[fecha_inicio]]="","",TODAY()-tblOrdenes[[#This Row],[fecha_inicio]])</f>
        <v/>
      </c>
      <c r="AD7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4" s="5">
        <f>IF(tblOrdenes[[#This Row],[backlog_habiles]]="","",IF(tblOrdenes[[#This Row],[backlog_habiles]]&lt;0,"FUTURO",IF(tblOrdenes[[#This Row],[backlog_habiles]]&gt;p_dias_backlog_max,"BACKLOG","MES CORRIENTE")))</f>
        <v/>
      </c>
      <c r="AF774" s="5">
        <f>IF(tblOrdenes[[#This Row],[backlog_habiles]]="",FALSE,AND(tblOrdenes[[#This Row],[backlog_habiles]]&gt;p_dias_backlog_min,tblOrdenes[[#This Row],[backlog_habiles]]&lt;=p_dias_backlog_max))</f>
        <v/>
      </c>
      <c r="AG774" s="4" t="n"/>
      <c r="AH7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4" s="18">
        <f>IF(tblOrdenes[[#This Row],[orden]]="","",_xlfn.XLOOKUP(tblOrdenes[[#This Row],[id_operacion]],tblEjecucion[id_operacion],tblEjecucion[precio],0))</f>
        <v/>
      </c>
      <c r="AL774" s="18">
        <f>IF(tblOrdenes[[#This Row],[orden]]="","",MAX(0,_xlfn.XLOOKUP(tblOrdenes[[#This Row],[id_operacion]],tblEjecucion[id_operacion],tblEjecucion[costo_plan_total],0)-tblOrdenes[[#This Row],[costo_servicio]]))</f>
        <v/>
      </c>
      <c r="AM774" s="18">
        <f>IF(tblOrdenes[[#This Row],[orden]]="","",tblOrdenes[[#This Row],[costo_servicio]]+tblOrdenes[[#This Row],[costo_materiales]])</f>
        <v/>
      </c>
      <c r="AN7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4" s="4" t="n"/>
      <c r="AP774" s="4" t="n"/>
      <c r="AQ774" s="4" t="n"/>
      <c r="AR774" s="5">
        <f>IF(tblOrdenes[[#This Row],[link_checklist]]="","",HYPERLINK(p_ruta_base_checklists&amp;tblOrdenes[[#This Row],[link_checklist]],"abrir"))</f>
        <v/>
      </c>
      <c r="AS774" s="4" t="n"/>
      <c r="AT774" s="5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22" t="n"/>
      <c r="K775" s="5" t="n"/>
      <c r="L775" s="18" t="n"/>
      <c r="M7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5">
        <f>IF(tblOrdenes[[#This Row],[fecha_inicio]]="","",YEAR(tblOrdenes[[#This Row],[fecha_inicio]]))</f>
        <v/>
      </c>
      <c r="Q775" s="5">
        <f>IF(tblOrdenes[[#This Row],[fecha_inicio]]="","",MONTH(tblOrdenes[[#This Row],[fecha_inicio]]))</f>
        <v/>
      </c>
      <c r="R775" s="5">
        <f>IF(tblOrdenes[[#This Row],[fecha_inicio]]="","",tblOrdenes[[#This Row],[anio]]&amp;"-"&amp;TEXT(tblOrdenes[[#This Row],[mes]],"00"))</f>
        <v/>
      </c>
      <c r="S775" s="5">
        <f>IF(tblOrdenes[[#This Row],[fecha_inicio]]="","",INDEX(lista_dias,WEEKDAY(tblOrdenes[[#This Row],[fecha_inicio]],2)))</f>
        <v/>
      </c>
      <c r="T7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5" s="5">
        <f>IF(tblOrdenes[[#This Row],[tipo_ot]]="","",_xlfn.XLOOKUP(tblOrdenes[[#This Row],[tipo_ot]],tblTiposOT[codigo],tblTiposOT[clasificacion],"sin_clasificar"))</f>
        <v/>
      </c>
      <c r="V7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5" s="5">
        <f>IF(tblOrdenes[[#This Row],[centro_costo]]="","",_xlfn.XLOOKUP(tblOrdenes[[#This Row],[centro_costo]],tblCECO[codigo],tblCECO[linea],"(sin catálogo)"))</f>
        <v/>
      </c>
      <c r="X775" s="5">
        <f>IF(tblOrdenes[[#This Row],[centro_costo]]="","",_xlfn.XLOOKUP(tblOrdenes[[#This Row],[centro_costo]],tblCECO[codigo],tblCECO[area],"(sin catálogo)"))</f>
        <v/>
      </c>
      <c r="Y7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5" s="5">
        <f>IF(tblOrdenes[[#This Row],[centro_costo]]="","",_xlfn.XLOOKUP(tblOrdenes[[#This Row],[centro_costo]],tblCECO[codigo],tblCECO[coordinador],"(sin catálogo)"))</f>
        <v/>
      </c>
      <c r="AA775" s="5">
        <f>IF(tblOrdenes[[#This Row],[puesto_trabajo]]="","",_xlfn.XLOOKUP(tblOrdenes[[#This Row],[puesto_trabajo]],tblPuestos[codigo],tblPuestos[especialidad],"(sin catálogo)"))</f>
        <v/>
      </c>
      <c r="AB775" s="5">
        <f>IF(tblOrdenes[[#This Row],[cod_actividad]]="","",_xlfn.XLOOKUP(tblOrdenes[[#This Row],[cod_actividad]],tblActividades[codigo],tblActividades[descripcion],"(sin catálogo)"))</f>
        <v/>
      </c>
      <c r="AC775" s="20">
        <f>IF(tblOrdenes[[#This Row],[fecha_inicio]]="","",TODAY()-tblOrdenes[[#This Row],[fecha_inicio]])</f>
        <v/>
      </c>
      <c r="AD7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5" s="5">
        <f>IF(tblOrdenes[[#This Row],[backlog_habiles]]="","",IF(tblOrdenes[[#This Row],[backlog_habiles]]&lt;0,"FUTURO",IF(tblOrdenes[[#This Row],[backlog_habiles]]&gt;p_dias_backlog_max,"BACKLOG","MES CORRIENTE")))</f>
        <v/>
      </c>
      <c r="AF775" s="5">
        <f>IF(tblOrdenes[[#This Row],[backlog_habiles]]="",FALSE,AND(tblOrdenes[[#This Row],[backlog_habiles]]&gt;p_dias_backlog_min,tblOrdenes[[#This Row],[backlog_habiles]]&lt;=p_dias_backlog_max))</f>
        <v/>
      </c>
      <c r="AG775" s="4" t="n"/>
      <c r="AH7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5" s="18">
        <f>IF(tblOrdenes[[#This Row],[orden]]="","",_xlfn.XLOOKUP(tblOrdenes[[#This Row],[id_operacion]],tblEjecucion[id_operacion],tblEjecucion[precio],0))</f>
        <v/>
      </c>
      <c r="AL775" s="18">
        <f>IF(tblOrdenes[[#This Row],[orden]]="","",MAX(0,_xlfn.XLOOKUP(tblOrdenes[[#This Row],[id_operacion]],tblEjecucion[id_operacion],tblEjecucion[costo_plan_total],0)-tblOrdenes[[#This Row],[costo_servicio]]))</f>
        <v/>
      </c>
      <c r="AM775" s="18">
        <f>IF(tblOrdenes[[#This Row],[orden]]="","",tblOrdenes[[#This Row],[costo_servicio]]+tblOrdenes[[#This Row],[costo_materiales]])</f>
        <v/>
      </c>
      <c r="AN7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5" s="4" t="n"/>
      <c r="AP775" s="4" t="n"/>
      <c r="AQ775" s="4" t="n"/>
      <c r="AR775" s="5">
        <f>IF(tblOrdenes[[#This Row],[link_checklist]]="","",HYPERLINK(p_ruta_base_checklists&amp;tblOrdenes[[#This Row],[link_checklist]],"abrir"))</f>
        <v/>
      </c>
      <c r="AS775" s="4" t="n"/>
      <c r="AT775" s="5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22" t="n"/>
      <c r="K776" s="5" t="n"/>
      <c r="L776" s="18" t="n"/>
      <c r="M7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5">
        <f>IF(tblOrdenes[[#This Row],[fecha_inicio]]="","",YEAR(tblOrdenes[[#This Row],[fecha_inicio]]))</f>
        <v/>
      </c>
      <c r="Q776" s="5">
        <f>IF(tblOrdenes[[#This Row],[fecha_inicio]]="","",MONTH(tblOrdenes[[#This Row],[fecha_inicio]]))</f>
        <v/>
      </c>
      <c r="R776" s="5">
        <f>IF(tblOrdenes[[#This Row],[fecha_inicio]]="","",tblOrdenes[[#This Row],[anio]]&amp;"-"&amp;TEXT(tblOrdenes[[#This Row],[mes]],"00"))</f>
        <v/>
      </c>
      <c r="S776" s="5">
        <f>IF(tblOrdenes[[#This Row],[fecha_inicio]]="","",INDEX(lista_dias,WEEKDAY(tblOrdenes[[#This Row],[fecha_inicio]],2)))</f>
        <v/>
      </c>
      <c r="T7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6" s="5">
        <f>IF(tblOrdenes[[#This Row],[tipo_ot]]="","",_xlfn.XLOOKUP(tblOrdenes[[#This Row],[tipo_ot]],tblTiposOT[codigo],tblTiposOT[clasificacion],"sin_clasificar"))</f>
        <v/>
      </c>
      <c r="V7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6" s="5">
        <f>IF(tblOrdenes[[#This Row],[centro_costo]]="","",_xlfn.XLOOKUP(tblOrdenes[[#This Row],[centro_costo]],tblCECO[codigo],tblCECO[linea],"(sin catálogo)"))</f>
        <v/>
      </c>
      <c r="X776" s="5">
        <f>IF(tblOrdenes[[#This Row],[centro_costo]]="","",_xlfn.XLOOKUP(tblOrdenes[[#This Row],[centro_costo]],tblCECO[codigo],tblCECO[area],"(sin catálogo)"))</f>
        <v/>
      </c>
      <c r="Y7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6" s="5">
        <f>IF(tblOrdenes[[#This Row],[centro_costo]]="","",_xlfn.XLOOKUP(tblOrdenes[[#This Row],[centro_costo]],tblCECO[codigo],tblCECO[coordinador],"(sin catálogo)"))</f>
        <v/>
      </c>
      <c r="AA776" s="5">
        <f>IF(tblOrdenes[[#This Row],[puesto_trabajo]]="","",_xlfn.XLOOKUP(tblOrdenes[[#This Row],[puesto_trabajo]],tblPuestos[codigo],tblPuestos[especialidad],"(sin catálogo)"))</f>
        <v/>
      </c>
      <c r="AB776" s="5">
        <f>IF(tblOrdenes[[#This Row],[cod_actividad]]="","",_xlfn.XLOOKUP(tblOrdenes[[#This Row],[cod_actividad]],tblActividades[codigo],tblActividades[descripcion],"(sin catálogo)"))</f>
        <v/>
      </c>
      <c r="AC776" s="20">
        <f>IF(tblOrdenes[[#This Row],[fecha_inicio]]="","",TODAY()-tblOrdenes[[#This Row],[fecha_inicio]])</f>
        <v/>
      </c>
      <c r="AD7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6" s="5">
        <f>IF(tblOrdenes[[#This Row],[backlog_habiles]]="","",IF(tblOrdenes[[#This Row],[backlog_habiles]]&lt;0,"FUTURO",IF(tblOrdenes[[#This Row],[backlog_habiles]]&gt;p_dias_backlog_max,"BACKLOG","MES CORRIENTE")))</f>
        <v/>
      </c>
      <c r="AF776" s="5">
        <f>IF(tblOrdenes[[#This Row],[backlog_habiles]]="",FALSE,AND(tblOrdenes[[#This Row],[backlog_habiles]]&gt;p_dias_backlog_min,tblOrdenes[[#This Row],[backlog_habiles]]&lt;=p_dias_backlog_max))</f>
        <v/>
      </c>
      <c r="AG776" s="4" t="n"/>
      <c r="AH7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6" s="18">
        <f>IF(tblOrdenes[[#This Row],[orden]]="","",_xlfn.XLOOKUP(tblOrdenes[[#This Row],[id_operacion]],tblEjecucion[id_operacion],tblEjecucion[precio],0))</f>
        <v/>
      </c>
      <c r="AL776" s="18">
        <f>IF(tblOrdenes[[#This Row],[orden]]="","",MAX(0,_xlfn.XLOOKUP(tblOrdenes[[#This Row],[id_operacion]],tblEjecucion[id_operacion],tblEjecucion[costo_plan_total],0)-tblOrdenes[[#This Row],[costo_servicio]]))</f>
        <v/>
      </c>
      <c r="AM776" s="18">
        <f>IF(tblOrdenes[[#This Row],[orden]]="","",tblOrdenes[[#This Row],[costo_servicio]]+tblOrdenes[[#This Row],[costo_materiales]])</f>
        <v/>
      </c>
      <c r="AN7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6" s="4" t="n"/>
      <c r="AP776" s="4" t="n"/>
      <c r="AQ776" s="4" t="n"/>
      <c r="AR776" s="5">
        <f>IF(tblOrdenes[[#This Row],[link_checklist]]="","",HYPERLINK(p_ruta_base_checklists&amp;tblOrdenes[[#This Row],[link_checklist]],"abrir"))</f>
        <v/>
      </c>
      <c r="AS776" s="4" t="n"/>
      <c r="AT776" s="5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22" t="n"/>
      <c r="K777" s="5" t="n"/>
      <c r="L777" s="18" t="n"/>
      <c r="M7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5">
        <f>IF(tblOrdenes[[#This Row],[fecha_inicio]]="","",YEAR(tblOrdenes[[#This Row],[fecha_inicio]]))</f>
        <v/>
      </c>
      <c r="Q777" s="5">
        <f>IF(tblOrdenes[[#This Row],[fecha_inicio]]="","",MONTH(tblOrdenes[[#This Row],[fecha_inicio]]))</f>
        <v/>
      </c>
      <c r="R777" s="5">
        <f>IF(tblOrdenes[[#This Row],[fecha_inicio]]="","",tblOrdenes[[#This Row],[anio]]&amp;"-"&amp;TEXT(tblOrdenes[[#This Row],[mes]],"00"))</f>
        <v/>
      </c>
      <c r="S777" s="5">
        <f>IF(tblOrdenes[[#This Row],[fecha_inicio]]="","",INDEX(lista_dias,WEEKDAY(tblOrdenes[[#This Row],[fecha_inicio]],2)))</f>
        <v/>
      </c>
      <c r="T7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7" s="5">
        <f>IF(tblOrdenes[[#This Row],[tipo_ot]]="","",_xlfn.XLOOKUP(tblOrdenes[[#This Row],[tipo_ot]],tblTiposOT[codigo],tblTiposOT[clasificacion],"sin_clasificar"))</f>
        <v/>
      </c>
      <c r="V7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7" s="5">
        <f>IF(tblOrdenes[[#This Row],[centro_costo]]="","",_xlfn.XLOOKUP(tblOrdenes[[#This Row],[centro_costo]],tblCECO[codigo],tblCECO[linea],"(sin catálogo)"))</f>
        <v/>
      </c>
      <c r="X777" s="5">
        <f>IF(tblOrdenes[[#This Row],[centro_costo]]="","",_xlfn.XLOOKUP(tblOrdenes[[#This Row],[centro_costo]],tblCECO[codigo],tblCECO[area],"(sin catálogo)"))</f>
        <v/>
      </c>
      <c r="Y7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7" s="5">
        <f>IF(tblOrdenes[[#This Row],[centro_costo]]="","",_xlfn.XLOOKUP(tblOrdenes[[#This Row],[centro_costo]],tblCECO[codigo],tblCECO[coordinador],"(sin catálogo)"))</f>
        <v/>
      </c>
      <c r="AA777" s="5">
        <f>IF(tblOrdenes[[#This Row],[puesto_trabajo]]="","",_xlfn.XLOOKUP(tblOrdenes[[#This Row],[puesto_trabajo]],tblPuestos[codigo],tblPuestos[especialidad],"(sin catálogo)"))</f>
        <v/>
      </c>
      <c r="AB777" s="5">
        <f>IF(tblOrdenes[[#This Row],[cod_actividad]]="","",_xlfn.XLOOKUP(tblOrdenes[[#This Row],[cod_actividad]],tblActividades[codigo],tblActividades[descripcion],"(sin catálogo)"))</f>
        <v/>
      </c>
      <c r="AC777" s="20">
        <f>IF(tblOrdenes[[#This Row],[fecha_inicio]]="","",TODAY()-tblOrdenes[[#This Row],[fecha_inicio]])</f>
        <v/>
      </c>
      <c r="AD7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7" s="5">
        <f>IF(tblOrdenes[[#This Row],[backlog_habiles]]="","",IF(tblOrdenes[[#This Row],[backlog_habiles]]&lt;0,"FUTURO",IF(tblOrdenes[[#This Row],[backlog_habiles]]&gt;p_dias_backlog_max,"BACKLOG","MES CORRIENTE")))</f>
        <v/>
      </c>
      <c r="AF777" s="5">
        <f>IF(tblOrdenes[[#This Row],[backlog_habiles]]="",FALSE,AND(tblOrdenes[[#This Row],[backlog_habiles]]&gt;p_dias_backlog_min,tblOrdenes[[#This Row],[backlog_habiles]]&lt;=p_dias_backlog_max))</f>
        <v/>
      </c>
      <c r="AG777" s="4" t="n"/>
      <c r="AH7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7" s="18">
        <f>IF(tblOrdenes[[#This Row],[orden]]="","",_xlfn.XLOOKUP(tblOrdenes[[#This Row],[id_operacion]],tblEjecucion[id_operacion],tblEjecucion[precio],0))</f>
        <v/>
      </c>
      <c r="AL777" s="18">
        <f>IF(tblOrdenes[[#This Row],[orden]]="","",MAX(0,_xlfn.XLOOKUP(tblOrdenes[[#This Row],[id_operacion]],tblEjecucion[id_operacion],tblEjecucion[costo_plan_total],0)-tblOrdenes[[#This Row],[costo_servicio]]))</f>
        <v/>
      </c>
      <c r="AM777" s="18">
        <f>IF(tblOrdenes[[#This Row],[orden]]="","",tblOrdenes[[#This Row],[costo_servicio]]+tblOrdenes[[#This Row],[costo_materiales]])</f>
        <v/>
      </c>
      <c r="AN7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7" s="4" t="n"/>
      <c r="AP777" s="4" t="n"/>
      <c r="AQ777" s="4" t="n"/>
      <c r="AR777" s="5">
        <f>IF(tblOrdenes[[#This Row],[link_checklist]]="","",HYPERLINK(p_ruta_base_checklists&amp;tblOrdenes[[#This Row],[link_checklist]],"abrir"))</f>
        <v/>
      </c>
      <c r="AS777" s="4" t="n"/>
      <c r="AT777" s="5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22" t="n"/>
      <c r="K778" s="5" t="n"/>
      <c r="L778" s="18" t="n"/>
      <c r="M7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5">
        <f>IF(tblOrdenes[[#This Row],[fecha_inicio]]="","",YEAR(tblOrdenes[[#This Row],[fecha_inicio]]))</f>
        <v/>
      </c>
      <c r="Q778" s="5">
        <f>IF(tblOrdenes[[#This Row],[fecha_inicio]]="","",MONTH(tblOrdenes[[#This Row],[fecha_inicio]]))</f>
        <v/>
      </c>
      <c r="R778" s="5">
        <f>IF(tblOrdenes[[#This Row],[fecha_inicio]]="","",tblOrdenes[[#This Row],[anio]]&amp;"-"&amp;TEXT(tblOrdenes[[#This Row],[mes]],"00"))</f>
        <v/>
      </c>
      <c r="S778" s="5">
        <f>IF(tblOrdenes[[#This Row],[fecha_inicio]]="","",INDEX(lista_dias,WEEKDAY(tblOrdenes[[#This Row],[fecha_inicio]],2)))</f>
        <v/>
      </c>
      <c r="T7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8" s="5">
        <f>IF(tblOrdenes[[#This Row],[tipo_ot]]="","",_xlfn.XLOOKUP(tblOrdenes[[#This Row],[tipo_ot]],tblTiposOT[codigo],tblTiposOT[clasificacion],"sin_clasificar"))</f>
        <v/>
      </c>
      <c r="V7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8" s="5">
        <f>IF(tblOrdenes[[#This Row],[centro_costo]]="","",_xlfn.XLOOKUP(tblOrdenes[[#This Row],[centro_costo]],tblCECO[codigo],tblCECO[linea],"(sin catálogo)"))</f>
        <v/>
      </c>
      <c r="X778" s="5">
        <f>IF(tblOrdenes[[#This Row],[centro_costo]]="","",_xlfn.XLOOKUP(tblOrdenes[[#This Row],[centro_costo]],tblCECO[codigo],tblCECO[area],"(sin catálogo)"))</f>
        <v/>
      </c>
      <c r="Y7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8" s="5">
        <f>IF(tblOrdenes[[#This Row],[centro_costo]]="","",_xlfn.XLOOKUP(tblOrdenes[[#This Row],[centro_costo]],tblCECO[codigo],tblCECO[coordinador],"(sin catálogo)"))</f>
        <v/>
      </c>
      <c r="AA778" s="5">
        <f>IF(tblOrdenes[[#This Row],[puesto_trabajo]]="","",_xlfn.XLOOKUP(tblOrdenes[[#This Row],[puesto_trabajo]],tblPuestos[codigo],tblPuestos[especialidad],"(sin catálogo)"))</f>
        <v/>
      </c>
      <c r="AB778" s="5">
        <f>IF(tblOrdenes[[#This Row],[cod_actividad]]="","",_xlfn.XLOOKUP(tblOrdenes[[#This Row],[cod_actividad]],tblActividades[codigo],tblActividades[descripcion],"(sin catálogo)"))</f>
        <v/>
      </c>
      <c r="AC778" s="20">
        <f>IF(tblOrdenes[[#This Row],[fecha_inicio]]="","",TODAY()-tblOrdenes[[#This Row],[fecha_inicio]])</f>
        <v/>
      </c>
      <c r="AD7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8" s="5">
        <f>IF(tblOrdenes[[#This Row],[backlog_habiles]]="","",IF(tblOrdenes[[#This Row],[backlog_habiles]]&lt;0,"FUTURO",IF(tblOrdenes[[#This Row],[backlog_habiles]]&gt;p_dias_backlog_max,"BACKLOG","MES CORRIENTE")))</f>
        <v/>
      </c>
      <c r="AF778" s="5">
        <f>IF(tblOrdenes[[#This Row],[backlog_habiles]]="",FALSE,AND(tblOrdenes[[#This Row],[backlog_habiles]]&gt;p_dias_backlog_min,tblOrdenes[[#This Row],[backlog_habiles]]&lt;=p_dias_backlog_max))</f>
        <v/>
      </c>
      <c r="AG778" s="4" t="n"/>
      <c r="AH7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8" s="18">
        <f>IF(tblOrdenes[[#This Row],[orden]]="","",_xlfn.XLOOKUP(tblOrdenes[[#This Row],[id_operacion]],tblEjecucion[id_operacion],tblEjecucion[precio],0))</f>
        <v/>
      </c>
      <c r="AL778" s="18">
        <f>IF(tblOrdenes[[#This Row],[orden]]="","",MAX(0,_xlfn.XLOOKUP(tblOrdenes[[#This Row],[id_operacion]],tblEjecucion[id_operacion],tblEjecucion[costo_plan_total],0)-tblOrdenes[[#This Row],[costo_servicio]]))</f>
        <v/>
      </c>
      <c r="AM778" s="18">
        <f>IF(tblOrdenes[[#This Row],[orden]]="","",tblOrdenes[[#This Row],[costo_servicio]]+tblOrdenes[[#This Row],[costo_materiales]])</f>
        <v/>
      </c>
      <c r="AN7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8" s="4" t="n"/>
      <c r="AP778" s="4" t="n"/>
      <c r="AQ778" s="4" t="n"/>
      <c r="AR778" s="5">
        <f>IF(tblOrdenes[[#This Row],[link_checklist]]="","",HYPERLINK(p_ruta_base_checklists&amp;tblOrdenes[[#This Row],[link_checklist]],"abrir"))</f>
        <v/>
      </c>
      <c r="AS778" s="4" t="n"/>
      <c r="AT778" s="5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22" t="n"/>
      <c r="K779" s="5" t="n"/>
      <c r="L779" s="18" t="n"/>
      <c r="M7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5">
        <f>IF(tblOrdenes[[#This Row],[fecha_inicio]]="","",YEAR(tblOrdenes[[#This Row],[fecha_inicio]]))</f>
        <v/>
      </c>
      <c r="Q779" s="5">
        <f>IF(tblOrdenes[[#This Row],[fecha_inicio]]="","",MONTH(tblOrdenes[[#This Row],[fecha_inicio]]))</f>
        <v/>
      </c>
      <c r="R779" s="5">
        <f>IF(tblOrdenes[[#This Row],[fecha_inicio]]="","",tblOrdenes[[#This Row],[anio]]&amp;"-"&amp;TEXT(tblOrdenes[[#This Row],[mes]],"00"))</f>
        <v/>
      </c>
      <c r="S779" s="5">
        <f>IF(tblOrdenes[[#This Row],[fecha_inicio]]="","",INDEX(lista_dias,WEEKDAY(tblOrdenes[[#This Row],[fecha_inicio]],2)))</f>
        <v/>
      </c>
      <c r="T7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9" s="5">
        <f>IF(tblOrdenes[[#This Row],[tipo_ot]]="","",_xlfn.XLOOKUP(tblOrdenes[[#This Row],[tipo_ot]],tblTiposOT[codigo],tblTiposOT[clasificacion],"sin_clasificar"))</f>
        <v/>
      </c>
      <c r="V7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9" s="5">
        <f>IF(tblOrdenes[[#This Row],[centro_costo]]="","",_xlfn.XLOOKUP(tblOrdenes[[#This Row],[centro_costo]],tblCECO[codigo],tblCECO[linea],"(sin catálogo)"))</f>
        <v/>
      </c>
      <c r="X779" s="5">
        <f>IF(tblOrdenes[[#This Row],[centro_costo]]="","",_xlfn.XLOOKUP(tblOrdenes[[#This Row],[centro_costo]],tblCECO[codigo],tblCECO[area],"(sin catálogo)"))</f>
        <v/>
      </c>
      <c r="Y7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79" s="5">
        <f>IF(tblOrdenes[[#This Row],[centro_costo]]="","",_xlfn.XLOOKUP(tblOrdenes[[#This Row],[centro_costo]],tblCECO[codigo],tblCECO[coordinador],"(sin catálogo)"))</f>
        <v/>
      </c>
      <c r="AA779" s="5">
        <f>IF(tblOrdenes[[#This Row],[puesto_trabajo]]="","",_xlfn.XLOOKUP(tblOrdenes[[#This Row],[puesto_trabajo]],tblPuestos[codigo],tblPuestos[especialidad],"(sin catálogo)"))</f>
        <v/>
      </c>
      <c r="AB779" s="5">
        <f>IF(tblOrdenes[[#This Row],[cod_actividad]]="","",_xlfn.XLOOKUP(tblOrdenes[[#This Row],[cod_actividad]],tblActividades[codigo],tblActividades[descripcion],"(sin catálogo)"))</f>
        <v/>
      </c>
      <c r="AC779" s="20">
        <f>IF(tblOrdenes[[#This Row],[fecha_inicio]]="","",TODAY()-tblOrdenes[[#This Row],[fecha_inicio]])</f>
        <v/>
      </c>
      <c r="AD7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79" s="5">
        <f>IF(tblOrdenes[[#This Row],[backlog_habiles]]="","",IF(tblOrdenes[[#This Row],[backlog_habiles]]&lt;0,"FUTURO",IF(tblOrdenes[[#This Row],[backlog_habiles]]&gt;p_dias_backlog_max,"BACKLOG","MES CORRIENTE")))</f>
        <v/>
      </c>
      <c r="AF779" s="5">
        <f>IF(tblOrdenes[[#This Row],[backlog_habiles]]="",FALSE,AND(tblOrdenes[[#This Row],[backlog_habiles]]&gt;p_dias_backlog_min,tblOrdenes[[#This Row],[backlog_habiles]]&lt;=p_dias_backlog_max))</f>
        <v/>
      </c>
      <c r="AG779" s="4" t="n"/>
      <c r="AH7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79" s="18">
        <f>IF(tblOrdenes[[#This Row],[orden]]="","",_xlfn.XLOOKUP(tblOrdenes[[#This Row],[id_operacion]],tblEjecucion[id_operacion],tblEjecucion[precio],0))</f>
        <v/>
      </c>
      <c r="AL779" s="18">
        <f>IF(tblOrdenes[[#This Row],[orden]]="","",MAX(0,_xlfn.XLOOKUP(tblOrdenes[[#This Row],[id_operacion]],tblEjecucion[id_operacion],tblEjecucion[costo_plan_total],0)-tblOrdenes[[#This Row],[costo_servicio]]))</f>
        <v/>
      </c>
      <c r="AM779" s="18">
        <f>IF(tblOrdenes[[#This Row],[orden]]="","",tblOrdenes[[#This Row],[costo_servicio]]+tblOrdenes[[#This Row],[costo_materiales]])</f>
        <v/>
      </c>
      <c r="AN7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79" s="4" t="n"/>
      <c r="AP779" s="4" t="n"/>
      <c r="AQ779" s="4" t="n"/>
      <c r="AR779" s="5">
        <f>IF(tblOrdenes[[#This Row],[link_checklist]]="","",HYPERLINK(p_ruta_base_checklists&amp;tblOrdenes[[#This Row],[link_checklist]],"abrir"))</f>
        <v/>
      </c>
      <c r="AS779" s="4" t="n"/>
      <c r="AT779" s="5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22" t="n"/>
      <c r="K780" s="5" t="n"/>
      <c r="L780" s="18" t="n"/>
      <c r="M7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5">
        <f>IF(tblOrdenes[[#This Row],[fecha_inicio]]="","",YEAR(tblOrdenes[[#This Row],[fecha_inicio]]))</f>
        <v/>
      </c>
      <c r="Q780" s="5">
        <f>IF(tblOrdenes[[#This Row],[fecha_inicio]]="","",MONTH(tblOrdenes[[#This Row],[fecha_inicio]]))</f>
        <v/>
      </c>
      <c r="R780" s="5">
        <f>IF(tblOrdenes[[#This Row],[fecha_inicio]]="","",tblOrdenes[[#This Row],[anio]]&amp;"-"&amp;TEXT(tblOrdenes[[#This Row],[mes]],"00"))</f>
        <v/>
      </c>
      <c r="S780" s="5">
        <f>IF(tblOrdenes[[#This Row],[fecha_inicio]]="","",INDEX(lista_dias,WEEKDAY(tblOrdenes[[#This Row],[fecha_inicio]],2)))</f>
        <v/>
      </c>
      <c r="T7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0" s="5">
        <f>IF(tblOrdenes[[#This Row],[tipo_ot]]="","",_xlfn.XLOOKUP(tblOrdenes[[#This Row],[tipo_ot]],tblTiposOT[codigo],tblTiposOT[clasificacion],"sin_clasificar"))</f>
        <v/>
      </c>
      <c r="V7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0" s="5">
        <f>IF(tblOrdenes[[#This Row],[centro_costo]]="","",_xlfn.XLOOKUP(tblOrdenes[[#This Row],[centro_costo]],tblCECO[codigo],tblCECO[linea],"(sin catálogo)"))</f>
        <v/>
      </c>
      <c r="X780" s="5">
        <f>IF(tblOrdenes[[#This Row],[centro_costo]]="","",_xlfn.XLOOKUP(tblOrdenes[[#This Row],[centro_costo]],tblCECO[codigo],tblCECO[area],"(sin catálogo)"))</f>
        <v/>
      </c>
      <c r="Y7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0" s="5">
        <f>IF(tblOrdenes[[#This Row],[centro_costo]]="","",_xlfn.XLOOKUP(tblOrdenes[[#This Row],[centro_costo]],tblCECO[codigo],tblCECO[coordinador],"(sin catálogo)"))</f>
        <v/>
      </c>
      <c r="AA780" s="5">
        <f>IF(tblOrdenes[[#This Row],[puesto_trabajo]]="","",_xlfn.XLOOKUP(tblOrdenes[[#This Row],[puesto_trabajo]],tblPuestos[codigo],tblPuestos[especialidad],"(sin catálogo)"))</f>
        <v/>
      </c>
      <c r="AB780" s="5">
        <f>IF(tblOrdenes[[#This Row],[cod_actividad]]="","",_xlfn.XLOOKUP(tblOrdenes[[#This Row],[cod_actividad]],tblActividades[codigo],tblActividades[descripcion],"(sin catálogo)"))</f>
        <v/>
      </c>
      <c r="AC780" s="20">
        <f>IF(tblOrdenes[[#This Row],[fecha_inicio]]="","",TODAY()-tblOrdenes[[#This Row],[fecha_inicio]])</f>
        <v/>
      </c>
      <c r="AD7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0" s="5">
        <f>IF(tblOrdenes[[#This Row],[backlog_habiles]]="","",IF(tblOrdenes[[#This Row],[backlog_habiles]]&lt;0,"FUTURO",IF(tblOrdenes[[#This Row],[backlog_habiles]]&gt;p_dias_backlog_max,"BACKLOG","MES CORRIENTE")))</f>
        <v/>
      </c>
      <c r="AF780" s="5">
        <f>IF(tblOrdenes[[#This Row],[backlog_habiles]]="",FALSE,AND(tblOrdenes[[#This Row],[backlog_habiles]]&gt;p_dias_backlog_min,tblOrdenes[[#This Row],[backlog_habiles]]&lt;=p_dias_backlog_max))</f>
        <v/>
      </c>
      <c r="AG780" s="4" t="n"/>
      <c r="AH7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0" s="18">
        <f>IF(tblOrdenes[[#This Row],[orden]]="","",_xlfn.XLOOKUP(tblOrdenes[[#This Row],[id_operacion]],tblEjecucion[id_operacion],tblEjecucion[precio],0))</f>
        <v/>
      </c>
      <c r="AL780" s="18">
        <f>IF(tblOrdenes[[#This Row],[orden]]="","",MAX(0,_xlfn.XLOOKUP(tblOrdenes[[#This Row],[id_operacion]],tblEjecucion[id_operacion],tblEjecucion[costo_plan_total],0)-tblOrdenes[[#This Row],[costo_servicio]]))</f>
        <v/>
      </c>
      <c r="AM780" s="18">
        <f>IF(tblOrdenes[[#This Row],[orden]]="","",tblOrdenes[[#This Row],[costo_servicio]]+tblOrdenes[[#This Row],[costo_materiales]])</f>
        <v/>
      </c>
      <c r="AN7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0" s="4" t="n"/>
      <c r="AP780" s="4" t="n"/>
      <c r="AQ780" s="4" t="n"/>
      <c r="AR780" s="5">
        <f>IF(tblOrdenes[[#This Row],[link_checklist]]="","",HYPERLINK(p_ruta_base_checklists&amp;tblOrdenes[[#This Row],[link_checklist]],"abrir"))</f>
        <v/>
      </c>
      <c r="AS780" s="4" t="n"/>
      <c r="AT780" s="5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22" t="n"/>
      <c r="K781" s="5" t="n"/>
      <c r="L781" s="18" t="n"/>
      <c r="M7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5">
        <f>IF(tblOrdenes[[#This Row],[fecha_inicio]]="","",YEAR(tblOrdenes[[#This Row],[fecha_inicio]]))</f>
        <v/>
      </c>
      <c r="Q781" s="5">
        <f>IF(tblOrdenes[[#This Row],[fecha_inicio]]="","",MONTH(tblOrdenes[[#This Row],[fecha_inicio]]))</f>
        <v/>
      </c>
      <c r="R781" s="5">
        <f>IF(tblOrdenes[[#This Row],[fecha_inicio]]="","",tblOrdenes[[#This Row],[anio]]&amp;"-"&amp;TEXT(tblOrdenes[[#This Row],[mes]],"00"))</f>
        <v/>
      </c>
      <c r="S781" s="5">
        <f>IF(tblOrdenes[[#This Row],[fecha_inicio]]="","",INDEX(lista_dias,WEEKDAY(tblOrdenes[[#This Row],[fecha_inicio]],2)))</f>
        <v/>
      </c>
      <c r="T7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1" s="5">
        <f>IF(tblOrdenes[[#This Row],[tipo_ot]]="","",_xlfn.XLOOKUP(tblOrdenes[[#This Row],[tipo_ot]],tblTiposOT[codigo],tblTiposOT[clasificacion],"sin_clasificar"))</f>
        <v/>
      </c>
      <c r="V7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1" s="5">
        <f>IF(tblOrdenes[[#This Row],[centro_costo]]="","",_xlfn.XLOOKUP(tblOrdenes[[#This Row],[centro_costo]],tblCECO[codigo],tblCECO[linea],"(sin catálogo)"))</f>
        <v/>
      </c>
      <c r="X781" s="5">
        <f>IF(tblOrdenes[[#This Row],[centro_costo]]="","",_xlfn.XLOOKUP(tblOrdenes[[#This Row],[centro_costo]],tblCECO[codigo],tblCECO[area],"(sin catálogo)"))</f>
        <v/>
      </c>
      <c r="Y7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1" s="5">
        <f>IF(tblOrdenes[[#This Row],[centro_costo]]="","",_xlfn.XLOOKUP(tblOrdenes[[#This Row],[centro_costo]],tblCECO[codigo],tblCECO[coordinador],"(sin catálogo)"))</f>
        <v/>
      </c>
      <c r="AA781" s="5">
        <f>IF(tblOrdenes[[#This Row],[puesto_trabajo]]="","",_xlfn.XLOOKUP(tblOrdenes[[#This Row],[puesto_trabajo]],tblPuestos[codigo],tblPuestos[especialidad],"(sin catálogo)"))</f>
        <v/>
      </c>
      <c r="AB781" s="5">
        <f>IF(tblOrdenes[[#This Row],[cod_actividad]]="","",_xlfn.XLOOKUP(tblOrdenes[[#This Row],[cod_actividad]],tblActividades[codigo],tblActividades[descripcion],"(sin catálogo)"))</f>
        <v/>
      </c>
      <c r="AC781" s="20">
        <f>IF(tblOrdenes[[#This Row],[fecha_inicio]]="","",TODAY()-tblOrdenes[[#This Row],[fecha_inicio]])</f>
        <v/>
      </c>
      <c r="AD7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1" s="5">
        <f>IF(tblOrdenes[[#This Row],[backlog_habiles]]="","",IF(tblOrdenes[[#This Row],[backlog_habiles]]&lt;0,"FUTURO",IF(tblOrdenes[[#This Row],[backlog_habiles]]&gt;p_dias_backlog_max,"BACKLOG","MES CORRIENTE")))</f>
        <v/>
      </c>
      <c r="AF781" s="5">
        <f>IF(tblOrdenes[[#This Row],[backlog_habiles]]="",FALSE,AND(tblOrdenes[[#This Row],[backlog_habiles]]&gt;p_dias_backlog_min,tblOrdenes[[#This Row],[backlog_habiles]]&lt;=p_dias_backlog_max))</f>
        <v/>
      </c>
      <c r="AG781" s="4" t="n"/>
      <c r="AH7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1" s="18">
        <f>IF(tblOrdenes[[#This Row],[orden]]="","",_xlfn.XLOOKUP(tblOrdenes[[#This Row],[id_operacion]],tblEjecucion[id_operacion],tblEjecucion[precio],0))</f>
        <v/>
      </c>
      <c r="AL781" s="18">
        <f>IF(tblOrdenes[[#This Row],[orden]]="","",MAX(0,_xlfn.XLOOKUP(tblOrdenes[[#This Row],[id_operacion]],tblEjecucion[id_operacion],tblEjecucion[costo_plan_total],0)-tblOrdenes[[#This Row],[costo_servicio]]))</f>
        <v/>
      </c>
      <c r="AM781" s="18">
        <f>IF(tblOrdenes[[#This Row],[orden]]="","",tblOrdenes[[#This Row],[costo_servicio]]+tblOrdenes[[#This Row],[costo_materiales]])</f>
        <v/>
      </c>
      <c r="AN7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1" s="4" t="n"/>
      <c r="AP781" s="4" t="n"/>
      <c r="AQ781" s="4" t="n"/>
      <c r="AR781" s="5">
        <f>IF(tblOrdenes[[#This Row],[link_checklist]]="","",HYPERLINK(p_ruta_base_checklists&amp;tblOrdenes[[#This Row],[link_checklist]],"abrir"))</f>
        <v/>
      </c>
      <c r="AS781" s="4" t="n"/>
      <c r="AT781" s="5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22" t="n"/>
      <c r="K782" s="5" t="n"/>
      <c r="L782" s="18" t="n"/>
      <c r="M7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5">
        <f>IF(tblOrdenes[[#This Row],[fecha_inicio]]="","",YEAR(tblOrdenes[[#This Row],[fecha_inicio]]))</f>
        <v/>
      </c>
      <c r="Q782" s="5">
        <f>IF(tblOrdenes[[#This Row],[fecha_inicio]]="","",MONTH(tblOrdenes[[#This Row],[fecha_inicio]]))</f>
        <v/>
      </c>
      <c r="R782" s="5">
        <f>IF(tblOrdenes[[#This Row],[fecha_inicio]]="","",tblOrdenes[[#This Row],[anio]]&amp;"-"&amp;TEXT(tblOrdenes[[#This Row],[mes]],"00"))</f>
        <v/>
      </c>
      <c r="S782" s="5">
        <f>IF(tblOrdenes[[#This Row],[fecha_inicio]]="","",INDEX(lista_dias,WEEKDAY(tblOrdenes[[#This Row],[fecha_inicio]],2)))</f>
        <v/>
      </c>
      <c r="T7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2" s="5">
        <f>IF(tblOrdenes[[#This Row],[tipo_ot]]="","",_xlfn.XLOOKUP(tblOrdenes[[#This Row],[tipo_ot]],tblTiposOT[codigo],tblTiposOT[clasificacion],"sin_clasificar"))</f>
        <v/>
      </c>
      <c r="V7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2" s="5">
        <f>IF(tblOrdenes[[#This Row],[centro_costo]]="","",_xlfn.XLOOKUP(tblOrdenes[[#This Row],[centro_costo]],tblCECO[codigo],tblCECO[linea],"(sin catálogo)"))</f>
        <v/>
      </c>
      <c r="X782" s="5">
        <f>IF(tblOrdenes[[#This Row],[centro_costo]]="","",_xlfn.XLOOKUP(tblOrdenes[[#This Row],[centro_costo]],tblCECO[codigo],tblCECO[area],"(sin catálogo)"))</f>
        <v/>
      </c>
      <c r="Y7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2" s="5">
        <f>IF(tblOrdenes[[#This Row],[centro_costo]]="","",_xlfn.XLOOKUP(tblOrdenes[[#This Row],[centro_costo]],tblCECO[codigo],tblCECO[coordinador],"(sin catálogo)"))</f>
        <v/>
      </c>
      <c r="AA782" s="5">
        <f>IF(tblOrdenes[[#This Row],[puesto_trabajo]]="","",_xlfn.XLOOKUP(tblOrdenes[[#This Row],[puesto_trabajo]],tblPuestos[codigo],tblPuestos[especialidad],"(sin catálogo)"))</f>
        <v/>
      </c>
      <c r="AB782" s="5">
        <f>IF(tblOrdenes[[#This Row],[cod_actividad]]="","",_xlfn.XLOOKUP(tblOrdenes[[#This Row],[cod_actividad]],tblActividades[codigo],tblActividades[descripcion],"(sin catálogo)"))</f>
        <v/>
      </c>
      <c r="AC782" s="20">
        <f>IF(tblOrdenes[[#This Row],[fecha_inicio]]="","",TODAY()-tblOrdenes[[#This Row],[fecha_inicio]])</f>
        <v/>
      </c>
      <c r="AD7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2" s="5">
        <f>IF(tblOrdenes[[#This Row],[backlog_habiles]]="","",IF(tblOrdenes[[#This Row],[backlog_habiles]]&lt;0,"FUTURO",IF(tblOrdenes[[#This Row],[backlog_habiles]]&gt;p_dias_backlog_max,"BACKLOG","MES CORRIENTE")))</f>
        <v/>
      </c>
      <c r="AF782" s="5">
        <f>IF(tblOrdenes[[#This Row],[backlog_habiles]]="",FALSE,AND(tblOrdenes[[#This Row],[backlog_habiles]]&gt;p_dias_backlog_min,tblOrdenes[[#This Row],[backlog_habiles]]&lt;=p_dias_backlog_max))</f>
        <v/>
      </c>
      <c r="AG782" s="4" t="n"/>
      <c r="AH7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2" s="18">
        <f>IF(tblOrdenes[[#This Row],[orden]]="","",_xlfn.XLOOKUP(tblOrdenes[[#This Row],[id_operacion]],tblEjecucion[id_operacion],tblEjecucion[precio],0))</f>
        <v/>
      </c>
      <c r="AL782" s="18">
        <f>IF(tblOrdenes[[#This Row],[orden]]="","",MAX(0,_xlfn.XLOOKUP(tblOrdenes[[#This Row],[id_operacion]],tblEjecucion[id_operacion],tblEjecucion[costo_plan_total],0)-tblOrdenes[[#This Row],[costo_servicio]]))</f>
        <v/>
      </c>
      <c r="AM782" s="18">
        <f>IF(tblOrdenes[[#This Row],[orden]]="","",tblOrdenes[[#This Row],[costo_servicio]]+tblOrdenes[[#This Row],[costo_materiales]])</f>
        <v/>
      </c>
      <c r="AN7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2" s="4" t="n"/>
      <c r="AP782" s="4" t="n"/>
      <c r="AQ782" s="4" t="n"/>
      <c r="AR782" s="5">
        <f>IF(tblOrdenes[[#This Row],[link_checklist]]="","",HYPERLINK(p_ruta_base_checklists&amp;tblOrdenes[[#This Row],[link_checklist]],"abrir"))</f>
        <v/>
      </c>
      <c r="AS782" s="4" t="n"/>
      <c r="AT782" s="5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22" t="n"/>
      <c r="K783" s="5" t="n"/>
      <c r="L783" s="18" t="n"/>
      <c r="M7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5">
        <f>IF(tblOrdenes[[#This Row],[fecha_inicio]]="","",YEAR(tblOrdenes[[#This Row],[fecha_inicio]]))</f>
        <v/>
      </c>
      <c r="Q783" s="5">
        <f>IF(tblOrdenes[[#This Row],[fecha_inicio]]="","",MONTH(tblOrdenes[[#This Row],[fecha_inicio]]))</f>
        <v/>
      </c>
      <c r="R783" s="5">
        <f>IF(tblOrdenes[[#This Row],[fecha_inicio]]="","",tblOrdenes[[#This Row],[anio]]&amp;"-"&amp;TEXT(tblOrdenes[[#This Row],[mes]],"00"))</f>
        <v/>
      </c>
      <c r="S783" s="5">
        <f>IF(tblOrdenes[[#This Row],[fecha_inicio]]="","",INDEX(lista_dias,WEEKDAY(tblOrdenes[[#This Row],[fecha_inicio]],2)))</f>
        <v/>
      </c>
      <c r="T7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3" s="5">
        <f>IF(tblOrdenes[[#This Row],[tipo_ot]]="","",_xlfn.XLOOKUP(tblOrdenes[[#This Row],[tipo_ot]],tblTiposOT[codigo],tblTiposOT[clasificacion],"sin_clasificar"))</f>
        <v/>
      </c>
      <c r="V7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3" s="5">
        <f>IF(tblOrdenes[[#This Row],[centro_costo]]="","",_xlfn.XLOOKUP(tblOrdenes[[#This Row],[centro_costo]],tblCECO[codigo],tblCECO[linea],"(sin catálogo)"))</f>
        <v/>
      </c>
      <c r="X783" s="5">
        <f>IF(tblOrdenes[[#This Row],[centro_costo]]="","",_xlfn.XLOOKUP(tblOrdenes[[#This Row],[centro_costo]],tblCECO[codigo],tblCECO[area],"(sin catálogo)"))</f>
        <v/>
      </c>
      <c r="Y7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3" s="5">
        <f>IF(tblOrdenes[[#This Row],[centro_costo]]="","",_xlfn.XLOOKUP(tblOrdenes[[#This Row],[centro_costo]],tblCECO[codigo],tblCECO[coordinador],"(sin catálogo)"))</f>
        <v/>
      </c>
      <c r="AA783" s="5">
        <f>IF(tblOrdenes[[#This Row],[puesto_trabajo]]="","",_xlfn.XLOOKUP(tblOrdenes[[#This Row],[puesto_trabajo]],tblPuestos[codigo],tblPuestos[especialidad],"(sin catálogo)"))</f>
        <v/>
      </c>
      <c r="AB783" s="5">
        <f>IF(tblOrdenes[[#This Row],[cod_actividad]]="","",_xlfn.XLOOKUP(tblOrdenes[[#This Row],[cod_actividad]],tblActividades[codigo],tblActividades[descripcion],"(sin catálogo)"))</f>
        <v/>
      </c>
      <c r="AC783" s="20">
        <f>IF(tblOrdenes[[#This Row],[fecha_inicio]]="","",TODAY()-tblOrdenes[[#This Row],[fecha_inicio]])</f>
        <v/>
      </c>
      <c r="AD7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3" s="5">
        <f>IF(tblOrdenes[[#This Row],[backlog_habiles]]="","",IF(tblOrdenes[[#This Row],[backlog_habiles]]&lt;0,"FUTURO",IF(tblOrdenes[[#This Row],[backlog_habiles]]&gt;p_dias_backlog_max,"BACKLOG","MES CORRIENTE")))</f>
        <v/>
      </c>
      <c r="AF783" s="5">
        <f>IF(tblOrdenes[[#This Row],[backlog_habiles]]="",FALSE,AND(tblOrdenes[[#This Row],[backlog_habiles]]&gt;p_dias_backlog_min,tblOrdenes[[#This Row],[backlog_habiles]]&lt;=p_dias_backlog_max))</f>
        <v/>
      </c>
      <c r="AG783" s="4" t="n"/>
      <c r="AH7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3" s="18">
        <f>IF(tblOrdenes[[#This Row],[orden]]="","",_xlfn.XLOOKUP(tblOrdenes[[#This Row],[id_operacion]],tblEjecucion[id_operacion],tblEjecucion[precio],0))</f>
        <v/>
      </c>
      <c r="AL783" s="18">
        <f>IF(tblOrdenes[[#This Row],[orden]]="","",MAX(0,_xlfn.XLOOKUP(tblOrdenes[[#This Row],[id_operacion]],tblEjecucion[id_operacion],tblEjecucion[costo_plan_total],0)-tblOrdenes[[#This Row],[costo_servicio]]))</f>
        <v/>
      </c>
      <c r="AM783" s="18">
        <f>IF(tblOrdenes[[#This Row],[orden]]="","",tblOrdenes[[#This Row],[costo_servicio]]+tblOrdenes[[#This Row],[costo_materiales]])</f>
        <v/>
      </c>
      <c r="AN7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3" s="4" t="n"/>
      <c r="AP783" s="4" t="n"/>
      <c r="AQ783" s="4" t="n"/>
      <c r="AR783" s="5">
        <f>IF(tblOrdenes[[#This Row],[link_checklist]]="","",HYPERLINK(p_ruta_base_checklists&amp;tblOrdenes[[#This Row],[link_checklist]],"abrir"))</f>
        <v/>
      </c>
      <c r="AS783" s="4" t="n"/>
      <c r="AT783" s="5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22" t="n"/>
      <c r="K784" s="5" t="n"/>
      <c r="L784" s="18" t="n"/>
      <c r="M7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5">
        <f>IF(tblOrdenes[[#This Row],[fecha_inicio]]="","",YEAR(tblOrdenes[[#This Row],[fecha_inicio]]))</f>
        <v/>
      </c>
      <c r="Q784" s="5">
        <f>IF(tblOrdenes[[#This Row],[fecha_inicio]]="","",MONTH(tblOrdenes[[#This Row],[fecha_inicio]]))</f>
        <v/>
      </c>
      <c r="R784" s="5">
        <f>IF(tblOrdenes[[#This Row],[fecha_inicio]]="","",tblOrdenes[[#This Row],[anio]]&amp;"-"&amp;TEXT(tblOrdenes[[#This Row],[mes]],"00"))</f>
        <v/>
      </c>
      <c r="S784" s="5">
        <f>IF(tblOrdenes[[#This Row],[fecha_inicio]]="","",INDEX(lista_dias,WEEKDAY(tblOrdenes[[#This Row],[fecha_inicio]],2)))</f>
        <v/>
      </c>
      <c r="T7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4" s="5">
        <f>IF(tblOrdenes[[#This Row],[tipo_ot]]="","",_xlfn.XLOOKUP(tblOrdenes[[#This Row],[tipo_ot]],tblTiposOT[codigo],tblTiposOT[clasificacion],"sin_clasificar"))</f>
        <v/>
      </c>
      <c r="V7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4" s="5">
        <f>IF(tblOrdenes[[#This Row],[centro_costo]]="","",_xlfn.XLOOKUP(tblOrdenes[[#This Row],[centro_costo]],tblCECO[codigo],tblCECO[linea],"(sin catálogo)"))</f>
        <v/>
      </c>
      <c r="X784" s="5">
        <f>IF(tblOrdenes[[#This Row],[centro_costo]]="","",_xlfn.XLOOKUP(tblOrdenes[[#This Row],[centro_costo]],tblCECO[codigo],tblCECO[area],"(sin catálogo)"))</f>
        <v/>
      </c>
      <c r="Y7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4" s="5">
        <f>IF(tblOrdenes[[#This Row],[centro_costo]]="","",_xlfn.XLOOKUP(tblOrdenes[[#This Row],[centro_costo]],tblCECO[codigo],tblCECO[coordinador],"(sin catálogo)"))</f>
        <v/>
      </c>
      <c r="AA784" s="5">
        <f>IF(tblOrdenes[[#This Row],[puesto_trabajo]]="","",_xlfn.XLOOKUP(tblOrdenes[[#This Row],[puesto_trabajo]],tblPuestos[codigo],tblPuestos[especialidad],"(sin catálogo)"))</f>
        <v/>
      </c>
      <c r="AB784" s="5">
        <f>IF(tblOrdenes[[#This Row],[cod_actividad]]="","",_xlfn.XLOOKUP(tblOrdenes[[#This Row],[cod_actividad]],tblActividades[codigo],tblActividades[descripcion],"(sin catálogo)"))</f>
        <v/>
      </c>
      <c r="AC784" s="20">
        <f>IF(tblOrdenes[[#This Row],[fecha_inicio]]="","",TODAY()-tblOrdenes[[#This Row],[fecha_inicio]])</f>
        <v/>
      </c>
      <c r="AD7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4" s="5">
        <f>IF(tblOrdenes[[#This Row],[backlog_habiles]]="","",IF(tblOrdenes[[#This Row],[backlog_habiles]]&lt;0,"FUTURO",IF(tblOrdenes[[#This Row],[backlog_habiles]]&gt;p_dias_backlog_max,"BACKLOG","MES CORRIENTE")))</f>
        <v/>
      </c>
      <c r="AF784" s="5">
        <f>IF(tblOrdenes[[#This Row],[backlog_habiles]]="",FALSE,AND(tblOrdenes[[#This Row],[backlog_habiles]]&gt;p_dias_backlog_min,tblOrdenes[[#This Row],[backlog_habiles]]&lt;=p_dias_backlog_max))</f>
        <v/>
      </c>
      <c r="AG784" s="4" t="n"/>
      <c r="AH7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4" s="18">
        <f>IF(tblOrdenes[[#This Row],[orden]]="","",_xlfn.XLOOKUP(tblOrdenes[[#This Row],[id_operacion]],tblEjecucion[id_operacion],tblEjecucion[precio],0))</f>
        <v/>
      </c>
      <c r="AL784" s="18">
        <f>IF(tblOrdenes[[#This Row],[orden]]="","",MAX(0,_xlfn.XLOOKUP(tblOrdenes[[#This Row],[id_operacion]],tblEjecucion[id_operacion],tblEjecucion[costo_plan_total],0)-tblOrdenes[[#This Row],[costo_servicio]]))</f>
        <v/>
      </c>
      <c r="AM784" s="18">
        <f>IF(tblOrdenes[[#This Row],[orden]]="","",tblOrdenes[[#This Row],[costo_servicio]]+tblOrdenes[[#This Row],[costo_materiales]])</f>
        <v/>
      </c>
      <c r="AN7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4" s="4" t="n"/>
      <c r="AP784" s="4" t="n"/>
      <c r="AQ784" s="4" t="n"/>
      <c r="AR784" s="5">
        <f>IF(tblOrdenes[[#This Row],[link_checklist]]="","",HYPERLINK(p_ruta_base_checklists&amp;tblOrdenes[[#This Row],[link_checklist]],"abrir"))</f>
        <v/>
      </c>
      <c r="AS784" s="4" t="n"/>
      <c r="AT784" s="5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22" t="n"/>
      <c r="K785" s="5" t="n"/>
      <c r="L785" s="18" t="n"/>
      <c r="M7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5">
        <f>IF(tblOrdenes[[#This Row],[fecha_inicio]]="","",YEAR(tblOrdenes[[#This Row],[fecha_inicio]]))</f>
        <v/>
      </c>
      <c r="Q785" s="5">
        <f>IF(tblOrdenes[[#This Row],[fecha_inicio]]="","",MONTH(tblOrdenes[[#This Row],[fecha_inicio]]))</f>
        <v/>
      </c>
      <c r="R785" s="5">
        <f>IF(tblOrdenes[[#This Row],[fecha_inicio]]="","",tblOrdenes[[#This Row],[anio]]&amp;"-"&amp;TEXT(tblOrdenes[[#This Row],[mes]],"00"))</f>
        <v/>
      </c>
      <c r="S785" s="5">
        <f>IF(tblOrdenes[[#This Row],[fecha_inicio]]="","",INDEX(lista_dias,WEEKDAY(tblOrdenes[[#This Row],[fecha_inicio]],2)))</f>
        <v/>
      </c>
      <c r="T7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5" s="5">
        <f>IF(tblOrdenes[[#This Row],[tipo_ot]]="","",_xlfn.XLOOKUP(tblOrdenes[[#This Row],[tipo_ot]],tblTiposOT[codigo],tblTiposOT[clasificacion],"sin_clasificar"))</f>
        <v/>
      </c>
      <c r="V7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5" s="5">
        <f>IF(tblOrdenes[[#This Row],[centro_costo]]="","",_xlfn.XLOOKUP(tblOrdenes[[#This Row],[centro_costo]],tblCECO[codigo],tblCECO[linea],"(sin catálogo)"))</f>
        <v/>
      </c>
      <c r="X785" s="5">
        <f>IF(tblOrdenes[[#This Row],[centro_costo]]="","",_xlfn.XLOOKUP(tblOrdenes[[#This Row],[centro_costo]],tblCECO[codigo],tblCECO[area],"(sin catálogo)"))</f>
        <v/>
      </c>
      <c r="Y7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5" s="5">
        <f>IF(tblOrdenes[[#This Row],[centro_costo]]="","",_xlfn.XLOOKUP(tblOrdenes[[#This Row],[centro_costo]],tblCECO[codigo],tblCECO[coordinador],"(sin catálogo)"))</f>
        <v/>
      </c>
      <c r="AA785" s="5">
        <f>IF(tblOrdenes[[#This Row],[puesto_trabajo]]="","",_xlfn.XLOOKUP(tblOrdenes[[#This Row],[puesto_trabajo]],tblPuestos[codigo],tblPuestos[especialidad],"(sin catálogo)"))</f>
        <v/>
      </c>
      <c r="AB785" s="5">
        <f>IF(tblOrdenes[[#This Row],[cod_actividad]]="","",_xlfn.XLOOKUP(tblOrdenes[[#This Row],[cod_actividad]],tblActividades[codigo],tblActividades[descripcion],"(sin catálogo)"))</f>
        <v/>
      </c>
      <c r="AC785" s="20">
        <f>IF(tblOrdenes[[#This Row],[fecha_inicio]]="","",TODAY()-tblOrdenes[[#This Row],[fecha_inicio]])</f>
        <v/>
      </c>
      <c r="AD7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5" s="5">
        <f>IF(tblOrdenes[[#This Row],[backlog_habiles]]="","",IF(tblOrdenes[[#This Row],[backlog_habiles]]&lt;0,"FUTURO",IF(tblOrdenes[[#This Row],[backlog_habiles]]&gt;p_dias_backlog_max,"BACKLOG","MES CORRIENTE")))</f>
        <v/>
      </c>
      <c r="AF785" s="5">
        <f>IF(tblOrdenes[[#This Row],[backlog_habiles]]="",FALSE,AND(tblOrdenes[[#This Row],[backlog_habiles]]&gt;p_dias_backlog_min,tblOrdenes[[#This Row],[backlog_habiles]]&lt;=p_dias_backlog_max))</f>
        <v/>
      </c>
      <c r="AG785" s="4" t="n"/>
      <c r="AH7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5" s="18">
        <f>IF(tblOrdenes[[#This Row],[orden]]="","",_xlfn.XLOOKUP(tblOrdenes[[#This Row],[id_operacion]],tblEjecucion[id_operacion],tblEjecucion[precio],0))</f>
        <v/>
      </c>
      <c r="AL785" s="18">
        <f>IF(tblOrdenes[[#This Row],[orden]]="","",MAX(0,_xlfn.XLOOKUP(tblOrdenes[[#This Row],[id_operacion]],tblEjecucion[id_operacion],tblEjecucion[costo_plan_total],0)-tblOrdenes[[#This Row],[costo_servicio]]))</f>
        <v/>
      </c>
      <c r="AM785" s="18">
        <f>IF(tblOrdenes[[#This Row],[orden]]="","",tblOrdenes[[#This Row],[costo_servicio]]+tblOrdenes[[#This Row],[costo_materiales]])</f>
        <v/>
      </c>
      <c r="AN7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5" s="4" t="n"/>
      <c r="AP785" s="4" t="n"/>
      <c r="AQ785" s="4" t="n"/>
      <c r="AR785" s="5">
        <f>IF(tblOrdenes[[#This Row],[link_checklist]]="","",HYPERLINK(p_ruta_base_checklists&amp;tblOrdenes[[#This Row],[link_checklist]],"abrir"))</f>
        <v/>
      </c>
      <c r="AS785" s="4" t="n"/>
      <c r="AT785" s="5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22" t="n"/>
      <c r="K786" s="5" t="n"/>
      <c r="L786" s="18" t="n"/>
      <c r="M7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5">
        <f>IF(tblOrdenes[[#This Row],[fecha_inicio]]="","",YEAR(tblOrdenes[[#This Row],[fecha_inicio]]))</f>
        <v/>
      </c>
      <c r="Q786" s="5">
        <f>IF(tblOrdenes[[#This Row],[fecha_inicio]]="","",MONTH(tblOrdenes[[#This Row],[fecha_inicio]]))</f>
        <v/>
      </c>
      <c r="R786" s="5">
        <f>IF(tblOrdenes[[#This Row],[fecha_inicio]]="","",tblOrdenes[[#This Row],[anio]]&amp;"-"&amp;TEXT(tblOrdenes[[#This Row],[mes]],"00"))</f>
        <v/>
      </c>
      <c r="S786" s="5">
        <f>IF(tblOrdenes[[#This Row],[fecha_inicio]]="","",INDEX(lista_dias,WEEKDAY(tblOrdenes[[#This Row],[fecha_inicio]],2)))</f>
        <v/>
      </c>
      <c r="T7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6" s="5">
        <f>IF(tblOrdenes[[#This Row],[tipo_ot]]="","",_xlfn.XLOOKUP(tblOrdenes[[#This Row],[tipo_ot]],tblTiposOT[codigo],tblTiposOT[clasificacion],"sin_clasificar"))</f>
        <v/>
      </c>
      <c r="V7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6" s="5">
        <f>IF(tblOrdenes[[#This Row],[centro_costo]]="","",_xlfn.XLOOKUP(tblOrdenes[[#This Row],[centro_costo]],tblCECO[codigo],tblCECO[linea],"(sin catálogo)"))</f>
        <v/>
      </c>
      <c r="X786" s="5">
        <f>IF(tblOrdenes[[#This Row],[centro_costo]]="","",_xlfn.XLOOKUP(tblOrdenes[[#This Row],[centro_costo]],tblCECO[codigo],tblCECO[area],"(sin catálogo)"))</f>
        <v/>
      </c>
      <c r="Y7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6" s="5">
        <f>IF(tblOrdenes[[#This Row],[centro_costo]]="","",_xlfn.XLOOKUP(tblOrdenes[[#This Row],[centro_costo]],tblCECO[codigo],tblCECO[coordinador],"(sin catálogo)"))</f>
        <v/>
      </c>
      <c r="AA786" s="5">
        <f>IF(tblOrdenes[[#This Row],[puesto_trabajo]]="","",_xlfn.XLOOKUP(tblOrdenes[[#This Row],[puesto_trabajo]],tblPuestos[codigo],tblPuestos[especialidad],"(sin catálogo)"))</f>
        <v/>
      </c>
      <c r="AB786" s="5">
        <f>IF(tblOrdenes[[#This Row],[cod_actividad]]="","",_xlfn.XLOOKUP(tblOrdenes[[#This Row],[cod_actividad]],tblActividades[codigo],tblActividades[descripcion],"(sin catálogo)"))</f>
        <v/>
      </c>
      <c r="AC786" s="20">
        <f>IF(tblOrdenes[[#This Row],[fecha_inicio]]="","",TODAY()-tblOrdenes[[#This Row],[fecha_inicio]])</f>
        <v/>
      </c>
      <c r="AD7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6" s="5">
        <f>IF(tblOrdenes[[#This Row],[backlog_habiles]]="","",IF(tblOrdenes[[#This Row],[backlog_habiles]]&lt;0,"FUTURO",IF(tblOrdenes[[#This Row],[backlog_habiles]]&gt;p_dias_backlog_max,"BACKLOG","MES CORRIENTE")))</f>
        <v/>
      </c>
      <c r="AF786" s="5">
        <f>IF(tblOrdenes[[#This Row],[backlog_habiles]]="",FALSE,AND(tblOrdenes[[#This Row],[backlog_habiles]]&gt;p_dias_backlog_min,tblOrdenes[[#This Row],[backlog_habiles]]&lt;=p_dias_backlog_max))</f>
        <v/>
      </c>
      <c r="AG786" s="4" t="n"/>
      <c r="AH7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6" s="18">
        <f>IF(tblOrdenes[[#This Row],[orden]]="","",_xlfn.XLOOKUP(tblOrdenes[[#This Row],[id_operacion]],tblEjecucion[id_operacion],tblEjecucion[precio],0))</f>
        <v/>
      </c>
      <c r="AL786" s="18">
        <f>IF(tblOrdenes[[#This Row],[orden]]="","",MAX(0,_xlfn.XLOOKUP(tblOrdenes[[#This Row],[id_operacion]],tblEjecucion[id_operacion],tblEjecucion[costo_plan_total],0)-tblOrdenes[[#This Row],[costo_servicio]]))</f>
        <v/>
      </c>
      <c r="AM786" s="18">
        <f>IF(tblOrdenes[[#This Row],[orden]]="","",tblOrdenes[[#This Row],[costo_servicio]]+tblOrdenes[[#This Row],[costo_materiales]])</f>
        <v/>
      </c>
      <c r="AN7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6" s="4" t="n"/>
      <c r="AP786" s="4" t="n"/>
      <c r="AQ786" s="4" t="n"/>
      <c r="AR786" s="5">
        <f>IF(tblOrdenes[[#This Row],[link_checklist]]="","",HYPERLINK(p_ruta_base_checklists&amp;tblOrdenes[[#This Row],[link_checklist]],"abrir"))</f>
        <v/>
      </c>
      <c r="AS786" s="4" t="n"/>
      <c r="AT786" s="5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22" t="n"/>
      <c r="K787" s="5" t="n"/>
      <c r="L787" s="18" t="n"/>
      <c r="M7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5">
        <f>IF(tblOrdenes[[#This Row],[fecha_inicio]]="","",YEAR(tblOrdenes[[#This Row],[fecha_inicio]]))</f>
        <v/>
      </c>
      <c r="Q787" s="5">
        <f>IF(tblOrdenes[[#This Row],[fecha_inicio]]="","",MONTH(tblOrdenes[[#This Row],[fecha_inicio]]))</f>
        <v/>
      </c>
      <c r="R787" s="5">
        <f>IF(tblOrdenes[[#This Row],[fecha_inicio]]="","",tblOrdenes[[#This Row],[anio]]&amp;"-"&amp;TEXT(tblOrdenes[[#This Row],[mes]],"00"))</f>
        <v/>
      </c>
      <c r="S787" s="5">
        <f>IF(tblOrdenes[[#This Row],[fecha_inicio]]="","",INDEX(lista_dias,WEEKDAY(tblOrdenes[[#This Row],[fecha_inicio]],2)))</f>
        <v/>
      </c>
      <c r="T7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7" s="5">
        <f>IF(tblOrdenes[[#This Row],[tipo_ot]]="","",_xlfn.XLOOKUP(tblOrdenes[[#This Row],[tipo_ot]],tblTiposOT[codigo],tblTiposOT[clasificacion],"sin_clasificar"))</f>
        <v/>
      </c>
      <c r="V7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7" s="5">
        <f>IF(tblOrdenes[[#This Row],[centro_costo]]="","",_xlfn.XLOOKUP(tblOrdenes[[#This Row],[centro_costo]],tblCECO[codigo],tblCECO[linea],"(sin catálogo)"))</f>
        <v/>
      </c>
      <c r="X787" s="5">
        <f>IF(tblOrdenes[[#This Row],[centro_costo]]="","",_xlfn.XLOOKUP(tblOrdenes[[#This Row],[centro_costo]],tblCECO[codigo],tblCECO[area],"(sin catálogo)"))</f>
        <v/>
      </c>
      <c r="Y7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7" s="5">
        <f>IF(tblOrdenes[[#This Row],[centro_costo]]="","",_xlfn.XLOOKUP(tblOrdenes[[#This Row],[centro_costo]],tblCECO[codigo],tblCECO[coordinador],"(sin catálogo)"))</f>
        <v/>
      </c>
      <c r="AA787" s="5">
        <f>IF(tblOrdenes[[#This Row],[puesto_trabajo]]="","",_xlfn.XLOOKUP(tblOrdenes[[#This Row],[puesto_trabajo]],tblPuestos[codigo],tblPuestos[especialidad],"(sin catálogo)"))</f>
        <v/>
      </c>
      <c r="AB787" s="5">
        <f>IF(tblOrdenes[[#This Row],[cod_actividad]]="","",_xlfn.XLOOKUP(tblOrdenes[[#This Row],[cod_actividad]],tblActividades[codigo],tblActividades[descripcion],"(sin catálogo)"))</f>
        <v/>
      </c>
      <c r="AC787" s="20">
        <f>IF(tblOrdenes[[#This Row],[fecha_inicio]]="","",TODAY()-tblOrdenes[[#This Row],[fecha_inicio]])</f>
        <v/>
      </c>
      <c r="AD7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7" s="5">
        <f>IF(tblOrdenes[[#This Row],[backlog_habiles]]="","",IF(tblOrdenes[[#This Row],[backlog_habiles]]&lt;0,"FUTURO",IF(tblOrdenes[[#This Row],[backlog_habiles]]&gt;p_dias_backlog_max,"BACKLOG","MES CORRIENTE")))</f>
        <v/>
      </c>
      <c r="AF787" s="5">
        <f>IF(tblOrdenes[[#This Row],[backlog_habiles]]="",FALSE,AND(tblOrdenes[[#This Row],[backlog_habiles]]&gt;p_dias_backlog_min,tblOrdenes[[#This Row],[backlog_habiles]]&lt;=p_dias_backlog_max))</f>
        <v/>
      </c>
      <c r="AG787" s="4" t="n"/>
      <c r="AH7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7" s="18">
        <f>IF(tblOrdenes[[#This Row],[orden]]="","",_xlfn.XLOOKUP(tblOrdenes[[#This Row],[id_operacion]],tblEjecucion[id_operacion],tblEjecucion[precio],0))</f>
        <v/>
      </c>
      <c r="AL787" s="18">
        <f>IF(tblOrdenes[[#This Row],[orden]]="","",MAX(0,_xlfn.XLOOKUP(tblOrdenes[[#This Row],[id_operacion]],tblEjecucion[id_operacion],tblEjecucion[costo_plan_total],0)-tblOrdenes[[#This Row],[costo_servicio]]))</f>
        <v/>
      </c>
      <c r="AM787" s="18">
        <f>IF(tblOrdenes[[#This Row],[orden]]="","",tblOrdenes[[#This Row],[costo_servicio]]+tblOrdenes[[#This Row],[costo_materiales]])</f>
        <v/>
      </c>
      <c r="AN7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7" s="4" t="n"/>
      <c r="AP787" s="4" t="n"/>
      <c r="AQ787" s="4" t="n"/>
      <c r="AR787" s="5">
        <f>IF(tblOrdenes[[#This Row],[link_checklist]]="","",HYPERLINK(p_ruta_base_checklists&amp;tblOrdenes[[#This Row],[link_checklist]],"abrir"))</f>
        <v/>
      </c>
      <c r="AS787" s="4" t="n"/>
      <c r="AT787" s="5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22" t="n"/>
      <c r="K788" s="5" t="n"/>
      <c r="L788" s="18" t="n"/>
      <c r="M7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5">
        <f>IF(tblOrdenes[[#This Row],[fecha_inicio]]="","",YEAR(tblOrdenes[[#This Row],[fecha_inicio]]))</f>
        <v/>
      </c>
      <c r="Q788" s="5">
        <f>IF(tblOrdenes[[#This Row],[fecha_inicio]]="","",MONTH(tblOrdenes[[#This Row],[fecha_inicio]]))</f>
        <v/>
      </c>
      <c r="R788" s="5">
        <f>IF(tblOrdenes[[#This Row],[fecha_inicio]]="","",tblOrdenes[[#This Row],[anio]]&amp;"-"&amp;TEXT(tblOrdenes[[#This Row],[mes]],"00"))</f>
        <v/>
      </c>
      <c r="S788" s="5">
        <f>IF(tblOrdenes[[#This Row],[fecha_inicio]]="","",INDEX(lista_dias,WEEKDAY(tblOrdenes[[#This Row],[fecha_inicio]],2)))</f>
        <v/>
      </c>
      <c r="T7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8" s="5">
        <f>IF(tblOrdenes[[#This Row],[tipo_ot]]="","",_xlfn.XLOOKUP(tblOrdenes[[#This Row],[tipo_ot]],tblTiposOT[codigo],tblTiposOT[clasificacion],"sin_clasificar"))</f>
        <v/>
      </c>
      <c r="V7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8" s="5">
        <f>IF(tblOrdenes[[#This Row],[centro_costo]]="","",_xlfn.XLOOKUP(tblOrdenes[[#This Row],[centro_costo]],tblCECO[codigo],tblCECO[linea],"(sin catálogo)"))</f>
        <v/>
      </c>
      <c r="X788" s="5">
        <f>IF(tblOrdenes[[#This Row],[centro_costo]]="","",_xlfn.XLOOKUP(tblOrdenes[[#This Row],[centro_costo]],tblCECO[codigo],tblCECO[area],"(sin catálogo)"))</f>
        <v/>
      </c>
      <c r="Y7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8" s="5">
        <f>IF(tblOrdenes[[#This Row],[centro_costo]]="","",_xlfn.XLOOKUP(tblOrdenes[[#This Row],[centro_costo]],tblCECO[codigo],tblCECO[coordinador],"(sin catálogo)"))</f>
        <v/>
      </c>
      <c r="AA788" s="5">
        <f>IF(tblOrdenes[[#This Row],[puesto_trabajo]]="","",_xlfn.XLOOKUP(tblOrdenes[[#This Row],[puesto_trabajo]],tblPuestos[codigo],tblPuestos[especialidad],"(sin catálogo)"))</f>
        <v/>
      </c>
      <c r="AB788" s="5">
        <f>IF(tblOrdenes[[#This Row],[cod_actividad]]="","",_xlfn.XLOOKUP(tblOrdenes[[#This Row],[cod_actividad]],tblActividades[codigo],tblActividades[descripcion],"(sin catálogo)"))</f>
        <v/>
      </c>
      <c r="AC788" s="20">
        <f>IF(tblOrdenes[[#This Row],[fecha_inicio]]="","",TODAY()-tblOrdenes[[#This Row],[fecha_inicio]])</f>
        <v/>
      </c>
      <c r="AD7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8" s="5">
        <f>IF(tblOrdenes[[#This Row],[backlog_habiles]]="","",IF(tblOrdenes[[#This Row],[backlog_habiles]]&lt;0,"FUTURO",IF(tblOrdenes[[#This Row],[backlog_habiles]]&gt;p_dias_backlog_max,"BACKLOG","MES CORRIENTE")))</f>
        <v/>
      </c>
      <c r="AF788" s="5">
        <f>IF(tblOrdenes[[#This Row],[backlog_habiles]]="",FALSE,AND(tblOrdenes[[#This Row],[backlog_habiles]]&gt;p_dias_backlog_min,tblOrdenes[[#This Row],[backlog_habiles]]&lt;=p_dias_backlog_max))</f>
        <v/>
      </c>
      <c r="AG788" s="4" t="n"/>
      <c r="AH7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8" s="18">
        <f>IF(tblOrdenes[[#This Row],[orden]]="","",_xlfn.XLOOKUP(tblOrdenes[[#This Row],[id_operacion]],tblEjecucion[id_operacion],tblEjecucion[precio],0))</f>
        <v/>
      </c>
      <c r="AL788" s="18">
        <f>IF(tblOrdenes[[#This Row],[orden]]="","",MAX(0,_xlfn.XLOOKUP(tblOrdenes[[#This Row],[id_operacion]],tblEjecucion[id_operacion],tblEjecucion[costo_plan_total],0)-tblOrdenes[[#This Row],[costo_servicio]]))</f>
        <v/>
      </c>
      <c r="AM788" s="18">
        <f>IF(tblOrdenes[[#This Row],[orden]]="","",tblOrdenes[[#This Row],[costo_servicio]]+tblOrdenes[[#This Row],[costo_materiales]])</f>
        <v/>
      </c>
      <c r="AN7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8" s="4" t="n"/>
      <c r="AP788" s="4" t="n"/>
      <c r="AQ788" s="4" t="n"/>
      <c r="AR788" s="5">
        <f>IF(tblOrdenes[[#This Row],[link_checklist]]="","",HYPERLINK(p_ruta_base_checklists&amp;tblOrdenes[[#This Row],[link_checklist]],"abrir"))</f>
        <v/>
      </c>
      <c r="AS788" s="4" t="n"/>
      <c r="AT788" s="5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22" t="n"/>
      <c r="K789" s="5" t="n"/>
      <c r="L789" s="18" t="n"/>
      <c r="M7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5">
        <f>IF(tblOrdenes[[#This Row],[fecha_inicio]]="","",YEAR(tblOrdenes[[#This Row],[fecha_inicio]]))</f>
        <v/>
      </c>
      <c r="Q789" s="5">
        <f>IF(tblOrdenes[[#This Row],[fecha_inicio]]="","",MONTH(tblOrdenes[[#This Row],[fecha_inicio]]))</f>
        <v/>
      </c>
      <c r="R789" s="5">
        <f>IF(tblOrdenes[[#This Row],[fecha_inicio]]="","",tblOrdenes[[#This Row],[anio]]&amp;"-"&amp;TEXT(tblOrdenes[[#This Row],[mes]],"00"))</f>
        <v/>
      </c>
      <c r="S789" s="5">
        <f>IF(tblOrdenes[[#This Row],[fecha_inicio]]="","",INDEX(lista_dias,WEEKDAY(tblOrdenes[[#This Row],[fecha_inicio]],2)))</f>
        <v/>
      </c>
      <c r="T7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9" s="5">
        <f>IF(tblOrdenes[[#This Row],[tipo_ot]]="","",_xlfn.XLOOKUP(tblOrdenes[[#This Row],[tipo_ot]],tblTiposOT[codigo],tblTiposOT[clasificacion],"sin_clasificar"))</f>
        <v/>
      </c>
      <c r="V7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9" s="5">
        <f>IF(tblOrdenes[[#This Row],[centro_costo]]="","",_xlfn.XLOOKUP(tblOrdenes[[#This Row],[centro_costo]],tblCECO[codigo],tblCECO[linea],"(sin catálogo)"))</f>
        <v/>
      </c>
      <c r="X789" s="5">
        <f>IF(tblOrdenes[[#This Row],[centro_costo]]="","",_xlfn.XLOOKUP(tblOrdenes[[#This Row],[centro_costo]],tblCECO[codigo],tblCECO[area],"(sin catálogo)"))</f>
        <v/>
      </c>
      <c r="Y7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89" s="5">
        <f>IF(tblOrdenes[[#This Row],[centro_costo]]="","",_xlfn.XLOOKUP(tblOrdenes[[#This Row],[centro_costo]],tblCECO[codigo],tblCECO[coordinador],"(sin catálogo)"))</f>
        <v/>
      </c>
      <c r="AA789" s="5">
        <f>IF(tblOrdenes[[#This Row],[puesto_trabajo]]="","",_xlfn.XLOOKUP(tblOrdenes[[#This Row],[puesto_trabajo]],tblPuestos[codigo],tblPuestos[especialidad],"(sin catálogo)"))</f>
        <v/>
      </c>
      <c r="AB789" s="5">
        <f>IF(tblOrdenes[[#This Row],[cod_actividad]]="","",_xlfn.XLOOKUP(tblOrdenes[[#This Row],[cod_actividad]],tblActividades[codigo],tblActividades[descripcion],"(sin catálogo)"))</f>
        <v/>
      </c>
      <c r="AC789" s="20">
        <f>IF(tblOrdenes[[#This Row],[fecha_inicio]]="","",TODAY()-tblOrdenes[[#This Row],[fecha_inicio]])</f>
        <v/>
      </c>
      <c r="AD7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89" s="5">
        <f>IF(tblOrdenes[[#This Row],[backlog_habiles]]="","",IF(tblOrdenes[[#This Row],[backlog_habiles]]&lt;0,"FUTURO",IF(tblOrdenes[[#This Row],[backlog_habiles]]&gt;p_dias_backlog_max,"BACKLOG","MES CORRIENTE")))</f>
        <v/>
      </c>
      <c r="AF789" s="5">
        <f>IF(tblOrdenes[[#This Row],[backlog_habiles]]="",FALSE,AND(tblOrdenes[[#This Row],[backlog_habiles]]&gt;p_dias_backlog_min,tblOrdenes[[#This Row],[backlog_habiles]]&lt;=p_dias_backlog_max))</f>
        <v/>
      </c>
      <c r="AG789" s="4" t="n"/>
      <c r="AH7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89" s="18">
        <f>IF(tblOrdenes[[#This Row],[orden]]="","",_xlfn.XLOOKUP(tblOrdenes[[#This Row],[id_operacion]],tblEjecucion[id_operacion],tblEjecucion[precio],0))</f>
        <v/>
      </c>
      <c r="AL789" s="18">
        <f>IF(tblOrdenes[[#This Row],[orden]]="","",MAX(0,_xlfn.XLOOKUP(tblOrdenes[[#This Row],[id_operacion]],tblEjecucion[id_operacion],tblEjecucion[costo_plan_total],0)-tblOrdenes[[#This Row],[costo_servicio]]))</f>
        <v/>
      </c>
      <c r="AM789" s="18">
        <f>IF(tblOrdenes[[#This Row],[orden]]="","",tblOrdenes[[#This Row],[costo_servicio]]+tblOrdenes[[#This Row],[costo_materiales]])</f>
        <v/>
      </c>
      <c r="AN7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89" s="4" t="n"/>
      <c r="AP789" s="4" t="n"/>
      <c r="AQ789" s="4" t="n"/>
      <c r="AR789" s="5">
        <f>IF(tblOrdenes[[#This Row],[link_checklist]]="","",HYPERLINK(p_ruta_base_checklists&amp;tblOrdenes[[#This Row],[link_checklist]],"abrir"))</f>
        <v/>
      </c>
      <c r="AS789" s="4" t="n"/>
      <c r="AT789" s="5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22" t="n"/>
      <c r="K790" s="5" t="n"/>
      <c r="L790" s="18" t="n"/>
      <c r="M7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5">
        <f>IF(tblOrdenes[[#This Row],[fecha_inicio]]="","",YEAR(tblOrdenes[[#This Row],[fecha_inicio]]))</f>
        <v/>
      </c>
      <c r="Q790" s="5">
        <f>IF(tblOrdenes[[#This Row],[fecha_inicio]]="","",MONTH(tblOrdenes[[#This Row],[fecha_inicio]]))</f>
        <v/>
      </c>
      <c r="R790" s="5">
        <f>IF(tblOrdenes[[#This Row],[fecha_inicio]]="","",tblOrdenes[[#This Row],[anio]]&amp;"-"&amp;TEXT(tblOrdenes[[#This Row],[mes]],"00"))</f>
        <v/>
      </c>
      <c r="S790" s="5">
        <f>IF(tblOrdenes[[#This Row],[fecha_inicio]]="","",INDEX(lista_dias,WEEKDAY(tblOrdenes[[#This Row],[fecha_inicio]],2)))</f>
        <v/>
      </c>
      <c r="T7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0" s="5">
        <f>IF(tblOrdenes[[#This Row],[tipo_ot]]="","",_xlfn.XLOOKUP(tblOrdenes[[#This Row],[tipo_ot]],tblTiposOT[codigo],tblTiposOT[clasificacion],"sin_clasificar"))</f>
        <v/>
      </c>
      <c r="V7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0" s="5">
        <f>IF(tblOrdenes[[#This Row],[centro_costo]]="","",_xlfn.XLOOKUP(tblOrdenes[[#This Row],[centro_costo]],tblCECO[codigo],tblCECO[linea],"(sin catálogo)"))</f>
        <v/>
      </c>
      <c r="X790" s="5">
        <f>IF(tblOrdenes[[#This Row],[centro_costo]]="","",_xlfn.XLOOKUP(tblOrdenes[[#This Row],[centro_costo]],tblCECO[codigo],tblCECO[area],"(sin catálogo)"))</f>
        <v/>
      </c>
      <c r="Y7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0" s="5">
        <f>IF(tblOrdenes[[#This Row],[centro_costo]]="","",_xlfn.XLOOKUP(tblOrdenes[[#This Row],[centro_costo]],tblCECO[codigo],tblCECO[coordinador],"(sin catálogo)"))</f>
        <v/>
      </c>
      <c r="AA790" s="5">
        <f>IF(tblOrdenes[[#This Row],[puesto_trabajo]]="","",_xlfn.XLOOKUP(tblOrdenes[[#This Row],[puesto_trabajo]],tblPuestos[codigo],tblPuestos[especialidad],"(sin catálogo)"))</f>
        <v/>
      </c>
      <c r="AB790" s="5">
        <f>IF(tblOrdenes[[#This Row],[cod_actividad]]="","",_xlfn.XLOOKUP(tblOrdenes[[#This Row],[cod_actividad]],tblActividades[codigo],tblActividades[descripcion],"(sin catálogo)"))</f>
        <v/>
      </c>
      <c r="AC790" s="20">
        <f>IF(tblOrdenes[[#This Row],[fecha_inicio]]="","",TODAY()-tblOrdenes[[#This Row],[fecha_inicio]])</f>
        <v/>
      </c>
      <c r="AD7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0" s="5">
        <f>IF(tblOrdenes[[#This Row],[backlog_habiles]]="","",IF(tblOrdenes[[#This Row],[backlog_habiles]]&lt;0,"FUTURO",IF(tblOrdenes[[#This Row],[backlog_habiles]]&gt;p_dias_backlog_max,"BACKLOG","MES CORRIENTE")))</f>
        <v/>
      </c>
      <c r="AF790" s="5">
        <f>IF(tblOrdenes[[#This Row],[backlog_habiles]]="",FALSE,AND(tblOrdenes[[#This Row],[backlog_habiles]]&gt;p_dias_backlog_min,tblOrdenes[[#This Row],[backlog_habiles]]&lt;=p_dias_backlog_max))</f>
        <v/>
      </c>
      <c r="AG790" s="4" t="n"/>
      <c r="AH7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0" s="18">
        <f>IF(tblOrdenes[[#This Row],[orden]]="","",_xlfn.XLOOKUP(tblOrdenes[[#This Row],[id_operacion]],tblEjecucion[id_operacion],tblEjecucion[precio],0))</f>
        <v/>
      </c>
      <c r="AL790" s="18">
        <f>IF(tblOrdenes[[#This Row],[orden]]="","",MAX(0,_xlfn.XLOOKUP(tblOrdenes[[#This Row],[id_operacion]],tblEjecucion[id_operacion],tblEjecucion[costo_plan_total],0)-tblOrdenes[[#This Row],[costo_servicio]]))</f>
        <v/>
      </c>
      <c r="AM790" s="18">
        <f>IF(tblOrdenes[[#This Row],[orden]]="","",tblOrdenes[[#This Row],[costo_servicio]]+tblOrdenes[[#This Row],[costo_materiales]])</f>
        <v/>
      </c>
      <c r="AN7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0" s="4" t="n"/>
      <c r="AP790" s="4" t="n"/>
      <c r="AQ790" s="4" t="n"/>
      <c r="AR790" s="5">
        <f>IF(tblOrdenes[[#This Row],[link_checklist]]="","",HYPERLINK(p_ruta_base_checklists&amp;tblOrdenes[[#This Row],[link_checklist]],"abrir"))</f>
        <v/>
      </c>
      <c r="AS790" s="4" t="n"/>
      <c r="AT790" s="5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22" t="n"/>
      <c r="K791" s="5" t="n"/>
      <c r="L791" s="18" t="n"/>
      <c r="M7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5">
        <f>IF(tblOrdenes[[#This Row],[fecha_inicio]]="","",YEAR(tblOrdenes[[#This Row],[fecha_inicio]]))</f>
        <v/>
      </c>
      <c r="Q791" s="5">
        <f>IF(tblOrdenes[[#This Row],[fecha_inicio]]="","",MONTH(tblOrdenes[[#This Row],[fecha_inicio]]))</f>
        <v/>
      </c>
      <c r="R791" s="5">
        <f>IF(tblOrdenes[[#This Row],[fecha_inicio]]="","",tblOrdenes[[#This Row],[anio]]&amp;"-"&amp;TEXT(tblOrdenes[[#This Row],[mes]],"00"))</f>
        <v/>
      </c>
      <c r="S791" s="5">
        <f>IF(tblOrdenes[[#This Row],[fecha_inicio]]="","",INDEX(lista_dias,WEEKDAY(tblOrdenes[[#This Row],[fecha_inicio]],2)))</f>
        <v/>
      </c>
      <c r="T7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1" s="5">
        <f>IF(tblOrdenes[[#This Row],[tipo_ot]]="","",_xlfn.XLOOKUP(tblOrdenes[[#This Row],[tipo_ot]],tblTiposOT[codigo],tblTiposOT[clasificacion],"sin_clasificar"))</f>
        <v/>
      </c>
      <c r="V7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1" s="5">
        <f>IF(tblOrdenes[[#This Row],[centro_costo]]="","",_xlfn.XLOOKUP(tblOrdenes[[#This Row],[centro_costo]],tblCECO[codigo],tblCECO[linea],"(sin catálogo)"))</f>
        <v/>
      </c>
      <c r="X791" s="5">
        <f>IF(tblOrdenes[[#This Row],[centro_costo]]="","",_xlfn.XLOOKUP(tblOrdenes[[#This Row],[centro_costo]],tblCECO[codigo],tblCECO[area],"(sin catálogo)"))</f>
        <v/>
      </c>
      <c r="Y7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1" s="5">
        <f>IF(tblOrdenes[[#This Row],[centro_costo]]="","",_xlfn.XLOOKUP(tblOrdenes[[#This Row],[centro_costo]],tblCECO[codigo],tblCECO[coordinador],"(sin catálogo)"))</f>
        <v/>
      </c>
      <c r="AA791" s="5">
        <f>IF(tblOrdenes[[#This Row],[puesto_trabajo]]="","",_xlfn.XLOOKUP(tblOrdenes[[#This Row],[puesto_trabajo]],tblPuestos[codigo],tblPuestos[especialidad],"(sin catálogo)"))</f>
        <v/>
      </c>
      <c r="AB791" s="5">
        <f>IF(tblOrdenes[[#This Row],[cod_actividad]]="","",_xlfn.XLOOKUP(tblOrdenes[[#This Row],[cod_actividad]],tblActividades[codigo],tblActividades[descripcion],"(sin catálogo)"))</f>
        <v/>
      </c>
      <c r="AC791" s="20">
        <f>IF(tblOrdenes[[#This Row],[fecha_inicio]]="","",TODAY()-tblOrdenes[[#This Row],[fecha_inicio]])</f>
        <v/>
      </c>
      <c r="AD7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1" s="5">
        <f>IF(tblOrdenes[[#This Row],[backlog_habiles]]="","",IF(tblOrdenes[[#This Row],[backlog_habiles]]&lt;0,"FUTURO",IF(tblOrdenes[[#This Row],[backlog_habiles]]&gt;p_dias_backlog_max,"BACKLOG","MES CORRIENTE")))</f>
        <v/>
      </c>
      <c r="AF791" s="5">
        <f>IF(tblOrdenes[[#This Row],[backlog_habiles]]="",FALSE,AND(tblOrdenes[[#This Row],[backlog_habiles]]&gt;p_dias_backlog_min,tblOrdenes[[#This Row],[backlog_habiles]]&lt;=p_dias_backlog_max))</f>
        <v/>
      </c>
      <c r="AG791" s="4" t="n"/>
      <c r="AH7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1" s="18">
        <f>IF(tblOrdenes[[#This Row],[orden]]="","",_xlfn.XLOOKUP(tblOrdenes[[#This Row],[id_operacion]],tblEjecucion[id_operacion],tblEjecucion[precio],0))</f>
        <v/>
      </c>
      <c r="AL791" s="18">
        <f>IF(tblOrdenes[[#This Row],[orden]]="","",MAX(0,_xlfn.XLOOKUP(tblOrdenes[[#This Row],[id_operacion]],tblEjecucion[id_operacion],tblEjecucion[costo_plan_total],0)-tblOrdenes[[#This Row],[costo_servicio]]))</f>
        <v/>
      </c>
      <c r="AM791" s="18">
        <f>IF(tblOrdenes[[#This Row],[orden]]="","",tblOrdenes[[#This Row],[costo_servicio]]+tblOrdenes[[#This Row],[costo_materiales]])</f>
        <v/>
      </c>
      <c r="AN7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1" s="4" t="n"/>
      <c r="AP791" s="4" t="n"/>
      <c r="AQ791" s="4" t="n"/>
      <c r="AR791" s="5">
        <f>IF(tblOrdenes[[#This Row],[link_checklist]]="","",HYPERLINK(p_ruta_base_checklists&amp;tblOrdenes[[#This Row],[link_checklist]],"abrir"))</f>
        <v/>
      </c>
      <c r="AS791" s="4" t="n"/>
      <c r="AT791" s="5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22" t="n"/>
      <c r="K792" s="5" t="n"/>
      <c r="L792" s="18" t="n"/>
      <c r="M7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5">
        <f>IF(tblOrdenes[[#This Row],[fecha_inicio]]="","",YEAR(tblOrdenes[[#This Row],[fecha_inicio]]))</f>
        <v/>
      </c>
      <c r="Q792" s="5">
        <f>IF(tblOrdenes[[#This Row],[fecha_inicio]]="","",MONTH(tblOrdenes[[#This Row],[fecha_inicio]]))</f>
        <v/>
      </c>
      <c r="R792" s="5">
        <f>IF(tblOrdenes[[#This Row],[fecha_inicio]]="","",tblOrdenes[[#This Row],[anio]]&amp;"-"&amp;TEXT(tblOrdenes[[#This Row],[mes]],"00"))</f>
        <v/>
      </c>
      <c r="S792" s="5">
        <f>IF(tblOrdenes[[#This Row],[fecha_inicio]]="","",INDEX(lista_dias,WEEKDAY(tblOrdenes[[#This Row],[fecha_inicio]],2)))</f>
        <v/>
      </c>
      <c r="T7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2" s="5">
        <f>IF(tblOrdenes[[#This Row],[tipo_ot]]="","",_xlfn.XLOOKUP(tblOrdenes[[#This Row],[tipo_ot]],tblTiposOT[codigo],tblTiposOT[clasificacion],"sin_clasificar"))</f>
        <v/>
      </c>
      <c r="V7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2" s="5">
        <f>IF(tblOrdenes[[#This Row],[centro_costo]]="","",_xlfn.XLOOKUP(tblOrdenes[[#This Row],[centro_costo]],tblCECO[codigo],tblCECO[linea],"(sin catálogo)"))</f>
        <v/>
      </c>
      <c r="X792" s="5">
        <f>IF(tblOrdenes[[#This Row],[centro_costo]]="","",_xlfn.XLOOKUP(tblOrdenes[[#This Row],[centro_costo]],tblCECO[codigo],tblCECO[area],"(sin catálogo)"))</f>
        <v/>
      </c>
      <c r="Y7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2" s="5">
        <f>IF(tblOrdenes[[#This Row],[centro_costo]]="","",_xlfn.XLOOKUP(tblOrdenes[[#This Row],[centro_costo]],tblCECO[codigo],tblCECO[coordinador],"(sin catálogo)"))</f>
        <v/>
      </c>
      <c r="AA792" s="5">
        <f>IF(tblOrdenes[[#This Row],[puesto_trabajo]]="","",_xlfn.XLOOKUP(tblOrdenes[[#This Row],[puesto_trabajo]],tblPuestos[codigo],tblPuestos[especialidad],"(sin catálogo)"))</f>
        <v/>
      </c>
      <c r="AB792" s="5">
        <f>IF(tblOrdenes[[#This Row],[cod_actividad]]="","",_xlfn.XLOOKUP(tblOrdenes[[#This Row],[cod_actividad]],tblActividades[codigo],tblActividades[descripcion],"(sin catálogo)"))</f>
        <v/>
      </c>
      <c r="AC792" s="20">
        <f>IF(tblOrdenes[[#This Row],[fecha_inicio]]="","",TODAY()-tblOrdenes[[#This Row],[fecha_inicio]])</f>
        <v/>
      </c>
      <c r="AD7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2" s="5">
        <f>IF(tblOrdenes[[#This Row],[backlog_habiles]]="","",IF(tblOrdenes[[#This Row],[backlog_habiles]]&lt;0,"FUTURO",IF(tblOrdenes[[#This Row],[backlog_habiles]]&gt;p_dias_backlog_max,"BACKLOG","MES CORRIENTE")))</f>
        <v/>
      </c>
      <c r="AF792" s="5">
        <f>IF(tblOrdenes[[#This Row],[backlog_habiles]]="",FALSE,AND(tblOrdenes[[#This Row],[backlog_habiles]]&gt;p_dias_backlog_min,tblOrdenes[[#This Row],[backlog_habiles]]&lt;=p_dias_backlog_max))</f>
        <v/>
      </c>
      <c r="AG792" s="4" t="n"/>
      <c r="AH7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2" s="18">
        <f>IF(tblOrdenes[[#This Row],[orden]]="","",_xlfn.XLOOKUP(tblOrdenes[[#This Row],[id_operacion]],tblEjecucion[id_operacion],tblEjecucion[precio],0))</f>
        <v/>
      </c>
      <c r="AL792" s="18">
        <f>IF(tblOrdenes[[#This Row],[orden]]="","",MAX(0,_xlfn.XLOOKUP(tblOrdenes[[#This Row],[id_operacion]],tblEjecucion[id_operacion],tblEjecucion[costo_plan_total],0)-tblOrdenes[[#This Row],[costo_servicio]]))</f>
        <v/>
      </c>
      <c r="AM792" s="18">
        <f>IF(tblOrdenes[[#This Row],[orden]]="","",tblOrdenes[[#This Row],[costo_servicio]]+tblOrdenes[[#This Row],[costo_materiales]])</f>
        <v/>
      </c>
      <c r="AN7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2" s="4" t="n"/>
      <c r="AP792" s="4" t="n"/>
      <c r="AQ792" s="4" t="n"/>
      <c r="AR792" s="5">
        <f>IF(tblOrdenes[[#This Row],[link_checklist]]="","",HYPERLINK(p_ruta_base_checklists&amp;tblOrdenes[[#This Row],[link_checklist]],"abrir"))</f>
        <v/>
      </c>
      <c r="AS792" s="4" t="n"/>
      <c r="AT792" s="5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22" t="n"/>
      <c r="K793" s="5" t="n"/>
      <c r="L793" s="18" t="n"/>
      <c r="M7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5">
        <f>IF(tblOrdenes[[#This Row],[fecha_inicio]]="","",YEAR(tblOrdenes[[#This Row],[fecha_inicio]]))</f>
        <v/>
      </c>
      <c r="Q793" s="5">
        <f>IF(tblOrdenes[[#This Row],[fecha_inicio]]="","",MONTH(tblOrdenes[[#This Row],[fecha_inicio]]))</f>
        <v/>
      </c>
      <c r="R793" s="5">
        <f>IF(tblOrdenes[[#This Row],[fecha_inicio]]="","",tblOrdenes[[#This Row],[anio]]&amp;"-"&amp;TEXT(tblOrdenes[[#This Row],[mes]],"00"))</f>
        <v/>
      </c>
      <c r="S793" s="5">
        <f>IF(tblOrdenes[[#This Row],[fecha_inicio]]="","",INDEX(lista_dias,WEEKDAY(tblOrdenes[[#This Row],[fecha_inicio]],2)))</f>
        <v/>
      </c>
      <c r="T7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3" s="5">
        <f>IF(tblOrdenes[[#This Row],[tipo_ot]]="","",_xlfn.XLOOKUP(tblOrdenes[[#This Row],[tipo_ot]],tblTiposOT[codigo],tblTiposOT[clasificacion],"sin_clasificar"))</f>
        <v/>
      </c>
      <c r="V7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3" s="5">
        <f>IF(tblOrdenes[[#This Row],[centro_costo]]="","",_xlfn.XLOOKUP(tblOrdenes[[#This Row],[centro_costo]],tblCECO[codigo],tblCECO[linea],"(sin catálogo)"))</f>
        <v/>
      </c>
      <c r="X793" s="5">
        <f>IF(tblOrdenes[[#This Row],[centro_costo]]="","",_xlfn.XLOOKUP(tblOrdenes[[#This Row],[centro_costo]],tblCECO[codigo],tblCECO[area],"(sin catálogo)"))</f>
        <v/>
      </c>
      <c r="Y7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3" s="5">
        <f>IF(tblOrdenes[[#This Row],[centro_costo]]="","",_xlfn.XLOOKUP(tblOrdenes[[#This Row],[centro_costo]],tblCECO[codigo],tblCECO[coordinador],"(sin catálogo)"))</f>
        <v/>
      </c>
      <c r="AA793" s="5">
        <f>IF(tblOrdenes[[#This Row],[puesto_trabajo]]="","",_xlfn.XLOOKUP(tblOrdenes[[#This Row],[puesto_trabajo]],tblPuestos[codigo],tblPuestos[especialidad],"(sin catálogo)"))</f>
        <v/>
      </c>
      <c r="AB793" s="5">
        <f>IF(tblOrdenes[[#This Row],[cod_actividad]]="","",_xlfn.XLOOKUP(tblOrdenes[[#This Row],[cod_actividad]],tblActividades[codigo],tblActividades[descripcion],"(sin catálogo)"))</f>
        <v/>
      </c>
      <c r="AC793" s="20">
        <f>IF(tblOrdenes[[#This Row],[fecha_inicio]]="","",TODAY()-tblOrdenes[[#This Row],[fecha_inicio]])</f>
        <v/>
      </c>
      <c r="AD7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3" s="5">
        <f>IF(tblOrdenes[[#This Row],[backlog_habiles]]="","",IF(tblOrdenes[[#This Row],[backlog_habiles]]&lt;0,"FUTURO",IF(tblOrdenes[[#This Row],[backlog_habiles]]&gt;p_dias_backlog_max,"BACKLOG","MES CORRIENTE")))</f>
        <v/>
      </c>
      <c r="AF793" s="5">
        <f>IF(tblOrdenes[[#This Row],[backlog_habiles]]="",FALSE,AND(tblOrdenes[[#This Row],[backlog_habiles]]&gt;p_dias_backlog_min,tblOrdenes[[#This Row],[backlog_habiles]]&lt;=p_dias_backlog_max))</f>
        <v/>
      </c>
      <c r="AG793" s="4" t="n"/>
      <c r="AH7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3" s="18">
        <f>IF(tblOrdenes[[#This Row],[orden]]="","",_xlfn.XLOOKUP(tblOrdenes[[#This Row],[id_operacion]],tblEjecucion[id_operacion],tblEjecucion[precio],0))</f>
        <v/>
      </c>
      <c r="AL793" s="18">
        <f>IF(tblOrdenes[[#This Row],[orden]]="","",MAX(0,_xlfn.XLOOKUP(tblOrdenes[[#This Row],[id_operacion]],tblEjecucion[id_operacion],tblEjecucion[costo_plan_total],0)-tblOrdenes[[#This Row],[costo_servicio]]))</f>
        <v/>
      </c>
      <c r="AM793" s="18">
        <f>IF(tblOrdenes[[#This Row],[orden]]="","",tblOrdenes[[#This Row],[costo_servicio]]+tblOrdenes[[#This Row],[costo_materiales]])</f>
        <v/>
      </c>
      <c r="AN7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3" s="4" t="n"/>
      <c r="AP793" s="4" t="n"/>
      <c r="AQ793" s="4" t="n"/>
      <c r="AR793" s="5">
        <f>IF(tblOrdenes[[#This Row],[link_checklist]]="","",HYPERLINK(p_ruta_base_checklists&amp;tblOrdenes[[#This Row],[link_checklist]],"abrir"))</f>
        <v/>
      </c>
      <c r="AS793" s="4" t="n"/>
      <c r="AT793" s="5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22" t="n"/>
      <c r="K794" s="5" t="n"/>
      <c r="L794" s="18" t="n"/>
      <c r="M7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5">
        <f>IF(tblOrdenes[[#This Row],[fecha_inicio]]="","",YEAR(tblOrdenes[[#This Row],[fecha_inicio]]))</f>
        <v/>
      </c>
      <c r="Q794" s="5">
        <f>IF(tblOrdenes[[#This Row],[fecha_inicio]]="","",MONTH(tblOrdenes[[#This Row],[fecha_inicio]]))</f>
        <v/>
      </c>
      <c r="R794" s="5">
        <f>IF(tblOrdenes[[#This Row],[fecha_inicio]]="","",tblOrdenes[[#This Row],[anio]]&amp;"-"&amp;TEXT(tblOrdenes[[#This Row],[mes]],"00"))</f>
        <v/>
      </c>
      <c r="S794" s="5">
        <f>IF(tblOrdenes[[#This Row],[fecha_inicio]]="","",INDEX(lista_dias,WEEKDAY(tblOrdenes[[#This Row],[fecha_inicio]],2)))</f>
        <v/>
      </c>
      <c r="T7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4" s="5">
        <f>IF(tblOrdenes[[#This Row],[tipo_ot]]="","",_xlfn.XLOOKUP(tblOrdenes[[#This Row],[tipo_ot]],tblTiposOT[codigo],tblTiposOT[clasificacion],"sin_clasificar"))</f>
        <v/>
      </c>
      <c r="V7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4" s="5">
        <f>IF(tblOrdenes[[#This Row],[centro_costo]]="","",_xlfn.XLOOKUP(tblOrdenes[[#This Row],[centro_costo]],tblCECO[codigo],tblCECO[linea],"(sin catálogo)"))</f>
        <v/>
      </c>
      <c r="X794" s="5">
        <f>IF(tblOrdenes[[#This Row],[centro_costo]]="","",_xlfn.XLOOKUP(tblOrdenes[[#This Row],[centro_costo]],tblCECO[codigo],tblCECO[area],"(sin catálogo)"))</f>
        <v/>
      </c>
      <c r="Y7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4" s="5">
        <f>IF(tblOrdenes[[#This Row],[centro_costo]]="","",_xlfn.XLOOKUP(tblOrdenes[[#This Row],[centro_costo]],tblCECO[codigo],tblCECO[coordinador],"(sin catálogo)"))</f>
        <v/>
      </c>
      <c r="AA794" s="5">
        <f>IF(tblOrdenes[[#This Row],[puesto_trabajo]]="","",_xlfn.XLOOKUP(tblOrdenes[[#This Row],[puesto_trabajo]],tblPuestos[codigo],tblPuestos[especialidad],"(sin catálogo)"))</f>
        <v/>
      </c>
      <c r="AB794" s="5">
        <f>IF(tblOrdenes[[#This Row],[cod_actividad]]="","",_xlfn.XLOOKUP(tblOrdenes[[#This Row],[cod_actividad]],tblActividades[codigo],tblActividades[descripcion],"(sin catálogo)"))</f>
        <v/>
      </c>
      <c r="AC794" s="20">
        <f>IF(tblOrdenes[[#This Row],[fecha_inicio]]="","",TODAY()-tblOrdenes[[#This Row],[fecha_inicio]])</f>
        <v/>
      </c>
      <c r="AD7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4" s="5">
        <f>IF(tblOrdenes[[#This Row],[backlog_habiles]]="","",IF(tblOrdenes[[#This Row],[backlog_habiles]]&lt;0,"FUTURO",IF(tblOrdenes[[#This Row],[backlog_habiles]]&gt;p_dias_backlog_max,"BACKLOG","MES CORRIENTE")))</f>
        <v/>
      </c>
      <c r="AF794" s="5">
        <f>IF(tblOrdenes[[#This Row],[backlog_habiles]]="",FALSE,AND(tblOrdenes[[#This Row],[backlog_habiles]]&gt;p_dias_backlog_min,tblOrdenes[[#This Row],[backlog_habiles]]&lt;=p_dias_backlog_max))</f>
        <v/>
      </c>
      <c r="AG794" s="4" t="n"/>
      <c r="AH7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4" s="18">
        <f>IF(tblOrdenes[[#This Row],[orden]]="","",_xlfn.XLOOKUP(tblOrdenes[[#This Row],[id_operacion]],tblEjecucion[id_operacion],tblEjecucion[precio],0))</f>
        <v/>
      </c>
      <c r="AL794" s="18">
        <f>IF(tblOrdenes[[#This Row],[orden]]="","",MAX(0,_xlfn.XLOOKUP(tblOrdenes[[#This Row],[id_operacion]],tblEjecucion[id_operacion],tblEjecucion[costo_plan_total],0)-tblOrdenes[[#This Row],[costo_servicio]]))</f>
        <v/>
      </c>
      <c r="AM794" s="18">
        <f>IF(tblOrdenes[[#This Row],[orden]]="","",tblOrdenes[[#This Row],[costo_servicio]]+tblOrdenes[[#This Row],[costo_materiales]])</f>
        <v/>
      </c>
      <c r="AN7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4" s="4" t="n"/>
      <c r="AP794" s="4" t="n"/>
      <c r="AQ794" s="4" t="n"/>
      <c r="AR794" s="5">
        <f>IF(tblOrdenes[[#This Row],[link_checklist]]="","",HYPERLINK(p_ruta_base_checklists&amp;tblOrdenes[[#This Row],[link_checklist]],"abrir"))</f>
        <v/>
      </c>
      <c r="AS794" s="4" t="n"/>
      <c r="AT794" s="5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22" t="n"/>
      <c r="K795" s="5" t="n"/>
      <c r="L795" s="18" t="n"/>
      <c r="M7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5">
        <f>IF(tblOrdenes[[#This Row],[fecha_inicio]]="","",YEAR(tblOrdenes[[#This Row],[fecha_inicio]]))</f>
        <v/>
      </c>
      <c r="Q795" s="5">
        <f>IF(tblOrdenes[[#This Row],[fecha_inicio]]="","",MONTH(tblOrdenes[[#This Row],[fecha_inicio]]))</f>
        <v/>
      </c>
      <c r="R795" s="5">
        <f>IF(tblOrdenes[[#This Row],[fecha_inicio]]="","",tblOrdenes[[#This Row],[anio]]&amp;"-"&amp;TEXT(tblOrdenes[[#This Row],[mes]],"00"))</f>
        <v/>
      </c>
      <c r="S795" s="5">
        <f>IF(tblOrdenes[[#This Row],[fecha_inicio]]="","",INDEX(lista_dias,WEEKDAY(tblOrdenes[[#This Row],[fecha_inicio]],2)))</f>
        <v/>
      </c>
      <c r="T7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5" s="5">
        <f>IF(tblOrdenes[[#This Row],[tipo_ot]]="","",_xlfn.XLOOKUP(tblOrdenes[[#This Row],[tipo_ot]],tblTiposOT[codigo],tblTiposOT[clasificacion],"sin_clasificar"))</f>
        <v/>
      </c>
      <c r="V7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5" s="5">
        <f>IF(tblOrdenes[[#This Row],[centro_costo]]="","",_xlfn.XLOOKUP(tblOrdenes[[#This Row],[centro_costo]],tblCECO[codigo],tblCECO[linea],"(sin catálogo)"))</f>
        <v/>
      </c>
      <c r="X795" s="5">
        <f>IF(tblOrdenes[[#This Row],[centro_costo]]="","",_xlfn.XLOOKUP(tblOrdenes[[#This Row],[centro_costo]],tblCECO[codigo],tblCECO[area],"(sin catálogo)"))</f>
        <v/>
      </c>
      <c r="Y7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5" s="5">
        <f>IF(tblOrdenes[[#This Row],[centro_costo]]="","",_xlfn.XLOOKUP(tblOrdenes[[#This Row],[centro_costo]],tblCECO[codigo],tblCECO[coordinador],"(sin catálogo)"))</f>
        <v/>
      </c>
      <c r="AA795" s="5">
        <f>IF(tblOrdenes[[#This Row],[puesto_trabajo]]="","",_xlfn.XLOOKUP(tblOrdenes[[#This Row],[puesto_trabajo]],tblPuestos[codigo],tblPuestos[especialidad],"(sin catálogo)"))</f>
        <v/>
      </c>
      <c r="AB795" s="5">
        <f>IF(tblOrdenes[[#This Row],[cod_actividad]]="","",_xlfn.XLOOKUP(tblOrdenes[[#This Row],[cod_actividad]],tblActividades[codigo],tblActividades[descripcion],"(sin catálogo)"))</f>
        <v/>
      </c>
      <c r="AC795" s="20">
        <f>IF(tblOrdenes[[#This Row],[fecha_inicio]]="","",TODAY()-tblOrdenes[[#This Row],[fecha_inicio]])</f>
        <v/>
      </c>
      <c r="AD7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5" s="5">
        <f>IF(tblOrdenes[[#This Row],[backlog_habiles]]="","",IF(tblOrdenes[[#This Row],[backlog_habiles]]&lt;0,"FUTURO",IF(tblOrdenes[[#This Row],[backlog_habiles]]&gt;p_dias_backlog_max,"BACKLOG","MES CORRIENTE")))</f>
        <v/>
      </c>
      <c r="AF795" s="5">
        <f>IF(tblOrdenes[[#This Row],[backlog_habiles]]="",FALSE,AND(tblOrdenes[[#This Row],[backlog_habiles]]&gt;p_dias_backlog_min,tblOrdenes[[#This Row],[backlog_habiles]]&lt;=p_dias_backlog_max))</f>
        <v/>
      </c>
      <c r="AG795" s="4" t="n"/>
      <c r="AH7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5" s="18">
        <f>IF(tblOrdenes[[#This Row],[orden]]="","",_xlfn.XLOOKUP(tblOrdenes[[#This Row],[id_operacion]],tblEjecucion[id_operacion],tblEjecucion[precio],0))</f>
        <v/>
      </c>
      <c r="AL795" s="18">
        <f>IF(tblOrdenes[[#This Row],[orden]]="","",MAX(0,_xlfn.XLOOKUP(tblOrdenes[[#This Row],[id_operacion]],tblEjecucion[id_operacion],tblEjecucion[costo_plan_total],0)-tblOrdenes[[#This Row],[costo_servicio]]))</f>
        <v/>
      </c>
      <c r="AM795" s="18">
        <f>IF(tblOrdenes[[#This Row],[orden]]="","",tblOrdenes[[#This Row],[costo_servicio]]+tblOrdenes[[#This Row],[costo_materiales]])</f>
        <v/>
      </c>
      <c r="AN7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5" s="4" t="n"/>
      <c r="AP795" s="4" t="n"/>
      <c r="AQ795" s="4" t="n"/>
      <c r="AR795" s="5">
        <f>IF(tblOrdenes[[#This Row],[link_checklist]]="","",HYPERLINK(p_ruta_base_checklists&amp;tblOrdenes[[#This Row],[link_checklist]],"abrir"))</f>
        <v/>
      </c>
      <c r="AS795" s="4" t="n"/>
      <c r="AT795" s="5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22" t="n"/>
      <c r="K796" s="5" t="n"/>
      <c r="L796" s="18" t="n"/>
      <c r="M7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5">
        <f>IF(tblOrdenes[[#This Row],[fecha_inicio]]="","",YEAR(tblOrdenes[[#This Row],[fecha_inicio]]))</f>
        <v/>
      </c>
      <c r="Q796" s="5">
        <f>IF(tblOrdenes[[#This Row],[fecha_inicio]]="","",MONTH(tblOrdenes[[#This Row],[fecha_inicio]]))</f>
        <v/>
      </c>
      <c r="R796" s="5">
        <f>IF(tblOrdenes[[#This Row],[fecha_inicio]]="","",tblOrdenes[[#This Row],[anio]]&amp;"-"&amp;TEXT(tblOrdenes[[#This Row],[mes]],"00"))</f>
        <v/>
      </c>
      <c r="S796" s="5">
        <f>IF(tblOrdenes[[#This Row],[fecha_inicio]]="","",INDEX(lista_dias,WEEKDAY(tblOrdenes[[#This Row],[fecha_inicio]],2)))</f>
        <v/>
      </c>
      <c r="T7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6" s="5">
        <f>IF(tblOrdenes[[#This Row],[tipo_ot]]="","",_xlfn.XLOOKUP(tblOrdenes[[#This Row],[tipo_ot]],tblTiposOT[codigo],tblTiposOT[clasificacion],"sin_clasificar"))</f>
        <v/>
      </c>
      <c r="V7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6" s="5">
        <f>IF(tblOrdenes[[#This Row],[centro_costo]]="","",_xlfn.XLOOKUP(tblOrdenes[[#This Row],[centro_costo]],tblCECO[codigo],tblCECO[linea],"(sin catálogo)"))</f>
        <v/>
      </c>
      <c r="X796" s="5">
        <f>IF(tblOrdenes[[#This Row],[centro_costo]]="","",_xlfn.XLOOKUP(tblOrdenes[[#This Row],[centro_costo]],tblCECO[codigo],tblCECO[area],"(sin catálogo)"))</f>
        <v/>
      </c>
      <c r="Y7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6" s="5">
        <f>IF(tblOrdenes[[#This Row],[centro_costo]]="","",_xlfn.XLOOKUP(tblOrdenes[[#This Row],[centro_costo]],tblCECO[codigo],tblCECO[coordinador],"(sin catálogo)"))</f>
        <v/>
      </c>
      <c r="AA796" s="5">
        <f>IF(tblOrdenes[[#This Row],[puesto_trabajo]]="","",_xlfn.XLOOKUP(tblOrdenes[[#This Row],[puesto_trabajo]],tblPuestos[codigo],tblPuestos[especialidad],"(sin catálogo)"))</f>
        <v/>
      </c>
      <c r="AB796" s="5">
        <f>IF(tblOrdenes[[#This Row],[cod_actividad]]="","",_xlfn.XLOOKUP(tblOrdenes[[#This Row],[cod_actividad]],tblActividades[codigo],tblActividades[descripcion],"(sin catálogo)"))</f>
        <v/>
      </c>
      <c r="AC796" s="20">
        <f>IF(tblOrdenes[[#This Row],[fecha_inicio]]="","",TODAY()-tblOrdenes[[#This Row],[fecha_inicio]])</f>
        <v/>
      </c>
      <c r="AD7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6" s="5">
        <f>IF(tblOrdenes[[#This Row],[backlog_habiles]]="","",IF(tblOrdenes[[#This Row],[backlog_habiles]]&lt;0,"FUTURO",IF(tblOrdenes[[#This Row],[backlog_habiles]]&gt;p_dias_backlog_max,"BACKLOG","MES CORRIENTE")))</f>
        <v/>
      </c>
      <c r="AF796" s="5">
        <f>IF(tblOrdenes[[#This Row],[backlog_habiles]]="",FALSE,AND(tblOrdenes[[#This Row],[backlog_habiles]]&gt;p_dias_backlog_min,tblOrdenes[[#This Row],[backlog_habiles]]&lt;=p_dias_backlog_max))</f>
        <v/>
      </c>
      <c r="AG796" s="4" t="n"/>
      <c r="AH7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6" s="18">
        <f>IF(tblOrdenes[[#This Row],[orden]]="","",_xlfn.XLOOKUP(tblOrdenes[[#This Row],[id_operacion]],tblEjecucion[id_operacion],tblEjecucion[precio],0))</f>
        <v/>
      </c>
      <c r="AL796" s="18">
        <f>IF(tblOrdenes[[#This Row],[orden]]="","",MAX(0,_xlfn.XLOOKUP(tblOrdenes[[#This Row],[id_operacion]],tblEjecucion[id_operacion],tblEjecucion[costo_plan_total],0)-tblOrdenes[[#This Row],[costo_servicio]]))</f>
        <v/>
      </c>
      <c r="AM796" s="18">
        <f>IF(tblOrdenes[[#This Row],[orden]]="","",tblOrdenes[[#This Row],[costo_servicio]]+tblOrdenes[[#This Row],[costo_materiales]])</f>
        <v/>
      </c>
      <c r="AN7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6" s="4" t="n"/>
      <c r="AP796" s="4" t="n"/>
      <c r="AQ796" s="4" t="n"/>
      <c r="AR796" s="5">
        <f>IF(tblOrdenes[[#This Row],[link_checklist]]="","",HYPERLINK(p_ruta_base_checklists&amp;tblOrdenes[[#This Row],[link_checklist]],"abrir"))</f>
        <v/>
      </c>
      <c r="AS796" s="4" t="n"/>
      <c r="AT796" s="5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22" t="n"/>
      <c r="K797" s="5" t="n"/>
      <c r="L797" s="18" t="n"/>
      <c r="M7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5">
        <f>IF(tblOrdenes[[#This Row],[fecha_inicio]]="","",YEAR(tblOrdenes[[#This Row],[fecha_inicio]]))</f>
        <v/>
      </c>
      <c r="Q797" s="5">
        <f>IF(tblOrdenes[[#This Row],[fecha_inicio]]="","",MONTH(tblOrdenes[[#This Row],[fecha_inicio]]))</f>
        <v/>
      </c>
      <c r="R797" s="5">
        <f>IF(tblOrdenes[[#This Row],[fecha_inicio]]="","",tblOrdenes[[#This Row],[anio]]&amp;"-"&amp;TEXT(tblOrdenes[[#This Row],[mes]],"00"))</f>
        <v/>
      </c>
      <c r="S797" s="5">
        <f>IF(tblOrdenes[[#This Row],[fecha_inicio]]="","",INDEX(lista_dias,WEEKDAY(tblOrdenes[[#This Row],[fecha_inicio]],2)))</f>
        <v/>
      </c>
      <c r="T7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7" s="5">
        <f>IF(tblOrdenes[[#This Row],[tipo_ot]]="","",_xlfn.XLOOKUP(tblOrdenes[[#This Row],[tipo_ot]],tblTiposOT[codigo],tblTiposOT[clasificacion],"sin_clasificar"))</f>
        <v/>
      </c>
      <c r="V7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7" s="5">
        <f>IF(tblOrdenes[[#This Row],[centro_costo]]="","",_xlfn.XLOOKUP(tblOrdenes[[#This Row],[centro_costo]],tblCECO[codigo],tblCECO[linea],"(sin catálogo)"))</f>
        <v/>
      </c>
      <c r="X797" s="5">
        <f>IF(tblOrdenes[[#This Row],[centro_costo]]="","",_xlfn.XLOOKUP(tblOrdenes[[#This Row],[centro_costo]],tblCECO[codigo],tblCECO[area],"(sin catálogo)"))</f>
        <v/>
      </c>
      <c r="Y7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7" s="5">
        <f>IF(tblOrdenes[[#This Row],[centro_costo]]="","",_xlfn.XLOOKUP(tblOrdenes[[#This Row],[centro_costo]],tblCECO[codigo],tblCECO[coordinador],"(sin catálogo)"))</f>
        <v/>
      </c>
      <c r="AA797" s="5">
        <f>IF(tblOrdenes[[#This Row],[puesto_trabajo]]="","",_xlfn.XLOOKUP(tblOrdenes[[#This Row],[puesto_trabajo]],tblPuestos[codigo],tblPuestos[especialidad],"(sin catálogo)"))</f>
        <v/>
      </c>
      <c r="AB797" s="5">
        <f>IF(tblOrdenes[[#This Row],[cod_actividad]]="","",_xlfn.XLOOKUP(tblOrdenes[[#This Row],[cod_actividad]],tblActividades[codigo],tblActividades[descripcion],"(sin catálogo)"))</f>
        <v/>
      </c>
      <c r="AC797" s="20">
        <f>IF(tblOrdenes[[#This Row],[fecha_inicio]]="","",TODAY()-tblOrdenes[[#This Row],[fecha_inicio]])</f>
        <v/>
      </c>
      <c r="AD7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7" s="5">
        <f>IF(tblOrdenes[[#This Row],[backlog_habiles]]="","",IF(tblOrdenes[[#This Row],[backlog_habiles]]&lt;0,"FUTURO",IF(tblOrdenes[[#This Row],[backlog_habiles]]&gt;p_dias_backlog_max,"BACKLOG","MES CORRIENTE")))</f>
        <v/>
      </c>
      <c r="AF797" s="5">
        <f>IF(tblOrdenes[[#This Row],[backlog_habiles]]="",FALSE,AND(tblOrdenes[[#This Row],[backlog_habiles]]&gt;p_dias_backlog_min,tblOrdenes[[#This Row],[backlog_habiles]]&lt;=p_dias_backlog_max))</f>
        <v/>
      </c>
      <c r="AG797" s="4" t="n"/>
      <c r="AH7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7" s="18">
        <f>IF(tblOrdenes[[#This Row],[orden]]="","",_xlfn.XLOOKUP(tblOrdenes[[#This Row],[id_operacion]],tblEjecucion[id_operacion],tblEjecucion[precio],0))</f>
        <v/>
      </c>
      <c r="AL797" s="18">
        <f>IF(tblOrdenes[[#This Row],[orden]]="","",MAX(0,_xlfn.XLOOKUP(tblOrdenes[[#This Row],[id_operacion]],tblEjecucion[id_operacion],tblEjecucion[costo_plan_total],0)-tblOrdenes[[#This Row],[costo_servicio]]))</f>
        <v/>
      </c>
      <c r="AM797" s="18">
        <f>IF(tblOrdenes[[#This Row],[orden]]="","",tblOrdenes[[#This Row],[costo_servicio]]+tblOrdenes[[#This Row],[costo_materiales]])</f>
        <v/>
      </c>
      <c r="AN7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7" s="4" t="n"/>
      <c r="AP797" s="4" t="n"/>
      <c r="AQ797" s="4" t="n"/>
      <c r="AR797" s="5">
        <f>IF(tblOrdenes[[#This Row],[link_checklist]]="","",HYPERLINK(p_ruta_base_checklists&amp;tblOrdenes[[#This Row],[link_checklist]],"abrir"))</f>
        <v/>
      </c>
      <c r="AS797" s="4" t="n"/>
      <c r="AT797" s="5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22" t="n"/>
      <c r="K798" s="5" t="n"/>
      <c r="L798" s="18" t="n"/>
      <c r="M7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5">
        <f>IF(tblOrdenes[[#This Row],[fecha_inicio]]="","",YEAR(tblOrdenes[[#This Row],[fecha_inicio]]))</f>
        <v/>
      </c>
      <c r="Q798" s="5">
        <f>IF(tblOrdenes[[#This Row],[fecha_inicio]]="","",MONTH(tblOrdenes[[#This Row],[fecha_inicio]]))</f>
        <v/>
      </c>
      <c r="R798" s="5">
        <f>IF(tblOrdenes[[#This Row],[fecha_inicio]]="","",tblOrdenes[[#This Row],[anio]]&amp;"-"&amp;TEXT(tblOrdenes[[#This Row],[mes]],"00"))</f>
        <v/>
      </c>
      <c r="S798" s="5">
        <f>IF(tblOrdenes[[#This Row],[fecha_inicio]]="","",INDEX(lista_dias,WEEKDAY(tblOrdenes[[#This Row],[fecha_inicio]],2)))</f>
        <v/>
      </c>
      <c r="T7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8" s="5">
        <f>IF(tblOrdenes[[#This Row],[tipo_ot]]="","",_xlfn.XLOOKUP(tblOrdenes[[#This Row],[tipo_ot]],tblTiposOT[codigo],tblTiposOT[clasificacion],"sin_clasificar"))</f>
        <v/>
      </c>
      <c r="V7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8" s="5">
        <f>IF(tblOrdenes[[#This Row],[centro_costo]]="","",_xlfn.XLOOKUP(tblOrdenes[[#This Row],[centro_costo]],tblCECO[codigo],tblCECO[linea],"(sin catálogo)"))</f>
        <v/>
      </c>
      <c r="X798" s="5">
        <f>IF(tblOrdenes[[#This Row],[centro_costo]]="","",_xlfn.XLOOKUP(tblOrdenes[[#This Row],[centro_costo]],tblCECO[codigo],tblCECO[area],"(sin catálogo)"))</f>
        <v/>
      </c>
      <c r="Y7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8" s="5">
        <f>IF(tblOrdenes[[#This Row],[centro_costo]]="","",_xlfn.XLOOKUP(tblOrdenes[[#This Row],[centro_costo]],tblCECO[codigo],tblCECO[coordinador],"(sin catálogo)"))</f>
        <v/>
      </c>
      <c r="AA798" s="5">
        <f>IF(tblOrdenes[[#This Row],[puesto_trabajo]]="","",_xlfn.XLOOKUP(tblOrdenes[[#This Row],[puesto_trabajo]],tblPuestos[codigo],tblPuestos[especialidad],"(sin catálogo)"))</f>
        <v/>
      </c>
      <c r="AB798" s="5">
        <f>IF(tblOrdenes[[#This Row],[cod_actividad]]="","",_xlfn.XLOOKUP(tblOrdenes[[#This Row],[cod_actividad]],tblActividades[codigo],tblActividades[descripcion],"(sin catálogo)"))</f>
        <v/>
      </c>
      <c r="AC798" s="20">
        <f>IF(tblOrdenes[[#This Row],[fecha_inicio]]="","",TODAY()-tblOrdenes[[#This Row],[fecha_inicio]])</f>
        <v/>
      </c>
      <c r="AD7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8" s="5">
        <f>IF(tblOrdenes[[#This Row],[backlog_habiles]]="","",IF(tblOrdenes[[#This Row],[backlog_habiles]]&lt;0,"FUTURO",IF(tblOrdenes[[#This Row],[backlog_habiles]]&gt;p_dias_backlog_max,"BACKLOG","MES CORRIENTE")))</f>
        <v/>
      </c>
      <c r="AF798" s="5">
        <f>IF(tblOrdenes[[#This Row],[backlog_habiles]]="",FALSE,AND(tblOrdenes[[#This Row],[backlog_habiles]]&gt;p_dias_backlog_min,tblOrdenes[[#This Row],[backlog_habiles]]&lt;=p_dias_backlog_max))</f>
        <v/>
      </c>
      <c r="AG798" s="4" t="n"/>
      <c r="AH7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8" s="18">
        <f>IF(tblOrdenes[[#This Row],[orden]]="","",_xlfn.XLOOKUP(tblOrdenes[[#This Row],[id_operacion]],tblEjecucion[id_operacion],tblEjecucion[precio],0))</f>
        <v/>
      </c>
      <c r="AL798" s="18">
        <f>IF(tblOrdenes[[#This Row],[orden]]="","",MAX(0,_xlfn.XLOOKUP(tblOrdenes[[#This Row],[id_operacion]],tblEjecucion[id_operacion],tblEjecucion[costo_plan_total],0)-tblOrdenes[[#This Row],[costo_servicio]]))</f>
        <v/>
      </c>
      <c r="AM798" s="18">
        <f>IF(tblOrdenes[[#This Row],[orden]]="","",tblOrdenes[[#This Row],[costo_servicio]]+tblOrdenes[[#This Row],[costo_materiales]])</f>
        <v/>
      </c>
      <c r="AN7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8" s="4" t="n"/>
      <c r="AP798" s="4" t="n"/>
      <c r="AQ798" s="4" t="n"/>
      <c r="AR798" s="5">
        <f>IF(tblOrdenes[[#This Row],[link_checklist]]="","",HYPERLINK(p_ruta_base_checklists&amp;tblOrdenes[[#This Row],[link_checklist]],"abrir"))</f>
        <v/>
      </c>
      <c r="AS798" s="4" t="n"/>
      <c r="AT798" s="5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22" t="n"/>
      <c r="K799" s="5" t="n"/>
      <c r="L799" s="18" t="n"/>
      <c r="M7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5">
        <f>IF(tblOrdenes[[#This Row],[fecha_inicio]]="","",YEAR(tblOrdenes[[#This Row],[fecha_inicio]]))</f>
        <v/>
      </c>
      <c r="Q799" s="5">
        <f>IF(tblOrdenes[[#This Row],[fecha_inicio]]="","",MONTH(tblOrdenes[[#This Row],[fecha_inicio]]))</f>
        <v/>
      </c>
      <c r="R799" s="5">
        <f>IF(tblOrdenes[[#This Row],[fecha_inicio]]="","",tblOrdenes[[#This Row],[anio]]&amp;"-"&amp;TEXT(tblOrdenes[[#This Row],[mes]],"00"))</f>
        <v/>
      </c>
      <c r="S799" s="5">
        <f>IF(tblOrdenes[[#This Row],[fecha_inicio]]="","",INDEX(lista_dias,WEEKDAY(tblOrdenes[[#This Row],[fecha_inicio]],2)))</f>
        <v/>
      </c>
      <c r="T7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9" s="5">
        <f>IF(tblOrdenes[[#This Row],[tipo_ot]]="","",_xlfn.XLOOKUP(tblOrdenes[[#This Row],[tipo_ot]],tblTiposOT[codigo],tblTiposOT[clasificacion],"sin_clasificar"))</f>
        <v/>
      </c>
      <c r="V7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9" s="5">
        <f>IF(tblOrdenes[[#This Row],[centro_costo]]="","",_xlfn.XLOOKUP(tblOrdenes[[#This Row],[centro_costo]],tblCECO[codigo],tblCECO[linea],"(sin catálogo)"))</f>
        <v/>
      </c>
      <c r="X799" s="5">
        <f>IF(tblOrdenes[[#This Row],[centro_costo]]="","",_xlfn.XLOOKUP(tblOrdenes[[#This Row],[centro_costo]],tblCECO[codigo],tblCECO[area],"(sin catálogo)"))</f>
        <v/>
      </c>
      <c r="Y7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799" s="5">
        <f>IF(tblOrdenes[[#This Row],[centro_costo]]="","",_xlfn.XLOOKUP(tblOrdenes[[#This Row],[centro_costo]],tblCECO[codigo],tblCECO[coordinador],"(sin catálogo)"))</f>
        <v/>
      </c>
      <c r="AA799" s="5">
        <f>IF(tblOrdenes[[#This Row],[puesto_trabajo]]="","",_xlfn.XLOOKUP(tblOrdenes[[#This Row],[puesto_trabajo]],tblPuestos[codigo],tblPuestos[especialidad],"(sin catálogo)"))</f>
        <v/>
      </c>
      <c r="AB799" s="5">
        <f>IF(tblOrdenes[[#This Row],[cod_actividad]]="","",_xlfn.XLOOKUP(tblOrdenes[[#This Row],[cod_actividad]],tblActividades[codigo],tblActividades[descripcion],"(sin catálogo)"))</f>
        <v/>
      </c>
      <c r="AC799" s="20">
        <f>IF(tblOrdenes[[#This Row],[fecha_inicio]]="","",TODAY()-tblOrdenes[[#This Row],[fecha_inicio]])</f>
        <v/>
      </c>
      <c r="AD7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799" s="5">
        <f>IF(tblOrdenes[[#This Row],[backlog_habiles]]="","",IF(tblOrdenes[[#This Row],[backlog_habiles]]&lt;0,"FUTURO",IF(tblOrdenes[[#This Row],[backlog_habiles]]&gt;p_dias_backlog_max,"BACKLOG","MES CORRIENTE")))</f>
        <v/>
      </c>
      <c r="AF799" s="5">
        <f>IF(tblOrdenes[[#This Row],[backlog_habiles]]="",FALSE,AND(tblOrdenes[[#This Row],[backlog_habiles]]&gt;p_dias_backlog_min,tblOrdenes[[#This Row],[backlog_habiles]]&lt;=p_dias_backlog_max))</f>
        <v/>
      </c>
      <c r="AG799" s="4" t="n"/>
      <c r="AH7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7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7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799" s="18">
        <f>IF(tblOrdenes[[#This Row],[orden]]="","",_xlfn.XLOOKUP(tblOrdenes[[#This Row],[id_operacion]],tblEjecucion[id_operacion],tblEjecucion[precio],0))</f>
        <v/>
      </c>
      <c r="AL799" s="18">
        <f>IF(tblOrdenes[[#This Row],[orden]]="","",MAX(0,_xlfn.XLOOKUP(tblOrdenes[[#This Row],[id_operacion]],tblEjecucion[id_operacion],tblEjecucion[costo_plan_total],0)-tblOrdenes[[#This Row],[costo_servicio]]))</f>
        <v/>
      </c>
      <c r="AM799" s="18">
        <f>IF(tblOrdenes[[#This Row],[orden]]="","",tblOrdenes[[#This Row],[costo_servicio]]+tblOrdenes[[#This Row],[costo_materiales]])</f>
        <v/>
      </c>
      <c r="AN7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799" s="4" t="n"/>
      <c r="AP799" s="4" t="n"/>
      <c r="AQ799" s="4" t="n"/>
      <c r="AR799" s="5">
        <f>IF(tblOrdenes[[#This Row],[link_checklist]]="","",HYPERLINK(p_ruta_base_checklists&amp;tblOrdenes[[#This Row],[link_checklist]],"abrir"))</f>
        <v/>
      </c>
      <c r="AS799" s="4" t="n"/>
      <c r="AT799" s="5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22" t="n"/>
      <c r="K800" s="5" t="n"/>
      <c r="L800" s="18" t="n"/>
      <c r="M8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5">
        <f>IF(tblOrdenes[[#This Row],[fecha_inicio]]="","",YEAR(tblOrdenes[[#This Row],[fecha_inicio]]))</f>
        <v/>
      </c>
      <c r="Q800" s="5">
        <f>IF(tblOrdenes[[#This Row],[fecha_inicio]]="","",MONTH(tblOrdenes[[#This Row],[fecha_inicio]]))</f>
        <v/>
      </c>
      <c r="R800" s="5">
        <f>IF(tblOrdenes[[#This Row],[fecha_inicio]]="","",tblOrdenes[[#This Row],[anio]]&amp;"-"&amp;TEXT(tblOrdenes[[#This Row],[mes]],"00"))</f>
        <v/>
      </c>
      <c r="S800" s="5">
        <f>IF(tblOrdenes[[#This Row],[fecha_inicio]]="","",INDEX(lista_dias,WEEKDAY(tblOrdenes[[#This Row],[fecha_inicio]],2)))</f>
        <v/>
      </c>
      <c r="T8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0" s="5">
        <f>IF(tblOrdenes[[#This Row],[tipo_ot]]="","",_xlfn.XLOOKUP(tblOrdenes[[#This Row],[tipo_ot]],tblTiposOT[codigo],tblTiposOT[clasificacion],"sin_clasificar"))</f>
        <v/>
      </c>
      <c r="V8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0" s="5">
        <f>IF(tblOrdenes[[#This Row],[centro_costo]]="","",_xlfn.XLOOKUP(tblOrdenes[[#This Row],[centro_costo]],tblCECO[codigo],tblCECO[linea],"(sin catálogo)"))</f>
        <v/>
      </c>
      <c r="X800" s="5">
        <f>IF(tblOrdenes[[#This Row],[centro_costo]]="","",_xlfn.XLOOKUP(tblOrdenes[[#This Row],[centro_costo]],tblCECO[codigo],tblCECO[area],"(sin catálogo)"))</f>
        <v/>
      </c>
      <c r="Y8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0" s="5">
        <f>IF(tblOrdenes[[#This Row],[centro_costo]]="","",_xlfn.XLOOKUP(tblOrdenes[[#This Row],[centro_costo]],tblCECO[codigo],tblCECO[coordinador],"(sin catálogo)"))</f>
        <v/>
      </c>
      <c r="AA800" s="5">
        <f>IF(tblOrdenes[[#This Row],[puesto_trabajo]]="","",_xlfn.XLOOKUP(tblOrdenes[[#This Row],[puesto_trabajo]],tblPuestos[codigo],tblPuestos[especialidad],"(sin catálogo)"))</f>
        <v/>
      </c>
      <c r="AB800" s="5">
        <f>IF(tblOrdenes[[#This Row],[cod_actividad]]="","",_xlfn.XLOOKUP(tblOrdenes[[#This Row],[cod_actividad]],tblActividades[codigo],tblActividades[descripcion],"(sin catálogo)"))</f>
        <v/>
      </c>
      <c r="AC800" s="20">
        <f>IF(tblOrdenes[[#This Row],[fecha_inicio]]="","",TODAY()-tblOrdenes[[#This Row],[fecha_inicio]])</f>
        <v/>
      </c>
      <c r="AD8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0" s="5">
        <f>IF(tblOrdenes[[#This Row],[backlog_habiles]]="","",IF(tblOrdenes[[#This Row],[backlog_habiles]]&lt;0,"FUTURO",IF(tblOrdenes[[#This Row],[backlog_habiles]]&gt;p_dias_backlog_max,"BACKLOG","MES CORRIENTE")))</f>
        <v/>
      </c>
      <c r="AF800" s="5">
        <f>IF(tblOrdenes[[#This Row],[backlog_habiles]]="",FALSE,AND(tblOrdenes[[#This Row],[backlog_habiles]]&gt;p_dias_backlog_min,tblOrdenes[[#This Row],[backlog_habiles]]&lt;=p_dias_backlog_max))</f>
        <v/>
      </c>
      <c r="AG800" s="4" t="n"/>
      <c r="AH8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0" s="18">
        <f>IF(tblOrdenes[[#This Row],[orden]]="","",_xlfn.XLOOKUP(tblOrdenes[[#This Row],[id_operacion]],tblEjecucion[id_operacion],tblEjecucion[precio],0))</f>
        <v/>
      </c>
      <c r="AL800" s="18">
        <f>IF(tblOrdenes[[#This Row],[orden]]="","",MAX(0,_xlfn.XLOOKUP(tblOrdenes[[#This Row],[id_operacion]],tblEjecucion[id_operacion],tblEjecucion[costo_plan_total],0)-tblOrdenes[[#This Row],[costo_servicio]]))</f>
        <v/>
      </c>
      <c r="AM800" s="18">
        <f>IF(tblOrdenes[[#This Row],[orden]]="","",tblOrdenes[[#This Row],[costo_servicio]]+tblOrdenes[[#This Row],[costo_materiales]])</f>
        <v/>
      </c>
      <c r="AN8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0" s="4" t="n"/>
      <c r="AP800" s="4" t="n"/>
      <c r="AQ800" s="4" t="n"/>
      <c r="AR800" s="5">
        <f>IF(tblOrdenes[[#This Row],[link_checklist]]="","",HYPERLINK(p_ruta_base_checklists&amp;tblOrdenes[[#This Row],[link_checklist]],"abrir"))</f>
        <v/>
      </c>
      <c r="AS800" s="4" t="n"/>
      <c r="AT800" s="5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22" t="n"/>
      <c r="K801" s="5" t="n"/>
      <c r="L801" s="18" t="n"/>
      <c r="M8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5">
        <f>IF(tblOrdenes[[#This Row],[fecha_inicio]]="","",YEAR(tblOrdenes[[#This Row],[fecha_inicio]]))</f>
        <v/>
      </c>
      <c r="Q801" s="5">
        <f>IF(tblOrdenes[[#This Row],[fecha_inicio]]="","",MONTH(tblOrdenes[[#This Row],[fecha_inicio]]))</f>
        <v/>
      </c>
      <c r="R801" s="5">
        <f>IF(tblOrdenes[[#This Row],[fecha_inicio]]="","",tblOrdenes[[#This Row],[anio]]&amp;"-"&amp;TEXT(tblOrdenes[[#This Row],[mes]],"00"))</f>
        <v/>
      </c>
      <c r="S801" s="5">
        <f>IF(tblOrdenes[[#This Row],[fecha_inicio]]="","",INDEX(lista_dias,WEEKDAY(tblOrdenes[[#This Row],[fecha_inicio]],2)))</f>
        <v/>
      </c>
      <c r="T8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1" s="5">
        <f>IF(tblOrdenes[[#This Row],[tipo_ot]]="","",_xlfn.XLOOKUP(tblOrdenes[[#This Row],[tipo_ot]],tblTiposOT[codigo],tblTiposOT[clasificacion],"sin_clasificar"))</f>
        <v/>
      </c>
      <c r="V8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1" s="5">
        <f>IF(tblOrdenes[[#This Row],[centro_costo]]="","",_xlfn.XLOOKUP(tblOrdenes[[#This Row],[centro_costo]],tblCECO[codigo],tblCECO[linea],"(sin catálogo)"))</f>
        <v/>
      </c>
      <c r="X801" s="5">
        <f>IF(tblOrdenes[[#This Row],[centro_costo]]="","",_xlfn.XLOOKUP(tblOrdenes[[#This Row],[centro_costo]],tblCECO[codigo],tblCECO[area],"(sin catálogo)"))</f>
        <v/>
      </c>
      <c r="Y8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1" s="5">
        <f>IF(tblOrdenes[[#This Row],[centro_costo]]="","",_xlfn.XLOOKUP(tblOrdenes[[#This Row],[centro_costo]],tblCECO[codigo],tblCECO[coordinador],"(sin catálogo)"))</f>
        <v/>
      </c>
      <c r="AA801" s="5">
        <f>IF(tblOrdenes[[#This Row],[puesto_trabajo]]="","",_xlfn.XLOOKUP(tblOrdenes[[#This Row],[puesto_trabajo]],tblPuestos[codigo],tblPuestos[especialidad],"(sin catálogo)"))</f>
        <v/>
      </c>
      <c r="AB801" s="5">
        <f>IF(tblOrdenes[[#This Row],[cod_actividad]]="","",_xlfn.XLOOKUP(tblOrdenes[[#This Row],[cod_actividad]],tblActividades[codigo],tblActividades[descripcion],"(sin catálogo)"))</f>
        <v/>
      </c>
      <c r="AC801" s="20">
        <f>IF(tblOrdenes[[#This Row],[fecha_inicio]]="","",TODAY()-tblOrdenes[[#This Row],[fecha_inicio]])</f>
        <v/>
      </c>
      <c r="AD8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1" s="5">
        <f>IF(tblOrdenes[[#This Row],[backlog_habiles]]="","",IF(tblOrdenes[[#This Row],[backlog_habiles]]&lt;0,"FUTURO",IF(tblOrdenes[[#This Row],[backlog_habiles]]&gt;p_dias_backlog_max,"BACKLOG","MES CORRIENTE")))</f>
        <v/>
      </c>
      <c r="AF801" s="5">
        <f>IF(tblOrdenes[[#This Row],[backlog_habiles]]="",FALSE,AND(tblOrdenes[[#This Row],[backlog_habiles]]&gt;p_dias_backlog_min,tblOrdenes[[#This Row],[backlog_habiles]]&lt;=p_dias_backlog_max))</f>
        <v/>
      </c>
      <c r="AG801" s="4" t="n"/>
      <c r="AH8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1" s="18">
        <f>IF(tblOrdenes[[#This Row],[orden]]="","",_xlfn.XLOOKUP(tblOrdenes[[#This Row],[id_operacion]],tblEjecucion[id_operacion],tblEjecucion[precio],0))</f>
        <v/>
      </c>
      <c r="AL801" s="18">
        <f>IF(tblOrdenes[[#This Row],[orden]]="","",MAX(0,_xlfn.XLOOKUP(tblOrdenes[[#This Row],[id_operacion]],tblEjecucion[id_operacion],tblEjecucion[costo_plan_total],0)-tblOrdenes[[#This Row],[costo_servicio]]))</f>
        <v/>
      </c>
      <c r="AM801" s="18">
        <f>IF(tblOrdenes[[#This Row],[orden]]="","",tblOrdenes[[#This Row],[costo_servicio]]+tblOrdenes[[#This Row],[costo_materiales]])</f>
        <v/>
      </c>
      <c r="AN8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1" s="4" t="n"/>
      <c r="AP801" s="4" t="n"/>
      <c r="AQ801" s="4" t="n"/>
      <c r="AR801" s="5">
        <f>IF(tblOrdenes[[#This Row],[link_checklist]]="","",HYPERLINK(p_ruta_base_checklists&amp;tblOrdenes[[#This Row],[link_checklist]],"abrir"))</f>
        <v/>
      </c>
      <c r="AS801" s="4" t="n"/>
      <c r="AT801" s="5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22" t="n"/>
      <c r="K802" s="5" t="n"/>
      <c r="L802" s="18" t="n"/>
      <c r="M8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5">
        <f>IF(tblOrdenes[[#This Row],[fecha_inicio]]="","",YEAR(tblOrdenes[[#This Row],[fecha_inicio]]))</f>
        <v/>
      </c>
      <c r="Q802" s="5">
        <f>IF(tblOrdenes[[#This Row],[fecha_inicio]]="","",MONTH(tblOrdenes[[#This Row],[fecha_inicio]]))</f>
        <v/>
      </c>
      <c r="R802" s="5">
        <f>IF(tblOrdenes[[#This Row],[fecha_inicio]]="","",tblOrdenes[[#This Row],[anio]]&amp;"-"&amp;TEXT(tblOrdenes[[#This Row],[mes]],"00"))</f>
        <v/>
      </c>
      <c r="S802" s="5">
        <f>IF(tblOrdenes[[#This Row],[fecha_inicio]]="","",INDEX(lista_dias,WEEKDAY(tblOrdenes[[#This Row],[fecha_inicio]],2)))</f>
        <v/>
      </c>
      <c r="T8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2" s="5">
        <f>IF(tblOrdenes[[#This Row],[tipo_ot]]="","",_xlfn.XLOOKUP(tblOrdenes[[#This Row],[tipo_ot]],tblTiposOT[codigo],tblTiposOT[clasificacion],"sin_clasificar"))</f>
        <v/>
      </c>
      <c r="V8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2" s="5">
        <f>IF(tblOrdenes[[#This Row],[centro_costo]]="","",_xlfn.XLOOKUP(tblOrdenes[[#This Row],[centro_costo]],tblCECO[codigo],tblCECO[linea],"(sin catálogo)"))</f>
        <v/>
      </c>
      <c r="X802" s="5">
        <f>IF(tblOrdenes[[#This Row],[centro_costo]]="","",_xlfn.XLOOKUP(tblOrdenes[[#This Row],[centro_costo]],tblCECO[codigo],tblCECO[area],"(sin catálogo)"))</f>
        <v/>
      </c>
      <c r="Y8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2" s="5">
        <f>IF(tblOrdenes[[#This Row],[centro_costo]]="","",_xlfn.XLOOKUP(tblOrdenes[[#This Row],[centro_costo]],tblCECO[codigo],tblCECO[coordinador],"(sin catálogo)"))</f>
        <v/>
      </c>
      <c r="AA802" s="5">
        <f>IF(tblOrdenes[[#This Row],[puesto_trabajo]]="","",_xlfn.XLOOKUP(tblOrdenes[[#This Row],[puesto_trabajo]],tblPuestos[codigo],tblPuestos[especialidad],"(sin catálogo)"))</f>
        <v/>
      </c>
      <c r="AB802" s="5">
        <f>IF(tblOrdenes[[#This Row],[cod_actividad]]="","",_xlfn.XLOOKUP(tblOrdenes[[#This Row],[cod_actividad]],tblActividades[codigo],tblActividades[descripcion],"(sin catálogo)"))</f>
        <v/>
      </c>
      <c r="AC802" s="20">
        <f>IF(tblOrdenes[[#This Row],[fecha_inicio]]="","",TODAY()-tblOrdenes[[#This Row],[fecha_inicio]])</f>
        <v/>
      </c>
      <c r="AD8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2" s="5">
        <f>IF(tblOrdenes[[#This Row],[backlog_habiles]]="","",IF(tblOrdenes[[#This Row],[backlog_habiles]]&lt;0,"FUTURO",IF(tblOrdenes[[#This Row],[backlog_habiles]]&gt;p_dias_backlog_max,"BACKLOG","MES CORRIENTE")))</f>
        <v/>
      </c>
      <c r="AF802" s="5">
        <f>IF(tblOrdenes[[#This Row],[backlog_habiles]]="",FALSE,AND(tblOrdenes[[#This Row],[backlog_habiles]]&gt;p_dias_backlog_min,tblOrdenes[[#This Row],[backlog_habiles]]&lt;=p_dias_backlog_max))</f>
        <v/>
      </c>
      <c r="AG802" s="4" t="n"/>
      <c r="AH8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2" s="18">
        <f>IF(tblOrdenes[[#This Row],[orden]]="","",_xlfn.XLOOKUP(tblOrdenes[[#This Row],[id_operacion]],tblEjecucion[id_operacion],tblEjecucion[precio],0))</f>
        <v/>
      </c>
      <c r="AL802" s="18">
        <f>IF(tblOrdenes[[#This Row],[orden]]="","",MAX(0,_xlfn.XLOOKUP(tblOrdenes[[#This Row],[id_operacion]],tblEjecucion[id_operacion],tblEjecucion[costo_plan_total],0)-tblOrdenes[[#This Row],[costo_servicio]]))</f>
        <v/>
      </c>
      <c r="AM802" s="18">
        <f>IF(tblOrdenes[[#This Row],[orden]]="","",tblOrdenes[[#This Row],[costo_servicio]]+tblOrdenes[[#This Row],[costo_materiales]])</f>
        <v/>
      </c>
      <c r="AN8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2" s="4" t="n"/>
      <c r="AP802" s="4" t="n"/>
      <c r="AQ802" s="4" t="n"/>
      <c r="AR802" s="5">
        <f>IF(tblOrdenes[[#This Row],[link_checklist]]="","",HYPERLINK(p_ruta_base_checklists&amp;tblOrdenes[[#This Row],[link_checklist]],"abrir"))</f>
        <v/>
      </c>
      <c r="AS802" s="4" t="n"/>
      <c r="AT802" s="5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22" t="n"/>
      <c r="K803" s="5" t="n"/>
      <c r="L803" s="18" t="n"/>
      <c r="M8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5">
        <f>IF(tblOrdenes[[#This Row],[fecha_inicio]]="","",YEAR(tblOrdenes[[#This Row],[fecha_inicio]]))</f>
        <v/>
      </c>
      <c r="Q803" s="5">
        <f>IF(tblOrdenes[[#This Row],[fecha_inicio]]="","",MONTH(tblOrdenes[[#This Row],[fecha_inicio]]))</f>
        <v/>
      </c>
      <c r="R803" s="5">
        <f>IF(tblOrdenes[[#This Row],[fecha_inicio]]="","",tblOrdenes[[#This Row],[anio]]&amp;"-"&amp;TEXT(tblOrdenes[[#This Row],[mes]],"00"))</f>
        <v/>
      </c>
      <c r="S803" s="5">
        <f>IF(tblOrdenes[[#This Row],[fecha_inicio]]="","",INDEX(lista_dias,WEEKDAY(tblOrdenes[[#This Row],[fecha_inicio]],2)))</f>
        <v/>
      </c>
      <c r="T8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3" s="5">
        <f>IF(tblOrdenes[[#This Row],[tipo_ot]]="","",_xlfn.XLOOKUP(tblOrdenes[[#This Row],[tipo_ot]],tblTiposOT[codigo],tblTiposOT[clasificacion],"sin_clasificar"))</f>
        <v/>
      </c>
      <c r="V8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3" s="5">
        <f>IF(tblOrdenes[[#This Row],[centro_costo]]="","",_xlfn.XLOOKUP(tblOrdenes[[#This Row],[centro_costo]],tblCECO[codigo],tblCECO[linea],"(sin catálogo)"))</f>
        <v/>
      </c>
      <c r="X803" s="5">
        <f>IF(tblOrdenes[[#This Row],[centro_costo]]="","",_xlfn.XLOOKUP(tblOrdenes[[#This Row],[centro_costo]],tblCECO[codigo],tblCECO[area],"(sin catálogo)"))</f>
        <v/>
      </c>
      <c r="Y8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3" s="5">
        <f>IF(tblOrdenes[[#This Row],[centro_costo]]="","",_xlfn.XLOOKUP(tblOrdenes[[#This Row],[centro_costo]],tblCECO[codigo],tblCECO[coordinador],"(sin catálogo)"))</f>
        <v/>
      </c>
      <c r="AA803" s="5">
        <f>IF(tblOrdenes[[#This Row],[puesto_trabajo]]="","",_xlfn.XLOOKUP(tblOrdenes[[#This Row],[puesto_trabajo]],tblPuestos[codigo],tblPuestos[especialidad],"(sin catálogo)"))</f>
        <v/>
      </c>
      <c r="AB803" s="5">
        <f>IF(tblOrdenes[[#This Row],[cod_actividad]]="","",_xlfn.XLOOKUP(tblOrdenes[[#This Row],[cod_actividad]],tblActividades[codigo],tblActividades[descripcion],"(sin catálogo)"))</f>
        <v/>
      </c>
      <c r="AC803" s="20">
        <f>IF(tblOrdenes[[#This Row],[fecha_inicio]]="","",TODAY()-tblOrdenes[[#This Row],[fecha_inicio]])</f>
        <v/>
      </c>
      <c r="AD8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3" s="5">
        <f>IF(tblOrdenes[[#This Row],[backlog_habiles]]="","",IF(tblOrdenes[[#This Row],[backlog_habiles]]&lt;0,"FUTURO",IF(tblOrdenes[[#This Row],[backlog_habiles]]&gt;p_dias_backlog_max,"BACKLOG","MES CORRIENTE")))</f>
        <v/>
      </c>
      <c r="AF803" s="5">
        <f>IF(tblOrdenes[[#This Row],[backlog_habiles]]="",FALSE,AND(tblOrdenes[[#This Row],[backlog_habiles]]&gt;p_dias_backlog_min,tblOrdenes[[#This Row],[backlog_habiles]]&lt;=p_dias_backlog_max))</f>
        <v/>
      </c>
      <c r="AG803" s="4" t="n"/>
      <c r="AH8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3" s="18">
        <f>IF(tblOrdenes[[#This Row],[orden]]="","",_xlfn.XLOOKUP(tblOrdenes[[#This Row],[id_operacion]],tblEjecucion[id_operacion],tblEjecucion[precio],0))</f>
        <v/>
      </c>
      <c r="AL803" s="18">
        <f>IF(tblOrdenes[[#This Row],[orden]]="","",MAX(0,_xlfn.XLOOKUP(tblOrdenes[[#This Row],[id_operacion]],tblEjecucion[id_operacion],tblEjecucion[costo_plan_total],0)-tblOrdenes[[#This Row],[costo_servicio]]))</f>
        <v/>
      </c>
      <c r="AM803" s="18">
        <f>IF(tblOrdenes[[#This Row],[orden]]="","",tblOrdenes[[#This Row],[costo_servicio]]+tblOrdenes[[#This Row],[costo_materiales]])</f>
        <v/>
      </c>
      <c r="AN8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3" s="4" t="n"/>
      <c r="AP803" s="4" t="n"/>
      <c r="AQ803" s="4" t="n"/>
      <c r="AR803" s="5">
        <f>IF(tblOrdenes[[#This Row],[link_checklist]]="","",HYPERLINK(p_ruta_base_checklists&amp;tblOrdenes[[#This Row],[link_checklist]],"abrir"))</f>
        <v/>
      </c>
      <c r="AS803" s="4" t="n"/>
      <c r="AT803" s="5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22" t="n"/>
      <c r="K804" s="5" t="n"/>
      <c r="L804" s="18" t="n"/>
      <c r="M8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5">
        <f>IF(tblOrdenes[[#This Row],[fecha_inicio]]="","",YEAR(tblOrdenes[[#This Row],[fecha_inicio]]))</f>
        <v/>
      </c>
      <c r="Q804" s="5">
        <f>IF(tblOrdenes[[#This Row],[fecha_inicio]]="","",MONTH(tblOrdenes[[#This Row],[fecha_inicio]]))</f>
        <v/>
      </c>
      <c r="R804" s="5">
        <f>IF(tblOrdenes[[#This Row],[fecha_inicio]]="","",tblOrdenes[[#This Row],[anio]]&amp;"-"&amp;TEXT(tblOrdenes[[#This Row],[mes]],"00"))</f>
        <v/>
      </c>
      <c r="S804" s="5">
        <f>IF(tblOrdenes[[#This Row],[fecha_inicio]]="","",INDEX(lista_dias,WEEKDAY(tblOrdenes[[#This Row],[fecha_inicio]],2)))</f>
        <v/>
      </c>
      <c r="T8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4" s="5">
        <f>IF(tblOrdenes[[#This Row],[tipo_ot]]="","",_xlfn.XLOOKUP(tblOrdenes[[#This Row],[tipo_ot]],tblTiposOT[codigo],tblTiposOT[clasificacion],"sin_clasificar"))</f>
        <v/>
      </c>
      <c r="V8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4" s="5">
        <f>IF(tblOrdenes[[#This Row],[centro_costo]]="","",_xlfn.XLOOKUP(tblOrdenes[[#This Row],[centro_costo]],tblCECO[codigo],tblCECO[linea],"(sin catálogo)"))</f>
        <v/>
      </c>
      <c r="X804" s="5">
        <f>IF(tblOrdenes[[#This Row],[centro_costo]]="","",_xlfn.XLOOKUP(tblOrdenes[[#This Row],[centro_costo]],tblCECO[codigo],tblCECO[area],"(sin catálogo)"))</f>
        <v/>
      </c>
      <c r="Y8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4" s="5">
        <f>IF(tblOrdenes[[#This Row],[centro_costo]]="","",_xlfn.XLOOKUP(tblOrdenes[[#This Row],[centro_costo]],tblCECO[codigo],tblCECO[coordinador],"(sin catálogo)"))</f>
        <v/>
      </c>
      <c r="AA804" s="5">
        <f>IF(tblOrdenes[[#This Row],[puesto_trabajo]]="","",_xlfn.XLOOKUP(tblOrdenes[[#This Row],[puesto_trabajo]],tblPuestos[codigo],tblPuestos[especialidad],"(sin catálogo)"))</f>
        <v/>
      </c>
      <c r="AB804" s="5">
        <f>IF(tblOrdenes[[#This Row],[cod_actividad]]="","",_xlfn.XLOOKUP(tblOrdenes[[#This Row],[cod_actividad]],tblActividades[codigo],tblActividades[descripcion],"(sin catálogo)"))</f>
        <v/>
      </c>
      <c r="AC804" s="20">
        <f>IF(tblOrdenes[[#This Row],[fecha_inicio]]="","",TODAY()-tblOrdenes[[#This Row],[fecha_inicio]])</f>
        <v/>
      </c>
      <c r="AD8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4" s="5">
        <f>IF(tblOrdenes[[#This Row],[backlog_habiles]]="","",IF(tblOrdenes[[#This Row],[backlog_habiles]]&lt;0,"FUTURO",IF(tblOrdenes[[#This Row],[backlog_habiles]]&gt;p_dias_backlog_max,"BACKLOG","MES CORRIENTE")))</f>
        <v/>
      </c>
      <c r="AF804" s="5">
        <f>IF(tblOrdenes[[#This Row],[backlog_habiles]]="",FALSE,AND(tblOrdenes[[#This Row],[backlog_habiles]]&gt;p_dias_backlog_min,tblOrdenes[[#This Row],[backlog_habiles]]&lt;=p_dias_backlog_max))</f>
        <v/>
      </c>
      <c r="AG804" s="4" t="n"/>
      <c r="AH8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4" s="18">
        <f>IF(tblOrdenes[[#This Row],[orden]]="","",_xlfn.XLOOKUP(tblOrdenes[[#This Row],[id_operacion]],tblEjecucion[id_operacion],tblEjecucion[precio],0))</f>
        <v/>
      </c>
      <c r="AL804" s="18">
        <f>IF(tblOrdenes[[#This Row],[orden]]="","",MAX(0,_xlfn.XLOOKUP(tblOrdenes[[#This Row],[id_operacion]],tblEjecucion[id_operacion],tblEjecucion[costo_plan_total],0)-tblOrdenes[[#This Row],[costo_servicio]]))</f>
        <v/>
      </c>
      <c r="AM804" s="18">
        <f>IF(tblOrdenes[[#This Row],[orden]]="","",tblOrdenes[[#This Row],[costo_servicio]]+tblOrdenes[[#This Row],[costo_materiales]])</f>
        <v/>
      </c>
      <c r="AN8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4" s="4" t="n"/>
      <c r="AP804" s="4" t="n"/>
      <c r="AQ804" s="4" t="n"/>
      <c r="AR804" s="5">
        <f>IF(tblOrdenes[[#This Row],[link_checklist]]="","",HYPERLINK(p_ruta_base_checklists&amp;tblOrdenes[[#This Row],[link_checklist]],"abrir"))</f>
        <v/>
      </c>
      <c r="AS804" s="4" t="n"/>
      <c r="AT804" s="5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22" t="n"/>
      <c r="K805" s="5" t="n"/>
      <c r="L805" s="18" t="n"/>
      <c r="M8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5">
        <f>IF(tblOrdenes[[#This Row],[fecha_inicio]]="","",YEAR(tblOrdenes[[#This Row],[fecha_inicio]]))</f>
        <v/>
      </c>
      <c r="Q805" s="5">
        <f>IF(tblOrdenes[[#This Row],[fecha_inicio]]="","",MONTH(tblOrdenes[[#This Row],[fecha_inicio]]))</f>
        <v/>
      </c>
      <c r="R805" s="5">
        <f>IF(tblOrdenes[[#This Row],[fecha_inicio]]="","",tblOrdenes[[#This Row],[anio]]&amp;"-"&amp;TEXT(tblOrdenes[[#This Row],[mes]],"00"))</f>
        <v/>
      </c>
      <c r="S805" s="5">
        <f>IF(tblOrdenes[[#This Row],[fecha_inicio]]="","",INDEX(lista_dias,WEEKDAY(tblOrdenes[[#This Row],[fecha_inicio]],2)))</f>
        <v/>
      </c>
      <c r="T8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5" s="5">
        <f>IF(tblOrdenes[[#This Row],[tipo_ot]]="","",_xlfn.XLOOKUP(tblOrdenes[[#This Row],[tipo_ot]],tblTiposOT[codigo],tblTiposOT[clasificacion],"sin_clasificar"))</f>
        <v/>
      </c>
      <c r="V8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5" s="5">
        <f>IF(tblOrdenes[[#This Row],[centro_costo]]="","",_xlfn.XLOOKUP(tblOrdenes[[#This Row],[centro_costo]],tblCECO[codigo],tblCECO[linea],"(sin catálogo)"))</f>
        <v/>
      </c>
      <c r="X805" s="5">
        <f>IF(tblOrdenes[[#This Row],[centro_costo]]="","",_xlfn.XLOOKUP(tblOrdenes[[#This Row],[centro_costo]],tblCECO[codigo],tblCECO[area],"(sin catálogo)"))</f>
        <v/>
      </c>
      <c r="Y8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5" s="5">
        <f>IF(tblOrdenes[[#This Row],[centro_costo]]="","",_xlfn.XLOOKUP(tblOrdenes[[#This Row],[centro_costo]],tblCECO[codigo],tblCECO[coordinador],"(sin catálogo)"))</f>
        <v/>
      </c>
      <c r="AA805" s="5">
        <f>IF(tblOrdenes[[#This Row],[puesto_trabajo]]="","",_xlfn.XLOOKUP(tblOrdenes[[#This Row],[puesto_trabajo]],tblPuestos[codigo],tblPuestos[especialidad],"(sin catálogo)"))</f>
        <v/>
      </c>
      <c r="AB805" s="5">
        <f>IF(tblOrdenes[[#This Row],[cod_actividad]]="","",_xlfn.XLOOKUP(tblOrdenes[[#This Row],[cod_actividad]],tblActividades[codigo],tblActividades[descripcion],"(sin catálogo)"))</f>
        <v/>
      </c>
      <c r="AC805" s="20">
        <f>IF(tblOrdenes[[#This Row],[fecha_inicio]]="","",TODAY()-tblOrdenes[[#This Row],[fecha_inicio]])</f>
        <v/>
      </c>
      <c r="AD8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5" s="5">
        <f>IF(tblOrdenes[[#This Row],[backlog_habiles]]="","",IF(tblOrdenes[[#This Row],[backlog_habiles]]&lt;0,"FUTURO",IF(tblOrdenes[[#This Row],[backlog_habiles]]&gt;p_dias_backlog_max,"BACKLOG","MES CORRIENTE")))</f>
        <v/>
      </c>
      <c r="AF805" s="5">
        <f>IF(tblOrdenes[[#This Row],[backlog_habiles]]="",FALSE,AND(tblOrdenes[[#This Row],[backlog_habiles]]&gt;p_dias_backlog_min,tblOrdenes[[#This Row],[backlog_habiles]]&lt;=p_dias_backlog_max))</f>
        <v/>
      </c>
      <c r="AG805" s="4" t="n"/>
      <c r="AH8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5" s="18">
        <f>IF(tblOrdenes[[#This Row],[orden]]="","",_xlfn.XLOOKUP(tblOrdenes[[#This Row],[id_operacion]],tblEjecucion[id_operacion],tblEjecucion[precio],0))</f>
        <v/>
      </c>
      <c r="AL805" s="18">
        <f>IF(tblOrdenes[[#This Row],[orden]]="","",MAX(0,_xlfn.XLOOKUP(tblOrdenes[[#This Row],[id_operacion]],tblEjecucion[id_operacion],tblEjecucion[costo_plan_total],0)-tblOrdenes[[#This Row],[costo_servicio]]))</f>
        <v/>
      </c>
      <c r="AM805" s="18">
        <f>IF(tblOrdenes[[#This Row],[orden]]="","",tblOrdenes[[#This Row],[costo_servicio]]+tblOrdenes[[#This Row],[costo_materiales]])</f>
        <v/>
      </c>
      <c r="AN8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5" s="4" t="n"/>
      <c r="AP805" s="4" t="n"/>
      <c r="AQ805" s="4" t="n"/>
      <c r="AR805" s="5">
        <f>IF(tblOrdenes[[#This Row],[link_checklist]]="","",HYPERLINK(p_ruta_base_checklists&amp;tblOrdenes[[#This Row],[link_checklist]],"abrir"))</f>
        <v/>
      </c>
      <c r="AS805" s="4" t="n"/>
      <c r="AT805" s="5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22" t="n"/>
      <c r="K806" s="5" t="n"/>
      <c r="L806" s="18" t="n"/>
      <c r="M8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5">
        <f>IF(tblOrdenes[[#This Row],[fecha_inicio]]="","",YEAR(tblOrdenes[[#This Row],[fecha_inicio]]))</f>
        <v/>
      </c>
      <c r="Q806" s="5">
        <f>IF(tblOrdenes[[#This Row],[fecha_inicio]]="","",MONTH(tblOrdenes[[#This Row],[fecha_inicio]]))</f>
        <v/>
      </c>
      <c r="R806" s="5">
        <f>IF(tblOrdenes[[#This Row],[fecha_inicio]]="","",tblOrdenes[[#This Row],[anio]]&amp;"-"&amp;TEXT(tblOrdenes[[#This Row],[mes]],"00"))</f>
        <v/>
      </c>
      <c r="S806" s="5">
        <f>IF(tblOrdenes[[#This Row],[fecha_inicio]]="","",INDEX(lista_dias,WEEKDAY(tblOrdenes[[#This Row],[fecha_inicio]],2)))</f>
        <v/>
      </c>
      <c r="T8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6" s="5">
        <f>IF(tblOrdenes[[#This Row],[tipo_ot]]="","",_xlfn.XLOOKUP(tblOrdenes[[#This Row],[tipo_ot]],tblTiposOT[codigo],tblTiposOT[clasificacion],"sin_clasificar"))</f>
        <v/>
      </c>
      <c r="V8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6" s="5">
        <f>IF(tblOrdenes[[#This Row],[centro_costo]]="","",_xlfn.XLOOKUP(tblOrdenes[[#This Row],[centro_costo]],tblCECO[codigo],tblCECO[linea],"(sin catálogo)"))</f>
        <v/>
      </c>
      <c r="X806" s="5">
        <f>IF(tblOrdenes[[#This Row],[centro_costo]]="","",_xlfn.XLOOKUP(tblOrdenes[[#This Row],[centro_costo]],tblCECO[codigo],tblCECO[area],"(sin catálogo)"))</f>
        <v/>
      </c>
      <c r="Y8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6" s="5">
        <f>IF(tblOrdenes[[#This Row],[centro_costo]]="","",_xlfn.XLOOKUP(tblOrdenes[[#This Row],[centro_costo]],tblCECO[codigo],tblCECO[coordinador],"(sin catálogo)"))</f>
        <v/>
      </c>
      <c r="AA806" s="5">
        <f>IF(tblOrdenes[[#This Row],[puesto_trabajo]]="","",_xlfn.XLOOKUP(tblOrdenes[[#This Row],[puesto_trabajo]],tblPuestos[codigo],tblPuestos[especialidad],"(sin catálogo)"))</f>
        <v/>
      </c>
      <c r="AB806" s="5">
        <f>IF(tblOrdenes[[#This Row],[cod_actividad]]="","",_xlfn.XLOOKUP(tblOrdenes[[#This Row],[cod_actividad]],tblActividades[codigo],tblActividades[descripcion],"(sin catálogo)"))</f>
        <v/>
      </c>
      <c r="AC806" s="20">
        <f>IF(tblOrdenes[[#This Row],[fecha_inicio]]="","",TODAY()-tblOrdenes[[#This Row],[fecha_inicio]])</f>
        <v/>
      </c>
      <c r="AD8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6" s="5">
        <f>IF(tblOrdenes[[#This Row],[backlog_habiles]]="","",IF(tblOrdenes[[#This Row],[backlog_habiles]]&lt;0,"FUTURO",IF(tblOrdenes[[#This Row],[backlog_habiles]]&gt;p_dias_backlog_max,"BACKLOG","MES CORRIENTE")))</f>
        <v/>
      </c>
      <c r="AF806" s="5">
        <f>IF(tblOrdenes[[#This Row],[backlog_habiles]]="",FALSE,AND(tblOrdenes[[#This Row],[backlog_habiles]]&gt;p_dias_backlog_min,tblOrdenes[[#This Row],[backlog_habiles]]&lt;=p_dias_backlog_max))</f>
        <v/>
      </c>
      <c r="AG806" s="4" t="n"/>
      <c r="AH8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6" s="18">
        <f>IF(tblOrdenes[[#This Row],[orden]]="","",_xlfn.XLOOKUP(tblOrdenes[[#This Row],[id_operacion]],tblEjecucion[id_operacion],tblEjecucion[precio],0))</f>
        <v/>
      </c>
      <c r="AL806" s="18">
        <f>IF(tblOrdenes[[#This Row],[orden]]="","",MAX(0,_xlfn.XLOOKUP(tblOrdenes[[#This Row],[id_operacion]],tblEjecucion[id_operacion],tblEjecucion[costo_plan_total],0)-tblOrdenes[[#This Row],[costo_servicio]]))</f>
        <v/>
      </c>
      <c r="AM806" s="18">
        <f>IF(tblOrdenes[[#This Row],[orden]]="","",tblOrdenes[[#This Row],[costo_servicio]]+tblOrdenes[[#This Row],[costo_materiales]])</f>
        <v/>
      </c>
      <c r="AN8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6" s="4" t="n"/>
      <c r="AP806" s="4" t="n"/>
      <c r="AQ806" s="4" t="n"/>
      <c r="AR806" s="5">
        <f>IF(tblOrdenes[[#This Row],[link_checklist]]="","",HYPERLINK(p_ruta_base_checklists&amp;tblOrdenes[[#This Row],[link_checklist]],"abrir"))</f>
        <v/>
      </c>
      <c r="AS806" s="4" t="n"/>
      <c r="AT806" s="5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22" t="n"/>
      <c r="K807" s="5" t="n"/>
      <c r="L807" s="18" t="n"/>
      <c r="M8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5">
        <f>IF(tblOrdenes[[#This Row],[fecha_inicio]]="","",YEAR(tblOrdenes[[#This Row],[fecha_inicio]]))</f>
        <v/>
      </c>
      <c r="Q807" s="5">
        <f>IF(tblOrdenes[[#This Row],[fecha_inicio]]="","",MONTH(tblOrdenes[[#This Row],[fecha_inicio]]))</f>
        <v/>
      </c>
      <c r="R807" s="5">
        <f>IF(tblOrdenes[[#This Row],[fecha_inicio]]="","",tblOrdenes[[#This Row],[anio]]&amp;"-"&amp;TEXT(tblOrdenes[[#This Row],[mes]],"00"))</f>
        <v/>
      </c>
      <c r="S807" s="5">
        <f>IF(tblOrdenes[[#This Row],[fecha_inicio]]="","",INDEX(lista_dias,WEEKDAY(tblOrdenes[[#This Row],[fecha_inicio]],2)))</f>
        <v/>
      </c>
      <c r="T8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7" s="5">
        <f>IF(tblOrdenes[[#This Row],[tipo_ot]]="","",_xlfn.XLOOKUP(tblOrdenes[[#This Row],[tipo_ot]],tblTiposOT[codigo],tblTiposOT[clasificacion],"sin_clasificar"))</f>
        <v/>
      </c>
      <c r="V8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7" s="5">
        <f>IF(tblOrdenes[[#This Row],[centro_costo]]="","",_xlfn.XLOOKUP(tblOrdenes[[#This Row],[centro_costo]],tblCECO[codigo],tblCECO[linea],"(sin catálogo)"))</f>
        <v/>
      </c>
      <c r="X807" s="5">
        <f>IF(tblOrdenes[[#This Row],[centro_costo]]="","",_xlfn.XLOOKUP(tblOrdenes[[#This Row],[centro_costo]],tblCECO[codigo],tblCECO[area],"(sin catálogo)"))</f>
        <v/>
      </c>
      <c r="Y8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7" s="5">
        <f>IF(tblOrdenes[[#This Row],[centro_costo]]="","",_xlfn.XLOOKUP(tblOrdenes[[#This Row],[centro_costo]],tblCECO[codigo],tblCECO[coordinador],"(sin catálogo)"))</f>
        <v/>
      </c>
      <c r="AA807" s="5">
        <f>IF(tblOrdenes[[#This Row],[puesto_trabajo]]="","",_xlfn.XLOOKUP(tblOrdenes[[#This Row],[puesto_trabajo]],tblPuestos[codigo],tblPuestos[especialidad],"(sin catálogo)"))</f>
        <v/>
      </c>
      <c r="AB807" s="5">
        <f>IF(tblOrdenes[[#This Row],[cod_actividad]]="","",_xlfn.XLOOKUP(tblOrdenes[[#This Row],[cod_actividad]],tblActividades[codigo],tblActividades[descripcion],"(sin catálogo)"))</f>
        <v/>
      </c>
      <c r="AC807" s="20">
        <f>IF(tblOrdenes[[#This Row],[fecha_inicio]]="","",TODAY()-tblOrdenes[[#This Row],[fecha_inicio]])</f>
        <v/>
      </c>
      <c r="AD8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7" s="5">
        <f>IF(tblOrdenes[[#This Row],[backlog_habiles]]="","",IF(tblOrdenes[[#This Row],[backlog_habiles]]&lt;0,"FUTURO",IF(tblOrdenes[[#This Row],[backlog_habiles]]&gt;p_dias_backlog_max,"BACKLOG","MES CORRIENTE")))</f>
        <v/>
      </c>
      <c r="AF807" s="5">
        <f>IF(tblOrdenes[[#This Row],[backlog_habiles]]="",FALSE,AND(tblOrdenes[[#This Row],[backlog_habiles]]&gt;p_dias_backlog_min,tblOrdenes[[#This Row],[backlog_habiles]]&lt;=p_dias_backlog_max))</f>
        <v/>
      </c>
      <c r="AG807" s="4" t="n"/>
      <c r="AH8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7" s="18">
        <f>IF(tblOrdenes[[#This Row],[orden]]="","",_xlfn.XLOOKUP(tblOrdenes[[#This Row],[id_operacion]],tblEjecucion[id_operacion],tblEjecucion[precio],0))</f>
        <v/>
      </c>
      <c r="AL807" s="18">
        <f>IF(tblOrdenes[[#This Row],[orden]]="","",MAX(0,_xlfn.XLOOKUP(tblOrdenes[[#This Row],[id_operacion]],tblEjecucion[id_operacion],tblEjecucion[costo_plan_total],0)-tblOrdenes[[#This Row],[costo_servicio]]))</f>
        <v/>
      </c>
      <c r="AM807" s="18">
        <f>IF(tblOrdenes[[#This Row],[orden]]="","",tblOrdenes[[#This Row],[costo_servicio]]+tblOrdenes[[#This Row],[costo_materiales]])</f>
        <v/>
      </c>
      <c r="AN8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7" s="4" t="n"/>
      <c r="AP807" s="4" t="n"/>
      <c r="AQ807" s="4" t="n"/>
      <c r="AR807" s="5">
        <f>IF(tblOrdenes[[#This Row],[link_checklist]]="","",HYPERLINK(p_ruta_base_checklists&amp;tblOrdenes[[#This Row],[link_checklist]],"abrir"))</f>
        <v/>
      </c>
      <c r="AS807" s="4" t="n"/>
      <c r="AT807" s="5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22" t="n"/>
      <c r="K808" s="5" t="n"/>
      <c r="L808" s="18" t="n"/>
      <c r="M8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5">
        <f>IF(tblOrdenes[[#This Row],[fecha_inicio]]="","",YEAR(tblOrdenes[[#This Row],[fecha_inicio]]))</f>
        <v/>
      </c>
      <c r="Q808" s="5">
        <f>IF(tblOrdenes[[#This Row],[fecha_inicio]]="","",MONTH(tblOrdenes[[#This Row],[fecha_inicio]]))</f>
        <v/>
      </c>
      <c r="R808" s="5">
        <f>IF(tblOrdenes[[#This Row],[fecha_inicio]]="","",tblOrdenes[[#This Row],[anio]]&amp;"-"&amp;TEXT(tblOrdenes[[#This Row],[mes]],"00"))</f>
        <v/>
      </c>
      <c r="S808" s="5">
        <f>IF(tblOrdenes[[#This Row],[fecha_inicio]]="","",INDEX(lista_dias,WEEKDAY(tblOrdenes[[#This Row],[fecha_inicio]],2)))</f>
        <v/>
      </c>
      <c r="T8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8" s="5">
        <f>IF(tblOrdenes[[#This Row],[tipo_ot]]="","",_xlfn.XLOOKUP(tblOrdenes[[#This Row],[tipo_ot]],tblTiposOT[codigo],tblTiposOT[clasificacion],"sin_clasificar"))</f>
        <v/>
      </c>
      <c r="V8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8" s="5">
        <f>IF(tblOrdenes[[#This Row],[centro_costo]]="","",_xlfn.XLOOKUP(tblOrdenes[[#This Row],[centro_costo]],tblCECO[codigo],tblCECO[linea],"(sin catálogo)"))</f>
        <v/>
      </c>
      <c r="X808" s="5">
        <f>IF(tblOrdenes[[#This Row],[centro_costo]]="","",_xlfn.XLOOKUP(tblOrdenes[[#This Row],[centro_costo]],tblCECO[codigo],tblCECO[area],"(sin catálogo)"))</f>
        <v/>
      </c>
      <c r="Y8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8" s="5">
        <f>IF(tblOrdenes[[#This Row],[centro_costo]]="","",_xlfn.XLOOKUP(tblOrdenes[[#This Row],[centro_costo]],tblCECO[codigo],tblCECO[coordinador],"(sin catálogo)"))</f>
        <v/>
      </c>
      <c r="AA808" s="5">
        <f>IF(tblOrdenes[[#This Row],[puesto_trabajo]]="","",_xlfn.XLOOKUP(tblOrdenes[[#This Row],[puesto_trabajo]],tblPuestos[codigo],tblPuestos[especialidad],"(sin catálogo)"))</f>
        <v/>
      </c>
      <c r="AB808" s="5">
        <f>IF(tblOrdenes[[#This Row],[cod_actividad]]="","",_xlfn.XLOOKUP(tblOrdenes[[#This Row],[cod_actividad]],tblActividades[codigo],tblActividades[descripcion],"(sin catálogo)"))</f>
        <v/>
      </c>
      <c r="AC808" s="20">
        <f>IF(tblOrdenes[[#This Row],[fecha_inicio]]="","",TODAY()-tblOrdenes[[#This Row],[fecha_inicio]])</f>
        <v/>
      </c>
      <c r="AD8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8" s="5">
        <f>IF(tblOrdenes[[#This Row],[backlog_habiles]]="","",IF(tblOrdenes[[#This Row],[backlog_habiles]]&lt;0,"FUTURO",IF(tblOrdenes[[#This Row],[backlog_habiles]]&gt;p_dias_backlog_max,"BACKLOG","MES CORRIENTE")))</f>
        <v/>
      </c>
      <c r="AF808" s="5">
        <f>IF(tblOrdenes[[#This Row],[backlog_habiles]]="",FALSE,AND(tblOrdenes[[#This Row],[backlog_habiles]]&gt;p_dias_backlog_min,tblOrdenes[[#This Row],[backlog_habiles]]&lt;=p_dias_backlog_max))</f>
        <v/>
      </c>
      <c r="AG808" s="4" t="n"/>
      <c r="AH8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8" s="18">
        <f>IF(tblOrdenes[[#This Row],[orden]]="","",_xlfn.XLOOKUP(tblOrdenes[[#This Row],[id_operacion]],tblEjecucion[id_operacion],tblEjecucion[precio],0))</f>
        <v/>
      </c>
      <c r="AL808" s="18">
        <f>IF(tblOrdenes[[#This Row],[orden]]="","",MAX(0,_xlfn.XLOOKUP(tblOrdenes[[#This Row],[id_operacion]],tblEjecucion[id_operacion],tblEjecucion[costo_plan_total],0)-tblOrdenes[[#This Row],[costo_servicio]]))</f>
        <v/>
      </c>
      <c r="AM808" s="18">
        <f>IF(tblOrdenes[[#This Row],[orden]]="","",tblOrdenes[[#This Row],[costo_servicio]]+tblOrdenes[[#This Row],[costo_materiales]])</f>
        <v/>
      </c>
      <c r="AN8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8" s="4" t="n"/>
      <c r="AP808" s="4" t="n"/>
      <c r="AQ808" s="4" t="n"/>
      <c r="AR808" s="5">
        <f>IF(tblOrdenes[[#This Row],[link_checklist]]="","",HYPERLINK(p_ruta_base_checklists&amp;tblOrdenes[[#This Row],[link_checklist]],"abrir"))</f>
        <v/>
      </c>
      <c r="AS808" s="4" t="n"/>
      <c r="AT808" s="5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22" t="n"/>
      <c r="K809" s="5" t="n"/>
      <c r="L809" s="18" t="n"/>
      <c r="M8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5">
        <f>IF(tblOrdenes[[#This Row],[fecha_inicio]]="","",YEAR(tblOrdenes[[#This Row],[fecha_inicio]]))</f>
        <v/>
      </c>
      <c r="Q809" s="5">
        <f>IF(tblOrdenes[[#This Row],[fecha_inicio]]="","",MONTH(tblOrdenes[[#This Row],[fecha_inicio]]))</f>
        <v/>
      </c>
      <c r="R809" s="5">
        <f>IF(tblOrdenes[[#This Row],[fecha_inicio]]="","",tblOrdenes[[#This Row],[anio]]&amp;"-"&amp;TEXT(tblOrdenes[[#This Row],[mes]],"00"))</f>
        <v/>
      </c>
      <c r="S809" s="5">
        <f>IF(tblOrdenes[[#This Row],[fecha_inicio]]="","",INDEX(lista_dias,WEEKDAY(tblOrdenes[[#This Row],[fecha_inicio]],2)))</f>
        <v/>
      </c>
      <c r="T8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9" s="5">
        <f>IF(tblOrdenes[[#This Row],[tipo_ot]]="","",_xlfn.XLOOKUP(tblOrdenes[[#This Row],[tipo_ot]],tblTiposOT[codigo],tblTiposOT[clasificacion],"sin_clasificar"))</f>
        <v/>
      </c>
      <c r="V8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9" s="5">
        <f>IF(tblOrdenes[[#This Row],[centro_costo]]="","",_xlfn.XLOOKUP(tblOrdenes[[#This Row],[centro_costo]],tblCECO[codigo],tblCECO[linea],"(sin catálogo)"))</f>
        <v/>
      </c>
      <c r="X809" s="5">
        <f>IF(tblOrdenes[[#This Row],[centro_costo]]="","",_xlfn.XLOOKUP(tblOrdenes[[#This Row],[centro_costo]],tblCECO[codigo],tblCECO[area],"(sin catálogo)"))</f>
        <v/>
      </c>
      <c r="Y8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09" s="5">
        <f>IF(tblOrdenes[[#This Row],[centro_costo]]="","",_xlfn.XLOOKUP(tblOrdenes[[#This Row],[centro_costo]],tblCECO[codigo],tblCECO[coordinador],"(sin catálogo)"))</f>
        <v/>
      </c>
      <c r="AA809" s="5">
        <f>IF(tblOrdenes[[#This Row],[puesto_trabajo]]="","",_xlfn.XLOOKUP(tblOrdenes[[#This Row],[puesto_trabajo]],tblPuestos[codigo],tblPuestos[especialidad],"(sin catálogo)"))</f>
        <v/>
      </c>
      <c r="AB809" s="5">
        <f>IF(tblOrdenes[[#This Row],[cod_actividad]]="","",_xlfn.XLOOKUP(tblOrdenes[[#This Row],[cod_actividad]],tblActividades[codigo],tblActividades[descripcion],"(sin catálogo)"))</f>
        <v/>
      </c>
      <c r="AC809" s="20">
        <f>IF(tblOrdenes[[#This Row],[fecha_inicio]]="","",TODAY()-tblOrdenes[[#This Row],[fecha_inicio]])</f>
        <v/>
      </c>
      <c r="AD8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09" s="5">
        <f>IF(tblOrdenes[[#This Row],[backlog_habiles]]="","",IF(tblOrdenes[[#This Row],[backlog_habiles]]&lt;0,"FUTURO",IF(tblOrdenes[[#This Row],[backlog_habiles]]&gt;p_dias_backlog_max,"BACKLOG","MES CORRIENTE")))</f>
        <v/>
      </c>
      <c r="AF809" s="5">
        <f>IF(tblOrdenes[[#This Row],[backlog_habiles]]="",FALSE,AND(tblOrdenes[[#This Row],[backlog_habiles]]&gt;p_dias_backlog_min,tblOrdenes[[#This Row],[backlog_habiles]]&lt;=p_dias_backlog_max))</f>
        <v/>
      </c>
      <c r="AG809" s="4" t="n"/>
      <c r="AH8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09" s="18">
        <f>IF(tblOrdenes[[#This Row],[orden]]="","",_xlfn.XLOOKUP(tblOrdenes[[#This Row],[id_operacion]],tblEjecucion[id_operacion],tblEjecucion[precio],0))</f>
        <v/>
      </c>
      <c r="AL809" s="18">
        <f>IF(tblOrdenes[[#This Row],[orden]]="","",MAX(0,_xlfn.XLOOKUP(tblOrdenes[[#This Row],[id_operacion]],tblEjecucion[id_operacion],tblEjecucion[costo_plan_total],0)-tblOrdenes[[#This Row],[costo_servicio]]))</f>
        <v/>
      </c>
      <c r="AM809" s="18">
        <f>IF(tblOrdenes[[#This Row],[orden]]="","",tblOrdenes[[#This Row],[costo_servicio]]+tblOrdenes[[#This Row],[costo_materiales]])</f>
        <v/>
      </c>
      <c r="AN8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09" s="4" t="n"/>
      <c r="AP809" s="4" t="n"/>
      <c r="AQ809" s="4" t="n"/>
      <c r="AR809" s="5">
        <f>IF(tblOrdenes[[#This Row],[link_checklist]]="","",HYPERLINK(p_ruta_base_checklists&amp;tblOrdenes[[#This Row],[link_checklist]],"abrir"))</f>
        <v/>
      </c>
      <c r="AS809" s="4" t="n"/>
      <c r="AT809" s="5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22" t="n"/>
      <c r="K810" s="5" t="n"/>
      <c r="L810" s="18" t="n"/>
      <c r="M8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5">
        <f>IF(tblOrdenes[[#This Row],[fecha_inicio]]="","",YEAR(tblOrdenes[[#This Row],[fecha_inicio]]))</f>
        <v/>
      </c>
      <c r="Q810" s="5">
        <f>IF(tblOrdenes[[#This Row],[fecha_inicio]]="","",MONTH(tblOrdenes[[#This Row],[fecha_inicio]]))</f>
        <v/>
      </c>
      <c r="R810" s="5">
        <f>IF(tblOrdenes[[#This Row],[fecha_inicio]]="","",tblOrdenes[[#This Row],[anio]]&amp;"-"&amp;TEXT(tblOrdenes[[#This Row],[mes]],"00"))</f>
        <v/>
      </c>
      <c r="S810" s="5">
        <f>IF(tblOrdenes[[#This Row],[fecha_inicio]]="","",INDEX(lista_dias,WEEKDAY(tblOrdenes[[#This Row],[fecha_inicio]],2)))</f>
        <v/>
      </c>
      <c r="T8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0" s="5">
        <f>IF(tblOrdenes[[#This Row],[tipo_ot]]="","",_xlfn.XLOOKUP(tblOrdenes[[#This Row],[tipo_ot]],tblTiposOT[codigo],tblTiposOT[clasificacion],"sin_clasificar"))</f>
        <v/>
      </c>
      <c r="V8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0" s="5">
        <f>IF(tblOrdenes[[#This Row],[centro_costo]]="","",_xlfn.XLOOKUP(tblOrdenes[[#This Row],[centro_costo]],tblCECO[codigo],tblCECO[linea],"(sin catálogo)"))</f>
        <v/>
      </c>
      <c r="X810" s="5">
        <f>IF(tblOrdenes[[#This Row],[centro_costo]]="","",_xlfn.XLOOKUP(tblOrdenes[[#This Row],[centro_costo]],tblCECO[codigo],tblCECO[area],"(sin catálogo)"))</f>
        <v/>
      </c>
      <c r="Y8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0" s="5">
        <f>IF(tblOrdenes[[#This Row],[centro_costo]]="","",_xlfn.XLOOKUP(tblOrdenes[[#This Row],[centro_costo]],tblCECO[codigo],tblCECO[coordinador],"(sin catálogo)"))</f>
        <v/>
      </c>
      <c r="AA810" s="5">
        <f>IF(tblOrdenes[[#This Row],[puesto_trabajo]]="","",_xlfn.XLOOKUP(tblOrdenes[[#This Row],[puesto_trabajo]],tblPuestos[codigo],tblPuestos[especialidad],"(sin catálogo)"))</f>
        <v/>
      </c>
      <c r="AB810" s="5">
        <f>IF(tblOrdenes[[#This Row],[cod_actividad]]="","",_xlfn.XLOOKUP(tblOrdenes[[#This Row],[cod_actividad]],tblActividades[codigo],tblActividades[descripcion],"(sin catálogo)"))</f>
        <v/>
      </c>
      <c r="AC810" s="20">
        <f>IF(tblOrdenes[[#This Row],[fecha_inicio]]="","",TODAY()-tblOrdenes[[#This Row],[fecha_inicio]])</f>
        <v/>
      </c>
      <c r="AD8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0" s="5">
        <f>IF(tblOrdenes[[#This Row],[backlog_habiles]]="","",IF(tblOrdenes[[#This Row],[backlog_habiles]]&lt;0,"FUTURO",IF(tblOrdenes[[#This Row],[backlog_habiles]]&gt;p_dias_backlog_max,"BACKLOG","MES CORRIENTE")))</f>
        <v/>
      </c>
      <c r="AF810" s="5">
        <f>IF(tblOrdenes[[#This Row],[backlog_habiles]]="",FALSE,AND(tblOrdenes[[#This Row],[backlog_habiles]]&gt;p_dias_backlog_min,tblOrdenes[[#This Row],[backlog_habiles]]&lt;=p_dias_backlog_max))</f>
        <v/>
      </c>
      <c r="AG810" s="4" t="n"/>
      <c r="AH8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0" s="18">
        <f>IF(tblOrdenes[[#This Row],[orden]]="","",_xlfn.XLOOKUP(tblOrdenes[[#This Row],[id_operacion]],tblEjecucion[id_operacion],tblEjecucion[precio],0))</f>
        <v/>
      </c>
      <c r="AL810" s="18">
        <f>IF(tblOrdenes[[#This Row],[orden]]="","",MAX(0,_xlfn.XLOOKUP(tblOrdenes[[#This Row],[id_operacion]],tblEjecucion[id_operacion],tblEjecucion[costo_plan_total],0)-tblOrdenes[[#This Row],[costo_servicio]]))</f>
        <v/>
      </c>
      <c r="AM810" s="18">
        <f>IF(tblOrdenes[[#This Row],[orden]]="","",tblOrdenes[[#This Row],[costo_servicio]]+tblOrdenes[[#This Row],[costo_materiales]])</f>
        <v/>
      </c>
      <c r="AN8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0" s="4" t="n"/>
      <c r="AP810" s="4" t="n"/>
      <c r="AQ810" s="4" t="n"/>
      <c r="AR810" s="5">
        <f>IF(tblOrdenes[[#This Row],[link_checklist]]="","",HYPERLINK(p_ruta_base_checklists&amp;tblOrdenes[[#This Row],[link_checklist]],"abrir"))</f>
        <v/>
      </c>
      <c r="AS810" s="4" t="n"/>
      <c r="AT810" s="5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22" t="n"/>
      <c r="K811" s="5" t="n"/>
      <c r="L811" s="18" t="n"/>
      <c r="M8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5">
        <f>IF(tblOrdenes[[#This Row],[fecha_inicio]]="","",YEAR(tblOrdenes[[#This Row],[fecha_inicio]]))</f>
        <v/>
      </c>
      <c r="Q811" s="5">
        <f>IF(tblOrdenes[[#This Row],[fecha_inicio]]="","",MONTH(tblOrdenes[[#This Row],[fecha_inicio]]))</f>
        <v/>
      </c>
      <c r="R811" s="5">
        <f>IF(tblOrdenes[[#This Row],[fecha_inicio]]="","",tblOrdenes[[#This Row],[anio]]&amp;"-"&amp;TEXT(tblOrdenes[[#This Row],[mes]],"00"))</f>
        <v/>
      </c>
      <c r="S811" s="5">
        <f>IF(tblOrdenes[[#This Row],[fecha_inicio]]="","",INDEX(lista_dias,WEEKDAY(tblOrdenes[[#This Row],[fecha_inicio]],2)))</f>
        <v/>
      </c>
      <c r="T8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1" s="5">
        <f>IF(tblOrdenes[[#This Row],[tipo_ot]]="","",_xlfn.XLOOKUP(tblOrdenes[[#This Row],[tipo_ot]],tblTiposOT[codigo],tblTiposOT[clasificacion],"sin_clasificar"))</f>
        <v/>
      </c>
      <c r="V8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1" s="5">
        <f>IF(tblOrdenes[[#This Row],[centro_costo]]="","",_xlfn.XLOOKUP(tblOrdenes[[#This Row],[centro_costo]],tblCECO[codigo],tblCECO[linea],"(sin catálogo)"))</f>
        <v/>
      </c>
      <c r="X811" s="5">
        <f>IF(tblOrdenes[[#This Row],[centro_costo]]="","",_xlfn.XLOOKUP(tblOrdenes[[#This Row],[centro_costo]],tblCECO[codigo],tblCECO[area],"(sin catálogo)"))</f>
        <v/>
      </c>
      <c r="Y8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1" s="5">
        <f>IF(tblOrdenes[[#This Row],[centro_costo]]="","",_xlfn.XLOOKUP(tblOrdenes[[#This Row],[centro_costo]],tblCECO[codigo],tblCECO[coordinador],"(sin catálogo)"))</f>
        <v/>
      </c>
      <c r="AA811" s="5">
        <f>IF(tblOrdenes[[#This Row],[puesto_trabajo]]="","",_xlfn.XLOOKUP(tblOrdenes[[#This Row],[puesto_trabajo]],tblPuestos[codigo],tblPuestos[especialidad],"(sin catálogo)"))</f>
        <v/>
      </c>
      <c r="AB811" s="5">
        <f>IF(tblOrdenes[[#This Row],[cod_actividad]]="","",_xlfn.XLOOKUP(tblOrdenes[[#This Row],[cod_actividad]],tblActividades[codigo],tblActividades[descripcion],"(sin catálogo)"))</f>
        <v/>
      </c>
      <c r="AC811" s="20">
        <f>IF(tblOrdenes[[#This Row],[fecha_inicio]]="","",TODAY()-tblOrdenes[[#This Row],[fecha_inicio]])</f>
        <v/>
      </c>
      <c r="AD8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1" s="5">
        <f>IF(tblOrdenes[[#This Row],[backlog_habiles]]="","",IF(tblOrdenes[[#This Row],[backlog_habiles]]&lt;0,"FUTURO",IF(tblOrdenes[[#This Row],[backlog_habiles]]&gt;p_dias_backlog_max,"BACKLOG","MES CORRIENTE")))</f>
        <v/>
      </c>
      <c r="AF811" s="5">
        <f>IF(tblOrdenes[[#This Row],[backlog_habiles]]="",FALSE,AND(tblOrdenes[[#This Row],[backlog_habiles]]&gt;p_dias_backlog_min,tblOrdenes[[#This Row],[backlog_habiles]]&lt;=p_dias_backlog_max))</f>
        <v/>
      </c>
      <c r="AG811" s="4" t="n"/>
      <c r="AH8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1" s="18">
        <f>IF(tblOrdenes[[#This Row],[orden]]="","",_xlfn.XLOOKUP(tblOrdenes[[#This Row],[id_operacion]],tblEjecucion[id_operacion],tblEjecucion[precio],0))</f>
        <v/>
      </c>
      <c r="AL811" s="18">
        <f>IF(tblOrdenes[[#This Row],[orden]]="","",MAX(0,_xlfn.XLOOKUP(tblOrdenes[[#This Row],[id_operacion]],tblEjecucion[id_operacion],tblEjecucion[costo_plan_total],0)-tblOrdenes[[#This Row],[costo_servicio]]))</f>
        <v/>
      </c>
      <c r="AM811" s="18">
        <f>IF(tblOrdenes[[#This Row],[orden]]="","",tblOrdenes[[#This Row],[costo_servicio]]+tblOrdenes[[#This Row],[costo_materiales]])</f>
        <v/>
      </c>
      <c r="AN8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1" s="4" t="n"/>
      <c r="AP811" s="4" t="n"/>
      <c r="AQ811" s="4" t="n"/>
      <c r="AR811" s="5">
        <f>IF(tblOrdenes[[#This Row],[link_checklist]]="","",HYPERLINK(p_ruta_base_checklists&amp;tblOrdenes[[#This Row],[link_checklist]],"abrir"))</f>
        <v/>
      </c>
      <c r="AS811" s="4" t="n"/>
      <c r="AT811" s="5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22" t="n"/>
      <c r="K812" s="5" t="n"/>
      <c r="L812" s="18" t="n"/>
      <c r="M8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5">
        <f>IF(tblOrdenes[[#This Row],[fecha_inicio]]="","",YEAR(tblOrdenes[[#This Row],[fecha_inicio]]))</f>
        <v/>
      </c>
      <c r="Q812" s="5">
        <f>IF(tblOrdenes[[#This Row],[fecha_inicio]]="","",MONTH(tblOrdenes[[#This Row],[fecha_inicio]]))</f>
        <v/>
      </c>
      <c r="R812" s="5">
        <f>IF(tblOrdenes[[#This Row],[fecha_inicio]]="","",tblOrdenes[[#This Row],[anio]]&amp;"-"&amp;TEXT(tblOrdenes[[#This Row],[mes]],"00"))</f>
        <v/>
      </c>
      <c r="S812" s="5">
        <f>IF(tblOrdenes[[#This Row],[fecha_inicio]]="","",INDEX(lista_dias,WEEKDAY(tblOrdenes[[#This Row],[fecha_inicio]],2)))</f>
        <v/>
      </c>
      <c r="T8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2" s="5">
        <f>IF(tblOrdenes[[#This Row],[tipo_ot]]="","",_xlfn.XLOOKUP(tblOrdenes[[#This Row],[tipo_ot]],tblTiposOT[codigo],tblTiposOT[clasificacion],"sin_clasificar"))</f>
        <v/>
      </c>
      <c r="V8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2" s="5">
        <f>IF(tblOrdenes[[#This Row],[centro_costo]]="","",_xlfn.XLOOKUP(tblOrdenes[[#This Row],[centro_costo]],tblCECO[codigo],tblCECO[linea],"(sin catálogo)"))</f>
        <v/>
      </c>
      <c r="X812" s="5">
        <f>IF(tblOrdenes[[#This Row],[centro_costo]]="","",_xlfn.XLOOKUP(tblOrdenes[[#This Row],[centro_costo]],tblCECO[codigo],tblCECO[area],"(sin catálogo)"))</f>
        <v/>
      </c>
      <c r="Y8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2" s="5">
        <f>IF(tblOrdenes[[#This Row],[centro_costo]]="","",_xlfn.XLOOKUP(tblOrdenes[[#This Row],[centro_costo]],tblCECO[codigo],tblCECO[coordinador],"(sin catálogo)"))</f>
        <v/>
      </c>
      <c r="AA812" s="5">
        <f>IF(tblOrdenes[[#This Row],[puesto_trabajo]]="","",_xlfn.XLOOKUP(tblOrdenes[[#This Row],[puesto_trabajo]],tblPuestos[codigo],tblPuestos[especialidad],"(sin catálogo)"))</f>
        <v/>
      </c>
      <c r="AB812" s="5">
        <f>IF(tblOrdenes[[#This Row],[cod_actividad]]="","",_xlfn.XLOOKUP(tblOrdenes[[#This Row],[cod_actividad]],tblActividades[codigo],tblActividades[descripcion],"(sin catálogo)"))</f>
        <v/>
      </c>
      <c r="AC812" s="20">
        <f>IF(tblOrdenes[[#This Row],[fecha_inicio]]="","",TODAY()-tblOrdenes[[#This Row],[fecha_inicio]])</f>
        <v/>
      </c>
      <c r="AD8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2" s="5">
        <f>IF(tblOrdenes[[#This Row],[backlog_habiles]]="","",IF(tblOrdenes[[#This Row],[backlog_habiles]]&lt;0,"FUTURO",IF(tblOrdenes[[#This Row],[backlog_habiles]]&gt;p_dias_backlog_max,"BACKLOG","MES CORRIENTE")))</f>
        <v/>
      </c>
      <c r="AF812" s="5">
        <f>IF(tblOrdenes[[#This Row],[backlog_habiles]]="",FALSE,AND(tblOrdenes[[#This Row],[backlog_habiles]]&gt;p_dias_backlog_min,tblOrdenes[[#This Row],[backlog_habiles]]&lt;=p_dias_backlog_max))</f>
        <v/>
      </c>
      <c r="AG812" s="4" t="n"/>
      <c r="AH8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2" s="18">
        <f>IF(tblOrdenes[[#This Row],[orden]]="","",_xlfn.XLOOKUP(tblOrdenes[[#This Row],[id_operacion]],tblEjecucion[id_operacion],tblEjecucion[precio],0))</f>
        <v/>
      </c>
      <c r="AL812" s="18">
        <f>IF(tblOrdenes[[#This Row],[orden]]="","",MAX(0,_xlfn.XLOOKUP(tblOrdenes[[#This Row],[id_operacion]],tblEjecucion[id_operacion],tblEjecucion[costo_plan_total],0)-tblOrdenes[[#This Row],[costo_servicio]]))</f>
        <v/>
      </c>
      <c r="AM812" s="18">
        <f>IF(tblOrdenes[[#This Row],[orden]]="","",tblOrdenes[[#This Row],[costo_servicio]]+tblOrdenes[[#This Row],[costo_materiales]])</f>
        <v/>
      </c>
      <c r="AN8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2" s="4" t="n"/>
      <c r="AP812" s="4" t="n"/>
      <c r="AQ812" s="4" t="n"/>
      <c r="AR812" s="5">
        <f>IF(tblOrdenes[[#This Row],[link_checklist]]="","",HYPERLINK(p_ruta_base_checklists&amp;tblOrdenes[[#This Row],[link_checklist]],"abrir"))</f>
        <v/>
      </c>
      <c r="AS812" s="4" t="n"/>
      <c r="AT812" s="5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22" t="n"/>
      <c r="K813" s="5" t="n"/>
      <c r="L813" s="18" t="n"/>
      <c r="M8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5">
        <f>IF(tblOrdenes[[#This Row],[fecha_inicio]]="","",YEAR(tblOrdenes[[#This Row],[fecha_inicio]]))</f>
        <v/>
      </c>
      <c r="Q813" s="5">
        <f>IF(tblOrdenes[[#This Row],[fecha_inicio]]="","",MONTH(tblOrdenes[[#This Row],[fecha_inicio]]))</f>
        <v/>
      </c>
      <c r="R813" s="5">
        <f>IF(tblOrdenes[[#This Row],[fecha_inicio]]="","",tblOrdenes[[#This Row],[anio]]&amp;"-"&amp;TEXT(tblOrdenes[[#This Row],[mes]],"00"))</f>
        <v/>
      </c>
      <c r="S813" s="5">
        <f>IF(tblOrdenes[[#This Row],[fecha_inicio]]="","",INDEX(lista_dias,WEEKDAY(tblOrdenes[[#This Row],[fecha_inicio]],2)))</f>
        <v/>
      </c>
      <c r="T8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3" s="5">
        <f>IF(tblOrdenes[[#This Row],[tipo_ot]]="","",_xlfn.XLOOKUP(tblOrdenes[[#This Row],[tipo_ot]],tblTiposOT[codigo],tblTiposOT[clasificacion],"sin_clasificar"))</f>
        <v/>
      </c>
      <c r="V8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3" s="5">
        <f>IF(tblOrdenes[[#This Row],[centro_costo]]="","",_xlfn.XLOOKUP(tblOrdenes[[#This Row],[centro_costo]],tblCECO[codigo],tblCECO[linea],"(sin catálogo)"))</f>
        <v/>
      </c>
      <c r="X813" s="5">
        <f>IF(tblOrdenes[[#This Row],[centro_costo]]="","",_xlfn.XLOOKUP(tblOrdenes[[#This Row],[centro_costo]],tblCECO[codigo],tblCECO[area],"(sin catálogo)"))</f>
        <v/>
      </c>
      <c r="Y8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3" s="5">
        <f>IF(tblOrdenes[[#This Row],[centro_costo]]="","",_xlfn.XLOOKUP(tblOrdenes[[#This Row],[centro_costo]],tblCECO[codigo],tblCECO[coordinador],"(sin catálogo)"))</f>
        <v/>
      </c>
      <c r="AA813" s="5">
        <f>IF(tblOrdenes[[#This Row],[puesto_trabajo]]="","",_xlfn.XLOOKUP(tblOrdenes[[#This Row],[puesto_trabajo]],tblPuestos[codigo],tblPuestos[especialidad],"(sin catálogo)"))</f>
        <v/>
      </c>
      <c r="AB813" s="5">
        <f>IF(tblOrdenes[[#This Row],[cod_actividad]]="","",_xlfn.XLOOKUP(tblOrdenes[[#This Row],[cod_actividad]],tblActividades[codigo],tblActividades[descripcion],"(sin catálogo)"))</f>
        <v/>
      </c>
      <c r="AC813" s="20">
        <f>IF(tblOrdenes[[#This Row],[fecha_inicio]]="","",TODAY()-tblOrdenes[[#This Row],[fecha_inicio]])</f>
        <v/>
      </c>
      <c r="AD8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3" s="5">
        <f>IF(tblOrdenes[[#This Row],[backlog_habiles]]="","",IF(tblOrdenes[[#This Row],[backlog_habiles]]&lt;0,"FUTURO",IF(tblOrdenes[[#This Row],[backlog_habiles]]&gt;p_dias_backlog_max,"BACKLOG","MES CORRIENTE")))</f>
        <v/>
      </c>
      <c r="AF813" s="5">
        <f>IF(tblOrdenes[[#This Row],[backlog_habiles]]="",FALSE,AND(tblOrdenes[[#This Row],[backlog_habiles]]&gt;p_dias_backlog_min,tblOrdenes[[#This Row],[backlog_habiles]]&lt;=p_dias_backlog_max))</f>
        <v/>
      </c>
      <c r="AG813" s="4" t="n"/>
      <c r="AH8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3" s="18">
        <f>IF(tblOrdenes[[#This Row],[orden]]="","",_xlfn.XLOOKUP(tblOrdenes[[#This Row],[id_operacion]],tblEjecucion[id_operacion],tblEjecucion[precio],0))</f>
        <v/>
      </c>
      <c r="AL813" s="18">
        <f>IF(tblOrdenes[[#This Row],[orden]]="","",MAX(0,_xlfn.XLOOKUP(tblOrdenes[[#This Row],[id_operacion]],tblEjecucion[id_operacion],tblEjecucion[costo_plan_total],0)-tblOrdenes[[#This Row],[costo_servicio]]))</f>
        <v/>
      </c>
      <c r="AM813" s="18">
        <f>IF(tblOrdenes[[#This Row],[orden]]="","",tblOrdenes[[#This Row],[costo_servicio]]+tblOrdenes[[#This Row],[costo_materiales]])</f>
        <v/>
      </c>
      <c r="AN8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3" s="4" t="n"/>
      <c r="AP813" s="4" t="n"/>
      <c r="AQ813" s="4" t="n"/>
      <c r="AR813" s="5">
        <f>IF(tblOrdenes[[#This Row],[link_checklist]]="","",HYPERLINK(p_ruta_base_checklists&amp;tblOrdenes[[#This Row],[link_checklist]],"abrir"))</f>
        <v/>
      </c>
      <c r="AS813" s="4" t="n"/>
      <c r="AT813" s="5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22" t="n"/>
      <c r="K814" s="5" t="n"/>
      <c r="L814" s="18" t="n"/>
      <c r="M8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5">
        <f>IF(tblOrdenes[[#This Row],[fecha_inicio]]="","",YEAR(tblOrdenes[[#This Row],[fecha_inicio]]))</f>
        <v/>
      </c>
      <c r="Q814" s="5">
        <f>IF(tblOrdenes[[#This Row],[fecha_inicio]]="","",MONTH(tblOrdenes[[#This Row],[fecha_inicio]]))</f>
        <v/>
      </c>
      <c r="R814" s="5">
        <f>IF(tblOrdenes[[#This Row],[fecha_inicio]]="","",tblOrdenes[[#This Row],[anio]]&amp;"-"&amp;TEXT(tblOrdenes[[#This Row],[mes]],"00"))</f>
        <v/>
      </c>
      <c r="S814" s="5">
        <f>IF(tblOrdenes[[#This Row],[fecha_inicio]]="","",INDEX(lista_dias,WEEKDAY(tblOrdenes[[#This Row],[fecha_inicio]],2)))</f>
        <v/>
      </c>
      <c r="T8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4" s="5">
        <f>IF(tblOrdenes[[#This Row],[tipo_ot]]="","",_xlfn.XLOOKUP(tblOrdenes[[#This Row],[tipo_ot]],tblTiposOT[codigo],tblTiposOT[clasificacion],"sin_clasificar"))</f>
        <v/>
      </c>
      <c r="V8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4" s="5">
        <f>IF(tblOrdenes[[#This Row],[centro_costo]]="","",_xlfn.XLOOKUP(tblOrdenes[[#This Row],[centro_costo]],tblCECO[codigo],tblCECO[linea],"(sin catálogo)"))</f>
        <v/>
      </c>
      <c r="X814" s="5">
        <f>IF(tblOrdenes[[#This Row],[centro_costo]]="","",_xlfn.XLOOKUP(tblOrdenes[[#This Row],[centro_costo]],tblCECO[codigo],tblCECO[area],"(sin catálogo)"))</f>
        <v/>
      </c>
      <c r="Y8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4" s="5">
        <f>IF(tblOrdenes[[#This Row],[centro_costo]]="","",_xlfn.XLOOKUP(tblOrdenes[[#This Row],[centro_costo]],tblCECO[codigo],tblCECO[coordinador],"(sin catálogo)"))</f>
        <v/>
      </c>
      <c r="AA814" s="5">
        <f>IF(tblOrdenes[[#This Row],[puesto_trabajo]]="","",_xlfn.XLOOKUP(tblOrdenes[[#This Row],[puesto_trabajo]],tblPuestos[codigo],tblPuestos[especialidad],"(sin catálogo)"))</f>
        <v/>
      </c>
      <c r="AB814" s="5">
        <f>IF(tblOrdenes[[#This Row],[cod_actividad]]="","",_xlfn.XLOOKUP(tblOrdenes[[#This Row],[cod_actividad]],tblActividades[codigo],tblActividades[descripcion],"(sin catálogo)"))</f>
        <v/>
      </c>
      <c r="AC814" s="20">
        <f>IF(tblOrdenes[[#This Row],[fecha_inicio]]="","",TODAY()-tblOrdenes[[#This Row],[fecha_inicio]])</f>
        <v/>
      </c>
      <c r="AD8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4" s="5">
        <f>IF(tblOrdenes[[#This Row],[backlog_habiles]]="","",IF(tblOrdenes[[#This Row],[backlog_habiles]]&lt;0,"FUTURO",IF(tblOrdenes[[#This Row],[backlog_habiles]]&gt;p_dias_backlog_max,"BACKLOG","MES CORRIENTE")))</f>
        <v/>
      </c>
      <c r="AF814" s="5">
        <f>IF(tblOrdenes[[#This Row],[backlog_habiles]]="",FALSE,AND(tblOrdenes[[#This Row],[backlog_habiles]]&gt;p_dias_backlog_min,tblOrdenes[[#This Row],[backlog_habiles]]&lt;=p_dias_backlog_max))</f>
        <v/>
      </c>
      <c r="AG814" s="4" t="n"/>
      <c r="AH8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4" s="18">
        <f>IF(tblOrdenes[[#This Row],[orden]]="","",_xlfn.XLOOKUP(tblOrdenes[[#This Row],[id_operacion]],tblEjecucion[id_operacion],tblEjecucion[precio],0))</f>
        <v/>
      </c>
      <c r="AL814" s="18">
        <f>IF(tblOrdenes[[#This Row],[orden]]="","",MAX(0,_xlfn.XLOOKUP(tblOrdenes[[#This Row],[id_operacion]],tblEjecucion[id_operacion],tblEjecucion[costo_plan_total],0)-tblOrdenes[[#This Row],[costo_servicio]]))</f>
        <v/>
      </c>
      <c r="AM814" s="18">
        <f>IF(tblOrdenes[[#This Row],[orden]]="","",tblOrdenes[[#This Row],[costo_servicio]]+tblOrdenes[[#This Row],[costo_materiales]])</f>
        <v/>
      </c>
      <c r="AN8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4" s="4" t="n"/>
      <c r="AP814" s="4" t="n"/>
      <c r="AQ814" s="4" t="n"/>
      <c r="AR814" s="5">
        <f>IF(tblOrdenes[[#This Row],[link_checklist]]="","",HYPERLINK(p_ruta_base_checklists&amp;tblOrdenes[[#This Row],[link_checklist]],"abrir"))</f>
        <v/>
      </c>
      <c r="AS814" s="4" t="n"/>
      <c r="AT814" s="5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22" t="n"/>
      <c r="K815" s="5" t="n"/>
      <c r="L815" s="18" t="n"/>
      <c r="M8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5">
        <f>IF(tblOrdenes[[#This Row],[fecha_inicio]]="","",YEAR(tblOrdenes[[#This Row],[fecha_inicio]]))</f>
        <v/>
      </c>
      <c r="Q815" s="5">
        <f>IF(tblOrdenes[[#This Row],[fecha_inicio]]="","",MONTH(tblOrdenes[[#This Row],[fecha_inicio]]))</f>
        <v/>
      </c>
      <c r="R815" s="5">
        <f>IF(tblOrdenes[[#This Row],[fecha_inicio]]="","",tblOrdenes[[#This Row],[anio]]&amp;"-"&amp;TEXT(tblOrdenes[[#This Row],[mes]],"00"))</f>
        <v/>
      </c>
      <c r="S815" s="5">
        <f>IF(tblOrdenes[[#This Row],[fecha_inicio]]="","",INDEX(lista_dias,WEEKDAY(tblOrdenes[[#This Row],[fecha_inicio]],2)))</f>
        <v/>
      </c>
      <c r="T8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5" s="5">
        <f>IF(tblOrdenes[[#This Row],[tipo_ot]]="","",_xlfn.XLOOKUP(tblOrdenes[[#This Row],[tipo_ot]],tblTiposOT[codigo],tblTiposOT[clasificacion],"sin_clasificar"))</f>
        <v/>
      </c>
      <c r="V8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5" s="5">
        <f>IF(tblOrdenes[[#This Row],[centro_costo]]="","",_xlfn.XLOOKUP(tblOrdenes[[#This Row],[centro_costo]],tblCECO[codigo],tblCECO[linea],"(sin catálogo)"))</f>
        <v/>
      </c>
      <c r="X815" s="5">
        <f>IF(tblOrdenes[[#This Row],[centro_costo]]="","",_xlfn.XLOOKUP(tblOrdenes[[#This Row],[centro_costo]],tblCECO[codigo],tblCECO[area],"(sin catálogo)"))</f>
        <v/>
      </c>
      <c r="Y8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5" s="5">
        <f>IF(tblOrdenes[[#This Row],[centro_costo]]="","",_xlfn.XLOOKUP(tblOrdenes[[#This Row],[centro_costo]],tblCECO[codigo],tblCECO[coordinador],"(sin catálogo)"))</f>
        <v/>
      </c>
      <c r="AA815" s="5">
        <f>IF(tblOrdenes[[#This Row],[puesto_trabajo]]="","",_xlfn.XLOOKUP(tblOrdenes[[#This Row],[puesto_trabajo]],tblPuestos[codigo],tblPuestos[especialidad],"(sin catálogo)"))</f>
        <v/>
      </c>
      <c r="AB815" s="5">
        <f>IF(tblOrdenes[[#This Row],[cod_actividad]]="","",_xlfn.XLOOKUP(tblOrdenes[[#This Row],[cod_actividad]],tblActividades[codigo],tblActividades[descripcion],"(sin catálogo)"))</f>
        <v/>
      </c>
      <c r="AC815" s="20">
        <f>IF(tblOrdenes[[#This Row],[fecha_inicio]]="","",TODAY()-tblOrdenes[[#This Row],[fecha_inicio]])</f>
        <v/>
      </c>
      <c r="AD8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5" s="5">
        <f>IF(tblOrdenes[[#This Row],[backlog_habiles]]="","",IF(tblOrdenes[[#This Row],[backlog_habiles]]&lt;0,"FUTURO",IF(tblOrdenes[[#This Row],[backlog_habiles]]&gt;p_dias_backlog_max,"BACKLOG","MES CORRIENTE")))</f>
        <v/>
      </c>
      <c r="AF815" s="5">
        <f>IF(tblOrdenes[[#This Row],[backlog_habiles]]="",FALSE,AND(tblOrdenes[[#This Row],[backlog_habiles]]&gt;p_dias_backlog_min,tblOrdenes[[#This Row],[backlog_habiles]]&lt;=p_dias_backlog_max))</f>
        <v/>
      </c>
      <c r="AG815" s="4" t="n"/>
      <c r="AH8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5" s="18">
        <f>IF(tblOrdenes[[#This Row],[orden]]="","",_xlfn.XLOOKUP(tblOrdenes[[#This Row],[id_operacion]],tblEjecucion[id_operacion],tblEjecucion[precio],0))</f>
        <v/>
      </c>
      <c r="AL815" s="18">
        <f>IF(tblOrdenes[[#This Row],[orden]]="","",MAX(0,_xlfn.XLOOKUP(tblOrdenes[[#This Row],[id_operacion]],tblEjecucion[id_operacion],tblEjecucion[costo_plan_total],0)-tblOrdenes[[#This Row],[costo_servicio]]))</f>
        <v/>
      </c>
      <c r="AM815" s="18">
        <f>IF(tblOrdenes[[#This Row],[orden]]="","",tblOrdenes[[#This Row],[costo_servicio]]+tblOrdenes[[#This Row],[costo_materiales]])</f>
        <v/>
      </c>
      <c r="AN8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5" s="4" t="n"/>
      <c r="AP815" s="4" t="n"/>
      <c r="AQ815" s="4" t="n"/>
      <c r="AR815" s="5">
        <f>IF(tblOrdenes[[#This Row],[link_checklist]]="","",HYPERLINK(p_ruta_base_checklists&amp;tblOrdenes[[#This Row],[link_checklist]],"abrir"))</f>
        <v/>
      </c>
      <c r="AS815" s="4" t="n"/>
      <c r="AT815" s="5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22" t="n"/>
      <c r="K816" s="5" t="n"/>
      <c r="L816" s="18" t="n"/>
      <c r="M8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5">
        <f>IF(tblOrdenes[[#This Row],[fecha_inicio]]="","",YEAR(tblOrdenes[[#This Row],[fecha_inicio]]))</f>
        <v/>
      </c>
      <c r="Q816" s="5">
        <f>IF(tblOrdenes[[#This Row],[fecha_inicio]]="","",MONTH(tblOrdenes[[#This Row],[fecha_inicio]]))</f>
        <v/>
      </c>
      <c r="R816" s="5">
        <f>IF(tblOrdenes[[#This Row],[fecha_inicio]]="","",tblOrdenes[[#This Row],[anio]]&amp;"-"&amp;TEXT(tblOrdenes[[#This Row],[mes]],"00"))</f>
        <v/>
      </c>
      <c r="S816" s="5">
        <f>IF(tblOrdenes[[#This Row],[fecha_inicio]]="","",INDEX(lista_dias,WEEKDAY(tblOrdenes[[#This Row],[fecha_inicio]],2)))</f>
        <v/>
      </c>
      <c r="T8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6" s="5">
        <f>IF(tblOrdenes[[#This Row],[tipo_ot]]="","",_xlfn.XLOOKUP(tblOrdenes[[#This Row],[tipo_ot]],tblTiposOT[codigo],tblTiposOT[clasificacion],"sin_clasificar"))</f>
        <v/>
      </c>
      <c r="V8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6" s="5">
        <f>IF(tblOrdenes[[#This Row],[centro_costo]]="","",_xlfn.XLOOKUP(tblOrdenes[[#This Row],[centro_costo]],tblCECO[codigo],tblCECO[linea],"(sin catálogo)"))</f>
        <v/>
      </c>
      <c r="X816" s="5">
        <f>IF(tblOrdenes[[#This Row],[centro_costo]]="","",_xlfn.XLOOKUP(tblOrdenes[[#This Row],[centro_costo]],tblCECO[codigo],tblCECO[area],"(sin catálogo)"))</f>
        <v/>
      </c>
      <c r="Y8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6" s="5">
        <f>IF(tblOrdenes[[#This Row],[centro_costo]]="","",_xlfn.XLOOKUP(tblOrdenes[[#This Row],[centro_costo]],tblCECO[codigo],tblCECO[coordinador],"(sin catálogo)"))</f>
        <v/>
      </c>
      <c r="AA816" s="5">
        <f>IF(tblOrdenes[[#This Row],[puesto_trabajo]]="","",_xlfn.XLOOKUP(tblOrdenes[[#This Row],[puesto_trabajo]],tblPuestos[codigo],tblPuestos[especialidad],"(sin catálogo)"))</f>
        <v/>
      </c>
      <c r="AB816" s="5">
        <f>IF(tblOrdenes[[#This Row],[cod_actividad]]="","",_xlfn.XLOOKUP(tblOrdenes[[#This Row],[cod_actividad]],tblActividades[codigo],tblActividades[descripcion],"(sin catálogo)"))</f>
        <v/>
      </c>
      <c r="AC816" s="20">
        <f>IF(tblOrdenes[[#This Row],[fecha_inicio]]="","",TODAY()-tblOrdenes[[#This Row],[fecha_inicio]])</f>
        <v/>
      </c>
      <c r="AD8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6" s="5">
        <f>IF(tblOrdenes[[#This Row],[backlog_habiles]]="","",IF(tblOrdenes[[#This Row],[backlog_habiles]]&lt;0,"FUTURO",IF(tblOrdenes[[#This Row],[backlog_habiles]]&gt;p_dias_backlog_max,"BACKLOG","MES CORRIENTE")))</f>
        <v/>
      </c>
      <c r="AF816" s="5">
        <f>IF(tblOrdenes[[#This Row],[backlog_habiles]]="",FALSE,AND(tblOrdenes[[#This Row],[backlog_habiles]]&gt;p_dias_backlog_min,tblOrdenes[[#This Row],[backlog_habiles]]&lt;=p_dias_backlog_max))</f>
        <v/>
      </c>
      <c r="AG816" s="4" t="n"/>
      <c r="AH8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6" s="18">
        <f>IF(tblOrdenes[[#This Row],[orden]]="","",_xlfn.XLOOKUP(tblOrdenes[[#This Row],[id_operacion]],tblEjecucion[id_operacion],tblEjecucion[precio],0))</f>
        <v/>
      </c>
      <c r="AL816" s="18">
        <f>IF(tblOrdenes[[#This Row],[orden]]="","",MAX(0,_xlfn.XLOOKUP(tblOrdenes[[#This Row],[id_operacion]],tblEjecucion[id_operacion],tblEjecucion[costo_plan_total],0)-tblOrdenes[[#This Row],[costo_servicio]]))</f>
        <v/>
      </c>
      <c r="AM816" s="18">
        <f>IF(tblOrdenes[[#This Row],[orden]]="","",tblOrdenes[[#This Row],[costo_servicio]]+tblOrdenes[[#This Row],[costo_materiales]])</f>
        <v/>
      </c>
      <c r="AN8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6" s="4" t="n"/>
      <c r="AP816" s="4" t="n"/>
      <c r="AQ816" s="4" t="n"/>
      <c r="AR816" s="5">
        <f>IF(tblOrdenes[[#This Row],[link_checklist]]="","",HYPERLINK(p_ruta_base_checklists&amp;tblOrdenes[[#This Row],[link_checklist]],"abrir"))</f>
        <v/>
      </c>
      <c r="AS816" s="4" t="n"/>
      <c r="AT816" s="5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22" t="n"/>
      <c r="K817" s="5" t="n"/>
      <c r="L817" s="18" t="n"/>
      <c r="M8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5">
        <f>IF(tblOrdenes[[#This Row],[fecha_inicio]]="","",YEAR(tblOrdenes[[#This Row],[fecha_inicio]]))</f>
        <v/>
      </c>
      <c r="Q817" s="5">
        <f>IF(tblOrdenes[[#This Row],[fecha_inicio]]="","",MONTH(tblOrdenes[[#This Row],[fecha_inicio]]))</f>
        <v/>
      </c>
      <c r="R817" s="5">
        <f>IF(tblOrdenes[[#This Row],[fecha_inicio]]="","",tblOrdenes[[#This Row],[anio]]&amp;"-"&amp;TEXT(tblOrdenes[[#This Row],[mes]],"00"))</f>
        <v/>
      </c>
      <c r="S817" s="5">
        <f>IF(tblOrdenes[[#This Row],[fecha_inicio]]="","",INDEX(lista_dias,WEEKDAY(tblOrdenes[[#This Row],[fecha_inicio]],2)))</f>
        <v/>
      </c>
      <c r="T8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7" s="5">
        <f>IF(tblOrdenes[[#This Row],[tipo_ot]]="","",_xlfn.XLOOKUP(tblOrdenes[[#This Row],[tipo_ot]],tblTiposOT[codigo],tblTiposOT[clasificacion],"sin_clasificar"))</f>
        <v/>
      </c>
      <c r="V8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7" s="5">
        <f>IF(tblOrdenes[[#This Row],[centro_costo]]="","",_xlfn.XLOOKUP(tblOrdenes[[#This Row],[centro_costo]],tblCECO[codigo],tblCECO[linea],"(sin catálogo)"))</f>
        <v/>
      </c>
      <c r="X817" s="5">
        <f>IF(tblOrdenes[[#This Row],[centro_costo]]="","",_xlfn.XLOOKUP(tblOrdenes[[#This Row],[centro_costo]],tblCECO[codigo],tblCECO[area],"(sin catálogo)"))</f>
        <v/>
      </c>
      <c r="Y8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7" s="5">
        <f>IF(tblOrdenes[[#This Row],[centro_costo]]="","",_xlfn.XLOOKUP(tblOrdenes[[#This Row],[centro_costo]],tblCECO[codigo],tblCECO[coordinador],"(sin catálogo)"))</f>
        <v/>
      </c>
      <c r="AA817" s="5">
        <f>IF(tblOrdenes[[#This Row],[puesto_trabajo]]="","",_xlfn.XLOOKUP(tblOrdenes[[#This Row],[puesto_trabajo]],tblPuestos[codigo],tblPuestos[especialidad],"(sin catálogo)"))</f>
        <v/>
      </c>
      <c r="AB817" s="5">
        <f>IF(tblOrdenes[[#This Row],[cod_actividad]]="","",_xlfn.XLOOKUP(tblOrdenes[[#This Row],[cod_actividad]],tblActividades[codigo],tblActividades[descripcion],"(sin catálogo)"))</f>
        <v/>
      </c>
      <c r="AC817" s="20">
        <f>IF(tblOrdenes[[#This Row],[fecha_inicio]]="","",TODAY()-tblOrdenes[[#This Row],[fecha_inicio]])</f>
        <v/>
      </c>
      <c r="AD8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7" s="5">
        <f>IF(tblOrdenes[[#This Row],[backlog_habiles]]="","",IF(tblOrdenes[[#This Row],[backlog_habiles]]&lt;0,"FUTURO",IF(tblOrdenes[[#This Row],[backlog_habiles]]&gt;p_dias_backlog_max,"BACKLOG","MES CORRIENTE")))</f>
        <v/>
      </c>
      <c r="AF817" s="5">
        <f>IF(tblOrdenes[[#This Row],[backlog_habiles]]="",FALSE,AND(tblOrdenes[[#This Row],[backlog_habiles]]&gt;p_dias_backlog_min,tblOrdenes[[#This Row],[backlog_habiles]]&lt;=p_dias_backlog_max))</f>
        <v/>
      </c>
      <c r="AG817" s="4" t="n"/>
      <c r="AH8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7" s="18">
        <f>IF(tblOrdenes[[#This Row],[orden]]="","",_xlfn.XLOOKUP(tblOrdenes[[#This Row],[id_operacion]],tblEjecucion[id_operacion],tblEjecucion[precio],0))</f>
        <v/>
      </c>
      <c r="AL817" s="18">
        <f>IF(tblOrdenes[[#This Row],[orden]]="","",MAX(0,_xlfn.XLOOKUP(tblOrdenes[[#This Row],[id_operacion]],tblEjecucion[id_operacion],tblEjecucion[costo_plan_total],0)-tblOrdenes[[#This Row],[costo_servicio]]))</f>
        <v/>
      </c>
      <c r="AM817" s="18">
        <f>IF(tblOrdenes[[#This Row],[orden]]="","",tblOrdenes[[#This Row],[costo_servicio]]+tblOrdenes[[#This Row],[costo_materiales]])</f>
        <v/>
      </c>
      <c r="AN8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7" s="4" t="n"/>
      <c r="AP817" s="4" t="n"/>
      <c r="AQ817" s="4" t="n"/>
      <c r="AR817" s="5">
        <f>IF(tblOrdenes[[#This Row],[link_checklist]]="","",HYPERLINK(p_ruta_base_checklists&amp;tblOrdenes[[#This Row],[link_checklist]],"abrir"))</f>
        <v/>
      </c>
      <c r="AS817" s="4" t="n"/>
      <c r="AT817" s="5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22" t="n"/>
      <c r="K818" s="5" t="n"/>
      <c r="L818" s="18" t="n"/>
      <c r="M8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5">
        <f>IF(tblOrdenes[[#This Row],[fecha_inicio]]="","",YEAR(tblOrdenes[[#This Row],[fecha_inicio]]))</f>
        <v/>
      </c>
      <c r="Q818" s="5">
        <f>IF(tblOrdenes[[#This Row],[fecha_inicio]]="","",MONTH(tblOrdenes[[#This Row],[fecha_inicio]]))</f>
        <v/>
      </c>
      <c r="R818" s="5">
        <f>IF(tblOrdenes[[#This Row],[fecha_inicio]]="","",tblOrdenes[[#This Row],[anio]]&amp;"-"&amp;TEXT(tblOrdenes[[#This Row],[mes]],"00"))</f>
        <v/>
      </c>
      <c r="S818" s="5">
        <f>IF(tblOrdenes[[#This Row],[fecha_inicio]]="","",INDEX(lista_dias,WEEKDAY(tblOrdenes[[#This Row],[fecha_inicio]],2)))</f>
        <v/>
      </c>
      <c r="T8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8" s="5">
        <f>IF(tblOrdenes[[#This Row],[tipo_ot]]="","",_xlfn.XLOOKUP(tblOrdenes[[#This Row],[tipo_ot]],tblTiposOT[codigo],tblTiposOT[clasificacion],"sin_clasificar"))</f>
        <v/>
      </c>
      <c r="V8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8" s="5">
        <f>IF(tblOrdenes[[#This Row],[centro_costo]]="","",_xlfn.XLOOKUP(tblOrdenes[[#This Row],[centro_costo]],tblCECO[codigo],tblCECO[linea],"(sin catálogo)"))</f>
        <v/>
      </c>
      <c r="X818" s="5">
        <f>IF(tblOrdenes[[#This Row],[centro_costo]]="","",_xlfn.XLOOKUP(tblOrdenes[[#This Row],[centro_costo]],tblCECO[codigo],tblCECO[area],"(sin catálogo)"))</f>
        <v/>
      </c>
      <c r="Y8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8" s="5">
        <f>IF(tblOrdenes[[#This Row],[centro_costo]]="","",_xlfn.XLOOKUP(tblOrdenes[[#This Row],[centro_costo]],tblCECO[codigo],tblCECO[coordinador],"(sin catálogo)"))</f>
        <v/>
      </c>
      <c r="AA818" s="5">
        <f>IF(tblOrdenes[[#This Row],[puesto_trabajo]]="","",_xlfn.XLOOKUP(tblOrdenes[[#This Row],[puesto_trabajo]],tblPuestos[codigo],tblPuestos[especialidad],"(sin catálogo)"))</f>
        <v/>
      </c>
      <c r="AB818" s="5">
        <f>IF(tblOrdenes[[#This Row],[cod_actividad]]="","",_xlfn.XLOOKUP(tblOrdenes[[#This Row],[cod_actividad]],tblActividades[codigo],tblActividades[descripcion],"(sin catálogo)"))</f>
        <v/>
      </c>
      <c r="AC818" s="20">
        <f>IF(tblOrdenes[[#This Row],[fecha_inicio]]="","",TODAY()-tblOrdenes[[#This Row],[fecha_inicio]])</f>
        <v/>
      </c>
      <c r="AD8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8" s="5">
        <f>IF(tblOrdenes[[#This Row],[backlog_habiles]]="","",IF(tblOrdenes[[#This Row],[backlog_habiles]]&lt;0,"FUTURO",IF(tblOrdenes[[#This Row],[backlog_habiles]]&gt;p_dias_backlog_max,"BACKLOG","MES CORRIENTE")))</f>
        <v/>
      </c>
      <c r="AF818" s="5">
        <f>IF(tblOrdenes[[#This Row],[backlog_habiles]]="",FALSE,AND(tblOrdenes[[#This Row],[backlog_habiles]]&gt;p_dias_backlog_min,tblOrdenes[[#This Row],[backlog_habiles]]&lt;=p_dias_backlog_max))</f>
        <v/>
      </c>
      <c r="AG818" s="4" t="n"/>
      <c r="AH8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8" s="18">
        <f>IF(tblOrdenes[[#This Row],[orden]]="","",_xlfn.XLOOKUP(tblOrdenes[[#This Row],[id_operacion]],tblEjecucion[id_operacion],tblEjecucion[precio],0))</f>
        <v/>
      </c>
      <c r="AL818" s="18">
        <f>IF(tblOrdenes[[#This Row],[orden]]="","",MAX(0,_xlfn.XLOOKUP(tblOrdenes[[#This Row],[id_operacion]],tblEjecucion[id_operacion],tblEjecucion[costo_plan_total],0)-tblOrdenes[[#This Row],[costo_servicio]]))</f>
        <v/>
      </c>
      <c r="AM818" s="18">
        <f>IF(tblOrdenes[[#This Row],[orden]]="","",tblOrdenes[[#This Row],[costo_servicio]]+tblOrdenes[[#This Row],[costo_materiales]])</f>
        <v/>
      </c>
      <c r="AN8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8" s="4" t="n"/>
      <c r="AP818" s="4" t="n"/>
      <c r="AQ818" s="4" t="n"/>
      <c r="AR818" s="5">
        <f>IF(tblOrdenes[[#This Row],[link_checklist]]="","",HYPERLINK(p_ruta_base_checklists&amp;tblOrdenes[[#This Row],[link_checklist]],"abrir"))</f>
        <v/>
      </c>
      <c r="AS818" s="4" t="n"/>
      <c r="AT818" s="5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22" t="n"/>
      <c r="K819" s="5" t="n"/>
      <c r="L819" s="18" t="n"/>
      <c r="M8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5">
        <f>IF(tblOrdenes[[#This Row],[fecha_inicio]]="","",YEAR(tblOrdenes[[#This Row],[fecha_inicio]]))</f>
        <v/>
      </c>
      <c r="Q819" s="5">
        <f>IF(tblOrdenes[[#This Row],[fecha_inicio]]="","",MONTH(tblOrdenes[[#This Row],[fecha_inicio]]))</f>
        <v/>
      </c>
      <c r="R819" s="5">
        <f>IF(tblOrdenes[[#This Row],[fecha_inicio]]="","",tblOrdenes[[#This Row],[anio]]&amp;"-"&amp;TEXT(tblOrdenes[[#This Row],[mes]],"00"))</f>
        <v/>
      </c>
      <c r="S819" s="5">
        <f>IF(tblOrdenes[[#This Row],[fecha_inicio]]="","",INDEX(lista_dias,WEEKDAY(tblOrdenes[[#This Row],[fecha_inicio]],2)))</f>
        <v/>
      </c>
      <c r="T8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9" s="5">
        <f>IF(tblOrdenes[[#This Row],[tipo_ot]]="","",_xlfn.XLOOKUP(tblOrdenes[[#This Row],[tipo_ot]],tblTiposOT[codigo],tblTiposOT[clasificacion],"sin_clasificar"))</f>
        <v/>
      </c>
      <c r="V8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9" s="5">
        <f>IF(tblOrdenes[[#This Row],[centro_costo]]="","",_xlfn.XLOOKUP(tblOrdenes[[#This Row],[centro_costo]],tblCECO[codigo],tblCECO[linea],"(sin catálogo)"))</f>
        <v/>
      </c>
      <c r="X819" s="5">
        <f>IF(tblOrdenes[[#This Row],[centro_costo]]="","",_xlfn.XLOOKUP(tblOrdenes[[#This Row],[centro_costo]],tblCECO[codigo],tblCECO[area],"(sin catálogo)"))</f>
        <v/>
      </c>
      <c r="Y8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19" s="5">
        <f>IF(tblOrdenes[[#This Row],[centro_costo]]="","",_xlfn.XLOOKUP(tblOrdenes[[#This Row],[centro_costo]],tblCECO[codigo],tblCECO[coordinador],"(sin catálogo)"))</f>
        <v/>
      </c>
      <c r="AA819" s="5">
        <f>IF(tblOrdenes[[#This Row],[puesto_trabajo]]="","",_xlfn.XLOOKUP(tblOrdenes[[#This Row],[puesto_trabajo]],tblPuestos[codigo],tblPuestos[especialidad],"(sin catálogo)"))</f>
        <v/>
      </c>
      <c r="AB819" s="5">
        <f>IF(tblOrdenes[[#This Row],[cod_actividad]]="","",_xlfn.XLOOKUP(tblOrdenes[[#This Row],[cod_actividad]],tblActividades[codigo],tblActividades[descripcion],"(sin catálogo)"))</f>
        <v/>
      </c>
      <c r="AC819" s="20">
        <f>IF(tblOrdenes[[#This Row],[fecha_inicio]]="","",TODAY()-tblOrdenes[[#This Row],[fecha_inicio]])</f>
        <v/>
      </c>
      <c r="AD8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19" s="5">
        <f>IF(tblOrdenes[[#This Row],[backlog_habiles]]="","",IF(tblOrdenes[[#This Row],[backlog_habiles]]&lt;0,"FUTURO",IF(tblOrdenes[[#This Row],[backlog_habiles]]&gt;p_dias_backlog_max,"BACKLOG","MES CORRIENTE")))</f>
        <v/>
      </c>
      <c r="AF819" s="5">
        <f>IF(tblOrdenes[[#This Row],[backlog_habiles]]="",FALSE,AND(tblOrdenes[[#This Row],[backlog_habiles]]&gt;p_dias_backlog_min,tblOrdenes[[#This Row],[backlog_habiles]]&lt;=p_dias_backlog_max))</f>
        <v/>
      </c>
      <c r="AG819" s="4" t="n"/>
      <c r="AH8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19" s="18">
        <f>IF(tblOrdenes[[#This Row],[orden]]="","",_xlfn.XLOOKUP(tblOrdenes[[#This Row],[id_operacion]],tblEjecucion[id_operacion],tblEjecucion[precio],0))</f>
        <v/>
      </c>
      <c r="AL819" s="18">
        <f>IF(tblOrdenes[[#This Row],[orden]]="","",MAX(0,_xlfn.XLOOKUP(tblOrdenes[[#This Row],[id_operacion]],tblEjecucion[id_operacion],tblEjecucion[costo_plan_total],0)-tblOrdenes[[#This Row],[costo_servicio]]))</f>
        <v/>
      </c>
      <c r="AM819" s="18">
        <f>IF(tblOrdenes[[#This Row],[orden]]="","",tblOrdenes[[#This Row],[costo_servicio]]+tblOrdenes[[#This Row],[costo_materiales]])</f>
        <v/>
      </c>
      <c r="AN8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19" s="4" t="n"/>
      <c r="AP819" s="4" t="n"/>
      <c r="AQ819" s="4" t="n"/>
      <c r="AR819" s="5">
        <f>IF(tblOrdenes[[#This Row],[link_checklist]]="","",HYPERLINK(p_ruta_base_checklists&amp;tblOrdenes[[#This Row],[link_checklist]],"abrir"))</f>
        <v/>
      </c>
      <c r="AS819" s="4" t="n"/>
      <c r="AT819" s="5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22" t="n"/>
      <c r="K820" s="5" t="n"/>
      <c r="L820" s="18" t="n"/>
      <c r="M8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5">
        <f>IF(tblOrdenes[[#This Row],[fecha_inicio]]="","",YEAR(tblOrdenes[[#This Row],[fecha_inicio]]))</f>
        <v/>
      </c>
      <c r="Q820" s="5">
        <f>IF(tblOrdenes[[#This Row],[fecha_inicio]]="","",MONTH(tblOrdenes[[#This Row],[fecha_inicio]]))</f>
        <v/>
      </c>
      <c r="R820" s="5">
        <f>IF(tblOrdenes[[#This Row],[fecha_inicio]]="","",tblOrdenes[[#This Row],[anio]]&amp;"-"&amp;TEXT(tblOrdenes[[#This Row],[mes]],"00"))</f>
        <v/>
      </c>
      <c r="S820" s="5">
        <f>IF(tblOrdenes[[#This Row],[fecha_inicio]]="","",INDEX(lista_dias,WEEKDAY(tblOrdenes[[#This Row],[fecha_inicio]],2)))</f>
        <v/>
      </c>
      <c r="T8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0" s="5">
        <f>IF(tblOrdenes[[#This Row],[tipo_ot]]="","",_xlfn.XLOOKUP(tblOrdenes[[#This Row],[tipo_ot]],tblTiposOT[codigo],tblTiposOT[clasificacion],"sin_clasificar"))</f>
        <v/>
      </c>
      <c r="V8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0" s="5">
        <f>IF(tblOrdenes[[#This Row],[centro_costo]]="","",_xlfn.XLOOKUP(tblOrdenes[[#This Row],[centro_costo]],tblCECO[codigo],tblCECO[linea],"(sin catálogo)"))</f>
        <v/>
      </c>
      <c r="X820" s="5">
        <f>IF(tblOrdenes[[#This Row],[centro_costo]]="","",_xlfn.XLOOKUP(tblOrdenes[[#This Row],[centro_costo]],tblCECO[codigo],tblCECO[area],"(sin catálogo)"))</f>
        <v/>
      </c>
      <c r="Y8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0" s="5">
        <f>IF(tblOrdenes[[#This Row],[centro_costo]]="","",_xlfn.XLOOKUP(tblOrdenes[[#This Row],[centro_costo]],tblCECO[codigo],tblCECO[coordinador],"(sin catálogo)"))</f>
        <v/>
      </c>
      <c r="AA820" s="5">
        <f>IF(tblOrdenes[[#This Row],[puesto_trabajo]]="","",_xlfn.XLOOKUP(tblOrdenes[[#This Row],[puesto_trabajo]],tblPuestos[codigo],tblPuestos[especialidad],"(sin catálogo)"))</f>
        <v/>
      </c>
      <c r="AB820" s="5">
        <f>IF(tblOrdenes[[#This Row],[cod_actividad]]="","",_xlfn.XLOOKUP(tblOrdenes[[#This Row],[cod_actividad]],tblActividades[codigo],tblActividades[descripcion],"(sin catálogo)"))</f>
        <v/>
      </c>
      <c r="AC820" s="20">
        <f>IF(tblOrdenes[[#This Row],[fecha_inicio]]="","",TODAY()-tblOrdenes[[#This Row],[fecha_inicio]])</f>
        <v/>
      </c>
      <c r="AD8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0" s="5">
        <f>IF(tblOrdenes[[#This Row],[backlog_habiles]]="","",IF(tblOrdenes[[#This Row],[backlog_habiles]]&lt;0,"FUTURO",IF(tblOrdenes[[#This Row],[backlog_habiles]]&gt;p_dias_backlog_max,"BACKLOG","MES CORRIENTE")))</f>
        <v/>
      </c>
      <c r="AF820" s="5">
        <f>IF(tblOrdenes[[#This Row],[backlog_habiles]]="",FALSE,AND(tblOrdenes[[#This Row],[backlog_habiles]]&gt;p_dias_backlog_min,tblOrdenes[[#This Row],[backlog_habiles]]&lt;=p_dias_backlog_max))</f>
        <v/>
      </c>
      <c r="AG820" s="4" t="n"/>
      <c r="AH8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0" s="18">
        <f>IF(tblOrdenes[[#This Row],[orden]]="","",_xlfn.XLOOKUP(tblOrdenes[[#This Row],[id_operacion]],tblEjecucion[id_operacion],tblEjecucion[precio],0))</f>
        <v/>
      </c>
      <c r="AL820" s="18">
        <f>IF(tblOrdenes[[#This Row],[orden]]="","",MAX(0,_xlfn.XLOOKUP(tblOrdenes[[#This Row],[id_operacion]],tblEjecucion[id_operacion],tblEjecucion[costo_plan_total],0)-tblOrdenes[[#This Row],[costo_servicio]]))</f>
        <v/>
      </c>
      <c r="AM820" s="18">
        <f>IF(tblOrdenes[[#This Row],[orden]]="","",tblOrdenes[[#This Row],[costo_servicio]]+tblOrdenes[[#This Row],[costo_materiales]])</f>
        <v/>
      </c>
      <c r="AN8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0" s="4" t="n"/>
      <c r="AP820" s="4" t="n"/>
      <c r="AQ820" s="4" t="n"/>
      <c r="AR820" s="5">
        <f>IF(tblOrdenes[[#This Row],[link_checklist]]="","",HYPERLINK(p_ruta_base_checklists&amp;tblOrdenes[[#This Row],[link_checklist]],"abrir"))</f>
        <v/>
      </c>
      <c r="AS820" s="4" t="n"/>
      <c r="AT820" s="5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22" t="n"/>
      <c r="K821" s="5" t="n"/>
      <c r="L821" s="18" t="n"/>
      <c r="M8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5">
        <f>IF(tblOrdenes[[#This Row],[fecha_inicio]]="","",YEAR(tblOrdenes[[#This Row],[fecha_inicio]]))</f>
        <v/>
      </c>
      <c r="Q821" s="5">
        <f>IF(tblOrdenes[[#This Row],[fecha_inicio]]="","",MONTH(tblOrdenes[[#This Row],[fecha_inicio]]))</f>
        <v/>
      </c>
      <c r="R821" s="5">
        <f>IF(tblOrdenes[[#This Row],[fecha_inicio]]="","",tblOrdenes[[#This Row],[anio]]&amp;"-"&amp;TEXT(tblOrdenes[[#This Row],[mes]],"00"))</f>
        <v/>
      </c>
      <c r="S821" s="5">
        <f>IF(tblOrdenes[[#This Row],[fecha_inicio]]="","",INDEX(lista_dias,WEEKDAY(tblOrdenes[[#This Row],[fecha_inicio]],2)))</f>
        <v/>
      </c>
      <c r="T8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1" s="5">
        <f>IF(tblOrdenes[[#This Row],[tipo_ot]]="","",_xlfn.XLOOKUP(tblOrdenes[[#This Row],[tipo_ot]],tblTiposOT[codigo],tblTiposOT[clasificacion],"sin_clasificar"))</f>
        <v/>
      </c>
      <c r="V8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1" s="5">
        <f>IF(tblOrdenes[[#This Row],[centro_costo]]="","",_xlfn.XLOOKUP(tblOrdenes[[#This Row],[centro_costo]],tblCECO[codigo],tblCECO[linea],"(sin catálogo)"))</f>
        <v/>
      </c>
      <c r="X821" s="5">
        <f>IF(tblOrdenes[[#This Row],[centro_costo]]="","",_xlfn.XLOOKUP(tblOrdenes[[#This Row],[centro_costo]],tblCECO[codigo],tblCECO[area],"(sin catálogo)"))</f>
        <v/>
      </c>
      <c r="Y8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1" s="5">
        <f>IF(tblOrdenes[[#This Row],[centro_costo]]="","",_xlfn.XLOOKUP(tblOrdenes[[#This Row],[centro_costo]],tblCECO[codigo],tblCECO[coordinador],"(sin catálogo)"))</f>
        <v/>
      </c>
      <c r="AA821" s="5">
        <f>IF(tblOrdenes[[#This Row],[puesto_trabajo]]="","",_xlfn.XLOOKUP(tblOrdenes[[#This Row],[puesto_trabajo]],tblPuestos[codigo],tblPuestos[especialidad],"(sin catálogo)"))</f>
        <v/>
      </c>
      <c r="AB821" s="5">
        <f>IF(tblOrdenes[[#This Row],[cod_actividad]]="","",_xlfn.XLOOKUP(tblOrdenes[[#This Row],[cod_actividad]],tblActividades[codigo],tblActividades[descripcion],"(sin catálogo)"))</f>
        <v/>
      </c>
      <c r="AC821" s="20">
        <f>IF(tblOrdenes[[#This Row],[fecha_inicio]]="","",TODAY()-tblOrdenes[[#This Row],[fecha_inicio]])</f>
        <v/>
      </c>
      <c r="AD8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1" s="5">
        <f>IF(tblOrdenes[[#This Row],[backlog_habiles]]="","",IF(tblOrdenes[[#This Row],[backlog_habiles]]&lt;0,"FUTURO",IF(tblOrdenes[[#This Row],[backlog_habiles]]&gt;p_dias_backlog_max,"BACKLOG","MES CORRIENTE")))</f>
        <v/>
      </c>
      <c r="AF821" s="5">
        <f>IF(tblOrdenes[[#This Row],[backlog_habiles]]="",FALSE,AND(tblOrdenes[[#This Row],[backlog_habiles]]&gt;p_dias_backlog_min,tblOrdenes[[#This Row],[backlog_habiles]]&lt;=p_dias_backlog_max))</f>
        <v/>
      </c>
      <c r="AG821" s="4" t="n"/>
      <c r="AH8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1" s="18">
        <f>IF(tblOrdenes[[#This Row],[orden]]="","",_xlfn.XLOOKUP(tblOrdenes[[#This Row],[id_operacion]],tblEjecucion[id_operacion],tblEjecucion[precio],0))</f>
        <v/>
      </c>
      <c r="AL821" s="18">
        <f>IF(tblOrdenes[[#This Row],[orden]]="","",MAX(0,_xlfn.XLOOKUP(tblOrdenes[[#This Row],[id_operacion]],tblEjecucion[id_operacion],tblEjecucion[costo_plan_total],0)-tblOrdenes[[#This Row],[costo_servicio]]))</f>
        <v/>
      </c>
      <c r="AM821" s="18">
        <f>IF(tblOrdenes[[#This Row],[orden]]="","",tblOrdenes[[#This Row],[costo_servicio]]+tblOrdenes[[#This Row],[costo_materiales]])</f>
        <v/>
      </c>
      <c r="AN8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1" s="4" t="n"/>
      <c r="AP821" s="4" t="n"/>
      <c r="AQ821" s="4" t="n"/>
      <c r="AR821" s="5">
        <f>IF(tblOrdenes[[#This Row],[link_checklist]]="","",HYPERLINK(p_ruta_base_checklists&amp;tblOrdenes[[#This Row],[link_checklist]],"abrir"))</f>
        <v/>
      </c>
      <c r="AS821" s="4" t="n"/>
      <c r="AT821" s="5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22" t="n"/>
      <c r="K822" s="5" t="n"/>
      <c r="L822" s="18" t="n"/>
      <c r="M8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5">
        <f>IF(tblOrdenes[[#This Row],[fecha_inicio]]="","",YEAR(tblOrdenes[[#This Row],[fecha_inicio]]))</f>
        <v/>
      </c>
      <c r="Q822" s="5">
        <f>IF(tblOrdenes[[#This Row],[fecha_inicio]]="","",MONTH(tblOrdenes[[#This Row],[fecha_inicio]]))</f>
        <v/>
      </c>
      <c r="R822" s="5">
        <f>IF(tblOrdenes[[#This Row],[fecha_inicio]]="","",tblOrdenes[[#This Row],[anio]]&amp;"-"&amp;TEXT(tblOrdenes[[#This Row],[mes]],"00"))</f>
        <v/>
      </c>
      <c r="S822" s="5">
        <f>IF(tblOrdenes[[#This Row],[fecha_inicio]]="","",INDEX(lista_dias,WEEKDAY(tblOrdenes[[#This Row],[fecha_inicio]],2)))</f>
        <v/>
      </c>
      <c r="T8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2" s="5">
        <f>IF(tblOrdenes[[#This Row],[tipo_ot]]="","",_xlfn.XLOOKUP(tblOrdenes[[#This Row],[tipo_ot]],tblTiposOT[codigo],tblTiposOT[clasificacion],"sin_clasificar"))</f>
        <v/>
      </c>
      <c r="V8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2" s="5">
        <f>IF(tblOrdenes[[#This Row],[centro_costo]]="","",_xlfn.XLOOKUP(tblOrdenes[[#This Row],[centro_costo]],tblCECO[codigo],tblCECO[linea],"(sin catálogo)"))</f>
        <v/>
      </c>
      <c r="X822" s="5">
        <f>IF(tblOrdenes[[#This Row],[centro_costo]]="","",_xlfn.XLOOKUP(tblOrdenes[[#This Row],[centro_costo]],tblCECO[codigo],tblCECO[area],"(sin catálogo)"))</f>
        <v/>
      </c>
      <c r="Y8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2" s="5">
        <f>IF(tblOrdenes[[#This Row],[centro_costo]]="","",_xlfn.XLOOKUP(tblOrdenes[[#This Row],[centro_costo]],tblCECO[codigo],tblCECO[coordinador],"(sin catálogo)"))</f>
        <v/>
      </c>
      <c r="AA822" s="5">
        <f>IF(tblOrdenes[[#This Row],[puesto_trabajo]]="","",_xlfn.XLOOKUP(tblOrdenes[[#This Row],[puesto_trabajo]],tblPuestos[codigo],tblPuestos[especialidad],"(sin catálogo)"))</f>
        <v/>
      </c>
      <c r="AB822" s="5">
        <f>IF(tblOrdenes[[#This Row],[cod_actividad]]="","",_xlfn.XLOOKUP(tblOrdenes[[#This Row],[cod_actividad]],tblActividades[codigo],tblActividades[descripcion],"(sin catálogo)"))</f>
        <v/>
      </c>
      <c r="AC822" s="20">
        <f>IF(tblOrdenes[[#This Row],[fecha_inicio]]="","",TODAY()-tblOrdenes[[#This Row],[fecha_inicio]])</f>
        <v/>
      </c>
      <c r="AD8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2" s="5">
        <f>IF(tblOrdenes[[#This Row],[backlog_habiles]]="","",IF(tblOrdenes[[#This Row],[backlog_habiles]]&lt;0,"FUTURO",IF(tblOrdenes[[#This Row],[backlog_habiles]]&gt;p_dias_backlog_max,"BACKLOG","MES CORRIENTE")))</f>
        <v/>
      </c>
      <c r="AF822" s="5">
        <f>IF(tblOrdenes[[#This Row],[backlog_habiles]]="",FALSE,AND(tblOrdenes[[#This Row],[backlog_habiles]]&gt;p_dias_backlog_min,tblOrdenes[[#This Row],[backlog_habiles]]&lt;=p_dias_backlog_max))</f>
        <v/>
      </c>
      <c r="AG822" s="4" t="n"/>
      <c r="AH8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2" s="18">
        <f>IF(tblOrdenes[[#This Row],[orden]]="","",_xlfn.XLOOKUP(tblOrdenes[[#This Row],[id_operacion]],tblEjecucion[id_operacion],tblEjecucion[precio],0))</f>
        <v/>
      </c>
      <c r="AL822" s="18">
        <f>IF(tblOrdenes[[#This Row],[orden]]="","",MAX(0,_xlfn.XLOOKUP(tblOrdenes[[#This Row],[id_operacion]],tblEjecucion[id_operacion],tblEjecucion[costo_plan_total],0)-tblOrdenes[[#This Row],[costo_servicio]]))</f>
        <v/>
      </c>
      <c r="AM822" s="18">
        <f>IF(tblOrdenes[[#This Row],[orden]]="","",tblOrdenes[[#This Row],[costo_servicio]]+tblOrdenes[[#This Row],[costo_materiales]])</f>
        <v/>
      </c>
      <c r="AN8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2" s="4" t="n"/>
      <c r="AP822" s="4" t="n"/>
      <c r="AQ822" s="4" t="n"/>
      <c r="AR822" s="5">
        <f>IF(tblOrdenes[[#This Row],[link_checklist]]="","",HYPERLINK(p_ruta_base_checklists&amp;tblOrdenes[[#This Row],[link_checklist]],"abrir"))</f>
        <v/>
      </c>
      <c r="AS822" s="4" t="n"/>
      <c r="AT822" s="5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22" t="n"/>
      <c r="K823" s="5" t="n"/>
      <c r="L823" s="18" t="n"/>
      <c r="M8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5">
        <f>IF(tblOrdenes[[#This Row],[fecha_inicio]]="","",YEAR(tblOrdenes[[#This Row],[fecha_inicio]]))</f>
        <v/>
      </c>
      <c r="Q823" s="5">
        <f>IF(tblOrdenes[[#This Row],[fecha_inicio]]="","",MONTH(tblOrdenes[[#This Row],[fecha_inicio]]))</f>
        <v/>
      </c>
      <c r="R823" s="5">
        <f>IF(tblOrdenes[[#This Row],[fecha_inicio]]="","",tblOrdenes[[#This Row],[anio]]&amp;"-"&amp;TEXT(tblOrdenes[[#This Row],[mes]],"00"))</f>
        <v/>
      </c>
      <c r="S823" s="5">
        <f>IF(tblOrdenes[[#This Row],[fecha_inicio]]="","",INDEX(lista_dias,WEEKDAY(tblOrdenes[[#This Row],[fecha_inicio]],2)))</f>
        <v/>
      </c>
      <c r="T8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3" s="5">
        <f>IF(tblOrdenes[[#This Row],[tipo_ot]]="","",_xlfn.XLOOKUP(tblOrdenes[[#This Row],[tipo_ot]],tblTiposOT[codigo],tblTiposOT[clasificacion],"sin_clasificar"))</f>
        <v/>
      </c>
      <c r="V8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3" s="5">
        <f>IF(tblOrdenes[[#This Row],[centro_costo]]="","",_xlfn.XLOOKUP(tblOrdenes[[#This Row],[centro_costo]],tblCECO[codigo],tblCECO[linea],"(sin catálogo)"))</f>
        <v/>
      </c>
      <c r="X823" s="5">
        <f>IF(tblOrdenes[[#This Row],[centro_costo]]="","",_xlfn.XLOOKUP(tblOrdenes[[#This Row],[centro_costo]],tblCECO[codigo],tblCECO[area],"(sin catálogo)"))</f>
        <v/>
      </c>
      <c r="Y8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3" s="5">
        <f>IF(tblOrdenes[[#This Row],[centro_costo]]="","",_xlfn.XLOOKUP(tblOrdenes[[#This Row],[centro_costo]],tblCECO[codigo],tblCECO[coordinador],"(sin catálogo)"))</f>
        <v/>
      </c>
      <c r="AA823" s="5">
        <f>IF(tblOrdenes[[#This Row],[puesto_trabajo]]="","",_xlfn.XLOOKUP(tblOrdenes[[#This Row],[puesto_trabajo]],tblPuestos[codigo],tblPuestos[especialidad],"(sin catálogo)"))</f>
        <v/>
      </c>
      <c r="AB823" s="5">
        <f>IF(tblOrdenes[[#This Row],[cod_actividad]]="","",_xlfn.XLOOKUP(tblOrdenes[[#This Row],[cod_actividad]],tblActividades[codigo],tblActividades[descripcion],"(sin catálogo)"))</f>
        <v/>
      </c>
      <c r="AC823" s="20">
        <f>IF(tblOrdenes[[#This Row],[fecha_inicio]]="","",TODAY()-tblOrdenes[[#This Row],[fecha_inicio]])</f>
        <v/>
      </c>
      <c r="AD8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3" s="5">
        <f>IF(tblOrdenes[[#This Row],[backlog_habiles]]="","",IF(tblOrdenes[[#This Row],[backlog_habiles]]&lt;0,"FUTURO",IF(tblOrdenes[[#This Row],[backlog_habiles]]&gt;p_dias_backlog_max,"BACKLOG","MES CORRIENTE")))</f>
        <v/>
      </c>
      <c r="AF823" s="5">
        <f>IF(tblOrdenes[[#This Row],[backlog_habiles]]="",FALSE,AND(tblOrdenes[[#This Row],[backlog_habiles]]&gt;p_dias_backlog_min,tblOrdenes[[#This Row],[backlog_habiles]]&lt;=p_dias_backlog_max))</f>
        <v/>
      </c>
      <c r="AG823" s="4" t="n"/>
      <c r="AH8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3" s="18">
        <f>IF(tblOrdenes[[#This Row],[orden]]="","",_xlfn.XLOOKUP(tblOrdenes[[#This Row],[id_operacion]],tblEjecucion[id_operacion],tblEjecucion[precio],0))</f>
        <v/>
      </c>
      <c r="AL823" s="18">
        <f>IF(tblOrdenes[[#This Row],[orden]]="","",MAX(0,_xlfn.XLOOKUP(tblOrdenes[[#This Row],[id_operacion]],tblEjecucion[id_operacion],tblEjecucion[costo_plan_total],0)-tblOrdenes[[#This Row],[costo_servicio]]))</f>
        <v/>
      </c>
      <c r="AM823" s="18">
        <f>IF(tblOrdenes[[#This Row],[orden]]="","",tblOrdenes[[#This Row],[costo_servicio]]+tblOrdenes[[#This Row],[costo_materiales]])</f>
        <v/>
      </c>
      <c r="AN8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3" s="4" t="n"/>
      <c r="AP823" s="4" t="n"/>
      <c r="AQ823" s="4" t="n"/>
      <c r="AR823" s="5">
        <f>IF(tblOrdenes[[#This Row],[link_checklist]]="","",HYPERLINK(p_ruta_base_checklists&amp;tblOrdenes[[#This Row],[link_checklist]],"abrir"))</f>
        <v/>
      </c>
      <c r="AS823" s="4" t="n"/>
      <c r="AT823" s="5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22" t="n"/>
      <c r="K824" s="5" t="n"/>
      <c r="L824" s="18" t="n"/>
      <c r="M8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5">
        <f>IF(tblOrdenes[[#This Row],[fecha_inicio]]="","",YEAR(tblOrdenes[[#This Row],[fecha_inicio]]))</f>
        <v/>
      </c>
      <c r="Q824" s="5">
        <f>IF(tblOrdenes[[#This Row],[fecha_inicio]]="","",MONTH(tblOrdenes[[#This Row],[fecha_inicio]]))</f>
        <v/>
      </c>
      <c r="R824" s="5">
        <f>IF(tblOrdenes[[#This Row],[fecha_inicio]]="","",tblOrdenes[[#This Row],[anio]]&amp;"-"&amp;TEXT(tblOrdenes[[#This Row],[mes]],"00"))</f>
        <v/>
      </c>
      <c r="S824" s="5">
        <f>IF(tblOrdenes[[#This Row],[fecha_inicio]]="","",INDEX(lista_dias,WEEKDAY(tblOrdenes[[#This Row],[fecha_inicio]],2)))</f>
        <v/>
      </c>
      <c r="T8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4" s="5">
        <f>IF(tblOrdenes[[#This Row],[tipo_ot]]="","",_xlfn.XLOOKUP(tblOrdenes[[#This Row],[tipo_ot]],tblTiposOT[codigo],tblTiposOT[clasificacion],"sin_clasificar"))</f>
        <v/>
      </c>
      <c r="V8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4" s="5">
        <f>IF(tblOrdenes[[#This Row],[centro_costo]]="","",_xlfn.XLOOKUP(tblOrdenes[[#This Row],[centro_costo]],tblCECO[codigo],tblCECO[linea],"(sin catálogo)"))</f>
        <v/>
      </c>
      <c r="X824" s="5">
        <f>IF(tblOrdenes[[#This Row],[centro_costo]]="","",_xlfn.XLOOKUP(tblOrdenes[[#This Row],[centro_costo]],tblCECO[codigo],tblCECO[area],"(sin catálogo)"))</f>
        <v/>
      </c>
      <c r="Y8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4" s="5">
        <f>IF(tblOrdenes[[#This Row],[centro_costo]]="","",_xlfn.XLOOKUP(tblOrdenes[[#This Row],[centro_costo]],tblCECO[codigo],tblCECO[coordinador],"(sin catálogo)"))</f>
        <v/>
      </c>
      <c r="AA824" s="5">
        <f>IF(tblOrdenes[[#This Row],[puesto_trabajo]]="","",_xlfn.XLOOKUP(tblOrdenes[[#This Row],[puesto_trabajo]],tblPuestos[codigo],tblPuestos[especialidad],"(sin catálogo)"))</f>
        <v/>
      </c>
      <c r="AB824" s="5">
        <f>IF(tblOrdenes[[#This Row],[cod_actividad]]="","",_xlfn.XLOOKUP(tblOrdenes[[#This Row],[cod_actividad]],tblActividades[codigo],tblActividades[descripcion],"(sin catálogo)"))</f>
        <v/>
      </c>
      <c r="AC824" s="20">
        <f>IF(tblOrdenes[[#This Row],[fecha_inicio]]="","",TODAY()-tblOrdenes[[#This Row],[fecha_inicio]])</f>
        <v/>
      </c>
      <c r="AD8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4" s="5">
        <f>IF(tblOrdenes[[#This Row],[backlog_habiles]]="","",IF(tblOrdenes[[#This Row],[backlog_habiles]]&lt;0,"FUTURO",IF(tblOrdenes[[#This Row],[backlog_habiles]]&gt;p_dias_backlog_max,"BACKLOG","MES CORRIENTE")))</f>
        <v/>
      </c>
      <c r="AF824" s="5">
        <f>IF(tblOrdenes[[#This Row],[backlog_habiles]]="",FALSE,AND(tblOrdenes[[#This Row],[backlog_habiles]]&gt;p_dias_backlog_min,tblOrdenes[[#This Row],[backlog_habiles]]&lt;=p_dias_backlog_max))</f>
        <v/>
      </c>
      <c r="AG824" s="4" t="n"/>
      <c r="AH8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4" s="18">
        <f>IF(tblOrdenes[[#This Row],[orden]]="","",_xlfn.XLOOKUP(tblOrdenes[[#This Row],[id_operacion]],tblEjecucion[id_operacion],tblEjecucion[precio],0))</f>
        <v/>
      </c>
      <c r="AL824" s="18">
        <f>IF(tblOrdenes[[#This Row],[orden]]="","",MAX(0,_xlfn.XLOOKUP(tblOrdenes[[#This Row],[id_operacion]],tblEjecucion[id_operacion],tblEjecucion[costo_plan_total],0)-tblOrdenes[[#This Row],[costo_servicio]]))</f>
        <v/>
      </c>
      <c r="AM824" s="18">
        <f>IF(tblOrdenes[[#This Row],[orden]]="","",tblOrdenes[[#This Row],[costo_servicio]]+tblOrdenes[[#This Row],[costo_materiales]])</f>
        <v/>
      </c>
      <c r="AN8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4" s="4" t="n"/>
      <c r="AP824" s="4" t="n"/>
      <c r="AQ824" s="4" t="n"/>
      <c r="AR824" s="5">
        <f>IF(tblOrdenes[[#This Row],[link_checklist]]="","",HYPERLINK(p_ruta_base_checklists&amp;tblOrdenes[[#This Row],[link_checklist]],"abrir"))</f>
        <v/>
      </c>
      <c r="AS824" s="4" t="n"/>
      <c r="AT824" s="5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22" t="n"/>
      <c r="K825" s="5" t="n"/>
      <c r="L825" s="18" t="n"/>
      <c r="M8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5">
        <f>IF(tblOrdenes[[#This Row],[fecha_inicio]]="","",YEAR(tblOrdenes[[#This Row],[fecha_inicio]]))</f>
        <v/>
      </c>
      <c r="Q825" s="5">
        <f>IF(tblOrdenes[[#This Row],[fecha_inicio]]="","",MONTH(tblOrdenes[[#This Row],[fecha_inicio]]))</f>
        <v/>
      </c>
      <c r="R825" s="5">
        <f>IF(tblOrdenes[[#This Row],[fecha_inicio]]="","",tblOrdenes[[#This Row],[anio]]&amp;"-"&amp;TEXT(tblOrdenes[[#This Row],[mes]],"00"))</f>
        <v/>
      </c>
      <c r="S825" s="5">
        <f>IF(tblOrdenes[[#This Row],[fecha_inicio]]="","",INDEX(lista_dias,WEEKDAY(tblOrdenes[[#This Row],[fecha_inicio]],2)))</f>
        <v/>
      </c>
      <c r="T8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5" s="5">
        <f>IF(tblOrdenes[[#This Row],[tipo_ot]]="","",_xlfn.XLOOKUP(tblOrdenes[[#This Row],[tipo_ot]],tblTiposOT[codigo],tblTiposOT[clasificacion],"sin_clasificar"))</f>
        <v/>
      </c>
      <c r="V8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5" s="5">
        <f>IF(tblOrdenes[[#This Row],[centro_costo]]="","",_xlfn.XLOOKUP(tblOrdenes[[#This Row],[centro_costo]],tblCECO[codigo],tblCECO[linea],"(sin catálogo)"))</f>
        <v/>
      </c>
      <c r="X825" s="5">
        <f>IF(tblOrdenes[[#This Row],[centro_costo]]="","",_xlfn.XLOOKUP(tblOrdenes[[#This Row],[centro_costo]],tblCECO[codigo],tblCECO[area],"(sin catálogo)"))</f>
        <v/>
      </c>
      <c r="Y8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5" s="5">
        <f>IF(tblOrdenes[[#This Row],[centro_costo]]="","",_xlfn.XLOOKUP(tblOrdenes[[#This Row],[centro_costo]],tblCECO[codigo],tblCECO[coordinador],"(sin catálogo)"))</f>
        <v/>
      </c>
      <c r="AA825" s="5">
        <f>IF(tblOrdenes[[#This Row],[puesto_trabajo]]="","",_xlfn.XLOOKUP(tblOrdenes[[#This Row],[puesto_trabajo]],tblPuestos[codigo],tblPuestos[especialidad],"(sin catálogo)"))</f>
        <v/>
      </c>
      <c r="AB825" s="5">
        <f>IF(tblOrdenes[[#This Row],[cod_actividad]]="","",_xlfn.XLOOKUP(tblOrdenes[[#This Row],[cod_actividad]],tblActividades[codigo],tblActividades[descripcion],"(sin catálogo)"))</f>
        <v/>
      </c>
      <c r="AC825" s="20">
        <f>IF(tblOrdenes[[#This Row],[fecha_inicio]]="","",TODAY()-tblOrdenes[[#This Row],[fecha_inicio]])</f>
        <v/>
      </c>
      <c r="AD8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5" s="5">
        <f>IF(tblOrdenes[[#This Row],[backlog_habiles]]="","",IF(tblOrdenes[[#This Row],[backlog_habiles]]&lt;0,"FUTURO",IF(tblOrdenes[[#This Row],[backlog_habiles]]&gt;p_dias_backlog_max,"BACKLOG","MES CORRIENTE")))</f>
        <v/>
      </c>
      <c r="AF825" s="5">
        <f>IF(tblOrdenes[[#This Row],[backlog_habiles]]="",FALSE,AND(tblOrdenes[[#This Row],[backlog_habiles]]&gt;p_dias_backlog_min,tblOrdenes[[#This Row],[backlog_habiles]]&lt;=p_dias_backlog_max))</f>
        <v/>
      </c>
      <c r="AG825" s="4" t="n"/>
      <c r="AH8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5" s="18">
        <f>IF(tblOrdenes[[#This Row],[orden]]="","",_xlfn.XLOOKUP(tblOrdenes[[#This Row],[id_operacion]],tblEjecucion[id_operacion],tblEjecucion[precio],0))</f>
        <v/>
      </c>
      <c r="AL825" s="18">
        <f>IF(tblOrdenes[[#This Row],[orden]]="","",MAX(0,_xlfn.XLOOKUP(tblOrdenes[[#This Row],[id_operacion]],tblEjecucion[id_operacion],tblEjecucion[costo_plan_total],0)-tblOrdenes[[#This Row],[costo_servicio]]))</f>
        <v/>
      </c>
      <c r="AM825" s="18">
        <f>IF(tblOrdenes[[#This Row],[orden]]="","",tblOrdenes[[#This Row],[costo_servicio]]+tblOrdenes[[#This Row],[costo_materiales]])</f>
        <v/>
      </c>
      <c r="AN8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5" s="4" t="n"/>
      <c r="AP825" s="4" t="n"/>
      <c r="AQ825" s="4" t="n"/>
      <c r="AR825" s="5">
        <f>IF(tblOrdenes[[#This Row],[link_checklist]]="","",HYPERLINK(p_ruta_base_checklists&amp;tblOrdenes[[#This Row],[link_checklist]],"abrir"))</f>
        <v/>
      </c>
      <c r="AS825" s="4" t="n"/>
      <c r="AT825" s="5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22" t="n"/>
      <c r="K826" s="5" t="n"/>
      <c r="L826" s="18" t="n"/>
      <c r="M8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5">
        <f>IF(tblOrdenes[[#This Row],[fecha_inicio]]="","",YEAR(tblOrdenes[[#This Row],[fecha_inicio]]))</f>
        <v/>
      </c>
      <c r="Q826" s="5">
        <f>IF(tblOrdenes[[#This Row],[fecha_inicio]]="","",MONTH(tblOrdenes[[#This Row],[fecha_inicio]]))</f>
        <v/>
      </c>
      <c r="R826" s="5">
        <f>IF(tblOrdenes[[#This Row],[fecha_inicio]]="","",tblOrdenes[[#This Row],[anio]]&amp;"-"&amp;TEXT(tblOrdenes[[#This Row],[mes]],"00"))</f>
        <v/>
      </c>
      <c r="S826" s="5">
        <f>IF(tblOrdenes[[#This Row],[fecha_inicio]]="","",INDEX(lista_dias,WEEKDAY(tblOrdenes[[#This Row],[fecha_inicio]],2)))</f>
        <v/>
      </c>
      <c r="T8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6" s="5">
        <f>IF(tblOrdenes[[#This Row],[tipo_ot]]="","",_xlfn.XLOOKUP(tblOrdenes[[#This Row],[tipo_ot]],tblTiposOT[codigo],tblTiposOT[clasificacion],"sin_clasificar"))</f>
        <v/>
      </c>
      <c r="V8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6" s="5">
        <f>IF(tblOrdenes[[#This Row],[centro_costo]]="","",_xlfn.XLOOKUP(tblOrdenes[[#This Row],[centro_costo]],tblCECO[codigo],tblCECO[linea],"(sin catálogo)"))</f>
        <v/>
      </c>
      <c r="X826" s="5">
        <f>IF(tblOrdenes[[#This Row],[centro_costo]]="","",_xlfn.XLOOKUP(tblOrdenes[[#This Row],[centro_costo]],tblCECO[codigo],tblCECO[area],"(sin catálogo)"))</f>
        <v/>
      </c>
      <c r="Y8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6" s="5">
        <f>IF(tblOrdenes[[#This Row],[centro_costo]]="","",_xlfn.XLOOKUP(tblOrdenes[[#This Row],[centro_costo]],tblCECO[codigo],tblCECO[coordinador],"(sin catálogo)"))</f>
        <v/>
      </c>
      <c r="AA826" s="5">
        <f>IF(tblOrdenes[[#This Row],[puesto_trabajo]]="","",_xlfn.XLOOKUP(tblOrdenes[[#This Row],[puesto_trabajo]],tblPuestos[codigo],tblPuestos[especialidad],"(sin catálogo)"))</f>
        <v/>
      </c>
      <c r="AB826" s="5">
        <f>IF(tblOrdenes[[#This Row],[cod_actividad]]="","",_xlfn.XLOOKUP(tblOrdenes[[#This Row],[cod_actividad]],tblActividades[codigo],tblActividades[descripcion],"(sin catálogo)"))</f>
        <v/>
      </c>
      <c r="AC826" s="20">
        <f>IF(tblOrdenes[[#This Row],[fecha_inicio]]="","",TODAY()-tblOrdenes[[#This Row],[fecha_inicio]])</f>
        <v/>
      </c>
      <c r="AD8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6" s="5">
        <f>IF(tblOrdenes[[#This Row],[backlog_habiles]]="","",IF(tblOrdenes[[#This Row],[backlog_habiles]]&lt;0,"FUTURO",IF(tblOrdenes[[#This Row],[backlog_habiles]]&gt;p_dias_backlog_max,"BACKLOG","MES CORRIENTE")))</f>
        <v/>
      </c>
      <c r="AF826" s="5">
        <f>IF(tblOrdenes[[#This Row],[backlog_habiles]]="",FALSE,AND(tblOrdenes[[#This Row],[backlog_habiles]]&gt;p_dias_backlog_min,tblOrdenes[[#This Row],[backlog_habiles]]&lt;=p_dias_backlog_max))</f>
        <v/>
      </c>
      <c r="AG826" s="4" t="n"/>
      <c r="AH8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6" s="18">
        <f>IF(tblOrdenes[[#This Row],[orden]]="","",_xlfn.XLOOKUP(tblOrdenes[[#This Row],[id_operacion]],tblEjecucion[id_operacion],tblEjecucion[precio],0))</f>
        <v/>
      </c>
      <c r="AL826" s="18">
        <f>IF(tblOrdenes[[#This Row],[orden]]="","",MAX(0,_xlfn.XLOOKUP(tblOrdenes[[#This Row],[id_operacion]],tblEjecucion[id_operacion],tblEjecucion[costo_plan_total],0)-tblOrdenes[[#This Row],[costo_servicio]]))</f>
        <v/>
      </c>
      <c r="AM826" s="18">
        <f>IF(tblOrdenes[[#This Row],[orden]]="","",tblOrdenes[[#This Row],[costo_servicio]]+tblOrdenes[[#This Row],[costo_materiales]])</f>
        <v/>
      </c>
      <c r="AN8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6" s="4" t="n"/>
      <c r="AP826" s="4" t="n"/>
      <c r="AQ826" s="4" t="n"/>
      <c r="AR826" s="5">
        <f>IF(tblOrdenes[[#This Row],[link_checklist]]="","",HYPERLINK(p_ruta_base_checklists&amp;tblOrdenes[[#This Row],[link_checklist]],"abrir"))</f>
        <v/>
      </c>
      <c r="AS826" s="4" t="n"/>
      <c r="AT826" s="5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22" t="n"/>
      <c r="K827" s="5" t="n"/>
      <c r="L827" s="18" t="n"/>
      <c r="M8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5">
        <f>IF(tblOrdenes[[#This Row],[fecha_inicio]]="","",YEAR(tblOrdenes[[#This Row],[fecha_inicio]]))</f>
        <v/>
      </c>
      <c r="Q827" s="5">
        <f>IF(tblOrdenes[[#This Row],[fecha_inicio]]="","",MONTH(tblOrdenes[[#This Row],[fecha_inicio]]))</f>
        <v/>
      </c>
      <c r="R827" s="5">
        <f>IF(tblOrdenes[[#This Row],[fecha_inicio]]="","",tblOrdenes[[#This Row],[anio]]&amp;"-"&amp;TEXT(tblOrdenes[[#This Row],[mes]],"00"))</f>
        <v/>
      </c>
      <c r="S827" s="5">
        <f>IF(tblOrdenes[[#This Row],[fecha_inicio]]="","",INDEX(lista_dias,WEEKDAY(tblOrdenes[[#This Row],[fecha_inicio]],2)))</f>
        <v/>
      </c>
      <c r="T8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7" s="5">
        <f>IF(tblOrdenes[[#This Row],[tipo_ot]]="","",_xlfn.XLOOKUP(tblOrdenes[[#This Row],[tipo_ot]],tblTiposOT[codigo],tblTiposOT[clasificacion],"sin_clasificar"))</f>
        <v/>
      </c>
      <c r="V8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7" s="5">
        <f>IF(tblOrdenes[[#This Row],[centro_costo]]="","",_xlfn.XLOOKUP(tblOrdenes[[#This Row],[centro_costo]],tblCECO[codigo],tblCECO[linea],"(sin catálogo)"))</f>
        <v/>
      </c>
      <c r="X827" s="5">
        <f>IF(tblOrdenes[[#This Row],[centro_costo]]="","",_xlfn.XLOOKUP(tblOrdenes[[#This Row],[centro_costo]],tblCECO[codigo],tblCECO[area],"(sin catálogo)"))</f>
        <v/>
      </c>
      <c r="Y8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7" s="5">
        <f>IF(tblOrdenes[[#This Row],[centro_costo]]="","",_xlfn.XLOOKUP(tblOrdenes[[#This Row],[centro_costo]],tblCECO[codigo],tblCECO[coordinador],"(sin catálogo)"))</f>
        <v/>
      </c>
      <c r="AA827" s="5">
        <f>IF(tblOrdenes[[#This Row],[puesto_trabajo]]="","",_xlfn.XLOOKUP(tblOrdenes[[#This Row],[puesto_trabajo]],tblPuestos[codigo],tblPuestos[especialidad],"(sin catálogo)"))</f>
        <v/>
      </c>
      <c r="AB827" s="5">
        <f>IF(tblOrdenes[[#This Row],[cod_actividad]]="","",_xlfn.XLOOKUP(tblOrdenes[[#This Row],[cod_actividad]],tblActividades[codigo],tblActividades[descripcion],"(sin catálogo)"))</f>
        <v/>
      </c>
      <c r="AC827" s="20">
        <f>IF(tblOrdenes[[#This Row],[fecha_inicio]]="","",TODAY()-tblOrdenes[[#This Row],[fecha_inicio]])</f>
        <v/>
      </c>
      <c r="AD8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7" s="5">
        <f>IF(tblOrdenes[[#This Row],[backlog_habiles]]="","",IF(tblOrdenes[[#This Row],[backlog_habiles]]&lt;0,"FUTURO",IF(tblOrdenes[[#This Row],[backlog_habiles]]&gt;p_dias_backlog_max,"BACKLOG","MES CORRIENTE")))</f>
        <v/>
      </c>
      <c r="AF827" s="5">
        <f>IF(tblOrdenes[[#This Row],[backlog_habiles]]="",FALSE,AND(tblOrdenes[[#This Row],[backlog_habiles]]&gt;p_dias_backlog_min,tblOrdenes[[#This Row],[backlog_habiles]]&lt;=p_dias_backlog_max))</f>
        <v/>
      </c>
      <c r="AG827" s="4" t="n"/>
      <c r="AH8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7" s="18">
        <f>IF(tblOrdenes[[#This Row],[orden]]="","",_xlfn.XLOOKUP(tblOrdenes[[#This Row],[id_operacion]],tblEjecucion[id_operacion],tblEjecucion[precio],0))</f>
        <v/>
      </c>
      <c r="AL827" s="18">
        <f>IF(tblOrdenes[[#This Row],[orden]]="","",MAX(0,_xlfn.XLOOKUP(tblOrdenes[[#This Row],[id_operacion]],tblEjecucion[id_operacion],tblEjecucion[costo_plan_total],0)-tblOrdenes[[#This Row],[costo_servicio]]))</f>
        <v/>
      </c>
      <c r="AM827" s="18">
        <f>IF(tblOrdenes[[#This Row],[orden]]="","",tblOrdenes[[#This Row],[costo_servicio]]+tblOrdenes[[#This Row],[costo_materiales]])</f>
        <v/>
      </c>
      <c r="AN8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7" s="4" t="n"/>
      <c r="AP827" s="4" t="n"/>
      <c r="AQ827" s="4" t="n"/>
      <c r="AR827" s="5">
        <f>IF(tblOrdenes[[#This Row],[link_checklist]]="","",HYPERLINK(p_ruta_base_checklists&amp;tblOrdenes[[#This Row],[link_checklist]],"abrir"))</f>
        <v/>
      </c>
      <c r="AS827" s="4" t="n"/>
      <c r="AT827" s="5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22" t="n"/>
      <c r="K828" s="5" t="n"/>
      <c r="L828" s="18" t="n"/>
      <c r="M8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5">
        <f>IF(tblOrdenes[[#This Row],[fecha_inicio]]="","",YEAR(tblOrdenes[[#This Row],[fecha_inicio]]))</f>
        <v/>
      </c>
      <c r="Q828" s="5">
        <f>IF(tblOrdenes[[#This Row],[fecha_inicio]]="","",MONTH(tblOrdenes[[#This Row],[fecha_inicio]]))</f>
        <v/>
      </c>
      <c r="R828" s="5">
        <f>IF(tblOrdenes[[#This Row],[fecha_inicio]]="","",tblOrdenes[[#This Row],[anio]]&amp;"-"&amp;TEXT(tblOrdenes[[#This Row],[mes]],"00"))</f>
        <v/>
      </c>
      <c r="S828" s="5">
        <f>IF(tblOrdenes[[#This Row],[fecha_inicio]]="","",INDEX(lista_dias,WEEKDAY(tblOrdenes[[#This Row],[fecha_inicio]],2)))</f>
        <v/>
      </c>
      <c r="T8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8" s="5">
        <f>IF(tblOrdenes[[#This Row],[tipo_ot]]="","",_xlfn.XLOOKUP(tblOrdenes[[#This Row],[tipo_ot]],tblTiposOT[codigo],tblTiposOT[clasificacion],"sin_clasificar"))</f>
        <v/>
      </c>
      <c r="V8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8" s="5">
        <f>IF(tblOrdenes[[#This Row],[centro_costo]]="","",_xlfn.XLOOKUP(tblOrdenes[[#This Row],[centro_costo]],tblCECO[codigo],tblCECO[linea],"(sin catálogo)"))</f>
        <v/>
      </c>
      <c r="X828" s="5">
        <f>IF(tblOrdenes[[#This Row],[centro_costo]]="","",_xlfn.XLOOKUP(tblOrdenes[[#This Row],[centro_costo]],tblCECO[codigo],tblCECO[area],"(sin catálogo)"))</f>
        <v/>
      </c>
      <c r="Y8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8" s="5">
        <f>IF(tblOrdenes[[#This Row],[centro_costo]]="","",_xlfn.XLOOKUP(tblOrdenes[[#This Row],[centro_costo]],tblCECO[codigo],tblCECO[coordinador],"(sin catálogo)"))</f>
        <v/>
      </c>
      <c r="AA828" s="5">
        <f>IF(tblOrdenes[[#This Row],[puesto_trabajo]]="","",_xlfn.XLOOKUP(tblOrdenes[[#This Row],[puesto_trabajo]],tblPuestos[codigo],tblPuestos[especialidad],"(sin catálogo)"))</f>
        <v/>
      </c>
      <c r="AB828" s="5">
        <f>IF(tblOrdenes[[#This Row],[cod_actividad]]="","",_xlfn.XLOOKUP(tblOrdenes[[#This Row],[cod_actividad]],tblActividades[codigo],tblActividades[descripcion],"(sin catálogo)"))</f>
        <v/>
      </c>
      <c r="AC828" s="20">
        <f>IF(tblOrdenes[[#This Row],[fecha_inicio]]="","",TODAY()-tblOrdenes[[#This Row],[fecha_inicio]])</f>
        <v/>
      </c>
      <c r="AD8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8" s="5">
        <f>IF(tblOrdenes[[#This Row],[backlog_habiles]]="","",IF(tblOrdenes[[#This Row],[backlog_habiles]]&lt;0,"FUTURO",IF(tblOrdenes[[#This Row],[backlog_habiles]]&gt;p_dias_backlog_max,"BACKLOG","MES CORRIENTE")))</f>
        <v/>
      </c>
      <c r="AF828" s="5">
        <f>IF(tblOrdenes[[#This Row],[backlog_habiles]]="",FALSE,AND(tblOrdenes[[#This Row],[backlog_habiles]]&gt;p_dias_backlog_min,tblOrdenes[[#This Row],[backlog_habiles]]&lt;=p_dias_backlog_max))</f>
        <v/>
      </c>
      <c r="AG828" s="4" t="n"/>
      <c r="AH8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8" s="18">
        <f>IF(tblOrdenes[[#This Row],[orden]]="","",_xlfn.XLOOKUP(tblOrdenes[[#This Row],[id_operacion]],tblEjecucion[id_operacion],tblEjecucion[precio],0))</f>
        <v/>
      </c>
      <c r="AL828" s="18">
        <f>IF(tblOrdenes[[#This Row],[orden]]="","",MAX(0,_xlfn.XLOOKUP(tblOrdenes[[#This Row],[id_operacion]],tblEjecucion[id_operacion],tblEjecucion[costo_plan_total],0)-tblOrdenes[[#This Row],[costo_servicio]]))</f>
        <v/>
      </c>
      <c r="AM828" s="18">
        <f>IF(tblOrdenes[[#This Row],[orden]]="","",tblOrdenes[[#This Row],[costo_servicio]]+tblOrdenes[[#This Row],[costo_materiales]])</f>
        <v/>
      </c>
      <c r="AN8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8" s="4" t="n"/>
      <c r="AP828" s="4" t="n"/>
      <c r="AQ828" s="4" t="n"/>
      <c r="AR828" s="5">
        <f>IF(tblOrdenes[[#This Row],[link_checklist]]="","",HYPERLINK(p_ruta_base_checklists&amp;tblOrdenes[[#This Row],[link_checklist]],"abrir"))</f>
        <v/>
      </c>
      <c r="AS828" s="4" t="n"/>
      <c r="AT828" s="5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22" t="n"/>
      <c r="K829" s="5" t="n"/>
      <c r="L829" s="18" t="n"/>
      <c r="M8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5">
        <f>IF(tblOrdenes[[#This Row],[fecha_inicio]]="","",YEAR(tblOrdenes[[#This Row],[fecha_inicio]]))</f>
        <v/>
      </c>
      <c r="Q829" s="5">
        <f>IF(tblOrdenes[[#This Row],[fecha_inicio]]="","",MONTH(tblOrdenes[[#This Row],[fecha_inicio]]))</f>
        <v/>
      </c>
      <c r="R829" s="5">
        <f>IF(tblOrdenes[[#This Row],[fecha_inicio]]="","",tblOrdenes[[#This Row],[anio]]&amp;"-"&amp;TEXT(tblOrdenes[[#This Row],[mes]],"00"))</f>
        <v/>
      </c>
      <c r="S829" s="5">
        <f>IF(tblOrdenes[[#This Row],[fecha_inicio]]="","",INDEX(lista_dias,WEEKDAY(tblOrdenes[[#This Row],[fecha_inicio]],2)))</f>
        <v/>
      </c>
      <c r="T8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9" s="5">
        <f>IF(tblOrdenes[[#This Row],[tipo_ot]]="","",_xlfn.XLOOKUP(tblOrdenes[[#This Row],[tipo_ot]],tblTiposOT[codigo],tblTiposOT[clasificacion],"sin_clasificar"))</f>
        <v/>
      </c>
      <c r="V8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9" s="5">
        <f>IF(tblOrdenes[[#This Row],[centro_costo]]="","",_xlfn.XLOOKUP(tblOrdenes[[#This Row],[centro_costo]],tblCECO[codigo],tblCECO[linea],"(sin catálogo)"))</f>
        <v/>
      </c>
      <c r="X829" s="5">
        <f>IF(tblOrdenes[[#This Row],[centro_costo]]="","",_xlfn.XLOOKUP(tblOrdenes[[#This Row],[centro_costo]],tblCECO[codigo],tblCECO[area],"(sin catálogo)"))</f>
        <v/>
      </c>
      <c r="Y8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29" s="5">
        <f>IF(tblOrdenes[[#This Row],[centro_costo]]="","",_xlfn.XLOOKUP(tblOrdenes[[#This Row],[centro_costo]],tblCECO[codigo],tblCECO[coordinador],"(sin catálogo)"))</f>
        <v/>
      </c>
      <c r="AA829" s="5">
        <f>IF(tblOrdenes[[#This Row],[puesto_trabajo]]="","",_xlfn.XLOOKUP(tblOrdenes[[#This Row],[puesto_trabajo]],tblPuestos[codigo],tblPuestos[especialidad],"(sin catálogo)"))</f>
        <v/>
      </c>
      <c r="AB829" s="5">
        <f>IF(tblOrdenes[[#This Row],[cod_actividad]]="","",_xlfn.XLOOKUP(tblOrdenes[[#This Row],[cod_actividad]],tblActividades[codigo],tblActividades[descripcion],"(sin catálogo)"))</f>
        <v/>
      </c>
      <c r="AC829" s="20">
        <f>IF(tblOrdenes[[#This Row],[fecha_inicio]]="","",TODAY()-tblOrdenes[[#This Row],[fecha_inicio]])</f>
        <v/>
      </c>
      <c r="AD8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29" s="5">
        <f>IF(tblOrdenes[[#This Row],[backlog_habiles]]="","",IF(tblOrdenes[[#This Row],[backlog_habiles]]&lt;0,"FUTURO",IF(tblOrdenes[[#This Row],[backlog_habiles]]&gt;p_dias_backlog_max,"BACKLOG","MES CORRIENTE")))</f>
        <v/>
      </c>
      <c r="AF829" s="5">
        <f>IF(tblOrdenes[[#This Row],[backlog_habiles]]="",FALSE,AND(tblOrdenes[[#This Row],[backlog_habiles]]&gt;p_dias_backlog_min,tblOrdenes[[#This Row],[backlog_habiles]]&lt;=p_dias_backlog_max))</f>
        <v/>
      </c>
      <c r="AG829" s="4" t="n"/>
      <c r="AH8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29" s="18">
        <f>IF(tblOrdenes[[#This Row],[orden]]="","",_xlfn.XLOOKUP(tblOrdenes[[#This Row],[id_operacion]],tblEjecucion[id_operacion],tblEjecucion[precio],0))</f>
        <v/>
      </c>
      <c r="AL829" s="18">
        <f>IF(tblOrdenes[[#This Row],[orden]]="","",MAX(0,_xlfn.XLOOKUP(tblOrdenes[[#This Row],[id_operacion]],tblEjecucion[id_operacion],tblEjecucion[costo_plan_total],0)-tblOrdenes[[#This Row],[costo_servicio]]))</f>
        <v/>
      </c>
      <c r="AM829" s="18">
        <f>IF(tblOrdenes[[#This Row],[orden]]="","",tblOrdenes[[#This Row],[costo_servicio]]+tblOrdenes[[#This Row],[costo_materiales]])</f>
        <v/>
      </c>
      <c r="AN8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29" s="4" t="n"/>
      <c r="AP829" s="4" t="n"/>
      <c r="AQ829" s="4" t="n"/>
      <c r="AR829" s="5">
        <f>IF(tblOrdenes[[#This Row],[link_checklist]]="","",HYPERLINK(p_ruta_base_checklists&amp;tblOrdenes[[#This Row],[link_checklist]],"abrir"))</f>
        <v/>
      </c>
      <c r="AS829" s="4" t="n"/>
      <c r="AT829" s="5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22" t="n"/>
      <c r="K830" s="5" t="n"/>
      <c r="L830" s="18" t="n"/>
      <c r="M8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5">
        <f>IF(tblOrdenes[[#This Row],[fecha_inicio]]="","",YEAR(tblOrdenes[[#This Row],[fecha_inicio]]))</f>
        <v/>
      </c>
      <c r="Q830" s="5">
        <f>IF(tblOrdenes[[#This Row],[fecha_inicio]]="","",MONTH(tblOrdenes[[#This Row],[fecha_inicio]]))</f>
        <v/>
      </c>
      <c r="R830" s="5">
        <f>IF(tblOrdenes[[#This Row],[fecha_inicio]]="","",tblOrdenes[[#This Row],[anio]]&amp;"-"&amp;TEXT(tblOrdenes[[#This Row],[mes]],"00"))</f>
        <v/>
      </c>
      <c r="S830" s="5">
        <f>IF(tblOrdenes[[#This Row],[fecha_inicio]]="","",INDEX(lista_dias,WEEKDAY(tblOrdenes[[#This Row],[fecha_inicio]],2)))</f>
        <v/>
      </c>
      <c r="T8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0" s="5">
        <f>IF(tblOrdenes[[#This Row],[tipo_ot]]="","",_xlfn.XLOOKUP(tblOrdenes[[#This Row],[tipo_ot]],tblTiposOT[codigo],tblTiposOT[clasificacion],"sin_clasificar"))</f>
        <v/>
      </c>
      <c r="V8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0" s="5">
        <f>IF(tblOrdenes[[#This Row],[centro_costo]]="","",_xlfn.XLOOKUP(tblOrdenes[[#This Row],[centro_costo]],tblCECO[codigo],tblCECO[linea],"(sin catálogo)"))</f>
        <v/>
      </c>
      <c r="X830" s="5">
        <f>IF(tblOrdenes[[#This Row],[centro_costo]]="","",_xlfn.XLOOKUP(tblOrdenes[[#This Row],[centro_costo]],tblCECO[codigo],tblCECO[area],"(sin catálogo)"))</f>
        <v/>
      </c>
      <c r="Y8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0" s="5">
        <f>IF(tblOrdenes[[#This Row],[centro_costo]]="","",_xlfn.XLOOKUP(tblOrdenes[[#This Row],[centro_costo]],tblCECO[codigo],tblCECO[coordinador],"(sin catálogo)"))</f>
        <v/>
      </c>
      <c r="AA830" s="5">
        <f>IF(tblOrdenes[[#This Row],[puesto_trabajo]]="","",_xlfn.XLOOKUP(tblOrdenes[[#This Row],[puesto_trabajo]],tblPuestos[codigo],tblPuestos[especialidad],"(sin catálogo)"))</f>
        <v/>
      </c>
      <c r="AB830" s="5">
        <f>IF(tblOrdenes[[#This Row],[cod_actividad]]="","",_xlfn.XLOOKUP(tblOrdenes[[#This Row],[cod_actividad]],tblActividades[codigo],tblActividades[descripcion],"(sin catálogo)"))</f>
        <v/>
      </c>
      <c r="AC830" s="20">
        <f>IF(tblOrdenes[[#This Row],[fecha_inicio]]="","",TODAY()-tblOrdenes[[#This Row],[fecha_inicio]])</f>
        <v/>
      </c>
      <c r="AD8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0" s="5">
        <f>IF(tblOrdenes[[#This Row],[backlog_habiles]]="","",IF(tblOrdenes[[#This Row],[backlog_habiles]]&lt;0,"FUTURO",IF(tblOrdenes[[#This Row],[backlog_habiles]]&gt;p_dias_backlog_max,"BACKLOG","MES CORRIENTE")))</f>
        <v/>
      </c>
      <c r="AF830" s="5">
        <f>IF(tblOrdenes[[#This Row],[backlog_habiles]]="",FALSE,AND(tblOrdenes[[#This Row],[backlog_habiles]]&gt;p_dias_backlog_min,tblOrdenes[[#This Row],[backlog_habiles]]&lt;=p_dias_backlog_max))</f>
        <v/>
      </c>
      <c r="AG830" s="4" t="n"/>
      <c r="AH8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0" s="18">
        <f>IF(tblOrdenes[[#This Row],[orden]]="","",_xlfn.XLOOKUP(tblOrdenes[[#This Row],[id_operacion]],tblEjecucion[id_operacion],tblEjecucion[precio],0))</f>
        <v/>
      </c>
      <c r="AL830" s="18">
        <f>IF(tblOrdenes[[#This Row],[orden]]="","",MAX(0,_xlfn.XLOOKUP(tblOrdenes[[#This Row],[id_operacion]],tblEjecucion[id_operacion],tblEjecucion[costo_plan_total],0)-tblOrdenes[[#This Row],[costo_servicio]]))</f>
        <v/>
      </c>
      <c r="AM830" s="18">
        <f>IF(tblOrdenes[[#This Row],[orden]]="","",tblOrdenes[[#This Row],[costo_servicio]]+tblOrdenes[[#This Row],[costo_materiales]])</f>
        <v/>
      </c>
      <c r="AN8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0" s="4" t="n"/>
      <c r="AP830" s="4" t="n"/>
      <c r="AQ830" s="4" t="n"/>
      <c r="AR830" s="5">
        <f>IF(tblOrdenes[[#This Row],[link_checklist]]="","",HYPERLINK(p_ruta_base_checklists&amp;tblOrdenes[[#This Row],[link_checklist]],"abrir"))</f>
        <v/>
      </c>
      <c r="AS830" s="4" t="n"/>
      <c r="AT830" s="5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22" t="n"/>
      <c r="K831" s="5" t="n"/>
      <c r="L831" s="18" t="n"/>
      <c r="M8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5">
        <f>IF(tblOrdenes[[#This Row],[fecha_inicio]]="","",YEAR(tblOrdenes[[#This Row],[fecha_inicio]]))</f>
        <v/>
      </c>
      <c r="Q831" s="5">
        <f>IF(tblOrdenes[[#This Row],[fecha_inicio]]="","",MONTH(tblOrdenes[[#This Row],[fecha_inicio]]))</f>
        <v/>
      </c>
      <c r="R831" s="5">
        <f>IF(tblOrdenes[[#This Row],[fecha_inicio]]="","",tblOrdenes[[#This Row],[anio]]&amp;"-"&amp;TEXT(tblOrdenes[[#This Row],[mes]],"00"))</f>
        <v/>
      </c>
      <c r="S831" s="5">
        <f>IF(tblOrdenes[[#This Row],[fecha_inicio]]="","",INDEX(lista_dias,WEEKDAY(tblOrdenes[[#This Row],[fecha_inicio]],2)))</f>
        <v/>
      </c>
      <c r="T8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1" s="5">
        <f>IF(tblOrdenes[[#This Row],[tipo_ot]]="","",_xlfn.XLOOKUP(tblOrdenes[[#This Row],[tipo_ot]],tblTiposOT[codigo],tblTiposOT[clasificacion],"sin_clasificar"))</f>
        <v/>
      </c>
      <c r="V8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1" s="5">
        <f>IF(tblOrdenes[[#This Row],[centro_costo]]="","",_xlfn.XLOOKUP(tblOrdenes[[#This Row],[centro_costo]],tblCECO[codigo],tblCECO[linea],"(sin catálogo)"))</f>
        <v/>
      </c>
      <c r="X831" s="5">
        <f>IF(tblOrdenes[[#This Row],[centro_costo]]="","",_xlfn.XLOOKUP(tblOrdenes[[#This Row],[centro_costo]],tblCECO[codigo],tblCECO[area],"(sin catálogo)"))</f>
        <v/>
      </c>
      <c r="Y8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1" s="5">
        <f>IF(tblOrdenes[[#This Row],[centro_costo]]="","",_xlfn.XLOOKUP(tblOrdenes[[#This Row],[centro_costo]],tblCECO[codigo],tblCECO[coordinador],"(sin catálogo)"))</f>
        <v/>
      </c>
      <c r="AA831" s="5">
        <f>IF(tblOrdenes[[#This Row],[puesto_trabajo]]="","",_xlfn.XLOOKUP(tblOrdenes[[#This Row],[puesto_trabajo]],tblPuestos[codigo],tblPuestos[especialidad],"(sin catálogo)"))</f>
        <v/>
      </c>
      <c r="AB831" s="5">
        <f>IF(tblOrdenes[[#This Row],[cod_actividad]]="","",_xlfn.XLOOKUP(tblOrdenes[[#This Row],[cod_actividad]],tblActividades[codigo],tblActividades[descripcion],"(sin catálogo)"))</f>
        <v/>
      </c>
      <c r="AC831" s="20">
        <f>IF(tblOrdenes[[#This Row],[fecha_inicio]]="","",TODAY()-tblOrdenes[[#This Row],[fecha_inicio]])</f>
        <v/>
      </c>
      <c r="AD8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1" s="5">
        <f>IF(tblOrdenes[[#This Row],[backlog_habiles]]="","",IF(tblOrdenes[[#This Row],[backlog_habiles]]&lt;0,"FUTURO",IF(tblOrdenes[[#This Row],[backlog_habiles]]&gt;p_dias_backlog_max,"BACKLOG","MES CORRIENTE")))</f>
        <v/>
      </c>
      <c r="AF831" s="5">
        <f>IF(tblOrdenes[[#This Row],[backlog_habiles]]="",FALSE,AND(tblOrdenes[[#This Row],[backlog_habiles]]&gt;p_dias_backlog_min,tblOrdenes[[#This Row],[backlog_habiles]]&lt;=p_dias_backlog_max))</f>
        <v/>
      </c>
      <c r="AG831" s="4" t="n"/>
      <c r="AH8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1" s="18">
        <f>IF(tblOrdenes[[#This Row],[orden]]="","",_xlfn.XLOOKUP(tblOrdenes[[#This Row],[id_operacion]],tblEjecucion[id_operacion],tblEjecucion[precio],0))</f>
        <v/>
      </c>
      <c r="AL831" s="18">
        <f>IF(tblOrdenes[[#This Row],[orden]]="","",MAX(0,_xlfn.XLOOKUP(tblOrdenes[[#This Row],[id_operacion]],tblEjecucion[id_operacion],tblEjecucion[costo_plan_total],0)-tblOrdenes[[#This Row],[costo_servicio]]))</f>
        <v/>
      </c>
      <c r="AM831" s="18">
        <f>IF(tblOrdenes[[#This Row],[orden]]="","",tblOrdenes[[#This Row],[costo_servicio]]+tblOrdenes[[#This Row],[costo_materiales]])</f>
        <v/>
      </c>
      <c r="AN8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1" s="4" t="n"/>
      <c r="AP831" s="4" t="n"/>
      <c r="AQ831" s="4" t="n"/>
      <c r="AR831" s="5">
        <f>IF(tblOrdenes[[#This Row],[link_checklist]]="","",HYPERLINK(p_ruta_base_checklists&amp;tblOrdenes[[#This Row],[link_checklist]],"abrir"))</f>
        <v/>
      </c>
      <c r="AS831" s="4" t="n"/>
      <c r="AT831" s="5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22" t="n"/>
      <c r="K832" s="5" t="n"/>
      <c r="L832" s="18" t="n"/>
      <c r="M8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5">
        <f>IF(tblOrdenes[[#This Row],[fecha_inicio]]="","",YEAR(tblOrdenes[[#This Row],[fecha_inicio]]))</f>
        <v/>
      </c>
      <c r="Q832" s="5">
        <f>IF(tblOrdenes[[#This Row],[fecha_inicio]]="","",MONTH(tblOrdenes[[#This Row],[fecha_inicio]]))</f>
        <v/>
      </c>
      <c r="R832" s="5">
        <f>IF(tblOrdenes[[#This Row],[fecha_inicio]]="","",tblOrdenes[[#This Row],[anio]]&amp;"-"&amp;TEXT(tblOrdenes[[#This Row],[mes]],"00"))</f>
        <v/>
      </c>
      <c r="S832" s="5">
        <f>IF(tblOrdenes[[#This Row],[fecha_inicio]]="","",INDEX(lista_dias,WEEKDAY(tblOrdenes[[#This Row],[fecha_inicio]],2)))</f>
        <v/>
      </c>
      <c r="T8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2" s="5">
        <f>IF(tblOrdenes[[#This Row],[tipo_ot]]="","",_xlfn.XLOOKUP(tblOrdenes[[#This Row],[tipo_ot]],tblTiposOT[codigo],tblTiposOT[clasificacion],"sin_clasificar"))</f>
        <v/>
      </c>
      <c r="V8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2" s="5">
        <f>IF(tblOrdenes[[#This Row],[centro_costo]]="","",_xlfn.XLOOKUP(tblOrdenes[[#This Row],[centro_costo]],tblCECO[codigo],tblCECO[linea],"(sin catálogo)"))</f>
        <v/>
      </c>
      <c r="X832" s="5">
        <f>IF(tblOrdenes[[#This Row],[centro_costo]]="","",_xlfn.XLOOKUP(tblOrdenes[[#This Row],[centro_costo]],tblCECO[codigo],tblCECO[area],"(sin catálogo)"))</f>
        <v/>
      </c>
      <c r="Y8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2" s="5">
        <f>IF(tblOrdenes[[#This Row],[centro_costo]]="","",_xlfn.XLOOKUP(tblOrdenes[[#This Row],[centro_costo]],tblCECO[codigo],tblCECO[coordinador],"(sin catálogo)"))</f>
        <v/>
      </c>
      <c r="AA832" s="5">
        <f>IF(tblOrdenes[[#This Row],[puesto_trabajo]]="","",_xlfn.XLOOKUP(tblOrdenes[[#This Row],[puesto_trabajo]],tblPuestos[codigo],tblPuestos[especialidad],"(sin catálogo)"))</f>
        <v/>
      </c>
      <c r="AB832" s="5">
        <f>IF(tblOrdenes[[#This Row],[cod_actividad]]="","",_xlfn.XLOOKUP(tblOrdenes[[#This Row],[cod_actividad]],tblActividades[codigo],tblActividades[descripcion],"(sin catálogo)"))</f>
        <v/>
      </c>
      <c r="AC832" s="20">
        <f>IF(tblOrdenes[[#This Row],[fecha_inicio]]="","",TODAY()-tblOrdenes[[#This Row],[fecha_inicio]])</f>
        <v/>
      </c>
      <c r="AD8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2" s="5">
        <f>IF(tblOrdenes[[#This Row],[backlog_habiles]]="","",IF(tblOrdenes[[#This Row],[backlog_habiles]]&lt;0,"FUTURO",IF(tblOrdenes[[#This Row],[backlog_habiles]]&gt;p_dias_backlog_max,"BACKLOG","MES CORRIENTE")))</f>
        <v/>
      </c>
      <c r="AF832" s="5">
        <f>IF(tblOrdenes[[#This Row],[backlog_habiles]]="",FALSE,AND(tblOrdenes[[#This Row],[backlog_habiles]]&gt;p_dias_backlog_min,tblOrdenes[[#This Row],[backlog_habiles]]&lt;=p_dias_backlog_max))</f>
        <v/>
      </c>
      <c r="AG832" s="4" t="n"/>
      <c r="AH8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2" s="18">
        <f>IF(tblOrdenes[[#This Row],[orden]]="","",_xlfn.XLOOKUP(tblOrdenes[[#This Row],[id_operacion]],tblEjecucion[id_operacion],tblEjecucion[precio],0))</f>
        <v/>
      </c>
      <c r="AL832" s="18">
        <f>IF(tblOrdenes[[#This Row],[orden]]="","",MAX(0,_xlfn.XLOOKUP(tblOrdenes[[#This Row],[id_operacion]],tblEjecucion[id_operacion],tblEjecucion[costo_plan_total],0)-tblOrdenes[[#This Row],[costo_servicio]]))</f>
        <v/>
      </c>
      <c r="AM832" s="18">
        <f>IF(tblOrdenes[[#This Row],[orden]]="","",tblOrdenes[[#This Row],[costo_servicio]]+tblOrdenes[[#This Row],[costo_materiales]])</f>
        <v/>
      </c>
      <c r="AN8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2" s="4" t="n"/>
      <c r="AP832" s="4" t="n"/>
      <c r="AQ832" s="4" t="n"/>
      <c r="AR832" s="5">
        <f>IF(tblOrdenes[[#This Row],[link_checklist]]="","",HYPERLINK(p_ruta_base_checklists&amp;tblOrdenes[[#This Row],[link_checklist]],"abrir"))</f>
        <v/>
      </c>
      <c r="AS832" s="4" t="n"/>
      <c r="AT832" s="5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22" t="n"/>
      <c r="K833" s="5" t="n"/>
      <c r="L833" s="18" t="n"/>
      <c r="M8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5">
        <f>IF(tblOrdenes[[#This Row],[fecha_inicio]]="","",YEAR(tblOrdenes[[#This Row],[fecha_inicio]]))</f>
        <v/>
      </c>
      <c r="Q833" s="5">
        <f>IF(tblOrdenes[[#This Row],[fecha_inicio]]="","",MONTH(tblOrdenes[[#This Row],[fecha_inicio]]))</f>
        <v/>
      </c>
      <c r="R833" s="5">
        <f>IF(tblOrdenes[[#This Row],[fecha_inicio]]="","",tblOrdenes[[#This Row],[anio]]&amp;"-"&amp;TEXT(tblOrdenes[[#This Row],[mes]],"00"))</f>
        <v/>
      </c>
      <c r="S833" s="5">
        <f>IF(tblOrdenes[[#This Row],[fecha_inicio]]="","",INDEX(lista_dias,WEEKDAY(tblOrdenes[[#This Row],[fecha_inicio]],2)))</f>
        <v/>
      </c>
      <c r="T8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3" s="5">
        <f>IF(tblOrdenes[[#This Row],[tipo_ot]]="","",_xlfn.XLOOKUP(tblOrdenes[[#This Row],[tipo_ot]],tblTiposOT[codigo],tblTiposOT[clasificacion],"sin_clasificar"))</f>
        <v/>
      </c>
      <c r="V8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3" s="5">
        <f>IF(tblOrdenes[[#This Row],[centro_costo]]="","",_xlfn.XLOOKUP(tblOrdenes[[#This Row],[centro_costo]],tblCECO[codigo],tblCECO[linea],"(sin catálogo)"))</f>
        <v/>
      </c>
      <c r="X833" s="5">
        <f>IF(tblOrdenes[[#This Row],[centro_costo]]="","",_xlfn.XLOOKUP(tblOrdenes[[#This Row],[centro_costo]],tblCECO[codigo],tblCECO[area],"(sin catálogo)"))</f>
        <v/>
      </c>
      <c r="Y8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3" s="5">
        <f>IF(tblOrdenes[[#This Row],[centro_costo]]="","",_xlfn.XLOOKUP(tblOrdenes[[#This Row],[centro_costo]],tblCECO[codigo],tblCECO[coordinador],"(sin catálogo)"))</f>
        <v/>
      </c>
      <c r="AA833" s="5">
        <f>IF(tblOrdenes[[#This Row],[puesto_trabajo]]="","",_xlfn.XLOOKUP(tblOrdenes[[#This Row],[puesto_trabajo]],tblPuestos[codigo],tblPuestos[especialidad],"(sin catálogo)"))</f>
        <v/>
      </c>
      <c r="AB833" s="5">
        <f>IF(tblOrdenes[[#This Row],[cod_actividad]]="","",_xlfn.XLOOKUP(tblOrdenes[[#This Row],[cod_actividad]],tblActividades[codigo],tblActividades[descripcion],"(sin catálogo)"))</f>
        <v/>
      </c>
      <c r="AC833" s="20">
        <f>IF(tblOrdenes[[#This Row],[fecha_inicio]]="","",TODAY()-tblOrdenes[[#This Row],[fecha_inicio]])</f>
        <v/>
      </c>
      <c r="AD8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3" s="5">
        <f>IF(tblOrdenes[[#This Row],[backlog_habiles]]="","",IF(tblOrdenes[[#This Row],[backlog_habiles]]&lt;0,"FUTURO",IF(tblOrdenes[[#This Row],[backlog_habiles]]&gt;p_dias_backlog_max,"BACKLOG","MES CORRIENTE")))</f>
        <v/>
      </c>
      <c r="AF833" s="5">
        <f>IF(tblOrdenes[[#This Row],[backlog_habiles]]="",FALSE,AND(tblOrdenes[[#This Row],[backlog_habiles]]&gt;p_dias_backlog_min,tblOrdenes[[#This Row],[backlog_habiles]]&lt;=p_dias_backlog_max))</f>
        <v/>
      </c>
      <c r="AG833" s="4" t="n"/>
      <c r="AH8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3" s="18">
        <f>IF(tblOrdenes[[#This Row],[orden]]="","",_xlfn.XLOOKUP(tblOrdenes[[#This Row],[id_operacion]],tblEjecucion[id_operacion],tblEjecucion[precio],0))</f>
        <v/>
      </c>
      <c r="AL833" s="18">
        <f>IF(tblOrdenes[[#This Row],[orden]]="","",MAX(0,_xlfn.XLOOKUP(tblOrdenes[[#This Row],[id_operacion]],tblEjecucion[id_operacion],tblEjecucion[costo_plan_total],0)-tblOrdenes[[#This Row],[costo_servicio]]))</f>
        <v/>
      </c>
      <c r="AM833" s="18">
        <f>IF(tblOrdenes[[#This Row],[orden]]="","",tblOrdenes[[#This Row],[costo_servicio]]+tblOrdenes[[#This Row],[costo_materiales]])</f>
        <v/>
      </c>
      <c r="AN8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3" s="4" t="n"/>
      <c r="AP833" s="4" t="n"/>
      <c r="AQ833" s="4" t="n"/>
      <c r="AR833" s="5">
        <f>IF(tblOrdenes[[#This Row],[link_checklist]]="","",HYPERLINK(p_ruta_base_checklists&amp;tblOrdenes[[#This Row],[link_checklist]],"abrir"))</f>
        <v/>
      </c>
      <c r="AS833" s="4" t="n"/>
      <c r="AT833" s="5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22" t="n"/>
      <c r="K834" s="5" t="n"/>
      <c r="L834" s="18" t="n"/>
      <c r="M8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5">
        <f>IF(tblOrdenes[[#This Row],[fecha_inicio]]="","",YEAR(tblOrdenes[[#This Row],[fecha_inicio]]))</f>
        <v/>
      </c>
      <c r="Q834" s="5">
        <f>IF(tblOrdenes[[#This Row],[fecha_inicio]]="","",MONTH(tblOrdenes[[#This Row],[fecha_inicio]]))</f>
        <v/>
      </c>
      <c r="R834" s="5">
        <f>IF(tblOrdenes[[#This Row],[fecha_inicio]]="","",tblOrdenes[[#This Row],[anio]]&amp;"-"&amp;TEXT(tblOrdenes[[#This Row],[mes]],"00"))</f>
        <v/>
      </c>
      <c r="S834" s="5">
        <f>IF(tblOrdenes[[#This Row],[fecha_inicio]]="","",INDEX(lista_dias,WEEKDAY(tblOrdenes[[#This Row],[fecha_inicio]],2)))</f>
        <v/>
      </c>
      <c r="T8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4" s="5">
        <f>IF(tblOrdenes[[#This Row],[tipo_ot]]="","",_xlfn.XLOOKUP(tblOrdenes[[#This Row],[tipo_ot]],tblTiposOT[codigo],tblTiposOT[clasificacion],"sin_clasificar"))</f>
        <v/>
      </c>
      <c r="V8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4" s="5">
        <f>IF(tblOrdenes[[#This Row],[centro_costo]]="","",_xlfn.XLOOKUP(tblOrdenes[[#This Row],[centro_costo]],tblCECO[codigo],tblCECO[linea],"(sin catálogo)"))</f>
        <v/>
      </c>
      <c r="X834" s="5">
        <f>IF(tblOrdenes[[#This Row],[centro_costo]]="","",_xlfn.XLOOKUP(tblOrdenes[[#This Row],[centro_costo]],tblCECO[codigo],tblCECO[area],"(sin catálogo)"))</f>
        <v/>
      </c>
      <c r="Y8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4" s="5">
        <f>IF(tblOrdenes[[#This Row],[centro_costo]]="","",_xlfn.XLOOKUP(tblOrdenes[[#This Row],[centro_costo]],tblCECO[codigo],tblCECO[coordinador],"(sin catálogo)"))</f>
        <v/>
      </c>
      <c r="AA834" s="5">
        <f>IF(tblOrdenes[[#This Row],[puesto_trabajo]]="","",_xlfn.XLOOKUP(tblOrdenes[[#This Row],[puesto_trabajo]],tblPuestos[codigo],tblPuestos[especialidad],"(sin catálogo)"))</f>
        <v/>
      </c>
      <c r="AB834" s="5">
        <f>IF(tblOrdenes[[#This Row],[cod_actividad]]="","",_xlfn.XLOOKUP(tblOrdenes[[#This Row],[cod_actividad]],tblActividades[codigo],tblActividades[descripcion],"(sin catálogo)"))</f>
        <v/>
      </c>
      <c r="AC834" s="20">
        <f>IF(tblOrdenes[[#This Row],[fecha_inicio]]="","",TODAY()-tblOrdenes[[#This Row],[fecha_inicio]])</f>
        <v/>
      </c>
      <c r="AD8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4" s="5">
        <f>IF(tblOrdenes[[#This Row],[backlog_habiles]]="","",IF(tblOrdenes[[#This Row],[backlog_habiles]]&lt;0,"FUTURO",IF(tblOrdenes[[#This Row],[backlog_habiles]]&gt;p_dias_backlog_max,"BACKLOG","MES CORRIENTE")))</f>
        <v/>
      </c>
      <c r="AF834" s="5">
        <f>IF(tblOrdenes[[#This Row],[backlog_habiles]]="",FALSE,AND(tblOrdenes[[#This Row],[backlog_habiles]]&gt;p_dias_backlog_min,tblOrdenes[[#This Row],[backlog_habiles]]&lt;=p_dias_backlog_max))</f>
        <v/>
      </c>
      <c r="AG834" s="4" t="n"/>
      <c r="AH8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4" s="18">
        <f>IF(tblOrdenes[[#This Row],[orden]]="","",_xlfn.XLOOKUP(tblOrdenes[[#This Row],[id_operacion]],tblEjecucion[id_operacion],tblEjecucion[precio],0))</f>
        <v/>
      </c>
      <c r="AL834" s="18">
        <f>IF(tblOrdenes[[#This Row],[orden]]="","",MAX(0,_xlfn.XLOOKUP(tblOrdenes[[#This Row],[id_operacion]],tblEjecucion[id_operacion],tblEjecucion[costo_plan_total],0)-tblOrdenes[[#This Row],[costo_servicio]]))</f>
        <v/>
      </c>
      <c r="AM834" s="18">
        <f>IF(tblOrdenes[[#This Row],[orden]]="","",tblOrdenes[[#This Row],[costo_servicio]]+tblOrdenes[[#This Row],[costo_materiales]])</f>
        <v/>
      </c>
      <c r="AN8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4" s="4" t="n"/>
      <c r="AP834" s="4" t="n"/>
      <c r="AQ834" s="4" t="n"/>
      <c r="AR834" s="5">
        <f>IF(tblOrdenes[[#This Row],[link_checklist]]="","",HYPERLINK(p_ruta_base_checklists&amp;tblOrdenes[[#This Row],[link_checklist]],"abrir"))</f>
        <v/>
      </c>
      <c r="AS834" s="4" t="n"/>
      <c r="AT834" s="5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22" t="n"/>
      <c r="K835" s="5" t="n"/>
      <c r="L835" s="18" t="n"/>
      <c r="M8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5">
        <f>IF(tblOrdenes[[#This Row],[fecha_inicio]]="","",YEAR(tblOrdenes[[#This Row],[fecha_inicio]]))</f>
        <v/>
      </c>
      <c r="Q835" s="5">
        <f>IF(tblOrdenes[[#This Row],[fecha_inicio]]="","",MONTH(tblOrdenes[[#This Row],[fecha_inicio]]))</f>
        <v/>
      </c>
      <c r="R835" s="5">
        <f>IF(tblOrdenes[[#This Row],[fecha_inicio]]="","",tblOrdenes[[#This Row],[anio]]&amp;"-"&amp;TEXT(tblOrdenes[[#This Row],[mes]],"00"))</f>
        <v/>
      </c>
      <c r="S835" s="5">
        <f>IF(tblOrdenes[[#This Row],[fecha_inicio]]="","",INDEX(lista_dias,WEEKDAY(tblOrdenes[[#This Row],[fecha_inicio]],2)))</f>
        <v/>
      </c>
      <c r="T8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5" s="5">
        <f>IF(tblOrdenes[[#This Row],[tipo_ot]]="","",_xlfn.XLOOKUP(tblOrdenes[[#This Row],[tipo_ot]],tblTiposOT[codigo],tblTiposOT[clasificacion],"sin_clasificar"))</f>
        <v/>
      </c>
      <c r="V8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5" s="5">
        <f>IF(tblOrdenes[[#This Row],[centro_costo]]="","",_xlfn.XLOOKUP(tblOrdenes[[#This Row],[centro_costo]],tblCECO[codigo],tblCECO[linea],"(sin catálogo)"))</f>
        <v/>
      </c>
      <c r="X835" s="5">
        <f>IF(tblOrdenes[[#This Row],[centro_costo]]="","",_xlfn.XLOOKUP(tblOrdenes[[#This Row],[centro_costo]],tblCECO[codigo],tblCECO[area],"(sin catálogo)"))</f>
        <v/>
      </c>
      <c r="Y8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5" s="5">
        <f>IF(tblOrdenes[[#This Row],[centro_costo]]="","",_xlfn.XLOOKUP(tblOrdenes[[#This Row],[centro_costo]],tblCECO[codigo],tblCECO[coordinador],"(sin catálogo)"))</f>
        <v/>
      </c>
      <c r="AA835" s="5">
        <f>IF(tblOrdenes[[#This Row],[puesto_trabajo]]="","",_xlfn.XLOOKUP(tblOrdenes[[#This Row],[puesto_trabajo]],tblPuestos[codigo],tblPuestos[especialidad],"(sin catálogo)"))</f>
        <v/>
      </c>
      <c r="AB835" s="5">
        <f>IF(tblOrdenes[[#This Row],[cod_actividad]]="","",_xlfn.XLOOKUP(tblOrdenes[[#This Row],[cod_actividad]],tblActividades[codigo],tblActividades[descripcion],"(sin catálogo)"))</f>
        <v/>
      </c>
      <c r="AC835" s="20">
        <f>IF(tblOrdenes[[#This Row],[fecha_inicio]]="","",TODAY()-tblOrdenes[[#This Row],[fecha_inicio]])</f>
        <v/>
      </c>
      <c r="AD8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5" s="5">
        <f>IF(tblOrdenes[[#This Row],[backlog_habiles]]="","",IF(tblOrdenes[[#This Row],[backlog_habiles]]&lt;0,"FUTURO",IF(tblOrdenes[[#This Row],[backlog_habiles]]&gt;p_dias_backlog_max,"BACKLOG","MES CORRIENTE")))</f>
        <v/>
      </c>
      <c r="AF835" s="5">
        <f>IF(tblOrdenes[[#This Row],[backlog_habiles]]="",FALSE,AND(tblOrdenes[[#This Row],[backlog_habiles]]&gt;p_dias_backlog_min,tblOrdenes[[#This Row],[backlog_habiles]]&lt;=p_dias_backlog_max))</f>
        <v/>
      </c>
      <c r="AG835" s="4" t="n"/>
      <c r="AH8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5" s="18">
        <f>IF(tblOrdenes[[#This Row],[orden]]="","",_xlfn.XLOOKUP(tblOrdenes[[#This Row],[id_operacion]],tblEjecucion[id_operacion],tblEjecucion[precio],0))</f>
        <v/>
      </c>
      <c r="AL835" s="18">
        <f>IF(tblOrdenes[[#This Row],[orden]]="","",MAX(0,_xlfn.XLOOKUP(tblOrdenes[[#This Row],[id_operacion]],tblEjecucion[id_operacion],tblEjecucion[costo_plan_total],0)-tblOrdenes[[#This Row],[costo_servicio]]))</f>
        <v/>
      </c>
      <c r="AM835" s="18">
        <f>IF(tblOrdenes[[#This Row],[orden]]="","",tblOrdenes[[#This Row],[costo_servicio]]+tblOrdenes[[#This Row],[costo_materiales]])</f>
        <v/>
      </c>
      <c r="AN8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5" s="4" t="n"/>
      <c r="AP835" s="4" t="n"/>
      <c r="AQ835" s="4" t="n"/>
      <c r="AR835" s="5">
        <f>IF(tblOrdenes[[#This Row],[link_checklist]]="","",HYPERLINK(p_ruta_base_checklists&amp;tblOrdenes[[#This Row],[link_checklist]],"abrir"))</f>
        <v/>
      </c>
      <c r="AS835" s="4" t="n"/>
      <c r="AT835" s="5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22" t="n"/>
      <c r="K836" s="5" t="n"/>
      <c r="L836" s="18" t="n"/>
      <c r="M8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5">
        <f>IF(tblOrdenes[[#This Row],[fecha_inicio]]="","",YEAR(tblOrdenes[[#This Row],[fecha_inicio]]))</f>
        <v/>
      </c>
      <c r="Q836" s="5">
        <f>IF(tblOrdenes[[#This Row],[fecha_inicio]]="","",MONTH(tblOrdenes[[#This Row],[fecha_inicio]]))</f>
        <v/>
      </c>
      <c r="R836" s="5">
        <f>IF(tblOrdenes[[#This Row],[fecha_inicio]]="","",tblOrdenes[[#This Row],[anio]]&amp;"-"&amp;TEXT(tblOrdenes[[#This Row],[mes]],"00"))</f>
        <v/>
      </c>
      <c r="S836" s="5">
        <f>IF(tblOrdenes[[#This Row],[fecha_inicio]]="","",INDEX(lista_dias,WEEKDAY(tblOrdenes[[#This Row],[fecha_inicio]],2)))</f>
        <v/>
      </c>
      <c r="T8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6" s="5">
        <f>IF(tblOrdenes[[#This Row],[tipo_ot]]="","",_xlfn.XLOOKUP(tblOrdenes[[#This Row],[tipo_ot]],tblTiposOT[codigo],tblTiposOT[clasificacion],"sin_clasificar"))</f>
        <v/>
      </c>
      <c r="V8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6" s="5">
        <f>IF(tblOrdenes[[#This Row],[centro_costo]]="","",_xlfn.XLOOKUP(tblOrdenes[[#This Row],[centro_costo]],tblCECO[codigo],tblCECO[linea],"(sin catálogo)"))</f>
        <v/>
      </c>
      <c r="X836" s="5">
        <f>IF(tblOrdenes[[#This Row],[centro_costo]]="","",_xlfn.XLOOKUP(tblOrdenes[[#This Row],[centro_costo]],tblCECO[codigo],tblCECO[area],"(sin catálogo)"))</f>
        <v/>
      </c>
      <c r="Y8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6" s="5">
        <f>IF(tblOrdenes[[#This Row],[centro_costo]]="","",_xlfn.XLOOKUP(tblOrdenes[[#This Row],[centro_costo]],tblCECO[codigo],tblCECO[coordinador],"(sin catálogo)"))</f>
        <v/>
      </c>
      <c r="AA836" s="5">
        <f>IF(tblOrdenes[[#This Row],[puesto_trabajo]]="","",_xlfn.XLOOKUP(tblOrdenes[[#This Row],[puesto_trabajo]],tblPuestos[codigo],tblPuestos[especialidad],"(sin catálogo)"))</f>
        <v/>
      </c>
      <c r="AB836" s="5">
        <f>IF(tblOrdenes[[#This Row],[cod_actividad]]="","",_xlfn.XLOOKUP(tblOrdenes[[#This Row],[cod_actividad]],tblActividades[codigo],tblActividades[descripcion],"(sin catálogo)"))</f>
        <v/>
      </c>
      <c r="AC836" s="20">
        <f>IF(tblOrdenes[[#This Row],[fecha_inicio]]="","",TODAY()-tblOrdenes[[#This Row],[fecha_inicio]])</f>
        <v/>
      </c>
      <c r="AD8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6" s="5">
        <f>IF(tblOrdenes[[#This Row],[backlog_habiles]]="","",IF(tblOrdenes[[#This Row],[backlog_habiles]]&lt;0,"FUTURO",IF(tblOrdenes[[#This Row],[backlog_habiles]]&gt;p_dias_backlog_max,"BACKLOG","MES CORRIENTE")))</f>
        <v/>
      </c>
      <c r="AF836" s="5">
        <f>IF(tblOrdenes[[#This Row],[backlog_habiles]]="",FALSE,AND(tblOrdenes[[#This Row],[backlog_habiles]]&gt;p_dias_backlog_min,tblOrdenes[[#This Row],[backlog_habiles]]&lt;=p_dias_backlog_max))</f>
        <v/>
      </c>
      <c r="AG836" s="4" t="n"/>
      <c r="AH8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6" s="18">
        <f>IF(tblOrdenes[[#This Row],[orden]]="","",_xlfn.XLOOKUP(tblOrdenes[[#This Row],[id_operacion]],tblEjecucion[id_operacion],tblEjecucion[precio],0))</f>
        <v/>
      </c>
      <c r="AL836" s="18">
        <f>IF(tblOrdenes[[#This Row],[orden]]="","",MAX(0,_xlfn.XLOOKUP(tblOrdenes[[#This Row],[id_operacion]],tblEjecucion[id_operacion],tblEjecucion[costo_plan_total],0)-tblOrdenes[[#This Row],[costo_servicio]]))</f>
        <v/>
      </c>
      <c r="AM836" s="18">
        <f>IF(tblOrdenes[[#This Row],[orden]]="","",tblOrdenes[[#This Row],[costo_servicio]]+tblOrdenes[[#This Row],[costo_materiales]])</f>
        <v/>
      </c>
      <c r="AN8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6" s="4" t="n"/>
      <c r="AP836" s="4" t="n"/>
      <c r="AQ836" s="4" t="n"/>
      <c r="AR836" s="5">
        <f>IF(tblOrdenes[[#This Row],[link_checklist]]="","",HYPERLINK(p_ruta_base_checklists&amp;tblOrdenes[[#This Row],[link_checklist]],"abrir"))</f>
        <v/>
      </c>
      <c r="AS836" s="4" t="n"/>
      <c r="AT836" s="5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22" t="n"/>
      <c r="K837" s="5" t="n"/>
      <c r="L837" s="18" t="n"/>
      <c r="M8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5">
        <f>IF(tblOrdenes[[#This Row],[fecha_inicio]]="","",YEAR(tblOrdenes[[#This Row],[fecha_inicio]]))</f>
        <v/>
      </c>
      <c r="Q837" s="5">
        <f>IF(tblOrdenes[[#This Row],[fecha_inicio]]="","",MONTH(tblOrdenes[[#This Row],[fecha_inicio]]))</f>
        <v/>
      </c>
      <c r="R837" s="5">
        <f>IF(tblOrdenes[[#This Row],[fecha_inicio]]="","",tblOrdenes[[#This Row],[anio]]&amp;"-"&amp;TEXT(tblOrdenes[[#This Row],[mes]],"00"))</f>
        <v/>
      </c>
      <c r="S837" s="5">
        <f>IF(tblOrdenes[[#This Row],[fecha_inicio]]="","",INDEX(lista_dias,WEEKDAY(tblOrdenes[[#This Row],[fecha_inicio]],2)))</f>
        <v/>
      </c>
      <c r="T8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7" s="5">
        <f>IF(tblOrdenes[[#This Row],[tipo_ot]]="","",_xlfn.XLOOKUP(tblOrdenes[[#This Row],[tipo_ot]],tblTiposOT[codigo],tblTiposOT[clasificacion],"sin_clasificar"))</f>
        <v/>
      </c>
      <c r="V8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7" s="5">
        <f>IF(tblOrdenes[[#This Row],[centro_costo]]="","",_xlfn.XLOOKUP(tblOrdenes[[#This Row],[centro_costo]],tblCECO[codigo],tblCECO[linea],"(sin catálogo)"))</f>
        <v/>
      </c>
      <c r="X837" s="5">
        <f>IF(tblOrdenes[[#This Row],[centro_costo]]="","",_xlfn.XLOOKUP(tblOrdenes[[#This Row],[centro_costo]],tblCECO[codigo],tblCECO[area],"(sin catálogo)"))</f>
        <v/>
      </c>
      <c r="Y8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7" s="5">
        <f>IF(tblOrdenes[[#This Row],[centro_costo]]="","",_xlfn.XLOOKUP(tblOrdenes[[#This Row],[centro_costo]],tblCECO[codigo],tblCECO[coordinador],"(sin catálogo)"))</f>
        <v/>
      </c>
      <c r="AA837" s="5">
        <f>IF(tblOrdenes[[#This Row],[puesto_trabajo]]="","",_xlfn.XLOOKUP(tblOrdenes[[#This Row],[puesto_trabajo]],tblPuestos[codigo],tblPuestos[especialidad],"(sin catálogo)"))</f>
        <v/>
      </c>
      <c r="AB837" s="5">
        <f>IF(tblOrdenes[[#This Row],[cod_actividad]]="","",_xlfn.XLOOKUP(tblOrdenes[[#This Row],[cod_actividad]],tblActividades[codigo],tblActividades[descripcion],"(sin catálogo)"))</f>
        <v/>
      </c>
      <c r="AC837" s="20">
        <f>IF(tblOrdenes[[#This Row],[fecha_inicio]]="","",TODAY()-tblOrdenes[[#This Row],[fecha_inicio]])</f>
        <v/>
      </c>
      <c r="AD8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7" s="5">
        <f>IF(tblOrdenes[[#This Row],[backlog_habiles]]="","",IF(tblOrdenes[[#This Row],[backlog_habiles]]&lt;0,"FUTURO",IF(tblOrdenes[[#This Row],[backlog_habiles]]&gt;p_dias_backlog_max,"BACKLOG","MES CORRIENTE")))</f>
        <v/>
      </c>
      <c r="AF837" s="5">
        <f>IF(tblOrdenes[[#This Row],[backlog_habiles]]="",FALSE,AND(tblOrdenes[[#This Row],[backlog_habiles]]&gt;p_dias_backlog_min,tblOrdenes[[#This Row],[backlog_habiles]]&lt;=p_dias_backlog_max))</f>
        <v/>
      </c>
      <c r="AG837" s="4" t="n"/>
      <c r="AH8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7" s="18">
        <f>IF(tblOrdenes[[#This Row],[orden]]="","",_xlfn.XLOOKUP(tblOrdenes[[#This Row],[id_operacion]],tblEjecucion[id_operacion],tblEjecucion[precio],0))</f>
        <v/>
      </c>
      <c r="AL837" s="18">
        <f>IF(tblOrdenes[[#This Row],[orden]]="","",MAX(0,_xlfn.XLOOKUP(tblOrdenes[[#This Row],[id_operacion]],tblEjecucion[id_operacion],tblEjecucion[costo_plan_total],0)-tblOrdenes[[#This Row],[costo_servicio]]))</f>
        <v/>
      </c>
      <c r="AM837" s="18">
        <f>IF(tblOrdenes[[#This Row],[orden]]="","",tblOrdenes[[#This Row],[costo_servicio]]+tblOrdenes[[#This Row],[costo_materiales]])</f>
        <v/>
      </c>
      <c r="AN8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7" s="4" t="n"/>
      <c r="AP837" s="4" t="n"/>
      <c r="AQ837" s="4" t="n"/>
      <c r="AR837" s="5">
        <f>IF(tblOrdenes[[#This Row],[link_checklist]]="","",HYPERLINK(p_ruta_base_checklists&amp;tblOrdenes[[#This Row],[link_checklist]],"abrir"))</f>
        <v/>
      </c>
      <c r="AS837" s="4" t="n"/>
      <c r="AT837" s="5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22" t="n"/>
      <c r="K838" s="5" t="n"/>
      <c r="L838" s="18" t="n"/>
      <c r="M8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5">
        <f>IF(tblOrdenes[[#This Row],[fecha_inicio]]="","",YEAR(tblOrdenes[[#This Row],[fecha_inicio]]))</f>
        <v/>
      </c>
      <c r="Q838" s="5">
        <f>IF(tblOrdenes[[#This Row],[fecha_inicio]]="","",MONTH(tblOrdenes[[#This Row],[fecha_inicio]]))</f>
        <v/>
      </c>
      <c r="R838" s="5">
        <f>IF(tblOrdenes[[#This Row],[fecha_inicio]]="","",tblOrdenes[[#This Row],[anio]]&amp;"-"&amp;TEXT(tblOrdenes[[#This Row],[mes]],"00"))</f>
        <v/>
      </c>
      <c r="S838" s="5">
        <f>IF(tblOrdenes[[#This Row],[fecha_inicio]]="","",INDEX(lista_dias,WEEKDAY(tblOrdenes[[#This Row],[fecha_inicio]],2)))</f>
        <v/>
      </c>
      <c r="T8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8" s="5">
        <f>IF(tblOrdenes[[#This Row],[tipo_ot]]="","",_xlfn.XLOOKUP(tblOrdenes[[#This Row],[tipo_ot]],tblTiposOT[codigo],tblTiposOT[clasificacion],"sin_clasificar"))</f>
        <v/>
      </c>
      <c r="V8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8" s="5">
        <f>IF(tblOrdenes[[#This Row],[centro_costo]]="","",_xlfn.XLOOKUP(tblOrdenes[[#This Row],[centro_costo]],tblCECO[codigo],tblCECO[linea],"(sin catálogo)"))</f>
        <v/>
      </c>
      <c r="X838" s="5">
        <f>IF(tblOrdenes[[#This Row],[centro_costo]]="","",_xlfn.XLOOKUP(tblOrdenes[[#This Row],[centro_costo]],tblCECO[codigo],tblCECO[area],"(sin catálogo)"))</f>
        <v/>
      </c>
      <c r="Y8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8" s="5">
        <f>IF(tblOrdenes[[#This Row],[centro_costo]]="","",_xlfn.XLOOKUP(tblOrdenes[[#This Row],[centro_costo]],tblCECO[codigo],tblCECO[coordinador],"(sin catálogo)"))</f>
        <v/>
      </c>
      <c r="AA838" s="5">
        <f>IF(tblOrdenes[[#This Row],[puesto_trabajo]]="","",_xlfn.XLOOKUP(tblOrdenes[[#This Row],[puesto_trabajo]],tblPuestos[codigo],tblPuestos[especialidad],"(sin catálogo)"))</f>
        <v/>
      </c>
      <c r="AB838" s="5">
        <f>IF(tblOrdenes[[#This Row],[cod_actividad]]="","",_xlfn.XLOOKUP(tblOrdenes[[#This Row],[cod_actividad]],tblActividades[codigo],tblActividades[descripcion],"(sin catálogo)"))</f>
        <v/>
      </c>
      <c r="AC838" s="20">
        <f>IF(tblOrdenes[[#This Row],[fecha_inicio]]="","",TODAY()-tblOrdenes[[#This Row],[fecha_inicio]])</f>
        <v/>
      </c>
      <c r="AD8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8" s="5">
        <f>IF(tblOrdenes[[#This Row],[backlog_habiles]]="","",IF(tblOrdenes[[#This Row],[backlog_habiles]]&lt;0,"FUTURO",IF(tblOrdenes[[#This Row],[backlog_habiles]]&gt;p_dias_backlog_max,"BACKLOG","MES CORRIENTE")))</f>
        <v/>
      </c>
      <c r="AF838" s="5">
        <f>IF(tblOrdenes[[#This Row],[backlog_habiles]]="",FALSE,AND(tblOrdenes[[#This Row],[backlog_habiles]]&gt;p_dias_backlog_min,tblOrdenes[[#This Row],[backlog_habiles]]&lt;=p_dias_backlog_max))</f>
        <v/>
      </c>
      <c r="AG838" s="4" t="n"/>
      <c r="AH8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8" s="18">
        <f>IF(tblOrdenes[[#This Row],[orden]]="","",_xlfn.XLOOKUP(tblOrdenes[[#This Row],[id_operacion]],tblEjecucion[id_operacion],tblEjecucion[precio],0))</f>
        <v/>
      </c>
      <c r="AL838" s="18">
        <f>IF(tblOrdenes[[#This Row],[orden]]="","",MAX(0,_xlfn.XLOOKUP(tblOrdenes[[#This Row],[id_operacion]],tblEjecucion[id_operacion],tblEjecucion[costo_plan_total],0)-tblOrdenes[[#This Row],[costo_servicio]]))</f>
        <v/>
      </c>
      <c r="AM838" s="18">
        <f>IF(tblOrdenes[[#This Row],[orden]]="","",tblOrdenes[[#This Row],[costo_servicio]]+tblOrdenes[[#This Row],[costo_materiales]])</f>
        <v/>
      </c>
      <c r="AN8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8" s="4" t="n"/>
      <c r="AP838" s="4" t="n"/>
      <c r="AQ838" s="4" t="n"/>
      <c r="AR838" s="5">
        <f>IF(tblOrdenes[[#This Row],[link_checklist]]="","",HYPERLINK(p_ruta_base_checklists&amp;tblOrdenes[[#This Row],[link_checklist]],"abrir"))</f>
        <v/>
      </c>
      <c r="AS838" s="4" t="n"/>
      <c r="AT838" s="5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22" t="n"/>
      <c r="K839" s="5" t="n"/>
      <c r="L839" s="18" t="n"/>
      <c r="M8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5">
        <f>IF(tblOrdenes[[#This Row],[fecha_inicio]]="","",YEAR(tblOrdenes[[#This Row],[fecha_inicio]]))</f>
        <v/>
      </c>
      <c r="Q839" s="5">
        <f>IF(tblOrdenes[[#This Row],[fecha_inicio]]="","",MONTH(tblOrdenes[[#This Row],[fecha_inicio]]))</f>
        <v/>
      </c>
      <c r="R839" s="5">
        <f>IF(tblOrdenes[[#This Row],[fecha_inicio]]="","",tblOrdenes[[#This Row],[anio]]&amp;"-"&amp;TEXT(tblOrdenes[[#This Row],[mes]],"00"))</f>
        <v/>
      </c>
      <c r="S839" s="5">
        <f>IF(tblOrdenes[[#This Row],[fecha_inicio]]="","",INDEX(lista_dias,WEEKDAY(tblOrdenes[[#This Row],[fecha_inicio]],2)))</f>
        <v/>
      </c>
      <c r="T8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9" s="5">
        <f>IF(tblOrdenes[[#This Row],[tipo_ot]]="","",_xlfn.XLOOKUP(tblOrdenes[[#This Row],[tipo_ot]],tblTiposOT[codigo],tblTiposOT[clasificacion],"sin_clasificar"))</f>
        <v/>
      </c>
      <c r="V8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9" s="5">
        <f>IF(tblOrdenes[[#This Row],[centro_costo]]="","",_xlfn.XLOOKUP(tblOrdenes[[#This Row],[centro_costo]],tblCECO[codigo],tblCECO[linea],"(sin catálogo)"))</f>
        <v/>
      </c>
      <c r="X839" s="5">
        <f>IF(tblOrdenes[[#This Row],[centro_costo]]="","",_xlfn.XLOOKUP(tblOrdenes[[#This Row],[centro_costo]],tblCECO[codigo],tblCECO[area],"(sin catálogo)"))</f>
        <v/>
      </c>
      <c r="Y8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39" s="5">
        <f>IF(tblOrdenes[[#This Row],[centro_costo]]="","",_xlfn.XLOOKUP(tblOrdenes[[#This Row],[centro_costo]],tblCECO[codigo],tblCECO[coordinador],"(sin catálogo)"))</f>
        <v/>
      </c>
      <c r="AA839" s="5">
        <f>IF(tblOrdenes[[#This Row],[puesto_trabajo]]="","",_xlfn.XLOOKUP(tblOrdenes[[#This Row],[puesto_trabajo]],tblPuestos[codigo],tblPuestos[especialidad],"(sin catálogo)"))</f>
        <v/>
      </c>
      <c r="AB839" s="5">
        <f>IF(tblOrdenes[[#This Row],[cod_actividad]]="","",_xlfn.XLOOKUP(tblOrdenes[[#This Row],[cod_actividad]],tblActividades[codigo],tblActividades[descripcion],"(sin catálogo)"))</f>
        <v/>
      </c>
      <c r="AC839" s="20">
        <f>IF(tblOrdenes[[#This Row],[fecha_inicio]]="","",TODAY()-tblOrdenes[[#This Row],[fecha_inicio]])</f>
        <v/>
      </c>
      <c r="AD8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39" s="5">
        <f>IF(tblOrdenes[[#This Row],[backlog_habiles]]="","",IF(tblOrdenes[[#This Row],[backlog_habiles]]&lt;0,"FUTURO",IF(tblOrdenes[[#This Row],[backlog_habiles]]&gt;p_dias_backlog_max,"BACKLOG","MES CORRIENTE")))</f>
        <v/>
      </c>
      <c r="AF839" s="5">
        <f>IF(tblOrdenes[[#This Row],[backlog_habiles]]="",FALSE,AND(tblOrdenes[[#This Row],[backlog_habiles]]&gt;p_dias_backlog_min,tblOrdenes[[#This Row],[backlog_habiles]]&lt;=p_dias_backlog_max))</f>
        <v/>
      </c>
      <c r="AG839" s="4" t="n"/>
      <c r="AH8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39" s="18">
        <f>IF(tblOrdenes[[#This Row],[orden]]="","",_xlfn.XLOOKUP(tblOrdenes[[#This Row],[id_operacion]],tblEjecucion[id_operacion],tblEjecucion[precio],0))</f>
        <v/>
      </c>
      <c r="AL839" s="18">
        <f>IF(tblOrdenes[[#This Row],[orden]]="","",MAX(0,_xlfn.XLOOKUP(tblOrdenes[[#This Row],[id_operacion]],tblEjecucion[id_operacion],tblEjecucion[costo_plan_total],0)-tblOrdenes[[#This Row],[costo_servicio]]))</f>
        <v/>
      </c>
      <c r="AM839" s="18">
        <f>IF(tblOrdenes[[#This Row],[orden]]="","",tblOrdenes[[#This Row],[costo_servicio]]+tblOrdenes[[#This Row],[costo_materiales]])</f>
        <v/>
      </c>
      <c r="AN8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39" s="4" t="n"/>
      <c r="AP839" s="4" t="n"/>
      <c r="AQ839" s="4" t="n"/>
      <c r="AR839" s="5">
        <f>IF(tblOrdenes[[#This Row],[link_checklist]]="","",HYPERLINK(p_ruta_base_checklists&amp;tblOrdenes[[#This Row],[link_checklist]],"abrir"))</f>
        <v/>
      </c>
      <c r="AS839" s="4" t="n"/>
      <c r="AT839" s="5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22" t="n"/>
      <c r="K840" s="5" t="n"/>
      <c r="L840" s="18" t="n"/>
      <c r="M8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5">
        <f>IF(tblOrdenes[[#This Row],[fecha_inicio]]="","",YEAR(tblOrdenes[[#This Row],[fecha_inicio]]))</f>
        <v/>
      </c>
      <c r="Q840" s="5">
        <f>IF(tblOrdenes[[#This Row],[fecha_inicio]]="","",MONTH(tblOrdenes[[#This Row],[fecha_inicio]]))</f>
        <v/>
      </c>
      <c r="R840" s="5">
        <f>IF(tblOrdenes[[#This Row],[fecha_inicio]]="","",tblOrdenes[[#This Row],[anio]]&amp;"-"&amp;TEXT(tblOrdenes[[#This Row],[mes]],"00"))</f>
        <v/>
      </c>
      <c r="S840" s="5">
        <f>IF(tblOrdenes[[#This Row],[fecha_inicio]]="","",INDEX(lista_dias,WEEKDAY(tblOrdenes[[#This Row],[fecha_inicio]],2)))</f>
        <v/>
      </c>
      <c r="T8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0" s="5">
        <f>IF(tblOrdenes[[#This Row],[tipo_ot]]="","",_xlfn.XLOOKUP(tblOrdenes[[#This Row],[tipo_ot]],tblTiposOT[codigo],tblTiposOT[clasificacion],"sin_clasificar"))</f>
        <v/>
      </c>
      <c r="V8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0" s="5">
        <f>IF(tblOrdenes[[#This Row],[centro_costo]]="","",_xlfn.XLOOKUP(tblOrdenes[[#This Row],[centro_costo]],tblCECO[codigo],tblCECO[linea],"(sin catálogo)"))</f>
        <v/>
      </c>
      <c r="X840" s="5">
        <f>IF(tblOrdenes[[#This Row],[centro_costo]]="","",_xlfn.XLOOKUP(tblOrdenes[[#This Row],[centro_costo]],tblCECO[codigo],tblCECO[area],"(sin catálogo)"))</f>
        <v/>
      </c>
      <c r="Y8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0" s="5">
        <f>IF(tblOrdenes[[#This Row],[centro_costo]]="","",_xlfn.XLOOKUP(tblOrdenes[[#This Row],[centro_costo]],tblCECO[codigo],tblCECO[coordinador],"(sin catálogo)"))</f>
        <v/>
      </c>
      <c r="AA840" s="5">
        <f>IF(tblOrdenes[[#This Row],[puesto_trabajo]]="","",_xlfn.XLOOKUP(tblOrdenes[[#This Row],[puesto_trabajo]],tblPuestos[codigo],tblPuestos[especialidad],"(sin catálogo)"))</f>
        <v/>
      </c>
      <c r="AB840" s="5">
        <f>IF(tblOrdenes[[#This Row],[cod_actividad]]="","",_xlfn.XLOOKUP(tblOrdenes[[#This Row],[cod_actividad]],tblActividades[codigo],tblActividades[descripcion],"(sin catálogo)"))</f>
        <v/>
      </c>
      <c r="AC840" s="20">
        <f>IF(tblOrdenes[[#This Row],[fecha_inicio]]="","",TODAY()-tblOrdenes[[#This Row],[fecha_inicio]])</f>
        <v/>
      </c>
      <c r="AD8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0" s="5">
        <f>IF(tblOrdenes[[#This Row],[backlog_habiles]]="","",IF(tblOrdenes[[#This Row],[backlog_habiles]]&lt;0,"FUTURO",IF(tblOrdenes[[#This Row],[backlog_habiles]]&gt;p_dias_backlog_max,"BACKLOG","MES CORRIENTE")))</f>
        <v/>
      </c>
      <c r="AF840" s="5">
        <f>IF(tblOrdenes[[#This Row],[backlog_habiles]]="",FALSE,AND(tblOrdenes[[#This Row],[backlog_habiles]]&gt;p_dias_backlog_min,tblOrdenes[[#This Row],[backlog_habiles]]&lt;=p_dias_backlog_max))</f>
        <v/>
      </c>
      <c r="AG840" s="4" t="n"/>
      <c r="AH8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0" s="18">
        <f>IF(tblOrdenes[[#This Row],[orden]]="","",_xlfn.XLOOKUP(tblOrdenes[[#This Row],[id_operacion]],tblEjecucion[id_operacion],tblEjecucion[precio],0))</f>
        <v/>
      </c>
      <c r="AL840" s="18">
        <f>IF(tblOrdenes[[#This Row],[orden]]="","",MAX(0,_xlfn.XLOOKUP(tblOrdenes[[#This Row],[id_operacion]],tblEjecucion[id_operacion],tblEjecucion[costo_plan_total],0)-tblOrdenes[[#This Row],[costo_servicio]]))</f>
        <v/>
      </c>
      <c r="AM840" s="18">
        <f>IF(tblOrdenes[[#This Row],[orden]]="","",tblOrdenes[[#This Row],[costo_servicio]]+tblOrdenes[[#This Row],[costo_materiales]])</f>
        <v/>
      </c>
      <c r="AN8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0" s="4" t="n"/>
      <c r="AP840" s="4" t="n"/>
      <c r="AQ840" s="4" t="n"/>
      <c r="AR840" s="5">
        <f>IF(tblOrdenes[[#This Row],[link_checklist]]="","",HYPERLINK(p_ruta_base_checklists&amp;tblOrdenes[[#This Row],[link_checklist]],"abrir"))</f>
        <v/>
      </c>
      <c r="AS840" s="4" t="n"/>
      <c r="AT840" s="5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22" t="n"/>
      <c r="K841" s="5" t="n"/>
      <c r="L841" s="18" t="n"/>
      <c r="M8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5">
        <f>IF(tblOrdenes[[#This Row],[fecha_inicio]]="","",YEAR(tblOrdenes[[#This Row],[fecha_inicio]]))</f>
        <v/>
      </c>
      <c r="Q841" s="5">
        <f>IF(tblOrdenes[[#This Row],[fecha_inicio]]="","",MONTH(tblOrdenes[[#This Row],[fecha_inicio]]))</f>
        <v/>
      </c>
      <c r="R841" s="5">
        <f>IF(tblOrdenes[[#This Row],[fecha_inicio]]="","",tblOrdenes[[#This Row],[anio]]&amp;"-"&amp;TEXT(tblOrdenes[[#This Row],[mes]],"00"))</f>
        <v/>
      </c>
      <c r="S841" s="5">
        <f>IF(tblOrdenes[[#This Row],[fecha_inicio]]="","",INDEX(lista_dias,WEEKDAY(tblOrdenes[[#This Row],[fecha_inicio]],2)))</f>
        <v/>
      </c>
      <c r="T8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1" s="5">
        <f>IF(tblOrdenes[[#This Row],[tipo_ot]]="","",_xlfn.XLOOKUP(tblOrdenes[[#This Row],[tipo_ot]],tblTiposOT[codigo],tblTiposOT[clasificacion],"sin_clasificar"))</f>
        <v/>
      </c>
      <c r="V8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1" s="5">
        <f>IF(tblOrdenes[[#This Row],[centro_costo]]="","",_xlfn.XLOOKUP(tblOrdenes[[#This Row],[centro_costo]],tblCECO[codigo],tblCECO[linea],"(sin catálogo)"))</f>
        <v/>
      </c>
      <c r="X841" s="5">
        <f>IF(tblOrdenes[[#This Row],[centro_costo]]="","",_xlfn.XLOOKUP(tblOrdenes[[#This Row],[centro_costo]],tblCECO[codigo],tblCECO[area],"(sin catálogo)"))</f>
        <v/>
      </c>
      <c r="Y8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1" s="5">
        <f>IF(tblOrdenes[[#This Row],[centro_costo]]="","",_xlfn.XLOOKUP(tblOrdenes[[#This Row],[centro_costo]],tblCECO[codigo],tblCECO[coordinador],"(sin catálogo)"))</f>
        <v/>
      </c>
      <c r="AA841" s="5">
        <f>IF(tblOrdenes[[#This Row],[puesto_trabajo]]="","",_xlfn.XLOOKUP(tblOrdenes[[#This Row],[puesto_trabajo]],tblPuestos[codigo],tblPuestos[especialidad],"(sin catálogo)"))</f>
        <v/>
      </c>
      <c r="AB841" s="5">
        <f>IF(tblOrdenes[[#This Row],[cod_actividad]]="","",_xlfn.XLOOKUP(tblOrdenes[[#This Row],[cod_actividad]],tblActividades[codigo],tblActividades[descripcion],"(sin catálogo)"))</f>
        <v/>
      </c>
      <c r="AC841" s="20">
        <f>IF(tblOrdenes[[#This Row],[fecha_inicio]]="","",TODAY()-tblOrdenes[[#This Row],[fecha_inicio]])</f>
        <v/>
      </c>
      <c r="AD8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1" s="5">
        <f>IF(tblOrdenes[[#This Row],[backlog_habiles]]="","",IF(tblOrdenes[[#This Row],[backlog_habiles]]&lt;0,"FUTURO",IF(tblOrdenes[[#This Row],[backlog_habiles]]&gt;p_dias_backlog_max,"BACKLOG","MES CORRIENTE")))</f>
        <v/>
      </c>
      <c r="AF841" s="5">
        <f>IF(tblOrdenes[[#This Row],[backlog_habiles]]="",FALSE,AND(tblOrdenes[[#This Row],[backlog_habiles]]&gt;p_dias_backlog_min,tblOrdenes[[#This Row],[backlog_habiles]]&lt;=p_dias_backlog_max))</f>
        <v/>
      </c>
      <c r="AG841" s="4" t="n"/>
      <c r="AH8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1" s="18">
        <f>IF(tblOrdenes[[#This Row],[orden]]="","",_xlfn.XLOOKUP(tblOrdenes[[#This Row],[id_operacion]],tblEjecucion[id_operacion],tblEjecucion[precio],0))</f>
        <v/>
      </c>
      <c r="AL841" s="18">
        <f>IF(tblOrdenes[[#This Row],[orden]]="","",MAX(0,_xlfn.XLOOKUP(tblOrdenes[[#This Row],[id_operacion]],tblEjecucion[id_operacion],tblEjecucion[costo_plan_total],0)-tblOrdenes[[#This Row],[costo_servicio]]))</f>
        <v/>
      </c>
      <c r="AM841" s="18">
        <f>IF(tblOrdenes[[#This Row],[orden]]="","",tblOrdenes[[#This Row],[costo_servicio]]+tblOrdenes[[#This Row],[costo_materiales]])</f>
        <v/>
      </c>
      <c r="AN8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1" s="4" t="n"/>
      <c r="AP841" s="4" t="n"/>
      <c r="AQ841" s="4" t="n"/>
      <c r="AR841" s="5">
        <f>IF(tblOrdenes[[#This Row],[link_checklist]]="","",HYPERLINK(p_ruta_base_checklists&amp;tblOrdenes[[#This Row],[link_checklist]],"abrir"))</f>
        <v/>
      </c>
      <c r="AS841" s="4" t="n"/>
      <c r="AT841" s="5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22" t="n"/>
      <c r="K842" s="5" t="n"/>
      <c r="L842" s="18" t="n"/>
      <c r="M8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5">
        <f>IF(tblOrdenes[[#This Row],[fecha_inicio]]="","",YEAR(tblOrdenes[[#This Row],[fecha_inicio]]))</f>
        <v/>
      </c>
      <c r="Q842" s="5">
        <f>IF(tblOrdenes[[#This Row],[fecha_inicio]]="","",MONTH(tblOrdenes[[#This Row],[fecha_inicio]]))</f>
        <v/>
      </c>
      <c r="R842" s="5">
        <f>IF(tblOrdenes[[#This Row],[fecha_inicio]]="","",tblOrdenes[[#This Row],[anio]]&amp;"-"&amp;TEXT(tblOrdenes[[#This Row],[mes]],"00"))</f>
        <v/>
      </c>
      <c r="S842" s="5">
        <f>IF(tblOrdenes[[#This Row],[fecha_inicio]]="","",INDEX(lista_dias,WEEKDAY(tblOrdenes[[#This Row],[fecha_inicio]],2)))</f>
        <v/>
      </c>
      <c r="T8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2" s="5">
        <f>IF(tblOrdenes[[#This Row],[tipo_ot]]="","",_xlfn.XLOOKUP(tblOrdenes[[#This Row],[tipo_ot]],tblTiposOT[codigo],tblTiposOT[clasificacion],"sin_clasificar"))</f>
        <v/>
      </c>
      <c r="V8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2" s="5">
        <f>IF(tblOrdenes[[#This Row],[centro_costo]]="","",_xlfn.XLOOKUP(tblOrdenes[[#This Row],[centro_costo]],tblCECO[codigo],tblCECO[linea],"(sin catálogo)"))</f>
        <v/>
      </c>
      <c r="X842" s="5">
        <f>IF(tblOrdenes[[#This Row],[centro_costo]]="","",_xlfn.XLOOKUP(tblOrdenes[[#This Row],[centro_costo]],tblCECO[codigo],tblCECO[area],"(sin catálogo)"))</f>
        <v/>
      </c>
      <c r="Y8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2" s="5">
        <f>IF(tblOrdenes[[#This Row],[centro_costo]]="","",_xlfn.XLOOKUP(tblOrdenes[[#This Row],[centro_costo]],tblCECO[codigo],tblCECO[coordinador],"(sin catálogo)"))</f>
        <v/>
      </c>
      <c r="AA842" s="5">
        <f>IF(tblOrdenes[[#This Row],[puesto_trabajo]]="","",_xlfn.XLOOKUP(tblOrdenes[[#This Row],[puesto_trabajo]],tblPuestos[codigo],tblPuestos[especialidad],"(sin catálogo)"))</f>
        <v/>
      </c>
      <c r="AB842" s="5">
        <f>IF(tblOrdenes[[#This Row],[cod_actividad]]="","",_xlfn.XLOOKUP(tblOrdenes[[#This Row],[cod_actividad]],tblActividades[codigo],tblActividades[descripcion],"(sin catálogo)"))</f>
        <v/>
      </c>
      <c r="AC842" s="20">
        <f>IF(tblOrdenes[[#This Row],[fecha_inicio]]="","",TODAY()-tblOrdenes[[#This Row],[fecha_inicio]])</f>
        <v/>
      </c>
      <c r="AD8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2" s="5">
        <f>IF(tblOrdenes[[#This Row],[backlog_habiles]]="","",IF(tblOrdenes[[#This Row],[backlog_habiles]]&lt;0,"FUTURO",IF(tblOrdenes[[#This Row],[backlog_habiles]]&gt;p_dias_backlog_max,"BACKLOG","MES CORRIENTE")))</f>
        <v/>
      </c>
      <c r="AF842" s="5">
        <f>IF(tblOrdenes[[#This Row],[backlog_habiles]]="",FALSE,AND(tblOrdenes[[#This Row],[backlog_habiles]]&gt;p_dias_backlog_min,tblOrdenes[[#This Row],[backlog_habiles]]&lt;=p_dias_backlog_max))</f>
        <v/>
      </c>
      <c r="AG842" s="4" t="n"/>
      <c r="AH8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2" s="18">
        <f>IF(tblOrdenes[[#This Row],[orden]]="","",_xlfn.XLOOKUP(tblOrdenes[[#This Row],[id_operacion]],tblEjecucion[id_operacion],tblEjecucion[precio],0))</f>
        <v/>
      </c>
      <c r="AL842" s="18">
        <f>IF(tblOrdenes[[#This Row],[orden]]="","",MAX(0,_xlfn.XLOOKUP(tblOrdenes[[#This Row],[id_operacion]],tblEjecucion[id_operacion],tblEjecucion[costo_plan_total],0)-tblOrdenes[[#This Row],[costo_servicio]]))</f>
        <v/>
      </c>
      <c r="AM842" s="18">
        <f>IF(tblOrdenes[[#This Row],[orden]]="","",tblOrdenes[[#This Row],[costo_servicio]]+tblOrdenes[[#This Row],[costo_materiales]])</f>
        <v/>
      </c>
      <c r="AN8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2" s="4" t="n"/>
      <c r="AP842" s="4" t="n"/>
      <c r="AQ842" s="4" t="n"/>
      <c r="AR842" s="5">
        <f>IF(tblOrdenes[[#This Row],[link_checklist]]="","",HYPERLINK(p_ruta_base_checklists&amp;tblOrdenes[[#This Row],[link_checklist]],"abrir"))</f>
        <v/>
      </c>
      <c r="AS842" s="4" t="n"/>
      <c r="AT842" s="5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22" t="n"/>
      <c r="K843" s="5" t="n"/>
      <c r="L843" s="18" t="n"/>
      <c r="M8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5">
        <f>IF(tblOrdenes[[#This Row],[fecha_inicio]]="","",YEAR(tblOrdenes[[#This Row],[fecha_inicio]]))</f>
        <v/>
      </c>
      <c r="Q843" s="5">
        <f>IF(tblOrdenes[[#This Row],[fecha_inicio]]="","",MONTH(tblOrdenes[[#This Row],[fecha_inicio]]))</f>
        <v/>
      </c>
      <c r="R843" s="5">
        <f>IF(tblOrdenes[[#This Row],[fecha_inicio]]="","",tblOrdenes[[#This Row],[anio]]&amp;"-"&amp;TEXT(tblOrdenes[[#This Row],[mes]],"00"))</f>
        <v/>
      </c>
      <c r="S843" s="5">
        <f>IF(tblOrdenes[[#This Row],[fecha_inicio]]="","",INDEX(lista_dias,WEEKDAY(tblOrdenes[[#This Row],[fecha_inicio]],2)))</f>
        <v/>
      </c>
      <c r="T8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3" s="5">
        <f>IF(tblOrdenes[[#This Row],[tipo_ot]]="","",_xlfn.XLOOKUP(tblOrdenes[[#This Row],[tipo_ot]],tblTiposOT[codigo],tblTiposOT[clasificacion],"sin_clasificar"))</f>
        <v/>
      </c>
      <c r="V8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3" s="5">
        <f>IF(tblOrdenes[[#This Row],[centro_costo]]="","",_xlfn.XLOOKUP(tblOrdenes[[#This Row],[centro_costo]],tblCECO[codigo],tblCECO[linea],"(sin catálogo)"))</f>
        <v/>
      </c>
      <c r="X843" s="5">
        <f>IF(tblOrdenes[[#This Row],[centro_costo]]="","",_xlfn.XLOOKUP(tblOrdenes[[#This Row],[centro_costo]],tblCECO[codigo],tblCECO[area],"(sin catálogo)"))</f>
        <v/>
      </c>
      <c r="Y8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3" s="5">
        <f>IF(tblOrdenes[[#This Row],[centro_costo]]="","",_xlfn.XLOOKUP(tblOrdenes[[#This Row],[centro_costo]],tblCECO[codigo],tblCECO[coordinador],"(sin catálogo)"))</f>
        <v/>
      </c>
      <c r="AA843" s="5">
        <f>IF(tblOrdenes[[#This Row],[puesto_trabajo]]="","",_xlfn.XLOOKUP(tblOrdenes[[#This Row],[puesto_trabajo]],tblPuestos[codigo],tblPuestos[especialidad],"(sin catálogo)"))</f>
        <v/>
      </c>
      <c r="AB843" s="5">
        <f>IF(tblOrdenes[[#This Row],[cod_actividad]]="","",_xlfn.XLOOKUP(tblOrdenes[[#This Row],[cod_actividad]],tblActividades[codigo],tblActividades[descripcion],"(sin catálogo)"))</f>
        <v/>
      </c>
      <c r="AC843" s="20">
        <f>IF(tblOrdenes[[#This Row],[fecha_inicio]]="","",TODAY()-tblOrdenes[[#This Row],[fecha_inicio]])</f>
        <v/>
      </c>
      <c r="AD8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3" s="5">
        <f>IF(tblOrdenes[[#This Row],[backlog_habiles]]="","",IF(tblOrdenes[[#This Row],[backlog_habiles]]&lt;0,"FUTURO",IF(tblOrdenes[[#This Row],[backlog_habiles]]&gt;p_dias_backlog_max,"BACKLOG","MES CORRIENTE")))</f>
        <v/>
      </c>
      <c r="AF843" s="5">
        <f>IF(tblOrdenes[[#This Row],[backlog_habiles]]="",FALSE,AND(tblOrdenes[[#This Row],[backlog_habiles]]&gt;p_dias_backlog_min,tblOrdenes[[#This Row],[backlog_habiles]]&lt;=p_dias_backlog_max))</f>
        <v/>
      </c>
      <c r="AG843" s="4" t="n"/>
      <c r="AH8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3" s="18">
        <f>IF(tblOrdenes[[#This Row],[orden]]="","",_xlfn.XLOOKUP(tblOrdenes[[#This Row],[id_operacion]],tblEjecucion[id_operacion],tblEjecucion[precio],0))</f>
        <v/>
      </c>
      <c r="AL843" s="18">
        <f>IF(tblOrdenes[[#This Row],[orden]]="","",MAX(0,_xlfn.XLOOKUP(tblOrdenes[[#This Row],[id_operacion]],tblEjecucion[id_operacion],tblEjecucion[costo_plan_total],0)-tblOrdenes[[#This Row],[costo_servicio]]))</f>
        <v/>
      </c>
      <c r="AM843" s="18">
        <f>IF(tblOrdenes[[#This Row],[orden]]="","",tblOrdenes[[#This Row],[costo_servicio]]+tblOrdenes[[#This Row],[costo_materiales]])</f>
        <v/>
      </c>
      <c r="AN8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3" s="4" t="n"/>
      <c r="AP843" s="4" t="n"/>
      <c r="AQ843" s="4" t="n"/>
      <c r="AR843" s="5">
        <f>IF(tblOrdenes[[#This Row],[link_checklist]]="","",HYPERLINK(p_ruta_base_checklists&amp;tblOrdenes[[#This Row],[link_checklist]],"abrir"))</f>
        <v/>
      </c>
      <c r="AS843" s="4" t="n"/>
      <c r="AT843" s="5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22" t="n"/>
      <c r="K844" s="5" t="n"/>
      <c r="L844" s="18" t="n"/>
      <c r="M8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5">
        <f>IF(tblOrdenes[[#This Row],[fecha_inicio]]="","",YEAR(tblOrdenes[[#This Row],[fecha_inicio]]))</f>
        <v/>
      </c>
      <c r="Q844" s="5">
        <f>IF(tblOrdenes[[#This Row],[fecha_inicio]]="","",MONTH(tblOrdenes[[#This Row],[fecha_inicio]]))</f>
        <v/>
      </c>
      <c r="R844" s="5">
        <f>IF(tblOrdenes[[#This Row],[fecha_inicio]]="","",tblOrdenes[[#This Row],[anio]]&amp;"-"&amp;TEXT(tblOrdenes[[#This Row],[mes]],"00"))</f>
        <v/>
      </c>
      <c r="S844" s="5">
        <f>IF(tblOrdenes[[#This Row],[fecha_inicio]]="","",INDEX(lista_dias,WEEKDAY(tblOrdenes[[#This Row],[fecha_inicio]],2)))</f>
        <v/>
      </c>
      <c r="T8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4" s="5">
        <f>IF(tblOrdenes[[#This Row],[tipo_ot]]="","",_xlfn.XLOOKUP(tblOrdenes[[#This Row],[tipo_ot]],tblTiposOT[codigo],tblTiposOT[clasificacion],"sin_clasificar"))</f>
        <v/>
      </c>
      <c r="V8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4" s="5">
        <f>IF(tblOrdenes[[#This Row],[centro_costo]]="","",_xlfn.XLOOKUP(tblOrdenes[[#This Row],[centro_costo]],tblCECO[codigo],tblCECO[linea],"(sin catálogo)"))</f>
        <v/>
      </c>
      <c r="X844" s="5">
        <f>IF(tblOrdenes[[#This Row],[centro_costo]]="","",_xlfn.XLOOKUP(tblOrdenes[[#This Row],[centro_costo]],tblCECO[codigo],tblCECO[area],"(sin catálogo)"))</f>
        <v/>
      </c>
      <c r="Y8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4" s="5">
        <f>IF(tblOrdenes[[#This Row],[centro_costo]]="","",_xlfn.XLOOKUP(tblOrdenes[[#This Row],[centro_costo]],tblCECO[codigo],tblCECO[coordinador],"(sin catálogo)"))</f>
        <v/>
      </c>
      <c r="AA844" s="5">
        <f>IF(tblOrdenes[[#This Row],[puesto_trabajo]]="","",_xlfn.XLOOKUP(tblOrdenes[[#This Row],[puesto_trabajo]],tblPuestos[codigo],tblPuestos[especialidad],"(sin catálogo)"))</f>
        <v/>
      </c>
      <c r="AB844" s="5">
        <f>IF(tblOrdenes[[#This Row],[cod_actividad]]="","",_xlfn.XLOOKUP(tblOrdenes[[#This Row],[cod_actividad]],tblActividades[codigo],tblActividades[descripcion],"(sin catálogo)"))</f>
        <v/>
      </c>
      <c r="AC844" s="20">
        <f>IF(tblOrdenes[[#This Row],[fecha_inicio]]="","",TODAY()-tblOrdenes[[#This Row],[fecha_inicio]])</f>
        <v/>
      </c>
      <c r="AD8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4" s="5">
        <f>IF(tblOrdenes[[#This Row],[backlog_habiles]]="","",IF(tblOrdenes[[#This Row],[backlog_habiles]]&lt;0,"FUTURO",IF(tblOrdenes[[#This Row],[backlog_habiles]]&gt;p_dias_backlog_max,"BACKLOG","MES CORRIENTE")))</f>
        <v/>
      </c>
      <c r="AF844" s="5">
        <f>IF(tblOrdenes[[#This Row],[backlog_habiles]]="",FALSE,AND(tblOrdenes[[#This Row],[backlog_habiles]]&gt;p_dias_backlog_min,tblOrdenes[[#This Row],[backlog_habiles]]&lt;=p_dias_backlog_max))</f>
        <v/>
      </c>
      <c r="AG844" s="4" t="n"/>
      <c r="AH8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4" s="18">
        <f>IF(tblOrdenes[[#This Row],[orden]]="","",_xlfn.XLOOKUP(tblOrdenes[[#This Row],[id_operacion]],tblEjecucion[id_operacion],tblEjecucion[precio],0))</f>
        <v/>
      </c>
      <c r="AL844" s="18">
        <f>IF(tblOrdenes[[#This Row],[orden]]="","",MAX(0,_xlfn.XLOOKUP(tblOrdenes[[#This Row],[id_operacion]],tblEjecucion[id_operacion],tblEjecucion[costo_plan_total],0)-tblOrdenes[[#This Row],[costo_servicio]]))</f>
        <v/>
      </c>
      <c r="AM844" s="18">
        <f>IF(tblOrdenes[[#This Row],[orden]]="","",tblOrdenes[[#This Row],[costo_servicio]]+tblOrdenes[[#This Row],[costo_materiales]])</f>
        <v/>
      </c>
      <c r="AN8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4" s="4" t="n"/>
      <c r="AP844" s="4" t="n"/>
      <c r="AQ844" s="4" t="n"/>
      <c r="AR844" s="5">
        <f>IF(tblOrdenes[[#This Row],[link_checklist]]="","",HYPERLINK(p_ruta_base_checklists&amp;tblOrdenes[[#This Row],[link_checklist]],"abrir"))</f>
        <v/>
      </c>
      <c r="AS844" s="4" t="n"/>
      <c r="AT844" s="5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22" t="n"/>
      <c r="K845" s="5" t="n"/>
      <c r="L845" s="18" t="n"/>
      <c r="M8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5">
        <f>IF(tblOrdenes[[#This Row],[fecha_inicio]]="","",YEAR(tblOrdenes[[#This Row],[fecha_inicio]]))</f>
        <v/>
      </c>
      <c r="Q845" s="5">
        <f>IF(tblOrdenes[[#This Row],[fecha_inicio]]="","",MONTH(tblOrdenes[[#This Row],[fecha_inicio]]))</f>
        <v/>
      </c>
      <c r="R845" s="5">
        <f>IF(tblOrdenes[[#This Row],[fecha_inicio]]="","",tblOrdenes[[#This Row],[anio]]&amp;"-"&amp;TEXT(tblOrdenes[[#This Row],[mes]],"00"))</f>
        <v/>
      </c>
      <c r="S845" s="5">
        <f>IF(tblOrdenes[[#This Row],[fecha_inicio]]="","",INDEX(lista_dias,WEEKDAY(tblOrdenes[[#This Row],[fecha_inicio]],2)))</f>
        <v/>
      </c>
      <c r="T8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5" s="5">
        <f>IF(tblOrdenes[[#This Row],[tipo_ot]]="","",_xlfn.XLOOKUP(tblOrdenes[[#This Row],[tipo_ot]],tblTiposOT[codigo],tblTiposOT[clasificacion],"sin_clasificar"))</f>
        <v/>
      </c>
      <c r="V8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5" s="5">
        <f>IF(tblOrdenes[[#This Row],[centro_costo]]="","",_xlfn.XLOOKUP(tblOrdenes[[#This Row],[centro_costo]],tblCECO[codigo],tblCECO[linea],"(sin catálogo)"))</f>
        <v/>
      </c>
      <c r="X845" s="5">
        <f>IF(tblOrdenes[[#This Row],[centro_costo]]="","",_xlfn.XLOOKUP(tblOrdenes[[#This Row],[centro_costo]],tblCECO[codigo],tblCECO[area],"(sin catálogo)"))</f>
        <v/>
      </c>
      <c r="Y8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5" s="5">
        <f>IF(tblOrdenes[[#This Row],[centro_costo]]="","",_xlfn.XLOOKUP(tblOrdenes[[#This Row],[centro_costo]],tblCECO[codigo],tblCECO[coordinador],"(sin catálogo)"))</f>
        <v/>
      </c>
      <c r="AA845" s="5">
        <f>IF(tblOrdenes[[#This Row],[puesto_trabajo]]="","",_xlfn.XLOOKUP(tblOrdenes[[#This Row],[puesto_trabajo]],tblPuestos[codigo],tblPuestos[especialidad],"(sin catálogo)"))</f>
        <v/>
      </c>
      <c r="AB845" s="5">
        <f>IF(tblOrdenes[[#This Row],[cod_actividad]]="","",_xlfn.XLOOKUP(tblOrdenes[[#This Row],[cod_actividad]],tblActividades[codigo],tblActividades[descripcion],"(sin catálogo)"))</f>
        <v/>
      </c>
      <c r="AC845" s="20">
        <f>IF(tblOrdenes[[#This Row],[fecha_inicio]]="","",TODAY()-tblOrdenes[[#This Row],[fecha_inicio]])</f>
        <v/>
      </c>
      <c r="AD8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5" s="5">
        <f>IF(tblOrdenes[[#This Row],[backlog_habiles]]="","",IF(tblOrdenes[[#This Row],[backlog_habiles]]&lt;0,"FUTURO",IF(tblOrdenes[[#This Row],[backlog_habiles]]&gt;p_dias_backlog_max,"BACKLOG","MES CORRIENTE")))</f>
        <v/>
      </c>
      <c r="AF845" s="5">
        <f>IF(tblOrdenes[[#This Row],[backlog_habiles]]="",FALSE,AND(tblOrdenes[[#This Row],[backlog_habiles]]&gt;p_dias_backlog_min,tblOrdenes[[#This Row],[backlog_habiles]]&lt;=p_dias_backlog_max))</f>
        <v/>
      </c>
      <c r="AG845" s="4" t="n"/>
      <c r="AH8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5" s="18">
        <f>IF(tblOrdenes[[#This Row],[orden]]="","",_xlfn.XLOOKUP(tblOrdenes[[#This Row],[id_operacion]],tblEjecucion[id_operacion],tblEjecucion[precio],0))</f>
        <v/>
      </c>
      <c r="AL845" s="18">
        <f>IF(tblOrdenes[[#This Row],[orden]]="","",MAX(0,_xlfn.XLOOKUP(tblOrdenes[[#This Row],[id_operacion]],tblEjecucion[id_operacion],tblEjecucion[costo_plan_total],0)-tblOrdenes[[#This Row],[costo_servicio]]))</f>
        <v/>
      </c>
      <c r="AM845" s="18">
        <f>IF(tblOrdenes[[#This Row],[orden]]="","",tblOrdenes[[#This Row],[costo_servicio]]+tblOrdenes[[#This Row],[costo_materiales]])</f>
        <v/>
      </c>
      <c r="AN8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5" s="4" t="n"/>
      <c r="AP845" s="4" t="n"/>
      <c r="AQ845" s="4" t="n"/>
      <c r="AR845" s="5">
        <f>IF(tblOrdenes[[#This Row],[link_checklist]]="","",HYPERLINK(p_ruta_base_checklists&amp;tblOrdenes[[#This Row],[link_checklist]],"abrir"))</f>
        <v/>
      </c>
      <c r="AS845" s="4" t="n"/>
      <c r="AT845" s="5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22" t="n"/>
      <c r="K846" s="5" t="n"/>
      <c r="L846" s="18" t="n"/>
      <c r="M8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5">
        <f>IF(tblOrdenes[[#This Row],[fecha_inicio]]="","",YEAR(tblOrdenes[[#This Row],[fecha_inicio]]))</f>
        <v/>
      </c>
      <c r="Q846" s="5">
        <f>IF(tblOrdenes[[#This Row],[fecha_inicio]]="","",MONTH(tblOrdenes[[#This Row],[fecha_inicio]]))</f>
        <v/>
      </c>
      <c r="R846" s="5">
        <f>IF(tblOrdenes[[#This Row],[fecha_inicio]]="","",tblOrdenes[[#This Row],[anio]]&amp;"-"&amp;TEXT(tblOrdenes[[#This Row],[mes]],"00"))</f>
        <v/>
      </c>
      <c r="S846" s="5">
        <f>IF(tblOrdenes[[#This Row],[fecha_inicio]]="","",INDEX(lista_dias,WEEKDAY(tblOrdenes[[#This Row],[fecha_inicio]],2)))</f>
        <v/>
      </c>
      <c r="T8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6" s="5">
        <f>IF(tblOrdenes[[#This Row],[tipo_ot]]="","",_xlfn.XLOOKUP(tblOrdenes[[#This Row],[tipo_ot]],tblTiposOT[codigo],tblTiposOT[clasificacion],"sin_clasificar"))</f>
        <v/>
      </c>
      <c r="V8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6" s="5">
        <f>IF(tblOrdenes[[#This Row],[centro_costo]]="","",_xlfn.XLOOKUP(tblOrdenes[[#This Row],[centro_costo]],tblCECO[codigo],tblCECO[linea],"(sin catálogo)"))</f>
        <v/>
      </c>
      <c r="X846" s="5">
        <f>IF(tblOrdenes[[#This Row],[centro_costo]]="","",_xlfn.XLOOKUP(tblOrdenes[[#This Row],[centro_costo]],tblCECO[codigo],tblCECO[area],"(sin catálogo)"))</f>
        <v/>
      </c>
      <c r="Y8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6" s="5">
        <f>IF(tblOrdenes[[#This Row],[centro_costo]]="","",_xlfn.XLOOKUP(tblOrdenes[[#This Row],[centro_costo]],tblCECO[codigo],tblCECO[coordinador],"(sin catálogo)"))</f>
        <v/>
      </c>
      <c r="AA846" s="5">
        <f>IF(tblOrdenes[[#This Row],[puesto_trabajo]]="","",_xlfn.XLOOKUP(tblOrdenes[[#This Row],[puesto_trabajo]],tblPuestos[codigo],tblPuestos[especialidad],"(sin catálogo)"))</f>
        <v/>
      </c>
      <c r="AB846" s="5">
        <f>IF(tblOrdenes[[#This Row],[cod_actividad]]="","",_xlfn.XLOOKUP(tblOrdenes[[#This Row],[cod_actividad]],tblActividades[codigo],tblActividades[descripcion],"(sin catálogo)"))</f>
        <v/>
      </c>
      <c r="AC846" s="20">
        <f>IF(tblOrdenes[[#This Row],[fecha_inicio]]="","",TODAY()-tblOrdenes[[#This Row],[fecha_inicio]])</f>
        <v/>
      </c>
      <c r="AD8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6" s="5">
        <f>IF(tblOrdenes[[#This Row],[backlog_habiles]]="","",IF(tblOrdenes[[#This Row],[backlog_habiles]]&lt;0,"FUTURO",IF(tblOrdenes[[#This Row],[backlog_habiles]]&gt;p_dias_backlog_max,"BACKLOG","MES CORRIENTE")))</f>
        <v/>
      </c>
      <c r="AF846" s="5">
        <f>IF(tblOrdenes[[#This Row],[backlog_habiles]]="",FALSE,AND(tblOrdenes[[#This Row],[backlog_habiles]]&gt;p_dias_backlog_min,tblOrdenes[[#This Row],[backlog_habiles]]&lt;=p_dias_backlog_max))</f>
        <v/>
      </c>
      <c r="AG846" s="4" t="n"/>
      <c r="AH8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6" s="18">
        <f>IF(tblOrdenes[[#This Row],[orden]]="","",_xlfn.XLOOKUP(tblOrdenes[[#This Row],[id_operacion]],tblEjecucion[id_operacion],tblEjecucion[precio],0))</f>
        <v/>
      </c>
      <c r="AL846" s="18">
        <f>IF(tblOrdenes[[#This Row],[orden]]="","",MAX(0,_xlfn.XLOOKUP(tblOrdenes[[#This Row],[id_operacion]],tblEjecucion[id_operacion],tblEjecucion[costo_plan_total],0)-tblOrdenes[[#This Row],[costo_servicio]]))</f>
        <v/>
      </c>
      <c r="AM846" s="18">
        <f>IF(tblOrdenes[[#This Row],[orden]]="","",tblOrdenes[[#This Row],[costo_servicio]]+tblOrdenes[[#This Row],[costo_materiales]])</f>
        <v/>
      </c>
      <c r="AN8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6" s="4" t="n"/>
      <c r="AP846" s="4" t="n"/>
      <c r="AQ846" s="4" t="n"/>
      <c r="AR846" s="5">
        <f>IF(tblOrdenes[[#This Row],[link_checklist]]="","",HYPERLINK(p_ruta_base_checklists&amp;tblOrdenes[[#This Row],[link_checklist]],"abrir"))</f>
        <v/>
      </c>
      <c r="AS846" s="4" t="n"/>
      <c r="AT846" s="5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22" t="n"/>
      <c r="K847" s="5" t="n"/>
      <c r="L847" s="18" t="n"/>
      <c r="M8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5">
        <f>IF(tblOrdenes[[#This Row],[fecha_inicio]]="","",YEAR(tblOrdenes[[#This Row],[fecha_inicio]]))</f>
        <v/>
      </c>
      <c r="Q847" s="5">
        <f>IF(tblOrdenes[[#This Row],[fecha_inicio]]="","",MONTH(tblOrdenes[[#This Row],[fecha_inicio]]))</f>
        <v/>
      </c>
      <c r="R847" s="5">
        <f>IF(tblOrdenes[[#This Row],[fecha_inicio]]="","",tblOrdenes[[#This Row],[anio]]&amp;"-"&amp;TEXT(tblOrdenes[[#This Row],[mes]],"00"))</f>
        <v/>
      </c>
      <c r="S847" s="5">
        <f>IF(tblOrdenes[[#This Row],[fecha_inicio]]="","",INDEX(lista_dias,WEEKDAY(tblOrdenes[[#This Row],[fecha_inicio]],2)))</f>
        <v/>
      </c>
      <c r="T8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7" s="5">
        <f>IF(tblOrdenes[[#This Row],[tipo_ot]]="","",_xlfn.XLOOKUP(tblOrdenes[[#This Row],[tipo_ot]],tblTiposOT[codigo],tblTiposOT[clasificacion],"sin_clasificar"))</f>
        <v/>
      </c>
      <c r="V8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7" s="5">
        <f>IF(tblOrdenes[[#This Row],[centro_costo]]="","",_xlfn.XLOOKUP(tblOrdenes[[#This Row],[centro_costo]],tblCECO[codigo],tblCECO[linea],"(sin catálogo)"))</f>
        <v/>
      </c>
      <c r="X847" s="5">
        <f>IF(tblOrdenes[[#This Row],[centro_costo]]="","",_xlfn.XLOOKUP(tblOrdenes[[#This Row],[centro_costo]],tblCECO[codigo],tblCECO[area],"(sin catálogo)"))</f>
        <v/>
      </c>
      <c r="Y8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7" s="5">
        <f>IF(tblOrdenes[[#This Row],[centro_costo]]="","",_xlfn.XLOOKUP(tblOrdenes[[#This Row],[centro_costo]],tblCECO[codigo],tblCECO[coordinador],"(sin catálogo)"))</f>
        <v/>
      </c>
      <c r="AA847" s="5">
        <f>IF(tblOrdenes[[#This Row],[puesto_trabajo]]="","",_xlfn.XLOOKUP(tblOrdenes[[#This Row],[puesto_trabajo]],tblPuestos[codigo],tblPuestos[especialidad],"(sin catálogo)"))</f>
        <v/>
      </c>
      <c r="AB847" s="5">
        <f>IF(tblOrdenes[[#This Row],[cod_actividad]]="","",_xlfn.XLOOKUP(tblOrdenes[[#This Row],[cod_actividad]],tblActividades[codigo],tblActividades[descripcion],"(sin catálogo)"))</f>
        <v/>
      </c>
      <c r="AC847" s="20">
        <f>IF(tblOrdenes[[#This Row],[fecha_inicio]]="","",TODAY()-tblOrdenes[[#This Row],[fecha_inicio]])</f>
        <v/>
      </c>
      <c r="AD8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7" s="5">
        <f>IF(tblOrdenes[[#This Row],[backlog_habiles]]="","",IF(tblOrdenes[[#This Row],[backlog_habiles]]&lt;0,"FUTURO",IF(tblOrdenes[[#This Row],[backlog_habiles]]&gt;p_dias_backlog_max,"BACKLOG","MES CORRIENTE")))</f>
        <v/>
      </c>
      <c r="AF847" s="5">
        <f>IF(tblOrdenes[[#This Row],[backlog_habiles]]="",FALSE,AND(tblOrdenes[[#This Row],[backlog_habiles]]&gt;p_dias_backlog_min,tblOrdenes[[#This Row],[backlog_habiles]]&lt;=p_dias_backlog_max))</f>
        <v/>
      </c>
      <c r="AG847" s="4" t="n"/>
      <c r="AH8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7" s="18">
        <f>IF(tblOrdenes[[#This Row],[orden]]="","",_xlfn.XLOOKUP(tblOrdenes[[#This Row],[id_operacion]],tblEjecucion[id_operacion],tblEjecucion[precio],0))</f>
        <v/>
      </c>
      <c r="AL847" s="18">
        <f>IF(tblOrdenes[[#This Row],[orden]]="","",MAX(0,_xlfn.XLOOKUP(tblOrdenes[[#This Row],[id_operacion]],tblEjecucion[id_operacion],tblEjecucion[costo_plan_total],0)-tblOrdenes[[#This Row],[costo_servicio]]))</f>
        <v/>
      </c>
      <c r="AM847" s="18">
        <f>IF(tblOrdenes[[#This Row],[orden]]="","",tblOrdenes[[#This Row],[costo_servicio]]+tblOrdenes[[#This Row],[costo_materiales]])</f>
        <v/>
      </c>
      <c r="AN8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7" s="4" t="n"/>
      <c r="AP847" s="4" t="n"/>
      <c r="AQ847" s="4" t="n"/>
      <c r="AR847" s="5">
        <f>IF(tblOrdenes[[#This Row],[link_checklist]]="","",HYPERLINK(p_ruta_base_checklists&amp;tblOrdenes[[#This Row],[link_checklist]],"abrir"))</f>
        <v/>
      </c>
      <c r="AS847" s="4" t="n"/>
      <c r="AT847" s="5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22" t="n"/>
      <c r="K848" s="5" t="n"/>
      <c r="L848" s="18" t="n"/>
      <c r="M8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5">
        <f>IF(tblOrdenes[[#This Row],[fecha_inicio]]="","",YEAR(tblOrdenes[[#This Row],[fecha_inicio]]))</f>
        <v/>
      </c>
      <c r="Q848" s="5">
        <f>IF(tblOrdenes[[#This Row],[fecha_inicio]]="","",MONTH(tblOrdenes[[#This Row],[fecha_inicio]]))</f>
        <v/>
      </c>
      <c r="R848" s="5">
        <f>IF(tblOrdenes[[#This Row],[fecha_inicio]]="","",tblOrdenes[[#This Row],[anio]]&amp;"-"&amp;TEXT(tblOrdenes[[#This Row],[mes]],"00"))</f>
        <v/>
      </c>
      <c r="S848" s="5">
        <f>IF(tblOrdenes[[#This Row],[fecha_inicio]]="","",INDEX(lista_dias,WEEKDAY(tblOrdenes[[#This Row],[fecha_inicio]],2)))</f>
        <v/>
      </c>
      <c r="T8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8" s="5">
        <f>IF(tblOrdenes[[#This Row],[tipo_ot]]="","",_xlfn.XLOOKUP(tblOrdenes[[#This Row],[tipo_ot]],tblTiposOT[codigo],tblTiposOT[clasificacion],"sin_clasificar"))</f>
        <v/>
      </c>
      <c r="V8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8" s="5">
        <f>IF(tblOrdenes[[#This Row],[centro_costo]]="","",_xlfn.XLOOKUP(tblOrdenes[[#This Row],[centro_costo]],tblCECO[codigo],tblCECO[linea],"(sin catálogo)"))</f>
        <v/>
      </c>
      <c r="X848" s="5">
        <f>IF(tblOrdenes[[#This Row],[centro_costo]]="","",_xlfn.XLOOKUP(tblOrdenes[[#This Row],[centro_costo]],tblCECO[codigo],tblCECO[area],"(sin catálogo)"))</f>
        <v/>
      </c>
      <c r="Y8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8" s="5">
        <f>IF(tblOrdenes[[#This Row],[centro_costo]]="","",_xlfn.XLOOKUP(tblOrdenes[[#This Row],[centro_costo]],tblCECO[codigo],tblCECO[coordinador],"(sin catálogo)"))</f>
        <v/>
      </c>
      <c r="AA848" s="5">
        <f>IF(tblOrdenes[[#This Row],[puesto_trabajo]]="","",_xlfn.XLOOKUP(tblOrdenes[[#This Row],[puesto_trabajo]],tblPuestos[codigo],tblPuestos[especialidad],"(sin catálogo)"))</f>
        <v/>
      </c>
      <c r="AB848" s="5">
        <f>IF(tblOrdenes[[#This Row],[cod_actividad]]="","",_xlfn.XLOOKUP(tblOrdenes[[#This Row],[cod_actividad]],tblActividades[codigo],tblActividades[descripcion],"(sin catálogo)"))</f>
        <v/>
      </c>
      <c r="AC848" s="20">
        <f>IF(tblOrdenes[[#This Row],[fecha_inicio]]="","",TODAY()-tblOrdenes[[#This Row],[fecha_inicio]])</f>
        <v/>
      </c>
      <c r="AD8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8" s="5">
        <f>IF(tblOrdenes[[#This Row],[backlog_habiles]]="","",IF(tblOrdenes[[#This Row],[backlog_habiles]]&lt;0,"FUTURO",IF(tblOrdenes[[#This Row],[backlog_habiles]]&gt;p_dias_backlog_max,"BACKLOG","MES CORRIENTE")))</f>
        <v/>
      </c>
      <c r="AF848" s="5">
        <f>IF(tblOrdenes[[#This Row],[backlog_habiles]]="",FALSE,AND(tblOrdenes[[#This Row],[backlog_habiles]]&gt;p_dias_backlog_min,tblOrdenes[[#This Row],[backlog_habiles]]&lt;=p_dias_backlog_max))</f>
        <v/>
      </c>
      <c r="AG848" s="4" t="n"/>
      <c r="AH8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8" s="18">
        <f>IF(tblOrdenes[[#This Row],[orden]]="","",_xlfn.XLOOKUP(tblOrdenes[[#This Row],[id_operacion]],tblEjecucion[id_operacion],tblEjecucion[precio],0))</f>
        <v/>
      </c>
      <c r="AL848" s="18">
        <f>IF(tblOrdenes[[#This Row],[orden]]="","",MAX(0,_xlfn.XLOOKUP(tblOrdenes[[#This Row],[id_operacion]],tblEjecucion[id_operacion],tblEjecucion[costo_plan_total],0)-tblOrdenes[[#This Row],[costo_servicio]]))</f>
        <v/>
      </c>
      <c r="AM848" s="18">
        <f>IF(tblOrdenes[[#This Row],[orden]]="","",tblOrdenes[[#This Row],[costo_servicio]]+tblOrdenes[[#This Row],[costo_materiales]])</f>
        <v/>
      </c>
      <c r="AN8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8" s="4" t="n"/>
      <c r="AP848" s="4" t="n"/>
      <c r="AQ848" s="4" t="n"/>
      <c r="AR848" s="5">
        <f>IF(tblOrdenes[[#This Row],[link_checklist]]="","",HYPERLINK(p_ruta_base_checklists&amp;tblOrdenes[[#This Row],[link_checklist]],"abrir"))</f>
        <v/>
      </c>
      <c r="AS848" s="4" t="n"/>
      <c r="AT848" s="5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22" t="n"/>
      <c r="K849" s="5" t="n"/>
      <c r="L849" s="18" t="n"/>
      <c r="M8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5">
        <f>IF(tblOrdenes[[#This Row],[fecha_inicio]]="","",YEAR(tblOrdenes[[#This Row],[fecha_inicio]]))</f>
        <v/>
      </c>
      <c r="Q849" s="5">
        <f>IF(tblOrdenes[[#This Row],[fecha_inicio]]="","",MONTH(tblOrdenes[[#This Row],[fecha_inicio]]))</f>
        <v/>
      </c>
      <c r="R849" s="5">
        <f>IF(tblOrdenes[[#This Row],[fecha_inicio]]="","",tblOrdenes[[#This Row],[anio]]&amp;"-"&amp;TEXT(tblOrdenes[[#This Row],[mes]],"00"))</f>
        <v/>
      </c>
      <c r="S849" s="5">
        <f>IF(tblOrdenes[[#This Row],[fecha_inicio]]="","",INDEX(lista_dias,WEEKDAY(tblOrdenes[[#This Row],[fecha_inicio]],2)))</f>
        <v/>
      </c>
      <c r="T8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9" s="5">
        <f>IF(tblOrdenes[[#This Row],[tipo_ot]]="","",_xlfn.XLOOKUP(tblOrdenes[[#This Row],[tipo_ot]],tblTiposOT[codigo],tblTiposOT[clasificacion],"sin_clasificar"))</f>
        <v/>
      </c>
      <c r="V8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9" s="5">
        <f>IF(tblOrdenes[[#This Row],[centro_costo]]="","",_xlfn.XLOOKUP(tblOrdenes[[#This Row],[centro_costo]],tblCECO[codigo],tblCECO[linea],"(sin catálogo)"))</f>
        <v/>
      </c>
      <c r="X849" s="5">
        <f>IF(tblOrdenes[[#This Row],[centro_costo]]="","",_xlfn.XLOOKUP(tblOrdenes[[#This Row],[centro_costo]],tblCECO[codigo],tblCECO[area],"(sin catálogo)"))</f>
        <v/>
      </c>
      <c r="Y8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49" s="5">
        <f>IF(tblOrdenes[[#This Row],[centro_costo]]="","",_xlfn.XLOOKUP(tblOrdenes[[#This Row],[centro_costo]],tblCECO[codigo],tblCECO[coordinador],"(sin catálogo)"))</f>
        <v/>
      </c>
      <c r="AA849" s="5">
        <f>IF(tblOrdenes[[#This Row],[puesto_trabajo]]="","",_xlfn.XLOOKUP(tblOrdenes[[#This Row],[puesto_trabajo]],tblPuestos[codigo],tblPuestos[especialidad],"(sin catálogo)"))</f>
        <v/>
      </c>
      <c r="AB849" s="5">
        <f>IF(tblOrdenes[[#This Row],[cod_actividad]]="","",_xlfn.XLOOKUP(tblOrdenes[[#This Row],[cod_actividad]],tblActividades[codigo],tblActividades[descripcion],"(sin catálogo)"))</f>
        <v/>
      </c>
      <c r="AC849" s="20">
        <f>IF(tblOrdenes[[#This Row],[fecha_inicio]]="","",TODAY()-tblOrdenes[[#This Row],[fecha_inicio]])</f>
        <v/>
      </c>
      <c r="AD8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49" s="5">
        <f>IF(tblOrdenes[[#This Row],[backlog_habiles]]="","",IF(tblOrdenes[[#This Row],[backlog_habiles]]&lt;0,"FUTURO",IF(tblOrdenes[[#This Row],[backlog_habiles]]&gt;p_dias_backlog_max,"BACKLOG","MES CORRIENTE")))</f>
        <v/>
      </c>
      <c r="AF849" s="5">
        <f>IF(tblOrdenes[[#This Row],[backlog_habiles]]="",FALSE,AND(tblOrdenes[[#This Row],[backlog_habiles]]&gt;p_dias_backlog_min,tblOrdenes[[#This Row],[backlog_habiles]]&lt;=p_dias_backlog_max))</f>
        <v/>
      </c>
      <c r="AG849" s="4" t="n"/>
      <c r="AH8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49" s="18">
        <f>IF(tblOrdenes[[#This Row],[orden]]="","",_xlfn.XLOOKUP(tblOrdenes[[#This Row],[id_operacion]],tblEjecucion[id_operacion],tblEjecucion[precio],0))</f>
        <v/>
      </c>
      <c r="AL849" s="18">
        <f>IF(tblOrdenes[[#This Row],[orden]]="","",MAX(0,_xlfn.XLOOKUP(tblOrdenes[[#This Row],[id_operacion]],tblEjecucion[id_operacion],tblEjecucion[costo_plan_total],0)-tblOrdenes[[#This Row],[costo_servicio]]))</f>
        <v/>
      </c>
      <c r="AM849" s="18">
        <f>IF(tblOrdenes[[#This Row],[orden]]="","",tblOrdenes[[#This Row],[costo_servicio]]+tblOrdenes[[#This Row],[costo_materiales]])</f>
        <v/>
      </c>
      <c r="AN8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49" s="4" t="n"/>
      <c r="AP849" s="4" t="n"/>
      <c r="AQ849" s="4" t="n"/>
      <c r="AR849" s="5">
        <f>IF(tblOrdenes[[#This Row],[link_checklist]]="","",HYPERLINK(p_ruta_base_checklists&amp;tblOrdenes[[#This Row],[link_checklist]],"abrir"))</f>
        <v/>
      </c>
      <c r="AS849" s="4" t="n"/>
      <c r="AT849" s="5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22" t="n"/>
      <c r="K850" s="5" t="n"/>
      <c r="L850" s="18" t="n"/>
      <c r="M8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5">
        <f>IF(tblOrdenes[[#This Row],[fecha_inicio]]="","",YEAR(tblOrdenes[[#This Row],[fecha_inicio]]))</f>
        <v/>
      </c>
      <c r="Q850" s="5">
        <f>IF(tblOrdenes[[#This Row],[fecha_inicio]]="","",MONTH(tblOrdenes[[#This Row],[fecha_inicio]]))</f>
        <v/>
      </c>
      <c r="R850" s="5">
        <f>IF(tblOrdenes[[#This Row],[fecha_inicio]]="","",tblOrdenes[[#This Row],[anio]]&amp;"-"&amp;TEXT(tblOrdenes[[#This Row],[mes]],"00"))</f>
        <v/>
      </c>
      <c r="S850" s="5">
        <f>IF(tblOrdenes[[#This Row],[fecha_inicio]]="","",INDEX(lista_dias,WEEKDAY(tblOrdenes[[#This Row],[fecha_inicio]],2)))</f>
        <v/>
      </c>
      <c r="T8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0" s="5">
        <f>IF(tblOrdenes[[#This Row],[tipo_ot]]="","",_xlfn.XLOOKUP(tblOrdenes[[#This Row],[tipo_ot]],tblTiposOT[codigo],tblTiposOT[clasificacion],"sin_clasificar"))</f>
        <v/>
      </c>
      <c r="V8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0" s="5">
        <f>IF(tblOrdenes[[#This Row],[centro_costo]]="","",_xlfn.XLOOKUP(tblOrdenes[[#This Row],[centro_costo]],tblCECO[codigo],tblCECO[linea],"(sin catálogo)"))</f>
        <v/>
      </c>
      <c r="X850" s="5">
        <f>IF(tblOrdenes[[#This Row],[centro_costo]]="","",_xlfn.XLOOKUP(tblOrdenes[[#This Row],[centro_costo]],tblCECO[codigo],tblCECO[area],"(sin catálogo)"))</f>
        <v/>
      </c>
      <c r="Y8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0" s="5">
        <f>IF(tblOrdenes[[#This Row],[centro_costo]]="","",_xlfn.XLOOKUP(tblOrdenes[[#This Row],[centro_costo]],tblCECO[codigo],tblCECO[coordinador],"(sin catálogo)"))</f>
        <v/>
      </c>
      <c r="AA850" s="5">
        <f>IF(tblOrdenes[[#This Row],[puesto_trabajo]]="","",_xlfn.XLOOKUP(tblOrdenes[[#This Row],[puesto_trabajo]],tblPuestos[codigo],tblPuestos[especialidad],"(sin catálogo)"))</f>
        <v/>
      </c>
      <c r="AB850" s="5">
        <f>IF(tblOrdenes[[#This Row],[cod_actividad]]="","",_xlfn.XLOOKUP(tblOrdenes[[#This Row],[cod_actividad]],tblActividades[codigo],tblActividades[descripcion],"(sin catálogo)"))</f>
        <v/>
      </c>
      <c r="AC850" s="20">
        <f>IF(tblOrdenes[[#This Row],[fecha_inicio]]="","",TODAY()-tblOrdenes[[#This Row],[fecha_inicio]])</f>
        <v/>
      </c>
      <c r="AD8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0" s="5">
        <f>IF(tblOrdenes[[#This Row],[backlog_habiles]]="","",IF(tblOrdenes[[#This Row],[backlog_habiles]]&lt;0,"FUTURO",IF(tblOrdenes[[#This Row],[backlog_habiles]]&gt;p_dias_backlog_max,"BACKLOG","MES CORRIENTE")))</f>
        <v/>
      </c>
      <c r="AF850" s="5">
        <f>IF(tblOrdenes[[#This Row],[backlog_habiles]]="",FALSE,AND(tblOrdenes[[#This Row],[backlog_habiles]]&gt;p_dias_backlog_min,tblOrdenes[[#This Row],[backlog_habiles]]&lt;=p_dias_backlog_max))</f>
        <v/>
      </c>
      <c r="AG850" s="4" t="n"/>
      <c r="AH8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0" s="18">
        <f>IF(tblOrdenes[[#This Row],[orden]]="","",_xlfn.XLOOKUP(tblOrdenes[[#This Row],[id_operacion]],tblEjecucion[id_operacion],tblEjecucion[precio],0))</f>
        <v/>
      </c>
      <c r="AL850" s="18">
        <f>IF(tblOrdenes[[#This Row],[orden]]="","",MAX(0,_xlfn.XLOOKUP(tblOrdenes[[#This Row],[id_operacion]],tblEjecucion[id_operacion],tblEjecucion[costo_plan_total],0)-tblOrdenes[[#This Row],[costo_servicio]]))</f>
        <v/>
      </c>
      <c r="AM850" s="18">
        <f>IF(tblOrdenes[[#This Row],[orden]]="","",tblOrdenes[[#This Row],[costo_servicio]]+tblOrdenes[[#This Row],[costo_materiales]])</f>
        <v/>
      </c>
      <c r="AN8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0" s="4" t="n"/>
      <c r="AP850" s="4" t="n"/>
      <c r="AQ850" s="4" t="n"/>
      <c r="AR850" s="5">
        <f>IF(tblOrdenes[[#This Row],[link_checklist]]="","",HYPERLINK(p_ruta_base_checklists&amp;tblOrdenes[[#This Row],[link_checklist]],"abrir"))</f>
        <v/>
      </c>
      <c r="AS850" s="4" t="n"/>
      <c r="AT850" s="5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22" t="n"/>
      <c r="K851" s="5" t="n"/>
      <c r="L851" s="18" t="n"/>
      <c r="M8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5">
        <f>IF(tblOrdenes[[#This Row],[fecha_inicio]]="","",YEAR(tblOrdenes[[#This Row],[fecha_inicio]]))</f>
        <v/>
      </c>
      <c r="Q851" s="5">
        <f>IF(tblOrdenes[[#This Row],[fecha_inicio]]="","",MONTH(tblOrdenes[[#This Row],[fecha_inicio]]))</f>
        <v/>
      </c>
      <c r="R851" s="5">
        <f>IF(tblOrdenes[[#This Row],[fecha_inicio]]="","",tblOrdenes[[#This Row],[anio]]&amp;"-"&amp;TEXT(tblOrdenes[[#This Row],[mes]],"00"))</f>
        <v/>
      </c>
      <c r="S851" s="5">
        <f>IF(tblOrdenes[[#This Row],[fecha_inicio]]="","",INDEX(lista_dias,WEEKDAY(tblOrdenes[[#This Row],[fecha_inicio]],2)))</f>
        <v/>
      </c>
      <c r="T8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1" s="5">
        <f>IF(tblOrdenes[[#This Row],[tipo_ot]]="","",_xlfn.XLOOKUP(tblOrdenes[[#This Row],[tipo_ot]],tblTiposOT[codigo],tblTiposOT[clasificacion],"sin_clasificar"))</f>
        <v/>
      </c>
      <c r="V8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1" s="5">
        <f>IF(tblOrdenes[[#This Row],[centro_costo]]="","",_xlfn.XLOOKUP(tblOrdenes[[#This Row],[centro_costo]],tblCECO[codigo],tblCECO[linea],"(sin catálogo)"))</f>
        <v/>
      </c>
      <c r="X851" s="5">
        <f>IF(tblOrdenes[[#This Row],[centro_costo]]="","",_xlfn.XLOOKUP(tblOrdenes[[#This Row],[centro_costo]],tblCECO[codigo],tblCECO[area],"(sin catálogo)"))</f>
        <v/>
      </c>
      <c r="Y8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1" s="5">
        <f>IF(tblOrdenes[[#This Row],[centro_costo]]="","",_xlfn.XLOOKUP(tblOrdenes[[#This Row],[centro_costo]],tblCECO[codigo],tblCECO[coordinador],"(sin catálogo)"))</f>
        <v/>
      </c>
      <c r="AA851" s="5">
        <f>IF(tblOrdenes[[#This Row],[puesto_trabajo]]="","",_xlfn.XLOOKUP(tblOrdenes[[#This Row],[puesto_trabajo]],tblPuestos[codigo],tblPuestos[especialidad],"(sin catálogo)"))</f>
        <v/>
      </c>
      <c r="AB851" s="5">
        <f>IF(tblOrdenes[[#This Row],[cod_actividad]]="","",_xlfn.XLOOKUP(tblOrdenes[[#This Row],[cod_actividad]],tblActividades[codigo],tblActividades[descripcion],"(sin catálogo)"))</f>
        <v/>
      </c>
      <c r="AC851" s="20">
        <f>IF(tblOrdenes[[#This Row],[fecha_inicio]]="","",TODAY()-tblOrdenes[[#This Row],[fecha_inicio]])</f>
        <v/>
      </c>
      <c r="AD8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1" s="5">
        <f>IF(tblOrdenes[[#This Row],[backlog_habiles]]="","",IF(tblOrdenes[[#This Row],[backlog_habiles]]&lt;0,"FUTURO",IF(tblOrdenes[[#This Row],[backlog_habiles]]&gt;p_dias_backlog_max,"BACKLOG","MES CORRIENTE")))</f>
        <v/>
      </c>
      <c r="AF851" s="5">
        <f>IF(tblOrdenes[[#This Row],[backlog_habiles]]="",FALSE,AND(tblOrdenes[[#This Row],[backlog_habiles]]&gt;p_dias_backlog_min,tblOrdenes[[#This Row],[backlog_habiles]]&lt;=p_dias_backlog_max))</f>
        <v/>
      </c>
      <c r="AG851" s="4" t="n"/>
      <c r="AH8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1" s="18">
        <f>IF(tblOrdenes[[#This Row],[orden]]="","",_xlfn.XLOOKUP(tblOrdenes[[#This Row],[id_operacion]],tblEjecucion[id_operacion],tblEjecucion[precio],0))</f>
        <v/>
      </c>
      <c r="AL851" s="18">
        <f>IF(tblOrdenes[[#This Row],[orden]]="","",MAX(0,_xlfn.XLOOKUP(tblOrdenes[[#This Row],[id_operacion]],tblEjecucion[id_operacion],tblEjecucion[costo_plan_total],0)-tblOrdenes[[#This Row],[costo_servicio]]))</f>
        <v/>
      </c>
      <c r="AM851" s="18">
        <f>IF(tblOrdenes[[#This Row],[orden]]="","",tblOrdenes[[#This Row],[costo_servicio]]+tblOrdenes[[#This Row],[costo_materiales]])</f>
        <v/>
      </c>
      <c r="AN8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1" s="4" t="n"/>
      <c r="AP851" s="4" t="n"/>
      <c r="AQ851" s="4" t="n"/>
      <c r="AR851" s="5">
        <f>IF(tblOrdenes[[#This Row],[link_checklist]]="","",HYPERLINK(p_ruta_base_checklists&amp;tblOrdenes[[#This Row],[link_checklist]],"abrir"))</f>
        <v/>
      </c>
      <c r="AS851" s="4" t="n"/>
      <c r="AT851" s="5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22" t="n"/>
      <c r="K852" s="5" t="n"/>
      <c r="L852" s="18" t="n"/>
      <c r="M8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5">
        <f>IF(tblOrdenes[[#This Row],[fecha_inicio]]="","",YEAR(tblOrdenes[[#This Row],[fecha_inicio]]))</f>
        <v/>
      </c>
      <c r="Q852" s="5">
        <f>IF(tblOrdenes[[#This Row],[fecha_inicio]]="","",MONTH(tblOrdenes[[#This Row],[fecha_inicio]]))</f>
        <v/>
      </c>
      <c r="R852" s="5">
        <f>IF(tblOrdenes[[#This Row],[fecha_inicio]]="","",tblOrdenes[[#This Row],[anio]]&amp;"-"&amp;TEXT(tblOrdenes[[#This Row],[mes]],"00"))</f>
        <v/>
      </c>
      <c r="S852" s="5">
        <f>IF(tblOrdenes[[#This Row],[fecha_inicio]]="","",INDEX(lista_dias,WEEKDAY(tblOrdenes[[#This Row],[fecha_inicio]],2)))</f>
        <v/>
      </c>
      <c r="T8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2" s="5">
        <f>IF(tblOrdenes[[#This Row],[tipo_ot]]="","",_xlfn.XLOOKUP(tblOrdenes[[#This Row],[tipo_ot]],tblTiposOT[codigo],tblTiposOT[clasificacion],"sin_clasificar"))</f>
        <v/>
      </c>
      <c r="V8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2" s="5">
        <f>IF(tblOrdenes[[#This Row],[centro_costo]]="","",_xlfn.XLOOKUP(tblOrdenes[[#This Row],[centro_costo]],tblCECO[codigo],tblCECO[linea],"(sin catálogo)"))</f>
        <v/>
      </c>
      <c r="X852" s="5">
        <f>IF(tblOrdenes[[#This Row],[centro_costo]]="","",_xlfn.XLOOKUP(tblOrdenes[[#This Row],[centro_costo]],tblCECO[codigo],tblCECO[area],"(sin catálogo)"))</f>
        <v/>
      </c>
      <c r="Y8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2" s="5">
        <f>IF(tblOrdenes[[#This Row],[centro_costo]]="","",_xlfn.XLOOKUP(tblOrdenes[[#This Row],[centro_costo]],tblCECO[codigo],tblCECO[coordinador],"(sin catálogo)"))</f>
        <v/>
      </c>
      <c r="AA852" s="5">
        <f>IF(tblOrdenes[[#This Row],[puesto_trabajo]]="","",_xlfn.XLOOKUP(tblOrdenes[[#This Row],[puesto_trabajo]],tblPuestos[codigo],tblPuestos[especialidad],"(sin catálogo)"))</f>
        <v/>
      </c>
      <c r="AB852" s="5">
        <f>IF(tblOrdenes[[#This Row],[cod_actividad]]="","",_xlfn.XLOOKUP(tblOrdenes[[#This Row],[cod_actividad]],tblActividades[codigo],tblActividades[descripcion],"(sin catálogo)"))</f>
        <v/>
      </c>
      <c r="AC852" s="20">
        <f>IF(tblOrdenes[[#This Row],[fecha_inicio]]="","",TODAY()-tblOrdenes[[#This Row],[fecha_inicio]])</f>
        <v/>
      </c>
      <c r="AD8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2" s="5">
        <f>IF(tblOrdenes[[#This Row],[backlog_habiles]]="","",IF(tblOrdenes[[#This Row],[backlog_habiles]]&lt;0,"FUTURO",IF(tblOrdenes[[#This Row],[backlog_habiles]]&gt;p_dias_backlog_max,"BACKLOG","MES CORRIENTE")))</f>
        <v/>
      </c>
      <c r="AF852" s="5">
        <f>IF(tblOrdenes[[#This Row],[backlog_habiles]]="",FALSE,AND(tblOrdenes[[#This Row],[backlog_habiles]]&gt;p_dias_backlog_min,tblOrdenes[[#This Row],[backlog_habiles]]&lt;=p_dias_backlog_max))</f>
        <v/>
      </c>
      <c r="AG852" s="4" t="n"/>
      <c r="AH8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2" s="18">
        <f>IF(tblOrdenes[[#This Row],[orden]]="","",_xlfn.XLOOKUP(tblOrdenes[[#This Row],[id_operacion]],tblEjecucion[id_operacion],tblEjecucion[precio],0))</f>
        <v/>
      </c>
      <c r="AL852" s="18">
        <f>IF(tblOrdenes[[#This Row],[orden]]="","",MAX(0,_xlfn.XLOOKUP(tblOrdenes[[#This Row],[id_operacion]],tblEjecucion[id_operacion],tblEjecucion[costo_plan_total],0)-tblOrdenes[[#This Row],[costo_servicio]]))</f>
        <v/>
      </c>
      <c r="AM852" s="18">
        <f>IF(tblOrdenes[[#This Row],[orden]]="","",tblOrdenes[[#This Row],[costo_servicio]]+tblOrdenes[[#This Row],[costo_materiales]])</f>
        <v/>
      </c>
      <c r="AN8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2" s="4" t="n"/>
      <c r="AP852" s="4" t="n"/>
      <c r="AQ852" s="4" t="n"/>
      <c r="AR852" s="5">
        <f>IF(tblOrdenes[[#This Row],[link_checklist]]="","",HYPERLINK(p_ruta_base_checklists&amp;tblOrdenes[[#This Row],[link_checklist]],"abrir"))</f>
        <v/>
      </c>
      <c r="AS852" s="4" t="n"/>
      <c r="AT852" s="5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22" t="n"/>
      <c r="K853" s="5" t="n"/>
      <c r="L853" s="18" t="n"/>
      <c r="M8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5">
        <f>IF(tblOrdenes[[#This Row],[fecha_inicio]]="","",YEAR(tblOrdenes[[#This Row],[fecha_inicio]]))</f>
        <v/>
      </c>
      <c r="Q853" s="5">
        <f>IF(tblOrdenes[[#This Row],[fecha_inicio]]="","",MONTH(tblOrdenes[[#This Row],[fecha_inicio]]))</f>
        <v/>
      </c>
      <c r="R853" s="5">
        <f>IF(tblOrdenes[[#This Row],[fecha_inicio]]="","",tblOrdenes[[#This Row],[anio]]&amp;"-"&amp;TEXT(tblOrdenes[[#This Row],[mes]],"00"))</f>
        <v/>
      </c>
      <c r="S853" s="5">
        <f>IF(tblOrdenes[[#This Row],[fecha_inicio]]="","",INDEX(lista_dias,WEEKDAY(tblOrdenes[[#This Row],[fecha_inicio]],2)))</f>
        <v/>
      </c>
      <c r="T8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3" s="5">
        <f>IF(tblOrdenes[[#This Row],[tipo_ot]]="","",_xlfn.XLOOKUP(tblOrdenes[[#This Row],[tipo_ot]],tblTiposOT[codigo],tblTiposOT[clasificacion],"sin_clasificar"))</f>
        <v/>
      </c>
      <c r="V8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3" s="5">
        <f>IF(tblOrdenes[[#This Row],[centro_costo]]="","",_xlfn.XLOOKUP(tblOrdenes[[#This Row],[centro_costo]],tblCECO[codigo],tblCECO[linea],"(sin catálogo)"))</f>
        <v/>
      </c>
      <c r="X853" s="5">
        <f>IF(tblOrdenes[[#This Row],[centro_costo]]="","",_xlfn.XLOOKUP(tblOrdenes[[#This Row],[centro_costo]],tblCECO[codigo],tblCECO[area],"(sin catálogo)"))</f>
        <v/>
      </c>
      <c r="Y8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3" s="5">
        <f>IF(tblOrdenes[[#This Row],[centro_costo]]="","",_xlfn.XLOOKUP(tblOrdenes[[#This Row],[centro_costo]],tblCECO[codigo],tblCECO[coordinador],"(sin catálogo)"))</f>
        <v/>
      </c>
      <c r="AA853" s="5">
        <f>IF(tblOrdenes[[#This Row],[puesto_trabajo]]="","",_xlfn.XLOOKUP(tblOrdenes[[#This Row],[puesto_trabajo]],tblPuestos[codigo],tblPuestos[especialidad],"(sin catálogo)"))</f>
        <v/>
      </c>
      <c r="AB853" s="5">
        <f>IF(tblOrdenes[[#This Row],[cod_actividad]]="","",_xlfn.XLOOKUP(tblOrdenes[[#This Row],[cod_actividad]],tblActividades[codigo],tblActividades[descripcion],"(sin catálogo)"))</f>
        <v/>
      </c>
      <c r="AC853" s="20">
        <f>IF(tblOrdenes[[#This Row],[fecha_inicio]]="","",TODAY()-tblOrdenes[[#This Row],[fecha_inicio]])</f>
        <v/>
      </c>
      <c r="AD8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3" s="5">
        <f>IF(tblOrdenes[[#This Row],[backlog_habiles]]="","",IF(tblOrdenes[[#This Row],[backlog_habiles]]&lt;0,"FUTURO",IF(tblOrdenes[[#This Row],[backlog_habiles]]&gt;p_dias_backlog_max,"BACKLOG","MES CORRIENTE")))</f>
        <v/>
      </c>
      <c r="AF853" s="5">
        <f>IF(tblOrdenes[[#This Row],[backlog_habiles]]="",FALSE,AND(tblOrdenes[[#This Row],[backlog_habiles]]&gt;p_dias_backlog_min,tblOrdenes[[#This Row],[backlog_habiles]]&lt;=p_dias_backlog_max))</f>
        <v/>
      </c>
      <c r="AG853" s="4" t="n"/>
      <c r="AH8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3" s="18">
        <f>IF(tblOrdenes[[#This Row],[orden]]="","",_xlfn.XLOOKUP(tblOrdenes[[#This Row],[id_operacion]],tblEjecucion[id_operacion],tblEjecucion[precio],0))</f>
        <v/>
      </c>
      <c r="AL853" s="18">
        <f>IF(tblOrdenes[[#This Row],[orden]]="","",MAX(0,_xlfn.XLOOKUP(tblOrdenes[[#This Row],[id_operacion]],tblEjecucion[id_operacion],tblEjecucion[costo_plan_total],0)-tblOrdenes[[#This Row],[costo_servicio]]))</f>
        <v/>
      </c>
      <c r="AM853" s="18">
        <f>IF(tblOrdenes[[#This Row],[orden]]="","",tblOrdenes[[#This Row],[costo_servicio]]+tblOrdenes[[#This Row],[costo_materiales]])</f>
        <v/>
      </c>
      <c r="AN8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3" s="4" t="n"/>
      <c r="AP853" s="4" t="n"/>
      <c r="AQ853" s="4" t="n"/>
      <c r="AR853" s="5">
        <f>IF(tblOrdenes[[#This Row],[link_checklist]]="","",HYPERLINK(p_ruta_base_checklists&amp;tblOrdenes[[#This Row],[link_checklist]],"abrir"))</f>
        <v/>
      </c>
      <c r="AS853" s="4" t="n"/>
      <c r="AT853" s="5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22" t="n"/>
      <c r="K854" s="5" t="n"/>
      <c r="L854" s="18" t="n"/>
      <c r="M8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5">
        <f>IF(tblOrdenes[[#This Row],[fecha_inicio]]="","",YEAR(tblOrdenes[[#This Row],[fecha_inicio]]))</f>
        <v/>
      </c>
      <c r="Q854" s="5">
        <f>IF(tblOrdenes[[#This Row],[fecha_inicio]]="","",MONTH(tblOrdenes[[#This Row],[fecha_inicio]]))</f>
        <v/>
      </c>
      <c r="R854" s="5">
        <f>IF(tblOrdenes[[#This Row],[fecha_inicio]]="","",tblOrdenes[[#This Row],[anio]]&amp;"-"&amp;TEXT(tblOrdenes[[#This Row],[mes]],"00"))</f>
        <v/>
      </c>
      <c r="S854" s="5">
        <f>IF(tblOrdenes[[#This Row],[fecha_inicio]]="","",INDEX(lista_dias,WEEKDAY(tblOrdenes[[#This Row],[fecha_inicio]],2)))</f>
        <v/>
      </c>
      <c r="T8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4" s="5">
        <f>IF(tblOrdenes[[#This Row],[tipo_ot]]="","",_xlfn.XLOOKUP(tblOrdenes[[#This Row],[tipo_ot]],tblTiposOT[codigo],tblTiposOT[clasificacion],"sin_clasificar"))</f>
        <v/>
      </c>
      <c r="V8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4" s="5">
        <f>IF(tblOrdenes[[#This Row],[centro_costo]]="","",_xlfn.XLOOKUP(tblOrdenes[[#This Row],[centro_costo]],tblCECO[codigo],tblCECO[linea],"(sin catálogo)"))</f>
        <v/>
      </c>
      <c r="X854" s="5">
        <f>IF(tblOrdenes[[#This Row],[centro_costo]]="","",_xlfn.XLOOKUP(tblOrdenes[[#This Row],[centro_costo]],tblCECO[codigo],tblCECO[area],"(sin catálogo)"))</f>
        <v/>
      </c>
      <c r="Y8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4" s="5">
        <f>IF(tblOrdenes[[#This Row],[centro_costo]]="","",_xlfn.XLOOKUP(tblOrdenes[[#This Row],[centro_costo]],tblCECO[codigo],tblCECO[coordinador],"(sin catálogo)"))</f>
        <v/>
      </c>
      <c r="AA854" s="5">
        <f>IF(tblOrdenes[[#This Row],[puesto_trabajo]]="","",_xlfn.XLOOKUP(tblOrdenes[[#This Row],[puesto_trabajo]],tblPuestos[codigo],tblPuestos[especialidad],"(sin catálogo)"))</f>
        <v/>
      </c>
      <c r="AB854" s="5">
        <f>IF(tblOrdenes[[#This Row],[cod_actividad]]="","",_xlfn.XLOOKUP(tblOrdenes[[#This Row],[cod_actividad]],tblActividades[codigo],tblActividades[descripcion],"(sin catálogo)"))</f>
        <v/>
      </c>
      <c r="AC854" s="20">
        <f>IF(tblOrdenes[[#This Row],[fecha_inicio]]="","",TODAY()-tblOrdenes[[#This Row],[fecha_inicio]])</f>
        <v/>
      </c>
      <c r="AD8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4" s="5">
        <f>IF(tblOrdenes[[#This Row],[backlog_habiles]]="","",IF(tblOrdenes[[#This Row],[backlog_habiles]]&lt;0,"FUTURO",IF(tblOrdenes[[#This Row],[backlog_habiles]]&gt;p_dias_backlog_max,"BACKLOG","MES CORRIENTE")))</f>
        <v/>
      </c>
      <c r="AF854" s="5">
        <f>IF(tblOrdenes[[#This Row],[backlog_habiles]]="",FALSE,AND(tblOrdenes[[#This Row],[backlog_habiles]]&gt;p_dias_backlog_min,tblOrdenes[[#This Row],[backlog_habiles]]&lt;=p_dias_backlog_max))</f>
        <v/>
      </c>
      <c r="AG854" s="4" t="n"/>
      <c r="AH8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4" s="18">
        <f>IF(tblOrdenes[[#This Row],[orden]]="","",_xlfn.XLOOKUP(tblOrdenes[[#This Row],[id_operacion]],tblEjecucion[id_operacion],tblEjecucion[precio],0))</f>
        <v/>
      </c>
      <c r="AL854" s="18">
        <f>IF(tblOrdenes[[#This Row],[orden]]="","",MAX(0,_xlfn.XLOOKUP(tblOrdenes[[#This Row],[id_operacion]],tblEjecucion[id_operacion],tblEjecucion[costo_plan_total],0)-tblOrdenes[[#This Row],[costo_servicio]]))</f>
        <v/>
      </c>
      <c r="AM854" s="18">
        <f>IF(tblOrdenes[[#This Row],[orden]]="","",tblOrdenes[[#This Row],[costo_servicio]]+tblOrdenes[[#This Row],[costo_materiales]])</f>
        <v/>
      </c>
      <c r="AN8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4" s="4" t="n"/>
      <c r="AP854" s="4" t="n"/>
      <c r="AQ854" s="4" t="n"/>
      <c r="AR854" s="5">
        <f>IF(tblOrdenes[[#This Row],[link_checklist]]="","",HYPERLINK(p_ruta_base_checklists&amp;tblOrdenes[[#This Row],[link_checklist]],"abrir"))</f>
        <v/>
      </c>
      <c r="AS854" s="4" t="n"/>
      <c r="AT854" s="5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22" t="n"/>
      <c r="K855" s="5" t="n"/>
      <c r="L855" s="18" t="n"/>
      <c r="M8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5">
        <f>IF(tblOrdenes[[#This Row],[fecha_inicio]]="","",YEAR(tblOrdenes[[#This Row],[fecha_inicio]]))</f>
        <v/>
      </c>
      <c r="Q855" s="5">
        <f>IF(tblOrdenes[[#This Row],[fecha_inicio]]="","",MONTH(tblOrdenes[[#This Row],[fecha_inicio]]))</f>
        <v/>
      </c>
      <c r="R855" s="5">
        <f>IF(tblOrdenes[[#This Row],[fecha_inicio]]="","",tblOrdenes[[#This Row],[anio]]&amp;"-"&amp;TEXT(tblOrdenes[[#This Row],[mes]],"00"))</f>
        <v/>
      </c>
      <c r="S855" s="5">
        <f>IF(tblOrdenes[[#This Row],[fecha_inicio]]="","",INDEX(lista_dias,WEEKDAY(tblOrdenes[[#This Row],[fecha_inicio]],2)))</f>
        <v/>
      </c>
      <c r="T8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5" s="5">
        <f>IF(tblOrdenes[[#This Row],[tipo_ot]]="","",_xlfn.XLOOKUP(tblOrdenes[[#This Row],[tipo_ot]],tblTiposOT[codigo],tblTiposOT[clasificacion],"sin_clasificar"))</f>
        <v/>
      </c>
      <c r="V8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5" s="5">
        <f>IF(tblOrdenes[[#This Row],[centro_costo]]="","",_xlfn.XLOOKUP(tblOrdenes[[#This Row],[centro_costo]],tblCECO[codigo],tblCECO[linea],"(sin catálogo)"))</f>
        <v/>
      </c>
      <c r="X855" s="5">
        <f>IF(tblOrdenes[[#This Row],[centro_costo]]="","",_xlfn.XLOOKUP(tblOrdenes[[#This Row],[centro_costo]],tblCECO[codigo],tblCECO[area],"(sin catálogo)"))</f>
        <v/>
      </c>
      <c r="Y8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5" s="5">
        <f>IF(tblOrdenes[[#This Row],[centro_costo]]="","",_xlfn.XLOOKUP(tblOrdenes[[#This Row],[centro_costo]],tblCECO[codigo],tblCECO[coordinador],"(sin catálogo)"))</f>
        <v/>
      </c>
      <c r="AA855" s="5">
        <f>IF(tblOrdenes[[#This Row],[puesto_trabajo]]="","",_xlfn.XLOOKUP(tblOrdenes[[#This Row],[puesto_trabajo]],tblPuestos[codigo],tblPuestos[especialidad],"(sin catálogo)"))</f>
        <v/>
      </c>
      <c r="AB855" s="5">
        <f>IF(tblOrdenes[[#This Row],[cod_actividad]]="","",_xlfn.XLOOKUP(tblOrdenes[[#This Row],[cod_actividad]],tblActividades[codigo],tblActividades[descripcion],"(sin catálogo)"))</f>
        <v/>
      </c>
      <c r="AC855" s="20">
        <f>IF(tblOrdenes[[#This Row],[fecha_inicio]]="","",TODAY()-tblOrdenes[[#This Row],[fecha_inicio]])</f>
        <v/>
      </c>
      <c r="AD8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5" s="5">
        <f>IF(tblOrdenes[[#This Row],[backlog_habiles]]="","",IF(tblOrdenes[[#This Row],[backlog_habiles]]&lt;0,"FUTURO",IF(tblOrdenes[[#This Row],[backlog_habiles]]&gt;p_dias_backlog_max,"BACKLOG","MES CORRIENTE")))</f>
        <v/>
      </c>
      <c r="AF855" s="5">
        <f>IF(tblOrdenes[[#This Row],[backlog_habiles]]="",FALSE,AND(tblOrdenes[[#This Row],[backlog_habiles]]&gt;p_dias_backlog_min,tblOrdenes[[#This Row],[backlog_habiles]]&lt;=p_dias_backlog_max))</f>
        <v/>
      </c>
      <c r="AG855" s="4" t="n"/>
      <c r="AH8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5" s="18">
        <f>IF(tblOrdenes[[#This Row],[orden]]="","",_xlfn.XLOOKUP(tblOrdenes[[#This Row],[id_operacion]],tblEjecucion[id_operacion],tblEjecucion[precio],0))</f>
        <v/>
      </c>
      <c r="AL855" s="18">
        <f>IF(tblOrdenes[[#This Row],[orden]]="","",MAX(0,_xlfn.XLOOKUP(tblOrdenes[[#This Row],[id_operacion]],tblEjecucion[id_operacion],tblEjecucion[costo_plan_total],0)-tblOrdenes[[#This Row],[costo_servicio]]))</f>
        <v/>
      </c>
      <c r="AM855" s="18">
        <f>IF(tblOrdenes[[#This Row],[orden]]="","",tblOrdenes[[#This Row],[costo_servicio]]+tblOrdenes[[#This Row],[costo_materiales]])</f>
        <v/>
      </c>
      <c r="AN8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5" s="4" t="n"/>
      <c r="AP855" s="4" t="n"/>
      <c r="AQ855" s="4" t="n"/>
      <c r="AR855" s="5">
        <f>IF(tblOrdenes[[#This Row],[link_checklist]]="","",HYPERLINK(p_ruta_base_checklists&amp;tblOrdenes[[#This Row],[link_checklist]],"abrir"))</f>
        <v/>
      </c>
      <c r="AS855" s="4" t="n"/>
      <c r="AT855" s="5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22" t="n"/>
      <c r="K856" s="5" t="n"/>
      <c r="L856" s="18" t="n"/>
      <c r="M8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5">
        <f>IF(tblOrdenes[[#This Row],[fecha_inicio]]="","",YEAR(tblOrdenes[[#This Row],[fecha_inicio]]))</f>
        <v/>
      </c>
      <c r="Q856" s="5">
        <f>IF(tblOrdenes[[#This Row],[fecha_inicio]]="","",MONTH(tblOrdenes[[#This Row],[fecha_inicio]]))</f>
        <v/>
      </c>
      <c r="R856" s="5">
        <f>IF(tblOrdenes[[#This Row],[fecha_inicio]]="","",tblOrdenes[[#This Row],[anio]]&amp;"-"&amp;TEXT(tblOrdenes[[#This Row],[mes]],"00"))</f>
        <v/>
      </c>
      <c r="S856" s="5">
        <f>IF(tblOrdenes[[#This Row],[fecha_inicio]]="","",INDEX(lista_dias,WEEKDAY(tblOrdenes[[#This Row],[fecha_inicio]],2)))</f>
        <v/>
      </c>
      <c r="T8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6" s="5">
        <f>IF(tblOrdenes[[#This Row],[tipo_ot]]="","",_xlfn.XLOOKUP(tblOrdenes[[#This Row],[tipo_ot]],tblTiposOT[codigo],tblTiposOT[clasificacion],"sin_clasificar"))</f>
        <v/>
      </c>
      <c r="V8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6" s="5">
        <f>IF(tblOrdenes[[#This Row],[centro_costo]]="","",_xlfn.XLOOKUP(tblOrdenes[[#This Row],[centro_costo]],tblCECO[codigo],tblCECO[linea],"(sin catálogo)"))</f>
        <v/>
      </c>
      <c r="X856" s="5">
        <f>IF(tblOrdenes[[#This Row],[centro_costo]]="","",_xlfn.XLOOKUP(tblOrdenes[[#This Row],[centro_costo]],tblCECO[codigo],tblCECO[area],"(sin catálogo)"))</f>
        <v/>
      </c>
      <c r="Y8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6" s="5">
        <f>IF(tblOrdenes[[#This Row],[centro_costo]]="","",_xlfn.XLOOKUP(tblOrdenes[[#This Row],[centro_costo]],tblCECO[codigo],tblCECO[coordinador],"(sin catálogo)"))</f>
        <v/>
      </c>
      <c r="AA856" s="5">
        <f>IF(tblOrdenes[[#This Row],[puesto_trabajo]]="","",_xlfn.XLOOKUP(tblOrdenes[[#This Row],[puesto_trabajo]],tblPuestos[codigo],tblPuestos[especialidad],"(sin catálogo)"))</f>
        <v/>
      </c>
      <c r="AB856" s="5">
        <f>IF(tblOrdenes[[#This Row],[cod_actividad]]="","",_xlfn.XLOOKUP(tblOrdenes[[#This Row],[cod_actividad]],tblActividades[codigo],tblActividades[descripcion],"(sin catálogo)"))</f>
        <v/>
      </c>
      <c r="AC856" s="20">
        <f>IF(tblOrdenes[[#This Row],[fecha_inicio]]="","",TODAY()-tblOrdenes[[#This Row],[fecha_inicio]])</f>
        <v/>
      </c>
      <c r="AD8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6" s="5">
        <f>IF(tblOrdenes[[#This Row],[backlog_habiles]]="","",IF(tblOrdenes[[#This Row],[backlog_habiles]]&lt;0,"FUTURO",IF(tblOrdenes[[#This Row],[backlog_habiles]]&gt;p_dias_backlog_max,"BACKLOG","MES CORRIENTE")))</f>
        <v/>
      </c>
      <c r="AF856" s="5">
        <f>IF(tblOrdenes[[#This Row],[backlog_habiles]]="",FALSE,AND(tblOrdenes[[#This Row],[backlog_habiles]]&gt;p_dias_backlog_min,tblOrdenes[[#This Row],[backlog_habiles]]&lt;=p_dias_backlog_max))</f>
        <v/>
      </c>
      <c r="AG856" s="4" t="n"/>
      <c r="AH8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6" s="18">
        <f>IF(tblOrdenes[[#This Row],[orden]]="","",_xlfn.XLOOKUP(tblOrdenes[[#This Row],[id_operacion]],tblEjecucion[id_operacion],tblEjecucion[precio],0))</f>
        <v/>
      </c>
      <c r="AL856" s="18">
        <f>IF(tblOrdenes[[#This Row],[orden]]="","",MAX(0,_xlfn.XLOOKUP(tblOrdenes[[#This Row],[id_operacion]],tblEjecucion[id_operacion],tblEjecucion[costo_plan_total],0)-tblOrdenes[[#This Row],[costo_servicio]]))</f>
        <v/>
      </c>
      <c r="AM856" s="18">
        <f>IF(tblOrdenes[[#This Row],[orden]]="","",tblOrdenes[[#This Row],[costo_servicio]]+tblOrdenes[[#This Row],[costo_materiales]])</f>
        <v/>
      </c>
      <c r="AN8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6" s="4" t="n"/>
      <c r="AP856" s="4" t="n"/>
      <c r="AQ856" s="4" t="n"/>
      <c r="AR856" s="5">
        <f>IF(tblOrdenes[[#This Row],[link_checklist]]="","",HYPERLINK(p_ruta_base_checklists&amp;tblOrdenes[[#This Row],[link_checklist]],"abrir"))</f>
        <v/>
      </c>
      <c r="AS856" s="4" t="n"/>
      <c r="AT856" s="5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22" t="n"/>
      <c r="K857" s="5" t="n"/>
      <c r="L857" s="18" t="n"/>
      <c r="M8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5">
        <f>IF(tblOrdenes[[#This Row],[fecha_inicio]]="","",YEAR(tblOrdenes[[#This Row],[fecha_inicio]]))</f>
        <v/>
      </c>
      <c r="Q857" s="5">
        <f>IF(tblOrdenes[[#This Row],[fecha_inicio]]="","",MONTH(tblOrdenes[[#This Row],[fecha_inicio]]))</f>
        <v/>
      </c>
      <c r="R857" s="5">
        <f>IF(tblOrdenes[[#This Row],[fecha_inicio]]="","",tblOrdenes[[#This Row],[anio]]&amp;"-"&amp;TEXT(tblOrdenes[[#This Row],[mes]],"00"))</f>
        <v/>
      </c>
      <c r="S857" s="5">
        <f>IF(tblOrdenes[[#This Row],[fecha_inicio]]="","",INDEX(lista_dias,WEEKDAY(tblOrdenes[[#This Row],[fecha_inicio]],2)))</f>
        <v/>
      </c>
      <c r="T8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7" s="5">
        <f>IF(tblOrdenes[[#This Row],[tipo_ot]]="","",_xlfn.XLOOKUP(tblOrdenes[[#This Row],[tipo_ot]],tblTiposOT[codigo],tblTiposOT[clasificacion],"sin_clasificar"))</f>
        <v/>
      </c>
      <c r="V8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7" s="5">
        <f>IF(tblOrdenes[[#This Row],[centro_costo]]="","",_xlfn.XLOOKUP(tblOrdenes[[#This Row],[centro_costo]],tblCECO[codigo],tblCECO[linea],"(sin catálogo)"))</f>
        <v/>
      </c>
      <c r="X857" s="5">
        <f>IF(tblOrdenes[[#This Row],[centro_costo]]="","",_xlfn.XLOOKUP(tblOrdenes[[#This Row],[centro_costo]],tblCECO[codigo],tblCECO[area],"(sin catálogo)"))</f>
        <v/>
      </c>
      <c r="Y8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7" s="5">
        <f>IF(tblOrdenes[[#This Row],[centro_costo]]="","",_xlfn.XLOOKUP(tblOrdenes[[#This Row],[centro_costo]],tblCECO[codigo],tblCECO[coordinador],"(sin catálogo)"))</f>
        <v/>
      </c>
      <c r="AA857" s="5">
        <f>IF(tblOrdenes[[#This Row],[puesto_trabajo]]="","",_xlfn.XLOOKUP(tblOrdenes[[#This Row],[puesto_trabajo]],tblPuestos[codigo],tblPuestos[especialidad],"(sin catálogo)"))</f>
        <v/>
      </c>
      <c r="AB857" s="5">
        <f>IF(tblOrdenes[[#This Row],[cod_actividad]]="","",_xlfn.XLOOKUP(tblOrdenes[[#This Row],[cod_actividad]],tblActividades[codigo],tblActividades[descripcion],"(sin catálogo)"))</f>
        <v/>
      </c>
      <c r="AC857" s="20">
        <f>IF(tblOrdenes[[#This Row],[fecha_inicio]]="","",TODAY()-tblOrdenes[[#This Row],[fecha_inicio]])</f>
        <v/>
      </c>
      <c r="AD8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7" s="5">
        <f>IF(tblOrdenes[[#This Row],[backlog_habiles]]="","",IF(tblOrdenes[[#This Row],[backlog_habiles]]&lt;0,"FUTURO",IF(tblOrdenes[[#This Row],[backlog_habiles]]&gt;p_dias_backlog_max,"BACKLOG","MES CORRIENTE")))</f>
        <v/>
      </c>
      <c r="AF857" s="5">
        <f>IF(tblOrdenes[[#This Row],[backlog_habiles]]="",FALSE,AND(tblOrdenes[[#This Row],[backlog_habiles]]&gt;p_dias_backlog_min,tblOrdenes[[#This Row],[backlog_habiles]]&lt;=p_dias_backlog_max))</f>
        <v/>
      </c>
      <c r="AG857" s="4" t="n"/>
      <c r="AH8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7" s="18">
        <f>IF(tblOrdenes[[#This Row],[orden]]="","",_xlfn.XLOOKUP(tblOrdenes[[#This Row],[id_operacion]],tblEjecucion[id_operacion],tblEjecucion[precio],0))</f>
        <v/>
      </c>
      <c r="AL857" s="18">
        <f>IF(tblOrdenes[[#This Row],[orden]]="","",MAX(0,_xlfn.XLOOKUP(tblOrdenes[[#This Row],[id_operacion]],tblEjecucion[id_operacion],tblEjecucion[costo_plan_total],0)-tblOrdenes[[#This Row],[costo_servicio]]))</f>
        <v/>
      </c>
      <c r="AM857" s="18">
        <f>IF(tblOrdenes[[#This Row],[orden]]="","",tblOrdenes[[#This Row],[costo_servicio]]+tblOrdenes[[#This Row],[costo_materiales]])</f>
        <v/>
      </c>
      <c r="AN8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7" s="4" t="n"/>
      <c r="AP857" s="4" t="n"/>
      <c r="AQ857" s="4" t="n"/>
      <c r="AR857" s="5">
        <f>IF(tblOrdenes[[#This Row],[link_checklist]]="","",HYPERLINK(p_ruta_base_checklists&amp;tblOrdenes[[#This Row],[link_checklist]],"abrir"))</f>
        <v/>
      </c>
      <c r="AS857" s="4" t="n"/>
      <c r="AT857" s="5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22" t="n"/>
      <c r="K858" s="5" t="n"/>
      <c r="L858" s="18" t="n"/>
      <c r="M8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5">
        <f>IF(tblOrdenes[[#This Row],[fecha_inicio]]="","",YEAR(tblOrdenes[[#This Row],[fecha_inicio]]))</f>
        <v/>
      </c>
      <c r="Q858" s="5">
        <f>IF(tblOrdenes[[#This Row],[fecha_inicio]]="","",MONTH(tblOrdenes[[#This Row],[fecha_inicio]]))</f>
        <v/>
      </c>
      <c r="R858" s="5">
        <f>IF(tblOrdenes[[#This Row],[fecha_inicio]]="","",tblOrdenes[[#This Row],[anio]]&amp;"-"&amp;TEXT(tblOrdenes[[#This Row],[mes]],"00"))</f>
        <v/>
      </c>
      <c r="S858" s="5">
        <f>IF(tblOrdenes[[#This Row],[fecha_inicio]]="","",INDEX(lista_dias,WEEKDAY(tblOrdenes[[#This Row],[fecha_inicio]],2)))</f>
        <v/>
      </c>
      <c r="T8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8" s="5">
        <f>IF(tblOrdenes[[#This Row],[tipo_ot]]="","",_xlfn.XLOOKUP(tblOrdenes[[#This Row],[tipo_ot]],tblTiposOT[codigo],tblTiposOT[clasificacion],"sin_clasificar"))</f>
        <v/>
      </c>
      <c r="V8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8" s="5">
        <f>IF(tblOrdenes[[#This Row],[centro_costo]]="","",_xlfn.XLOOKUP(tblOrdenes[[#This Row],[centro_costo]],tblCECO[codigo],tblCECO[linea],"(sin catálogo)"))</f>
        <v/>
      </c>
      <c r="X858" s="5">
        <f>IF(tblOrdenes[[#This Row],[centro_costo]]="","",_xlfn.XLOOKUP(tblOrdenes[[#This Row],[centro_costo]],tblCECO[codigo],tblCECO[area],"(sin catálogo)"))</f>
        <v/>
      </c>
      <c r="Y8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8" s="5">
        <f>IF(tblOrdenes[[#This Row],[centro_costo]]="","",_xlfn.XLOOKUP(tblOrdenes[[#This Row],[centro_costo]],tblCECO[codigo],tblCECO[coordinador],"(sin catálogo)"))</f>
        <v/>
      </c>
      <c r="AA858" s="5">
        <f>IF(tblOrdenes[[#This Row],[puesto_trabajo]]="","",_xlfn.XLOOKUP(tblOrdenes[[#This Row],[puesto_trabajo]],tblPuestos[codigo],tblPuestos[especialidad],"(sin catálogo)"))</f>
        <v/>
      </c>
      <c r="AB858" s="5">
        <f>IF(tblOrdenes[[#This Row],[cod_actividad]]="","",_xlfn.XLOOKUP(tblOrdenes[[#This Row],[cod_actividad]],tblActividades[codigo],tblActividades[descripcion],"(sin catálogo)"))</f>
        <v/>
      </c>
      <c r="AC858" s="20">
        <f>IF(tblOrdenes[[#This Row],[fecha_inicio]]="","",TODAY()-tblOrdenes[[#This Row],[fecha_inicio]])</f>
        <v/>
      </c>
      <c r="AD8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8" s="5">
        <f>IF(tblOrdenes[[#This Row],[backlog_habiles]]="","",IF(tblOrdenes[[#This Row],[backlog_habiles]]&lt;0,"FUTURO",IF(tblOrdenes[[#This Row],[backlog_habiles]]&gt;p_dias_backlog_max,"BACKLOG","MES CORRIENTE")))</f>
        <v/>
      </c>
      <c r="AF858" s="5">
        <f>IF(tblOrdenes[[#This Row],[backlog_habiles]]="",FALSE,AND(tblOrdenes[[#This Row],[backlog_habiles]]&gt;p_dias_backlog_min,tblOrdenes[[#This Row],[backlog_habiles]]&lt;=p_dias_backlog_max))</f>
        <v/>
      </c>
      <c r="AG858" s="4" t="n"/>
      <c r="AH8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8" s="18">
        <f>IF(tblOrdenes[[#This Row],[orden]]="","",_xlfn.XLOOKUP(tblOrdenes[[#This Row],[id_operacion]],tblEjecucion[id_operacion],tblEjecucion[precio],0))</f>
        <v/>
      </c>
      <c r="AL858" s="18">
        <f>IF(tblOrdenes[[#This Row],[orden]]="","",MAX(0,_xlfn.XLOOKUP(tblOrdenes[[#This Row],[id_operacion]],tblEjecucion[id_operacion],tblEjecucion[costo_plan_total],0)-tblOrdenes[[#This Row],[costo_servicio]]))</f>
        <v/>
      </c>
      <c r="AM858" s="18">
        <f>IF(tblOrdenes[[#This Row],[orden]]="","",tblOrdenes[[#This Row],[costo_servicio]]+tblOrdenes[[#This Row],[costo_materiales]])</f>
        <v/>
      </c>
      <c r="AN8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8" s="4" t="n"/>
      <c r="AP858" s="4" t="n"/>
      <c r="AQ858" s="4" t="n"/>
      <c r="AR858" s="5">
        <f>IF(tblOrdenes[[#This Row],[link_checklist]]="","",HYPERLINK(p_ruta_base_checklists&amp;tblOrdenes[[#This Row],[link_checklist]],"abrir"))</f>
        <v/>
      </c>
      <c r="AS858" s="4" t="n"/>
      <c r="AT858" s="5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22" t="n"/>
      <c r="K859" s="5" t="n"/>
      <c r="L859" s="18" t="n"/>
      <c r="M8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5">
        <f>IF(tblOrdenes[[#This Row],[fecha_inicio]]="","",YEAR(tblOrdenes[[#This Row],[fecha_inicio]]))</f>
        <v/>
      </c>
      <c r="Q859" s="5">
        <f>IF(tblOrdenes[[#This Row],[fecha_inicio]]="","",MONTH(tblOrdenes[[#This Row],[fecha_inicio]]))</f>
        <v/>
      </c>
      <c r="R859" s="5">
        <f>IF(tblOrdenes[[#This Row],[fecha_inicio]]="","",tblOrdenes[[#This Row],[anio]]&amp;"-"&amp;TEXT(tblOrdenes[[#This Row],[mes]],"00"))</f>
        <v/>
      </c>
      <c r="S859" s="5">
        <f>IF(tblOrdenes[[#This Row],[fecha_inicio]]="","",INDEX(lista_dias,WEEKDAY(tblOrdenes[[#This Row],[fecha_inicio]],2)))</f>
        <v/>
      </c>
      <c r="T8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9" s="5">
        <f>IF(tblOrdenes[[#This Row],[tipo_ot]]="","",_xlfn.XLOOKUP(tblOrdenes[[#This Row],[tipo_ot]],tblTiposOT[codigo],tblTiposOT[clasificacion],"sin_clasificar"))</f>
        <v/>
      </c>
      <c r="V8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9" s="5">
        <f>IF(tblOrdenes[[#This Row],[centro_costo]]="","",_xlfn.XLOOKUP(tblOrdenes[[#This Row],[centro_costo]],tblCECO[codigo],tblCECO[linea],"(sin catálogo)"))</f>
        <v/>
      </c>
      <c r="X859" s="5">
        <f>IF(tblOrdenes[[#This Row],[centro_costo]]="","",_xlfn.XLOOKUP(tblOrdenes[[#This Row],[centro_costo]],tblCECO[codigo],tblCECO[area],"(sin catálogo)"))</f>
        <v/>
      </c>
      <c r="Y8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59" s="5">
        <f>IF(tblOrdenes[[#This Row],[centro_costo]]="","",_xlfn.XLOOKUP(tblOrdenes[[#This Row],[centro_costo]],tblCECO[codigo],tblCECO[coordinador],"(sin catálogo)"))</f>
        <v/>
      </c>
      <c r="AA859" s="5">
        <f>IF(tblOrdenes[[#This Row],[puesto_trabajo]]="","",_xlfn.XLOOKUP(tblOrdenes[[#This Row],[puesto_trabajo]],tblPuestos[codigo],tblPuestos[especialidad],"(sin catálogo)"))</f>
        <v/>
      </c>
      <c r="AB859" s="5">
        <f>IF(tblOrdenes[[#This Row],[cod_actividad]]="","",_xlfn.XLOOKUP(tblOrdenes[[#This Row],[cod_actividad]],tblActividades[codigo],tblActividades[descripcion],"(sin catálogo)"))</f>
        <v/>
      </c>
      <c r="AC859" s="20">
        <f>IF(tblOrdenes[[#This Row],[fecha_inicio]]="","",TODAY()-tblOrdenes[[#This Row],[fecha_inicio]])</f>
        <v/>
      </c>
      <c r="AD8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59" s="5">
        <f>IF(tblOrdenes[[#This Row],[backlog_habiles]]="","",IF(tblOrdenes[[#This Row],[backlog_habiles]]&lt;0,"FUTURO",IF(tblOrdenes[[#This Row],[backlog_habiles]]&gt;p_dias_backlog_max,"BACKLOG","MES CORRIENTE")))</f>
        <v/>
      </c>
      <c r="AF859" s="5">
        <f>IF(tblOrdenes[[#This Row],[backlog_habiles]]="",FALSE,AND(tblOrdenes[[#This Row],[backlog_habiles]]&gt;p_dias_backlog_min,tblOrdenes[[#This Row],[backlog_habiles]]&lt;=p_dias_backlog_max))</f>
        <v/>
      </c>
      <c r="AG859" s="4" t="n"/>
      <c r="AH8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59" s="18">
        <f>IF(tblOrdenes[[#This Row],[orden]]="","",_xlfn.XLOOKUP(tblOrdenes[[#This Row],[id_operacion]],tblEjecucion[id_operacion],tblEjecucion[precio],0))</f>
        <v/>
      </c>
      <c r="AL859" s="18">
        <f>IF(tblOrdenes[[#This Row],[orden]]="","",MAX(0,_xlfn.XLOOKUP(tblOrdenes[[#This Row],[id_operacion]],tblEjecucion[id_operacion],tblEjecucion[costo_plan_total],0)-tblOrdenes[[#This Row],[costo_servicio]]))</f>
        <v/>
      </c>
      <c r="AM859" s="18">
        <f>IF(tblOrdenes[[#This Row],[orden]]="","",tblOrdenes[[#This Row],[costo_servicio]]+tblOrdenes[[#This Row],[costo_materiales]])</f>
        <v/>
      </c>
      <c r="AN8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59" s="4" t="n"/>
      <c r="AP859" s="4" t="n"/>
      <c r="AQ859" s="4" t="n"/>
      <c r="AR859" s="5">
        <f>IF(tblOrdenes[[#This Row],[link_checklist]]="","",HYPERLINK(p_ruta_base_checklists&amp;tblOrdenes[[#This Row],[link_checklist]],"abrir"))</f>
        <v/>
      </c>
      <c r="AS859" s="4" t="n"/>
      <c r="AT859" s="5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22" t="n"/>
      <c r="K860" s="5" t="n"/>
      <c r="L860" s="18" t="n"/>
      <c r="M8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5">
        <f>IF(tblOrdenes[[#This Row],[fecha_inicio]]="","",YEAR(tblOrdenes[[#This Row],[fecha_inicio]]))</f>
        <v/>
      </c>
      <c r="Q860" s="5">
        <f>IF(tblOrdenes[[#This Row],[fecha_inicio]]="","",MONTH(tblOrdenes[[#This Row],[fecha_inicio]]))</f>
        <v/>
      </c>
      <c r="R860" s="5">
        <f>IF(tblOrdenes[[#This Row],[fecha_inicio]]="","",tblOrdenes[[#This Row],[anio]]&amp;"-"&amp;TEXT(tblOrdenes[[#This Row],[mes]],"00"))</f>
        <v/>
      </c>
      <c r="S860" s="5">
        <f>IF(tblOrdenes[[#This Row],[fecha_inicio]]="","",INDEX(lista_dias,WEEKDAY(tblOrdenes[[#This Row],[fecha_inicio]],2)))</f>
        <v/>
      </c>
      <c r="T8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0" s="5">
        <f>IF(tblOrdenes[[#This Row],[tipo_ot]]="","",_xlfn.XLOOKUP(tblOrdenes[[#This Row],[tipo_ot]],tblTiposOT[codigo],tblTiposOT[clasificacion],"sin_clasificar"))</f>
        <v/>
      </c>
      <c r="V8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0" s="5">
        <f>IF(tblOrdenes[[#This Row],[centro_costo]]="","",_xlfn.XLOOKUP(tblOrdenes[[#This Row],[centro_costo]],tblCECO[codigo],tblCECO[linea],"(sin catálogo)"))</f>
        <v/>
      </c>
      <c r="X860" s="5">
        <f>IF(tblOrdenes[[#This Row],[centro_costo]]="","",_xlfn.XLOOKUP(tblOrdenes[[#This Row],[centro_costo]],tblCECO[codigo],tblCECO[area],"(sin catálogo)"))</f>
        <v/>
      </c>
      <c r="Y8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0" s="5">
        <f>IF(tblOrdenes[[#This Row],[centro_costo]]="","",_xlfn.XLOOKUP(tblOrdenes[[#This Row],[centro_costo]],tblCECO[codigo],tblCECO[coordinador],"(sin catálogo)"))</f>
        <v/>
      </c>
      <c r="AA860" s="5">
        <f>IF(tblOrdenes[[#This Row],[puesto_trabajo]]="","",_xlfn.XLOOKUP(tblOrdenes[[#This Row],[puesto_trabajo]],tblPuestos[codigo],tblPuestos[especialidad],"(sin catálogo)"))</f>
        <v/>
      </c>
      <c r="AB860" s="5">
        <f>IF(tblOrdenes[[#This Row],[cod_actividad]]="","",_xlfn.XLOOKUP(tblOrdenes[[#This Row],[cod_actividad]],tblActividades[codigo],tblActividades[descripcion],"(sin catálogo)"))</f>
        <v/>
      </c>
      <c r="AC860" s="20">
        <f>IF(tblOrdenes[[#This Row],[fecha_inicio]]="","",TODAY()-tblOrdenes[[#This Row],[fecha_inicio]])</f>
        <v/>
      </c>
      <c r="AD8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0" s="5">
        <f>IF(tblOrdenes[[#This Row],[backlog_habiles]]="","",IF(tblOrdenes[[#This Row],[backlog_habiles]]&lt;0,"FUTURO",IF(tblOrdenes[[#This Row],[backlog_habiles]]&gt;p_dias_backlog_max,"BACKLOG","MES CORRIENTE")))</f>
        <v/>
      </c>
      <c r="AF860" s="5">
        <f>IF(tblOrdenes[[#This Row],[backlog_habiles]]="",FALSE,AND(tblOrdenes[[#This Row],[backlog_habiles]]&gt;p_dias_backlog_min,tblOrdenes[[#This Row],[backlog_habiles]]&lt;=p_dias_backlog_max))</f>
        <v/>
      </c>
      <c r="AG860" s="4" t="n"/>
      <c r="AH8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0" s="18">
        <f>IF(tblOrdenes[[#This Row],[orden]]="","",_xlfn.XLOOKUP(tblOrdenes[[#This Row],[id_operacion]],tblEjecucion[id_operacion],tblEjecucion[precio],0))</f>
        <v/>
      </c>
      <c r="AL860" s="18">
        <f>IF(tblOrdenes[[#This Row],[orden]]="","",MAX(0,_xlfn.XLOOKUP(tblOrdenes[[#This Row],[id_operacion]],tblEjecucion[id_operacion],tblEjecucion[costo_plan_total],0)-tblOrdenes[[#This Row],[costo_servicio]]))</f>
        <v/>
      </c>
      <c r="AM860" s="18">
        <f>IF(tblOrdenes[[#This Row],[orden]]="","",tblOrdenes[[#This Row],[costo_servicio]]+tblOrdenes[[#This Row],[costo_materiales]])</f>
        <v/>
      </c>
      <c r="AN8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0" s="4" t="n"/>
      <c r="AP860" s="4" t="n"/>
      <c r="AQ860" s="4" t="n"/>
      <c r="AR860" s="5">
        <f>IF(tblOrdenes[[#This Row],[link_checklist]]="","",HYPERLINK(p_ruta_base_checklists&amp;tblOrdenes[[#This Row],[link_checklist]],"abrir"))</f>
        <v/>
      </c>
      <c r="AS860" s="4" t="n"/>
      <c r="AT860" s="5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22" t="n"/>
      <c r="K861" s="5" t="n"/>
      <c r="L861" s="18" t="n"/>
      <c r="M8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5">
        <f>IF(tblOrdenes[[#This Row],[fecha_inicio]]="","",YEAR(tblOrdenes[[#This Row],[fecha_inicio]]))</f>
        <v/>
      </c>
      <c r="Q861" s="5">
        <f>IF(tblOrdenes[[#This Row],[fecha_inicio]]="","",MONTH(tblOrdenes[[#This Row],[fecha_inicio]]))</f>
        <v/>
      </c>
      <c r="R861" s="5">
        <f>IF(tblOrdenes[[#This Row],[fecha_inicio]]="","",tblOrdenes[[#This Row],[anio]]&amp;"-"&amp;TEXT(tblOrdenes[[#This Row],[mes]],"00"))</f>
        <v/>
      </c>
      <c r="S861" s="5">
        <f>IF(tblOrdenes[[#This Row],[fecha_inicio]]="","",INDEX(lista_dias,WEEKDAY(tblOrdenes[[#This Row],[fecha_inicio]],2)))</f>
        <v/>
      </c>
      <c r="T8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1" s="5">
        <f>IF(tblOrdenes[[#This Row],[tipo_ot]]="","",_xlfn.XLOOKUP(tblOrdenes[[#This Row],[tipo_ot]],tblTiposOT[codigo],tblTiposOT[clasificacion],"sin_clasificar"))</f>
        <v/>
      </c>
      <c r="V8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1" s="5">
        <f>IF(tblOrdenes[[#This Row],[centro_costo]]="","",_xlfn.XLOOKUP(tblOrdenes[[#This Row],[centro_costo]],tblCECO[codigo],tblCECO[linea],"(sin catálogo)"))</f>
        <v/>
      </c>
      <c r="X861" s="5">
        <f>IF(tblOrdenes[[#This Row],[centro_costo]]="","",_xlfn.XLOOKUP(tblOrdenes[[#This Row],[centro_costo]],tblCECO[codigo],tblCECO[area],"(sin catálogo)"))</f>
        <v/>
      </c>
      <c r="Y8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1" s="5">
        <f>IF(tblOrdenes[[#This Row],[centro_costo]]="","",_xlfn.XLOOKUP(tblOrdenes[[#This Row],[centro_costo]],tblCECO[codigo],tblCECO[coordinador],"(sin catálogo)"))</f>
        <v/>
      </c>
      <c r="AA861" s="5">
        <f>IF(tblOrdenes[[#This Row],[puesto_trabajo]]="","",_xlfn.XLOOKUP(tblOrdenes[[#This Row],[puesto_trabajo]],tblPuestos[codigo],tblPuestos[especialidad],"(sin catálogo)"))</f>
        <v/>
      </c>
      <c r="AB861" s="5">
        <f>IF(tblOrdenes[[#This Row],[cod_actividad]]="","",_xlfn.XLOOKUP(tblOrdenes[[#This Row],[cod_actividad]],tblActividades[codigo],tblActividades[descripcion],"(sin catálogo)"))</f>
        <v/>
      </c>
      <c r="AC861" s="20">
        <f>IF(tblOrdenes[[#This Row],[fecha_inicio]]="","",TODAY()-tblOrdenes[[#This Row],[fecha_inicio]])</f>
        <v/>
      </c>
      <c r="AD8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1" s="5">
        <f>IF(tblOrdenes[[#This Row],[backlog_habiles]]="","",IF(tblOrdenes[[#This Row],[backlog_habiles]]&lt;0,"FUTURO",IF(tblOrdenes[[#This Row],[backlog_habiles]]&gt;p_dias_backlog_max,"BACKLOG","MES CORRIENTE")))</f>
        <v/>
      </c>
      <c r="AF861" s="5">
        <f>IF(tblOrdenes[[#This Row],[backlog_habiles]]="",FALSE,AND(tblOrdenes[[#This Row],[backlog_habiles]]&gt;p_dias_backlog_min,tblOrdenes[[#This Row],[backlog_habiles]]&lt;=p_dias_backlog_max))</f>
        <v/>
      </c>
      <c r="AG861" s="4" t="n"/>
      <c r="AH8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1" s="18">
        <f>IF(tblOrdenes[[#This Row],[orden]]="","",_xlfn.XLOOKUP(tblOrdenes[[#This Row],[id_operacion]],tblEjecucion[id_operacion],tblEjecucion[precio],0))</f>
        <v/>
      </c>
      <c r="AL861" s="18">
        <f>IF(tblOrdenes[[#This Row],[orden]]="","",MAX(0,_xlfn.XLOOKUP(tblOrdenes[[#This Row],[id_operacion]],tblEjecucion[id_operacion],tblEjecucion[costo_plan_total],0)-tblOrdenes[[#This Row],[costo_servicio]]))</f>
        <v/>
      </c>
      <c r="AM861" s="18">
        <f>IF(tblOrdenes[[#This Row],[orden]]="","",tblOrdenes[[#This Row],[costo_servicio]]+tblOrdenes[[#This Row],[costo_materiales]])</f>
        <v/>
      </c>
      <c r="AN8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1" s="4" t="n"/>
      <c r="AP861" s="4" t="n"/>
      <c r="AQ861" s="4" t="n"/>
      <c r="AR861" s="5">
        <f>IF(tblOrdenes[[#This Row],[link_checklist]]="","",HYPERLINK(p_ruta_base_checklists&amp;tblOrdenes[[#This Row],[link_checklist]],"abrir"))</f>
        <v/>
      </c>
      <c r="AS861" s="4" t="n"/>
      <c r="AT861" s="5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22" t="n"/>
      <c r="K862" s="5" t="n"/>
      <c r="L862" s="18" t="n"/>
      <c r="M8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5">
        <f>IF(tblOrdenes[[#This Row],[fecha_inicio]]="","",YEAR(tblOrdenes[[#This Row],[fecha_inicio]]))</f>
        <v/>
      </c>
      <c r="Q862" s="5">
        <f>IF(tblOrdenes[[#This Row],[fecha_inicio]]="","",MONTH(tblOrdenes[[#This Row],[fecha_inicio]]))</f>
        <v/>
      </c>
      <c r="R862" s="5">
        <f>IF(tblOrdenes[[#This Row],[fecha_inicio]]="","",tblOrdenes[[#This Row],[anio]]&amp;"-"&amp;TEXT(tblOrdenes[[#This Row],[mes]],"00"))</f>
        <v/>
      </c>
      <c r="S862" s="5">
        <f>IF(tblOrdenes[[#This Row],[fecha_inicio]]="","",INDEX(lista_dias,WEEKDAY(tblOrdenes[[#This Row],[fecha_inicio]],2)))</f>
        <v/>
      </c>
      <c r="T8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2" s="5">
        <f>IF(tblOrdenes[[#This Row],[tipo_ot]]="","",_xlfn.XLOOKUP(tblOrdenes[[#This Row],[tipo_ot]],tblTiposOT[codigo],tblTiposOT[clasificacion],"sin_clasificar"))</f>
        <v/>
      </c>
      <c r="V8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2" s="5">
        <f>IF(tblOrdenes[[#This Row],[centro_costo]]="","",_xlfn.XLOOKUP(tblOrdenes[[#This Row],[centro_costo]],tblCECO[codigo],tblCECO[linea],"(sin catálogo)"))</f>
        <v/>
      </c>
      <c r="X862" s="5">
        <f>IF(tblOrdenes[[#This Row],[centro_costo]]="","",_xlfn.XLOOKUP(tblOrdenes[[#This Row],[centro_costo]],tblCECO[codigo],tblCECO[area],"(sin catálogo)"))</f>
        <v/>
      </c>
      <c r="Y8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2" s="5">
        <f>IF(tblOrdenes[[#This Row],[centro_costo]]="","",_xlfn.XLOOKUP(tblOrdenes[[#This Row],[centro_costo]],tblCECO[codigo],tblCECO[coordinador],"(sin catálogo)"))</f>
        <v/>
      </c>
      <c r="AA862" s="5">
        <f>IF(tblOrdenes[[#This Row],[puesto_trabajo]]="","",_xlfn.XLOOKUP(tblOrdenes[[#This Row],[puesto_trabajo]],tblPuestos[codigo],tblPuestos[especialidad],"(sin catálogo)"))</f>
        <v/>
      </c>
      <c r="AB862" s="5">
        <f>IF(tblOrdenes[[#This Row],[cod_actividad]]="","",_xlfn.XLOOKUP(tblOrdenes[[#This Row],[cod_actividad]],tblActividades[codigo],tblActividades[descripcion],"(sin catálogo)"))</f>
        <v/>
      </c>
      <c r="AC862" s="20">
        <f>IF(tblOrdenes[[#This Row],[fecha_inicio]]="","",TODAY()-tblOrdenes[[#This Row],[fecha_inicio]])</f>
        <v/>
      </c>
      <c r="AD8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2" s="5">
        <f>IF(tblOrdenes[[#This Row],[backlog_habiles]]="","",IF(tblOrdenes[[#This Row],[backlog_habiles]]&lt;0,"FUTURO",IF(tblOrdenes[[#This Row],[backlog_habiles]]&gt;p_dias_backlog_max,"BACKLOG","MES CORRIENTE")))</f>
        <v/>
      </c>
      <c r="AF862" s="5">
        <f>IF(tblOrdenes[[#This Row],[backlog_habiles]]="",FALSE,AND(tblOrdenes[[#This Row],[backlog_habiles]]&gt;p_dias_backlog_min,tblOrdenes[[#This Row],[backlog_habiles]]&lt;=p_dias_backlog_max))</f>
        <v/>
      </c>
      <c r="AG862" s="4" t="n"/>
      <c r="AH8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2" s="18">
        <f>IF(tblOrdenes[[#This Row],[orden]]="","",_xlfn.XLOOKUP(tblOrdenes[[#This Row],[id_operacion]],tblEjecucion[id_operacion],tblEjecucion[precio],0))</f>
        <v/>
      </c>
      <c r="AL862" s="18">
        <f>IF(tblOrdenes[[#This Row],[orden]]="","",MAX(0,_xlfn.XLOOKUP(tblOrdenes[[#This Row],[id_operacion]],tblEjecucion[id_operacion],tblEjecucion[costo_plan_total],0)-tblOrdenes[[#This Row],[costo_servicio]]))</f>
        <v/>
      </c>
      <c r="AM862" s="18">
        <f>IF(tblOrdenes[[#This Row],[orden]]="","",tblOrdenes[[#This Row],[costo_servicio]]+tblOrdenes[[#This Row],[costo_materiales]])</f>
        <v/>
      </c>
      <c r="AN8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2" s="4" t="n"/>
      <c r="AP862" s="4" t="n"/>
      <c r="AQ862" s="4" t="n"/>
      <c r="AR862" s="5">
        <f>IF(tblOrdenes[[#This Row],[link_checklist]]="","",HYPERLINK(p_ruta_base_checklists&amp;tblOrdenes[[#This Row],[link_checklist]],"abrir"))</f>
        <v/>
      </c>
      <c r="AS862" s="4" t="n"/>
      <c r="AT862" s="5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22" t="n"/>
      <c r="K863" s="5" t="n"/>
      <c r="L863" s="18" t="n"/>
      <c r="M8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5">
        <f>IF(tblOrdenes[[#This Row],[fecha_inicio]]="","",YEAR(tblOrdenes[[#This Row],[fecha_inicio]]))</f>
        <v/>
      </c>
      <c r="Q863" s="5">
        <f>IF(tblOrdenes[[#This Row],[fecha_inicio]]="","",MONTH(tblOrdenes[[#This Row],[fecha_inicio]]))</f>
        <v/>
      </c>
      <c r="R863" s="5">
        <f>IF(tblOrdenes[[#This Row],[fecha_inicio]]="","",tblOrdenes[[#This Row],[anio]]&amp;"-"&amp;TEXT(tblOrdenes[[#This Row],[mes]],"00"))</f>
        <v/>
      </c>
      <c r="S863" s="5">
        <f>IF(tblOrdenes[[#This Row],[fecha_inicio]]="","",INDEX(lista_dias,WEEKDAY(tblOrdenes[[#This Row],[fecha_inicio]],2)))</f>
        <v/>
      </c>
      <c r="T8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3" s="5">
        <f>IF(tblOrdenes[[#This Row],[tipo_ot]]="","",_xlfn.XLOOKUP(tblOrdenes[[#This Row],[tipo_ot]],tblTiposOT[codigo],tblTiposOT[clasificacion],"sin_clasificar"))</f>
        <v/>
      </c>
      <c r="V8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3" s="5">
        <f>IF(tblOrdenes[[#This Row],[centro_costo]]="","",_xlfn.XLOOKUP(tblOrdenes[[#This Row],[centro_costo]],tblCECO[codigo],tblCECO[linea],"(sin catálogo)"))</f>
        <v/>
      </c>
      <c r="X863" s="5">
        <f>IF(tblOrdenes[[#This Row],[centro_costo]]="","",_xlfn.XLOOKUP(tblOrdenes[[#This Row],[centro_costo]],tblCECO[codigo],tblCECO[area],"(sin catálogo)"))</f>
        <v/>
      </c>
      <c r="Y8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3" s="5">
        <f>IF(tblOrdenes[[#This Row],[centro_costo]]="","",_xlfn.XLOOKUP(tblOrdenes[[#This Row],[centro_costo]],tblCECO[codigo],tblCECO[coordinador],"(sin catálogo)"))</f>
        <v/>
      </c>
      <c r="AA863" s="5">
        <f>IF(tblOrdenes[[#This Row],[puesto_trabajo]]="","",_xlfn.XLOOKUP(tblOrdenes[[#This Row],[puesto_trabajo]],tblPuestos[codigo],tblPuestos[especialidad],"(sin catálogo)"))</f>
        <v/>
      </c>
      <c r="AB863" s="5">
        <f>IF(tblOrdenes[[#This Row],[cod_actividad]]="","",_xlfn.XLOOKUP(tblOrdenes[[#This Row],[cod_actividad]],tblActividades[codigo],tblActividades[descripcion],"(sin catálogo)"))</f>
        <v/>
      </c>
      <c r="AC863" s="20">
        <f>IF(tblOrdenes[[#This Row],[fecha_inicio]]="","",TODAY()-tblOrdenes[[#This Row],[fecha_inicio]])</f>
        <v/>
      </c>
      <c r="AD8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3" s="5">
        <f>IF(tblOrdenes[[#This Row],[backlog_habiles]]="","",IF(tblOrdenes[[#This Row],[backlog_habiles]]&lt;0,"FUTURO",IF(tblOrdenes[[#This Row],[backlog_habiles]]&gt;p_dias_backlog_max,"BACKLOG","MES CORRIENTE")))</f>
        <v/>
      </c>
      <c r="AF863" s="5">
        <f>IF(tblOrdenes[[#This Row],[backlog_habiles]]="",FALSE,AND(tblOrdenes[[#This Row],[backlog_habiles]]&gt;p_dias_backlog_min,tblOrdenes[[#This Row],[backlog_habiles]]&lt;=p_dias_backlog_max))</f>
        <v/>
      </c>
      <c r="AG863" s="4" t="n"/>
      <c r="AH8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3" s="18">
        <f>IF(tblOrdenes[[#This Row],[orden]]="","",_xlfn.XLOOKUP(tblOrdenes[[#This Row],[id_operacion]],tblEjecucion[id_operacion],tblEjecucion[precio],0))</f>
        <v/>
      </c>
      <c r="AL863" s="18">
        <f>IF(tblOrdenes[[#This Row],[orden]]="","",MAX(0,_xlfn.XLOOKUP(tblOrdenes[[#This Row],[id_operacion]],tblEjecucion[id_operacion],tblEjecucion[costo_plan_total],0)-tblOrdenes[[#This Row],[costo_servicio]]))</f>
        <v/>
      </c>
      <c r="AM863" s="18">
        <f>IF(tblOrdenes[[#This Row],[orden]]="","",tblOrdenes[[#This Row],[costo_servicio]]+tblOrdenes[[#This Row],[costo_materiales]])</f>
        <v/>
      </c>
      <c r="AN8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3" s="4" t="n"/>
      <c r="AP863" s="4" t="n"/>
      <c r="AQ863" s="4" t="n"/>
      <c r="AR863" s="5">
        <f>IF(tblOrdenes[[#This Row],[link_checklist]]="","",HYPERLINK(p_ruta_base_checklists&amp;tblOrdenes[[#This Row],[link_checklist]],"abrir"))</f>
        <v/>
      </c>
      <c r="AS863" s="4" t="n"/>
      <c r="AT863" s="5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22" t="n"/>
      <c r="K864" s="5" t="n"/>
      <c r="L864" s="18" t="n"/>
      <c r="M8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5">
        <f>IF(tblOrdenes[[#This Row],[fecha_inicio]]="","",YEAR(tblOrdenes[[#This Row],[fecha_inicio]]))</f>
        <v/>
      </c>
      <c r="Q864" s="5">
        <f>IF(tblOrdenes[[#This Row],[fecha_inicio]]="","",MONTH(tblOrdenes[[#This Row],[fecha_inicio]]))</f>
        <v/>
      </c>
      <c r="R864" s="5">
        <f>IF(tblOrdenes[[#This Row],[fecha_inicio]]="","",tblOrdenes[[#This Row],[anio]]&amp;"-"&amp;TEXT(tblOrdenes[[#This Row],[mes]],"00"))</f>
        <v/>
      </c>
      <c r="S864" s="5">
        <f>IF(tblOrdenes[[#This Row],[fecha_inicio]]="","",INDEX(lista_dias,WEEKDAY(tblOrdenes[[#This Row],[fecha_inicio]],2)))</f>
        <v/>
      </c>
      <c r="T8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4" s="5">
        <f>IF(tblOrdenes[[#This Row],[tipo_ot]]="","",_xlfn.XLOOKUP(tblOrdenes[[#This Row],[tipo_ot]],tblTiposOT[codigo],tblTiposOT[clasificacion],"sin_clasificar"))</f>
        <v/>
      </c>
      <c r="V8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4" s="5">
        <f>IF(tblOrdenes[[#This Row],[centro_costo]]="","",_xlfn.XLOOKUP(tblOrdenes[[#This Row],[centro_costo]],tblCECO[codigo],tblCECO[linea],"(sin catálogo)"))</f>
        <v/>
      </c>
      <c r="X864" s="5">
        <f>IF(tblOrdenes[[#This Row],[centro_costo]]="","",_xlfn.XLOOKUP(tblOrdenes[[#This Row],[centro_costo]],tblCECO[codigo],tblCECO[area],"(sin catálogo)"))</f>
        <v/>
      </c>
      <c r="Y8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4" s="5">
        <f>IF(tblOrdenes[[#This Row],[centro_costo]]="","",_xlfn.XLOOKUP(tblOrdenes[[#This Row],[centro_costo]],tblCECO[codigo],tblCECO[coordinador],"(sin catálogo)"))</f>
        <v/>
      </c>
      <c r="AA864" s="5">
        <f>IF(tblOrdenes[[#This Row],[puesto_trabajo]]="","",_xlfn.XLOOKUP(tblOrdenes[[#This Row],[puesto_trabajo]],tblPuestos[codigo],tblPuestos[especialidad],"(sin catálogo)"))</f>
        <v/>
      </c>
      <c r="AB864" s="5">
        <f>IF(tblOrdenes[[#This Row],[cod_actividad]]="","",_xlfn.XLOOKUP(tblOrdenes[[#This Row],[cod_actividad]],tblActividades[codigo],tblActividades[descripcion],"(sin catálogo)"))</f>
        <v/>
      </c>
      <c r="AC864" s="20">
        <f>IF(tblOrdenes[[#This Row],[fecha_inicio]]="","",TODAY()-tblOrdenes[[#This Row],[fecha_inicio]])</f>
        <v/>
      </c>
      <c r="AD8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4" s="5">
        <f>IF(tblOrdenes[[#This Row],[backlog_habiles]]="","",IF(tblOrdenes[[#This Row],[backlog_habiles]]&lt;0,"FUTURO",IF(tblOrdenes[[#This Row],[backlog_habiles]]&gt;p_dias_backlog_max,"BACKLOG","MES CORRIENTE")))</f>
        <v/>
      </c>
      <c r="AF864" s="5">
        <f>IF(tblOrdenes[[#This Row],[backlog_habiles]]="",FALSE,AND(tblOrdenes[[#This Row],[backlog_habiles]]&gt;p_dias_backlog_min,tblOrdenes[[#This Row],[backlog_habiles]]&lt;=p_dias_backlog_max))</f>
        <v/>
      </c>
      <c r="AG864" s="4" t="n"/>
      <c r="AH8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4" s="18">
        <f>IF(tblOrdenes[[#This Row],[orden]]="","",_xlfn.XLOOKUP(tblOrdenes[[#This Row],[id_operacion]],tblEjecucion[id_operacion],tblEjecucion[precio],0))</f>
        <v/>
      </c>
      <c r="AL864" s="18">
        <f>IF(tblOrdenes[[#This Row],[orden]]="","",MAX(0,_xlfn.XLOOKUP(tblOrdenes[[#This Row],[id_operacion]],tblEjecucion[id_operacion],tblEjecucion[costo_plan_total],0)-tblOrdenes[[#This Row],[costo_servicio]]))</f>
        <v/>
      </c>
      <c r="AM864" s="18">
        <f>IF(tblOrdenes[[#This Row],[orden]]="","",tblOrdenes[[#This Row],[costo_servicio]]+tblOrdenes[[#This Row],[costo_materiales]])</f>
        <v/>
      </c>
      <c r="AN8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4" s="4" t="n"/>
      <c r="AP864" s="4" t="n"/>
      <c r="AQ864" s="4" t="n"/>
      <c r="AR864" s="5">
        <f>IF(tblOrdenes[[#This Row],[link_checklist]]="","",HYPERLINK(p_ruta_base_checklists&amp;tblOrdenes[[#This Row],[link_checklist]],"abrir"))</f>
        <v/>
      </c>
      <c r="AS864" s="4" t="n"/>
      <c r="AT864" s="5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22" t="n"/>
      <c r="K865" s="5" t="n"/>
      <c r="L865" s="18" t="n"/>
      <c r="M8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5">
        <f>IF(tblOrdenes[[#This Row],[fecha_inicio]]="","",YEAR(tblOrdenes[[#This Row],[fecha_inicio]]))</f>
        <v/>
      </c>
      <c r="Q865" s="5">
        <f>IF(tblOrdenes[[#This Row],[fecha_inicio]]="","",MONTH(tblOrdenes[[#This Row],[fecha_inicio]]))</f>
        <v/>
      </c>
      <c r="R865" s="5">
        <f>IF(tblOrdenes[[#This Row],[fecha_inicio]]="","",tblOrdenes[[#This Row],[anio]]&amp;"-"&amp;TEXT(tblOrdenes[[#This Row],[mes]],"00"))</f>
        <v/>
      </c>
      <c r="S865" s="5">
        <f>IF(tblOrdenes[[#This Row],[fecha_inicio]]="","",INDEX(lista_dias,WEEKDAY(tblOrdenes[[#This Row],[fecha_inicio]],2)))</f>
        <v/>
      </c>
      <c r="T8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5" s="5">
        <f>IF(tblOrdenes[[#This Row],[tipo_ot]]="","",_xlfn.XLOOKUP(tblOrdenes[[#This Row],[tipo_ot]],tblTiposOT[codigo],tblTiposOT[clasificacion],"sin_clasificar"))</f>
        <v/>
      </c>
      <c r="V8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5" s="5">
        <f>IF(tblOrdenes[[#This Row],[centro_costo]]="","",_xlfn.XLOOKUP(tblOrdenes[[#This Row],[centro_costo]],tblCECO[codigo],tblCECO[linea],"(sin catálogo)"))</f>
        <v/>
      </c>
      <c r="X865" s="5">
        <f>IF(tblOrdenes[[#This Row],[centro_costo]]="","",_xlfn.XLOOKUP(tblOrdenes[[#This Row],[centro_costo]],tblCECO[codigo],tblCECO[area],"(sin catálogo)"))</f>
        <v/>
      </c>
      <c r="Y8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5" s="5">
        <f>IF(tblOrdenes[[#This Row],[centro_costo]]="","",_xlfn.XLOOKUP(tblOrdenes[[#This Row],[centro_costo]],tblCECO[codigo],tblCECO[coordinador],"(sin catálogo)"))</f>
        <v/>
      </c>
      <c r="AA865" s="5">
        <f>IF(tblOrdenes[[#This Row],[puesto_trabajo]]="","",_xlfn.XLOOKUP(tblOrdenes[[#This Row],[puesto_trabajo]],tblPuestos[codigo],tblPuestos[especialidad],"(sin catálogo)"))</f>
        <v/>
      </c>
      <c r="AB865" s="5">
        <f>IF(tblOrdenes[[#This Row],[cod_actividad]]="","",_xlfn.XLOOKUP(tblOrdenes[[#This Row],[cod_actividad]],tblActividades[codigo],tblActividades[descripcion],"(sin catálogo)"))</f>
        <v/>
      </c>
      <c r="AC865" s="20">
        <f>IF(tblOrdenes[[#This Row],[fecha_inicio]]="","",TODAY()-tblOrdenes[[#This Row],[fecha_inicio]])</f>
        <v/>
      </c>
      <c r="AD8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5" s="5">
        <f>IF(tblOrdenes[[#This Row],[backlog_habiles]]="","",IF(tblOrdenes[[#This Row],[backlog_habiles]]&lt;0,"FUTURO",IF(tblOrdenes[[#This Row],[backlog_habiles]]&gt;p_dias_backlog_max,"BACKLOG","MES CORRIENTE")))</f>
        <v/>
      </c>
      <c r="AF865" s="5">
        <f>IF(tblOrdenes[[#This Row],[backlog_habiles]]="",FALSE,AND(tblOrdenes[[#This Row],[backlog_habiles]]&gt;p_dias_backlog_min,tblOrdenes[[#This Row],[backlog_habiles]]&lt;=p_dias_backlog_max))</f>
        <v/>
      </c>
      <c r="AG865" s="4" t="n"/>
      <c r="AH8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5" s="18">
        <f>IF(tblOrdenes[[#This Row],[orden]]="","",_xlfn.XLOOKUP(tblOrdenes[[#This Row],[id_operacion]],tblEjecucion[id_operacion],tblEjecucion[precio],0))</f>
        <v/>
      </c>
      <c r="AL865" s="18">
        <f>IF(tblOrdenes[[#This Row],[orden]]="","",MAX(0,_xlfn.XLOOKUP(tblOrdenes[[#This Row],[id_operacion]],tblEjecucion[id_operacion],tblEjecucion[costo_plan_total],0)-tblOrdenes[[#This Row],[costo_servicio]]))</f>
        <v/>
      </c>
      <c r="AM865" s="18">
        <f>IF(tblOrdenes[[#This Row],[orden]]="","",tblOrdenes[[#This Row],[costo_servicio]]+tblOrdenes[[#This Row],[costo_materiales]])</f>
        <v/>
      </c>
      <c r="AN8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5" s="4" t="n"/>
      <c r="AP865" s="4" t="n"/>
      <c r="AQ865" s="4" t="n"/>
      <c r="AR865" s="5">
        <f>IF(tblOrdenes[[#This Row],[link_checklist]]="","",HYPERLINK(p_ruta_base_checklists&amp;tblOrdenes[[#This Row],[link_checklist]],"abrir"))</f>
        <v/>
      </c>
      <c r="AS865" s="4" t="n"/>
      <c r="AT865" s="5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22" t="n"/>
      <c r="K866" s="5" t="n"/>
      <c r="L866" s="18" t="n"/>
      <c r="M8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5">
        <f>IF(tblOrdenes[[#This Row],[fecha_inicio]]="","",YEAR(tblOrdenes[[#This Row],[fecha_inicio]]))</f>
        <v/>
      </c>
      <c r="Q866" s="5">
        <f>IF(tblOrdenes[[#This Row],[fecha_inicio]]="","",MONTH(tblOrdenes[[#This Row],[fecha_inicio]]))</f>
        <v/>
      </c>
      <c r="R866" s="5">
        <f>IF(tblOrdenes[[#This Row],[fecha_inicio]]="","",tblOrdenes[[#This Row],[anio]]&amp;"-"&amp;TEXT(tblOrdenes[[#This Row],[mes]],"00"))</f>
        <v/>
      </c>
      <c r="S866" s="5">
        <f>IF(tblOrdenes[[#This Row],[fecha_inicio]]="","",INDEX(lista_dias,WEEKDAY(tblOrdenes[[#This Row],[fecha_inicio]],2)))</f>
        <v/>
      </c>
      <c r="T8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6" s="5">
        <f>IF(tblOrdenes[[#This Row],[tipo_ot]]="","",_xlfn.XLOOKUP(tblOrdenes[[#This Row],[tipo_ot]],tblTiposOT[codigo],tblTiposOT[clasificacion],"sin_clasificar"))</f>
        <v/>
      </c>
      <c r="V8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6" s="5">
        <f>IF(tblOrdenes[[#This Row],[centro_costo]]="","",_xlfn.XLOOKUP(tblOrdenes[[#This Row],[centro_costo]],tblCECO[codigo],tblCECO[linea],"(sin catálogo)"))</f>
        <v/>
      </c>
      <c r="X866" s="5">
        <f>IF(tblOrdenes[[#This Row],[centro_costo]]="","",_xlfn.XLOOKUP(tblOrdenes[[#This Row],[centro_costo]],tblCECO[codigo],tblCECO[area],"(sin catálogo)"))</f>
        <v/>
      </c>
      <c r="Y8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6" s="5">
        <f>IF(tblOrdenes[[#This Row],[centro_costo]]="","",_xlfn.XLOOKUP(tblOrdenes[[#This Row],[centro_costo]],tblCECO[codigo],tblCECO[coordinador],"(sin catálogo)"))</f>
        <v/>
      </c>
      <c r="AA866" s="5">
        <f>IF(tblOrdenes[[#This Row],[puesto_trabajo]]="","",_xlfn.XLOOKUP(tblOrdenes[[#This Row],[puesto_trabajo]],tblPuestos[codigo],tblPuestos[especialidad],"(sin catálogo)"))</f>
        <v/>
      </c>
      <c r="AB866" s="5">
        <f>IF(tblOrdenes[[#This Row],[cod_actividad]]="","",_xlfn.XLOOKUP(tblOrdenes[[#This Row],[cod_actividad]],tblActividades[codigo],tblActividades[descripcion],"(sin catálogo)"))</f>
        <v/>
      </c>
      <c r="AC866" s="20">
        <f>IF(tblOrdenes[[#This Row],[fecha_inicio]]="","",TODAY()-tblOrdenes[[#This Row],[fecha_inicio]])</f>
        <v/>
      </c>
      <c r="AD8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6" s="5">
        <f>IF(tblOrdenes[[#This Row],[backlog_habiles]]="","",IF(tblOrdenes[[#This Row],[backlog_habiles]]&lt;0,"FUTURO",IF(tblOrdenes[[#This Row],[backlog_habiles]]&gt;p_dias_backlog_max,"BACKLOG","MES CORRIENTE")))</f>
        <v/>
      </c>
      <c r="AF866" s="5">
        <f>IF(tblOrdenes[[#This Row],[backlog_habiles]]="",FALSE,AND(tblOrdenes[[#This Row],[backlog_habiles]]&gt;p_dias_backlog_min,tblOrdenes[[#This Row],[backlog_habiles]]&lt;=p_dias_backlog_max))</f>
        <v/>
      </c>
      <c r="AG866" s="4" t="n"/>
      <c r="AH8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6" s="18">
        <f>IF(tblOrdenes[[#This Row],[orden]]="","",_xlfn.XLOOKUP(tblOrdenes[[#This Row],[id_operacion]],tblEjecucion[id_operacion],tblEjecucion[precio],0))</f>
        <v/>
      </c>
      <c r="AL866" s="18">
        <f>IF(tblOrdenes[[#This Row],[orden]]="","",MAX(0,_xlfn.XLOOKUP(tblOrdenes[[#This Row],[id_operacion]],tblEjecucion[id_operacion],tblEjecucion[costo_plan_total],0)-tblOrdenes[[#This Row],[costo_servicio]]))</f>
        <v/>
      </c>
      <c r="AM866" s="18">
        <f>IF(tblOrdenes[[#This Row],[orden]]="","",tblOrdenes[[#This Row],[costo_servicio]]+tblOrdenes[[#This Row],[costo_materiales]])</f>
        <v/>
      </c>
      <c r="AN8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6" s="4" t="n"/>
      <c r="AP866" s="4" t="n"/>
      <c r="AQ866" s="4" t="n"/>
      <c r="AR866" s="5">
        <f>IF(tblOrdenes[[#This Row],[link_checklist]]="","",HYPERLINK(p_ruta_base_checklists&amp;tblOrdenes[[#This Row],[link_checklist]],"abrir"))</f>
        <v/>
      </c>
      <c r="AS866" s="4" t="n"/>
      <c r="AT866" s="5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22" t="n"/>
      <c r="K867" s="5" t="n"/>
      <c r="L867" s="18" t="n"/>
      <c r="M8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5">
        <f>IF(tblOrdenes[[#This Row],[fecha_inicio]]="","",YEAR(tblOrdenes[[#This Row],[fecha_inicio]]))</f>
        <v/>
      </c>
      <c r="Q867" s="5">
        <f>IF(tblOrdenes[[#This Row],[fecha_inicio]]="","",MONTH(tblOrdenes[[#This Row],[fecha_inicio]]))</f>
        <v/>
      </c>
      <c r="R867" s="5">
        <f>IF(tblOrdenes[[#This Row],[fecha_inicio]]="","",tblOrdenes[[#This Row],[anio]]&amp;"-"&amp;TEXT(tblOrdenes[[#This Row],[mes]],"00"))</f>
        <v/>
      </c>
      <c r="S867" s="5">
        <f>IF(tblOrdenes[[#This Row],[fecha_inicio]]="","",INDEX(lista_dias,WEEKDAY(tblOrdenes[[#This Row],[fecha_inicio]],2)))</f>
        <v/>
      </c>
      <c r="T8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7" s="5">
        <f>IF(tblOrdenes[[#This Row],[tipo_ot]]="","",_xlfn.XLOOKUP(tblOrdenes[[#This Row],[tipo_ot]],tblTiposOT[codigo],tblTiposOT[clasificacion],"sin_clasificar"))</f>
        <v/>
      </c>
      <c r="V8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7" s="5">
        <f>IF(tblOrdenes[[#This Row],[centro_costo]]="","",_xlfn.XLOOKUP(tblOrdenes[[#This Row],[centro_costo]],tblCECO[codigo],tblCECO[linea],"(sin catálogo)"))</f>
        <v/>
      </c>
      <c r="X867" s="5">
        <f>IF(tblOrdenes[[#This Row],[centro_costo]]="","",_xlfn.XLOOKUP(tblOrdenes[[#This Row],[centro_costo]],tblCECO[codigo],tblCECO[area],"(sin catálogo)"))</f>
        <v/>
      </c>
      <c r="Y8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7" s="5">
        <f>IF(tblOrdenes[[#This Row],[centro_costo]]="","",_xlfn.XLOOKUP(tblOrdenes[[#This Row],[centro_costo]],tblCECO[codigo],tblCECO[coordinador],"(sin catálogo)"))</f>
        <v/>
      </c>
      <c r="AA867" s="5">
        <f>IF(tblOrdenes[[#This Row],[puesto_trabajo]]="","",_xlfn.XLOOKUP(tblOrdenes[[#This Row],[puesto_trabajo]],tblPuestos[codigo],tblPuestos[especialidad],"(sin catálogo)"))</f>
        <v/>
      </c>
      <c r="AB867" s="5">
        <f>IF(tblOrdenes[[#This Row],[cod_actividad]]="","",_xlfn.XLOOKUP(tblOrdenes[[#This Row],[cod_actividad]],tblActividades[codigo],tblActividades[descripcion],"(sin catálogo)"))</f>
        <v/>
      </c>
      <c r="AC867" s="20">
        <f>IF(tblOrdenes[[#This Row],[fecha_inicio]]="","",TODAY()-tblOrdenes[[#This Row],[fecha_inicio]])</f>
        <v/>
      </c>
      <c r="AD8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7" s="5">
        <f>IF(tblOrdenes[[#This Row],[backlog_habiles]]="","",IF(tblOrdenes[[#This Row],[backlog_habiles]]&lt;0,"FUTURO",IF(tblOrdenes[[#This Row],[backlog_habiles]]&gt;p_dias_backlog_max,"BACKLOG","MES CORRIENTE")))</f>
        <v/>
      </c>
      <c r="AF867" s="5">
        <f>IF(tblOrdenes[[#This Row],[backlog_habiles]]="",FALSE,AND(tblOrdenes[[#This Row],[backlog_habiles]]&gt;p_dias_backlog_min,tblOrdenes[[#This Row],[backlog_habiles]]&lt;=p_dias_backlog_max))</f>
        <v/>
      </c>
      <c r="AG867" s="4" t="n"/>
      <c r="AH8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7" s="18">
        <f>IF(tblOrdenes[[#This Row],[orden]]="","",_xlfn.XLOOKUP(tblOrdenes[[#This Row],[id_operacion]],tblEjecucion[id_operacion],tblEjecucion[precio],0))</f>
        <v/>
      </c>
      <c r="AL867" s="18">
        <f>IF(tblOrdenes[[#This Row],[orden]]="","",MAX(0,_xlfn.XLOOKUP(tblOrdenes[[#This Row],[id_operacion]],tblEjecucion[id_operacion],tblEjecucion[costo_plan_total],0)-tblOrdenes[[#This Row],[costo_servicio]]))</f>
        <v/>
      </c>
      <c r="AM867" s="18">
        <f>IF(tblOrdenes[[#This Row],[orden]]="","",tblOrdenes[[#This Row],[costo_servicio]]+tblOrdenes[[#This Row],[costo_materiales]])</f>
        <v/>
      </c>
      <c r="AN8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7" s="4" t="n"/>
      <c r="AP867" s="4" t="n"/>
      <c r="AQ867" s="4" t="n"/>
      <c r="AR867" s="5">
        <f>IF(tblOrdenes[[#This Row],[link_checklist]]="","",HYPERLINK(p_ruta_base_checklists&amp;tblOrdenes[[#This Row],[link_checklist]],"abrir"))</f>
        <v/>
      </c>
      <c r="AS867" s="4" t="n"/>
      <c r="AT867" s="5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22" t="n"/>
      <c r="K868" s="5" t="n"/>
      <c r="L868" s="18" t="n"/>
      <c r="M8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5">
        <f>IF(tblOrdenes[[#This Row],[fecha_inicio]]="","",YEAR(tblOrdenes[[#This Row],[fecha_inicio]]))</f>
        <v/>
      </c>
      <c r="Q868" s="5">
        <f>IF(tblOrdenes[[#This Row],[fecha_inicio]]="","",MONTH(tblOrdenes[[#This Row],[fecha_inicio]]))</f>
        <v/>
      </c>
      <c r="R868" s="5">
        <f>IF(tblOrdenes[[#This Row],[fecha_inicio]]="","",tblOrdenes[[#This Row],[anio]]&amp;"-"&amp;TEXT(tblOrdenes[[#This Row],[mes]],"00"))</f>
        <v/>
      </c>
      <c r="S868" s="5">
        <f>IF(tblOrdenes[[#This Row],[fecha_inicio]]="","",INDEX(lista_dias,WEEKDAY(tblOrdenes[[#This Row],[fecha_inicio]],2)))</f>
        <v/>
      </c>
      <c r="T8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8" s="5">
        <f>IF(tblOrdenes[[#This Row],[tipo_ot]]="","",_xlfn.XLOOKUP(tblOrdenes[[#This Row],[tipo_ot]],tblTiposOT[codigo],tblTiposOT[clasificacion],"sin_clasificar"))</f>
        <v/>
      </c>
      <c r="V8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8" s="5">
        <f>IF(tblOrdenes[[#This Row],[centro_costo]]="","",_xlfn.XLOOKUP(tblOrdenes[[#This Row],[centro_costo]],tblCECO[codigo],tblCECO[linea],"(sin catálogo)"))</f>
        <v/>
      </c>
      <c r="X868" s="5">
        <f>IF(tblOrdenes[[#This Row],[centro_costo]]="","",_xlfn.XLOOKUP(tblOrdenes[[#This Row],[centro_costo]],tblCECO[codigo],tblCECO[area],"(sin catálogo)"))</f>
        <v/>
      </c>
      <c r="Y8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8" s="5">
        <f>IF(tblOrdenes[[#This Row],[centro_costo]]="","",_xlfn.XLOOKUP(tblOrdenes[[#This Row],[centro_costo]],tblCECO[codigo],tblCECO[coordinador],"(sin catálogo)"))</f>
        <v/>
      </c>
      <c r="AA868" s="5">
        <f>IF(tblOrdenes[[#This Row],[puesto_trabajo]]="","",_xlfn.XLOOKUP(tblOrdenes[[#This Row],[puesto_trabajo]],tblPuestos[codigo],tblPuestos[especialidad],"(sin catálogo)"))</f>
        <v/>
      </c>
      <c r="AB868" s="5">
        <f>IF(tblOrdenes[[#This Row],[cod_actividad]]="","",_xlfn.XLOOKUP(tblOrdenes[[#This Row],[cod_actividad]],tblActividades[codigo],tblActividades[descripcion],"(sin catálogo)"))</f>
        <v/>
      </c>
      <c r="AC868" s="20">
        <f>IF(tblOrdenes[[#This Row],[fecha_inicio]]="","",TODAY()-tblOrdenes[[#This Row],[fecha_inicio]])</f>
        <v/>
      </c>
      <c r="AD8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8" s="5">
        <f>IF(tblOrdenes[[#This Row],[backlog_habiles]]="","",IF(tblOrdenes[[#This Row],[backlog_habiles]]&lt;0,"FUTURO",IF(tblOrdenes[[#This Row],[backlog_habiles]]&gt;p_dias_backlog_max,"BACKLOG","MES CORRIENTE")))</f>
        <v/>
      </c>
      <c r="AF868" s="5">
        <f>IF(tblOrdenes[[#This Row],[backlog_habiles]]="",FALSE,AND(tblOrdenes[[#This Row],[backlog_habiles]]&gt;p_dias_backlog_min,tblOrdenes[[#This Row],[backlog_habiles]]&lt;=p_dias_backlog_max))</f>
        <v/>
      </c>
      <c r="AG868" s="4" t="n"/>
      <c r="AH8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8" s="18">
        <f>IF(tblOrdenes[[#This Row],[orden]]="","",_xlfn.XLOOKUP(tblOrdenes[[#This Row],[id_operacion]],tblEjecucion[id_operacion],tblEjecucion[precio],0))</f>
        <v/>
      </c>
      <c r="AL868" s="18">
        <f>IF(tblOrdenes[[#This Row],[orden]]="","",MAX(0,_xlfn.XLOOKUP(tblOrdenes[[#This Row],[id_operacion]],tblEjecucion[id_operacion],tblEjecucion[costo_plan_total],0)-tblOrdenes[[#This Row],[costo_servicio]]))</f>
        <v/>
      </c>
      <c r="AM868" s="18">
        <f>IF(tblOrdenes[[#This Row],[orden]]="","",tblOrdenes[[#This Row],[costo_servicio]]+tblOrdenes[[#This Row],[costo_materiales]])</f>
        <v/>
      </c>
      <c r="AN8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8" s="4" t="n"/>
      <c r="AP868" s="4" t="n"/>
      <c r="AQ868" s="4" t="n"/>
      <c r="AR868" s="5">
        <f>IF(tblOrdenes[[#This Row],[link_checklist]]="","",HYPERLINK(p_ruta_base_checklists&amp;tblOrdenes[[#This Row],[link_checklist]],"abrir"))</f>
        <v/>
      </c>
      <c r="AS868" s="4" t="n"/>
      <c r="AT868" s="5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22" t="n"/>
      <c r="K869" s="5" t="n"/>
      <c r="L869" s="18" t="n"/>
      <c r="M8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5">
        <f>IF(tblOrdenes[[#This Row],[fecha_inicio]]="","",YEAR(tblOrdenes[[#This Row],[fecha_inicio]]))</f>
        <v/>
      </c>
      <c r="Q869" s="5">
        <f>IF(tblOrdenes[[#This Row],[fecha_inicio]]="","",MONTH(tblOrdenes[[#This Row],[fecha_inicio]]))</f>
        <v/>
      </c>
      <c r="R869" s="5">
        <f>IF(tblOrdenes[[#This Row],[fecha_inicio]]="","",tblOrdenes[[#This Row],[anio]]&amp;"-"&amp;TEXT(tblOrdenes[[#This Row],[mes]],"00"))</f>
        <v/>
      </c>
      <c r="S869" s="5">
        <f>IF(tblOrdenes[[#This Row],[fecha_inicio]]="","",INDEX(lista_dias,WEEKDAY(tblOrdenes[[#This Row],[fecha_inicio]],2)))</f>
        <v/>
      </c>
      <c r="T8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9" s="5">
        <f>IF(tblOrdenes[[#This Row],[tipo_ot]]="","",_xlfn.XLOOKUP(tblOrdenes[[#This Row],[tipo_ot]],tblTiposOT[codigo],tblTiposOT[clasificacion],"sin_clasificar"))</f>
        <v/>
      </c>
      <c r="V8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9" s="5">
        <f>IF(tblOrdenes[[#This Row],[centro_costo]]="","",_xlfn.XLOOKUP(tblOrdenes[[#This Row],[centro_costo]],tblCECO[codigo],tblCECO[linea],"(sin catálogo)"))</f>
        <v/>
      </c>
      <c r="X869" s="5">
        <f>IF(tblOrdenes[[#This Row],[centro_costo]]="","",_xlfn.XLOOKUP(tblOrdenes[[#This Row],[centro_costo]],tblCECO[codigo],tblCECO[area],"(sin catálogo)"))</f>
        <v/>
      </c>
      <c r="Y8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69" s="5">
        <f>IF(tblOrdenes[[#This Row],[centro_costo]]="","",_xlfn.XLOOKUP(tblOrdenes[[#This Row],[centro_costo]],tblCECO[codigo],tblCECO[coordinador],"(sin catálogo)"))</f>
        <v/>
      </c>
      <c r="AA869" s="5">
        <f>IF(tblOrdenes[[#This Row],[puesto_trabajo]]="","",_xlfn.XLOOKUP(tblOrdenes[[#This Row],[puesto_trabajo]],tblPuestos[codigo],tblPuestos[especialidad],"(sin catálogo)"))</f>
        <v/>
      </c>
      <c r="AB869" s="5">
        <f>IF(tblOrdenes[[#This Row],[cod_actividad]]="","",_xlfn.XLOOKUP(tblOrdenes[[#This Row],[cod_actividad]],tblActividades[codigo],tblActividades[descripcion],"(sin catálogo)"))</f>
        <v/>
      </c>
      <c r="AC869" s="20">
        <f>IF(tblOrdenes[[#This Row],[fecha_inicio]]="","",TODAY()-tblOrdenes[[#This Row],[fecha_inicio]])</f>
        <v/>
      </c>
      <c r="AD8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69" s="5">
        <f>IF(tblOrdenes[[#This Row],[backlog_habiles]]="","",IF(tblOrdenes[[#This Row],[backlog_habiles]]&lt;0,"FUTURO",IF(tblOrdenes[[#This Row],[backlog_habiles]]&gt;p_dias_backlog_max,"BACKLOG","MES CORRIENTE")))</f>
        <v/>
      </c>
      <c r="AF869" s="5">
        <f>IF(tblOrdenes[[#This Row],[backlog_habiles]]="",FALSE,AND(tblOrdenes[[#This Row],[backlog_habiles]]&gt;p_dias_backlog_min,tblOrdenes[[#This Row],[backlog_habiles]]&lt;=p_dias_backlog_max))</f>
        <v/>
      </c>
      <c r="AG869" s="4" t="n"/>
      <c r="AH8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69" s="18">
        <f>IF(tblOrdenes[[#This Row],[orden]]="","",_xlfn.XLOOKUP(tblOrdenes[[#This Row],[id_operacion]],tblEjecucion[id_operacion],tblEjecucion[precio],0))</f>
        <v/>
      </c>
      <c r="AL869" s="18">
        <f>IF(tblOrdenes[[#This Row],[orden]]="","",MAX(0,_xlfn.XLOOKUP(tblOrdenes[[#This Row],[id_operacion]],tblEjecucion[id_operacion],tblEjecucion[costo_plan_total],0)-tblOrdenes[[#This Row],[costo_servicio]]))</f>
        <v/>
      </c>
      <c r="AM869" s="18">
        <f>IF(tblOrdenes[[#This Row],[orden]]="","",tblOrdenes[[#This Row],[costo_servicio]]+tblOrdenes[[#This Row],[costo_materiales]])</f>
        <v/>
      </c>
      <c r="AN8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69" s="4" t="n"/>
      <c r="AP869" s="4" t="n"/>
      <c r="AQ869" s="4" t="n"/>
      <c r="AR869" s="5">
        <f>IF(tblOrdenes[[#This Row],[link_checklist]]="","",HYPERLINK(p_ruta_base_checklists&amp;tblOrdenes[[#This Row],[link_checklist]],"abrir"))</f>
        <v/>
      </c>
      <c r="AS869" s="4" t="n"/>
      <c r="AT869" s="5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22" t="n"/>
      <c r="K870" s="5" t="n"/>
      <c r="L870" s="18" t="n"/>
      <c r="M8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5">
        <f>IF(tblOrdenes[[#This Row],[fecha_inicio]]="","",YEAR(tblOrdenes[[#This Row],[fecha_inicio]]))</f>
        <v/>
      </c>
      <c r="Q870" s="5">
        <f>IF(tblOrdenes[[#This Row],[fecha_inicio]]="","",MONTH(tblOrdenes[[#This Row],[fecha_inicio]]))</f>
        <v/>
      </c>
      <c r="R870" s="5">
        <f>IF(tblOrdenes[[#This Row],[fecha_inicio]]="","",tblOrdenes[[#This Row],[anio]]&amp;"-"&amp;TEXT(tblOrdenes[[#This Row],[mes]],"00"))</f>
        <v/>
      </c>
      <c r="S870" s="5">
        <f>IF(tblOrdenes[[#This Row],[fecha_inicio]]="","",INDEX(lista_dias,WEEKDAY(tblOrdenes[[#This Row],[fecha_inicio]],2)))</f>
        <v/>
      </c>
      <c r="T8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0" s="5">
        <f>IF(tblOrdenes[[#This Row],[tipo_ot]]="","",_xlfn.XLOOKUP(tblOrdenes[[#This Row],[tipo_ot]],tblTiposOT[codigo],tblTiposOT[clasificacion],"sin_clasificar"))</f>
        <v/>
      </c>
      <c r="V8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0" s="5">
        <f>IF(tblOrdenes[[#This Row],[centro_costo]]="","",_xlfn.XLOOKUP(tblOrdenes[[#This Row],[centro_costo]],tblCECO[codigo],tblCECO[linea],"(sin catálogo)"))</f>
        <v/>
      </c>
      <c r="X870" s="5">
        <f>IF(tblOrdenes[[#This Row],[centro_costo]]="","",_xlfn.XLOOKUP(tblOrdenes[[#This Row],[centro_costo]],tblCECO[codigo],tblCECO[area],"(sin catálogo)"))</f>
        <v/>
      </c>
      <c r="Y8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0" s="5">
        <f>IF(tblOrdenes[[#This Row],[centro_costo]]="","",_xlfn.XLOOKUP(tblOrdenes[[#This Row],[centro_costo]],tblCECO[codigo],tblCECO[coordinador],"(sin catálogo)"))</f>
        <v/>
      </c>
      <c r="AA870" s="5">
        <f>IF(tblOrdenes[[#This Row],[puesto_trabajo]]="","",_xlfn.XLOOKUP(tblOrdenes[[#This Row],[puesto_trabajo]],tblPuestos[codigo],tblPuestos[especialidad],"(sin catálogo)"))</f>
        <v/>
      </c>
      <c r="AB870" s="5">
        <f>IF(tblOrdenes[[#This Row],[cod_actividad]]="","",_xlfn.XLOOKUP(tblOrdenes[[#This Row],[cod_actividad]],tblActividades[codigo],tblActividades[descripcion],"(sin catálogo)"))</f>
        <v/>
      </c>
      <c r="AC870" s="20">
        <f>IF(tblOrdenes[[#This Row],[fecha_inicio]]="","",TODAY()-tblOrdenes[[#This Row],[fecha_inicio]])</f>
        <v/>
      </c>
      <c r="AD8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0" s="5">
        <f>IF(tblOrdenes[[#This Row],[backlog_habiles]]="","",IF(tblOrdenes[[#This Row],[backlog_habiles]]&lt;0,"FUTURO",IF(tblOrdenes[[#This Row],[backlog_habiles]]&gt;p_dias_backlog_max,"BACKLOG","MES CORRIENTE")))</f>
        <v/>
      </c>
      <c r="AF870" s="5">
        <f>IF(tblOrdenes[[#This Row],[backlog_habiles]]="",FALSE,AND(tblOrdenes[[#This Row],[backlog_habiles]]&gt;p_dias_backlog_min,tblOrdenes[[#This Row],[backlog_habiles]]&lt;=p_dias_backlog_max))</f>
        <v/>
      </c>
      <c r="AG870" s="4" t="n"/>
      <c r="AH8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0" s="18">
        <f>IF(tblOrdenes[[#This Row],[orden]]="","",_xlfn.XLOOKUP(tblOrdenes[[#This Row],[id_operacion]],tblEjecucion[id_operacion],tblEjecucion[precio],0))</f>
        <v/>
      </c>
      <c r="AL870" s="18">
        <f>IF(tblOrdenes[[#This Row],[orden]]="","",MAX(0,_xlfn.XLOOKUP(tblOrdenes[[#This Row],[id_operacion]],tblEjecucion[id_operacion],tblEjecucion[costo_plan_total],0)-tblOrdenes[[#This Row],[costo_servicio]]))</f>
        <v/>
      </c>
      <c r="AM870" s="18">
        <f>IF(tblOrdenes[[#This Row],[orden]]="","",tblOrdenes[[#This Row],[costo_servicio]]+tblOrdenes[[#This Row],[costo_materiales]])</f>
        <v/>
      </c>
      <c r="AN8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0" s="4" t="n"/>
      <c r="AP870" s="4" t="n"/>
      <c r="AQ870" s="4" t="n"/>
      <c r="AR870" s="5">
        <f>IF(tblOrdenes[[#This Row],[link_checklist]]="","",HYPERLINK(p_ruta_base_checklists&amp;tblOrdenes[[#This Row],[link_checklist]],"abrir"))</f>
        <v/>
      </c>
      <c r="AS870" s="4" t="n"/>
      <c r="AT870" s="5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22" t="n"/>
      <c r="K871" s="5" t="n"/>
      <c r="L871" s="18" t="n"/>
      <c r="M8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5">
        <f>IF(tblOrdenes[[#This Row],[fecha_inicio]]="","",YEAR(tblOrdenes[[#This Row],[fecha_inicio]]))</f>
        <v/>
      </c>
      <c r="Q871" s="5">
        <f>IF(tblOrdenes[[#This Row],[fecha_inicio]]="","",MONTH(tblOrdenes[[#This Row],[fecha_inicio]]))</f>
        <v/>
      </c>
      <c r="R871" s="5">
        <f>IF(tblOrdenes[[#This Row],[fecha_inicio]]="","",tblOrdenes[[#This Row],[anio]]&amp;"-"&amp;TEXT(tblOrdenes[[#This Row],[mes]],"00"))</f>
        <v/>
      </c>
      <c r="S871" s="5">
        <f>IF(tblOrdenes[[#This Row],[fecha_inicio]]="","",INDEX(lista_dias,WEEKDAY(tblOrdenes[[#This Row],[fecha_inicio]],2)))</f>
        <v/>
      </c>
      <c r="T8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1" s="5">
        <f>IF(tblOrdenes[[#This Row],[tipo_ot]]="","",_xlfn.XLOOKUP(tblOrdenes[[#This Row],[tipo_ot]],tblTiposOT[codigo],tblTiposOT[clasificacion],"sin_clasificar"))</f>
        <v/>
      </c>
      <c r="V8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1" s="5">
        <f>IF(tblOrdenes[[#This Row],[centro_costo]]="","",_xlfn.XLOOKUP(tblOrdenes[[#This Row],[centro_costo]],tblCECO[codigo],tblCECO[linea],"(sin catálogo)"))</f>
        <v/>
      </c>
      <c r="X871" s="5">
        <f>IF(tblOrdenes[[#This Row],[centro_costo]]="","",_xlfn.XLOOKUP(tblOrdenes[[#This Row],[centro_costo]],tblCECO[codigo],tblCECO[area],"(sin catálogo)"))</f>
        <v/>
      </c>
      <c r="Y8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1" s="5">
        <f>IF(tblOrdenes[[#This Row],[centro_costo]]="","",_xlfn.XLOOKUP(tblOrdenes[[#This Row],[centro_costo]],tblCECO[codigo],tblCECO[coordinador],"(sin catálogo)"))</f>
        <v/>
      </c>
      <c r="AA871" s="5">
        <f>IF(tblOrdenes[[#This Row],[puesto_trabajo]]="","",_xlfn.XLOOKUP(tblOrdenes[[#This Row],[puesto_trabajo]],tblPuestos[codigo],tblPuestos[especialidad],"(sin catálogo)"))</f>
        <v/>
      </c>
      <c r="AB871" s="5">
        <f>IF(tblOrdenes[[#This Row],[cod_actividad]]="","",_xlfn.XLOOKUP(tblOrdenes[[#This Row],[cod_actividad]],tblActividades[codigo],tblActividades[descripcion],"(sin catálogo)"))</f>
        <v/>
      </c>
      <c r="AC871" s="20">
        <f>IF(tblOrdenes[[#This Row],[fecha_inicio]]="","",TODAY()-tblOrdenes[[#This Row],[fecha_inicio]])</f>
        <v/>
      </c>
      <c r="AD8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1" s="5">
        <f>IF(tblOrdenes[[#This Row],[backlog_habiles]]="","",IF(tblOrdenes[[#This Row],[backlog_habiles]]&lt;0,"FUTURO",IF(tblOrdenes[[#This Row],[backlog_habiles]]&gt;p_dias_backlog_max,"BACKLOG","MES CORRIENTE")))</f>
        <v/>
      </c>
      <c r="AF871" s="5">
        <f>IF(tblOrdenes[[#This Row],[backlog_habiles]]="",FALSE,AND(tblOrdenes[[#This Row],[backlog_habiles]]&gt;p_dias_backlog_min,tblOrdenes[[#This Row],[backlog_habiles]]&lt;=p_dias_backlog_max))</f>
        <v/>
      </c>
      <c r="AG871" s="4" t="n"/>
      <c r="AH8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1" s="18">
        <f>IF(tblOrdenes[[#This Row],[orden]]="","",_xlfn.XLOOKUP(tblOrdenes[[#This Row],[id_operacion]],tblEjecucion[id_operacion],tblEjecucion[precio],0))</f>
        <v/>
      </c>
      <c r="AL871" s="18">
        <f>IF(tblOrdenes[[#This Row],[orden]]="","",MAX(0,_xlfn.XLOOKUP(tblOrdenes[[#This Row],[id_operacion]],tblEjecucion[id_operacion],tblEjecucion[costo_plan_total],0)-tblOrdenes[[#This Row],[costo_servicio]]))</f>
        <v/>
      </c>
      <c r="AM871" s="18">
        <f>IF(tblOrdenes[[#This Row],[orden]]="","",tblOrdenes[[#This Row],[costo_servicio]]+tblOrdenes[[#This Row],[costo_materiales]])</f>
        <v/>
      </c>
      <c r="AN8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1" s="4" t="n"/>
      <c r="AP871" s="4" t="n"/>
      <c r="AQ871" s="4" t="n"/>
      <c r="AR871" s="5">
        <f>IF(tblOrdenes[[#This Row],[link_checklist]]="","",HYPERLINK(p_ruta_base_checklists&amp;tblOrdenes[[#This Row],[link_checklist]],"abrir"))</f>
        <v/>
      </c>
      <c r="AS871" s="4" t="n"/>
      <c r="AT871" s="5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22" t="n"/>
      <c r="K872" s="5" t="n"/>
      <c r="L872" s="18" t="n"/>
      <c r="M8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5">
        <f>IF(tblOrdenes[[#This Row],[fecha_inicio]]="","",YEAR(tblOrdenes[[#This Row],[fecha_inicio]]))</f>
        <v/>
      </c>
      <c r="Q872" s="5">
        <f>IF(tblOrdenes[[#This Row],[fecha_inicio]]="","",MONTH(tblOrdenes[[#This Row],[fecha_inicio]]))</f>
        <v/>
      </c>
      <c r="R872" s="5">
        <f>IF(tblOrdenes[[#This Row],[fecha_inicio]]="","",tblOrdenes[[#This Row],[anio]]&amp;"-"&amp;TEXT(tblOrdenes[[#This Row],[mes]],"00"))</f>
        <v/>
      </c>
      <c r="S872" s="5">
        <f>IF(tblOrdenes[[#This Row],[fecha_inicio]]="","",INDEX(lista_dias,WEEKDAY(tblOrdenes[[#This Row],[fecha_inicio]],2)))</f>
        <v/>
      </c>
      <c r="T8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2" s="5">
        <f>IF(tblOrdenes[[#This Row],[tipo_ot]]="","",_xlfn.XLOOKUP(tblOrdenes[[#This Row],[tipo_ot]],tblTiposOT[codigo],tblTiposOT[clasificacion],"sin_clasificar"))</f>
        <v/>
      </c>
      <c r="V8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2" s="5">
        <f>IF(tblOrdenes[[#This Row],[centro_costo]]="","",_xlfn.XLOOKUP(tblOrdenes[[#This Row],[centro_costo]],tblCECO[codigo],tblCECO[linea],"(sin catálogo)"))</f>
        <v/>
      </c>
      <c r="X872" s="5">
        <f>IF(tblOrdenes[[#This Row],[centro_costo]]="","",_xlfn.XLOOKUP(tblOrdenes[[#This Row],[centro_costo]],tblCECO[codigo],tblCECO[area],"(sin catálogo)"))</f>
        <v/>
      </c>
      <c r="Y8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2" s="5">
        <f>IF(tblOrdenes[[#This Row],[centro_costo]]="","",_xlfn.XLOOKUP(tblOrdenes[[#This Row],[centro_costo]],tblCECO[codigo],tblCECO[coordinador],"(sin catálogo)"))</f>
        <v/>
      </c>
      <c r="AA872" s="5">
        <f>IF(tblOrdenes[[#This Row],[puesto_trabajo]]="","",_xlfn.XLOOKUP(tblOrdenes[[#This Row],[puesto_trabajo]],tblPuestos[codigo],tblPuestos[especialidad],"(sin catálogo)"))</f>
        <v/>
      </c>
      <c r="AB872" s="5">
        <f>IF(tblOrdenes[[#This Row],[cod_actividad]]="","",_xlfn.XLOOKUP(tblOrdenes[[#This Row],[cod_actividad]],tblActividades[codigo],tblActividades[descripcion],"(sin catálogo)"))</f>
        <v/>
      </c>
      <c r="AC872" s="20">
        <f>IF(tblOrdenes[[#This Row],[fecha_inicio]]="","",TODAY()-tblOrdenes[[#This Row],[fecha_inicio]])</f>
        <v/>
      </c>
      <c r="AD8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2" s="5">
        <f>IF(tblOrdenes[[#This Row],[backlog_habiles]]="","",IF(tblOrdenes[[#This Row],[backlog_habiles]]&lt;0,"FUTURO",IF(tblOrdenes[[#This Row],[backlog_habiles]]&gt;p_dias_backlog_max,"BACKLOG","MES CORRIENTE")))</f>
        <v/>
      </c>
      <c r="AF872" s="5">
        <f>IF(tblOrdenes[[#This Row],[backlog_habiles]]="",FALSE,AND(tblOrdenes[[#This Row],[backlog_habiles]]&gt;p_dias_backlog_min,tblOrdenes[[#This Row],[backlog_habiles]]&lt;=p_dias_backlog_max))</f>
        <v/>
      </c>
      <c r="AG872" s="4" t="n"/>
      <c r="AH8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2" s="18">
        <f>IF(tblOrdenes[[#This Row],[orden]]="","",_xlfn.XLOOKUP(tblOrdenes[[#This Row],[id_operacion]],tblEjecucion[id_operacion],tblEjecucion[precio],0))</f>
        <v/>
      </c>
      <c r="AL872" s="18">
        <f>IF(tblOrdenes[[#This Row],[orden]]="","",MAX(0,_xlfn.XLOOKUP(tblOrdenes[[#This Row],[id_operacion]],tblEjecucion[id_operacion],tblEjecucion[costo_plan_total],0)-tblOrdenes[[#This Row],[costo_servicio]]))</f>
        <v/>
      </c>
      <c r="AM872" s="18">
        <f>IF(tblOrdenes[[#This Row],[orden]]="","",tblOrdenes[[#This Row],[costo_servicio]]+tblOrdenes[[#This Row],[costo_materiales]])</f>
        <v/>
      </c>
      <c r="AN8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2" s="4" t="n"/>
      <c r="AP872" s="4" t="n"/>
      <c r="AQ872" s="4" t="n"/>
      <c r="AR872" s="5">
        <f>IF(tblOrdenes[[#This Row],[link_checklist]]="","",HYPERLINK(p_ruta_base_checklists&amp;tblOrdenes[[#This Row],[link_checklist]],"abrir"))</f>
        <v/>
      </c>
      <c r="AS872" s="4" t="n"/>
      <c r="AT872" s="5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22" t="n"/>
      <c r="K873" s="5" t="n"/>
      <c r="L873" s="18" t="n"/>
      <c r="M8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5">
        <f>IF(tblOrdenes[[#This Row],[fecha_inicio]]="","",YEAR(tblOrdenes[[#This Row],[fecha_inicio]]))</f>
        <v/>
      </c>
      <c r="Q873" s="5">
        <f>IF(tblOrdenes[[#This Row],[fecha_inicio]]="","",MONTH(tblOrdenes[[#This Row],[fecha_inicio]]))</f>
        <v/>
      </c>
      <c r="R873" s="5">
        <f>IF(tblOrdenes[[#This Row],[fecha_inicio]]="","",tblOrdenes[[#This Row],[anio]]&amp;"-"&amp;TEXT(tblOrdenes[[#This Row],[mes]],"00"))</f>
        <v/>
      </c>
      <c r="S873" s="5">
        <f>IF(tblOrdenes[[#This Row],[fecha_inicio]]="","",INDEX(lista_dias,WEEKDAY(tblOrdenes[[#This Row],[fecha_inicio]],2)))</f>
        <v/>
      </c>
      <c r="T8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3" s="5">
        <f>IF(tblOrdenes[[#This Row],[tipo_ot]]="","",_xlfn.XLOOKUP(tblOrdenes[[#This Row],[tipo_ot]],tblTiposOT[codigo],tblTiposOT[clasificacion],"sin_clasificar"))</f>
        <v/>
      </c>
      <c r="V8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3" s="5">
        <f>IF(tblOrdenes[[#This Row],[centro_costo]]="","",_xlfn.XLOOKUP(tblOrdenes[[#This Row],[centro_costo]],tblCECO[codigo],tblCECO[linea],"(sin catálogo)"))</f>
        <v/>
      </c>
      <c r="X873" s="5">
        <f>IF(tblOrdenes[[#This Row],[centro_costo]]="","",_xlfn.XLOOKUP(tblOrdenes[[#This Row],[centro_costo]],tblCECO[codigo],tblCECO[area],"(sin catálogo)"))</f>
        <v/>
      </c>
      <c r="Y8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3" s="5">
        <f>IF(tblOrdenes[[#This Row],[centro_costo]]="","",_xlfn.XLOOKUP(tblOrdenes[[#This Row],[centro_costo]],tblCECO[codigo],tblCECO[coordinador],"(sin catálogo)"))</f>
        <v/>
      </c>
      <c r="AA873" s="5">
        <f>IF(tblOrdenes[[#This Row],[puesto_trabajo]]="","",_xlfn.XLOOKUP(tblOrdenes[[#This Row],[puesto_trabajo]],tblPuestos[codigo],tblPuestos[especialidad],"(sin catálogo)"))</f>
        <v/>
      </c>
      <c r="AB873" s="5">
        <f>IF(tblOrdenes[[#This Row],[cod_actividad]]="","",_xlfn.XLOOKUP(tblOrdenes[[#This Row],[cod_actividad]],tblActividades[codigo],tblActividades[descripcion],"(sin catálogo)"))</f>
        <v/>
      </c>
      <c r="AC873" s="20">
        <f>IF(tblOrdenes[[#This Row],[fecha_inicio]]="","",TODAY()-tblOrdenes[[#This Row],[fecha_inicio]])</f>
        <v/>
      </c>
      <c r="AD8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3" s="5">
        <f>IF(tblOrdenes[[#This Row],[backlog_habiles]]="","",IF(tblOrdenes[[#This Row],[backlog_habiles]]&lt;0,"FUTURO",IF(tblOrdenes[[#This Row],[backlog_habiles]]&gt;p_dias_backlog_max,"BACKLOG","MES CORRIENTE")))</f>
        <v/>
      </c>
      <c r="AF873" s="5">
        <f>IF(tblOrdenes[[#This Row],[backlog_habiles]]="",FALSE,AND(tblOrdenes[[#This Row],[backlog_habiles]]&gt;p_dias_backlog_min,tblOrdenes[[#This Row],[backlog_habiles]]&lt;=p_dias_backlog_max))</f>
        <v/>
      </c>
      <c r="AG873" s="4" t="n"/>
      <c r="AH8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3" s="18">
        <f>IF(tblOrdenes[[#This Row],[orden]]="","",_xlfn.XLOOKUP(tblOrdenes[[#This Row],[id_operacion]],tblEjecucion[id_operacion],tblEjecucion[precio],0))</f>
        <v/>
      </c>
      <c r="AL873" s="18">
        <f>IF(tblOrdenes[[#This Row],[orden]]="","",MAX(0,_xlfn.XLOOKUP(tblOrdenes[[#This Row],[id_operacion]],tblEjecucion[id_operacion],tblEjecucion[costo_plan_total],0)-tblOrdenes[[#This Row],[costo_servicio]]))</f>
        <v/>
      </c>
      <c r="AM873" s="18">
        <f>IF(tblOrdenes[[#This Row],[orden]]="","",tblOrdenes[[#This Row],[costo_servicio]]+tblOrdenes[[#This Row],[costo_materiales]])</f>
        <v/>
      </c>
      <c r="AN8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3" s="4" t="n"/>
      <c r="AP873" s="4" t="n"/>
      <c r="AQ873" s="4" t="n"/>
      <c r="AR873" s="5">
        <f>IF(tblOrdenes[[#This Row],[link_checklist]]="","",HYPERLINK(p_ruta_base_checklists&amp;tblOrdenes[[#This Row],[link_checklist]],"abrir"))</f>
        <v/>
      </c>
      <c r="AS873" s="4" t="n"/>
      <c r="AT873" s="5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22" t="n"/>
      <c r="K874" s="5" t="n"/>
      <c r="L874" s="18" t="n"/>
      <c r="M8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5">
        <f>IF(tblOrdenes[[#This Row],[fecha_inicio]]="","",YEAR(tblOrdenes[[#This Row],[fecha_inicio]]))</f>
        <v/>
      </c>
      <c r="Q874" s="5">
        <f>IF(tblOrdenes[[#This Row],[fecha_inicio]]="","",MONTH(tblOrdenes[[#This Row],[fecha_inicio]]))</f>
        <v/>
      </c>
      <c r="R874" s="5">
        <f>IF(tblOrdenes[[#This Row],[fecha_inicio]]="","",tblOrdenes[[#This Row],[anio]]&amp;"-"&amp;TEXT(tblOrdenes[[#This Row],[mes]],"00"))</f>
        <v/>
      </c>
      <c r="S874" s="5">
        <f>IF(tblOrdenes[[#This Row],[fecha_inicio]]="","",INDEX(lista_dias,WEEKDAY(tblOrdenes[[#This Row],[fecha_inicio]],2)))</f>
        <v/>
      </c>
      <c r="T8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4" s="5">
        <f>IF(tblOrdenes[[#This Row],[tipo_ot]]="","",_xlfn.XLOOKUP(tblOrdenes[[#This Row],[tipo_ot]],tblTiposOT[codigo],tblTiposOT[clasificacion],"sin_clasificar"))</f>
        <v/>
      </c>
      <c r="V8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4" s="5">
        <f>IF(tblOrdenes[[#This Row],[centro_costo]]="","",_xlfn.XLOOKUP(tblOrdenes[[#This Row],[centro_costo]],tblCECO[codigo],tblCECO[linea],"(sin catálogo)"))</f>
        <v/>
      </c>
      <c r="X874" s="5">
        <f>IF(tblOrdenes[[#This Row],[centro_costo]]="","",_xlfn.XLOOKUP(tblOrdenes[[#This Row],[centro_costo]],tblCECO[codigo],tblCECO[area],"(sin catálogo)"))</f>
        <v/>
      </c>
      <c r="Y8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4" s="5">
        <f>IF(tblOrdenes[[#This Row],[centro_costo]]="","",_xlfn.XLOOKUP(tblOrdenes[[#This Row],[centro_costo]],tblCECO[codigo],tblCECO[coordinador],"(sin catálogo)"))</f>
        <v/>
      </c>
      <c r="AA874" s="5">
        <f>IF(tblOrdenes[[#This Row],[puesto_trabajo]]="","",_xlfn.XLOOKUP(tblOrdenes[[#This Row],[puesto_trabajo]],tblPuestos[codigo],tblPuestos[especialidad],"(sin catálogo)"))</f>
        <v/>
      </c>
      <c r="AB874" s="5">
        <f>IF(tblOrdenes[[#This Row],[cod_actividad]]="","",_xlfn.XLOOKUP(tblOrdenes[[#This Row],[cod_actividad]],tblActividades[codigo],tblActividades[descripcion],"(sin catálogo)"))</f>
        <v/>
      </c>
      <c r="AC874" s="20">
        <f>IF(tblOrdenes[[#This Row],[fecha_inicio]]="","",TODAY()-tblOrdenes[[#This Row],[fecha_inicio]])</f>
        <v/>
      </c>
      <c r="AD8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4" s="5">
        <f>IF(tblOrdenes[[#This Row],[backlog_habiles]]="","",IF(tblOrdenes[[#This Row],[backlog_habiles]]&lt;0,"FUTURO",IF(tblOrdenes[[#This Row],[backlog_habiles]]&gt;p_dias_backlog_max,"BACKLOG","MES CORRIENTE")))</f>
        <v/>
      </c>
      <c r="AF874" s="5">
        <f>IF(tblOrdenes[[#This Row],[backlog_habiles]]="",FALSE,AND(tblOrdenes[[#This Row],[backlog_habiles]]&gt;p_dias_backlog_min,tblOrdenes[[#This Row],[backlog_habiles]]&lt;=p_dias_backlog_max))</f>
        <v/>
      </c>
      <c r="AG874" s="4" t="n"/>
      <c r="AH8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4" s="18">
        <f>IF(tblOrdenes[[#This Row],[orden]]="","",_xlfn.XLOOKUP(tblOrdenes[[#This Row],[id_operacion]],tblEjecucion[id_operacion],tblEjecucion[precio],0))</f>
        <v/>
      </c>
      <c r="AL874" s="18">
        <f>IF(tblOrdenes[[#This Row],[orden]]="","",MAX(0,_xlfn.XLOOKUP(tblOrdenes[[#This Row],[id_operacion]],tblEjecucion[id_operacion],tblEjecucion[costo_plan_total],0)-tblOrdenes[[#This Row],[costo_servicio]]))</f>
        <v/>
      </c>
      <c r="AM874" s="18">
        <f>IF(tblOrdenes[[#This Row],[orden]]="","",tblOrdenes[[#This Row],[costo_servicio]]+tblOrdenes[[#This Row],[costo_materiales]])</f>
        <v/>
      </c>
      <c r="AN8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4" s="4" t="n"/>
      <c r="AP874" s="4" t="n"/>
      <c r="AQ874" s="4" t="n"/>
      <c r="AR874" s="5">
        <f>IF(tblOrdenes[[#This Row],[link_checklist]]="","",HYPERLINK(p_ruta_base_checklists&amp;tblOrdenes[[#This Row],[link_checklist]],"abrir"))</f>
        <v/>
      </c>
      <c r="AS874" s="4" t="n"/>
      <c r="AT874" s="5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22" t="n"/>
      <c r="K875" s="5" t="n"/>
      <c r="L875" s="18" t="n"/>
      <c r="M8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5">
        <f>IF(tblOrdenes[[#This Row],[fecha_inicio]]="","",YEAR(tblOrdenes[[#This Row],[fecha_inicio]]))</f>
        <v/>
      </c>
      <c r="Q875" s="5">
        <f>IF(tblOrdenes[[#This Row],[fecha_inicio]]="","",MONTH(tblOrdenes[[#This Row],[fecha_inicio]]))</f>
        <v/>
      </c>
      <c r="R875" s="5">
        <f>IF(tblOrdenes[[#This Row],[fecha_inicio]]="","",tblOrdenes[[#This Row],[anio]]&amp;"-"&amp;TEXT(tblOrdenes[[#This Row],[mes]],"00"))</f>
        <v/>
      </c>
      <c r="S875" s="5">
        <f>IF(tblOrdenes[[#This Row],[fecha_inicio]]="","",INDEX(lista_dias,WEEKDAY(tblOrdenes[[#This Row],[fecha_inicio]],2)))</f>
        <v/>
      </c>
      <c r="T8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5" s="5">
        <f>IF(tblOrdenes[[#This Row],[tipo_ot]]="","",_xlfn.XLOOKUP(tblOrdenes[[#This Row],[tipo_ot]],tblTiposOT[codigo],tblTiposOT[clasificacion],"sin_clasificar"))</f>
        <v/>
      </c>
      <c r="V8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5" s="5">
        <f>IF(tblOrdenes[[#This Row],[centro_costo]]="","",_xlfn.XLOOKUP(tblOrdenes[[#This Row],[centro_costo]],tblCECO[codigo],tblCECO[linea],"(sin catálogo)"))</f>
        <v/>
      </c>
      <c r="X875" s="5">
        <f>IF(tblOrdenes[[#This Row],[centro_costo]]="","",_xlfn.XLOOKUP(tblOrdenes[[#This Row],[centro_costo]],tblCECO[codigo],tblCECO[area],"(sin catálogo)"))</f>
        <v/>
      </c>
      <c r="Y8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5" s="5">
        <f>IF(tblOrdenes[[#This Row],[centro_costo]]="","",_xlfn.XLOOKUP(tblOrdenes[[#This Row],[centro_costo]],tblCECO[codigo],tblCECO[coordinador],"(sin catálogo)"))</f>
        <v/>
      </c>
      <c r="AA875" s="5">
        <f>IF(tblOrdenes[[#This Row],[puesto_trabajo]]="","",_xlfn.XLOOKUP(tblOrdenes[[#This Row],[puesto_trabajo]],tblPuestos[codigo],tblPuestos[especialidad],"(sin catálogo)"))</f>
        <v/>
      </c>
      <c r="AB875" s="5">
        <f>IF(tblOrdenes[[#This Row],[cod_actividad]]="","",_xlfn.XLOOKUP(tblOrdenes[[#This Row],[cod_actividad]],tblActividades[codigo],tblActividades[descripcion],"(sin catálogo)"))</f>
        <v/>
      </c>
      <c r="AC875" s="20">
        <f>IF(tblOrdenes[[#This Row],[fecha_inicio]]="","",TODAY()-tblOrdenes[[#This Row],[fecha_inicio]])</f>
        <v/>
      </c>
      <c r="AD8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5" s="5">
        <f>IF(tblOrdenes[[#This Row],[backlog_habiles]]="","",IF(tblOrdenes[[#This Row],[backlog_habiles]]&lt;0,"FUTURO",IF(tblOrdenes[[#This Row],[backlog_habiles]]&gt;p_dias_backlog_max,"BACKLOG","MES CORRIENTE")))</f>
        <v/>
      </c>
      <c r="AF875" s="5">
        <f>IF(tblOrdenes[[#This Row],[backlog_habiles]]="",FALSE,AND(tblOrdenes[[#This Row],[backlog_habiles]]&gt;p_dias_backlog_min,tblOrdenes[[#This Row],[backlog_habiles]]&lt;=p_dias_backlog_max))</f>
        <v/>
      </c>
      <c r="AG875" s="4" t="n"/>
      <c r="AH8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5" s="18">
        <f>IF(tblOrdenes[[#This Row],[orden]]="","",_xlfn.XLOOKUP(tblOrdenes[[#This Row],[id_operacion]],tblEjecucion[id_operacion],tblEjecucion[precio],0))</f>
        <v/>
      </c>
      <c r="AL875" s="18">
        <f>IF(tblOrdenes[[#This Row],[orden]]="","",MAX(0,_xlfn.XLOOKUP(tblOrdenes[[#This Row],[id_operacion]],tblEjecucion[id_operacion],tblEjecucion[costo_plan_total],0)-tblOrdenes[[#This Row],[costo_servicio]]))</f>
        <v/>
      </c>
      <c r="AM875" s="18">
        <f>IF(tblOrdenes[[#This Row],[orden]]="","",tblOrdenes[[#This Row],[costo_servicio]]+tblOrdenes[[#This Row],[costo_materiales]])</f>
        <v/>
      </c>
      <c r="AN8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5" s="4" t="n"/>
      <c r="AP875" s="4" t="n"/>
      <c r="AQ875" s="4" t="n"/>
      <c r="AR875" s="5">
        <f>IF(tblOrdenes[[#This Row],[link_checklist]]="","",HYPERLINK(p_ruta_base_checklists&amp;tblOrdenes[[#This Row],[link_checklist]],"abrir"))</f>
        <v/>
      </c>
      <c r="AS875" s="4" t="n"/>
      <c r="AT875" s="5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22" t="n"/>
      <c r="K876" s="5" t="n"/>
      <c r="L876" s="18" t="n"/>
      <c r="M8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5">
        <f>IF(tblOrdenes[[#This Row],[fecha_inicio]]="","",YEAR(tblOrdenes[[#This Row],[fecha_inicio]]))</f>
        <v/>
      </c>
      <c r="Q876" s="5">
        <f>IF(tblOrdenes[[#This Row],[fecha_inicio]]="","",MONTH(tblOrdenes[[#This Row],[fecha_inicio]]))</f>
        <v/>
      </c>
      <c r="R876" s="5">
        <f>IF(tblOrdenes[[#This Row],[fecha_inicio]]="","",tblOrdenes[[#This Row],[anio]]&amp;"-"&amp;TEXT(tblOrdenes[[#This Row],[mes]],"00"))</f>
        <v/>
      </c>
      <c r="S876" s="5">
        <f>IF(tblOrdenes[[#This Row],[fecha_inicio]]="","",INDEX(lista_dias,WEEKDAY(tblOrdenes[[#This Row],[fecha_inicio]],2)))</f>
        <v/>
      </c>
      <c r="T8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6" s="5">
        <f>IF(tblOrdenes[[#This Row],[tipo_ot]]="","",_xlfn.XLOOKUP(tblOrdenes[[#This Row],[tipo_ot]],tblTiposOT[codigo],tblTiposOT[clasificacion],"sin_clasificar"))</f>
        <v/>
      </c>
      <c r="V8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6" s="5">
        <f>IF(tblOrdenes[[#This Row],[centro_costo]]="","",_xlfn.XLOOKUP(tblOrdenes[[#This Row],[centro_costo]],tblCECO[codigo],tblCECO[linea],"(sin catálogo)"))</f>
        <v/>
      </c>
      <c r="X876" s="5">
        <f>IF(tblOrdenes[[#This Row],[centro_costo]]="","",_xlfn.XLOOKUP(tblOrdenes[[#This Row],[centro_costo]],tblCECO[codigo],tblCECO[area],"(sin catálogo)"))</f>
        <v/>
      </c>
      <c r="Y8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6" s="5">
        <f>IF(tblOrdenes[[#This Row],[centro_costo]]="","",_xlfn.XLOOKUP(tblOrdenes[[#This Row],[centro_costo]],tblCECO[codigo],tblCECO[coordinador],"(sin catálogo)"))</f>
        <v/>
      </c>
      <c r="AA876" s="5">
        <f>IF(tblOrdenes[[#This Row],[puesto_trabajo]]="","",_xlfn.XLOOKUP(tblOrdenes[[#This Row],[puesto_trabajo]],tblPuestos[codigo],tblPuestos[especialidad],"(sin catálogo)"))</f>
        <v/>
      </c>
      <c r="AB876" s="5">
        <f>IF(tblOrdenes[[#This Row],[cod_actividad]]="","",_xlfn.XLOOKUP(tblOrdenes[[#This Row],[cod_actividad]],tblActividades[codigo],tblActividades[descripcion],"(sin catálogo)"))</f>
        <v/>
      </c>
      <c r="AC876" s="20">
        <f>IF(tblOrdenes[[#This Row],[fecha_inicio]]="","",TODAY()-tblOrdenes[[#This Row],[fecha_inicio]])</f>
        <v/>
      </c>
      <c r="AD8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6" s="5">
        <f>IF(tblOrdenes[[#This Row],[backlog_habiles]]="","",IF(tblOrdenes[[#This Row],[backlog_habiles]]&lt;0,"FUTURO",IF(tblOrdenes[[#This Row],[backlog_habiles]]&gt;p_dias_backlog_max,"BACKLOG","MES CORRIENTE")))</f>
        <v/>
      </c>
      <c r="AF876" s="5">
        <f>IF(tblOrdenes[[#This Row],[backlog_habiles]]="",FALSE,AND(tblOrdenes[[#This Row],[backlog_habiles]]&gt;p_dias_backlog_min,tblOrdenes[[#This Row],[backlog_habiles]]&lt;=p_dias_backlog_max))</f>
        <v/>
      </c>
      <c r="AG876" s="4" t="n"/>
      <c r="AH8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6" s="18">
        <f>IF(tblOrdenes[[#This Row],[orden]]="","",_xlfn.XLOOKUP(tblOrdenes[[#This Row],[id_operacion]],tblEjecucion[id_operacion],tblEjecucion[precio],0))</f>
        <v/>
      </c>
      <c r="AL876" s="18">
        <f>IF(tblOrdenes[[#This Row],[orden]]="","",MAX(0,_xlfn.XLOOKUP(tblOrdenes[[#This Row],[id_operacion]],tblEjecucion[id_operacion],tblEjecucion[costo_plan_total],0)-tblOrdenes[[#This Row],[costo_servicio]]))</f>
        <v/>
      </c>
      <c r="AM876" s="18">
        <f>IF(tblOrdenes[[#This Row],[orden]]="","",tblOrdenes[[#This Row],[costo_servicio]]+tblOrdenes[[#This Row],[costo_materiales]])</f>
        <v/>
      </c>
      <c r="AN8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6" s="4" t="n"/>
      <c r="AP876" s="4" t="n"/>
      <c r="AQ876" s="4" t="n"/>
      <c r="AR876" s="5">
        <f>IF(tblOrdenes[[#This Row],[link_checklist]]="","",HYPERLINK(p_ruta_base_checklists&amp;tblOrdenes[[#This Row],[link_checklist]],"abrir"))</f>
        <v/>
      </c>
      <c r="AS876" s="4" t="n"/>
      <c r="AT876" s="5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22" t="n"/>
      <c r="K877" s="5" t="n"/>
      <c r="L877" s="18" t="n"/>
      <c r="M8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5">
        <f>IF(tblOrdenes[[#This Row],[fecha_inicio]]="","",YEAR(tblOrdenes[[#This Row],[fecha_inicio]]))</f>
        <v/>
      </c>
      <c r="Q877" s="5">
        <f>IF(tblOrdenes[[#This Row],[fecha_inicio]]="","",MONTH(tblOrdenes[[#This Row],[fecha_inicio]]))</f>
        <v/>
      </c>
      <c r="R877" s="5">
        <f>IF(tblOrdenes[[#This Row],[fecha_inicio]]="","",tblOrdenes[[#This Row],[anio]]&amp;"-"&amp;TEXT(tblOrdenes[[#This Row],[mes]],"00"))</f>
        <v/>
      </c>
      <c r="S877" s="5">
        <f>IF(tblOrdenes[[#This Row],[fecha_inicio]]="","",INDEX(lista_dias,WEEKDAY(tblOrdenes[[#This Row],[fecha_inicio]],2)))</f>
        <v/>
      </c>
      <c r="T8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7" s="5">
        <f>IF(tblOrdenes[[#This Row],[tipo_ot]]="","",_xlfn.XLOOKUP(tblOrdenes[[#This Row],[tipo_ot]],tblTiposOT[codigo],tblTiposOT[clasificacion],"sin_clasificar"))</f>
        <v/>
      </c>
      <c r="V8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7" s="5">
        <f>IF(tblOrdenes[[#This Row],[centro_costo]]="","",_xlfn.XLOOKUP(tblOrdenes[[#This Row],[centro_costo]],tblCECO[codigo],tblCECO[linea],"(sin catálogo)"))</f>
        <v/>
      </c>
      <c r="X877" s="5">
        <f>IF(tblOrdenes[[#This Row],[centro_costo]]="","",_xlfn.XLOOKUP(tblOrdenes[[#This Row],[centro_costo]],tblCECO[codigo],tblCECO[area],"(sin catálogo)"))</f>
        <v/>
      </c>
      <c r="Y8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7" s="5">
        <f>IF(tblOrdenes[[#This Row],[centro_costo]]="","",_xlfn.XLOOKUP(tblOrdenes[[#This Row],[centro_costo]],tblCECO[codigo],tblCECO[coordinador],"(sin catálogo)"))</f>
        <v/>
      </c>
      <c r="AA877" s="5">
        <f>IF(tblOrdenes[[#This Row],[puesto_trabajo]]="","",_xlfn.XLOOKUP(tblOrdenes[[#This Row],[puesto_trabajo]],tblPuestos[codigo],tblPuestos[especialidad],"(sin catálogo)"))</f>
        <v/>
      </c>
      <c r="AB877" s="5">
        <f>IF(tblOrdenes[[#This Row],[cod_actividad]]="","",_xlfn.XLOOKUP(tblOrdenes[[#This Row],[cod_actividad]],tblActividades[codigo],tblActividades[descripcion],"(sin catálogo)"))</f>
        <v/>
      </c>
      <c r="AC877" s="20">
        <f>IF(tblOrdenes[[#This Row],[fecha_inicio]]="","",TODAY()-tblOrdenes[[#This Row],[fecha_inicio]])</f>
        <v/>
      </c>
      <c r="AD8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7" s="5">
        <f>IF(tblOrdenes[[#This Row],[backlog_habiles]]="","",IF(tblOrdenes[[#This Row],[backlog_habiles]]&lt;0,"FUTURO",IF(tblOrdenes[[#This Row],[backlog_habiles]]&gt;p_dias_backlog_max,"BACKLOG","MES CORRIENTE")))</f>
        <v/>
      </c>
      <c r="AF877" s="5">
        <f>IF(tblOrdenes[[#This Row],[backlog_habiles]]="",FALSE,AND(tblOrdenes[[#This Row],[backlog_habiles]]&gt;p_dias_backlog_min,tblOrdenes[[#This Row],[backlog_habiles]]&lt;=p_dias_backlog_max))</f>
        <v/>
      </c>
      <c r="AG877" s="4" t="n"/>
      <c r="AH8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7" s="18">
        <f>IF(tblOrdenes[[#This Row],[orden]]="","",_xlfn.XLOOKUP(tblOrdenes[[#This Row],[id_operacion]],tblEjecucion[id_operacion],tblEjecucion[precio],0))</f>
        <v/>
      </c>
      <c r="AL877" s="18">
        <f>IF(tblOrdenes[[#This Row],[orden]]="","",MAX(0,_xlfn.XLOOKUP(tblOrdenes[[#This Row],[id_operacion]],tblEjecucion[id_operacion],tblEjecucion[costo_plan_total],0)-tblOrdenes[[#This Row],[costo_servicio]]))</f>
        <v/>
      </c>
      <c r="AM877" s="18">
        <f>IF(tblOrdenes[[#This Row],[orden]]="","",tblOrdenes[[#This Row],[costo_servicio]]+tblOrdenes[[#This Row],[costo_materiales]])</f>
        <v/>
      </c>
      <c r="AN8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7" s="4" t="n"/>
      <c r="AP877" s="4" t="n"/>
      <c r="AQ877" s="4" t="n"/>
      <c r="AR877" s="5">
        <f>IF(tblOrdenes[[#This Row],[link_checklist]]="","",HYPERLINK(p_ruta_base_checklists&amp;tblOrdenes[[#This Row],[link_checklist]],"abrir"))</f>
        <v/>
      </c>
      <c r="AS877" s="4" t="n"/>
      <c r="AT877" s="5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22" t="n"/>
      <c r="K878" s="5" t="n"/>
      <c r="L878" s="18" t="n"/>
      <c r="M8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5">
        <f>IF(tblOrdenes[[#This Row],[fecha_inicio]]="","",YEAR(tblOrdenes[[#This Row],[fecha_inicio]]))</f>
        <v/>
      </c>
      <c r="Q878" s="5">
        <f>IF(tblOrdenes[[#This Row],[fecha_inicio]]="","",MONTH(tblOrdenes[[#This Row],[fecha_inicio]]))</f>
        <v/>
      </c>
      <c r="R878" s="5">
        <f>IF(tblOrdenes[[#This Row],[fecha_inicio]]="","",tblOrdenes[[#This Row],[anio]]&amp;"-"&amp;TEXT(tblOrdenes[[#This Row],[mes]],"00"))</f>
        <v/>
      </c>
      <c r="S878" s="5">
        <f>IF(tblOrdenes[[#This Row],[fecha_inicio]]="","",INDEX(lista_dias,WEEKDAY(tblOrdenes[[#This Row],[fecha_inicio]],2)))</f>
        <v/>
      </c>
      <c r="T8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8" s="5">
        <f>IF(tblOrdenes[[#This Row],[tipo_ot]]="","",_xlfn.XLOOKUP(tblOrdenes[[#This Row],[tipo_ot]],tblTiposOT[codigo],tblTiposOT[clasificacion],"sin_clasificar"))</f>
        <v/>
      </c>
      <c r="V8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8" s="5">
        <f>IF(tblOrdenes[[#This Row],[centro_costo]]="","",_xlfn.XLOOKUP(tblOrdenes[[#This Row],[centro_costo]],tblCECO[codigo],tblCECO[linea],"(sin catálogo)"))</f>
        <v/>
      </c>
      <c r="X878" s="5">
        <f>IF(tblOrdenes[[#This Row],[centro_costo]]="","",_xlfn.XLOOKUP(tblOrdenes[[#This Row],[centro_costo]],tblCECO[codigo],tblCECO[area],"(sin catálogo)"))</f>
        <v/>
      </c>
      <c r="Y8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8" s="5">
        <f>IF(tblOrdenes[[#This Row],[centro_costo]]="","",_xlfn.XLOOKUP(tblOrdenes[[#This Row],[centro_costo]],tblCECO[codigo],tblCECO[coordinador],"(sin catálogo)"))</f>
        <v/>
      </c>
      <c r="AA878" s="5">
        <f>IF(tblOrdenes[[#This Row],[puesto_trabajo]]="","",_xlfn.XLOOKUP(tblOrdenes[[#This Row],[puesto_trabajo]],tblPuestos[codigo],tblPuestos[especialidad],"(sin catálogo)"))</f>
        <v/>
      </c>
      <c r="AB878" s="5">
        <f>IF(tblOrdenes[[#This Row],[cod_actividad]]="","",_xlfn.XLOOKUP(tblOrdenes[[#This Row],[cod_actividad]],tblActividades[codigo],tblActividades[descripcion],"(sin catálogo)"))</f>
        <v/>
      </c>
      <c r="AC878" s="20">
        <f>IF(tblOrdenes[[#This Row],[fecha_inicio]]="","",TODAY()-tblOrdenes[[#This Row],[fecha_inicio]])</f>
        <v/>
      </c>
      <c r="AD8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8" s="5">
        <f>IF(tblOrdenes[[#This Row],[backlog_habiles]]="","",IF(tblOrdenes[[#This Row],[backlog_habiles]]&lt;0,"FUTURO",IF(tblOrdenes[[#This Row],[backlog_habiles]]&gt;p_dias_backlog_max,"BACKLOG","MES CORRIENTE")))</f>
        <v/>
      </c>
      <c r="AF878" s="5">
        <f>IF(tblOrdenes[[#This Row],[backlog_habiles]]="",FALSE,AND(tblOrdenes[[#This Row],[backlog_habiles]]&gt;p_dias_backlog_min,tblOrdenes[[#This Row],[backlog_habiles]]&lt;=p_dias_backlog_max))</f>
        <v/>
      </c>
      <c r="AG878" s="4" t="n"/>
      <c r="AH8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8" s="18">
        <f>IF(tblOrdenes[[#This Row],[orden]]="","",_xlfn.XLOOKUP(tblOrdenes[[#This Row],[id_operacion]],tblEjecucion[id_operacion],tblEjecucion[precio],0))</f>
        <v/>
      </c>
      <c r="AL878" s="18">
        <f>IF(tblOrdenes[[#This Row],[orden]]="","",MAX(0,_xlfn.XLOOKUP(tblOrdenes[[#This Row],[id_operacion]],tblEjecucion[id_operacion],tblEjecucion[costo_plan_total],0)-tblOrdenes[[#This Row],[costo_servicio]]))</f>
        <v/>
      </c>
      <c r="AM878" s="18">
        <f>IF(tblOrdenes[[#This Row],[orden]]="","",tblOrdenes[[#This Row],[costo_servicio]]+tblOrdenes[[#This Row],[costo_materiales]])</f>
        <v/>
      </c>
      <c r="AN8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8" s="4" t="n"/>
      <c r="AP878" s="4" t="n"/>
      <c r="AQ878" s="4" t="n"/>
      <c r="AR878" s="5">
        <f>IF(tblOrdenes[[#This Row],[link_checklist]]="","",HYPERLINK(p_ruta_base_checklists&amp;tblOrdenes[[#This Row],[link_checklist]],"abrir"))</f>
        <v/>
      </c>
      <c r="AS878" s="4" t="n"/>
      <c r="AT878" s="5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22" t="n"/>
      <c r="K879" s="5" t="n"/>
      <c r="L879" s="18" t="n"/>
      <c r="M8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5">
        <f>IF(tblOrdenes[[#This Row],[fecha_inicio]]="","",YEAR(tblOrdenes[[#This Row],[fecha_inicio]]))</f>
        <v/>
      </c>
      <c r="Q879" s="5">
        <f>IF(tblOrdenes[[#This Row],[fecha_inicio]]="","",MONTH(tblOrdenes[[#This Row],[fecha_inicio]]))</f>
        <v/>
      </c>
      <c r="R879" s="5">
        <f>IF(tblOrdenes[[#This Row],[fecha_inicio]]="","",tblOrdenes[[#This Row],[anio]]&amp;"-"&amp;TEXT(tblOrdenes[[#This Row],[mes]],"00"))</f>
        <v/>
      </c>
      <c r="S879" s="5">
        <f>IF(tblOrdenes[[#This Row],[fecha_inicio]]="","",INDEX(lista_dias,WEEKDAY(tblOrdenes[[#This Row],[fecha_inicio]],2)))</f>
        <v/>
      </c>
      <c r="T8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9" s="5">
        <f>IF(tblOrdenes[[#This Row],[tipo_ot]]="","",_xlfn.XLOOKUP(tblOrdenes[[#This Row],[tipo_ot]],tblTiposOT[codigo],tblTiposOT[clasificacion],"sin_clasificar"))</f>
        <v/>
      </c>
      <c r="V8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9" s="5">
        <f>IF(tblOrdenes[[#This Row],[centro_costo]]="","",_xlfn.XLOOKUP(tblOrdenes[[#This Row],[centro_costo]],tblCECO[codigo],tblCECO[linea],"(sin catálogo)"))</f>
        <v/>
      </c>
      <c r="X879" s="5">
        <f>IF(tblOrdenes[[#This Row],[centro_costo]]="","",_xlfn.XLOOKUP(tblOrdenes[[#This Row],[centro_costo]],tblCECO[codigo],tblCECO[area],"(sin catálogo)"))</f>
        <v/>
      </c>
      <c r="Y8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79" s="5">
        <f>IF(tblOrdenes[[#This Row],[centro_costo]]="","",_xlfn.XLOOKUP(tblOrdenes[[#This Row],[centro_costo]],tblCECO[codigo],tblCECO[coordinador],"(sin catálogo)"))</f>
        <v/>
      </c>
      <c r="AA879" s="5">
        <f>IF(tblOrdenes[[#This Row],[puesto_trabajo]]="","",_xlfn.XLOOKUP(tblOrdenes[[#This Row],[puesto_trabajo]],tblPuestos[codigo],tblPuestos[especialidad],"(sin catálogo)"))</f>
        <v/>
      </c>
      <c r="AB879" s="5">
        <f>IF(tblOrdenes[[#This Row],[cod_actividad]]="","",_xlfn.XLOOKUP(tblOrdenes[[#This Row],[cod_actividad]],tblActividades[codigo],tblActividades[descripcion],"(sin catálogo)"))</f>
        <v/>
      </c>
      <c r="AC879" s="20">
        <f>IF(tblOrdenes[[#This Row],[fecha_inicio]]="","",TODAY()-tblOrdenes[[#This Row],[fecha_inicio]])</f>
        <v/>
      </c>
      <c r="AD8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79" s="5">
        <f>IF(tblOrdenes[[#This Row],[backlog_habiles]]="","",IF(tblOrdenes[[#This Row],[backlog_habiles]]&lt;0,"FUTURO",IF(tblOrdenes[[#This Row],[backlog_habiles]]&gt;p_dias_backlog_max,"BACKLOG","MES CORRIENTE")))</f>
        <v/>
      </c>
      <c r="AF879" s="5">
        <f>IF(tblOrdenes[[#This Row],[backlog_habiles]]="",FALSE,AND(tblOrdenes[[#This Row],[backlog_habiles]]&gt;p_dias_backlog_min,tblOrdenes[[#This Row],[backlog_habiles]]&lt;=p_dias_backlog_max))</f>
        <v/>
      </c>
      <c r="AG879" s="4" t="n"/>
      <c r="AH8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79" s="18">
        <f>IF(tblOrdenes[[#This Row],[orden]]="","",_xlfn.XLOOKUP(tblOrdenes[[#This Row],[id_operacion]],tblEjecucion[id_operacion],tblEjecucion[precio],0))</f>
        <v/>
      </c>
      <c r="AL879" s="18">
        <f>IF(tblOrdenes[[#This Row],[orden]]="","",MAX(0,_xlfn.XLOOKUP(tblOrdenes[[#This Row],[id_operacion]],tblEjecucion[id_operacion],tblEjecucion[costo_plan_total],0)-tblOrdenes[[#This Row],[costo_servicio]]))</f>
        <v/>
      </c>
      <c r="AM879" s="18">
        <f>IF(tblOrdenes[[#This Row],[orden]]="","",tblOrdenes[[#This Row],[costo_servicio]]+tblOrdenes[[#This Row],[costo_materiales]])</f>
        <v/>
      </c>
      <c r="AN8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79" s="4" t="n"/>
      <c r="AP879" s="4" t="n"/>
      <c r="AQ879" s="4" t="n"/>
      <c r="AR879" s="5">
        <f>IF(tblOrdenes[[#This Row],[link_checklist]]="","",HYPERLINK(p_ruta_base_checklists&amp;tblOrdenes[[#This Row],[link_checklist]],"abrir"))</f>
        <v/>
      </c>
      <c r="AS879" s="4" t="n"/>
      <c r="AT879" s="5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22" t="n"/>
      <c r="K880" s="5" t="n"/>
      <c r="L880" s="18" t="n"/>
      <c r="M8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5">
        <f>IF(tblOrdenes[[#This Row],[fecha_inicio]]="","",YEAR(tblOrdenes[[#This Row],[fecha_inicio]]))</f>
        <v/>
      </c>
      <c r="Q880" s="5">
        <f>IF(tblOrdenes[[#This Row],[fecha_inicio]]="","",MONTH(tblOrdenes[[#This Row],[fecha_inicio]]))</f>
        <v/>
      </c>
      <c r="R880" s="5">
        <f>IF(tblOrdenes[[#This Row],[fecha_inicio]]="","",tblOrdenes[[#This Row],[anio]]&amp;"-"&amp;TEXT(tblOrdenes[[#This Row],[mes]],"00"))</f>
        <v/>
      </c>
      <c r="S880" s="5">
        <f>IF(tblOrdenes[[#This Row],[fecha_inicio]]="","",INDEX(lista_dias,WEEKDAY(tblOrdenes[[#This Row],[fecha_inicio]],2)))</f>
        <v/>
      </c>
      <c r="T8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0" s="5">
        <f>IF(tblOrdenes[[#This Row],[tipo_ot]]="","",_xlfn.XLOOKUP(tblOrdenes[[#This Row],[tipo_ot]],tblTiposOT[codigo],tblTiposOT[clasificacion],"sin_clasificar"))</f>
        <v/>
      </c>
      <c r="V8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0" s="5">
        <f>IF(tblOrdenes[[#This Row],[centro_costo]]="","",_xlfn.XLOOKUP(tblOrdenes[[#This Row],[centro_costo]],tblCECO[codigo],tblCECO[linea],"(sin catálogo)"))</f>
        <v/>
      </c>
      <c r="X880" s="5">
        <f>IF(tblOrdenes[[#This Row],[centro_costo]]="","",_xlfn.XLOOKUP(tblOrdenes[[#This Row],[centro_costo]],tblCECO[codigo],tblCECO[area],"(sin catálogo)"))</f>
        <v/>
      </c>
      <c r="Y8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0" s="5">
        <f>IF(tblOrdenes[[#This Row],[centro_costo]]="","",_xlfn.XLOOKUP(tblOrdenes[[#This Row],[centro_costo]],tblCECO[codigo],tblCECO[coordinador],"(sin catálogo)"))</f>
        <v/>
      </c>
      <c r="AA880" s="5">
        <f>IF(tblOrdenes[[#This Row],[puesto_trabajo]]="","",_xlfn.XLOOKUP(tblOrdenes[[#This Row],[puesto_trabajo]],tblPuestos[codigo],tblPuestos[especialidad],"(sin catálogo)"))</f>
        <v/>
      </c>
      <c r="AB880" s="5">
        <f>IF(tblOrdenes[[#This Row],[cod_actividad]]="","",_xlfn.XLOOKUP(tblOrdenes[[#This Row],[cod_actividad]],tblActividades[codigo],tblActividades[descripcion],"(sin catálogo)"))</f>
        <v/>
      </c>
      <c r="AC880" s="20">
        <f>IF(tblOrdenes[[#This Row],[fecha_inicio]]="","",TODAY()-tblOrdenes[[#This Row],[fecha_inicio]])</f>
        <v/>
      </c>
      <c r="AD8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0" s="5">
        <f>IF(tblOrdenes[[#This Row],[backlog_habiles]]="","",IF(tblOrdenes[[#This Row],[backlog_habiles]]&lt;0,"FUTURO",IF(tblOrdenes[[#This Row],[backlog_habiles]]&gt;p_dias_backlog_max,"BACKLOG","MES CORRIENTE")))</f>
        <v/>
      </c>
      <c r="AF880" s="5">
        <f>IF(tblOrdenes[[#This Row],[backlog_habiles]]="",FALSE,AND(tblOrdenes[[#This Row],[backlog_habiles]]&gt;p_dias_backlog_min,tblOrdenes[[#This Row],[backlog_habiles]]&lt;=p_dias_backlog_max))</f>
        <v/>
      </c>
      <c r="AG880" s="4" t="n"/>
      <c r="AH8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0" s="18">
        <f>IF(tblOrdenes[[#This Row],[orden]]="","",_xlfn.XLOOKUP(tblOrdenes[[#This Row],[id_operacion]],tblEjecucion[id_operacion],tblEjecucion[precio],0))</f>
        <v/>
      </c>
      <c r="AL880" s="18">
        <f>IF(tblOrdenes[[#This Row],[orden]]="","",MAX(0,_xlfn.XLOOKUP(tblOrdenes[[#This Row],[id_operacion]],tblEjecucion[id_operacion],tblEjecucion[costo_plan_total],0)-tblOrdenes[[#This Row],[costo_servicio]]))</f>
        <v/>
      </c>
      <c r="AM880" s="18">
        <f>IF(tblOrdenes[[#This Row],[orden]]="","",tblOrdenes[[#This Row],[costo_servicio]]+tblOrdenes[[#This Row],[costo_materiales]])</f>
        <v/>
      </c>
      <c r="AN8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0" s="4" t="n"/>
      <c r="AP880" s="4" t="n"/>
      <c r="AQ880" s="4" t="n"/>
      <c r="AR880" s="5">
        <f>IF(tblOrdenes[[#This Row],[link_checklist]]="","",HYPERLINK(p_ruta_base_checklists&amp;tblOrdenes[[#This Row],[link_checklist]],"abrir"))</f>
        <v/>
      </c>
      <c r="AS880" s="4" t="n"/>
      <c r="AT880" s="5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22" t="n"/>
      <c r="K881" s="5" t="n"/>
      <c r="L881" s="18" t="n"/>
      <c r="M8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5">
        <f>IF(tblOrdenes[[#This Row],[fecha_inicio]]="","",YEAR(tblOrdenes[[#This Row],[fecha_inicio]]))</f>
        <v/>
      </c>
      <c r="Q881" s="5">
        <f>IF(tblOrdenes[[#This Row],[fecha_inicio]]="","",MONTH(tblOrdenes[[#This Row],[fecha_inicio]]))</f>
        <v/>
      </c>
      <c r="R881" s="5">
        <f>IF(tblOrdenes[[#This Row],[fecha_inicio]]="","",tblOrdenes[[#This Row],[anio]]&amp;"-"&amp;TEXT(tblOrdenes[[#This Row],[mes]],"00"))</f>
        <v/>
      </c>
      <c r="S881" s="5">
        <f>IF(tblOrdenes[[#This Row],[fecha_inicio]]="","",INDEX(lista_dias,WEEKDAY(tblOrdenes[[#This Row],[fecha_inicio]],2)))</f>
        <v/>
      </c>
      <c r="T8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1" s="5">
        <f>IF(tblOrdenes[[#This Row],[tipo_ot]]="","",_xlfn.XLOOKUP(tblOrdenes[[#This Row],[tipo_ot]],tblTiposOT[codigo],tblTiposOT[clasificacion],"sin_clasificar"))</f>
        <v/>
      </c>
      <c r="V8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1" s="5">
        <f>IF(tblOrdenes[[#This Row],[centro_costo]]="","",_xlfn.XLOOKUP(tblOrdenes[[#This Row],[centro_costo]],tblCECO[codigo],tblCECO[linea],"(sin catálogo)"))</f>
        <v/>
      </c>
      <c r="X881" s="5">
        <f>IF(tblOrdenes[[#This Row],[centro_costo]]="","",_xlfn.XLOOKUP(tblOrdenes[[#This Row],[centro_costo]],tblCECO[codigo],tblCECO[area],"(sin catálogo)"))</f>
        <v/>
      </c>
      <c r="Y8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1" s="5">
        <f>IF(tblOrdenes[[#This Row],[centro_costo]]="","",_xlfn.XLOOKUP(tblOrdenes[[#This Row],[centro_costo]],tblCECO[codigo],tblCECO[coordinador],"(sin catálogo)"))</f>
        <v/>
      </c>
      <c r="AA881" s="5">
        <f>IF(tblOrdenes[[#This Row],[puesto_trabajo]]="","",_xlfn.XLOOKUP(tblOrdenes[[#This Row],[puesto_trabajo]],tblPuestos[codigo],tblPuestos[especialidad],"(sin catálogo)"))</f>
        <v/>
      </c>
      <c r="AB881" s="5">
        <f>IF(tblOrdenes[[#This Row],[cod_actividad]]="","",_xlfn.XLOOKUP(tblOrdenes[[#This Row],[cod_actividad]],tblActividades[codigo],tblActividades[descripcion],"(sin catálogo)"))</f>
        <v/>
      </c>
      <c r="AC881" s="20">
        <f>IF(tblOrdenes[[#This Row],[fecha_inicio]]="","",TODAY()-tblOrdenes[[#This Row],[fecha_inicio]])</f>
        <v/>
      </c>
      <c r="AD8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1" s="5">
        <f>IF(tblOrdenes[[#This Row],[backlog_habiles]]="","",IF(tblOrdenes[[#This Row],[backlog_habiles]]&lt;0,"FUTURO",IF(tblOrdenes[[#This Row],[backlog_habiles]]&gt;p_dias_backlog_max,"BACKLOG","MES CORRIENTE")))</f>
        <v/>
      </c>
      <c r="AF881" s="5">
        <f>IF(tblOrdenes[[#This Row],[backlog_habiles]]="",FALSE,AND(tblOrdenes[[#This Row],[backlog_habiles]]&gt;p_dias_backlog_min,tblOrdenes[[#This Row],[backlog_habiles]]&lt;=p_dias_backlog_max))</f>
        <v/>
      </c>
      <c r="AG881" s="4" t="n"/>
      <c r="AH8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1" s="18">
        <f>IF(tblOrdenes[[#This Row],[orden]]="","",_xlfn.XLOOKUP(tblOrdenes[[#This Row],[id_operacion]],tblEjecucion[id_operacion],tblEjecucion[precio],0))</f>
        <v/>
      </c>
      <c r="AL881" s="18">
        <f>IF(tblOrdenes[[#This Row],[orden]]="","",MAX(0,_xlfn.XLOOKUP(tblOrdenes[[#This Row],[id_operacion]],tblEjecucion[id_operacion],tblEjecucion[costo_plan_total],0)-tblOrdenes[[#This Row],[costo_servicio]]))</f>
        <v/>
      </c>
      <c r="AM881" s="18">
        <f>IF(tblOrdenes[[#This Row],[orden]]="","",tblOrdenes[[#This Row],[costo_servicio]]+tblOrdenes[[#This Row],[costo_materiales]])</f>
        <v/>
      </c>
      <c r="AN8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1" s="4" t="n"/>
      <c r="AP881" s="4" t="n"/>
      <c r="AQ881" s="4" t="n"/>
      <c r="AR881" s="5">
        <f>IF(tblOrdenes[[#This Row],[link_checklist]]="","",HYPERLINK(p_ruta_base_checklists&amp;tblOrdenes[[#This Row],[link_checklist]],"abrir"))</f>
        <v/>
      </c>
      <c r="AS881" s="4" t="n"/>
      <c r="AT881" s="5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22" t="n"/>
      <c r="K882" s="5" t="n"/>
      <c r="L882" s="18" t="n"/>
      <c r="M8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5">
        <f>IF(tblOrdenes[[#This Row],[fecha_inicio]]="","",YEAR(tblOrdenes[[#This Row],[fecha_inicio]]))</f>
        <v/>
      </c>
      <c r="Q882" s="5">
        <f>IF(tblOrdenes[[#This Row],[fecha_inicio]]="","",MONTH(tblOrdenes[[#This Row],[fecha_inicio]]))</f>
        <v/>
      </c>
      <c r="R882" s="5">
        <f>IF(tblOrdenes[[#This Row],[fecha_inicio]]="","",tblOrdenes[[#This Row],[anio]]&amp;"-"&amp;TEXT(tblOrdenes[[#This Row],[mes]],"00"))</f>
        <v/>
      </c>
      <c r="S882" s="5">
        <f>IF(tblOrdenes[[#This Row],[fecha_inicio]]="","",INDEX(lista_dias,WEEKDAY(tblOrdenes[[#This Row],[fecha_inicio]],2)))</f>
        <v/>
      </c>
      <c r="T8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2" s="5">
        <f>IF(tblOrdenes[[#This Row],[tipo_ot]]="","",_xlfn.XLOOKUP(tblOrdenes[[#This Row],[tipo_ot]],tblTiposOT[codigo],tblTiposOT[clasificacion],"sin_clasificar"))</f>
        <v/>
      </c>
      <c r="V8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2" s="5">
        <f>IF(tblOrdenes[[#This Row],[centro_costo]]="","",_xlfn.XLOOKUP(tblOrdenes[[#This Row],[centro_costo]],tblCECO[codigo],tblCECO[linea],"(sin catálogo)"))</f>
        <v/>
      </c>
      <c r="X882" s="5">
        <f>IF(tblOrdenes[[#This Row],[centro_costo]]="","",_xlfn.XLOOKUP(tblOrdenes[[#This Row],[centro_costo]],tblCECO[codigo],tblCECO[area],"(sin catálogo)"))</f>
        <v/>
      </c>
      <c r="Y8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2" s="5">
        <f>IF(tblOrdenes[[#This Row],[centro_costo]]="","",_xlfn.XLOOKUP(tblOrdenes[[#This Row],[centro_costo]],tblCECO[codigo],tblCECO[coordinador],"(sin catálogo)"))</f>
        <v/>
      </c>
      <c r="AA882" s="5">
        <f>IF(tblOrdenes[[#This Row],[puesto_trabajo]]="","",_xlfn.XLOOKUP(tblOrdenes[[#This Row],[puesto_trabajo]],tblPuestos[codigo],tblPuestos[especialidad],"(sin catálogo)"))</f>
        <v/>
      </c>
      <c r="AB882" s="5">
        <f>IF(tblOrdenes[[#This Row],[cod_actividad]]="","",_xlfn.XLOOKUP(tblOrdenes[[#This Row],[cod_actividad]],tblActividades[codigo],tblActividades[descripcion],"(sin catálogo)"))</f>
        <v/>
      </c>
      <c r="AC882" s="20">
        <f>IF(tblOrdenes[[#This Row],[fecha_inicio]]="","",TODAY()-tblOrdenes[[#This Row],[fecha_inicio]])</f>
        <v/>
      </c>
      <c r="AD8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2" s="5">
        <f>IF(tblOrdenes[[#This Row],[backlog_habiles]]="","",IF(tblOrdenes[[#This Row],[backlog_habiles]]&lt;0,"FUTURO",IF(tblOrdenes[[#This Row],[backlog_habiles]]&gt;p_dias_backlog_max,"BACKLOG","MES CORRIENTE")))</f>
        <v/>
      </c>
      <c r="AF882" s="5">
        <f>IF(tblOrdenes[[#This Row],[backlog_habiles]]="",FALSE,AND(tblOrdenes[[#This Row],[backlog_habiles]]&gt;p_dias_backlog_min,tblOrdenes[[#This Row],[backlog_habiles]]&lt;=p_dias_backlog_max))</f>
        <v/>
      </c>
      <c r="AG882" s="4" t="n"/>
      <c r="AH8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2" s="18">
        <f>IF(tblOrdenes[[#This Row],[orden]]="","",_xlfn.XLOOKUP(tblOrdenes[[#This Row],[id_operacion]],tblEjecucion[id_operacion],tblEjecucion[precio],0))</f>
        <v/>
      </c>
      <c r="AL882" s="18">
        <f>IF(tblOrdenes[[#This Row],[orden]]="","",MAX(0,_xlfn.XLOOKUP(tblOrdenes[[#This Row],[id_operacion]],tblEjecucion[id_operacion],tblEjecucion[costo_plan_total],0)-tblOrdenes[[#This Row],[costo_servicio]]))</f>
        <v/>
      </c>
      <c r="AM882" s="18">
        <f>IF(tblOrdenes[[#This Row],[orden]]="","",tblOrdenes[[#This Row],[costo_servicio]]+tblOrdenes[[#This Row],[costo_materiales]])</f>
        <v/>
      </c>
      <c r="AN8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2" s="4" t="n"/>
      <c r="AP882" s="4" t="n"/>
      <c r="AQ882" s="4" t="n"/>
      <c r="AR882" s="5">
        <f>IF(tblOrdenes[[#This Row],[link_checklist]]="","",HYPERLINK(p_ruta_base_checklists&amp;tblOrdenes[[#This Row],[link_checklist]],"abrir"))</f>
        <v/>
      </c>
      <c r="AS882" s="4" t="n"/>
      <c r="AT882" s="5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22" t="n"/>
      <c r="K883" s="5" t="n"/>
      <c r="L883" s="18" t="n"/>
      <c r="M8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5">
        <f>IF(tblOrdenes[[#This Row],[fecha_inicio]]="","",YEAR(tblOrdenes[[#This Row],[fecha_inicio]]))</f>
        <v/>
      </c>
      <c r="Q883" s="5">
        <f>IF(tblOrdenes[[#This Row],[fecha_inicio]]="","",MONTH(tblOrdenes[[#This Row],[fecha_inicio]]))</f>
        <v/>
      </c>
      <c r="R883" s="5">
        <f>IF(tblOrdenes[[#This Row],[fecha_inicio]]="","",tblOrdenes[[#This Row],[anio]]&amp;"-"&amp;TEXT(tblOrdenes[[#This Row],[mes]],"00"))</f>
        <v/>
      </c>
      <c r="S883" s="5">
        <f>IF(tblOrdenes[[#This Row],[fecha_inicio]]="","",INDEX(lista_dias,WEEKDAY(tblOrdenes[[#This Row],[fecha_inicio]],2)))</f>
        <v/>
      </c>
      <c r="T8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3" s="5">
        <f>IF(tblOrdenes[[#This Row],[tipo_ot]]="","",_xlfn.XLOOKUP(tblOrdenes[[#This Row],[tipo_ot]],tblTiposOT[codigo],tblTiposOT[clasificacion],"sin_clasificar"))</f>
        <v/>
      </c>
      <c r="V8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3" s="5">
        <f>IF(tblOrdenes[[#This Row],[centro_costo]]="","",_xlfn.XLOOKUP(tblOrdenes[[#This Row],[centro_costo]],tblCECO[codigo],tblCECO[linea],"(sin catálogo)"))</f>
        <v/>
      </c>
      <c r="X883" s="5">
        <f>IF(tblOrdenes[[#This Row],[centro_costo]]="","",_xlfn.XLOOKUP(tblOrdenes[[#This Row],[centro_costo]],tblCECO[codigo],tblCECO[area],"(sin catálogo)"))</f>
        <v/>
      </c>
      <c r="Y8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3" s="5">
        <f>IF(tblOrdenes[[#This Row],[centro_costo]]="","",_xlfn.XLOOKUP(tblOrdenes[[#This Row],[centro_costo]],tblCECO[codigo],tblCECO[coordinador],"(sin catálogo)"))</f>
        <v/>
      </c>
      <c r="AA883" s="5">
        <f>IF(tblOrdenes[[#This Row],[puesto_trabajo]]="","",_xlfn.XLOOKUP(tblOrdenes[[#This Row],[puesto_trabajo]],tblPuestos[codigo],tblPuestos[especialidad],"(sin catálogo)"))</f>
        <v/>
      </c>
      <c r="AB883" s="5">
        <f>IF(tblOrdenes[[#This Row],[cod_actividad]]="","",_xlfn.XLOOKUP(tblOrdenes[[#This Row],[cod_actividad]],tblActividades[codigo],tblActividades[descripcion],"(sin catálogo)"))</f>
        <v/>
      </c>
      <c r="AC883" s="20">
        <f>IF(tblOrdenes[[#This Row],[fecha_inicio]]="","",TODAY()-tblOrdenes[[#This Row],[fecha_inicio]])</f>
        <v/>
      </c>
      <c r="AD8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3" s="5">
        <f>IF(tblOrdenes[[#This Row],[backlog_habiles]]="","",IF(tblOrdenes[[#This Row],[backlog_habiles]]&lt;0,"FUTURO",IF(tblOrdenes[[#This Row],[backlog_habiles]]&gt;p_dias_backlog_max,"BACKLOG","MES CORRIENTE")))</f>
        <v/>
      </c>
      <c r="AF883" s="5">
        <f>IF(tblOrdenes[[#This Row],[backlog_habiles]]="",FALSE,AND(tblOrdenes[[#This Row],[backlog_habiles]]&gt;p_dias_backlog_min,tblOrdenes[[#This Row],[backlog_habiles]]&lt;=p_dias_backlog_max))</f>
        <v/>
      </c>
      <c r="AG883" s="4" t="n"/>
      <c r="AH8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3" s="18">
        <f>IF(tblOrdenes[[#This Row],[orden]]="","",_xlfn.XLOOKUP(tblOrdenes[[#This Row],[id_operacion]],tblEjecucion[id_operacion],tblEjecucion[precio],0))</f>
        <v/>
      </c>
      <c r="AL883" s="18">
        <f>IF(tblOrdenes[[#This Row],[orden]]="","",MAX(0,_xlfn.XLOOKUP(tblOrdenes[[#This Row],[id_operacion]],tblEjecucion[id_operacion],tblEjecucion[costo_plan_total],0)-tblOrdenes[[#This Row],[costo_servicio]]))</f>
        <v/>
      </c>
      <c r="AM883" s="18">
        <f>IF(tblOrdenes[[#This Row],[orden]]="","",tblOrdenes[[#This Row],[costo_servicio]]+tblOrdenes[[#This Row],[costo_materiales]])</f>
        <v/>
      </c>
      <c r="AN8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3" s="4" t="n"/>
      <c r="AP883" s="4" t="n"/>
      <c r="AQ883" s="4" t="n"/>
      <c r="AR883" s="5">
        <f>IF(tblOrdenes[[#This Row],[link_checklist]]="","",HYPERLINK(p_ruta_base_checklists&amp;tblOrdenes[[#This Row],[link_checklist]],"abrir"))</f>
        <v/>
      </c>
      <c r="AS883" s="4" t="n"/>
      <c r="AT883" s="5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22" t="n"/>
      <c r="K884" s="5" t="n"/>
      <c r="L884" s="18" t="n"/>
      <c r="M8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5">
        <f>IF(tblOrdenes[[#This Row],[fecha_inicio]]="","",YEAR(tblOrdenes[[#This Row],[fecha_inicio]]))</f>
        <v/>
      </c>
      <c r="Q884" s="5">
        <f>IF(tblOrdenes[[#This Row],[fecha_inicio]]="","",MONTH(tblOrdenes[[#This Row],[fecha_inicio]]))</f>
        <v/>
      </c>
      <c r="R884" s="5">
        <f>IF(tblOrdenes[[#This Row],[fecha_inicio]]="","",tblOrdenes[[#This Row],[anio]]&amp;"-"&amp;TEXT(tblOrdenes[[#This Row],[mes]],"00"))</f>
        <v/>
      </c>
      <c r="S884" s="5">
        <f>IF(tblOrdenes[[#This Row],[fecha_inicio]]="","",INDEX(lista_dias,WEEKDAY(tblOrdenes[[#This Row],[fecha_inicio]],2)))</f>
        <v/>
      </c>
      <c r="T8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4" s="5">
        <f>IF(tblOrdenes[[#This Row],[tipo_ot]]="","",_xlfn.XLOOKUP(tblOrdenes[[#This Row],[tipo_ot]],tblTiposOT[codigo],tblTiposOT[clasificacion],"sin_clasificar"))</f>
        <v/>
      </c>
      <c r="V8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4" s="5">
        <f>IF(tblOrdenes[[#This Row],[centro_costo]]="","",_xlfn.XLOOKUP(tblOrdenes[[#This Row],[centro_costo]],tblCECO[codigo],tblCECO[linea],"(sin catálogo)"))</f>
        <v/>
      </c>
      <c r="X884" s="5">
        <f>IF(tblOrdenes[[#This Row],[centro_costo]]="","",_xlfn.XLOOKUP(tblOrdenes[[#This Row],[centro_costo]],tblCECO[codigo],tblCECO[area],"(sin catálogo)"))</f>
        <v/>
      </c>
      <c r="Y8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4" s="5">
        <f>IF(tblOrdenes[[#This Row],[centro_costo]]="","",_xlfn.XLOOKUP(tblOrdenes[[#This Row],[centro_costo]],tblCECO[codigo],tblCECO[coordinador],"(sin catálogo)"))</f>
        <v/>
      </c>
      <c r="AA884" s="5">
        <f>IF(tblOrdenes[[#This Row],[puesto_trabajo]]="","",_xlfn.XLOOKUP(tblOrdenes[[#This Row],[puesto_trabajo]],tblPuestos[codigo],tblPuestos[especialidad],"(sin catálogo)"))</f>
        <v/>
      </c>
      <c r="AB884" s="5">
        <f>IF(tblOrdenes[[#This Row],[cod_actividad]]="","",_xlfn.XLOOKUP(tblOrdenes[[#This Row],[cod_actividad]],tblActividades[codigo],tblActividades[descripcion],"(sin catálogo)"))</f>
        <v/>
      </c>
      <c r="AC884" s="20">
        <f>IF(tblOrdenes[[#This Row],[fecha_inicio]]="","",TODAY()-tblOrdenes[[#This Row],[fecha_inicio]])</f>
        <v/>
      </c>
      <c r="AD8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4" s="5">
        <f>IF(tblOrdenes[[#This Row],[backlog_habiles]]="","",IF(tblOrdenes[[#This Row],[backlog_habiles]]&lt;0,"FUTURO",IF(tblOrdenes[[#This Row],[backlog_habiles]]&gt;p_dias_backlog_max,"BACKLOG","MES CORRIENTE")))</f>
        <v/>
      </c>
      <c r="AF884" s="5">
        <f>IF(tblOrdenes[[#This Row],[backlog_habiles]]="",FALSE,AND(tblOrdenes[[#This Row],[backlog_habiles]]&gt;p_dias_backlog_min,tblOrdenes[[#This Row],[backlog_habiles]]&lt;=p_dias_backlog_max))</f>
        <v/>
      </c>
      <c r="AG884" s="4" t="n"/>
      <c r="AH8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4" s="18">
        <f>IF(tblOrdenes[[#This Row],[orden]]="","",_xlfn.XLOOKUP(tblOrdenes[[#This Row],[id_operacion]],tblEjecucion[id_operacion],tblEjecucion[precio],0))</f>
        <v/>
      </c>
      <c r="AL884" s="18">
        <f>IF(tblOrdenes[[#This Row],[orden]]="","",MAX(0,_xlfn.XLOOKUP(tblOrdenes[[#This Row],[id_operacion]],tblEjecucion[id_operacion],tblEjecucion[costo_plan_total],0)-tblOrdenes[[#This Row],[costo_servicio]]))</f>
        <v/>
      </c>
      <c r="AM884" s="18">
        <f>IF(tblOrdenes[[#This Row],[orden]]="","",tblOrdenes[[#This Row],[costo_servicio]]+tblOrdenes[[#This Row],[costo_materiales]])</f>
        <v/>
      </c>
      <c r="AN8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4" s="4" t="n"/>
      <c r="AP884" s="4" t="n"/>
      <c r="AQ884" s="4" t="n"/>
      <c r="AR884" s="5">
        <f>IF(tblOrdenes[[#This Row],[link_checklist]]="","",HYPERLINK(p_ruta_base_checklists&amp;tblOrdenes[[#This Row],[link_checklist]],"abrir"))</f>
        <v/>
      </c>
      <c r="AS884" s="4" t="n"/>
      <c r="AT884" s="5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22" t="n"/>
      <c r="K885" s="5" t="n"/>
      <c r="L885" s="18" t="n"/>
      <c r="M8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5">
        <f>IF(tblOrdenes[[#This Row],[fecha_inicio]]="","",YEAR(tblOrdenes[[#This Row],[fecha_inicio]]))</f>
        <v/>
      </c>
      <c r="Q885" s="5">
        <f>IF(tblOrdenes[[#This Row],[fecha_inicio]]="","",MONTH(tblOrdenes[[#This Row],[fecha_inicio]]))</f>
        <v/>
      </c>
      <c r="R885" s="5">
        <f>IF(tblOrdenes[[#This Row],[fecha_inicio]]="","",tblOrdenes[[#This Row],[anio]]&amp;"-"&amp;TEXT(tblOrdenes[[#This Row],[mes]],"00"))</f>
        <v/>
      </c>
      <c r="S885" s="5">
        <f>IF(tblOrdenes[[#This Row],[fecha_inicio]]="","",INDEX(lista_dias,WEEKDAY(tblOrdenes[[#This Row],[fecha_inicio]],2)))</f>
        <v/>
      </c>
      <c r="T8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5" s="5">
        <f>IF(tblOrdenes[[#This Row],[tipo_ot]]="","",_xlfn.XLOOKUP(tblOrdenes[[#This Row],[tipo_ot]],tblTiposOT[codigo],tblTiposOT[clasificacion],"sin_clasificar"))</f>
        <v/>
      </c>
      <c r="V8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5" s="5">
        <f>IF(tblOrdenes[[#This Row],[centro_costo]]="","",_xlfn.XLOOKUP(tblOrdenes[[#This Row],[centro_costo]],tblCECO[codigo],tblCECO[linea],"(sin catálogo)"))</f>
        <v/>
      </c>
      <c r="X885" s="5">
        <f>IF(tblOrdenes[[#This Row],[centro_costo]]="","",_xlfn.XLOOKUP(tblOrdenes[[#This Row],[centro_costo]],tblCECO[codigo],tblCECO[area],"(sin catálogo)"))</f>
        <v/>
      </c>
      <c r="Y8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5" s="5">
        <f>IF(tblOrdenes[[#This Row],[centro_costo]]="","",_xlfn.XLOOKUP(tblOrdenes[[#This Row],[centro_costo]],tblCECO[codigo],tblCECO[coordinador],"(sin catálogo)"))</f>
        <v/>
      </c>
      <c r="AA885" s="5">
        <f>IF(tblOrdenes[[#This Row],[puesto_trabajo]]="","",_xlfn.XLOOKUP(tblOrdenes[[#This Row],[puesto_trabajo]],tblPuestos[codigo],tblPuestos[especialidad],"(sin catálogo)"))</f>
        <v/>
      </c>
      <c r="AB885" s="5">
        <f>IF(tblOrdenes[[#This Row],[cod_actividad]]="","",_xlfn.XLOOKUP(tblOrdenes[[#This Row],[cod_actividad]],tblActividades[codigo],tblActividades[descripcion],"(sin catálogo)"))</f>
        <v/>
      </c>
      <c r="AC885" s="20">
        <f>IF(tblOrdenes[[#This Row],[fecha_inicio]]="","",TODAY()-tblOrdenes[[#This Row],[fecha_inicio]])</f>
        <v/>
      </c>
      <c r="AD8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5" s="5">
        <f>IF(tblOrdenes[[#This Row],[backlog_habiles]]="","",IF(tblOrdenes[[#This Row],[backlog_habiles]]&lt;0,"FUTURO",IF(tblOrdenes[[#This Row],[backlog_habiles]]&gt;p_dias_backlog_max,"BACKLOG","MES CORRIENTE")))</f>
        <v/>
      </c>
      <c r="AF885" s="5">
        <f>IF(tblOrdenes[[#This Row],[backlog_habiles]]="",FALSE,AND(tblOrdenes[[#This Row],[backlog_habiles]]&gt;p_dias_backlog_min,tblOrdenes[[#This Row],[backlog_habiles]]&lt;=p_dias_backlog_max))</f>
        <v/>
      </c>
      <c r="AG885" s="4" t="n"/>
      <c r="AH8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5" s="18">
        <f>IF(tblOrdenes[[#This Row],[orden]]="","",_xlfn.XLOOKUP(tblOrdenes[[#This Row],[id_operacion]],tblEjecucion[id_operacion],tblEjecucion[precio],0))</f>
        <v/>
      </c>
      <c r="AL885" s="18">
        <f>IF(tblOrdenes[[#This Row],[orden]]="","",MAX(0,_xlfn.XLOOKUP(tblOrdenes[[#This Row],[id_operacion]],tblEjecucion[id_operacion],tblEjecucion[costo_plan_total],0)-tblOrdenes[[#This Row],[costo_servicio]]))</f>
        <v/>
      </c>
      <c r="AM885" s="18">
        <f>IF(tblOrdenes[[#This Row],[orden]]="","",tblOrdenes[[#This Row],[costo_servicio]]+tblOrdenes[[#This Row],[costo_materiales]])</f>
        <v/>
      </c>
      <c r="AN8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5" s="4" t="n"/>
      <c r="AP885" s="4" t="n"/>
      <c r="AQ885" s="4" t="n"/>
      <c r="AR885" s="5">
        <f>IF(tblOrdenes[[#This Row],[link_checklist]]="","",HYPERLINK(p_ruta_base_checklists&amp;tblOrdenes[[#This Row],[link_checklist]],"abrir"))</f>
        <v/>
      </c>
      <c r="AS885" s="4" t="n"/>
      <c r="AT885" s="5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22" t="n"/>
      <c r="K886" s="5" t="n"/>
      <c r="L886" s="18" t="n"/>
      <c r="M8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5">
        <f>IF(tblOrdenes[[#This Row],[fecha_inicio]]="","",YEAR(tblOrdenes[[#This Row],[fecha_inicio]]))</f>
        <v/>
      </c>
      <c r="Q886" s="5">
        <f>IF(tblOrdenes[[#This Row],[fecha_inicio]]="","",MONTH(tblOrdenes[[#This Row],[fecha_inicio]]))</f>
        <v/>
      </c>
      <c r="R886" s="5">
        <f>IF(tblOrdenes[[#This Row],[fecha_inicio]]="","",tblOrdenes[[#This Row],[anio]]&amp;"-"&amp;TEXT(tblOrdenes[[#This Row],[mes]],"00"))</f>
        <v/>
      </c>
      <c r="S886" s="5">
        <f>IF(tblOrdenes[[#This Row],[fecha_inicio]]="","",INDEX(lista_dias,WEEKDAY(tblOrdenes[[#This Row],[fecha_inicio]],2)))</f>
        <v/>
      </c>
      <c r="T8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6" s="5">
        <f>IF(tblOrdenes[[#This Row],[tipo_ot]]="","",_xlfn.XLOOKUP(tblOrdenes[[#This Row],[tipo_ot]],tblTiposOT[codigo],tblTiposOT[clasificacion],"sin_clasificar"))</f>
        <v/>
      </c>
      <c r="V8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6" s="5">
        <f>IF(tblOrdenes[[#This Row],[centro_costo]]="","",_xlfn.XLOOKUP(tblOrdenes[[#This Row],[centro_costo]],tblCECO[codigo],tblCECO[linea],"(sin catálogo)"))</f>
        <v/>
      </c>
      <c r="X886" s="5">
        <f>IF(tblOrdenes[[#This Row],[centro_costo]]="","",_xlfn.XLOOKUP(tblOrdenes[[#This Row],[centro_costo]],tblCECO[codigo],tblCECO[area],"(sin catálogo)"))</f>
        <v/>
      </c>
      <c r="Y8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6" s="5">
        <f>IF(tblOrdenes[[#This Row],[centro_costo]]="","",_xlfn.XLOOKUP(tblOrdenes[[#This Row],[centro_costo]],tblCECO[codigo],tblCECO[coordinador],"(sin catálogo)"))</f>
        <v/>
      </c>
      <c r="AA886" s="5">
        <f>IF(tblOrdenes[[#This Row],[puesto_trabajo]]="","",_xlfn.XLOOKUP(tblOrdenes[[#This Row],[puesto_trabajo]],tblPuestos[codigo],tblPuestos[especialidad],"(sin catálogo)"))</f>
        <v/>
      </c>
      <c r="AB886" s="5">
        <f>IF(tblOrdenes[[#This Row],[cod_actividad]]="","",_xlfn.XLOOKUP(tblOrdenes[[#This Row],[cod_actividad]],tblActividades[codigo],tblActividades[descripcion],"(sin catálogo)"))</f>
        <v/>
      </c>
      <c r="AC886" s="20">
        <f>IF(tblOrdenes[[#This Row],[fecha_inicio]]="","",TODAY()-tblOrdenes[[#This Row],[fecha_inicio]])</f>
        <v/>
      </c>
      <c r="AD8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6" s="5">
        <f>IF(tblOrdenes[[#This Row],[backlog_habiles]]="","",IF(tblOrdenes[[#This Row],[backlog_habiles]]&lt;0,"FUTURO",IF(tblOrdenes[[#This Row],[backlog_habiles]]&gt;p_dias_backlog_max,"BACKLOG","MES CORRIENTE")))</f>
        <v/>
      </c>
      <c r="AF886" s="5">
        <f>IF(tblOrdenes[[#This Row],[backlog_habiles]]="",FALSE,AND(tblOrdenes[[#This Row],[backlog_habiles]]&gt;p_dias_backlog_min,tblOrdenes[[#This Row],[backlog_habiles]]&lt;=p_dias_backlog_max))</f>
        <v/>
      </c>
      <c r="AG886" s="4" t="n"/>
      <c r="AH8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6" s="18">
        <f>IF(tblOrdenes[[#This Row],[orden]]="","",_xlfn.XLOOKUP(tblOrdenes[[#This Row],[id_operacion]],tblEjecucion[id_operacion],tblEjecucion[precio],0))</f>
        <v/>
      </c>
      <c r="AL886" s="18">
        <f>IF(tblOrdenes[[#This Row],[orden]]="","",MAX(0,_xlfn.XLOOKUP(tblOrdenes[[#This Row],[id_operacion]],tblEjecucion[id_operacion],tblEjecucion[costo_plan_total],0)-tblOrdenes[[#This Row],[costo_servicio]]))</f>
        <v/>
      </c>
      <c r="AM886" s="18">
        <f>IF(tblOrdenes[[#This Row],[orden]]="","",tblOrdenes[[#This Row],[costo_servicio]]+tblOrdenes[[#This Row],[costo_materiales]])</f>
        <v/>
      </c>
      <c r="AN8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6" s="4" t="n"/>
      <c r="AP886" s="4" t="n"/>
      <c r="AQ886" s="4" t="n"/>
      <c r="AR886" s="5">
        <f>IF(tblOrdenes[[#This Row],[link_checklist]]="","",HYPERLINK(p_ruta_base_checklists&amp;tblOrdenes[[#This Row],[link_checklist]],"abrir"))</f>
        <v/>
      </c>
      <c r="AS886" s="4" t="n"/>
      <c r="AT886" s="5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22" t="n"/>
      <c r="K887" s="5" t="n"/>
      <c r="L887" s="18" t="n"/>
      <c r="M8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5">
        <f>IF(tblOrdenes[[#This Row],[fecha_inicio]]="","",YEAR(tblOrdenes[[#This Row],[fecha_inicio]]))</f>
        <v/>
      </c>
      <c r="Q887" s="5">
        <f>IF(tblOrdenes[[#This Row],[fecha_inicio]]="","",MONTH(tblOrdenes[[#This Row],[fecha_inicio]]))</f>
        <v/>
      </c>
      <c r="R887" s="5">
        <f>IF(tblOrdenes[[#This Row],[fecha_inicio]]="","",tblOrdenes[[#This Row],[anio]]&amp;"-"&amp;TEXT(tblOrdenes[[#This Row],[mes]],"00"))</f>
        <v/>
      </c>
      <c r="S887" s="5">
        <f>IF(tblOrdenes[[#This Row],[fecha_inicio]]="","",INDEX(lista_dias,WEEKDAY(tblOrdenes[[#This Row],[fecha_inicio]],2)))</f>
        <v/>
      </c>
      <c r="T8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7" s="5">
        <f>IF(tblOrdenes[[#This Row],[tipo_ot]]="","",_xlfn.XLOOKUP(tblOrdenes[[#This Row],[tipo_ot]],tblTiposOT[codigo],tblTiposOT[clasificacion],"sin_clasificar"))</f>
        <v/>
      </c>
      <c r="V8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7" s="5">
        <f>IF(tblOrdenes[[#This Row],[centro_costo]]="","",_xlfn.XLOOKUP(tblOrdenes[[#This Row],[centro_costo]],tblCECO[codigo],tblCECO[linea],"(sin catálogo)"))</f>
        <v/>
      </c>
      <c r="X887" s="5">
        <f>IF(tblOrdenes[[#This Row],[centro_costo]]="","",_xlfn.XLOOKUP(tblOrdenes[[#This Row],[centro_costo]],tblCECO[codigo],tblCECO[area],"(sin catálogo)"))</f>
        <v/>
      </c>
      <c r="Y8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7" s="5">
        <f>IF(tblOrdenes[[#This Row],[centro_costo]]="","",_xlfn.XLOOKUP(tblOrdenes[[#This Row],[centro_costo]],tblCECO[codigo],tblCECO[coordinador],"(sin catálogo)"))</f>
        <v/>
      </c>
      <c r="AA887" s="5">
        <f>IF(tblOrdenes[[#This Row],[puesto_trabajo]]="","",_xlfn.XLOOKUP(tblOrdenes[[#This Row],[puesto_trabajo]],tblPuestos[codigo],tblPuestos[especialidad],"(sin catálogo)"))</f>
        <v/>
      </c>
      <c r="AB887" s="5">
        <f>IF(tblOrdenes[[#This Row],[cod_actividad]]="","",_xlfn.XLOOKUP(tblOrdenes[[#This Row],[cod_actividad]],tblActividades[codigo],tblActividades[descripcion],"(sin catálogo)"))</f>
        <v/>
      </c>
      <c r="AC887" s="20">
        <f>IF(tblOrdenes[[#This Row],[fecha_inicio]]="","",TODAY()-tblOrdenes[[#This Row],[fecha_inicio]])</f>
        <v/>
      </c>
      <c r="AD8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7" s="5">
        <f>IF(tblOrdenes[[#This Row],[backlog_habiles]]="","",IF(tblOrdenes[[#This Row],[backlog_habiles]]&lt;0,"FUTURO",IF(tblOrdenes[[#This Row],[backlog_habiles]]&gt;p_dias_backlog_max,"BACKLOG","MES CORRIENTE")))</f>
        <v/>
      </c>
      <c r="AF887" s="5">
        <f>IF(tblOrdenes[[#This Row],[backlog_habiles]]="",FALSE,AND(tblOrdenes[[#This Row],[backlog_habiles]]&gt;p_dias_backlog_min,tblOrdenes[[#This Row],[backlog_habiles]]&lt;=p_dias_backlog_max))</f>
        <v/>
      </c>
      <c r="AG887" s="4" t="n"/>
      <c r="AH8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7" s="18">
        <f>IF(tblOrdenes[[#This Row],[orden]]="","",_xlfn.XLOOKUP(tblOrdenes[[#This Row],[id_operacion]],tblEjecucion[id_operacion],tblEjecucion[precio],0))</f>
        <v/>
      </c>
      <c r="AL887" s="18">
        <f>IF(tblOrdenes[[#This Row],[orden]]="","",MAX(0,_xlfn.XLOOKUP(tblOrdenes[[#This Row],[id_operacion]],tblEjecucion[id_operacion],tblEjecucion[costo_plan_total],0)-tblOrdenes[[#This Row],[costo_servicio]]))</f>
        <v/>
      </c>
      <c r="AM887" s="18">
        <f>IF(tblOrdenes[[#This Row],[orden]]="","",tblOrdenes[[#This Row],[costo_servicio]]+tblOrdenes[[#This Row],[costo_materiales]])</f>
        <v/>
      </c>
      <c r="AN8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7" s="4" t="n"/>
      <c r="AP887" s="4" t="n"/>
      <c r="AQ887" s="4" t="n"/>
      <c r="AR887" s="5">
        <f>IF(tblOrdenes[[#This Row],[link_checklist]]="","",HYPERLINK(p_ruta_base_checklists&amp;tblOrdenes[[#This Row],[link_checklist]],"abrir"))</f>
        <v/>
      </c>
      <c r="AS887" s="4" t="n"/>
      <c r="AT887" s="5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22" t="n"/>
      <c r="K888" s="5" t="n"/>
      <c r="L888" s="18" t="n"/>
      <c r="M8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5">
        <f>IF(tblOrdenes[[#This Row],[fecha_inicio]]="","",YEAR(tblOrdenes[[#This Row],[fecha_inicio]]))</f>
        <v/>
      </c>
      <c r="Q888" s="5">
        <f>IF(tblOrdenes[[#This Row],[fecha_inicio]]="","",MONTH(tblOrdenes[[#This Row],[fecha_inicio]]))</f>
        <v/>
      </c>
      <c r="R888" s="5">
        <f>IF(tblOrdenes[[#This Row],[fecha_inicio]]="","",tblOrdenes[[#This Row],[anio]]&amp;"-"&amp;TEXT(tblOrdenes[[#This Row],[mes]],"00"))</f>
        <v/>
      </c>
      <c r="S888" s="5">
        <f>IF(tblOrdenes[[#This Row],[fecha_inicio]]="","",INDEX(lista_dias,WEEKDAY(tblOrdenes[[#This Row],[fecha_inicio]],2)))</f>
        <v/>
      </c>
      <c r="T8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8" s="5">
        <f>IF(tblOrdenes[[#This Row],[tipo_ot]]="","",_xlfn.XLOOKUP(tblOrdenes[[#This Row],[tipo_ot]],tblTiposOT[codigo],tblTiposOT[clasificacion],"sin_clasificar"))</f>
        <v/>
      </c>
      <c r="V8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8" s="5">
        <f>IF(tblOrdenes[[#This Row],[centro_costo]]="","",_xlfn.XLOOKUP(tblOrdenes[[#This Row],[centro_costo]],tblCECO[codigo],tblCECO[linea],"(sin catálogo)"))</f>
        <v/>
      </c>
      <c r="X888" s="5">
        <f>IF(tblOrdenes[[#This Row],[centro_costo]]="","",_xlfn.XLOOKUP(tblOrdenes[[#This Row],[centro_costo]],tblCECO[codigo],tblCECO[area],"(sin catálogo)"))</f>
        <v/>
      </c>
      <c r="Y8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8" s="5">
        <f>IF(tblOrdenes[[#This Row],[centro_costo]]="","",_xlfn.XLOOKUP(tblOrdenes[[#This Row],[centro_costo]],tblCECO[codigo],tblCECO[coordinador],"(sin catálogo)"))</f>
        <v/>
      </c>
      <c r="AA888" s="5">
        <f>IF(tblOrdenes[[#This Row],[puesto_trabajo]]="","",_xlfn.XLOOKUP(tblOrdenes[[#This Row],[puesto_trabajo]],tblPuestos[codigo],tblPuestos[especialidad],"(sin catálogo)"))</f>
        <v/>
      </c>
      <c r="AB888" s="5">
        <f>IF(tblOrdenes[[#This Row],[cod_actividad]]="","",_xlfn.XLOOKUP(tblOrdenes[[#This Row],[cod_actividad]],tblActividades[codigo],tblActividades[descripcion],"(sin catálogo)"))</f>
        <v/>
      </c>
      <c r="AC888" s="20">
        <f>IF(tblOrdenes[[#This Row],[fecha_inicio]]="","",TODAY()-tblOrdenes[[#This Row],[fecha_inicio]])</f>
        <v/>
      </c>
      <c r="AD8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8" s="5">
        <f>IF(tblOrdenes[[#This Row],[backlog_habiles]]="","",IF(tblOrdenes[[#This Row],[backlog_habiles]]&lt;0,"FUTURO",IF(tblOrdenes[[#This Row],[backlog_habiles]]&gt;p_dias_backlog_max,"BACKLOG","MES CORRIENTE")))</f>
        <v/>
      </c>
      <c r="AF888" s="5">
        <f>IF(tblOrdenes[[#This Row],[backlog_habiles]]="",FALSE,AND(tblOrdenes[[#This Row],[backlog_habiles]]&gt;p_dias_backlog_min,tblOrdenes[[#This Row],[backlog_habiles]]&lt;=p_dias_backlog_max))</f>
        <v/>
      </c>
      <c r="AG888" s="4" t="n"/>
      <c r="AH8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8" s="18">
        <f>IF(tblOrdenes[[#This Row],[orden]]="","",_xlfn.XLOOKUP(tblOrdenes[[#This Row],[id_operacion]],tblEjecucion[id_operacion],tblEjecucion[precio],0))</f>
        <v/>
      </c>
      <c r="AL888" s="18">
        <f>IF(tblOrdenes[[#This Row],[orden]]="","",MAX(0,_xlfn.XLOOKUP(tblOrdenes[[#This Row],[id_operacion]],tblEjecucion[id_operacion],tblEjecucion[costo_plan_total],0)-tblOrdenes[[#This Row],[costo_servicio]]))</f>
        <v/>
      </c>
      <c r="AM888" s="18">
        <f>IF(tblOrdenes[[#This Row],[orden]]="","",tblOrdenes[[#This Row],[costo_servicio]]+tblOrdenes[[#This Row],[costo_materiales]])</f>
        <v/>
      </c>
      <c r="AN8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8" s="4" t="n"/>
      <c r="AP888" s="4" t="n"/>
      <c r="AQ888" s="4" t="n"/>
      <c r="AR888" s="5">
        <f>IF(tblOrdenes[[#This Row],[link_checklist]]="","",HYPERLINK(p_ruta_base_checklists&amp;tblOrdenes[[#This Row],[link_checklist]],"abrir"))</f>
        <v/>
      </c>
      <c r="AS888" s="4" t="n"/>
      <c r="AT888" s="5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22" t="n"/>
      <c r="K889" s="5" t="n"/>
      <c r="L889" s="18" t="n"/>
      <c r="M8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5">
        <f>IF(tblOrdenes[[#This Row],[fecha_inicio]]="","",YEAR(tblOrdenes[[#This Row],[fecha_inicio]]))</f>
        <v/>
      </c>
      <c r="Q889" s="5">
        <f>IF(tblOrdenes[[#This Row],[fecha_inicio]]="","",MONTH(tblOrdenes[[#This Row],[fecha_inicio]]))</f>
        <v/>
      </c>
      <c r="R889" s="5">
        <f>IF(tblOrdenes[[#This Row],[fecha_inicio]]="","",tblOrdenes[[#This Row],[anio]]&amp;"-"&amp;TEXT(tblOrdenes[[#This Row],[mes]],"00"))</f>
        <v/>
      </c>
      <c r="S889" s="5">
        <f>IF(tblOrdenes[[#This Row],[fecha_inicio]]="","",INDEX(lista_dias,WEEKDAY(tblOrdenes[[#This Row],[fecha_inicio]],2)))</f>
        <v/>
      </c>
      <c r="T8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9" s="5">
        <f>IF(tblOrdenes[[#This Row],[tipo_ot]]="","",_xlfn.XLOOKUP(tblOrdenes[[#This Row],[tipo_ot]],tblTiposOT[codigo],tblTiposOT[clasificacion],"sin_clasificar"))</f>
        <v/>
      </c>
      <c r="V8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9" s="5">
        <f>IF(tblOrdenes[[#This Row],[centro_costo]]="","",_xlfn.XLOOKUP(tblOrdenes[[#This Row],[centro_costo]],tblCECO[codigo],tblCECO[linea],"(sin catálogo)"))</f>
        <v/>
      </c>
      <c r="X889" s="5">
        <f>IF(tblOrdenes[[#This Row],[centro_costo]]="","",_xlfn.XLOOKUP(tblOrdenes[[#This Row],[centro_costo]],tblCECO[codigo],tblCECO[area],"(sin catálogo)"))</f>
        <v/>
      </c>
      <c r="Y8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89" s="5">
        <f>IF(tblOrdenes[[#This Row],[centro_costo]]="","",_xlfn.XLOOKUP(tblOrdenes[[#This Row],[centro_costo]],tblCECO[codigo],tblCECO[coordinador],"(sin catálogo)"))</f>
        <v/>
      </c>
      <c r="AA889" s="5">
        <f>IF(tblOrdenes[[#This Row],[puesto_trabajo]]="","",_xlfn.XLOOKUP(tblOrdenes[[#This Row],[puesto_trabajo]],tblPuestos[codigo],tblPuestos[especialidad],"(sin catálogo)"))</f>
        <v/>
      </c>
      <c r="AB889" s="5">
        <f>IF(tblOrdenes[[#This Row],[cod_actividad]]="","",_xlfn.XLOOKUP(tblOrdenes[[#This Row],[cod_actividad]],tblActividades[codigo],tblActividades[descripcion],"(sin catálogo)"))</f>
        <v/>
      </c>
      <c r="AC889" s="20">
        <f>IF(tblOrdenes[[#This Row],[fecha_inicio]]="","",TODAY()-tblOrdenes[[#This Row],[fecha_inicio]])</f>
        <v/>
      </c>
      <c r="AD8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89" s="5">
        <f>IF(tblOrdenes[[#This Row],[backlog_habiles]]="","",IF(tblOrdenes[[#This Row],[backlog_habiles]]&lt;0,"FUTURO",IF(tblOrdenes[[#This Row],[backlog_habiles]]&gt;p_dias_backlog_max,"BACKLOG","MES CORRIENTE")))</f>
        <v/>
      </c>
      <c r="AF889" s="5">
        <f>IF(tblOrdenes[[#This Row],[backlog_habiles]]="",FALSE,AND(tblOrdenes[[#This Row],[backlog_habiles]]&gt;p_dias_backlog_min,tblOrdenes[[#This Row],[backlog_habiles]]&lt;=p_dias_backlog_max))</f>
        <v/>
      </c>
      <c r="AG889" s="4" t="n"/>
      <c r="AH8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89" s="18">
        <f>IF(tblOrdenes[[#This Row],[orden]]="","",_xlfn.XLOOKUP(tblOrdenes[[#This Row],[id_operacion]],tblEjecucion[id_operacion],tblEjecucion[precio],0))</f>
        <v/>
      </c>
      <c r="AL889" s="18">
        <f>IF(tblOrdenes[[#This Row],[orden]]="","",MAX(0,_xlfn.XLOOKUP(tblOrdenes[[#This Row],[id_operacion]],tblEjecucion[id_operacion],tblEjecucion[costo_plan_total],0)-tblOrdenes[[#This Row],[costo_servicio]]))</f>
        <v/>
      </c>
      <c r="AM889" s="18">
        <f>IF(tblOrdenes[[#This Row],[orden]]="","",tblOrdenes[[#This Row],[costo_servicio]]+tblOrdenes[[#This Row],[costo_materiales]])</f>
        <v/>
      </c>
      <c r="AN8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89" s="4" t="n"/>
      <c r="AP889" s="4" t="n"/>
      <c r="AQ889" s="4" t="n"/>
      <c r="AR889" s="5">
        <f>IF(tblOrdenes[[#This Row],[link_checklist]]="","",HYPERLINK(p_ruta_base_checklists&amp;tblOrdenes[[#This Row],[link_checklist]],"abrir"))</f>
        <v/>
      </c>
      <c r="AS889" s="4" t="n"/>
      <c r="AT889" s="5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22" t="n"/>
      <c r="K890" s="5" t="n"/>
      <c r="L890" s="18" t="n"/>
      <c r="M8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5">
        <f>IF(tblOrdenes[[#This Row],[fecha_inicio]]="","",YEAR(tblOrdenes[[#This Row],[fecha_inicio]]))</f>
        <v/>
      </c>
      <c r="Q890" s="5">
        <f>IF(tblOrdenes[[#This Row],[fecha_inicio]]="","",MONTH(tblOrdenes[[#This Row],[fecha_inicio]]))</f>
        <v/>
      </c>
      <c r="R890" s="5">
        <f>IF(tblOrdenes[[#This Row],[fecha_inicio]]="","",tblOrdenes[[#This Row],[anio]]&amp;"-"&amp;TEXT(tblOrdenes[[#This Row],[mes]],"00"))</f>
        <v/>
      </c>
      <c r="S890" s="5">
        <f>IF(tblOrdenes[[#This Row],[fecha_inicio]]="","",INDEX(lista_dias,WEEKDAY(tblOrdenes[[#This Row],[fecha_inicio]],2)))</f>
        <v/>
      </c>
      <c r="T8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0" s="5">
        <f>IF(tblOrdenes[[#This Row],[tipo_ot]]="","",_xlfn.XLOOKUP(tblOrdenes[[#This Row],[tipo_ot]],tblTiposOT[codigo],tblTiposOT[clasificacion],"sin_clasificar"))</f>
        <v/>
      </c>
      <c r="V8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0" s="5">
        <f>IF(tblOrdenes[[#This Row],[centro_costo]]="","",_xlfn.XLOOKUP(tblOrdenes[[#This Row],[centro_costo]],tblCECO[codigo],tblCECO[linea],"(sin catálogo)"))</f>
        <v/>
      </c>
      <c r="X890" s="5">
        <f>IF(tblOrdenes[[#This Row],[centro_costo]]="","",_xlfn.XLOOKUP(tblOrdenes[[#This Row],[centro_costo]],tblCECO[codigo],tblCECO[area],"(sin catálogo)"))</f>
        <v/>
      </c>
      <c r="Y8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0" s="5">
        <f>IF(tblOrdenes[[#This Row],[centro_costo]]="","",_xlfn.XLOOKUP(tblOrdenes[[#This Row],[centro_costo]],tblCECO[codigo],tblCECO[coordinador],"(sin catálogo)"))</f>
        <v/>
      </c>
      <c r="AA890" s="5">
        <f>IF(tblOrdenes[[#This Row],[puesto_trabajo]]="","",_xlfn.XLOOKUP(tblOrdenes[[#This Row],[puesto_trabajo]],tblPuestos[codigo],tblPuestos[especialidad],"(sin catálogo)"))</f>
        <v/>
      </c>
      <c r="AB890" s="5">
        <f>IF(tblOrdenes[[#This Row],[cod_actividad]]="","",_xlfn.XLOOKUP(tblOrdenes[[#This Row],[cod_actividad]],tblActividades[codigo],tblActividades[descripcion],"(sin catálogo)"))</f>
        <v/>
      </c>
      <c r="AC890" s="20">
        <f>IF(tblOrdenes[[#This Row],[fecha_inicio]]="","",TODAY()-tblOrdenes[[#This Row],[fecha_inicio]])</f>
        <v/>
      </c>
      <c r="AD8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0" s="5">
        <f>IF(tblOrdenes[[#This Row],[backlog_habiles]]="","",IF(tblOrdenes[[#This Row],[backlog_habiles]]&lt;0,"FUTURO",IF(tblOrdenes[[#This Row],[backlog_habiles]]&gt;p_dias_backlog_max,"BACKLOG","MES CORRIENTE")))</f>
        <v/>
      </c>
      <c r="AF890" s="5">
        <f>IF(tblOrdenes[[#This Row],[backlog_habiles]]="",FALSE,AND(tblOrdenes[[#This Row],[backlog_habiles]]&gt;p_dias_backlog_min,tblOrdenes[[#This Row],[backlog_habiles]]&lt;=p_dias_backlog_max))</f>
        <v/>
      </c>
      <c r="AG890" s="4" t="n"/>
      <c r="AH8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0" s="18">
        <f>IF(tblOrdenes[[#This Row],[orden]]="","",_xlfn.XLOOKUP(tblOrdenes[[#This Row],[id_operacion]],tblEjecucion[id_operacion],tblEjecucion[precio],0))</f>
        <v/>
      </c>
      <c r="AL890" s="18">
        <f>IF(tblOrdenes[[#This Row],[orden]]="","",MAX(0,_xlfn.XLOOKUP(tblOrdenes[[#This Row],[id_operacion]],tblEjecucion[id_operacion],tblEjecucion[costo_plan_total],0)-tblOrdenes[[#This Row],[costo_servicio]]))</f>
        <v/>
      </c>
      <c r="AM890" s="18">
        <f>IF(tblOrdenes[[#This Row],[orden]]="","",tblOrdenes[[#This Row],[costo_servicio]]+tblOrdenes[[#This Row],[costo_materiales]])</f>
        <v/>
      </c>
      <c r="AN8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0" s="4" t="n"/>
      <c r="AP890" s="4" t="n"/>
      <c r="AQ890" s="4" t="n"/>
      <c r="AR890" s="5">
        <f>IF(tblOrdenes[[#This Row],[link_checklist]]="","",HYPERLINK(p_ruta_base_checklists&amp;tblOrdenes[[#This Row],[link_checklist]],"abrir"))</f>
        <v/>
      </c>
      <c r="AS890" s="4" t="n"/>
      <c r="AT890" s="5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22" t="n"/>
      <c r="K891" s="5" t="n"/>
      <c r="L891" s="18" t="n"/>
      <c r="M8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5">
        <f>IF(tblOrdenes[[#This Row],[fecha_inicio]]="","",YEAR(tblOrdenes[[#This Row],[fecha_inicio]]))</f>
        <v/>
      </c>
      <c r="Q891" s="5">
        <f>IF(tblOrdenes[[#This Row],[fecha_inicio]]="","",MONTH(tblOrdenes[[#This Row],[fecha_inicio]]))</f>
        <v/>
      </c>
      <c r="R891" s="5">
        <f>IF(tblOrdenes[[#This Row],[fecha_inicio]]="","",tblOrdenes[[#This Row],[anio]]&amp;"-"&amp;TEXT(tblOrdenes[[#This Row],[mes]],"00"))</f>
        <v/>
      </c>
      <c r="S891" s="5">
        <f>IF(tblOrdenes[[#This Row],[fecha_inicio]]="","",INDEX(lista_dias,WEEKDAY(tblOrdenes[[#This Row],[fecha_inicio]],2)))</f>
        <v/>
      </c>
      <c r="T8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1" s="5">
        <f>IF(tblOrdenes[[#This Row],[tipo_ot]]="","",_xlfn.XLOOKUP(tblOrdenes[[#This Row],[tipo_ot]],tblTiposOT[codigo],tblTiposOT[clasificacion],"sin_clasificar"))</f>
        <v/>
      </c>
      <c r="V8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1" s="5">
        <f>IF(tblOrdenes[[#This Row],[centro_costo]]="","",_xlfn.XLOOKUP(tblOrdenes[[#This Row],[centro_costo]],tblCECO[codigo],tblCECO[linea],"(sin catálogo)"))</f>
        <v/>
      </c>
      <c r="X891" s="5">
        <f>IF(tblOrdenes[[#This Row],[centro_costo]]="","",_xlfn.XLOOKUP(tblOrdenes[[#This Row],[centro_costo]],tblCECO[codigo],tblCECO[area],"(sin catálogo)"))</f>
        <v/>
      </c>
      <c r="Y8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1" s="5">
        <f>IF(tblOrdenes[[#This Row],[centro_costo]]="","",_xlfn.XLOOKUP(tblOrdenes[[#This Row],[centro_costo]],tblCECO[codigo],tblCECO[coordinador],"(sin catálogo)"))</f>
        <v/>
      </c>
      <c r="AA891" s="5">
        <f>IF(tblOrdenes[[#This Row],[puesto_trabajo]]="","",_xlfn.XLOOKUP(tblOrdenes[[#This Row],[puesto_trabajo]],tblPuestos[codigo],tblPuestos[especialidad],"(sin catálogo)"))</f>
        <v/>
      </c>
      <c r="AB891" s="5">
        <f>IF(tblOrdenes[[#This Row],[cod_actividad]]="","",_xlfn.XLOOKUP(tblOrdenes[[#This Row],[cod_actividad]],tblActividades[codigo],tblActividades[descripcion],"(sin catálogo)"))</f>
        <v/>
      </c>
      <c r="AC891" s="20">
        <f>IF(tblOrdenes[[#This Row],[fecha_inicio]]="","",TODAY()-tblOrdenes[[#This Row],[fecha_inicio]])</f>
        <v/>
      </c>
      <c r="AD8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1" s="5">
        <f>IF(tblOrdenes[[#This Row],[backlog_habiles]]="","",IF(tblOrdenes[[#This Row],[backlog_habiles]]&lt;0,"FUTURO",IF(tblOrdenes[[#This Row],[backlog_habiles]]&gt;p_dias_backlog_max,"BACKLOG","MES CORRIENTE")))</f>
        <v/>
      </c>
      <c r="AF891" s="5">
        <f>IF(tblOrdenes[[#This Row],[backlog_habiles]]="",FALSE,AND(tblOrdenes[[#This Row],[backlog_habiles]]&gt;p_dias_backlog_min,tblOrdenes[[#This Row],[backlog_habiles]]&lt;=p_dias_backlog_max))</f>
        <v/>
      </c>
      <c r="AG891" s="4" t="n"/>
      <c r="AH8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1" s="18">
        <f>IF(tblOrdenes[[#This Row],[orden]]="","",_xlfn.XLOOKUP(tblOrdenes[[#This Row],[id_operacion]],tblEjecucion[id_operacion],tblEjecucion[precio],0))</f>
        <v/>
      </c>
      <c r="AL891" s="18">
        <f>IF(tblOrdenes[[#This Row],[orden]]="","",MAX(0,_xlfn.XLOOKUP(tblOrdenes[[#This Row],[id_operacion]],tblEjecucion[id_operacion],tblEjecucion[costo_plan_total],0)-tblOrdenes[[#This Row],[costo_servicio]]))</f>
        <v/>
      </c>
      <c r="AM891" s="18">
        <f>IF(tblOrdenes[[#This Row],[orden]]="","",tblOrdenes[[#This Row],[costo_servicio]]+tblOrdenes[[#This Row],[costo_materiales]])</f>
        <v/>
      </c>
      <c r="AN8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1" s="4" t="n"/>
      <c r="AP891" s="4" t="n"/>
      <c r="AQ891" s="4" t="n"/>
      <c r="AR891" s="5">
        <f>IF(tblOrdenes[[#This Row],[link_checklist]]="","",HYPERLINK(p_ruta_base_checklists&amp;tblOrdenes[[#This Row],[link_checklist]],"abrir"))</f>
        <v/>
      </c>
      <c r="AS891" s="4" t="n"/>
      <c r="AT891" s="5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22" t="n"/>
      <c r="K892" s="5" t="n"/>
      <c r="L892" s="18" t="n"/>
      <c r="M8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5">
        <f>IF(tblOrdenes[[#This Row],[fecha_inicio]]="","",YEAR(tblOrdenes[[#This Row],[fecha_inicio]]))</f>
        <v/>
      </c>
      <c r="Q892" s="5">
        <f>IF(tblOrdenes[[#This Row],[fecha_inicio]]="","",MONTH(tblOrdenes[[#This Row],[fecha_inicio]]))</f>
        <v/>
      </c>
      <c r="R892" s="5">
        <f>IF(tblOrdenes[[#This Row],[fecha_inicio]]="","",tblOrdenes[[#This Row],[anio]]&amp;"-"&amp;TEXT(tblOrdenes[[#This Row],[mes]],"00"))</f>
        <v/>
      </c>
      <c r="S892" s="5">
        <f>IF(tblOrdenes[[#This Row],[fecha_inicio]]="","",INDEX(lista_dias,WEEKDAY(tblOrdenes[[#This Row],[fecha_inicio]],2)))</f>
        <v/>
      </c>
      <c r="T8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2" s="5">
        <f>IF(tblOrdenes[[#This Row],[tipo_ot]]="","",_xlfn.XLOOKUP(tblOrdenes[[#This Row],[tipo_ot]],tblTiposOT[codigo],tblTiposOT[clasificacion],"sin_clasificar"))</f>
        <v/>
      </c>
      <c r="V8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2" s="5">
        <f>IF(tblOrdenes[[#This Row],[centro_costo]]="","",_xlfn.XLOOKUP(tblOrdenes[[#This Row],[centro_costo]],tblCECO[codigo],tblCECO[linea],"(sin catálogo)"))</f>
        <v/>
      </c>
      <c r="X892" s="5">
        <f>IF(tblOrdenes[[#This Row],[centro_costo]]="","",_xlfn.XLOOKUP(tblOrdenes[[#This Row],[centro_costo]],tblCECO[codigo],tblCECO[area],"(sin catálogo)"))</f>
        <v/>
      </c>
      <c r="Y8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2" s="5">
        <f>IF(tblOrdenes[[#This Row],[centro_costo]]="","",_xlfn.XLOOKUP(tblOrdenes[[#This Row],[centro_costo]],tblCECO[codigo],tblCECO[coordinador],"(sin catálogo)"))</f>
        <v/>
      </c>
      <c r="AA892" s="5">
        <f>IF(tblOrdenes[[#This Row],[puesto_trabajo]]="","",_xlfn.XLOOKUP(tblOrdenes[[#This Row],[puesto_trabajo]],tblPuestos[codigo],tblPuestos[especialidad],"(sin catálogo)"))</f>
        <v/>
      </c>
      <c r="AB892" s="5">
        <f>IF(tblOrdenes[[#This Row],[cod_actividad]]="","",_xlfn.XLOOKUP(tblOrdenes[[#This Row],[cod_actividad]],tblActividades[codigo],tblActividades[descripcion],"(sin catálogo)"))</f>
        <v/>
      </c>
      <c r="AC892" s="20">
        <f>IF(tblOrdenes[[#This Row],[fecha_inicio]]="","",TODAY()-tblOrdenes[[#This Row],[fecha_inicio]])</f>
        <v/>
      </c>
      <c r="AD8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2" s="5">
        <f>IF(tblOrdenes[[#This Row],[backlog_habiles]]="","",IF(tblOrdenes[[#This Row],[backlog_habiles]]&lt;0,"FUTURO",IF(tblOrdenes[[#This Row],[backlog_habiles]]&gt;p_dias_backlog_max,"BACKLOG","MES CORRIENTE")))</f>
        <v/>
      </c>
      <c r="AF892" s="5">
        <f>IF(tblOrdenes[[#This Row],[backlog_habiles]]="",FALSE,AND(tblOrdenes[[#This Row],[backlog_habiles]]&gt;p_dias_backlog_min,tblOrdenes[[#This Row],[backlog_habiles]]&lt;=p_dias_backlog_max))</f>
        <v/>
      </c>
      <c r="AG892" s="4" t="n"/>
      <c r="AH8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2" s="18">
        <f>IF(tblOrdenes[[#This Row],[orden]]="","",_xlfn.XLOOKUP(tblOrdenes[[#This Row],[id_operacion]],tblEjecucion[id_operacion],tblEjecucion[precio],0))</f>
        <v/>
      </c>
      <c r="AL892" s="18">
        <f>IF(tblOrdenes[[#This Row],[orden]]="","",MAX(0,_xlfn.XLOOKUP(tblOrdenes[[#This Row],[id_operacion]],tblEjecucion[id_operacion],tblEjecucion[costo_plan_total],0)-tblOrdenes[[#This Row],[costo_servicio]]))</f>
        <v/>
      </c>
      <c r="AM892" s="18">
        <f>IF(tblOrdenes[[#This Row],[orden]]="","",tblOrdenes[[#This Row],[costo_servicio]]+tblOrdenes[[#This Row],[costo_materiales]])</f>
        <v/>
      </c>
      <c r="AN8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2" s="4" t="n"/>
      <c r="AP892" s="4" t="n"/>
      <c r="AQ892" s="4" t="n"/>
      <c r="AR892" s="5">
        <f>IF(tblOrdenes[[#This Row],[link_checklist]]="","",HYPERLINK(p_ruta_base_checklists&amp;tblOrdenes[[#This Row],[link_checklist]],"abrir"))</f>
        <v/>
      </c>
      <c r="AS892" s="4" t="n"/>
      <c r="AT892" s="5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22" t="n"/>
      <c r="K893" s="5" t="n"/>
      <c r="L893" s="18" t="n"/>
      <c r="M8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5">
        <f>IF(tblOrdenes[[#This Row],[fecha_inicio]]="","",YEAR(tblOrdenes[[#This Row],[fecha_inicio]]))</f>
        <v/>
      </c>
      <c r="Q893" s="5">
        <f>IF(tblOrdenes[[#This Row],[fecha_inicio]]="","",MONTH(tblOrdenes[[#This Row],[fecha_inicio]]))</f>
        <v/>
      </c>
      <c r="R893" s="5">
        <f>IF(tblOrdenes[[#This Row],[fecha_inicio]]="","",tblOrdenes[[#This Row],[anio]]&amp;"-"&amp;TEXT(tblOrdenes[[#This Row],[mes]],"00"))</f>
        <v/>
      </c>
      <c r="S893" s="5">
        <f>IF(tblOrdenes[[#This Row],[fecha_inicio]]="","",INDEX(lista_dias,WEEKDAY(tblOrdenes[[#This Row],[fecha_inicio]],2)))</f>
        <v/>
      </c>
      <c r="T8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3" s="5">
        <f>IF(tblOrdenes[[#This Row],[tipo_ot]]="","",_xlfn.XLOOKUP(tblOrdenes[[#This Row],[tipo_ot]],tblTiposOT[codigo],tblTiposOT[clasificacion],"sin_clasificar"))</f>
        <v/>
      </c>
      <c r="V8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3" s="5">
        <f>IF(tblOrdenes[[#This Row],[centro_costo]]="","",_xlfn.XLOOKUP(tblOrdenes[[#This Row],[centro_costo]],tblCECO[codigo],tblCECO[linea],"(sin catálogo)"))</f>
        <v/>
      </c>
      <c r="X893" s="5">
        <f>IF(tblOrdenes[[#This Row],[centro_costo]]="","",_xlfn.XLOOKUP(tblOrdenes[[#This Row],[centro_costo]],tblCECO[codigo],tblCECO[area],"(sin catálogo)"))</f>
        <v/>
      </c>
      <c r="Y8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3" s="5">
        <f>IF(tblOrdenes[[#This Row],[centro_costo]]="","",_xlfn.XLOOKUP(tblOrdenes[[#This Row],[centro_costo]],tblCECO[codigo],tblCECO[coordinador],"(sin catálogo)"))</f>
        <v/>
      </c>
      <c r="AA893" s="5">
        <f>IF(tblOrdenes[[#This Row],[puesto_trabajo]]="","",_xlfn.XLOOKUP(tblOrdenes[[#This Row],[puesto_trabajo]],tblPuestos[codigo],tblPuestos[especialidad],"(sin catálogo)"))</f>
        <v/>
      </c>
      <c r="AB893" s="5">
        <f>IF(tblOrdenes[[#This Row],[cod_actividad]]="","",_xlfn.XLOOKUP(tblOrdenes[[#This Row],[cod_actividad]],tblActividades[codigo],tblActividades[descripcion],"(sin catálogo)"))</f>
        <v/>
      </c>
      <c r="AC893" s="20">
        <f>IF(tblOrdenes[[#This Row],[fecha_inicio]]="","",TODAY()-tblOrdenes[[#This Row],[fecha_inicio]])</f>
        <v/>
      </c>
      <c r="AD8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3" s="5">
        <f>IF(tblOrdenes[[#This Row],[backlog_habiles]]="","",IF(tblOrdenes[[#This Row],[backlog_habiles]]&lt;0,"FUTURO",IF(tblOrdenes[[#This Row],[backlog_habiles]]&gt;p_dias_backlog_max,"BACKLOG","MES CORRIENTE")))</f>
        <v/>
      </c>
      <c r="AF893" s="5">
        <f>IF(tblOrdenes[[#This Row],[backlog_habiles]]="",FALSE,AND(tblOrdenes[[#This Row],[backlog_habiles]]&gt;p_dias_backlog_min,tblOrdenes[[#This Row],[backlog_habiles]]&lt;=p_dias_backlog_max))</f>
        <v/>
      </c>
      <c r="AG893" s="4" t="n"/>
      <c r="AH8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3" s="18">
        <f>IF(tblOrdenes[[#This Row],[orden]]="","",_xlfn.XLOOKUP(tblOrdenes[[#This Row],[id_operacion]],tblEjecucion[id_operacion],tblEjecucion[precio],0))</f>
        <v/>
      </c>
      <c r="AL893" s="18">
        <f>IF(tblOrdenes[[#This Row],[orden]]="","",MAX(0,_xlfn.XLOOKUP(tblOrdenes[[#This Row],[id_operacion]],tblEjecucion[id_operacion],tblEjecucion[costo_plan_total],0)-tblOrdenes[[#This Row],[costo_servicio]]))</f>
        <v/>
      </c>
      <c r="AM893" s="18">
        <f>IF(tblOrdenes[[#This Row],[orden]]="","",tblOrdenes[[#This Row],[costo_servicio]]+tblOrdenes[[#This Row],[costo_materiales]])</f>
        <v/>
      </c>
      <c r="AN8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3" s="4" t="n"/>
      <c r="AP893" s="4" t="n"/>
      <c r="AQ893" s="4" t="n"/>
      <c r="AR893" s="5">
        <f>IF(tblOrdenes[[#This Row],[link_checklist]]="","",HYPERLINK(p_ruta_base_checklists&amp;tblOrdenes[[#This Row],[link_checklist]],"abrir"))</f>
        <v/>
      </c>
      <c r="AS893" s="4" t="n"/>
      <c r="AT893" s="5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22" t="n"/>
      <c r="K894" s="5" t="n"/>
      <c r="L894" s="18" t="n"/>
      <c r="M8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5">
        <f>IF(tblOrdenes[[#This Row],[fecha_inicio]]="","",YEAR(tblOrdenes[[#This Row],[fecha_inicio]]))</f>
        <v/>
      </c>
      <c r="Q894" s="5">
        <f>IF(tblOrdenes[[#This Row],[fecha_inicio]]="","",MONTH(tblOrdenes[[#This Row],[fecha_inicio]]))</f>
        <v/>
      </c>
      <c r="R894" s="5">
        <f>IF(tblOrdenes[[#This Row],[fecha_inicio]]="","",tblOrdenes[[#This Row],[anio]]&amp;"-"&amp;TEXT(tblOrdenes[[#This Row],[mes]],"00"))</f>
        <v/>
      </c>
      <c r="S894" s="5">
        <f>IF(tblOrdenes[[#This Row],[fecha_inicio]]="","",INDEX(lista_dias,WEEKDAY(tblOrdenes[[#This Row],[fecha_inicio]],2)))</f>
        <v/>
      </c>
      <c r="T8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4" s="5">
        <f>IF(tblOrdenes[[#This Row],[tipo_ot]]="","",_xlfn.XLOOKUP(tblOrdenes[[#This Row],[tipo_ot]],tblTiposOT[codigo],tblTiposOT[clasificacion],"sin_clasificar"))</f>
        <v/>
      </c>
      <c r="V8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4" s="5">
        <f>IF(tblOrdenes[[#This Row],[centro_costo]]="","",_xlfn.XLOOKUP(tblOrdenes[[#This Row],[centro_costo]],tblCECO[codigo],tblCECO[linea],"(sin catálogo)"))</f>
        <v/>
      </c>
      <c r="X894" s="5">
        <f>IF(tblOrdenes[[#This Row],[centro_costo]]="","",_xlfn.XLOOKUP(tblOrdenes[[#This Row],[centro_costo]],tblCECO[codigo],tblCECO[area],"(sin catálogo)"))</f>
        <v/>
      </c>
      <c r="Y8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4" s="5">
        <f>IF(tblOrdenes[[#This Row],[centro_costo]]="","",_xlfn.XLOOKUP(tblOrdenes[[#This Row],[centro_costo]],tblCECO[codigo],tblCECO[coordinador],"(sin catálogo)"))</f>
        <v/>
      </c>
      <c r="AA894" s="5">
        <f>IF(tblOrdenes[[#This Row],[puesto_trabajo]]="","",_xlfn.XLOOKUP(tblOrdenes[[#This Row],[puesto_trabajo]],tblPuestos[codigo],tblPuestos[especialidad],"(sin catálogo)"))</f>
        <v/>
      </c>
      <c r="AB894" s="5">
        <f>IF(tblOrdenes[[#This Row],[cod_actividad]]="","",_xlfn.XLOOKUP(tblOrdenes[[#This Row],[cod_actividad]],tblActividades[codigo],tblActividades[descripcion],"(sin catálogo)"))</f>
        <v/>
      </c>
      <c r="AC894" s="20">
        <f>IF(tblOrdenes[[#This Row],[fecha_inicio]]="","",TODAY()-tblOrdenes[[#This Row],[fecha_inicio]])</f>
        <v/>
      </c>
      <c r="AD8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4" s="5">
        <f>IF(tblOrdenes[[#This Row],[backlog_habiles]]="","",IF(tblOrdenes[[#This Row],[backlog_habiles]]&lt;0,"FUTURO",IF(tblOrdenes[[#This Row],[backlog_habiles]]&gt;p_dias_backlog_max,"BACKLOG","MES CORRIENTE")))</f>
        <v/>
      </c>
      <c r="AF894" s="5">
        <f>IF(tblOrdenes[[#This Row],[backlog_habiles]]="",FALSE,AND(tblOrdenes[[#This Row],[backlog_habiles]]&gt;p_dias_backlog_min,tblOrdenes[[#This Row],[backlog_habiles]]&lt;=p_dias_backlog_max))</f>
        <v/>
      </c>
      <c r="AG894" s="4" t="n"/>
      <c r="AH8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4" s="18">
        <f>IF(tblOrdenes[[#This Row],[orden]]="","",_xlfn.XLOOKUP(tblOrdenes[[#This Row],[id_operacion]],tblEjecucion[id_operacion],tblEjecucion[precio],0))</f>
        <v/>
      </c>
      <c r="AL894" s="18">
        <f>IF(tblOrdenes[[#This Row],[orden]]="","",MAX(0,_xlfn.XLOOKUP(tblOrdenes[[#This Row],[id_operacion]],tblEjecucion[id_operacion],tblEjecucion[costo_plan_total],0)-tblOrdenes[[#This Row],[costo_servicio]]))</f>
        <v/>
      </c>
      <c r="AM894" s="18">
        <f>IF(tblOrdenes[[#This Row],[orden]]="","",tblOrdenes[[#This Row],[costo_servicio]]+tblOrdenes[[#This Row],[costo_materiales]])</f>
        <v/>
      </c>
      <c r="AN8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4" s="4" t="n"/>
      <c r="AP894" s="4" t="n"/>
      <c r="AQ894" s="4" t="n"/>
      <c r="AR894" s="5">
        <f>IF(tblOrdenes[[#This Row],[link_checklist]]="","",HYPERLINK(p_ruta_base_checklists&amp;tblOrdenes[[#This Row],[link_checklist]],"abrir"))</f>
        <v/>
      </c>
      <c r="AS894" s="4" t="n"/>
      <c r="AT894" s="5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22" t="n"/>
      <c r="K895" s="5" t="n"/>
      <c r="L895" s="18" t="n"/>
      <c r="M8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5">
        <f>IF(tblOrdenes[[#This Row],[fecha_inicio]]="","",YEAR(tblOrdenes[[#This Row],[fecha_inicio]]))</f>
        <v/>
      </c>
      <c r="Q895" s="5">
        <f>IF(tblOrdenes[[#This Row],[fecha_inicio]]="","",MONTH(tblOrdenes[[#This Row],[fecha_inicio]]))</f>
        <v/>
      </c>
      <c r="R895" s="5">
        <f>IF(tblOrdenes[[#This Row],[fecha_inicio]]="","",tblOrdenes[[#This Row],[anio]]&amp;"-"&amp;TEXT(tblOrdenes[[#This Row],[mes]],"00"))</f>
        <v/>
      </c>
      <c r="S895" s="5">
        <f>IF(tblOrdenes[[#This Row],[fecha_inicio]]="","",INDEX(lista_dias,WEEKDAY(tblOrdenes[[#This Row],[fecha_inicio]],2)))</f>
        <v/>
      </c>
      <c r="T8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5" s="5">
        <f>IF(tblOrdenes[[#This Row],[tipo_ot]]="","",_xlfn.XLOOKUP(tblOrdenes[[#This Row],[tipo_ot]],tblTiposOT[codigo],tblTiposOT[clasificacion],"sin_clasificar"))</f>
        <v/>
      </c>
      <c r="V8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5" s="5">
        <f>IF(tblOrdenes[[#This Row],[centro_costo]]="","",_xlfn.XLOOKUP(tblOrdenes[[#This Row],[centro_costo]],tblCECO[codigo],tblCECO[linea],"(sin catálogo)"))</f>
        <v/>
      </c>
      <c r="X895" s="5">
        <f>IF(tblOrdenes[[#This Row],[centro_costo]]="","",_xlfn.XLOOKUP(tblOrdenes[[#This Row],[centro_costo]],tblCECO[codigo],tblCECO[area],"(sin catálogo)"))</f>
        <v/>
      </c>
      <c r="Y8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5" s="5">
        <f>IF(tblOrdenes[[#This Row],[centro_costo]]="","",_xlfn.XLOOKUP(tblOrdenes[[#This Row],[centro_costo]],tblCECO[codigo],tblCECO[coordinador],"(sin catálogo)"))</f>
        <v/>
      </c>
      <c r="AA895" s="5">
        <f>IF(tblOrdenes[[#This Row],[puesto_trabajo]]="","",_xlfn.XLOOKUP(tblOrdenes[[#This Row],[puesto_trabajo]],tblPuestos[codigo],tblPuestos[especialidad],"(sin catálogo)"))</f>
        <v/>
      </c>
      <c r="AB895" s="5">
        <f>IF(tblOrdenes[[#This Row],[cod_actividad]]="","",_xlfn.XLOOKUP(tblOrdenes[[#This Row],[cod_actividad]],tblActividades[codigo],tblActividades[descripcion],"(sin catálogo)"))</f>
        <v/>
      </c>
      <c r="AC895" s="20">
        <f>IF(tblOrdenes[[#This Row],[fecha_inicio]]="","",TODAY()-tblOrdenes[[#This Row],[fecha_inicio]])</f>
        <v/>
      </c>
      <c r="AD8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5" s="5">
        <f>IF(tblOrdenes[[#This Row],[backlog_habiles]]="","",IF(tblOrdenes[[#This Row],[backlog_habiles]]&lt;0,"FUTURO",IF(tblOrdenes[[#This Row],[backlog_habiles]]&gt;p_dias_backlog_max,"BACKLOG","MES CORRIENTE")))</f>
        <v/>
      </c>
      <c r="AF895" s="5">
        <f>IF(tblOrdenes[[#This Row],[backlog_habiles]]="",FALSE,AND(tblOrdenes[[#This Row],[backlog_habiles]]&gt;p_dias_backlog_min,tblOrdenes[[#This Row],[backlog_habiles]]&lt;=p_dias_backlog_max))</f>
        <v/>
      </c>
      <c r="AG895" s="4" t="n"/>
      <c r="AH8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5" s="18">
        <f>IF(tblOrdenes[[#This Row],[orden]]="","",_xlfn.XLOOKUP(tblOrdenes[[#This Row],[id_operacion]],tblEjecucion[id_operacion],tblEjecucion[precio],0))</f>
        <v/>
      </c>
      <c r="AL895" s="18">
        <f>IF(tblOrdenes[[#This Row],[orden]]="","",MAX(0,_xlfn.XLOOKUP(tblOrdenes[[#This Row],[id_operacion]],tblEjecucion[id_operacion],tblEjecucion[costo_plan_total],0)-tblOrdenes[[#This Row],[costo_servicio]]))</f>
        <v/>
      </c>
      <c r="AM895" s="18">
        <f>IF(tblOrdenes[[#This Row],[orden]]="","",tblOrdenes[[#This Row],[costo_servicio]]+tblOrdenes[[#This Row],[costo_materiales]])</f>
        <v/>
      </c>
      <c r="AN8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5" s="4" t="n"/>
      <c r="AP895" s="4" t="n"/>
      <c r="AQ895" s="4" t="n"/>
      <c r="AR895" s="5">
        <f>IF(tblOrdenes[[#This Row],[link_checklist]]="","",HYPERLINK(p_ruta_base_checklists&amp;tblOrdenes[[#This Row],[link_checklist]],"abrir"))</f>
        <v/>
      </c>
      <c r="AS895" s="4" t="n"/>
      <c r="AT895" s="5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22" t="n"/>
      <c r="K896" s="5" t="n"/>
      <c r="L896" s="18" t="n"/>
      <c r="M8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5">
        <f>IF(tblOrdenes[[#This Row],[fecha_inicio]]="","",YEAR(tblOrdenes[[#This Row],[fecha_inicio]]))</f>
        <v/>
      </c>
      <c r="Q896" s="5">
        <f>IF(tblOrdenes[[#This Row],[fecha_inicio]]="","",MONTH(tblOrdenes[[#This Row],[fecha_inicio]]))</f>
        <v/>
      </c>
      <c r="R896" s="5">
        <f>IF(tblOrdenes[[#This Row],[fecha_inicio]]="","",tblOrdenes[[#This Row],[anio]]&amp;"-"&amp;TEXT(tblOrdenes[[#This Row],[mes]],"00"))</f>
        <v/>
      </c>
      <c r="S896" s="5">
        <f>IF(tblOrdenes[[#This Row],[fecha_inicio]]="","",INDEX(lista_dias,WEEKDAY(tblOrdenes[[#This Row],[fecha_inicio]],2)))</f>
        <v/>
      </c>
      <c r="T8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6" s="5">
        <f>IF(tblOrdenes[[#This Row],[tipo_ot]]="","",_xlfn.XLOOKUP(tblOrdenes[[#This Row],[tipo_ot]],tblTiposOT[codigo],tblTiposOT[clasificacion],"sin_clasificar"))</f>
        <v/>
      </c>
      <c r="V8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6" s="5">
        <f>IF(tblOrdenes[[#This Row],[centro_costo]]="","",_xlfn.XLOOKUP(tblOrdenes[[#This Row],[centro_costo]],tblCECO[codigo],tblCECO[linea],"(sin catálogo)"))</f>
        <v/>
      </c>
      <c r="X896" s="5">
        <f>IF(tblOrdenes[[#This Row],[centro_costo]]="","",_xlfn.XLOOKUP(tblOrdenes[[#This Row],[centro_costo]],tblCECO[codigo],tblCECO[area],"(sin catálogo)"))</f>
        <v/>
      </c>
      <c r="Y8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6" s="5">
        <f>IF(tblOrdenes[[#This Row],[centro_costo]]="","",_xlfn.XLOOKUP(tblOrdenes[[#This Row],[centro_costo]],tblCECO[codigo],tblCECO[coordinador],"(sin catálogo)"))</f>
        <v/>
      </c>
      <c r="AA896" s="5">
        <f>IF(tblOrdenes[[#This Row],[puesto_trabajo]]="","",_xlfn.XLOOKUP(tblOrdenes[[#This Row],[puesto_trabajo]],tblPuestos[codigo],tblPuestos[especialidad],"(sin catálogo)"))</f>
        <v/>
      </c>
      <c r="AB896" s="5">
        <f>IF(tblOrdenes[[#This Row],[cod_actividad]]="","",_xlfn.XLOOKUP(tblOrdenes[[#This Row],[cod_actividad]],tblActividades[codigo],tblActividades[descripcion],"(sin catálogo)"))</f>
        <v/>
      </c>
      <c r="AC896" s="20">
        <f>IF(tblOrdenes[[#This Row],[fecha_inicio]]="","",TODAY()-tblOrdenes[[#This Row],[fecha_inicio]])</f>
        <v/>
      </c>
      <c r="AD8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6" s="5">
        <f>IF(tblOrdenes[[#This Row],[backlog_habiles]]="","",IF(tblOrdenes[[#This Row],[backlog_habiles]]&lt;0,"FUTURO",IF(tblOrdenes[[#This Row],[backlog_habiles]]&gt;p_dias_backlog_max,"BACKLOG","MES CORRIENTE")))</f>
        <v/>
      </c>
      <c r="AF896" s="5">
        <f>IF(tblOrdenes[[#This Row],[backlog_habiles]]="",FALSE,AND(tblOrdenes[[#This Row],[backlog_habiles]]&gt;p_dias_backlog_min,tblOrdenes[[#This Row],[backlog_habiles]]&lt;=p_dias_backlog_max))</f>
        <v/>
      </c>
      <c r="AG896" s="4" t="n"/>
      <c r="AH8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6" s="18">
        <f>IF(tblOrdenes[[#This Row],[orden]]="","",_xlfn.XLOOKUP(tblOrdenes[[#This Row],[id_operacion]],tblEjecucion[id_operacion],tblEjecucion[precio],0))</f>
        <v/>
      </c>
      <c r="AL896" s="18">
        <f>IF(tblOrdenes[[#This Row],[orden]]="","",MAX(0,_xlfn.XLOOKUP(tblOrdenes[[#This Row],[id_operacion]],tblEjecucion[id_operacion],tblEjecucion[costo_plan_total],0)-tblOrdenes[[#This Row],[costo_servicio]]))</f>
        <v/>
      </c>
      <c r="AM896" s="18">
        <f>IF(tblOrdenes[[#This Row],[orden]]="","",tblOrdenes[[#This Row],[costo_servicio]]+tblOrdenes[[#This Row],[costo_materiales]])</f>
        <v/>
      </c>
      <c r="AN8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6" s="4" t="n"/>
      <c r="AP896" s="4" t="n"/>
      <c r="AQ896" s="4" t="n"/>
      <c r="AR896" s="5">
        <f>IF(tblOrdenes[[#This Row],[link_checklist]]="","",HYPERLINK(p_ruta_base_checklists&amp;tblOrdenes[[#This Row],[link_checklist]],"abrir"))</f>
        <v/>
      </c>
      <c r="AS896" s="4" t="n"/>
      <c r="AT896" s="5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22" t="n"/>
      <c r="K897" s="5" t="n"/>
      <c r="L897" s="18" t="n"/>
      <c r="M8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5">
        <f>IF(tblOrdenes[[#This Row],[fecha_inicio]]="","",YEAR(tblOrdenes[[#This Row],[fecha_inicio]]))</f>
        <v/>
      </c>
      <c r="Q897" s="5">
        <f>IF(tblOrdenes[[#This Row],[fecha_inicio]]="","",MONTH(tblOrdenes[[#This Row],[fecha_inicio]]))</f>
        <v/>
      </c>
      <c r="R897" s="5">
        <f>IF(tblOrdenes[[#This Row],[fecha_inicio]]="","",tblOrdenes[[#This Row],[anio]]&amp;"-"&amp;TEXT(tblOrdenes[[#This Row],[mes]],"00"))</f>
        <v/>
      </c>
      <c r="S897" s="5">
        <f>IF(tblOrdenes[[#This Row],[fecha_inicio]]="","",INDEX(lista_dias,WEEKDAY(tblOrdenes[[#This Row],[fecha_inicio]],2)))</f>
        <v/>
      </c>
      <c r="T8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7" s="5">
        <f>IF(tblOrdenes[[#This Row],[tipo_ot]]="","",_xlfn.XLOOKUP(tblOrdenes[[#This Row],[tipo_ot]],tblTiposOT[codigo],tblTiposOT[clasificacion],"sin_clasificar"))</f>
        <v/>
      </c>
      <c r="V8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7" s="5">
        <f>IF(tblOrdenes[[#This Row],[centro_costo]]="","",_xlfn.XLOOKUP(tblOrdenes[[#This Row],[centro_costo]],tblCECO[codigo],tblCECO[linea],"(sin catálogo)"))</f>
        <v/>
      </c>
      <c r="X897" s="5">
        <f>IF(tblOrdenes[[#This Row],[centro_costo]]="","",_xlfn.XLOOKUP(tblOrdenes[[#This Row],[centro_costo]],tblCECO[codigo],tblCECO[area],"(sin catálogo)"))</f>
        <v/>
      </c>
      <c r="Y8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7" s="5">
        <f>IF(tblOrdenes[[#This Row],[centro_costo]]="","",_xlfn.XLOOKUP(tblOrdenes[[#This Row],[centro_costo]],tblCECO[codigo],tblCECO[coordinador],"(sin catálogo)"))</f>
        <v/>
      </c>
      <c r="AA897" s="5">
        <f>IF(tblOrdenes[[#This Row],[puesto_trabajo]]="","",_xlfn.XLOOKUP(tblOrdenes[[#This Row],[puesto_trabajo]],tblPuestos[codigo],tblPuestos[especialidad],"(sin catálogo)"))</f>
        <v/>
      </c>
      <c r="AB897" s="5">
        <f>IF(tblOrdenes[[#This Row],[cod_actividad]]="","",_xlfn.XLOOKUP(tblOrdenes[[#This Row],[cod_actividad]],tblActividades[codigo],tblActividades[descripcion],"(sin catálogo)"))</f>
        <v/>
      </c>
      <c r="AC897" s="20">
        <f>IF(tblOrdenes[[#This Row],[fecha_inicio]]="","",TODAY()-tblOrdenes[[#This Row],[fecha_inicio]])</f>
        <v/>
      </c>
      <c r="AD8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7" s="5">
        <f>IF(tblOrdenes[[#This Row],[backlog_habiles]]="","",IF(tblOrdenes[[#This Row],[backlog_habiles]]&lt;0,"FUTURO",IF(tblOrdenes[[#This Row],[backlog_habiles]]&gt;p_dias_backlog_max,"BACKLOG","MES CORRIENTE")))</f>
        <v/>
      </c>
      <c r="AF897" s="5">
        <f>IF(tblOrdenes[[#This Row],[backlog_habiles]]="",FALSE,AND(tblOrdenes[[#This Row],[backlog_habiles]]&gt;p_dias_backlog_min,tblOrdenes[[#This Row],[backlog_habiles]]&lt;=p_dias_backlog_max))</f>
        <v/>
      </c>
      <c r="AG897" s="4" t="n"/>
      <c r="AH8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7" s="18">
        <f>IF(tblOrdenes[[#This Row],[orden]]="","",_xlfn.XLOOKUP(tblOrdenes[[#This Row],[id_operacion]],tblEjecucion[id_operacion],tblEjecucion[precio],0))</f>
        <v/>
      </c>
      <c r="AL897" s="18">
        <f>IF(tblOrdenes[[#This Row],[orden]]="","",MAX(0,_xlfn.XLOOKUP(tblOrdenes[[#This Row],[id_operacion]],tblEjecucion[id_operacion],tblEjecucion[costo_plan_total],0)-tblOrdenes[[#This Row],[costo_servicio]]))</f>
        <v/>
      </c>
      <c r="AM897" s="18">
        <f>IF(tblOrdenes[[#This Row],[orden]]="","",tblOrdenes[[#This Row],[costo_servicio]]+tblOrdenes[[#This Row],[costo_materiales]])</f>
        <v/>
      </c>
      <c r="AN8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7" s="4" t="n"/>
      <c r="AP897" s="4" t="n"/>
      <c r="AQ897" s="4" t="n"/>
      <c r="AR897" s="5">
        <f>IF(tblOrdenes[[#This Row],[link_checklist]]="","",HYPERLINK(p_ruta_base_checklists&amp;tblOrdenes[[#This Row],[link_checklist]],"abrir"))</f>
        <v/>
      </c>
      <c r="AS897" s="4" t="n"/>
      <c r="AT897" s="5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22" t="n"/>
      <c r="K898" s="5" t="n"/>
      <c r="L898" s="18" t="n"/>
      <c r="M8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5">
        <f>IF(tblOrdenes[[#This Row],[fecha_inicio]]="","",YEAR(tblOrdenes[[#This Row],[fecha_inicio]]))</f>
        <v/>
      </c>
      <c r="Q898" s="5">
        <f>IF(tblOrdenes[[#This Row],[fecha_inicio]]="","",MONTH(tblOrdenes[[#This Row],[fecha_inicio]]))</f>
        <v/>
      </c>
      <c r="R898" s="5">
        <f>IF(tblOrdenes[[#This Row],[fecha_inicio]]="","",tblOrdenes[[#This Row],[anio]]&amp;"-"&amp;TEXT(tblOrdenes[[#This Row],[mes]],"00"))</f>
        <v/>
      </c>
      <c r="S898" s="5">
        <f>IF(tblOrdenes[[#This Row],[fecha_inicio]]="","",INDEX(lista_dias,WEEKDAY(tblOrdenes[[#This Row],[fecha_inicio]],2)))</f>
        <v/>
      </c>
      <c r="T8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8" s="5">
        <f>IF(tblOrdenes[[#This Row],[tipo_ot]]="","",_xlfn.XLOOKUP(tblOrdenes[[#This Row],[tipo_ot]],tblTiposOT[codigo],tblTiposOT[clasificacion],"sin_clasificar"))</f>
        <v/>
      </c>
      <c r="V8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8" s="5">
        <f>IF(tblOrdenes[[#This Row],[centro_costo]]="","",_xlfn.XLOOKUP(tblOrdenes[[#This Row],[centro_costo]],tblCECO[codigo],tblCECO[linea],"(sin catálogo)"))</f>
        <v/>
      </c>
      <c r="X898" s="5">
        <f>IF(tblOrdenes[[#This Row],[centro_costo]]="","",_xlfn.XLOOKUP(tblOrdenes[[#This Row],[centro_costo]],tblCECO[codigo],tblCECO[area],"(sin catálogo)"))</f>
        <v/>
      </c>
      <c r="Y8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8" s="5">
        <f>IF(tblOrdenes[[#This Row],[centro_costo]]="","",_xlfn.XLOOKUP(tblOrdenes[[#This Row],[centro_costo]],tblCECO[codigo],tblCECO[coordinador],"(sin catálogo)"))</f>
        <v/>
      </c>
      <c r="AA898" s="5">
        <f>IF(tblOrdenes[[#This Row],[puesto_trabajo]]="","",_xlfn.XLOOKUP(tblOrdenes[[#This Row],[puesto_trabajo]],tblPuestos[codigo],tblPuestos[especialidad],"(sin catálogo)"))</f>
        <v/>
      </c>
      <c r="AB898" s="5">
        <f>IF(tblOrdenes[[#This Row],[cod_actividad]]="","",_xlfn.XLOOKUP(tblOrdenes[[#This Row],[cod_actividad]],tblActividades[codigo],tblActividades[descripcion],"(sin catálogo)"))</f>
        <v/>
      </c>
      <c r="AC898" s="20">
        <f>IF(tblOrdenes[[#This Row],[fecha_inicio]]="","",TODAY()-tblOrdenes[[#This Row],[fecha_inicio]])</f>
        <v/>
      </c>
      <c r="AD8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8" s="5">
        <f>IF(tblOrdenes[[#This Row],[backlog_habiles]]="","",IF(tblOrdenes[[#This Row],[backlog_habiles]]&lt;0,"FUTURO",IF(tblOrdenes[[#This Row],[backlog_habiles]]&gt;p_dias_backlog_max,"BACKLOG","MES CORRIENTE")))</f>
        <v/>
      </c>
      <c r="AF898" s="5">
        <f>IF(tblOrdenes[[#This Row],[backlog_habiles]]="",FALSE,AND(tblOrdenes[[#This Row],[backlog_habiles]]&gt;p_dias_backlog_min,tblOrdenes[[#This Row],[backlog_habiles]]&lt;=p_dias_backlog_max))</f>
        <v/>
      </c>
      <c r="AG898" s="4" t="n"/>
      <c r="AH8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8" s="18">
        <f>IF(tblOrdenes[[#This Row],[orden]]="","",_xlfn.XLOOKUP(tblOrdenes[[#This Row],[id_operacion]],tblEjecucion[id_operacion],tblEjecucion[precio],0))</f>
        <v/>
      </c>
      <c r="AL898" s="18">
        <f>IF(tblOrdenes[[#This Row],[orden]]="","",MAX(0,_xlfn.XLOOKUP(tblOrdenes[[#This Row],[id_operacion]],tblEjecucion[id_operacion],tblEjecucion[costo_plan_total],0)-tblOrdenes[[#This Row],[costo_servicio]]))</f>
        <v/>
      </c>
      <c r="AM898" s="18">
        <f>IF(tblOrdenes[[#This Row],[orden]]="","",tblOrdenes[[#This Row],[costo_servicio]]+tblOrdenes[[#This Row],[costo_materiales]])</f>
        <v/>
      </c>
      <c r="AN8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8" s="4" t="n"/>
      <c r="AP898" s="4" t="n"/>
      <c r="AQ898" s="4" t="n"/>
      <c r="AR898" s="5">
        <f>IF(tblOrdenes[[#This Row],[link_checklist]]="","",HYPERLINK(p_ruta_base_checklists&amp;tblOrdenes[[#This Row],[link_checklist]],"abrir"))</f>
        <v/>
      </c>
      <c r="AS898" s="4" t="n"/>
      <c r="AT898" s="5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22" t="n"/>
      <c r="K899" s="5" t="n"/>
      <c r="L899" s="18" t="n"/>
      <c r="M8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5">
        <f>IF(tblOrdenes[[#This Row],[fecha_inicio]]="","",YEAR(tblOrdenes[[#This Row],[fecha_inicio]]))</f>
        <v/>
      </c>
      <c r="Q899" s="5">
        <f>IF(tblOrdenes[[#This Row],[fecha_inicio]]="","",MONTH(tblOrdenes[[#This Row],[fecha_inicio]]))</f>
        <v/>
      </c>
      <c r="R899" s="5">
        <f>IF(tblOrdenes[[#This Row],[fecha_inicio]]="","",tblOrdenes[[#This Row],[anio]]&amp;"-"&amp;TEXT(tblOrdenes[[#This Row],[mes]],"00"))</f>
        <v/>
      </c>
      <c r="S899" s="5">
        <f>IF(tblOrdenes[[#This Row],[fecha_inicio]]="","",INDEX(lista_dias,WEEKDAY(tblOrdenes[[#This Row],[fecha_inicio]],2)))</f>
        <v/>
      </c>
      <c r="T8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9" s="5">
        <f>IF(tblOrdenes[[#This Row],[tipo_ot]]="","",_xlfn.XLOOKUP(tblOrdenes[[#This Row],[tipo_ot]],tblTiposOT[codigo],tblTiposOT[clasificacion],"sin_clasificar"))</f>
        <v/>
      </c>
      <c r="V8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9" s="5">
        <f>IF(tblOrdenes[[#This Row],[centro_costo]]="","",_xlfn.XLOOKUP(tblOrdenes[[#This Row],[centro_costo]],tblCECO[codigo],tblCECO[linea],"(sin catálogo)"))</f>
        <v/>
      </c>
      <c r="X899" s="5">
        <f>IF(tblOrdenes[[#This Row],[centro_costo]]="","",_xlfn.XLOOKUP(tblOrdenes[[#This Row],[centro_costo]],tblCECO[codigo],tblCECO[area],"(sin catálogo)"))</f>
        <v/>
      </c>
      <c r="Y8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899" s="5">
        <f>IF(tblOrdenes[[#This Row],[centro_costo]]="","",_xlfn.XLOOKUP(tblOrdenes[[#This Row],[centro_costo]],tblCECO[codigo],tblCECO[coordinador],"(sin catálogo)"))</f>
        <v/>
      </c>
      <c r="AA899" s="5">
        <f>IF(tblOrdenes[[#This Row],[puesto_trabajo]]="","",_xlfn.XLOOKUP(tblOrdenes[[#This Row],[puesto_trabajo]],tblPuestos[codigo],tblPuestos[especialidad],"(sin catálogo)"))</f>
        <v/>
      </c>
      <c r="AB899" s="5">
        <f>IF(tblOrdenes[[#This Row],[cod_actividad]]="","",_xlfn.XLOOKUP(tblOrdenes[[#This Row],[cod_actividad]],tblActividades[codigo],tblActividades[descripcion],"(sin catálogo)"))</f>
        <v/>
      </c>
      <c r="AC899" s="20">
        <f>IF(tblOrdenes[[#This Row],[fecha_inicio]]="","",TODAY()-tblOrdenes[[#This Row],[fecha_inicio]])</f>
        <v/>
      </c>
      <c r="AD8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899" s="5">
        <f>IF(tblOrdenes[[#This Row],[backlog_habiles]]="","",IF(tblOrdenes[[#This Row],[backlog_habiles]]&lt;0,"FUTURO",IF(tblOrdenes[[#This Row],[backlog_habiles]]&gt;p_dias_backlog_max,"BACKLOG","MES CORRIENTE")))</f>
        <v/>
      </c>
      <c r="AF899" s="5">
        <f>IF(tblOrdenes[[#This Row],[backlog_habiles]]="",FALSE,AND(tblOrdenes[[#This Row],[backlog_habiles]]&gt;p_dias_backlog_min,tblOrdenes[[#This Row],[backlog_habiles]]&lt;=p_dias_backlog_max))</f>
        <v/>
      </c>
      <c r="AG899" s="4" t="n"/>
      <c r="AH8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8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8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899" s="18">
        <f>IF(tblOrdenes[[#This Row],[orden]]="","",_xlfn.XLOOKUP(tblOrdenes[[#This Row],[id_operacion]],tblEjecucion[id_operacion],tblEjecucion[precio],0))</f>
        <v/>
      </c>
      <c r="AL899" s="18">
        <f>IF(tblOrdenes[[#This Row],[orden]]="","",MAX(0,_xlfn.XLOOKUP(tblOrdenes[[#This Row],[id_operacion]],tblEjecucion[id_operacion],tblEjecucion[costo_plan_total],0)-tblOrdenes[[#This Row],[costo_servicio]]))</f>
        <v/>
      </c>
      <c r="AM899" s="18">
        <f>IF(tblOrdenes[[#This Row],[orden]]="","",tblOrdenes[[#This Row],[costo_servicio]]+tblOrdenes[[#This Row],[costo_materiales]])</f>
        <v/>
      </c>
      <c r="AN8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899" s="4" t="n"/>
      <c r="AP899" s="4" t="n"/>
      <c r="AQ899" s="4" t="n"/>
      <c r="AR899" s="5">
        <f>IF(tblOrdenes[[#This Row],[link_checklist]]="","",HYPERLINK(p_ruta_base_checklists&amp;tblOrdenes[[#This Row],[link_checklist]],"abrir"))</f>
        <v/>
      </c>
      <c r="AS899" s="4" t="n"/>
      <c r="AT899" s="5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22" t="n"/>
      <c r="K900" s="5" t="n"/>
      <c r="L900" s="18" t="n"/>
      <c r="M9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5">
        <f>IF(tblOrdenes[[#This Row],[fecha_inicio]]="","",YEAR(tblOrdenes[[#This Row],[fecha_inicio]]))</f>
        <v/>
      </c>
      <c r="Q900" s="5">
        <f>IF(tblOrdenes[[#This Row],[fecha_inicio]]="","",MONTH(tblOrdenes[[#This Row],[fecha_inicio]]))</f>
        <v/>
      </c>
      <c r="R900" s="5">
        <f>IF(tblOrdenes[[#This Row],[fecha_inicio]]="","",tblOrdenes[[#This Row],[anio]]&amp;"-"&amp;TEXT(tblOrdenes[[#This Row],[mes]],"00"))</f>
        <v/>
      </c>
      <c r="S900" s="5">
        <f>IF(tblOrdenes[[#This Row],[fecha_inicio]]="","",INDEX(lista_dias,WEEKDAY(tblOrdenes[[#This Row],[fecha_inicio]],2)))</f>
        <v/>
      </c>
      <c r="T9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0" s="5">
        <f>IF(tblOrdenes[[#This Row],[tipo_ot]]="","",_xlfn.XLOOKUP(tblOrdenes[[#This Row],[tipo_ot]],tblTiposOT[codigo],tblTiposOT[clasificacion],"sin_clasificar"))</f>
        <v/>
      </c>
      <c r="V9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0" s="5">
        <f>IF(tblOrdenes[[#This Row],[centro_costo]]="","",_xlfn.XLOOKUP(tblOrdenes[[#This Row],[centro_costo]],tblCECO[codigo],tblCECO[linea],"(sin catálogo)"))</f>
        <v/>
      </c>
      <c r="X900" s="5">
        <f>IF(tblOrdenes[[#This Row],[centro_costo]]="","",_xlfn.XLOOKUP(tblOrdenes[[#This Row],[centro_costo]],tblCECO[codigo],tblCECO[area],"(sin catálogo)"))</f>
        <v/>
      </c>
      <c r="Y9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0" s="5">
        <f>IF(tblOrdenes[[#This Row],[centro_costo]]="","",_xlfn.XLOOKUP(tblOrdenes[[#This Row],[centro_costo]],tblCECO[codigo],tblCECO[coordinador],"(sin catálogo)"))</f>
        <v/>
      </c>
      <c r="AA900" s="5">
        <f>IF(tblOrdenes[[#This Row],[puesto_trabajo]]="","",_xlfn.XLOOKUP(tblOrdenes[[#This Row],[puesto_trabajo]],tblPuestos[codigo],tblPuestos[especialidad],"(sin catálogo)"))</f>
        <v/>
      </c>
      <c r="AB900" s="5">
        <f>IF(tblOrdenes[[#This Row],[cod_actividad]]="","",_xlfn.XLOOKUP(tblOrdenes[[#This Row],[cod_actividad]],tblActividades[codigo],tblActividades[descripcion],"(sin catálogo)"))</f>
        <v/>
      </c>
      <c r="AC900" s="20">
        <f>IF(tblOrdenes[[#This Row],[fecha_inicio]]="","",TODAY()-tblOrdenes[[#This Row],[fecha_inicio]])</f>
        <v/>
      </c>
      <c r="AD9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0" s="5">
        <f>IF(tblOrdenes[[#This Row],[backlog_habiles]]="","",IF(tblOrdenes[[#This Row],[backlog_habiles]]&lt;0,"FUTURO",IF(tblOrdenes[[#This Row],[backlog_habiles]]&gt;p_dias_backlog_max,"BACKLOG","MES CORRIENTE")))</f>
        <v/>
      </c>
      <c r="AF900" s="5">
        <f>IF(tblOrdenes[[#This Row],[backlog_habiles]]="",FALSE,AND(tblOrdenes[[#This Row],[backlog_habiles]]&gt;p_dias_backlog_min,tblOrdenes[[#This Row],[backlog_habiles]]&lt;=p_dias_backlog_max))</f>
        <v/>
      </c>
      <c r="AG900" s="4" t="n"/>
      <c r="AH9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0" s="18">
        <f>IF(tblOrdenes[[#This Row],[orden]]="","",_xlfn.XLOOKUP(tblOrdenes[[#This Row],[id_operacion]],tblEjecucion[id_operacion],tblEjecucion[precio],0))</f>
        <v/>
      </c>
      <c r="AL900" s="18">
        <f>IF(tblOrdenes[[#This Row],[orden]]="","",MAX(0,_xlfn.XLOOKUP(tblOrdenes[[#This Row],[id_operacion]],tblEjecucion[id_operacion],tblEjecucion[costo_plan_total],0)-tblOrdenes[[#This Row],[costo_servicio]]))</f>
        <v/>
      </c>
      <c r="AM900" s="18">
        <f>IF(tblOrdenes[[#This Row],[orden]]="","",tblOrdenes[[#This Row],[costo_servicio]]+tblOrdenes[[#This Row],[costo_materiales]])</f>
        <v/>
      </c>
      <c r="AN9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0" s="4" t="n"/>
      <c r="AP900" s="4" t="n"/>
      <c r="AQ900" s="4" t="n"/>
      <c r="AR900" s="5">
        <f>IF(tblOrdenes[[#This Row],[link_checklist]]="","",HYPERLINK(p_ruta_base_checklists&amp;tblOrdenes[[#This Row],[link_checklist]],"abrir"))</f>
        <v/>
      </c>
      <c r="AS900" s="4" t="n"/>
      <c r="AT900" s="5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22" t="n"/>
      <c r="K901" s="5" t="n"/>
      <c r="L901" s="18" t="n"/>
      <c r="M9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5">
        <f>IF(tblOrdenes[[#This Row],[fecha_inicio]]="","",YEAR(tblOrdenes[[#This Row],[fecha_inicio]]))</f>
        <v/>
      </c>
      <c r="Q901" s="5">
        <f>IF(tblOrdenes[[#This Row],[fecha_inicio]]="","",MONTH(tblOrdenes[[#This Row],[fecha_inicio]]))</f>
        <v/>
      </c>
      <c r="R901" s="5">
        <f>IF(tblOrdenes[[#This Row],[fecha_inicio]]="","",tblOrdenes[[#This Row],[anio]]&amp;"-"&amp;TEXT(tblOrdenes[[#This Row],[mes]],"00"))</f>
        <v/>
      </c>
      <c r="S901" s="5">
        <f>IF(tblOrdenes[[#This Row],[fecha_inicio]]="","",INDEX(lista_dias,WEEKDAY(tblOrdenes[[#This Row],[fecha_inicio]],2)))</f>
        <v/>
      </c>
      <c r="T9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1" s="5">
        <f>IF(tblOrdenes[[#This Row],[tipo_ot]]="","",_xlfn.XLOOKUP(tblOrdenes[[#This Row],[tipo_ot]],tblTiposOT[codigo],tblTiposOT[clasificacion],"sin_clasificar"))</f>
        <v/>
      </c>
      <c r="V9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1" s="5">
        <f>IF(tblOrdenes[[#This Row],[centro_costo]]="","",_xlfn.XLOOKUP(tblOrdenes[[#This Row],[centro_costo]],tblCECO[codigo],tblCECO[linea],"(sin catálogo)"))</f>
        <v/>
      </c>
      <c r="X901" s="5">
        <f>IF(tblOrdenes[[#This Row],[centro_costo]]="","",_xlfn.XLOOKUP(tblOrdenes[[#This Row],[centro_costo]],tblCECO[codigo],tblCECO[area],"(sin catálogo)"))</f>
        <v/>
      </c>
      <c r="Y9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1" s="5">
        <f>IF(tblOrdenes[[#This Row],[centro_costo]]="","",_xlfn.XLOOKUP(tblOrdenes[[#This Row],[centro_costo]],tblCECO[codigo],tblCECO[coordinador],"(sin catálogo)"))</f>
        <v/>
      </c>
      <c r="AA901" s="5">
        <f>IF(tblOrdenes[[#This Row],[puesto_trabajo]]="","",_xlfn.XLOOKUP(tblOrdenes[[#This Row],[puesto_trabajo]],tblPuestos[codigo],tblPuestos[especialidad],"(sin catálogo)"))</f>
        <v/>
      </c>
      <c r="AB901" s="5">
        <f>IF(tblOrdenes[[#This Row],[cod_actividad]]="","",_xlfn.XLOOKUP(tblOrdenes[[#This Row],[cod_actividad]],tblActividades[codigo],tblActividades[descripcion],"(sin catálogo)"))</f>
        <v/>
      </c>
      <c r="AC901" s="20">
        <f>IF(tblOrdenes[[#This Row],[fecha_inicio]]="","",TODAY()-tblOrdenes[[#This Row],[fecha_inicio]])</f>
        <v/>
      </c>
      <c r="AD9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1" s="5">
        <f>IF(tblOrdenes[[#This Row],[backlog_habiles]]="","",IF(tblOrdenes[[#This Row],[backlog_habiles]]&lt;0,"FUTURO",IF(tblOrdenes[[#This Row],[backlog_habiles]]&gt;p_dias_backlog_max,"BACKLOG","MES CORRIENTE")))</f>
        <v/>
      </c>
      <c r="AF901" s="5">
        <f>IF(tblOrdenes[[#This Row],[backlog_habiles]]="",FALSE,AND(tblOrdenes[[#This Row],[backlog_habiles]]&gt;p_dias_backlog_min,tblOrdenes[[#This Row],[backlog_habiles]]&lt;=p_dias_backlog_max))</f>
        <v/>
      </c>
      <c r="AG901" s="4" t="n"/>
      <c r="AH9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1" s="18">
        <f>IF(tblOrdenes[[#This Row],[orden]]="","",_xlfn.XLOOKUP(tblOrdenes[[#This Row],[id_operacion]],tblEjecucion[id_operacion],tblEjecucion[precio],0))</f>
        <v/>
      </c>
      <c r="AL901" s="18">
        <f>IF(tblOrdenes[[#This Row],[orden]]="","",MAX(0,_xlfn.XLOOKUP(tblOrdenes[[#This Row],[id_operacion]],tblEjecucion[id_operacion],tblEjecucion[costo_plan_total],0)-tblOrdenes[[#This Row],[costo_servicio]]))</f>
        <v/>
      </c>
      <c r="AM901" s="18">
        <f>IF(tblOrdenes[[#This Row],[orden]]="","",tblOrdenes[[#This Row],[costo_servicio]]+tblOrdenes[[#This Row],[costo_materiales]])</f>
        <v/>
      </c>
      <c r="AN9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1" s="4" t="n"/>
      <c r="AP901" s="4" t="n"/>
      <c r="AQ901" s="4" t="n"/>
      <c r="AR901" s="5">
        <f>IF(tblOrdenes[[#This Row],[link_checklist]]="","",HYPERLINK(p_ruta_base_checklists&amp;tblOrdenes[[#This Row],[link_checklist]],"abrir"))</f>
        <v/>
      </c>
      <c r="AS901" s="4" t="n"/>
      <c r="AT901" s="5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22" t="n"/>
      <c r="K902" s="5" t="n"/>
      <c r="L902" s="18" t="n"/>
      <c r="M9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5">
        <f>IF(tblOrdenes[[#This Row],[fecha_inicio]]="","",YEAR(tblOrdenes[[#This Row],[fecha_inicio]]))</f>
        <v/>
      </c>
      <c r="Q902" s="5">
        <f>IF(tblOrdenes[[#This Row],[fecha_inicio]]="","",MONTH(tblOrdenes[[#This Row],[fecha_inicio]]))</f>
        <v/>
      </c>
      <c r="R902" s="5">
        <f>IF(tblOrdenes[[#This Row],[fecha_inicio]]="","",tblOrdenes[[#This Row],[anio]]&amp;"-"&amp;TEXT(tblOrdenes[[#This Row],[mes]],"00"))</f>
        <v/>
      </c>
      <c r="S902" s="5">
        <f>IF(tblOrdenes[[#This Row],[fecha_inicio]]="","",INDEX(lista_dias,WEEKDAY(tblOrdenes[[#This Row],[fecha_inicio]],2)))</f>
        <v/>
      </c>
      <c r="T9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2" s="5">
        <f>IF(tblOrdenes[[#This Row],[tipo_ot]]="","",_xlfn.XLOOKUP(tblOrdenes[[#This Row],[tipo_ot]],tblTiposOT[codigo],tblTiposOT[clasificacion],"sin_clasificar"))</f>
        <v/>
      </c>
      <c r="V9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2" s="5">
        <f>IF(tblOrdenes[[#This Row],[centro_costo]]="","",_xlfn.XLOOKUP(tblOrdenes[[#This Row],[centro_costo]],tblCECO[codigo],tblCECO[linea],"(sin catálogo)"))</f>
        <v/>
      </c>
      <c r="X902" s="5">
        <f>IF(tblOrdenes[[#This Row],[centro_costo]]="","",_xlfn.XLOOKUP(tblOrdenes[[#This Row],[centro_costo]],tblCECO[codigo],tblCECO[area],"(sin catálogo)"))</f>
        <v/>
      </c>
      <c r="Y9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2" s="5">
        <f>IF(tblOrdenes[[#This Row],[centro_costo]]="","",_xlfn.XLOOKUP(tblOrdenes[[#This Row],[centro_costo]],tblCECO[codigo],tblCECO[coordinador],"(sin catálogo)"))</f>
        <v/>
      </c>
      <c r="AA902" s="5">
        <f>IF(tblOrdenes[[#This Row],[puesto_trabajo]]="","",_xlfn.XLOOKUP(tblOrdenes[[#This Row],[puesto_trabajo]],tblPuestos[codigo],tblPuestos[especialidad],"(sin catálogo)"))</f>
        <v/>
      </c>
      <c r="AB902" s="5">
        <f>IF(tblOrdenes[[#This Row],[cod_actividad]]="","",_xlfn.XLOOKUP(tblOrdenes[[#This Row],[cod_actividad]],tblActividades[codigo],tblActividades[descripcion],"(sin catálogo)"))</f>
        <v/>
      </c>
      <c r="AC902" s="20">
        <f>IF(tblOrdenes[[#This Row],[fecha_inicio]]="","",TODAY()-tblOrdenes[[#This Row],[fecha_inicio]])</f>
        <v/>
      </c>
      <c r="AD9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2" s="5">
        <f>IF(tblOrdenes[[#This Row],[backlog_habiles]]="","",IF(tblOrdenes[[#This Row],[backlog_habiles]]&lt;0,"FUTURO",IF(tblOrdenes[[#This Row],[backlog_habiles]]&gt;p_dias_backlog_max,"BACKLOG","MES CORRIENTE")))</f>
        <v/>
      </c>
      <c r="AF902" s="5">
        <f>IF(tblOrdenes[[#This Row],[backlog_habiles]]="",FALSE,AND(tblOrdenes[[#This Row],[backlog_habiles]]&gt;p_dias_backlog_min,tblOrdenes[[#This Row],[backlog_habiles]]&lt;=p_dias_backlog_max))</f>
        <v/>
      </c>
      <c r="AG902" s="4" t="n"/>
      <c r="AH9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2" s="18">
        <f>IF(tblOrdenes[[#This Row],[orden]]="","",_xlfn.XLOOKUP(tblOrdenes[[#This Row],[id_operacion]],tblEjecucion[id_operacion],tblEjecucion[precio],0))</f>
        <v/>
      </c>
      <c r="AL902" s="18">
        <f>IF(tblOrdenes[[#This Row],[orden]]="","",MAX(0,_xlfn.XLOOKUP(tblOrdenes[[#This Row],[id_operacion]],tblEjecucion[id_operacion],tblEjecucion[costo_plan_total],0)-tblOrdenes[[#This Row],[costo_servicio]]))</f>
        <v/>
      </c>
      <c r="AM902" s="18">
        <f>IF(tblOrdenes[[#This Row],[orden]]="","",tblOrdenes[[#This Row],[costo_servicio]]+tblOrdenes[[#This Row],[costo_materiales]])</f>
        <v/>
      </c>
      <c r="AN9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2" s="4" t="n"/>
      <c r="AP902" s="4" t="n"/>
      <c r="AQ902" s="4" t="n"/>
      <c r="AR902" s="5">
        <f>IF(tblOrdenes[[#This Row],[link_checklist]]="","",HYPERLINK(p_ruta_base_checklists&amp;tblOrdenes[[#This Row],[link_checklist]],"abrir"))</f>
        <v/>
      </c>
      <c r="AS902" s="4" t="n"/>
      <c r="AT902" s="5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22" t="n"/>
      <c r="K903" s="5" t="n"/>
      <c r="L903" s="18" t="n"/>
      <c r="M9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5">
        <f>IF(tblOrdenes[[#This Row],[fecha_inicio]]="","",YEAR(tblOrdenes[[#This Row],[fecha_inicio]]))</f>
        <v/>
      </c>
      <c r="Q903" s="5">
        <f>IF(tblOrdenes[[#This Row],[fecha_inicio]]="","",MONTH(tblOrdenes[[#This Row],[fecha_inicio]]))</f>
        <v/>
      </c>
      <c r="R903" s="5">
        <f>IF(tblOrdenes[[#This Row],[fecha_inicio]]="","",tblOrdenes[[#This Row],[anio]]&amp;"-"&amp;TEXT(tblOrdenes[[#This Row],[mes]],"00"))</f>
        <v/>
      </c>
      <c r="S903" s="5">
        <f>IF(tblOrdenes[[#This Row],[fecha_inicio]]="","",INDEX(lista_dias,WEEKDAY(tblOrdenes[[#This Row],[fecha_inicio]],2)))</f>
        <v/>
      </c>
      <c r="T9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3" s="5">
        <f>IF(tblOrdenes[[#This Row],[tipo_ot]]="","",_xlfn.XLOOKUP(tblOrdenes[[#This Row],[tipo_ot]],tblTiposOT[codigo],tblTiposOT[clasificacion],"sin_clasificar"))</f>
        <v/>
      </c>
      <c r="V9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3" s="5">
        <f>IF(tblOrdenes[[#This Row],[centro_costo]]="","",_xlfn.XLOOKUP(tblOrdenes[[#This Row],[centro_costo]],tblCECO[codigo],tblCECO[linea],"(sin catálogo)"))</f>
        <v/>
      </c>
      <c r="X903" s="5">
        <f>IF(tblOrdenes[[#This Row],[centro_costo]]="","",_xlfn.XLOOKUP(tblOrdenes[[#This Row],[centro_costo]],tblCECO[codigo],tblCECO[area],"(sin catálogo)"))</f>
        <v/>
      </c>
      <c r="Y9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3" s="5">
        <f>IF(tblOrdenes[[#This Row],[centro_costo]]="","",_xlfn.XLOOKUP(tblOrdenes[[#This Row],[centro_costo]],tblCECO[codigo],tblCECO[coordinador],"(sin catálogo)"))</f>
        <v/>
      </c>
      <c r="AA903" s="5">
        <f>IF(tblOrdenes[[#This Row],[puesto_trabajo]]="","",_xlfn.XLOOKUP(tblOrdenes[[#This Row],[puesto_trabajo]],tblPuestos[codigo],tblPuestos[especialidad],"(sin catálogo)"))</f>
        <v/>
      </c>
      <c r="AB903" s="5">
        <f>IF(tblOrdenes[[#This Row],[cod_actividad]]="","",_xlfn.XLOOKUP(tblOrdenes[[#This Row],[cod_actividad]],tblActividades[codigo],tblActividades[descripcion],"(sin catálogo)"))</f>
        <v/>
      </c>
      <c r="AC903" s="20">
        <f>IF(tblOrdenes[[#This Row],[fecha_inicio]]="","",TODAY()-tblOrdenes[[#This Row],[fecha_inicio]])</f>
        <v/>
      </c>
      <c r="AD9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3" s="5">
        <f>IF(tblOrdenes[[#This Row],[backlog_habiles]]="","",IF(tblOrdenes[[#This Row],[backlog_habiles]]&lt;0,"FUTURO",IF(tblOrdenes[[#This Row],[backlog_habiles]]&gt;p_dias_backlog_max,"BACKLOG","MES CORRIENTE")))</f>
        <v/>
      </c>
      <c r="AF903" s="5">
        <f>IF(tblOrdenes[[#This Row],[backlog_habiles]]="",FALSE,AND(tblOrdenes[[#This Row],[backlog_habiles]]&gt;p_dias_backlog_min,tblOrdenes[[#This Row],[backlog_habiles]]&lt;=p_dias_backlog_max))</f>
        <v/>
      </c>
      <c r="AG903" s="4" t="n"/>
      <c r="AH9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3" s="18">
        <f>IF(tblOrdenes[[#This Row],[orden]]="","",_xlfn.XLOOKUP(tblOrdenes[[#This Row],[id_operacion]],tblEjecucion[id_operacion],tblEjecucion[precio],0))</f>
        <v/>
      </c>
      <c r="AL903" s="18">
        <f>IF(tblOrdenes[[#This Row],[orden]]="","",MAX(0,_xlfn.XLOOKUP(tblOrdenes[[#This Row],[id_operacion]],tblEjecucion[id_operacion],tblEjecucion[costo_plan_total],0)-tblOrdenes[[#This Row],[costo_servicio]]))</f>
        <v/>
      </c>
      <c r="AM903" s="18">
        <f>IF(tblOrdenes[[#This Row],[orden]]="","",tblOrdenes[[#This Row],[costo_servicio]]+tblOrdenes[[#This Row],[costo_materiales]])</f>
        <v/>
      </c>
      <c r="AN9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3" s="4" t="n"/>
      <c r="AP903" s="4" t="n"/>
      <c r="AQ903" s="4" t="n"/>
      <c r="AR903" s="5">
        <f>IF(tblOrdenes[[#This Row],[link_checklist]]="","",HYPERLINK(p_ruta_base_checklists&amp;tblOrdenes[[#This Row],[link_checklist]],"abrir"))</f>
        <v/>
      </c>
      <c r="AS903" s="4" t="n"/>
      <c r="AT903" s="5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22" t="n"/>
      <c r="K904" s="5" t="n"/>
      <c r="L904" s="18" t="n"/>
      <c r="M9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5">
        <f>IF(tblOrdenes[[#This Row],[fecha_inicio]]="","",YEAR(tblOrdenes[[#This Row],[fecha_inicio]]))</f>
        <v/>
      </c>
      <c r="Q904" s="5">
        <f>IF(tblOrdenes[[#This Row],[fecha_inicio]]="","",MONTH(tblOrdenes[[#This Row],[fecha_inicio]]))</f>
        <v/>
      </c>
      <c r="R904" s="5">
        <f>IF(tblOrdenes[[#This Row],[fecha_inicio]]="","",tblOrdenes[[#This Row],[anio]]&amp;"-"&amp;TEXT(tblOrdenes[[#This Row],[mes]],"00"))</f>
        <v/>
      </c>
      <c r="S904" s="5">
        <f>IF(tblOrdenes[[#This Row],[fecha_inicio]]="","",INDEX(lista_dias,WEEKDAY(tblOrdenes[[#This Row],[fecha_inicio]],2)))</f>
        <v/>
      </c>
      <c r="T9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4" s="5">
        <f>IF(tblOrdenes[[#This Row],[tipo_ot]]="","",_xlfn.XLOOKUP(tblOrdenes[[#This Row],[tipo_ot]],tblTiposOT[codigo],tblTiposOT[clasificacion],"sin_clasificar"))</f>
        <v/>
      </c>
      <c r="V9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4" s="5">
        <f>IF(tblOrdenes[[#This Row],[centro_costo]]="","",_xlfn.XLOOKUP(tblOrdenes[[#This Row],[centro_costo]],tblCECO[codigo],tblCECO[linea],"(sin catálogo)"))</f>
        <v/>
      </c>
      <c r="X904" s="5">
        <f>IF(tblOrdenes[[#This Row],[centro_costo]]="","",_xlfn.XLOOKUP(tblOrdenes[[#This Row],[centro_costo]],tblCECO[codigo],tblCECO[area],"(sin catálogo)"))</f>
        <v/>
      </c>
      <c r="Y9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4" s="5">
        <f>IF(tblOrdenes[[#This Row],[centro_costo]]="","",_xlfn.XLOOKUP(tblOrdenes[[#This Row],[centro_costo]],tblCECO[codigo],tblCECO[coordinador],"(sin catálogo)"))</f>
        <v/>
      </c>
      <c r="AA904" s="5">
        <f>IF(tblOrdenes[[#This Row],[puesto_trabajo]]="","",_xlfn.XLOOKUP(tblOrdenes[[#This Row],[puesto_trabajo]],tblPuestos[codigo],tblPuestos[especialidad],"(sin catálogo)"))</f>
        <v/>
      </c>
      <c r="AB904" s="5">
        <f>IF(tblOrdenes[[#This Row],[cod_actividad]]="","",_xlfn.XLOOKUP(tblOrdenes[[#This Row],[cod_actividad]],tblActividades[codigo],tblActividades[descripcion],"(sin catálogo)"))</f>
        <v/>
      </c>
      <c r="AC904" s="20">
        <f>IF(tblOrdenes[[#This Row],[fecha_inicio]]="","",TODAY()-tblOrdenes[[#This Row],[fecha_inicio]])</f>
        <v/>
      </c>
      <c r="AD9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4" s="5">
        <f>IF(tblOrdenes[[#This Row],[backlog_habiles]]="","",IF(tblOrdenes[[#This Row],[backlog_habiles]]&lt;0,"FUTURO",IF(tblOrdenes[[#This Row],[backlog_habiles]]&gt;p_dias_backlog_max,"BACKLOG","MES CORRIENTE")))</f>
        <v/>
      </c>
      <c r="AF904" s="5">
        <f>IF(tblOrdenes[[#This Row],[backlog_habiles]]="",FALSE,AND(tblOrdenes[[#This Row],[backlog_habiles]]&gt;p_dias_backlog_min,tblOrdenes[[#This Row],[backlog_habiles]]&lt;=p_dias_backlog_max))</f>
        <v/>
      </c>
      <c r="AG904" s="4" t="n"/>
      <c r="AH9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4" s="18">
        <f>IF(tblOrdenes[[#This Row],[orden]]="","",_xlfn.XLOOKUP(tblOrdenes[[#This Row],[id_operacion]],tblEjecucion[id_operacion],tblEjecucion[precio],0))</f>
        <v/>
      </c>
      <c r="AL904" s="18">
        <f>IF(tblOrdenes[[#This Row],[orden]]="","",MAX(0,_xlfn.XLOOKUP(tblOrdenes[[#This Row],[id_operacion]],tblEjecucion[id_operacion],tblEjecucion[costo_plan_total],0)-tblOrdenes[[#This Row],[costo_servicio]]))</f>
        <v/>
      </c>
      <c r="AM904" s="18">
        <f>IF(tblOrdenes[[#This Row],[orden]]="","",tblOrdenes[[#This Row],[costo_servicio]]+tblOrdenes[[#This Row],[costo_materiales]])</f>
        <v/>
      </c>
      <c r="AN9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4" s="4" t="n"/>
      <c r="AP904" s="4" t="n"/>
      <c r="AQ904" s="4" t="n"/>
      <c r="AR904" s="5">
        <f>IF(tblOrdenes[[#This Row],[link_checklist]]="","",HYPERLINK(p_ruta_base_checklists&amp;tblOrdenes[[#This Row],[link_checklist]],"abrir"))</f>
        <v/>
      </c>
      <c r="AS904" s="4" t="n"/>
      <c r="AT904" s="5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22" t="n"/>
      <c r="K905" s="5" t="n"/>
      <c r="L905" s="18" t="n"/>
      <c r="M9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5">
        <f>IF(tblOrdenes[[#This Row],[fecha_inicio]]="","",YEAR(tblOrdenes[[#This Row],[fecha_inicio]]))</f>
        <v/>
      </c>
      <c r="Q905" s="5">
        <f>IF(tblOrdenes[[#This Row],[fecha_inicio]]="","",MONTH(tblOrdenes[[#This Row],[fecha_inicio]]))</f>
        <v/>
      </c>
      <c r="R905" s="5">
        <f>IF(tblOrdenes[[#This Row],[fecha_inicio]]="","",tblOrdenes[[#This Row],[anio]]&amp;"-"&amp;TEXT(tblOrdenes[[#This Row],[mes]],"00"))</f>
        <v/>
      </c>
      <c r="S905" s="5">
        <f>IF(tblOrdenes[[#This Row],[fecha_inicio]]="","",INDEX(lista_dias,WEEKDAY(tblOrdenes[[#This Row],[fecha_inicio]],2)))</f>
        <v/>
      </c>
      <c r="T9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5" s="5">
        <f>IF(tblOrdenes[[#This Row],[tipo_ot]]="","",_xlfn.XLOOKUP(tblOrdenes[[#This Row],[tipo_ot]],tblTiposOT[codigo],tblTiposOT[clasificacion],"sin_clasificar"))</f>
        <v/>
      </c>
      <c r="V9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5" s="5">
        <f>IF(tblOrdenes[[#This Row],[centro_costo]]="","",_xlfn.XLOOKUP(tblOrdenes[[#This Row],[centro_costo]],tblCECO[codigo],tblCECO[linea],"(sin catálogo)"))</f>
        <v/>
      </c>
      <c r="X905" s="5">
        <f>IF(tblOrdenes[[#This Row],[centro_costo]]="","",_xlfn.XLOOKUP(tblOrdenes[[#This Row],[centro_costo]],tblCECO[codigo],tblCECO[area],"(sin catálogo)"))</f>
        <v/>
      </c>
      <c r="Y9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5" s="5">
        <f>IF(tblOrdenes[[#This Row],[centro_costo]]="","",_xlfn.XLOOKUP(tblOrdenes[[#This Row],[centro_costo]],tblCECO[codigo],tblCECO[coordinador],"(sin catálogo)"))</f>
        <v/>
      </c>
      <c r="AA905" s="5">
        <f>IF(tblOrdenes[[#This Row],[puesto_trabajo]]="","",_xlfn.XLOOKUP(tblOrdenes[[#This Row],[puesto_trabajo]],tblPuestos[codigo],tblPuestos[especialidad],"(sin catálogo)"))</f>
        <v/>
      </c>
      <c r="AB905" s="5">
        <f>IF(tblOrdenes[[#This Row],[cod_actividad]]="","",_xlfn.XLOOKUP(tblOrdenes[[#This Row],[cod_actividad]],tblActividades[codigo],tblActividades[descripcion],"(sin catálogo)"))</f>
        <v/>
      </c>
      <c r="AC905" s="20">
        <f>IF(tblOrdenes[[#This Row],[fecha_inicio]]="","",TODAY()-tblOrdenes[[#This Row],[fecha_inicio]])</f>
        <v/>
      </c>
      <c r="AD9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5" s="5">
        <f>IF(tblOrdenes[[#This Row],[backlog_habiles]]="","",IF(tblOrdenes[[#This Row],[backlog_habiles]]&lt;0,"FUTURO",IF(tblOrdenes[[#This Row],[backlog_habiles]]&gt;p_dias_backlog_max,"BACKLOG","MES CORRIENTE")))</f>
        <v/>
      </c>
      <c r="AF905" s="5">
        <f>IF(tblOrdenes[[#This Row],[backlog_habiles]]="",FALSE,AND(tblOrdenes[[#This Row],[backlog_habiles]]&gt;p_dias_backlog_min,tblOrdenes[[#This Row],[backlog_habiles]]&lt;=p_dias_backlog_max))</f>
        <v/>
      </c>
      <c r="AG905" s="4" t="n"/>
      <c r="AH9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5" s="18">
        <f>IF(tblOrdenes[[#This Row],[orden]]="","",_xlfn.XLOOKUP(tblOrdenes[[#This Row],[id_operacion]],tblEjecucion[id_operacion],tblEjecucion[precio],0))</f>
        <v/>
      </c>
      <c r="AL905" s="18">
        <f>IF(tblOrdenes[[#This Row],[orden]]="","",MAX(0,_xlfn.XLOOKUP(tblOrdenes[[#This Row],[id_operacion]],tblEjecucion[id_operacion],tblEjecucion[costo_plan_total],0)-tblOrdenes[[#This Row],[costo_servicio]]))</f>
        <v/>
      </c>
      <c r="AM905" s="18">
        <f>IF(tblOrdenes[[#This Row],[orden]]="","",tblOrdenes[[#This Row],[costo_servicio]]+tblOrdenes[[#This Row],[costo_materiales]])</f>
        <v/>
      </c>
      <c r="AN9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5" s="4" t="n"/>
      <c r="AP905" s="4" t="n"/>
      <c r="AQ905" s="4" t="n"/>
      <c r="AR905" s="5">
        <f>IF(tblOrdenes[[#This Row],[link_checklist]]="","",HYPERLINK(p_ruta_base_checklists&amp;tblOrdenes[[#This Row],[link_checklist]],"abrir"))</f>
        <v/>
      </c>
      <c r="AS905" s="4" t="n"/>
      <c r="AT905" s="5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22" t="n"/>
      <c r="K906" s="5" t="n"/>
      <c r="L906" s="18" t="n"/>
      <c r="M9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5">
        <f>IF(tblOrdenes[[#This Row],[fecha_inicio]]="","",YEAR(tblOrdenes[[#This Row],[fecha_inicio]]))</f>
        <v/>
      </c>
      <c r="Q906" s="5">
        <f>IF(tblOrdenes[[#This Row],[fecha_inicio]]="","",MONTH(tblOrdenes[[#This Row],[fecha_inicio]]))</f>
        <v/>
      </c>
      <c r="R906" s="5">
        <f>IF(tblOrdenes[[#This Row],[fecha_inicio]]="","",tblOrdenes[[#This Row],[anio]]&amp;"-"&amp;TEXT(tblOrdenes[[#This Row],[mes]],"00"))</f>
        <v/>
      </c>
      <c r="S906" s="5">
        <f>IF(tblOrdenes[[#This Row],[fecha_inicio]]="","",INDEX(lista_dias,WEEKDAY(tblOrdenes[[#This Row],[fecha_inicio]],2)))</f>
        <v/>
      </c>
      <c r="T9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6" s="5">
        <f>IF(tblOrdenes[[#This Row],[tipo_ot]]="","",_xlfn.XLOOKUP(tblOrdenes[[#This Row],[tipo_ot]],tblTiposOT[codigo],tblTiposOT[clasificacion],"sin_clasificar"))</f>
        <v/>
      </c>
      <c r="V9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6" s="5">
        <f>IF(tblOrdenes[[#This Row],[centro_costo]]="","",_xlfn.XLOOKUP(tblOrdenes[[#This Row],[centro_costo]],tblCECO[codigo],tblCECO[linea],"(sin catálogo)"))</f>
        <v/>
      </c>
      <c r="X906" s="5">
        <f>IF(tblOrdenes[[#This Row],[centro_costo]]="","",_xlfn.XLOOKUP(tblOrdenes[[#This Row],[centro_costo]],tblCECO[codigo],tblCECO[area],"(sin catálogo)"))</f>
        <v/>
      </c>
      <c r="Y9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6" s="5">
        <f>IF(tblOrdenes[[#This Row],[centro_costo]]="","",_xlfn.XLOOKUP(tblOrdenes[[#This Row],[centro_costo]],tblCECO[codigo],tblCECO[coordinador],"(sin catálogo)"))</f>
        <v/>
      </c>
      <c r="AA906" s="5">
        <f>IF(tblOrdenes[[#This Row],[puesto_trabajo]]="","",_xlfn.XLOOKUP(tblOrdenes[[#This Row],[puesto_trabajo]],tblPuestos[codigo],tblPuestos[especialidad],"(sin catálogo)"))</f>
        <v/>
      </c>
      <c r="AB906" s="5">
        <f>IF(tblOrdenes[[#This Row],[cod_actividad]]="","",_xlfn.XLOOKUP(tblOrdenes[[#This Row],[cod_actividad]],tblActividades[codigo],tblActividades[descripcion],"(sin catálogo)"))</f>
        <v/>
      </c>
      <c r="AC906" s="20">
        <f>IF(tblOrdenes[[#This Row],[fecha_inicio]]="","",TODAY()-tblOrdenes[[#This Row],[fecha_inicio]])</f>
        <v/>
      </c>
      <c r="AD9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6" s="5">
        <f>IF(tblOrdenes[[#This Row],[backlog_habiles]]="","",IF(tblOrdenes[[#This Row],[backlog_habiles]]&lt;0,"FUTURO",IF(tblOrdenes[[#This Row],[backlog_habiles]]&gt;p_dias_backlog_max,"BACKLOG","MES CORRIENTE")))</f>
        <v/>
      </c>
      <c r="AF906" s="5">
        <f>IF(tblOrdenes[[#This Row],[backlog_habiles]]="",FALSE,AND(tblOrdenes[[#This Row],[backlog_habiles]]&gt;p_dias_backlog_min,tblOrdenes[[#This Row],[backlog_habiles]]&lt;=p_dias_backlog_max))</f>
        <v/>
      </c>
      <c r="AG906" s="4" t="n"/>
      <c r="AH9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6" s="18">
        <f>IF(tblOrdenes[[#This Row],[orden]]="","",_xlfn.XLOOKUP(tblOrdenes[[#This Row],[id_operacion]],tblEjecucion[id_operacion],tblEjecucion[precio],0))</f>
        <v/>
      </c>
      <c r="AL906" s="18">
        <f>IF(tblOrdenes[[#This Row],[orden]]="","",MAX(0,_xlfn.XLOOKUP(tblOrdenes[[#This Row],[id_operacion]],tblEjecucion[id_operacion],tblEjecucion[costo_plan_total],0)-tblOrdenes[[#This Row],[costo_servicio]]))</f>
        <v/>
      </c>
      <c r="AM906" s="18">
        <f>IF(tblOrdenes[[#This Row],[orden]]="","",tblOrdenes[[#This Row],[costo_servicio]]+tblOrdenes[[#This Row],[costo_materiales]])</f>
        <v/>
      </c>
      <c r="AN9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6" s="4" t="n"/>
      <c r="AP906" s="4" t="n"/>
      <c r="AQ906" s="4" t="n"/>
      <c r="AR906" s="5">
        <f>IF(tblOrdenes[[#This Row],[link_checklist]]="","",HYPERLINK(p_ruta_base_checklists&amp;tblOrdenes[[#This Row],[link_checklist]],"abrir"))</f>
        <v/>
      </c>
      <c r="AS906" s="4" t="n"/>
      <c r="AT906" s="5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22" t="n"/>
      <c r="K907" s="5" t="n"/>
      <c r="L907" s="18" t="n"/>
      <c r="M9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5">
        <f>IF(tblOrdenes[[#This Row],[fecha_inicio]]="","",YEAR(tblOrdenes[[#This Row],[fecha_inicio]]))</f>
        <v/>
      </c>
      <c r="Q907" s="5">
        <f>IF(tblOrdenes[[#This Row],[fecha_inicio]]="","",MONTH(tblOrdenes[[#This Row],[fecha_inicio]]))</f>
        <v/>
      </c>
      <c r="R907" s="5">
        <f>IF(tblOrdenes[[#This Row],[fecha_inicio]]="","",tblOrdenes[[#This Row],[anio]]&amp;"-"&amp;TEXT(tblOrdenes[[#This Row],[mes]],"00"))</f>
        <v/>
      </c>
      <c r="S907" s="5">
        <f>IF(tblOrdenes[[#This Row],[fecha_inicio]]="","",INDEX(lista_dias,WEEKDAY(tblOrdenes[[#This Row],[fecha_inicio]],2)))</f>
        <v/>
      </c>
      <c r="T9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7" s="5">
        <f>IF(tblOrdenes[[#This Row],[tipo_ot]]="","",_xlfn.XLOOKUP(tblOrdenes[[#This Row],[tipo_ot]],tblTiposOT[codigo],tblTiposOT[clasificacion],"sin_clasificar"))</f>
        <v/>
      </c>
      <c r="V9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7" s="5">
        <f>IF(tblOrdenes[[#This Row],[centro_costo]]="","",_xlfn.XLOOKUP(tblOrdenes[[#This Row],[centro_costo]],tblCECO[codigo],tblCECO[linea],"(sin catálogo)"))</f>
        <v/>
      </c>
      <c r="X907" s="5">
        <f>IF(tblOrdenes[[#This Row],[centro_costo]]="","",_xlfn.XLOOKUP(tblOrdenes[[#This Row],[centro_costo]],tblCECO[codigo],tblCECO[area],"(sin catálogo)"))</f>
        <v/>
      </c>
      <c r="Y9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7" s="5">
        <f>IF(tblOrdenes[[#This Row],[centro_costo]]="","",_xlfn.XLOOKUP(tblOrdenes[[#This Row],[centro_costo]],tblCECO[codigo],tblCECO[coordinador],"(sin catálogo)"))</f>
        <v/>
      </c>
      <c r="AA907" s="5">
        <f>IF(tblOrdenes[[#This Row],[puesto_trabajo]]="","",_xlfn.XLOOKUP(tblOrdenes[[#This Row],[puesto_trabajo]],tblPuestos[codigo],tblPuestos[especialidad],"(sin catálogo)"))</f>
        <v/>
      </c>
      <c r="AB907" s="5">
        <f>IF(tblOrdenes[[#This Row],[cod_actividad]]="","",_xlfn.XLOOKUP(tblOrdenes[[#This Row],[cod_actividad]],tblActividades[codigo],tblActividades[descripcion],"(sin catálogo)"))</f>
        <v/>
      </c>
      <c r="AC907" s="20">
        <f>IF(tblOrdenes[[#This Row],[fecha_inicio]]="","",TODAY()-tblOrdenes[[#This Row],[fecha_inicio]])</f>
        <v/>
      </c>
      <c r="AD9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7" s="5">
        <f>IF(tblOrdenes[[#This Row],[backlog_habiles]]="","",IF(tblOrdenes[[#This Row],[backlog_habiles]]&lt;0,"FUTURO",IF(tblOrdenes[[#This Row],[backlog_habiles]]&gt;p_dias_backlog_max,"BACKLOG","MES CORRIENTE")))</f>
        <v/>
      </c>
      <c r="AF907" s="5">
        <f>IF(tblOrdenes[[#This Row],[backlog_habiles]]="",FALSE,AND(tblOrdenes[[#This Row],[backlog_habiles]]&gt;p_dias_backlog_min,tblOrdenes[[#This Row],[backlog_habiles]]&lt;=p_dias_backlog_max))</f>
        <v/>
      </c>
      <c r="AG907" s="4" t="n"/>
      <c r="AH9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7" s="18">
        <f>IF(tblOrdenes[[#This Row],[orden]]="","",_xlfn.XLOOKUP(tblOrdenes[[#This Row],[id_operacion]],tblEjecucion[id_operacion],tblEjecucion[precio],0))</f>
        <v/>
      </c>
      <c r="AL907" s="18">
        <f>IF(tblOrdenes[[#This Row],[orden]]="","",MAX(0,_xlfn.XLOOKUP(tblOrdenes[[#This Row],[id_operacion]],tblEjecucion[id_operacion],tblEjecucion[costo_plan_total],0)-tblOrdenes[[#This Row],[costo_servicio]]))</f>
        <v/>
      </c>
      <c r="AM907" s="18">
        <f>IF(tblOrdenes[[#This Row],[orden]]="","",tblOrdenes[[#This Row],[costo_servicio]]+tblOrdenes[[#This Row],[costo_materiales]])</f>
        <v/>
      </c>
      <c r="AN9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7" s="4" t="n"/>
      <c r="AP907" s="4" t="n"/>
      <c r="AQ907" s="4" t="n"/>
      <c r="AR907" s="5">
        <f>IF(tblOrdenes[[#This Row],[link_checklist]]="","",HYPERLINK(p_ruta_base_checklists&amp;tblOrdenes[[#This Row],[link_checklist]],"abrir"))</f>
        <v/>
      </c>
      <c r="AS907" s="4" t="n"/>
      <c r="AT907" s="5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22" t="n"/>
      <c r="K908" s="5" t="n"/>
      <c r="L908" s="18" t="n"/>
      <c r="M9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5">
        <f>IF(tblOrdenes[[#This Row],[fecha_inicio]]="","",YEAR(tblOrdenes[[#This Row],[fecha_inicio]]))</f>
        <v/>
      </c>
      <c r="Q908" s="5">
        <f>IF(tblOrdenes[[#This Row],[fecha_inicio]]="","",MONTH(tblOrdenes[[#This Row],[fecha_inicio]]))</f>
        <v/>
      </c>
      <c r="R908" s="5">
        <f>IF(tblOrdenes[[#This Row],[fecha_inicio]]="","",tblOrdenes[[#This Row],[anio]]&amp;"-"&amp;TEXT(tblOrdenes[[#This Row],[mes]],"00"))</f>
        <v/>
      </c>
      <c r="S908" s="5">
        <f>IF(tblOrdenes[[#This Row],[fecha_inicio]]="","",INDEX(lista_dias,WEEKDAY(tblOrdenes[[#This Row],[fecha_inicio]],2)))</f>
        <v/>
      </c>
      <c r="T9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8" s="5">
        <f>IF(tblOrdenes[[#This Row],[tipo_ot]]="","",_xlfn.XLOOKUP(tblOrdenes[[#This Row],[tipo_ot]],tblTiposOT[codigo],tblTiposOT[clasificacion],"sin_clasificar"))</f>
        <v/>
      </c>
      <c r="V9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8" s="5">
        <f>IF(tblOrdenes[[#This Row],[centro_costo]]="","",_xlfn.XLOOKUP(tblOrdenes[[#This Row],[centro_costo]],tblCECO[codigo],tblCECO[linea],"(sin catálogo)"))</f>
        <v/>
      </c>
      <c r="X908" s="5">
        <f>IF(tblOrdenes[[#This Row],[centro_costo]]="","",_xlfn.XLOOKUP(tblOrdenes[[#This Row],[centro_costo]],tblCECO[codigo],tblCECO[area],"(sin catálogo)"))</f>
        <v/>
      </c>
      <c r="Y9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8" s="5">
        <f>IF(tblOrdenes[[#This Row],[centro_costo]]="","",_xlfn.XLOOKUP(tblOrdenes[[#This Row],[centro_costo]],tblCECO[codigo],tblCECO[coordinador],"(sin catálogo)"))</f>
        <v/>
      </c>
      <c r="AA908" s="5">
        <f>IF(tblOrdenes[[#This Row],[puesto_trabajo]]="","",_xlfn.XLOOKUP(tblOrdenes[[#This Row],[puesto_trabajo]],tblPuestos[codigo],tblPuestos[especialidad],"(sin catálogo)"))</f>
        <v/>
      </c>
      <c r="AB908" s="5">
        <f>IF(tblOrdenes[[#This Row],[cod_actividad]]="","",_xlfn.XLOOKUP(tblOrdenes[[#This Row],[cod_actividad]],tblActividades[codigo],tblActividades[descripcion],"(sin catálogo)"))</f>
        <v/>
      </c>
      <c r="AC908" s="20">
        <f>IF(tblOrdenes[[#This Row],[fecha_inicio]]="","",TODAY()-tblOrdenes[[#This Row],[fecha_inicio]])</f>
        <v/>
      </c>
      <c r="AD9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8" s="5">
        <f>IF(tblOrdenes[[#This Row],[backlog_habiles]]="","",IF(tblOrdenes[[#This Row],[backlog_habiles]]&lt;0,"FUTURO",IF(tblOrdenes[[#This Row],[backlog_habiles]]&gt;p_dias_backlog_max,"BACKLOG","MES CORRIENTE")))</f>
        <v/>
      </c>
      <c r="AF908" s="5">
        <f>IF(tblOrdenes[[#This Row],[backlog_habiles]]="",FALSE,AND(tblOrdenes[[#This Row],[backlog_habiles]]&gt;p_dias_backlog_min,tblOrdenes[[#This Row],[backlog_habiles]]&lt;=p_dias_backlog_max))</f>
        <v/>
      </c>
      <c r="AG908" s="4" t="n"/>
      <c r="AH9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8" s="18">
        <f>IF(tblOrdenes[[#This Row],[orden]]="","",_xlfn.XLOOKUP(tblOrdenes[[#This Row],[id_operacion]],tblEjecucion[id_operacion],tblEjecucion[precio],0))</f>
        <v/>
      </c>
      <c r="AL908" s="18">
        <f>IF(tblOrdenes[[#This Row],[orden]]="","",MAX(0,_xlfn.XLOOKUP(tblOrdenes[[#This Row],[id_operacion]],tblEjecucion[id_operacion],tblEjecucion[costo_plan_total],0)-tblOrdenes[[#This Row],[costo_servicio]]))</f>
        <v/>
      </c>
      <c r="AM908" s="18">
        <f>IF(tblOrdenes[[#This Row],[orden]]="","",tblOrdenes[[#This Row],[costo_servicio]]+tblOrdenes[[#This Row],[costo_materiales]])</f>
        <v/>
      </c>
      <c r="AN9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8" s="4" t="n"/>
      <c r="AP908" s="4" t="n"/>
      <c r="AQ908" s="4" t="n"/>
      <c r="AR908" s="5">
        <f>IF(tblOrdenes[[#This Row],[link_checklist]]="","",HYPERLINK(p_ruta_base_checklists&amp;tblOrdenes[[#This Row],[link_checklist]],"abrir"))</f>
        <v/>
      </c>
      <c r="AS908" s="4" t="n"/>
      <c r="AT908" s="5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22" t="n"/>
      <c r="K909" s="5" t="n"/>
      <c r="L909" s="18" t="n"/>
      <c r="M9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5">
        <f>IF(tblOrdenes[[#This Row],[fecha_inicio]]="","",YEAR(tblOrdenes[[#This Row],[fecha_inicio]]))</f>
        <v/>
      </c>
      <c r="Q909" s="5">
        <f>IF(tblOrdenes[[#This Row],[fecha_inicio]]="","",MONTH(tblOrdenes[[#This Row],[fecha_inicio]]))</f>
        <v/>
      </c>
      <c r="R909" s="5">
        <f>IF(tblOrdenes[[#This Row],[fecha_inicio]]="","",tblOrdenes[[#This Row],[anio]]&amp;"-"&amp;TEXT(tblOrdenes[[#This Row],[mes]],"00"))</f>
        <v/>
      </c>
      <c r="S909" s="5">
        <f>IF(tblOrdenes[[#This Row],[fecha_inicio]]="","",INDEX(lista_dias,WEEKDAY(tblOrdenes[[#This Row],[fecha_inicio]],2)))</f>
        <v/>
      </c>
      <c r="T9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9" s="5">
        <f>IF(tblOrdenes[[#This Row],[tipo_ot]]="","",_xlfn.XLOOKUP(tblOrdenes[[#This Row],[tipo_ot]],tblTiposOT[codigo],tblTiposOT[clasificacion],"sin_clasificar"))</f>
        <v/>
      </c>
      <c r="V9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9" s="5">
        <f>IF(tblOrdenes[[#This Row],[centro_costo]]="","",_xlfn.XLOOKUP(tblOrdenes[[#This Row],[centro_costo]],tblCECO[codigo],tblCECO[linea],"(sin catálogo)"))</f>
        <v/>
      </c>
      <c r="X909" s="5">
        <f>IF(tblOrdenes[[#This Row],[centro_costo]]="","",_xlfn.XLOOKUP(tblOrdenes[[#This Row],[centro_costo]],tblCECO[codigo],tblCECO[area],"(sin catálogo)"))</f>
        <v/>
      </c>
      <c r="Y9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09" s="5">
        <f>IF(tblOrdenes[[#This Row],[centro_costo]]="","",_xlfn.XLOOKUP(tblOrdenes[[#This Row],[centro_costo]],tblCECO[codigo],tblCECO[coordinador],"(sin catálogo)"))</f>
        <v/>
      </c>
      <c r="AA909" s="5">
        <f>IF(tblOrdenes[[#This Row],[puesto_trabajo]]="","",_xlfn.XLOOKUP(tblOrdenes[[#This Row],[puesto_trabajo]],tblPuestos[codigo],tblPuestos[especialidad],"(sin catálogo)"))</f>
        <v/>
      </c>
      <c r="AB909" s="5">
        <f>IF(tblOrdenes[[#This Row],[cod_actividad]]="","",_xlfn.XLOOKUP(tblOrdenes[[#This Row],[cod_actividad]],tblActividades[codigo],tblActividades[descripcion],"(sin catálogo)"))</f>
        <v/>
      </c>
      <c r="AC909" s="20">
        <f>IF(tblOrdenes[[#This Row],[fecha_inicio]]="","",TODAY()-tblOrdenes[[#This Row],[fecha_inicio]])</f>
        <v/>
      </c>
      <c r="AD9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09" s="5">
        <f>IF(tblOrdenes[[#This Row],[backlog_habiles]]="","",IF(tblOrdenes[[#This Row],[backlog_habiles]]&lt;0,"FUTURO",IF(tblOrdenes[[#This Row],[backlog_habiles]]&gt;p_dias_backlog_max,"BACKLOG","MES CORRIENTE")))</f>
        <v/>
      </c>
      <c r="AF909" s="5">
        <f>IF(tblOrdenes[[#This Row],[backlog_habiles]]="",FALSE,AND(tblOrdenes[[#This Row],[backlog_habiles]]&gt;p_dias_backlog_min,tblOrdenes[[#This Row],[backlog_habiles]]&lt;=p_dias_backlog_max))</f>
        <v/>
      </c>
      <c r="AG909" s="4" t="n"/>
      <c r="AH9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09" s="18">
        <f>IF(tblOrdenes[[#This Row],[orden]]="","",_xlfn.XLOOKUP(tblOrdenes[[#This Row],[id_operacion]],tblEjecucion[id_operacion],tblEjecucion[precio],0))</f>
        <v/>
      </c>
      <c r="AL909" s="18">
        <f>IF(tblOrdenes[[#This Row],[orden]]="","",MAX(0,_xlfn.XLOOKUP(tblOrdenes[[#This Row],[id_operacion]],tblEjecucion[id_operacion],tblEjecucion[costo_plan_total],0)-tblOrdenes[[#This Row],[costo_servicio]]))</f>
        <v/>
      </c>
      <c r="AM909" s="18">
        <f>IF(tblOrdenes[[#This Row],[orden]]="","",tblOrdenes[[#This Row],[costo_servicio]]+tblOrdenes[[#This Row],[costo_materiales]])</f>
        <v/>
      </c>
      <c r="AN9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09" s="4" t="n"/>
      <c r="AP909" s="4" t="n"/>
      <c r="AQ909" s="4" t="n"/>
      <c r="AR909" s="5">
        <f>IF(tblOrdenes[[#This Row],[link_checklist]]="","",HYPERLINK(p_ruta_base_checklists&amp;tblOrdenes[[#This Row],[link_checklist]],"abrir"))</f>
        <v/>
      </c>
      <c r="AS909" s="4" t="n"/>
      <c r="AT909" s="5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22" t="n"/>
      <c r="K910" s="5" t="n"/>
      <c r="L910" s="18" t="n"/>
      <c r="M9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5">
        <f>IF(tblOrdenes[[#This Row],[fecha_inicio]]="","",YEAR(tblOrdenes[[#This Row],[fecha_inicio]]))</f>
        <v/>
      </c>
      <c r="Q910" s="5">
        <f>IF(tblOrdenes[[#This Row],[fecha_inicio]]="","",MONTH(tblOrdenes[[#This Row],[fecha_inicio]]))</f>
        <v/>
      </c>
      <c r="R910" s="5">
        <f>IF(tblOrdenes[[#This Row],[fecha_inicio]]="","",tblOrdenes[[#This Row],[anio]]&amp;"-"&amp;TEXT(tblOrdenes[[#This Row],[mes]],"00"))</f>
        <v/>
      </c>
      <c r="S910" s="5">
        <f>IF(tblOrdenes[[#This Row],[fecha_inicio]]="","",INDEX(lista_dias,WEEKDAY(tblOrdenes[[#This Row],[fecha_inicio]],2)))</f>
        <v/>
      </c>
      <c r="T9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0" s="5">
        <f>IF(tblOrdenes[[#This Row],[tipo_ot]]="","",_xlfn.XLOOKUP(tblOrdenes[[#This Row],[tipo_ot]],tblTiposOT[codigo],tblTiposOT[clasificacion],"sin_clasificar"))</f>
        <v/>
      </c>
      <c r="V9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0" s="5">
        <f>IF(tblOrdenes[[#This Row],[centro_costo]]="","",_xlfn.XLOOKUP(tblOrdenes[[#This Row],[centro_costo]],tblCECO[codigo],tblCECO[linea],"(sin catálogo)"))</f>
        <v/>
      </c>
      <c r="X910" s="5">
        <f>IF(tblOrdenes[[#This Row],[centro_costo]]="","",_xlfn.XLOOKUP(tblOrdenes[[#This Row],[centro_costo]],tblCECO[codigo],tblCECO[area],"(sin catálogo)"))</f>
        <v/>
      </c>
      <c r="Y9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0" s="5">
        <f>IF(tblOrdenes[[#This Row],[centro_costo]]="","",_xlfn.XLOOKUP(tblOrdenes[[#This Row],[centro_costo]],tblCECO[codigo],tblCECO[coordinador],"(sin catálogo)"))</f>
        <v/>
      </c>
      <c r="AA910" s="5">
        <f>IF(tblOrdenes[[#This Row],[puesto_trabajo]]="","",_xlfn.XLOOKUP(tblOrdenes[[#This Row],[puesto_trabajo]],tblPuestos[codigo],tblPuestos[especialidad],"(sin catálogo)"))</f>
        <v/>
      </c>
      <c r="AB910" s="5">
        <f>IF(tblOrdenes[[#This Row],[cod_actividad]]="","",_xlfn.XLOOKUP(tblOrdenes[[#This Row],[cod_actividad]],tblActividades[codigo],tblActividades[descripcion],"(sin catálogo)"))</f>
        <v/>
      </c>
      <c r="AC910" s="20">
        <f>IF(tblOrdenes[[#This Row],[fecha_inicio]]="","",TODAY()-tblOrdenes[[#This Row],[fecha_inicio]])</f>
        <v/>
      </c>
      <c r="AD9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0" s="5">
        <f>IF(tblOrdenes[[#This Row],[backlog_habiles]]="","",IF(tblOrdenes[[#This Row],[backlog_habiles]]&lt;0,"FUTURO",IF(tblOrdenes[[#This Row],[backlog_habiles]]&gt;p_dias_backlog_max,"BACKLOG","MES CORRIENTE")))</f>
        <v/>
      </c>
      <c r="AF910" s="5">
        <f>IF(tblOrdenes[[#This Row],[backlog_habiles]]="",FALSE,AND(tblOrdenes[[#This Row],[backlog_habiles]]&gt;p_dias_backlog_min,tblOrdenes[[#This Row],[backlog_habiles]]&lt;=p_dias_backlog_max))</f>
        <v/>
      </c>
      <c r="AG910" s="4" t="n"/>
      <c r="AH9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0" s="18">
        <f>IF(tblOrdenes[[#This Row],[orden]]="","",_xlfn.XLOOKUP(tblOrdenes[[#This Row],[id_operacion]],tblEjecucion[id_operacion],tblEjecucion[precio],0))</f>
        <v/>
      </c>
      <c r="AL910" s="18">
        <f>IF(tblOrdenes[[#This Row],[orden]]="","",MAX(0,_xlfn.XLOOKUP(tblOrdenes[[#This Row],[id_operacion]],tblEjecucion[id_operacion],tblEjecucion[costo_plan_total],0)-tblOrdenes[[#This Row],[costo_servicio]]))</f>
        <v/>
      </c>
      <c r="AM910" s="18">
        <f>IF(tblOrdenes[[#This Row],[orden]]="","",tblOrdenes[[#This Row],[costo_servicio]]+tblOrdenes[[#This Row],[costo_materiales]])</f>
        <v/>
      </c>
      <c r="AN9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0" s="4" t="n"/>
      <c r="AP910" s="4" t="n"/>
      <c r="AQ910" s="4" t="n"/>
      <c r="AR910" s="5">
        <f>IF(tblOrdenes[[#This Row],[link_checklist]]="","",HYPERLINK(p_ruta_base_checklists&amp;tblOrdenes[[#This Row],[link_checklist]],"abrir"))</f>
        <v/>
      </c>
      <c r="AS910" s="4" t="n"/>
      <c r="AT910" s="5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22" t="n"/>
      <c r="K911" s="5" t="n"/>
      <c r="L911" s="18" t="n"/>
      <c r="M9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5">
        <f>IF(tblOrdenes[[#This Row],[fecha_inicio]]="","",YEAR(tblOrdenes[[#This Row],[fecha_inicio]]))</f>
        <v/>
      </c>
      <c r="Q911" s="5">
        <f>IF(tblOrdenes[[#This Row],[fecha_inicio]]="","",MONTH(tblOrdenes[[#This Row],[fecha_inicio]]))</f>
        <v/>
      </c>
      <c r="R911" s="5">
        <f>IF(tblOrdenes[[#This Row],[fecha_inicio]]="","",tblOrdenes[[#This Row],[anio]]&amp;"-"&amp;TEXT(tblOrdenes[[#This Row],[mes]],"00"))</f>
        <v/>
      </c>
      <c r="S911" s="5">
        <f>IF(tblOrdenes[[#This Row],[fecha_inicio]]="","",INDEX(lista_dias,WEEKDAY(tblOrdenes[[#This Row],[fecha_inicio]],2)))</f>
        <v/>
      </c>
      <c r="T9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1" s="5">
        <f>IF(tblOrdenes[[#This Row],[tipo_ot]]="","",_xlfn.XLOOKUP(tblOrdenes[[#This Row],[tipo_ot]],tblTiposOT[codigo],tblTiposOT[clasificacion],"sin_clasificar"))</f>
        <v/>
      </c>
      <c r="V9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1" s="5">
        <f>IF(tblOrdenes[[#This Row],[centro_costo]]="","",_xlfn.XLOOKUP(tblOrdenes[[#This Row],[centro_costo]],tblCECO[codigo],tblCECO[linea],"(sin catálogo)"))</f>
        <v/>
      </c>
      <c r="X911" s="5">
        <f>IF(tblOrdenes[[#This Row],[centro_costo]]="","",_xlfn.XLOOKUP(tblOrdenes[[#This Row],[centro_costo]],tblCECO[codigo],tblCECO[area],"(sin catálogo)"))</f>
        <v/>
      </c>
      <c r="Y9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1" s="5">
        <f>IF(tblOrdenes[[#This Row],[centro_costo]]="","",_xlfn.XLOOKUP(tblOrdenes[[#This Row],[centro_costo]],tblCECO[codigo],tblCECO[coordinador],"(sin catálogo)"))</f>
        <v/>
      </c>
      <c r="AA911" s="5">
        <f>IF(tblOrdenes[[#This Row],[puesto_trabajo]]="","",_xlfn.XLOOKUP(tblOrdenes[[#This Row],[puesto_trabajo]],tblPuestos[codigo],tblPuestos[especialidad],"(sin catálogo)"))</f>
        <v/>
      </c>
      <c r="AB911" s="5">
        <f>IF(tblOrdenes[[#This Row],[cod_actividad]]="","",_xlfn.XLOOKUP(tblOrdenes[[#This Row],[cod_actividad]],tblActividades[codigo],tblActividades[descripcion],"(sin catálogo)"))</f>
        <v/>
      </c>
      <c r="AC911" s="20">
        <f>IF(tblOrdenes[[#This Row],[fecha_inicio]]="","",TODAY()-tblOrdenes[[#This Row],[fecha_inicio]])</f>
        <v/>
      </c>
      <c r="AD9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1" s="5">
        <f>IF(tblOrdenes[[#This Row],[backlog_habiles]]="","",IF(tblOrdenes[[#This Row],[backlog_habiles]]&lt;0,"FUTURO",IF(tblOrdenes[[#This Row],[backlog_habiles]]&gt;p_dias_backlog_max,"BACKLOG","MES CORRIENTE")))</f>
        <v/>
      </c>
      <c r="AF911" s="5">
        <f>IF(tblOrdenes[[#This Row],[backlog_habiles]]="",FALSE,AND(tblOrdenes[[#This Row],[backlog_habiles]]&gt;p_dias_backlog_min,tblOrdenes[[#This Row],[backlog_habiles]]&lt;=p_dias_backlog_max))</f>
        <v/>
      </c>
      <c r="AG911" s="4" t="n"/>
      <c r="AH9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1" s="18">
        <f>IF(tblOrdenes[[#This Row],[orden]]="","",_xlfn.XLOOKUP(tblOrdenes[[#This Row],[id_operacion]],tblEjecucion[id_operacion],tblEjecucion[precio],0))</f>
        <v/>
      </c>
      <c r="AL911" s="18">
        <f>IF(tblOrdenes[[#This Row],[orden]]="","",MAX(0,_xlfn.XLOOKUP(tblOrdenes[[#This Row],[id_operacion]],tblEjecucion[id_operacion],tblEjecucion[costo_plan_total],0)-tblOrdenes[[#This Row],[costo_servicio]]))</f>
        <v/>
      </c>
      <c r="AM911" s="18">
        <f>IF(tblOrdenes[[#This Row],[orden]]="","",tblOrdenes[[#This Row],[costo_servicio]]+tblOrdenes[[#This Row],[costo_materiales]])</f>
        <v/>
      </c>
      <c r="AN9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1" s="4" t="n"/>
      <c r="AP911" s="4" t="n"/>
      <c r="AQ911" s="4" t="n"/>
      <c r="AR911" s="5">
        <f>IF(tblOrdenes[[#This Row],[link_checklist]]="","",HYPERLINK(p_ruta_base_checklists&amp;tblOrdenes[[#This Row],[link_checklist]],"abrir"))</f>
        <v/>
      </c>
      <c r="AS911" s="4" t="n"/>
      <c r="AT911" s="5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22" t="n"/>
      <c r="K912" s="5" t="n"/>
      <c r="L912" s="18" t="n"/>
      <c r="M9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5">
        <f>IF(tblOrdenes[[#This Row],[fecha_inicio]]="","",YEAR(tblOrdenes[[#This Row],[fecha_inicio]]))</f>
        <v/>
      </c>
      <c r="Q912" s="5">
        <f>IF(tblOrdenes[[#This Row],[fecha_inicio]]="","",MONTH(tblOrdenes[[#This Row],[fecha_inicio]]))</f>
        <v/>
      </c>
      <c r="R912" s="5">
        <f>IF(tblOrdenes[[#This Row],[fecha_inicio]]="","",tblOrdenes[[#This Row],[anio]]&amp;"-"&amp;TEXT(tblOrdenes[[#This Row],[mes]],"00"))</f>
        <v/>
      </c>
      <c r="S912" s="5">
        <f>IF(tblOrdenes[[#This Row],[fecha_inicio]]="","",INDEX(lista_dias,WEEKDAY(tblOrdenes[[#This Row],[fecha_inicio]],2)))</f>
        <v/>
      </c>
      <c r="T9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2" s="5">
        <f>IF(tblOrdenes[[#This Row],[tipo_ot]]="","",_xlfn.XLOOKUP(tblOrdenes[[#This Row],[tipo_ot]],tblTiposOT[codigo],tblTiposOT[clasificacion],"sin_clasificar"))</f>
        <v/>
      </c>
      <c r="V9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2" s="5">
        <f>IF(tblOrdenes[[#This Row],[centro_costo]]="","",_xlfn.XLOOKUP(tblOrdenes[[#This Row],[centro_costo]],tblCECO[codigo],tblCECO[linea],"(sin catálogo)"))</f>
        <v/>
      </c>
      <c r="X912" s="5">
        <f>IF(tblOrdenes[[#This Row],[centro_costo]]="","",_xlfn.XLOOKUP(tblOrdenes[[#This Row],[centro_costo]],tblCECO[codigo],tblCECO[area],"(sin catálogo)"))</f>
        <v/>
      </c>
      <c r="Y9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2" s="5">
        <f>IF(tblOrdenes[[#This Row],[centro_costo]]="","",_xlfn.XLOOKUP(tblOrdenes[[#This Row],[centro_costo]],tblCECO[codigo],tblCECO[coordinador],"(sin catálogo)"))</f>
        <v/>
      </c>
      <c r="AA912" s="5">
        <f>IF(tblOrdenes[[#This Row],[puesto_trabajo]]="","",_xlfn.XLOOKUP(tblOrdenes[[#This Row],[puesto_trabajo]],tblPuestos[codigo],tblPuestos[especialidad],"(sin catálogo)"))</f>
        <v/>
      </c>
      <c r="AB912" s="5">
        <f>IF(tblOrdenes[[#This Row],[cod_actividad]]="","",_xlfn.XLOOKUP(tblOrdenes[[#This Row],[cod_actividad]],tblActividades[codigo],tblActividades[descripcion],"(sin catálogo)"))</f>
        <v/>
      </c>
      <c r="AC912" s="20">
        <f>IF(tblOrdenes[[#This Row],[fecha_inicio]]="","",TODAY()-tblOrdenes[[#This Row],[fecha_inicio]])</f>
        <v/>
      </c>
      <c r="AD9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2" s="5">
        <f>IF(tblOrdenes[[#This Row],[backlog_habiles]]="","",IF(tblOrdenes[[#This Row],[backlog_habiles]]&lt;0,"FUTURO",IF(tblOrdenes[[#This Row],[backlog_habiles]]&gt;p_dias_backlog_max,"BACKLOG","MES CORRIENTE")))</f>
        <v/>
      </c>
      <c r="AF912" s="5">
        <f>IF(tblOrdenes[[#This Row],[backlog_habiles]]="",FALSE,AND(tblOrdenes[[#This Row],[backlog_habiles]]&gt;p_dias_backlog_min,tblOrdenes[[#This Row],[backlog_habiles]]&lt;=p_dias_backlog_max))</f>
        <v/>
      </c>
      <c r="AG912" s="4" t="n"/>
      <c r="AH9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2" s="18">
        <f>IF(tblOrdenes[[#This Row],[orden]]="","",_xlfn.XLOOKUP(tblOrdenes[[#This Row],[id_operacion]],tblEjecucion[id_operacion],tblEjecucion[precio],0))</f>
        <v/>
      </c>
      <c r="AL912" s="18">
        <f>IF(tblOrdenes[[#This Row],[orden]]="","",MAX(0,_xlfn.XLOOKUP(tblOrdenes[[#This Row],[id_operacion]],tblEjecucion[id_operacion],tblEjecucion[costo_plan_total],0)-tblOrdenes[[#This Row],[costo_servicio]]))</f>
        <v/>
      </c>
      <c r="AM912" s="18">
        <f>IF(tblOrdenes[[#This Row],[orden]]="","",tblOrdenes[[#This Row],[costo_servicio]]+tblOrdenes[[#This Row],[costo_materiales]])</f>
        <v/>
      </c>
      <c r="AN9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2" s="4" t="n"/>
      <c r="AP912" s="4" t="n"/>
      <c r="AQ912" s="4" t="n"/>
      <c r="AR912" s="5">
        <f>IF(tblOrdenes[[#This Row],[link_checklist]]="","",HYPERLINK(p_ruta_base_checklists&amp;tblOrdenes[[#This Row],[link_checklist]],"abrir"))</f>
        <v/>
      </c>
      <c r="AS912" s="4" t="n"/>
      <c r="AT912" s="5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22" t="n"/>
      <c r="K913" s="5" t="n"/>
      <c r="L913" s="18" t="n"/>
      <c r="M9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5">
        <f>IF(tblOrdenes[[#This Row],[fecha_inicio]]="","",YEAR(tblOrdenes[[#This Row],[fecha_inicio]]))</f>
        <v/>
      </c>
      <c r="Q913" s="5">
        <f>IF(tblOrdenes[[#This Row],[fecha_inicio]]="","",MONTH(tblOrdenes[[#This Row],[fecha_inicio]]))</f>
        <v/>
      </c>
      <c r="R913" s="5">
        <f>IF(tblOrdenes[[#This Row],[fecha_inicio]]="","",tblOrdenes[[#This Row],[anio]]&amp;"-"&amp;TEXT(tblOrdenes[[#This Row],[mes]],"00"))</f>
        <v/>
      </c>
      <c r="S913" s="5">
        <f>IF(tblOrdenes[[#This Row],[fecha_inicio]]="","",INDEX(lista_dias,WEEKDAY(tblOrdenes[[#This Row],[fecha_inicio]],2)))</f>
        <v/>
      </c>
      <c r="T9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3" s="5">
        <f>IF(tblOrdenes[[#This Row],[tipo_ot]]="","",_xlfn.XLOOKUP(tblOrdenes[[#This Row],[tipo_ot]],tblTiposOT[codigo],tblTiposOT[clasificacion],"sin_clasificar"))</f>
        <v/>
      </c>
      <c r="V9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3" s="5">
        <f>IF(tblOrdenes[[#This Row],[centro_costo]]="","",_xlfn.XLOOKUP(tblOrdenes[[#This Row],[centro_costo]],tblCECO[codigo],tblCECO[linea],"(sin catálogo)"))</f>
        <v/>
      </c>
      <c r="X913" s="5">
        <f>IF(tblOrdenes[[#This Row],[centro_costo]]="","",_xlfn.XLOOKUP(tblOrdenes[[#This Row],[centro_costo]],tblCECO[codigo],tblCECO[area],"(sin catálogo)"))</f>
        <v/>
      </c>
      <c r="Y9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3" s="5">
        <f>IF(tblOrdenes[[#This Row],[centro_costo]]="","",_xlfn.XLOOKUP(tblOrdenes[[#This Row],[centro_costo]],tblCECO[codigo],tblCECO[coordinador],"(sin catálogo)"))</f>
        <v/>
      </c>
      <c r="AA913" s="5">
        <f>IF(tblOrdenes[[#This Row],[puesto_trabajo]]="","",_xlfn.XLOOKUP(tblOrdenes[[#This Row],[puesto_trabajo]],tblPuestos[codigo],tblPuestos[especialidad],"(sin catálogo)"))</f>
        <v/>
      </c>
      <c r="AB913" s="5">
        <f>IF(tblOrdenes[[#This Row],[cod_actividad]]="","",_xlfn.XLOOKUP(tblOrdenes[[#This Row],[cod_actividad]],tblActividades[codigo],tblActividades[descripcion],"(sin catálogo)"))</f>
        <v/>
      </c>
      <c r="AC913" s="20">
        <f>IF(tblOrdenes[[#This Row],[fecha_inicio]]="","",TODAY()-tblOrdenes[[#This Row],[fecha_inicio]])</f>
        <v/>
      </c>
      <c r="AD9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3" s="5">
        <f>IF(tblOrdenes[[#This Row],[backlog_habiles]]="","",IF(tblOrdenes[[#This Row],[backlog_habiles]]&lt;0,"FUTURO",IF(tblOrdenes[[#This Row],[backlog_habiles]]&gt;p_dias_backlog_max,"BACKLOG","MES CORRIENTE")))</f>
        <v/>
      </c>
      <c r="AF913" s="5">
        <f>IF(tblOrdenes[[#This Row],[backlog_habiles]]="",FALSE,AND(tblOrdenes[[#This Row],[backlog_habiles]]&gt;p_dias_backlog_min,tblOrdenes[[#This Row],[backlog_habiles]]&lt;=p_dias_backlog_max))</f>
        <v/>
      </c>
      <c r="AG913" s="4" t="n"/>
      <c r="AH9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3" s="18">
        <f>IF(tblOrdenes[[#This Row],[orden]]="","",_xlfn.XLOOKUP(tblOrdenes[[#This Row],[id_operacion]],tblEjecucion[id_operacion],tblEjecucion[precio],0))</f>
        <v/>
      </c>
      <c r="AL913" s="18">
        <f>IF(tblOrdenes[[#This Row],[orden]]="","",MAX(0,_xlfn.XLOOKUP(tblOrdenes[[#This Row],[id_operacion]],tblEjecucion[id_operacion],tblEjecucion[costo_plan_total],0)-tblOrdenes[[#This Row],[costo_servicio]]))</f>
        <v/>
      </c>
      <c r="AM913" s="18">
        <f>IF(tblOrdenes[[#This Row],[orden]]="","",tblOrdenes[[#This Row],[costo_servicio]]+tblOrdenes[[#This Row],[costo_materiales]])</f>
        <v/>
      </c>
      <c r="AN9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3" s="4" t="n"/>
      <c r="AP913" s="4" t="n"/>
      <c r="AQ913" s="4" t="n"/>
      <c r="AR913" s="5">
        <f>IF(tblOrdenes[[#This Row],[link_checklist]]="","",HYPERLINK(p_ruta_base_checklists&amp;tblOrdenes[[#This Row],[link_checklist]],"abrir"))</f>
        <v/>
      </c>
      <c r="AS913" s="4" t="n"/>
      <c r="AT913" s="5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22" t="n"/>
      <c r="K914" s="5" t="n"/>
      <c r="L914" s="18" t="n"/>
      <c r="M9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5">
        <f>IF(tblOrdenes[[#This Row],[fecha_inicio]]="","",YEAR(tblOrdenes[[#This Row],[fecha_inicio]]))</f>
        <v/>
      </c>
      <c r="Q914" s="5">
        <f>IF(tblOrdenes[[#This Row],[fecha_inicio]]="","",MONTH(tblOrdenes[[#This Row],[fecha_inicio]]))</f>
        <v/>
      </c>
      <c r="R914" s="5">
        <f>IF(tblOrdenes[[#This Row],[fecha_inicio]]="","",tblOrdenes[[#This Row],[anio]]&amp;"-"&amp;TEXT(tblOrdenes[[#This Row],[mes]],"00"))</f>
        <v/>
      </c>
      <c r="S914" s="5">
        <f>IF(tblOrdenes[[#This Row],[fecha_inicio]]="","",INDEX(lista_dias,WEEKDAY(tblOrdenes[[#This Row],[fecha_inicio]],2)))</f>
        <v/>
      </c>
      <c r="T9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4" s="5">
        <f>IF(tblOrdenes[[#This Row],[tipo_ot]]="","",_xlfn.XLOOKUP(tblOrdenes[[#This Row],[tipo_ot]],tblTiposOT[codigo],tblTiposOT[clasificacion],"sin_clasificar"))</f>
        <v/>
      </c>
      <c r="V9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4" s="5">
        <f>IF(tblOrdenes[[#This Row],[centro_costo]]="","",_xlfn.XLOOKUP(tblOrdenes[[#This Row],[centro_costo]],tblCECO[codigo],tblCECO[linea],"(sin catálogo)"))</f>
        <v/>
      </c>
      <c r="X914" s="5">
        <f>IF(tblOrdenes[[#This Row],[centro_costo]]="","",_xlfn.XLOOKUP(tblOrdenes[[#This Row],[centro_costo]],tblCECO[codigo],tblCECO[area],"(sin catálogo)"))</f>
        <v/>
      </c>
      <c r="Y9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4" s="5">
        <f>IF(tblOrdenes[[#This Row],[centro_costo]]="","",_xlfn.XLOOKUP(tblOrdenes[[#This Row],[centro_costo]],tblCECO[codigo],tblCECO[coordinador],"(sin catálogo)"))</f>
        <v/>
      </c>
      <c r="AA914" s="5">
        <f>IF(tblOrdenes[[#This Row],[puesto_trabajo]]="","",_xlfn.XLOOKUP(tblOrdenes[[#This Row],[puesto_trabajo]],tblPuestos[codigo],tblPuestos[especialidad],"(sin catálogo)"))</f>
        <v/>
      </c>
      <c r="AB914" s="5">
        <f>IF(tblOrdenes[[#This Row],[cod_actividad]]="","",_xlfn.XLOOKUP(tblOrdenes[[#This Row],[cod_actividad]],tblActividades[codigo],tblActividades[descripcion],"(sin catálogo)"))</f>
        <v/>
      </c>
      <c r="AC914" s="20">
        <f>IF(tblOrdenes[[#This Row],[fecha_inicio]]="","",TODAY()-tblOrdenes[[#This Row],[fecha_inicio]])</f>
        <v/>
      </c>
      <c r="AD9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4" s="5">
        <f>IF(tblOrdenes[[#This Row],[backlog_habiles]]="","",IF(tblOrdenes[[#This Row],[backlog_habiles]]&lt;0,"FUTURO",IF(tblOrdenes[[#This Row],[backlog_habiles]]&gt;p_dias_backlog_max,"BACKLOG","MES CORRIENTE")))</f>
        <v/>
      </c>
      <c r="AF914" s="5">
        <f>IF(tblOrdenes[[#This Row],[backlog_habiles]]="",FALSE,AND(tblOrdenes[[#This Row],[backlog_habiles]]&gt;p_dias_backlog_min,tblOrdenes[[#This Row],[backlog_habiles]]&lt;=p_dias_backlog_max))</f>
        <v/>
      </c>
      <c r="AG914" s="4" t="n"/>
      <c r="AH9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4" s="18">
        <f>IF(tblOrdenes[[#This Row],[orden]]="","",_xlfn.XLOOKUP(tblOrdenes[[#This Row],[id_operacion]],tblEjecucion[id_operacion],tblEjecucion[precio],0))</f>
        <v/>
      </c>
      <c r="AL914" s="18">
        <f>IF(tblOrdenes[[#This Row],[orden]]="","",MAX(0,_xlfn.XLOOKUP(tblOrdenes[[#This Row],[id_operacion]],tblEjecucion[id_operacion],tblEjecucion[costo_plan_total],0)-tblOrdenes[[#This Row],[costo_servicio]]))</f>
        <v/>
      </c>
      <c r="AM914" s="18">
        <f>IF(tblOrdenes[[#This Row],[orden]]="","",tblOrdenes[[#This Row],[costo_servicio]]+tblOrdenes[[#This Row],[costo_materiales]])</f>
        <v/>
      </c>
      <c r="AN9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4" s="4" t="n"/>
      <c r="AP914" s="4" t="n"/>
      <c r="AQ914" s="4" t="n"/>
      <c r="AR914" s="5">
        <f>IF(tblOrdenes[[#This Row],[link_checklist]]="","",HYPERLINK(p_ruta_base_checklists&amp;tblOrdenes[[#This Row],[link_checklist]],"abrir"))</f>
        <v/>
      </c>
      <c r="AS914" s="4" t="n"/>
      <c r="AT914" s="5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22" t="n"/>
      <c r="K915" s="5" t="n"/>
      <c r="L915" s="18" t="n"/>
      <c r="M9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5">
        <f>IF(tblOrdenes[[#This Row],[fecha_inicio]]="","",YEAR(tblOrdenes[[#This Row],[fecha_inicio]]))</f>
        <v/>
      </c>
      <c r="Q915" s="5">
        <f>IF(tblOrdenes[[#This Row],[fecha_inicio]]="","",MONTH(tblOrdenes[[#This Row],[fecha_inicio]]))</f>
        <v/>
      </c>
      <c r="R915" s="5">
        <f>IF(tblOrdenes[[#This Row],[fecha_inicio]]="","",tblOrdenes[[#This Row],[anio]]&amp;"-"&amp;TEXT(tblOrdenes[[#This Row],[mes]],"00"))</f>
        <v/>
      </c>
      <c r="S915" s="5">
        <f>IF(tblOrdenes[[#This Row],[fecha_inicio]]="","",INDEX(lista_dias,WEEKDAY(tblOrdenes[[#This Row],[fecha_inicio]],2)))</f>
        <v/>
      </c>
      <c r="T9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5" s="5">
        <f>IF(tblOrdenes[[#This Row],[tipo_ot]]="","",_xlfn.XLOOKUP(tblOrdenes[[#This Row],[tipo_ot]],tblTiposOT[codigo],tblTiposOT[clasificacion],"sin_clasificar"))</f>
        <v/>
      </c>
      <c r="V9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5" s="5">
        <f>IF(tblOrdenes[[#This Row],[centro_costo]]="","",_xlfn.XLOOKUP(tblOrdenes[[#This Row],[centro_costo]],tblCECO[codigo],tblCECO[linea],"(sin catálogo)"))</f>
        <v/>
      </c>
      <c r="X915" s="5">
        <f>IF(tblOrdenes[[#This Row],[centro_costo]]="","",_xlfn.XLOOKUP(tblOrdenes[[#This Row],[centro_costo]],tblCECO[codigo],tblCECO[area],"(sin catálogo)"))</f>
        <v/>
      </c>
      <c r="Y9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5" s="5">
        <f>IF(tblOrdenes[[#This Row],[centro_costo]]="","",_xlfn.XLOOKUP(tblOrdenes[[#This Row],[centro_costo]],tblCECO[codigo],tblCECO[coordinador],"(sin catálogo)"))</f>
        <v/>
      </c>
      <c r="AA915" s="5">
        <f>IF(tblOrdenes[[#This Row],[puesto_trabajo]]="","",_xlfn.XLOOKUP(tblOrdenes[[#This Row],[puesto_trabajo]],tblPuestos[codigo],tblPuestos[especialidad],"(sin catálogo)"))</f>
        <v/>
      </c>
      <c r="AB915" s="5">
        <f>IF(tblOrdenes[[#This Row],[cod_actividad]]="","",_xlfn.XLOOKUP(tblOrdenes[[#This Row],[cod_actividad]],tblActividades[codigo],tblActividades[descripcion],"(sin catálogo)"))</f>
        <v/>
      </c>
      <c r="AC915" s="20">
        <f>IF(tblOrdenes[[#This Row],[fecha_inicio]]="","",TODAY()-tblOrdenes[[#This Row],[fecha_inicio]])</f>
        <v/>
      </c>
      <c r="AD9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5" s="5">
        <f>IF(tblOrdenes[[#This Row],[backlog_habiles]]="","",IF(tblOrdenes[[#This Row],[backlog_habiles]]&lt;0,"FUTURO",IF(tblOrdenes[[#This Row],[backlog_habiles]]&gt;p_dias_backlog_max,"BACKLOG","MES CORRIENTE")))</f>
        <v/>
      </c>
      <c r="AF915" s="5">
        <f>IF(tblOrdenes[[#This Row],[backlog_habiles]]="",FALSE,AND(tblOrdenes[[#This Row],[backlog_habiles]]&gt;p_dias_backlog_min,tblOrdenes[[#This Row],[backlog_habiles]]&lt;=p_dias_backlog_max))</f>
        <v/>
      </c>
      <c r="AG915" s="4" t="n"/>
      <c r="AH9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5" s="18">
        <f>IF(tblOrdenes[[#This Row],[orden]]="","",_xlfn.XLOOKUP(tblOrdenes[[#This Row],[id_operacion]],tblEjecucion[id_operacion],tblEjecucion[precio],0))</f>
        <v/>
      </c>
      <c r="AL915" s="18">
        <f>IF(tblOrdenes[[#This Row],[orden]]="","",MAX(0,_xlfn.XLOOKUP(tblOrdenes[[#This Row],[id_operacion]],tblEjecucion[id_operacion],tblEjecucion[costo_plan_total],0)-tblOrdenes[[#This Row],[costo_servicio]]))</f>
        <v/>
      </c>
      <c r="AM915" s="18">
        <f>IF(tblOrdenes[[#This Row],[orden]]="","",tblOrdenes[[#This Row],[costo_servicio]]+tblOrdenes[[#This Row],[costo_materiales]])</f>
        <v/>
      </c>
      <c r="AN9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5" s="4" t="n"/>
      <c r="AP915" s="4" t="n"/>
      <c r="AQ915" s="4" t="n"/>
      <c r="AR915" s="5">
        <f>IF(tblOrdenes[[#This Row],[link_checklist]]="","",HYPERLINK(p_ruta_base_checklists&amp;tblOrdenes[[#This Row],[link_checklist]],"abrir"))</f>
        <v/>
      </c>
      <c r="AS915" s="4" t="n"/>
      <c r="AT915" s="5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22" t="n"/>
      <c r="K916" s="5" t="n"/>
      <c r="L916" s="18" t="n"/>
      <c r="M9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5">
        <f>IF(tblOrdenes[[#This Row],[fecha_inicio]]="","",YEAR(tblOrdenes[[#This Row],[fecha_inicio]]))</f>
        <v/>
      </c>
      <c r="Q916" s="5">
        <f>IF(tblOrdenes[[#This Row],[fecha_inicio]]="","",MONTH(tblOrdenes[[#This Row],[fecha_inicio]]))</f>
        <v/>
      </c>
      <c r="R916" s="5">
        <f>IF(tblOrdenes[[#This Row],[fecha_inicio]]="","",tblOrdenes[[#This Row],[anio]]&amp;"-"&amp;TEXT(tblOrdenes[[#This Row],[mes]],"00"))</f>
        <v/>
      </c>
      <c r="S916" s="5">
        <f>IF(tblOrdenes[[#This Row],[fecha_inicio]]="","",INDEX(lista_dias,WEEKDAY(tblOrdenes[[#This Row],[fecha_inicio]],2)))</f>
        <v/>
      </c>
      <c r="T9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6" s="5">
        <f>IF(tblOrdenes[[#This Row],[tipo_ot]]="","",_xlfn.XLOOKUP(tblOrdenes[[#This Row],[tipo_ot]],tblTiposOT[codigo],tblTiposOT[clasificacion],"sin_clasificar"))</f>
        <v/>
      </c>
      <c r="V9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6" s="5">
        <f>IF(tblOrdenes[[#This Row],[centro_costo]]="","",_xlfn.XLOOKUP(tblOrdenes[[#This Row],[centro_costo]],tblCECO[codigo],tblCECO[linea],"(sin catálogo)"))</f>
        <v/>
      </c>
      <c r="X916" s="5">
        <f>IF(tblOrdenes[[#This Row],[centro_costo]]="","",_xlfn.XLOOKUP(tblOrdenes[[#This Row],[centro_costo]],tblCECO[codigo],tblCECO[area],"(sin catálogo)"))</f>
        <v/>
      </c>
      <c r="Y9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6" s="5">
        <f>IF(tblOrdenes[[#This Row],[centro_costo]]="","",_xlfn.XLOOKUP(tblOrdenes[[#This Row],[centro_costo]],tblCECO[codigo],tblCECO[coordinador],"(sin catálogo)"))</f>
        <v/>
      </c>
      <c r="AA916" s="5">
        <f>IF(tblOrdenes[[#This Row],[puesto_trabajo]]="","",_xlfn.XLOOKUP(tblOrdenes[[#This Row],[puesto_trabajo]],tblPuestos[codigo],tblPuestos[especialidad],"(sin catálogo)"))</f>
        <v/>
      </c>
      <c r="AB916" s="5">
        <f>IF(tblOrdenes[[#This Row],[cod_actividad]]="","",_xlfn.XLOOKUP(tblOrdenes[[#This Row],[cod_actividad]],tblActividades[codigo],tblActividades[descripcion],"(sin catálogo)"))</f>
        <v/>
      </c>
      <c r="AC916" s="20">
        <f>IF(tblOrdenes[[#This Row],[fecha_inicio]]="","",TODAY()-tblOrdenes[[#This Row],[fecha_inicio]])</f>
        <v/>
      </c>
      <c r="AD9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6" s="5">
        <f>IF(tblOrdenes[[#This Row],[backlog_habiles]]="","",IF(tblOrdenes[[#This Row],[backlog_habiles]]&lt;0,"FUTURO",IF(tblOrdenes[[#This Row],[backlog_habiles]]&gt;p_dias_backlog_max,"BACKLOG","MES CORRIENTE")))</f>
        <v/>
      </c>
      <c r="AF916" s="5">
        <f>IF(tblOrdenes[[#This Row],[backlog_habiles]]="",FALSE,AND(tblOrdenes[[#This Row],[backlog_habiles]]&gt;p_dias_backlog_min,tblOrdenes[[#This Row],[backlog_habiles]]&lt;=p_dias_backlog_max))</f>
        <v/>
      </c>
      <c r="AG916" s="4" t="n"/>
      <c r="AH9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6" s="18">
        <f>IF(tblOrdenes[[#This Row],[orden]]="","",_xlfn.XLOOKUP(tblOrdenes[[#This Row],[id_operacion]],tblEjecucion[id_operacion],tblEjecucion[precio],0))</f>
        <v/>
      </c>
      <c r="AL916" s="18">
        <f>IF(tblOrdenes[[#This Row],[orden]]="","",MAX(0,_xlfn.XLOOKUP(tblOrdenes[[#This Row],[id_operacion]],tblEjecucion[id_operacion],tblEjecucion[costo_plan_total],0)-tblOrdenes[[#This Row],[costo_servicio]]))</f>
        <v/>
      </c>
      <c r="AM916" s="18">
        <f>IF(tblOrdenes[[#This Row],[orden]]="","",tblOrdenes[[#This Row],[costo_servicio]]+tblOrdenes[[#This Row],[costo_materiales]])</f>
        <v/>
      </c>
      <c r="AN9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6" s="4" t="n"/>
      <c r="AP916" s="4" t="n"/>
      <c r="AQ916" s="4" t="n"/>
      <c r="AR916" s="5">
        <f>IF(tblOrdenes[[#This Row],[link_checklist]]="","",HYPERLINK(p_ruta_base_checklists&amp;tblOrdenes[[#This Row],[link_checklist]],"abrir"))</f>
        <v/>
      </c>
      <c r="AS916" s="4" t="n"/>
      <c r="AT916" s="5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22" t="n"/>
      <c r="K917" s="5" t="n"/>
      <c r="L917" s="18" t="n"/>
      <c r="M9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5">
        <f>IF(tblOrdenes[[#This Row],[fecha_inicio]]="","",YEAR(tblOrdenes[[#This Row],[fecha_inicio]]))</f>
        <v/>
      </c>
      <c r="Q917" s="5">
        <f>IF(tblOrdenes[[#This Row],[fecha_inicio]]="","",MONTH(tblOrdenes[[#This Row],[fecha_inicio]]))</f>
        <v/>
      </c>
      <c r="R917" s="5">
        <f>IF(tblOrdenes[[#This Row],[fecha_inicio]]="","",tblOrdenes[[#This Row],[anio]]&amp;"-"&amp;TEXT(tblOrdenes[[#This Row],[mes]],"00"))</f>
        <v/>
      </c>
      <c r="S917" s="5">
        <f>IF(tblOrdenes[[#This Row],[fecha_inicio]]="","",INDEX(lista_dias,WEEKDAY(tblOrdenes[[#This Row],[fecha_inicio]],2)))</f>
        <v/>
      </c>
      <c r="T9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7" s="5">
        <f>IF(tblOrdenes[[#This Row],[tipo_ot]]="","",_xlfn.XLOOKUP(tblOrdenes[[#This Row],[tipo_ot]],tblTiposOT[codigo],tblTiposOT[clasificacion],"sin_clasificar"))</f>
        <v/>
      </c>
      <c r="V9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7" s="5">
        <f>IF(tblOrdenes[[#This Row],[centro_costo]]="","",_xlfn.XLOOKUP(tblOrdenes[[#This Row],[centro_costo]],tblCECO[codigo],tblCECO[linea],"(sin catálogo)"))</f>
        <v/>
      </c>
      <c r="X917" s="5">
        <f>IF(tblOrdenes[[#This Row],[centro_costo]]="","",_xlfn.XLOOKUP(tblOrdenes[[#This Row],[centro_costo]],tblCECO[codigo],tblCECO[area],"(sin catálogo)"))</f>
        <v/>
      </c>
      <c r="Y9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7" s="5">
        <f>IF(tblOrdenes[[#This Row],[centro_costo]]="","",_xlfn.XLOOKUP(tblOrdenes[[#This Row],[centro_costo]],tblCECO[codigo],tblCECO[coordinador],"(sin catálogo)"))</f>
        <v/>
      </c>
      <c r="AA917" s="5">
        <f>IF(tblOrdenes[[#This Row],[puesto_trabajo]]="","",_xlfn.XLOOKUP(tblOrdenes[[#This Row],[puesto_trabajo]],tblPuestos[codigo],tblPuestos[especialidad],"(sin catálogo)"))</f>
        <v/>
      </c>
      <c r="AB917" s="5">
        <f>IF(tblOrdenes[[#This Row],[cod_actividad]]="","",_xlfn.XLOOKUP(tblOrdenes[[#This Row],[cod_actividad]],tblActividades[codigo],tblActividades[descripcion],"(sin catálogo)"))</f>
        <v/>
      </c>
      <c r="AC917" s="20">
        <f>IF(tblOrdenes[[#This Row],[fecha_inicio]]="","",TODAY()-tblOrdenes[[#This Row],[fecha_inicio]])</f>
        <v/>
      </c>
      <c r="AD9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7" s="5">
        <f>IF(tblOrdenes[[#This Row],[backlog_habiles]]="","",IF(tblOrdenes[[#This Row],[backlog_habiles]]&lt;0,"FUTURO",IF(tblOrdenes[[#This Row],[backlog_habiles]]&gt;p_dias_backlog_max,"BACKLOG","MES CORRIENTE")))</f>
        <v/>
      </c>
      <c r="AF917" s="5">
        <f>IF(tblOrdenes[[#This Row],[backlog_habiles]]="",FALSE,AND(tblOrdenes[[#This Row],[backlog_habiles]]&gt;p_dias_backlog_min,tblOrdenes[[#This Row],[backlog_habiles]]&lt;=p_dias_backlog_max))</f>
        <v/>
      </c>
      <c r="AG917" s="4" t="n"/>
      <c r="AH9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7" s="18">
        <f>IF(tblOrdenes[[#This Row],[orden]]="","",_xlfn.XLOOKUP(tblOrdenes[[#This Row],[id_operacion]],tblEjecucion[id_operacion],tblEjecucion[precio],0))</f>
        <v/>
      </c>
      <c r="AL917" s="18">
        <f>IF(tblOrdenes[[#This Row],[orden]]="","",MAX(0,_xlfn.XLOOKUP(tblOrdenes[[#This Row],[id_operacion]],tblEjecucion[id_operacion],tblEjecucion[costo_plan_total],0)-tblOrdenes[[#This Row],[costo_servicio]]))</f>
        <v/>
      </c>
      <c r="AM917" s="18">
        <f>IF(tblOrdenes[[#This Row],[orden]]="","",tblOrdenes[[#This Row],[costo_servicio]]+tblOrdenes[[#This Row],[costo_materiales]])</f>
        <v/>
      </c>
      <c r="AN9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7" s="4" t="n"/>
      <c r="AP917" s="4" t="n"/>
      <c r="AQ917" s="4" t="n"/>
      <c r="AR917" s="5">
        <f>IF(tblOrdenes[[#This Row],[link_checklist]]="","",HYPERLINK(p_ruta_base_checklists&amp;tblOrdenes[[#This Row],[link_checklist]],"abrir"))</f>
        <v/>
      </c>
      <c r="AS917" s="4" t="n"/>
      <c r="AT917" s="5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22" t="n"/>
      <c r="K918" s="5" t="n"/>
      <c r="L918" s="18" t="n"/>
      <c r="M9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5">
        <f>IF(tblOrdenes[[#This Row],[fecha_inicio]]="","",YEAR(tblOrdenes[[#This Row],[fecha_inicio]]))</f>
        <v/>
      </c>
      <c r="Q918" s="5">
        <f>IF(tblOrdenes[[#This Row],[fecha_inicio]]="","",MONTH(tblOrdenes[[#This Row],[fecha_inicio]]))</f>
        <v/>
      </c>
      <c r="R918" s="5">
        <f>IF(tblOrdenes[[#This Row],[fecha_inicio]]="","",tblOrdenes[[#This Row],[anio]]&amp;"-"&amp;TEXT(tblOrdenes[[#This Row],[mes]],"00"))</f>
        <v/>
      </c>
      <c r="S918" s="5">
        <f>IF(tblOrdenes[[#This Row],[fecha_inicio]]="","",INDEX(lista_dias,WEEKDAY(tblOrdenes[[#This Row],[fecha_inicio]],2)))</f>
        <v/>
      </c>
      <c r="T9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8" s="5">
        <f>IF(tblOrdenes[[#This Row],[tipo_ot]]="","",_xlfn.XLOOKUP(tblOrdenes[[#This Row],[tipo_ot]],tblTiposOT[codigo],tblTiposOT[clasificacion],"sin_clasificar"))</f>
        <v/>
      </c>
      <c r="V9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8" s="5">
        <f>IF(tblOrdenes[[#This Row],[centro_costo]]="","",_xlfn.XLOOKUP(tblOrdenes[[#This Row],[centro_costo]],tblCECO[codigo],tblCECO[linea],"(sin catálogo)"))</f>
        <v/>
      </c>
      <c r="X918" s="5">
        <f>IF(tblOrdenes[[#This Row],[centro_costo]]="","",_xlfn.XLOOKUP(tblOrdenes[[#This Row],[centro_costo]],tblCECO[codigo],tblCECO[area],"(sin catálogo)"))</f>
        <v/>
      </c>
      <c r="Y9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8" s="5">
        <f>IF(tblOrdenes[[#This Row],[centro_costo]]="","",_xlfn.XLOOKUP(tblOrdenes[[#This Row],[centro_costo]],tblCECO[codigo],tblCECO[coordinador],"(sin catálogo)"))</f>
        <v/>
      </c>
      <c r="AA918" s="5">
        <f>IF(tblOrdenes[[#This Row],[puesto_trabajo]]="","",_xlfn.XLOOKUP(tblOrdenes[[#This Row],[puesto_trabajo]],tblPuestos[codigo],tblPuestos[especialidad],"(sin catálogo)"))</f>
        <v/>
      </c>
      <c r="AB918" s="5">
        <f>IF(tblOrdenes[[#This Row],[cod_actividad]]="","",_xlfn.XLOOKUP(tblOrdenes[[#This Row],[cod_actividad]],tblActividades[codigo],tblActividades[descripcion],"(sin catálogo)"))</f>
        <v/>
      </c>
      <c r="AC918" s="20">
        <f>IF(tblOrdenes[[#This Row],[fecha_inicio]]="","",TODAY()-tblOrdenes[[#This Row],[fecha_inicio]])</f>
        <v/>
      </c>
      <c r="AD9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8" s="5">
        <f>IF(tblOrdenes[[#This Row],[backlog_habiles]]="","",IF(tblOrdenes[[#This Row],[backlog_habiles]]&lt;0,"FUTURO",IF(tblOrdenes[[#This Row],[backlog_habiles]]&gt;p_dias_backlog_max,"BACKLOG","MES CORRIENTE")))</f>
        <v/>
      </c>
      <c r="AF918" s="5">
        <f>IF(tblOrdenes[[#This Row],[backlog_habiles]]="",FALSE,AND(tblOrdenes[[#This Row],[backlog_habiles]]&gt;p_dias_backlog_min,tblOrdenes[[#This Row],[backlog_habiles]]&lt;=p_dias_backlog_max))</f>
        <v/>
      </c>
      <c r="AG918" s="4" t="n"/>
      <c r="AH9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8" s="18">
        <f>IF(tblOrdenes[[#This Row],[orden]]="","",_xlfn.XLOOKUP(tblOrdenes[[#This Row],[id_operacion]],tblEjecucion[id_operacion],tblEjecucion[precio],0))</f>
        <v/>
      </c>
      <c r="AL918" s="18">
        <f>IF(tblOrdenes[[#This Row],[orden]]="","",MAX(0,_xlfn.XLOOKUP(tblOrdenes[[#This Row],[id_operacion]],tblEjecucion[id_operacion],tblEjecucion[costo_plan_total],0)-tblOrdenes[[#This Row],[costo_servicio]]))</f>
        <v/>
      </c>
      <c r="AM918" s="18">
        <f>IF(tblOrdenes[[#This Row],[orden]]="","",tblOrdenes[[#This Row],[costo_servicio]]+tblOrdenes[[#This Row],[costo_materiales]])</f>
        <v/>
      </c>
      <c r="AN9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8" s="4" t="n"/>
      <c r="AP918" s="4" t="n"/>
      <c r="AQ918" s="4" t="n"/>
      <c r="AR918" s="5">
        <f>IF(tblOrdenes[[#This Row],[link_checklist]]="","",HYPERLINK(p_ruta_base_checklists&amp;tblOrdenes[[#This Row],[link_checklist]],"abrir"))</f>
        <v/>
      </c>
      <c r="AS918" s="4" t="n"/>
      <c r="AT918" s="5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22" t="n"/>
      <c r="K919" s="5" t="n"/>
      <c r="L919" s="18" t="n"/>
      <c r="M9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5">
        <f>IF(tblOrdenes[[#This Row],[fecha_inicio]]="","",YEAR(tblOrdenes[[#This Row],[fecha_inicio]]))</f>
        <v/>
      </c>
      <c r="Q919" s="5">
        <f>IF(tblOrdenes[[#This Row],[fecha_inicio]]="","",MONTH(tblOrdenes[[#This Row],[fecha_inicio]]))</f>
        <v/>
      </c>
      <c r="R919" s="5">
        <f>IF(tblOrdenes[[#This Row],[fecha_inicio]]="","",tblOrdenes[[#This Row],[anio]]&amp;"-"&amp;TEXT(tblOrdenes[[#This Row],[mes]],"00"))</f>
        <v/>
      </c>
      <c r="S919" s="5">
        <f>IF(tblOrdenes[[#This Row],[fecha_inicio]]="","",INDEX(lista_dias,WEEKDAY(tblOrdenes[[#This Row],[fecha_inicio]],2)))</f>
        <v/>
      </c>
      <c r="T9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9" s="5">
        <f>IF(tblOrdenes[[#This Row],[tipo_ot]]="","",_xlfn.XLOOKUP(tblOrdenes[[#This Row],[tipo_ot]],tblTiposOT[codigo],tblTiposOT[clasificacion],"sin_clasificar"))</f>
        <v/>
      </c>
      <c r="V9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9" s="5">
        <f>IF(tblOrdenes[[#This Row],[centro_costo]]="","",_xlfn.XLOOKUP(tblOrdenes[[#This Row],[centro_costo]],tblCECO[codigo],tblCECO[linea],"(sin catálogo)"))</f>
        <v/>
      </c>
      <c r="X919" s="5">
        <f>IF(tblOrdenes[[#This Row],[centro_costo]]="","",_xlfn.XLOOKUP(tblOrdenes[[#This Row],[centro_costo]],tblCECO[codigo],tblCECO[area],"(sin catálogo)"))</f>
        <v/>
      </c>
      <c r="Y9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19" s="5">
        <f>IF(tblOrdenes[[#This Row],[centro_costo]]="","",_xlfn.XLOOKUP(tblOrdenes[[#This Row],[centro_costo]],tblCECO[codigo],tblCECO[coordinador],"(sin catálogo)"))</f>
        <v/>
      </c>
      <c r="AA919" s="5">
        <f>IF(tblOrdenes[[#This Row],[puesto_trabajo]]="","",_xlfn.XLOOKUP(tblOrdenes[[#This Row],[puesto_trabajo]],tblPuestos[codigo],tblPuestos[especialidad],"(sin catálogo)"))</f>
        <v/>
      </c>
      <c r="AB919" s="5">
        <f>IF(tblOrdenes[[#This Row],[cod_actividad]]="","",_xlfn.XLOOKUP(tblOrdenes[[#This Row],[cod_actividad]],tblActividades[codigo],tblActividades[descripcion],"(sin catálogo)"))</f>
        <v/>
      </c>
      <c r="AC919" s="20">
        <f>IF(tblOrdenes[[#This Row],[fecha_inicio]]="","",TODAY()-tblOrdenes[[#This Row],[fecha_inicio]])</f>
        <v/>
      </c>
      <c r="AD9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19" s="5">
        <f>IF(tblOrdenes[[#This Row],[backlog_habiles]]="","",IF(tblOrdenes[[#This Row],[backlog_habiles]]&lt;0,"FUTURO",IF(tblOrdenes[[#This Row],[backlog_habiles]]&gt;p_dias_backlog_max,"BACKLOG","MES CORRIENTE")))</f>
        <v/>
      </c>
      <c r="AF919" s="5">
        <f>IF(tblOrdenes[[#This Row],[backlog_habiles]]="",FALSE,AND(tblOrdenes[[#This Row],[backlog_habiles]]&gt;p_dias_backlog_min,tblOrdenes[[#This Row],[backlog_habiles]]&lt;=p_dias_backlog_max))</f>
        <v/>
      </c>
      <c r="AG919" s="4" t="n"/>
      <c r="AH9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19" s="18">
        <f>IF(tblOrdenes[[#This Row],[orden]]="","",_xlfn.XLOOKUP(tblOrdenes[[#This Row],[id_operacion]],tblEjecucion[id_operacion],tblEjecucion[precio],0))</f>
        <v/>
      </c>
      <c r="AL919" s="18">
        <f>IF(tblOrdenes[[#This Row],[orden]]="","",MAX(0,_xlfn.XLOOKUP(tblOrdenes[[#This Row],[id_operacion]],tblEjecucion[id_operacion],tblEjecucion[costo_plan_total],0)-tblOrdenes[[#This Row],[costo_servicio]]))</f>
        <v/>
      </c>
      <c r="AM919" s="18">
        <f>IF(tblOrdenes[[#This Row],[orden]]="","",tblOrdenes[[#This Row],[costo_servicio]]+tblOrdenes[[#This Row],[costo_materiales]])</f>
        <v/>
      </c>
      <c r="AN9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19" s="4" t="n"/>
      <c r="AP919" s="4" t="n"/>
      <c r="AQ919" s="4" t="n"/>
      <c r="AR919" s="5">
        <f>IF(tblOrdenes[[#This Row],[link_checklist]]="","",HYPERLINK(p_ruta_base_checklists&amp;tblOrdenes[[#This Row],[link_checklist]],"abrir"))</f>
        <v/>
      </c>
      <c r="AS919" s="4" t="n"/>
      <c r="AT919" s="5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22" t="n"/>
      <c r="K920" s="5" t="n"/>
      <c r="L920" s="18" t="n"/>
      <c r="M9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5">
        <f>IF(tblOrdenes[[#This Row],[fecha_inicio]]="","",YEAR(tblOrdenes[[#This Row],[fecha_inicio]]))</f>
        <v/>
      </c>
      <c r="Q920" s="5">
        <f>IF(tblOrdenes[[#This Row],[fecha_inicio]]="","",MONTH(tblOrdenes[[#This Row],[fecha_inicio]]))</f>
        <v/>
      </c>
      <c r="R920" s="5">
        <f>IF(tblOrdenes[[#This Row],[fecha_inicio]]="","",tblOrdenes[[#This Row],[anio]]&amp;"-"&amp;TEXT(tblOrdenes[[#This Row],[mes]],"00"))</f>
        <v/>
      </c>
      <c r="S920" s="5">
        <f>IF(tblOrdenes[[#This Row],[fecha_inicio]]="","",INDEX(lista_dias,WEEKDAY(tblOrdenes[[#This Row],[fecha_inicio]],2)))</f>
        <v/>
      </c>
      <c r="T9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0" s="5">
        <f>IF(tblOrdenes[[#This Row],[tipo_ot]]="","",_xlfn.XLOOKUP(tblOrdenes[[#This Row],[tipo_ot]],tblTiposOT[codigo],tblTiposOT[clasificacion],"sin_clasificar"))</f>
        <v/>
      </c>
      <c r="V9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0" s="5">
        <f>IF(tblOrdenes[[#This Row],[centro_costo]]="","",_xlfn.XLOOKUP(tblOrdenes[[#This Row],[centro_costo]],tblCECO[codigo],tblCECO[linea],"(sin catálogo)"))</f>
        <v/>
      </c>
      <c r="X920" s="5">
        <f>IF(tblOrdenes[[#This Row],[centro_costo]]="","",_xlfn.XLOOKUP(tblOrdenes[[#This Row],[centro_costo]],tblCECO[codigo],tblCECO[area],"(sin catálogo)"))</f>
        <v/>
      </c>
      <c r="Y9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0" s="5">
        <f>IF(tblOrdenes[[#This Row],[centro_costo]]="","",_xlfn.XLOOKUP(tblOrdenes[[#This Row],[centro_costo]],tblCECO[codigo],tblCECO[coordinador],"(sin catálogo)"))</f>
        <v/>
      </c>
      <c r="AA920" s="5">
        <f>IF(tblOrdenes[[#This Row],[puesto_trabajo]]="","",_xlfn.XLOOKUP(tblOrdenes[[#This Row],[puesto_trabajo]],tblPuestos[codigo],tblPuestos[especialidad],"(sin catálogo)"))</f>
        <v/>
      </c>
      <c r="AB920" s="5">
        <f>IF(tblOrdenes[[#This Row],[cod_actividad]]="","",_xlfn.XLOOKUP(tblOrdenes[[#This Row],[cod_actividad]],tblActividades[codigo],tblActividades[descripcion],"(sin catálogo)"))</f>
        <v/>
      </c>
      <c r="AC920" s="20">
        <f>IF(tblOrdenes[[#This Row],[fecha_inicio]]="","",TODAY()-tblOrdenes[[#This Row],[fecha_inicio]])</f>
        <v/>
      </c>
      <c r="AD9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0" s="5">
        <f>IF(tblOrdenes[[#This Row],[backlog_habiles]]="","",IF(tblOrdenes[[#This Row],[backlog_habiles]]&lt;0,"FUTURO",IF(tblOrdenes[[#This Row],[backlog_habiles]]&gt;p_dias_backlog_max,"BACKLOG","MES CORRIENTE")))</f>
        <v/>
      </c>
      <c r="AF920" s="5">
        <f>IF(tblOrdenes[[#This Row],[backlog_habiles]]="",FALSE,AND(tblOrdenes[[#This Row],[backlog_habiles]]&gt;p_dias_backlog_min,tblOrdenes[[#This Row],[backlog_habiles]]&lt;=p_dias_backlog_max))</f>
        <v/>
      </c>
      <c r="AG920" s="4" t="n"/>
      <c r="AH9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0" s="18">
        <f>IF(tblOrdenes[[#This Row],[orden]]="","",_xlfn.XLOOKUP(tblOrdenes[[#This Row],[id_operacion]],tblEjecucion[id_operacion],tblEjecucion[precio],0))</f>
        <v/>
      </c>
      <c r="AL920" s="18">
        <f>IF(tblOrdenes[[#This Row],[orden]]="","",MAX(0,_xlfn.XLOOKUP(tblOrdenes[[#This Row],[id_operacion]],tblEjecucion[id_operacion],tblEjecucion[costo_plan_total],0)-tblOrdenes[[#This Row],[costo_servicio]]))</f>
        <v/>
      </c>
      <c r="AM920" s="18">
        <f>IF(tblOrdenes[[#This Row],[orden]]="","",tblOrdenes[[#This Row],[costo_servicio]]+tblOrdenes[[#This Row],[costo_materiales]])</f>
        <v/>
      </c>
      <c r="AN9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0" s="4" t="n"/>
      <c r="AP920" s="4" t="n"/>
      <c r="AQ920" s="4" t="n"/>
      <c r="AR920" s="5">
        <f>IF(tblOrdenes[[#This Row],[link_checklist]]="","",HYPERLINK(p_ruta_base_checklists&amp;tblOrdenes[[#This Row],[link_checklist]],"abrir"))</f>
        <v/>
      </c>
      <c r="AS920" s="4" t="n"/>
      <c r="AT920" s="5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22" t="n"/>
      <c r="K921" s="5" t="n"/>
      <c r="L921" s="18" t="n"/>
      <c r="M9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5">
        <f>IF(tblOrdenes[[#This Row],[fecha_inicio]]="","",YEAR(tblOrdenes[[#This Row],[fecha_inicio]]))</f>
        <v/>
      </c>
      <c r="Q921" s="5">
        <f>IF(tblOrdenes[[#This Row],[fecha_inicio]]="","",MONTH(tblOrdenes[[#This Row],[fecha_inicio]]))</f>
        <v/>
      </c>
      <c r="R921" s="5">
        <f>IF(tblOrdenes[[#This Row],[fecha_inicio]]="","",tblOrdenes[[#This Row],[anio]]&amp;"-"&amp;TEXT(tblOrdenes[[#This Row],[mes]],"00"))</f>
        <v/>
      </c>
      <c r="S921" s="5">
        <f>IF(tblOrdenes[[#This Row],[fecha_inicio]]="","",INDEX(lista_dias,WEEKDAY(tblOrdenes[[#This Row],[fecha_inicio]],2)))</f>
        <v/>
      </c>
      <c r="T9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1" s="5">
        <f>IF(tblOrdenes[[#This Row],[tipo_ot]]="","",_xlfn.XLOOKUP(tblOrdenes[[#This Row],[tipo_ot]],tblTiposOT[codigo],tblTiposOT[clasificacion],"sin_clasificar"))</f>
        <v/>
      </c>
      <c r="V9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1" s="5">
        <f>IF(tblOrdenes[[#This Row],[centro_costo]]="","",_xlfn.XLOOKUP(tblOrdenes[[#This Row],[centro_costo]],tblCECO[codigo],tblCECO[linea],"(sin catálogo)"))</f>
        <v/>
      </c>
      <c r="X921" s="5">
        <f>IF(tblOrdenes[[#This Row],[centro_costo]]="","",_xlfn.XLOOKUP(tblOrdenes[[#This Row],[centro_costo]],tblCECO[codigo],tblCECO[area],"(sin catálogo)"))</f>
        <v/>
      </c>
      <c r="Y9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1" s="5">
        <f>IF(tblOrdenes[[#This Row],[centro_costo]]="","",_xlfn.XLOOKUP(tblOrdenes[[#This Row],[centro_costo]],tblCECO[codigo],tblCECO[coordinador],"(sin catálogo)"))</f>
        <v/>
      </c>
      <c r="AA921" s="5">
        <f>IF(tblOrdenes[[#This Row],[puesto_trabajo]]="","",_xlfn.XLOOKUP(tblOrdenes[[#This Row],[puesto_trabajo]],tblPuestos[codigo],tblPuestos[especialidad],"(sin catálogo)"))</f>
        <v/>
      </c>
      <c r="AB921" s="5">
        <f>IF(tblOrdenes[[#This Row],[cod_actividad]]="","",_xlfn.XLOOKUP(tblOrdenes[[#This Row],[cod_actividad]],tblActividades[codigo],tblActividades[descripcion],"(sin catálogo)"))</f>
        <v/>
      </c>
      <c r="AC921" s="20">
        <f>IF(tblOrdenes[[#This Row],[fecha_inicio]]="","",TODAY()-tblOrdenes[[#This Row],[fecha_inicio]])</f>
        <v/>
      </c>
      <c r="AD9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1" s="5">
        <f>IF(tblOrdenes[[#This Row],[backlog_habiles]]="","",IF(tblOrdenes[[#This Row],[backlog_habiles]]&lt;0,"FUTURO",IF(tblOrdenes[[#This Row],[backlog_habiles]]&gt;p_dias_backlog_max,"BACKLOG","MES CORRIENTE")))</f>
        <v/>
      </c>
      <c r="AF921" s="5">
        <f>IF(tblOrdenes[[#This Row],[backlog_habiles]]="",FALSE,AND(tblOrdenes[[#This Row],[backlog_habiles]]&gt;p_dias_backlog_min,tblOrdenes[[#This Row],[backlog_habiles]]&lt;=p_dias_backlog_max))</f>
        <v/>
      </c>
      <c r="AG921" s="4" t="n"/>
      <c r="AH9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1" s="18">
        <f>IF(tblOrdenes[[#This Row],[orden]]="","",_xlfn.XLOOKUP(tblOrdenes[[#This Row],[id_operacion]],tblEjecucion[id_operacion],tblEjecucion[precio],0))</f>
        <v/>
      </c>
      <c r="AL921" s="18">
        <f>IF(tblOrdenes[[#This Row],[orden]]="","",MAX(0,_xlfn.XLOOKUP(tblOrdenes[[#This Row],[id_operacion]],tblEjecucion[id_operacion],tblEjecucion[costo_plan_total],0)-tblOrdenes[[#This Row],[costo_servicio]]))</f>
        <v/>
      </c>
      <c r="AM921" s="18">
        <f>IF(tblOrdenes[[#This Row],[orden]]="","",tblOrdenes[[#This Row],[costo_servicio]]+tblOrdenes[[#This Row],[costo_materiales]])</f>
        <v/>
      </c>
      <c r="AN9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1" s="4" t="n"/>
      <c r="AP921" s="4" t="n"/>
      <c r="AQ921" s="4" t="n"/>
      <c r="AR921" s="5">
        <f>IF(tblOrdenes[[#This Row],[link_checklist]]="","",HYPERLINK(p_ruta_base_checklists&amp;tblOrdenes[[#This Row],[link_checklist]],"abrir"))</f>
        <v/>
      </c>
      <c r="AS921" s="4" t="n"/>
      <c r="AT921" s="5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22" t="n"/>
      <c r="K922" s="5" t="n"/>
      <c r="L922" s="18" t="n"/>
      <c r="M9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5">
        <f>IF(tblOrdenes[[#This Row],[fecha_inicio]]="","",YEAR(tblOrdenes[[#This Row],[fecha_inicio]]))</f>
        <v/>
      </c>
      <c r="Q922" s="5">
        <f>IF(tblOrdenes[[#This Row],[fecha_inicio]]="","",MONTH(tblOrdenes[[#This Row],[fecha_inicio]]))</f>
        <v/>
      </c>
      <c r="R922" s="5">
        <f>IF(tblOrdenes[[#This Row],[fecha_inicio]]="","",tblOrdenes[[#This Row],[anio]]&amp;"-"&amp;TEXT(tblOrdenes[[#This Row],[mes]],"00"))</f>
        <v/>
      </c>
      <c r="S922" s="5">
        <f>IF(tblOrdenes[[#This Row],[fecha_inicio]]="","",INDEX(lista_dias,WEEKDAY(tblOrdenes[[#This Row],[fecha_inicio]],2)))</f>
        <v/>
      </c>
      <c r="T9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2" s="5">
        <f>IF(tblOrdenes[[#This Row],[tipo_ot]]="","",_xlfn.XLOOKUP(tblOrdenes[[#This Row],[tipo_ot]],tblTiposOT[codigo],tblTiposOT[clasificacion],"sin_clasificar"))</f>
        <v/>
      </c>
      <c r="V9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2" s="5">
        <f>IF(tblOrdenes[[#This Row],[centro_costo]]="","",_xlfn.XLOOKUP(tblOrdenes[[#This Row],[centro_costo]],tblCECO[codigo],tblCECO[linea],"(sin catálogo)"))</f>
        <v/>
      </c>
      <c r="X922" s="5">
        <f>IF(tblOrdenes[[#This Row],[centro_costo]]="","",_xlfn.XLOOKUP(tblOrdenes[[#This Row],[centro_costo]],tblCECO[codigo],tblCECO[area],"(sin catálogo)"))</f>
        <v/>
      </c>
      <c r="Y9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2" s="5">
        <f>IF(tblOrdenes[[#This Row],[centro_costo]]="","",_xlfn.XLOOKUP(tblOrdenes[[#This Row],[centro_costo]],tblCECO[codigo],tblCECO[coordinador],"(sin catálogo)"))</f>
        <v/>
      </c>
      <c r="AA922" s="5">
        <f>IF(tblOrdenes[[#This Row],[puesto_trabajo]]="","",_xlfn.XLOOKUP(tblOrdenes[[#This Row],[puesto_trabajo]],tblPuestos[codigo],tblPuestos[especialidad],"(sin catálogo)"))</f>
        <v/>
      </c>
      <c r="AB922" s="5">
        <f>IF(tblOrdenes[[#This Row],[cod_actividad]]="","",_xlfn.XLOOKUP(tblOrdenes[[#This Row],[cod_actividad]],tblActividades[codigo],tblActividades[descripcion],"(sin catálogo)"))</f>
        <v/>
      </c>
      <c r="AC922" s="20">
        <f>IF(tblOrdenes[[#This Row],[fecha_inicio]]="","",TODAY()-tblOrdenes[[#This Row],[fecha_inicio]])</f>
        <v/>
      </c>
      <c r="AD9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2" s="5">
        <f>IF(tblOrdenes[[#This Row],[backlog_habiles]]="","",IF(tblOrdenes[[#This Row],[backlog_habiles]]&lt;0,"FUTURO",IF(tblOrdenes[[#This Row],[backlog_habiles]]&gt;p_dias_backlog_max,"BACKLOG","MES CORRIENTE")))</f>
        <v/>
      </c>
      <c r="AF922" s="5">
        <f>IF(tblOrdenes[[#This Row],[backlog_habiles]]="",FALSE,AND(tblOrdenes[[#This Row],[backlog_habiles]]&gt;p_dias_backlog_min,tblOrdenes[[#This Row],[backlog_habiles]]&lt;=p_dias_backlog_max))</f>
        <v/>
      </c>
      <c r="AG922" s="4" t="n"/>
      <c r="AH9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2" s="18">
        <f>IF(tblOrdenes[[#This Row],[orden]]="","",_xlfn.XLOOKUP(tblOrdenes[[#This Row],[id_operacion]],tblEjecucion[id_operacion],tblEjecucion[precio],0))</f>
        <v/>
      </c>
      <c r="AL922" s="18">
        <f>IF(tblOrdenes[[#This Row],[orden]]="","",MAX(0,_xlfn.XLOOKUP(tblOrdenes[[#This Row],[id_operacion]],tblEjecucion[id_operacion],tblEjecucion[costo_plan_total],0)-tblOrdenes[[#This Row],[costo_servicio]]))</f>
        <v/>
      </c>
      <c r="AM922" s="18">
        <f>IF(tblOrdenes[[#This Row],[orden]]="","",tblOrdenes[[#This Row],[costo_servicio]]+tblOrdenes[[#This Row],[costo_materiales]])</f>
        <v/>
      </c>
      <c r="AN9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2" s="4" t="n"/>
      <c r="AP922" s="4" t="n"/>
      <c r="AQ922" s="4" t="n"/>
      <c r="AR922" s="5">
        <f>IF(tblOrdenes[[#This Row],[link_checklist]]="","",HYPERLINK(p_ruta_base_checklists&amp;tblOrdenes[[#This Row],[link_checklist]],"abrir"))</f>
        <v/>
      </c>
      <c r="AS922" s="4" t="n"/>
      <c r="AT922" s="5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22" t="n"/>
      <c r="K923" s="5" t="n"/>
      <c r="L923" s="18" t="n"/>
      <c r="M9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5">
        <f>IF(tblOrdenes[[#This Row],[fecha_inicio]]="","",YEAR(tblOrdenes[[#This Row],[fecha_inicio]]))</f>
        <v/>
      </c>
      <c r="Q923" s="5">
        <f>IF(tblOrdenes[[#This Row],[fecha_inicio]]="","",MONTH(tblOrdenes[[#This Row],[fecha_inicio]]))</f>
        <v/>
      </c>
      <c r="R923" s="5">
        <f>IF(tblOrdenes[[#This Row],[fecha_inicio]]="","",tblOrdenes[[#This Row],[anio]]&amp;"-"&amp;TEXT(tblOrdenes[[#This Row],[mes]],"00"))</f>
        <v/>
      </c>
      <c r="S923" s="5">
        <f>IF(tblOrdenes[[#This Row],[fecha_inicio]]="","",INDEX(lista_dias,WEEKDAY(tblOrdenes[[#This Row],[fecha_inicio]],2)))</f>
        <v/>
      </c>
      <c r="T9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3" s="5">
        <f>IF(tblOrdenes[[#This Row],[tipo_ot]]="","",_xlfn.XLOOKUP(tblOrdenes[[#This Row],[tipo_ot]],tblTiposOT[codigo],tblTiposOT[clasificacion],"sin_clasificar"))</f>
        <v/>
      </c>
      <c r="V9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3" s="5">
        <f>IF(tblOrdenes[[#This Row],[centro_costo]]="","",_xlfn.XLOOKUP(tblOrdenes[[#This Row],[centro_costo]],tblCECO[codigo],tblCECO[linea],"(sin catálogo)"))</f>
        <v/>
      </c>
      <c r="X923" s="5">
        <f>IF(tblOrdenes[[#This Row],[centro_costo]]="","",_xlfn.XLOOKUP(tblOrdenes[[#This Row],[centro_costo]],tblCECO[codigo],tblCECO[area],"(sin catálogo)"))</f>
        <v/>
      </c>
      <c r="Y9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3" s="5">
        <f>IF(tblOrdenes[[#This Row],[centro_costo]]="","",_xlfn.XLOOKUP(tblOrdenes[[#This Row],[centro_costo]],tblCECO[codigo],tblCECO[coordinador],"(sin catálogo)"))</f>
        <v/>
      </c>
      <c r="AA923" s="5">
        <f>IF(tblOrdenes[[#This Row],[puesto_trabajo]]="","",_xlfn.XLOOKUP(tblOrdenes[[#This Row],[puesto_trabajo]],tblPuestos[codigo],tblPuestos[especialidad],"(sin catálogo)"))</f>
        <v/>
      </c>
      <c r="AB923" s="5">
        <f>IF(tblOrdenes[[#This Row],[cod_actividad]]="","",_xlfn.XLOOKUP(tblOrdenes[[#This Row],[cod_actividad]],tblActividades[codigo],tblActividades[descripcion],"(sin catálogo)"))</f>
        <v/>
      </c>
      <c r="AC923" s="20">
        <f>IF(tblOrdenes[[#This Row],[fecha_inicio]]="","",TODAY()-tblOrdenes[[#This Row],[fecha_inicio]])</f>
        <v/>
      </c>
      <c r="AD9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3" s="5">
        <f>IF(tblOrdenes[[#This Row],[backlog_habiles]]="","",IF(tblOrdenes[[#This Row],[backlog_habiles]]&lt;0,"FUTURO",IF(tblOrdenes[[#This Row],[backlog_habiles]]&gt;p_dias_backlog_max,"BACKLOG","MES CORRIENTE")))</f>
        <v/>
      </c>
      <c r="AF923" s="5">
        <f>IF(tblOrdenes[[#This Row],[backlog_habiles]]="",FALSE,AND(tblOrdenes[[#This Row],[backlog_habiles]]&gt;p_dias_backlog_min,tblOrdenes[[#This Row],[backlog_habiles]]&lt;=p_dias_backlog_max))</f>
        <v/>
      </c>
      <c r="AG923" s="4" t="n"/>
      <c r="AH9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3" s="18">
        <f>IF(tblOrdenes[[#This Row],[orden]]="","",_xlfn.XLOOKUP(tblOrdenes[[#This Row],[id_operacion]],tblEjecucion[id_operacion],tblEjecucion[precio],0))</f>
        <v/>
      </c>
      <c r="AL923" s="18">
        <f>IF(tblOrdenes[[#This Row],[orden]]="","",MAX(0,_xlfn.XLOOKUP(tblOrdenes[[#This Row],[id_operacion]],tblEjecucion[id_operacion],tblEjecucion[costo_plan_total],0)-tblOrdenes[[#This Row],[costo_servicio]]))</f>
        <v/>
      </c>
      <c r="AM923" s="18">
        <f>IF(tblOrdenes[[#This Row],[orden]]="","",tblOrdenes[[#This Row],[costo_servicio]]+tblOrdenes[[#This Row],[costo_materiales]])</f>
        <v/>
      </c>
      <c r="AN9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3" s="4" t="n"/>
      <c r="AP923" s="4" t="n"/>
      <c r="AQ923" s="4" t="n"/>
      <c r="AR923" s="5">
        <f>IF(tblOrdenes[[#This Row],[link_checklist]]="","",HYPERLINK(p_ruta_base_checklists&amp;tblOrdenes[[#This Row],[link_checklist]],"abrir"))</f>
        <v/>
      </c>
      <c r="AS923" s="4" t="n"/>
      <c r="AT923" s="5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22" t="n"/>
      <c r="K924" s="5" t="n"/>
      <c r="L924" s="18" t="n"/>
      <c r="M9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5">
        <f>IF(tblOrdenes[[#This Row],[fecha_inicio]]="","",YEAR(tblOrdenes[[#This Row],[fecha_inicio]]))</f>
        <v/>
      </c>
      <c r="Q924" s="5">
        <f>IF(tblOrdenes[[#This Row],[fecha_inicio]]="","",MONTH(tblOrdenes[[#This Row],[fecha_inicio]]))</f>
        <v/>
      </c>
      <c r="R924" s="5">
        <f>IF(tblOrdenes[[#This Row],[fecha_inicio]]="","",tblOrdenes[[#This Row],[anio]]&amp;"-"&amp;TEXT(tblOrdenes[[#This Row],[mes]],"00"))</f>
        <v/>
      </c>
      <c r="S924" s="5">
        <f>IF(tblOrdenes[[#This Row],[fecha_inicio]]="","",INDEX(lista_dias,WEEKDAY(tblOrdenes[[#This Row],[fecha_inicio]],2)))</f>
        <v/>
      </c>
      <c r="T9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4" s="5">
        <f>IF(tblOrdenes[[#This Row],[tipo_ot]]="","",_xlfn.XLOOKUP(tblOrdenes[[#This Row],[tipo_ot]],tblTiposOT[codigo],tblTiposOT[clasificacion],"sin_clasificar"))</f>
        <v/>
      </c>
      <c r="V9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4" s="5">
        <f>IF(tblOrdenes[[#This Row],[centro_costo]]="","",_xlfn.XLOOKUP(tblOrdenes[[#This Row],[centro_costo]],tblCECO[codigo],tblCECO[linea],"(sin catálogo)"))</f>
        <v/>
      </c>
      <c r="X924" s="5">
        <f>IF(tblOrdenes[[#This Row],[centro_costo]]="","",_xlfn.XLOOKUP(tblOrdenes[[#This Row],[centro_costo]],tblCECO[codigo],tblCECO[area],"(sin catálogo)"))</f>
        <v/>
      </c>
      <c r="Y9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4" s="5">
        <f>IF(tblOrdenes[[#This Row],[centro_costo]]="","",_xlfn.XLOOKUP(tblOrdenes[[#This Row],[centro_costo]],tblCECO[codigo],tblCECO[coordinador],"(sin catálogo)"))</f>
        <v/>
      </c>
      <c r="AA924" s="5">
        <f>IF(tblOrdenes[[#This Row],[puesto_trabajo]]="","",_xlfn.XLOOKUP(tblOrdenes[[#This Row],[puesto_trabajo]],tblPuestos[codigo],tblPuestos[especialidad],"(sin catálogo)"))</f>
        <v/>
      </c>
      <c r="AB924" s="5">
        <f>IF(tblOrdenes[[#This Row],[cod_actividad]]="","",_xlfn.XLOOKUP(tblOrdenes[[#This Row],[cod_actividad]],tblActividades[codigo],tblActividades[descripcion],"(sin catálogo)"))</f>
        <v/>
      </c>
      <c r="AC924" s="20">
        <f>IF(tblOrdenes[[#This Row],[fecha_inicio]]="","",TODAY()-tblOrdenes[[#This Row],[fecha_inicio]])</f>
        <v/>
      </c>
      <c r="AD9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4" s="5">
        <f>IF(tblOrdenes[[#This Row],[backlog_habiles]]="","",IF(tblOrdenes[[#This Row],[backlog_habiles]]&lt;0,"FUTURO",IF(tblOrdenes[[#This Row],[backlog_habiles]]&gt;p_dias_backlog_max,"BACKLOG","MES CORRIENTE")))</f>
        <v/>
      </c>
      <c r="AF924" s="5">
        <f>IF(tblOrdenes[[#This Row],[backlog_habiles]]="",FALSE,AND(tblOrdenes[[#This Row],[backlog_habiles]]&gt;p_dias_backlog_min,tblOrdenes[[#This Row],[backlog_habiles]]&lt;=p_dias_backlog_max))</f>
        <v/>
      </c>
      <c r="AG924" s="4" t="n"/>
      <c r="AH9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4" s="18">
        <f>IF(tblOrdenes[[#This Row],[orden]]="","",_xlfn.XLOOKUP(tblOrdenes[[#This Row],[id_operacion]],tblEjecucion[id_operacion],tblEjecucion[precio],0))</f>
        <v/>
      </c>
      <c r="AL924" s="18">
        <f>IF(tblOrdenes[[#This Row],[orden]]="","",MAX(0,_xlfn.XLOOKUP(tblOrdenes[[#This Row],[id_operacion]],tblEjecucion[id_operacion],tblEjecucion[costo_plan_total],0)-tblOrdenes[[#This Row],[costo_servicio]]))</f>
        <v/>
      </c>
      <c r="AM924" s="18">
        <f>IF(tblOrdenes[[#This Row],[orden]]="","",tblOrdenes[[#This Row],[costo_servicio]]+tblOrdenes[[#This Row],[costo_materiales]])</f>
        <v/>
      </c>
      <c r="AN9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4" s="4" t="n"/>
      <c r="AP924" s="4" t="n"/>
      <c r="AQ924" s="4" t="n"/>
      <c r="AR924" s="5">
        <f>IF(tblOrdenes[[#This Row],[link_checklist]]="","",HYPERLINK(p_ruta_base_checklists&amp;tblOrdenes[[#This Row],[link_checklist]],"abrir"))</f>
        <v/>
      </c>
      <c r="AS924" s="4" t="n"/>
      <c r="AT924" s="5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22" t="n"/>
      <c r="K925" s="5" t="n"/>
      <c r="L925" s="18" t="n"/>
      <c r="M9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5">
        <f>IF(tblOrdenes[[#This Row],[fecha_inicio]]="","",YEAR(tblOrdenes[[#This Row],[fecha_inicio]]))</f>
        <v/>
      </c>
      <c r="Q925" s="5">
        <f>IF(tblOrdenes[[#This Row],[fecha_inicio]]="","",MONTH(tblOrdenes[[#This Row],[fecha_inicio]]))</f>
        <v/>
      </c>
      <c r="R925" s="5">
        <f>IF(tblOrdenes[[#This Row],[fecha_inicio]]="","",tblOrdenes[[#This Row],[anio]]&amp;"-"&amp;TEXT(tblOrdenes[[#This Row],[mes]],"00"))</f>
        <v/>
      </c>
      <c r="S925" s="5">
        <f>IF(tblOrdenes[[#This Row],[fecha_inicio]]="","",INDEX(lista_dias,WEEKDAY(tblOrdenes[[#This Row],[fecha_inicio]],2)))</f>
        <v/>
      </c>
      <c r="T9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5" s="5">
        <f>IF(tblOrdenes[[#This Row],[tipo_ot]]="","",_xlfn.XLOOKUP(tblOrdenes[[#This Row],[tipo_ot]],tblTiposOT[codigo],tblTiposOT[clasificacion],"sin_clasificar"))</f>
        <v/>
      </c>
      <c r="V9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5" s="5">
        <f>IF(tblOrdenes[[#This Row],[centro_costo]]="","",_xlfn.XLOOKUP(tblOrdenes[[#This Row],[centro_costo]],tblCECO[codigo],tblCECO[linea],"(sin catálogo)"))</f>
        <v/>
      </c>
      <c r="X925" s="5">
        <f>IF(tblOrdenes[[#This Row],[centro_costo]]="","",_xlfn.XLOOKUP(tblOrdenes[[#This Row],[centro_costo]],tblCECO[codigo],tblCECO[area],"(sin catálogo)"))</f>
        <v/>
      </c>
      <c r="Y9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5" s="5">
        <f>IF(tblOrdenes[[#This Row],[centro_costo]]="","",_xlfn.XLOOKUP(tblOrdenes[[#This Row],[centro_costo]],tblCECO[codigo],tblCECO[coordinador],"(sin catálogo)"))</f>
        <v/>
      </c>
      <c r="AA925" s="5">
        <f>IF(tblOrdenes[[#This Row],[puesto_trabajo]]="","",_xlfn.XLOOKUP(tblOrdenes[[#This Row],[puesto_trabajo]],tblPuestos[codigo],tblPuestos[especialidad],"(sin catálogo)"))</f>
        <v/>
      </c>
      <c r="AB925" s="5">
        <f>IF(tblOrdenes[[#This Row],[cod_actividad]]="","",_xlfn.XLOOKUP(tblOrdenes[[#This Row],[cod_actividad]],tblActividades[codigo],tblActividades[descripcion],"(sin catálogo)"))</f>
        <v/>
      </c>
      <c r="AC925" s="20">
        <f>IF(tblOrdenes[[#This Row],[fecha_inicio]]="","",TODAY()-tblOrdenes[[#This Row],[fecha_inicio]])</f>
        <v/>
      </c>
      <c r="AD9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5" s="5">
        <f>IF(tblOrdenes[[#This Row],[backlog_habiles]]="","",IF(tblOrdenes[[#This Row],[backlog_habiles]]&lt;0,"FUTURO",IF(tblOrdenes[[#This Row],[backlog_habiles]]&gt;p_dias_backlog_max,"BACKLOG","MES CORRIENTE")))</f>
        <v/>
      </c>
      <c r="AF925" s="5">
        <f>IF(tblOrdenes[[#This Row],[backlog_habiles]]="",FALSE,AND(tblOrdenes[[#This Row],[backlog_habiles]]&gt;p_dias_backlog_min,tblOrdenes[[#This Row],[backlog_habiles]]&lt;=p_dias_backlog_max))</f>
        <v/>
      </c>
      <c r="AG925" s="4" t="n"/>
      <c r="AH9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5" s="18">
        <f>IF(tblOrdenes[[#This Row],[orden]]="","",_xlfn.XLOOKUP(tblOrdenes[[#This Row],[id_operacion]],tblEjecucion[id_operacion],tblEjecucion[precio],0))</f>
        <v/>
      </c>
      <c r="AL925" s="18">
        <f>IF(tblOrdenes[[#This Row],[orden]]="","",MAX(0,_xlfn.XLOOKUP(tblOrdenes[[#This Row],[id_operacion]],tblEjecucion[id_operacion],tblEjecucion[costo_plan_total],0)-tblOrdenes[[#This Row],[costo_servicio]]))</f>
        <v/>
      </c>
      <c r="AM925" s="18">
        <f>IF(tblOrdenes[[#This Row],[orden]]="","",tblOrdenes[[#This Row],[costo_servicio]]+tblOrdenes[[#This Row],[costo_materiales]])</f>
        <v/>
      </c>
      <c r="AN9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5" s="4" t="n"/>
      <c r="AP925" s="4" t="n"/>
      <c r="AQ925" s="4" t="n"/>
      <c r="AR925" s="5">
        <f>IF(tblOrdenes[[#This Row],[link_checklist]]="","",HYPERLINK(p_ruta_base_checklists&amp;tblOrdenes[[#This Row],[link_checklist]],"abrir"))</f>
        <v/>
      </c>
      <c r="AS925" s="4" t="n"/>
      <c r="AT925" s="5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22" t="n"/>
      <c r="K926" s="5" t="n"/>
      <c r="L926" s="18" t="n"/>
      <c r="M9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5">
        <f>IF(tblOrdenes[[#This Row],[fecha_inicio]]="","",YEAR(tblOrdenes[[#This Row],[fecha_inicio]]))</f>
        <v/>
      </c>
      <c r="Q926" s="5">
        <f>IF(tblOrdenes[[#This Row],[fecha_inicio]]="","",MONTH(tblOrdenes[[#This Row],[fecha_inicio]]))</f>
        <v/>
      </c>
      <c r="R926" s="5">
        <f>IF(tblOrdenes[[#This Row],[fecha_inicio]]="","",tblOrdenes[[#This Row],[anio]]&amp;"-"&amp;TEXT(tblOrdenes[[#This Row],[mes]],"00"))</f>
        <v/>
      </c>
      <c r="S926" s="5">
        <f>IF(tblOrdenes[[#This Row],[fecha_inicio]]="","",INDEX(lista_dias,WEEKDAY(tblOrdenes[[#This Row],[fecha_inicio]],2)))</f>
        <v/>
      </c>
      <c r="T9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6" s="5">
        <f>IF(tblOrdenes[[#This Row],[tipo_ot]]="","",_xlfn.XLOOKUP(tblOrdenes[[#This Row],[tipo_ot]],tblTiposOT[codigo],tblTiposOT[clasificacion],"sin_clasificar"))</f>
        <v/>
      </c>
      <c r="V9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6" s="5">
        <f>IF(tblOrdenes[[#This Row],[centro_costo]]="","",_xlfn.XLOOKUP(tblOrdenes[[#This Row],[centro_costo]],tblCECO[codigo],tblCECO[linea],"(sin catálogo)"))</f>
        <v/>
      </c>
      <c r="X926" s="5">
        <f>IF(tblOrdenes[[#This Row],[centro_costo]]="","",_xlfn.XLOOKUP(tblOrdenes[[#This Row],[centro_costo]],tblCECO[codigo],tblCECO[area],"(sin catálogo)"))</f>
        <v/>
      </c>
      <c r="Y9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6" s="5">
        <f>IF(tblOrdenes[[#This Row],[centro_costo]]="","",_xlfn.XLOOKUP(tblOrdenes[[#This Row],[centro_costo]],tblCECO[codigo],tblCECO[coordinador],"(sin catálogo)"))</f>
        <v/>
      </c>
      <c r="AA926" s="5">
        <f>IF(tblOrdenes[[#This Row],[puesto_trabajo]]="","",_xlfn.XLOOKUP(tblOrdenes[[#This Row],[puesto_trabajo]],tblPuestos[codigo],tblPuestos[especialidad],"(sin catálogo)"))</f>
        <v/>
      </c>
      <c r="AB926" s="5">
        <f>IF(tblOrdenes[[#This Row],[cod_actividad]]="","",_xlfn.XLOOKUP(tblOrdenes[[#This Row],[cod_actividad]],tblActividades[codigo],tblActividades[descripcion],"(sin catálogo)"))</f>
        <v/>
      </c>
      <c r="AC926" s="20">
        <f>IF(tblOrdenes[[#This Row],[fecha_inicio]]="","",TODAY()-tblOrdenes[[#This Row],[fecha_inicio]])</f>
        <v/>
      </c>
      <c r="AD9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6" s="5">
        <f>IF(tblOrdenes[[#This Row],[backlog_habiles]]="","",IF(tblOrdenes[[#This Row],[backlog_habiles]]&lt;0,"FUTURO",IF(tblOrdenes[[#This Row],[backlog_habiles]]&gt;p_dias_backlog_max,"BACKLOG","MES CORRIENTE")))</f>
        <v/>
      </c>
      <c r="AF926" s="5">
        <f>IF(tblOrdenes[[#This Row],[backlog_habiles]]="",FALSE,AND(tblOrdenes[[#This Row],[backlog_habiles]]&gt;p_dias_backlog_min,tblOrdenes[[#This Row],[backlog_habiles]]&lt;=p_dias_backlog_max))</f>
        <v/>
      </c>
      <c r="AG926" s="4" t="n"/>
      <c r="AH9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6" s="18">
        <f>IF(tblOrdenes[[#This Row],[orden]]="","",_xlfn.XLOOKUP(tblOrdenes[[#This Row],[id_operacion]],tblEjecucion[id_operacion],tblEjecucion[precio],0))</f>
        <v/>
      </c>
      <c r="AL926" s="18">
        <f>IF(tblOrdenes[[#This Row],[orden]]="","",MAX(0,_xlfn.XLOOKUP(tblOrdenes[[#This Row],[id_operacion]],tblEjecucion[id_operacion],tblEjecucion[costo_plan_total],0)-tblOrdenes[[#This Row],[costo_servicio]]))</f>
        <v/>
      </c>
      <c r="AM926" s="18">
        <f>IF(tblOrdenes[[#This Row],[orden]]="","",tblOrdenes[[#This Row],[costo_servicio]]+tblOrdenes[[#This Row],[costo_materiales]])</f>
        <v/>
      </c>
      <c r="AN9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6" s="4" t="n"/>
      <c r="AP926" s="4" t="n"/>
      <c r="AQ926" s="4" t="n"/>
      <c r="AR926" s="5">
        <f>IF(tblOrdenes[[#This Row],[link_checklist]]="","",HYPERLINK(p_ruta_base_checklists&amp;tblOrdenes[[#This Row],[link_checklist]],"abrir"))</f>
        <v/>
      </c>
      <c r="AS926" s="4" t="n"/>
      <c r="AT926" s="5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22" t="n"/>
      <c r="K927" s="5" t="n"/>
      <c r="L927" s="18" t="n"/>
      <c r="M9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5">
        <f>IF(tblOrdenes[[#This Row],[fecha_inicio]]="","",YEAR(tblOrdenes[[#This Row],[fecha_inicio]]))</f>
        <v/>
      </c>
      <c r="Q927" s="5">
        <f>IF(tblOrdenes[[#This Row],[fecha_inicio]]="","",MONTH(tblOrdenes[[#This Row],[fecha_inicio]]))</f>
        <v/>
      </c>
      <c r="R927" s="5">
        <f>IF(tblOrdenes[[#This Row],[fecha_inicio]]="","",tblOrdenes[[#This Row],[anio]]&amp;"-"&amp;TEXT(tblOrdenes[[#This Row],[mes]],"00"))</f>
        <v/>
      </c>
      <c r="S927" s="5">
        <f>IF(tblOrdenes[[#This Row],[fecha_inicio]]="","",INDEX(lista_dias,WEEKDAY(tblOrdenes[[#This Row],[fecha_inicio]],2)))</f>
        <v/>
      </c>
      <c r="T9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7" s="5">
        <f>IF(tblOrdenes[[#This Row],[tipo_ot]]="","",_xlfn.XLOOKUP(tblOrdenes[[#This Row],[tipo_ot]],tblTiposOT[codigo],tblTiposOT[clasificacion],"sin_clasificar"))</f>
        <v/>
      </c>
      <c r="V9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7" s="5">
        <f>IF(tblOrdenes[[#This Row],[centro_costo]]="","",_xlfn.XLOOKUP(tblOrdenes[[#This Row],[centro_costo]],tblCECO[codigo],tblCECO[linea],"(sin catálogo)"))</f>
        <v/>
      </c>
      <c r="X927" s="5">
        <f>IF(tblOrdenes[[#This Row],[centro_costo]]="","",_xlfn.XLOOKUP(tblOrdenes[[#This Row],[centro_costo]],tblCECO[codigo],tblCECO[area],"(sin catálogo)"))</f>
        <v/>
      </c>
      <c r="Y9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7" s="5">
        <f>IF(tblOrdenes[[#This Row],[centro_costo]]="","",_xlfn.XLOOKUP(tblOrdenes[[#This Row],[centro_costo]],tblCECO[codigo],tblCECO[coordinador],"(sin catálogo)"))</f>
        <v/>
      </c>
      <c r="AA927" s="5">
        <f>IF(tblOrdenes[[#This Row],[puesto_trabajo]]="","",_xlfn.XLOOKUP(tblOrdenes[[#This Row],[puesto_trabajo]],tblPuestos[codigo],tblPuestos[especialidad],"(sin catálogo)"))</f>
        <v/>
      </c>
      <c r="AB927" s="5">
        <f>IF(tblOrdenes[[#This Row],[cod_actividad]]="","",_xlfn.XLOOKUP(tblOrdenes[[#This Row],[cod_actividad]],tblActividades[codigo],tblActividades[descripcion],"(sin catálogo)"))</f>
        <v/>
      </c>
      <c r="AC927" s="20">
        <f>IF(tblOrdenes[[#This Row],[fecha_inicio]]="","",TODAY()-tblOrdenes[[#This Row],[fecha_inicio]])</f>
        <v/>
      </c>
      <c r="AD9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7" s="5">
        <f>IF(tblOrdenes[[#This Row],[backlog_habiles]]="","",IF(tblOrdenes[[#This Row],[backlog_habiles]]&lt;0,"FUTURO",IF(tblOrdenes[[#This Row],[backlog_habiles]]&gt;p_dias_backlog_max,"BACKLOG","MES CORRIENTE")))</f>
        <v/>
      </c>
      <c r="AF927" s="5">
        <f>IF(tblOrdenes[[#This Row],[backlog_habiles]]="",FALSE,AND(tblOrdenes[[#This Row],[backlog_habiles]]&gt;p_dias_backlog_min,tblOrdenes[[#This Row],[backlog_habiles]]&lt;=p_dias_backlog_max))</f>
        <v/>
      </c>
      <c r="AG927" s="4" t="n"/>
      <c r="AH9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7" s="18">
        <f>IF(tblOrdenes[[#This Row],[orden]]="","",_xlfn.XLOOKUP(tblOrdenes[[#This Row],[id_operacion]],tblEjecucion[id_operacion],tblEjecucion[precio],0))</f>
        <v/>
      </c>
      <c r="AL927" s="18">
        <f>IF(tblOrdenes[[#This Row],[orden]]="","",MAX(0,_xlfn.XLOOKUP(tblOrdenes[[#This Row],[id_operacion]],tblEjecucion[id_operacion],tblEjecucion[costo_plan_total],0)-tblOrdenes[[#This Row],[costo_servicio]]))</f>
        <v/>
      </c>
      <c r="AM927" s="18">
        <f>IF(tblOrdenes[[#This Row],[orden]]="","",tblOrdenes[[#This Row],[costo_servicio]]+tblOrdenes[[#This Row],[costo_materiales]])</f>
        <v/>
      </c>
      <c r="AN9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7" s="4" t="n"/>
      <c r="AP927" s="4" t="n"/>
      <c r="AQ927" s="4" t="n"/>
      <c r="AR927" s="5">
        <f>IF(tblOrdenes[[#This Row],[link_checklist]]="","",HYPERLINK(p_ruta_base_checklists&amp;tblOrdenes[[#This Row],[link_checklist]],"abrir"))</f>
        <v/>
      </c>
      <c r="AS927" s="4" t="n"/>
      <c r="AT927" s="5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22" t="n"/>
      <c r="K928" s="5" t="n"/>
      <c r="L928" s="18" t="n"/>
      <c r="M9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5">
        <f>IF(tblOrdenes[[#This Row],[fecha_inicio]]="","",YEAR(tblOrdenes[[#This Row],[fecha_inicio]]))</f>
        <v/>
      </c>
      <c r="Q928" s="5">
        <f>IF(tblOrdenes[[#This Row],[fecha_inicio]]="","",MONTH(tblOrdenes[[#This Row],[fecha_inicio]]))</f>
        <v/>
      </c>
      <c r="R928" s="5">
        <f>IF(tblOrdenes[[#This Row],[fecha_inicio]]="","",tblOrdenes[[#This Row],[anio]]&amp;"-"&amp;TEXT(tblOrdenes[[#This Row],[mes]],"00"))</f>
        <v/>
      </c>
      <c r="S928" s="5">
        <f>IF(tblOrdenes[[#This Row],[fecha_inicio]]="","",INDEX(lista_dias,WEEKDAY(tblOrdenes[[#This Row],[fecha_inicio]],2)))</f>
        <v/>
      </c>
      <c r="T9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8" s="5">
        <f>IF(tblOrdenes[[#This Row],[tipo_ot]]="","",_xlfn.XLOOKUP(tblOrdenes[[#This Row],[tipo_ot]],tblTiposOT[codigo],tblTiposOT[clasificacion],"sin_clasificar"))</f>
        <v/>
      </c>
      <c r="V9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8" s="5">
        <f>IF(tblOrdenes[[#This Row],[centro_costo]]="","",_xlfn.XLOOKUP(tblOrdenes[[#This Row],[centro_costo]],tblCECO[codigo],tblCECO[linea],"(sin catálogo)"))</f>
        <v/>
      </c>
      <c r="X928" s="5">
        <f>IF(tblOrdenes[[#This Row],[centro_costo]]="","",_xlfn.XLOOKUP(tblOrdenes[[#This Row],[centro_costo]],tblCECO[codigo],tblCECO[area],"(sin catálogo)"))</f>
        <v/>
      </c>
      <c r="Y9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8" s="5">
        <f>IF(tblOrdenes[[#This Row],[centro_costo]]="","",_xlfn.XLOOKUP(tblOrdenes[[#This Row],[centro_costo]],tblCECO[codigo],tblCECO[coordinador],"(sin catálogo)"))</f>
        <v/>
      </c>
      <c r="AA928" s="5">
        <f>IF(tblOrdenes[[#This Row],[puesto_trabajo]]="","",_xlfn.XLOOKUP(tblOrdenes[[#This Row],[puesto_trabajo]],tblPuestos[codigo],tblPuestos[especialidad],"(sin catálogo)"))</f>
        <v/>
      </c>
      <c r="AB928" s="5">
        <f>IF(tblOrdenes[[#This Row],[cod_actividad]]="","",_xlfn.XLOOKUP(tblOrdenes[[#This Row],[cod_actividad]],tblActividades[codigo],tblActividades[descripcion],"(sin catálogo)"))</f>
        <v/>
      </c>
      <c r="AC928" s="20">
        <f>IF(tblOrdenes[[#This Row],[fecha_inicio]]="","",TODAY()-tblOrdenes[[#This Row],[fecha_inicio]])</f>
        <v/>
      </c>
      <c r="AD9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8" s="5">
        <f>IF(tblOrdenes[[#This Row],[backlog_habiles]]="","",IF(tblOrdenes[[#This Row],[backlog_habiles]]&lt;0,"FUTURO",IF(tblOrdenes[[#This Row],[backlog_habiles]]&gt;p_dias_backlog_max,"BACKLOG","MES CORRIENTE")))</f>
        <v/>
      </c>
      <c r="AF928" s="5">
        <f>IF(tblOrdenes[[#This Row],[backlog_habiles]]="",FALSE,AND(tblOrdenes[[#This Row],[backlog_habiles]]&gt;p_dias_backlog_min,tblOrdenes[[#This Row],[backlog_habiles]]&lt;=p_dias_backlog_max))</f>
        <v/>
      </c>
      <c r="AG928" s="4" t="n"/>
      <c r="AH9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8" s="18">
        <f>IF(tblOrdenes[[#This Row],[orden]]="","",_xlfn.XLOOKUP(tblOrdenes[[#This Row],[id_operacion]],tblEjecucion[id_operacion],tblEjecucion[precio],0))</f>
        <v/>
      </c>
      <c r="AL928" s="18">
        <f>IF(tblOrdenes[[#This Row],[orden]]="","",MAX(0,_xlfn.XLOOKUP(tblOrdenes[[#This Row],[id_operacion]],tblEjecucion[id_operacion],tblEjecucion[costo_plan_total],0)-tblOrdenes[[#This Row],[costo_servicio]]))</f>
        <v/>
      </c>
      <c r="AM928" s="18">
        <f>IF(tblOrdenes[[#This Row],[orden]]="","",tblOrdenes[[#This Row],[costo_servicio]]+tblOrdenes[[#This Row],[costo_materiales]])</f>
        <v/>
      </c>
      <c r="AN9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8" s="4" t="n"/>
      <c r="AP928" s="4" t="n"/>
      <c r="AQ928" s="4" t="n"/>
      <c r="AR928" s="5">
        <f>IF(tblOrdenes[[#This Row],[link_checklist]]="","",HYPERLINK(p_ruta_base_checklists&amp;tblOrdenes[[#This Row],[link_checklist]],"abrir"))</f>
        <v/>
      </c>
      <c r="AS928" s="4" t="n"/>
      <c r="AT928" s="5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22" t="n"/>
      <c r="K929" s="5" t="n"/>
      <c r="L929" s="18" t="n"/>
      <c r="M9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5">
        <f>IF(tblOrdenes[[#This Row],[fecha_inicio]]="","",YEAR(tblOrdenes[[#This Row],[fecha_inicio]]))</f>
        <v/>
      </c>
      <c r="Q929" s="5">
        <f>IF(tblOrdenes[[#This Row],[fecha_inicio]]="","",MONTH(tblOrdenes[[#This Row],[fecha_inicio]]))</f>
        <v/>
      </c>
      <c r="R929" s="5">
        <f>IF(tblOrdenes[[#This Row],[fecha_inicio]]="","",tblOrdenes[[#This Row],[anio]]&amp;"-"&amp;TEXT(tblOrdenes[[#This Row],[mes]],"00"))</f>
        <v/>
      </c>
      <c r="S929" s="5">
        <f>IF(tblOrdenes[[#This Row],[fecha_inicio]]="","",INDEX(lista_dias,WEEKDAY(tblOrdenes[[#This Row],[fecha_inicio]],2)))</f>
        <v/>
      </c>
      <c r="T9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9" s="5">
        <f>IF(tblOrdenes[[#This Row],[tipo_ot]]="","",_xlfn.XLOOKUP(tblOrdenes[[#This Row],[tipo_ot]],tblTiposOT[codigo],tblTiposOT[clasificacion],"sin_clasificar"))</f>
        <v/>
      </c>
      <c r="V9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9" s="5">
        <f>IF(tblOrdenes[[#This Row],[centro_costo]]="","",_xlfn.XLOOKUP(tblOrdenes[[#This Row],[centro_costo]],tblCECO[codigo],tblCECO[linea],"(sin catálogo)"))</f>
        <v/>
      </c>
      <c r="X929" s="5">
        <f>IF(tblOrdenes[[#This Row],[centro_costo]]="","",_xlfn.XLOOKUP(tblOrdenes[[#This Row],[centro_costo]],tblCECO[codigo],tblCECO[area],"(sin catálogo)"))</f>
        <v/>
      </c>
      <c r="Y9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29" s="5">
        <f>IF(tblOrdenes[[#This Row],[centro_costo]]="","",_xlfn.XLOOKUP(tblOrdenes[[#This Row],[centro_costo]],tblCECO[codigo],tblCECO[coordinador],"(sin catálogo)"))</f>
        <v/>
      </c>
      <c r="AA929" s="5">
        <f>IF(tblOrdenes[[#This Row],[puesto_trabajo]]="","",_xlfn.XLOOKUP(tblOrdenes[[#This Row],[puesto_trabajo]],tblPuestos[codigo],tblPuestos[especialidad],"(sin catálogo)"))</f>
        <v/>
      </c>
      <c r="AB929" s="5">
        <f>IF(tblOrdenes[[#This Row],[cod_actividad]]="","",_xlfn.XLOOKUP(tblOrdenes[[#This Row],[cod_actividad]],tblActividades[codigo],tblActividades[descripcion],"(sin catálogo)"))</f>
        <v/>
      </c>
      <c r="AC929" s="20">
        <f>IF(tblOrdenes[[#This Row],[fecha_inicio]]="","",TODAY()-tblOrdenes[[#This Row],[fecha_inicio]])</f>
        <v/>
      </c>
      <c r="AD9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29" s="5">
        <f>IF(tblOrdenes[[#This Row],[backlog_habiles]]="","",IF(tblOrdenes[[#This Row],[backlog_habiles]]&lt;0,"FUTURO",IF(tblOrdenes[[#This Row],[backlog_habiles]]&gt;p_dias_backlog_max,"BACKLOG","MES CORRIENTE")))</f>
        <v/>
      </c>
      <c r="AF929" s="5">
        <f>IF(tblOrdenes[[#This Row],[backlog_habiles]]="",FALSE,AND(tblOrdenes[[#This Row],[backlog_habiles]]&gt;p_dias_backlog_min,tblOrdenes[[#This Row],[backlog_habiles]]&lt;=p_dias_backlog_max))</f>
        <v/>
      </c>
      <c r="AG929" s="4" t="n"/>
      <c r="AH9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29" s="18">
        <f>IF(tblOrdenes[[#This Row],[orden]]="","",_xlfn.XLOOKUP(tblOrdenes[[#This Row],[id_operacion]],tblEjecucion[id_operacion],tblEjecucion[precio],0))</f>
        <v/>
      </c>
      <c r="AL929" s="18">
        <f>IF(tblOrdenes[[#This Row],[orden]]="","",MAX(0,_xlfn.XLOOKUP(tblOrdenes[[#This Row],[id_operacion]],tblEjecucion[id_operacion],tblEjecucion[costo_plan_total],0)-tblOrdenes[[#This Row],[costo_servicio]]))</f>
        <v/>
      </c>
      <c r="AM929" s="18">
        <f>IF(tblOrdenes[[#This Row],[orden]]="","",tblOrdenes[[#This Row],[costo_servicio]]+tblOrdenes[[#This Row],[costo_materiales]])</f>
        <v/>
      </c>
      <c r="AN9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29" s="4" t="n"/>
      <c r="AP929" s="4" t="n"/>
      <c r="AQ929" s="4" t="n"/>
      <c r="AR929" s="5">
        <f>IF(tblOrdenes[[#This Row],[link_checklist]]="","",HYPERLINK(p_ruta_base_checklists&amp;tblOrdenes[[#This Row],[link_checklist]],"abrir"))</f>
        <v/>
      </c>
      <c r="AS929" s="4" t="n"/>
      <c r="AT929" s="5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22" t="n"/>
      <c r="K930" s="5" t="n"/>
      <c r="L930" s="18" t="n"/>
      <c r="M9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5">
        <f>IF(tblOrdenes[[#This Row],[fecha_inicio]]="","",YEAR(tblOrdenes[[#This Row],[fecha_inicio]]))</f>
        <v/>
      </c>
      <c r="Q930" s="5">
        <f>IF(tblOrdenes[[#This Row],[fecha_inicio]]="","",MONTH(tblOrdenes[[#This Row],[fecha_inicio]]))</f>
        <v/>
      </c>
      <c r="R930" s="5">
        <f>IF(tblOrdenes[[#This Row],[fecha_inicio]]="","",tblOrdenes[[#This Row],[anio]]&amp;"-"&amp;TEXT(tblOrdenes[[#This Row],[mes]],"00"))</f>
        <v/>
      </c>
      <c r="S930" s="5">
        <f>IF(tblOrdenes[[#This Row],[fecha_inicio]]="","",INDEX(lista_dias,WEEKDAY(tblOrdenes[[#This Row],[fecha_inicio]],2)))</f>
        <v/>
      </c>
      <c r="T9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0" s="5">
        <f>IF(tblOrdenes[[#This Row],[tipo_ot]]="","",_xlfn.XLOOKUP(tblOrdenes[[#This Row],[tipo_ot]],tblTiposOT[codigo],tblTiposOT[clasificacion],"sin_clasificar"))</f>
        <v/>
      </c>
      <c r="V9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0" s="5">
        <f>IF(tblOrdenes[[#This Row],[centro_costo]]="","",_xlfn.XLOOKUP(tblOrdenes[[#This Row],[centro_costo]],tblCECO[codigo],tblCECO[linea],"(sin catálogo)"))</f>
        <v/>
      </c>
      <c r="X930" s="5">
        <f>IF(tblOrdenes[[#This Row],[centro_costo]]="","",_xlfn.XLOOKUP(tblOrdenes[[#This Row],[centro_costo]],tblCECO[codigo],tblCECO[area],"(sin catálogo)"))</f>
        <v/>
      </c>
      <c r="Y9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0" s="5">
        <f>IF(tblOrdenes[[#This Row],[centro_costo]]="","",_xlfn.XLOOKUP(tblOrdenes[[#This Row],[centro_costo]],tblCECO[codigo],tblCECO[coordinador],"(sin catálogo)"))</f>
        <v/>
      </c>
      <c r="AA930" s="5">
        <f>IF(tblOrdenes[[#This Row],[puesto_trabajo]]="","",_xlfn.XLOOKUP(tblOrdenes[[#This Row],[puesto_trabajo]],tblPuestos[codigo],tblPuestos[especialidad],"(sin catálogo)"))</f>
        <v/>
      </c>
      <c r="AB930" s="5">
        <f>IF(tblOrdenes[[#This Row],[cod_actividad]]="","",_xlfn.XLOOKUP(tblOrdenes[[#This Row],[cod_actividad]],tblActividades[codigo],tblActividades[descripcion],"(sin catálogo)"))</f>
        <v/>
      </c>
      <c r="AC930" s="20">
        <f>IF(tblOrdenes[[#This Row],[fecha_inicio]]="","",TODAY()-tblOrdenes[[#This Row],[fecha_inicio]])</f>
        <v/>
      </c>
      <c r="AD9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0" s="5">
        <f>IF(tblOrdenes[[#This Row],[backlog_habiles]]="","",IF(tblOrdenes[[#This Row],[backlog_habiles]]&lt;0,"FUTURO",IF(tblOrdenes[[#This Row],[backlog_habiles]]&gt;p_dias_backlog_max,"BACKLOG","MES CORRIENTE")))</f>
        <v/>
      </c>
      <c r="AF930" s="5">
        <f>IF(tblOrdenes[[#This Row],[backlog_habiles]]="",FALSE,AND(tblOrdenes[[#This Row],[backlog_habiles]]&gt;p_dias_backlog_min,tblOrdenes[[#This Row],[backlog_habiles]]&lt;=p_dias_backlog_max))</f>
        <v/>
      </c>
      <c r="AG930" s="4" t="n"/>
      <c r="AH9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0" s="18">
        <f>IF(tblOrdenes[[#This Row],[orden]]="","",_xlfn.XLOOKUP(tblOrdenes[[#This Row],[id_operacion]],tblEjecucion[id_operacion],tblEjecucion[precio],0))</f>
        <v/>
      </c>
      <c r="AL930" s="18">
        <f>IF(tblOrdenes[[#This Row],[orden]]="","",MAX(0,_xlfn.XLOOKUP(tblOrdenes[[#This Row],[id_operacion]],tblEjecucion[id_operacion],tblEjecucion[costo_plan_total],0)-tblOrdenes[[#This Row],[costo_servicio]]))</f>
        <v/>
      </c>
      <c r="AM930" s="18">
        <f>IF(tblOrdenes[[#This Row],[orden]]="","",tblOrdenes[[#This Row],[costo_servicio]]+tblOrdenes[[#This Row],[costo_materiales]])</f>
        <v/>
      </c>
      <c r="AN9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0" s="4" t="n"/>
      <c r="AP930" s="4" t="n"/>
      <c r="AQ930" s="4" t="n"/>
      <c r="AR930" s="5">
        <f>IF(tblOrdenes[[#This Row],[link_checklist]]="","",HYPERLINK(p_ruta_base_checklists&amp;tblOrdenes[[#This Row],[link_checklist]],"abrir"))</f>
        <v/>
      </c>
      <c r="AS930" s="4" t="n"/>
      <c r="AT930" s="5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22" t="n"/>
      <c r="K931" s="5" t="n"/>
      <c r="L931" s="18" t="n"/>
      <c r="M9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5">
        <f>IF(tblOrdenes[[#This Row],[fecha_inicio]]="","",YEAR(tblOrdenes[[#This Row],[fecha_inicio]]))</f>
        <v/>
      </c>
      <c r="Q931" s="5">
        <f>IF(tblOrdenes[[#This Row],[fecha_inicio]]="","",MONTH(tblOrdenes[[#This Row],[fecha_inicio]]))</f>
        <v/>
      </c>
      <c r="R931" s="5">
        <f>IF(tblOrdenes[[#This Row],[fecha_inicio]]="","",tblOrdenes[[#This Row],[anio]]&amp;"-"&amp;TEXT(tblOrdenes[[#This Row],[mes]],"00"))</f>
        <v/>
      </c>
      <c r="S931" s="5">
        <f>IF(tblOrdenes[[#This Row],[fecha_inicio]]="","",INDEX(lista_dias,WEEKDAY(tblOrdenes[[#This Row],[fecha_inicio]],2)))</f>
        <v/>
      </c>
      <c r="T9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1" s="5">
        <f>IF(tblOrdenes[[#This Row],[tipo_ot]]="","",_xlfn.XLOOKUP(tblOrdenes[[#This Row],[tipo_ot]],tblTiposOT[codigo],tblTiposOT[clasificacion],"sin_clasificar"))</f>
        <v/>
      </c>
      <c r="V9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1" s="5">
        <f>IF(tblOrdenes[[#This Row],[centro_costo]]="","",_xlfn.XLOOKUP(tblOrdenes[[#This Row],[centro_costo]],tblCECO[codigo],tblCECO[linea],"(sin catálogo)"))</f>
        <v/>
      </c>
      <c r="X931" s="5">
        <f>IF(tblOrdenes[[#This Row],[centro_costo]]="","",_xlfn.XLOOKUP(tblOrdenes[[#This Row],[centro_costo]],tblCECO[codigo],tblCECO[area],"(sin catálogo)"))</f>
        <v/>
      </c>
      <c r="Y9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1" s="5">
        <f>IF(tblOrdenes[[#This Row],[centro_costo]]="","",_xlfn.XLOOKUP(tblOrdenes[[#This Row],[centro_costo]],tblCECO[codigo],tblCECO[coordinador],"(sin catálogo)"))</f>
        <v/>
      </c>
      <c r="AA931" s="5">
        <f>IF(tblOrdenes[[#This Row],[puesto_trabajo]]="","",_xlfn.XLOOKUP(tblOrdenes[[#This Row],[puesto_trabajo]],tblPuestos[codigo],tblPuestos[especialidad],"(sin catálogo)"))</f>
        <v/>
      </c>
      <c r="AB931" s="5">
        <f>IF(tblOrdenes[[#This Row],[cod_actividad]]="","",_xlfn.XLOOKUP(tblOrdenes[[#This Row],[cod_actividad]],tblActividades[codigo],tblActividades[descripcion],"(sin catálogo)"))</f>
        <v/>
      </c>
      <c r="AC931" s="20">
        <f>IF(tblOrdenes[[#This Row],[fecha_inicio]]="","",TODAY()-tblOrdenes[[#This Row],[fecha_inicio]])</f>
        <v/>
      </c>
      <c r="AD9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1" s="5">
        <f>IF(tblOrdenes[[#This Row],[backlog_habiles]]="","",IF(tblOrdenes[[#This Row],[backlog_habiles]]&lt;0,"FUTURO",IF(tblOrdenes[[#This Row],[backlog_habiles]]&gt;p_dias_backlog_max,"BACKLOG","MES CORRIENTE")))</f>
        <v/>
      </c>
      <c r="AF931" s="5">
        <f>IF(tblOrdenes[[#This Row],[backlog_habiles]]="",FALSE,AND(tblOrdenes[[#This Row],[backlog_habiles]]&gt;p_dias_backlog_min,tblOrdenes[[#This Row],[backlog_habiles]]&lt;=p_dias_backlog_max))</f>
        <v/>
      </c>
      <c r="AG931" s="4" t="n"/>
      <c r="AH9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1" s="18">
        <f>IF(tblOrdenes[[#This Row],[orden]]="","",_xlfn.XLOOKUP(tblOrdenes[[#This Row],[id_operacion]],tblEjecucion[id_operacion],tblEjecucion[precio],0))</f>
        <v/>
      </c>
      <c r="AL931" s="18">
        <f>IF(tblOrdenes[[#This Row],[orden]]="","",MAX(0,_xlfn.XLOOKUP(tblOrdenes[[#This Row],[id_operacion]],tblEjecucion[id_operacion],tblEjecucion[costo_plan_total],0)-tblOrdenes[[#This Row],[costo_servicio]]))</f>
        <v/>
      </c>
      <c r="AM931" s="18">
        <f>IF(tblOrdenes[[#This Row],[orden]]="","",tblOrdenes[[#This Row],[costo_servicio]]+tblOrdenes[[#This Row],[costo_materiales]])</f>
        <v/>
      </c>
      <c r="AN9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1" s="4" t="n"/>
      <c r="AP931" s="4" t="n"/>
      <c r="AQ931" s="4" t="n"/>
      <c r="AR931" s="5">
        <f>IF(tblOrdenes[[#This Row],[link_checklist]]="","",HYPERLINK(p_ruta_base_checklists&amp;tblOrdenes[[#This Row],[link_checklist]],"abrir"))</f>
        <v/>
      </c>
      <c r="AS931" s="4" t="n"/>
      <c r="AT931" s="5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22" t="n"/>
      <c r="K932" s="5" t="n"/>
      <c r="L932" s="18" t="n"/>
      <c r="M9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5">
        <f>IF(tblOrdenes[[#This Row],[fecha_inicio]]="","",YEAR(tblOrdenes[[#This Row],[fecha_inicio]]))</f>
        <v/>
      </c>
      <c r="Q932" s="5">
        <f>IF(tblOrdenes[[#This Row],[fecha_inicio]]="","",MONTH(tblOrdenes[[#This Row],[fecha_inicio]]))</f>
        <v/>
      </c>
      <c r="R932" s="5">
        <f>IF(tblOrdenes[[#This Row],[fecha_inicio]]="","",tblOrdenes[[#This Row],[anio]]&amp;"-"&amp;TEXT(tblOrdenes[[#This Row],[mes]],"00"))</f>
        <v/>
      </c>
      <c r="S932" s="5">
        <f>IF(tblOrdenes[[#This Row],[fecha_inicio]]="","",INDEX(lista_dias,WEEKDAY(tblOrdenes[[#This Row],[fecha_inicio]],2)))</f>
        <v/>
      </c>
      <c r="T9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2" s="5">
        <f>IF(tblOrdenes[[#This Row],[tipo_ot]]="","",_xlfn.XLOOKUP(tblOrdenes[[#This Row],[tipo_ot]],tblTiposOT[codigo],tblTiposOT[clasificacion],"sin_clasificar"))</f>
        <v/>
      </c>
      <c r="V9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2" s="5">
        <f>IF(tblOrdenes[[#This Row],[centro_costo]]="","",_xlfn.XLOOKUP(tblOrdenes[[#This Row],[centro_costo]],tblCECO[codigo],tblCECO[linea],"(sin catálogo)"))</f>
        <v/>
      </c>
      <c r="X932" s="5">
        <f>IF(tblOrdenes[[#This Row],[centro_costo]]="","",_xlfn.XLOOKUP(tblOrdenes[[#This Row],[centro_costo]],tblCECO[codigo],tblCECO[area],"(sin catálogo)"))</f>
        <v/>
      </c>
      <c r="Y9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2" s="5">
        <f>IF(tblOrdenes[[#This Row],[centro_costo]]="","",_xlfn.XLOOKUP(tblOrdenes[[#This Row],[centro_costo]],tblCECO[codigo],tblCECO[coordinador],"(sin catálogo)"))</f>
        <v/>
      </c>
      <c r="AA932" s="5">
        <f>IF(tblOrdenes[[#This Row],[puesto_trabajo]]="","",_xlfn.XLOOKUP(tblOrdenes[[#This Row],[puesto_trabajo]],tblPuestos[codigo],tblPuestos[especialidad],"(sin catálogo)"))</f>
        <v/>
      </c>
      <c r="AB932" s="5">
        <f>IF(tblOrdenes[[#This Row],[cod_actividad]]="","",_xlfn.XLOOKUP(tblOrdenes[[#This Row],[cod_actividad]],tblActividades[codigo],tblActividades[descripcion],"(sin catálogo)"))</f>
        <v/>
      </c>
      <c r="AC932" s="20">
        <f>IF(tblOrdenes[[#This Row],[fecha_inicio]]="","",TODAY()-tblOrdenes[[#This Row],[fecha_inicio]])</f>
        <v/>
      </c>
      <c r="AD9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2" s="5">
        <f>IF(tblOrdenes[[#This Row],[backlog_habiles]]="","",IF(tblOrdenes[[#This Row],[backlog_habiles]]&lt;0,"FUTURO",IF(tblOrdenes[[#This Row],[backlog_habiles]]&gt;p_dias_backlog_max,"BACKLOG","MES CORRIENTE")))</f>
        <v/>
      </c>
      <c r="AF932" s="5">
        <f>IF(tblOrdenes[[#This Row],[backlog_habiles]]="",FALSE,AND(tblOrdenes[[#This Row],[backlog_habiles]]&gt;p_dias_backlog_min,tblOrdenes[[#This Row],[backlog_habiles]]&lt;=p_dias_backlog_max))</f>
        <v/>
      </c>
      <c r="AG932" s="4" t="n"/>
      <c r="AH9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2" s="18">
        <f>IF(tblOrdenes[[#This Row],[orden]]="","",_xlfn.XLOOKUP(tblOrdenes[[#This Row],[id_operacion]],tblEjecucion[id_operacion],tblEjecucion[precio],0))</f>
        <v/>
      </c>
      <c r="AL932" s="18">
        <f>IF(tblOrdenes[[#This Row],[orden]]="","",MAX(0,_xlfn.XLOOKUP(tblOrdenes[[#This Row],[id_operacion]],tblEjecucion[id_operacion],tblEjecucion[costo_plan_total],0)-tblOrdenes[[#This Row],[costo_servicio]]))</f>
        <v/>
      </c>
      <c r="AM932" s="18">
        <f>IF(tblOrdenes[[#This Row],[orden]]="","",tblOrdenes[[#This Row],[costo_servicio]]+tblOrdenes[[#This Row],[costo_materiales]])</f>
        <v/>
      </c>
      <c r="AN9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2" s="4" t="n"/>
      <c r="AP932" s="4" t="n"/>
      <c r="AQ932" s="4" t="n"/>
      <c r="AR932" s="5">
        <f>IF(tblOrdenes[[#This Row],[link_checklist]]="","",HYPERLINK(p_ruta_base_checklists&amp;tblOrdenes[[#This Row],[link_checklist]],"abrir"))</f>
        <v/>
      </c>
      <c r="AS932" s="4" t="n"/>
      <c r="AT932" s="5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22" t="n"/>
      <c r="K933" s="5" t="n"/>
      <c r="L933" s="18" t="n"/>
      <c r="M9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5">
        <f>IF(tblOrdenes[[#This Row],[fecha_inicio]]="","",YEAR(tblOrdenes[[#This Row],[fecha_inicio]]))</f>
        <v/>
      </c>
      <c r="Q933" s="5">
        <f>IF(tblOrdenes[[#This Row],[fecha_inicio]]="","",MONTH(tblOrdenes[[#This Row],[fecha_inicio]]))</f>
        <v/>
      </c>
      <c r="R933" s="5">
        <f>IF(tblOrdenes[[#This Row],[fecha_inicio]]="","",tblOrdenes[[#This Row],[anio]]&amp;"-"&amp;TEXT(tblOrdenes[[#This Row],[mes]],"00"))</f>
        <v/>
      </c>
      <c r="S933" s="5">
        <f>IF(tblOrdenes[[#This Row],[fecha_inicio]]="","",INDEX(lista_dias,WEEKDAY(tblOrdenes[[#This Row],[fecha_inicio]],2)))</f>
        <v/>
      </c>
      <c r="T9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3" s="5">
        <f>IF(tblOrdenes[[#This Row],[tipo_ot]]="","",_xlfn.XLOOKUP(tblOrdenes[[#This Row],[tipo_ot]],tblTiposOT[codigo],tblTiposOT[clasificacion],"sin_clasificar"))</f>
        <v/>
      </c>
      <c r="V9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3" s="5">
        <f>IF(tblOrdenes[[#This Row],[centro_costo]]="","",_xlfn.XLOOKUP(tblOrdenes[[#This Row],[centro_costo]],tblCECO[codigo],tblCECO[linea],"(sin catálogo)"))</f>
        <v/>
      </c>
      <c r="X933" s="5">
        <f>IF(tblOrdenes[[#This Row],[centro_costo]]="","",_xlfn.XLOOKUP(tblOrdenes[[#This Row],[centro_costo]],tblCECO[codigo],tblCECO[area],"(sin catálogo)"))</f>
        <v/>
      </c>
      <c r="Y9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3" s="5">
        <f>IF(tblOrdenes[[#This Row],[centro_costo]]="","",_xlfn.XLOOKUP(tblOrdenes[[#This Row],[centro_costo]],tblCECO[codigo],tblCECO[coordinador],"(sin catálogo)"))</f>
        <v/>
      </c>
      <c r="AA933" s="5">
        <f>IF(tblOrdenes[[#This Row],[puesto_trabajo]]="","",_xlfn.XLOOKUP(tblOrdenes[[#This Row],[puesto_trabajo]],tblPuestos[codigo],tblPuestos[especialidad],"(sin catálogo)"))</f>
        <v/>
      </c>
      <c r="AB933" s="5">
        <f>IF(tblOrdenes[[#This Row],[cod_actividad]]="","",_xlfn.XLOOKUP(tblOrdenes[[#This Row],[cod_actividad]],tblActividades[codigo],tblActividades[descripcion],"(sin catálogo)"))</f>
        <v/>
      </c>
      <c r="AC933" s="20">
        <f>IF(tblOrdenes[[#This Row],[fecha_inicio]]="","",TODAY()-tblOrdenes[[#This Row],[fecha_inicio]])</f>
        <v/>
      </c>
      <c r="AD9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3" s="5">
        <f>IF(tblOrdenes[[#This Row],[backlog_habiles]]="","",IF(tblOrdenes[[#This Row],[backlog_habiles]]&lt;0,"FUTURO",IF(tblOrdenes[[#This Row],[backlog_habiles]]&gt;p_dias_backlog_max,"BACKLOG","MES CORRIENTE")))</f>
        <v/>
      </c>
      <c r="AF933" s="5">
        <f>IF(tblOrdenes[[#This Row],[backlog_habiles]]="",FALSE,AND(tblOrdenes[[#This Row],[backlog_habiles]]&gt;p_dias_backlog_min,tblOrdenes[[#This Row],[backlog_habiles]]&lt;=p_dias_backlog_max))</f>
        <v/>
      </c>
      <c r="AG933" s="4" t="n"/>
      <c r="AH9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3" s="18">
        <f>IF(tblOrdenes[[#This Row],[orden]]="","",_xlfn.XLOOKUP(tblOrdenes[[#This Row],[id_operacion]],tblEjecucion[id_operacion],tblEjecucion[precio],0))</f>
        <v/>
      </c>
      <c r="AL933" s="18">
        <f>IF(tblOrdenes[[#This Row],[orden]]="","",MAX(0,_xlfn.XLOOKUP(tblOrdenes[[#This Row],[id_operacion]],tblEjecucion[id_operacion],tblEjecucion[costo_plan_total],0)-tblOrdenes[[#This Row],[costo_servicio]]))</f>
        <v/>
      </c>
      <c r="AM933" s="18">
        <f>IF(tblOrdenes[[#This Row],[orden]]="","",tblOrdenes[[#This Row],[costo_servicio]]+tblOrdenes[[#This Row],[costo_materiales]])</f>
        <v/>
      </c>
      <c r="AN9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3" s="4" t="n"/>
      <c r="AP933" s="4" t="n"/>
      <c r="AQ933" s="4" t="n"/>
      <c r="AR933" s="5">
        <f>IF(tblOrdenes[[#This Row],[link_checklist]]="","",HYPERLINK(p_ruta_base_checklists&amp;tblOrdenes[[#This Row],[link_checklist]],"abrir"))</f>
        <v/>
      </c>
      <c r="AS933" s="4" t="n"/>
      <c r="AT933" s="5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22" t="n"/>
      <c r="K934" s="5" t="n"/>
      <c r="L934" s="18" t="n"/>
      <c r="M9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5">
        <f>IF(tblOrdenes[[#This Row],[fecha_inicio]]="","",YEAR(tblOrdenes[[#This Row],[fecha_inicio]]))</f>
        <v/>
      </c>
      <c r="Q934" s="5">
        <f>IF(tblOrdenes[[#This Row],[fecha_inicio]]="","",MONTH(tblOrdenes[[#This Row],[fecha_inicio]]))</f>
        <v/>
      </c>
      <c r="R934" s="5">
        <f>IF(tblOrdenes[[#This Row],[fecha_inicio]]="","",tblOrdenes[[#This Row],[anio]]&amp;"-"&amp;TEXT(tblOrdenes[[#This Row],[mes]],"00"))</f>
        <v/>
      </c>
      <c r="S934" s="5">
        <f>IF(tblOrdenes[[#This Row],[fecha_inicio]]="","",INDEX(lista_dias,WEEKDAY(tblOrdenes[[#This Row],[fecha_inicio]],2)))</f>
        <v/>
      </c>
      <c r="T9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4" s="5">
        <f>IF(tblOrdenes[[#This Row],[tipo_ot]]="","",_xlfn.XLOOKUP(tblOrdenes[[#This Row],[tipo_ot]],tblTiposOT[codigo],tblTiposOT[clasificacion],"sin_clasificar"))</f>
        <v/>
      </c>
      <c r="V9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4" s="5">
        <f>IF(tblOrdenes[[#This Row],[centro_costo]]="","",_xlfn.XLOOKUP(tblOrdenes[[#This Row],[centro_costo]],tblCECO[codigo],tblCECO[linea],"(sin catálogo)"))</f>
        <v/>
      </c>
      <c r="X934" s="5">
        <f>IF(tblOrdenes[[#This Row],[centro_costo]]="","",_xlfn.XLOOKUP(tblOrdenes[[#This Row],[centro_costo]],tblCECO[codigo],tblCECO[area],"(sin catálogo)"))</f>
        <v/>
      </c>
      <c r="Y9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4" s="5">
        <f>IF(tblOrdenes[[#This Row],[centro_costo]]="","",_xlfn.XLOOKUP(tblOrdenes[[#This Row],[centro_costo]],tblCECO[codigo],tblCECO[coordinador],"(sin catálogo)"))</f>
        <v/>
      </c>
      <c r="AA934" s="5">
        <f>IF(tblOrdenes[[#This Row],[puesto_trabajo]]="","",_xlfn.XLOOKUP(tblOrdenes[[#This Row],[puesto_trabajo]],tblPuestos[codigo],tblPuestos[especialidad],"(sin catálogo)"))</f>
        <v/>
      </c>
      <c r="AB934" s="5">
        <f>IF(tblOrdenes[[#This Row],[cod_actividad]]="","",_xlfn.XLOOKUP(tblOrdenes[[#This Row],[cod_actividad]],tblActividades[codigo],tblActividades[descripcion],"(sin catálogo)"))</f>
        <v/>
      </c>
      <c r="AC934" s="20">
        <f>IF(tblOrdenes[[#This Row],[fecha_inicio]]="","",TODAY()-tblOrdenes[[#This Row],[fecha_inicio]])</f>
        <v/>
      </c>
      <c r="AD9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4" s="5">
        <f>IF(tblOrdenes[[#This Row],[backlog_habiles]]="","",IF(tblOrdenes[[#This Row],[backlog_habiles]]&lt;0,"FUTURO",IF(tblOrdenes[[#This Row],[backlog_habiles]]&gt;p_dias_backlog_max,"BACKLOG","MES CORRIENTE")))</f>
        <v/>
      </c>
      <c r="AF934" s="5">
        <f>IF(tblOrdenes[[#This Row],[backlog_habiles]]="",FALSE,AND(tblOrdenes[[#This Row],[backlog_habiles]]&gt;p_dias_backlog_min,tblOrdenes[[#This Row],[backlog_habiles]]&lt;=p_dias_backlog_max))</f>
        <v/>
      </c>
      <c r="AG934" s="4" t="n"/>
      <c r="AH9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4" s="18">
        <f>IF(tblOrdenes[[#This Row],[orden]]="","",_xlfn.XLOOKUP(tblOrdenes[[#This Row],[id_operacion]],tblEjecucion[id_operacion],tblEjecucion[precio],0))</f>
        <v/>
      </c>
      <c r="AL934" s="18">
        <f>IF(tblOrdenes[[#This Row],[orden]]="","",MAX(0,_xlfn.XLOOKUP(tblOrdenes[[#This Row],[id_operacion]],tblEjecucion[id_operacion],tblEjecucion[costo_plan_total],0)-tblOrdenes[[#This Row],[costo_servicio]]))</f>
        <v/>
      </c>
      <c r="AM934" s="18">
        <f>IF(tblOrdenes[[#This Row],[orden]]="","",tblOrdenes[[#This Row],[costo_servicio]]+tblOrdenes[[#This Row],[costo_materiales]])</f>
        <v/>
      </c>
      <c r="AN9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4" s="4" t="n"/>
      <c r="AP934" s="4" t="n"/>
      <c r="AQ934" s="4" t="n"/>
      <c r="AR934" s="5">
        <f>IF(tblOrdenes[[#This Row],[link_checklist]]="","",HYPERLINK(p_ruta_base_checklists&amp;tblOrdenes[[#This Row],[link_checklist]],"abrir"))</f>
        <v/>
      </c>
      <c r="AS934" s="4" t="n"/>
      <c r="AT934" s="5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22" t="n"/>
      <c r="K935" s="5" t="n"/>
      <c r="L935" s="18" t="n"/>
      <c r="M9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5">
        <f>IF(tblOrdenes[[#This Row],[fecha_inicio]]="","",YEAR(tblOrdenes[[#This Row],[fecha_inicio]]))</f>
        <v/>
      </c>
      <c r="Q935" s="5">
        <f>IF(tblOrdenes[[#This Row],[fecha_inicio]]="","",MONTH(tblOrdenes[[#This Row],[fecha_inicio]]))</f>
        <v/>
      </c>
      <c r="R935" s="5">
        <f>IF(tblOrdenes[[#This Row],[fecha_inicio]]="","",tblOrdenes[[#This Row],[anio]]&amp;"-"&amp;TEXT(tblOrdenes[[#This Row],[mes]],"00"))</f>
        <v/>
      </c>
      <c r="S935" s="5">
        <f>IF(tblOrdenes[[#This Row],[fecha_inicio]]="","",INDEX(lista_dias,WEEKDAY(tblOrdenes[[#This Row],[fecha_inicio]],2)))</f>
        <v/>
      </c>
      <c r="T9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5" s="5">
        <f>IF(tblOrdenes[[#This Row],[tipo_ot]]="","",_xlfn.XLOOKUP(tblOrdenes[[#This Row],[tipo_ot]],tblTiposOT[codigo],tblTiposOT[clasificacion],"sin_clasificar"))</f>
        <v/>
      </c>
      <c r="V9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5" s="5">
        <f>IF(tblOrdenes[[#This Row],[centro_costo]]="","",_xlfn.XLOOKUP(tblOrdenes[[#This Row],[centro_costo]],tblCECO[codigo],tblCECO[linea],"(sin catálogo)"))</f>
        <v/>
      </c>
      <c r="X935" s="5">
        <f>IF(tblOrdenes[[#This Row],[centro_costo]]="","",_xlfn.XLOOKUP(tblOrdenes[[#This Row],[centro_costo]],tblCECO[codigo],tblCECO[area],"(sin catálogo)"))</f>
        <v/>
      </c>
      <c r="Y9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5" s="5">
        <f>IF(tblOrdenes[[#This Row],[centro_costo]]="","",_xlfn.XLOOKUP(tblOrdenes[[#This Row],[centro_costo]],tblCECO[codigo],tblCECO[coordinador],"(sin catálogo)"))</f>
        <v/>
      </c>
      <c r="AA935" s="5">
        <f>IF(tblOrdenes[[#This Row],[puesto_trabajo]]="","",_xlfn.XLOOKUP(tblOrdenes[[#This Row],[puesto_trabajo]],tblPuestos[codigo],tblPuestos[especialidad],"(sin catálogo)"))</f>
        <v/>
      </c>
      <c r="AB935" s="5">
        <f>IF(tblOrdenes[[#This Row],[cod_actividad]]="","",_xlfn.XLOOKUP(tblOrdenes[[#This Row],[cod_actividad]],tblActividades[codigo],tblActividades[descripcion],"(sin catálogo)"))</f>
        <v/>
      </c>
      <c r="AC935" s="20">
        <f>IF(tblOrdenes[[#This Row],[fecha_inicio]]="","",TODAY()-tblOrdenes[[#This Row],[fecha_inicio]])</f>
        <v/>
      </c>
      <c r="AD9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5" s="5">
        <f>IF(tblOrdenes[[#This Row],[backlog_habiles]]="","",IF(tblOrdenes[[#This Row],[backlog_habiles]]&lt;0,"FUTURO",IF(tblOrdenes[[#This Row],[backlog_habiles]]&gt;p_dias_backlog_max,"BACKLOG","MES CORRIENTE")))</f>
        <v/>
      </c>
      <c r="AF935" s="5">
        <f>IF(tblOrdenes[[#This Row],[backlog_habiles]]="",FALSE,AND(tblOrdenes[[#This Row],[backlog_habiles]]&gt;p_dias_backlog_min,tblOrdenes[[#This Row],[backlog_habiles]]&lt;=p_dias_backlog_max))</f>
        <v/>
      </c>
      <c r="AG935" s="4" t="n"/>
      <c r="AH9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5" s="18">
        <f>IF(tblOrdenes[[#This Row],[orden]]="","",_xlfn.XLOOKUP(tblOrdenes[[#This Row],[id_operacion]],tblEjecucion[id_operacion],tblEjecucion[precio],0))</f>
        <v/>
      </c>
      <c r="AL935" s="18">
        <f>IF(tblOrdenes[[#This Row],[orden]]="","",MAX(0,_xlfn.XLOOKUP(tblOrdenes[[#This Row],[id_operacion]],tblEjecucion[id_operacion],tblEjecucion[costo_plan_total],0)-tblOrdenes[[#This Row],[costo_servicio]]))</f>
        <v/>
      </c>
      <c r="AM935" s="18">
        <f>IF(tblOrdenes[[#This Row],[orden]]="","",tblOrdenes[[#This Row],[costo_servicio]]+tblOrdenes[[#This Row],[costo_materiales]])</f>
        <v/>
      </c>
      <c r="AN9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5" s="4" t="n"/>
      <c r="AP935" s="4" t="n"/>
      <c r="AQ935" s="4" t="n"/>
      <c r="AR935" s="5">
        <f>IF(tblOrdenes[[#This Row],[link_checklist]]="","",HYPERLINK(p_ruta_base_checklists&amp;tblOrdenes[[#This Row],[link_checklist]],"abrir"))</f>
        <v/>
      </c>
      <c r="AS935" s="4" t="n"/>
      <c r="AT935" s="5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22" t="n"/>
      <c r="K936" s="5" t="n"/>
      <c r="L936" s="18" t="n"/>
      <c r="M9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5">
        <f>IF(tblOrdenes[[#This Row],[fecha_inicio]]="","",YEAR(tblOrdenes[[#This Row],[fecha_inicio]]))</f>
        <v/>
      </c>
      <c r="Q936" s="5">
        <f>IF(tblOrdenes[[#This Row],[fecha_inicio]]="","",MONTH(tblOrdenes[[#This Row],[fecha_inicio]]))</f>
        <v/>
      </c>
      <c r="R936" s="5">
        <f>IF(tblOrdenes[[#This Row],[fecha_inicio]]="","",tblOrdenes[[#This Row],[anio]]&amp;"-"&amp;TEXT(tblOrdenes[[#This Row],[mes]],"00"))</f>
        <v/>
      </c>
      <c r="S936" s="5">
        <f>IF(tblOrdenes[[#This Row],[fecha_inicio]]="","",INDEX(lista_dias,WEEKDAY(tblOrdenes[[#This Row],[fecha_inicio]],2)))</f>
        <v/>
      </c>
      <c r="T9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6" s="5">
        <f>IF(tblOrdenes[[#This Row],[tipo_ot]]="","",_xlfn.XLOOKUP(tblOrdenes[[#This Row],[tipo_ot]],tblTiposOT[codigo],tblTiposOT[clasificacion],"sin_clasificar"))</f>
        <v/>
      </c>
      <c r="V9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6" s="5">
        <f>IF(tblOrdenes[[#This Row],[centro_costo]]="","",_xlfn.XLOOKUP(tblOrdenes[[#This Row],[centro_costo]],tblCECO[codigo],tblCECO[linea],"(sin catálogo)"))</f>
        <v/>
      </c>
      <c r="X936" s="5">
        <f>IF(tblOrdenes[[#This Row],[centro_costo]]="","",_xlfn.XLOOKUP(tblOrdenes[[#This Row],[centro_costo]],tblCECO[codigo],tblCECO[area],"(sin catálogo)"))</f>
        <v/>
      </c>
      <c r="Y9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6" s="5">
        <f>IF(tblOrdenes[[#This Row],[centro_costo]]="","",_xlfn.XLOOKUP(tblOrdenes[[#This Row],[centro_costo]],tblCECO[codigo],tblCECO[coordinador],"(sin catálogo)"))</f>
        <v/>
      </c>
      <c r="AA936" s="5">
        <f>IF(tblOrdenes[[#This Row],[puesto_trabajo]]="","",_xlfn.XLOOKUP(tblOrdenes[[#This Row],[puesto_trabajo]],tblPuestos[codigo],tblPuestos[especialidad],"(sin catálogo)"))</f>
        <v/>
      </c>
      <c r="AB936" s="5">
        <f>IF(tblOrdenes[[#This Row],[cod_actividad]]="","",_xlfn.XLOOKUP(tblOrdenes[[#This Row],[cod_actividad]],tblActividades[codigo],tblActividades[descripcion],"(sin catálogo)"))</f>
        <v/>
      </c>
      <c r="AC936" s="20">
        <f>IF(tblOrdenes[[#This Row],[fecha_inicio]]="","",TODAY()-tblOrdenes[[#This Row],[fecha_inicio]])</f>
        <v/>
      </c>
      <c r="AD9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6" s="5">
        <f>IF(tblOrdenes[[#This Row],[backlog_habiles]]="","",IF(tblOrdenes[[#This Row],[backlog_habiles]]&lt;0,"FUTURO",IF(tblOrdenes[[#This Row],[backlog_habiles]]&gt;p_dias_backlog_max,"BACKLOG","MES CORRIENTE")))</f>
        <v/>
      </c>
      <c r="AF936" s="5">
        <f>IF(tblOrdenes[[#This Row],[backlog_habiles]]="",FALSE,AND(tblOrdenes[[#This Row],[backlog_habiles]]&gt;p_dias_backlog_min,tblOrdenes[[#This Row],[backlog_habiles]]&lt;=p_dias_backlog_max))</f>
        <v/>
      </c>
      <c r="AG936" s="4" t="n"/>
      <c r="AH9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6" s="18">
        <f>IF(tblOrdenes[[#This Row],[orden]]="","",_xlfn.XLOOKUP(tblOrdenes[[#This Row],[id_operacion]],tblEjecucion[id_operacion],tblEjecucion[precio],0))</f>
        <v/>
      </c>
      <c r="AL936" s="18">
        <f>IF(tblOrdenes[[#This Row],[orden]]="","",MAX(0,_xlfn.XLOOKUP(tblOrdenes[[#This Row],[id_operacion]],tblEjecucion[id_operacion],tblEjecucion[costo_plan_total],0)-tblOrdenes[[#This Row],[costo_servicio]]))</f>
        <v/>
      </c>
      <c r="AM936" s="18">
        <f>IF(tblOrdenes[[#This Row],[orden]]="","",tblOrdenes[[#This Row],[costo_servicio]]+tblOrdenes[[#This Row],[costo_materiales]])</f>
        <v/>
      </c>
      <c r="AN9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6" s="4" t="n"/>
      <c r="AP936" s="4" t="n"/>
      <c r="AQ936" s="4" t="n"/>
      <c r="AR936" s="5">
        <f>IF(tblOrdenes[[#This Row],[link_checklist]]="","",HYPERLINK(p_ruta_base_checklists&amp;tblOrdenes[[#This Row],[link_checklist]],"abrir"))</f>
        <v/>
      </c>
      <c r="AS936" s="4" t="n"/>
      <c r="AT936" s="5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22" t="n"/>
      <c r="K937" s="5" t="n"/>
      <c r="L937" s="18" t="n"/>
      <c r="M9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5">
        <f>IF(tblOrdenes[[#This Row],[fecha_inicio]]="","",YEAR(tblOrdenes[[#This Row],[fecha_inicio]]))</f>
        <v/>
      </c>
      <c r="Q937" s="5">
        <f>IF(tblOrdenes[[#This Row],[fecha_inicio]]="","",MONTH(tblOrdenes[[#This Row],[fecha_inicio]]))</f>
        <v/>
      </c>
      <c r="R937" s="5">
        <f>IF(tblOrdenes[[#This Row],[fecha_inicio]]="","",tblOrdenes[[#This Row],[anio]]&amp;"-"&amp;TEXT(tblOrdenes[[#This Row],[mes]],"00"))</f>
        <v/>
      </c>
      <c r="S937" s="5">
        <f>IF(tblOrdenes[[#This Row],[fecha_inicio]]="","",INDEX(lista_dias,WEEKDAY(tblOrdenes[[#This Row],[fecha_inicio]],2)))</f>
        <v/>
      </c>
      <c r="T9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7" s="5">
        <f>IF(tblOrdenes[[#This Row],[tipo_ot]]="","",_xlfn.XLOOKUP(tblOrdenes[[#This Row],[tipo_ot]],tblTiposOT[codigo],tblTiposOT[clasificacion],"sin_clasificar"))</f>
        <v/>
      </c>
      <c r="V9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7" s="5">
        <f>IF(tblOrdenes[[#This Row],[centro_costo]]="","",_xlfn.XLOOKUP(tblOrdenes[[#This Row],[centro_costo]],tblCECO[codigo],tblCECO[linea],"(sin catálogo)"))</f>
        <v/>
      </c>
      <c r="X937" s="5">
        <f>IF(tblOrdenes[[#This Row],[centro_costo]]="","",_xlfn.XLOOKUP(tblOrdenes[[#This Row],[centro_costo]],tblCECO[codigo],tblCECO[area],"(sin catálogo)"))</f>
        <v/>
      </c>
      <c r="Y9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7" s="5">
        <f>IF(tblOrdenes[[#This Row],[centro_costo]]="","",_xlfn.XLOOKUP(tblOrdenes[[#This Row],[centro_costo]],tblCECO[codigo],tblCECO[coordinador],"(sin catálogo)"))</f>
        <v/>
      </c>
      <c r="AA937" s="5">
        <f>IF(tblOrdenes[[#This Row],[puesto_trabajo]]="","",_xlfn.XLOOKUP(tblOrdenes[[#This Row],[puesto_trabajo]],tblPuestos[codigo],tblPuestos[especialidad],"(sin catálogo)"))</f>
        <v/>
      </c>
      <c r="AB937" s="5">
        <f>IF(tblOrdenes[[#This Row],[cod_actividad]]="","",_xlfn.XLOOKUP(tblOrdenes[[#This Row],[cod_actividad]],tblActividades[codigo],tblActividades[descripcion],"(sin catálogo)"))</f>
        <v/>
      </c>
      <c r="AC937" s="20">
        <f>IF(tblOrdenes[[#This Row],[fecha_inicio]]="","",TODAY()-tblOrdenes[[#This Row],[fecha_inicio]])</f>
        <v/>
      </c>
      <c r="AD9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7" s="5">
        <f>IF(tblOrdenes[[#This Row],[backlog_habiles]]="","",IF(tblOrdenes[[#This Row],[backlog_habiles]]&lt;0,"FUTURO",IF(tblOrdenes[[#This Row],[backlog_habiles]]&gt;p_dias_backlog_max,"BACKLOG","MES CORRIENTE")))</f>
        <v/>
      </c>
      <c r="AF937" s="5">
        <f>IF(tblOrdenes[[#This Row],[backlog_habiles]]="",FALSE,AND(tblOrdenes[[#This Row],[backlog_habiles]]&gt;p_dias_backlog_min,tblOrdenes[[#This Row],[backlog_habiles]]&lt;=p_dias_backlog_max))</f>
        <v/>
      </c>
      <c r="AG937" s="4" t="n"/>
      <c r="AH9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7" s="18">
        <f>IF(tblOrdenes[[#This Row],[orden]]="","",_xlfn.XLOOKUP(tblOrdenes[[#This Row],[id_operacion]],tblEjecucion[id_operacion],tblEjecucion[precio],0))</f>
        <v/>
      </c>
      <c r="AL937" s="18">
        <f>IF(tblOrdenes[[#This Row],[orden]]="","",MAX(0,_xlfn.XLOOKUP(tblOrdenes[[#This Row],[id_operacion]],tblEjecucion[id_operacion],tblEjecucion[costo_plan_total],0)-tblOrdenes[[#This Row],[costo_servicio]]))</f>
        <v/>
      </c>
      <c r="AM937" s="18">
        <f>IF(tblOrdenes[[#This Row],[orden]]="","",tblOrdenes[[#This Row],[costo_servicio]]+tblOrdenes[[#This Row],[costo_materiales]])</f>
        <v/>
      </c>
      <c r="AN9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7" s="4" t="n"/>
      <c r="AP937" s="4" t="n"/>
      <c r="AQ937" s="4" t="n"/>
      <c r="AR937" s="5">
        <f>IF(tblOrdenes[[#This Row],[link_checklist]]="","",HYPERLINK(p_ruta_base_checklists&amp;tblOrdenes[[#This Row],[link_checklist]],"abrir"))</f>
        <v/>
      </c>
      <c r="AS937" s="4" t="n"/>
      <c r="AT937" s="5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22" t="n"/>
      <c r="K938" s="5" t="n"/>
      <c r="L938" s="18" t="n"/>
      <c r="M9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5">
        <f>IF(tblOrdenes[[#This Row],[fecha_inicio]]="","",YEAR(tblOrdenes[[#This Row],[fecha_inicio]]))</f>
        <v/>
      </c>
      <c r="Q938" s="5">
        <f>IF(tblOrdenes[[#This Row],[fecha_inicio]]="","",MONTH(tblOrdenes[[#This Row],[fecha_inicio]]))</f>
        <v/>
      </c>
      <c r="R938" s="5">
        <f>IF(tblOrdenes[[#This Row],[fecha_inicio]]="","",tblOrdenes[[#This Row],[anio]]&amp;"-"&amp;TEXT(tblOrdenes[[#This Row],[mes]],"00"))</f>
        <v/>
      </c>
      <c r="S938" s="5">
        <f>IF(tblOrdenes[[#This Row],[fecha_inicio]]="","",INDEX(lista_dias,WEEKDAY(tblOrdenes[[#This Row],[fecha_inicio]],2)))</f>
        <v/>
      </c>
      <c r="T9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8" s="5">
        <f>IF(tblOrdenes[[#This Row],[tipo_ot]]="","",_xlfn.XLOOKUP(tblOrdenes[[#This Row],[tipo_ot]],tblTiposOT[codigo],tblTiposOT[clasificacion],"sin_clasificar"))</f>
        <v/>
      </c>
      <c r="V9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8" s="5">
        <f>IF(tblOrdenes[[#This Row],[centro_costo]]="","",_xlfn.XLOOKUP(tblOrdenes[[#This Row],[centro_costo]],tblCECO[codigo],tblCECO[linea],"(sin catálogo)"))</f>
        <v/>
      </c>
      <c r="X938" s="5">
        <f>IF(tblOrdenes[[#This Row],[centro_costo]]="","",_xlfn.XLOOKUP(tblOrdenes[[#This Row],[centro_costo]],tblCECO[codigo],tblCECO[area],"(sin catálogo)"))</f>
        <v/>
      </c>
      <c r="Y9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8" s="5">
        <f>IF(tblOrdenes[[#This Row],[centro_costo]]="","",_xlfn.XLOOKUP(tblOrdenes[[#This Row],[centro_costo]],tblCECO[codigo],tblCECO[coordinador],"(sin catálogo)"))</f>
        <v/>
      </c>
      <c r="AA938" s="5">
        <f>IF(tblOrdenes[[#This Row],[puesto_trabajo]]="","",_xlfn.XLOOKUP(tblOrdenes[[#This Row],[puesto_trabajo]],tblPuestos[codigo],tblPuestos[especialidad],"(sin catálogo)"))</f>
        <v/>
      </c>
      <c r="AB938" s="5">
        <f>IF(tblOrdenes[[#This Row],[cod_actividad]]="","",_xlfn.XLOOKUP(tblOrdenes[[#This Row],[cod_actividad]],tblActividades[codigo],tblActividades[descripcion],"(sin catálogo)"))</f>
        <v/>
      </c>
      <c r="AC938" s="20">
        <f>IF(tblOrdenes[[#This Row],[fecha_inicio]]="","",TODAY()-tblOrdenes[[#This Row],[fecha_inicio]])</f>
        <v/>
      </c>
      <c r="AD9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8" s="5">
        <f>IF(tblOrdenes[[#This Row],[backlog_habiles]]="","",IF(tblOrdenes[[#This Row],[backlog_habiles]]&lt;0,"FUTURO",IF(tblOrdenes[[#This Row],[backlog_habiles]]&gt;p_dias_backlog_max,"BACKLOG","MES CORRIENTE")))</f>
        <v/>
      </c>
      <c r="AF938" s="5">
        <f>IF(tblOrdenes[[#This Row],[backlog_habiles]]="",FALSE,AND(tblOrdenes[[#This Row],[backlog_habiles]]&gt;p_dias_backlog_min,tblOrdenes[[#This Row],[backlog_habiles]]&lt;=p_dias_backlog_max))</f>
        <v/>
      </c>
      <c r="AG938" s="4" t="n"/>
      <c r="AH9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8" s="18">
        <f>IF(tblOrdenes[[#This Row],[orden]]="","",_xlfn.XLOOKUP(tblOrdenes[[#This Row],[id_operacion]],tblEjecucion[id_operacion],tblEjecucion[precio],0))</f>
        <v/>
      </c>
      <c r="AL938" s="18">
        <f>IF(tblOrdenes[[#This Row],[orden]]="","",MAX(0,_xlfn.XLOOKUP(tblOrdenes[[#This Row],[id_operacion]],tblEjecucion[id_operacion],tblEjecucion[costo_plan_total],0)-tblOrdenes[[#This Row],[costo_servicio]]))</f>
        <v/>
      </c>
      <c r="AM938" s="18">
        <f>IF(tblOrdenes[[#This Row],[orden]]="","",tblOrdenes[[#This Row],[costo_servicio]]+tblOrdenes[[#This Row],[costo_materiales]])</f>
        <v/>
      </c>
      <c r="AN9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8" s="4" t="n"/>
      <c r="AP938" s="4" t="n"/>
      <c r="AQ938" s="4" t="n"/>
      <c r="AR938" s="5">
        <f>IF(tblOrdenes[[#This Row],[link_checklist]]="","",HYPERLINK(p_ruta_base_checklists&amp;tblOrdenes[[#This Row],[link_checklist]],"abrir"))</f>
        <v/>
      </c>
      <c r="AS938" s="4" t="n"/>
      <c r="AT938" s="5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22" t="n"/>
      <c r="K939" s="5" t="n"/>
      <c r="L939" s="18" t="n"/>
      <c r="M9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5">
        <f>IF(tblOrdenes[[#This Row],[fecha_inicio]]="","",YEAR(tblOrdenes[[#This Row],[fecha_inicio]]))</f>
        <v/>
      </c>
      <c r="Q939" s="5">
        <f>IF(tblOrdenes[[#This Row],[fecha_inicio]]="","",MONTH(tblOrdenes[[#This Row],[fecha_inicio]]))</f>
        <v/>
      </c>
      <c r="R939" s="5">
        <f>IF(tblOrdenes[[#This Row],[fecha_inicio]]="","",tblOrdenes[[#This Row],[anio]]&amp;"-"&amp;TEXT(tblOrdenes[[#This Row],[mes]],"00"))</f>
        <v/>
      </c>
      <c r="S939" s="5">
        <f>IF(tblOrdenes[[#This Row],[fecha_inicio]]="","",INDEX(lista_dias,WEEKDAY(tblOrdenes[[#This Row],[fecha_inicio]],2)))</f>
        <v/>
      </c>
      <c r="T9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9" s="5">
        <f>IF(tblOrdenes[[#This Row],[tipo_ot]]="","",_xlfn.XLOOKUP(tblOrdenes[[#This Row],[tipo_ot]],tblTiposOT[codigo],tblTiposOT[clasificacion],"sin_clasificar"))</f>
        <v/>
      </c>
      <c r="V9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9" s="5">
        <f>IF(tblOrdenes[[#This Row],[centro_costo]]="","",_xlfn.XLOOKUP(tblOrdenes[[#This Row],[centro_costo]],tblCECO[codigo],tblCECO[linea],"(sin catálogo)"))</f>
        <v/>
      </c>
      <c r="X939" s="5">
        <f>IF(tblOrdenes[[#This Row],[centro_costo]]="","",_xlfn.XLOOKUP(tblOrdenes[[#This Row],[centro_costo]],tblCECO[codigo],tblCECO[area],"(sin catálogo)"))</f>
        <v/>
      </c>
      <c r="Y9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39" s="5">
        <f>IF(tblOrdenes[[#This Row],[centro_costo]]="","",_xlfn.XLOOKUP(tblOrdenes[[#This Row],[centro_costo]],tblCECO[codigo],tblCECO[coordinador],"(sin catálogo)"))</f>
        <v/>
      </c>
      <c r="AA939" s="5">
        <f>IF(tblOrdenes[[#This Row],[puesto_trabajo]]="","",_xlfn.XLOOKUP(tblOrdenes[[#This Row],[puesto_trabajo]],tblPuestos[codigo],tblPuestos[especialidad],"(sin catálogo)"))</f>
        <v/>
      </c>
      <c r="AB939" s="5">
        <f>IF(tblOrdenes[[#This Row],[cod_actividad]]="","",_xlfn.XLOOKUP(tblOrdenes[[#This Row],[cod_actividad]],tblActividades[codigo],tblActividades[descripcion],"(sin catálogo)"))</f>
        <v/>
      </c>
      <c r="AC939" s="20">
        <f>IF(tblOrdenes[[#This Row],[fecha_inicio]]="","",TODAY()-tblOrdenes[[#This Row],[fecha_inicio]])</f>
        <v/>
      </c>
      <c r="AD9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39" s="5">
        <f>IF(tblOrdenes[[#This Row],[backlog_habiles]]="","",IF(tblOrdenes[[#This Row],[backlog_habiles]]&lt;0,"FUTURO",IF(tblOrdenes[[#This Row],[backlog_habiles]]&gt;p_dias_backlog_max,"BACKLOG","MES CORRIENTE")))</f>
        <v/>
      </c>
      <c r="AF939" s="5">
        <f>IF(tblOrdenes[[#This Row],[backlog_habiles]]="",FALSE,AND(tblOrdenes[[#This Row],[backlog_habiles]]&gt;p_dias_backlog_min,tblOrdenes[[#This Row],[backlog_habiles]]&lt;=p_dias_backlog_max))</f>
        <v/>
      </c>
      <c r="AG939" s="4" t="n"/>
      <c r="AH9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39" s="18">
        <f>IF(tblOrdenes[[#This Row],[orden]]="","",_xlfn.XLOOKUP(tblOrdenes[[#This Row],[id_operacion]],tblEjecucion[id_operacion],tblEjecucion[precio],0))</f>
        <v/>
      </c>
      <c r="AL939" s="18">
        <f>IF(tblOrdenes[[#This Row],[orden]]="","",MAX(0,_xlfn.XLOOKUP(tblOrdenes[[#This Row],[id_operacion]],tblEjecucion[id_operacion],tblEjecucion[costo_plan_total],0)-tblOrdenes[[#This Row],[costo_servicio]]))</f>
        <v/>
      </c>
      <c r="AM939" s="18">
        <f>IF(tblOrdenes[[#This Row],[orden]]="","",tblOrdenes[[#This Row],[costo_servicio]]+tblOrdenes[[#This Row],[costo_materiales]])</f>
        <v/>
      </c>
      <c r="AN9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39" s="4" t="n"/>
      <c r="AP939" s="4" t="n"/>
      <c r="AQ939" s="4" t="n"/>
      <c r="AR939" s="5">
        <f>IF(tblOrdenes[[#This Row],[link_checklist]]="","",HYPERLINK(p_ruta_base_checklists&amp;tblOrdenes[[#This Row],[link_checklist]],"abrir"))</f>
        <v/>
      </c>
      <c r="AS939" s="4" t="n"/>
      <c r="AT939" s="5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22" t="n"/>
      <c r="K940" s="5" t="n"/>
      <c r="L940" s="18" t="n"/>
      <c r="M9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5">
        <f>IF(tblOrdenes[[#This Row],[fecha_inicio]]="","",YEAR(tblOrdenes[[#This Row],[fecha_inicio]]))</f>
        <v/>
      </c>
      <c r="Q940" s="5">
        <f>IF(tblOrdenes[[#This Row],[fecha_inicio]]="","",MONTH(tblOrdenes[[#This Row],[fecha_inicio]]))</f>
        <v/>
      </c>
      <c r="R940" s="5">
        <f>IF(tblOrdenes[[#This Row],[fecha_inicio]]="","",tblOrdenes[[#This Row],[anio]]&amp;"-"&amp;TEXT(tblOrdenes[[#This Row],[mes]],"00"))</f>
        <v/>
      </c>
      <c r="S940" s="5">
        <f>IF(tblOrdenes[[#This Row],[fecha_inicio]]="","",INDEX(lista_dias,WEEKDAY(tblOrdenes[[#This Row],[fecha_inicio]],2)))</f>
        <v/>
      </c>
      <c r="T9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0" s="5">
        <f>IF(tblOrdenes[[#This Row],[tipo_ot]]="","",_xlfn.XLOOKUP(tblOrdenes[[#This Row],[tipo_ot]],tblTiposOT[codigo],tblTiposOT[clasificacion],"sin_clasificar"))</f>
        <v/>
      </c>
      <c r="V9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0" s="5">
        <f>IF(tblOrdenes[[#This Row],[centro_costo]]="","",_xlfn.XLOOKUP(tblOrdenes[[#This Row],[centro_costo]],tblCECO[codigo],tblCECO[linea],"(sin catálogo)"))</f>
        <v/>
      </c>
      <c r="X940" s="5">
        <f>IF(tblOrdenes[[#This Row],[centro_costo]]="","",_xlfn.XLOOKUP(tblOrdenes[[#This Row],[centro_costo]],tblCECO[codigo],tblCECO[area],"(sin catálogo)"))</f>
        <v/>
      </c>
      <c r="Y9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0" s="5">
        <f>IF(tblOrdenes[[#This Row],[centro_costo]]="","",_xlfn.XLOOKUP(tblOrdenes[[#This Row],[centro_costo]],tblCECO[codigo],tblCECO[coordinador],"(sin catálogo)"))</f>
        <v/>
      </c>
      <c r="AA940" s="5">
        <f>IF(tblOrdenes[[#This Row],[puesto_trabajo]]="","",_xlfn.XLOOKUP(tblOrdenes[[#This Row],[puesto_trabajo]],tblPuestos[codigo],tblPuestos[especialidad],"(sin catálogo)"))</f>
        <v/>
      </c>
      <c r="AB940" s="5">
        <f>IF(tblOrdenes[[#This Row],[cod_actividad]]="","",_xlfn.XLOOKUP(tblOrdenes[[#This Row],[cod_actividad]],tblActividades[codigo],tblActividades[descripcion],"(sin catálogo)"))</f>
        <v/>
      </c>
      <c r="AC940" s="20">
        <f>IF(tblOrdenes[[#This Row],[fecha_inicio]]="","",TODAY()-tblOrdenes[[#This Row],[fecha_inicio]])</f>
        <v/>
      </c>
      <c r="AD9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0" s="5">
        <f>IF(tblOrdenes[[#This Row],[backlog_habiles]]="","",IF(tblOrdenes[[#This Row],[backlog_habiles]]&lt;0,"FUTURO",IF(tblOrdenes[[#This Row],[backlog_habiles]]&gt;p_dias_backlog_max,"BACKLOG","MES CORRIENTE")))</f>
        <v/>
      </c>
      <c r="AF940" s="5">
        <f>IF(tblOrdenes[[#This Row],[backlog_habiles]]="",FALSE,AND(tblOrdenes[[#This Row],[backlog_habiles]]&gt;p_dias_backlog_min,tblOrdenes[[#This Row],[backlog_habiles]]&lt;=p_dias_backlog_max))</f>
        <v/>
      </c>
      <c r="AG940" s="4" t="n"/>
      <c r="AH9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0" s="18">
        <f>IF(tblOrdenes[[#This Row],[orden]]="","",_xlfn.XLOOKUP(tblOrdenes[[#This Row],[id_operacion]],tblEjecucion[id_operacion],tblEjecucion[precio],0))</f>
        <v/>
      </c>
      <c r="AL940" s="18">
        <f>IF(tblOrdenes[[#This Row],[orden]]="","",MAX(0,_xlfn.XLOOKUP(tblOrdenes[[#This Row],[id_operacion]],tblEjecucion[id_operacion],tblEjecucion[costo_plan_total],0)-tblOrdenes[[#This Row],[costo_servicio]]))</f>
        <v/>
      </c>
      <c r="AM940" s="18">
        <f>IF(tblOrdenes[[#This Row],[orden]]="","",tblOrdenes[[#This Row],[costo_servicio]]+tblOrdenes[[#This Row],[costo_materiales]])</f>
        <v/>
      </c>
      <c r="AN9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0" s="4" t="n"/>
      <c r="AP940" s="4" t="n"/>
      <c r="AQ940" s="4" t="n"/>
      <c r="AR940" s="5">
        <f>IF(tblOrdenes[[#This Row],[link_checklist]]="","",HYPERLINK(p_ruta_base_checklists&amp;tblOrdenes[[#This Row],[link_checklist]],"abrir"))</f>
        <v/>
      </c>
      <c r="AS940" s="4" t="n"/>
      <c r="AT940" s="5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22" t="n"/>
      <c r="K941" s="5" t="n"/>
      <c r="L941" s="18" t="n"/>
      <c r="M9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5">
        <f>IF(tblOrdenes[[#This Row],[fecha_inicio]]="","",YEAR(tblOrdenes[[#This Row],[fecha_inicio]]))</f>
        <v/>
      </c>
      <c r="Q941" s="5">
        <f>IF(tblOrdenes[[#This Row],[fecha_inicio]]="","",MONTH(tblOrdenes[[#This Row],[fecha_inicio]]))</f>
        <v/>
      </c>
      <c r="R941" s="5">
        <f>IF(tblOrdenes[[#This Row],[fecha_inicio]]="","",tblOrdenes[[#This Row],[anio]]&amp;"-"&amp;TEXT(tblOrdenes[[#This Row],[mes]],"00"))</f>
        <v/>
      </c>
      <c r="S941" s="5">
        <f>IF(tblOrdenes[[#This Row],[fecha_inicio]]="","",INDEX(lista_dias,WEEKDAY(tblOrdenes[[#This Row],[fecha_inicio]],2)))</f>
        <v/>
      </c>
      <c r="T9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1" s="5">
        <f>IF(tblOrdenes[[#This Row],[tipo_ot]]="","",_xlfn.XLOOKUP(tblOrdenes[[#This Row],[tipo_ot]],tblTiposOT[codigo],tblTiposOT[clasificacion],"sin_clasificar"))</f>
        <v/>
      </c>
      <c r="V9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1" s="5">
        <f>IF(tblOrdenes[[#This Row],[centro_costo]]="","",_xlfn.XLOOKUP(tblOrdenes[[#This Row],[centro_costo]],tblCECO[codigo],tblCECO[linea],"(sin catálogo)"))</f>
        <v/>
      </c>
      <c r="X941" s="5">
        <f>IF(tblOrdenes[[#This Row],[centro_costo]]="","",_xlfn.XLOOKUP(tblOrdenes[[#This Row],[centro_costo]],tblCECO[codigo],tblCECO[area],"(sin catálogo)"))</f>
        <v/>
      </c>
      <c r="Y9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1" s="5">
        <f>IF(tblOrdenes[[#This Row],[centro_costo]]="","",_xlfn.XLOOKUP(tblOrdenes[[#This Row],[centro_costo]],tblCECO[codigo],tblCECO[coordinador],"(sin catálogo)"))</f>
        <v/>
      </c>
      <c r="AA941" s="5">
        <f>IF(tblOrdenes[[#This Row],[puesto_trabajo]]="","",_xlfn.XLOOKUP(tblOrdenes[[#This Row],[puesto_trabajo]],tblPuestos[codigo],tblPuestos[especialidad],"(sin catálogo)"))</f>
        <v/>
      </c>
      <c r="AB941" s="5">
        <f>IF(tblOrdenes[[#This Row],[cod_actividad]]="","",_xlfn.XLOOKUP(tblOrdenes[[#This Row],[cod_actividad]],tblActividades[codigo],tblActividades[descripcion],"(sin catálogo)"))</f>
        <v/>
      </c>
      <c r="AC941" s="20">
        <f>IF(tblOrdenes[[#This Row],[fecha_inicio]]="","",TODAY()-tblOrdenes[[#This Row],[fecha_inicio]])</f>
        <v/>
      </c>
      <c r="AD9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1" s="5">
        <f>IF(tblOrdenes[[#This Row],[backlog_habiles]]="","",IF(tblOrdenes[[#This Row],[backlog_habiles]]&lt;0,"FUTURO",IF(tblOrdenes[[#This Row],[backlog_habiles]]&gt;p_dias_backlog_max,"BACKLOG","MES CORRIENTE")))</f>
        <v/>
      </c>
      <c r="AF941" s="5">
        <f>IF(tblOrdenes[[#This Row],[backlog_habiles]]="",FALSE,AND(tblOrdenes[[#This Row],[backlog_habiles]]&gt;p_dias_backlog_min,tblOrdenes[[#This Row],[backlog_habiles]]&lt;=p_dias_backlog_max))</f>
        <v/>
      </c>
      <c r="AG941" s="4" t="n"/>
      <c r="AH9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1" s="18">
        <f>IF(tblOrdenes[[#This Row],[orden]]="","",_xlfn.XLOOKUP(tblOrdenes[[#This Row],[id_operacion]],tblEjecucion[id_operacion],tblEjecucion[precio],0))</f>
        <v/>
      </c>
      <c r="AL941" s="18">
        <f>IF(tblOrdenes[[#This Row],[orden]]="","",MAX(0,_xlfn.XLOOKUP(tblOrdenes[[#This Row],[id_operacion]],tblEjecucion[id_operacion],tblEjecucion[costo_plan_total],0)-tblOrdenes[[#This Row],[costo_servicio]]))</f>
        <v/>
      </c>
      <c r="AM941" s="18">
        <f>IF(tblOrdenes[[#This Row],[orden]]="","",tblOrdenes[[#This Row],[costo_servicio]]+tblOrdenes[[#This Row],[costo_materiales]])</f>
        <v/>
      </c>
      <c r="AN9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1" s="4" t="n"/>
      <c r="AP941" s="4" t="n"/>
      <c r="AQ941" s="4" t="n"/>
      <c r="AR941" s="5">
        <f>IF(tblOrdenes[[#This Row],[link_checklist]]="","",HYPERLINK(p_ruta_base_checklists&amp;tblOrdenes[[#This Row],[link_checklist]],"abrir"))</f>
        <v/>
      </c>
      <c r="AS941" s="4" t="n"/>
      <c r="AT941" s="5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22" t="n"/>
      <c r="K942" s="5" t="n"/>
      <c r="L942" s="18" t="n"/>
      <c r="M9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5">
        <f>IF(tblOrdenes[[#This Row],[fecha_inicio]]="","",YEAR(tblOrdenes[[#This Row],[fecha_inicio]]))</f>
        <v/>
      </c>
      <c r="Q942" s="5">
        <f>IF(tblOrdenes[[#This Row],[fecha_inicio]]="","",MONTH(tblOrdenes[[#This Row],[fecha_inicio]]))</f>
        <v/>
      </c>
      <c r="R942" s="5">
        <f>IF(tblOrdenes[[#This Row],[fecha_inicio]]="","",tblOrdenes[[#This Row],[anio]]&amp;"-"&amp;TEXT(tblOrdenes[[#This Row],[mes]],"00"))</f>
        <v/>
      </c>
      <c r="S942" s="5">
        <f>IF(tblOrdenes[[#This Row],[fecha_inicio]]="","",INDEX(lista_dias,WEEKDAY(tblOrdenes[[#This Row],[fecha_inicio]],2)))</f>
        <v/>
      </c>
      <c r="T9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2" s="5">
        <f>IF(tblOrdenes[[#This Row],[tipo_ot]]="","",_xlfn.XLOOKUP(tblOrdenes[[#This Row],[tipo_ot]],tblTiposOT[codigo],tblTiposOT[clasificacion],"sin_clasificar"))</f>
        <v/>
      </c>
      <c r="V9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2" s="5">
        <f>IF(tblOrdenes[[#This Row],[centro_costo]]="","",_xlfn.XLOOKUP(tblOrdenes[[#This Row],[centro_costo]],tblCECO[codigo],tblCECO[linea],"(sin catálogo)"))</f>
        <v/>
      </c>
      <c r="X942" s="5">
        <f>IF(tblOrdenes[[#This Row],[centro_costo]]="","",_xlfn.XLOOKUP(tblOrdenes[[#This Row],[centro_costo]],tblCECO[codigo],tblCECO[area],"(sin catálogo)"))</f>
        <v/>
      </c>
      <c r="Y9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2" s="5">
        <f>IF(tblOrdenes[[#This Row],[centro_costo]]="","",_xlfn.XLOOKUP(tblOrdenes[[#This Row],[centro_costo]],tblCECO[codigo],tblCECO[coordinador],"(sin catálogo)"))</f>
        <v/>
      </c>
      <c r="AA942" s="5">
        <f>IF(tblOrdenes[[#This Row],[puesto_trabajo]]="","",_xlfn.XLOOKUP(tblOrdenes[[#This Row],[puesto_trabajo]],tblPuestos[codigo],tblPuestos[especialidad],"(sin catálogo)"))</f>
        <v/>
      </c>
      <c r="AB942" s="5">
        <f>IF(tblOrdenes[[#This Row],[cod_actividad]]="","",_xlfn.XLOOKUP(tblOrdenes[[#This Row],[cod_actividad]],tblActividades[codigo],tblActividades[descripcion],"(sin catálogo)"))</f>
        <v/>
      </c>
      <c r="AC942" s="20">
        <f>IF(tblOrdenes[[#This Row],[fecha_inicio]]="","",TODAY()-tblOrdenes[[#This Row],[fecha_inicio]])</f>
        <v/>
      </c>
      <c r="AD9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2" s="5">
        <f>IF(tblOrdenes[[#This Row],[backlog_habiles]]="","",IF(tblOrdenes[[#This Row],[backlog_habiles]]&lt;0,"FUTURO",IF(tblOrdenes[[#This Row],[backlog_habiles]]&gt;p_dias_backlog_max,"BACKLOG","MES CORRIENTE")))</f>
        <v/>
      </c>
      <c r="AF942" s="5">
        <f>IF(tblOrdenes[[#This Row],[backlog_habiles]]="",FALSE,AND(tblOrdenes[[#This Row],[backlog_habiles]]&gt;p_dias_backlog_min,tblOrdenes[[#This Row],[backlog_habiles]]&lt;=p_dias_backlog_max))</f>
        <v/>
      </c>
      <c r="AG942" s="4" t="n"/>
      <c r="AH9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2" s="18">
        <f>IF(tblOrdenes[[#This Row],[orden]]="","",_xlfn.XLOOKUP(tblOrdenes[[#This Row],[id_operacion]],tblEjecucion[id_operacion],tblEjecucion[precio],0))</f>
        <v/>
      </c>
      <c r="AL942" s="18">
        <f>IF(tblOrdenes[[#This Row],[orden]]="","",MAX(0,_xlfn.XLOOKUP(tblOrdenes[[#This Row],[id_operacion]],tblEjecucion[id_operacion],tblEjecucion[costo_plan_total],0)-tblOrdenes[[#This Row],[costo_servicio]]))</f>
        <v/>
      </c>
      <c r="AM942" s="18">
        <f>IF(tblOrdenes[[#This Row],[orden]]="","",tblOrdenes[[#This Row],[costo_servicio]]+tblOrdenes[[#This Row],[costo_materiales]])</f>
        <v/>
      </c>
      <c r="AN9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2" s="4" t="n"/>
      <c r="AP942" s="4" t="n"/>
      <c r="AQ942" s="4" t="n"/>
      <c r="AR942" s="5">
        <f>IF(tblOrdenes[[#This Row],[link_checklist]]="","",HYPERLINK(p_ruta_base_checklists&amp;tblOrdenes[[#This Row],[link_checklist]],"abrir"))</f>
        <v/>
      </c>
      <c r="AS942" s="4" t="n"/>
      <c r="AT942" s="5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22" t="n"/>
      <c r="K943" s="5" t="n"/>
      <c r="L943" s="18" t="n"/>
      <c r="M9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5">
        <f>IF(tblOrdenes[[#This Row],[fecha_inicio]]="","",YEAR(tblOrdenes[[#This Row],[fecha_inicio]]))</f>
        <v/>
      </c>
      <c r="Q943" s="5">
        <f>IF(tblOrdenes[[#This Row],[fecha_inicio]]="","",MONTH(tblOrdenes[[#This Row],[fecha_inicio]]))</f>
        <v/>
      </c>
      <c r="R943" s="5">
        <f>IF(tblOrdenes[[#This Row],[fecha_inicio]]="","",tblOrdenes[[#This Row],[anio]]&amp;"-"&amp;TEXT(tblOrdenes[[#This Row],[mes]],"00"))</f>
        <v/>
      </c>
      <c r="S943" s="5">
        <f>IF(tblOrdenes[[#This Row],[fecha_inicio]]="","",INDEX(lista_dias,WEEKDAY(tblOrdenes[[#This Row],[fecha_inicio]],2)))</f>
        <v/>
      </c>
      <c r="T9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3" s="5">
        <f>IF(tblOrdenes[[#This Row],[tipo_ot]]="","",_xlfn.XLOOKUP(tblOrdenes[[#This Row],[tipo_ot]],tblTiposOT[codigo],tblTiposOT[clasificacion],"sin_clasificar"))</f>
        <v/>
      </c>
      <c r="V9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3" s="5">
        <f>IF(tblOrdenes[[#This Row],[centro_costo]]="","",_xlfn.XLOOKUP(tblOrdenes[[#This Row],[centro_costo]],tblCECO[codigo],tblCECO[linea],"(sin catálogo)"))</f>
        <v/>
      </c>
      <c r="X943" s="5">
        <f>IF(tblOrdenes[[#This Row],[centro_costo]]="","",_xlfn.XLOOKUP(tblOrdenes[[#This Row],[centro_costo]],tblCECO[codigo],tblCECO[area],"(sin catálogo)"))</f>
        <v/>
      </c>
      <c r="Y9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3" s="5">
        <f>IF(tblOrdenes[[#This Row],[centro_costo]]="","",_xlfn.XLOOKUP(tblOrdenes[[#This Row],[centro_costo]],tblCECO[codigo],tblCECO[coordinador],"(sin catálogo)"))</f>
        <v/>
      </c>
      <c r="AA943" s="5">
        <f>IF(tblOrdenes[[#This Row],[puesto_trabajo]]="","",_xlfn.XLOOKUP(tblOrdenes[[#This Row],[puesto_trabajo]],tblPuestos[codigo],tblPuestos[especialidad],"(sin catálogo)"))</f>
        <v/>
      </c>
      <c r="AB943" s="5">
        <f>IF(tblOrdenes[[#This Row],[cod_actividad]]="","",_xlfn.XLOOKUP(tblOrdenes[[#This Row],[cod_actividad]],tblActividades[codigo],tblActividades[descripcion],"(sin catálogo)"))</f>
        <v/>
      </c>
      <c r="AC943" s="20">
        <f>IF(tblOrdenes[[#This Row],[fecha_inicio]]="","",TODAY()-tblOrdenes[[#This Row],[fecha_inicio]])</f>
        <v/>
      </c>
      <c r="AD9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3" s="5">
        <f>IF(tblOrdenes[[#This Row],[backlog_habiles]]="","",IF(tblOrdenes[[#This Row],[backlog_habiles]]&lt;0,"FUTURO",IF(tblOrdenes[[#This Row],[backlog_habiles]]&gt;p_dias_backlog_max,"BACKLOG","MES CORRIENTE")))</f>
        <v/>
      </c>
      <c r="AF943" s="5">
        <f>IF(tblOrdenes[[#This Row],[backlog_habiles]]="",FALSE,AND(tblOrdenes[[#This Row],[backlog_habiles]]&gt;p_dias_backlog_min,tblOrdenes[[#This Row],[backlog_habiles]]&lt;=p_dias_backlog_max))</f>
        <v/>
      </c>
      <c r="AG943" s="4" t="n"/>
      <c r="AH9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3" s="18">
        <f>IF(tblOrdenes[[#This Row],[orden]]="","",_xlfn.XLOOKUP(tblOrdenes[[#This Row],[id_operacion]],tblEjecucion[id_operacion],tblEjecucion[precio],0))</f>
        <v/>
      </c>
      <c r="AL943" s="18">
        <f>IF(tblOrdenes[[#This Row],[orden]]="","",MAX(0,_xlfn.XLOOKUP(tblOrdenes[[#This Row],[id_operacion]],tblEjecucion[id_operacion],tblEjecucion[costo_plan_total],0)-tblOrdenes[[#This Row],[costo_servicio]]))</f>
        <v/>
      </c>
      <c r="AM943" s="18">
        <f>IF(tblOrdenes[[#This Row],[orden]]="","",tblOrdenes[[#This Row],[costo_servicio]]+tblOrdenes[[#This Row],[costo_materiales]])</f>
        <v/>
      </c>
      <c r="AN9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3" s="4" t="n"/>
      <c r="AP943" s="4" t="n"/>
      <c r="AQ943" s="4" t="n"/>
      <c r="AR943" s="5">
        <f>IF(tblOrdenes[[#This Row],[link_checklist]]="","",HYPERLINK(p_ruta_base_checklists&amp;tblOrdenes[[#This Row],[link_checklist]],"abrir"))</f>
        <v/>
      </c>
      <c r="AS943" s="4" t="n"/>
      <c r="AT943" s="5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22" t="n"/>
      <c r="K944" s="5" t="n"/>
      <c r="L944" s="18" t="n"/>
      <c r="M9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5">
        <f>IF(tblOrdenes[[#This Row],[fecha_inicio]]="","",YEAR(tblOrdenes[[#This Row],[fecha_inicio]]))</f>
        <v/>
      </c>
      <c r="Q944" s="5">
        <f>IF(tblOrdenes[[#This Row],[fecha_inicio]]="","",MONTH(tblOrdenes[[#This Row],[fecha_inicio]]))</f>
        <v/>
      </c>
      <c r="R944" s="5">
        <f>IF(tblOrdenes[[#This Row],[fecha_inicio]]="","",tblOrdenes[[#This Row],[anio]]&amp;"-"&amp;TEXT(tblOrdenes[[#This Row],[mes]],"00"))</f>
        <v/>
      </c>
      <c r="S944" s="5">
        <f>IF(tblOrdenes[[#This Row],[fecha_inicio]]="","",INDEX(lista_dias,WEEKDAY(tblOrdenes[[#This Row],[fecha_inicio]],2)))</f>
        <v/>
      </c>
      <c r="T9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4" s="5">
        <f>IF(tblOrdenes[[#This Row],[tipo_ot]]="","",_xlfn.XLOOKUP(tblOrdenes[[#This Row],[tipo_ot]],tblTiposOT[codigo],tblTiposOT[clasificacion],"sin_clasificar"))</f>
        <v/>
      </c>
      <c r="V9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4" s="5">
        <f>IF(tblOrdenes[[#This Row],[centro_costo]]="","",_xlfn.XLOOKUP(tblOrdenes[[#This Row],[centro_costo]],tblCECO[codigo],tblCECO[linea],"(sin catálogo)"))</f>
        <v/>
      </c>
      <c r="X944" s="5">
        <f>IF(tblOrdenes[[#This Row],[centro_costo]]="","",_xlfn.XLOOKUP(tblOrdenes[[#This Row],[centro_costo]],tblCECO[codigo],tblCECO[area],"(sin catálogo)"))</f>
        <v/>
      </c>
      <c r="Y9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4" s="5">
        <f>IF(tblOrdenes[[#This Row],[centro_costo]]="","",_xlfn.XLOOKUP(tblOrdenes[[#This Row],[centro_costo]],tblCECO[codigo],tblCECO[coordinador],"(sin catálogo)"))</f>
        <v/>
      </c>
      <c r="AA944" s="5">
        <f>IF(tblOrdenes[[#This Row],[puesto_trabajo]]="","",_xlfn.XLOOKUP(tblOrdenes[[#This Row],[puesto_trabajo]],tblPuestos[codigo],tblPuestos[especialidad],"(sin catálogo)"))</f>
        <v/>
      </c>
      <c r="AB944" s="5">
        <f>IF(tblOrdenes[[#This Row],[cod_actividad]]="","",_xlfn.XLOOKUP(tblOrdenes[[#This Row],[cod_actividad]],tblActividades[codigo],tblActividades[descripcion],"(sin catálogo)"))</f>
        <v/>
      </c>
      <c r="AC944" s="20">
        <f>IF(tblOrdenes[[#This Row],[fecha_inicio]]="","",TODAY()-tblOrdenes[[#This Row],[fecha_inicio]])</f>
        <v/>
      </c>
      <c r="AD9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4" s="5">
        <f>IF(tblOrdenes[[#This Row],[backlog_habiles]]="","",IF(tblOrdenes[[#This Row],[backlog_habiles]]&lt;0,"FUTURO",IF(tblOrdenes[[#This Row],[backlog_habiles]]&gt;p_dias_backlog_max,"BACKLOG","MES CORRIENTE")))</f>
        <v/>
      </c>
      <c r="AF944" s="5">
        <f>IF(tblOrdenes[[#This Row],[backlog_habiles]]="",FALSE,AND(tblOrdenes[[#This Row],[backlog_habiles]]&gt;p_dias_backlog_min,tblOrdenes[[#This Row],[backlog_habiles]]&lt;=p_dias_backlog_max))</f>
        <v/>
      </c>
      <c r="AG944" s="4" t="n"/>
      <c r="AH9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4" s="18">
        <f>IF(tblOrdenes[[#This Row],[orden]]="","",_xlfn.XLOOKUP(tblOrdenes[[#This Row],[id_operacion]],tblEjecucion[id_operacion],tblEjecucion[precio],0))</f>
        <v/>
      </c>
      <c r="AL944" s="18">
        <f>IF(tblOrdenes[[#This Row],[orden]]="","",MAX(0,_xlfn.XLOOKUP(tblOrdenes[[#This Row],[id_operacion]],tblEjecucion[id_operacion],tblEjecucion[costo_plan_total],0)-tblOrdenes[[#This Row],[costo_servicio]]))</f>
        <v/>
      </c>
      <c r="AM944" s="18">
        <f>IF(tblOrdenes[[#This Row],[orden]]="","",tblOrdenes[[#This Row],[costo_servicio]]+tblOrdenes[[#This Row],[costo_materiales]])</f>
        <v/>
      </c>
      <c r="AN9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4" s="4" t="n"/>
      <c r="AP944" s="4" t="n"/>
      <c r="AQ944" s="4" t="n"/>
      <c r="AR944" s="5">
        <f>IF(tblOrdenes[[#This Row],[link_checklist]]="","",HYPERLINK(p_ruta_base_checklists&amp;tblOrdenes[[#This Row],[link_checklist]],"abrir"))</f>
        <v/>
      </c>
      <c r="AS944" s="4" t="n"/>
      <c r="AT944" s="5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22" t="n"/>
      <c r="K945" s="5" t="n"/>
      <c r="L945" s="18" t="n"/>
      <c r="M9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5">
        <f>IF(tblOrdenes[[#This Row],[fecha_inicio]]="","",YEAR(tblOrdenes[[#This Row],[fecha_inicio]]))</f>
        <v/>
      </c>
      <c r="Q945" s="5">
        <f>IF(tblOrdenes[[#This Row],[fecha_inicio]]="","",MONTH(tblOrdenes[[#This Row],[fecha_inicio]]))</f>
        <v/>
      </c>
      <c r="R945" s="5">
        <f>IF(tblOrdenes[[#This Row],[fecha_inicio]]="","",tblOrdenes[[#This Row],[anio]]&amp;"-"&amp;TEXT(tblOrdenes[[#This Row],[mes]],"00"))</f>
        <v/>
      </c>
      <c r="S945" s="5">
        <f>IF(tblOrdenes[[#This Row],[fecha_inicio]]="","",INDEX(lista_dias,WEEKDAY(tblOrdenes[[#This Row],[fecha_inicio]],2)))</f>
        <v/>
      </c>
      <c r="T9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5" s="5">
        <f>IF(tblOrdenes[[#This Row],[tipo_ot]]="","",_xlfn.XLOOKUP(tblOrdenes[[#This Row],[tipo_ot]],tblTiposOT[codigo],tblTiposOT[clasificacion],"sin_clasificar"))</f>
        <v/>
      </c>
      <c r="V9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5" s="5">
        <f>IF(tblOrdenes[[#This Row],[centro_costo]]="","",_xlfn.XLOOKUP(tblOrdenes[[#This Row],[centro_costo]],tblCECO[codigo],tblCECO[linea],"(sin catálogo)"))</f>
        <v/>
      </c>
      <c r="X945" s="5">
        <f>IF(tblOrdenes[[#This Row],[centro_costo]]="","",_xlfn.XLOOKUP(tblOrdenes[[#This Row],[centro_costo]],tblCECO[codigo],tblCECO[area],"(sin catálogo)"))</f>
        <v/>
      </c>
      <c r="Y9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5" s="5">
        <f>IF(tblOrdenes[[#This Row],[centro_costo]]="","",_xlfn.XLOOKUP(tblOrdenes[[#This Row],[centro_costo]],tblCECO[codigo],tblCECO[coordinador],"(sin catálogo)"))</f>
        <v/>
      </c>
      <c r="AA945" s="5">
        <f>IF(tblOrdenes[[#This Row],[puesto_trabajo]]="","",_xlfn.XLOOKUP(tblOrdenes[[#This Row],[puesto_trabajo]],tblPuestos[codigo],tblPuestos[especialidad],"(sin catálogo)"))</f>
        <v/>
      </c>
      <c r="AB945" s="5">
        <f>IF(tblOrdenes[[#This Row],[cod_actividad]]="","",_xlfn.XLOOKUP(tblOrdenes[[#This Row],[cod_actividad]],tblActividades[codigo],tblActividades[descripcion],"(sin catálogo)"))</f>
        <v/>
      </c>
      <c r="AC945" s="20">
        <f>IF(tblOrdenes[[#This Row],[fecha_inicio]]="","",TODAY()-tblOrdenes[[#This Row],[fecha_inicio]])</f>
        <v/>
      </c>
      <c r="AD9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5" s="5">
        <f>IF(tblOrdenes[[#This Row],[backlog_habiles]]="","",IF(tblOrdenes[[#This Row],[backlog_habiles]]&lt;0,"FUTURO",IF(tblOrdenes[[#This Row],[backlog_habiles]]&gt;p_dias_backlog_max,"BACKLOG","MES CORRIENTE")))</f>
        <v/>
      </c>
      <c r="AF945" s="5">
        <f>IF(tblOrdenes[[#This Row],[backlog_habiles]]="",FALSE,AND(tblOrdenes[[#This Row],[backlog_habiles]]&gt;p_dias_backlog_min,tblOrdenes[[#This Row],[backlog_habiles]]&lt;=p_dias_backlog_max))</f>
        <v/>
      </c>
      <c r="AG945" s="4" t="n"/>
      <c r="AH9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5" s="18">
        <f>IF(tblOrdenes[[#This Row],[orden]]="","",_xlfn.XLOOKUP(tblOrdenes[[#This Row],[id_operacion]],tblEjecucion[id_operacion],tblEjecucion[precio],0))</f>
        <v/>
      </c>
      <c r="AL945" s="18">
        <f>IF(tblOrdenes[[#This Row],[orden]]="","",MAX(0,_xlfn.XLOOKUP(tblOrdenes[[#This Row],[id_operacion]],tblEjecucion[id_operacion],tblEjecucion[costo_plan_total],0)-tblOrdenes[[#This Row],[costo_servicio]]))</f>
        <v/>
      </c>
      <c r="AM945" s="18">
        <f>IF(tblOrdenes[[#This Row],[orden]]="","",tblOrdenes[[#This Row],[costo_servicio]]+tblOrdenes[[#This Row],[costo_materiales]])</f>
        <v/>
      </c>
      <c r="AN9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5" s="4" t="n"/>
      <c r="AP945" s="4" t="n"/>
      <c r="AQ945" s="4" t="n"/>
      <c r="AR945" s="5">
        <f>IF(tblOrdenes[[#This Row],[link_checklist]]="","",HYPERLINK(p_ruta_base_checklists&amp;tblOrdenes[[#This Row],[link_checklist]],"abrir"))</f>
        <v/>
      </c>
      <c r="AS945" s="4" t="n"/>
      <c r="AT945" s="5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22" t="n"/>
      <c r="K946" s="5" t="n"/>
      <c r="L946" s="18" t="n"/>
      <c r="M9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5">
        <f>IF(tblOrdenes[[#This Row],[fecha_inicio]]="","",YEAR(tblOrdenes[[#This Row],[fecha_inicio]]))</f>
        <v/>
      </c>
      <c r="Q946" s="5">
        <f>IF(tblOrdenes[[#This Row],[fecha_inicio]]="","",MONTH(tblOrdenes[[#This Row],[fecha_inicio]]))</f>
        <v/>
      </c>
      <c r="R946" s="5">
        <f>IF(tblOrdenes[[#This Row],[fecha_inicio]]="","",tblOrdenes[[#This Row],[anio]]&amp;"-"&amp;TEXT(tblOrdenes[[#This Row],[mes]],"00"))</f>
        <v/>
      </c>
      <c r="S946" s="5">
        <f>IF(tblOrdenes[[#This Row],[fecha_inicio]]="","",INDEX(lista_dias,WEEKDAY(tblOrdenes[[#This Row],[fecha_inicio]],2)))</f>
        <v/>
      </c>
      <c r="T9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6" s="5">
        <f>IF(tblOrdenes[[#This Row],[tipo_ot]]="","",_xlfn.XLOOKUP(tblOrdenes[[#This Row],[tipo_ot]],tblTiposOT[codigo],tblTiposOT[clasificacion],"sin_clasificar"))</f>
        <v/>
      </c>
      <c r="V9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6" s="5">
        <f>IF(tblOrdenes[[#This Row],[centro_costo]]="","",_xlfn.XLOOKUP(tblOrdenes[[#This Row],[centro_costo]],tblCECO[codigo],tblCECO[linea],"(sin catálogo)"))</f>
        <v/>
      </c>
      <c r="X946" s="5">
        <f>IF(tblOrdenes[[#This Row],[centro_costo]]="","",_xlfn.XLOOKUP(tblOrdenes[[#This Row],[centro_costo]],tblCECO[codigo],tblCECO[area],"(sin catálogo)"))</f>
        <v/>
      </c>
      <c r="Y9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6" s="5">
        <f>IF(tblOrdenes[[#This Row],[centro_costo]]="","",_xlfn.XLOOKUP(tblOrdenes[[#This Row],[centro_costo]],tblCECO[codigo],tblCECO[coordinador],"(sin catálogo)"))</f>
        <v/>
      </c>
      <c r="AA946" s="5">
        <f>IF(tblOrdenes[[#This Row],[puesto_trabajo]]="","",_xlfn.XLOOKUP(tblOrdenes[[#This Row],[puesto_trabajo]],tblPuestos[codigo],tblPuestos[especialidad],"(sin catálogo)"))</f>
        <v/>
      </c>
      <c r="AB946" s="5">
        <f>IF(tblOrdenes[[#This Row],[cod_actividad]]="","",_xlfn.XLOOKUP(tblOrdenes[[#This Row],[cod_actividad]],tblActividades[codigo],tblActividades[descripcion],"(sin catálogo)"))</f>
        <v/>
      </c>
      <c r="AC946" s="20">
        <f>IF(tblOrdenes[[#This Row],[fecha_inicio]]="","",TODAY()-tblOrdenes[[#This Row],[fecha_inicio]])</f>
        <v/>
      </c>
      <c r="AD9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6" s="5">
        <f>IF(tblOrdenes[[#This Row],[backlog_habiles]]="","",IF(tblOrdenes[[#This Row],[backlog_habiles]]&lt;0,"FUTURO",IF(tblOrdenes[[#This Row],[backlog_habiles]]&gt;p_dias_backlog_max,"BACKLOG","MES CORRIENTE")))</f>
        <v/>
      </c>
      <c r="AF946" s="5">
        <f>IF(tblOrdenes[[#This Row],[backlog_habiles]]="",FALSE,AND(tblOrdenes[[#This Row],[backlog_habiles]]&gt;p_dias_backlog_min,tblOrdenes[[#This Row],[backlog_habiles]]&lt;=p_dias_backlog_max))</f>
        <v/>
      </c>
      <c r="AG946" s="4" t="n"/>
      <c r="AH9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6" s="18">
        <f>IF(tblOrdenes[[#This Row],[orden]]="","",_xlfn.XLOOKUP(tblOrdenes[[#This Row],[id_operacion]],tblEjecucion[id_operacion],tblEjecucion[precio],0))</f>
        <v/>
      </c>
      <c r="AL946" s="18">
        <f>IF(tblOrdenes[[#This Row],[orden]]="","",MAX(0,_xlfn.XLOOKUP(tblOrdenes[[#This Row],[id_operacion]],tblEjecucion[id_operacion],tblEjecucion[costo_plan_total],0)-tblOrdenes[[#This Row],[costo_servicio]]))</f>
        <v/>
      </c>
      <c r="AM946" s="18">
        <f>IF(tblOrdenes[[#This Row],[orden]]="","",tblOrdenes[[#This Row],[costo_servicio]]+tblOrdenes[[#This Row],[costo_materiales]])</f>
        <v/>
      </c>
      <c r="AN9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6" s="4" t="n"/>
      <c r="AP946" s="4" t="n"/>
      <c r="AQ946" s="4" t="n"/>
      <c r="AR946" s="5">
        <f>IF(tblOrdenes[[#This Row],[link_checklist]]="","",HYPERLINK(p_ruta_base_checklists&amp;tblOrdenes[[#This Row],[link_checklist]],"abrir"))</f>
        <v/>
      </c>
      <c r="AS946" s="4" t="n"/>
      <c r="AT946" s="5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22" t="n"/>
      <c r="K947" s="5" t="n"/>
      <c r="L947" s="18" t="n"/>
      <c r="M9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5">
        <f>IF(tblOrdenes[[#This Row],[fecha_inicio]]="","",YEAR(tblOrdenes[[#This Row],[fecha_inicio]]))</f>
        <v/>
      </c>
      <c r="Q947" s="5">
        <f>IF(tblOrdenes[[#This Row],[fecha_inicio]]="","",MONTH(tblOrdenes[[#This Row],[fecha_inicio]]))</f>
        <v/>
      </c>
      <c r="R947" s="5">
        <f>IF(tblOrdenes[[#This Row],[fecha_inicio]]="","",tblOrdenes[[#This Row],[anio]]&amp;"-"&amp;TEXT(tblOrdenes[[#This Row],[mes]],"00"))</f>
        <v/>
      </c>
      <c r="S947" s="5">
        <f>IF(tblOrdenes[[#This Row],[fecha_inicio]]="","",INDEX(lista_dias,WEEKDAY(tblOrdenes[[#This Row],[fecha_inicio]],2)))</f>
        <v/>
      </c>
      <c r="T9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7" s="5">
        <f>IF(tblOrdenes[[#This Row],[tipo_ot]]="","",_xlfn.XLOOKUP(tblOrdenes[[#This Row],[tipo_ot]],tblTiposOT[codigo],tblTiposOT[clasificacion],"sin_clasificar"))</f>
        <v/>
      </c>
      <c r="V9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7" s="5">
        <f>IF(tblOrdenes[[#This Row],[centro_costo]]="","",_xlfn.XLOOKUP(tblOrdenes[[#This Row],[centro_costo]],tblCECO[codigo],tblCECO[linea],"(sin catálogo)"))</f>
        <v/>
      </c>
      <c r="X947" s="5">
        <f>IF(tblOrdenes[[#This Row],[centro_costo]]="","",_xlfn.XLOOKUP(tblOrdenes[[#This Row],[centro_costo]],tblCECO[codigo],tblCECO[area],"(sin catálogo)"))</f>
        <v/>
      </c>
      <c r="Y9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7" s="5">
        <f>IF(tblOrdenes[[#This Row],[centro_costo]]="","",_xlfn.XLOOKUP(tblOrdenes[[#This Row],[centro_costo]],tblCECO[codigo],tblCECO[coordinador],"(sin catálogo)"))</f>
        <v/>
      </c>
      <c r="AA947" s="5">
        <f>IF(tblOrdenes[[#This Row],[puesto_trabajo]]="","",_xlfn.XLOOKUP(tblOrdenes[[#This Row],[puesto_trabajo]],tblPuestos[codigo],tblPuestos[especialidad],"(sin catálogo)"))</f>
        <v/>
      </c>
      <c r="AB947" s="5">
        <f>IF(tblOrdenes[[#This Row],[cod_actividad]]="","",_xlfn.XLOOKUP(tblOrdenes[[#This Row],[cod_actividad]],tblActividades[codigo],tblActividades[descripcion],"(sin catálogo)"))</f>
        <v/>
      </c>
      <c r="AC947" s="20">
        <f>IF(tblOrdenes[[#This Row],[fecha_inicio]]="","",TODAY()-tblOrdenes[[#This Row],[fecha_inicio]])</f>
        <v/>
      </c>
      <c r="AD9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7" s="5">
        <f>IF(tblOrdenes[[#This Row],[backlog_habiles]]="","",IF(tblOrdenes[[#This Row],[backlog_habiles]]&lt;0,"FUTURO",IF(tblOrdenes[[#This Row],[backlog_habiles]]&gt;p_dias_backlog_max,"BACKLOG","MES CORRIENTE")))</f>
        <v/>
      </c>
      <c r="AF947" s="5">
        <f>IF(tblOrdenes[[#This Row],[backlog_habiles]]="",FALSE,AND(tblOrdenes[[#This Row],[backlog_habiles]]&gt;p_dias_backlog_min,tblOrdenes[[#This Row],[backlog_habiles]]&lt;=p_dias_backlog_max))</f>
        <v/>
      </c>
      <c r="AG947" s="4" t="n"/>
      <c r="AH9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7" s="18">
        <f>IF(tblOrdenes[[#This Row],[orden]]="","",_xlfn.XLOOKUP(tblOrdenes[[#This Row],[id_operacion]],tblEjecucion[id_operacion],tblEjecucion[precio],0))</f>
        <v/>
      </c>
      <c r="AL947" s="18">
        <f>IF(tblOrdenes[[#This Row],[orden]]="","",MAX(0,_xlfn.XLOOKUP(tblOrdenes[[#This Row],[id_operacion]],tblEjecucion[id_operacion],tblEjecucion[costo_plan_total],0)-tblOrdenes[[#This Row],[costo_servicio]]))</f>
        <v/>
      </c>
      <c r="AM947" s="18">
        <f>IF(tblOrdenes[[#This Row],[orden]]="","",tblOrdenes[[#This Row],[costo_servicio]]+tblOrdenes[[#This Row],[costo_materiales]])</f>
        <v/>
      </c>
      <c r="AN9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7" s="4" t="n"/>
      <c r="AP947" s="4" t="n"/>
      <c r="AQ947" s="4" t="n"/>
      <c r="AR947" s="5">
        <f>IF(tblOrdenes[[#This Row],[link_checklist]]="","",HYPERLINK(p_ruta_base_checklists&amp;tblOrdenes[[#This Row],[link_checklist]],"abrir"))</f>
        <v/>
      </c>
      <c r="AS947" s="4" t="n"/>
      <c r="AT947" s="5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22" t="n"/>
      <c r="K948" s="5" t="n"/>
      <c r="L948" s="18" t="n"/>
      <c r="M9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5">
        <f>IF(tblOrdenes[[#This Row],[fecha_inicio]]="","",YEAR(tblOrdenes[[#This Row],[fecha_inicio]]))</f>
        <v/>
      </c>
      <c r="Q948" s="5">
        <f>IF(tblOrdenes[[#This Row],[fecha_inicio]]="","",MONTH(tblOrdenes[[#This Row],[fecha_inicio]]))</f>
        <v/>
      </c>
      <c r="R948" s="5">
        <f>IF(tblOrdenes[[#This Row],[fecha_inicio]]="","",tblOrdenes[[#This Row],[anio]]&amp;"-"&amp;TEXT(tblOrdenes[[#This Row],[mes]],"00"))</f>
        <v/>
      </c>
      <c r="S948" s="5">
        <f>IF(tblOrdenes[[#This Row],[fecha_inicio]]="","",INDEX(lista_dias,WEEKDAY(tblOrdenes[[#This Row],[fecha_inicio]],2)))</f>
        <v/>
      </c>
      <c r="T9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8" s="5">
        <f>IF(tblOrdenes[[#This Row],[tipo_ot]]="","",_xlfn.XLOOKUP(tblOrdenes[[#This Row],[tipo_ot]],tblTiposOT[codigo],tblTiposOT[clasificacion],"sin_clasificar"))</f>
        <v/>
      </c>
      <c r="V9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8" s="5">
        <f>IF(tblOrdenes[[#This Row],[centro_costo]]="","",_xlfn.XLOOKUP(tblOrdenes[[#This Row],[centro_costo]],tblCECO[codigo],tblCECO[linea],"(sin catálogo)"))</f>
        <v/>
      </c>
      <c r="X948" s="5">
        <f>IF(tblOrdenes[[#This Row],[centro_costo]]="","",_xlfn.XLOOKUP(tblOrdenes[[#This Row],[centro_costo]],tblCECO[codigo],tblCECO[area],"(sin catálogo)"))</f>
        <v/>
      </c>
      <c r="Y9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8" s="5">
        <f>IF(tblOrdenes[[#This Row],[centro_costo]]="","",_xlfn.XLOOKUP(tblOrdenes[[#This Row],[centro_costo]],tblCECO[codigo],tblCECO[coordinador],"(sin catálogo)"))</f>
        <v/>
      </c>
      <c r="AA948" s="5">
        <f>IF(tblOrdenes[[#This Row],[puesto_trabajo]]="","",_xlfn.XLOOKUP(tblOrdenes[[#This Row],[puesto_trabajo]],tblPuestos[codigo],tblPuestos[especialidad],"(sin catálogo)"))</f>
        <v/>
      </c>
      <c r="AB948" s="5">
        <f>IF(tblOrdenes[[#This Row],[cod_actividad]]="","",_xlfn.XLOOKUP(tblOrdenes[[#This Row],[cod_actividad]],tblActividades[codigo],tblActividades[descripcion],"(sin catálogo)"))</f>
        <v/>
      </c>
      <c r="AC948" s="20">
        <f>IF(tblOrdenes[[#This Row],[fecha_inicio]]="","",TODAY()-tblOrdenes[[#This Row],[fecha_inicio]])</f>
        <v/>
      </c>
      <c r="AD9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8" s="5">
        <f>IF(tblOrdenes[[#This Row],[backlog_habiles]]="","",IF(tblOrdenes[[#This Row],[backlog_habiles]]&lt;0,"FUTURO",IF(tblOrdenes[[#This Row],[backlog_habiles]]&gt;p_dias_backlog_max,"BACKLOG","MES CORRIENTE")))</f>
        <v/>
      </c>
      <c r="AF948" s="5">
        <f>IF(tblOrdenes[[#This Row],[backlog_habiles]]="",FALSE,AND(tblOrdenes[[#This Row],[backlog_habiles]]&gt;p_dias_backlog_min,tblOrdenes[[#This Row],[backlog_habiles]]&lt;=p_dias_backlog_max))</f>
        <v/>
      </c>
      <c r="AG948" s="4" t="n"/>
      <c r="AH9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8" s="18">
        <f>IF(tblOrdenes[[#This Row],[orden]]="","",_xlfn.XLOOKUP(tblOrdenes[[#This Row],[id_operacion]],tblEjecucion[id_operacion],tblEjecucion[precio],0))</f>
        <v/>
      </c>
      <c r="AL948" s="18">
        <f>IF(tblOrdenes[[#This Row],[orden]]="","",MAX(0,_xlfn.XLOOKUP(tblOrdenes[[#This Row],[id_operacion]],tblEjecucion[id_operacion],tblEjecucion[costo_plan_total],0)-tblOrdenes[[#This Row],[costo_servicio]]))</f>
        <v/>
      </c>
      <c r="AM948" s="18">
        <f>IF(tblOrdenes[[#This Row],[orden]]="","",tblOrdenes[[#This Row],[costo_servicio]]+tblOrdenes[[#This Row],[costo_materiales]])</f>
        <v/>
      </c>
      <c r="AN9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8" s="4" t="n"/>
      <c r="AP948" s="4" t="n"/>
      <c r="AQ948" s="4" t="n"/>
      <c r="AR948" s="5">
        <f>IF(tblOrdenes[[#This Row],[link_checklist]]="","",HYPERLINK(p_ruta_base_checklists&amp;tblOrdenes[[#This Row],[link_checklist]],"abrir"))</f>
        <v/>
      </c>
      <c r="AS948" s="4" t="n"/>
      <c r="AT948" s="5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22" t="n"/>
      <c r="K949" s="5" t="n"/>
      <c r="L949" s="18" t="n"/>
      <c r="M9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5">
        <f>IF(tblOrdenes[[#This Row],[fecha_inicio]]="","",YEAR(tblOrdenes[[#This Row],[fecha_inicio]]))</f>
        <v/>
      </c>
      <c r="Q949" s="5">
        <f>IF(tblOrdenes[[#This Row],[fecha_inicio]]="","",MONTH(tblOrdenes[[#This Row],[fecha_inicio]]))</f>
        <v/>
      </c>
      <c r="R949" s="5">
        <f>IF(tblOrdenes[[#This Row],[fecha_inicio]]="","",tblOrdenes[[#This Row],[anio]]&amp;"-"&amp;TEXT(tblOrdenes[[#This Row],[mes]],"00"))</f>
        <v/>
      </c>
      <c r="S949" s="5">
        <f>IF(tblOrdenes[[#This Row],[fecha_inicio]]="","",INDEX(lista_dias,WEEKDAY(tblOrdenes[[#This Row],[fecha_inicio]],2)))</f>
        <v/>
      </c>
      <c r="T9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9" s="5">
        <f>IF(tblOrdenes[[#This Row],[tipo_ot]]="","",_xlfn.XLOOKUP(tblOrdenes[[#This Row],[tipo_ot]],tblTiposOT[codigo],tblTiposOT[clasificacion],"sin_clasificar"))</f>
        <v/>
      </c>
      <c r="V9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9" s="5">
        <f>IF(tblOrdenes[[#This Row],[centro_costo]]="","",_xlfn.XLOOKUP(tblOrdenes[[#This Row],[centro_costo]],tblCECO[codigo],tblCECO[linea],"(sin catálogo)"))</f>
        <v/>
      </c>
      <c r="X949" s="5">
        <f>IF(tblOrdenes[[#This Row],[centro_costo]]="","",_xlfn.XLOOKUP(tblOrdenes[[#This Row],[centro_costo]],tblCECO[codigo],tblCECO[area],"(sin catálogo)"))</f>
        <v/>
      </c>
      <c r="Y9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49" s="5">
        <f>IF(tblOrdenes[[#This Row],[centro_costo]]="","",_xlfn.XLOOKUP(tblOrdenes[[#This Row],[centro_costo]],tblCECO[codigo],tblCECO[coordinador],"(sin catálogo)"))</f>
        <v/>
      </c>
      <c r="AA949" s="5">
        <f>IF(tblOrdenes[[#This Row],[puesto_trabajo]]="","",_xlfn.XLOOKUP(tblOrdenes[[#This Row],[puesto_trabajo]],tblPuestos[codigo],tblPuestos[especialidad],"(sin catálogo)"))</f>
        <v/>
      </c>
      <c r="AB949" s="5">
        <f>IF(tblOrdenes[[#This Row],[cod_actividad]]="","",_xlfn.XLOOKUP(tblOrdenes[[#This Row],[cod_actividad]],tblActividades[codigo],tblActividades[descripcion],"(sin catálogo)"))</f>
        <v/>
      </c>
      <c r="AC949" s="20">
        <f>IF(tblOrdenes[[#This Row],[fecha_inicio]]="","",TODAY()-tblOrdenes[[#This Row],[fecha_inicio]])</f>
        <v/>
      </c>
      <c r="AD9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49" s="5">
        <f>IF(tblOrdenes[[#This Row],[backlog_habiles]]="","",IF(tblOrdenes[[#This Row],[backlog_habiles]]&lt;0,"FUTURO",IF(tblOrdenes[[#This Row],[backlog_habiles]]&gt;p_dias_backlog_max,"BACKLOG","MES CORRIENTE")))</f>
        <v/>
      </c>
      <c r="AF949" s="5">
        <f>IF(tblOrdenes[[#This Row],[backlog_habiles]]="",FALSE,AND(tblOrdenes[[#This Row],[backlog_habiles]]&gt;p_dias_backlog_min,tblOrdenes[[#This Row],[backlog_habiles]]&lt;=p_dias_backlog_max))</f>
        <v/>
      </c>
      <c r="AG949" s="4" t="n"/>
      <c r="AH9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49" s="18">
        <f>IF(tblOrdenes[[#This Row],[orden]]="","",_xlfn.XLOOKUP(tblOrdenes[[#This Row],[id_operacion]],tblEjecucion[id_operacion],tblEjecucion[precio],0))</f>
        <v/>
      </c>
      <c r="AL949" s="18">
        <f>IF(tblOrdenes[[#This Row],[orden]]="","",MAX(0,_xlfn.XLOOKUP(tblOrdenes[[#This Row],[id_operacion]],tblEjecucion[id_operacion],tblEjecucion[costo_plan_total],0)-tblOrdenes[[#This Row],[costo_servicio]]))</f>
        <v/>
      </c>
      <c r="AM949" s="18">
        <f>IF(tblOrdenes[[#This Row],[orden]]="","",tblOrdenes[[#This Row],[costo_servicio]]+tblOrdenes[[#This Row],[costo_materiales]])</f>
        <v/>
      </c>
      <c r="AN9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49" s="4" t="n"/>
      <c r="AP949" s="4" t="n"/>
      <c r="AQ949" s="4" t="n"/>
      <c r="AR949" s="5">
        <f>IF(tblOrdenes[[#This Row],[link_checklist]]="","",HYPERLINK(p_ruta_base_checklists&amp;tblOrdenes[[#This Row],[link_checklist]],"abrir"))</f>
        <v/>
      </c>
      <c r="AS949" s="4" t="n"/>
      <c r="AT949" s="5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22" t="n"/>
      <c r="K950" s="5" t="n"/>
      <c r="L950" s="18" t="n"/>
      <c r="M9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5">
        <f>IF(tblOrdenes[[#This Row],[fecha_inicio]]="","",YEAR(tblOrdenes[[#This Row],[fecha_inicio]]))</f>
        <v/>
      </c>
      <c r="Q950" s="5">
        <f>IF(tblOrdenes[[#This Row],[fecha_inicio]]="","",MONTH(tblOrdenes[[#This Row],[fecha_inicio]]))</f>
        <v/>
      </c>
      <c r="R950" s="5">
        <f>IF(tblOrdenes[[#This Row],[fecha_inicio]]="","",tblOrdenes[[#This Row],[anio]]&amp;"-"&amp;TEXT(tblOrdenes[[#This Row],[mes]],"00"))</f>
        <v/>
      </c>
      <c r="S950" s="5">
        <f>IF(tblOrdenes[[#This Row],[fecha_inicio]]="","",INDEX(lista_dias,WEEKDAY(tblOrdenes[[#This Row],[fecha_inicio]],2)))</f>
        <v/>
      </c>
      <c r="T9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0" s="5">
        <f>IF(tblOrdenes[[#This Row],[tipo_ot]]="","",_xlfn.XLOOKUP(tblOrdenes[[#This Row],[tipo_ot]],tblTiposOT[codigo],tblTiposOT[clasificacion],"sin_clasificar"))</f>
        <v/>
      </c>
      <c r="V9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0" s="5">
        <f>IF(tblOrdenes[[#This Row],[centro_costo]]="","",_xlfn.XLOOKUP(tblOrdenes[[#This Row],[centro_costo]],tblCECO[codigo],tblCECO[linea],"(sin catálogo)"))</f>
        <v/>
      </c>
      <c r="X950" s="5">
        <f>IF(tblOrdenes[[#This Row],[centro_costo]]="","",_xlfn.XLOOKUP(tblOrdenes[[#This Row],[centro_costo]],tblCECO[codigo],tblCECO[area],"(sin catálogo)"))</f>
        <v/>
      </c>
      <c r="Y9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0" s="5">
        <f>IF(tblOrdenes[[#This Row],[centro_costo]]="","",_xlfn.XLOOKUP(tblOrdenes[[#This Row],[centro_costo]],tblCECO[codigo],tblCECO[coordinador],"(sin catálogo)"))</f>
        <v/>
      </c>
      <c r="AA950" s="5">
        <f>IF(tblOrdenes[[#This Row],[puesto_trabajo]]="","",_xlfn.XLOOKUP(tblOrdenes[[#This Row],[puesto_trabajo]],tblPuestos[codigo],tblPuestos[especialidad],"(sin catálogo)"))</f>
        <v/>
      </c>
      <c r="AB950" s="5">
        <f>IF(tblOrdenes[[#This Row],[cod_actividad]]="","",_xlfn.XLOOKUP(tblOrdenes[[#This Row],[cod_actividad]],tblActividades[codigo],tblActividades[descripcion],"(sin catálogo)"))</f>
        <v/>
      </c>
      <c r="AC950" s="20">
        <f>IF(tblOrdenes[[#This Row],[fecha_inicio]]="","",TODAY()-tblOrdenes[[#This Row],[fecha_inicio]])</f>
        <v/>
      </c>
      <c r="AD9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0" s="5">
        <f>IF(tblOrdenes[[#This Row],[backlog_habiles]]="","",IF(tblOrdenes[[#This Row],[backlog_habiles]]&lt;0,"FUTURO",IF(tblOrdenes[[#This Row],[backlog_habiles]]&gt;p_dias_backlog_max,"BACKLOG","MES CORRIENTE")))</f>
        <v/>
      </c>
      <c r="AF950" s="5">
        <f>IF(tblOrdenes[[#This Row],[backlog_habiles]]="",FALSE,AND(tblOrdenes[[#This Row],[backlog_habiles]]&gt;p_dias_backlog_min,tblOrdenes[[#This Row],[backlog_habiles]]&lt;=p_dias_backlog_max))</f>
        <v/>
      </c>
      <c r="AG950" s="4" t="n"/>
      <c r="AH9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0" s="18">
        <f>IF(tblOrdenes[[#This Row],[orden]]="","",_xlfn.XLOOKUP(tblOrdenes[[#This Row],[id_operacion]],tblEjecucion[id_operacion],tblEjecucion[precio],0))</f>
        <v/>
      </c>
      <c r="AL950" s="18">
        <f>IF(tblOrdenes[[#This Row],[orden]]="","",MAX(0,_xlfn.XLOOKUP(tblOrdenes[[#This Row],[id_operacion]],tblEjecucion[id_operacion],tblEjecucion[costo_plan_total],0)-tblOrdenes[[#This Row],[costo_servicio]]))</f>
        <v/>
      </c>
      <c r="AM950" s="18">
        <f>IF(tblOrdenes[[#This Row],[orden]]="","",tblOrdenes[[#This Row],[costo_servicio]]+tblOrdenes[[#This Row],[costo_materiales]])</f>
        <v/>
      </c>
      <c r="AN9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0" s="4" t="n"/>
      <c r="AP950" s="4" t="n"/>
      <c r="AQ950" s="4" t="n"/>
      <c r="AR950" s="5">
        <f>IF(tblOrdenes[[#This Row],[link_checklist]]="","",HYPERLINK(p_ruta_base_checklists&amp;tblOrdenes[[#This Row],[link_checklist]],"abrir"))</f>
        <v/>
      </c>
      <c r="AS950" s="4" t="n"/>
      <c r="AT950" s="5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22" t="n"/>
      <c r="K951" s="5" t="n"/>
      <c r="L951" s="18" t="n"/>
      <c r="M9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5">
        <f>IF(tblOrdenes[[#This Row],[fecha_inicio]]="","",YEAR(tblOrdenes[[#This Row],[fecha_inicio]]))</f>
        <v/>
      </c>
      <c r="Q951" s="5">
        <f>IF(tblOrdenes[[#This Row],[fecha_inicio]]="","",MONTH(tblOrdenes[[#This Row],[fecha_inicio]]))</f>
        <v/>
      </c>
      <c r="R951" s="5">
        <f>IF(tblOrdenes[[#This Row],[fecha_inicio]]="","",tblOrdenes[[#This Row],[anio]]&amp;"-"&amp;TEXT(tblOrdenes[[#This Row],[mes]],"00"))</f>
        <v/>
      </c>
      <c r="S951" s="5">
        <f>IF(tblOrdenes[[#This Row],[fecha_inicio]]="","",INDEX(lista_dias,WEEKDAY(tblOrdenes[[#This Row],[fecha_inicio]],2)))</f>
        <v/>
      </c>
      <c r="T9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1" s="5">
        <f>IF(tblOrdenes[[#This Row],[tipo_ot]]="","",_xlfn.XLOOKUP(tblOrdenes[[#This Row],[tipo_ot]],tblTiposOT[codigo],tblTiposOT[clasificacion],"sin_clasificar"))</f>
        <v/>
      </c>
      <c r="V9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1" s="5">
        <f>IF(tblOrdenes[[#This Row],[centro_costo]]="","",_xlfn.XLOOKUP(tblOrdenes[[#This Row],[centro_costo]],tblCECO[codigo],tblCECO[linea],"(sin catálogo)"))</f>
        <v/>
      </c>
      <c r="X951" s="5">
        <f>IF(tblOrdenes[[#This Row],[centro_costo]]="","",_xlfn.XLOOKUP(tblOrdenes[[#This Row],[centro_costo]],tblCECO[codigo],tblCECO[area],"(sin catálogo)"))</f>
        <v/>
      </c>
      <c r="Y9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1" s="5">
        <f>IF(tblOrdenes[[#This Row],[centro_costo]]="","",_xlfn.XLOOKUP(tblOrdenes[[#This Row],[centro_costo]],tblCECO[codigo],tblCECO[coordinador],"(sin catálogo)"))</f>
        <v/>
      </c>
      <c r="AA951" s="5">
        <f>IF(tblOrdenes[[#This Row],[puesto_trabajo]]="","",_xlfn.XLOOKUP(tblOrdenes[[#This Row],[puesto_trabajo]],tblPuestos[codigo],tblPuestos[especialidad],"(sin catálogo)"))</f>
        <v/>
      </c>
      <c r="AB951" s="5">
        <f>IF(tblOrdenes[[#This Row],[cod_actividad]]="","",_xlfn.XLOOKUP(tblOrdenes[[#This Row],[cod_actividad]],tblActividades[codigo],tblActividades[descripcion],"(sin catálogo)"))</f>
        <v/>
      </c>
      <c r="AC951" s="20">
        <f>IF(tblOrdenes[[#This Row],[fecha_inicio]]="","",TODAY()-tblOrdenes[[#This Row],[fecha_inicio]])</f>
        <v/>
      </c>
      <c r="AD9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1" s="5">
        <f>IF(tblOrdenes[[#This Row],[backlog_habiles]]="","",IF(tblOrdenes[[#This Row],[backlog_habiles]]&lt;0,"FUTURO",IF(tblOrdenes[[#This Row],[backlog_habiles]]&gt;p_dias_backlog_max,"BACKLOG","MES CORRIENTE")))</f>
        <v/>
      </c>
      <c r="AF951" s="5">
        <f>IF(tblOrdenes[[#This Row],[backlog_habiles]]="",FALSE,AND(tblOrdenes[[#This Row],[backlog_habiles]]&gt;p_dias_backlog_min,tblOrdenes[[#This Row],[backlog_habiles]]&lt;=p_dias_backlog_max))</f>
        <v/>
      </c>
      <c r="AG951" s="4" t="n"/>
      <c r="AH9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1" s="18">
        <f>IF(tblOrdenes[[#This Row],[orden]]="","",_xlfn.XLOOKUP(tblOrdenes[[#This Row],[id_operacion]],tblEjecucion[id_operacion],tblEjecucion[precio],0))</f>
        <v/>
      </c>
      <c r="AL951" s="18">
        <f>IF(tblOrdenes[[#This Row],[orden]]="","",MAX(0,_xlfn.XLOOKUP(tblOrdenes[[#This Row],[id_operacion]],tblEjecucion[id_operacion],tblEjecucion[costo_plan_total],0)-tblOrdenes[[#This Row],[costo_servicio]]))</f>
        <v/>
      </c>
      <c r="AM951" s="18">
        <f>IF(tblOrdenes[[#This Row],[orden]]="","",tblOrdenes[[#This Row],[costo_servicio]]+tblOrdenes[[#This Row],[costo_materiales]])</f>
        <v/>
      </c>
      <c r="AN9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1" s="4" t="n"/>
      <c r="AP951" s="4" t="n"/>
      <c r="AQ951" s="4" t="n"/>
      <c r="AR951" s="5">
        <f>IF(tblOrdenes[[#This Row],[link_checklist]]="","",HYPERLINK(p_ruta_base_checklists&amp;tblOrdenes[[#This Row],[link_checklist]],"abrir"))</f>
        <v/>
      </c>
      <c r="AS951" s="4" t="n"/>
      <c r="AT951" s="5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22" t="n"/>
      <c r="K952" s="5" t="n"/>
      <c r="L952" s="18" t="n"/>
      <c r="M9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5">
        <f>IF(tblOrdenes[[#This Row],[fecha_inicio]]="","",YEAR(tblOrdenes[[#This Row],[fecha_inicio]]))</f>
        <v/>
      </c>
      <c r="Q952" s="5">
        <f>IF(tblOrdenes[[#This Row],[fecha_inicio]]="","",MONTH(tblOrdenes[[#This Row],[fecha_inicio]]))</f>
        <v/>
      </c>
      <c r="R952" s="5">
        <f>IF(tblOrdenes[[#This Row],[fecha_inicio]]="","",tblOrdenes[[#This Row],[anio]]&amp;"-"&amp;TEXT(tblOrdenes[[#This Row],[mes]],"00"))</f>
        <v/>
      </c>
      <c r="S952" s="5">
        <f>IF(tblOrdenes[[#This Row],[fecha_inicio]]="","",INDEX(lista_dias,WEEKDAY(tblOrdenes[[#This Row],[fecha_inicio]],2)))</f>
        <v/>
      </c>
      <c r="T9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2" s="5">
        <f>IF(tblOrdenes[[#This Row],[tipo_ot]]="","",_xlfn.XLOOKUP(tblOrdenes[[#This Row],[tipo_ot]],tblTiposOT[codigo],tblTiposOT[clasificacion],"sin_clasificar"))</f>
        <v/>
      </c>
      <c r="V9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2" s="5">
        <f>IF(tblOrdenes[[#This Row],[centro_costo]]="","",_xlfn.XLOOKUP(tblOrdenes[[#This Row],[centro_costo]],tblCECO[codigo],tblCECO[linea],"(sin catálogo)"))</f>
        <v/>
      </c>
      <c r="X952" s="5">
        <f>IF(tblOrdenes[[#This Row],[centro_costo]]="","",_xlfn.XLOOKUP(tblOrdenes[[#This Row],[centro_costo]],tblCECO[codigo],tblCECO[area],"(sin catálogo)"))</f>
        <v/>
      </c>
      <c r="Y9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2" s="5">
        <f>IF(tblOrdenes[[#This Row],[centro_costo]]="","",_xlfn.XLOOKUP(tblOrdenes[[#This Row],[centro_costo]],tblCECO[codigo],tblCECO[coordinador],"(sin catálogo)"))</f>
        <v/>
      </c>
      <c r="AA952" s="5">
        <f>IF(tblOrdenes[[#This Row],[puesto_trabajo]]="","",_xlfn.XLOOKUP(tblOrdenes[[#This Row],[puesto_trabajo]],tblPuestos[codigo],tblPuestos[especialidad],"(sin catálogo)"))</f>
        <v/>
      </c>
      <c r="AB952" s="5">
        <f>IF(tblOrdenes[[#This Row],[cod_actividad]]="","",_xlfn.XLOOKUP(tblOrdenes[[#This Row],[cod_actividad]],tblActividades[codigo],tblActividades[descripcion],"(sin catálogo)"))</f>
        <v/>
      </c>
      <c r="AC952" s="20">
        <f>IF(tblOrdenes[[#This Row],[fecha_inicio]]="","",TODAY()-tblOrdenes[[#This Row],[fecha_inicio]])</f>
        <v/>
      </c>
      <c r="AD9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2" s="5">
        <f>IF(tblOrdenes[[#This Row],[backlog_habiles]]="","",IF(tblOrdenes[[#This Row],[backlog_habiles]]&lt;0,"FUTURO",IF(tblOrdenes[[#This Row],[backlog_habiles]]&gt;p_dias_backlog_max,"BACKLOG","MES CORRIENTE")))</f>
        <v/>
      </c>
      <c r="AF952" s="5">
        <f>IF(tblOrdenes[[#This Row],[backlog_habiles]]="",FALSE,AND(tblOrdenes[[#This Row],[backlog_habiles]]&gt;p_dias_backlog_min,tblOrdenes[[#This Row],[backlog_habiles]]&lt;=p_dias_backlog_max))</f>
        <v/>
      </c>
      <c r="AG952" s="4" t="n"/>
      <c r="AH9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2" s="18">
        <f>IF(tblOrdenes[[#This Row],[orden]]="","",_xlfn.XLOOKUP(tblOrdenes[[#This Row],[id_operacion]],tblEjecucion[id_operacion],tblEjecucion[precio],0))</f>
        <v/>
      </c>
      <c r="AL952" s="18">
        <f>IF(tblOrdenes[[#This Row],[orden]]="","",MAX(0,_xlfn.XLOOKUP(tblOrdenes[[#This Row],[id_operacion]],tblEjecucion[id_operacion],tblEjecucion[costo_plan_total],0)-tblOrdenes[[#This Row],[costo_servicio]]))</f>
        <v/>
      </c>
      <c r="AM952" s="18">
        <f>IF(tblOrdenes[[#This Row],[orden]]="","",tblOrdenes[[#This Row],[costo_servicio]]+tblOrdenes[[#This Row],[costo_materiales]])</f>
        <v/>
      </c>
      <c r="AN9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2" s="4" t="n"/>
      <c r="AP952" s="4" t="n"/>
      <c r="AQ952" s="4" t="n"/>
      <c r="AR952" s="5">
        <f>IF(tblOrdenes[[#This Row],[link_checklist]]="","",HYPERLINK(p_ruta_base_checklists&amp;tblOrdenes[[#This Row],[link_checklist]],"abrir"))</f>
        <v/>
      </c>
      <c r="AS952" s="4" t="n"/>
      <c r="AT952" s="5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22" t="n"/>
      <c r="K953" s="5" t="n"/>
      <c r="L953" s="18" t="n"/>
      <c r="M9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5">
        <f>IF(tblOrdenes[[#This Row],[fecha_inicio]]="","",YEAR(tblOrdenes[[#This Row],[fecha_inicio]]))</f>
        <v/>
      </c>
      <c r="Q953" s="5">
        <f>IF(tblOrdenes[[#This Row],[fecha_inicio]]="","",MONTH(tblOrdenes[[#This Row],[fecha_inicio]]))</f>
        <v/>
      </c>
      <c r="R953" s="5">
        <f>IF(tblOrdenes[[#This Row],[fecha_inicio]]="","",tblOrdenes[[#This Row],[anio]]&amp;"-"&amp;TEXT(tblOrdenes[[#This Row],[mes]],"00"))</f>
        <v/>
      </c>
      <c r="S953" s="5">
        <f>IF(tblOrdenes[[#This Row],[fecha_inicio]]="","",INDEX(lista_dias,WEEKDAY(tblOrdenes[[#This Row],[fecha_inicio]],2)))</f>
        <v/>
      </c>
      <c r="T9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3" s="5">
        <f>IF(tblOrdenes[[#This Row],[tipo_ot]]="","",_xlfn.XLOOKUP(tblOrdenes[[#This Row],[tipo_ot]],tblTiposOT[codigo],tblTiposOT[clasificacion],"sin_clasificar"))</f>
        <v/>
      </c>
      <c r="V9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3" s="5">
        <f>IF(tblOrdenes[[#This Row],[centro_costo]]="","",_xlfn.XLOOKUP(tblOrdenes[[#This Row],[centro_costo]],tblCECO[codigo],tblCECO[linea],"(sin catálogo)"))</f>
        <v/>
      </c>
      <c r="X953" s="5">
        <f>IF(tblOrdenes[[#This Row],[centro_costo]]="","",_xlfn.XLOOKUP(tblOrdenes[[#This Row],[centro_costo]],tblCECO[codigo],tblCECO[area],"(sin catálogo)"))</f>
        <v/>
      </c>
      <c r="Y9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3" s="5">
        <f>IF(tblOrdenes[[#This Row],[centro_costo]]="","",_xlfn.XLOOKUP(tblOrdenes[[#This Row],[centro_costo]],tblCECO[codigo],tblCECO[coordinador],"(sin catálogo)"))</f>
        <v/>
      </c>
      <c r="AA953" s="5">
        <f>IF(tblOrdenes[[#This Row],[puesto_trabajo]]="","",_xlfn.XLOOKUP(tblOrdenes[[#This Row],[puesto_trabajo]],tblPuestos[codigo],tblPuestos[especialidad],"(sin catálogo)"))</f>
        <v/>
      </c>
      <c r="AB953" s="5">
        <f>IF(tblOrdenes[[#This Row],[cod_actividad]]="","",_xlfn.XLOOKUP(tblOrdenes[[#This Row],[cod_actividad]],tblActividades[codigo],tblActividades[descripcion],"(sin catálogo)"))</f>
        <v/>
      </c>
      <c r="AC953" s="20">
        <f>IF(tblOrdenes[[#This Row],[fecha_inicio]]="","",TODAY()-tblOrdenes[[#This Row],[fecha_inicio]])</f>
        <v/>
      </c>
      <c r="AD9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3" s="5">
        <f>IF(tblOrdenes[[#This Row],[backlog_habiles]]="","",IF(tblOrdenes[[#This Row],[backlog_habiles]]&lt;0,"FUTURO",IF(tblOrdenes[[#This Row],[backlog_habiles]]&gt;p_dias_backlog_max,"BACKLOG","MES CORRIENTE")))</f>
        <v/>
      </c>
      <c r="AF953" s="5">
        <f>IF(tblOrdenes[[#This Row],[backlog_habiles]]="",FALSE,AND(tblOrdenes[[#This Row],[backlog_habiles]]&gt;p_dias_backlog_min,tblOrdenes[[#This Row],[backlog_habiles]]&lt;=p_dias_backlog_max))</f>
        <v/>
      </c>
      <c r="AG953" s="4" t="n"/>
      <c r="AH9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3" s="18">
        <f>IF(tblOrdenes[[#This Row],[orden]]="","",_xlfn.XLOOKUP(tblOrdenes[[#This Row],[id_operacion]],tblEjecucion[id_operacion],tblEjecucion[precio],0))</f>
        <v/>
      </c>
      <c r="AL953" s="18">
        <f>IF(tblOrdenes[[#This Row],[orden]]="","",MAX(0,_xlfn.XLOOKUP(tblOrdenes[[#This Row],[id_operacion]],tblEjecucion[id_operacion],tblEjecucion[costo_plan_total],0)-tblOrdenes[[#This Row],[costo_servicio]]))</f>
        <v/>
      </c>
      <c r="AM953" s="18">
        <f>IF(tblOrdenes[[#This Row],[orden]]="","",tblOrdenes[[#This Row],[costo_servicio]]+tblOrdenes[[#This Row],[costo_materiales]])</f>
        <v/>
      </c>
      <c r="AN9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3" s="4" t="n"/>
      <c r="AP953" s="4" t="n"/>
      <c r="AQ953" s="4" t="n"/>
      <c r="AR953" s="5">
        <f>IF(tblOrdenes[[#This Row],[link_checklist]]="","",HYPERLINK(p_ruta_base_checklists&amp;tblOrdenes[[#This Row],[link_checklist]],"abrir"))</f>
        <v/>
      </c>
      <c r="AS953" s="4" t="n"/>
      <c r="AT953" s="5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22" t="n"/>
      <c r="K954" s="5" t="n"/>
      <c r="L954" s="18" t="n"/>
      <c r="M9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5">
        <f>IF(tblOrdenes[[#This Row],[fecha_inicio]]="","",YEAR(tblOrdenes[[#This Row],[fecha_inicio]]))</f>
        <v/>
      </c>
      <c r="Q954" s="5">
        <f>IF(tblOrdenes[[#This Row],[fecha_inicio]]="","",MONTH(tblOrdenes[[#This Row],[fecha_inicio]]))</f>
        <v/>
      </c>
      <c r="R954" s="5">
        <f>IF(tblOrdenes[[#This Row],[fecha_inicio]]="","",tblOrdenes[[#This Row],[anio]]&amp;"-"&amp;TEXT(tblOrdenes[[#This Row],[mes]],"00"))</f>
        <v/>
      </c>
      <c r="S954" s="5">
        <f>IF(tblOrdenes[[#This Row],[fecha_inicio]]="","",INDEX(lista_dias,WEEKDAY(tblOrdenes[[#This Row],[fecha_inicio]],2)))</f>
        <v/>
      </c>
      <c r="T9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4" s="5">
        <f>IF(tblOrdenes[[#This Row],[tipo_ot]]="","",_xlfn.XLOOKUP(tblOrdenes[[#This Row],[tipo_ot]],tblTiposOT[codigo],tblTiposOT[clasificacion],"sin_clasificar"))</f>
        <v/>
      </c>
      <c r="V9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4" s="5">
        <f>IF(tblOrdenes[[#This Row],[centro_costo]]="","",_xlfn.XLOOKUP(tblOrdenes[[#This Row],[centro_costo]],tblCECO[codigo],tblCECO[linea],"(sin catálogo)"))</f>
        <v/>
      </c>
      <c r="X954" s="5">
        <f>IF(tblOrdenes[[#This Row],[centro_costo]]="","",_xlfn.XLOOKUP(tblOrdenes[[#This Row],[centro_costo]],tblCECO[codigo],tblCECO[area],"(sin catálogo)"))</f>
        <v/>
      </c>
      <c r="Y9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4" s="5">
        <f>IF(tblOrdenes[[#This Row],[centro_costo]]="","",_xlfn.XLOOKUP(tblOrdenes[[#This Row],[centro_costo]],tblCECO[codigo],tblCECO[coordinador],"(sin catálogo)"))</f>
        <v/>
      </c>
      <c r="AA954" s="5">
        <f>IF(tblOrdenes[[#This Row],[puesto_trabajo]]="","",_xlfn.XLOOKUP(tblOrdenes[[#This Row],[puesto_trabajo]],tblPuestos[codigo],tblPuestos[especialidad],"(sin catálogo)"))</f>
        <v/>
      </c>
      <c r="AB954" s="5">
        <f>IF(tblOrdenes[[#This Row],[cod_actividad]]="","",_xlfn.XLOOKUP(tblOrdenes[[#This Row],[cod_actividad]],tblActividades[codigo],tblActividades[descripcion],"(sin catálogo)"))</f>
        <v/>
      </c>
      <c r="AC954" s="20">
        <f>IF(tblOrdenes[[#This Row],[fecha_inicio]]="","",TODAY()-tblOrdenes[[#This Row],[fecha_inicio]])</f>
        <v/>
      </c>
      <c r="AD9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4" s="5">
        <f>IF(tblOrdenes[[#This Row],[backlog_habiles]]="","",IF(tblOrdenes[[#This Row],[backlog_habiles]]&lt;0,"FUTURO",IF(tblOrdenes[[#This Row],[backlog_habiles]]&gt;p_dias_backlog_max,"BACKLOG","MES CORRIENTE")))</f>
        <v/>
      </c>
      <c r="AF954" s="5">
        <f>IF(tblOrdenes[[#This Row],[backlog_habiles]]="",FALSE,AND(tblOrdenes[[#This Row],[backlog_habiles]]&gt;p_dias_backlog_min,tblOrdenes[[#This Row],[backlog_habiles]]&lt;=p_dias_backlog_max))</f>
        <v/>
      </c>
      <c r="AG954" s="4" t="n"/>
      <c r="AH9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4" s="18">
        <f>IF(tblOrdenes[[#This Row],[orden]]="","",_xlfn.XLOOKUP(tblOrdenes[[#This Row],[id_operacion]],tblEjecucion[id_operacion],tblEjecucion[precio],0))</f>
        <v/>
      </c>
      <c r="AL954" s="18">
        <f>IF(tblOrdenes[[#This Row],[orden]]="","",MAX(0,_xlfn.XLOOKUP(tblOrdenes[[#This Row],[id_operacion]],tblEjecucion[id_operacion],tblEjecucion[costo_plan_total],0)-tblOrdenes[[#This Row],[costo_servicio]]))</f>
        <v/>
      </c>
      <c r="AM954" s="18">
        <f>IF(tblOrdenes[[#This Row],[orden]]="","",tblOrdenes[[#This Row],[costo_servicio]]+tblOrdenes[[#This Row],[costo_materiales]])</f>
        <v/>
      </c>
      <c r="AN9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4" s="4" t="n"/>
      <c r="AP954" s="4" t="n"/>
      <c r="AQ954" s="4" t="n"/>
      <c r="AR954" s="5">
        <f>IF(tblOrdenes[[#This Row],[link_checklist]]="","",HYPERLINK(p_ruta_base_checklists&amp;tblOrdenes[[#This Row],[link_checklist]],"abrir"))</f>
        <v/>
      </c>
      <c r="AS954" s="4" t="n"/>
      <c r="AT954" s="5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22" t="n"/>
      <c r="K955" s="5" t="n"/>
      <c r="L955" s="18" t="n"/>
      <c r="M9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5">
        <f>IF(tblOrdenes[[#This Row],[fecha_inicio]]="","",YEAR(tblOrdenes[[#This Row],[fecha_inicio]]))</f>
        <v/>
      </c>
      <c r="Q955" s="5">
        <f>IF(tblOrdenes[[#This Row],[fecha_inicio]]="","",MONTH(tblOrdenes[[#This Row],[fecha_inicio]]))</f>
        <v/>
      </c>
      <c r="R955" s="5">
        <f>IF(tblOrdenes[[#This Row],[fecha_inicio]]="","",tblOrdenes[[#This Row],[anio]]&amp;"-"&amp;TEXT(tblOrdenes[[#This Row],[mes]],"00"))</f>
        <v/>
      </c>
      <c r="S955" s="5">
        <f>IF(tblOrdenes[[#This Row],[fecha_inicio]]="","",INDEX(lista_dias,WEEKDAY(tblOrdenes[[#This Row],[fecha_inicio]],2)))</f>
        <v/>
      </c>
      <c r="T9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5" s="5">
        <f>IF(tblOrdenes[[#This Row],[tipo_ot]]="","",_xlfn.XLOOKUP(tblOrdenes[[#This Row],[tipo_ot]],tblTiposOT[codigo],tblTiposOT[clasificacion],"sin_clasificar"))</f>
        <v/>
      </c>
      <c r="V9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5" s="5">
        <f>IF(tblOrdenes[[#This Row],[centro_costo]]="","",_xlfn.XLOOKUP(tblOrdenes[[#This Row],[centro_costo]],tblCECO[codigo],tblCECO[linea],"(sin catálogo)"))</f>
        <v/>
      </c>
      <c r="X955" s="5">
        <f>IF(tblOrdenes[[#This Row],[centro_costo]]="","",_xlfn.XLOOKUP(tblOrdenes[[#This Row],[centro_costo]],tblCECO[codigo],tblCECO[area],"(sin catálogo)"))</f>
        <v/>
      </c>
      <c r="Y9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5" s="5">
        <f>IF(tblOrdenes[[#This Row],[centro_costo]]="","",_xlfn.XLOOKUP(tblOrdenes[[#This Row],[centro_costo]],tblCECO[codigo],tblCECO[coordinador],"(sin catálogo)"))</f>
        <v/>
      </c>
      <c r="AA955" s="5">
        <f>IF(tblOrdenes[[#This Row],[puesto_trabajo]]="","",_xlfn.XLOOKUP(tblOrdenes[[#This Row],[puesto_trabajo]],tblPuestos[codigo],tblPuestos[especialidad],"(sin catálogo)"))</f>
        <v/>
      </c>
      <c r="AB955" s="5">
        <f>IF(tblOrdenes[[#This Row],[cod_actividad]]="","",_xlfn.XLOOKUP(tblOrdenes[[#This Row],[cod_actividad]],tblActividades[codigo],tblActividades[descripcion],"(sin catálogo)"))</f>
        <v/>
      </c>
      <c r="AC955" s="20">
        <f>IF(tblOrdenes[[#This Row],[fecha_inicio]]="","",TODAY()-tblOrdenes[[#This Row],[fecha_inicio]])</f>
        <v/>
      </c>
      <c r="AD9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5" s="5">
        <f>IF(tblOrdenes[[#This Row],[backlog_habiles]]="","",IF(tblOrdenes[[#This Row],[backlog_habiles]]&lt;0,"FUTURO",IF(tblOrdenes[[#This Row],[backlog_habiles]]&gt;p_dias_backlog_max,"BACKLOG","MES CORRIENTE")))</f>
        <v/>
      </c>
      <c r="AF955" s="5">
        <f>IF(tblOrdenes[[#This Row],[backlog_habiles]]="",FALSE,AND(tblOrdenes[[#This Row],[backlog_habiles]]&gt;p_dias_backlog_min,tblOrdenes[[#This Row],[backlog_habiles]]&lt;=p_dias_backlog_max))</f>
        <v/>
      </c>
      <c r="AG955" s="4" t="n"/>
      <c r="AH9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5" s="18">
        <f>IF(tblOrdenes[[#This Row],[orden]]="","",_xlfn.XLOOKUP(tblOrdenes[[#This Row],[id_operacion]],tblEjecucion[id_operacion],tblEjecucion[precio],0))</f>
        <v/>
      </c>
      <c r="AL955" s="18">
        <f>IF(tblOrdenes[[#This Row],[orden]]="","",MAX(0,_xlfn.XLOOKUP(tblOrdenes[[#This Row],[id_operacion]],tblEjecucion[id_operacion],tblEjecucion[costo_plan_total],0)-tblOrdenes[[#This Row],[costo_servicio]]))</f>
        <v/>
      </c>
      <c r="AM955" s="18">
        <f>IF(tblOrdenes[[#This Row],[orden]]="","",tblOrdenes[[#This Row],[costo_servicio]]+tblOrdenes[[#This Row],[costo_materiales]])</f>
        <v/>
      </c>
      <c r="AN9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5" s="4" t="n"/>
      <c r="AP955" s="4" t="n"/>
      <c r="AQ955" s="4" t="n"/>
      <c r="AR955" s="5">
        <f>IF(tblOrdenes[[#This Row],[link_checklist]]="","",HYPERLINK(p_ruta_base_checklists&amp;tblOrdenes[[#This Row],[link_checklist]],"abrir"))</f>
        <v/>
      </c>
      <c r="AS955" s="4" t="n"/>
      <c r="AT955" s="5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22" t="n"/>
      <c r="K956" s="5" t="n"/>
      <c r="L956" s="18" t="n"/>
      <c r="M9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5">
        <f>IF(tblOrdenes[[#This Row],[fecha_inicio]]="","",YEAR(tblOrdenes[[#This Row],[fecha_inicio]]))</f>
        <v/>
      </c>
      <c r="Q956" s="5">
        <f>IF(tblOrdenes[[#This Row],[fecha_inicio]]="","",MONTH(tblOrdenes[[#This Row],[fecha_inicio]]))</f>
        <v/>
      </c>
      <c r="R956" s="5">
        <f>IF(tblOrdenes[[#This Row],[fecha_inicio]]="","",tblOrdenes[[#This Row],[anio]]&amp;"-"&amp;TEXT(tblOrdenes[[#This Row],[mes]],"00"))</f>
        <v/>
      </c>
      <c r="S956" s="5">
        <f>IF(tblOrdenes[[#This Row],[fecha_inicio]]="","",INDEX(lista_dias,WEEKDAY(tblOrdenes[[#This Row],[fecha_inicio]],2)))</f>
        <v/>
      </c>
      <c r="T9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6" s="5">
        <f>IF(tblOrdenes[[#This Row],[tipo_ot]]="","",_xlfn.XLOOKUP(tblOrdenes[[#This Row],[tipo_ot]],tblTiposOT[codigo],tblTiposOT[clasificacion],"sin_clasificar"))</f>
        <v/>
      </c>
      <c r="V9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6" s="5">
        <f>IF(tblOrdenes[[#This Row],[centro_costo]]="","",_xlfn.XLOOKUP(tblOrdenes[[#This Row],[centro_costo]],tblCECO[codigo],tblCECO[linea],"(sin catálogo)"))</f>
        <v/>
      </c>
      <c r="X956" s="5">
        <f>IF(tblOrdenes[[#This Row],[centro_costo]]="","",_xlfn.XLOOKUP(tblOrdenes[[#This Row],[centro_costo]],tblCECO[codigo],tblCECO[area],"(sin catálogo)"))</f>
        <v/>
      </c>
      <c r="Y9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6" s="5">
        <f>IF(tblOrdenes[[#This Row],[centro_costo]]="","",_xlfn.XLOOKUP(tblOrdenes[[#This Row],[centro_costo]],tblCECO[codigo],tblCECO[coordinador],"(sin catálogo)"))</f>
        <v/>
      </c>
      <c r="AA956" s="5">
        <f>IF(tblOrdenes[[#This Row],[puesto_trabajo]]="","",_xlfn.XLOOKUP(tblOrdenes[[#This Row],[puesto_trabajo]],tblPuestos[codigo],tblPuestos[especialidad],"(sin catálogo)"))</f>
        <v/>
      </c>
      <c r="AB956" s="5">
        <f>IF(tblOrdenes[[#This Row],[cod_actividad]]="","",_xlfn.XLOOKUP(tblOrdenes[[#This Row],[cod_actividad]],tblActividades[codigo],tblActividades[descripcion],"(sin catálogo)"))</f>
        <v/>
      </c>
      <c r="AC956" s="20">
        <f>IF(tblOrdenes[[#This Row],[fecha_inicio]]="","",TODAY()-tblOrdenes[[#This Row],[fecha_inicio]])</f>
        <v/>
      </c>
      <c r="AD9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6" s="5">
        <f>IF(tblOrdenes[[#This Row],[backlog_habiles]]="","",IF(tblOrdenes[[#This Row],[backlog_habiles]]&lt;0,"FUTURO",IF(tblOrdenes[[#This Row],[backlog_habiles]]&gt;p_dias_backlog_max,"BACKLOG","MES CORRIENTE")))</f>
        <v/>
      </c>
      <c r="AF956" s="5">
        <f>IF(tblOrdenes[[#This Row],[backlog_habiles]]="",FALSE,AND(tblOrdenes[[#This Row],[backlog_habiles]]&gt;p_dias_backlog_min,tblOrdenes[[#This Row],[backlog_habiles]]&lt;=p_dias_backlog_max))</f>
        <v/>
      </c>
      <c r="AG956" s="4" t="n"/>
      <c r="AH9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6" s="18">
        <f>IF(tblOrdenes[[#This Row],[orden]]="","",_xlfn.XLOOKUP(tblOrdenes[[#This Row],[id_operacion]],tblEjecucion[id_operacion],tblEjecucion[precio],0))</f>
        <v/>
      </c>
      <c r="AL956" s="18">
        <f>IF(tblOrdenes[[#This Row],[orden]]="","",MAX(0,_xlfn.XLOOKUP(tblOrdenes[[#This Row],[id_operacion]],tblEjecucion[id_operacion],tblEjecucion[costo_plan_total],0)-tblOrdenes[[#This Row],[costo_servicio]]))</f>
        <v/>
      </c>
      <c r="AM956" s="18">
        <f>IF(tblOrdenes[[#This Row],[orden]]="","",tblOrdenes[[#This Row],[costo_servicio]]+tblOrdenes[[#This Row],[costo_materiales]])</f>
        <v/>
      </c>
      <c r="AN9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6" s="4" t="n"/>
      <c r="AP956" s="4" t="n"/>
      <c r="AQ956" s="4" t="n"/>
      <c r="AR956" s="5">
        <f>IF(tblOrdenes[[#This Row],[link_checklist]]="","",HYPERLINK(p_ruta_base_checklists&amp;tblOrdenes[[#This Row],[link_checklist]],"abrir"))</f>
        <v/>
      </c>
      <c r="AS956" s="4" t="n"/>
      <c r="AT956" s="5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22" t="n"/>
      <c r="K957" s="5" t="n"/>
      <c r="L957" s="18" t="n"/>
      <c r="M9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5">
        <f>IF(tblOrdenes[[#This Row],[fecha_inicio]]="","",YEAR(tblOrdenes[[#This Row],[fecha_inicio]]))</f>
        <v/>
      </c>
      <c r="Q957" s="5">
        <f>IF(tblOrdenes[[#This Row],[fecha_inicio]]="","",MONTH(tblOrdenes[[#This Row],[fecha_inicio]]))</f>
        <v/>
      </c>
      <c r="R957" s="5">
        <f>IF(tblOrdenes[[#This Row],[fecha_inicio]]="","",tblOrdenes[[#This Row],[anio]]&amp;"-"&amp;TEXT(tblOrdenes[[#This Row],[mes]],"00"))</f>
        <v/>
      </c>
      <c r="S957" s="5">
        <f>IF(tblOrdenes[[#This Row],[fecha_inicio]]="","",INDEX(lista_dias,WEEKDAY(tblOrdenes[[#This Row],[fecha_inicio]],2)))</f>
        <v/>
      </c>
      <c r="T9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7" s="5">
        <f>IF(tblOrdenes[[#This Row],[tipo_ot]]="","",_xlfn.XLOOKUP(tblOrdenes[[#This Row],[tipo_ot]],tblTiposOT[codigo],tblTiposOT[clasificacion],"sin_clasificar"))</f>
        <v/>
      </c>
      <c r="V9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7" s="5">
        <f>IF(tblOrdenes[[#This Row],[centro_costo]]="","",_xlfn.XLOOKUP(tblOrdenes[[#This Row],[centro_costo]],tblCECO[codigo],tblCECO[linea],"(sin catálogo)"))</f>
        <v/>
      </c>
      <c r="X957" s="5">
        <f>IF(tblOrdenes[[#This Row],[centro_costo]]="","",_xlfn.XLOOKUP(tblOrdenes[[#This Row],[centro_costo]],tblCECO[codigo],tblCECO[area],"(sin catálogo)"))</f>
        <v/>
      </c>
      <c r="Y9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7" s="5">
        <f>IF(tblOrdenes[[#This Row],[centro_costo]]="","",_xlfn.XLOOKUP(tblOrdenes[[#This Row],[centro_costo]],tblCECO[codigo],tblCECO[coordinador],"(sin catálogo)"))</f>
        <v/>
      </c>
      <c r="AA957" s="5">
        <f>IF(tblOrdenes[[#This Row],[puesto_trabajo]]="","",_xlfn.XLOOKUP(tblOrdenes[[#This Row],[puesto_trabajo]],tblPuestos[codigo],tblPuestos[especialidad],"(sin catálogo)"))</f>
        <v/>
      </c>
      <c r="AB957" s="5">
        <f>IF(tblOrdenes[[#This Row],[cod_actividad]]="","",_xlfn.XLOOKUP(tblOrdenes[[#This Row],[cod_actividad]],tblActividades[codigo],tblActividades[descripcion],"(sin catálogo)"))</f>
        <v/>
      </c>
      <c r="AC957" s="20">
        <f>IF(tblOrdenes[[#This Row],[fecha_inicio]]="","",TODAY()-tblOrdenes[[#This Row],[fecha_inicio]])</f>
        <v/>
      </c>
      <c r="AD9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7" s="5">
        <f>IF(tblOrdenes[[#This Row],[backlog_habiles]]="","",IF(tblOrdenes[[#This Row],[backlog_habiles]]&lt;0,"FUTURO",IF(tblOrdenes[[#This Row],[backlog_habiles]]&gt;p_dias_backlog_max,"BACKLOG","MES CORRIENTE")))</f>
        <v/>
      </c>
      <c r="AF957" s="5">
        <f>IF(tblOrdenes[[#This Row],[backlog_habiles]]="",FALSE,AND(tblOrdenes[[#This Row],[backlog_habiles]]&gt;p_dias_backlog_min,tblOrdenes[[#This Row],[backlog_habiles]]&lt;=p_dias_backlog_max))</f>
        <v/>
      </c>
      <c r="AG957" s="4" t="n"/>
      <c r="AH9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7" s="18">
        <f>IF(tblOrdenes[[#This Row],[orden]]="","",_xlfn.XLOOKUP(tblOrdenes[[#This Row],[id_operacion]],tblEjecucion[id_operacion],tblEjecucion[precio],0))</f>
        <v/>
      </c>
      <c r="AL957" s="18">
        <f>IF(tblOrdenes[[#This Row],[orden]]="","",MAX(0,_xlfn.XLOOKUP(tblOrdenes[[#This Row],[id_operacion]],tblEjecucion[id_operacion],tblEjecucion[costo_plan_total],0)-tblOrdenes[[#This Row],[costo_servicio]]))</f>
        <v/>
      </c>
      <c r="AM957" s="18">
        <f>IF(tblOrdenes[[#This Row],[orden]]="","",tblOrdenes[[#This Row],[costo_servicio]]+tblOrdenes[[#This Row],[costo_materiales]])</f>
        <v/>
      </c>
      <c r="AN9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7" s="4" t="n"/>
      <c r="AP957" s="4" t="n"/>
      <c r="AQ957" s="4" t="n"/>
      <c r="AR957" s="5">
        <f>IF(tblOrdenes[[#This Row],[link_checklist]]="","",HYPERLINK(p_ruta_base_checklists&amp;tblOrdenes[[#This Row],[link_checklist]],"abrir"))</f>
        <v/>
      </c>
      <c r="AS957" s="4" t="n"/>
      <c r="AT957" s="5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22" t="n"/>
      <c r="K958" s="5" t="n"/>
      <c r="L958" s="18" t="n"/>
      <c r="M9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5">
        <f>IF(tblOrdenes[[#This Row],[fecha_inicio]]="","",YEAR(tblOrdenes[[#This Row],[fecha_inicio]]))</f>
        <v/>
      </c>
      <c r="Q958" s="5">
        <f>IF(tblOrdenes[[#This Row],[fecha_inicio]]="","",MONTH(tblOrdenes[[#This Row],[fecha_inicio]]))</f>
        <v/>
      </c>
      <c r="R958" s="5">
        <f>IF(tblOrdenes[[#This Row],[fecha_inicio]]="","",tblOrdenes[[#This Row],[anio]]&amp;"-"&amp;TEXT(tblOrdenes[[#This Row],[mes]],"00"))</f>
        <v/>
      </c>
      <c r="S958" s="5">
        <f>IF(tblOrdenes[[#This Row],[fecha_inicio]]="","",INDEX(lista_dias,WEEKDAY(tblOrdenes[[#This Row],[fecha_inicio]],2)))</f>
        <v/>
      </c>
      <c r="T9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8" s="5">
        <f>IF(tblOrdenes[[#This Row],[tipo_ot]]="","",_xlfn.XLOOKUP(tblOrdenes[[#This Row],[tipo_ot]],tblTiposOT[codigo],tblTiposOT[clasificacion],"sin_clasificar"))</f>
        <v/>
      </c>
      <c r="V9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8" s="5">
        <f>IF(tblOrdenes[[#This Row],[centro_costo]]="","",_xlfn.XLOOKUP(tblOrdenes[[#This Row],[centro_costo]],tblCECO[codigo],tblCECO[linea],"(sin catálogo)"))</f>
        <v/>
      </c>
      <c r="X958" s="5">
        <f>IF(tblOrdenes[[#This Row],[centro_costo]]="","",_xlfn.XLOOKUP(tblOrdenes[[#This Row],[centro_costo]],tblCECO[codigo],tblCECO[area],"(sin catálogo)"))</f>
        <v/>
      </c>
      <c r="Y9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8" s="5">
        <f>IF(tblOrdenes[[#This Row],[centro_costo]]="","",_xlfn.XLOOKUP(tblOrdenes[[#This Row],[centro_costo]],tblCECO[codigo],tblCECO[coordinador],"(sin catálogo)"))</f>
        <v/>
      </c>
      <c r="AA958" s="5">
        <f>IF(tblOrdenes[[#This Row],[puesto_trabajo]]="","",_xlfn.XLOOKUP(tblOrdenes[[#This Row],[puesto_trabajo]],tblPuestos[codigo],tblPuestos[especialidad],"(sin catálogo)"))</f>
        <v/>
      </c>
      <c r="AB958" s="5">
        <f>IF(tblOrdenes[[#This Row],[cod_actividad]]="","",_xlfn.XLOOKUP(tblOrdenes[[#This Row],[cod_actividad]],tblActividades[codigo],tblActividades[descripcion],"(sin catálogo)"))</f>
        <v/>
      </c>
      <c r="AC958" s="20">
        <f>IF(tblOrdenes[[#This Row],[fecha_inicio]]="","",TODAY()-tblOrdenes[[#This Row],[fecha_inicio]])</f>
        <v/>
      </c>
      <c r="AD9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8" s="5">
        <f>IF(tblOrdenes[[#This Row],[backlog_habiles]]="","",IF(tblOrdenes[[#This Row],[backlog_habiles]]&lt;0,"FUTURO",IF(tblOrdenes[[#This Row],[backlog_habiles]]&gt;p_dias_backlog_max,"BACKLOG","MES CORRIENTE")))</f>
        <v/>
      </c>
      <c r="AF958" s="5">
        <f>IF(tblOrdenes[[#This Row],[backlog_habiles]]="",FALSE,AND(tblOrdenes[[#This Row],[backlog_habiles]]&gt;p_dias_backlog_min,tblOrdenes[[#This Row],[backlog_habiles]]&lt;=p_dias_backlog_max))</f>
        <v/>
      </c>
      <c r="AG958" s="4" t="n"/>
      <c r="AH9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8" s="18">
        <f>IF(tblOrdenes[[#This Row],[orden]]="","",_xlfn.XLOOKUP(tblOrdenes[[#This Row],[id_operacion]],tblEjecucion[id_operacion],tblEjecucion[precio],0))</f>
        <v/>
      </c>
      <c r="AL958" s="18">
        <f>IF(tblOrdenes[[#This Row],[orden]]="","",MAX(0,_xlfn.XLOOKUP(tblOrdenes[[#This Row],[id_operacion]],tblEjecucion[id_operacion],tblEjecucion[costo_plan_total],0)-tblOrdenes[[#This Row],[costo_servicio]]))</f>
        <v/>
      </c>
      <c r="AM958" s="18">
        <f>IF(tblOrdenes[[#This Row],[orden]]="","",tblOrdenes[[#This Row],[costo_servicio]]+tblOrdenes[[#This Row],[costo_materiales]])</f>
        <v/>
      </c>
      <c r="AN9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8" s="4" t="n"/>
      <c r="AP958" s="4" t="n"/>
      <c r="AQ958" s="4" t="n"/>
      <c r="AR958" s="5">
        <f>IF(tblOrdenes[[#This Row],[link_checklist]]="","",HYPERLINK(p_ruta_base_checklists&amp;tblOrdenes[[#This Row],[link_checklist]],"abrir"))</f>
        <v/>
      </c>
      <c r="AS958" s="4" t="n"/>
      <c r="AT958" s="5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22" t="n"/>
      <c r="K959" s="5" t="n"/>
      <c r="L959" s="18" t="n"/>
      <c r="M9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5">
        <f>IF(tblOrdenes[[#This Row],[fecha_inicio]]="","",YEAR(tblOrdenes[[#This Row],[fecha_inicio]]))</f>
        <v/>
      </c>
      <c r="Q959" s="5">
        <f>IF(tblOrdenes[[#This Row],[fecha_inicio]]="","",MONTH(tblOrdenes[[#This Row],[fecha_inicio]]))</f>
        <v/>
      </c>
      <c r="R959" s="5">
        <f>IF(tblOrdenes[[#This Row],[fecha_inicio]]="","",tblOrdenes[[#This Row],[anio]]&amp;"-"&amp;TEXT(tblOrdenes[[#This Row],[mes]],"00"))</f>
        <v/>
      </c>
      <c r="S959" s="5">
        <f>IF(tblOrdenes[[#This Row],[fecha_inicio]]="","",INDEX(lista_dias,WEEKDAY(tblOrdenes[[#This Row],[fecha_inicio]],2)))</f>
        <v/>
      </c>
      <c r="T9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9" s="5">
        <f>IF(tblOrdenes[[#This Row],[tipo_ot]]="","",_xlfn.XLOOKUP(tblOrdenes[[#This Row],[tipo_ot]],tblTiposOT[codigo],tblTiposOT[clasificacion],"sin_clasificar"))</f>
        <v/>
      </c>
      <c r="V9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9" s="5">
        <f>IF(tblOrdenes[[#This Row],[centro_costo]]="","",_xlfn.XLOOKUP(tblOrdenes[[#This Row],[centro_costo]],tblCECO[codigo],tblCECO[linea],"(sin catálogo)"))</f>
        <v/>
      </c>
      <c r="X959" s="5">
        <f>IF(tblOrdenes[[#This Row],[centro_costo]]="","",_xlfn.XLOOKUP(tblOrdenes[[#This Row],[centro_costo]],tblCECO[codigo],tblCECO[area],"(sin catálogo)"))</f>
        <v/>
      </c>
      <c r="Y9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59" s="5">
        <f>IF(tblOrdenes[[#This Row],[centro_costo]]="","",_xlfn.XLOOKUP(tblOrdenes[[#This Row],[centro_costo]],tblCECO[codigo],tblCECO[coordinador],"(sin catálogo)"))</f>
        <v/>
      </c>
      <c r="AA959" s="5">
        <f>IF(tblOrdenes[[#This Row],[puesto_trabajo]]="","",_xlfn.XLOOKUP(tblOrdenes[[#This Row],[puesto_trabajo]],tblPuestos[codigo],tblPuestos[especialidad],"(sin catálogo)"))</f>
        <v/>
      </c>
      <c r="AB959" s="5">
        <f>IF(tblOrdenes[[#This Row],[cod_actividad]]="","",_xlfn.XLOOKUP(tblOrdenes[[#This Row],[cod_actividad]],tblActividades[codigo],tblActividades[descripcion],"(sin catálogo)"))</f>
        <v/>
      </c>
      <c r="AC959" s="20">
        <f>IF(tblOrdenes[[#This Row],[fecha_inicio]]="","",TODAY()-tblOrdenes[[#This Row],[fecha_inicio]])</f>
        <v/>
      </c>
      <c r="AD9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59" s="5">
        <f>IF(tblOrdenes[[#This Row],[backlog_habiles]]="","",IF(tblOrdenes[[#This Row],[backlog_habiles]]&lt;0,"FUTURO",IF(tblOrdenes[[#This Row],[backlog_habiles]]&gt;p_dias_backlog_max,"BACKLOG","MES CORRIENTE")))</f>
        <v/>
      </c>
      <c r="AF959" s="5">
        <f>IF(tblOrdenes[[#This Row],[backlog_habiles]]="",FALSE,AND(tblOrdenes[[#This Row],[backlog_habiles]]&gt;p_dias_backlog_min,tblOrdenes[[#This Row],[backlog_habiles]]&lt;=p_dias_backlog_max))</f>
        <v/>
      </c>
      <c r="AG959" s="4" t="n"/>
      <c r="AH9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59" s="18">
        <f>IF(tblOrdenes[[#This Row],[orden]]="","",_xlfn.XLOOKUP(tblOrdenes[[#This Row],[id_operacion]],tblEjecucion[id_operacion],tblEjecucion[precio],0))</f>
        <v/>
      </c>
      <c r="AL959" s="18">
        <f>IF(tblOrdenes[[#This Row],[orden]]="","",MAX(0,_xlfn.XLOOKUP(tblOrdenes[[#This Row],[id_operacion]],tblEjecucion[id_operacion],tblEjecucion[costo_plan_total],0)-tblOrdenes[[#This Row],[costo_servicio]]))</f>
        <v/>
      </c>
      <c r="AM959" s="18">
        <f>IF(tblOrdenes[[#This Row],[orden]]="","",tblOrdenes[[#This Row],[costo_servicio]]+tblOrdenes[[#This Row],[costo_materiales]])</f>
        <v/>
      </c>
      <c r="AN9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59" s="4" t="n"/>
      <c r="AP959" s="4" t="n"/>
      <c r="AQ959" s="4" t="n"/>
      <c r="AR959" s="5">
        <f>IF(tblOrdenes[[#This Row],[link_checklist]]="","",HYPERLINK(p_ruta_base_checklists&amp;tblOrdenes[[#This Row],[link_checklist]],"abrir"))</f>
        <v/>
      </c>
      <c r="AS959" s="4" t="n"/>
      <c r="AT959" s="5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22" t="n"/>
      <c r="K960" s="5" t="n"/>
      <c r="L960" s="18" t="n"/>
      <c r="M9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5">
        <f>IF(tblOrdenes[[#This Row],[fecha_inicio]]="","",YEAR(tblOrdenes[[#This Row],[fecha_inicio]]))</f>
        <v/>
      </c>
      <c r="Q960" s="5">
        <f>IF(tblOrdenes[[#This Row],[fecha_inicio]]="","",MONTH(tblOrdenes[[#This Row],[fecha_inicio]]))</f>
        <v/>
      </c>
      <c r="R960" s="5">
        <f>IF(tblOrdenes[[#This Row],[fecha_inicio]]="","",tblOrdenes[[#This Row],[anio]]&amp;"-"&amp;TEXT(tblOrdenes[[#This Row],[mes]],"00"))</f>
        <v/>
      </c>
      <c r="S960" s="5">
        <f>IF(tblOrdenes[[#This Row],[fecha_inicio]]="","",INDEX(lista_dias,WEEKDAY(tblOrdenes[[#This Row],[fecha_inicio]],2)))</f>
        <v/>
      </c>
      <c r="T9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0" s="5">
        <f>IF(tblOrdenes[[#This Row],[tipo_ot]]="","",_xlfn.XLOOKUP(tblOrdenes[[#This Row],[tipo_ot]],tblTiposOT[codigo],tblTiposOT[clasificacion],"sin_clasificar"))</f>
        <v/>
      </c>
      <c r="V9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0" s="5">
        <f>IF(tblOrdenes[[#This Row],[centro_costo]]="","",_xlfn.XLOOKUP(tblOrdenes[[#This Row],[centro_costo]],tblCECO[codigo],tblCECO[linea],"(sin catálogo)"))</f>
        <v/>
      </c>
      <c r="X960" s="5">
        <f>IF(tblOrdenes[[#This Row],[centro_costo]]="","",_xlfn.XLOOKUP(tblOrdenes[[#This Row],[centro_costo]],tblCECO[codigo],tblCECO[area],"(sin catálogo)"))</f>
        <v/>
      </c>
      <c r="Y9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0" s="5">
        <f>IF(tblOrdenes[[#This Row],[centro_costo]]="","",_xlfn.XLOOKUP(tblOrdenes[[#This Row],[centro_costo]],tblCECO[codigo],tblCECO[coordinador],"(sin catálogo)"))</f>
        <v/>
      </c>
      <c r="AA960" s="5">
        <f>IF(tblOrdenes[[#This Row],[puesto_trabajo]]="","",_xlfn.XLOOKUP(tblOrdenes[[#This Row],[puesto_trabajo]],tblPuestos[codigo],tblPuestos[especialidad],"(sin catálogo)"))</f>
        <v/>
      </c>
      <c r="AB960" s="5">
        <f>IF(tblOrdenes[[#This Row],[cod_actividad]]="","",_xlfn.XLOOKUP(tblOrdenes[[#This Row],[cod_actividad]],tblActividades[codigo],tblActividades[descripcion],"(sin catálogo)"))</f>
        <v/>
      </c>
      <c r="AC960" s="20">
        <f>IF(tblOrdenes[[#This Row],[fecha_inicio]]="","",TODAY()-tblOrdenes[[#This Row],[fecha_inicio]])</f>
        <v/>
      </c>
      <c r="AD9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0" s="5">
        <f>IF(tblOrdenes[[#This Row],[backlog_habiles]]="","",IF(tblOrdenes[[#This Row],[backlog_habiles]]&lt;0,"FUTURO",IF(tblOrdenes[[#This Row],[backlog_habiles]]&gt;p_dias_backlog_max,"BACKLOG","MES CORRIENTE")))</f>
        <v/>
      </c>
      <c r="AF960" s="5">
        <f>IF(tblOrdenes[[#This Row],[backlog_habiles]]="",FALSE,AND(tblOrdenes[[#This Row],[backlog_habiles]]&gt;p_dias_backlog_min,tblOrdenes[[#This Row],[backlog_habiles]]&lt;=p_dias_backlog_max))</f>
        <v/>
      </c>
      <c r="AG960" s="4" t="n"/>
      <c r="AH9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0" s="18">
        <f>IF(tblOrdenes[[#This Row],[orden]]="","",_xlfn.XLOOKUP(tblOrdenes[[#This Row],[id_operacion]],tblEjecucion[id_operacion],tblEjecucion[precio],0))</f>
        <v/>
      </c>
      <c r="AL960" s="18">
        <f>IF(tblOrdenes[[#This Row],[orden]]="","",MAX(0,_xlfn.XLOOKUP(tblOrdenes[[#This Row],[id_operacion]],tblEjecucion[id_operacion],tblEjecucion[costo_plan_total],0)-tblOrdenes[[#This Row],[costo_servicio]]))</f>
        <v/>
      </c>
      <c r="AM960" s="18">
        <f>IF(tblOrdenes[[#This Row],[orden]]="","",tblOrdenes[[#This Row],[costo_servicio]]+tblOrdenes[[#This Row],[costo_materiales]])</f>
        <v/>
      </c>
      <c r="AN9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0" s="4" t="n"/>
      <c r="AP960" s="4" t="n"/>
      <c r="AQ960" s="4" t="n"/>
      <c r="AR960" s="5">
        <f>IF(tblOrdenes[[#This Row],[link_checklist]]="","",HYPERLINK(p_ruta_base_checklists&amp;tblOrdenes[[#This Row],[link_checklist]],"abrir"))</f>
        <v/>
      </c>
      <c r="AS960" s="4" t="n"/>
      <c r="AT960" s="5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22" t="n"/>
      <c r="K961" s="5" t="n"/>
      <c r="L961" s="18" t="n"/>
      <c r="M9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5">
        <f>IF(tblOrdenes[[#This Row],[fecha_inicio]]="","",YEAR(tblOrdenes[[#This Row],[fecha_inicio]]))</f>
        <v/>
      </c>
      <c r="Q961" s="5">
        <f>IF(tblOrdenes[[#This Row],[fecha_inicio]]="","",MONTH(tblOrdenes[[#This Row],[fecha_inicio]]))</f>
        <v/>
      </c>
      <c r="R961" s="5">
        <f>IF(tblOrdenes[[#This Row],[fecha_inicio]]="","",tblOrdenes[[#This Row],[anio]]&amp;"-"&amp;TEXT(tblOrdenes[[#This Row],[mes]],"00"))</f>
        <v/>
      </c>
      <c r="S961" s="5">
        <f>IF(tblOrdenes[[#This Row],[fecha_inicio]]="","",INDEX(lista_dias,WEEKDAY(tblOrdenes[[#This Row],[fecha_inicio]],2)))</f>
        <v/>
      </c>
      <c r="T9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1" s="5">
        <f>IF(tblOrdenes[[#This Row],[tipo_ot]]="","",_xlfn.XLOOKUP(tblOrdenes[[#This Row],[tipo_ot]],tblTiposOT[codigo],tblTiposOT[clasificacion],"sin_clasificar"))</f>
        <v/>
      </c>
      <c r="V9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1" s="5">
        <f>IF(tblOrdenes[[#This Row],[centro_costo]]="","",_xlfn.XLOOKUP(tblOrdenes[[#This Row],[centro_costo]],tblCECO[codigo],tblCECO[linea],"(sin catálogo)"))</f>
        <v/>
      </c>
      <c r="X961" s="5">
        <f>IF(tblOrdenes[[#This Row],[centro_costo]]="","",_xlfn.XLOOKUP(tblOrdenes[[#This Row],[centro_costo]],tblCECO[codigo],tblCECO[area],"(sin catálogo)"))</f>
        <v/>
      </c>
      <c r="Y9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1" s="5">
        <f>IF(tblOrdenes[[#This Row],[centro_costo]]="","",_xlfn.XLOOKUP(tblOrdenes[[#This Row],[centro_costo]],tblCECO[codigo],tblCECO[coordinador],"(sin catálogo)"))</f>
        <v/>
      </c>
      <c r="AA961" s="5">
        <f>IF(tblOrdenes[[#This Row],[puesto_trabajo]]="","",_xlfn.XLOOKUP(tblOrdenes[[#This Row],[puesto_trabajo]],tblPuestos[codigo],tblPuestos[especialidad],"(sin catálogo)"))</f>
        <v/>
      </c>
      <c r="AB961" s="5">
        <f>IF(tblOrdenes[[#This Row],[cod_actividad]]="","",_xlfn.XLOOKUP(tblOrdenes[[#This Row],[cod_actividad]],tblActividades[codigo],tblActividades[descripcion],"(sin catálogo)"))</f>
        <v/>
      </c>
      <c r="AC961" s="20">
        <f>IF(tblOrdenes[[#This Row],[fecha_inicio]]="","",TODAY()-tblOrdenes[[#This Row],[fecha_inicio]])</f>
        <v/>
      </c>
      <c r="AD9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1" s="5">
        <f>IF(tblOrdenes[[#This Row],[backlog_habiles]]="","",IF(tblOrdenes[[#This Row],[backlog_habiles]]&lt;0,"FUTURO",IF(tblOrdenes[[#This Row],[backlog_habiles]]&gt;p_dias_backlog_max,"BACKLOG","MES CORRIENTE")))</f>
        <v/>
      </c>
      <c r="AF961" s="5">
        <f>IF(tblOrdenes[[#This Row],[backlog_habiles]]="",FALSE,AND(tblOrdenes[[#This Row],[backlog_habiles]]&gt;p_dias_backlog_min,tblOrdenes[[#This Row],[backlog_habiles]]&lt;=p_dias_backlog_max))</f>
        <v/>
      </c>
      <c r="AG961" s="4" t="n"/>
      <c r="AH9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1" s="18">
        <f>IF(tblOrdenes[[#This Row],[orden]]="","",_xlfn.XLOOKUP(tblOrdenes[[#This Row],[id_operacion]],tblEjecucion[id_operacion],tblEjecucion[precio],0))</f>
        <v/>
      </c>
      <c r="AL961" s="18">
        <f>IF(tblOrdenes[[#This Row],[orden]]="","",MAX(0,_xlfn.XLOOKUP(tblOrdenes[[#This Row],[id_operacion]],tblEjecucion[id_operacion],tblEjecucion[costo_plan_total],0)-tblOrdenes[[#This Row],[costo_servicio]]))</f>
        <v/>
      </c>
      <c r="AM961" s="18">
        <f>IF(tblOrdenes[[#This Row],[orden]]="","",tblOrdenes[[#This Row],[costo_servicio]]+tblOrdenes[[#This Row],[costo_materiales]])</f>
        <v/>
      </c>
      <c r="AN9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1" s="4" t="n"/>
      <c r="AP961" s="4" t="n"/>
      <c r="AQ961" s="4" t="n"/>
      <c r="AR961" s="5">
        <f>IF(tblOrdenes[[#This Row],[link_checklist]]="","",HYPERLINK(p_ruta_base_checklists&amp;tblOrdenes[[#This Row],[link_checklist]],"abrir"))</f>
        <v/>
      </c>
      <c r="AS961" s="4" t="n"/>
      <c r="AT961" s="5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22" t="n"/>
      <c r="K962" s="5" t="n"/>
      <c r="L962" s="18" t="n"/>
      <c r="M9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5">
        <f>IF(tblOrdenes[[#This Row],[fecha_inicio]]="","",YEAR(tblOrdenes[[#This Row],[fecha_inicio]]))</f>
        <v/>
      </c>
      <c r="Q962" s="5">
        <f>IF(tblOrdenes[[#This Row],[fecha_inicio]]="","",MONTH(tblOrdenes[[#This Row],[fecha_inicio]]))</f>
        <v/>
      </c>
      <c r="R962" s="5">
        <f>IF(tblOrdenes[[#This Row],[fecha_inicio]]="","",tblOrdenes[[#This Row],[anio]]&amp;"-"&amp;TEXT(tblOrdenes[[#This Row],[mes]],"00"))</f>
        <v/>
      </c>
      <c r="S962" s="5">
        <f>IF(tblOrdenes[[#This Row],[fecha_inicio]]="","",INDEX(lista_dias,WEEKDAY(tblOrdenes[[#This Row],[fecha_inicio]],2)))</f>
        <v/>
      </c>
      <c r="T9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2" s="5">
        <f>IF(tblOrdenes[[#This Row],[tipo_ot]]="","",_xlfn.XLOOKUP(tblOrdenes[[#This Row],[tipo_ot]],tblTiposOT[codigo],tblTiposOT[clasificacion],"sin_clasificar"))</f>
        <v/>
      </c>
      <c r="V9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2" s="5">
        <f>IF(tblOrdenes[[#This Row],[centro_costo]]="","",_xlfn.XLOOKUP(tblOrdenes[[#This Row],[centro_costo]],tblCECO[codigo],tblCECO[linea],"(sin catálogo)"))</f>
        <v/>
      </c>
      <c r="X962" s="5">
        <f>IF(tblOrdenes[[#This Row],[centro_costo]]="","",_xlfn.XLOOKUP(tblOrdenes[[#This Row],[centro_costo]],tblCECO[codigo],tblCECO[area],"(sin catálogo)"))</f>
        <v/>
      </c>
      <c r="Y9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2" s="5">
        <f>IF(tblOrdenes[[#This Row],[centro_costo]]="","",_xlfn.XLOOKUP(tblOrdenes[[#This Row],[centro_costo]],tblCECO[codigo],tblCECO[coordinador],"(sin catálogo)"))</f>
        <v/>
      </c>
      <c r="AA962" s="5">
        <f>IF(tblOrdenes[[#This Row],[puesto_trabajo]]="","",_xlfn.XLOOKUP(tblOrdenes[[#This Row],[puesto_trabajo]],tblPuestos[codigo],tblPuestos[especialidad],"(sin catálogo)"))</f>
        <v/>
      </c>
      <c r="AB962" s="5">
        <f>IF(tblOrdenes[[#This Row],[cod_actividad]]="","",_xlfn.XLOOKUP(tblOrdenes[[#This Row],[cod_actividad]],tblActividades[codigo],tblActividades[descripcion],"(sin catálogo)"))</f>
        <v/>
      </c>
      <c r="AC962" s="20">
        <f>IF(tblOrdenes[[#This Row],[fecha_inicio]]="","",TODAY()-tblOrdenes[[#This Row],[fecha_inicio]])</f>
        <v/>
      </c>
      <c r="AD9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2" s="5">
        <f>IF(tblOrdenes[[#This Row],[backlog_habiles]]="","",IF(tblOrdenes[[#This Row],[backlog_habiles]]&lt;0,"FUTURO",IF(tblOrdenes[[#This Row],[backlog_habiles]]&gt;p_dias_backlog_max,"BACKLOG","MES CORRIENTE")))</f>
        <v/>
      </c>
      <c r="AF962" s="5">
        <f>IF(tblOrdenes[[#This Row],[backlog_habiles]]="",FALSE,AND(tblOrdenes[[#This Row],[backlog_habiles]]&gt;p_dias_backlog_min,tblOrdenes[[#This Row],[backlog_habiles]]&lt;=p_dias_backlog_max))</f>
        <v/>
      </c>
      <c r="AG962" s="4" t="n"/>
      <c r="AH9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2" s="18">
        <f>IF(tblOrdenes[[#This Row],[orden]]="","",_xlfn.XLOOKUP(tblOrdenes[[#This Row],[id_operacion]],tblEjecucion[id_operacion],tblEjecucion[precio],0))</f>
        <v/>
      </c>
      <c r="AL962" s="18">
        <f>IF(tblOrdenes[[#This Row],[orden]]="","",MAX(0,_xlfn.XLOOKUP(tblOrdenes[[#This Row],[id_operacion]],tblEjecucion[id_operacion],tblEjecucion[costo_plan_total],0)-tblOrdenes[[#This Row],[costo_servicio]]))</f>
        <v/>
      </c>
      <c r="AM962" s="18">
        <f>IF(tblOrdenes[[#This Row],[orden]]="","",tblOrdenes[[#This Row],[costo_servicio]]+tblOrdenes[[#This Row],[costo_materiales]])</f>
        <v/>
      </c>
      <c r="AN9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2" s="4" t="n"/>
      <c r="AP962" s="4" t="n"/>
      <c r="AQ962" s="4" t="n"/>
      <c r="AR962" s="5">
        <f>IF(tblOrdenes[[#This Row],[link_checklist]]="","",HYPERLINK(p_ruta_base_checklists&amp;tblOrdenes[[#This Row],[link_checklist]],"abrir"))</f>
        <v/>
      </c>
      <c r="AS962" s="4" t="n"/>
      <c r="AT962" s="5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22" t="n"/>
      <c r="K963" s="5" t="n"/>
      <c r="L963" s="18" t="n"/>
      <c r="M9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5">
        <f>IF(tblOrdenes[[#This Row],[fecha_inicio]]="","",YEAR(tblOrdenes[[#This Row],[fecha_inicio]]))</f>
        <v/>
      </c>
      <c r="Q963" s="5">
        <f>IF(tblOrdenes[[#This Row],[fecha_inicio]]="","",MONTH(tblOrdenes[[#This Row],[fecha_inicio]]))</f>
        <v/>
      </c>
      <c r="R963" s="5">
        <f>IF(tblOrdenes[[#This Row],[fecha_inicio]]="","",tblOrdenes[[#This Row],[anio]]&amp;"-"&amp;TEXT(tblOrdenes[[#This Row],[mes]],"00"))</f>
        <v/>
      </c>
      <c r="S963" s="5">
        <f>IF(tblOrdenes[[#This Row],[fecha_inicio]]="","",INDEX(lista_dias,WEEKDAY(tblOrdenes[[#This Row],[fecha_inicio]],2)))</f>
        <v/>
      </c>
      <c r="T9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3" s="5">
        <f>IF(tblOrdenes[[#This Row],[tipo_ot]]="","",_xlfn.XLOOKUP(tblOrdenes[[#This Row],[tipo_ot]],tblTiposOT[codigo],tblTiposOT[clasificacion],"sin_clasificar"))</f>
        <v/>
      </c>
      <c r="V9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3" s="5">
        <f>IF(tblOrdenes[[#This Row],[centro_costo]]="","",_xlfn.XLOOKUP(tblOrdenes[[#This Row],[centro_costo]],tblCECO[codigo],tblCECO[linea],"(sin catálogo)"))</f>
        <v/>
      </c>
      <c r="X963" s="5">
        <f>IF(tblOrdenes[[#This Row],[centro_costo]]="","",_xlfn.XLOOKUP(tblOrdenes[[#This Row],[centro_costo]],tblCECO[codigo],tblCECO[area],"(sin catálogo)"))</f>
        <v/>
      </c>
      <c r="Y9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3" s="5">
        <f>IF(tblOrdenes[[#This Row],[centro_costo]]="","",_xlfn.XLOOKUP(tblOrdenes[[#This Row],[centro_costo]],tblCECO[codigo],tblCECO[coordinador],"(sin catálogo)"))</f>
        <v/>
      </c>
      <c r="AA963" s="5">
        <f>IF(tblOrdenes[[#This Row],[puesto_trabajo]]="","",_xlfn.XLOOKUP(tblOrdenes[[#This Row],[puesto_trabajo]],tblPuestos[codigo],tblPuestos[especialidad],"(sin catálogo)"))</f>
        <v/>
      </c>
      <c r="AB963" s="5">
        <f>IF(tblOrdenes[[#This Row],[cod_actividad]]="","",_xlfn.XLOOKUP(tblOrdenes[[#This Row],[cod_actividad]],tblActividades[codigo],tblActividades[descripcion],"(sin catálogo)"))</f>
        <v/>
      </c>
      <c r="AC963" s="20">
        <f>IF(tblOrdenes[[#This Row],[fecha_inicio]]="","",TODAY()-tblOrdenes[[#This Row],[fecha_inicio]])</f>
        <v/>
      </c>
      <c r="AD9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3" s="5">
        <f>IF(tblOrdenes[[#This Row],[backlog_habiles]]="","",IF(tblOrdenes[[#This Row],[backlog_habiles]]&lt;0,"FUTURO",IF(tblOrdenes[[#This Row],[backlog_habiles]]&gt;p_dias_backlog_max,"BACKLOG","MES CORRIENTE")))</f>
        <v/>
      </c>
      <c r="AF963" s="5">
        <f>IF(tblOrdenes[[#This Row],[backlog_habiles]]="",FALSE,AND(tblOrdenes[[#This Row],[backlog_habiles]]&gt;p_dias_backlog_min,tblOrdenes[[#This Row],[backlog_habiles]]&lt;=p_dias_backlog_max))</f>
        <v/>
      </c>
      <c r="AG963" s="4" t="n"/>
      <c r="AH9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3" s="18">
        <f>IF(tblOrdenes[[#This Row],[orden]]="","",_xlfn.XLOOKUP(tblOrdenes[[#This Row],[id_operacion]],tblEjecucion[id_operacion],tblEjecucion[precio],0))</f>
        <v/>
      </c>
      <c r="AL963" s="18">
        <f>IF(tblOrdenes[[#This Row],[orden]]="","",MAX(0,_xlfn.XLOOKUP(tblOrdenes[[#This Row],[id_operacion]],tblEjecucion[id_operacion],tblEjecucion[costo_plan_total],0)-tblOrdenes[[#This Row],[costo_servicio]]))</f>
        <v/>
      </c>
      <c r="AM963" s="18">
        <f>IF(tblOrdenes[[#This Row],[orden]]="","",tblOrdenes[[#This Row],[costo_servicio]]+tblOrdenes[[#This Row],[costo_materiales]])</f>
        <v/>
      </c>
      <c r="AN9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3" s="4" t="n"/>
      <c r="AP963" s="4" t="n"/>
      <c r="AQ963" s="4" t="n"/>
      <c r="AR963" s="5">
        <f>IF(tblOrdenes[[#This Row],[link_checklist]]="","",HYPERLINK(p_ruta_base_checklists&amp;tblOrdenes[[#This Row],[link_checklist]],"abrir"))</f>
        <v/>
      </c>
      <c r="AS963" s="4" t="n"/>
      <c r="AT963" s="5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22" t="n"/>
      <c r="K964" s="5" t="n"/>
      <c r="L964" s="18" t="n"/>
      <c r="M9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5">
        <f>IF(tblOrdenes[[#This Row],[fecha_inicio]]="","",YEAR(tblOrdenes[[#This Row],[fecha_inicio]]))</f>
        <v/>
      </c>
      <c r="Q964" s="5">
        <f>IF(tblOrdenes[[#This Row],[fecha_inicio]]="","",MONTH(tblOrdenes[[#This Row],[fecha_inicio]]))</f>
        <v/>
      </c>
      <c r="R964" s="5">
        <f>IF(tblOrdenes[[#This Row],[fecha_inicio]]="","",tblOrdenes[[#This Row],[anio]]&amp;"-"&amp;TEXT(tblOrdenes[[#This Row],[mes]],"00"))</f>
        <v/>
      </c>
      <c r="S964" s="5">
        <f>IF(tblOrdenes[[#This Row],[fecha_inicio]]="","",INDEX(lista_dias,WEEKDAY(tblOrdenes[[#This Row],[fecha_inicio]],2)))</f>
        <v/>
      </c>
      <c r="T9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4" s="5">
        <f>IF(tblOrdenes[[#This Row],[tipo_ot]]="","",_xlfn.XLOOKUP(tblOrdenes[[#This Row],[tipo_ot]],tblTiposOT[codigo],tblTiposOT[clasificacion],"sin_clasificar"))</f>
        <v/>
      </c>
      <c r="V9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4" s="5">
        <f>IF(tblOrdenes[[#This Row],[centro_costo]]="","",_xlfn.XLOOKUP(tblOrdenes[[#This Row],[centro_costo]],tblCECO[codigo],tblCECO[linea],"(sin catálogo)"))</f>
        <v/>
      </c>
      <c r="X964" s="5">
        <f>IF(tblOrdenes[[#This Row],[centro_costo]]="","",_xlfn.XLOOKUP(tblOrdenes[[#This Row],[centro_costo]],tblCECO[codigo],tblCECO[area],"(sin catálogo)"))</f>
        <v/>
      </c>
      <c r="Y9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4" s="5">
        <f>IF(tblOrdenes[[#This Row],[centro_costo]]="","",_xlfn.XLOOKUP(tblOrdenes[[#This Row],[centro_costo]],tblCECO[codigo],tblCECO[coordinador],"(sin catálogo)"))</f>
        <v/>
      </c>
      <c r="AA964" s="5">
        <f>IF(tblOrdenes[[#This Row],[puesto_trabajo]]="","",_xlfn.XLOOKUP(tblOrdenes[[#This Row],[puesto_trabajo]],tblPuestos[codigo],tblPuestos[especialidad],"(sin catálogo)"))</f>
        <v/>
      </c>
      <c r="AB964" s="5">
        <f>IF(tblOrdenes[[#This Row],[cod_actividad]]="","",_xlfn.XLOOKUP(tblOrdenes[[#This Row],[cod_actividad]],tblActividades[codigo],tblActividades[descripcion],"(sin catálogo)"))</f>
        <v/>
      </c>
      <c r="AC964" s="20">
        <f>IF(tblOrdenes[[#This Row],[fecha_inicio]]="","",TODAY()-tblOrdenes[[#This Row],[fecha_inicio]])</f>
        <v/>
      </c>
      <c r="AD9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4" s="5">
        <f>IF(tblOrdenes[[#This Row],[backlog_habiles]]="","",IF(tblOrdenes[[#This Row],[backlog_habiles]]&lt;0,"FUTURO",IF(tblOrdenes[[#This Row],[backlog_habiles]]&gt;p_dias_backlog_max,"BACKLOG","MES CORRIENTE")))</f>
        <v/>
      </c>
      <c r="AF964" s="5">
        <f>IF(tblOrdenes[[#This Row],[backlog_habiles]]="",FALSE,AND(tblOrdenes[[#This Row],[backlog_habiles]]&gt;p_dias_backlog_min,tblOrdenes[[#This Row],[backlog_habiles]]&lt;=p_dias_backlog_max))</f>
        <v/>
      </c>
      <c r="AG964" s="4" t="n"/>
      <c r="AH9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4" s="18">
        <f>IF(tblOrdenes[[#This Row],[orden]]="","",_xlfn.XLOOKUP(tblOrdenes[[#This Row],[id_operacion]],tblEjecucion[id_operacion],tblEjecucion[precio],0))</f>
        <v/>
      </c>
      <c r="AL964" s="18">
        <f>IF(tblOrdenes[[#This Row],[orden]]="","",MAX(0,_xlfn.XLOOKUP(tblOrdenes[[#This Row],[id_operacion]],tblEjecucion[id_operacion],tblEjecucion[costo_plan_total],0)-tblOrdenes[[#This Row],[costo_servicio]]))</f>
        <v/>
      </c>
      <c r="AM964" s="18">
        <f>IF(tblOrdenes[[#This Row],[orden]]="","",tblOrdenes[[#This Row],[costo_servicio]]+tblOrdenes[[#This Row],[costo_materiales]])</f>
        <v/>
      </c>
      <c r="AN9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4" s="4" t="n"/>
      <c r="AP964" s="4" t="n"/>
      <c r="AQ964" s="4" t="n"/>
      <c r="AR964" s="5">
        <f>IF(tblOrdenes[[#This Row],[link_checklist]]="","",HYPERLINK(p_ruta_base_checklists&amp;tblOrdenes[[#This Row],[link_checklist]],"abrir"))</f>
        <v/>
      </c>
      <c r="AS964" s="4" t="n"/>
      <c r="AT964" s="5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22" t="n"/>
      <c r="K965" s="5" t="n"/>
      <c r="L965" s="18" t="n"/>
      <c r="M9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5">
        <f>IF(tblOrdenes[[#This Row],[fecha_inicio]]="","",YEAR(tblOrdenes[[#This Row],[fecha_inicio]]))</f>
        <v/>
      </c>
      <c r="Q965" s="5">
        <f>IF(tblOrdenes[[#This Row],[fecha_inicio]]="","",MONTH(tblOrdenes[[#This Row],[fecha_inicio]]))</f>
        <v/>
      </c>
      <c r="R965" s="5">
        <f>IF(tblOrdenes[[#This Row],[fecha_inicio]]="","",tblOrdenes[[#This Row],[anio]]&amp;"-"&amp;TEXT(tblOrdenes[[#This Row],[mes]],"00"))</f>
        <v/>
      </c>
      <c r="S965" s="5">
        <f>IF(tblOrdenes[[#This Row],[fecha_inicio]]="","",INDEX(lista_dias,WEEKDAY(tblOrdenes[[#This Row],[fecha_inicio]],2)))</f>
        <v/>
      </c>
      <c r="T9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5" s="5">
        <f>IF(tblOrdenes[[#This Row],[tipo_ot]]="","",_xlfn.XLOOKUP(tblOrdenes[[#This Row],[tipo_ot]],tblTiposOT[codigo],tblTiposOT[clasificacion],"sin_clasificar"))</f>
        <v/>
      </c>
      <c r="V9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5" s="5">
        <f>IF(tblOrdenes[[#This Row],[centro_costo]]="","",_xlfn.XLOOKUP(tblOrdenes[[#This Row],[centro_costo]],tblCECO[codigo],tblCECO[linea],"(sin catálogo)"))</f>
        <v/>
      </c>
      <c r="X965" s="5">
        <f>IF(tblOrdenes[[#This Row],[centro_costo]]="","",_xlfn.XLOOKUP(tblOrdenes[[#This Row],[centro_costo]],tblCECO[codigo],tblCECO[area],"(sin catálogo)"))</f>
        <v/>
      </c>
      <c r="Y9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5" s="5">
        <f>IF(tblOrdenes[[#This Row],[centro_costo]]="","",_xlfn.XLOOKUP(tblOrdenes[[#This Row],[centro_costo]],tblCECO[codigo],tblCECO[coordinador],"(sin catálogo)"))</f>
        <v/>
      </c>
      <c r="AA965" s="5">
        <f>IF(tblOrdenes[[#This Row],[puesto_trabajo]]="","",_xlfn.XLOOKUP(tblOrdenes[[#This Row],[puesto_trabajo]],tblPuestos[codigo],tblPuestos[especialidad],"(sin catálogo)"))</f>
        <v/>
      </c>
      <c r="AB965" s="5">
        <f>IF(tblOrdenes[[#This Row],[cod_actividad]]="","",_xlfn.XLOOKUP(tblOrdenes[[#This Row],[cod_actividad]],tblActividades[codigo],tblActividades[descripcion],"(sin catálogo)"))</f>
        <v/>
      </c>
      <c r="AC965" s="20">
        <f>IF(tblOrdenes[[#This Row],[fecha_inicio]]="","",TODAY()-tblOrdenes[[#This Row],[fecha_inicio]])</f>
        <v/>
      </c>
      <c r="AD9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5" s="5">
        <f>IF(tblOrdenes[[#This Row],[backlog_habiles]]="","",IF(tblOrdenes[[#This Row],[backlog_habiles]]&lt;0,"FUTURO",IF(tblOrdenes[[#This Row],[backlog_habiles]]&gt;p_dias_backlog_max,"BACKLOG","MES CORRIENTE")))</f>
        <v/>
      </c>
      <c r="AF965" s="5">
        <f>IF(tblOrdenes[[#This Row],[backlog_habiles]]="",FALSE,AND(tblOrdenes[[#This Row],[backlog_habiles]]&gt;p_dias_backlog_min,tblOrdenes[[#This Row],[backlog_habiles]]&lt;=p_dias_backlog_max))</f>
        <v/>
      </c>
      <c r="AG965" s="4" t="n"/>
      <c r="AH9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5" s="18">
        <f>IF(tblOrdenes[[#This Row],[orden]]="","",_xlfn.XLOOKUP(tblOrdenes[[#This Row],[id_operacion]],tblEjecucion[id_operacion],tblEjecucion[precio],0))</f>
        <v/>
      </c>
      <c r="AL965" s="18">
        <f>IF(tblOrdenes[[#This Row],[orden]]="","",MAX(0,_xlfn.XLOOKUP(tblOrdenes[[#This Row],[id_operacion]],tblEjecucion[id_operacion],tblEjecucion[costo_plan_total],0)-tblOrdenes[[#This Row],[costo_servicio]]))</f>
        <v/>
      </c>
      <c r="AM965" s="18">
        <f>IF(tblOrdenes[[#This Row],[orden]]="","",tblOrdenes[[#This Row],[costo_servicio]]+tblOrdenes[[#This Row],[costo_materiales]])</f>
        <v/>
      </c>
      <c r="AN9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5" s="4" t="n"/>
      <c r="AP965" s="4" t="n"/>
      <c r="AQ965" s="4" t="n"/>
      <c r="AR965" s="5">
        <f>IF(tblOrdenes[[#This Row],[link_checklist]]="","",HYPERLINK(p_ruta_base_checklists&amp;tblOrdenes[[#This Row],[link_checklist]],"abrir"))</f>
        <v/>
      </c>
      <c r="AS965" s="4" t="n"/>
      <c r="AT965" s="5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22" t="n"/>
      <c r="K966" s="5" t="n"/>
      <c r="L966" s="18" t="n"/>
      <c r="M9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5">
        <f>IF(tblOrdenes[[#This Row],[fecha_inicio]]="","",YEAR(tblOrdenes[[#This Row],[fecha_inicio]]))</f>
        <v/>
      </c>
      <c r="Q966" s="5">
        <f>IF(tblOrdenes[[#This Row],[fecha_inicio]]="","",MONTH(tblOrdenes[[#This Row],[fecha_inicio]]))</f>
        <v/>
      </c>
      <c r="R966" s="5">
        <f>IF(tblOrdenes[[#This Row],[fecha_inicio]]="","",tblOrdenes[[#This Row],[anio]]&amp;"-"&amp;TEXT(tblOrdenes[[#This Row],[mes]],"00"))</f>
        <v/>
      </c>
      <c r="S966" s="5">
        <f>IF(tblOrdenes[[#This Row],[fecha_inicio]]="","",INDEX(lista_dias,WEEKDAY(tblOrdenes[[#This Row],[fecha_inicio]],2)))</f>
        <v/>
      </c>
      <c r="T9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6" s="5">
        <f>IF(tblOrdenes[[#This Row],[tipo_ot]]="","",_xlfn.XLOOKUP(tblOrdenes[[#This Row],[tipo_ot]],tblTiposOT[codigo],tblTiposOT[clasificacion],"sin_clasificar"))</f>
        <v/>
      </c>
      <c r="V9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6" s="5">
        <f>IF(tblOrdenes[[#This Row],[centro_costo]]="","",_xlfn.XLOOKUP(tblOrdenes[[#This Row],[centro_costo]],tblCECO[codigo],tblCECO[linea],"(sin catálogo)"))</f>
        <v/>
      </c>
      <c r="X966" s="5">
        <f>IF(tblOrdenes[[#This Row],[centro_costo]]="","",_xlfn.XLOOKUP(tblOrdenes[[#This Row],[centro_costo]],tblCECO[codigo],tblCECO[area],"(sin catálogo)"))</f>
        <v/>
      </c>
      <c r="Y9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6" s="5">
        <f>IF(tblOrdenes[[#This Row],[centro_costo]]="","",_xlfn.XLOOKUP(tblOrdenes[[#This Row],[centro_costo]],tblCECO[codigo],tblCECO[coordinador],"(sin catálogo)"))</f>
        <v/>
      </c>
      <c r="AA966" s="5">
        <f>IF(tblOrdenes[[#This Row],[puesto_trabajo]]="","",_xlfn.XLOOKUP(tblOrdenes[[#This Row],[puesto_trabajo]],tblPuestos[codigo],tblPuestos[especialidad],"(sin catálogo)"))</f>
        <v/>
      </c>
      <c r="AB966" s="5">
        <f>IF(tblOrdenes[[#This Row],[cod_actividad]]="","",_xlfn.XLOOKUP(tblOrdenes[[#This Row],[cod_actividad]],tblActividades[codigo],tblActividades[descripcion],"(sin catálogo)"))</f>
        <v/>
      </c>
      <c r="AC966" s="20">
        <f>IF(tblOrdenes[[#This Row],[fecha_inicio]]="","",TODAY()-tblOrdenes[[#This Row],[fecha_inicio]])</f>
        <v/>
      </c>
      <c r="AD9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6" s="5">
        <f>IF(tblOrdenes[[#This Row],[backlog_habiles]]="","",IF(tblOrdenes[[#This Row],[backlog_habiles]]&lt;0,"FUTURO",IF(tblOrdenes[[#This Row],[backlog_habiles]]&gt;p_dias_backlog_max,"BACKLOG","MES CORRIENTE")))</f>
        <v/>
      </c>
      <c r="AF966" s="5">
        <f>IF(tblOrdenes[[#This Row],[backlog_habiles]]="",FALSE,AND(tblOrdenes[[#This Row],[backlog_habiles]]&gt;p_dias_backlog_min,tblOrdenes[[#This Row],[backlog_habiles]]&lt;=p_dias_backlog_max))</f>
        <v/>
      </c>
      <c r="AG966" s="4" t="n"/>
      <c r="AH9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6" s="18">
        <f>IF(tblOrdenes[[#This Row],[orden]]="","",_xlfn.XLOOKUP(tblOrdenes[[#This Row],[id_operacion]],tblEjecucion[id_operacion],tblEjecucion[precio],0))</f>
        <v/>
      </c>
      <c r="AL966" s="18">
        <f>IF(tblOrdenes[[#This Row],[orden]]="","",MAX(0,_xlfn.XLOOKUP(tblOrdenes[[#This Row],[id_operacion]],tblEjecucion[id_operacion],tblEjecucion[costo_plan_total],0)-tblOrdenes[[#This Row],[costo_servicio]]))</f>
        <v/>
      </c>
      <c r="AM966" s="18">
        <f>IF(tblOrdenes[[#This Row],[orden]]="","",tblOrdenes[[#This Row],[costo_servicio]]+tblOrdenes[[#This Row],[costo_materiales]])</f>
        <v/>
      </c>
      <c r="AN9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6" s="4" t="n"/>
      <c r="AP966" s="4" t="n"/>
      <c r="AQ966" s="4" t="n"/>
      <c r="AR966" s="5">
        <f>IF(tblOrdenes[[#This Row],[link_checklist]]="","",HYPERLINK(p_ruta_base_checklists&amp;tblOrdenes[[#This Row],[link_checklist]],"abrir"))</f>
        <v/>
      </c>
      <c r="AS966" s="4" t="n"/>
      <c r="AT966" s="5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22" t="n"/>
      <c r="K967" s="5" t="n"/>
      <c r="L967" s="18" t="n"/>
      <c r="M9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5">
        <f>IF(tblOrdenes[[#This Row],[fecha_inicio]]="","",YEAR(tblOrdenes[[#This Row],[fecha_inicio]]))</f>
        <v/>
      </c>
      <c r="Q967" s="5">
        <f>IF(tblOrdenes[[#This Row],[fecha_inicio]]="","",MONTH(tblOrdenes[[#This Row],[fecha_inicio]]))</f>
        <v/>
      </c>
      <c r="R967" s="5">
        <f>IF(tblOrdenes[[#This Row],[fecha_inicio]]="","",tblOrdenes[[#This Row],[anio]]&amp;"-"&amp;TEXT(tblOrdenes[[#This Row],[mes]],"00"))</f>
        <v/>
      </c>
      <c r="S967" s="5">
        <f>IF(tblOrdenes[[#This Row],[fecha_inicio]]="","",INDEX(lista_dias,WEEKDAY(tblOrdenes[[#This Row],[fecha_inicio]],2)))</f>
        <v/>
      </c>
      <c r="T9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7" s="5">
        <f>IF(tblOrdenes[[#This Row],[tipo_ot]]="","",_xlfn.XLOOKUP(tblOrdenes[[#This Row],[tipo_ot]],tblTiposOT[codigo],tblTiposOT[clasificacion],"sin_clasificar"))</f>
        <v/>
      </c>
      <c r="V9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7" s="5">
        <f>IF(tblOrdenes[[#This Row],[centro_costo]]="","",_xlfn.XLOOKUP(tblOrdenes[[#This Row],[centro_costo]],tblCECO[codigo],tblCECO[linea],"(sin catálogo)"))</f>
        <v/>
      </c>
      <c r="X967" s="5">
        <f>IF(tblOrdenes[[#This Row],[centro_costo]]="","",_xlfn.XLOOKUP(tblOrdenes[[#This Row],[centro_costo]],tblCECO[codigo],tblCECO[area],"(sin catálogo)"))</f>
        <v/>
      </c>
      <c r="Y9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7" s="5">
        <f>IF(tblOrdenes[[#This Row],[centro_costo]]="","",_xlfn.XLOOKUP(tblOrdenes[[#This Row],[centro_costo]],tblCECO[codigo],tblCECO[coordinador],"(sin catálogo)"))</f>
        <v/>
      </c>
      <c r="AA967" s="5">
        <f>IF(tblOrdenes[[#This Row],[puesto_trabajo]]="","",_xlfn.XLOOKUP(tblOrdenes[[#This Row],[puesto_trabajo]],tblPuestos[codigo],tblPuestos[especialidad],"(sin catálogo)"))</f>
        <v/>
      </c>
      <c r="AB967" s="5">
        <f>IF(tblOrdenes[[#This Row],[cod_actividad]]="","",_xlfn.XLOOKUP(tblOrdenes[[#This Row],[cod_actividad]],tblActividades[codigo],tblActividades[descripcion],"(sin catálogo)"))</f>
        <v/>
      </c>
      <c r="AC967" s="20">
        <f>IF(tblOrdenes[[#This Row],[fecha_inicio]]="","",TODAY()-tblOrdenes[[#This Row],[fecha_inicio]])</f>
        <v/>
      </c>
      <c r="AD9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7" s="5">
        <f>IF(tblOrdenes[[#This Row],[backlog_habiles]]="","",IF(tblOrdenes[[#This Row],[backlog_habiles]]&lt;0,"FUTURO",IF(tblOrdenes[[#This Row],[backlog_habiles]]&gt;p_dias_backlog_max,"BACKLOG","MES CORRIENTE")))</f>
        <v/>
      </c>
      <c r="AF967" s="5">
        <f>IF(tblOrdenes[[#This Row],[backlog_habiles]]="",FALSE,AND(tblOrdenes[[#This Row],[backlog_habiles]]&gt;p_dias_backlog_min,tblOrdenes[[#This Row],[backlog_habiles]]&lt;=p_dias_backlog_max))</f>
        <v/>
      </c>
      <c r="AG967" s="4" t="n"/>
      <c r="AH9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7" s="18">
        <f>IF(tblOrdenes[[#This Row],[orden]]="","",_xlfn.XLOOKUP(tblOrdenes[[#This Row],[id_operacion]],tblEjecucion[id_operacion],tblEjecucion[precio],0))</f>
        <v/>
      </c>
      <c r="AL967" s="18">
        <f>IF(tblOrdenes[[#This Row],[orden]]="","",MAX(0,_xlfn.XLOOKUP(tblOrdenes[[#This Row],[id_operacion]],tblEjecucion[id_operacion],tblEjecucion[costo_plan_total],0)-tblOrdenes[[#This Row],[costo_servicio]]))</f>
        <v/>
      </c>
      <c r="AM967" s="18">
        <f>IF(tblOrdenes[[#This Row],[orden]]="","",tblOrdenes[[#This Row],[costo_servicio]]+tblOrdenes[[#This Row],[costo_materiales]])</f>
        <v/>
      </c>
      <c r="AN9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7" s="4" t="n"/>
      <c r="AP967" s="4" t="n"/>
      <c r="AQ967" s="4" t="n"/>
      <c r="AR967" s="5">
        <f>IF(tblOrdenes[[#This Row],[link_checklist]]="","",HYPERLINK(p_ruta_base_checklists&amp;tblOrdenes[[#This Row],[link_checklist]],"abrir"))</f>
        <v/>
      </c>
      <c r="AS967" s="4" t="n"/>
      <c r="AT967" s="5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22" t="n"/>
      <c r="K968" s="5" t="n"/>
      <c r="L968" s="18" t="n"/>
      <c r="M9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5">
        <f>IF(tblOrdenes[[#This Row],[fecha_inicio]]="","",YEAR(tblOrdenes[[#This Row],[fecha_inicio]]))</f>
        <v/>
      </c>
      <c r="Q968" s="5">
        <f>IF(tblOrdenes[[#This Row],[fecha_inicio]]="","",MONTH(tblOrdenes[[#This Row],[fecha_inicio]]))</f>
        <v/>
      </c>
      <c r="R968" s="5">
        <f>IF(tblOrdenes[[#This Row],[fecha_inicio]]="","",tblOrdenes[[#This Row],[anio]]&amp;"-"&amp;TEXT(tblOrdenes[[#This Row],[mes]],"00"))</f>
        <v/>
      </c>
      <c r="S968" s="5">
        <f>IF(tblOrdenes[[#This Row],[fecha_inicio]]="","",INDEX(lista_dias,WEEKDAY(tblOrdenes[[#This Row],[fecha_inicio]],2)))</f>
        <v/>
      </c>
      <c r="T9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8" s="5">
        <f>IF(tblOrdenes[[#This Row],[tipo_ot]]="","",_xlfn.XLOOKUP(tblOrdenes[[#This Row],[tipo_ot]],tblTiposOT[codigo],tblTiposOT[clasificacion],"sin_clasificar"))</f>
        <v/>
      </c>
      <c r="V9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8" s="5">
        <f>IF(tblOrdenes[[#This Row],[centro_costo]]="","",_xlfn.XLOOKUP(tblOrdenes[[#This Row],[centro_costo]],tblCECO[codigo],tblCECO[linea],"(sin catálogo)"))</f>
        <v/>
      </c>
      <c r="X968" s="5">
        <f>IF(tblOrdenes[[#This Row],[centro_costo]]="","",_xlfn.XLOOKUP(tblOrdenes[[#This Row],[centro_costo]],tblCECO[codigo],tblCECO[area],"(sin catálogo)"))</f>
        <v/>
      </c>
      <c r="Y9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8" s="5">
        <f>IF(tblOrdenes[[#This Row],[centro_costo]]="","",_xlfn.XLOOKUP(tblOrdenes[[#This Row],[centro_costo]],tblCECO[codigo],tblCECO[coordinador],"(sin catálogo)"))</f>
        <v/>
      </c>
      <c r="AA968" s="5">
        <f>IF(tblOrdenes[[#This Row],[puesto_trabajo]]="","",_xlfn.XLOOKUP(tblOrdenes[[#This Row],[puesto_trabajo]],tblPuestos[codigo],tblPuestos[especialidad],"(sin catálogo)"))</f>
        <v/>
      </c>
      <c r="AB968" s="5">
        <f>IF(tblOrdenes[[#This Row],[cod_actividad]]="","",_xlfn.XLOOKUP(tblOrdenes[[#This Row],[cod_actividad]],tblActividades[codigo],tblActividades[descripcion],"(sin catálogo)"))</f>
        <v/>
      </c>
      <c r="AC968" s="20">
        <f>IF(tblOrdenes[[#This Row],[fecha_inicio]]="","",TODAY()-tblOrdenes[[#This Row],[fecha_inicio]])</f>
        <v/>
      </c>
      <c r="AD9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8" s="5">
        <f>IF(tblOrdenes[[#This Row],[backlog_habiles]]="","",IF(tblOrdenes[[#This Row],[backlog_habiles]]&lt;0,"FUTURO",IF(tblOrdenes[[#This Row],[backlog_habiles]]&gt;p_dias_backlog_max,"BACKLOG","MES CORRIENTE")))</f>
        <v/>
      </c>
      <c r="AF968" s="5">
        <f>IF(tblOrdenes[[#This Row],[backlog_habiles]]="",FALSE,AND(tblOrdenes[[#This Row],[backlog_habiles]]&gt;p_dias_backlog_min,tblOrdenes[[#This Row],[backlog_habiles]]&lt;=p_dias_backlog_max))</f>
        <v/>
      </c>
      <c r="AG968" s="4" t="n"/>
      <c r="AH9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8" s="18">
        <f>IF(tblOrdenes[[#This Row],[orden]]="","",_xlfn.XLOOKUP(tblOrdenes[[#This Row],[id_operacion]],tblEjecucion[id_operacion],tblEjecucion[precio],0))</f>
        <v/>
      </c>
      <c r="AL968" s="18">
        <f>IF(tblOrdenes[[#This Row],[orden]]="","",MAX(0,_xlfn.XLOOKUP(tblOrdenes[[#This Row],[id_operacion]],tblEjecucion[id_operacion],tblEjecucion[costo_plan_total],0)-tblOrdenes[[#This Row],[costo_servicio]]))</f>
        <v/>
      </c>
      <c r="AM968" s="18">
        <f>IF(tblOrdenes[[#This Row],[orden]]="","",tblOrdenes[[#This Row],[costo_servicio]]+tblOrdenes[[#This Row],[costo_materiales]])</f>
        <v/>
      </c>
      <c r="AN9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8" s="4" t="n"/>
      <c r="AP968" s="4" t="n"/>
      <c r="AQ968" s="4" t="n"/>
      <c r="AR968" s="5">
        <f>IF(tblOrdenes[[#This Row],[link_checklist]]="","",HYPERLINK(p_ruta_base_checklists&amp;tblOrdenes[[#This Row],[link_checklist]],"abrir"))</f>
        <v/>
      </c>
      <c r="AS968" s="4" t="n"/>
      <c r="AT968" s="5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22" t="n"/>
      <c r="K969" s="5" t="n"/>
      <c r="L969" s="18" t="n"/>
      <c r="M9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5">
        <f>IF(tblOrdenes[[#This Row],[fecha_inicio]]="","",YEAR(tblOrdenes[[#This Row],[fecha_inicio]]))</f>
        <v/>
      </c>
      <c r="Q969" s="5">
        <f>IF(tblOrdenes[[#This Row],[fecha_inicio]]="","",MONTH(tblOrdenes[[#This Row],[fecha_inicio]]))</f>
        <v/>
      </c>
      <c r="R969" s="5">
        <f>IF(tblOrdenes[[#This Row],[fecha_inicio]]="","",tblOrdenes[[#This Row],[anio]]&amp;"-"&amp;TEXT(tblOrdenes[[#This Row],[mes]],"00"))</f>
        <v/>
      </c>
      <c r="S969" s="5">
        <f>IF(tblOrdenes[[#This Row],[fecha_inicio]]="","",INDEX(lista_dias,WEEKDAY(tblOrdenes[[#This Row],[fecha_inicio]],2)))</f>
        <v/>
      </c>
      <c r="T9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9" s="5">
        <f>IF(tblOrdenes[[#This Row],[tipo_ot]]="","",_xlfn.XLOOKUP(tblOrdenes[[#This Row],[tipo_ot]],tblTiposOT[codigo],tblTiposOT[clasificacion],"sin_clasificar"))</f>
        <v/>
      </c>
      <c r="V9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9" s="5">
        <f>IF(tblOrdenes[[#This Row],[centro_costo]]="","",_xlfn.XLOOKUP(tblOrdenes[[#This Row],[centro_costo]],tblCECO[codigo],tblCECO[linea],"(sin catálogo)"))</f>
        <v/>
      </c>
      <c r="X969" s="5">
        <f>IF(tblOrdenes[[#This Row],[centro_costo]]="","",_xlfn.XLOOKUP(tblOrdenes[[#This Row],[centro_costo]],tblCECO[codigo],tblCECO[area],"(sin catálogo)"))</f>
        <v/>
      </c>
      <c r="Y9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69" s="5">
        <f>IF(tblOrdenes[[#This Row],[centro_costo]]="","",_xlfn.XLOOKUP(tblOrdenes[[#This Row],[centro_costo]],tblCECO[codigo],tblCECO[coordinador],"(sin catálogo)"))</f>
        <v/>
      </c>
      <c r="AA969" s="5">
        <f>IF(tblOrdenes[[#This Row],[puesto_trabajo]]="","",_xlfn.XLOOKUP(tblOrdenes[[#This Row],[puesto_trabajo]],tblPuestos[codigo],tblPuestos[especialidad],"(sin catálogo)"))</f>
        <v/>
      </c>
      <c r="AB969" s="5">
        <f>IF(tblOrdenes[[#This Row],[cod_actividad]]="","",_xlfn.XLOOKUP(tblOrdenes[[#This Row],[cod_actividad]],tblActividades[codigo],tblActividades[descripcion],"(sin catálogo)"))</f>
        <v/>
      </c>
      <c r="AC969" s="20">
        <f>IF(tblOrdenes[[#This Row],[fecha_inicio]]="","",TODAY()-tblOrdenes[[#This Row],[fecha_inicio]])</f>
        <v/>
      </c>
      <c r="AD9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69" s="5">
        <f>IF(tblOrdenes[[#This Row],[backlog_habiles]]="","",IF(tblOrdenes[[#This Row],[backlog_habiles]]&lt;0,"FUTURO",IF(tblOrdenes[[#This Row],[backlog_habiles]]&gt;p_dias_backlog_max,"BACKLOG","MES CORRIENTE")))</f>
        <v/>
      </c>
      <c r="AF969" s="5">
        <f>IF(tblOrdenes[[#This Row],[backlog_habiles]]="",FALSE,AND(tblOrdenes[[#This Row],[backlog_habiles]]&gt;p_dias_backlog_min,tblOrdenes[[#This Row],[backlog_habiles]]&lt;=p_dias_backlog_max))</f>
        <v/>
      </c>
      <c r="AG969" s="4" t="n"/>
      <c r="AH9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69" s="18">
        <f>IF(tblOrdenes[[#This Row],[orden]]="","",_xlfn.XLOOKUP(tblOrdenes[[#This Row],[id_operacion]],tblEjecucion[id_operacion],tblEjecucion[precio],0))</f>
        <v/>
      </c>
      <c r="AL969" s="18">
        <f>IF(tblOrdenes[[#This Row],[orden]]="","",MAX(0,_xlfn.XLOOKUP(tblOrdenes[[#This Row],[id_operacion]],tblEjecucion[id_operacion],tblEjecucion[costo_plan_total],0)-tblOrdenes[[#This Row],[costo_servicio]]))</f>
        <v/>
      </c>
      <c r="AM969" s="18">
        <f>IF(tblOrdenes[[#This Row],[orden]]="","",tblOrdenes[[#This Row],[costo_servicio]]+tblOrdenes[[#This Row],[costo_materiales]])</f>
        <v/>
      </c>
      <c r="AN9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69" s="4" t="n"/>
      <c r="AP969" s="4" t="n"/>
      <c r="AQ969" s="4" t="n"/>
      <c r="AR969" s="5">
        <f>IF(tblOrdenes[[#This Row],[link_checklist]]="","",HYPERLINK(p_ruta_base_checklists&amp;tblOrdenes[[#This Row],[link_checklist]],"abrir"))</f>
        <v/>
      </c>
      <c r="AS969" s="4" t="n"/>
      <c r="AT969" s="5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22" t="n"/>
      <c r="K970" s="5" t="n"/>
      <c r="L970" s="18" t="n"/>
      <c r="M9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5">
        <f>IF(tblOrdenes[[#This Row],[fecha_inicio]]="","",YEAR(tblOrdenes[[#This Row],[fecha_inicio]]))</f>
        <v/>
      </c>
      <c r="Q970" s="5">
        <f>IF(tblOrdenes[[#This Row],[fecha_inicio]]="","",MONTH(tblOrdenes[[#This Row],[fecha_inicio]]))</f>
        <v/>
      </c>
      <c r="R970" s="5">
        <f>IF(tblOrdenes[[#This Row],[fecha_inicio]]="","",tblOrdenes[[#This Row],[anio]]&amp;"-"&amp;TEXT(tblOrdenes[[#This Row],[mes]],"00"))</f>
        <v/>
      </c>
      <c r="S970" s="5">
        <f>IF(tblOrdenes[[#This Row],[fecha_inicio]]="","",INDEX(lista_dias,WEEKDAY(tblOrdenes[[#This Row],[fecha_inicio]],2)))</f>
        <v/>
      </c>
      <c r="T9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0" s="5">
        <f>IF(tblOrdenes[[#This Row],[tipo_ot]]="","",_xlfn.XLOOKUP(tblOrdenes[[#This Row],[tipo_ot]],tblTiposOT[codigo],tblTiposOT[clasificacion],"sin_clasificar"))</f>
        <v/>
      </c>
      <c r="V9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0" s="5">
        <f>IF(tblOrdenes[[#This Row],[centro_costo]]="","",_xlfn.XLOOKUP(tblOrdenes[[#This Row],[centro_costo]],tblCECO[codigo],tblCECO[linea],"(sin catálogo)"))</f>
        <v/>
      </c>
      <c r="X970" s="5">
        <f>IF(tblOrdenes[[#This Row],[centro_costo]]="","",_xlfn.XLOOKUP(tblOrdenes[[#This Row],[centro_costo]],tblCECO[codigo],tblCECO[area],"(sin catálogo)"))</f>
        <v/>
      </c>
      <c r="Y9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0" s="5">
        <f>IF(tblOrdenes[[#This Row],[centro_costo]]="","",_xlfn.XLOOKUP(tblOrdenes[[#This Row],[centro_costo]],tblCECO[codigo],tblCECO[coordinador],"(sin catálogo)"))</f>
        <v/>
      </c>
      <c r="AA970" s="5">
        <f>IF(tblOrdenes[[#This Row],[puesto_trabajo]]="","",_xlfn.XLOOKUP(tblOrdenes[[#This Row],[puesto_trabajo]],tblPuestos[codigo],tblPuestos[especialidad],"(sin catálogo)"))</f>
        <v/>
      </c>
      <c r="AB970" s="5">
        <f>IF(tblOrdenes[[#This Row],[cod_actividad]]="","",_xlfn.XLOOKUP(tblOrdenes[[#This Row],[cod_actividad]],tblActividades[codigo],tblActividades[descripcion],"(sin catálogo)"))</f>
        <v/>
      </c>
      <c r="AC970" s="20">
        <f>IF(tblOrdenes[[#This Row],[fecha_inicio]]="","",TODAY()-tblOrdenes[[#This Row],[fecha_inicio]])</f>
        <v/>
      </c>
      <c r="AD9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0" s="5">
        <f>IF(tblOrdenes[[#This Row],[backlog_habiles]]="","",IF(tblOrdenes[[#This Row],[backlog_habiles]]&lt;0,"FUTURO",IF(tblOrdenes[[#This Row],[backlog_habiles]]&gt;p_dias_backlog_max,"BACKLOG","MES CORRIENTE")))</f>
        <v/>
      </c>
      <c r="AF970" s="5">
        <f>IF(tblOrdenes[[#This Row],[backlog_habiles]]="",FALSE,AND(tblOrdenes[[#This Row],[backlog_habiles]]&gt;p_dias_backlog_min,tblOrdenes[[#This Row],[backlog_habiles]]&lt;=p_dias_backlog_max))</f>
        <v/>
      </c>
      <c r="AG970" s="4" t="n"/>
      <c r="AH9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0" s="18">
        <f>IF(tblOrdenes[[#This Row],[orden]]="","",_xlfn.XLOOKUP(tblOrdenes[[#This Row],[id_operacion]],tblEjecucion[id_operacion],tblEjecucion[precio],0))</f>
        <v/>
      </c>
      <c r="AL970" s="18">
        <f>IF(tblOrdenes[[#This Row],[orden]]="","",MAX(0,_xlfn.XLOOKUP(tblOrdenes[[#This Row],[id_operacion]],tblEjecucion[id_operacion],tblEjecucion[costo_plan_total],0)-tblOrdenes[[#This Row],[costo_servicio]]))</f>
        <v/>
      </c>
      <c r="AM970" s="18">
        <f>IF(tblOrdenes[[#This Row],[orden]]="","",tblOrdenes[[#This Row],[costo_servicio]]+tblOrdenes[[#This Row],[costo_materiales]])</f>
        <v/>
      </c>
      <c r="AN9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0" s="4" t="n"/>
      <c r="AP970" s="4" t="n"/>
      <c r="AQ970" s="4" t="n"/>
      <c r="AR970" s="5">
        <f>IF(tblOrdenes[[#This Row],[link_checklist]]="","",HYPERLINK(p_ruta_base_checklists&amp;tblOrdenes[[#This Row],[link_checklist]],"abrir"))</f>
        <v/>
      </c>
      <c r="AS970" s="4" t="n"/>
      <c r="AT970" s="5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22" t="n"/>
      <c r="K971" s="5" t="n"/>
      <c r="L971" s="18" t="n"/>
      <c r="M9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5">
        <f>IF(tblOrdenes[[#This Row],[fecha_inicio]]="","",YEAR(tblOrdenes[[#This Row],[fecha_inicio]]))</f>
        <v/>
      </c>
      <c r="Q971" s="5">
        <f>IF(tblOrdenes[[#This Row],[fecha_inicio]]="","",MONTH(tblOrdenes[[#This Row],[fecha_inicio]]))</f>
        <v/>
      </c>
      <c r="R971" s="5">
        <f>IF(tblOrdenes[[#This Row],[fecha_inicio]]="","",tblOrdenes[[#This Row],[anio]]&amp;"-"&amp;TEXT(tblOrdenes[[#This Row],[mes]],"00"))</f>
        <v/>
      </c>
      <c r="S971" s="5">
        <f>IF(tblOrdenes[[#This Row],[fecha_inicio]]="","",INDEX(lista_dias,WEEKDAY(tblOrdenes[[#This Row],[fecha_inicio]],2)))</f>
        <v/>
      </c>
      <c r="T9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1" s="5">
        <f>IF(tblOrdenes[[#This Row],[tipo_ot]]="","",_xlfn.XLOOKUP(tblOrdenes[[#This Row],[tipo_ot]],tblTiposOT[codigo],tblTiposOT[clasificacion],"sin_clasificar"))</f>
        <v/>
      </c>
      <c r="V9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1" s="5">
        <f>IF(tblOrdenes[[#This Row],[centro_costo]]="","",_xlfn.XLOOKUP(tblOrdenes[[#This Row],[centro_costo]],tblCECO[codigo],tblCECO[linea],"(sin catálogo)"))</f>
        <v/>
      </c>
      <c r="X971" s="5">
        <f>IF(tblOrdenes[[#This Row],[centro_costo]]="","",_xlfn.XLOOKUP(tblOrdenes[[#This Row],[centro_costo]],tblCECO[codigo],tblCECO[area],"(sin catálogo)"))</f>
        <v/>
      </c>
      <c r="Y9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1" s="5">
        <f>IF(tblOrdenes[[#This Row],[centro_costo]]="","",_xlfn.XLOOKUP(tblOrdenes[[#This Row],[centro_costo]],tblCECO[codigo],tblCECO[coordinador],"(sin catálogo)"))</f>
        <v/>
      </c>
      <c r="AA971" s="5">
        <f>IF(tblOrdenes[[#This Row],[puesto_trabajo]]="","",_xlfn.XLOOKUP(tblOrdenes[[#This Row],[puesto_trabajo]],tblPuestos[codigo],tblPuestos[especialidad],"(sin catálogo)"))</f>
        <v/>
      </c>
      <c r="AB971" s="5">
        <f>IF(tblOrdenes[[#This Row],[cod_actividad]]="","",_xlfn.XLOOKUP(tblOrdenes[[#This Row],[cod_actividad]],tblActividades[codigo],tblActividades[descripcion],"(sin catálogo)"))</f>
        <v/>
      </c>
      <c r="AC971" s="20">
        <f>IF(tblOrdenes[[#This Row],[fecha_inicio]]="","",TODAY()-tblOrdenes[[#This Row],[fecha_inicio]])</f>
        <v/>
      </c>
      <c r="AD9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1" s="5">
        <f>IF(tblOrdenes[[#This Row],[backlog_habiles]]="","",IF(tblOrdenes[[#This Row],[backlog_habiles]]&lt;0,"FUTURO",IF(tblOrdenes[[#This Row],[backlog_habiles]]&gt;p_dias_backlog_max,"BACKLOG","MES CORRIENTE")))</f>
        <v/>
      </c>
      <c r="AF971" s="5">
        <f>IF(tblOrdenes[[#This Row],[backlog_habiles]]="",FALSE,AND(tblOrdenes[[#This Row],[backlog_habiles]]&gt;p_dias_backlog_min,tblOrdenes[[#This Row],[backlog_habiles]]&lt;=p_dias_backlog_max))</f>
        <v/>
      </c>
      <c r="AG971" s="4" t="n"/>
      <c r="AH9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1" s="18">
        <f>IF(tblOrdenes[[#This Row],[orden]]="","",_xlfn.XLOOKUP(tblOrdenes[[#This Row],[id_operacion]],tblEjecucion[id_operacion],tblEjecucion[precio],0))</f>
        <v/>
      </c>
      <c r="AL971" s="18">
        <f>IF(tblOrdenes[[#This Row],[orden]]="","",MAX(0,_xlfn.XLOOKUP(tblOrdenes[[#This Row],[id_operacion]],tblEjecucion[id_operacion],tblEjecucion[costo_plan_total],0)-tblOrdenes[[#This Row],[costo_servicio]]))</f>
        <v/>
      </c>
      <c r="AM971" s="18">
        <f>IF(tblOrdenes[[#This Row],[orden]]="","",tblOrdenes[[#This Row],[costo_servicio]]+tblOrdenes[[#This Row],[costo_materiales]])</f>
        <v/>
      </c>
      <c r="AN9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1" s="4" t="n"/>
      <c r="AP971" s="4" t="n"/>
      <c r="AQ971" s="4" t="n"/>
      <c r="AR971" s="5">
        <f>IF(tblOrdenes[[#This Row],[link_checklist]]="","",HYPERLINK(p_ruta_base_checklists&amp;tblOrdenes[[#This Row],[link_checklist]],"abrir"))</f>
        <v/>
      </c>
      <c r="AS971" s="4" t="n"/>
      <c r="AT971" s="5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22" t="n"/>
      <c r="K972" s="5" t="n"/>
      <c r="L972" s="18" t="n"/>
      <c r="M9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5">
        <f>IF(tblOrdenes[[#This Row],[fecha_inicio]]="","",YEAR(tblOrdenes[[#This Row],[fecha_inicio]]))</f>
        <v/>
      </c>
      <c r="Q972" s="5">
        <f>IF(tblOrdenes[[#This Row],[fecha_inicio]]="","",MONTH(tblOrdenes[[#This Row],[fecha_inicio]]))</f>
        <v/>
      </c>
      <c r="R972" s="5">
        <f>IF(tblOrdenes[[#This Row],[fecha_inicio]]="","",tblOrdenes[[#This Row],[anio]]&amp;"-"&amp;TEXT(tblOrdenes[[#This Row],[mes]],"00"))</f>
        <v/>
      </c>
      <c r="S972" s="5">
        <f>IF(tblOrdenes[[#This Row],[fecha_inicio]]="","",INDEX(lista_dias,WEEKDAY(tblOrdenes[[#This Row],[fecha_inicio]],2)))</f>
        <v/>
      </c>
      <c r="T9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2" s="5">
        <f>IF(tblOrdenes[[#This Row],[tipo_ot]]="","",_xlfn.XLOOKUP(tblOrdenes[[#This Row],[tipo_ot]],tblTiposOT[codigo],tblTiposOT[clasificacion],"sin_clasificar"))</f>
        <v/>
      </c>
      <c r="V9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2" s="5">
        <f>IF(tblOrdenes[[#This Row],[centro_costo]]="","",_xlfn.XLOOKUP(tblOrdenes[[#This Row],[centro_costo]],tblCECO[codigo],tblCECO[linea],"(sin catálogo)"))</f>
        <v/>
      </c>
      <c r="X972" s="5">
        <f>IF(tblOrdenes[[#This Row],[centro_costo]]="","",_xlfn.XLOOKUP(tblOrdenes[[#This Row],[centro_costo]],tblCECO[codigo],tblCECO[area],"(sin catálogo)"))</f>
        <v/>
      </c>
      <c r="Y9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2" s="5">
        <f>IF(tblOrdenes[[#This Row],[centro_costo]]="","",_xlfn.XLOOKUP(tblOrdenes[[#This Row],[centro_costo]],tblCECO[codigo],tblCECO[coordinador],"(sin catálogo)"))</f>
        <v/>
      </c>
      <c r="AA972" s="5">
        <f>IF(tblOrdenes[[#This Row],[puesto_trabajo]]="","",_xlfn.XLOOKUP(tblOrdenes[[#This Row],[puesto_trabajo]],tblPuestos[codigo],tblPuestos[especialidad],"(sin catálogo)"))</f>
        <v/>
      </c>
      <c r="AB972" s="5">
        <f>IF(tblOrdenes[[#This Row],[cod_actividad]]="","",_xlfn.XLOOKUP(tblOrdenes[[#This Row],[cod_actividad]],tblActividades[codigo],tblActividades[descripcion],"(sin catálogo)"))</f>
        <v/>
      </c>
      <c r="AC972" s="20">
        <f>IF(tblOrdenes[[#This Row],[fecha_inicio]]="","",TODAY()-tblOrdenes[[#This Row],[fecha_inicio]])</f>
        <v/>
      </c>
      <c r="AD9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2" s="5">
        <f>IF(tblOrdenes[[#This Row],[backlog_habiles]]="","",IF(tblOrdenes[[#This Row],[backlog_habiles]]&lt;0,"FUTURO",IF(tblOrdenes[[#This Row],[backlog_habiles]]&gt;p_dias_backlog_max,"BACKLOG","MES CORRIENTE")))</f>
        <v/>
      </c>
      <c r="AF972" s="5">
        <f>IF(tblOrdenes[[#This Row],[backlog_habiles]]="",FALSE,AND(tblOrdenes[[#This Row],[backlog_habiles]]&gt;p_dias_backlog_min,tblOrdenes[[#This Row],[backlog_habiles]]&lt;=p_dias_backlog_max))</f>
        <v/>
      </c>
      <c r="AG972" s="4" t="n"/>
      <c r="AH9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2" s="18">
        <f>IF(tblOrdenes[[#This Row],[orden]]="","",_xlfn.XLOOKUP(tblOrdenes[[#This Row],[id_operacion]],tblEjecucion[id_operacion],tblEjecucion[precio],0))</f>
        <v/>
      </c>
      <c r="AL972" s="18">
        <f>IF(tblOrdenes[[#This Row],[orden]]="","",MAX(0,_xlfn.XLOOKUP(tblOrdenes[[#This Row],[id_operacion]],tblEjecucion[id_operacion],tblEjecucion[costo_plan_total],0)-tblOrdenes[[#This Row],[costo_servicio]]))</f>
        <v/>
      </c>
      <c r="AM972" s="18">
        <f>IF(tblOrdenes[[#This Row],[orden]]="","",tblOrdenes[[#This Row],[costo_servicio]]+tblOrdenes[[#This Row],[costo_materiales]])</f>
        <v/>
      </c>
      <c r="AN9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2" s="4" t="n"/>
      <c r="AP972" s="4" t="n"/>
      <c r="AQ972" s="4" t="n"/>
      <c r="AR972" s="5">
        <f>IF(tblOrdenes[[#This Row],[link_checklist]]="","",HYPERLINK(p_ruta_base_checklists&amp;tblOrdenes[[#This Row],[link_checklist]],"abrir"))</f>
        <v/>
      </c>
      <c r="AS972" s="4" t="n"/>
      <c r="AT972" s="5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22" t="n"/>
      <c r="K973" s="5" t="n"/>
      <c r="L973" s="18" t="n"/>
      <c r="M9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5">
        <f>IF(tblOrdenes[[#This Row],[fecha_inicio]]="","",YEAR(tblOrdenes[[#This Row],[fecha_inicio]]))</f>
        <v/>
      </c>
      <c r="Q973" s="5">
        <f>IF(tblOrdenes[[#This Row],[fecha_inicio]]="","",MONTH(tblOrdenes[[#This Row],[fecha_inicio]]))</f>
        <v/>
      </c>
      <c r="R973" s="5">
        <f>IF(tblOrdenes[[#This Row],[fecha_inicio]]="","",tblOrdenes[[#This Row],[anio]]&amp;"-"&amp;TEXT(tblOrdenes[[#This Row],[mes]],"00"))</f>
        <v/>
      </c>
      <c r="S973" s="5">
        <f>IF(tblOrdenes[[#This Row],[fecha_inicio]]="","",INDEX(lista_dias,WEEKDAY(tblOrdenes[[#This Row],[fecha_inicio]],2)))</f>
        <v/>
      </c>
      <c r="T9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3" s="5">
        <f>IF(tblOrdenes[[#This Row],[tipo_ot]]="","",_xlfn.XLOOKUP(tblOrdenes[[#This Row],[tipo_ot]],tblTiposOT[codigo],tblTiposOT[clasificacion],"sin_clasificar"))</f>
        <v/>
      </c>
      <c r="V9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3" s="5">
        <f>IF(tblOrdenes[[#This Row],[centro_costo]]="","",_xlfn.XLOOKUP(tblOrdenes[[#This Row],[centro_costo]],tblCECO[codigo],tblCECO[linea],"(sin catálogo)"))</f>
        <v/>
      </c>
      <c r="X973" s="5">
        <f>IF(tblOrdenes[[#This Row],[centro_costo]]="","",_xlfn.XLOOKUP(tblOrdenes[[#This Row],[centro_costo]],tblCECO[codigo],tblCECO[area],"(sin catálogo)"))</f>
        <v/>
      </c>
      <c r="Y9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3" s="5">
        <f>IF(tblOrdenes[[#This Row],[centro_costo]]="","",_xlfn.XLOOKUP(tblOrdenes[[#This Row],[centro_costo]],tblCECO[codigo],tblCECO[coordinador],"(sin catálogo)"))</f>
        <v/>
      </c>
      <c r="AA973" s="5">
        <f>IF(tblOrdenes[[#This Row],[puesto_trabajo]]="","",_xlfn.XLOOKUP(tblOrdenes[[#This Row],[puesto_trabajo]],tblPuestos[codigo],tblPuestos[especialidad],"(sin catálogo)"))</f>
        <v/>
      </c>
      <c r="AB973" s="5">
        <f>IF(tblOrdenes[[#This Row],[cod_actividad]]="","",_xlfn.XLOOKUP(tblOrdenes[[#This Row],[cod_actividad]],tblActividades[codigo],tblActividades[descripcion],"(sin catálogo)"))</f>
        <v/>
      </c>
      <c r="AC973" s="20">
        <f>IF(tblOrdenes[[#This Row],[fecha_inicio]]="","",TODAY()-tblOrdenes[[#This Row],[fecha_inicio]])</f>
        <v/>
      </c>
      <c r="AD9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3" s="5">
        <f>IF(tblOrdenes[[#This Row],[backlog_habiles]]="","",IF(tblOrdenes[[#This Row],[backlog_habiles]]&lt;0,"FUTURO",IF(tblOrdenes[[#This Row],[backlog_habiles]]&gt;p_dias_backlog_max,"BACKLOG","MES CORRIENTE")))</f>
        <v/>
      </c>
      <c r="AF973" s="5">
        <f>IF(tblOrdenes[[#This Row],[backlog_habiles]]="",FALSE,AND(tblOrdenes[[#This Row],[backlog_habiles]]&gt;p_dias_backlog_min,tblOrdenes[[#This Row],[backlog_habiles]]&lt;=p_dias_backlog_max))</f>
        <v/>
      </c>
      <c r="AG973" s="4" t="n"/>
      <c r="AH9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3" s="18">
        <f>IF(tblOrdenes[[#This Row],[orden]]="","",_xlfn.XLOOKUP(tblOrdenes[[#This Row],[id_operacion]],tblEjecucion[id_operacion],tblEjecucion[precio],0))</f>
        <v/>
      </c>
      <c r="AL973" s="18">
        <f>IF(tblOrdenes[[#This Row],[orden]]="","",MAX(0,_xlfn.XLOOKUP(tblOrdenes[[#This Row],[id_operacion]],tblEjecucion[id_operacion],tblEjecucion[costo_plan_total],0)-tblOrdenes[[#This Row],[costo_servicio]]))</f>
        <v/>
      </c>
      <c r="AM973" s="18">
        <f>IF(tblOrdenes[[#This Row],[orden]]="","",tblOrdenes[[#This Row],[costo_servicio]]+tblOrdenes[[#This Row],[costo_materiales]])</f>
        <v/>
      </c>
      <c r="AN9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3" s="4" t="n"/>
      <c r="AP973" s="4" t="n"/>
      <c r="AQ973" s="4" t="n"/>
      <c r="AR973" s="5">
        <f>IF(tblOrdenes[[#This Row],[link_checklist]]="","",HYPERLINK(p_ruta_base_checklists&amp;tblOrdenes[[#This Row],[link_checklist]],"abrir"))</f>
        <v/>
      </c>
      <c r="AS973" s="4" t="n"/>
      <c r="AT973" s="5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22" t="n"/>
      <c r="K974" s="5" t="n"/>
      <c r="L974" s="18" t="n"/>
      <c r="M9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5">
        <f>IF(tblOrdenes[[#This Row],[fecha_inicio]]="","",YEAR(tblOrdenes[[#This Row],[fecha_inicio]]))</f>
        <v/>
      </c>
      <c r="Q974" s="5">
        <f>IF(tblOrdenes[[#This Row],[fecha_inicio]]="","",MONTH(tblOrdenes[[#This Row],[fecha_inicio]]))</f>
        <v/>
      </c>
      <c r="R974" s="5">
        <f>IF(tblOrdenes[[#This Row],[fecha_inicio]]="","",tblOrdenes[[#This Row],[anio]]&amp;"-"&amp;TEXT(tblOrdenes[[#This Row],[mes]],"00"))</f>
        <v/>
      </c>
      <c r="S974" s="5">
        <f>IF(tblOrdenes[[#This Row],[fecha_inicio]]="","",INDEX(lista_dias,WEEKDAY(tblOrdenes[[#This Row],[fecha_inicio]],2)))</f>
        <v/>
      </c>
      <c r="T9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4" s="5">
        <f>IF(tblOrdenes[[#This Row],[tipo_ot]]="","",_xlfn.XLOOKUP(tblOrdenes[[#This Row],[tipo_ot]],tblTiposOT[codigo],tblTiposOT[clasificacion],"sin_clasificar"))</f>
        <v/>
      </c>
      <c r="V9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4" s="5">
        <f>IF(tblOrdenes[[#This Row],[centro_costo]]="","",_xlfn.XLOOKUP(tblOrdenes[[#This Row],[centro_costo]],tblCECO[codigo],tblCECO[linea],"(sin catálogo)"))</f>
        <v/>
      </c>
      <c r="X974" s="5">
        <f>IF(tblOrdenes[[#This Row],[centro_costo]]="","",_xlfn.XLOOKUP(tblOrdenes[[#This Row],[centro_costo]],tblCECO[codigo],tblCECO[area],"(sin catálogo)"))</f>
        <v/>
      </c>
      <c r="Y9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4" s="5">
        <f>IF(tblOrdenes[[#This Row],[centro_costo]]="","",_xlfn.XLOOKUP(tblOrdenes[[#This Row],[centro_costo]],tblCECO[codigo],tblCECO[coordinador],"(sin catálogo)"))</f>
        <v/>
      </c>
      <c r="AA974" s="5">
        <f>IF(tblOrdenes[[#This Row],[puesto_trabajo]]="","",_xlfn.XLOOKUP(tblOrdenes[[#This Row],[puesto_trabajo]],tblPuestos[codigo],tblPuestos[especialidad],"(sin catálogo)"))</f>
        <v/>
      </c>
      <c r="AB974" s="5">
        <f>IF(tblOrdenes[[#This Row],[cod_actividad]]="","",_xlfn.XLOOKUP(tblOrdenes[[#This Row],[cod_actividad]],tblActividades[codigo],tblActividades[descripcion],"(sin catálogo)"))</f>
        <v/>
      </c>
      <c r="AC974" s="20">
        <f>IF(tblOrdenes[[#This Row],[fecha_inicio]]="","",TODAY()-tblOrdenes[[#This Row],[fecha_inicio]])</f>
        <v/>
      </c>
      <c r="AD9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4" s="5">
        <f>IF(tblOrdenes[[#This Row],[backlog_habiles]]="","",IF(tblOrdenes[[#This Row],[backlog_habiles]]&lt;0,"FUTURO",IF(tblOrdenes[[#This Row],[backlog_habiles]]&gt;p_dias_backlog_max,"BACKLOG","MES CORRIENTE")))</f>
        <v/>
      </c>
      <c r="AF974" s="5">
        <f>IF(tblOrdenes[[#This Row],[backlog_habiles]]="",FALSE,AND(tblOrdenes[[#This Row],[backlog_habiles]]&gt;p_dias_backlog_min,tblOrdenes[[#This Row],[backlog_habiles]]&lt;=p_dias_backlog_max))</f>
        <v/>
      </c>
      <c r="AG974" s="4" t="n"/>
      <c r="AH9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4" s="18">
        <f>IF(tblOrdenes[[#This Row],[orden]]="","",_xlfn.XLOOKUP(tblOrdenes[[#This Row],[id_operacion]],tblEjecucion[id_operacion],tblEjecucion[precio],0))</f>
        <v/>
      </c>
      <c r="AL974" s="18">
        <f>IF(tblOrdenes[[#This Row],[orden]]="","",MAX(0,_xlfn.XLOOKUP(tblOrdenes[[#This Row],[id_operacion]],tblEjecucion[id_operacion],tblEjecucion[costo_plan_total],0)-tblOrdenes[[#This Row],[costo_servicio]]))</f>
        <v/>
      </c>
      <c r="AM974" s="18">
        <f>IF(tblOrdenes[[#This Row],[orden]]="","",tblOrdenes[[#This Row],[costo_servicio]]+tblOrdenes[[#This Row],[costo_materiales]])</f>
        <v/>
      </c>
      <c r="AN9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4" s="4" t="n"/>
      <c r="AP974" s="4" t="n"/>
      <c r="AQ974" s="4" t="n"/>
      <c r="AR974" s="5">
        <f>IF(tblOrdenes[[#This Row],[link_checklist]]="","",HYPERLINK(p_ruta_base_checklists&amp;tblOrdenes[[#This Row],[link_checklist]],"abrir"))</f>
        <v/>
      </c>
      <c r="AS974" s="4" t="n"/>
      <c r="AT974" s="5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22" t="n"/>
      <c r="K975" s="5" t="n"/>
      <c r="L975" s="18" t="n"/>
      <c r="M9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5">
        <f>IF(tblOrdenes[[#This Row],[fecha_inicio]]="","",YEAR(tblOrdenes[[#This Row],[fecha_inicio]]))</f>
        <v/>
      </c>
      <c r="Q975" s="5">
        <f>IF(tblOrdenes[[#This Row],[fecha_inicio]]="","",MONTH(tblOrdenes[[#This Row],[fecha_inicio]]))</f>
        <v/>
      </c>
      <c r="R975" s="5">
        <f>IF(tblOrdenes[[#This Row],[fecha_inicio]]="","",tblOrdenes[[#This Row],[anio]]&amp;"-"&amp;TEXT(tblOrdenes[[#This Row],[mes]],"00"))</f>
        <v/>
      </c>
      <c r="S975" s="5">
        <f>IF(tblOrdenes[[#This Row],[fecha_inicio]]="","",INDEX(lista_dias,WEEKDAY(tblOrdenes[[#This Row],[fecha_inicio]],2)))</f>
        <v/>
      </c>
      <c r="T9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5" s="5">
        <f>IF(tblOrdenes[[#This Row],[tipo_ot]]="","",_xlfn.XLOOKUP(tblOrdenes[[#This Row],[tipo_ot]],tblTiposOT[codigo],tblTiposOT[clasificacion],"sin_clasificar"))</f>
        <v/>
      </c>
      <c r="V9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5" s="5">
        <f>IF(tblOrdenes[[#This Row],[centro_costo]]="","",_xlfn.XLOOKUP(tblOrdenes[[#This Row],[centro_costo]],tblCECO[codigo],tblCECO[linea],"(sin catálogo)"))</f>
        <v/>
      </c>
      <c r="X975" s="5">
        <f>IF(tblOrdenes[[#This Row],[centro_costo]]="","",_xlfn.XLOOKUP(tblOrdenes[[#This Row],[centro_costo]],tblCECO[codigo],tblCECO[area],"(sin catálogo)"))</f>
        <v/>
      </c>
      <c r="Y9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5" s="5">
        <f>IF(tblOrdenes[[#This Row],[centro_costo]]="","",_xlfn.XLOOKUP(tblOrdenes[[#This Row],[centro_costo]],tblCECO[codigo],tblCECO[coordinador],"(sin catálogo)"))</f>
        <v/>
      </c>
      <c r="AA975" s="5">
        <f>IF(tblOrdenes[[#This Row],[puesto_trabajo]]="","",_xlfn.XLOOKUP(tblOrdenes[[#This Row],[puesto_trabajo]],tblPuestos[codigo],tblPuestos[especialidad],"(sin catálogo)"))</f>
        <v/>
      </c>
      <c r="AB975" s="5">
        <f>IF(tblOrdenes[[#This Row],[cod_actividad]]="","",_xlfn.XLOOKUP(tblOrdenes[[#This Row],[cod_actividad]],tblActividades[codigo],tblActividades[descripcion],"(sin catálogo)"))</f>
        <v/>
      </c>
      <c r="AC975" s="20">
        <f>IF(tblOrdenes[[#This Row],[fecha_inicio]]="","",TODAY()-tblOrdenes[[#This Row],[fecha_inicio]])</f>
        <v/>
      </c>
      <c r="AD9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5" s="5">
        <f>IF(tblOrdenes[[#This Row],[backlog_habiles]]="","",IF(tblOrdenes[[#This Row],[backlog_habiles]]&lt;0,"FUTURO",IF(tblOrdenes[[#This Row],[backlog_habiles]]&gt;p_dias_backlog_max,"BACKLOG","MES CORRIENTE")))</f>
        <v/>
      </c>
      <c r="AF975" s="5">
        <f>IF(tblOrdenes[[#This Row],[backlog_habiles]]="",FALSE,AND(tblOrdenes[[#This Row],[backlog_habiles]]&gt;p_dias_backlog_min,tblOrdenes[[#This Row],[backlog_habiles]]&lt;=p_dias_backlog_max))</f>
        <v/>
      </c>
      <c r="AG975" s="4" t="n"/>
      <c r="AH9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5" s="18">
        <f>IF(tblOrdenes[[#This Row],[orden]]="","",_xlfn.XLOOKUP(tblOrdenes[[#This Row],[id_operacion]],tblEjecucion[id_operacion],tblEjecucion[precio],0))</f>
        <v/>
      </c>
      <c r="AL975" s="18">
        <f>IF(tblOrdenes[[#This Row],[orden]]="","",MAX(0,_xlfn.XLOOKUP(tblOrdenes[[#This Row],[id_operacion]],tblEjecucion[id_operacion],tblEjecucion[costo_plan_total],0)-tblOrdenes[[#This Row],[costo_servicio]]))</f>
        <v/>
      </c>
      <c r="AM975" s="18">
        <f>IF(tblOrdenes[[#This Row],[orden]]="","",tblOrdenes[[#This Row],[costo_servicio]]+tblOrdenes[[#This Row],[costo_materiales]])</f>
        <v/>
      </c>
      <c r="AN9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5" s="4" t="n"/>
      <c r="AP975" s="4" t="n"/>
      <c r="AQ975" s="4" t="n"/>
      <c r="AR975" s="5">
        <f>IF(tblOrdenes[[#This Row],[link_checklist]]="","",HYPERLINK(p_ruta_base_checklists&amp;tblOrdenes[[#This Row],[link_checklist]],"abrir"))</f>
        <v/>
      </c>
      <c r="AS975" s="4" t="n"/>
      <c r="AT975" s="5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22" t="n"/>
      <c r="K976" s="5" t="n"/>
      <c r="L976" s="18" t="n"/>
      <c r="M9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5">
        <f>IF(tblOrdenes[[#This Row],[fecha_inicio]]="","",YEAR(tblOrdenes[[#This Row],[fecha_inicio]]))</f>
        <v/>
      </c>
      <c r="Q976" s="5">
        <f>IF(tblOrdenes[[#This Row],[fecha_inicio]]="","",MONTH(tblOrdenes[[#This Row],[fecha_inicio]]))</f>
        <v/>
      </c>
      <c r="R976" s="5">
        <f>IF(tblOrdenes[[#This Row],[fecha_inicio]]="","",tblOrdenes[[#This Row],[anio]]&amp;"-"&amp;TEXT(tblOrdenes[[#This Row],[mes]],"00"))</f>
        <v/>
      </c>
      <c r="S976" s="5">
        <f>IF(tblOrdenes[[#This Row],[fecha_inicio]]="","",INDEX(lista_dias,WEEKDAY(tblOrdenes[[#This Row],[fecha_inicio]],2)))</f>
        <v/>
      </c>
      <c r="T9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6" s="5">
        <f>IF(tblOrdenes[[#This Row],[tipo_ot]]="","",_xlfn.XLOOKUP(tblOrdenes[[#This Row],[tipo_ot]],tblTiposOT[codigo],tblTiposOT[clasificacion],"sin_clasificar"))</f>
        <v/>
      </c>
      <c r="V9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6" s="5">
        <f>IF(tblOrdenes[[#This Row],[centro_costo]]="","",_xlfn.XLOOKUP(tblOrdenes[[#This Row],[centro_costo]],tblCECO[codigo],tblCECO[linea],"(sin catálogo)"))</f>
        <v/>
      </c>
      <c r="X976" s="5">
        <f>IF(tblOrdenes[[#This Row],[centro_costo]]="","",_xlfn.XLOOKUP(tblOrdenes[[#This Row],[centro_costo]],tblCECO[codigo],tblCECO[area],"(sin catálogo)"))</f>
        <v/>
      </c>
      <c r="Y9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6" s="5">
        <f>IF(tblOrdenes[[#This Row],[centro_costo]]="","",_xlfn.XLOOKUP(tblOrdenes[[#This Row],[centro_costo]],tblCECO[codigo],tblCECO[coordinador],"(sin catálogo)"))</f>
        <v/>
      </c>
      <c r="AA976" s="5">
        <f>IF(tblOrdenes[[#This Row],[puesto_trabajo]]="","",_xlfn.XLOOKUP(tblOrdenes[[#This Row],[puesto_trabajo]],tblPuestos[codigo],tblPuestos[especialidad],"(sin catálogo)"))</f>
        <v/>
      </c>
      <c r="AB976" s="5">
        <f>IF(tblOrdenes[[#This Row],[cod_actividad]]="","",_xlfn.XLOOKUP(tblOrdenes[[#This Row],[cod_actividad]],tblActividades[codigo],tblActividades[descripcion],"(sin catálogo)"))</f>
        <v/>
      </c>
      <c r="AC976" s="20">
        <f>IF(tblOrdenes[[#This Row],[fecha_inicio]]="","",TODAY()-tblOrdenes[[#This Row],[fecha_inicio]])</f>
        <v/>
      </c>
      <c r="AD9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6" s="5">
        <f>IF(tblOrdenes[[#This Row],[backlog_habiles]]="","",IF(tblOrdenes[[#This Row],[backlog_habiles]]&lt;0,"FUTURO",IF(tblOrdenes[[#This Row],[backlog_habiles]]&gt;p_dias_backlog_max,"BACKLOG","MES CORRIENTE")))</f>
        <v/>
      </c>
      <c r="AF976" s="5">
        <f>IF(tblOrdenes[[#This Row],[backlog_habiles]]="",FALSE,AND(tblOrdenes[[#This Row],[backlog_habiles]]&gt;p_dias_backlog_min,tblOrdenes[[#This Row],[backlog_habiles]]&lt;=p_dias_backlog_max))</f>
        <v/>
      </c>
      <c r="AG976" s="4" t="n"/>
      <c r="AH9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6" s="18">
        <f>IF(tblOrdenes[[#This Row],[orden]]="","",_xlfn.XLOOKUP(tblOrdenes[[#This Row],[id_operacion]],tblEjecucion[id_operacion],tblEjecucion[precio],0))</f>
        <v/>
      </c>
      <c r="AL976" s="18">
        <f>IF(tblOrdenes[[#This Row],[orden]]="","",MAX(0,_xlfn.XLOOKUP(tblOrdenes[[#This Row],[id_operacion]],tblEjecucion[id_operacion],tblEjecucion[costo_plan_total],0)-tblOrdenes[[#This Row],[costo_servicio]]))</f>
        <v/>
      </c>
      <c r="AM976" s="18">
        <f>IF(tblOrdenes[[#This Row],[orden]]="","",tblOrdenes[[#This Row],[costo_servicio]]+tblOrdenes[[#This Row],[costo_materiales]])</f>
        <v/>
      </c>
      <c r="AN9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6" s="4" t="n"/>
      <c r="AP976" s="4" t="n"/>
      <c r="AQ976" s="4" t="n"/>
      <c r="AR976" s="5">
        <f>IF(tblOrdenes[[#This Row],[link_checklist]]="","",HYPERLINK(p_ruta_base_checklists&amp;tblOrdenes[[#This Row],[link_checklist]],"abrir"))</f>
        <v/>
      </c>
      <c r="AS976" s="4" t="n"/>
      <c r="AT976" s="5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22" t="n"/>
      <c r="K977" s="5" t="n"/>
      <c r="L977" s="18" t="n"/>
      <c r="M9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5">
        <f>IF(tblOrdenes[[#This Row],[fecha_inicio]]="","",YEAR(tblOrdenes[[#This Row],[fecha_inicio]]))</f>
        <v/>
      </c>
      <c r="Q977" s="5">
        <f>IF(tblOrdenes[[#This Row],[fecha_inicio]]="","",MONTH(tblOrdenes[[#This Row],[fecha_inicio]]))</f>
        <v/>
      </c>
      <c r="R977" s="5">
        <f>IF(tblOrdenes[[#This Row],[fecha_inicio]]="","",tblOrdenes[[#This Row],[anio]]&amp;"-"&amp;TEXT(tblOrdenes[[#This Row],[mes]],"00"))</f>
        <v/>
      </c>
      <c r="S977" s="5">
        <f>IF(tblOrdenes[[#This Row],[fecha_inicio]]="","",INDEX(lista_dias,WEEKDAY(tblOrdenes[[#This Row],[fecha_inicio]],2)))</f>
        <v/>
      </c>
      <c r="T9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7" s="5">
        <f>IF(tblOrdenes[[#This Row],[tipo_ot]]="","",_xlfn.XLOOKUP(tblOrdenes[[#This Row],[tipo_ot]],tblTiposOT[codigo],tblTiposOT[clasificacion],"sin_clasificar"))</f>
        <v/>
      </c>
      <c r="V9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7" s="5">
        <f>IF(tblOrdenes[[#This Row],[centro_costo]]="","",_xlfn.XLOOKUP(tblOrdenes[[#This Row],[centro_costo]],tblCECO[codigo],tblCECO[linea],"(sin catálogo)"))</f>
        <v/>
      </c>
      <c r="X977" s="5">
        <f>IF(tblOrdenes[[#This Row],[centro_costo]]="","",_xlfn.XLOOKUP(tblOrdenes[[#This Row],[centro_costo]],tblCECO[codigo],tblCECO[area],"(sin catálogo)"))</f>
        <v/>
      </c>
      <c r="Y9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7" s="5">
        <f>IF(tblOrdenes[[#This Row],[centro_costo]]="","",_xlfn.XLOOKUP(tblOrdenes[[#This Row],[centro_costo]],tblCECO[codigo],tblCECO[coordinador],"(sin catálogo)"))</f>
        <v/>
      </c>
      <c r="AA977" s="5">
        <f>IF(tblOrdenes[[#This Row],[puesto_trabajo]]="","",_xlfn.XLOOKUP(tblOrdenes[[#This Row],[puesto_trabajo]],tblPuestos[codigo],tblPuestos[especialidad],"(sin catálogo)"))</f>
        <v/>
      </c>
      <c r="AB977" s="5">
        <f>IF(tblOrdenes[[#This Row],[cod_actividad]]="","",_xlfn.XLOOKUP(tblOrdenes[[#This Row],[cod_actividad]],tblActividades[codigo],tblActividades[descripcion],"(sin catálogo)"))</f>
        <v/>
      </c>
      <c r="AC977" s="20">
        <f>IF(tblOrdenes[[#This Row],[fecha_inicio]]="","",TODAY()-tblOrdenes[[#This Row],[fecha_inicio]])</f>
        <v/>
      </c>
      <c r="AD9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7" s="5">
        <f>IF(tblOrdenes[[#This Row],[backlog_habiles]]="","",IF(tblOrdenes[[#This Row],[backlog_habiles]]&lt;0,"FUTURO",IF(tblOrdenes[[#This Row],[backlog_habiles]]&gt;p_dias_backlog_max,"BACKLOG","MES CORRIENTE")))</f>
        <v/>
      </c>
      <c r="AF977" s="5">
        <f>IF(tblOrdenes[[#This Row],[backlog_habiles]]="",FALSE,AND(tblOrdenes[[#This Row],[backlog_habiles]]&gt;p_dias_backlog_min,tblOrdenes[[#This Row],[backlog_habiles]]&lt;=p_dias_backlog_max))</f>
        <v/>
      </c>
      <c r="AG977" s="4" t="n"/>
      <c r="AH9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7" s="18">
        <f>IF(tblOrdenes[[#This Row],[orden]]="","",_xlfn.XLOOKUP(tblOrdenes[[#This Row],[id_operacion]],tblEjecucion[id_operacion],tblEjecucion[precio],0))</f>
        <v/>
      </c>
      <c r="AL977" s="18">
        <f>IF(tblOrdenes[[#This Row],[orden]]="","",MAX(0,_xlfn.XLOOKUP(tblOrdenes[[#This Row],[id_operacion]],tblEjecucion[id_operacion],tblEjecucion[costo_plan_total],0)-tblOrdenes[[#This Row],[costo_servicio]]))</f>
        <v/>
      </c>
      <c r="AM977" s="18">
        <f>IF(tblOrdenes[[#This Row],[orden]]="","",tblOrdenes[[#This Row],[costo_servicio]]+tblOrdenes[[#This Row],[costo_materiales]])</f>
        <v/>
      </c>
      <c r="AN9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7" s="4" t="n"/>
      <c r="AP977" s="4" t="n"/>
      <c r="AQ977" s="4" t="n"/>
      <c r="AR977" s="5">
        <f>IF(tblOrdenes[[#This Row],[link_checklist]]="","",HYPERLINK(p_ruta_base_checklists&amp;tblOrdenes[[#This Row],[link_checklist]],"abrir"))</f>
        <v/>
      </c>
      <c r="AS977" s="4" t="n"/>
      <c r="AT977" s="5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22" t="n"/>
      <c r="K978" s="5" t="n"/>
      <c r="L978" s="18" t="n"/>
      <c r="M9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5">
        <f>IF(tblOrdenes[[#This Row],[fecha_inicio]]="","",YEAR(tblOrdenes[[#This Row],[fecha_inicio]]))</f>
        <v/>
      </c>
      <c r="Q978" s="5">
        <f>IF(tblOrdenes[[#This Row],[fecha_inicio]]="","",MONTH(tblOrdenes[[#This Row],[fecha_inicio]]))</f>
        <v/>
      </c>
      <c r="R978" s="5">
        <f>IF(tblOrdenes[[#This Row],[fecha_inicio]]="","",tblOrdenes[[#This Row],[anio]]&amp;"-"&amp;TEXT(tblOrdenes[[#This Row],[mes]],"00"))</f>
        <v/>
      </c>
      <c r="S978" s="5">
        <f>IF(tblOrdenes[[#This Row],[fecha_inicio]]="","",INDEX(lista_dias,WEEKDAY(tblOrdenes[[#This Row],[fecha_inicio]],2)))</f>
        <v/>
      </c>
      <c r="T9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8" s="5">
        <f>IF(tblOrdenes[[#This Row],[tipo_ot]]="","",_xlfn.XLOOKUP(tblOrdenes[[#This Row],[tipo_ot]],tblTiposOT[codigo],tblTiposOT[clasificacion],"sin_clasificar"))</f>
        <v/>
      </c>
      <c r="V9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8" s="5">
        <f>IF(tblOrdenes[[#This Row],[centro_costo]]="","",_xlfn.XLOOKUP(tblOrdenes[[#This Row],[centro_costo]],tblCECO[codigo],tblCECO[linea],"(sin catálogo)"))</f>
        <v/>
      </c>
      <c r="X978" s="5">
        <f>IF(tblOrdenes[[#This Row],[centro_costo]]="","",_xlfn.XLOOKUP(tblOrdenes[[#This Row],[centro_costo]],tblCECO[codigo],tblCECO[area],"(sin catálogo)"))</f>
        <v/>
      </c>
      <c r="Y9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8" s="5">
        <f>IF(tblOrdenes[[#This Row],[centro_costo]]="","",_xlfn.XLOOKUP(tblOrdenes[[#This Row],[centro_costo]],tblCECO[codigo],tblCECO[coordinador],"(sin catálogo)"))</f>
        <v/>
      </c>
      <c r="AA978" s="5">
        <f>IF(tblOrdenes[[#This Row],[puesto_trabajo]]="","",_xlfn.XLOOKUP(tblOrdenes[[#This Row],[puesto_trabajo]],tblPuestos[codigo],tblPuestos[especialidad],"(sin catálogo)"))</f>
        <v/>
      </c>
      <c r="AB978" s="5">
        <f>IF(tblOrdenes[[#This Row],[cod_actividad]]="","",_xlfn.XLOOKUP(tblOrdenes[[#This Row],[cod_actividad]],tblActividades[codigo],tblActividades[descripcion],"(sin catálogo)"))</f>
        <v/>
      </c>
      <c r="AC978" s="20">
        <f>IF(tblOrdenes[[#This Row],[fecha_inicio]]="","",TODAY()-tblOrdenes[[#This Row],[fecha_inicio]])</f>
        <v/>
      </c>
      <c r="AD9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8" s="5">
        <f>IF(tblOrdenes[[#This Row],[backlog_habiles]]="","",IF(tblOrdenes[[#This Row],[backlog_habiles]]&lt;0,"FUTURO",IF(tblOrdenes[[#This Row],[backlog_habiles]]&gt;p_dias_backlog_max,"BACKLOG","MES CORRIENTE")))</f>
        <v/>
      </c>
      <c r="AF978" s="5">
        <f>IF(tblOrdenes[[#This Row],[backlog_habiles]]="",FALSE,AND(tblOrdenes[[#This Row],[backlog_habiles]]&gt;p_dias_backlog_min,tblOrdenes[[#This Row],[backlog_habiles]]&lt;=p_dias_backlog_max))</f>
        <v/>
      </c>
      <c r="AG978" s="4" t="n"/>
      <c r="AH9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8" s="18">
        <f>IF(tblOrdenes[[#This Row],[orden]]="","",_xlfn.XLOOKUP(tblOrdenes[[#This Row],[id_operacion]],tblEjecucion[id_operacion],tblEjecucion[precio],0))</f>
        <v/>
      </c>
      <c r="AL978" s="18">
        <f>IF(tblOrdenes[[#This Row],[orden]]="","",MAX(0,_xlfn.XLOOKUP(tblOrdenes[[#This Row],[id_operacion]],tblEjecucion[id_operacion],tblEjecucion[costo_plan_total],0)-tblOrdenes[[#This Row],[costo_servicio]]))</f>
        <v/>
      </c>
      <c r="AM978" s="18">
        <f>IF(tblOrdenes[[#This Row],[orden]]="","",tblOrdenes[[#This Row],[costo_servicio]]+tblOrdenes[[#This Row],[costo_materiales]])</f>
        <v/>
      </c>
      <c r="AN9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8" s="4" t="n"/>
      <c r="AP978" s="4" t="n"/>
      <c r="AQ978" s="4" t="n"/>
      <c r="AR978" s="5">
        <f>IF(tblOrdenes[[#This Row],[link_checklist]]="","",HYPERLINK(p_ruta_base_checklists&amp;tblOrdenes[[#This Row],[link_checklist]],"abrir"))</f>
        <v/>
      </c>
      <c r="AS978" s="4" t="n"/>
      <c r="AT978" s="5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22" t="n"/>
      <c r="K979" s="5" t="n"/>
      <c r="L979" s="18" t="n"/>
      <c r="M9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5">
        <f>IF(tblOrdenes[[#This Row],[fecha_inicio]]="","",YEAR(tblOrdenes[[#This Row],[fecha_inicio]]))</f>
        <v/>
      </c>
      <c r="Q979" s="5">
        <f>IF(tblOrdenes[[#This Row],[fecha_inicio]]="","",MONTH(tblOrdenes[[#This Row],[fecha_inicio]]))</f>
        <v/>
      </c>
      <c r="R979" s="5">
        <f>IF(tblOrdenes[[#This Row],[fecha_inicio]]="","",tblOrdenes[[#This Row],[anio]]&amp;"-"&amp;TEXT(tblOrdenes[[#This Row],[mes]],"00"))</f>
        <v/>
      </c>
      <c r="S979" s="5">
        <f>IF(tblOrdenes[[#This Row],[fecha_inicio]]="","",INDEX(lista_dias,WEEKDAY(tblOrdenes[[#This Row],[fecha_inicio]],2)))</f>
        <v/>
      </c>
      <c r="T9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9" s="5">
        <f>IF(tblOrdenes[[#This Row],[tipo_ot]]="","",_xlfn.XLOOKUP(tblOrdenes[[#This Row],[tipo_ot]],tblTiposOT[codigo],tblTiposOT[clasificacion],"sin_clasificar"))</f>
        <v/>
      </c>
      <c r="V9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9" s="5">
        <f>IF(tblOrdenes[[#This Row],[centro_costo]]="","",_xlfn.XLOOKUP(tblOrdenes[[#This Row],[centro_costo]],tblCECO[codigo],tblCECO[linea],"(sin catálogo)"))</f>
        <v/>
      </c>
      <c r="X979" s="5">
        <f>IF(tblOrdenes[[#This Row],[centro_costo]]="","",_xlfn.XLOOKUP(tblOrdenes[[#This Row],[centro_costo]],tblCECO[codigo],tblCECO[area],"(sin catálogo)"))</f>
        <v/>
      </c>
      <c r="Y9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79" s="5">
        <f>IF(tblOrdenes[[#This Row],[centro_costo]]="","",_xlfn.XLOOKUP(tblOrdenes[[#This Row],[centro_costo]],tblCECO[codigo],tblCECO[coordinador],"(sin catálogo)"))</f>
        <v/>
      </c>
      <c r="AA979" s="5">
        <f>IF(tblOrdenes[[#This Row],[puesto_trabajo]]="","",_xlfn.XLOOKUP(tblOrdenes[[#This Row],[puesto_trabajo]],tblPuestos[codigo],tblPuestos[especialidad],"(sin catálogo)"))</f>
        <v/>
      </c>
      <c r="AB979" s="5">
        <f>IF(tblOrdenes[[#This Row],[cod_actividad]]="","",_xlfn.XLOOKUP(tblOrdenes[[#This Row],[cod_actividad]],tblActividades[codigo],tblActividades[descripcion],"(sin catálogo)"))</f>
        <v/>
      </c>
      <c r="AC979" s="20">
        <f>IF(tblOrdenes[[#This Row],[fecha_inicio]]="","",TODAY()-tblOrdenes[[#This Row],[fecha_inicio]])</f>
        <v/>
      </c>
      <c r="AD9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79" s="5">
        <f>IF(tblOrdenes[[#This Row],[backlog_habiles]]="","",IF(tblOrdenes[[#This Row],[backlog_habiles]]&lt;0,"FUTURO",IF(tblOrdenes[[#This Row],[backlog_habiles]]&gt;p_dias_backlog_max,"BACKLOG","MES CORRIENTE")))</f>
        <v/>
      </c>
      <c r="AF979" s="5">
        <f>IF(tblOrdenes[[#This Row],[backlog_habiles]]="",FALSE,AND(tblOrdenes[[#This Row],[backlog_habiles]]&gt;p_dias_backlog_min,tblOrdenes[[#This Row],[backlog_habiles]]&lt;=p_dias_backlog_max))</f>
        <v/>
      </c>
      <c r="AG979" s="4" t="n"/>
      <c r="AH9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79" s="18">
        <f>IF(tblOrdenes[[#This Row],[orden]]="","",_xlfn.XLOOKUP(tblOrdenes[[#This Row],[id_operacion]],tblEjecucion[id_operacion],tblEjecucion[precio],0))</f>
        <v/>
      </c>
      <c r="AL979" s="18">
        <f>IF(tblOrdenes[[#This Row],[orden]]="","",MAX(0,_xlfn.XLOOKUP(tblOrdenes[[#This Row],[id_operacion]],tblEjecucion[id_operacion],tblEjecucion[costo_plan_total],0)-tblOrdenes[[#This Row],[costo_servicio]]))</f>
        <v/>
      </c>
      <c r="AM979" s="18">
        <f>IF(tblOrdenes[[#This Row],[orden]]="","",tblOrdenes[[#This Row],[costo_servicio]]+tblOrdenes[[#This Row],[costo_materiales]])</f>
        <v/>
      </c>
      <c r="AN9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79" s="4" t="n"/>
      <c r="AP979" s="4" t="n"/>
      <c r="AQ979" s="4" t="n"/>
      <c r="AR979" s="5">
        <f>IF(tblOrdenes[[#This Row],[link_checklist]]="","",HYPERLINK(p_ruta_base_checklists&amp;tblOrdenes[[#This Row],[link_checklist]],"abrir"))</f>
        <v/>
      </c>
      <c r="AS979" s="4" t="n"/>
      <c r="AT979" s="5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22" t="n"/>
      <c r="K980" s="5" t="n"/>
      <c r="L980" s="18" t="n"/>
      <c r="M9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5">
        <f>IF(tblOrdenes[[#This Row],[fecha_inicio]]="","",YEAR(tblOrdenes[[#This Row],[fecha_inicio]]))</f>
        <v/>
      </c>
      <c r="Q980" s="5">
        <f>IF(tblOrdenes[[#This Row],[fecha_inicio]]="","",MONTH(tblOrdenes[[#This Row],[fecha_inicio]]))</f>
        <v/>
      </c>
      <c r="R980" s="5">
        <f>IF(tblOrdenes[[#This Row],[fecha_inicio]]="","",tblOrdenes[[#This Row],[anio]]&amp;"-"&amp;TEXT(tblOrdenes[[#This Row],[mes]],"00"))</f>
        <v/>
      </c>
      <c r="S980" s="5">
        <f>IF(tblOrdenes[[#This Row],[fecha_inicio]]="","",INDEX(lista_dias,WEEKDAY(tblOrdenes[[#This Row],[fecha_inicio]],2)))</f>
        <v/>
      </c>
      <c r="T9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0" s="5">
        <f>IF(tblOrdenes[[#This Row],[tipo_ot]]="","",_xlfn.XLOOKUP(tblOrdenes[[#This Row],[tipo_ot]],tblTiposOT[codigo],tblTiposOT[clasificacion],"sin_clasificar"))</f>
        <v/>
      </c>
      <c r="V9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0" s="5">
        <f>IF(tblOrdenes[[#This Row],[centro_costo]]="","",_xlfn.XLOOKUP(tblOrdenes[[#This Row],[centro_costo]],tblCECO[codigo],tblCECO[linea],"(sin catálogo)"))</f>
        <v/>
      </c>
      <c r="X980" s="5">
        <f>IF(tblOrdenes[[#This Row],[centro_costo]]="","",_xlfn.XLOOKUP(tblOrdenes[[#This Row],[centro_costo]],tblCECO[codigo],tblCECO[area],"(sin catálogo)"))</f>
        <v/>
      </c>
      <c r="Y9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0" s="5">
        <f>IF(tblOrdenes[[#This Row],[centro_costo]]="","",_xlfn.XLOOKUP(tblOrdenes[[#This Row],[centro_costo]],tblCECO[codigo],tblCECO[coordinador],"(sin catálogo)"))</f>
        <v/>
      </c>
      <c r="AA980" s="5">
        <f>IF(tblOrdenes[[#This Row],[puesto_trabajo]]="","",_xlfn.XLOOKUP(tblOrdenes[[#This Row],[puesto_trabajo]],tblPuestos[codigo],tblPuestos[especialidad],"(sin catálogo)"))</f>
        <v/>
      </c>
      <c r="AB980" s="5">
        <f>IF(tblOrdenes[[#This Row],[cod_actividad]]="","",_xlfn.XLOOKUP(tblOrdenes[[#This Row],[cod_actividad]],tblActividades[codigo],tblActividades[descripcion],"(sin catálogo)"))</f>
        <v/>
      </c>
      <c r="AC980" s="20">
        <f>IF(tblOrdenes[[#This Row],[fecha_inicio]]="","",TODAY()-tblOrdenes[[#This Row],[fecha_inicio]])</f>
        <v/>
      </c>
      <c r="AD9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0" s="5">
        <f>IF(tblOrdenes[[#This Row],[backlog_habiles]]="","",IF(tblOrdenes[[#This Row],[backlog_habiles]]&lt;0,"FUTURO",IF(tblOrdenes[[#This Row],[backlog_habiles]]&gt;p_dias_backlog_max,"BACKLOG","MES CORRIENTE")))</f>
        <v/>
      </c>
      <c r="AF980" s="5">
        <f>IF(tblOrdenes[[#This Row],[backlog_habiles]]="",FALSE,AND(tblOrdenes[[#This Row],[backlog_habiles]]&gt;p_dias_backlog_min,tblOrdenes[[#This Row],[backlog_habiles]]&lt;=p_dias_backlog_max))</f>
        <v/>
      </c>
      <c r="AG980" s="4" t="n"/>
      <c r="AH9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0" s="18">
        <f>IF(tblOrdenes[[#This Row],[orden]]="","",_xlfn.XLOOKUP(tblOrdenes[[#This Row],[id_operacion]],tblEjecucion[id_operacion],tblEjecucion[precio],0))</f>
        <v/>
      </c>
      <c r="AL980" s="18">
        <f>IF(tblOrdenes[[#This Row],[orden]]="","",MAX(0,_xlfn.XLOOKUP(tblOrdenes[[#This Row],[id_operacion]],tblEjecucion[id_operacion],tblEjecucion[costo_plan_total],0)-tblOrdenes[[#This Row],[costo_servicio]]))</f>
        <v/>
      </c>
      <c r="AM980" s="18">
        <f>IF(tblOrdenes[[#This Row],[orden]]="","",tblOrdenes[[#This Row],[costo_servicio]]+tblOrdenes[[#This Row],[costo_materiales]])</f>
        <v/>
      </c>
      <c r="AN9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0" s="4" t="n"/>
      <c r="AP980" s="4" t="n"/>
      <c r="AQ980" s="4" t="n"/>
      <c r="AR980" s="5">
        <f>IF(tblOrdenes[[#This Row],[link_checklist]]="","",HYPERLINK(p_ruta_base_checklists&amp;tblOrdenes[[#This Row],[link_checklist]],"abrir"))</f>
        <v/>
      </c>
      <c r="AS980" s="4" t="n"/>
      <c r="AT980" s="5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22" t="n"/>
      <c r="K981" s="5" t="n"/>
      <c r="L981" s="18" t="n"/>
      <c r="M9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5">
        <f>IF(tblOrdenes[[#This Row],[fecha_inicio]]="","",YEAR(tblOrdenes[[#This Row],[fecha_inicio]]))</f>
        <v/>
      </c>
      <c r="Q981" s="5">
        <f>IF(tblOrdenes[[#This Row],[fecha_inicio]]="","",MONTH(tblOrdenes[[#This Row],[fecha_inicio]]))</f>
        <v/>
      </c>
      <c r="R981" s="5">
        <f>IF(tblOrdenes[[#This Row],[fecha_inicio]]="","",tblOrdenes[[#This Row],[anio]]&amp;"-"&amp;TEXT(tblOrdenes[[#This Row],[mes]],"00"))</f>
        <v/>
      </c>
      <c r="S981" s="5">
        <f>IF(tblOrdenes[[#This Row],[fecha_inicio]]="","",INDEX(lista_dias,WEEKDAY(tblOrdenes[[#This Row],[fecha_inicio]],2)))</f>
        <v/>
      </c>
      <c r="T9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1" s="5">
        <f>IF(tblOrdenes[[#This Row],[tipo_ot]]="","",_xlfn.XLOOKUP(tblOrdenes[[#This Row],[tipo_ot]],tblTiposOT[codigo],tblTiposOT[clasificacion],"sin_clasificar"))</f>
        <v/>
      </c>
      <c r="V9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1" s="5">
        <f>IF(tblOrdenes[[#This Row],[centro_costo]]="","",_xlfn.XLOOKUP(tblOrdenes[[#This Row],[centro_costo]],tblCECO[codigo],tblCECO[linea],"(sin catálogo)"))</f>
        <v/>
      </c>
      <c r="X981" s="5">
        <f>IF(tblOrdenes[[#This Row],[centro_costo]]="","",_xlfn.XLOOKUP(tblOrdenes[[#This Row],[centro_costo]],tblCECO[codigo],tblCECO[area],"(sin catálogo)"))</f>
        <v/>
      </c>
      <c r="Y9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1" s="5">
        <f>IF(tblOrdenes[[#This Row],[centro_costo]]="","",_xlfn.XLOOKUP(tblOrdenes[[#This Row],[centro_costo]],tblCECO[codigo],tblCECO[coordinador],"(sin catálogo)"))</f>
        <v/>
      </c>
      <c r="AA981" s="5">
        <f>IF(tblOrdenes[[#This Row],[puesto_trabajo]]="","",_xlfn.XLOOKUP(tblOrdenes[[#This Row],[puesto_trabajo]],tblPuestos[codigo],tblPuestos[especialidad],"(sin catálogo)"))</f>
        <v/>
      </c>
      <c r="AB981" s="5">
        <f>IF(tblOrdenes[[#This Row],[cod_actividad]]="","",_xlfn.XLOOKUP(tblOrdenes[[#This Row],[cod_actividad]],tblActividades[codigo],tblActividades[descripcion],"(sin catálogo)"))</f>
        <v/>
      </c>
      <c r="AC981" s="20">
        <f>IF(tblOrdenes[[#This Row],[fecha_inicio]]="","",TODAY()-tblOrdenes[[#This Row],[fecha_inicio]])</f>
        <v/>
      </c>
      <c r="AD9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1" s="5">
        <f>IF(tblOrdenes[[#This Row],[backlog_habiles]]="","",IF(tblOrdenes[[#This Row],[backlog_habiles]]&lt;0,"FUTURO",IF(tblOrdenes[[#This Row],[backlog_habiles]]&gt;p_dias_backlog_max,"BACKLOG","MES CORRIENTE")))</f>
        <v/>
      </c>
      <c r="AF981" s="5">
        <f>IF(tblOrdenes[[#This Row],[backlog_habiles]]="",FALSE,AND(tblOrdenes[[#This Row],[backlog_habiles]]&gt;p_dias_backlog_min,tblOrdenes[[#This Row],[backlog_habiles]]&lt;=p_dias_backlog_max))</f>
        <v/>
      </c>
      <c r="AG981" s="4" t="n"/>
      <c r="AH9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1" s="18">
        <f>IF(tblOrdenes[[#This Row],[orden]]="","",_xlfn.XLOOKUP(tblOrdenes[[#This Row],[id_operacion]],tblEjecucion[id_operacion],tblEjecucion[precio],0))</f>
        <v/>
      </c>
      <c r="AL981" s="18">
        <f>IF(tblOrdenes[[#This Row],[orden]]="","",MAX(0,_xlfn.XLOOKUP(tblOrdenes[[#This Row],[id_operacion]],tblEjecucion[id_operacion],tblEjecucion[costo_plan_total],0)-tblOrdenes[[#This Row],[costo_servicio]]))</f>
        <v/>
      </c>
      <c r="AM981" s="18">
        <f>IF(tblOrdenes[[#This Row],[orden]]="","",tblOrdenes[[#This Row],[costo_servicio]]+tblOrdenes[[#This Row],[costo_materiales]])</f>
        <v/>
      </c>
      <c r="AN9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1" s="4" t="n"/>
      <c r="AP981" s="4" t="n"/>
      <c r="AQ981" s="4" t="n"/>
      <c r="AR981" s="5">
        <f>IF(tblOrdenes[[#This Row],[link_checklist]]="","",HYPERLINK(p_ruta_base_checklists&amp;tblOrdenes[[#This Row],[link_checklist]],"abrir"))</f>
        <v/>
      </c>
      <c r="AS981" s="4" t="n"/>
      <c r="AT981" s="5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22" t="n"/>
      <c r="K982" s="5" t="n"/>
      <c r="L982" s="18" t="n"/>
      <c r="M9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5">
        <f>IF(tblOrdenes[[#This Row],[fecha_inicio]]="","",YEAR(tblOrdenes[[#This Row],[fecha_inicio]]))</f>
        <v/>
      </c>
      <c r="Q982" s="5">
        <f>IF(tblOrdenes[[#This Row],[fecha_inicio]]="","",MONTH(tblOrdenes[[#This Row],[fecha_inicio]]))</f>
        <v/>
      </c>
      <c r="R982" s="5">
        <f>IF(tblOrdenes[[#This Row],[fecha_inicio]]="","",tblOrdenes[[#This Row],[anio]]&amp;"-"&amp;TEXT(tblOrdenes[[#This Row],[mes]],"00"))</f>
        <v/>
      </c>
      <c r="S982" s="5">
        <f>IF(tblOrdenes[[#This Row],[fecha_inicio]]="","",INDEX(lista_dias,WEEKDAY(tblOrdenes[[#This Row],[fecha_inicio]],2)))</f>
        <v/>
      </c>
      <c r="T9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2" s="5">
        <f>IF(tblOrdenes[[#This Row],[tipo_ot]]="","",_xlfn.XLOOKUP(tblOrdenes[[#This Row],[tipo_ot]],tblTiposOT[codigo],tblTiposOT[clasificacion],"sin_clasificar"))</f>
        <v/>
      </c>
      <c r="V9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2" s="5">
        <f>IF(tblOrdenes[[#This Row],[centro_costo]]="","",_xlfn.XLOOKUP(tblOrdenes[[#This Row],[centro_costo]],tblCECO[codigo],tblCECO[linea],"(sin catálogo)"))</f>
        <v/>
      </c>
      <c r="X982" s="5">
        <f>IF(tblOrdenes[[#This Row],[centro_costo]]="","",_xlfn.XLOOKUP(tblOrdenes[[#This Row],[centro_costo]],tblCECO[codigo],tblCECO[area],"(sin catálogo)"))</f>
        <v/>
      </c>
      <c r="Y9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2" s="5">
        <f>IF(tblOrdenes[[#This Row],[centro_costo]]="","",_xlfn.XLOOKUP(tblOrdenes[[#This Row],[centro_costo]],tblCECO[codigo],tblCECO[coordinador],"(sin catálogo)"))</f>
        <v/>
      </c>
      <c r="AA982" s="5">
        <f>IF(tblOrdenes[[#This Row],[puesto_trabajo]]="","",_xlfn.XLOOKUP(tblOrdenes[[#This Row],[puesto_trabajo]],tblPuestos[codigo],tblPuestos[especialidad],"(sin catálogo)"))</f>
        <v/>
      </c>
      <c r="AB982" s="5">
        <f>IF(tblOrdenes[[#This Row],[cod_actividad]]="","",_xlfn.XLOOKUP(tblOrdenes[[#This Row],[cod_actividad]],tblActividades[codigo],tblActividades[descripcion],"(sin catálogo)"))</f>
        <v/>
      </c>
      <c r="AC982" s="20">
        <f>IF(tblOrdenes[[#This Row],[fecha_inicio]]="","",TODAY()-tblOrdenes[[#This Row],[fecha_inicio]])</f>
        <v/>
      </c>
      <c r="AD9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2" s="5">
        <f>IF(tblOrdenes[[#This Row],[backlog_habiles]]="","",IF(tblOrdenes[[#This Row],[backlog_habiles]]&lt;0,"FUTURO",IF(tblOrdenes[[#This Row],[backlog_habiles]]&gt;p_dias_backlog_max,"BACKLOG","MES CORRIENTE")))</f>
        <v/>
      </c>
      <c r="AF982" s="5">
        <f>IF(tblOrdenes[[#This Row],[backlog_habiles]]="",FALSE,AND(tblOrdenes[[#This Row],[backlog_habiles]]&gt;p_dias_backlog_min,tblOrdenes[[#This Row],[backlog_habiles]]&lt;=p_dias_backlog_max))</f>
        <v/>
      </c>
      <c r="AG982" s="4" t="n"/>
      <c r="AH9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2" s="18">
        <f>IF(tblOrdenes[[#This Row],[orden]]="","",_xlfn.XLOOKUP(tblOrdenes[[#This Row],[id_operacion]],tblEjecucion[id_operacion],tblEjecucion[precio],0))</f>
        <v/>
      </c>
      <c r="AL982" s="18">
        <f>IF(tblOrdenes[[#This Row],[orden]]="","",MAX(0,_xlfn.XLOOKUP(tblOrdenes[[#This Row],[id_operacion]],tblEjecucion[id_operacion],tblEjecucion[costo_plan_total],0)-tblOrdenes[[#This Row],[costo_servicio]]))</f>
        <v/>
      </c>
      <c r="AM982" s="18">
        <f>IF(tblOrdenes[[#This Row],[orden]]="","",tblOrdenes[[#This Row],[costo_servicio]]+tblOrdenes[[#This Row],[costo_materiales]])</f>
        <v/>
      </c>
      <c r="AN9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2" s="4" t="n"/>
      <c r="AP982" s="4" t="n"/>
      <c r="AQ982" s="4" t="n"/>
      <c r="AR982" s="5">
        <f>IF(tblOrdenes[[#This Row],[link_checklist]]="","",HYPERLINK(p_ruta_base_checklists&amp;tblOrdenes[[#This Row],[link_checklist]],"abrir"))</f>
        <v/>
      </c>
      <c r="AS982" s="4" t="n"/>
      <c r="AT982" s="5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22" t="n"/>
      <c r="K983" s="5" t="n"/>
      <c r="L983" s="18" t="n"/>
      <c r="M9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5">
        <f>IF(tblOrdenes[[#This Row],[fecha_inicio]]="","",YEAR(tblOrdenes[[#This Row],[fecha_inicio]]))</f>
        <v/>
      </c>
      <c r="Q983" s="5">
        <f>IF(tblOrdenes[[#This Row],[fecha_inicio]]="","",MONTH(tblOrdenes[[#This Row],[fecha_inicio]]))</f>
        <v/>
      </c>
      <c r="R983" s="5">
        <f>IF(tblOrdenes[[#This Row],[fecha_inicio]]="","",tblOrdenes[[#This Row],[anio]]&amp;"-"&amp;TEXT(tblOrdenes[[#This Row],[mes]],"00"))</f>
        <v/>
      </c>
      <c r="S983" s="5">
        <f>IF(tblOrdenes[[#This Row],[fecha_inicio]]="","",INDEX(lista_dias,WEEKDAY(tblOrdenes[[#This Row],[fecha_inicio]],2)))</f>
        <v/>
      </c>
      <c r="T9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3" s="5">
        <f>IF(tblOrdenes[[#This Row],[tipo_ot]]="","",_xlfn.XLOOKUP(tblOrdenes[[#This Row],[tipo_ot]],tblTiposOT[codigo],tblTiposOT[clasificacion],"sin_clasificar"))</f>
        <v/>
      </c>
      <c r="V9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3" s="5">
        <f>IF(tblOrdenes[[#This Row],[centro_costo]]="","",_xlfn.XLOOKUP(tblOrdenes[[#This Row],[centro_costo]],tblCECO[codigo],tblCECO[linea],"(sin catálogo)"))</f>
        <v/>
      </c>
      <c r="X983" s="5">
        <f>IF(tblOrdenes[[#This Row],[centro_costo]]="","",_xlfn.XLOOKUP(tblOrdenes[[#This Row],[centro_costo]],tblCECO[codigo],tblCECO[area],"(sin catálogo)"))</f>
        <v/>
      </c>
      <c r="Y9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3" s="5">
        <f>IF(tblOrdenes[[#This Row],[centro_costo]]="","",_xlfn.XLOOKUP(tblOrdenes[[#This Row],[centro_costo]],tblCECO[codigo],tblCECO[coordinador],"(sin catálogo)"))</f>
        <v/>
      </c>
      <c r="AA983" s="5">
        <f>IF(tblOrdenes[[#This Row],[puesto_trabajo]]="","",_xlfn.XLOOKUP(tblOrdenes[[#This Row],[puesto_trabajo]],tblPuestos[codigo],tblPuestos[especialidad],"(sin catálogo)"))</f>
        <v/>
      </c>
      <c r="AB983" s="5">
        <f>IF(tblOrdenes[[#This Row],[cod_actividad]]="","",_xlfn.XLOOKUP(tblOrdenes[[#This Row],[cod_actividad]],tblActividades[codigo],tblActividades[descripcion],"(sin catálogo)"))</f>
        <v/>
      </c>
      <c r="AC983" s="20">
        <f>IF(tblOrdenes[[#This Row],[fecha_inicio]]="","",TODAY()-tblOrdenes[[#This Row],[fecha_inicio]])</f>
        <v/>
      </c>
      <c r="AD9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3" s="5">
        <f>IF(tblOrdenes[[#This Row],[backlog_habiles]]="","",IF(tblOrdenes[[#This Row],[backlog_habiles]]&lt;0,"FUTURO",IF(tblOrdenes[[#This Row],[backlog_habiles]]&gt;p_dias_backlog_max,"BACKLOG","MES CORRIENTE")))</f>
        <v/>
      </c>
      <c r="AF983" s="5">
        <f>IF(tblOrdenes[[#This Row],[backlog_habiles]]="",FALSE,AND(tblOrdenes[[#This Row],[backlog_habiles]]&gt;p_dias_backlog_min,tblOrdenes[[#This Row],[backlog_habiles]]&lt;=p_dias_backlog_max))</f>
        <v/>
      </c>
      <c r="AG983" s="4" t="n"/>
      <c r="AH9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3" s="18">
        <f>IF(tblOrdenes[[#This Row],[orden]]="","",_xlfn.XLOOKUP(tblOrdenes[[#This Row],[id_operacion]],tblEjecucion[id_operacion],tblEjecucion[precio],0))</f>
        <v/>
      </c>
      <c r="AL983" s="18">
        <f>IF(tblOrdenes[[#This Row],[orden]]="","",MAX(0,_xlfn.XLOOKUP(tblOrdenes[[#This Row],[id_operacion]],tblEjecucion[id_operacion],tblEjecucion[costo_plan_total],0)-tblOrdenes[[#This Row],[costo_servicio]]))</f>
        <v/>
      </c>
      <c r="AM983" s="18">
        <f>IF(tblOrdenes[[#This Row],[orden]]="","",tblOrdenes[[#This Row],[costo_servicio]]+tblOrdenes[[#This Row],[costo_materiales]])</f>
        <v/>
      </c>
      <c r="AN9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3" s="4" t="n"/>
      <c r="AP983" s="4" t="n"/>
      <c r="AQ983" s="4" t="n"/>
      <c r="AR983" s="5">
        <f>IF(tblOrdenes[[#This Row],[link_checklist]]="","",HYPERLINK(p_ruta_base_checklists&amp;tblOrdenes[[#This Row],[link_checklist]],"abrir"))</f>
        <v/>
      </c>
      <c r="AS983" s="4" t="n"/>
      <c r="AT983" s="5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22" t="n"/>
      <c r="K984" s="5" t="n"/>
      <c r="L984" s="18" t="n"/>
      <c r="M9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5">
        <f>IF(tblOrdenes[[#This Row],[fecha_inicio]]="","",YEAR(tblOrdenes[[#This Row],[fecha_inicio]]))</f>
        <v/>
      </c>
      <c r="Q984" s="5">
        <f>IF(tblOrdenes[[#This Row],[fecha_inicio]]="","",MONTH(tblOrdenes[[#This Row],[fecha_inicio]]))</f>
        <v/>
      </c>
      <c r="R984" s="5">
        <f>IF(tblOrdenes[[#This Row],[fecha_inicio]]="","",tblOrdenes[[#This Row],[anio]]&amp;"-"&amp;TEXT(tblOrdenes[[#This Row],[mes]],"00"))</f>
        <v/>
      </c>
      <c r="S984" s="5">
        <f>IF(tblOrdenes[[#This Row],[fecha_inicio]]="","",INDEX(lista_dias,WEEKDAY(tblOrdenes[[#This Row],[fecha_inicio]],2)))</f>
        <v/>
      </c>
      <c r="T9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4" s="5">
        <f>IF(tblOrdenes[[#This Row],[tipo_ot]]="","",_xlfn.XLOOKUP(tblOrdenes[[#This Row],[tipo_ot]],tblTiposOT[codigo],tblTiposOT[clasificacion],"sin_clasificar"))</f>
        <v/>
      </c>
      <c r="V9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4" s="5">
        <f>IF(tblOrdenes[[#This Row],[centro_costo]]="","",_xlfn.XLOOKUP(tblOrdenes[[#This Row],[centro_costo]],tblCECO[codigo],tblCECO[linea],"(sin catálogo)"))</f>
        <v/>
      </c>
      <c r="X984" s="5">
        <f>IF(tblOrdenes[[#This Row],[centro_costo]]="","",_xlfn.XLOOKUP(tblOrdenes[[#This Row],[centro_costo]],tblCECO[codigo],tblCECO[area],"(sin catálogo)"))</f>
        <v/>
      </c>
      <c r="Y9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4" s="5">
        <f>IF(tblOrdenes[[#This Row],[centro_costo]]="","",_xlfn.XLOOKUP(tblOrdenes[[#This Row],[centro_costo]],tblCECO[codigo],tblCECO[coordinador],"(sin catálogo)"))</f>
        <v/>
      </c>
      <c r="AA984" s="5">
        <f>IF(tblOrdenes[[#This Row],[puesto_trabajo]]="","",_xlfn.XLOOKUP(tblOrdenes[[#This Row],[puesto_trabajo]],tblPuestos[codigo],tblPuestos[especialidad],"(sin catálogo)"))</f>
        <v/>
      </c>
      <c r="AB984" s="5">
        <f>IF(tblOrdenes[[#This Row],[cod_actividad]]="","",_xlfn.XLOOKUP(tblOrdenes[[#This Row],[cod_actividad]],tblActividades[codigo],tblActividades[descripcion],"(sin catálogo)"))</f>
        <v/>
      </c>
      <c r="AC984" s="20">
        <f>IF(tblOrdenes[[#This Row],[fecha_inicio]]="","",TODAY()-tblOrdenes[[#This Row],[fecha_inicio]])</f>
        <v/>
      </c>
      <c r="AD9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4" s="5">
        <f>IF(tblOrdenes[[#This Row],[backlog_habiles]]="","",IF(tblOrdenes[[#This Row],[backlog_habiles]]&lt;0,"FUTURO",IF(tblOrdenes[[#This Row],[backlog_habiles]]&gt;p_dias_backlog_max,"BACKLOG","MES CORRIENTE")))</f>
        <v/>
      </c>
      <c r="AF984" s="5">
        <f>IF(tblOrdenes[[#This Row],[backlog_habiles]]="",FALSE,AND(tblOrdenes[[#This Row],[backlog_habiles]]&gt;p_dias_backlog_min,tblOrdenes[[#This Row],[backlog_habiles]]&lt;=p_dias_backlog_max))</f>
        <v/>
      </c>
      <c r="AG984" s="4" t="n"/>
      <c r="AH9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4" s="18">
        <f>IF(tblOrdenes[[#This Row],[orden]]="","",_xlfn.XLOOKUP(tblOrdenes[[#This Row],[id_operacion]],tblEjecucion[id_operacion],tblEjecucion[precio],0))</f>
        <v/>
      </c>
      <c r="AL984" s="18">
        <f>IF(tblOrdenes[[#This Row],[orden]]="","",MAX(0,_xlfn.XLOOKUP(tblOrdenes[[#This Row],[id_operacion]],tblEjecucion[id_operacion],tblEjecucion[costo_plan_total],0)-tblOrdenes[[#This Row],[costo_servicio]]))</f>
        <v/>
      </c>
      <c r="AM984" s="18">
        <f>IF(tblOrdenes[[#This Row],[orden]]="","",tblOrdenes[[#This Row],[costo_servicio]]+tblOrdenes[[#This Row],[costo_materiales]])</f>
        <v/>
      </c>
      <c r="AN9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4" s="4" t="n"/>
      <c r="AP984" s="4" t="n"/>
      <c r="AQ984" s="4" t="n"/>
      <c r="AR984" s="5">
        <f>IF(tblOrdenes[[#This Row],[link_checklist]]="","",HYPERLINK(p_ruta_base_checklists&amp;tblOrdenes[[#This Row],[link_checklist]],"abrir"))</f>
        <v/>
      </c>
      <c r="AS984" s="4" t="n"/>
      <c r="AT984" s="5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22" t="n"/>
      <c r="K985" s="5" t="n"/>
      <c r="L985" s="18" t="n"/>
      <c r="M9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5">
        <f>IF(tblOrdenes[[#This Row],[fecha_inicio]]="","",YEAR(tblOrdenes[[#This Row],[fecha_inicio]]))</f>
        <v/>
      </c>
      <c r="Q985" s="5">
        <f>IF(tblOrdenes[[#This Row],[fecha_inicio]]="","",MONTH(tblOrdenes[[#This Row],[fecha_inicio]]))</f>
        <v/>
      </c>
      <c r="R985" s="5">
        <f>IF(tblOrdenes[[#This Row],[fecha_inicio]]="","",tblOrdenes[[#This Row],[anio]]&amp;"-"&amp;TEXT(tblOrdenes[[#This Row],[mes]],"00"))</f>
        <v/>
      </c>
      <c r="S985" s="5">
        <f>IF(tblOrdenes[[#This Row],[fecha_inicio]]="","",INDEX(lista_dias,WEEKDAY(tblOrdenes[[#This Row],[fecha_inicio]],2)))</f>
        <v/>
      </c>
      <c r="T9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5" s="5">
        <f>IF(tblOrdenes[[#This Row],[tipo_ot]]="","",_xlfn.XLOOKUP(tblOrdenes[[#This Row],[tipo_ot]],tblTiposOT[codigo],tblTiposOT[clasificacion],"sin_clasificar"))</f>
        <v/>
      </c>
      <c r="V9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5" s="5">
        <f>IF(tblOrdenes[[#This Row],[centro_costo]]="","",_xlfn.XLOOKUP(tblOrdenes[[#This Row],[centro_costo]],tblCECO[codigo],tblCECO[linea],"(sin catálogo)"))</f>
        <v/>
      </c>
      <c r="X985" s="5">
        <f>IF(tblOrdenes[[#This Row],[centro_costo]]="","",_xlfn.XLOOKUP(tblOrdenes[[#This Row],[centro_costo]],tblCECO[codigo],tblCECO[area],"(sin catálogo)"))</f>
        <v/>
      </c>
      <c r="Y9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5" s="5">
        <f>IF(tblOrdenes[[#This Row],[centro_costo]]="","",_xlfn.XLOOKUP(tblOrdenes[[#This Row],[centro_costo]],tblCECO[codigo],tblCECO[coordinador],"(sin catálogo)"))</f>
        <v/>
      </c>
      <c r="AA985" s="5">
        <f>IF(tblOrdenes[[#This Row],[puesto_trabajo]]="","",_xlfn.XLOOKUP(tblOrdenes[[#This Row],[puesto_trabajo]],tblPuestos[codigo],tblPuestos[especialidad],"(sin catálogo)"))</f>
        <v/>
      </c>
      <c r="AB985" s="5">
        <f>IF(tblOrdenes[[#This Row],[cod_actividad]]="","",_xlfn.XLOOKUP(tblOrdenes[[#This Row],[cod_actividad]],tblActividades[codigo],tblActividades[descripcion],"(sin catálogo)"))</f>
        <v/>
      </c>
      <c r="AC985" s="20">
        <f>IF(tblOrdenes[[#This Row],[fecha_inicio]]="","",TODAY()-tblOrdenes[[#This Row],[fecha_inicio]])</f>
        <v/>
      </c>
      <c r="AD9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5" s="5">
        <f>IF(tblOrdenes[[#This Row],[backlog_habiles]]="","",IF(tblOrdenes[[#This Row],[backlog_habiles]]&lt;0,"FUTURO",IF(tblOrdenes[[#This Row],[backlog_habiles]]&gt;p_dias_backlog_max,"BACKLOG","MES CORRIENTE")))</f>
        <v/>
      </c>
      <c r="AF985" s="5">
        <f>IF(tblOrdenes[[#This Row],[backlog_habiles]]="",FALSE,AND(tblOrdenes[[#This Row],[backlog_habiles]]&gt;p_dias_backlog_min,tblOrdenes[[#This Row],[backlog_habiles]]&lt;=p_dias_backlog_max))</f>
        <v/>
      </c>
      <c r="AG985" s="4" t="n"/>
      <c r="AH9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5" s="18">
        <f>IF(tblOrdenes[[#This Row],[orden]]="","",_xlfn.XLOOKUP(tblOrdenes[[#This Row],[id_operacion]],tblEjecucion[id_operacion],tblEjecucion[precio],0))</f>
        <v/>
      </c>
      <c r="AL985" s="18">
        <f>IF(tblOrdenes[[#This Row],[orden]]="","",MAX(0,_xlfn.XLOOKUP(tblOrdenes[[#This Row],[id_operacion]],tblEjecucion[id_operacion],tblEjecucion[costo_plan_total],0)-tblOrdenes[[#This Row],[costo_servicio]]))</f>
        <v/>
      </c>
      <c r="AM985" s="18">
        <f>IF(tblOrdenes[[#This Row],[orden]]="","",tblOrdenes[[#This Row],[costo_servicio]]+tblOrdenes[[#This Row],[costo_materiales]])</f>
        <v/>
      </c>
      <c r="AN9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5" s="4" t="n"/>
      <c r="AP985" s="4" t="n"/>
      <c r="AQ985" s="4" t="n"/>
      <c r="AR985" s="5">
        <f>IF(tblOrdenes[[#This Row],[link_checklist]]="","",HYPERLINK(p_ruta_base_checklists&amp;tblOrdenes[[#This Row],[link_checklist]],"abrir"))</f>
        <v/>
      </c>
      <c r="AS985" s="4" t="n"/>
      <c r="AT985" s="5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22" t="n"/>
      <c r="K986" s="5" t="n"/>
      <c r="L986" s="18" t="n"/>
      <c r="M9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5">
        <f>IF(tblOrdenes[[#This Row],[fecha_inicio]]="","",YEAR(tblOrdenes[[#This Row],[fecha_inicio]]))</f>
        <v/>
      </c>
      <c r="Q986" s="5">
        <f>IF(tblOrdenes[[#This Row],[fecha_inicio]]="","",MONTH(tblOrdenes[[#This Row],[fecha_inicio]]))</f>
        <v/>
      </c>
      <c r="R986" s="5">
        <f>IF(tblOrdenes[[#This Row],[fecha_inicio]]="","",tblOrdenes[[#This Row],[anio]]&amp;"-"&amp;TEXT(tblOrdenes[[#This Row],[mes]],"00"))</f>
        <v/>
      </c>
      <c r="S986" s="5">
        <f>IF(tblOrdenes[[#This Row],[fecha_inicio]]="","",INDEX(lista_dias,WEEKDAY(tblOrdenes[[#This Row],[fecha_inicio]],2)))</f>
        <v/>
      </c>
      <c r="T9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6" s="5">
        <f>IF(tblOrdenes[[#This Row],[tipo_ot]]="","",_xlfn.XLOOKUP(tblOrdenes[[#This Row],[tipo_ot]],tblTiposOT[codigo],tblTiposOT[clasificacion],"sin_clasificar"))</f>
        <v/>
      </c>
      <c r="V9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6" s="5">
        <f>IF(tblOrdenes[[#This Row],[centro_costo]]="","",_xlfn.XLOOKUP(tblOrdenes[[#This Row],[centro_costo]],tblCECO[codigo],tblCECO[linea],"(sin catálogo)"))</f>
        <v/>
      </c>
      <c r="X986" s="5">
        <f>IF(tblOrdenes[[#This Row],[centro_costo]]="","",_xlfn.XLOOKUP(tblOrdenes[[#This Row],[centro_costo]],tblCECO[codigo],tblCECO[area],"(sin catálogo)"))</f>
        <v/>
      </c>
      <c r="Y9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6" s="5">
        <f>IF(tblOrdenes[[#This Row],[centro_costo]]="","",_xlfn.XLOOKUP(tblOrdenes[[#This Row],[centro_costo]],tblCECO[codigo],tblCECO[coordinador],"(sin catálogo)"))</f>
        <v/>
      </c>
      <c r="AA986" s="5">
        <f>IF(tblOrdenes[[#This Row],[puesto_trabajo]]="","",_xlfn.XLOOKUP(tblOrdenes[[#This Row],[puesto_trabajo]],tblPuestos[codigo],tblPuestos[especialidad],"(sin catálogo)"))</f>
        <v/>
      </c>
      <c r="AB986" s="5">
        <f>IF(tblOrdenes[[#This Row],[cod_actividad]]="","",_xlfn.XLOOKUP(tblOrdenes[[#This Row],[cod_actividad]],tblActividades[codigo],tblActividades[descripcion],"(sin catálogo)"))</f>
        <v/>
      </c>
      <c r="AC986" s="20">
        <f>IF(tblOrdenes[[#This Row],[fecha_inicio]]="","",TODAY()-tblOrdenes[[#This Row],[fecha_inicio]])</f>
        <v/>
      </c>
      <c r="AD9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6" s="5">
        <f>IF(tblOrdenes[[#This Row],[backlog_habiles]]="","",IF(tblOrdenes[[#This Row],[backlog_habiles]]&lt;0,"FUTURO",IF(tblOrdenes[[#This Row],[backlog_habiles]]&gt;p_dias_backlog_max,"BACKLOG","MES CORRIENTE")))</f>
        <v/>
      </c>
      <c r="AF986" s="5">
        <f>IF(tblOrdenes[[#This Row],[backlog_habiles]]="",FALSE,AND(tblOrdenes[[#This Row],[backlog_habiles]]&gt;p_dias_backlog_min,tblOrdenes[[#This Row],[backlog_habiles]]&lt;=p_dias_backlog_max))</f>
        <v/>
      </c>
      <c r="AG986" s="4" t="n"/>
      <c r="AH9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6" s="18">
        <f>IF(tblOrdenes[[#This Row],[orden]]="","",_xlfn.XLOOKUP(tblOrdenes[[#This Row],[id_operacion]],tblEjecucion[id_operacion],tblEjecucion[precio],0))</f>
        <v/>
      </c>
      <c r="AL986" s="18">
        <f>IF(tblOrdenes[[#This Row],[orden]]="","",MAX(0,_xlfn.XLOOKUP(tblOrdenes[[#This Row],[id_operacion]],tblEjecucion[id_operacion],tblEjecucion[costo_plan_total],0)-tblOrdenes[[#This Row],[costo_servicio]]))</f>
        <v/>
      </c>
      <c r="AM986" s="18">
        <f>IF(tblOrdenes[[#This Row],[orden]]="","",tblOrdenes[[#This Row],[costo_servicio]]+tblOrdenes[[#This Row],[costo_materiales]])</f>
        <v/>
      </c>
      <c r="AN9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6" s="4" t="n"/>
      <c r="AP986" s="4" t="n"/>
      <c r="AQ986" s="4" t="n"/>
      <c r="AR986" s="5">
        <f>IF(tblOrdenes[[#This Row],[link_checklist]]="","",HYPERLINK(p_ruta_base_checklists&amp;tblOrdenes[[#This Row],[link_checklist]],"abrir"))</f>
        <v/>
      </c>
      <c r="AS986" s="4" t="n"/>
      <c r="AT986" s="5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22" t="n"/>
      <c r="K987" s="5" t="n"/>
      <c r="L987" s="18" t="n"/>
      <c r="M9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5">
        <f>IF(tblOrdenes[[#This Row],[fecha_inicio]]="","",YEAR(tblOrdenes[[#This Row],[fecha_inicio]]))</f>
        <v/>
      </c>
      <c r="Q987" s="5">
        <f>IF(tblOrdenes[[#This Row],[fecha_inicio]]="","",MONTH(tblOrdenes[[#This Row],[fecha_inicio]]))</f>
        <v/>
      </c>
      <c r="R987" s="5">
        <f>IF(tblOrdenes[[#This Row],[fecha_inicio]]="","",tblOrdenes[[#This Row],[anio]]&amp;"-"&amp;TEXT(tblOrdenes[[#This Row],[mes]],"00"))</f>
        <v/>
      </c>
      <c r="S987" s="5">
        <f>IF(tblOrdenes[[#This Row],[fecha_inicio]]="","",INDEX(lista_dias,WEEKDAY(tblOrdenes[[#This Row],[fecha_inicio]],2)))</f>
        <v/>
      </c>
      <c r="T9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7" s="5">
        <f>IF(tblOrdenes[[#This Row],[tipo_ot]]="","",_xlfn.XLOOKUP(tblOrdenes[[#This Row],[tipo_ot]],tblTiposOT[codigo],tblTiposOT[clasificacion],"sin_clasificar"))</f>
        <v/>
      </c>
      <c r="V9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7" s="5">
        <f>IF(tblOrdenes[[#This Row],[centro_costo]]="","",_xlfn.XLOOKUP(tblOrdenes[[#This Row],[centro_costo]],tblCECO[codigo],tblCECO[linea],"(sin catálogo)"))</f>
        <v/>
      </c>
      <c r="X987" s="5">
        <f>IF(tblOrdenes[[#This Row],[centro_costo]]="","",_xlfn.XLOOKUP(tblOrdenes[[#This Row],[centro_costo]],tblCECO[codigo],tblCECO[area],"(sin catálogo)"))</f>
        <v/>
      </c>
      <c r="Y9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7" s="5">
        <f>IF(tblOrdenes[[#This Row],[centro_costo]]="","",_xlfn.XLOOKUP(tblOrdenes[[#This Row],[centro_costo]],tblCECO[codigo],tblCECO[coordinador],"(sin catálogo)"))</f>
        <v/>
      </c>
      <c r="AA987" s="5">
        <f>IF(tblOrdenes[[#This Row],[puesto_trabajo]]="","",_xlfn.XLOOKUP(tblOrdenes[[#This Row],[puesto_trabajo]],tblPuestos[codigo],tblPuestos[especialidad],"(sin catálogo)"))</f>
        <v/>
      </c>
      <c r="AB987" s="5">
        <f>IF(tblOrdenes[[#This Row],[cod_actividad]]="","",_xlfn.XLOOKUP(tblOrdenes[[#This Row],[cod_actividad]],tblActividades[codigo],tblActividades[descripcion],"(sin catálogo)"))</f>
        <v/>
      </c>
      <c r="AC987" s="20">
        <f>IF(tblOrdenes[[#This Row],[fecha_inicio]]="","",TODAY()-tblOrdenes[[#This Row],[fecha_inicio]])</f>
        <v/>
      </c>
      <c r="AD9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7" s="5">
        <f>IF(tblOrdenes[[#This Row],[backlog_habiles]]="","",IF(tblOrdenes[[#This Row],[backlog_habiles]]&lt;0,"FUTURO",IF(tblOrdenes[[#This Row],[backlog_habiles]]&gt;p_dias_backlog_max,"BACKLOG","MES CORRIENTE")))</f>
        <v/>
      </c>
      <c r="AF987" s="5">
        <f>IF(tblOrdenes[[#This Row],[backlog_habiles]]="",FALSE,AND(tblOrdenes[[#This Row],[backlog_habiles]]&gt;p_dias_backlog_min,tblOrdenes[[#This Row],[backlog_habiles]]&lt;=p_dias_backlog_max))</f>
        <v/>
      </c>
      <c r="AG987" s="4" t="n"/>
      <c r="AH9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7" s="18">
        <f>IF(tblOrdenes[[#This Row],[orden]]="","",_xlfn.XLOOKUP(tblOrdenes[[#This Row],[id_operacion]],tblEjecucion[id_operacion],tblEjecucion[precio],0))</f>
        <v/>
      </c>
      <c r="AL987" s="18">
        <f>IF(tblOrdenes[[#This Row],[orden]]="","",MAX(0,_xlfn.XLOOKUP(tblOrdenes[[#This Row],[id_operacion]],tblEjecucion[id_operacion],tblEjecucion[costo_plan_total],0)-tblOrdenes[[#This Row],[costo_servicio]]))</f>
        <v/>
      </c>
      <c r="AM987" s="18">
        <f>IF(tblOrdenes[[#This Row],[orden]]="","",tblOrdenes[[#This Row],[costo_servicio]]+tblOrdenes[[#This Row],[costo_materiales]])</f>
        <v/>
      </c>
      <c r="AN9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7" s="4" t="n"/>
      <c r="AP987" s="4" t="n"/>
      <c r="AQ987" s="4" t="n"/>
      <c r="AR987" s="5">
        <f>IF(tblOrdenes[[#This Row],[link_checklist]]="","",HYPERLINK(p_ruta_base_checklists&amp;tblOrdenes[[#This Row],[link_checklist]],"abrir"))</f>
        <v/>
      </c>
      <c r="AS987" s="4" t="n"/>
      <c r="AT987" s="5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22" t="n"/>
      <c r="K988" s="5" t="n"/>
      <c r="L988" s="18" t="n"/>
      <c r="M9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5">
        <f>IF(tblOrdenes[[#This Row],[fecha_inicio]]="","",YEAR(tblOrdenes[[#This Row],[fecha_inicio]]))</f>
        <v/>
      </c>
      <c r="Q988" s="5">
        <f>IF(tblOrdenes[[#This Row],[fecha_inicio]]="","",MONTH(tblOrdenes[[#This Row],[fecha_inicio]]))</f>
        <v/>
      </c>
      <c r="R988" s="5">
        <f>IF(tblOrdenes[[#This Row],[fecha_inicio]]="","",tblOrdenes[[#This Row],[anio]]&amp;"-"&amp;TEXT(tblOrdenes[[#This Row],[mes]],"00"))</f>
        <v/>
      </c>
      <c r="S988" s="5">
        <f>IF(tblOrdenes[[#This Row],[fecha_inicio]]="","",INDEX(lista_dias,WEEKDAY(tblOrdenes[[#This Row],[fecha_inicio]],2)))</f>
        <v/>
      </c>
      <c r="T9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8" s="5">
        <f>IF(tblOrdenes[[#This Row],[tipo_ot]]="","",_xlfn.XLOOKUP(tblOrdenes[[#This Row],[tipo_ot]],tblTiposOT[codigo],tblTiposOT[clasificacion],"sin_clasificar"))</f>
        <v/>
      </c>
      <c r="V9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8" s="5">
        <f>IF(tblOrdenes[[#This Row],[centro_costo]]="","",_xlfn.XLOOKUP(tblOrdenes[[#This Row],[centro_costo]],tblCECO[codigo],tblCECO[linea],"(sin catálogo)"))</f>
        <v/>
      </c>
      <c r="X988" s="5">
        <f>IF(tblOrdenes[[#This Row],[centro_costo]]="","",_xlfn.XLOOKUP(tblOrdenes[[#This Row],[centro_costo]],tblCECO[codigo],tblCECO[area],"(sin catálogo)"))</f>
        <v/>
      </c>
      <c r="Y9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8" s="5">
        <f>IF(tblOrdenes[[#This Row],[centro_costo]]="","",_xlfn.XLOOKUP(tblOrdenes[[#This Row],[centro_costo]],tblCECO[codigo],tblCECO[coordinador],"(sin catálogo)"))</f>
        <v/>
      </c>
      <c r="AA988" s="5">
        <f>IF(tblOrdenes[[#This Row],[puesto_trabajo]]="","",_xlfn.XLOOKUP(tblOrdenes[[#This Row],[puesto_trabajo]],tblPuestos[codigo],tblPuestos[especialidad],"(sin catálogo)"))</f>
        <v/>
      </c>
      <c r="AB988" s="5">
        <f>IF(tblOrdenes[[#This Row],[cod_actividad]]="","",_xlfn.XLOOKUP(tblOrdenes[[#This Row],[cod_actividad]],tblActividades[codigo],tblActividades[descripcion],"(sin catálogo)"))</f>
        <v/>
      </c>
      <c r="AC988" s="20">
        <f>IF(tblOrdenes[[#This Row],[fecha_inicio]]="","",TODAY()-tblOrdenes[[#This Row],[fecha_inicio]])</f>
        <v/>
      </c>
      <c r="AD9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8" s="5">
        <f>IF(tblOrdenes[[#This Row],[backlog_habiles]]="","",IF(tblOrdenes[[#This Row],[backlog_habiles]]&lt;0,"FUTURO",IF(tblOrdenes[[#This Row],[backlog_habiles]]&gt;p_dias_backlog_max,"BACKLOG","MES CORRIENTE")))</f>
        <v/>
      </c>
      <c r="AF988" s="5">
        <f>IF(tblOrdenes[[#This Row],[backlog_habiles]]="",FALSE,AND(tblOrdenes[[#This Row],[backlog_habiles]]&gt;p_dias_backlog_min,tblOrdenes[[#This Row],[backlog_habiles]]&lt;=p_dias_backlog_max))</f>
        <v/>
      </c>
      <c r="AG988" s="4" t="n"/>
      <c r="AH9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8" s="18">
        <f>IF(tblOrdenes[[#This Row],[orden]]="","",_xlfn.XLOOKUP(tblOrdenes[[#This Row],[id_operacion]],tblEjecucion[id_operacion],tblEjecucion[precio],0))</f>
        <v/>
      </c>
      <c r="AL988" s="18">
        <f>IF(tblOrdenes[[#This Row],[orden]]="","",MAX(0,_xlfn.XLOOKUP(tblOrdenes[[#This Row],[id_operacion]],tblEjecucion[id_operacion],tblEjecucion[costo_plan_total],0)-tblOrdenes[[#This Row],[costo_servicio]]))</f>
        <v/>
      </c>
      <c r="AM988" s="18">
        <f>IF(tblOrdenes[[#This Row],[orden]]="","",tblOrdenes[[#This Row],[costo_servicio]]+tblOrdenes[[#This Row],[costo_materiales]])</f>
        <v/>
      </c>
      <c r="AN9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8" s="4" t="n"/>
      <c r="AP988" s="4" t="n"/>
      <c r="AQ988" s="4" t="n"/>
      <c r="AR988" s="5">
        <f>IF(tblOrdenes[[#This Row],[link_checklist]]="","",HYPERLINK(p_ruta_base_checklists&amp;tblOrdenes[[#This Row],[link_checklist]],"abrir"))</f>
        <v/>
      </c>
      <c r="AS988" s="4" t="n"/>
      <c r="AT988" s="5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22" t="n"/>
      <c r="K989" s="5" t="n"/>
      <c r="L989" s="18" t="n"/>
      <c r="M9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5">
        <f>IF(tblOrdenes[[#This Row],[fecha_inicio]]="","",YEAR(tblOrdenes[[#This Row],[fecha_inicio]]))</f>
        <v/>
      </c>
      <c r="Q989" s="5">
        <f>IF(tblOrdenes[[#This Row],[fecha_inicio]]="","",MONTH(tblOrdenes[[#This Row],[fecha_inicio]]))</f>
        <v/>
      </c>
      <c r="R989" s="5">
        <f>IF(tblOrdenes[[#This Row],[fecha_inicio]]="","",tblOrdenes[[#This Row],[anio]]&amp;"-"&amp;TEXT(tblOrdenes[[#This Row],[mes]],"00"))</f>
        <v/>
      </c>
      <c r="S989" s="5">
        <f>IF(tblOrdenes[[#This Row],[fecha_inicio]]="","",INDEX(lista_dias,WEEKDAY(tblOrdenes[[#This Row],[fecha_inicio]],2)))</f>
        <v/>
      </c>
      <c r="T9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9" s="5">
        <f>IF(tblOrdenes[[#This Row],[tipo_ot]]="","",_xlfn.XLOOKUP(tblOrdenes[[#This Row],[tipo_ot]],tblTiposOT[codigo],tblTiposOT[clasificacion],"sin_clasificar"))</f>
        <v/>
      </c>
      <c r="V9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9" s="5">
        <f>IF(tblOrdenes[[#This Row],[centro_costo]]="","",_xlfn.XLOOKUP(tblOrdenes[[#This Row],[centro_costo]],tblCECO[codigo],tblCECO[linea],"(sin catálogo)"))</f>
        <v/>
      </c>
      <c r="X989" s="5">
        <f>IF(tblOrdenes[[#This Row],[centro_costo]]="","",_xlfn.XLOOKUP(tblOrdenes[[#This Row],[centro_costo]],tblCECO[codigo],tblCECO[area],"(sin catálogo)"))</f>
        <v/>
      </c>
      <c r="Y9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89" s="5">
        <f>IF(tblOrdenes[[#This Row],[centro_costo]]="","",_xlfn.XLOOKUP(tblOrdenes[[#This Row],[centro_costo]],tblCECO[codigo],tblCECO[coordinador],"(sin catálogo)"))</f>
        <v/>
      </c>
      <c r="AA989" s="5">
        <f>IF(tblOrdenes[[#This Row],[puesto_trabajo]]="","",_xlfn.XLOOKUP(tblOrdenes[[#This Row],[puesto_trabajo]],tblPuestos[codigo],tblPuestos[especialidad],"(sin catálogo)"))</f>
        <v/>
      </c>
      <c r="AB989" s="5">
        <f>IF(tblOrdenes[[#This Row],[cod_actividad]]="","",_xlfn.XLOOKUP(tblOrdenes[[#This Row],[cod_actividad]],tblActividades[codigo],tblActividades[descripcion],"(sin catálogo)"))</f>
        <v/>
      </c>
      <c r="AC989" s="20">
        <f>IF(tblOrdenes[[#This Row],[fecha_inicio]]="","",TODAY()-tblOrdenes[[#This Row],[fecha_inicio]])</f>
        <v/>
      </c>
      <c r="AD9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89" s="5">
        <f>IF(tblOrdenes[[#This Row],[backlog_habiles]]="","",IF(tblOrdenes[[#This Row],[backlog_habiles]]&lt;0,"FUTURO",IF(tblOrdenes[[#This Row],[backlog_habiles]]&gt;p_dias_backlog_max,"BACKLOG","MES CORRIENTE")))</f>
        <v/>
      </c>
      <c r="AF989" s="5">
        <f>IF(tblOrdenes[[#This Row],[backlog_habiles]]="",FALSE,AND(tblOrdenes[[#This Row],[backlog_habiles]]&gt;p_dias_backlog_min,tblOrdenes[[#This Row],[backlog_habiles]]&lt;=p_dias_backlog_max))</f>
        <v/>
      </c>
      <c r="AG989" s="4" t="n"/>
      <c r="AH9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89" s="18">
        <f>IF(tblOrdenes[[#This Row],[orden]]="","",_xlfn.XLOOKUP(tblOrdenes[[#This Row],[id_operacion]],tblEjecucion[id_operacion],tblEjecucion[precio],0))</f>
        <v/>
      </c>
      <c r="AL989" s="18">
        <f>IF(tblOrdenes[[#This Row],[orden]]="","",MAX(0,_xlfn.XLOOKUP(tblOrdenes[[#This Row],[id_operacion]],tblEjecucion[id_operacion],tblEjecucion[costo_plan_total],0)-tblOrdenes[[#This Row],[costo_servicio]]))</f>
        <v/>
      </c>
      <c r="AM989" s="18">
        <f>IF(tblOrdenes[[#This Row],[orden]]="","",tblOrdenes[[#This Row],[costo_servicio]]+tblOrdenes[[#This Row],[costo_materiales]])</f>
        <v/>
      </c>
      <c r="AN9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89" s="4" t="n"/>
      <c r="AP989" s="4" t="n"/>
      <c r="AQ989" s="4" t="n"/>
      <c r="AR989" s="5">
        <f>IF(tblOrdenes[[#This Row],[link_checklist]]="","",HYPERLINK(p_ruta_base_checklists&amp;tblOrdenes[[#This Row],[link_checklist]],"abrir"))</f>
        <v/>
      </c>
      <c r="AS989" s="4" t="n"/>
      <c r="AT989" s="5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22" t="n"/>
      <c r="K990" s="5" t="n"/>
      <c r="L990" s="18" t="n"/>
      <c r="M9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5">
        <f>IF(tblOrdenes[[#This Row],[fecha_inicio]]="","",YEAR(tblOrdenes[[#This Row],[fecha_inicio]]))</f>
        <v/>
      </c>
      <c r="Q990" s="5">
        <f>IF(tblOrdenes[[#This Row],[fecha_inicio]]="","",MONTH(tblOrdenes[[#This Row],[fecha_inicio]]))</f>
        <v/>
      </c>
      <c r="R990" s="5">
        <f>IF(tblOrdenes[[#This Row],[fecha_inicio]]="","",tblOrdenes[[#This Row],[anio]]&amp;"-"&amp;TEXT(tblOrdenes[[#This Row],[mes]],"00"))</f>
        <v/>
      </c>
      <c r="S990" s="5">
        <f>IF(tblOrdenes[[#This Row],[fecha_inicio]]="","",INDEX(lista_dias,WEEKDAY(tblOrdenes[[#This Row],[fecha_inicio]],2)))</f>
        <v/>
      </c>
      <c r="T9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0" s="5">
        <f>IF(tblOrdenes[[#This Row],[tipo_ot]]="","",_xlfn.XLOOKUP(tblOrdenes[[#This Row],[tipo_ot]],tblTiposOT[codigo],tblTiposOT[clasificacion],"sin_clasificar"))</f>
        <v/>
      </c>
      <c r="V9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0" s="5">
        <f>IF(tblOrdenes[[#This Row],[centro_costo]]="","",_xlfn.XLOOKUP(tblOrdenes[[#This Row],[centro_costo]],tblCECO[codigo],tblCECO[linea],"(sin catálogo)"))</f>
        <v/>
      </c>
      <c r="X990" s="5">
        <f>IF(tblOrdenes[[#This Row],[centro_costo]]="","",_xlfn.XLOOKUP(tblOrdenes[[#This Row],[centro_costo]],tblCECO[codigo],tblCECO[area],"(sin catálogo)"))</f>
        <v/>
      </c>
      <c r="Y9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0" s="5">
        <f>IF(tblOrdenes[[#This Row],[centro_costo]]="","",_xlfn.XLOOKUP(tblOrdenes[[#This Row],[centro_costo]],tblCECO[codigo],tblCECO[coordinador],"(sin catálogo)"))</f>
        <v/>
      </c>
      <c r="AA990" s="5">
        <f>IF(tblOrdenes[[#This Row],[puesto_trabajo]]="","",_xlfn.XLOOKUP(tblOrdenes[[#This Row],[puesto_trabajo]],tblPuestos[codigo],tblPuestos[especialidad],"(sin catálogo)"))</f>
        <v/>
      </c>
      <c r="AB990" s="5">
        <f>IF(tblOrdenes[[#This Row],[cod_actividad]]="","",_xlfn.XLOOKUP(tblOrdenes[[#This Row],[cod_actividad]],tblActividades[codigo],tblActividades[descripcion],"(sin catálogo)"))</f>
        <v/>
      </c>
      <c r="AC990" s="20">
        <f>IF(tblOrdenes[[#This Row],[fecha_inicio]]="","",TODAY()-tblOrdenes[[#This Row],[fecha_inicio]])</f>
        <v/>
      </c>
      <c r="AD9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0" s="5">
        <f>IF(tblOrdenes[[#This Row],[backlog_habiles]]="","",IF(tblOrdenes[[#This Row],[backlog_habiles]]&lt;0,"FUTURO",IF(tblOrdenes[[#This Row],[backlog_habiles]]&gt;p_dias_backlog_max,"BACKLOG","MES CORRIENTE")))</f>
        <v/>
      </c>
      <c r="AF990" s="5">
        <f>IF(tblOrdenes[[#This Row],[backlog_habiles]]="",FALSE,AND(tblOrdenes[[#This Row],[backlog_habiles]]&gt;p_dias_backlog_min,tblOrdenes[[#This Row],[backlog_habiles]]&lt;=p_dias_backlog_max))</f>
        <v/>
      </c>
      <c r="AG990" s="4" t="n"/>
      <c r="AH9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0" s="18">
        <f>IF(tblOrdenes[[#This Row],[orden]]="","",_xlfn.XLOOKUP(tblOrdenes[[#This Row],[id_operacion]],tblEjecucion[id_operacion],tblEjecucion[precio],0))</f>
        <v/>
      </c>
      <c r="AL990" s="18">
        <f>IF(tblOrdenes[[#This Row],[orden]]="","",MAX(0,_xlfn.XLOOKUP(tblOrdenes[[#This Row],[id_operacion]],tblEjecucion[id_operacion],tblEjecucion[costo_plan_total],0)-tblOrdenes[[#This Row],[costo_servicio]]))</f>
        <v/>
      </c>
      <c r="AM990" s="18">
        <f>IF(tblOrdenes[[#This Row],[orden]]="","",tblOrdenes[[#This Row],[costo_servicio]]+tblOrdenes[[#This Row],[costo_materiales]])</f>
        <v/>
      </c>
      <c r="AN9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0" s="4" t="n"/>
      <c r="AP990" s="4" t="n"/>
      <c r="AQ990" s="4" t="n"/>
      <c r="AR990" s="5">
        <f>IF(tblOrdenes[[#This Row],[link_checklist]]="","",HYPERLINK(p_ruta_base_checklists&amp;tblOrdenes[[#This Row],[link_checklist]],"abrir"))</f>
        <v/>
      </c>
      <c r="AS990" s="4" t="n"/>
      <c r="AT990" s="5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22" t="n"/>
      <c r="K991" s="5" t="n"/>
      <c r="L991" s="18" t="n"/>
      <c r="M9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5">
        <f>IF(tblOrdenes[[#This Row],[fecha_inicio]]="","",YEAR(tblOrdenes[[#This Row],[fecha_inicio]]))</f>
        <v/>
      </c>
      <c r="Q991" s="5">
        <f>IF(tblOrdenes[[#This Row],[fecha_inicio]]="","",MONTH(tblOrdenes[[#This Row],[fecha_inicio]]))</f>
        <v/>
      </c>
      <c r="R991" s="5">
        <f>IF(tblOrdenes[[#This Row],[fecha_inicio]]="","",tblOrdenes[[#This Row],[anio]]&amp;"-"&amp;TEXT(tblOrdenes[[#This Row],[mes]],"00"))</f>
        <v/>
      </c>
      <c r="S991" s="5">
        <f>IF(tblOrdenes[[#This Row],[fecha_inicio]]="","",INDEX(lista_dias,WEEKDAY(tblOrdenes[[#This Row],[fecha_inicio]],2)))</f>
        <v/>
      </c>
      <c r="T9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1" s="5">
        <f>IF(tblOrdenes[[#This Row],[tipo_ot]]="","",_xlfn.XLOOKUP(tblOrdenes[[#This Row],[tipo_ot]],tblTiposOT[codigo],tblTiposOT[clasificacion],"sin_clasificar"))</f>
        <v/>
      </c>
      <c r="V9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1" s="5">
        <f>IF(tblOrdenes[[#This Row],[centro_costo]]="","",_xlfn.XLOOKUP(tblOrdenes[[#This Row],[centro_costo]],tblCECO[codigo],tblCECO[linea],"(sin catálogo)"))</f>
        <v/>
      </c>
      <c r="X991" s="5">
        <f>IF(tblOrdenes[[#This Row],[centro_costo]]="","",_xlfn.XLOOKUP(tblOrdenes[[#This Row],[centro_costo]],tblCECO[codigo],tblCECO[area],"(sin catálogo)"))</f>
        <v/>
      </c>
      <c r="Y9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1" s="5">
        <f>IF(tblOrdenes[[#This Row],[centro_costo]]="","",_xlfn.XLOOKUP(tblOrdenes[[#This Row],[centro_costo]],tblCECO[codigo],tblCECO[coordinador],"(sin catálogo)"))</f>
        <v/>
      </c>
      <c r="AA991" s="5">
        <f>IF(tblOrdenes[[#This Row],[puesto_trabajo]]="","",_xlfn.XLOOKUP(tblOrdenes[[#This Row],[puesto_trabajo]],tblPuestos[codigo],tblPuestos[especialidad],"(sin catálogo)"))</f>
        <v/>
      </c>
      <c r="AB991" s="5">
        <f>IF(tblOrdenes[[#This Row],[cod_actividad]]="","",_xlfn.XLOOKUP(tblOrdenes[[#This Row],[cod_actividad]],tblActividades[codigo],tblActividades[descripcion],"(sin catálogo)"))</f>
        <v/>
      </c>
      <c r="AC991" s="20">
        <f>IF(tblOrdenes[[#This Row],[fecha_inicio]]="","",TODAY()-tblOrdenes[[#This Row],[fecha_inicio]])</f>
        <v/>
      </c>
      <c r="AD9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1" s="5">
        <f>IF(tblOrdenes[[#This Row],[backlog_habiles]]="","",IF(tblOrdenes[[#This Row],[backlog_habiles]]&lt;0,"FUTURO",IF(tblOrdenes[[#This Row],[backlog_habiles]]&gt;p_dias_backlog_max,"BACKLOG","MES CORRIENTE")))</f>
        <v/>
      </c>
      <c r="AF991" s="5">
        <f>IF(tblOrdenes[[#This Row],[backlog_habiles]]="",FALSE,AND(tblOrdenes[[#This Row],[backlog_habiles]]&gt;p_dias_backlog_min,tblOrdenes[[#This Row],[backlog_habiles]]&lt;=p_dias_backlog_max))</f>
        <v/>
      </c>
      <c r="AG991" s="4" t="n"/>
      <c r="AH9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1" s="18">
        <f>IF(tblOrdenes[[#This Row],[orden]]="","",_xlfn.XLOOKUP(tblOrdenes[[#This Row],[id_operacion]],tblEjecucion[id_operacion],tblEjecucion[precio],0))</f>
        <v/>
      </c>
      <c r="AL991" s="18">
        <f>IF(tblOrdenes[[#This Row],[orden]]="","",MAX(0,_xlfn.XLOOKUP(tblOrdenes[[#This Row],[id_operacion]],tblEjecucion[id_operacion],tblEjecucion[costo_plan_total],0)-tblOrdenes[[#This Row],[costo_servicio]]))</f>
        <v/>
      </c>
      <c r="AM991" s="18">
        <f>IF(tblOrdenes[[#This Row],[orden]]="","",tblOrdenes[[#This Row],[costo_servicio]]+tblOrdenes[[#This Row],[costo_materiales]])</f>
        <v/>
      </c>
      <c r="AN9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1" s="4" t="n"/>
      <c r="AP991" s="4" t="n"/>
      <c r="AQ991" s="4" t="n"/>
      <c r="AR991" s="5">
        <f>IF(tblOrdenes[[#This Row],[link_checklist]]="","",HYPERLINK(p_ruta_base_checklists&amp;tblOrdenes[[#This Row],[link_checklist]],"abrir"))</f>
        <v/>
      </c>
      <c r="AS991" s="4" t="n"/>
      <c r="AT991" s="5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22" t="n"/>
      <c r="K992" s="5" t="n"/>
      <c r="L992" s="18" t="n"/>
      <c r="M9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5">
        <f>IF(tblOrdenes[[#This Row],[fecha_inicio]]="","",YEAR(tblOrdenes[[#This Row],[fecha_inicio]]))</f>
        <v/>
      </c>
      <c r="Q992" s="5">
        <f>IF(tblOrdenes[[#This Row],[fecha_inicio]]="","",MONTH(tblOrdenes[[#This Row],[fecha_inicio]]))</f>
        <v/>
      </c>
      <c r="R992" s="5">
        <f>IF(tblOrdenes[[#This Row],[fecha_inicio]]="","",tblOrdenes[[#This Row],[anio]]&amp;"-"&amp;TEXT(tblOrdenes[[#This Row],[mes]],"00"))</f>
        <v/>
      </c>
      <c r="S992" s="5">
        <f>IF(tblOrdenes[[#This Row],[fecha_inicio]]="","",INDEX(lista_dias,WEEKDAY(tblOrdenes[[#This Row],[fecha_inicio]],2)))</f>
        <v/>
      </c>
      <c r="T9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2" s="5">
        <f>IF(tblOrdenes[[#This Row],[tipo_ot]]="","",_xlfn.XLOOKUP(tblOrdenes[[#This Row],[tipo_ot]],tblTiposOT[codigo],tblTiposOT[clasificacion],"sin_clasificar"))</f>
        <v/>
      </c>
      <c r="V9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2" s="5">
        <f>IF(tblOrdenes[[#This Row],[centro_costo]]="","",_xlfn.XLOOKUP(tblOrdenes[[#This Row],[centro_costo]],tblCECO[codigo],tblCECO[linea],"(sin catálogo)"))</f>
        <v/>
      </c>
      <c r="X992" s="5">
        <f>IF(tblOrdenes[[#This Row],[centro_costo]]="","",_xlfn.XLOOKUP(tblOrdenes[[#This Row],[centro_costo]],tblCECO[codigo],tblCECO[area],"(sin catálogo)"))</f>
        <v/>
      </c>
      <c r="Y9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2" s="5">
        <f>IF(tblOrdenes[[#This Row],[centro_costo]]="","",_xlfn.XLOOKUP(tblOrdenes[[#This Row],[centro_costo]],tblCECO[codigo],tblCECO[coordinador],"(sin catálogo)"))</f>
        <v/>
      </c>
      <c r="AA992" s="5">
        <f>IF(tblOrdenes[[#This Row],[puesto_trabajo]]="","",_xlfn.XLOOKUP(tblOrdenes[[#This Row],[puesto_trabajo]],tblPuestos[codigo],tblPuestos[especialidad],"(sin catálogo)"))</f>
        <v/>
      </c>
      <c r="AB992" s="5">
        <f>IF(tblOrdenes[[#This Row],[cod_actividad]]="","",_xlfn.XLOOKUP(tblOrdenes[[#This Row],[cod_actividad]],tblActividades[codigo],tblActividades[descripcion],"(sin catálogo)"))</f>
        <v/>
      </c>
      <c r="AC992" s="20">
        <f>IF(tblOrdenes[[#This Row],[fecha_inicio]]="","",TODAY()-tblOrdenes[[#This Row],[fecha_inicio]])</f>
        <v/>
      </c>
      <c r="AD9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2" s="5">
        <f>IF(tblOrdenes[[#This Row],[backlog_habiles]]="","",IF(tblOrdenes[[#This Row],[backlog_habiles]]&lt;0,"FUTURO",IF(tblOrdenes[[#This Row],[backlog_habiles]]&gt;p_dias_backlog_max,"BACKLOG","MES CORRIENTE")))</f>
        <v/>
      </c>
      <c r="AF992" s="5">
        <f>IF(tblOrdenes[[#This Row],[backlog_habiles]]="",FALSE,AND(tblOrdenes[[#This Row],[backlog_habiles]]&gt;p_dias_backlog_min,tblOrdenes[[#This Row],[backlog_habiles]]&lt;=p_dias_backlog_max))</f>
        <v/>
      </c>
      <c r="AG992" s="4" t="n"/>
      <c r="AH9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2" s="18">
        <f>IF(tblOrdenes[[#This Row],[orden]]="","",_xlfn.XLOOKUP(tblOrdenes[[#This Row],[id_operacion]],tblEjecucion[id_operacion],tblEjecucion[precio],0))</f>
        <v/>
      </c>
      <c r="AL992" s="18">
        <f>IF(tblOrdenes[[#This Row],[orden]]="","",MAX(0,_xlfn.XLOOKUP(tblOrdenes[[#This Row],[id_operacion]],tblEjecucion[id_operacion],tblEjecucion[costo_plan_total],0)-tblOrdenes[[#This Row],[costo_servicio]]))</f>
        <v/>
      </c>
      <c r="AM992" s="18">
        <f>IF(tblOrdenes[[#This Row],[orden]]="","",tblOrdenes[[#This Row],[costo_servicio]]+tblOrdenes[[#This Row],[costo_materiales]])</f>
        <v/>
      </c>
      <c r="AN9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2" s="4" t="n"/>
      <c r="AP992" s="4" t="n"/>
      <c r="AQ992" s="4" t="n"/>
      <c r="AR992" s="5">
        <f>IF(tblOrdenes[[#This Row],[link_checklist]]="","",HYPERLINK(p_ruta_base_checklists&amp;tblOrdenes[[#This Row],[link_checklist]],"abrir"))</f>
        <v/>
      </c>
      <c r="AS992" s="4" t="n"/>
      <c r="AT992" s="5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22" t="n"/>
      <c r="K993" s="5" t="n"/>
      <c r="L993" s="18" t="n"/>
      <c r="M9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5">
        <f>IF(tblOrdenes[[#This Row],[fecha_inicio]]="","",YEAR(tblOrdenes[[#This Row],[fecha_inicio]]))</f>
        <v/>
      </c>
      <c r="Q993" s="5">
        <f>IF(tblOrdenes[[#This Row],[fecha_inicio]]="","",MONTH(tblOrdenes[[#This Row],[fecha_inicio]]))</f>
        <v/>
      </c>
      <c r="R993" s="5">
        <f>IF(tblOrdenes[[#This Row],[fecha_inicio]]="","",tblOrdenes[[#This Row],[anio]]&amp;"-"&amp;TEXT(tblOrdenes[[#This Row],[mes]],"00"))</f>
        <v/>
      </c>
      <c r="S993" s="5">
        <f>IF(tblOrdenes[[#This Row],[fecha_inicio]]="","",INDEX(lista_dias,WEEKDAY(tblOrdenes[[#This Row],[fecha_inicio]],2)))</f>
        <v/>
      </c>
      <c r="T9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3" s="5">
        <f>IF(tblOrdenes[[#This Row],[tipo_ot]]="","",_xlfn.XLOOKUP(tblOrdenes[[#This Row],[tipo_ot]],tblTiposOT[codigo],tblTiposOT[clasificacion],"sin_clasificar"))</f>
        <v/>
      </c>
      <c r="V9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3" s="5">
        <f>IF(tblOrdenes[[#This Row],[centro_costo]]="","",_xlfn.XLOOKUP(tblOrdenes[[#This Row],[centro_costo]],tblCECO[codigo],tblCECO[linea],"(sin catálogo)"))</f>
        <v/>
      </c>
      <c r="X993" s="5">
        <f>IF(tblOrdenes[[#This Row],[centro_costo]]="","",_xlfn.XLOOKUP(tblOrdenes[[#This Row],[centro_costo]],tblCECO[codigo],tblCECO[area],"(sin catálogo)"))</f>
        <v/>
      </c>
      <c r="Y9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3" s="5">
        <f>IF(tblOrdenes[[#This Row],[centro_costo]]="","",_xlfn.XLOOKUP(tblOrdenes[[#This Row],[centro_costo]],tblCECO[codigo],tblCECO[coordinador],"(sin catálogo)"))</f>
        <v/>
      </c>
      <c r="AA993" s="5">
        <f>IF(tblOrdenes[[#This Row],[puesto_trabajo]]="","",_xlfn.XLOOKUP(tblOrdenes[[#This Row],[puesto_trabajo]],tblPuestos[codigo],tblPuestos[especialidad],"(sin catálogo)"))</f>
        <v/>
      </c>
      <c r="AB993" s="5">
        <f>IF(tblOrdenes[[#This Row],[cod_actividad]]="","",_xlfn.XLOOKUP(tblOrdenes[[#This Row],[cod_actividad]],tblActividades[codigo],tblActividades[descripcion],"(sin catálogo)"))</f>
        <v/>
      </c>
      <c r="AC993" s="20">
        <f>IF(tblOrdenes[[#This Row],[fecha_inicio]]="","",TODAY()-tblOrdenes[[#This Row],[fecha_inicio]])</f>
        <v/>
      </c>
      <c r="AD9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3" s="5">
        <f>IF(tblOrdenes[[#This Row],[backlog_habiles]]="","",IF(tblOrdenes[[#This Row],[backlog_habiles]]&lt;0,"FUTURO",IF(tblOrdenes[[#This Row],[backlog_habiles]]&gt;p_dias_backlog_max,"BACKLOG","MES CORRIENTE")))</f>
        <v/>
      </c>
      <c r="AF993" s="5">
        <f>IF(tblOrdenes[[#This Row],[backlog_habiles]]="",FALSE,AND(tblOrdenes[[#This Row],[backlog_habiles]]&gt;p_dias_backlog_min,tblOrdenes[[#This Row],[backlog_habiles]]&lt;=p_dias_backlog_max))</f>
        <v/>
      </c>
      <c r="AG993" s="4" t="n"/>
      <c r="AH9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3" s="18">
        <f>IF(tblOrdenes[[#This Row],[orden]]="","",_xlfn.XLOOKUP(tblOrdenes[[#This Row],[id_operacion]],tblEjecucion[id_operacion],tblEjecucion[precio],0))</f>
        <v/>
      </c>
      <c r="AL993" s="18">
        <f>IF(tblOrdenes[[#This Row],[orden]]="","",MAX(0,_xlfn.XLOOKUP(tblOrdenes[[#This Row],[id_operacion]],tblEjecucion[id_operacion],tblEjecucion[costo_plan_total],0)-tblOrdenes[[#This Row],[costo_servicio]]))</f>
        <v/>
      </c>
      <c r="AM993" s="18">
        <f>IF(tblOrdenes[[#This Row],[orden]]="","",tblOrdenes[[#This Row],[costo_servicio]]+tblOrdenes[[#This Row],[costo_materiales]])</f>
        <v/>
      </c>
      <c r="AN9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3" s="4" t="n"/>
      <c r="AP993" s="4" t="n"/>
      <c r="AQ993" s="4" t="n"/>
      <c r="AR993" s="5">
        <f>IF(tblOrdenes[[#This Row],[link_checklist]]="","",HYPERLINK(p_ruta_base_checklists&amp;tblOrdenes[[#This Row],[link_checklist]],"abrir"))</f>
        <v/>
      </c>
      <c r="AS993" s="4" t="n"/>
      <c r="AT993" s="5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22" t="n"/>
      <c r="K994" s="5" t="n"/>
      <c r="L994" s="18" t="n"/>
      <c r="M9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5">
        <f>IF(tblOrdenes[[#This Row],[fecha_inicio]]="","",YEAR(tblOrdenes[[#This Row],[fecha_inicio]]))</f>
        <v/>
      </c>
      <c r="Q994" s="5">
        <f>IF(tblOrdenes[[#This Row],[fecha_inicio]]="","",MONTH(tblOrdenes[[#This Row],[fecha_inicio]]))</f>
        <v/>
      </c>
      <c r="R994" s="5">
        <f>IF(tblOrdenes[[#This Row],[fecha_inicio]]="","",tblOrdenes[[#This Row],[anio]]&amp;"-"&amp;TEXT(tblOrdenes[[#This Row],[mes]],"00"))</f>
        <v/>
      </c>
      <c r="S994" s="5">
        <f>IF(tblOrdenes[[#This Row],[fecha_inicio]]="","",INDEX(lista_dias,WEEKDAY(tblOrdenes[[#This Row],[fecha_inicio]],2)))</f>
        <v/>
      </c>
      <c r="T9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4" s="5">
        <f>IF(tblOrdenes[[#This Row],[tipo_ot]]="","",_xlfn.XLOOKUP(tblOrdenes[[#This Row],[tipo_ot]],tblTiposOT[codigo],tblTiposOT[clasificacion],"sin_clasificar"))</f>
        <v/>
      </c>
      <c r="V9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4" s="5">
        <f>IF(tblOrdenes[[#This Row],[centro_costo]]="","",_xlfn.XLOOKUP(tblOrdenes[[#This Row],[centro_costo]],tblCECO[codigo],tblCECO[linea],"(sin catálogo)"))</f>
        <v/>
      </c>
      <c r="X994" s="5">
        <f>IF(tblOrdenes[[#This Row],[centro_costo]]="","",_xlfn.XLOOKUP(tblOrdenes[[#This Row],[centro_costo]],tblCECO[codigo],tblCECO[area],"(sin catálogo)"))</f>
        <v/>
      </c>
      <c r="Y9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4" s="5">
        <f>IF(tblOrdenes[[#This Row],[centro_costo]]="","",_xlfn.XLOOKUP(tblOrdenes[[#This Row],[centro_costo]],tblCECO[codigo],tblCECO[coordinador],"(sin catálogo)"))</f>
        <v/>
      </c>
      <c r="AA994" s="5">
        <f>IF(tblOrdenes[[#This Row],[puesto_trabajo]]="","",_xlfn.XLOOKUP(tblOrdenes[[#This Row],[puesto_trabajo]],tblPuestos[codigo],tblPuestos[especialidad],"(sin catálogo)"))</f>
        <v/>
      </c>
      <c r="AB994" s="5">
        <f>IF(tblOrdenes[[#This Row],[cod_actividad]]="","",_xlfn.XLOOKUP(tblOrdenes[[#This Row],[cod_actividad]],tblActividades[codigo],tblActividades[descripcion],"(sin catálogo)"))</f>
        <v/>
      </c>
      <c r="AC994" s="20">
        <f>IF(tblOrdenes[[#This Row],[fecha_inicio]]="","",TODAY()-tblOrdenes[[#This Row],[fecha_inicio]])</f>
        <v/>
      </c>
      <c r="AD9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4" s="5">
        <f>IF(tblOrdenes[[#This Row],[backlog_habiles]]="","",IF(tblOrdenes[[#This Row],[backlog_habiles]]&lt;0,"FUTURO",IF(tblOrdenes[[#This Row],[backlog_habiles]]&gt;p_dias_backlog_max,"BACKLOG","MES CORRIENTE")))</f>
        <v/>
      </c>
      <c r="AF994" s="5">
        <f>IF(tblOrdenes[[#This Row],[backlog_habiles]]="",FALSE,AND(tblOrdenes[[#This Row],[backlog_habiles]]&gt;p_dias_backlog_min,tblOrdenes[[#This Row],[backlog_habiles]]&lt;=p_dias_backlog_max))</f>
        <v/>
      </c>
      <c r="AG994" s="4" t="n"/>
      <c r="AH9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4" s="18">
        <f>IF(tblOrdenes[[#This Row],[orden]]="","",_xlfn.XLOOKUP(tblOrdenes[[#This Row],[id_operacion]],tblEjecucion[id_operacion],tblEjecucion[precio],0))</f>
        <v/>
      </c>
      <c r="AL994" s="18">
        <f>IF(tblOrdenes[[#This Row],[orden]]="","",MAX(0,_xlfn.XLOOKUP(tblOrdenes[[#This Row],[id_operacion]],tblEjecucion[id_operacion],tblEjecucion[costo_plan_total],0)-tblOrdenes[[#This Row],[costo_servicio]]))</f>
        <v/>
      </c>
      <c r="AM994" s="18">
        <f>IF(tblOrdenes[[#This Row],[orden]]="","",tblOrdenes[[#This Row],[costo_servicio]]+tblOrdenes[[#This Row],[costo_materiales]])</f>
        <v/>
      </c>
      <c r="AN9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4" s="4" t="n"/>
      <c r="AP994" s="4" t="n"/>
      <c r="AQ994" s="4" t="n"/>
      <c r="AR994" s="5">
        <f>IF(tblOrdenes[[#This Row],[link_checklist]]="","",HYPERLINK(p_ruta_base_checklists&amp;tblOrdenes[[#This Row],[link_checklist]],"abrir"))</f>
        <v/>
      </c>
      <c r="AS994" s="4" t="n"/>
      <c r="AT994" s="5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22" t="n"/>
      <c r="K995" s="5" t="n"/>
      <c r="L995" s="18" t="n"/>
      <c r="M9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5">
        <f>IF(tblOrdenes[[#This Row],[fecha_inicio]]="","",YEAR(tblOrdenes[[#This Row],[fecha_inicio]]))</f>
        <v/>
      </c>
      <c r="Q995" s="5">
        <f>IF(tblOrdenes[[#This Row],[fecha_inicio]]="","",MONTH(tblOrdenes[[#This Row],[fecha_inicio]]))</f>
        <v/>
      </c>
      <c r="R995" s="5">
        <f>IF(tblOrdenes[[#This Row],[fecha_inicio]]="","",tblOrdenes[[#This Row],[anio]]&amp;"-"&amp;TEXT(tblOrdenes[[#This Row],[mes]],"00"))</f>
        <v/>
      </c>
      <c r="S995" s="5">
        <f>IF(tblOrdenes[[#This Row],[fecha_inicio]]="","",INDEX(lista_dias,WEEKDAY(tblOrdenes[[#This Row],[fecha_inicio]],2)))</f>
        <v/>
      </c>
      <c r="T9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5" s="5">
        <f>IF(tblOrdenes[[#This Row],[tipo_ot]]="","",_xlfn.XLOOKUP(tblOrdenes[[#This Row],[tipo_ot]],tblTiposOT[codigo],tblTiposOT[clasificacion],"sin_clasificar"))</f>
        <v/>
      </c>
      <c r="V9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5" s="5">
        <f>IF(tblOrdenes[[#This Row],[centro_costo]]="","",_xlfn.XLOOKUP(tblOrdenes[[#This Row],[centro_costo]],tblCECO[codigo],tblCECO[linea],"(sin catálogo)"))</f>
        <v/>
      </c>
      <c r="X995" s="5">
        <f>IF(tblOrdenes[[#This Row],[centro_costo]]="","",_xlfn.XLOOKUP(tblOrdenes[[#This Row],[centro_costo]],tblCECO[codigo],tblCECO[area],"(sin catálogo)"))</f>
        <v/>
      </c>
      <c r="Y9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5" s="5">
        <f>IF(tblOrdenes[[#This Row],[centro_costo]]="","",_xlfn.XLOOKUP(tblOrdenes[[#This Row],[centro_costo]],tblCECO[codigo],tblCECO[coordinador],"(sin catálogo)"))</f>
        <v/>
      </c>
      <c r="AA995" s="5">
        <f>IF(tblOrdenes[[#This Row],[puesto_trabajo]]="","",_xlfn.XLOOKUP(tblOrdenes[[#This Row],[puesto_trabajo]],tblPuestos[codigo],tblPuestos[especialidad],"(sin catálogo)"))</f>
        <v/>
      </c>
      <c r="AB995" s="5">
        <f>IF(tblOrdenes[[#This Row],[cod_actividad]]="","",_xlfn.XLOOKUP(tblOrdenes[[#This Row],[cod_actividad]],tblActividades[codigo],tblActividades[descripcion],"(sin catálogo)"))</f>
        <v/>
      </c>
      <c r="AC995" s="20">
        <f>IF(tblOrdenes[[#This Row],[fecha_inicio]]="","",TODAY()-tblOrdenes[[#This Row],[fecha_inicio]])</f>
        <v/>
      </c>
      <c r="AD9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5" s="5">
        <f>IF(tblOrdenes[[#This Row],[backlog_habiles]]="","",IF(tblOrdenes[[#This Row],[backlog_habiles]]&lt;0,"FUTURO",IF(tblOrdenes[[#This Row],[backlog_habiles]]&gt;p_dias_backlog_max,"BACKLOG","MES CORRIENTE")))</f>
        <v/>
      </c>
      <c r="AF995" s="5">
        <f>IF(tblOrdenes[[#This Row],[backlog_habiles]]="",FALSE,AND(tblOrdenes[[#This Row],[backlog_habiles]]&gt;p_dias_backlog_min,tblOrdenes[[#This Row],[backlog_habiles]]&lt;=p_dias_backlog_max))</f>
        <v/>
      </c>
      <c r="AG995" s="4" t="n"/>
      <c r="AH9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5" s="18">
        <f>IF(tblOrdenes[[#This Row],[orden]]="","",_xlfn.XLOOKUP(tblOrdenes[[#This Row],[id_operacion]],tblEjecucion[id_operacion],tblEjecucion[precio],0))</f>
        <v/>
      </c>
      <c r="AL995" s="18">
        <f>IF(tblOrdenes[[#This Row],[orden]]="","",MAX(0,_xlfn.XLOOKUP(tblOrdenes[[#This Row],[id_operacion]],tblEjecucion[id_operacion],tblEjecucion[costo_plan_total],0)-tblOrdenes[[#This Row],[costo_servicio]]))</f>
        <v/>
      </c>
      <c r="AM995" s="18">
        <f>IF(tblOrdenes[[#This Row],[orden]]="","",tblOrdenes[[#This Row],[costo_servicio]]+tblOrdenes[[#This Row],[costo_materiales]])</f>
        <v/>
      </c>
      <c r="AN9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5" s="4" t="n"/>
      <c r="AP995" s="4" t="n"/>
      <c r="AQ995" s="4" t="n"/>
      <c r="AR995" s="5">
        <f>IF(tblOrdenes[[#This Row],[link_checklist]]="","",HYPERLINK(p_ruta_base_checklists&amp;tblOrdenes[[#This Row],[link_checklist]],"abrir"))</f>
        <v/>
      </c>
      <c r="AS995" s="4" t="n"/>
      <c r="AT995" s="5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22" t="n"/>
      <c r="K996" s="5" t="n"/>
      <c r="L996" s="18" t="n"/>
      <c r="M9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5">
        <f>IF(tblOrdenes[[#This Row],[fecha_inicio]]="","",YEAR(tblOrdenes[[#This Row],[fecha_inicio]]))</f>
        <v/>
      </c>
      <c r="Q996" s="5">
        <f>IF(tblOrdenes[[#This Row],[fecha_inicio]]="","",MONTH(tblOrdenes[[#This Row],[fecha_inicio]]))</f>
        <v/>
      </c>
      <c r="R996" s="5">
        <f>IF(tblOrdenes[[#This Row],[fecha_inicio]]="","",tblOrdenes[[#This Row],[anio]]&amp;"-"&amp;TEXT(tblOrdenes[[#This Row],[mes]],"00"))</f>
        <v/>
      </c>
      <c r="S996" s="5">
        <f>IF(tblOrdenes[[#This Row],[fecha_inicio]]="","",INDEX(lista_dias,WEEKDAY(tblOrdenes[[#This Row],[fecha_inicio]],2)))</f>
        <v/>
      </c>
      <c r="T9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6" s="5">
        <f>IF(tblOrdenes[[#This Row],[tipo_ot]]="","",_xlfn.XLOOKUP(tblOrdenes[[#This Row],[tipo_ot]],tblTiposOT[codigo],tblTiposOT[clasificacion],"sin_clasificar"))</f>
        <v/>
      </c>
      <c r="V9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6" s="5">
        <f>IF(tblOrdenes[[#This Row],[centro_costo]]="","",_xlfn.XLOOKUP(tblOrdenes[[#This Row],[centro_costo]],tblCECO[codigo],tblCECO[linea],"(sin catálogo)"))</f>
        <v/>
      </c>
      <c r="X996" s="5">
        <f>IF(tblOrdenes[[#This Row],[centro_costo]]="","",_xlfn.XLOOKUP(tblOrdenes[[#This Row],[centro_costo]],tblCECO[codigo],tblCECO[area],"(sin catálogo)"))</f>
        <v/>
      </c>
      <c r="Y9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6" s="5">
        <f>IF(tblOrdenes[[#This Row],[centro_costo]]="","",_xlfn.XLOOKUP(tblOrdenes[[#This Row],[centro_costo]],tblCECO[codigo],tblCECO[coordinador],"(sin catálogo)"))</f>
        <v/>
      </c>
      <c r="AA996" s="5">
        <f>IF(tblOrdenes[[#This Row],[puesto_trabajo]]="","",_xlfn.XLOOKUP(tblOrdenes[[#This Row],[puesto_trabajo]],tblPuestos[codigo],tblPuestos[especialidad],"(sin catálogo)"))</f>
        <v/>
      </c>
      <c r="AB996" s="5">
        <f>IF(tblOrdenes[[#This Row],[cod_actividad]]="","",_xlfn.XLOOKUP(tblOrdenes[[#This Row],[cod_actividad]],tblActividades[codigo],tblActividades[descripcion],"(sin catálogo)"))</f>
        <v/>
      </c>
      <c r="AC996" s="20">
        <f>IF(tblOrdenes[[#This Row],[fecha_inicio]]="","",TODAY()-tblOrdenes[[#This Row],[fecha_inicio]])</f>
        <v/>
      </c>
      <c r="AD9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6" s="5">
        <f>IF(tblOrdenes[[#This Row],[backlog_habiles]]="","",IF(tblOrdenes[[#This Row],[backlog_habiles]]&lt;0,"FUTURO",IF(tblOrdenes[[#This Row],[backlog_habiles]]&gt;p_dias_backlog_max,"BACKLOG","MES CORRIENTE")))</f>
        <v/>
      </c>
      <c r="AF996" s="5">
        <f>IF(tblOrdenes[[#This Row],[backlog_habiles]]="",FALSE,AND(tblOrdenes[[#This Row],[backlog_habiles]]&gt;p_dias_backlog_min,tblOrdenes[[#This Row],[backlog_habiles]]&lt;=p_dias_backlog_max))</f>
        <v/>
      </c>
      <c r="AG996" s="4" t="n"/>
      <c r="AH9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6" s="18">
        <f>IF(tblOrdenes[[#This Row],[orden]]="","",_xlfn.XLOOKUP(tblOrdenes[[#This Row],[id_operacion]],tblEjecucion[id_operacion],tblEjecucion[precio],0))</f>
        <v/>
      </c>
      <c r="AL996" s="18">
        <f>IF(tblOrdenes[[#This Row],[orden]]="","",MAX(0,_xlfn.XLOOKUP(tblOrdenes[[#This Row],[id_operacion]],tblEjecucion[id_operacion],tblEjecucion[costo_plan_total],0)-tblOrdenes[[#This Row],[costo_servicio]]))</f>
        <v/>
      </c>
      <c r="AM996" s="18">
        <f>IF(tblOrdenes[[#This Row],[orden]]="","",tblOrdenes[[#This Row],[costo_servicio]]+tblOrdenes[[#This Row],[costo_materiales]])</f>
        <v/>
      </c>
      <c r="AN9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6" s="4" t="n"/>
      <c r="AP996" s="4" t="n"/>
      <c r="AQ996" s="4" t="n"/>
      <c r="AR996" s="5">
        <f>IF(tblOrdenes[[#This Row],[link_checklist]]="","",HYPERLINK(p_ruta_base_checklists&amp;tblOrdenes[[#This Row],[link_checklist]],"abrir"))</f>
        <v/>
      </c>
      <c r="AS996" s="4" t="n"/>
      <c r="AT996" s="5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22" t="n"/>
      <c r="K997" s="5" t="n"/>
      <c r="L997" s="18" t="n"/>
      <c r="M9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5">
        <f>IF(tblOrdenes[[#This Row],[fecha_inicio]]="","",YEAR(tblOrdenes[[#This Row],[fecha_inicio]]))</f>
        <v/>
      </c>
      <c r="Q997" s="5">
        <f>IF(tblOrdenes[[#This Row],[fecha_inicio]]="","",MONTH(tblOrdenes[[#This Row],[fecha_inicio]]))</f>
        <v/>
      </c>
      <c r="R997" s="5">
        <f>IF(tblOrdenes[[#This Row],[fecha_inicio]]="","",tblOrdenes[[#This Row],[anio]]&amp;"-"&amp;TEXT(tblOrdenes[[#This Row],[mes]],"00"))</f>
        <v/>
      </c>
      <c r="S997" s="5">
        <f>IF(tblOrdenes[[#This Row],[fecha_inicio]]="","",INDEX(lista_dias,WEEKDAY(tblOrdenes[[#This Row],[fecha_inicio]],2)))</f>
        <v/>
      </c>
      <c r="T9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7" s="5">
        <f>IF(tblOrdenes[[#This Row],[tipo_ot]]="","",_xlfn.XLOOKUP(tblOrdenes[[#This Row],[tipo_ot]],tblTiposOT[codigo],tblTiposOT[clasificacion],"sin_clasificar"))</f>
        <v/>
      </c>
      <c r="V9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7" s="5">
        <f>IF(tblOrdenes[[#This Row],[centro_costo]]="","",_xlfn.XLOOKUP(tblOrdenes[[#This Row],[centro_costo]],tblCECO[codigo],tblCECO[linea],"(sin catálogo)"))</f>
        <v/>
      </c>
      <c r="X997" s="5">
        <f>IF(tblOrdenes[[#This Row],[centro_costo]]="","",_xlfn.XLOOKUP(tblOrdenes[[#This Row],[centro_costo]],tblCECO[codigo],tblCECO[area],"(sin catálogo)"))</f>
        <v/>
      </c>
      <c r="Y9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7" s="5">
        <f>IF(tblOrdenes[[#This Row],[centro_costo]]="","",_xlfn.XLOOKUP(tblOrdenes[[#This Row],[centro_costo]],tblCECO[codigo],tblCECO[coordinador],"(sin catálogo)"))</f>
        <v/>
      </c>
      <c r="AA997" s="5">
        <f>IF(tblOrdenes[[#This Row],[puesto_trabajo]]="","",_xlfn.XLOOKUP(tblOrdenes[[#This Row],[puesto_trabajo]],tblPuestos[codigo],tblPuestos[especialidad],"(sin catálogo)"))</f>
        <v/>
      </c>
      <c r="AB997" s="5">
        <f>IF(tblOrdenes[[#This Row],[cod_actividad]]="","",_xlfn.XLOOKUP(tblOrdenes[[#This Row],[cod_actividad]],tblActividades[codigo],tblActividades[descripcion],"(sin catálogo)"))</f>
        <v/>
      </c>
      <c r="AC997" s="20">
        <f>IF(tblOrdenes[[#This Row],[fecha_inicio]]="","",TODAY()-tblOrdenes[[#This Row],[fecha_inicio]])</f>
        <v/>
      </c>
      <c r="AD9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7" s="5">
        <f>IF(tblOrdenes[[#This Row],[backlog_habiles]]="","",IF(tblOrdenes[[#This Row],[backlog_habiles]]&lt;0,"FUTURO",IF(tblOrdenes[[#This Row],[backlog_habiles]]&gt;p_dias_backlog_max,"BACKLOG","MES CORRIENTE")))</f>
        <v/>
      </c>
      <c r="AF997" s="5">
        <f>IF(tblOrdenes[[#This Row],[backlog_habiles]]="",FALSE,AND(tblOrdenes[[#This Row],[backlog_habiles]]&gt;p_dias_backlog_min,tblOrdenes[[#This Row],[backlog_habiles]]&lt;=p_dias_backlog_max))</f>
        <v/>
      </c>
      <c r="AG997" s="4" t="n"/>
      <c r="AH9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7" s="18">
        <f>IF(tblOrdenes[[#This Row],[orden]]="","",_xlfn.XLOOKUP(tblOrdenes[[#This Row],[id_operacion]],tblEjecucion[id_operacion],tblEjecucion[precio],0))</f>
        <v/>
      </c>
      <c r="AL997" s="18">
        <f>IF(tblOrdenes[[#This Row],[orden]]="","",MAX(0,_xlfn.XLOOKUP(tblOrdenes[[#This Row],[id_operacion]],tblEjecucion[id_operacion],tblEjecucion[costo_plan_total],0)-tblOrdenes[[#This Row],[costo_servicio]]))</f>
        <v/>
      </c>
      <c r="AM997" s="18">
        <f>IF(tblOrdenes[[#This Row],[orden]]="","",tblOrdenes[[#This Row],[costo_servicio]]+tblOrdenes[[#This Row],[costo_materiales]])</f>
        <v/>
      </c>
      <c r="AN9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7" s="4" t="n"/>
      <c r="AP997" s="4" t="n"/>
      <c r="AQ997" s="4" t="n"/>
      <c r="AR997" s="5">
        <f>IF(tblOrdenes[[#This Row],[link_checklist]]="","",HYPERLINK(p_ruta_base_checklists&amp;tblOrdenes[[#This Row],[link_checklist]],"abrir"))</f>
        <v/>
      </c>
      <c r="AS997" s="4" t="n"/>
      <c r="AT997" s="5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22" t="n"/>
      <c r="K998" s="5" t="n"/>
      <c r="L998" s="18" t="n"/>
      <c r="M9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5">
        <f>IF(tblOrdenes[[#This Row],[fecha_inicio]]="","",YEAR(tblOrdenes[[#This Row],[fecha_inicio]]))</f>
        <v/>
      </c>
      <c r="Q998" s="5">
        <f>IF(tblOrdenes[[#This Row],[fecha_inicio]]="","",MONTH(tblOrdenes[[#This Row],[fecha_inicio]]))</f>
        <v/>
      </c>
      <c r="R998" s="5">
        <f>IF(tblOrdenes[[#This Row],[fecha_inicio]]="","",tblOrdenes[[#This Row],[anio]]&amp;"-"&amp;TEXT(tblOrdenes[[#This Row],[mes]],"00"))</f>
        <v/>
      </c>
      <c r="S998" s="5">
        <f>IF(tblOrdenes[[#This Row],[fecha_inicio]]="","",INDEX(lista_dias,WEEKDAY(tblOrdenes[[#This Row],[fecha_inicio]],2)))</f>
        <v/>
      </c>
      <c r="T9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8" s="5">
        <f>IF(tblOrdenes[[#This Row],[tipo_ot]]="","",_xlfn.XLOOKUP(tblOrdenes[[#This Row],[tipo_ot]],tblTiposOT[codigo],tblTiposOT[clasificacion],"sin_clasificar"))</f>
        <v/>
      </c>
      <c r="V9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8" s="5">
        <f>IF(tblOrdenes[[#This Row],[centro_costo]]="","",_xlfn.XLOOKUP(tblOrdenes[[#This Row],[centro_costo]],tblCECO[codigo],tblCECO[linea],"(sin catálogo)"))</f>
        <v/>
      </c>
      <c r="X998" s="5">
        <f>IF(tblOrdenes[[#This Row],[centro_costo]]="","",_xlfn.XLOOKUP(tblOrdenes[[#This Row],[centro_costo]],tblCECO[codigo],tblCECO[area],"(sin catálogo)"))</f>
        <v/>
      </c>
      <c r="Y9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8" s="5">
        <f>IF(tblOrdenes[[#This Row],[centro_costo]]="","",_xlfn.XLOOKUP(tblOrdenes[[#This Row],[centro_costo]],tblCECO[codigo],tblCECO[coordinador],"(sin catálogo)"))</f>
        <v/>
      </c>
      <c r="AA998" s="5">
        <f>IF(tblOrdenes[[#This Row],[puesto_trabajo]]="","",_xlfn.XLOOKUP(tblOrdenes[[#This Row],[puesto_trabajo]],tblPuestos[codigo],tblPuestos[especialidad],"(sin catálogo)"))</f>
        <v/>
      </c>
      <c r="AB998" s="5">
        <f>IF(tblOrdenes[[#This Row],[cod_actividad]]="","",_xlfn.XLOOKUP(tblOrdenes[[#This Row],[cod_actividad]],tblActividades[codigo],tblActividades[descripcion],"(sin catálogo)"))</f>
        <v/>
      </c>
      <c r="AC998" s="20">
        <f>IF(tblOrdenes[[#This Row],[fecha_inicio]]="","",TODAY()-tblOrdenes[[#This Row],[fecha_inicio]])</f>
        <v/>
      </c>
      <c r="AD9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8" s="5">
        <f>IF(tblOrdenes[[#This Row],[backlog_habiles]]="","",IF(tblOrdenes[[#This Row],[backlog_habiles]]&lt;0,"FUTURO",IF(tblOrdenes[[#This Row],[backlog_habiles]]&gt;p_dias_backlog_max,"BACKLOG","MES CORRIENTE")))</f>
        <v/>
      </c>
      <c r="AF998" s="5">
        <f>IF(tblOrdenes[[#This Row],[backlog_habiles]]="",FALSE,AND(tblOrdenes[[#This Row],[backlog_habiles]]&gt;p_dias_backlog_min,tblOrdenes[[#This Row],[backlog_habiles]]&lt;=p_dias_backlog_max))</f>
        <v/>
      </c>
      <c r="AG998" s="4" t="n"/>
      <c r="AH9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8" s="18">
        <f>IF(tblOrdenes[[#This Row],[orden]]="","",_xlfn.XLOOKUP(tblOrdenes[[#This Row],[id_operacion]],tblEjecucion[id_operacion],tblEjecucion[precio],0))</f>
        <v/>
      </c>
      <c r="AL998" s="18">
        <f>IF(tblOrdenes[[#This Row],[orden]]="","",MAX(0,_xlfn.XLOOKUP(tblOrdenes[[#This Row],[id_operacion]],tblEjecucion[id_operacion],tblEjecucion[costo_plan_total],0)-tblOrdenes[[#This Row],[costo_servicio]]))</f>
        <v/>
      </c>
      <c r="AM998" s="18">
        <f>IF(tblOrdenes[[#This Row],[orden]]="","",tblOrdenes[[#This Row],[costo_servicio]]+tblOrdenes[[#This Row],[costo_materiales]])</f>
        <v/>
      </c>
      <c r="AN9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8" s="4" t="n"/>
      <c r="AP998" s="4" t="n"/>
      <c r="AQ998" s="4" t="n"/>
      <c r="AR998" s="5">
        <f>IF(tblOrdenes[[#This Row],[link_checklist]]="","",HYPERLINK(p_ruta_base_checklists&amp;tblOrdenes[[#This Row],[link_checklist]],"abrir"))</f>
        <v/>
      </c>
      <c r="AS998" s="4" t="n"/>
      <c r="AT998" s="5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22" t="n"/>
      <c r="K999" s="5" t="n"/>
      <c r="L999" s="18" t="n"/>
      <c r="M9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5">
        <f>IF(tblOrdenes[[#This Row],[fecha_inicio]]="","",YEAR(tblOrdenes[[#This Row],[fecha_inicio]]))</f>
        <v/>
      </c>
      <c r="Q999" s="5">
        <f>IF(tblOrdenes[[#This Row],[fecha_inicio]]="","",MONTH(tblOrdenes[[#This Row],[fecha_inicio]]))</f>
        <v/>
      </c>
      <c r="R999" s="5">
        <f>IF(tblOrdenes[[#This Row],[fecha_inicio]]="","",tblOrdenes[[#This Row],[anio]]&amp;"-"&amp;TEXT(tblOrdenes[[#This Row],[mes]],"00"))</f>
        <v/>
      </c>
      <c r="S999" s="5">
        <f>IF(tblOrdenes[[#This Row],[fecha_inicio]]="","",INDEX(lista_dias,WEEKDAY(tblOrdenes[[#This Row],[fecha_inicio]],2)))</f>
        <v/>
      </c>
      <c r="T9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9" s="5">
        <f>IF(tblOrdenes[[#This Row],[tipo_ot]]="","",_xlfn.XLOOKUP(tblOrdenes[[#This Row],[tipo_ot]],tblTiposOT[codigo],tblTiposOT[clasificacion],"sin_clasificar"))</f>
        <v/>
      </c>
      <c r="V9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9" s="5">
        <f>IF(tblOrdenes[[#This Row],[centro_costo]]="","",_xlfn.XLOOKUP(tblOrdenes[[#This Row],[centro_costo]],tblCECO[codigo],tblCECO[linea],"(sin catálogo)"))</f>
        <v/>
      </c>
      <c r="X999" s="5">
        <f>IF(tblOrdenes[[#This Row],[centro_costo]]="","",_xlfn.XLOOKUP(tblOrdenes[[#This Row],[centro_costo]],tblCECO[codigo],tblCECO[area],"(sin catálogo)"))</f>
        <v/>
      </c>
      <c r="Y9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999" s="5">
        <f>IF(tblOrdenes[[#This Row],[centro_costo]]="","",_xlfn.XLOOKUP(tblOrdenes[[#This Row],[centro_costo]],tblCECO[codigo],tblCECO[coordinador],"(sin catálogo)"))</f>
        <v/>
      </c>
      <c r="AA999" s="5">
        <f>IF(tblOrdenes[[#This Row],[puesto_trabajo]]="","",_xlfn.XLOOKUP(tblOrdenes[[#This Row],[puesto_trabajo]],tblPuestos[codigo],tblPuestos[especialidad],"(sin catálogo)"))</f>
        <v/>
      </c>
      <c r="AB999" s="5">
        <f>IF(tblOrdenes[[#This Row],[cod_actividad]]="","",_xlfn.XLOOKUP(tblOrdenes[[#This Row],[cod_actividad]],tblActividades[codigo],tblActividades[descripcion],"(sin catálogo)"))</f>
        <v/>
      </c>
      <c r="AC999" s="20">
        <f>IF(tblOrdenes[[#This Row],[fecha_inicio]]="","",TODAY()-tblOrdenes[[#This Row],[fecha_inicio]])</f>
        <v/>
      </c>
      <c r="AD9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999" s="5">
        <f>IF(tblOrdenes[[#This Row],[backlog_habiles]]="","",IF(tblOrdenes[[#This Row],[backlog_habiles]]&lt;0,"FUTURO",IF(tblOrdenes[[#This Row],[backlog_habiles]]&gt;p_dias_backlog_max,"BACKLOG","MES CORRIENTE")))</f>
        <v/>
      </c>
      <c r="AF999" s="5">
        <f>IF(tblOrdenes[[#This Row],[backlog_habiles]]="",FALSE,AND(tblOrdenes[[#This Row],[backlog_habiles]]&gt;p_dias_backlog_min,tblOrdenes[[#This Row],[backlog_habiles]]&lt;=p_dias_backlog_max))</f>
        <v/>
      </c>
      <c r="AG999" s="4" t="n"/>
      <c r="AH9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9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9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999" s="18">
        <f>IF(tblOrdenes[[#This Row],[orden]]="","",_xlfn.XLOOKUP(tblOrdenes[[#This Row],[id_operacion]],tblEjecucion[id_operacion],tblEjecucion[precio],0))</f>
        <v/>
      </c>
      <c r="AL999" s="18">
        <f>IF(tblOrdenes[[#This Row],[orden]]="","",MAX(0,_xlfn.XLOOKUP(tblOrdenes[[#This Row],[id_operacion]],tblEjecucion[id_operacion],tblEjecucion[costo_plan_total],0)-tblOrdenes[[#This Row],[costo_servicio]]))</f>
        <v/>
      </c>
      <c r="AM999" s="18">
        <f>IF(tblOrdenes[[#This Row],[orden]]="","",tblOrdenes[[#This Row],[costo_servicio]]+tblOrdenes[[#This Row],[costo_materiales]])</f>
        <v/>
      </c>
      <c r="AN9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999" s="4" t="n"/>
      <c r="AP999" s="4" t="n"/>
      <c r="AQ999" s="4" t="n"/>
      <c r="AR999" s="5">
        <f>IF(tblOrdenes[[#This Row],[link_checklist]]="","",HYPERLINK(p_ruta_base_checklists&amp;tblOrdenes[[#This Row],[link_checklist]],"abrir"))</f>
        <v/>
      </c>
      <c r="AS999" s="4" t="n"/>
      <c r="AT999" s="5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22" t="n"/>
      <c r="K1000" s="5" t="n"/>
      <c r="L1000" s="18" t="n"/>
      <c r="M10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5">
        <f>IF(tblOrdenes[[#This Row],[fecha_inicio]]="","",YEAR(tblOrdenes[[#This Row],[fecha_inicio]]))</f>
        <v/>
      </c>
      <c r="Q1000" s="5">
        <f>IF(tblOrdenes[[#This Row],[fecha_inicio]]="","",MONTH(tblOrdenes[[#This Row],[fecha_inicio]]))</f>
        <v/>
      </c>
      <c r="R1000" s="5">
        <f>IF(tblOrdenes[[#This Row],[fecha_inicio]]="","",tblOrdenes[[#This Row],[anio]]&amp;"-"&amp;TEXT(tblOrdenes[[#This Row],[mes]],"00"))</f>
        <v/>
      </c>
      <c r="S1000" s="5">
        <f>IF(tblOrdenes[[#This Row],[fecha_inicio]]="","",INDEX(lista_dias,WEEKDAY(tblOrdenes[[#This Row],[fecha_inicio]],2)))</f>
        <v/>
      </c>
      <c r="T10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0" s="5">
        <f>IF(tblOrdenes[[#This Row],[tipo_ot]]="","",_xlfn.XLOOKUP(tblOrdenes[[#This Row],[tipo_ot]],tblTiposOT[codigo],tblTiposOT[clasificacion],"sin_clasificar"))</f>
        <v/>
      </c>
      <c r="V10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0" s="5">
        <f>IF(tblOrdenes[[#This Row],[centro_costo]]="","",_xlfn.XLOOKUP(tblOrdenes[[#This Row],[centro_costo]],tblCECO[codigo],tblCECO[linea],"(sin catálogo)"))</f>
        <v/>
      </c>
      <c r="X1000" s="5">
        <f>IF(tblOrdenes[[#This Row],[centro_costo]]="","",_xlfn.XLOOKUP(tblOrdenes[[#This Row],[centro_costo]],tblCECO[codigo],tblCECO[area],"(sin catálogo)"))</f>
        <v/>
      </c>
      <c r="Y10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0" s="5">
        <f>IF(tblOrdenes[[#This Row],[centro_costo]]="","",_xlfn.XLOOKUP(tblOrdenes[[#This Row],[centro_costo]],tblCECO[codigo],tblCECO[coordinador],"(sin catálogo)"))</f>
        <v/>
      </c>
      <c r="AA1000" s="5">
        <f>IF(tblOrdenes[[#This Row],[puesto_trabajo]]="","",_xlfn.XLOOKUP(tblOrdenes[[#This Row],[puesto_trabajo]],tblPuestos[codigo],tblPuestos[especialidad],"(sin catálogo)"))</f>
        <v/>
      </c>
      <c r="AB1000" s="5">
        <f>IF(tblOrdenes[[#This Row],[cod_actividad]]="","",_xlfn.XLOOKUP(tblOrdenes[[#This Row],[cod_actividad]],tblActividades[codigo],tblActividades[descripcion],"(sin catálogo)"))</f>
        <v/>
      </c>
      <c r="AC1000" s="20">
        <f>IF(tblOrdenes[[#This Row],[fecha_inicio]]="","",TODAY()-tblOrdenes[[#This Row],[fecha_inicio]])</f>
        <v/>
      </c>
      <c r="AD10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0" s="5">
        <f>IF(tblOrdenes[[#This Row],[backlog_habiles]]="","",IF(tblOrdenes[[#This Row],[backlog_habiles]]&lt;0,"FUTURO",IF(tblOrdenes[[#This Row],[backlog_habiles]]&gt;p_dias_backlog_max,"BACKLOG","MES CORRIENTE")))</f>
        <v/>
      </c>
      <c r="AF1000" s="5">
        <f>IF(tblOrdenes[[#This Row],[backlog_habiles]]="",FALSE,AND(tblOrdenes[[#This Row],[backlog_habiles]]&gt;p_dias_backlog_min,tblOrdenes[[#This Row],[backlog_habiles]]&lt;=p_dias_backlog_max))</f>
        <v/>
      </c>
      <c r="AG1000" s="4" t="n"/>
      <c r="AH10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0" s="18">
        <f>IF(tblOrdenes[[#This Row],[orden]]="","",_xlfn.XLOOKUP(tblOrdenes[[#This Row],[id_operacion]],tblEjecucion[id_operacion],tblEjecucion[precio],0))</f>
        <v/>
      </c>
      <c r="AL1000" s="18">
        <f>IF(tblOrdenes[[#This Row],[orden]]="","",MAX(0,_xlfn.XLOOKUP(tblOrdenes[[#This Row],[id_operacion]],tblEjecucion[id_operacion],tblEjecucion[costo_plan_total],0)-tblOrdenes[[#This Row],[costo_servicio]]))</f>
        <v/>
      </c>
      <c r="AM1000" s="18">
        <f>IF(tblOrdenes[[#This Row],[orden]]="","",tblOrdenes[[#This Row],[costo_servicio]]+tblOrdenes[[#This Row],[costo_materiales]])</f>
        <v/>
      </c>
      <c r="AN10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0" s="4" t="n"/>
      <c r="AP1000" s="4" t="n"/>
      <c r="AQ1000" s="4" t="n"/>
      <c r="AR1000" s="5">
        <f>IF(tblOrdenes[[#This Row],[link_checklist]]="","",HYPERLINK(p_ruta_base_checklists&amp;tblOrdenes[[#This Row],[link_checklist]],"abrir"))</f>
        <v/>
      </c>
      <c r="AS1000" s="4" t="n"/>
      <c r="AT1000" s="5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22" t="n"/>
      <c r="K1001" s="5" t="n"/>
      <c r="L1001" s="18" t="n"/>
      <c r="M10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5">
        <f>IF(tblOrdenes[[#This Row],[fecha_inicio]]="","",YEAR(tblOrdenes[[#This Row],[fecha_inicio]]))</f>
        <v/>
      </c>
      <c r="Q1001" s="5">
        <f>IF(tblOrdenes[[#This Row],[fecha_inicio]]="","",MONTH(tblOrdenes[[#This Row],[fecha_inicio]]))</f>
        <v/>
      </c>
      <c r="R1001" s="5">
        <f>IF(tblOrdenes[[#This Row],[fecha_inicio]]="","",tblOrdenes[[#This Row],[anio]]&amp;"-"&amp;TEXT(tblOrdenes[[#This Row],[mes]],"00"))</f>
        <v/>
      </c>
      <c r="S1001" s="5">
        <f>IF(tblOrdenes[[#This Row],[fecha_inicio]]="","",INDEX(lista_dias,WEEKDAY(tblOrdenes[[#This Row],[fecha_inicio]],2)))</f>
        <v/>
      </c>
      <c r="T10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1" s="5">
        <f>IF(tblOrdenes[[#This Row],[tipo_ot]]="","",_xlfn.XLOOKUP(tblOrdenes[[#This Row],[tipo_ot]],tblTiposOT[codigo],tblTiposOT[clasificacion],"sin_clasificar"))</f>
        <v/>
      </c>
      <c r="V10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1" s="5">
        <f>IF(tblOrdenes[[#This Row],[centro_costo]]="","",_xlfn.XLOOKUP(tblOrdenes[[#This Row],[centro_costo]],tblCECO[codigo],tblCECO[linea],"(sin catálogo)"))</f>
        <v/>
      </c>
      <c r="X1001" s="5">
        <f>IF(tblOrdenes[[#This Row],[centro_costo]]="","",_xlfn.XLOOKUP(tblOrdenes[[#This Row],[centro_costo]],tblCECO[codigo],tblCECO[area],"(sin catálogo)"))</f>
        <v/>
      </c>
      <c r="Y10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1" s="5">
        <f>IF(tblOrdenes[[#This Row],[centro_costo]]="","",_xlfn.XLOOKUP(tblOrdenes[[#This Row],[centro_costo]],tblCECO[codigo],tblCECO[coordinador],"(sin catálogo)"))</f>
        <v/>
      </c>
      <c r="AA1001" s="5">
        <f>IF(tblOrdenes[[#This Row],[puesto_trabajo]]="","",_xlfn.XLOOKUP(tblOrdenes[[#This Row],[puesto_trabajo]],tblPuestos[codigo],tblPuestos[especialidad],"(sin catálogo)"))</f>
        <v/>
      </c>
      <c r="AB1001" s="5">
        <f>IF(tblOrdenes[[#This Row],[cod_actividad]]="","",_xlfn.XLOOKUP(tblOrdenes[[#This Row],[cod_actividad]],tblActividades[codigo],tblActividades[descripcion],"(sin catálogo)"))</f>
        <v/>
      </c>
      <c r="AC1001" s="20">
        <f>IF(tblOrdenes[[#This Row],[fecha_inicio]]="","",TODAY()-tblOrdenes[[#This Row],[fecha_inicio]])</f>
        <v/>
      </c>
      <c r="AD10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1" s="5">
        <f>IF(tblOrdenes[[#This Row],[backlog_habiles]]="","",IF(tblOrdenes[[#This Row],[backlog_habiles]]&lt;0,"FUTURO",IF(tblOrdenes[[#This Row],[backlog_habiles]]&gt;p_dias_backlog_max,"BACKLOG","MES CORRIENTE")))</f>
        <v/>
      </c>
      <c r="AF1001" s="5">
        <f>IF(tblOrdenes[[#This Row],[backlog_habiles]]="",FALSE,AND(tblOrdenes[[#This Row],[backlog_habiles]]&gt;p_dias_backlog_min,tblOrdenes[[#This Row],[backlog_habiles]]&lt;=p_dias_backlog_max))</f>
        <v/>
      </c>
      <c r="AG1001" s="4" t="n"/>
      <c r="AH10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1" s="18">
        <f>IF(tblOrdenes[[#This Row],[orden]]="","",_xlfn.XLOOKUP(tblOrdenes[[#This Row],[id_operacion]],tblEjecucion[id_operacion],tblEjecucion[precio],0))</f>
        <v/>
      </c>
      <c r="AL1001" s="18">
        <f>IF(tblOrdenes[[#This Row],[orden]]="","",MAX(0,_xlfn.XLOOKUP(tblOrdenes[[#This Row],[id_operacion]],tblEjecucion[id_operacion],tblEjecucion[costo_plan_total],0)-tblOrdenes[[#This Row],[costo_servicio]]))</f>
        <v/>
      </c>
      <c r="AM1001" s="18">
        <f>IF(tblOrdenes[[#This Row],[orden]]="","",tblOrdenes[[#This Row],[costo_servicio]]+tblOrdenes[[#This Row],[costo_materiales]])</f>
        <v/>
      </c>
      <c r="AN10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1" s="4" t="n"/>
      <c r="AP1001" s="4" t="n"/>
      <c r="AQ1001" s="4" t="n"/>
      <c r="AR1001" s="5">
        <f>IF(tblOrdenes[[#This Row],[link_checklist]]="","",HYPERLINK(p_ruta_base_checklists&amp;tblOrdenes[[#This Row],[link_checklist]],"abrir"))</f>
        <v/>
      </c>
      <c r="AS1001" s="4" t="n"/>
      <c r="AT1001" s="5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22" t="n"/>
      <c r="K1002" s="5" t="n"/>
      <c r="L1002" s="18" t="n"/>
      <c r="M10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5">
        <f>IF(tblOrdenes[[#This Row],[fecha_inicio]]="","",YEAR(tblOrdenes[[#This Row],[fecha_inicio]]))</f>
        <v/>
      </c>
      <c r="Q1002" s="5">
        <f>IF(tblOrdenes[[#This Row],[fecha_inicio]]="","",MONTH(tblOrdenes[[#This Row],[fecha_inicio]]))</f>
        <v/>
      </c>
      <c r="R1002" s="5">
        <f>IF(tblOrdenes[[#This Row],[fecha_inicio]]="","",tblOrdenes[[#This Row],[anio]]&amp;"-"&amp;TEXT(tblOrdenes[[#This Row],[mes]],"00"))</f>
        <v/>
      </c>
      <c r="S1002" s="5">
        <f>IF(tblOrdenes[[#This Row],[fecha_inicio]]="","",INDEX(lista_dias,WEEKDAY(tblOrdenes[[#This Row],[fecha_inicio]],2)))</f>
        <v/>
      </c>
      <c r="T10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2" s="5">
        <f>IF(tblOrdenes[[#This Row],[tipo_ot]]="","",_xlfn.XLOOKUP(tblOrdenes[[#This Row],[tipo_ot]],tblTiposOT[codigo],tblTiposOT[clasificacion],"sin_clasificar"))</f>
        <v/>
      </c>
      <c r="V10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2" s="5">
        <f>IF(tblOrdenes[[#This Row],[centro_costo]]="","",_xlfn.XLOOKUP(tblOrdenes[[#This Row],[centro_costo]],tblCECO[codigo],tblCECO[linea],"(sin catálogo)"))</f>
        <v/>
      </c>
      <c r="X1002" s="5">
        <f>IF(tblOrdenes[[#This Row],[centro_costo]]="","",_xlfn.XLOOKUP(tblOrdenes[[#This Row],[centro_costo]],tblCECO[codigo],tblCECO[area],"(sin catálogo)"))</f>
        <v/>
      </c>
      <c r="Y10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2" s="5">
        <f>IF(tblOrdenes[[#This Row],[centro_costo]]="","",_xlfn.XLOOKUP(tblOrdenes[[#This Row],[centro_costo]],tblCECO[codigo],tblCECO[coordinador],"(sin catálogo)"))</f>
        <v/>
      </c>
      <c r="AA1002" s="5">
        <f>IF(tblOrdenes[[#This Row],[puesto_trabajo]]="","",_xlfn.XLOOKUP(tblOrdenes[[#This Row],[puesto_trabajo]],tblPuestos[codigo],tblPuestos[especialidad],"(sin catálogo)"))</f>
        <v/>
      </c>
      <c r="AB1002" s="5">
        <f>IF(tblOrdenes[[#This Row],[cod_actividad]]="","",_xlfn.XLOOKUP(tblOrdenes[[#This Row],[cod_actividad]],tblActividades[codigo],tblActividades[descripcion],"(sin catálogo)"))</f>
        <v/>
      </c>
      <c r="AC1002" s="20">
        <f>IF(tblOrdenes[[#This Row],[fecha_inicio]]="","",TODAY()-tblOrdenes[[#This Row],[fecha_inicio]])</f>
        <v/>
      </c>
      <c r="AD10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2" s="5">
        <f>IF(tblOrdenes[[#This Row],[backlog_habiles]]="","",IF(tblOrdenes[[#This Row],[backlog_habiles]]&lt;0,"FUTURO",IF(tblOrdenes[[#This Row],[backlog_habiles]]&gt;p_dias_backlog_max,"BACKLOG","MES CORRIENTE")))</f>
        <v/>
      </c>
      <c r="AF1002" s="5">
        <f>IF(tblOrdenes[[#This Row],[backlog_habiles]]="",FALSE,AND(tblOrdenes[[#This Row],[backlog_habiles]]&gt;p_dias_backlog_min,tblOrdenes[[#This Row],[backlog_habiles]]&lt;=p_dias_backlog_max))</f>
        <v/>
      </c>
      <c r="AG1002" s="4" t="n"/>
      <c r="AH10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2" s="18">
        <f>IF(tblOrdenes[[#This Row],[orden]]="","",_xlfn.XLOOKUP(tblOrdenes[[#This Row],[id_operacion]],tblEjecucion[id_operacion],tblEjecucion[precio],0))</f>
        <v/>
      </c>
      <c r="AL1002" s="18">
        <f>IF(tblOrdenes[[#This Row],[orden]]="","",MAX(0,_xlfn.XLOOKUP(tblOrdenes[[#This Row],[id_operacion]],tblEjecucion[id_operacion],tblEjecucion[costo_plan_total],0)-tblOrdenes[[#This Row],[costo_servicio]]))</f>
        <v/>
      </c>
      <c r="AM1002" s="18">
        <f>IF(tblOrdenes[[#This Row],[orden]]="","",tblOrdenes[[#This Row],[costo_servicio]]+tblOrdenes[[#This Row],[costo_materiales]])</f>
        <v/>
      </c>
      <c r="AN10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2" s="4" t="n"/>
      <c r="AP1002" s="4" t="n"/>
      <c r="AQ1002" s="4" t="n"/>
      <c r="AR1002" s="5">
        <f>IF(tblOrdenes[[#This Row],[link_checklist]]="","",HYPERLINK(p_ruta_base_checklists&amp;tblOrdenes[[#This Row],[link_checklist]],"abrir"))</f>
        <v/>
      </c>
      <c r="AS1002" s="4" t="n"/>
      <c r="AT1002" s="5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22" t="n"/>
      <c r="K1003" s="5" t="n"/>
      <c r="L1003" s="18" t="n"/>
      <c r="M10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5">
        <f>IF(tblOrdenes[[#This Row],[fecha_inicio]]="","",YEAR(tblOrdenes[[#This Row],[fecha_inicio]]))</f>
        <v/>
      </c>
      <c r="Q1003" s="5">
        <f>IF(tblOrdenes[[#This Row],[fecha_inicio]]="","",MONTH(tblOrdenes[[#This Row],[fecha_inicio]]))</f>
        <v/>
      </c>
      <c r="R1003" s="5">
        <f>IF(tblOrdenes[[#This Row],[fecha_inicio]]="","",tblOrdenes[[#This Row],[anio]]&amp;"-"&amp;TEXT(tblOrdenes[[#This Row],[mes]],"00"))</f>
        <v/>
      </c>
      <c r="S1003" s="5">
        <f>IF(tblOrdenes[[#This Row],[fecha_inicio]]="","",INDEX(lista_dias,WEEKDAY(tblOrdenes[[#This Row],[fecha_inicio]],2)))</f>
        <v/>
      </c>
      <c r="T10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3" s="5">
        <f>IF(tblOrdenes[[#This Row],[tipo_ot]]="","",_xlfn.XLOOKUP(tblOrdenes[[#This Row],[tipo_ot]],tblTiposOT[codigo],tblTiposOT[clasificacion],"sin_clasificar"))</f>
        <v/>
      </c>
      <c r="V10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3" s="5">
        <f>IF(tblOrdenes[[#This Row],[centro_costo]]="","",_xlfn.XLOOKUP(tblOrdenes[[#This Row],[centro_costo]],tblCECO[codigo],tblCECO[linea],"(sin catálogo)"))</f>
        <v/>
      </c>
      <c r="X1003" s="5">
        <f>IF(tblOrdenes[[#This Row],[centro_costo]]="","",_xlfn.XLOOKUP(tblOrdenes[[#This Row],[centro_costo]],tblCECO[codigo],tblCECO[area],"(sin catálogo)"))</f>
        <v/>
      </c>
      <c r="Y10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3" s="5">
        <f>IF(tblOrdenes[[#This Row],[centro_costo]]="","",_xlfn.XLOOKUP(tblOrdenes[[#This Row],[centro_costo]],tblCECO[codigo],tblCECO[coordinador],"(sin catálogo)"))</f>
        <v/>
      </c>
      <c r="AA1003" s="5">
        <f>IF(tblOrdenes[[#This Row],[puesto_trabajo]]="","",_xlfn.XLOOKUP(tblOrdenes[[#This Row],[puesto_trabajo]],tblPuestos[codigo],tblPuestos[especialidad],"(sin catálogo)"))</f>
        <v/>
      </c>
      <c r="AB1003" s="5">
        <f>IF(tblOrdenes[[#This Row],[cod_actividad]]="","",_xlfn.XLOOKUP(tblOrdenes[[#This Row],[cod_actividad]],tblActividades[codigo],tblActividades[descripcion],"(sin catálogo)"))</f>
        <v/>
      </c>
      <c r="AC1003" s="20">
        <f>IF(tblOrdenes[[#This Row],[fecha_inicio]]="","",TODAY()-tblOrdenes[[#This Row],[fecha_inicio]])</f>
        <v/>
      </c>
      <c r="AD10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3" s="5">
        <f>IF(tblOrdenes[[#This Row],[backlog_habiles]]="","",IF(tblOrdenes[[#This Row],[backlog_habiles]]&lt;0,"FUTURO",IF(tblOrdenes[[#This Row],[backlog_habiles]]&gt;p_dias_backlog_max,"BACKLOG","MES CORRIENTE")))</f>
        <v/>
      </c>
      <c r="AF1003" s="5">
        <f>IF(tblOrdenes[[#This Row],[backlog_habiles]]="",FALSE,AND(tblOrdenes[[#This Row],[backlog_habiles]]&gt;p_dias_backlog_min,tblOrdenes[[#This Row],[backlog_habiles]]&lt;=p_dias_backlog_max))</f>
        <v/>
      </c>
      <c r="AG1003" s="4" t="n"/>
      <c r="AH10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3" s="18">
        <f>IF(tblOrdenes[[#This Row],[orden]]="","",_xlfn.XLOOKUP(tblOrdenes[[#This Row],[id_operacion]],tblEjecucion[id_operacion],tblEjecucion[precio],0))</f>
        <v/>
      </c>
      <c r="AL1003" s="18">
        <f>IF(tblOrdenes[[#This Row],[orden]]="","",MAX(0,_xlfn.XLOOKUP(tblOrdenes[[#This Row],[id_operacion]],tblEjecucion[id_operacion],tblEjecucion[costo_plan_total],0)-tblOrdenes[[#This Row],[costo_servicio]]))</f>
        <v/>
      </c>
      <c r="AM1003" s="18">
        <f>IF(tblOrdenes[[#This Row],[orden]]="","",tblOrdenes[[#This Row],[costo_servicio]]+tblOrdenes[[#This Row],[costo_materiales]])</f>
        <v/>
      </c>
      <c r="AN10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3" s="4" t="n"/>
      <c r="AP1003" s="4" t="n"/>
      <c r="AQ1003" s="4" t="n"/>
      <c r="AR1003" s="5">
        <f>IF(tblOrdenes[[#This Row],[link_checklist]]="","",HYPERLINK(p_ruta_base_checklists&amp;tblOrdenes[[#This Row],[link_checklist]],"abrir"))</f>
        <v/>
      </c>
      <c r="AS1003" s="4" t="n"/>
      <c r="AT1003" s="5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22" t="n"/>
      <c r="K1004" s="5" t="n"/>
      <c r="L1004" s="18" t="n"/>
      <c r="M10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5">
        <f>IF(tblOrdenes[[#This Row],[fecha_inicio]]="","",YEAR(tblOrdenes[[#This Row],[fecha_inicio]]))</f>
        <v/>
      </c>
      <c r="Q1004" s="5">
        <f>IF(tblOrdenes[[#This Row],[fecha_inicio]]="","",MONTH(tblOrdenes[[#This Row],[fecha_inicio]]))</f>
        <v/>
      </c>
      <c r="R1004" s="5">
        <f>IF(tblOrdenes[[#This Row],[fecha_inicio]]="","",tblOrdenes[[#This Row],[anio]]&amp;"-"&amp;TEXT(tblOrdenes[[#This Row],[mes]],"00"))</f>
        <v/>
      </c>
      <c r="S1004" s="5">
        <f>IF(tblOrdenes[[#This Row],[fecha_inicio]]="","",INDEX(lista_dias,WEEKDAY(tblOrdenes[[#This Row],[fecha_inicio]],2)))</f>
        <v/>
      </c>
      <c r="T10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4" s="5">
        <f>IF(tblOrdenes[[#This Row],[tipo_ot]]="","",_xlfn.XLOOKUP(tblOrdenes[[#This Row],[tipo_ot]],tblTiposOT[codigo],tblTiposOT[clasificacion],"sin_clasificar"))</f>
        <v/>
      </c>
      <c r="V10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4" s="5">
        <f>IF(tblOrdenes[[#This Row],[centro_costo]]="","",_xlfn.XLOOKUP(tblOrdenes[[#This Row],[centro_costo]],tblCECO[codigo],tblCECO[linea],"(sin catálogo)"))</f>
        <v/>
      </c>
      <c r="X1004" s="5">
        <f>IF(tblOrdenes[[#This Row],[centro_costo]]="","",_xlfn.XLOOKUP(tblOrdenes[[#This Row],[centro_costo]],tblCECO[codigo],tblCECO[area],"(sin catálogo)"))</f>
        <v/>
      </c>
      <c r="Y10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4" s="5">
        <f>IF(tblOrdenes[[#This Row],[centro_costo]]="","",_xlfn.XLOOKUP(tblOrdenes[[#This Row],[centro_costo]],tblCECO[codigo],tblCECO[coordinador],"(sin catálogo)"))</f>
        <v/>
      </c>
      <c r="AA1004" s="5">
        <f>IF(tblOrdenes[[#This Row],[puesto_trabajo]]="","",_xlfn.XLOOKUP(tblOrdenes[[#This Row],[puesto_trabajo]],tblPuestos[codigo],tblPuestos[especialidad],"(sin catálogo)"))</f>
        <v/>
      </c>
      <c r="AB1004" s="5">
        <f>IF(tblOrdenes[[#This Row],[cod_actividad]]="","",_xlfn.XLOOKUP(tblOrdenes[[#This Row],[cod_actividad]],tblActividades[codigo],tblActividades[descripcion],"(sin catálogo)"))</f>
        <v/>
      </c>
      <c r="AC1004" s="20">
        <f>IF(tblOrdenes[[#This Row],[fecha_inicio]]="","",TODAY()-tblOrdenes[[#This Row],[fecha_inicio]])</f>
        <v/>
      </c>
      <c r="AD10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4" s="5">
        <f>IF(tblOrdenes[[#This Row],[backlog_habiles]]="","",IF(tblOrdenes[[#This Row],[backlog_habiles]]&lt;0,"FUTURO",IF(tblOrdenes[[#This Row],[backlog_habiles]]&gt;p_dias_backlog_max,"BACKLOG","MES CORRIENTE")))</f>
        <v/>
      </c>
      <c r="AF1004" s="5">
        <f>IF(tblOrdenes[[#This Row],[backlog_habiles]]="",FALSE,AND(tblOrdenes[[#This Row],[backlog_habiles]]&gt;p_dias_backlog_min,tblOrdenes[[#This Row],[backlog_habiles]]&lt;=p_dias_backlog_max))</f>
        <v/>
      </c>
      <c r="AG1004" s="4" t="n"/>
      <c r="AH10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4" s="18">
        <f>IF(tblOrdenes[[#This Row],[orden]]="","",_xlfn.XLOOKUP(tblOrdenes[[#This Row],[id_operacion]],tblEjecucion[id_operacion],tblEjecucion[precio],0))</f>
        <v/>
      </c>
      <c r="AL1004" s="18">
        <f>IF(tblOrdenes[[#This Row],[orden]]="","",MAX(0,_xlfn.XLOOKUP(tblOrdenes[[#This Row],[id_operacion]],tblEjecucion[id_operacion],tblEjecucion[costo_plan_total],0)-tblOrdenes[[#This Row],[costo_servicio]]))</f>
        <v/>
      </c>
      <c r="AM1004" s="18">
        <f>IF(tblOrdenes[[#This Row],[orden]]="","",tblOrdenes[[#This Row],[costo_servicio]]+tblOrdenes[[#This Row],[costo_materiales]])</f>
        <v/>
      </c>
      <c r="AN10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4" s="4" t="n"/>
      <c r="AP1004" s="4" t="n"/>
      <c r="AQ1004" s="4" t="n"/>
      <c r="AR1004" s="5">
        <f>IF(tblOrdenes[[#This Row],[link_checklist]]="","",HYPERLINK(p_ruta_base_checklists&amp;tblOrdenes[[#This Row],[link_checklist]],"abrir"))</f>
        <v/>
      </c>
      <c r="AS1004" s="4" t="n"/>
      <c r="AT1004" s="5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22" t="n"/>
      <c r="K1005" s="5" t="n"/>
      <c r="L1005" s="18" t="n"/>
      <c r="M10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5">
        <f>IF(tblOrdenes[[#This Row],[fecha_inicio]]="","",YEAR(tblOrdenes[[#This Row],[fecha_inicio]]))</f>
        <v/>
      </c>
      <c r="Q1005" s="5">
        <f>IF(tblOrdenes[[#This Row],[fecha_inicio]]="","",MONTH(tblOrdenes[[#This Row],[fecha_inicio]]))</f>
        <v/>
      </c>
      <c r="R1005" s="5">
        <f>IF(tblOrdenes[[#This Row],[fecha_inicio]]="","",tblOrdenes[[#This Row],[anio]]&amp;"-"&amp;TEXT(tblOrdenes[[#This Row],[mes]],"00"))</f>
        <v/>
      </c>
      <c r="S1005" s="5">
        <f>IF(tblOrdenes[[#This Row],[fecha_inicio]]="","",INDEX(lista_dias,WEEKDAY(tblOrdenes[[#This Row],[fecha_inicio]],2)))</f>
        <v/>
      </c>
      <c r="T10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5" s="5">
        <f>IF(tblOrdenes[[#This Row],[tipo_ot]]="","",_xlfn.XLOOKUP(tblOrdenes[[#This Row],[tipo_ot]],tblTiposOT[codigo],tblTiposOT[clasificacion],"sin_clasificar"))</f>
        <v/>
      </c>
      <c r="V10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5" s="5">
        <f>IF(tblOrdenes[[#This Row],[centro_costo]]="","",_xlfn.XLOOKUP(tblOrdenes[[#This Row],[centro_costo]],tblCECO[codigo],tblCECO[linea],"(sin catálogo)"))</f>
        <v/>
      </c>
      <c r="X1005" s="5">
        <f>IF(tblOrdenes[[#This Row],[centro_costo]]="","",_xlfn.XLOOKUP(tblOrdenes[[#This Row],[centro_costo]],tblCECO[codigo],tblCECO[area],"(sin catálogo)"))</f>
        <v/>
      </c>
      <c r="Y10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5" s="5">
        <f>IF(tblOrdenes[[#This Row],[centro_costo]]="","",_xlfn.XLOOKUP(tblOrdenes[[#This Row],[centro_costo]],tblCECO[codigo],tblCECO[coordinador],"(sin catálogo)"))</f>
        <v/>
      </c>
      <c r="AA1005" s="5">
        <f>IF(tblOrdenes[[#This Row],[puesto_trabajo]]="","",_xlfn.XLOOKUP(tblOrdenes[[#This Row],[puesto_trabajo]],tblPuestos[codigo],tblPuestos[especialidad],"(sin catálogo)"))</f>
        <v/>
      </c>
      <c r="AB1005" s="5">
        <f>IF(tblOrdenes[[#This Row],[cod_actividad]]="","",_xlfn.XLOOKUP(tblOrdenes[[#This Row],[cod_actividad]],tblActividades[codigo],tblActividades[descripcion],"(sin catálogo)"))</f>
        <v/>
      </c>
      <c r="AC1005" s="20">
        <f>IF(tblOrdenes[[#This Row],[fecha_inicio]]="","",TODAY()-tblOrdenes[[#This Row],[fecha_inicio]])</f>
        <v/>
      </c>
      <c r="AD10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5" s="5">
        <f>IF(tblOrdenes[[#This Row],[backlog_habiles]]="","",IF(tblOrdenes[[#This Row],[backlog_habiles]]&lt;0,"FUTURO",IF(tblOrdenes[[#This Row],[backlog_habiles]]&gt;p_dias_backlog_max,"BACKLOG","MES CORRIENTE")))</f>
        <v/>
      </c>
      <c r="AF1005" s="5">
        <f>IF(tblOrdenes[[#This Row],[backlog_habiles]]="",FALSE,AND(tblOrdenes[[#This Row],[backlog_habiles]]&gt;p_dias_backlog_min,tblOrdenes[[#This Row],[backlog_habiles]]&lt;=p_dias_backlog_max))</f>
        <v/>
      </c>
      <c r="AG1005" s="4" t="n"/>
      <c r="AH10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5" s="18">
        <f>IF(tblOrdenes[[#This Row],[orden]]="","",_xlfn.XLOOKUP(tblOrdenes[[#This Row],[id_operacion]],tblEjecucion[id_operacion],tblEjecucion[precio],0))</f>
        <v/>
      </c>
      <c r="AL1005" s="18">
        <f>IF(tblOrdenes[[#This Row],[orden]]="","",MAX(0,_xlfn.XLOOKUP(tblOrdenes[[#This Row],[id_operacion]],tblEjecucion[id_operacion],tblEjecucion[costo_plan_total],0)-tblOrdenes[[#This Row],[costo_servicio]]))</f>
        <v/>
      </c>
      <c r="AM1005" s="18">
        <f>IF(tblOrdenes[[#This Row],[orden]]="","",tblOrdenes[[#This Row],[costo_servicio]]+tblOrdenes[[#This Row],[costo_materiales]])</f>
        <v/>
      </c>
      <c r="AN10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5" s="4" t="n"/>
      <c r="AP1005" s="4" t="n"/>
      <c r="AQ1005" s="4" t="n"/>
      <c r="AR1005" s="5">
        <f>IF(tblOrdenes[[#This Row],[link_checklist]]="","",HYPERLINK(p_ruta_base_checklists&amp;tblOrdenes[[#This Row],[link_checklist]],"abrir"))</f>
        <v/>
      </c>
      <c r="AS1005" s="4" t="n"/>
      <c r="AT1005" s="5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22" t="n"/>
      <c r="K1006" s="5" t="n"/>
      <c r="L1006" s="18" t="n"/>
      <c r="M10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5">
        <f>IF(tblOrdenes[[#This Row],[fecha_inicio]]="","",YEAR(tblOrdenes[[#This Row],[fecha_inicio]]))</f>
        <v/>
      </c>
      <c r="Q1006" s="5">
        <f>IF(tblOrdenes[[#This Row],[fecha_inicio]]="","",MONTH(tblOrdenes[[#This Row],[fecha_inicio]]))</f>
        <v/>
      </c>
      <c r="R1006" s="5">
        <f>IF(tblOrdenes[[#This Row],[fecha_inicio]]="","",tblOrdenes[[#This Row],[anio]]&amp;"-"&amp;TEXT(tblOrdenes[[#This Row],[mes]],"00"))</f>
        <v/>
      </c>
      <c r="S1006" s="5">
        <f>IF(tblOrdenes[[#This Row],[fecha_inicio]]="","",INDEX(lista_dias,WEEKDAY(tblOrdenes[[#This Row],[fecha_inicio]],2)))</f>
        <v/>
      </c>
      <c r="T10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6" s="5">
        <f>IF(tblOrdenes[[#This Row],[tipo_ot]]="","",_xlfn.XLOOKUP(tblOrdenes[[#This Row],[tipo_ot]],tblTiposOT[codigo],tblTiposOT[clasificacion],"sin_clasificar"))</f>
        <v/>
      </c>
      <c r="V10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6" s="5">
        <f>IF(tblOrdenes[[#This Row],[centro_costo]]="","",_xlfn.XLOOKUP(tblOrdenes[[#This Row],[centro_costo]],tblCECO[codigo],tblCECO[linea],"(sin catálogo)"))</f>
        <v/>
      </c>
      <c r="X1006" s="5">
        <f>IF(tblOrdenes[[#This Row],[centro_costo]]="","",_xlfn.XLOOKUP(tblOrdenes[[#This Row],[centro_costo]],tblCECO[codigo],tblCECO[area],"(sin catálogo)"))</f>
        <v/>
      </c>
      <c r="Y10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6" s="5">
        <f>IF(tblOrdenes[[#This Row],[centro_costo]]="","",_xlfn.XLOOKUP(tblOrdenes[[#This Row],[centro_costo]],tblCECO[codigo],tblCECO[coordinador],"(sin catálogo)"))</f>
        <v/>
      </c>
      <c r="AA1006" s="5">
        <f>IF(tblOrdenes[[#This Row],[puesto_trabajo]]="","",_xlfn.XLOOKUP(tblOrdenes[[#This Row],[puesto_trabajo]],tblPuestos[codigo],tblPuestos[especialidad],"(sin catálogo)"))</f>
        <v/>
      </c>
      <c r="AB1006" s="5">
        <f>IF(tblOrdenes[[#This Row],[cod_actividad]]="","",_xlfn.XLOOKUP(tblOrdenes[[#This Row],[cod_actividad]],tblActividades[codigo],tblActividades[descripcion],"(sin catálogo)"))</f>
        <v/>
      </c>
      <c r="AC1006" s="20">
        <f>IF(tblOrdenes[[#This Row],[fecha_inicio]]="","",TODAY()-tblOrdenes[[#This Row],[fecha_inicio]])</f>
        <v/>
      </c>
      <c r="AD10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6" s="5">
        <f>IF(tblOrdenes[[#This Row],[backlog_habiles]]="","",IF(tblOrdenes[[#This Row],[backlog_habiles]]&lt;0,"FUTURO",IF(tblOrdenes[[#This Row],[backlog_habiles]]&gt;p_dias_backlog_max,"BACKLOG","MES CORRIENTE")))</f>
        <v/>
      </c>
      <c r="AF1006" s="5">
        <f>IF(tblOrdenes[[#This Row],[backlog_habiles]]="",FALSE,AND(tblOrdenes[[#This Row],[backlog_habiles]]&gt;p_dias_backlog_min,tblOrdenes[[#This Row],[backlog_habiles]]&lt;=p_dias_backlog_max))</f>
        <v/>
      </c>
      <c r="AG1006" s="4" t="n"/>
      <c r="AH10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6" s="18">
        <f>IF(tblOrdenes[[#This Row],[orden]]="","",_xlfn.XLOOKUP(tblOrdenes[[#This Row],[id_operacion]],tblEjecucion[id_operacion],tblEjecucion[precio],0))</f>
        <v/>
      </c>
      <c r="AL1006" s="18">
        <f>IF(tblOrdenes[[#This Row],[orden]]="","",MAX(0,_xlfn.XLOOKUP(tblOrdenes[[#This Row],[id_operacion]],tblEjecucion[id_operacion],tblEjecucion[costo_plan_total],0)-tblOrdenes[[#This Row],[costo_servicio]]))</f>
        <v/>
      </c>
      <c r="AM1006" s="18">
        <f>IF(tblOrdenes[[#This Row],[orden]]="","",tblOrdenes[[#This Row],[costo_servicio]]+tblOrdenes[[#This Row],[costo_materiales]])</f>
        <v/>
      </c>
      <c r="AN10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6" s="4" t="n"/>
      <c r="AP1006" s="4" t="n"/>
      <c r="AQ1006" s="4" t="n"/>
      <c r="AR1006" s="5">
        <f>IF(tblOrdenes[[#This Row],[link_checklist]]="","",HYPERLINK(p_ruta_base_checklists&amp;tblOrdenes[[#This Row],[link_checklist]],"abrir"))</f>
        <v/>
      </c>
      <c r="AS1006" s="4" t="n"/>
      <c r="AT1006" s="5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22" t="n"/>
      <c r="K1007" s="5" t="n"/>
      <c r="L1007" s="18" t="n"/>
      <c r="M10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5">
        <f>IF(tblOrdenes[[#This Row],[fecha_inicio]]="","",YEAR(tblOrdenes[[#This Row],[fecha_inicio]]))</f>
        <v/>
      </c>
      <c r="Q1007" s="5">
        <f>IF(tblOrdenes[[#This Row],[fecha_inicio]]="","",MONTH(tblOrdenes[[#This Row],[fecha_inicio]]))</f>
        <v/>
      </c>
      <c r="R1007" s="5">
        <f>IF(tblOrdenes[[#This Row],[fecha_inicio]]="","",tblOrdenes[[#This Row],[anio]]&amp;"-"&amp;TEXT(tblOrdenes[[#This Row],[mes]],"00"))</f>
        <v/>
      </c>
      <c r="S1007" s="5">
        <f>IF(tblOrdenes[[#This Row],[fecha_inicio]]="","",INDEX(lista_dias,WEEKDAY(tblOrdenes[[#This Row],[fecha_inicio]],2)))</f>
        <v/>
      </c>
      <c r="T10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7" s="5">
        <f>IF(tblOrdenes[[#This Row],[tipo_ot]]="","",_xlfn.XLOOKUP(tblOrdenes[[#This Row],[tipo_ot]],tblTiposOT[codigo],tblTiposOT[clasificacion],"sin_clasificar"))</f>
        <v/>
      </c>
      <c r="V10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7" s="5">
        <f>IF(tblOrdenes[[#This Row],[centro_costo]]="","",_xlfn.XLOOKUP(tblOrdenes[[#This Row],[centro_costo]],tblCECO[codigo],tblCECO[linea],"(sin catálogo)"))</f>
        <v/>
      </c>
      <c r="X1007" s="5">
        <f>IF(tblOrdenes[[#This Row],[centro_costo]]="","",_xlfn.XLOOKUP(tblOrdenes[[#This Row],[centro_costo]],tblCECO[codigo],tblCECO[area],"(sin catálogo)"))</f>
        <v/>
      </c>
      <c r="Y10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7" s="5">
        <f>IF(tblOrdenes[[#This Row],[centro_costo]]="","",_xlfn.XLOOKUP(tblOrdenes[[#This Row],[centro_costo]],tblCECO[codigo],tblCECO[coordinador],"(sin catálogo)"))</f>
        <v/>
      </c>
      <c r="AA1007" s="5">
        <f>IF(tblOrdenes[[#This Row],[puesto_trabajo]]="","",_xlfn.XLOOKUP(tblOrdenes[[#This Row],[puesto_trabajo]],tblPuestos[codigo],tblPuestos[especialidad],"(sin catálogo)"))</f>
        <v/>
      </c>
      <c r="AB1007" s="5">
        <f>IF(tblOrdenes[[#This Row],[cod_actividad]]="","",_xlfn.XLOOKUP(tblOrdenes[[#This Row],[cod_actividad]],tblActividades[codigo],tblActividades[descripcion],"(sin catálogo)"))</f>
        <v/>
      </c>
      <c r="AC1007" s="20">
        <f>IF(tblOrdenes[[#This Row],[fecha_inicio]]="","",TODAY()-tblOrdenes[[#This Row],[fecha_inicio]])</f>
        <v/>
      </c>
      <c r="AD10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7" s="5">
        <f>IF(tblOrdenes[[#This Row],[backlog_habiles]]="","",IF(tblOrdenes[[#This Row],[backlog_habiles]]&lt;0,"FUTURO",IF(tblOrdenes[[#This Row],[backlog_habiles]]&gt;p_dias_backlog_max,"BACKLOG","MES CORRIENTE")))</f>
        <v/>
      </c>
      <c r="AF1007" s="5">
        <f>IF(tblOrdenes[[#This Row],[backlog_habiles]]="",FALSE,AND(tblOrdenes[[#This Row],[backlog_habiles]]&gt;p_dias_backlog_min,tblOrdenes[[#This Row],[backlog_habiles]]&lt;=p_dias_backlog_max))</f>
        <v/>
      </c>
      <c r="AG1007" s="4" t="n"/>
      <c r="AH10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7" s="18">
        <f>IF(tblOrdenes[[#This Row],[orden]]="","",_xlfn.XLOOKUP(tblOrdenes[[#This Row],[id_operacion]],tblEjecucion[id_operacion],tblEjecucion[precio],0))</f>
        <v/>
      </c>
      <c r="AL1007" s="18">
        <f>IF(tblOrdenes[[#This Row],[orden]]="","",MAX(0,_xlfn.XLOOKUP(tblOrdenes[[#This Row],[id_operacion]],tblEjecucion[id_operacion],tblEjecucion[costo_plan_total],0)-tblOrdenes[[#This Row],[costo_servicio]]))</f>
        <v/>
      </c>
      <c r="AM1007" s="18">
        <f>IF(tblOrdenes[[#This Row],[orden]]="","",tblOrdenes[[#This Row],[costo_servicio]]+tblOrdenes[[#This Row],[costo_materiales]])</f>
        <v/>
      </c>
      <c r="AN10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7" s="4" t="n"/>
      <c r="AP1007" s="4" t="n"/>
      <c r="AQ1007" s="4" t="n"/>
      <c r="AR1007" s="5">
        <f>IF(tblOrdenes[[#This Row],[link_checklist]]="","",HYPERLINK(p_ruta_base_checklists&amp;tblOrdenes[[#This Row],[link_checklist]],"abrir"))</f>
        <v/>
      </c>
      <c r="AS1007" s="4" t="n"/>
      <c r="AT1007" s="5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22" t="n"/>
      <c r="K1008" s="5" t="n"/>
      <c r="L1008" s="18" t="n"/>
      <c r="M10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5">
        <f>IF(tblOrdenes[[#This Row],[fecha_inicio]]="","",YEAR(tblOrdenes[[#This Row],[fecha_inicio]]))</f>
        <v/>
      </c>
      <c r="Q1008" s="5">
        <f>IF(tblOrdenes[[#This Row],[fecha_inicio]]="","",MONTH(tblOrdenes[[#This Row],[fecha_inicio]]))</f>
        <v/>
      </c>
      <c r="R1008" s="5">
        <f>IF(tblOrdenes[[#This Row],[fecha_inicio]]="","",tblOrdenes[[#This Row],[anio]]&amp;"-"&amp;TEXT(tblOrdenes[[#This Row],[mes]],"00"))</f>
        <v/>
      </c>
      <c r="S1008" s="5">
        <f>IF(tblOrdenes[[#This Row],[fecha_inicio]]="","",INDEX(lista_dias,WEEKDAY(tblOrdenes[[#This Row],[fecha_inicio]],2)))</f>
        <v/>
      </c>
      <c r="T10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8" s="5">
        <f>IF(tblOrdenes[[#This Row],[tipo_ot]]="","",_xlfn.XLOOKUP(tblOrdenes[[#This Row],[tipo_ot]],tblTiposOT[codigo],tblTiposOT[clasificacion],"sin_clasificar"))</f>
        <v/>
      </c>
      <c r="V10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8" s="5">
        <f>IF(tblOrdenes[[#This Row],[centro_costo]]="","",_xlfn.XLOOKUP(tblOrdenes[[#This Row],[centro_costo]],tblCECO[codigo],tblCECO[linea],"(sin catálogo)"))</f>
        <v/>
      </c>
      <c r="X1008" s="5">
        <f>IF(tblOrdenes[[#This Row],[centro_costo]]="","",_xlfn.XLOOKUP(tblOrdenes[[#This Row],[centro_costo]],tblCECO[codigo],tblCECO[area],"(sin catálogo)"))</f>
        <v/>
      </c>
      <c r="Y10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8" s="5">
        <f>IF(tblOrdenes[[#This Row],[centro_costo]]="","",_xlfn.XLOOKUP(tblOrdenes[[#This Row],[centro_costo]],tblCECO[codigo],tblCECO[coordinador],"(sin catálogo)"))</f>
        <v/>
      </c>
      <c r="AA1008" s="5">
        <f>IF(tblOrdenes[[#This Row],[puesto_trabajo]]="","",_xlfn.XLOOKUP(tblOrdenes[[#This Row],[puesto_trabajo]],tblPuestos[codigo],tblPuestos[especialidad],"(sin catálogo)"))</f>
        <v/>
      </c>
      <c r="AB1008" s="5">
        <f>IF(tblOrdenes[[#This Row],[cod_actividad]]="","",_xlfn.XLOOKUP(tblOrdenes[[#This Row],[cod_actividad]],tblActividades[codigo],tblActividades[descripcion],"(sin catálogo)"))</f>
        <v/>
      </c>
      <c r="AC1008" s="20">
        <f>IF(tblOrdenes[[#This Row],[fecha_inicio]]="","",TODAY()-tblOrdenes[[#This Row],[fecha_inicio]])</f>
        <v/>
      </c>
      <c r="AD10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8" s="5">
        <f>IF(tblOrdenes[[#This Row],[backlog_habiles]]="","",IF(tblOrdenes[[#This Row],[backlog_habiles]]&lt;0,"FUTURO",IF(tblOrdenes[[#This Row],[backlog_habiles]]&gt;p_dias_backlog_max,"BACKLOG","MES CORRIENTE")))</f>
        <v/>
      </c>
      <c r="AF1008" s="5">
        <f>IF(tblOrdenes[[#This Row],[backlog_habiles]]="",FALSE,AND(tblOrdenes[[#This Row],[backlog_habiles]]&gt;p_dias_backlog_min,tblOrdenes[[#This Row],[backlog_habiles]]&lt;=p_dias_backlog_max))</f>
        <v/>
      </c>
      <c r="AG1008" s="4" t="n"/>
      <c r="AH10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8" s="18">
        <f>IF(tblOrdenes[[#This Row],[orden]]="","",_xlfn.XLOOKUP(tblOrdenes[[#This Row],[id_operacion]],tblEjecucion[id_operacion],tblEjecucion[precio],0))</f>
        <v/>
      </c>
      <c r="AL1008" s="18">
        <f>IF(tblOrdenes[[#This Row],[orden]]="","",MAX(0,_xlfn.XLOOKUP(tblOrdenes[[#This Row],[id_operacion]],tblEjecucion[id_operacion],tblEjecucion[costo_plan_total],0)-tblOrdenes[[#This Row],[costo_servicio]]))</f>
        <v/>
      </c>
      <c r="AM1008" s="18">
        <f>IF(tblOrdenes[[#This Row],[orden]]="","",tblOrdenes[[#This Row],[costo_servicio]]+tblOrdenes[[#This Row],[costo_materiales]])</f>
        <v/>
      </c>
      <c r="AN10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8" s="4" t="n"/>
      <c r="AP1008" s="4" t="n"/>
      <c r="AQ1008" s="4" t="n"/>
      <c r="AR1008" s="5">
        <f>IF(tblOrdenes[[#This Row],[link_checklist]]="","",HYPERLINK(p_ruta_base_checklists&amp;tblOrdenes[[#This Row],[link_checklist]],"abrir"))</f>
        <v/>
      </c>
      <c r="AS1008" s="4" t="n"/>
      <c r="AT1008" s="5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22" t="n"/>
      <c r="K1009" s="5" t="n"/>
      <c r="L1009" s="18" t="n"/>
      <c r="M10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5">
        <f>IF(tblOrdenes[[#This Row],[fecha_inicio]]="","",YEAR(tblOrdenes[[#This Row],[fecha_inicio]]))</f>
        <v/>
      </c>
      <c r="Q1009" s="5">
        <f>IF(tblOrdenes[[#This Row],[fecha_inicio]]="","",MONTH(tblOrdenes[[#This Row],[fecha_inicio]]))</f>
        <v/>
      </c>
      <c r="R1009" s="5">
        <f>IF(tblOrdenes[[#This Row],[fecha_inicio]]="","",tblOrdenes[[#This Row],[anio]]&amp;"-"&amp;TEXT(tblOrdenes[[#This Row],[mes]],"00"))</f>
        <v/>
      </c>
      <c r="S1009" s="5">
        <f>IF(tblOrdenes[[#This Row],[fecha_inicio]]="","",INDEX(lista_dias,WEEKDAY(tblOrdenes[[#This Row],[fecha_inicio]],2)))</f>
        <v/>
      </c>
      <c r="T10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9" s="5">
        <f>IF(tblOrdenes[[#This Row],[tipo_ot]]="","",_xlfn.XLOOKUP(tblOrdenes[[#This Row],[tipo_ot]],tblTiposOT[codigo],tblTiposOT[clasificacion],"sin_clasificar"))</f>
        <v/>
      </c>
      <c r="V10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9" s="5">
        <f>IF(tblOrdenes[[#This Row],[centro_costo]]="","",_xlfn.XLOOKUP(tblOrdenes[[#This Row],[centro_costo]],tblCECO[codigo],tblCECO[linea],"(sin catálogo)"))</f>
        <v/>
      </c>
      <c r="X1009" s="5">
        <f>IF(tblOrdenes[[#This Row],[centro_costo]]="","",_xlfn.XLOOKUP(tblOrdenes[[#This Row],[centro_costo]],tblCECO[codigo],tblCECO[area],"(sin catálogo)"))</f>
        <v/>
      </c>
      <c r="Y10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09" s="5">
        <f>IF(tblOrdenes[[#This Row],[centro_costo]]="","",_xlfn.XLOOKUP(tblOrdenes[[#This Row],[centro_costo]],tblCECO[codigo],tblCECO[coordinador],"(sin catálogo)"))</f>
        <v/>
      </c>
      <c r="AA1009" s="5">
        <f>IF(tblOrdenes[[#This Row],[puesto_trabajo]]="","",_xlfn.XLOOKUP(tblOrdenes[[#This Row],[puesto_trabajo]],tblPuestos[codigo],tblPuestos[especialidad],"(sin catálogo)"))</f>
        <v/>
      </c>
      <c r="AB1009" s="5">
        <f>IF(tblOrdenes[[#This Row],[cod_actividad]]="","",_xlfn.XLOOKUP(tblOrdenes[[#This Row],[cod_actividad]],tblActividades[codigo],tblActividades[descripcion],"(sin catálogo)"))</f>
        <v/>
      </c>
      <c r="AC1009" s="20">
        <f>IF(tblOrdenes[[#This Row],[fecha_inicio]]="","",TODAY()-tblOrdenes[[#This Row],[fecha_inicio]])</f>
        <v/>
      </c>
      <c r="AD10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09" s="5">
        <f>IF(tblOrdenes[[#This Row],[backlog_habiles]]="","",IF(tblOrdenes[[#This Row],[backlog_habiles]]&lt;0,"FUTURO",IF(tblOrdenes[[#This Row],[backlog_habiles]]&gt;p_dias_backlog_max,"BACKLOG","MES CORRIENTE")))</f>
        <v/>
      </c>
      <c r="AF1009" s="5">
        <f>IF(tblOrdenes[[#This Row],[backlog_habiles]]="",FALSE,AND(tblOrdenes[[#This Row],[backlog_habiles]]&gt;p_dias_backlog_min,tblOrdenes[[#This Row],[backlog_habiles]]&lt;=p_dias_backlog_max))</f>
        <v/>
      </c>
      <c r="AG1009" s="4" t="n"/>
      <c r="AH10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09" s="18">
        <f>IF(tblOrdenes[[#This Row],[orden]]="","",_xlfn.XLOOKUP(tblOrdenes[[#This Row],[id_operacion]],tblEjecucion[id_operacion],tblEjecucion[precio],0))</f>
        <v/>
      </c>
      <c r="AL1009" s="18">
        <f>IF(tblOrdenes[[#This Row],[orden]]="","",MAX(0,_xlfn.XLOOKUP(tblOrdenes[[#This Row],[id_operacion]],tblEjecucion[id_operacion],tblEjecucion[costo_plan_total],0)-tblOrdenes[[#This Row],[costo_servicio]]))</f>
        <v/>
      </c>
      <c r="AM1009" s="18">
        <f>IF(tblOrdenes[[#This Row],[orden]]="","",tblOrdenes[[#This Row],[costo_servicio]]+tblOrdenes[[#This Row],[costo_materiales]])</f>
        <v/>
      </c>
      <c r="AN10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09" s="4" t="n"/>
      <c r="AP1009" s="4" t="n"/>
      <c r="AQ1009" s="4" t="n"/>
      <c r="AR1009" s="5">
        <f>IF(tblOrdenes[[#This Row],[link_checklist]]="","",HYPERLINK(p_ruta_base_checklists&amp;tblOrdenes[[#This Row],[link_checklist]],"abrir"))</f>
        <v/>
      </c>
      <c r="AS1009" s="4" t="n"/>
      <c r="AT1009" s="5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22" t="n"/>
      <c r="K1010" s="5" t="n"/>
      <c r="L1010" s="18" t="n"/>
      <c r="M10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5">
        <f>IF(tblOrdenes[[#This Row],[fecha_inicio]]="","",YEAR(tblOrdenes[[#This Row],[fecha_inicio]]))</f>
        <v/>
      </c>
      <c r="Q1010" s="5">
        <f>IF(tblOrdenes[[#This Row],[fecha_inicio]]="","",MONTH(tblOrdenes[[#This Row],[fecha_inicio]]))</f>
        <v/>
      </c>
      <c r="R1010" s="5">
        <f>IF(tblOrdenes[[#This Row],[fecha_inicio]]="","",tblOrdenes[[#This Row],[anio]]&amp;"-"&amp;TEXT(tblOrdenes[[#This Row],[mes]],"00"))</f>
        <v/>
      </c>
      <c r="S1010" s="5">
        <f>IF(tblOrdenes[[#This Row],[fecha_inicio]]="","",INDEX(lista_dias,WEEKDAY(tblOrdenes[[#This Row],[fecha_inicio]],2)))</f>
        <v/>
      </c>
      <c r="T10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0" s="5">
        <f>IF(tblOrdenes[[#This Row],[tipo_ot]]="","",_xlfn.XLOOKUP(tblOrdenes[[#This Row],[tipo_ot]],tblTiposOT[codigo],tblTiposOT[clasificacion],"sin_clasificar"))</f>
        <v/>
      </c>
      <c r="V10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0" s="5">
        <f>IF(tblOrdenes[[#This Row],[centro_costo]]="","",_xlfn.XLOOKUP(tblOrdenes[[#This Row],[centro_costo]],tblCECO[codigo],tblCECO[linea],"(sin catálogo)"))</f>
        <v/>
      </c>
      <c r="X1010" s="5">
        <f>IF(tblOrdenes[[#This Row],[centro_costo]]="","",_xlfn.XLOOKUP(tblOrdenes[[#This Row],[centro_costo]],tblCECO[codigo],tblCECO[area],"(sin catálogo)"))</f>
        <v/>
      </c>
      <c r="Y10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0" s="5">
        <f>IF(tblOrdenes[[#This Row],[centro_costo]]="","",_xlfn.XLOOKUP(tblOrdenes[[#This Row],[centro_costo]],tblCECO[codigo],tblCECO[coordinador],"(sin catálogo)"))</f>
        <v/>
      </c>
      <c r="AA1010" s="5">
        <f>IF(tblOrdenes[[#This Row],[puesto_trabajo]]="","",_xlfn.XLOOKUP(tblOrdenes[[#This Row],[puesto_trabajo]],tblPuestos[codigo],tblPuestos[especialidad],"(sin catálogo)"))</f>
        <v/>
      </c>
      <c r="AB1010" s="5">
        <f>IF(tblOrdenes[[#This Row],[cod_actividad]]="","",_xlfn.XLOOKUP(tblOrdenes[[#This Row],[cod_actividad]],tblActividades[codigo],tblActividades[descripcion],"(sin catálogo)"))</f>
        <v/>
      </c>
      <c r="AC1010" s="20">
        <f>IF(tblOrdenes[[#This Row],[fecha_inicio]]="","",TODAY()-tblOrdenes[[#This Row],[fecha_inicio]])</f>
        <v/>
      </c>
      <c r="AD10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0" s="5">
        <f>IF(tblOrdenes[[#This Row],[backlog_habiles]]="","",IF(tblOrdenes[[#This Row],[backlog_habiles]]&lt;0,"FUTURO",IF(tblOrdenes[[#This Row],[backlog_habiles]]&gt;p_dias_backlog_max,"BACKLOG","MES CORRIENTE")))</f>
        <v/>
      </c>
      <c r="AF1010" s="5">
        <f>IF(tblOrdenes[[#This Row],[backlog_habiles]]="",FALSE,AND(tblOrdenes[[#This Row],[backlog_habiles]]&gt;p_dias_backlog_min,tblOrdenes[[#This Row],[backlog_habiles]]&lt;=p_dias_backlog_max))</f>
        <v/>
      </c>
      <c r="AG1010" s="4" t="n"/>
      <c r="AH10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0" s="18">
        <f>IF(tblOrdenes[[#This Row],[orden]]="","",_xlfn.XLOOKUP(tblOrdenes[[#This Row],[id_operacion]],tblEjecucion[id_operacion],tblEjecucion[precio],0))</f>
        <v/>
      </c>
      <c r="AL1010" s="18">
        <f>IF(tblOrdenes[[#This Row],[orden]]="","",MAX(0,_xlfn.XLOOKUP(tblOrdenes[[#This Row],[id_operacion]],tblEjecucion[id_operacion],tblEjecucion[costo_plan_total],0)-tblOrdenes[[#This Row],[costo_servicio]]))</f>
        <v/>
      </c>
      <c r="AM1010" s="18">
        <f>IF(tblOrdenes[[#This Row],[orden]]="","",tblOrdenes[[#This Row],[costo_servicio]]+tblOrdenes[[#This Row],[costo_materiales]])</f>
        <v/>
      </c>
      <c r="AN10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0" s="4" t="n"/>
      <c r="AP1010" s="4" t="n"/>
      <c r="AQ1010" s="4" t="n"/>
      <c r="AR1010" s="5">
        <f>IF(tblOrdenes[[#This Row],[link_checklist]]="","",HYPERLINK(p_ruta_base_checklists&amp;tblOrdenes[[#This Row],[link_checklist]],"abrir"))</f>
        <v/>
      </c>
      <c r="AS1010" s="4" t="n"/>
      <c r="AT1010" s="5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22" t="n"/>
      <c r="K1011" s="5" t="n"/>
      <c r="L1011" s="18" t="n"/>
      <c r="M10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5">
        <f>IF(tblOrdenes[[#This Row],[fecha_inicio]]="","",YEAR(tblOrdenes[[#This Row],[fecha_inicio]]))</f>
        <v/>
      </c>
      <c r="Q1011" s="5">
        <f>IF(tblOrdenes[[#This Row],[fecha_inicio]]="","",MONTH(tblOrdenes[[#This Row],[fecha_inicio]]))</f>
        <v/>
      </c>
      <c r="R1011" s="5">
        <f>IF(tblOrdenes[[#This Row],[fecha_inicio]]="","",tblOrdenes[[#This Row],[anio]]&amp;"-"&amp;TEXT(tblOrdenes[[#This Row],[mes]],"00"))</f>
        <v/>
      </c>
      <c r="S1011" s="5">
        <f>IF(tblOrdenes[[#This Row],[fecha_inicio]]="","",INDEX(lista_dias,WEEKDAY(tblOrdenes[[#This Row],[fecha_inicio]],2)))</f>
        <v/>
      </c>
      <c r="T10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1" s="5">
        <f>IF(tblOrdenes[[#This Row],[tipo_ot]]="","",_xlfn.XLOOKUP(tblOrdenes[[#This Row],[tipo_ot]],tblTiposOT[codigo],tblTiposOT[clasificacion],"sin_clasificar"))</f>
        <v/>
      </c>
      <c r="V10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1" s="5">
        <f>IF(tblOrdenes[[#This Row],[centro_costo]]="","",_xlfn.XLOOKUP(tblOrdenes[[#This Row],[centro_costo]],tblCECO[codigo],tblCECO[linea],"(sin catálogo)"))</f>
        <v/>
      </c>
      <c r="X1011" s="5">
        <f>IF(tblOrdenes[[#This Row],[centro_costo]]="","",_xlfn.XLOOKUP(tblOrdenes[[#This Row],[centro_costo]],tblCECO[codigo],tblCECO[area],"(sin catálogo)"))</f>
        <v/>
      </c>
      <c r="Y10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1" s="5">
        <f>IF(tblOrdenes[[#This Row],[centro_costo]]="","",_xlfn.XLOOKUP(tblOrdenes[[#This Row],[centro_costo]],tblCECO[codigo],tblCECO[coordinador],"(sin catálogo)"))</f>
        <v/>
      </c>
      <c r="AA1011" s="5">
        <f>IF(tblOrdenes[[#This Row],[puesto_trabajo]]="","",_xlfn.XLOOKUP(tblOrdenes[[#This Row],[puesto_trabajo]],tblPuestos[codigo],tblPuestos[especialidad],"(sin catálogo)"))</f>
        <v/>
      </c>
      <c r="AB1011" s="5">
        <f>IF(tblOrdenes[[#This Row],[cod_actividad]]="","",_xlfn.XLOOKUP(tblOrdenes[[#This Row],[cod_actividad]],tblActividades[codigo],tblActividades[descripcion],"(sin catálogo)"))</f>
        <v/>
      </c>
      <c r="AC1011" s="20">
        <f>IF(tblOrdenes[[#This Row],[fecha_inicio]]="","",TODAY()-tblOrdenes[[#This Row],[fecha_inicio]])</f>
        <v/>
      </c>
      <c r="AD10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1" s="5">
        <f>IF(tblOrdenes[[#This Row],[backlog_habiles]]="","",IF(tblOrdenes[[#This Row],[backlog_habiles]]&lt;0,"FUTURO",IF(tblOrdenes[[#This Row],[backlog_habiles]]&gt;p_dias_backlog_max,"BACKLOG","MES CORRIENTE")))</f>
        <v/>
      </c>
      <c r="AF1011" s="5">
        <f>IF(tblOrdenes[[#This Row],[backlog_habiles]]="",FALSE,AND(tblOrdenes[[#This Row],[backlog_habiles]]&gt;p_dias_backlog_min,tblOrdenes[[#This Row],[backlog_habiles]]&lt;=p_dias_backlog_max))</f>
        <v/>
      </c>
      <c r="AG1011" s="4" t="n"/>
      <c r="AH10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1" s="18">
        <f>IF(tblOrdenes[[#This Row],[orden]]="","",_xlfn.XLOOKUP(tblOrdenes[[#This Row],[id_operacion]],tblEjecucion[id_operacion],tblEjecucion[precio],0))</f>
        <v/>
      </c>
      <c r="AL1011" s="18">
        <f>IF(tblOrdenes[[#This Row],[orden]]="","",MAX(0,_xlfn.XLOOKUP(tblOrdenes[[#This Row],[id_operacion]],tblEjecucion[id_operacion],tblEjecucion[costo_plan_total],0)-tblOrdenes[[#This Row],[costo_servicio]]))</f>
        <v/>
      </c>
      <c r="AM1011" s="18">
        <f>IF(tblOrdenes[[#This Row],[orden]]="","",tblOrdenes[[#This Row],[costo_servicio]]+tblOrdenes[[#This Row],[costo_materiales]])</f>
        <v/>
      </c>
      <c r="AN10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1" s="4" t="n"/>
      <c r="AP1011" s="4" t="n"/>
      <c r="AQ1011" s="4" t="n"/>
      <c r="AR1011" s="5">
        <f>IF(tblOrdenes[[#This Row],[link_checklist]]="","",HYPERLINK(p_ruta_base_checklists&amp;tblOrdenes[[#This Row],[link_checklist]],"abrir"))</f>
        <v/>
      </c>
      <c r="AS1011" s="4" t="n"/>
      <c r="AT1011" s="5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22" t="n"/>
      <c r="K1012" s="5" t="n"/>
      <c r="L1012" s="18" t="n"/>
      <c r="M10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5">
        <f>IF(tblOrdenes[[#This Row],[fecha_inicio]]="","",YEAR(tblOrdenes[[#This Row],[fecha_inicio]]))</f>
        <v/>
      </c>
      <c r="Q1012" s="5">
        <f>IF(tblOrdenes[[#This Row],[fecha_inicio]]="","",MONTH(tblOrdenes[[#This Row],[fecha_inicio]]))</f>
        <v/>
      </c>
      <c r="R1012" s="5">
        <f>IF(tblOrdenes[[#This Row],[fecha_inicio]]="","",tblOrdenes[[#This Row],[anio]]&amp;"-"&amp;TEXT(tblOrdenes[[#This Row],[mes]],"00"))</f>
        <v/>
      </c>
      <c r="S1012" s="5">
        <f>IF(tblOrdenes[[#This Row],[fecha_inicio]]="","",INDEX(lista_dias,WEEKDAY(tblOrdenes[[#This Row],[fecha_inicio]],2)))</f>
        <v/>
      </c>
      <c r="T10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2" s="5">
        <f>IF(tblOrdenes[[#This Row],[tipo_ot]]="","",_xlfn.XLOOKUP(tblOrdenes[[#This Row],[tipo_ot]],tblTiposOT[codigo],tblTiposOT[clasificacion],"sin_clasificar"))</f>
        <v/>
      </c>
      <c r="V10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2" s="5">
        <f>IF(tblOrdenes[[#This Row],[centro_costo]]="","",_xlfn.XLOOKUP(tblOrdenes[[#This Row],[centro_costo]],tblCECO[codigo],tblCECO[linea],"(sin catálogo)"))</f>
        <v/>
      </c>
      <c r="X1012" s="5">
        <f>IF(tblOrdenes[[#This Row],[centro_costo]]="","",_xlfn.XLOOKUP(tblOrdenes[[#This Row],[centro_costo]],tblCECO[codigo],tblCECO[area],"(sin catálogo)"))</f>
        <v/>
      </c>
      <c r="Y10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2" s="5">
        <f>IF(tblOrdenes[[#This Row],[centro_costo]]="","",_xlfn.XLOOKUP(tblOrdenes[[#This Row],[centro_costo]],tblCECO[codigo],tblCECO[coordinador],"(sin catálogo)"))</f>
        <v/>
      </c>
      <c r="AA1012" s="5">
        <f>IF(tblOrdenes[[#This Row],[puesto_trabajo]]="","",_xlfn.XLOOKUP(tblOrdenes[[#This Row],[puesto_trabajo]],tblPuestos[codigo],tblPuestos[especialidad],"(sin catálogo)"))</f>
        <v/>
      </c>
      <c r="AB1012" s="5">
        <f>IF(tblOrdenes[[#This Row],[cod_actividad]]="","",_xlfn.XLOOKUP(tblOrdenes[[#This Row],[cod_actividad]],tblActividades[codigo],tblActividades[descripcion],"(sin catálogo)"))</f>
        <v/>
      </c>
      <c r="AC1012" s="20">
        <f>IF(tblOrdenes[[#This Row],[fecha_inicio]]="","",TODAY()-tblOrdenes[[#This Row],[fecha_inicio]])</f>
        <v/>
      </c>
      <c r="AD10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2" s="5">
        <f>IF(tblOrdenes[[#This Row],[backlog_habiles]]="","",IF(tblOrdenes[[#This Row],[backlog_habiles]]&lt;0,"FUTURO",IF(tblOrdenes[[#This Row],[backlog_habiles]]&gt;p_dias_backlog_max,"BACKLOG","MES CORRIENTE")))</f>
        <v/>
      </c>
      <c r="AF1012" s="5">
        <f>IF(tblOrdenes[[#This Row],[backlog_habiles]]="",FALSE,AND(tblOrdenes[[#This Row],[backlog_habiles]]&gt;p_dias_backlog_min,tblOrdenes[[#This Row],[backlog_habiles]]&lt;=p_dias_backlog_max))</f>
        <v/>
      </c>
      <c r="AG1012" s="4" t="n"/>
      <c r="AH10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2" s="18">
        <f>IF(tblOrdenes[[#This Row],[orden]]="","",_xlfn.XLOOKUP(tblOrdenes[[#This Row],[id_operacion]],tblEjecucion[id_operacion],tblEjecucion[precio],0))</f>
        <v/>
      </c>
      <c r="AL1012" s="18">
        <f>IF(tblOrdenes[[#This Row],[orden]]="","",MAX(0,_xlfn.XLOOKUP(tblOrdenes[[#This Row],[id_operacion]],tblEjecucion[id_operacion],tblEjecucion[costo_plan_total],0)-tblOrdenes[[#This Row],[costo_servicio]]))</f>
        <v/>
      </c>
      <c r="AM1012" s="18">
        <f>IF(tblOrdenes[[#This Row],[orden]]="","",tblOrdenes[[#This Row],[costo_servicio]]+tblOrdenes[[#This Row],[costo_materiales]])</f>
        <v/>
      </c>
      <c r="AN10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2" s="4" t="n"/>
      <c r="AP1012" s="4" t="n"/>
      <c r="AQ1012" s="4" t="n"/>
      <c r="AR1012" s="5">
        <f>IF(tblOrdenes[[#This Row],[link_checklist]]="","",HYPERLINK(p_ruta_base_checklists&amp;tblOrdenes[[#This Row],[link_checklist]],"abrir"))</f>
        <v/>
      </c>
      <c r="AS1012" s="4" t="n"/>
      <c r="AT1012" s="5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22" t="n"/>
      <c r="K1013" s="5" t="n"/>
      <c r="L1013" s="18" t="n"/>
      <c r="M10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5">
        <f>IF(tblOrdenes[[#This Row],[fecha_inicio]]="","",YEAR(tblOrdenes[[#This Row],[fecha_inicio]]))</f>
        <v/>
      </c>
      <c r="Q1013" s="5">
        <f>IF(tblOrdenes[[#This Row],[fecha_inicio]]="","",MONTH(tblOrdenes[[#This Row],[fecha_inicio]]))</f>
        <v/>
      </c>
      <c r="R1013" s="5">
        <f>IF(tblOrdenes[[#This Row],[fecha_inicio]]="","",tblOrdenes[[#This Row],[anio]]&amp;"-"&amp;TEXT(tblOrdenes[[#This Row],[mes]],"00"))</f>
        <v/>
      </c>
      <c r="S1013" s="5">
        <f>IF(tblOrdenes[[#This Row],[fecha_inicio]]="","",INDEX(lista_dias,WEEKDAY(tblOrdenes[[#This Row],[fecha_inicio]],2)))</f>
        <v/>
      </c>
      <c r="T10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3" s="5">
        <f>IF(tblOrdenes[[#This Row],[tipo_ot]]="","",_xlfn.XLOOKUP(tblOrdenes[[#This Row],[tipo_ot]],tblTiposOT[codigo],tblTiposOT[clasificacion],"sin_clasificar"))</f>
        <v/>
      </c>
      <c r="V10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3" s="5">
        <f>IF(tblOrdenes[[#This Row],[centro_costo]]="","",_xlfn.XLOOKUP(tblOrdenes[[#This Row],[centro_costo]],tblCECO[codigo],tblCECO[linea],"(sin catálogo)"))</f>
        <v/>
      </c>
      <c r="X1013" s="5">
        <f>IF(tblOrdenes[[#This Row],[centro_costo]]="","",_xlfn.XLOOKUP(tblOrdenes[[#This Row],[centro_costo]],tblCECO[codigo],tblCECO[area],"(sin catálogo)"))</f>
        <v/>
      </c>
      <c r="Y10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3" s="5">
        <f>IF(tblOrdenes[[#This Row],[centro_costo]]="","",_xlfn.XLOOKUP(tblOrdenes[[#This Row],[centro_costo]],tblCECO[codigo],tblCECO[coordinador],"(sin catálogo)"))</f>
        <v/>
      </c>
      <c r="AA1013" s="5">
        <f>IF(tblOrdenes[[#This Row],[puesto_trabajo]]="","",_xlfn.XLOOKUP(tblOrdenes[[#This Row],[puesto_trabajo]],tblPuestos[codigo],tblPuestos[especialidad],"(sin catálogo)"))</f>
        <v/>
      </c>
      <c r="AB1013" s="5">
        <f>IF(tblOrdenes[[#This Row],[cod_actividad]]="","",_xlfn.XLOOKUP(tblOrdenes[[#This Row],[cod_actividad]],tblActividades[codigo],tblActividades[descripcion],"(sin catálogo)"))</f>
        <v/>
      </c>
      <c r="AC1013" s="20">
        <f>IF(tblOrdenes[[#This Row],[fecha_inicio]]="","",TODAY()-tblOrdenes[[#This Row],[fecha_inicio]])</f>
        <v/>
      </c>
      <c r="AD10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3" s="5">
        <f>IF(tblOrdenes[[#This Row],[backlog_habiles]]="","",IF(tblOrdenes[[#This Row],[backlog_habiles]]&lt;0,"FUTURO",IF(tblOrdenes[[#This Row],[backlog_habiles]]&gt;p_dias_backlog_max,"BACKLOG","MES CORRIENTE")))</f>
        <v/>
      </c>
      <c r="AF1013" s="5">
        <f>IF(tblOrdenes[[#This Row],[backlog_habiles]]="",FALSE,AND(tblOrdenes[[#This Row],[backlog_habiles]]&gt;p_dias_backlog_min,tblOrdenes[[#This Row],[backlog_habiles]]&lt;=p_dias_backlog_max))</f>
        <v/>
      </c>
      <c r="AG1013" s="4" t="n"/>
      <c r="AH10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3" s="18">
        <f>IF(tblOrdenes[[#This Row],[orden]]="","",_xlfn.XLOOKUP(tblOrdenes[[#This Row],[id_operacion]],tblEjecucion[id_operacion],tblEjecucion[precio],0))</f>
        <v/>
      </c>
      <c r="AL1013" s="18">
        <f>IF(tblOrdenes[[#This Row],[orden]]="","",MAX(0,_xlfn.XLOOKUP(tblOrdenes[[#This Row],[id_operacion]],tblEjecucion[id_operacion],tblEjecucion[costo_plan_total],0)-tblOrdenes[[#This Row],[costo_servicio]]))</f>
        <v/>
      </c>
      <c r="AM1013" s="18">
        <f>IF(tblOrdenes[[#This Row],[orden]]="","",tblOrdenes[[#This Row],[costo_servicio]]+tblOrdenes[[#This Row],[costo_materiales]])</f>
        <v/>
      </c>
      <c r="AN10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3" s="4" t="n"/>
      <c r="AP1013" s="4" t="n"/>
      <c r="AQ1013" s="4" t="n"/>
      <c r="AR1013" s="5">
        <f>IF(tblOrdenes[[#This Row],[link_checklist]]="","",HYPERLINK(p_ruta_base_checklists&amp;tblOrdenes[[#This Row],[link_checklist]],"abrir"))</f>
        <v/>
      </c>
      <c r="AS1013" s="4" t="n"/>
      <c r="AT1013" s="5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22" t="n"/>
      <c r="K1014" s="5" t="n"/>
      <c r="L1014" s="18" t="n"/>
      <c r="M10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5">
        <f>IF(tblOrdenes[[#This Row],[fecha_inicio]]="","",YEAR(tblOrdenes[[#This Row],[fecha_inicio]]))</f>
        <v/>
      </c>
      <c r="Q1014" s="5">
        <f>IF(tblOrdenes[[#This Row],[fecha_inicio]]="","",MONTH(tblOrdenes[[#This Row],[fecha_inicio]]))</f>
        <v/>
      </c>
      <c r="R1014" s="5">
        <f>IF(tblOrdenes[[#This Row],[fecha_inicio]]="","",tblOrdenes[[#This Row],[anio]]&amp;"-"&amp;TEXT(tblOrdenes[[#This Row],[mes]],"00"))</f>
        <v/>
      </c>
      <c r="S1014" s="5">
        <f>IF(tblOrdenes[[#This Row],[fecha_inicio]]="","",INDEX(lista_dias,WEEKDAY(tblOrdenes[[#This Row],[fecha_inicio]],2)))</f>
        <v/>
      </c>
      <c r="T10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4" s="5">
        <f>IF(tblOrdenes[[#This Row],[tipo_ot]]="","",_xlfn.XLOOKUP(tblOrdenes[[#This Row],[tipo_ot]],tblTiposOT[codigo],tblTiposOT[clasificacion],"sin_clasificar"))</f>
        <v/>
      </c>
      <c r="V10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4" s="5">
        <f>IF(tblOrdenes[[#This Row],[centro_costo]]="","",_xlfn.XLOOKUP(tblOrdenes[[#This Row],[centro_costo]],tblCECO[codigo],tblCECO[linea],"(sin catálogo)"))</f>
        <v/>
      </c>
      <c r="X1014" s="5">
        <f>IF(tblOrdenes[[#This Row],[centro_costo]]="","",_xlfn.XLOOKUP(tblOrdenes[[#This Row],[centro_costo]],tblCECO[codigo],tblCECO[area],"(sin catálogo)"))</f>
        <v/>
      </c>
      <c r="Y10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4" s="5">
        <f>IF(tblOrdenes[[#This Row],[centro_costo]]="","",_xlfn.XLOOKUP(tblOrdenes[[#This Row],[centro_costo]],tblCECO[codigo],tblCECO[coordinador],"(sin catálogo)"))</f>
        <v/>
      </c>
      <c r="AA1014" s="5">
        <f>IF(tblOrdenes[[#This Row],[puesto_trabajo]]="","",_xlfn.XLOOKUP(tblOrdenes[[#This Row],[puesto_trabajo]],tblPuestos[codigo],tblPuestos[especialidad],"(sin catálogo)"))</f>
        <v/>
      </c>
      <c r="AB1014" s="5">
        <f>IF(tblOrdenes[[#This Row],[cod_actividad]]="","",_xlfn.XLOOKUP(tblOrdenes[[#This Row],[cod_actividad]],tblActividades[codigo],tblActividades[descripcion],"(sin catálogo)"))</f>
        <v/>
      </c>
      <c r="AC1014" s="20">
        <f>IF(tblOrdenes[[#This Row],[fecha_inicio]]="","",TODAY()-tblOrdenes[[#This Row],[fecha_inicio]])</f>
        <v/>
      </c>
      <c r="AD10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4" s="5">
        <f>IF(tblOrdenes[[#This Row],[backlog_habiles]]="","",IF(tblOrdenes[[#This Row],[backlog_habiles]]&lt;0,"FUTURO",IF(tblOrdenes[[#This Row],[backlog_habiles]]&gt;p_dias_backlog_max,"BACKLOG","MES CORRIENTE")))</f>
        <v/>
      </c>
      <c r="AF1014" s="5">
        <f>IF(tblOrdenes[[#This Row],[backlog_habiles]]="",FALSE,AND(tblOrdenes[[#This Row],[backlog_habiles]]&gt;p_dias_backlog_min,tblOrdenes[[#This Row],[backlog_habiles]]&lt;=p_dias_backlog_max))</f>
        <v/>
      </c>
      <c r="AG1014" s="4" t="n"/>
      <c r="AH10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4" s="18">
        <f>IF(tblOrdenes[[#This Row],[orden]]="","",_xlfn.XLOOKUP(tblOrdenes[[#This Row],[id_operacion]],tblEjecucion[id_operacion],tblEjecucion[precio],0))</f>
        <v/>
      </c>
      <c r="AL1014" s="18">
        <f>IF(tblOrdenes[[#This Row],[orden]]="","",MAX(0,_xlfn.XLOOKUP(tblOrdenes[[#This Row],[id_operacion]],tblEjecucion[id_operacion],tblEjecucion[costo_plan_total],0)-tblOrdenes[[#This Row],[costo_servicio]]))</f>
        <v/>
      </c>
      <c r="AM1014" s="18">
        <f>IF(tblOrdenes[[#This Row],[orden]]="","",tblOrdenes[[#This Row],[costo_servicio]]+tblOrdenes[[#This Row],[costo_materiales]])</f>
        <v/>
      </c>
      <c r="AN10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4" s="4" t="n"/>
      <c r="AP1014" s="4" t="n"/>
      <c r="AQ1014" s="4" t="n"/>
      <c r="AR1014" s="5">
        <f>IF(tblOrdenes[[#This Row],[link_checklist]]="","",HYPERLINK(p_ruta_base_checklists&amp;tblOrdenes[[#This Row],[link_checklist]],"abrir"))</f>
        <v/>
      </c>
      <c r="AS1014" s="4" t="n"/>
      <c r="AT1014" s="5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22" t="n"/>
      <c r="K1015" s="5" t="n"/>
      <c r="L1015" s="18" t="n"/>
      <c r="M10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5">
        <f>IF(tblOrdenes[[#This Row],[fecha_inicio]]="","",YEAR(tblOrdenes[[#This Row],[fecha_inicio]]))</f>
        <v/>
      </c>
      <c r="Q1015" s="5">
        <f>IF(tblOrdenes[[#This Row],[fecha_inicio]]="","",MONTH(tblOrdenes[[#This Row],[fecha_inicio]]))</f>
        <v/>
      </c>
      <c r="R1015" s="5">
        <f>IF(tblOrdenes[[#This Row],[fecha_inicio]]="","",tblOrdenes[[#This Row],[anio]]&amp;"-"&amp;TEXT(tblOrdenes[[#This Row],[mes]],"00"))</f>
        <v/>
      </c>
      <c r="S1015" s="5">
        <f>IF(tblOrdenes[[#This Row],[fecha_inicio]]="","",INDEX(lista_dias,WEEKDAY(tblOrdenes[[#This Row],[fecha_inicio]],2)))</f>
        <v/>
      </c>
      <c r="T10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5" s="5">
        <f>IF(tblOrdenes[[#This Row],[tipo_ot]]="","",_xlfn.XLOOKUP(tblOrdenes[[#This Row],[tipo_ot]],tblTiposOT[codigo],tblTiposOT[clasificacion],"sin_clasificar"))</f>
        <v/>
      </c>
      <c r="V10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5" s="5">
        <f>IF(tblOrdenes[[#This Row],[centro_costo]]="","",_xlfn.XLOOKUP(tblOrdenes[[#This Row],[centro_costo]],tblCECO[codigo],tblCECO[linea],"(sin catálogo)"))</f>
        <v/>
      </c>
      <c r="X1015" s="5">
        <f>IF(tblOrdenes[[#This Row],[centro_costo]]="","",_xlfn.XLOOKUP(tblOrdenes[[#This Row],[centro_costo]],tblCECO[codigo],tblCECO[area],"(sin catálogo)"))</f>
        <v/>
      </c>
      <c r="Y10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5" s="5">
        <f>IF(tblOrdenes[[#This Row],[centro_costo]]="","",_xlfn.XLOOKUP(tblOrdenes[[#This Row],[centro_costo]],tblCECO[codigo],tblCECO[coordinador],"(sin catálogo)"))</f>
        <v/>
      </c>
      <c r="AA1015" s="5">
        <f>IF(tblOrdenes[[#This Row],[puesto_trabajo]]="","",_xlfn.XLOOKUP(tblOrdenes[[#This Row],[puesto_trabajo]],tblPuestos[codigo],tblPuestos[especialidad],"(sin catálogo)"))</f>
        <v/>
      </c>
      <c r="AB1015" s="5">
        <f>IF(tblOrdenes[[#This Row],[cod_actividad]]="","",_xlfn.XLOOKUP(tblOrdenes[[#This Row],[cod_actividad]],tblActividades[codigo],tblActividades[descripcion],"(sin catálogo)"))</f>
        <v/>
      </c>
      <c r="AC1015" s="20">
        <f>IF(tblOrdenes[[#This Row],[fecha_inicio]]="","",TODAY()-tblOrdenes[[#This Row],[fecha_inicio]])</f>
        <v/>
      </c>
      <c r="AD10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5" s="5">
        <f>IF(tblOrdenes[[#This Row],[backlog_habiles]]="","",IF(tblOrdenes[[#This Row],[backlog_habiles]]&lt;0,"FUTURO",IF(tblOrdenes[[#This Row],[backlog_habiles]]&gt;p_dias_backlog_max,"BACKLOG","MES CORRIENTE")))</f>
        <v/>
      </c>
      <c r="AF1015" s="5">
        <f>IF(tblOrdenes[[#This Row],[backlog_habiles]]="",FALSE,AND(tblOrdenes[[#This Row],[backlog_habiles]]&gt;p_dias_backlog_min,tblOrdenes[[#This Row],[backlog_habiles]]&lt;=p_dias_backlog_max))</f>
        <v/>
      </c>
      <c r="AG1015" s="4" t="n"/>
      <c r="AH10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5" s="18">
        <f>IF(tblOrdenes[[#This Row],[orden]]="","",_xlfn.XLOOKUP(tblOrdenes[[#This Row],[id_operacion]],tblEjecucion[id_operacion],tblEjecucion[precio],0))</f>
        <v/>
      </c>
      <c r="AL1015" s="18">
        <f>IF(tblOrdenes[[#This Row],[orden]]="","",MAX(0,_xlfn.XLOOKUP(tblOrdenes[[#This Row],[id_operacion]],tblEjecucion[id_operacion],tblEjecucion[costo_plan_total],0)-tblOrdenes[[#This Row],[costo_servicio]]))</f>
        <v/>
      </c>
      <c r="AM1015" s="18">
        <f>IF(tblOrdenes[[#This Row],[orden]]="","",tblOrdenes[[#This Row],[costo_servicio]]+tblOrdenes[[#This Row],[costo_materiales]])</f>
        <v/>
      </c>
      <c r="AN10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5" s="4" t="n"/>
      <c r="AP1015" s="4" t="n"/>
      <c r="AQ1015" s="4" t="n"/>
      <c r="AR1015" s="5">
        <f>IF(tblOrdenes[[#This Row],[link_checklist]]="","",HYPERLINK(p_ruta_base_checklists&amp;tblOrdenes[[#This Row],[link_checklist]],"abrir"))</f>
        <v/>
      </c>
      <c r="AS1015" s="4" t="n"/>
      <c r="AT1015" s="5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22" t="n"/>
      <c r="K1016" s="5" t="n"/>
      <c r="L1016" s="18" t="n"/>
      <c r="M10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5">
        <f>IF(tblOrdenes[[#This Row],[fecha_inicio]]="","",YEAR(tblOrdenes[[#This Row],[fecha_inicio]]))</f>
        <v/>
      </c>
      <c r="Q1016" s="5">
        <f>IF(tblOrdenes[[#This Row],[fecha_inicio]]="","",MONTH(tblOrdenes[[#This Row],[fecha_inicio]]))</f>
        <v/>
      </c>
      <c r="R1016" s="5">
        <f>IF(tblOrdenes[[#This Row],[fecha_inicio]]="","",tblOrdenes[[#This Row],[anio]]&amp;"-"&amp;TEXT(tblOrdenes[[#This Row],[mes]],"00"))</f>
        <v/>
      </c>
      <c r="S1016" s="5">
        <f>IF(tblOrdenes[[#This Row],[fecha_inicio]]="","",INDEX(lista_dias,WEEKDAY(tblOrdenes[[#This Row],[fecha_inicio]],2)))</f>
        <v/>
      </c>
      <c r="T10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6" s="5">
        <f>IF(tblOrdenes[[#This Row],[tipo_ot]]="","",_xlfn.XLOOKUP(tblOrdenes[[#This Row],[tipo_ot]],tblTiposOT[codigo],tblTiposOT[clasificacion],"sin_clasificar"))</f>
        <v/>
      </c>
      <c r="V10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6" s="5">
        <f>IF(tblOrdenes[[#This Row],[centro_costo]]="","",_xlfn.XLOOKUP(tblOrdenes[[#This Row],[centro_costo]],tblCECO[codigo],tblCECO[linea],"(sin catálogo)"))</f>
        <v/>
      </c>
      <c r="X1016" s="5">
        <f>IF(tblOrdenes[[#This Row],[centro_costo]]="","",_xlfn.XLOOKUP(tblOrdenes[[#This Row],[centro_costo]],tblCECO[codigo],tblCECO[area],"(sin catálogo)"))</f>
        <v/>
      </c>
      <c r="Y10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6" s="5">
        <f>IF(tblOrdenes[[#This Row],[centro_costo]]="","",_xlfn.XLOOKUP(tblOrdenes[[#This Row],[centro_costo]],tblCECO[codigo],tblCECO[coordinador],"(sin catálogo)"))</f>
        <v/>
      </c>
      <c r="AA1016" s="5">
        <f>IF(tblOrdenes[[#This Row],[puesto_trabajo]]="","",_xlfn.XLOOKUP(tblOrdenes[[#This Row],[puesto_trabajo]],tblPuestos[codigo],tblPuestos[especialidad],"(sin catálogo)"))</f>
        <v/>
      </c>
      <c r="AB1016" s="5">
        <f>IF(tblOrdenes[[#This Row],[cod_actividad]]="","",_xlfn.XLOOKUP(tblOrdenes[[#This Row],[cod_actividad]],tblActividades[codigo],tblActividades[descripcion],"(sin catálogo)"))</f>
        <v/>
      </c>
      <c r="AC1016" s="20">
        <f>IF(tblOrdenes[[#This Row],[fecha_inicio]]="","",TODAY()-tblOrdenes[[#This Row],[fecha_inicio]])</f>
        <v/>
      </c>
      <c r="AD10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6" s="5">
        <f>IF(tblOrdenes[[#This Row],[backlog_habiles]]="","",IF(tblOrdenes[[#This Row],[backlog_habiles]]&lt;0,"FUTURO",IF(tblOrdenes[[#This Row],[backlog_habiles]]&gt;p_dias_backlog_max,"BACKLOG","MES CORRIENTE")))</f>
        <v/>
      </c>
      <c r="AF1016" s="5">
        <f>IF(tblOrdenes[[#This Row],[backlog_habiles]]="",FALSE,AND(tblOrdenes[[#This Row],[backlog_habiles]]&gt;p_dias_backlog_min,tblOrdenes[[#This Row],[backlog_habiles]]&lt;=p_dias_backlog_max))</f>
        <v/>
      </c>
      <c r="AG1016" s="4" t="n"/>
      <c r="AH10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6" s="18">
        <f>IF(tblOrdenes[[#This Row],[orden]]="","",_xlfn.XLOOKUP(tblOrdenes[[#This Row],[id_operacion]],tblEjecucion[id_operacion],tblEjecucion[precio],0))</f>
        <v/>
      </c>
      <c r="AL1016" s="18">
        <f>IF(tblOrdenes[[#This Row],[orden]]="","",MAX(0,_xlfn.XLOOKUP(tblOrdenes[[#This Row],[id_operacion]],tblEjecucion[id_operacion],tblEjecucion[costo_plan_total],0)-tblOrdenes[[#This Row],[costo_servicio]]))</f>
        <v/>
      </c>
      <c r="AM1016" s="18">
        <f>IF(tblOrdenes[[#This Row],[orden]]="","",tblOrdenes[[#This Row],[costo_servicio]]+tblOrdenes[[#This Row],[costo_materiales]])</f>
        <v/>
      </c>
      <c r="AN10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6" s="4" t="n"/>
      <c r="AP1016" s="4" t="n"/>
      <c r="AQ1016" s="4" t="n"/>
      <c r="AR1016" s="5">
        <f>IF(tblOrdenes[[#This Row],[link_checklist]]="","",HYPERLINK(p_ruta_base_checklists&amp;tblOrdenes[[#This Row],[link_checklist]],"abrir"))</f>
        <v/>
      </c>
      <c r="AS1016" s="4" t="n"/>
      <c r="AT1016" s="5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22" t="n"/>
      <c r="K1017" s="5" t="n"/>
      <c r="L1017" s="18" t="n"/>
      <c r="M10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5">
        <f>IF(tblOrdenes[[#This Row],[fecha_inicio]]="","",YEAR(tblOrdenes[[#This Row],[fecha_inicio]]))</f>
        <v/>
      </c>
      <c r="Q1017" s="5">
        <f>IF(tblOrdenes[[#This Row],[fecha_inicio]]="","",MONTH(tblOrdenes[[#This Row],[fecha_inicio]]))</f>
        <v/>
      </c>
      <c r="R1017" s="5">
        <f>IF(tblOrdenes[[#This Row],[fecha_inicio]]="","",tblOrdenes[[#This Row],[anio]]&amp;"-"&amp;TEXT(tblOrdenes[[#This Row],[mes]],"00"))</f>
        <v/>
      </c>
      <c r="S1017" s="5">
        <f>IF(tblOrdenes[[#This Row],[fecha_inicio]]="","",INDEX(lista_dias,WEEKDAY(tblOrdenes[[#This Row],[fecha_inicio]],2)))</f>
        <v/>
      </c>
      <c r="T10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7" s="5">
        <f>IF(tblOrdenes[[#This Row],[tipo_ot]]="","",_xlfn.XLOOKUP(tblOrdenes[[#This Row],[tipo_ot]],tblTiposOT[codigo],tblTiposOT[clasificacion],"sin_clasificar"))</f>
        <v/>
      </c>
      <c r="V10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7" s="5">
        <f>IF(tblOrdenes[[#This Row],[centro_costo]]="","",_xlfn.XLOOKUP(tblOrdenes[[#This Row],[centro_costo]],tblCECO[codigo],tblCECO[linea],"(sin catálogo)"))</f>
        <v/>
      </c>
      <c r="X1017" s="5">
        <f>IF(tblOrdenes[[#This Row],[centro_costo]]="","",_xlfn.XLOOKUP(tblOrdenes[[#This Row],[centro_costo]],tblCECO[codigo],tblCECO[area],"(sin catálogo)"))</f>
        <v/>
      </c>
      <c r="Y10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7" s="5">
        <f>IF(tblOrdenes[[#This Row],[centro_costo]]="","",_xlfn.XLOOKUP(tblOrdenes[[#This Row],[centro_costo]],tblCECO[codigo],tblCECO[coordinador],"(sin catálogo)"))</f>
        <v/>
      </c>
      <c r="AA1017" s="5">
        <f>IF(tblOrdenes[[#This Row],[puesto_trabajo]]="","",_xlfn.XLOOKUP(tblOrdenes[[#This Row],[puesto_trabajo]],tblPuestos[codigo],tblPuestos[especialidad],"(sin catálogo)"))</f>
        <v/>
      </c>
      <c r="AB1017" s="5">
        <f>IF(tblOrdenes[[#This Row],[cod_actividad]]="","",_xlfn.XLOOKUP(tblOrdenes[[#This Row],[cod_actividad]],tblActividades[codigo],tblActividades[descripcion],"(sin catálogo)"))</f>
        <v/>
      </c>
      <c r="AC1017" s="20">
        <f>IF(tblOrdenes[[#This Row],[fecha_inicio]]="","",TODAY()-tblOrdenes[[#This Row],[fecha_inicio]])</f>
        <v/>
      </c>
      <c r="AD10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7" s="5">
        <f>IF(tblOrdenes[[#This Row],[backlog_habiles]]="","",IF(tblOrdenes[[#This Row],[backlog_habiles]]&lt;0,"FUTURO",IF(tblOrdenes[[#This Row],[backlog_habiles]]&gt;p_dias_backlog_max,"BACKLOG","MES CORRIENTE")))</f>
        <v/>
      </c>
      <c r="AF1017" s="5">
        <f>IF(tblOrdenes[[#This Row],[backlog_habiles]]="",FALSE,AND(tblOrdenes[[#This Row],[backlog_habiles]]&gt;p_dias_backlog_min,tblOrdenes[[#This Row],[backlog_habiles]]&lt;=p_dias_backlog_max))</f>
        <v/>
      </c>
      <c r="AG1017" s="4" t="n"/>
      <c r="AH10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7" s="18">
        <f>IF(tblOrdenes[[#This Row],[orden]]="","",_xlfn.XLOOKUP(tblOrdenes[[#This Row],[id_operacion]],tblEjecucion[id_operacion],tblEjecucion[precio],0))</f>
        <v/>
      </c>
      <c r="AL1017" s="18">
        <f>IF(tblOrdenes[[#This Row],[orden]]="","",MAX(0,_xlfn.XLOOKUP(tblOrdenes[[#This Row],[id_operacion]],tblEjecucion[id_operacion],tblEjecucion[costo_plan_total],0)-tblOrdenes[[#This Row],[costo_servicio]]))</f>
        <v/>
      </c>
      <c r="AM1017" s="18">
        <f>IF(tblOrdenes[[#This Row],[orden]]="","",tblOrdenes[[#This Row],[costo_servicio]]+tblOrdenes[[#This Row],[costo_materiales]])</f>
        <v/>
      </c>
      <c r="AN10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7" s="4" t="n"/>
      <c r="AP1017" s="4" t="n"/>
      <c r="AQ1017" s="4" t="n"/>
      <c r="AR1017" s="5">
        <f>IF(tblOrdenes[[#This Row],[link_checklist]]="","",HYPERLINK(p_ruta_base_checklists&amp;tblOrdenes[[#This Row],[link_checklist]],"abrir"))</f>
        <v/>
      </c>
      <c r="AS1017" s="4" t="n"/>
      <c r="AT1017" s="5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22" t="n"/>
      <c r="K1018" s="5" t="n"/>
      <c r="L1018" s="18" t="n"/>
      <c r="M10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5">
        <f>IF(tblOrdenes[[#This Row],[fecha_inicio]]="","",YEAR(tblOrdenes[[#This Row],[fecha_inicio]]))</f>
        <v/>
      </c>
      <c r="Q1018" s="5">
        <f>IF(tblOrdenes[[#This Row],[fecha_inicio]]="","",MONTH(tblOrdenes[[#This Row],[fecha_inicio]]))</f>
        <v/>
      </c>
      <c r="R1018" s="5">
        <f>IF(tblOrdenes[[#This Row],[fecha_inicio]]="","",tblOrdenes[[#This Row],[anio]]&amp;"-"&amp;TEXT(tblOrdenes[[#This Row],[mes]],"00"))</f>
        <v/>
      </c>
      <c r="S1018" s="5">
        <f>IF(tblOrdenes[[#This Row],[fecha_inicio]]="","",INDEX(lista_dias,WEEKDAY(tblOrdenes[[#This Row],[fecha_inicio]],2)))</f>
        <v/>
      </c>
      <c r="T10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8" s="5">
        <f>IF(tblOrdenes[[#This Row],[tipo_ot]]="","",_xlfn.XLOOKUP(tblOrdenes[[#This Row],[tipo_ot]],tblTiposOT[codigo],tblTiposOT[clasificacion],"sin_clasificar"))</f>
        <v/>
      </c>
      <c r="V10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8" s="5">
        <f>IF(tblOrdenes[[#This Row],[centro_costo]]="","",_xlfn.XLOOKUP(tblOrdenes[[#This Row],[centro_costo]],tblCECO[codigo],tblCECO[linea],"(sin catálogo)"))</f>
        <v/>
      </c>
      <c r="X1018" s="5">
        <f>IF(tblOrdenes[[#This Row],[centro_costo]]="","",_xlfn.XLOOKUP(tblOrdenes[[#This Row],[centro_costo]],tblCECO[codigo],tblCECO[area],"(sin catálogo)"))</f>
        <v/>
      </c>
      <c r="Y10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8" s="5">
        <f>IF(tblOrdenes[[#This Row],[centro_costo]]="","",_xlfn.XLOOKUP(tblOrdenes[[#This Row],[centro_costo]],tblCECO[codigo],tblCECO[coordinador],"(sin catálogo)"))</f>
        <v/>
      </c>
      <c r="AA1018" s="5">
        <f>IF(tblOrdenes[[#This Row],[puesto_trabajo]]="","",_xlfn.XLOOKUP(tblOrdenes[[#This Row],[puesto_trabajo]],tblPuestos[codigo],tblPuestos[especialidad],"(sin catálogo)"))</f>
        <v/>
      </c>
      <c r="AB1018" s="5">
        <f>IF(tblOrdenes[[#This Row],[cod_actividad]]="","",_xlfn.XLOOKUP(tblOrdenes[[#This Row],[cod_actividad]],tblActividades[codigo],tblActividades[descripcion],"(sin catálogo)"))</f>
        <v/>
      </c>
      <c r="AC1018" s="20">
        <f>IF(tblOrdenes[[#This Row],[fecha_inicio]]="","",TODAY()-tblOrdenes[[#This Row],[fecha_inicio]])</f>
        <v/>
      </c>
      <c r="AD10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8" s="5">
        <f>IF(tblOrdenes[[#This Row],[backlog_habiles]]="","",IF(tblOrdenes[[#This Row],[backlog_habiles]]&lt;0,"FUTURO",IF(tblOrdenes[[#This Row],[backlog_habiles]]&gt;p_dias_backlog_max,"BACKLOG","MES CORRIENTE")))</f>
        <v/>
      </c>
      <c r="AF1018" s="5">
        <f>IF(tblOrdenes[[#This Row],[backlog_habiles]]="",FALSE,AND(tblOrdenes[[#This Row],[backlog_habiles]]&gt;p_dias_backlog_min,tblOrdenes[[#This Row],[backlog_habiles]]&lt;=p_dias_backlog_max))</f>
        <v/>
      </c>
      <c r="AG1018" s="4" t="n"/>
      <c r="AH10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8" s="18">
        <f>IF(tblOrdenes[[#This Row],[orden]]="","",_xlfn.XLOOKUP(tblOrdenes[[#This Row],[id_operacion]],tblEjecucion[id_operacion],tblEjecucion[precio],0))</f>
        <v/>
      </c>
      <c r="AL1018" s="18">
        <f>IF(tblOrdenes[[#This Row],[orden]]="","",MAX(0,_xlfn.XLOOKUP(tblOrdenes[[#This Row],[id_operacion]],tblEjecucion[id_operacion],tblEjecucion[costo_plan_total],0)-tblOrdenes[[#This Row],[costo_servicio]]))</f>
        <v/>
      </c>
      <c r="AM1018" s="18">
        <f>IF(tblOrdenes[[#This Row],[orden]]="","",tblOrdenes[[#This Row],[costo_servicio]]+tblOrdenes[[#This Row],[costo_materiales]])</f>
        <v/>
      </c>
      <c r="AN10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8" s="4" t="n"/>
      <c r="AP1018" s="4" t="n"/>
      <c r="AQ1018" s="4" t="n"/>
      <c r="AR1018" s="5">
        <f>IF(tblOrdenes[[#This Row],[link_checklist]]="","",HYPERLINK(p_ruta_base_checklists&amp;tblOrdenes[[#This Row],[link_checklist]],"abrir"))</f>
        <v/>
      </c>
      <c r="AS1018" s="4" t="n"/>
      <c r="AT1018" s="5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22" t="n"/>
      <c r="K1019" s="5" t="n"/>
      <c r="L1019" s="18" t="n"/>
      <c r="M10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5">
        <f>IF(tblOrdenes[[#This Row],[fecha_inicio]]="","",YEAR(tblOrdenes[[#This Row],[fecha_inicio]]))</f>
        <v/>
      </c>
      <c r="Q1019" s="5">
        <f>IF(tblOrdenes[[#This Row],[fecha_inicio]]="","",MONTH(tblOrdenes[[#This Row],[fecha_inicio]]))</f>
        <v/>
      </c>
      <c r="R1019" s="5">
        <f>IF(tblOrdenes[[#This Row],[fecha_inicio]]="","",tblOrdenes[[#This Row],[anio]]&amp;"-"&amp;TEXT(tblOrdenes[[#This Row],[mes]],"00"))</f>
        <v/>
      </c>
      <c r="S1019" s="5">
        <f>IF(tblOrdenes[[#This Row],[fecha_inicio]]="","",INDEX(lista_dias,WEEKDAY(tblOrdenes[[#This Row],[fecha_inicio]],2)))</f>
        <v/>
      </c>
      <c r="T10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9" s="5">
        <f>IF(tblOrdenes[[#This Row],[tipo_ot]]="","",_xlfn.XLOOKUP(tblOrdenes[[#This Row],[tipo_ot]],tblTiposOT[codigo],tblTiposOT[clasificacion],"sin_clasificar"))</f>
        <v/>
      </c>
      <c r="V10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9" s="5">
        <f>IF(tblOrdenes[[#This Row],[centro_costo]]="","",_xlfn.XLOOKUP(tblOrdenes[[#This Row],[centro_costo]],tblCECO[codigo],tblCECO[linea],"(sin catálogo)"))</f>
        <v/>
      </c>
      <c r="X1019" s="5">
        <f>IF(tblOrdenes[[#This Row],[centro_costo]]="","",_xlfn.XLOOKUP(tblOrdenes[[#This Row],[centro_costo]],tblCECO[codigo],tblCECO[area],"(sin catálogo)"))</f>
        <v/>
      </c>
      <c r="Y10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19" s="5">
        <f>IF(tblOrdenes[[#This Row],[centro_costo]]="","",_xlfn.XLOOKUP(tblOrdenes[[#This Row],[centro_costo]],tblCECO[codigo],tblCECO[coordinador],"(sin catálogo)"))</f>
        <v/>
      </c>
      <c r="AA1019" s="5">
        <f>IF(tblOrdenes[[#This Row],[puesto_trabajo]]="","",_xlfn.XLOOKUP(tblOrdenes[[#This Row],[puesto_trabajo]],tblPuestos[codigo],tblPuestos[especialidad],"(sin catálogo)"))</f>
        <v/>
      </c>
      <c r="AB1019" s="5">
        <f>IF(tblOrdenes[[#This Row],[cod_actividad]]="","",_xlfn.XLOOKUP(tblOrdenes[[#This Row],[cod_actividad]],tblActividades[codigo],tblActividades[descripcion],"(sin catálogo)"))</f>
        <v/>
      </c>
      <c r="AC1019" s="20">
        <f>IF(tblOrdenes[[#This Row],[fecha_inicio]]="","",TODAY()-tblOrdenes[[#This Row],[fecha_inicio]])</f>
        <v/>
      </c>
      <c r="AD10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19" s="5">
        <f>IF(tblOrdenes[[#This Row],[backlog_habiles]]="","",IF(tblOrdenes[[#This Row],[backlog_habiles]]&lt;0,"FUTURO",IF(tblOrdenes[[#This Row],[backlog_habiles]]&gt;p_dias_backlog_max,"BACKLOG","MES CORRIENTE")))</f>
        <v/>
      </c>
      <c r="AF1019" s="5">
        <f>IF(tblOrdenes[[#This Row],[backlog_habiles]]="",FALSE,AND(tblOrdenes[[#This Row],[backlog_habiles]]&gt;p_dias_backlog_min,tblOrdenes[[#This Row],[backlog_habiles]]&lt;=p_dias_backlog_max))</f>
        <v/>
      </c>
      <c r="AG1019" s="4" t="n"/>
      <c r="AH10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19" s="18">
        <f>IF(tblOrdenes[[#This Row],[orden]]="","",_xlfn.XLOOKUP(tblOrdenes[[#This Row],[id_operacion]],tblEjecucion[id_operacion],tblEjecucion[precio],0))</f>
        <v/>
      </c>
      <c r="AL1019" s="18">
        <f>IF(tblOrdenes[[#This Row],[orden]]="","",MAX(0,_xlfn.XLOOKUP(tblOrdenes[[#This Row],[id_operacion]],tblEjecucion[id_operacion],tblEjecucion[costo_plan_total],0)-tblOrdenes[[#This Row],[costo_servicio]]))</f>
        <v/>
      </c>
      <c r="AM1019" s="18">
        <f>IF(tblOrdenes[[#This Row],[orden]]="","",tblOrdenes[[#This Row],[costo_servicio]]+tblOrdenes[[#This Row],[costo_materiales]])</f>
        <v/>
      </c>
      <c r="AN10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19" s="4" t="n"/>
      <c r="AP1019" s="4" t="n"/>
      <c r="AQ1019" s="4" t="n"/>
      <c r="AR1019" s="5">
        <f>IF(tblOrdenes[[#This Row],[link_checklist]]="","",HYPERLINK(p_ruta_base_checklists&amp;tblOrdenes[[#This Row],[link_checklist]],"abrir"))</f>
        <v/>
      </c>
      <c r="AS1019" s="4" t="n"/>
      <c r="AT1019" s="5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22" t="n"/>
      <c r="K1020" s="5" t="n"/>
      <c r="L1020" s="18" t="n"/>
      <c r="M10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5">
        <f>IF(tblOrdenes[[#This Row],[fecha_inicio]]="","",YEAR(tblOrdenes[[#This Row],[fecha_inicio]]))</f>
        <v/>
      </c>
      <c r="Q1020" s="5">
        <f>IF(tblOrdenes[[#This Row],[fecha_inicio]]="","",MONTH(tblOrdenes[[#This Row],[fecha_inicio]]))</f>
        <v/>
      </c>
      <c r="R1020" s="5">
        <f>IF(tblOrdenes[[#This Row],[fecha_inicio]]="","",tblOrdenes[[#This Row],[anio]]&amp;"-"&amp;TEXT(tblOrdenes[[#This Row],[mes]],"00"))</f>
        <v/>
      </c>
      <c r="S1020" s="5">
        <f>IF(tblOrdenes[[#This Row],[fecha_inicio]]="","",INDEX(lista_dias,WEEKDAY(tblOrdenes[[#This Row],[fecha_inicio]],2)))</f>
        <v/>
      </c>
      <c r="T10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0" s="5">
        <f>IF(tblOrdenes[[#This Row],[tipo_ot]]="","",_xlfn.XLOOKUP(tblOrdenes[[#This Row],[tipo_ot]],tblTiposOT[codigo],tblTiposOT[clasificacion],"sin_clasificar"))</f>
        <v/>
      </c>
      <c r="V10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0" s="5">
        <f>IF(tblOrdenes[[#This Row],[centro_costo]]="","",_xlfn.XLOOKUP(tblOrdenes[[#This Row],[centro_costo]],tblCECO[codigo],tblCECO[linea],"(sin catálogo)"))</f>
        <v/>
      </c>
      <c r="X1020" s="5">
        <f>IF(tblOrdenes[[#This Row],[centro_costo]]="","",_xlfn.XLOOKUP(tblOrdenes[[#This Row],[centro_costo]],tblCECO[codigo],tblCECO[area],"(sin catálogo)"))</f>
        <v/>
      </c>
      <c r="Y10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0" s="5">
        <f>IF(tblOrdenes[[#This Row],[centro_costo]]="","",_xlfn.XLOOKUP(tblOrdenes[[#This Row],[centro_costo]],tblCECO[codigo],tblCECO[coordinador],"(sin catálogo)"))</f>
        <v/>
      </c>
      <c r="AA1020" s="5">
        <f>IF(tblOrdenes[[#This Row],[puesto_trabajo]]="","",_xlfn.XLOOKUP(tblOrdenes[[#This Row],[puesto_trabajo]],tblPuestos[codigo],tblPuestos[especialidad],"(sin catálogo)"))</f>
        <v/>
      </c>
      <c r="AB1020" s="5">
        <f>IF(tblOrdenes[[#This Row],[cod_actividad]]="","",_xlfn.XLOOKUP(tblOrdenes[[#This Row],[cod_actividad]],tblActividades[codigo],tblActividades[descripcion],"(sin catálogo)"))</f>
        <v/>
      </c>
      <c r="AC1020" s="20">
        <f>IF(tblOrdenes[[#This Row],[fecha_inicio]]="","",TODAY()-tblOrdenes[[#This Row],[fecha_inicio]])</f>
        <v/>
      </c>
      <c r="AD10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0" s="5">
        <f>IF(tblOrdenes[[#This Row],[backlog_habiles]]="","",IF(tblOrdenes[[#This Row],[backlog_habiles]]&lt;0,"FUTURO",IF(tblOrdenes[[#This Row],[backlog_habiles]]&gt;p_dias_backlog_max,"BACKLOG","MES CORRIENTE")))</f>
        <v/>
      </c>
      <c r="AF1020" s="5">
        <f>IF(tblOrdenes[[#This Row],[backlog_habiles]]="",FALSE,AND(tblOrdenes[[#This Row],[backlog_habiles]]&gt;p_dias_backlog_min,tblOrdenes[[#This Row],[backlog_habiles]]&lt;=p_dias_backlog_max))</f>
        <v/>
      </c>
      <c r="AG1020" s="4" t="n"/>
      <c r="AH10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0" s="18">
        <f>IF(tblOrdenes[[#This Row],[orden]]="","",_xlfn.XLOOKUP(tblOrdenes[[#This Row],[id_operacion]],tblEjecucion[id_operacion],tblEjecucion[precio],0))</f>
        <v/>
      </c>
      <c r="AL1020" s="18">
        <f>IF(tblOrdenes[[#This Row],[orden]]="","",MAX(0,_xlfn.XLOOKUP(tblOrdenes[[#This Row],[id_operacion]],tblEjecucion[id_operacion],tblEjecucion[costo_plan_total],0)-tblOrdenes[[#This Row],[costo_servicio]]))</f>
        <v/>
      </c>
      <c r="AM1020" s="18">
        <f>IF(tblOrdenes[[#This Row],[orden]]="","",tblOrdenes[[#This Row],[costo_servicio]]+tblOrdenes[[#This Row],[costo_materiales]])</f>
        <v/>
      </c>
      <c r="AN10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0" s="4" t="n"/>
      <c r="AP1020" s="4" t="n"/>
      <c r="AQ1020" s="4" t="n"/>
      <c r="AR1020" s="5">
        <f>IF(tblOrdenes[[#This Row],[link_checklist]]="","",HYPERLINK(p_ruta_base_checklists&amp;tblOrdenes[[#This Row],[link_checklist]],"abrir"))</f>
        <v/>
      </c>
      <c r="AS1020" s="4" t="n"/>
      <c r="AT1020" s="5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22" t="n"/>
      <c r="K1021" s="5" t="n"/>
      <c r="L1021" s="18" t="n"/>
      <c r="M10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5">
        <f>IF(tblOrdenes[[#This Row],[fecha_inicio]]="","",YEAR(tblOrdenes[[#This Row],[fecha_inicio]]))</f>
        <v/>
      </c>
      <c r="Q1021" s="5">
        <f>IF(tblOrdenes[[#This Row],[fecha_inicio]]="","",MONTH(tblOrdenes[[#This Row],[fecha_inicio]]))</f>
        <v/>
      </c>
      <c r="R1021" s="5">
        <f>IF(tblOrdenes[[#This Row],[fecha_inicio]]="","",tblOrdenes[[#This Row],[anio]]&amp;"-"&amp;TEXT(tblOrdenes[[#This Row],[mes]],"00"))</f>
        <v/>
      </c>
      <c r="S1021" s="5">
        <f>IF(tblOrdenes[[#This Row],[fecha_inicio]]="","",INDEX(lista_dias,WEEKDAY(tblOrdenes[[#This Row],[fecha_inicio]],2)))</f>
        <v/>
      </c>
      <c r="T10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1" s="5">
        <f>IF(tblOrdenes[[#This Row],[tipo_ot]]="","",_xlfn.XLOOKUP(tblOrdenes[[#This Row],[tipo_ot]],tblTiposOT[codigo],tblTiposOT[clasificacion],"sin_clasificar"))</f>
        <v/>
      </c>
      <c r="V10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1" s="5">
        <f>IF(tblOrdenes[[#This Row],[centro_costo]]="","",_xlfn.XLOOKUP(tblOrdenes[[#This Row],[centro_costo]],tblCECO[codigo],tblCECO[linea],"(sin catálogo)"))</f>
        <v/>
      </c>
      <c r="X1021" s="5">
        <f>IF(tblOrdenes[[#This Row],[centro_costo]]="","",_xlfn.XLOOKUP(tblOrdenes[[#This Row],[centro_costo]],tblCECO[codigo],tblCECO[area],"(sin catálogo)"))</f>
        <v/>
      </c>
      <c r="Y10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1" s="5">
        <f>IF(tblOrdenes[[#This Row],[centro_costo]]="","",_xlfn.XLOOKUP(tblOrdenes[[#This Row],[centro_costo]],tblCECO[codigo],tblCECO[coordinador],"(sin catálogo)"))</f>
        <v/>
      </c>
      <c r="AA1021" s="5">
        <f>IF(tblOrdenes[[#This Row],[puesto_trabajo]]="","",_xlfn.XLOOKUP(tblOrdenes[[#This Row],[puesto_trabajo]],tblPuestos[codigo],tblPuestos[especialidad],"(sin catálogo)"))</f>
        <v/>
      </c>
      <c r="AB1021" s="5">
        <f>IF(tblOrdenes[[#This Row],[cod_actividad]]="","",_xlfn.XLOOKUP(tblOrdenes[[#This Row],[cod_actividad]],tblActividades[codigo],tblActividades[descripcion],"(sin catálogo)"))</f>
        <v/>
      </c>
      <c r="AC1021" s="20">
        <f>IF(tblOrdenes[[#This Row],[fecha_inicio]]="","",TODAY()-tblOrdenes[[#This Row],[fecha_inicio]])</f>
        <v/>
      </c>
      <c r="AD10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1" s="5">
        <f>IF(tblOrdenes[[#This Row],[backlog_habiles]]="","",IF(tblOrdenes[[#This Row],[backlog_habiles]]&lt;0,"FUTURO",IF(tblOrdenes[[#This Row],[backlog_habiles]]&gt;p_dias_backlog_max,"BACKLOG","MES CORRIENTE")))</f>
        <v/>
      </c>
      <c r="AF1021" s="5">
        <f>IF(tblOrdenes[[#This Row],[backlog_habiles]]="",FALSE,AND(tblOrdenes[[#This Row],[backlog_habiles]]&gt;p_dias_backlog_min,tblOrdenes[[#This Row],[backlog_habiles]]&lt;=p_dias_backlog_max))</f>
        <v/>
      </c>
      <c r="AG1021" s="4" t="n"/>
      <c r="AH10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1" s="18">
        <f>IF(tblOrdenes[[#This Row],[orden]]="","",_xlfn.XLOOKUP(tblOrdenes[[#This Row],[id_operacion]],tblEjecucion[id_operacion],tblEjecucion[precio],0))</f>
        <v/>
      </c>
      <c r="AL1021" s="18">
        <f>IF(tblOrdenes[[#This Row],[orden]]="","",MAX(0,_xlfn.XLOOKUP(tblOrdenes[[#This Row],[id_operacion]],tblEjecucion[id_operacion],tblEjecucion[costo_plan_total],0)-tblOrdenes[[#This Row],[costo_servicio]]))</f>
        <v/>
      </c>
      <c r="AM1021" s="18">
        <f>IF(tblOrdenes[[#This Row],[orden]]="","",tblOrdenes[[#This Row],[costo_servicio]]+tblOrdenes[[#This Row],[costo_materiales]])</f>
        <v/>
      </c>
      <c r="AN10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1" s="4" t="n"/>
      <c r="AP1021" s="4" t="n"/>
      <c r="AQ1021" s="4" t="n"/>
      <c r="AR1021" s="5">
        <f>IF(tblOrdenes[[#This Row],[link_checklist]]="","",HYPERLINK(p_ruta_base_checklists&amp;tblOrdenes[[#This Row],[link_checklist]],"abrir"))</f>
        <v/>
      </c>
      <c r="AS1021" s="4" t="n"/>
      <c r="AT1021" s="5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22" t="n"/>
      <c r="K1022" s="5" t="n"/>
      <c r="L1022" s="18" t="n"/>
      <c r="M10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5">
        <f>IF(tblOrdenes[[#This Row],[fecha_inicio]]="","",YEAR(tblOrdenes[[#This Row],[fecha_inicio]]))</f>
        <v/>
      </c>
      <c r="Q1022" s="5">
        <f>IF(tblOrdenes[[#This Row],[fecha_inicio]]="","",MONTH(tblOrdenes[[#This Row],[fecha_inicio]]))</f>
        <v/>
      </c>
      <c r="R1022" s="5">
        <f>IF(tblOrdenes[[#This Row],[fecha_inicio]]="","",tblOrdenes[[#This Row],[anio]]&amp;"-"&amp;TEXT(tblOrdenes[[#This Row],[mes]],"00"))</f>
        <v/>
      </c>
      <c r="S1022" s="5">
        <f>IF(tblOrdenes[[#This Row],[fecha_inicio]]="","",INDEX(lista_dias,WEEKDAY(tblOrdenes[[#This Row],[fecha_inicio]],2)))</f>
        <v/>
      </c>
      <c r="T10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2" s="5">
        <f>IF(tblOrdenes[[#This Row],[tipo_ot]]="","",_xlfn.XLOOKUP(tblOrdenes[[#This Row],[tipo_ot]],tblTiposOT[codigo],tblTiposOT[clasificacion],"sin_clasificar"))</f>
        <v/>
      </c>
      <c r="V10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2" s="5">
        <f>IF(tblOrdenes[[#This Row],[centro_costo]]="","",_xlfn.XLOOKUP(tblOrdenes[[#This Row],[centro_costo]],tblCECO[codigo],tblCECO[linea],"(sin catálogo)"))</f>
        <v/>
      </c>
      <c r="X1022" s="5">
        <f>IF(tblOrdenes[[#This Row],[centro_costo]]="","",_xlfn.XLOOKUP(tblOrdenes[[#This Row],[centro_costo]],tblCECO[codigo],tblCECO[area],"(sin catálogo)"))</f>
        <v/>
      </c>
      <c r="Y10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2" s="5">
        <f>IF(tblOrdenes[[#This Row],[centro_costo]]="","",_xlfn.XLOOKUP(tblOrdenes[[#This Row],[centro_costo]],tblCECO[codigo],tblCECO[coordinador],"(sin catálogo)"))</f>
        <v/>
      </c>
      <c r="AA1022" s="5">
        <f>IF(tblOrdenes[[#This Row],[puesto_trabajo]]="","",_xlfn.XLOOKUP(tblOrdenes[[#This Row],[puesto_trabajo]],tblPuestos[codigo],tblPuestos[especialidad],"(sin catálogo)"))</f>
        <v/>
      </c>
      <c r="AB1022" s="5">
        <f>IF(tblOrdenes[[#This Row],[cod_actividad]]="","",_xlfn.XLOOKUP(tblOrdenes[[#This Row],[cod_actividad]],tblActividades[codigo],tblActividades[descripcion],"(sin catálogo)"))</f>
        <v/>
      </c>
      <c r="AC1022" s="20">
        <f>IF(tblOrdenes[[#This Row],[fecha_inicio]]="","",TODAY()-tblOrdenes[[#This Row],[fecha_inicio]])</f>
        <v/>
      </c>
      <c r="AD10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2" s="5">
        <f>IF(tblOrdenes[[#This Row],[backlog_habiles]]="","",IF(tblOrdenes[[#This Row],[backlog_habiles]]&lt;0,"FUTURO",IF(tblOrdenes[[#This Row],[backlog_habiles]]&gt;p_dias_backlog_max,"BACKLOG","MES CORRIENTE")))</f>
        <v/>
      </c>
      <c r="AF1022" s="5">
        <f>IF(tblOrdenes[[#This Row],[backlog_habiles]]="",FALSE,AND(tblOrdenes[[#This Row],[backlog_habiles]]&gt;p_dias_backlog_min,tblOrdenes[[#This Row],[backlog_habiles]]&lt;=p_dias_backlog_max))</f>
        <v/>
      </c>
      <c r="AG1022" s="4" t="n"/>
      <c r="AH10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2" s="18">
        <f>IF(tblOrdenes[[#This Row],[orden]]="","",_xlfn.XLOOKUP(tblOrdenes[[#This Row],[id_operacion]],tblEjecucion[id_operacion],tblEjecucion[precio],0))</f>
        <v/>
      </c>
      <c r="AL1022" s="18">
        <f>IF(tblOrdenes[[#This Row],[orden]]="","",MAX(0,_xlfn.XLOOKUP(tblOrdenes[[#This Row],[id_operacion]],tblEjecucion[id_operacion],tblEjecucion[costo_plan_total],0)-tblOrdenes[[#This Row],[costo_servicio]]))</f>
        <v/>
      </c>
      <c r="AM1022" s="18">
        <f>IF(tblOrdenes[[#This Row],[orden]]="","",tblOrdenes[[#This Row],[costo_servicio]]+tblOrdenes[[#This Row],[costo_materiales]])</f>
        <v/>
      </c>
      <c r="AN10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2" s="4" t="n"/>
      <c r="AP1022" s="4" t="n"/>
      <c r="AQ1022" s="4" t="n"/>
      <c r="AR1022" s="5">
        <f>IF(tblOrdenes[[#This Row],[link_checklist]]="","",HYPERLINK(p_ruta_base_checklists&amp;tblOrdenes[[#This Row],[link_checklist]],"abrir"))</f>
        <v/>
      </c>
      <c r="AS1022" s="4" t="n"/>
      <c r="AT1022" s="5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22" t="n"/>
      <c r="K1023" s="5" t="n"/>
      <c r="L1023" s="18" t="n"/>
      <c r="M10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5">
        <f>IF(tblOrdenes[[#This Row],[fecha_inicio]]="","",YEAR(tblOrdenes[[#This Row],[fecha_inicio]]))</f>
        <v/>
      </c>
      <c r="Q1023" s="5">
        <f>IF(tblOrdenes[[#This Row],[fecha_inicio]]="","",MONTH(tblOrdenes[[#This Row],[fecha_inicio]]))</f>
        <v/>
      </c>
      <c r="R1023" s="5">
        <f>IF(tblOrdenes[[#This Row],[fecha_inicio]]="","",tblOrdenes[[#This Row],[anio]]&amp;"-"&amp;TEXT(tblOrdenes[[#This Row],[mes]],"00"))</f>
        <v/>
      </c>
      <c r="S1023" s="5">
        <f>IF(tblOrdenes[[#This Row],[fecha_inicio]]="","",INDEX(lista_dias,WEEKDAY(tblOrdenes[[#This Row],[fecha_inicio]],2)))</f>
        <v/>
      </c>
      <c r="T10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3" s="5">
        <f>IF(tblOrdenes[[#This Row],[tipo_ot]]="","",_xlfn.XLOOKUP(tblOrdenes[[#This Row],[tipo_ot]],tblTiposOT[codigo],tblTiposOT[clasificacion],"sin_clasificar"))</f>
        <v/>
      </c>
      <c r="V10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3" s="5">
        <f>IF(tblOrdenes[[#This Row],[centro_costo]]="","",_xlfn.XLOOKUP(tblOrdenes[[#This Row],[centro_costo]],tblCECO[codigo],tblCECO[linea],"(sin catálogo)"))</f>
        <v/>
      </c>
      <c r="X1023" s="5">
        <f>IF(tblOrdenes[[#This Row],[centro_costo]]="","",_xlfn.XLOOKUP(tblOrdenes[[#This Row],[centro_costo]],tblCECO[codigo],tblCECO[area],"(sin catálogo)"))</f>
        <v/>
      </c>
      <c r="Y10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3" s="5">
        <f>IF(tblOrdenes[[#This Row],[centro_costo]]="","",_xlfn.XLOOKUP(tblOrdenes[[#This Row],[centro_costo]],tblCECO[codigo],tblCECO[coordinador],"(sin catálogo)"))</f>
        <v/>
      </c>
      <c r="AA1023" s="5">
        <f>IF(tblOrdenes[[#This Row],[puesto_trabajo]]="","",_xlfn.XLOOKUP(tblOrdenes[[#This Row],[puesto_trabajo]],tblPuestos[codigo],tblPuestos[especialidad],"(sin catálogo)"))</f>
        <v/>
      </c>
      <c r="AB1023" s="5">
        <f>IF(tblOrdenes[[#This Row],[cod_actividad]]="","",_xlfn.XLOOKUP(tblOrdenes[[#This Row],[cod_actividad]],tblActividades[codigo],tblActividades[descripcion],"(sin catálogo)"))</f>
        <v/>
      </c>
      <c r="AC1023" s="20">
        <f>IF(tblOrdenes[[#This Row],[fecha_inicio]]="","",TODAY()-tblOrdenes[[#This Row],[fecha_inicio]])</f>
        <v/>
      </c>
      <c r="AD10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3" s="5">
        <f>IF(tblOrdenes[[#This Row],[backlog_habiles]]="","",IF(tblOrdenes[[#This Row],[backlog_habiles]]&lt;0,"FUTURO",IF(tblOrdenes[[#This Row],[backlog_habiles]]&gt;p_dias_backlog_max,"BACKLOG","MES CORRIENTE")))</f>
        <v/>
      </c>
      <c r="AF1023" s="5">
        <f>IF(tblOrdenes[[#This Row],[backlog_habiles]]="",FALSE,AND(tblOrdenes[[#This Row],[backlog_habiles]]&gt;p_dias_backlog_min,tblOrdenes[[#This Row],[backlog_habiles]]&lt;=p_dias_backlog_max))</f>
        <v/>
      </c>
      <c r="AG1023" s="4" t="n"/>
      <c r="AH10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3" s="18">
        <f>IF(tblOrdenes[[#This Row],[orden]]="","",_xlfn.XLOOKUP(tblOrdenes[[#This Row],[id_operacion]],tblEjecucion[id_operacion],tblEjecucion[precio],0))</f>
        <v/>
      </c>
      <c r="AL1023" s="18">
        <f>IF(tblOrdenes[[#This Row],[orden]]="","",MAX(0,_xlfn.XLOOKUP(tblOrdenes[[#This Row],[id_operacion]],tblEjecucion[id_operacion],tblEjecucion[costo_plan_total],0)-tblOrdenes[[#This Row],[costo_servicio]]))</f>
        <v/>
      </c>
      <c r="AM1023" s="18">
        <f>IF(tblOrdenes[[#This Row],[orden]]="","",tblOrdenes[[#This Row],[costo_servicio]]+tblOrdenes[[#This Row],[costo_materiales]])</f>
        <v/>
      </c>
      <c r="AN10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3" s="4" t="n"/>
      <c r="AP1023" s="4" t="n"/>
      <c r="AQ1023" s="4" t="n"/>
      <c r="AR1023" s="5">
        <f>IF(tblOrdenes[[#This Row],[link_checklist]]="","",HYPERLINK(p_ruta_base_checklists&amp;tblOrdenes[[#This Row],[link_checklist]],"abrir"))</f>
        <v/>
      </c>
      <c r="AS1023" s="4" t="n"/>
      <c r="AT1023" s="5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22" t="n"/>
      <c r="K1024" s="5" t="n"/>
      <c r="L1024" s="18" t="n"/>
      <c r="M10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5">
        <f>IF(tblOrdenes[[#This Row],[fecha_inicio]]="","",YEAR(tblOrdenes[[#This Row],[fecha_inicio]]))</f>
        <v/>
      </c>
      <c r="Q1024" s="5">
        <f>IF(tblOrdenes[[#This Row],[fecha_inicio]]="","",MONTH(tblOrdenes[[#This Row],[fecha_inicio]]))</f>
        <v/>
      </c>
      <c r="R1024" s="5">
        <f>IF(tblOrdenes[[#This Row],[fecha_inicio]]="","",tblOrdenes[[#This Row],[anio]]&amp;"-"&amp;TEXT(tblOrdenes[[#This Row],[mes]],"00"))</f>
        <v/>
      </c>
      <c r="S1024" s="5">
        <f>IF(tblOrdenes[[#This Row],[fecha_inicio]]="","",INDEX(lista_dias,WEEKDAY(tblOrdenes[[#This Row],[fecha_inicio]],2)))</f>
        <v/>
      </c>
      <c r="T10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4" s="5">
        <f>IF(tblOrdenes[[#This Row],[tipo_ot]]="","",_xlfn.XLOOKUP(tblOrdenes[[#This Row],[tipo_ot]],tblTiposOT[codigo],tblTiposOT[clasificacion],"sin_clasificar"))</f>
        <v/>
      </c>
      <c r="V10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4" s="5">
        <f>IF(tblOrdenes[[#This Row],[centro_costo]]="","",_xlfn.XLOOKUP(tblOrdenes[[#This Row],[centro_costo]],tblCECO[codigo],tblCECO[linea],"(sin catálogo)"))</f>
        <v/>
      </c>
      <c r="X1024" s="5">
        <f>IF(tblOrdenes[[#This Row],[centro_costo]]="","",_xlfn.XLOOKUP(tblOrdenes[[#This Row],[centro_costo]],tblCECO[codigo],tblCECO[area],"(sin catálogo)"))</f>
        <v/>
      </c>
      <c r="Y10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4" s="5">
        <f>IF(tblOrdenes[[#This Row],[centro_costo]]="","",_xlfn.XLOOKUP(tblOrdenes[[#This Row],[centro_costo]],tblCECO[codigo],tblCECO[coordinador],"(sin catálogo)"))</f>
        <v/>
      </c>
      <c r="AA1024" s="5">
        <f>IF(tblOrdenes[[#This Row],[puesto_trabajo]]="","",_xlfn.XLOOKUP(tblOrdenes[[#This Row],[puesto_trabajo]],tblPuestos[codigo],tblPuestos[especialidad],"(sin catálogo)"))</f>
        <v/>
      </c>
      <c r="AB1024" s="5">
        <f>IF(tblOrdenes[[#This Row],[cod_actividad]]="","",_xlfn.XLOOKUP(tblOrdenes[[#This Row],[cod_actividad]],tblActividades[codigo],tblActividades[descripcion],"(sin catálogo)"))</f>
        <v/>
      </c>
      <c r="AC1024" s="20">
        <f>IF(tblOrdenes[[#This Row],[fecha_inicio]]="","",TODAY()-tblOrdenes[[#This Row],[fecha_inicio]])</f>
        <v/>
      </c>
      <c r="AD10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4" s="5">
        <f>IF(tblOrdenes[[#This Row],[backlog_habiles]]="","",IF(tblOrdenes[[#This Row],[backlog_habiles]]&lt;0,"FUTURO",IF(tblOrdenes[[#This Row],[backlog_habiles]]&gt;p_dias_backlog_max,"BACKLOG","MES CORRIENTE")))</f>
        <v/>
      </c>
      <c r="AF1024" s="5">
        <f>IF(tblOrdenes[[#This Row],[backlog_habiles]]="",FALSE,AND(tblOrdenes[[#This Row],[backlog_habiles]]&gt;p_dias_backlog_min,tblOrdenes[[#This Row],[backlog_habiles]]&lt;=p_dias_backlog_max))</f>
        <v/>
      </c>
      <c r="AG1024" s="4" t="n"/>
      <c r="AH10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4" s="18">
        <f>IF(tblOrdenes[[#This Row],[orden]]="","",_xlfn.XLOOKUP(tblOrdenes[[#This Row],[id_operacion]],tblEjecucion[id_operacion],tblEjecucion[precio],0))</f>
        <v/>
      </c>
      <c r="AL1024" s="18">
        <f>IF(tblOrdenes[[#This Row],[orden]]="","",MAX(0,_xlfn.XLOOKUP(tblOrdenes[[#This Row],[id_operacion]],tblEjecucion[id_operacion],tblEjecucion[costo_plan_total],0)-tblOrdenes[[#This Row],[costo_servicio]]))</f>
        <v/>
      </c>
      <c r="AM1024" s="18">
        <f>IF(tblOrdenes[[#This Row],[orden]]="","",tblOrdenes[[#This Row],[costo_servicio]]+tblOrdenes[[#This Row],[costo_materiales]])</f>
        <v/>
      </c>
      <c r="AN10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4" s="4" t="n"/>
      <c r="AP1024" s="4" t="n"/>
      <c r="AQ1024" s="4" t="n"/>
      <c r="AR1024" s="5">
        <f>IF(tblOrdenes[[#This Row],[link_checklist]]="","",HYPERLINK(p_ruta_base_checklists&amp;tblOrdenes[[#This Row],[link_checklist]],"abrir"))</f>
        <v/>
      </c>
      <c r="AS1024" s="4" t="n"/>
      <c r="AT1024" s="5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22" t="n"/>
      <c r="K1025" s="5" t="n"/>
      <c r="L1025" s="18" t="n"/>
      <c r="M10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5">
        <f>IF(tblOrdenes[[#This Row],[fecha_inicio]]="","",YEAR(tblOrdenes[[#This Row],[fecha_inicio]]))</f>
        <v/>
      </c>
      <c r="Q1025" s="5">
        <f>IF(tblOrdenes[[#This Row],[fecha_inicio]]="","",MONTH(tblOrdenes[[#This Row],[fecha_inicio]]))</f>
        <v/>
      </c>
      <c r="R1025" s="5">
        <f>IF(tblOrdenes[[#This Row],[fecha_inicio]]="","",tblOrdenes[[#This Row],[anio]]&amp;"-"&amp;TEXT(tblOrdenes[[#This Row],[mes]],"00"))</f>
        <v/>
      </c>
      <c r="S1025" s="5">
        <f>IF(tblOrdenes[[#This Row],[fecha_inicio]]="","",INDEX(lista_dias,WEEKDAY(tblOrdenes[[#This Row],[fecha_inicio]],2)))</f>
        <v/>
      </c>
      <c r="T10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5" s="5">
        <f>IF(tblOrdenes[[#This Row],[tipo_ot]]="","",_xlfn.XLOOKUP(tblOrdenes[[#This Row],[tipo_ot]],tblTiposOT[codigo],tblTiposOT[clasificacion],"sin_clasificar"))</f>
        <v/>
      </c>
      <c r="V10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5" s="5">
        <f>IF(tblOrdenes[[#This Row],[centro_costo]]="","",_xlfn.XLOOKUP(tblOrdenes[[#This Row],[centro_costo]],tblCECO[codigo],tblCECO[linea],"(sin catálogo)"))</f>
        <v/>
      </c>
      <c r="X1025" s="5">
        <f>IF(tblOrdenes[[#This Row],[centro_costo]]="","",_xlfn.XLOOKUP(tblOrdenes[[#This Row],[centro_costo]],tblCECO[codigo],tblCECO[area],"(sin catálogo)"))</f>
        <v/>
      </c>
      <c r="Y10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5" s="5">
        <f>IF(tblOrdenes[[#This Row],[centro_costo]]="","",_xlfn.XLOOKUP(tblOrdenes[[#This Row],[centro_costo]],tblCECO[codigo],tblCECO[coordinador],"(sin catálogo)"))</f>
        <v/>
      </c>
      <c r="AA1025" s="5">
        <f>IF(tblOrdenes[[#This Row],[puesto_trabajo]]="","",_xlfn.XLOOKUP(tblOrdenes[[#This Row],[puesto_trabajo]],tblPuestos[codigo],tblPuestos[especialidad],"(sin catálogo)"))</f>
        <v/>
      </c>
      <c r="AB1025" s="5">
        <f>IF(tblOrdenes[[#This Row],[cod_actividad]]="","",_xlfn.XLOOKUP(tblOrdenes[[#This Row],[cod_actividad]],tblActividades[codigo],tblActividades[descripcion],"(sin catálogo)"))</f>
        <v/>
      </c>
      <c r="AC1025" s="20">
        <f>IF(tblOrdenes[[#This Row],[fecha_inicio]]="","",TODAY()-tblOrdenes[[#This Row],[fecha_inicio]])</f>
        <v/>
      </c>
      <c r="AD10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5" s="5">
        <f>IF(tblOrdenes[[#This Row],[backlog_habiles]]="","",IF(tblOrdenes[[#This Row],[backlog_habiles]]&lt;0,"FUTURO",IF(tblOrdenes[[#This Row],[backlog_habiles]]&gt;p_dias_backlog_max,"BACKLOG","MES CORRIENTE")))</f>
        <v/>
      </c>
      <c r="AF1025" s="5">
        <f>IF(tblOrdenes[[#This Row],[backlog_habiles]]="",FALSE,AND(tblOrdenes[[#This Row],[backlog_habiles]]&gt;p_dias_backlog_min,tblOrdenes[[#This Row],[backlog_habiles]]&lt;=p_dias_backlog_max))</f>
        <v/>
      </c>
      <c r="AG1025" s="4" t="n"/>
      <c r="AH10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5" s="18">
        <f>IF(tblOrdenes[[#This Row],[orden]]="","",_xlfn.XLOOKUP(tblOrdenes[[#This Row],[id_operacion]],tblEjecucion[id_operacion],tblEjecucion[precio],0))</f>
        <v/>
      </c>
      <c r="AL1025" s="18">
        <f>IF(tblOrdenes[[#This Row],[orden]]="","",MAX(0,_xlfn.XLOOKUP(tblOrdenes[[#This Row],[id_operacion]],tblEjecucion[id_operacion],tblEjecucion[costo_plan_total],0)-tblOrdenes[[#This Row],[costo_servicio]]))</f>
        <v/>
      </c>
      <c r="AM1025" s="18">
        <f>IF(tblOrdenes[[#This Row],[orden]]="","",tblOrdenes[[#This Row],[costo_servicio]]+tblOrdenes[[#This Row],[costo_materiales]])</f>
        <v/>
      </c>
      <c r="AN10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5" s="4" t="n"/>
      <c r="AP1025" s="4" t="n"/>
      <c r="AQ1025" s="4" t="n"/>
      <c r="AR1025" s="5">
        <f>IF(tblOrdenes[[#This Row],[link_checklist]]="","",HYPERLINK(p_ruta_base_checklists&amp;tblOrdenes[[#This Row],[link_checklist]],"abrir"))</f>
        <v/>
      </c>
      <c r="AS1025" s="4" t="n"/>
      <c r="AT1025" s="5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22" t="n"/>
      <c r="K1026" s="5" t="n"/>
      <c r="L1026" s="18" t="n"/>
      <c r="M10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5">
        <f>IF(tblOrdenes[[#This Row],[fecha_inicio]]="","",YEAR(tblOrdenes[[#This Row],[fecha_inicio]]))</f>
        <v/>
      </c>
      <c r="Q1026" s="5">
        <f>IF(tblOrdenes[[#This Row],[fecha_inicio]]="","",MONTH(tblOrdenes[[#This Row],[fecha_inicio]]))</f>
        <v/>
      </c>
      <c r="R1026" s="5">
        <f>IF(tblOrdenes[[#This Row],[fecha_inicio]]="","",tblOrdenes[[#This Row],[anio]]&amp;"-"&amp;TEXT(tblOrdenes[[#This Row],[mes]],"00"))</f>
        <v/>
      </c>
      <c r="S1026" s="5">
        <f>IF(tblOrdenes[[#This Row],[fecha_inicio]]="","",INDEX(lista_dias,WEEKDAY(tblOrdenes[[#This Row],[fecha_inicio]],2)))</f>
        <v/>
      </c>
      <c r="T10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6" s="5">
        <f>IF(tblOrdenes[[#This Row],[tipo_ot]]="","",_xlfn.XLOOKUP(tblOrdenes[[#This Row],[tipo_ot]],tblTiposOT[codigo],tblTiposOT[clasificacion],"sin_clasificar"))</f>
        <v/>
      </c>
      <c r="V10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6" s="5">
        <f>IF(tblOrdenes[[#This Row],[centro_costo]]="","",_xlfn.XLOOKUP(tblOrdenes[[#This Row],[centro_costo]],tblCECO[codigo],tblCECO[linea],"(sin catálogo)"))</f>
        <v/>
      </c>
      <c r="X1026" s="5">
        <f>IF(tblOrdenes[[#This Row],[centro_costo]]="","",_xlfn.XLOOKUP(tblOrdenes[[#This Row],[centro_costo]],tblCECO[codigo],tblCECO[area],"(sin catálogo)"))</f>
        <v/>
      </c>
      <c r="Y10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6" s="5">
        <f>IF(tblOrdenes[[#This Row],[centro_costo]]="","",_xlfn.XLOOKUP(tblOrdenes[[#This Row],[centro_costo]],tblCECO[codigo],tblCECO[coordinador],"(sin catálogo)"))</f>
        <v/>
      </c>
      <c r="AA1026" s="5">
        <f>IF(tblOrdenes[[#This Row],[puesto_trabajo]]="","",_xlfn.XLOOKUP(tblOrdenes[[#This Row],[puesto_trabajo]],tblPuestos[codigo],tblPuestos[especialidad],"(sin catálogo)"))</f>
        <v/>
      </c>
      <c r="AB1026" s="5">
        <f>IF(tblOrdenes[[#This Row],[cod_actividad]]="","",_xlfn.XLOOKUP(tblOrdenes[[#This Row],[cod_actividad]],tblActividades[codigo],tblActividades[descripcion],"(sin catálogo)"))</f>
        <v/>
      </c>
      <c r="AC1026" s="20">
        <f>IF(tblOrdenes[[#This Row],[fecha_inicio]]="","",TODAY()-tblOrdenes[[#This Row],[fecha_inicio]])</f>
        <v/>
      </c>
      <c r="AD10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6" s="5">
        <f>IF(tblOrdenes[[#This Row],[backlog_habiles]]="","",IF(tblOrdenes[[#This Row],[backlog_habiles]]&lt;0,"FUTURO",IF(tblOrdenes[[#This Row],[backlog_habiles]]&gt;p_dias_backlog_max,"BACKLOG","MES CORRIENTE")))</f>
        <v/>
      </c>
      <c r="AF1026" s="5">
        <f>IF(tblOrdenes[[#This Row],[backlog_habiles]]="",FALSE,AND(tblOrdenes[[#This Row],[backlog_habiles]]&gt;p_dias_backlog_min,tblOrdenes[[#This Row],[backlog_habiles]]&lt;=p_dias_backlog_max))</f>
        <v/>
      </c>
      <c r="AG1026" s="4" t="n"/>
      <c r="AH10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6" s="18">
        <f>IF(tblOrdenes[[#This Row],[orden]]="","",_xlfn.XLOOKUP(tblOrdenes[[#This Row],[id_operacion]],tblEjecucion[id_operacion],tblEjecucion[precio],0))</f>
        <v/>
      </c>
      <c r="AL1026" s="18">
        <f>IF(tblOrdenes[[#This Row],[orden]]="","",MAX(0,_xlfn.XLOOKUP(tblOrdenes[[#This Row],[id_operacion]],tblEjecucion[id_operacion],tblEjecucion[costo_plan_total],0)-tblOrdenes[[#This Row],[costo_servicio]]))</f>
        <v/>
      </c>
      <c r="AM1026" s="18">
        <f>IF(tblOrdenes[[#This Row],[orden]]="","",tblOrdenes[[#This Row],[costo_servicio]]+tblOrdenes[[#This Row],[costo_materiales]])</f>
        <v/>
      </c>
      <c r="AN10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6" s="4" t="n"/>
      <c r="AP1026" s="4" t="n"/>
      <c r="AQ1026" s="4" t="n"/>
      <c r="AR1026" s="5">
        <f>IF(tblOrdenes[[#This Row],[link_checklist]]="","",HYPERLINK(p_ruta_base_checklists&amp;tblOrdenes[[#This Row],[link_checklist]],"abrir"))</f>
        <v/>
      </c>
      <c r="AS1026" s="4" t="n"/>
      <c r="AT1026" s="5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22" t="n"/>
      <c r="K1027" s="5" t="n"/>
      <c r="L1027" s="18" t="n"/>
      <c r="M10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5">
        <f>IF(tblOrdenes[[#This Row],[fecha_inicio]]="","",YEAR(tblOrdenes[[#This Row],[fecha_inicio]]))</f>
        <v/>
      </c>
      <c r="Q1027" s="5">
        <f>IF(tblOrdenes[[#This Row],[fecha_inicio]]="","",MONTH(tblOrdenes[[#This Row],[fecha_inicio]]))</f>
        <v/>
      </c>
      <c r="R1027" s="5">
        <f>IF(tblOrdenes[[#This Row],[fecha_inicio]]="","",tblOrdenes[[#This Row],[anio]]&amp;"-"&amp;TEXT(tblOrdenes[[#This Row],[mes]],"00"))</f>
        <v/>
      </c>
      <c r="S1027" s="5">
        <f>IF(tblOrdenes[[#This Row],[fecha_inicio]]="","",INDEX(lista_dias,WEEKDAY(tblOrdenes[[#This Row],[fecha_inicio]],2)))</f>
        <v/>
      </c>
      <c r="T10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7" s="5">
        <f>IF(tblOrdenes[[#This Row],[tipo_ot]]="","",_xlfn.XLOOKUP(tblOrdenes[[#This Row],[tipo_ot]],tblTiposOT[codigo],tblTiposOT[clasificacion],"sin_clasificar"))</f>
        <v/>
      </c>
      <c r="V10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7" s="5">
        <f>IF(tblOrdenes[[#This Row],[centro_costo]]="","",_xlfn.XLOOKUP(tblOrdenes[[#This Row],[centro_costo]],tblCECO[codigo],tblCECO[linea],"(sin catálogo)"))</f>
        <v/>
      </c>
      <c r="X1027" s="5">
        <f>IF(tblOrdenes[[#This Row],[centro_costo]]="","",_xlfn.XLOOKUP(tblOrdenes[[#This Row],[centro_costo]],tblCECO[codigo],tblCECO[area],"(sin catálogo)"))</f>
        <v/>
      </c>
      <c r="Y10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7" s="5">
        <f>IF(tblOrdenes[[#This Row],[centro_costo]]="","",_xlfn.XLOOKUP(tblOrdenes[[#This Row],[centro_costo]],tblCECO[codigo],tblCECO[coordinador],"(sin catálogo)"))</f>
        <v/>
      </c>
      <c r="AA1027" s="5">
        <f>IF(tblOrdenes[[#This Row],[puesto_trabajo]]="","",_xlfn.XLOOKUP(tblOrdenes[[#This Row],[puesto_trabajo]],tblPuestos[codigo],tblPuestos[especialidad],"(sin catálogo)"))</f>
        <v/>
      </c>
      <c r="AB1027" s="5">
        <f>IF(tblOrdenes[[#This Row],[cod_actividad]]="","",_xlfn.XLOOKUP(tblOrdenes[[#This Row],[cod_actividad]],tblActividades[codigo],tblActividades[descripcion],"(sin catálogo)"))</f>
        <v/>
      </c>
      <c r="AC1027" s="20">
        <f>IF(tblOrdenes[[#This Row],[fecha_inicio]]="","",TODAY()-tblOrdenes[[#This Row],[fecha_inicio]])</f>
        <v/>
      </c>
      <c r="AD10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7" s="5">
        <f>IF(tblOrdenes[[#This Row],[backlog_habiles]]="","",IF(tblOrdenes[[#This Row],[backlog_habiles]]&lt;0,"FUTURO",IF(tblOrdenes[[#This Row],[backlog_habiles]]&gt;p_dias_backlog_max,"BACKLOG","MES CORRIENTE")))</f>
        <v/>
      </c>
      <c r="AF1027" s="5">
        <f>IF(tblOrdenes[[#This Row],[backlog_habiles]]="",FALSE,AND(tblOrdenes[[#This Row],[backlog_habiles]]&gt;p_dias_backlog_min,tblOrdenes[[#This Row],[backlog_habiles]]&lt;=p_dias_backlog_max))</f>
        <v/>
      </c>
      <c r="AG1027" s="4" t="n"/>
      <c r="AH10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7" s="18">
        <f>IF(tblOrdenes[[#This Row],[orden]]="","",_xlfn.XLOOKUP(tblOrdenes[[#This Row],[id_operacion]],tblEjecucion[id_operacion],tblEjecucion[precio],0))</f>
        <v/>
      </c>
      <c r="AL1027" s="18">
        <f>IF(tblOrdenes[[#This Row],[orden]]="","",MAX(0,_xlfn.XLOOKUP(tblOrdenes[[#This Row],[id_operacion]],tblEjecucion[id_operacion],tblEjecucion[costo_plan_total],0)-tblOrdenes[[#This Row],[costo_servicio]]))</f>
        <v/>
      </c>
      <c r="AM1027" s="18">
        <f>IF(tblOrdenes[[#This Row],[orden]]="","",tblOrdenes[[#This Row],[costo_servicio]]+tblOrdenes[[#This Row],[costo_materiales]])</f>
        <v/>
      </c>
      <c r="AN10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7" s="4" t="n"/>
      <c r="AP1027" s="4" t="n"/>
      <c r="AQ1027" s="4" t="n"/>
      <c r="AR1027" s="5">
        <f>IF(tblOrdenes[[#This Row],[link_checklist]]="","",HYPERLINK(p_ruta_base_checklists&amp;tblOrdenes[[#This Row],[link_checklist]],"abrir"))</f>
        <v/>
      </c>
      <c r="AS1027" s="4" t="n"/>
      <c r="AT1027" s="5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22" t="n"/>
      <c r="K1028" s="5" t="n"/>
      <c r="L1028" s="18" t="n"/>
      <c r="M10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5">
        <f>IF(tblOrdenes[[#This Row],[fecha_inicio]]="","",YEAR(tblOrdenes[[#This Row],[fecha_inicio]]))</f>
        <v/>
      </c>
      <c r="Q1028" s="5">
        <f>IF(tblOrdenes[[#This Row],[fecha_inicio]]="","",MONTH(tblOrdenes[[#This Row],[fecha_inicio]]))</f>
        <v/>
      </c>
      <c r="R1028" s="5">
        <f>IF(tblOrdenes[[#This Row],[fecha_inicio]]="","",tblOrdenes[[#This Row],[anio]]&amp;"-"&amp;TEXT(tblOrdenes[[#This Row],[mes]],"00"))</f>
        <v/>
      </c>
      <c r="S1028" s="5">
        <f>IF(tblOrdenes[[#This Row],[fecha_inicio]]="","",INDEX(lista_dias,WEEKDAY(tblOrdenes[[#This Row],[fecha_inicio]],2)))</f>
        <v/>
      </c>
      <c r="T10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8" s="5">
        <f>IF(tblOrdenes[[#This Row],[tipo_ot]]="","",_xlfn.XLOOKUP(tblOrdenes[[#This Row],[tipo_ot]],tblTiposOT[codigo],tblTiposOT[clasificacion],"sin_clasificar"))</f>
        <v/>
      </c>
      <c r="V10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8" s="5">
        <f>IF(tblOrdenes[[#This Row],[centro_costo]]="","",_xlfn.XLOOKUP(tblOrdenes[[#This Row],[centro_costo]],tblCECO[codigo],tblCECO[linea],"(sin catálogo)"))</f>
        <v/>
      </c>
      <c r="X1028" s="5">
        <f>IF(tblOrdenes[[#This Row],[centro_costo]]="","",_xlfn.XLOOKUP(tblOrdenes[[#This Row],[centro_costo]],tblCECO[codigo],tblCECO[area],"(sin catálogo)"))</f>
        <v/>
      </c>
      <c r="Y10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8" s="5">
        <f>IF(tblOrdenes[[#This Row],[centro_costo]]="","",_xlfn.XLOOKUP(tblOrdenes[[#This Row],[centro_costo]],tblCECO[codigo],tblCECO[coordinador],"(sin catálogo)"))</f>
        <v/>
      </c>
      <c r="AA1028" s="5">
        <f>IF(tblOrdenes[[#This Row],[puesto_trabajo]]="","",_xlfn.XLOOKUP(tblOrdenes[[#This Row],[puesto_trabajo]],tblPuestos[codigo],tblPuestos[especialidad],"(sin catálogo)"))</f>
        <v/>
      </c>
      <c r="AB1028" s="5">
        <f>IF(tblOrdenes[[#This Row],[cod_actividad]]="","",_xlfn.XLOOKUP(tblOrdenes[[#This Row],[cod_actividad]],tblActividades[codigo],tblActividades[descripcion],"(sin catálogo)"))</f>
        <v/>
      </c>
      <c r="AC1028" s="20">
        <f>IF(tblOrdenes[[#This Row],[fecha_inicio]]="","",TODAY()-tblOrdenes[[#This Row],[fecha_inicio]])</f>
        <v/>
      </c>
      <c r="AD10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8" s="5">
        <f>IF(tblOrdenes[[#This Row],[backlog_habiles]]="","",IF(tblOrdenes[[#This Row],[backlog_habiles]]&lt;0,"FUTURO",IF(tblOrdenes[[#This Row],[backlog_habiles]]&gt;p_dias_backlog_max,"BACKLOG","MES CORRIENTE")))</f>
        <v/>
      </c>
      <c r="AF1028" s="5">
        <f>IF(tblOrdenes[[#This Row],[backlog_habiles]]="",FALSE,AND(tblOrdenes[[#This Row],[backlog_habiles]]&gt;p_dias_backlog_min,tblOrdenes[[#This Row],[backlog_habiles]]&lt;=p_dias_backlog_max))</f>
        <v/>
      </c>
      <c r="AG1028" s="4" t="n"/>
      <c r="AH10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8" s="18">
        <f>IF(tblOrdenes[[#This Row],[orden]]="","",_xlfn.XLOOKUP(tblOrdenes[[#This Row],[id_operacion]],tblEjecucion[id_operacion],tblEjecucion[precio],0))</f>
        <v/>
      </c>
      <c r="AL1028" s="18">
        <f>IF(tblOrdenes[[#This Row],[orden]]="","",MAX(0,_xlfn.XLOOKUP(tblOrdenes[[#This Row],[id_operacion]],tblEjecucion[id_operacion],tblEjecucion[costo_plan_total],0)-tblOrdenes[[#This Row],[costo_servicio]]))</f>
        <v/>
      </c>
      <c r="AM1028" s="18">
        <f>IF(tblOrdenes[[#This Row],[orden]]="","",tblOrdenes[[#This Row],[costo_servicio]]+tblOrdenes[[#This Row],[costo_materiales]])</f>
        <v/>
      </c>
      <c r="AN10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8" s="4" t="n"/>
      <c r="AP1028" s="4" t="n"/>
      <c r="AQ1028" s="4" t="n"/>
      <c r="AR1028" s="5">
        <f>IF(tblOrdenes[[#This Row],[link_checklist]]="","",HYPERLINK(p_ruta_base_checklists&amp;tblOrdenes[[#This Row],[link_checklist]],"abrir"))</f>
        <v/>
      </c>
      <c r="AS1028" s="4" t="n"/>
      <c r="AT1028" s="5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22" t="n"/>
      <c r="K1029" s="5" t="n"/>
      <c r="L1029" s="18" t="n"/>
      <c r="M10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5">
        <f>IF(tblOrdenes[[#This Row],[fecha_inicio]]="","",YEAR(tblOrdenes[[#This Row],[fecha_inicio]]))</f>
        <v/>
      </c>
      <c r="Q1029" s="5">
        <f>IF(tblOrdenes[[#This Row],[fecha_inicio]]="","",MONTH(tblOrdenes[[#This Row],[fecha_inicio]]))</f>
        <v/>
      </c>
      <c r="R1029" s="5">
        <f>IF(tblOrdenes[[#This Row],[fecha_inicio]]="","",tblOrdenes[[#This Row],[anio]]&amp;"-"&amp;TEXT(tblOrdenes[[#This Row],[mes]],"00"))</f>
        <v/>
      </c>
      <c r="S1029" s="5">
        <f>IF(tblOrdenes[[#This Row],[fecha_inicio]]="","",INDEX(lista_dias,WEEKDAY(tblOrdenes[[#This Row],[fecha_inicio]],2)))</f>
        <v/>
      </c>
      <c r="T10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9" s="5">
        <f>IF(tblOrdenes[[#This Row],[tipo_ot]]="","",_xlfn.XLOOKUP(tblOrdenes[[#This Row],[tipo_ot]],tblTiposOT[codigo],tblTiposOT[clasificacion],"sin_clasificar"))</f>
        <v/>
      </c>
      <c r="V10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9" s="5">
        <f>IF(tblOrdenes[[#This Row],[centro_costo]]="","",_xlfn.XLOOKUP(tblOrdenes[[#This Row],[centro_costo]],tblCECO[codigo],tblCECO[linea],"(sin catálogo)"))</f>
        <v/>
      </c>
      <c r="X1029" s="5">
        <f>IF(tblOrdenes[[#This Row],[centro_costo]]="","",_xlfn.XLOOKUP(tblOrdenes[[#This Row],[centro_costo]],tblCECO[codigo],tblCECO[area],"(sin catálogo)"))</f>
        <v/>
      </c>
      <c r="Y10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29" s="5">
        <f>IF(tblOrdenes[[#This Row],[centro_costo]]="","",_xlfn.XLOOKUP(tblOrdenes[[#This Row],[centro_costo]],tblCECO[codigo],tblCECO[coordinador],"(sin catálogo)"))</f>
        <v/>
      </c>
      <c r="AA1029" s="5">
        <f>IF(tblOrdenes[[#This Row],[puesto_trabajo]]="","",_xlfn.XLOOKUP(tblOrdenes[[#This Row],[puesto_trabajo]],tblPuestos[codigo],tblPuestos[especialidad],"(sin catálogo)"))</f>
        <v/>
      </c>
      <c r="AB1029" s="5">
        <f>IF(tblOrdenes[[#This Row],[cod_actividad]]="","",_xlfn.XLOOKUP(tblOrdenes[[#This Row],[cod_actividad]],tblActividades[codigo],tblActividades[descripcion],"(sin catálogo)"))</f>
        <v/>
      </c>
      <c r="AC1029" s="20">
        <f>IF(tblOrdenes[[#This Row],[fecha_inicio]]="","",TODAY()-tblOrdenes[[#This Row],[fecha_inicio]])</f>
        <v/>
      </c>
      <c r="AD10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29" s="5">
        <f>IF(tblOrdenes[[#This Row],[backlog_habiles]]="","",IF(tblOrdenes[[#This Row],[backlog_habiles]]&lt;0,"FUTURO",IF(tblOrdenes[[#This Row],[backlog_habiles]]&gt;p_dias_backlog_max,"BACKLOG","MES CORRIENTE")))</f>
        <v/>
      </c>
      <c r="AF1029" s="5">
        <f>IF(tblOrdenes[[#This Row],[backlog_habiles]]="",FALSE,AND(tblOrdenes[[#This Row],[backlog_habiles]]&gt;p_dias_backlog_min,tblOrdenes[[#This Row],[backlog_habiles]]&lt;=p_dias_backlog_max))</f>
        <v/>
      </c>
      <c r="AG1029" s="4" t="n"/>
      <c r="AH10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29" s="18">
        <f>IF(tblOrdenes[[#This Row],[orden]]="","",_xlfn.XLOOKUP(tblOrdenes[[#This Row],[id_operacion]],tblEjecucion[id_operacion],tblEjecucion[precio],0))</f>
        <v/>
      </c>
      <c r="AL1029" s="18">
        <f>IF(tblOrdenes[[#This Row],[orden]]="","",MAX(0,_xlfn.XLOOKUP(tblOrdenes[[#This Row],[id_operacion]],tblEjecucion[id_operacion],tblEjecucion[costo_plan_total],0)-tblOrdenes[[#This Row],[costo_servicio]]))</f>
        <v/>
      </c>
      <c r="AM1029" s="18">
        <f>IF(tblOrdenes[[#This Row],[orden]]="","",tblOrdenes[[#This Row],[costo_servicio]]+tblOrdenes[[#This Row],[costo_materiales]])</f>
        <v/>
      </c>
      <c r="AN10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29" s="4" t="n"/>
      <c r="AP1029" s="4" t="n"/>
      <c r="AQ1029" s="4" t="n"/>
      <c r="AR1029" s="5">
        <f>IF(tblOrdenes[[#This Row],[link_checklist]]="","",HYPERLINK(p_ruta_base_checklists&amp;tblOrdenes[[#This Row],[link_checklist]],"abrir"))</f>
        <v/>
      </c>
      <c r="AS1029" s="4" t="n"/>
      <c r="AT1029" s="5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22" t="n"/>
      <c r="K1030" s="5" t="n"/>
      <c r="L1030" s="18" t="n"/>
      <c r="M10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5">
        <f>IF(tblOrdenes[[#This Row],[fecha_inicio]]="","",YEAR(tblOrdenes[[#This Row],[fecha_inicio]]))</f>
        <v/>
      </c>
      <c r="Q1030" s="5">
        <f>IF(tblOrdenes[[#This Row],[fecha_inicio]]="","",MONTH(tblOrdenes[[#This Row],[fecha_inicio]]))</f>
        <v/>
      </c>
      <c r="R1030" s="5">
        <f>IF(tblOrdenes[[#This Row],[fecha_inicio]]="","",tblOrdenes[[#This Row],[anio]]&amp;"-"&amp;TEXT(tblOrdenes[[#This Row],[mes]],"00"))</f>
        <v/>
      </c>
      <c r="S1030" s="5">
        <f>IF(tblOrdenes[[#This Row],[fecha_inicio]]="","",INDEX(lista_dias,WEEKDAY(tblOrdenes[[#This Row],[fecha_inicio]],2)))</f>
        <v/>
      </c>
      <c r="T10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0" s="5">
        <f>IF(tblOrdenes[[#This Row],[tipo_ot]]="","",_xlfn.XLOOKUP(tblOrdenes[[#This Row],[tipo_ot]],tblTiposOT[codigo],tblTiposOT[clasificacion],"sin_clasificar"))</f>
        <v/>
      </c>
      <c r="V10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0" s="5">
        <f>IF(tblOrdenes[[#This Row],[centro_costo]]="","",_xlfn.XLOOKUP(tblOrdenes[[#This Row],[centro_costo]],tblCECO[codigo],tblCECO[linea],"(sin catálogo)"))</f>
        <v/>
      </c>
      <c r="X1030" s="5">
        <f>IF(tblOrdenes[[#This Row],[centro_costo]]="","",_xlfn.XLOOKUP(tblOrdenes[[#This Row],[centro_costo]],tblCECO[codigo],tblCECO[area],"(sin catálogo)"))</f>
        <v/>
      </c>
      <c r="Y10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0" s="5">
        <f>IF(tblOrdenes[[#This Row],[centro_costo]]="","",_xlfn.XLOOKUP(tblOrdenes[[#This Row],[centro_costo]],tblCECO[codigo],tblCECO[coordinador],"(sin catálogo)"))</f>
        <v/>
      </c>
      <c r="AA1030" s="5">
        <f>IF(tblOrdenes[[#This Row],[puesto_trabajo]]="","",_xlfn.XLOOKUP(tblOrdenes[[#This Row],[puesto_trabajo]],tblPuestos[codigo],tblPuestos[especialidad],"(sin catálogo)"))</f>
        <v/>
      </c>
      <c r="AB1030" s="5">
        <f>IF(tblOrdenes[[#This Row],[cod_actividad]]="","",_xlfn.XLOOKUP(tblOrdenes[[#This Row],[cod_actividad]],tblActividades[codigo],tblActividades[descripcion],"(sin catálogo)"))</f>
        <v/>
      </c>
      <c r="AC1030" s="20">
        <f>IF(tblOrdenes[[#This Row],[fecha_inicio]]="","",TODAY()-tblOrdenes[[#This Row],[fecha_inicio]])</f>
        <v/>
      </c>
      <c r="AD10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0" s="5">
        <f>IF(tblOrdenes[[#This Row],[backlog_habiles]]="","",IF(tblOrdenes[[#This Row],[backlog_habiles]]&lt;0,"FUTURO",IF(tblOrdenes[[#This Row],[backlog_habiles]]&gt;p_dias_backlog_max,"BACKLOG","MES CORRIENTE")))</f>
        <v/>
      </c>
      <c r="AF1030" s="5">
        <f>IF(tblOrdenes[[#This Row],[backlog_habiles]]="",FALSE,AND(tblOrdenes[[#This Row],[backlog_habiles]]&gt;p_dias_backlog_min,tblOrdenes[[#This Row],[backlog_habiles]]&lt;=p_dias_backlog_max))</f>
        <v/>
      </c>
      <c r="AG1030" s="4" t="n"/>
      <c r="AH10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0" s="18">
        <f>IF(tblOrdenes[[#This Row],[orden]]="","",_xlfn.XLOOKUP(tblOrdenes[[#This Row],[id_operacion]],tblEjecucion[id_operacion],tblEjecucion[precio],0))</f>
        <v/>
      </c>
      <c r="AL1030" s="18">
        <f>IF(tblOrdenes[[#This Row],[orden]]="","",MAX(0,_xlfn.XLOOKUP(tblOrdenes[[#This Row],[id_operacion]],tblEjecucion[id_operacion],tblEjecucion[costo_plan_total],0)-tblOrdenes[[#This Row],[costo_servicio]]))</f>
        <v/>
      </c>
      <c r="AM1030" s="18">
        <f>IF(tblOrdenes[[#This Row],[orden]]="","",tblOrdenes[[#This Row],[costo_servicio]]+tblOrdenes[[#This Row],[costo_materiales]])</f>
        <v/>
      </c>
      <c r="AN10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0" s="4" t="n"/>
      <c r="AP1030" s="4" t="n"/>
      <c r="AQ1030" s="4" t="n"/>
      <c r="AR1030" s="5">
        <f>IF(tblOrdenes[[#This Row],[link_checklist]]="","",HYPERLINK(p_ruta_base_checklists&amp;tblOrdenes[[#This Row],[link_checklist]],"abrir"))</f>
        <v/>
      </c>
      <c r="AS1030" s="4" t="n"/>
      <c r="AT1030" s="5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22" t="n"/>
      <c r="K1031" s="5" t="n"/>
      <c r="L1031" s="18" t="n"/>
      <c r="M10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5">
        <f>IF(tblOrdenes[[#This Row],[fecha_inicio]]="","",YEAR(tblOrdenes[[#This Row],[fecha_inicio]]))</f>
        <v/>
      </c>
      <c r="Q1031" s="5">
        <f>IF(tblOrdenes[[#This Row],[fecha_inicio]]="","",MONTH(tblOrdenes[[#This Row],[fecha_inicio]]))</f>
        <v/>
      </c>
      <c r="R1031" s="5">
        <f>IF(tblOrdenes[[#This Row],[fecha_inicio]]="","",tblOrdenes[[#This Row],[anio]]&amp;"-"&amp;TEXT(tblOrdenes[[#This Row],[mes]],"00"))</f>
        <v/>
      </c>
      <c r="S1031" s="5">
        <f>IF(tblOrdenes[[#This Row],[fecha_inicio]]="","",INDEX(lista_dias,WEEKDAY(tblOrdenes[[#This Row],[fecha_inicio]],2)))</f>
        <v/>
      </c>
      <c r="T10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1" s="5">
        <f>IF(tblOrdenes[[#This Row],[tipo_ot]]="","",_xlfn.XLOOKUP(tblOrdenes[[#This Row],[tipo_ot]],tblTiposOT[codigo],tblTiposOT[clasificacion],"sin_clasificar"))</f>
        <v/>
      </c>
      <c r="V10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1" s="5">
        <f>IF(tblOrdenes[[#This Row],[centro_costo]]="","",_xlfn.XLOOKUP(tblOrdenes[[#This Row],[centro_costo]],tblCECO[codigo],tblCECO[linea],"(sin catálogo)"))</f>
        <v/>
      </c>
      <c r="X1031" s="5">
        <f>IF(tblOrdenes[[#This Row],[centro_costo]]="","",_xlfn.XLOOKUP(tblOrdenes[[#This Row],[centro_costo]],tblCECO[codigo],tblCECO[area],"(sin catálogo)"))</f>
        <v/>
      </c>
      <c r="Y10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1" s="5">
        <f>IF(tblOrdenes[[#This Row],[centro_costo]]="","",_xlfn.XLOOKUP(tblOrdenes[[#This Row],[centro_costo]],tblCECO[codigo],tblCECO[coordinador],"(sin catálogo)"))</f>
        <v/>
      </c>
      <c r="AA1031" s="5">
        <f>IF(tblOrdenes[[#This Row],[puesto_trabajo]]="","",_xlfn.XLOOKUP(tblOrdenes[[#This Row],[puesto_trabajo]],tblPuestos[codigo],tblPuestos[especialidad],"(sin catálogo)"))</f>
        <v/>
      </c>
      <c r="AB1031" s="5">
        <f>IF(tblOrdenes[[#This Row],[cod_actividad]]="","",_xlfn.XLOOKUP(tblOrdenes[[#This Row],[cod_actividad]],tblActividades[codigo],tblActividades[descripcion],"(sin catálogo)"))</f>
        <v/>
      </c>
      <c r="AC1031" s="20">
        <f>IF(tblOrdenes[[#This Row],[fecha_inicio]]="","",TODAY()-tblOrdenes[[#This Row],[fecha_inicio]])</f>
        <v/>
      </c>
      <c r="AD10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1" s="5">
        <f>IF(tblOrdenes[[#This Row],[backlog_habiles]]="","",IF(tblOrdenes[[#This Row],[backlog_habiles]]&lt;0,"FUTURO",IF(tblOrdenes[[#This Row],[backlog_habiles]]&gt;p_dias_backlog_max,"BACKLOG","MES CORRIENTE")))</f>
        <v/>
      </c>
      <c r="AF1031" s="5">
        <f>IF(tblOrdenes[[#This Row],[backlog_habiles]]="",FALSE,AND(tblOrdenes[[#This Row],[backlog_habiles]]&gt;p_dias_backlog_min,tblOrdenes[[#This Row],[backlog_habiles]]&lt;=p_dias_backlog_max))</f>
        <v/>
      </c>
      <c r="AG1031" s="4" t="n"/>
      <c r="AH10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1" s="18">
        <f>IF(tblOrdenes[[#This Row],[orden]]="","",_xlfn.XLOOKUP(tblOrdenes[[#This Row],[id_operacion]],tblEjecucion[id_operacion],tblEjecucion[precio],0))</f>
        <v/>
      </c>
      <c r="AL1031" s="18">
        <f>IF(tblOrdenes[[#This Row],[orden]]="","",MAX(0,_xlfn.XLOOKUP(tblOrdenes[[#This Row],[id_operacion]],tblEjecucion[id_operacion],tblEjecucion[costo_plan_total],0)-tblOrdenes[[#This Row],[costo_servicio]]))</f>
        <v/>
      </c>
      <c r="AM1031" s="18">
        <f>IF(tblOrdenes[[#This Row],[orden]]="","",tblOrdenes[[#This Row],[costo_servicio]]+tblOrdenes[[#This Row],[costo_materiales]])</f>
        <v/>
      </c>
      <c r="AN10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1" s="4" t="n"/>
      <c r="AP1031" s="4" t="n"/>
      <c r="AQ1031" s="4" t="n"/>
      <c r="AR1031" s="5">
        <f>IF(tblOrdenes[[#This Row],[link_checklist]]="","",HYPERLINK(p_ruta_base_checklists&amp;tblOrdenes[[#This Row],[link_checklist]],"abrir"))</f>
        <v/>
      </c>
      <c r="AS1031" s="4" t="n"/>
      <c r="AT1031" s="5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22" t="n"/>
      <c r="K1032" s="5" t="n"/>
      <c r="L1032" s="18" t="n"/>
      <c r="M10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5">
        <f>IF(tblOrdenes[[#This Row],[fecha_inicio]]="","",YEAR(tblOrdenes[[#This Row],[fecha_inicio]]))</f>
        <v/>
      </c>
      <c r="Q1032" s="5">
        <f>IF(tblOrdenes[[#This Row],[fecha_inicio]]="","",MONTH(tblOrdenes[[#This Row],[fecha_inicio]]))</f>
        <v/>
      </c>
      <c r="R1032" s="5">
        <f>IF(tblOrdenes[[#This Row],[fecha_inicio]]="","",tblOrdenes[[#This Row],[anio]]&amp;"-"&amp;TEXT(tblOrdenes[[#This Row],[mes]],"00"))</f>
        <v/>
      </c>
      <c r="S1032" s="5">
        <f>IF(tblOrdenes[[#This Row],[fecha_inicio]]="","",INDEX(lista_dias,WEEKDAY(tblOrdenes[[#This Row],[fecha_inicio]],2)))</f>
        <v/>
      </c>
      <c r="T10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2" s="5">
        <f>IF(tblOrdenes[[#This Row],[tipo_ot]]="","",_xlfn.XLOOKUP(tblOrdenes[[#This Row],[tipo_ot]],tblTiposOT[codigo],tblTiposOT[clasificacion],"sin_clasificar"))</f>
        <v/>
      </c>
      <c r="V10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2" s="5">
        <f>IF(tblOrdenes[[#This Row],[centro_costo]]="","",_xlfn.XLOOKUP(tblOrdenes[[#This Row],[centro_costo]],tblCECO[codigo],tblCECO[linea],"(sin catálogo)"))</f>
        <v/>
      </c>
      <c r="X1032" s="5">
        <f>IF(tblOrdenes[[#This Row],[centro_costo]]="","",_xlfn.XLOOKUP(tblOrdenes[[#This Row],[centro_costo]],tblCECO[codigo],tblCECO[area],"(sin catálogo)"))</f>
        <v/>
      </c>
      <c r="Y10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2" s="5">
        <f>IF(tblOrdenes[[#This Row],[centro_costo]]="","",_xlfn.XLOOKUP(tblOrdenes[[#This Row],[centro_costo]],tblCECO[codigo],tblCECO[coordinador],"(sin catálogo)"))</f>
        <v/>
      </c>
      <c r="AA1032" s="5">
        <f>IF(tblOrdenes[[#This Row],[puesto_trabajo]]="","",_xlfn.XLOOKUP(tblOrdenes[[#This Row],[puesto_trabajo]],tblPuestos[codigo],tblPuestos[especialidad],"(sin catálogo)"))</f>
        <v/>
      </c>
      <c r="AB1032" s="5">
        <f>IF(tblOrdenes[[#This Row],[cod_actividad]]="","",_xlfn.XLOOKUP(tblOrdenes[[#This Row],[cod_actividad]],tblActividades[codigo],tblActividades[descripcion],"(sin catálogo)"))</f>
        <v/>
      </c>
      <c r="AC1032" s="20">
        <f>IF(tblOrdenes[[#This Row],[fecha_inicio]]="","",TODAY()-tblOrdenes[[#This Row],[fecha_inicio]])</f>
        <v/>
      </c>
      <c r="AD10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2" s="5">
        <f>IF(tblOrdenes[[#This Row],[backlog_habiles]]="","",IF(tblOrdenes[[#This Row],[backlog_habiles]]&lt;0,"FUTURO",IF(tblOrdenes[[#This Row],[backlog_habiles]]&gt;p_dias_backlog_max,"BACKLOG","MES CORRIENTE")))</f>
        <v/>
      </c>
      <c r="AF1032" s="5">
        <f>IF(tblOrdenes[[#This Row],[backlog_habiles]]="",FALSE,AND(tblOrdenes[[#This Row],[backlog_habiles]]&gt;p_dias_backlog_min,tblOrdenes[[#This Row],[backlog_habiles]]&lt;=p_dias_backlog_max))</f>
        <v/>
      </c>
      <c r="AG1032" s="4" t="n"/>
      <c r="AH10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2" s="18">
        <f>IF(tblOrdenes[[#This Row],[orden]]="","",_xlfn.XLOOKUP(tblOrdenes[[#This Row],[id_operacion]],tblEjecucion[id_operacion],tblEjecucion[precio],0))</f>
        <v/>
      </c>
      <c r="AL1032" s="18">
        <f>IF(tblOrdenes[[#This Row],[orden]]="","",MAX(0,_xlfn.XLOOKUP(tblOrdenes[[#This Row],[id_operacion]],tblEjecucion[id_operacion],tblEjecucion[costo_plan_total],0)-tblOrdenes[[#This Row],[costo_servicio]]))</f>
        <v/>
      </c>
      <c r="AM1032" s="18">
        <f>IF(tblOrdenes[[#This Row],[orden]]="","",tblOrdenes[[#This Row],[costo_servicio]]+tblOrdenes[[#This Row],[costo_materiales]])</f>
        <v/>
      </c>
      <c r="AN10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2" s="4" t="n"/>
      <c r="AP1032" s="4" t="n"/>
      <c r="AQ1032" s="4" t="n"/>
      <c r="AR1032" s="5">
        <f>IF(tblOrdenes[[#This Row],[link_checklist]]="","",HYPERLINK(p_ruta_base_checklists&amp;tblOrdenes[[#This Row],[link_checklist]],"abrir"))</f>
        <v/>
      </c>
      <c r="AS1032" s="4" t="n"/>
      <c r="AT1032" s="5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22" t="n"/>
      <c r="K1033" s="5" t="n"/>
      <c r="L1033" s="18" t="n"/>
      <c r="M10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5">
        <f>IF(tblOrdenes[[#This Row],[fecha_inicio]]="","",YEAR(tblOrdenes[[#This Row],[fecha_inicio]]))</f>
        <v/>
      </c>
      <c r="Q1033" s="5">
        <f>IF(tblOrdenes[[#This Row],[fecha_inicio]]="","",MONTH(tblOrdenes[[#This Row],[fecha_inicio]]))</f>
        <v/>
      </c>
      <c r="R1033" s="5">
        <f>IF(tblOrdenes[[#This Row],[fecha_inicio]]="","",tblOrdenes[[#This Row],[anio]]&amp;"-"&amp;TEXT(tblOrdenes[[#This Row],[mes]],"00"))</f>
        <v/>
      </c>
      <c r="S1033" s="5">
        <f>IF(tblOrdenes[[#This Row],[fecha_inicio]]="","",INDEX(lista_dias,WEEKDAY(tblOrdenes[[#This Row],[fecha_inicio]],2)))</f>
        <v/>
      </c>
      <c r="T10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3" s="5">
        <f>IF(tblOrdenes[[#This Row],[tipo_ot]]="","",_xlfn.XLOOKUP(tblOrdenes[[#This Row],[tipo_ot]],tblTiposOT[codigo],tblTiposOT[clasificacion],"sin_clasificar"))</f>
        <v/>
      </c>
      <c r="V10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3" s="5">
        <f>IF(tblOrdenes[[#This Row],[centro_costo]]="","",_xlfn.XLOOKUP(tblOrdenes[[#This Row],[centro_costo]],tblCECO[codigo],tblCECO[linea],"(sin catálogo)"))</f>
        <v/>
      </c>
      <c r="X1033" s="5">
        <f>IF(tblOrdenes[[#This Row],[centro_costo]]="","",_xlfn.XLOOKUP(tblOrdenes[[#This Row],[centro_costo]],tblCECO[codigo],tblCECO[area],"(sin catálogo)"))</f>
        <v/>
      </c>
      <c r="Y10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3" s="5">
        <f>IF(tblOrdenes[[#This Row],[centro_costo]]="","",_xlfn.XLOOKUP(tblOrdenes[[#This Row],[centro_costo]],tblCECO[codigo],tblCECO[coordinador],"(sin catálogo)"))</f>
        <v/>
      </c>
      <c r="AA1033" s="5">
        <f>IF(tblOrdenes[[#This Row],[puesto_trabajo]]="","",_xlfn.XLOOKUP(tblOrdenes[[#This Row],[puesto_trabajo]],tblPuestos[codigo],tblPuestos[especialidad],"(sin catálogo)"))</f>
        <v/>
      </c>
      <c r="AB1033" s="5">
        <f>IF(tblOrdenes[[#This Row],[cod_actividad]]="","",_xlfn.XLOOKUP(tblOrdenes[[#This Row],[cod_actividad]],tblActividades[codigo],tblActividades[descripcion],"(sin catálogo)"))</f>
        <v/>
      </c>
      <c r="AC1033" s="20">
        <f>IF(tblOrdenes[[#This Row],[fecha_inicio]]="","",TODAY()-tblOrdenes[[#This Row],[fecha_inicio]])</f>
        <v/>
      </c>
      <c r="AD10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3" s="5">
        <f>IF(tblOrdenes[[#This Row],[backlog_habiles]]="","",IF(tblOrdenes[[#This Row],[backlog_habiles]]&lt;0,"FUTURO",IF(tblOrdenes[[#This Row],[backlog_habiles]]&gt;p_dias_backlog_max,"BACKLOG","MES CORRIENTE")))</f>
        <v/>
      </c>
      <c r="AF1033" s="5">
        <f>IF(tblOrdenes[[#This Row],[backlog_habiles]]="",FALSE,AND(tblOrdenes[[#This Row],[backlog_habiles]]&gt;p_dias_backlog_min,tblOrdenes[[#This Row],[backlog_habiles]]&lt;=p_dias_backlog_max))</f>
        <v/>
      </c>
      <c r="AG1033" s="4" t="n"/>
      <c r="AH10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3" s="18">
        <f>IF(tblOrdenes[[#This Row],[orden]]="","",_xlfn.XLOOKUP(tblOrdenes[[#This Row],[id_operacion]],tblEjecucion[id_operacion],tblEjecucion[precio],0))</f>
        <v/>
      </c>
      <c r="AL1033" s="18">
        <f>IF(tblOrdenes[[#This Row],[orden]]="","",MAX(0,_xlfn.XLOOKUP(tblOrdenes[[#This Row],[id_operacion]],tblEjecucion[id_operacion],tblEjecucion[costo_plan_total],0)-tblOrdenes[[#This Row],[costo_servicio]]))</f>
        <v/>
      </c>
      <c r="AM1033" s="18">
        <f>IF(tblOrdenes[[#This Row],[orden]]="","",tblOrdenes[[#This Row],[costo_servicio]]+tblOrdenes[[#This Row],[costo_materiales]])</f>
        <v/>
      </c>
      <c r="AN10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3" s="4" t="n"/>
      <c r="AP1033" s="4" t="n"/>
      <c r="AQ1033" s="4" t="n"/>
      <c r="AR1033" s="5">
        <f>IF(tblOrdenes[[#This Row],[link_checklist]]="","",HYPERLINK(p_ruta_base_checklists&amp;tblOrdenes[[#This Row],[link_checklist]],"abrir"))</f>
        <v/>
      </c>
      <c r="AS1033" s="4" t="n"/>
      <c r="AT1033" s="5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22" t="n"/>
      <c r="K1034" s="5" t="n"/>
      <c r="L1034" s="18" t="n"/>
      <c r="M10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5">
        <f>IF(tblOrdenes[[#This Row],[fecha_inicio]]="","",YEAR(tblOrdenes[[#This Row],[fecha_inicio]]))</f>
        <v/>
      </c>
      <c r="Q1034" s="5">
        <f>IF(tblOrdenes[[#This Row],[fecha_inicio]]="","",MONTH(tblOrdenes[[#This Row],[fecha_inicio]]))</f>
        <v/>
      </c>
      <c r="R1034" s="5">
        <f>IF(tblOrdenes[[#This Row],[fecha_inicio]]="","",tblOrdenes[[#This Row],[anio]]&amp;"-"&amp;TEXT(tblOrdenes[[#This Row],[mes]],"00"))</f>
        <v/>
      </c>
      <c r="S1034" s="5">
        <f>IF(tblOrdenes[[#This Row],[fecha_inicio]]="","",INDEX(lista_dias,WEEKDAY(tblOrdenes[[#This Row],[fecha_inicio]],2)))</f>
        <v/>
      </c>
      <c r="T10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4" s="5">
        <f>IF(tblOrdenes[[#This Row],[tipo_ot]]="","",_xlfn.XLOOKUP(tblOrdenes[[#This Row],[tipo_ot]],tblTiposOT[codigo],tblTiposOT[clasificacion],"sin_clasificar"))</f>
        <v/>
      </c>
      <c r="V10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4" s="5">
        <f>IF(tblOrdenes[[#This Row],[centro_costo]]="","",_xlfn.XLOOKUP(tblOrdenes[[#This Row],[centro_costo]],tblCECO[codigo],tblCECO[linea],"(sin catálogo)"))</f>
        <v/>
      </c>
      <c r="X1034" s="5">
        <f>IF(tblOrdenes[[#This Row],[centro_costo]]="","",_xlfn.XLOOKUP(tblOrdenes[[#This Row],[centro_costo]],tblCECO[codigo],tblCECO[area],"(sin catálogo)"))</f>
        <v/>
      </c>
      <c r="Y10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4" s="5">
        <f>IF(tblOrdenes[[#This Row],[centro_costo]]="","",_xlfn.XLOOKUP(tblOrdenes[[#This Row],[centro_costo]],tblCECO[codigo],tblCECO[coordinador],"(sin catálogo)"))</f>
        <v/>
      </c>
      <c r="AA1034" s="5">
        <f>IF(tblOrdenes[[#This Row],[puesto_trabajo]]="","",_xlfn.XLOOKUP(tblOrdenes[[#This Row],[puesto_trabajo]],tblPuestos[codigo],tblPuestos[especialidad],"(sin catálogo)"))</f>
        <v/>
      </c>
      <c r="AB1034" s="5">
        <f>IF(tblOrdenes[[#This Row],[cod_actividad]]="","",_xlfn.XLOOKUP(tblOrdenes[[#This Row],[cod_actividad]],tblActividades[codigo],tblActividades[descripcion],"(sin catálogo)"))</f>
        <v/>
      </c>
      <c r="AC1034" s="20">
        <f>IF(tblOrdenes[[#This Row],[fecha_inicio]]="","",TODAY()-tblOrdenes[[#This Row],[fecha_inicio]])</f>
        <v/>
      </c>
      <c r="AD10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4" s="5">
        <f>IF(tblOrdenes[[#This Row],[backlog_habiles]]="","",IF(tblOrdenes[[#This Row],[backlog_habiles]]&lt;0,"FUTURO",IF(tblOrdenes[[#This Row],[backlog_habiles]]&gt;p_dias_backlog_max,"BACKLOG","MES CORRIENTE")))</f>
        <v/>
      </c>
      <c r="AF1034" s="5">
        <f>IF(tblOrdenes[[#This Row],[backlog_habiles]]="",FALSE,AND(tblOrdenes[[#This Row],[backlog_habiles]]&gt;p_dias_backlog_min,tblOrdenes[[#This Row],[backlog_habiles]]&lt;=p_dias_backlog_max))</f>
        <v/>
      </c>
      <c r="AG1034" s="4" t="n"/>
      <c r="AH10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4" s="18">
        <f>IF(tblOrdenes[[#This Row],[orden]]="","",_xlfn.XLOOKUP(tblOrdenes[[#This Row],[id_operacion]],tblEjecucion[id_operacion],tblEjecucion[precio],0))</f>
        <v/>
      </c>
      <c r="AL1034" s="18">
        <f>IF(tblOrdenes[[#This Row],[orden]]="","",MAX(0,_xlfn.XLOOKUP(tblOrdenes[[#This Row],[id_operacion]],tblEjecucion[id_operacion],tblEjecucion[costo_plan_total],0)-tblOrdenes[[#This Row],[costo_servicio]]))</f>
        <v/>
      </c>
      <c r="AM1034" s="18">
        <f>IF(tblOrdenes[[#This Row],[orden]]="","",tblOrdenes[[#This Row],[costo_servicio]]+tblOrdenes[[#This Row],[costo_materiales]])</f>
        <v/>
      </c>
      <c r="AN10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4" s="4" t="n"/>
      <c r="AP1034" s="4" t="n"/>
      <c r="AQ1034" s="4" t="n"/>
      <c r="AR1034" s="5">
        <f>IF(tblOrdenes[[#This Row],[link_checklist]]="","",HYPERLINK(p_ruta_base_checklists&amp;tblOrdenes[[#This Row],[link_checklist]],"abrir"))</f>
        <v/>
      </c>
      <c r="AS1034" s="4" t="n"/>
      <c r="AT1034" s="5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22" t="n"/>
      <c r="K1035" s="5" t="n"/>
      <c r="L1035" s="18" t="n"/>
      <c r="M10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5">
        <f>IF(tblOrdenes[[#This Row],[fecha_inicio]]="","",YEAR(tblOrdenes[[#This Row],[fecha_inicio]]))</f>
        <v/>
      </c>
      <c r="Q1035" s="5">
        <f>IF(tblOrdenes[[#This Row],[fecha_inicio]]="","",MONTH(tblOrdenes[[#This Row],[fecha_inicio]]))</f>
        <v/>
      </c>
      <c r="R1035" s="5">
        <f>IF(tblOrdenes[[#This Row],[fecha_inicio]]="","",tblOrdenes[[#This Row],[anio]]&amp;"-"&amp;TEXT(tblOrdenes[[#This Row],[mes]],"00"))</f>
        <v/>
      </c>
      <c r="S1035" s="5">
        <f>IF(tblOrdenes[[#This Row],[fecha_inicio]]="","",INDEX(lista_dias,WEEKDAY(tblOrdenes[[#This Row],[fecha_inicio]],2)))</f>
        <v/>
      </c>
      <c r="T10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5" s="5">
        <f>IF(tblOrdenes[[#This Row],[tipo_ot]]="","",_xlfn.XLOOKUP(tblOrdenes[[#This Row],[tipo_ot]],tblTiposOT[codigo],tblTiposOT[clasificacion],"sin_clasificar"))</f>
        <v/>
      </c>
      <c r="V10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5" s="5">
        <f>IF(tblOrdenes[[#This Row],[centro_costo]]="","",_xlfn.XLOOKUP(tblOrdenes[[#This Row],[centro_costo]],tblCECO[codigo],tblCECO[linea],"(sin catálogo)"))</f>
        <v/>
      </c>
      <c r="X1035" s="5">
        <f>IF(tblOrdenes[[#This Row],[centro_costo]]="","",_xlfn.XLOOKUP(tblOrdenes[[#This Row],[centro_costo]],tblCECO[codigo],tblCECO[area],"(sin catálogo)"))</f>
        <v/>
      </c>
      <c r="Y10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5" s="5">
        <f>IF(tblOrdenes[[#This Row],[centro_costo]]="","",_xlfn.XLOOKUP(tblOrdenes[[#This Row],[centro_costo]],tblCECO[codigo],tblCECO[coordinador],"(sin catálogo)"))</f>
        <v/>
      </c>
      <c r="AA1035" s="5">
        <f>IF(tblOrdenes[[#This Row],[puesto_trabajo]]="","",_xlfn.XLOOKUP(tblOrdenes[[#This Row],[puesto_trabajo]],tblPuestos[codigo],tblPuestos[especialidad],"(sin catálogo)"))</f>
        <v/>
      </c>
      <c r="AB1035" s="5">
        <f>IF(tblOrdenes[[#This Row],[cod_actividad]]="","",_xlfn.XLOOKUP(tblOrdenes[[#This Row],[cod_actividad]],tblActividades[codigo],tblActividades[descripcion],"(sin catálogo)"))</f>
        <v/>
      </c>
      <c r="AC1035" s="20">
        <f>IF(tblOrdenes[[#This Row],[fecha_inicio]]="","",TODAY()-tblOrdenes[[#This Row],[fecha_inicio]])</f>
        <v/>
      </c>
      <c r="AD10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5" s="5">
        <f>IF(tblOrdenes[[#This Row],[backlog_habiles]]="","",IF(tblOrdenes[[#This Row],[backlog_habiles]]&lt;0,"FUTURO",IF(tblOrdenes[[#This Row],[backlog_habiles]]&gt;p_dias_backlog_max,"BACKLOG","MES CORRIENTE")))</f>
        <v/>
      </c>
      <c r="AF1035" s="5">
        <f>IF(tblOrdenes[[#This Row],[backlog_habiles]]="",FALSE,AND(tblOrdenes[[#This Row],[backlog_habiles]]&gt;p_dias_backlog_min,tblOrdenes[[#This Row],[backlog_habiles]]&lt;=p_dias_backlog_max))</f>
        <v/>
      </c>
      <c r="AG1035" s="4" t="n"/>
      <c r="AH10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5" s="18">
        <f>IF(tblOrdenes[[#This Row],[orden]]="","",_xlfn.XLOOKUP(tblOrdenes[[#This Row],[id_operacion]],tblEjecucion[id_operacion],tblEjecucion[precio],0))</f>
        <v/>
      </c>
      <c r="AL1035" s="18">
        <f>IF(tblOrdenes[[#This Row],[orden]]="","",MAX(0,_xlfn.XLOOKUP(tblOrdenes[[#This Row],[id_operacion]],tblEjecucion[id_operacion],tblEjecucion[costo_plan_total],0)-tblOrdenes[[#This Row],[costo_servicio]]))</f>
        <v/>
      </c>
      <c r="AM1035" s="18">
        <f>IF(tblOrdenes[[#This Row],[orden]]="","",tblOrdenes[[#This Row],[costo_servicio]]+tblOrdenes[[#This Row],[costo_materiales]])</f>
        <v/>
      </c>
      <c r="AN10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5" s="4" t="n"/>
      <c r="AP1035" s="4" t="n"/>
      <c r="AQ1035" s="4" t="n"/>
      <c r="AR1035" s="5">
        <f>IF(tblOrdenes[[#This Row],[link_checklist]]="","",HYPERLINK(p_ruta_base_checklists&amp;tblOrdenes[[#This Row],[link_checklist]],"abrir"))</f>
        <v/>
      </c>
      <c r="AS1035" s="4" t="n"/>
      <c r="AT1035" s="5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22" t="n"/>
      <c r="K1036" s="5" t="n"/>
      <c r="L1036" s="18" t="n"/>
      <c r="M10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5">
        <f>IF(tblOrdenes[[#This Row],[fecha_inicio]]="","",YEAR(tblOrdenes[[#This Row],[fecha_inicio]]))</f>
        <v/>
      </c>
      <c r="Q1036" s="5">
        <f>IF(tblOrdenes[[#This Row],[fecha_inicio]]="","",MONTH(tblOrdenes[[#This Row],[fecha_inicio]]))</f>
        <v/>
      </c>
      <c r="R1036" s="5">
        <f>IF(tblOrdenes[[#This Row],[fecha_inicio]]="","",tblOrdenes[[#This Row],[anio]]&amp;"-"&amp;TEXT(tblOrdenes[[#This Row],[mes]],"00"))</f>
        <v/>
      </c>
      <c r="S1036" s="5">
        <f>IF(tblOrdenes[[#This Row],[fecha_inicio]]="","",INDEX(lista_dias,WEEKDAY(tblOrdenes[[#This Row],[fecha_inicio]],2)))</f>
        <v/>
      </c>
      <c r="T10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6" s="5">
        <f>IF(tblOrdenes[[#This Row],[tipo_ot]]="","",_xlfn.XLOOKUP(tblOrdenes[[#This Row],[tipo_ot]],tblTiposOT[codigo],tblTiposOT[clasificacion],"sin_clasificar"))</f>
        <v/>
      </c>
      <c r="V10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6" s="5">
        <f>IF(tblOrdenes[[#This Row],[centro_costo]]="","",_xlfn.XLOOKUP(tblOrdenes[[#This Row],[centro_costo]],tblCECO[codigo],tblCECO[linea],"(sin catálogo)"))</f>
        <v/>
      </c>
      <c r="X1036" s="5">
        <f>IF(tblOrdenes[[#This Row],[centro_costo]]="","",_xlfn.XLOOKUP(tblOrdenes[[#This Row],[centro_costo]],tblCECO[codigo],tblCECO[area],"(sin catálogo)"))</f>
        <v/>
      </c>
      <c r="Y10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6" s="5">
        <f>IF(tblOrdenes[[#This Row],[centro_costo]]="","",_xlfn.XLOOKUP(tblOrdenes[[#This Row],[centro_costo]],tblCECO[codigo],tblCECO[coordinador],"(sin catálogo)"))</f>
        <v/>
      </c>
      <c r="AA1036" s="5">
        <f>IF(tblOrdenes[[#This Row],[puesto_trabajo]]="","",_xlfn.XLOOKUP(tblOrdenes[[#This Row],[puesto_trabajo]],tblPuestos[codigo],tblPuestos[especialidad],"(sin catálogo)"))</f>
        <v/>
      </c>
      <c r="AB1036" s="5">
        <f>IF(tblOrdenes[[#This Row],[cod_actividad]]="","",_xlfn.XLOOKUP(tblOrdenes[[#This Row],[cod_actividad]],tblActividades[codigo],tblActividades[descripcion],"(sin catálogo)"))</f>
        <v/>
      </c>
      <c r="AC1036" s="20">
        <f>IF(tblOrdenes[[#This Row],[fecha_inicio]]="","",TODAY()-tblOrdenes[[#This Row],[fecha_inicio]])</f>
        <v/>
      </c>
      <c r="AD10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6" s="5">
        <f>IF(tblOrdenes[[#This Row],[backlog_habiles]]="","",IF(tblOrdenes[[#This Row],[backlog_habiles]]&lt;0,"FUTURO",IF(tblOrdenes[[#This Row],[backlog_habiles]]&gt;p_dias_backlog_max,"BACKLOG","MES CORRIENTE")))</f>
        <v/>
      </c>
      <c r="AF1036" s="5">
        <f>IF(tblOrdenes[[#This Row],[backlog_habiles]]="",FALSE,AND(tblOrdenes[[#This Row],[backlog_habiles]]&gt;p_dias_backlog_min,tblOrdenes[[#This Row],[backlog_habiles]]&lt;=p_dias_backlog_max))</f>
        <v/>
      </c>
      <c r="AG1036" s="4" t="n"/>
      <c r="AH10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6" s="18">
        <f>IF(tblOrdenes[[#This Row],[orden]]="","",_xlfn.XLOOKUP(tblOrdenes[[#This Row],[id_operacion]],tblEjecucion[id_operacion],tblEjecucion[precio],0))</f>
        <v/>
      </c>
      <c r="AL1036" s="18">
        <f>IF(tblOrdenes[[#This Row],[orden]]="","",MAX(0,_xlfn.XLOOKUP(tblOrdenes[[#This Row],[id_operacion]],tblEjecucion[id_operacion],tblEjecucion[costo_plan_total],0)-tblOrdenes[[#This Row],[costo_servicio]]))</f>
        <v/>
      </c>
      <c r="AM1036" s="18">
        <f>IF(tblOrdenes[[#This Row],[orden]]="","",tblOrdenes[[#This Row],[costo_servicio]]+tblOrdenes[[#This Row],[costo_materiales]])</f>
        <v/>
      </c>
      <c r="AN10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6" s="4" t="n"/>
      <c r="AP1036" s="4" t="n"/>
      <c r="AQ1036" s="4" t="n"/>
      <c r="AR1036" s="5">
        <f>IF(tblOrdenes[[#This Row],[link_checklist]]="","",HYPERLINK(p_ruta_base_checklists&amp;tblOrdenes[[#This Row],[link_checklist]],"abrir"))</f>
        <v/>
      </c>
      <c r="AS1036" s="4" t="n"/>
      <c r="AT1036" s="5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22" t="n"/>
      <c r="K1037" s="5" t="n"/>
      <c r="L1037" s="18" t="n"/>
      <c r="M10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5">
        <f>IF(tblOrdenes[[#This Row],[fecha_inicio]]="","",YEAR(tblOrdenes[[#This Row],[fecha_inicio]]))</f>
        <v/>
      </c>
      <c r="Q1037" s="5">
        <f>IF(tblOrdenes[[#This Row],[fecha_inicio]]="","",MONTH(tblOrdenes[[#This Row],[fecha_inicio]]))</f>
        <v/>
      </c>
      <c r="R1037" s="5">
        <f>IF(tblOrdenes[[#This Row],[fecha_inicio]]="","",tblOrdenes[[#This Row],[anio]]&amp;"-"&amp;TEXT(tblOrdenes[[#This Row],[mes]],"00"))</f>
        <v/>
      </c>
      <c r="S1037" s="5">
        <f>IF(tblOrdenes[[#This Row],[fecha_inicio]]="","",INDEX(lista_dias,WEEKDAY(tblOrdenes[[#This Row],[fecha_inicio]],2)))</f>
        <v/>
      </c>
      <c r="T10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7" s="5">
        <f>IF(tblOrdenes[[#This Row],[tipo_ot]]="","",_xlfn.XLOOKUP(tblOrdenes[[#This Row],[tipo_ot]],tblTiposOT[codigo],tblTiposOT[clasificacion],"sin_clasificar"))</f>
        <v/>
      </c>
      <c r="V10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7" s="5">
        <f>IF(tblOrdenes[[#This Row],[centro_costo]]="","",_xlfn.XLOOKUP(tblOrdenes[[#This Row],[centro_costo]],tblCECO[codigo],tblCECO[linea],"(sin catálogo)"))</f>
        <v/>
      </c>
      <c r="X1037" s="5">
        <f>IF(tblOrdenes[[#This Row],[centro_costo]]="","",_xlfn.XLOOKUP(tblOrdenes[[#This Row],[centro_costo]],tblCECO[codigo],tblCECO[area],"(sin catálogo)"))</f>
        <v/>
      </c>
      <c r="Y10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7" s="5">
        <f>IF(tblOrdenes[[#This Row],[centro_costo]]="","",_xlfn.XLOOKUP(tblOrdenes[[#This Row],[centro_costo]],tblCECO[codigo],tblCECO[coordinador],"(sin catálogo)"))</f>
        <v/>
      </c>
      <c r="AA1037" s="5">
        <f>IF(tblOrdenes[[#This Row],[puesto_trabajo]]="","",_xlfn.XLOOKUP(tblOrdenes[[#This Row],[puesto_trabajo]],tblPuestos[codigo],tblPuestos[especialidad],"(sin catálogo)"))</f>
        <v/>
      </c>
      <c r="AB1037" s="5">
        <f>IF(tblOrdenes[[#This Row],[cod_actividad]]="","",_xlfn.XLOOKUP(tblOrdenes[[#This Row],[cod_actividad]],tblActividades[codigo],tblActividades[descripcion],"(sin catálogo)"))</f>
        <v/>
      </c>
      <c r="AC1037" s="20">
        <f>IF(tblOrdenes[[#This Row],[fecha_inicio]]="","",TODAY()-tblOrdenes[[#This Row],[fecha_inicio]])</f>
        <v/>
      </c>
      <c r="AD10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7" s="5">
        <f>IF(tblOrdenes[[#This Row],[backlog_habiles]]="","",IF(tblOrdenes[[#This Row],[backlog_habiles]]&lt;0,"FUTURO",IF(tblOrdenes[[#This Row],[backlog_habiles]]&gt;p_dias_backlog_max,"BACKLOG","MES CORRIENTE")))</f>
        <v/>
      </c>
      <c r="AF1037" s="5">
        <f>IF(tblOrdenes[[#This Row],[backlog_habiles]]="",FALSE,AND(tblOrdenes[[#This Row],[backlog_habiles]]&gt;p_dias_backlog_min,tblOrdenes[[#This Row],[backlog_habiles]]&lt;=p_dias_backlog_max))</f>
        <v/>
      </c>
      <c r="AG1037" s="4" t="n"/>
      <c r="AH10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7" s="18">
        <f>IF(tblOrdenes[[#This Row],[orden]]="","",_xlfn.XLOOKUP(tblOrdenes[[#This Row],[id_operacion]],tblEjecucion[id_operacion],tblEjecucion[precio],0))</f>
        <v/>
      </c>
      <c r="AL1037" s="18">
        <f>IF(tblOrdenes[[#This Row],[orden]]="","",MAX(0,_xlfn.XLOOKUP(tblOrdenes[[#This Row],[id_operacion]],tblEjecucion[id_operacion],tblEjecucion[costo_plan_total],0)-tblOrdenes[[#This Row],[costo_servicio]]))</f>
        <v/>
      </c>
      <c r="AM1037" s="18">
        <f>IF(tblOrdenes[[#This Row],[orden]]="","",tblOrdenes[[#This Row],[costo_servicio]]+tblOrdenes[[#This Row],[costo_materiales]])</f>
        <v/>
      </c>
      <c r="AN10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7" s="4" t="n"/>
      <c r="AP1037" s="4" t="n"/>
      <c r="AQ1037" s="4" t="n"/>
      <c r="AR1037" s="5">
        <f>IF(tblOrdenes[[#This Row],[link_checklist]]="","",HYPERLINK(p_ruta_base_checklists&amp;tblOrdenes[[#This Row],[link_checklist]],"abrir"))</f>
        <v/>
      </c>
      <c r="AS1037" s="4" t="n"/>
      <c r="AT1037" s="5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22" t="n"/>
      <c r="K1038" s="5" t="n"/>
      <c r="L1038" s="18" t="n"/>
      <c r="M10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5">
        <f>IF(tblOrdenes[[#This Row],[fecha_inicio]]="","",YEAR(tblOrdenes[[#This Row],[fecha_inicio]]))</f>
        <v/>
      </c>
      <c r="Q1038" s="5">
        <f>IF(tblOrdenes[[#This Row],[fecha_inicio]]="","",MONTH(tblOrdenes[[#This Row],[fecha_inicio]]))</f>
        <v/>
      </c>
      <c r="R1038" s="5">
        <f>IF(tblOrdenes[[#This Row],[fecha_inicio]]="","",tblOrdenes[[#This Row],[anio]]&amp;"-"&amp;TEXT(tblOrdenes[[#This Row],[mes]],"00"))</f>
        <v/>
      </c>
      <c r="S1038" s="5">
        <f>IF(tblOrdenes[[#This Row],[fecha_inicio]]="","",INDEX(lista_dias,WEEKDAY(tblOrdenes[[#This Row],[fecha_inicio]],2)))</f>
        <v/>
      </c>
      <c r="T10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8" s="5">
        <f>IF(tblOrdenes[[#This Row],[tipo_ot]]="","",_xlfn.XLOOKUP(tblOrdenes[[#This Row],[tipo_ot]],tblTiposOT[codigo],tblTiposOT[clasificacion],"sin_clasificar"))</f>
        <v/>
      </c>
      <c r="V10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8" s="5">
        <f>IF(tblOrdenes[[#This Row],[centro_costo]]="","",_xlfn.XLOOKUP(tblOrdenes[[#This Row],[centro_costo]],tblCECO[codigo],tblCECO[linea],"(sin catálogo)"))</f>
        <v/>
      </c>
      <c r="X1038" s="5">
        <f>IF(tblOrdenes[[#This Row],[centro_costo]]="","",_xlfn.XLOOKUP(tblOrdenes[[#This Row],[centro_costo]],tblCECO[codigo],tblCECO[area],"(sin catálogo)"))</f>
        <v/>
      </c>
      <c r="Y10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8" s="5">
        <f>IF(tblOrdenes[[#This Row],[centro_costo]]="","",_xlfn.XLOOKUP(tblOrdenes[[#This Row],[centro_costo]],tblCECO[codigo],tblCECO[coordinador],"(sin catálogo)"))</f>
        <v/>
      </c>
      <c r="AA1038" s="5">
        <f>IF(tblOrdenes[[#This Row],[puesto_trabajo]]="","",_xlfn.XLOOKUP(tblOrdenes[[#This Row],[puesto_trabajo]],tblPuestos[codigo],tblPuestos[especialidad],"(sin catálogo)"))</f>
        <v/>
      </c>
      <c r="AB1038" s="5">
        <f>IF(tblOrdenes[[#This Row],[cod_actividad]]="","",_xlfn.XLOOKUP(tblOrdenes[[#This Row],[cod_actividad]],tblActividades[codigo],tblActividades[descripcion],"(sin catálogo)"))</f>
        <v/>
      </c>
      <c r="AC1038" s="20">
        <f>IF(tblOrdenes[[#This Row],[fecha_inicio]]="","",TODAY()-tblOrdenes[[#This Row],[fecha_inicio]])</f>
        <v/>
      </c>
      <c r="AD10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8" s="5">
        <f>IF(tblOrdenes[[#This Row],[backlog_habiles]]="","",IF(tblOrdenes[[#This Row],[backlog_habiles]]&lt;0,"FUTURO",IF(tblOrdenes[[#This Row],[backlog_habiles]]&gt;p_dias_backlog_max,"BACKLOG","MES CORRIENTE")))</f>
        <v/>
      </c>
      <c r="AF1038" s="5">
        <f>IF(tblOrdenes[[#This Row],[backlog_habiles]]="",FALSE,AND(tblOrdenes[[#This Row],[backlog_habiles]]&gt;p_dias_backlog_min,tblOrdenes[[#This Row],[backlog_habiles]]&lt;=p_dias_backlog_max))</f>
        <v/>
      </c>
      <c r="AG1038" s="4" t="n"/>
      <c r="AH10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8" s="18">
        <f>IF(tblOrdenes[[#This Row],[orden]]="","",_xlfn.XLOOKUP(tblOrdenes[[#This Row],[id_operacion]],tblEjecucion[id_operacion],tblEjecucion[precio],0))</f>
        <v/>
      </c>
      <c r="AL1038" s="18">
        <f>IF(tblOrdenes[[#This Row],[orden]]="","",MAX(0,_xlfn.XLOOKUP(tblOrdenes[[#This Row],[id_operacion]],tblEjecucion[id_operacion],tblEjecucion[costo_plan_total],0)-tblOrdenes[[#This Row],[costo_servicio]]))</f>
        <v/>
      </c>
      <c r="AM1038" s="18">
        <f>IF(tblOrdenes[[#This Row],[orden]]="","",tblOrdenes[[#This Row],[costo_servicio]]+tblOrdenes[[#This Row],[costo_materiales]])</f>
        <v/>
      </c>
      <c r="AN10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8" s="4" t="n"/>
      <c r="AP1038" s="4" t="n"/>
      <c r="AQ1038" s="4" t="n"/>
      <c r="AR1038" s="5">
        <f>IF(tblOrdenes[[#This Row],[link_checklist]]="","",HYPERLINK(p_ruta_base_checklists&amp;tblOrdenes[[#This Row],[link_checklist]],"abrir"))</f>
        <v/>
      </c>
      <c r="AS1038" s="4" t="n"/>
      <c r="AT1038" s="5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22" t="n"/>
      <c r="K1039" s="5" t="n"/>
      <c r="L1039" s="18" t="n"/>
      <c r="M10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5">
        <f>IF(tblOrdenes[[#This Row],[fecha_inicio]]="","",YEAR(tblOrdenes[[#This Row],[fecha_inicio]]))</f>
        <v/>
      </c>
      <c r="Q1039" s="5">
        <f>IF(tblOrdenes[[#This Row],[fecha_inicio]]="","",MONTH(tblOrdenes[[#This Row],[fecha_inicio]]))</f>
        <v/>
      </c>
      <c r="R1039" s="5">
        <f>IF(tblOrdenes[[#This Row],[fecha_inicio]]="","",tblOrdenes[[#This Row],[anio]]&amp;"-"&amp;TEXT(tblOrdenes[[#This Row],[mes]],"00"))</f>
        <v/>
      </c>
      <c r="S1039" s="5">
        <f>IF(tblOrdenes[[#This Row],[fecha_inicio]]="","",INDEX(lista_dias,WEEKDAY(tblOrdenes[[#This Row],[fecha_inicio]],2)))</f>
        <v/>
      </c>
      <c r="T10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9" s="5">
        <f>IF(tblOrdenes[[#This Row],[tipo_ot]]="","",_xlfn.XLOOKUP(tblOrdenes[[#This Row],[tipo_ot]],tblTiposOT[codigo],tblTiposOT[clasificacion],"sin_clasificar"))</f>
        <v/>
      </c>
      <c r="V10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9" s="5">
        <f>IF(tblOrdenes[[#This Row],[centro_costo]]="","",_xlfn.XLOOKUP(tblOrdenes[[#This Row],[centro_costo]],tblCECO[codigo],tblCECO[linea],"(sin catálogo)"))</f>
        <v/>
      </c>
      <c r="X1039" s="5">
        <f>IF(tblOrdenes[[#This Row],[centro_costo]]="","",_xlfn.XLOOKUP(tblOrdenes[[#This Row],[centro_costo]],tblCECO[codigo],tblCECO[area],"(sin catálogo)"))</f>
        <v/>
      </c>
      <c r="Y10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39" s="5">
        <f>IF(tblOrdenes[[#This Row],[centro_costo]]="","",_xlfn.XLOOKUP(tblOrdenes[[#This Row],[centro_costo]],tblCECO[codigo],tblCECO[coordinador],"(sin catálogo)"))</f>
        <v/>
      </c>
      <c r="AA1039" s="5">
        <f>IF(tblOrdenes[[#This Row],[puesto_trabajo]]="","",_xlfn.XLOOKUP(tblOrdenes[[#This Row],[puesto_trabajo]],tblPuestos[codigo],tblPuestos[especialidad],"(sin catálogo)"))</f>
        <v/>
      </c>
      <c r="AB1039" s="5">
        <f>IF(tblOrdenes[[#This Row],[cod_actividad]]="","",_xlfn.XLOOKUP(tblOrdenes[[#This Row],[cod_actividad]],tblActividades[codigo],tblActividades[descripcion],"(sin catálogo)"))</f>
        <v/>
      </c>
      <c r="AC1039" s="20">
        <f>IF(tblOrdenes[[#This Row],[fecha_inicio]]="","",TODAY()-tblOrdenes[[#This Row],[fecha_inicio]])</f>
        <v/>
      </c>
      <c r="AD10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39" s="5">
        <f>IF(tblOrdenes[[#This Row],[backlog_habiles]]="","",IF(tblOrdenes[[#This Row],[backlog_habiles]]&lt;0,"FUTURO",IF(tblOrdenes[[#This Row],[backlog_habiles]]&gt;p_dias_backlog_max,"BACKLOG","MES CORRIENTE")))</f>
        <v/>
      </c>
      <c r="AF1039" s="5">
        <f>IF(tblOrdenes[[#This Row],[backlog_habiles]]="",FALSE,AND(tblOrdenes[[#This Row],[backlog_habiles]]&gt;p_dias_backlog_min,tblOrdenes[[#This Row],[backlog_habiles]]&lt;=p_dias_backlog_max))</f>
        <v/>
      </c>
      <c r="AG1039" s="4" t="n"/>
      <c r="AH10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39" s="18">
        <f>IF(tblOrdenes[[#This Row],[orden]]="","",_xlfn.XLOOKUP(tblOrdenes[[#This Row],[id_operacion]],tblEjecucion[id_operacion],tblEjecucion[precio],0))</f>
        <v/>
      </c>
      <c r="AL1039" s="18">
        <f>IF(tblOrdenes[[#This Row],[orden]]="","",MAX(0,_xlfn.XLOOKUP(tblOrdenes[[#This Row],[id_operacion]],tblEjecucion[id_operacion],tblEjecucion[costo_plan_total],0)-tblOrdenes[[#This Row],[costo_servicio]]))</f>
        <v/>
      </c>
      <c r="AM1039" s="18">
        <f>IF(tblOrdenes[[#This Row],[orden]]="","",tblOrdenes[[#This Row],[costo_servicio]]+tblOrdenes[[#This Row],[costo_materiales]])</f>
        <v/>
      </c>
      <c r="AN10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39" s="4" t="n"/>
      <c r="AP1039" s="4" t="n"/>
      <c r="AQ1039" s="4" t="n"/>
      <c r="AR1039" s="5">
        <f>IF(tblOrdenes[[#This Row],[link_checklist]]="","",HYPERLINK(p_ruta_base_checklists&amp;tblOrdenes[[#This Row],[link_checklist]],"abrir"))</f>
        <v/>
      </c>
      <c r="AS1039" s="4" t="n"/>
      <c r="AT1039" s="5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22" t="n"/>
      <c r="K1040" s="5" t="n"/>
      <c r="L1040" s="18" t="n"/>
      <c r="M10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5">
        <f>IF(tblOrdenes[[#This Row],[fecha_inicio]]="","",YEAR(tblOrdenes[[#This Row],[fecha_inicio]]))</f>
        <v/>
      </c>
      <c r="Q1040" s="5">
        <f>IF(tblOrdenes[[#This Row],[fecha_inicio]]="","",MONTH(tblOrdenes[[#This Row],[fecha_inicio]]))</f>
        <v/>
      </c>
      <c r="R1040" s="5">
        <f>IF(tblOrdenes[[#This Row],[fecha_inicio]]="","",tblOrdenes[[#This Row],[anio]]&amp;"-"&amp;TEXT(tblOrdenes[[#This Row],[mes]],"00"))</f>
        <v/>
      </c>
      <c r="S1040" s="5">
        <f>IF(tblOrdenes[[#This Row],[fecha_inicio]]="","",INDEX(lista_dias,WEEKDAY(tblOrdenes[[#This Row],[fecha_inicio]],2)))</f>
        <v/>
      </c>
      <c r="T10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0" s="5">
        <f>IF(tblOrdenes[[#This Row],[tipo_ot]]="","",_xlfn.XLOOKUP(tblOrdenes[[#This Row],[tipo_ot]],tblTiposOT[codigo],tblTiposOT[clasificacion],"sin_clasificar"))</f>
        <v/>
      </c>
      <c r="V10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0" s="5">
        <f>IF(tblOrdenes[[#This Row],[centro_costo]]="","",_xlfn.XLOOKUP(tblOrdenes[[#This Row],[centro_costo]],tblCECO[codigo],tblCECO[linea],"(sin catálogo)"))</f>
        <v/>
      </c>
      <c r="X1040" s="5">
        <f>IF(tblOrdenes[[#This Row],[centro_costo]]="","",_xlfn.XLOOKUP(tblOrdenes[[#This Row],[centro_costo]],tblCECO[codigo],tblCECO[area],"(sin catálogo)"))</f>
        <v/>
      </c>
      <c r="Y10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0" s="5">
        <f>IF(tblOrdenes[[#This Row],[centro_costo]]="","",_xlfn.XLOOKUP(tblOrdenes[[#This Row],[centro_costo]],tblCECO[codigo],tblCECO[coordinador],"(sin catálogo)"))</f>
        <v/>
      </c>
      <c r="AA1040" s="5">
        <f>IF(tblOrdenes[[#This Row],[puesto_trabajo]]="","",_xlfn.XLOOKUP(tblOrdenes[[#This Row],[puesto_trabajo]],tblPuestos[codigo],tblPuestos[especialidad],"(sin catálogo)"))</f>
        <v/>
      </c>
      <c r="AB1040" s="5">
        <f>IF(tblOrdenes[[#This Row],[cod_actividad]]="","",_xlfn.XLOOKUP(tblOrdenes[[#This Row],[cod_actividad]],tblActividades[codigo],tblActividades[descripcion],"(sin catálogo)"))</f>
        <v/>
      </c>
      <c r="AC1040" s="20">
        <f>IF(tblOrdenes[[#This Row],[fecha_inicio]]="","",TODAY()-tblOrdenes[[#This Row],[fecha_inicio]])</f>
        <v/>
      </c>
      <c r="AD10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0" s="5">
        <f>IF(tblOrdenes[[#This Row],[backlog_habiles]]="","",IF(tblOrdenes[[#This Row],[backlog_habiles]]&lt;0,"FUTURO",IF(tblOrdenes[[#This Row],[backlog_habiles]]&gt;p_dias_backlog_max,"BACKLOG","MES CORRIENTE")))</f>
        <v/>
      </c>
      <c r="AF1040" s="5">
        <f>IF(tblOrdenes[[#This Row],[backlog_habiles]]="",FALSE,AND(tblOrdenes[[#This Row],[backlog_habiles]]&gt;p_dias_backlog_min,tblOrdenes[[#This Row],[backlog_habiles]]&lt;=p_dias_backlog_max))</f>
        <v/>
      </c>
      <c r="AG1040" s="4" t="n"/>
      <c r="AH10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0" s="18">
        <f>IF(tblOrdenes[[#This Row],[orden]]="","",_xlfn.XLOOKUP(tblOrdenes[[#This Row],[id_operacion]],tblEjecucion[id_operacion],tblEjecucion[precio],0))</f>
        <v/>
      </c>
      <c r="AL1040" s="18">
        <f>IF(tblOrdenes[[#This Row],[orden]]="","",MAX(0,_xlfn.XLOOKUP(tblOrdenes[[#This Row],[id_operacion]],tblEjecucion[id_operacion],tblEjecucion[costo_plan_total],0)-tblOrdenes[[#This Row],[costo_servicio]]))</f>
        <v/>
      </c>
      <c r="AM1040" s="18">
        <f>IF(tblOrdenes[[#This Row],[orden]]="","",tblOrdenes[[#This Row],[costo_servicio]]+tblOrdenes[[#This Row],[costo_materiales]])</f>
        <v/>
      </c>
      <c r="AN10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0" s="4" t="n"/>
      <c r="AP1040" s="4" t="n"/>
      <c r="AQ1040" s="4" t="n"/>
      <c r="AR1040" s="5">
        <f>IF(tblOrdenes[[#This Row],[link_checklist]]="","",HYPERLINK(p_ruta_base_checklists&amp;tblOrdenes[[#This Row],[link_checklist]],"abrir"))</f>
        <v/>
      </c>
      <c r="AS1040" s="4" t="n"/>
      <c r="AT1040" s="5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22" t="n"/>
      <c r="K1041" s="5" t="n"/>
      <c r="L1041" s="18" t="n"/>
      <c r="M10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5">
        <f>IF(tblOrdenes[[#This Row],[fecha_inicio]]="","",YEAR(tblOrdenes[[#This Row],[fecha_inicio]]))</f>
        <v/>
      </c>
      <c r="Q1041" s="5">
        <f>IF(tblOrdenes[[#This Row],[fecha_inicio]]="","",MONTH(tblOrdenes[[#This Row],[fecha_inicio]]))</f>
        <v/>
      </c>
      <c r="R1041" s="5">
        <f>IF(tblOrdenes[[#This Row],[fecha_inicio]]="","",tblOrdenes[[#This Row],[anio]]&amp;"-"&amp;TEXT(tblOrdenes[[#This Row],[mes]],"00"))</f>
        <v/>
      </c>
      <c r="S1041" s="5">
        <f>IF(tblOrdenes[[#This Row],[fecha_inicio]]="","",INDEX(lista_dias,WEEKDAY(tblOrdenes[[#This Row],[fecha_inicio]],2)))</f>
        <v/>
      </c>
      <c r="T10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1" s="5">
        <f>IF(tblOrdenes[[#This Row],[tipo_ot]]="","",_xlfn.XLOOKUP(tblOrdenes[[#This Row],[tipo_ot]],tblTiposOT[codigo],tblTiposOT[clasificacion],"sin_clasificar"))</f>
        <v/>
      </c>
      <c r="V10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1" s="5">
        <f>IF(tblOrdenes[[#This Row],[centro_costo]]="","",_xlfn.XLOOKUP(tblOrdenes[[#This Row],[centro_costo]],tblCECO[codigo],tblCECO[linea],"(sin catálogo)"))</f>
        <v/>
      </c>
      <c r="X1041" s="5">
        <f>IF(tblOrdenes[[#This Row],[centro_costo]]="","",_xlfn.XLOOKUP(tblOrdenes[[#This Row],[centro_costo]],tblCECO[codigo],tblCECO[area],"(sin catálogo)"))</f>
        <v/>
      </c>
      <c r="Y10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1" s="5">
        <f>IF(tblOrdenes[[#This Row],[centro_costo]]="","",_xlfn.XLOOKUP(tblOrdenes[[#This Row],[centro_costo]],tblCECO[codigo],tblCECO[coordinador],"(sin catálogo)"))</f>
        <v/>
      </c>
      <c r="AA1041" s="5">
        <f>IF(tblOrdenes[[#This Row],[puesto_trabajo]]="","",_xlfn.XLOOKUP(tblOrdenes[[#This Row],[puesto_trabajo]],tblPuestos[codigo],tblPuestos[especialidad],"(sin catálogo)"))</f>
        <v/>
      </c>
      <c r="AB1041" s="5">
        <f>IF(tblOrdenes[[#This Row],[cod_actividad]]="","",_xlfn.XLOOKUP(tblOrdenes[[#This Row],[cod_actividad]],tblActividades[codigo],tblActividades[descripcion],"(sin catálogo)"))</f>
        <v/>
      </c>
      <c r="AC1041" s="20">
        <f>IF(tblOrdenes[[#This Row],[fecha_inicio]]="","",TODAY()-tblOrdenes[[#This Row],[fecha_inicio]])</f>
        <v/>
      </c>
      <c r="AD10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1" s="5">
        <f>IF(tblOrdenes[[#This Row],[backlog_habiles]]="","",IF(tblOrdenes[[#This Row],[backlog_habiles]]&lt;0,"FUTURO",IF(tblOrdenes[[#This Row],[backlog_habiles]]&gt;p_dias_backlog_max,"BACKLOG","MES CORRIENTE")))</f>
        <v/>
      </c>
      <c r="AF1041" s="5">
        <f>IF(tblOrdenes[[#This Row],[backlog_habiles]]="",FALSE,AND(tblOrdenes[[#This Row],[backlog_habiles]]&gt;p_dias_backlog_min,tblOrdenes[[#This Row],[backlog_habiles]]&lt;=p_dias_backlog_max))</f>
        <v/>
      </c>
      <c r="AG1041" s="4" t="n"/>
      <c r="AH10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1" s="18">
        <f>IF(tblOrdenes[[#This Row],[orden]]="","",_xlfn.XLOOKUP(tblOrdenes[[#This Row],[id_operacion]],tblEjecucion[id_operacion],tblEjecucion[precio],0))</f>
        <v/>
      </c>
      <c r="AL1041" s="18">
        <f>IF(tblOrdenes[[#This Row],[orden]]="","",MAX(0,_xlfn.XLOOKUP(tblOrdenes[[#This Row],[id_operacion]],tblEjecucion[id_operacion],tblEjecucion[costo_plan_total],0)-tblOrdenes[[#This Row],[costo_servicio]]))</f>
        <v/>
      </c>
      <c r="AM1041" s="18">
        <f>IF(tblOrdenes[[#This Row],[orden]]="","",tblOrdenes[[#This Row],[costo_servicio]]+tblOrdenes[[#This Row],[costo_materiales]])</f>
        <v/>
      </c>
      <c r="AN10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1" s="4" t="n"/>
      <c r="AP1041" s="4" t="n"/>
      <c r="AQ1041" s="4" t="n"/>
      <c r="AR1041" s="5">
        <f>IF(tblOrdenes[[#This Row],[link_checklist]]="","",HYPERLINK(p_ruta_base_checklists&amp;tblOrdenes[[#This Row],[link_checklist]],"abrir"))</f>
        <v/>
      </c>
      <c r="AS1041" s="4" t="n"/>
      <c r="AT1041" s="5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22" t="n"/>
      <c r="K1042" s="5" t="n"/>
      <c r="L1042" s="18" t="n"/>
      <c r="M10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5">
        <f>IF(tblOrdenes[[#This Row],[fecha_inicio]]="","",YEAR(tblOrdenes[[#This Row],[fecha_inicio]]))</f>
        <v/>
      </c>
      <c r="Q1042" s="5">
        <f>IF(tblOrdenes[[#This Row],[fecha_inicio]]="","",MONTH(tblOrdenes[[#This Row],[fecha_inicio]]))</f>
        <v/>
      </c>
      <c r="R1042" s="5">
        <f>IF(tblOrdenes[[#This Row],[fecha_inicio]]="","",tblOrdenes[[#This Row],[anio]]&amp;"-"&amp;TEXT(tblOrdenes[[#This Row],[mes]],"00"))</f>
        <v/>
      </c>
      <c r="S1042" s="5">
        <f>IF(tblOrdenes[[#This Row],[fecha_inicio]]="","",INDEX(lista_dias,WEEKDAY(tblOrdenes[[#This Row],[fecha_inicio]],2)))</f>
        <v/>
      </c>
      <c r="T10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2" s="5">
        <f>IF(tblOrdenes[[#This Row],[tipo_ot]]="","",_xlfn.XLOOKUP(tblOrdenes[[#This Row],[tipo_ot]],tblTiposOT[codigo],tblTiposOT[clasificacion],"sin_clasificar"))</f>
        <v/>
      </c>
      <c r="V10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2" s="5">
        <f>IF(tblOrdenes[[#This Row],[centro_costo]]="","",_xlfn.XLOOKUP(tblOrdenes[[#This Row],[centro_costo]],tblCECO[codigo],tblCECO[linea],"(sin catálogo)"))</f>
        <v/>
      </c>
      <c r="X1042" s="5">
        <f>IF(tblOrdenes[[#This Row],[centro_costo]]="","",_xlfn.XLOOKUP(tblOrdenes[[#This Row],[centro_costo]],tblCECO[codigo],tblCECO[area],"(sin catálogo)"))</f>
        <v/>
      </c>
      <c r="Y10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2" s="5">
        <f>IF(tblOrdenes[[#This Row],[centro_costo]]="","",_xlfn.XLOOKUP(tblOrdenes[[#This Row],[centro_costo]],tblCECO[codigo],tblCECO[coordinador],"(sin catálogo)"))</f>
        <v/>
      </c>
      <c r="AA1042" s="5">
        <f>IF(tblOrdenes[[#This Row],[puesto_trabajo]]="","",_xlfn.XLOOKUP(tblOrdenes[[#This Row],[puesto_trabajo]],tblPuestos[codigo],tblPuestos[especialidad],"(sin catálogo)"))</f>
        <v/>
      </c>
      <c r="AB1042" s="5">
        <f>IF(tblOrdenes[[#This Row],[cod_actividad]]="","",_xlfn.XLOOKUP(tblOrdenes[[#This Row],[cod_actividad]],tblActividades[codigo],tblActividades[descripcion],"(sin catálogo)"))</f>
        <v/>
      </c>
      <c r="AC1042" s="20">
        <f>IF(tblOrdenes[[#This Row],[fecha_inicio]]="","",TODAY()-tblOrdenes[[#This Row],[fecha_inicio]])</f>
        <v/>
      </c>
      <c r="AD10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2" s="5">
        <f>IF(tblOrdenes[[#This Row],[backlog_habiles]]="","",IF(tblOrdenes[[#This Row],[backlog_habiles]]&lt;0,"FUTURO",IF(tblOrdenes[[#This Row],[backlog_habiles]]&gt;p_dias_backlog_max,"BACKLOG","MES CORRIENTE")))</f>
        <v/>
      </c>
      <c r="AF1042" s="5">
        <f>IF(tblOrdenes[[#This Row],[backlog_habiles]]="",FALSE,AND(tblOrdenes[[#This Row],[backlog_habiles]]&gt;p_dias_backlog_min,tblOrdenes[[#This Row],[backlog_habiles]]&lt;=p_dias_backlog_max))</f>
        <v/>
      </c>
      <c r="AG1042" s="4" t="n"/>
      <c r="AH10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2" s="18">
        <f>IF(tblOrdenes[[#This Row],[orden]]="","",_xlfn.XLOOKUP(tblOrdenes[[#This Row],[id_operacion]],tblEjecucion[id_operacion],tblEjecucion[precio],0))</f>
        <v/>
      </c>
      <c r="AL1042" s="18">
        <f>IF(tblOrdenes[[#This Row],[orden]]="","",MAX(0,_xlfn.XLOOKUP(tblOrdenes[[#This Row],[id_operacion]],tblEjecucion[id_operacion],tblEjecucion[costo_plan_total],0)-tblOrdenes[[#This Row],[costo_servicio]]))</f>
        <v/>
      </c>
      <c r="AM1042" s="18">
        <f>IF(tblOrdenes[[#This Row],[orden]]="","",tblOrdenes[[#This Row],[costo_servicio]]+tblOrdenes[[#This Row],[costo_materiales]])</f>
        <v/>
      </c>
      <c r="AN10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2" s="4" t="n"/>
      <c r="AP1042" s="4" t="n"/>
      <c r="AQ1042" s="4" t="n"/>
      <c r="AR1042" s="5">
        <f>IF(tblOrdenes[[#This Row],[link_checklist]]="","",HYPERLINK(p_ruta_base_checklists&amp;tblOrdenes[[#This Row],[link_checklist]],"abrir"))</f>
        <v/>
      </c>
      <c r="AS1042" s="4" t="n"/>
      <c r="AT1042" s="5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22" t="n"/>
      <c r="K1043" s="5" t="n"/>
      <c r="L1043" s="18" t="n"/>
      <c r="M10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5">
        <f>IF(tblOrdenes[[#This Row],[fecha_inicio]]="","",YEAR(tblOrdenes[[#This Row],[fecha_inicio]]))</f>
        <v/>
      </c>
      <c r="Q1043" s="5">
        <f>IF(tblOrdenes[[#This Row],[fecha_inicio]]="","",MONTH(tblOrdenes[[#This Row],[fecha_inicio]]))</f>
        <v/>
      </c>
      <c r="R1043" s="5">
        <f>IF(tblOrdenes[[#This Row],[fecha_inicio]]="","",tblOrdenes[[#This Row],[anio]]&amp;"-"&amp;TEXT(tblOrdenes[[#This Row],[mes]],"00"))</f>
        <v/>
      </c>
      <c r="S1043" s="5">
        <f>IF(tblOrdenes[[#This Row],[fecha_inicio]]="","",INDEX(lista_dias,WEEKDAY(tblOrdenes[[#This Row],[fecha_inicio]],2)))</f>
        <v/>
      </c>
      <c r="T10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3" s="5">
        <f>IF(tblOrdenes[[#This Row],[tipo_ot]]="","",_xlfn.XLOOKUP(tblOrdenes[[#This Row],[tipo_ot]],tblTiposOT[codigo],tblTiposOT[clasificacion],"sin_clasificar"))</f>
        <v/>
      </c>
      <c r="V10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3" s="5">
        <f>IF(tblOrdenes[[#This Row],[centro_costo]]="","",_xlfn.XLOOKUP(tblOrdenes[[#This Row],[centro_costo]],tblCECO[codigo],tblCECO[linea],"(sin catálogo)"))</f>
        <v/>
      </c>
      <c r="X1043" s="5">
        <f>IF(tblOrdenes[[#This Row],[centro_costo]]="","",_xlfn.XLOOKUP(tblOrdenes[[#This Row],[centro_costo]],tblCECO[codigo],tblCECO[area],"(sin catálogo)"))</f>
        <v/>
      </c>
      <c r="Y10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3" s="5">
        <f>IF(tblOrdenes[[#This Row],[centro_costo]]="","",_xlfn.XLOOKUP(tblOrdenes[[#This Row],[centro_costo]],tblCECO[codigo],tblCECO[coordinador],"(sin catálogo)"))</f>
        <v/>
      </c>
      <c r="AA1043" s="5">
        <f>IF(tblOrdenes[[#This Row],[puesto_trabajo]]="","",_xlfn.XLOOKUP(tblOrdenes[[#This Row],[puesto_trabajo]],tblPuestos[codigo],tblPuestos[especialidad],"(sin catálogo)"))</f>
        <v/>
      </c>
      <c r="AB1043" s="5">
        <f>IF(tblOrdenes[[#This Row],[cod_actividad]]="","",_xlfn.XLOOKUP(tblOrdenes[[#This Row],[cod_actividad]],tblActividades[codigo],tblActividades[descripcion],"(sin catálogo)"))</f>
        <v/>
      </c>
      <c r="AC1043" s="20">
        <f>IF(tblOrdenes[[#This Row],[fecha_inicio]]="","",TODAY()-tblOrdenes[[#This Row],[fecha_inicio]])</f>
        <v/>
      </c>
      <c r="AD10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3" s="5">
        <f>IF(tblOrdenes[[#This Row],[backlog_habiles]]="","",IF(tblOrdenes[[#This Row],[backlog_habiles]]&lt;0,"FUTURO",IF(tblOrdenes[[#This Row],[backlog_habiles]]&gt;p_dias_backlog_max,"BACKLOG","MES CORRIENTE")))</f>
        <v/>
      </c>
      <c r="AF1043" s="5">
        <f>IF(tblOrdenes[[#This Row],[backlog_habiles]]="",FALSE,AND(tblOrdenes[[#This Row],[backlog_habiles]]&gt;p_dias_backlog_min,tblOrdenes[[#This Row],[backlog_habiles]]&lt;=p_dias_backlog_max))</f>
        <v/>
      </c>
      <c r="AG1043" s="4" t="n"/>
      <c r="AH10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3" s="18">
        <f>IF(tblOrdenes[[#This Row],[orden]]="","",_xlfn.XLOOKUP(tblOrdenes[[#This Row],[id_operacion]],tblEjecucion[id_operacion],tblEjecucion[precio],0))</f>
        <v/>
      </c>
      <c r="AL1043" s="18">
        <f>IF(tblOrdenes[[#This Row],[orden]]="","",MAX(0,_xlfn.XLOOKUP(tblOrdenes[[#This Row],[id_operacion]],tblEjecucion[id_operacion],tblEjecucion[costo_plan_total],0)-tblOrdenes[[#This Row],[costo_servicio]]))</f>
        <v/>
      </c>
      <c r="AM1043" s="18">
        <f>IF(tblOrdenes[[#This Row],[orden]]="","",tblOrdenes[[#This Row],[costo_servicio]]+tblOrdenes[[#This Row],[costo_materiales]])</f>
        <v/>
      </c>
      <c r="AN10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3" s="4" t="n"/>
      <c r="AP1043" s="4" t="n"/>
      <c r="AQ1043" s="4" t="n"/>
      <c r="AR1043" s="5">
        <f>IF(tblOrdenes[[#This Row],[link_checklist]]="","",HYPERLINK(p_ruta_base_checklists&amp;tblOrdenes[[#This Row],[link_checklist]],"abrir"))</f>
        <v/>
      </c>
      <c r="AS1043" s="4" t="n"/>
      <c r="AT1043" s="5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22" t="n"/>
      <c r="K1044" s="5" t="n"/>
      <c r="L1044" s="18" t="n"/>
      <c r="M10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5">
        <f>IF(tblOrdenes[[#This Row],[fecha_inicio]]="","",YEAR(tblOrdenes[[#This Row],[fecha_inicio]]))</f>
        <v/>
      </c>
      <c r="Q1044" s="5">
        <f>IF(tblOrdenes[[#This Row],[fecha_inicio]]="","",MONTH(tblOrdenes[[#This Row],[fecha_inicio]]))</f>
        <v/>
      </c>
      <c r="R1044" s="5">
        <f>IF(tblOrdenes[[#This Row],[fecha_inicio]]="","",tblOrdenes[[#This Row],[anio]]&amp;"-"&amp;TEXT(tblOrdenes[[#This Row],[mes]],"00"))</f>
        <v/>
      </c>
      <c r="S1044" s="5">
        <f>IF(tblOrdenes[[#This Row],[fecha_inicio]]="","",INDEX(lista_dias,WEEKDAY(tblOrdenes[[#This Row],[fecha_inicio]],2)))</f>
        <v/>
      </c>
      <c r="T10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4" s="5">
        <f>IF(tblOrdenes[[#This Row],[tipo_ot]]="","",_xlfn.XLOOKUP(tblOrdenes[[#This Row],[tipo_ot]],tblTiposOT[codigo],tblTiposOT[clasificacion],"sin_clasificar"))</f>
        <v/>
      </c>
      <c r="V10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4" s="5">
        <f>IF(tblOrdenes[[#This Row],[centro_costo]]="","",_xlfn.XLOOKUP(tblOrdenes[[#This Row],[centro_costo]],tblCECO[codigo],tblCECO[linea],"(sin catálogo)"))</f>
        <v/>
      </c>
      <c r="X1044" s="5">
        <f>IF(tblOrdenes[[#This Row],[centro_costo]]="","",_xlfn.XLOOKUP(tblOrdenes[[#This Row],[centro_costo]],tblCECO[codigo],tblCECO[area],"(sin catálogo)"))</f>
        <v/>
      </c>
      <c r="Y10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4" s="5">
        <f>IF(tblOrdenes[[#This Row],[centro_costo]]="","",_xlfn.XLOOKUP(tblOrdenes[[#This Row],[centro_costo]],tblCECO[codigo],tblCECO[coordinador],"(sin catálogo)"))</f>
        <v/>
      </c>
      <c r="AA1044" s="5">
        <f>IF(tblOrdenes[[#This Row],[puesto_trabajo]]="","",_xlfn.XLOOKUP(tblOrdenes[[#This Row],[puesto_trabajo]],tblPuestos[codigo],tblPuestos[especialidad],"(sin catálogo)"))</f>
        <v/>
      </c>
      <c r="AB1044" s="5">
        <f>IF(tblOrdenes[[#This Row],[cod_actividad]]="","",_xlfn.XLOOKUP(tblOrdenes[[#This Row],[cod_actividad]],tblActividades[codigo],tblActividades[descripcion],"(sin catálogo)"))</f>
        <v/>
      </c>
      <c r="AC1044" s="20">
        <f>IF(tblOrdenes[[#This Row],[fecha_inicio]]="","",TODAY()-tblOrdenes[[#This Row],[fecha_inicio]])</f>
        <v/>
      </c>
      <c r="AD10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4" s="5">
        <f>IF(tblOrdenes[[#This Row],[backlog_habiles]]="","",IF(tblOrdenes[[#This Row],[backlog_habiles]]&lt;0,"FUTURO",IF(tblOrdenes[[#This Row],[backlog_habiles]]&gt;p_dias_backlog_max,"BACKLOG","MES CORRIENTE")))</f>
        <v/>
      </c>
      <c r="AF1044" s="5">
        <f>IF(tblOrdenes[[#This Row],[backlog_habiles]]="",FALSE,AND(tblOrdenes[[#This Row],[backlog_habiles]]&gt;p_dias_backlog_min,tblOrdenes[[#This Row],[backlog_habiles]]&lt;=p_dias_backlog_max))</f>
        <v/>
      </c>
      <c r="AG1044" s="4" t="n"/>
      <c r="AH10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4" s="18">
        <f>IF(tblOrdenes[[#This Row],[orden]]="","",_xlfn.XLOOKUP(tblOrdenes[[#This Row],[id_operacion]],tblEjecucion[id_operacion],tblEjecucion[precio],0))</f>
        <v/>
      </c>
      <c r="AL1044" s="18">
        <f>IF(tblOrdenes[[#This Row],[orden]]="","",MAX(0,_xlfn.XLOOKUP(tblOrdenes[[#This Row],[id_operacion]],tblEjecucion[id_operacion],tblEjecucion[costo_plan_total],0)-tblOrdenes[[#This Row],[costo_servicio]]))</f>
        <v/>
      </c>
      <c r="AM1044" s="18">
        <f>IF(tblOrdenes[[#This Row],[orden]]="","",tblOrdenes[[#This Row],[costo_servicio]]+tblOrdenes[[#This Row],[costo_materiales]])</f>
        <v/>
      </c>
      <c r="AN10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4" s="4" t="n"/>
      <c r="AP1044" s="4" t="n"/>
      <c r="AQ1044" s="4" t="n"/>
      <c r="AR1044" s="5">
        <f>IF(tblOrdenes[[#This Row],[link_checklist]]="","",HYPERLINK(p_ruta_base_checklists&amp;tblOrdenes[[#This Row],[link_checklist]],"abrir"))</f>
        <v/>
      </c>
      <c r="AS1044" s="4" t="n"/>
      <c r="AT1044" s="5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22" t="n"/>
      <c r="K1045" s="5" t="n"/>
      <c r="L1045" s="18" t="n"/>
      <c r="M10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5">
        <f>IF(tblOrdenes[[#This Row],[fecha_inicio]]="","",YEAR(tblOrdenes[[#This Row],[fecha_inicio]]))</f>
        <v/>
      </c>
      <c r="Q1045" s="5">
        <f>IF(tblOrdenes[[#This Row],[fecha_inicio]]="","",MONTH(tblOrdenes[[#This Row],[fecha_inicio]]))</f>
        <v/>
      </c>
      <c r="R1045" s="5">
        <f>IF(tblOrdenes[[#This Row],[fecha_inicio]]="","",tblOrdenes[[#This Row],[anio]]&amp;"-"&amp;TEXT(tblOrdenes[[#This Row],[mes]],"00"))</f>
        <v/>
      </c>
      <c r="S1045" s="5">
        <f>IF(tblOrdenes[[#This Row],[fecha_inicio]]="","",INDEX(lista_dias,WEEKDAY(tblOrdenes[[#This Row],[fecha_inicio]],2)))</f>
        <v/>
      </c>
      <c r="T10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5" s="5">
        <f>IF(tblOrdenes[[#This Row],[tipo_ot]]="","",_xlfn.XLOOKUP(tblOrdenes[[#This Row],[tipo_ot]],tblTiposOT[codigo],tblTiposOT[clasificacion],"sin_clasificar"))</f>
        <v/>
      </c>
      <c r="V10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5" s="5">
        <f>IF(tblOrdenes[[#This Row],[centro_costo]]="","",_xlfn.XLOOKUP(tblOrdenes[[#This Row],[centro_costo]],tblCECO[codigo],tblCECO[linea],"(sin catálogo)"))</f>
        <v/>
      </c>
      <c r="X1045" s="5">
        <f>IF(tblOrdenes[[#This Row],[centro_costo]]="","",_xlfn.XLOOKUP(tblOrdenes[[#This Row],[centro_costo]],tblCECO[codigo],tblCECO[area],"(sin catálogo)"))</f>
        <v/>
      </c>
      <c r="Y10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5" s="5">
        <f>IF(tblOrdenes[[#This Row],[centro_costo]]="","",_xlfn.XLOOKUP(tblOrdenes[[#This Row],[centro_costo]],tblCECO[codigo],tblCECO[coordinador],"(sin catálogo)"))</f>
        <v/>
      </c>
      <c r="AA1045" s="5">
        <f>IF(tblOrdenes[[#This Row],[puesto_trabajo]]="","",_xlfn.XLOOKUP(tblOrdenes[[#This Row],[puesto_trabajo]],tblPuestos[codigo],tblPuestos[especialidad],"(sin catálogo)"))</f>
        <v/>
      </c>
      <c r="AB1045" s="5">
        <f>IF(tblOrdenes[[#This Row],[cod_actividad]]="","",_xlfn.XLOOKUP(tblOrdenes[[#This Row],[cod_actividad]],tblActividades[codigo],tblActividades[descripcion],"(sin catálogo)"))</f>
        <v/>
      </c>
      <c r="AC1045" s="20">
        <f>IF(tblOrdenes[[#This Row],[fecha_inicio]]="","",TODAY()-tblOrdenes[[#This Row],[fecha_inicio]])</f>
        <v/>
      </c>
      <c r="AD10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5" s="5">
        <f>IF(tblOrdenes[[#This Row],[backlog_habiles]]="","",IF(tblOrdenes[[#This Row],[backlog_habiles]]&lt;0,"FUTURO",IF(tblOrdenes[[#This Row],[backlog_habiles]]&gt;p_dias_backlog_max,"BACKLOG","MES CORRIENTE")))</f>
        <v/>
      </c>
      <c r="AF1045" s="5">
        <f>IF(tblOrdenes[[#This Row],[backlog_habiles]]="",FALSE,AND(tblOrdenes[[#This Row],[backlog_habiles]]&gt;p_dias_backlog_min,tblOrdenes[[#This Row],[backlog_habiles]]&lt;=p_dias_backlog_max))</f>
        <v/>
      </c>
      <c r="AG1045" s="4" t="n"/>
      <c r="AH10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5" s="18">
        <f>IF(tblOrdenes[[#This Row],[orden]]="","",_xlfn.XLOOKUP(tblOrdenes[[#This Row],[id_operacion]],tblEjecucion[id_operacion],tblEjecucion[precio],0))</f>
        <v/>
      </c>
      <c r="AL1045" s="18">
        <f>IF(tblOrdenes[[#This Row],[orden]]="","",MAX(0,_xlfn.XLOOKUP(tblOrdenes[[#This Row],[id_operacion]],tblEjecucion[id_operacion],tblEjecucion[costo_plan_total],0)-tblOrdenes[[#This Row],[costo_servicio]]))</f>
        <v/>
      </c>
      <c r="AM1045" s="18">
        <f>IF(tblOrdenes[[#This Row],[orden]]="","",tblOrdenes[[#This Row],[costo_servicio]]+tblOrdenes[[#This Row],[costo_materiales]])</f>
        <v/>
      </c>
      <c r="AN10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5" s="4" t="n"/>
      <c r="AP1045" s="4" t="n"/>
      <c r="AQ1045" s="4" t="n"/>
      <c r="AR1045" s="5">
        <f>IF(tblOrdenes[[#This Row],[link_checklist]]="","",HYPERLINK(p_ruta_base_checklists&amp;tblOrdenes[[#This Row],[link_checklist]],"abrir"))</f>
        <v/>
      </c>
      <c r="AS1045" s="4" t="n"/>
      <c r="AT1045" s="5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22" t="n"/>
      <c r="K1046" s="5" t="n"/>
      <c r="L1046" s="18" t="n"/>
      <c r="M10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5">
        <f>IF(tblOrdenes[[#This Row],[fecha_inicio]]="","",YEAR(tblOrdenes[[#This Row],[fecha_inicio]]))</f>
        <v/>
      </c>
      <c r="Q1046" s="5">
        <f>IF(tblOrdenes[[#This Row],[fecha_inicio]]="","",MONTH(tblOrdenes[[#This Row],[fecha_inicio]]))</f>
        <v/>
      </c>
      <c r="R1046" s="5">
        <f>IF(tblOrdenes[[#This Row],[fecha_inicio]]="","",tblOrdenes[[#This Row],[anio]]&amp;"-"&amp;TEXT(tblOrdenes[[#This Row],[mes]],"00"))</f>
        <v/>
      </c>
      <c r="S1046" s="5">
        <f>IF(tblOrdenes[[#This Row],[fecha_inicio]]="","",INDEX(lista_dias,WEEKDAY(tblOrdenes[[#This Row],[fecha_inicio]],2)))</f>
        <v/>
      </c>
      <c r="T10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6" s="5">
        <f>IF(tblOrdenes[[#This Row],[tipo_ot]]="","",_xlfn.XLOOKUP(tblOrdenes[[#This Row],[tipo_ot]],tblTiposOT[codigo],tblTiposOT[clasificacion],"sin_clasificar"))</f>
        <v/>
      </c>
      <c r="V10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6" s="5">
        <f>IF(tblOrdenes[[#This Row],[centro_costo]]="","",_xlfn.XLOOKUP(tblOrdenes[[#This Row],[centro_costo]],tblCECO[codigo],tblCECO[linea],"(sin catálogo)"))</f>
        <v/>
      </c>
      <c r="X1046" s="5">
        <f>IF(tblOrdenes[[#This Row],[centro_costo]]="","",_xlfn.XLOOKUP(tblOrdenes[[#This Row],[centro_costo]],tblCECO[codigo],tblCECO[area],"(sin catálogo)"))</f>
        <v/>
      </c>
      <c r="Y10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6" s="5">
        <f>IF(tblOrdenes[[#This Row],[centro_costo]]="","",_xlfn.XLOOKUP(tblOrdenes[[#This Row],[centro_costo]],tblCECO[codigo],tblCECO[coordinador],"(sin catálogo)"))</f>
        <v/>
      </c>
      <c r="AA1046" s="5">
        <f>IF(tblOrdenes[[#This Row],[puesto_trabajo]]="","",_xlfn.XLOOKUP(tblOrdenes[[#This Row],[puesto_trabajo]],tblPuestos[codigo],tblPuestos[especialidad],"(sin catálogo)"))</f>
        <v/>
      </c>
      <c r="AB1046" s="5">
        <f>IF(tblOrdenes[[#This Row],[cod_actividad]]="","",_xlfn.XLOOKUP(tblOrdenes[[#This Row],[cod_actividad]],tblActividades[codigo],tblActividades[descripcion],"(sin catálogo)"))</f>
        <v/>
      </c>
      <c r="AC1046" s="20">
        <f>IF(tblOrdenes[[#This Row],[fecha_inicio]]="","",TODAY()-tblOrdenes[[#This Row],[fecha_inicio]])</f>
        <v/>
      </c>
      <c r="AD10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6" s="5">
        <f>IF(tblOrdenes[[#This Row],[backlog_habiles]]="","",IF(tblOrdenes[[#This Row],[backlog_habiles]]&lt;0,"FUTURO",IF(tblOrdenes[[#This Row],[backlog_habiles]]&gt;p_dias_backlog_max,"BACKLOG","MES CORRIENTE")))</f>
        <v/>
      </c>
      <c r="AF1046" s="5">
        <f>IF(tblOrdenes[[#This Row],[backlog_habiles]]="",FALSE,AND(tblOrdenes[[#This Row],[backlog_habiles]]&gt;p_dias_backlog_min,tblOrdenes[[#This Row],[backlog_habiles]]&lt;=p_dias_backlog_max))</f>
        <v/>
      </c>
      <c r="AG1046" s="4" t="n"/>
      <c r="AH10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6" s="18">
        <f>IF(tblOrdenes[[#This Row],[orden]]="","",_xlfn.XLOOKUP(tblOrdenes[[#This Row],[id_operacion]],tblEjecucion[id_operacion],tblEjecucion[precio],0))</f>
        <v/>
      </c>
      <c r="AL1046" s="18">
        <f>IF(tblOrdenes[[#This Row],[orden]]="","",MAX(0,_xlfn.XLOOKUP(tblOrdenes[[#This Row],[id_operacion]],tblEjecucion[id_operacion],tblEjecucion[costo_plan_total],0)-tblOrdenes[[#This Row],[costo_servicio]]))</f>
        <v/>
      </c>
      <c r="AM1046" s="18">
        <f>IF(tblOrdenes[[#This Row],[orden]]="","",tblOrdenes[[#This Row],[costo_servicio]]+tblOrdenes[[#This Row],[costo_materiales]])</f>
        <v/>
      </c>
      <c r="AN10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6" s="4" t="n"/>
      <c r="AP1046" s="4" t="n"/>
      <c r="AQ1046" s="4" t="n"/>
      <c r="AR1046" s="5">
        <f>IF(tblOrdenes[[#This Row],[link_checklist]]="","",HYPERLINK(p_ruta_base_checklists&amp;tblOrdenes[[#This Row],[link_checklist]],"abrir"))</f>
        <v/>
      </c>
      <c r="AS1046" s="4" t="n"/>
      <c r="AT1046" s="5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22" t="n"/>
      <c r="K1047" s="5" t="n"/>
      <c r="L1047" s="18" t="n"/>
      <c r="M10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5">
        <f>IF(tblOrdenes[[#This Row],[fecha_inicio]]="","",YEAR(tblOrdenes[[#This Row],[fecha_inicio]]))</f>
        <v/>
      </c>
      <c r="Q1047" s="5">
        <f>IF(tblOrdenes[[#This Row],[fecha_inicio]]="","",MONTH(tblOrdenes[[#This Row],[fecha_inicio]]))</f>
        <v/>
      </c>
      <c r="R1047" s="5">
        <f>IF(tblOrdenes[[#This Row],[fecha_inicio]]="","",tblOrdenes[[#This Row],[anio]]&amp;"-"&amp;TEXT(tblOrdenes[[#This Row],[mes]],"00"))</f>
        <v/>
      </c>
      <c r="S1047" s="5">
        <f>IF(tblOrdenes[[#This Row],[fecha_inicio]]="","",INDEX(lista_dias,WEEKDAY(tblOrdenes[[#This Row],[fecha_inicio]],2)))</f>
        <v/>
      </c>
      <c r="T10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7" s="5">
        <f>IF(tblOrdenes[[#This Row],[tipo_ot]]="","",_xlfn.XLOOKUP(tblOrdenes[[#This Row],[tipo_ot]],tblTiposOT[codigo],tblTiposOT[clasificacion],"sin_clasificar"))</f>
        <v/>
      </c>
      <c r="V10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7" s="5">
        <f>IF(tblOrdenes[[#This Row],[centro_costo]]="","",_xlfn.XLOOKUP(tblOrdenes[[#This Row],[centro_costo]],tblCECO[codigo],tblCECO[linea],"(sin catálogo)"))</f>
        <v/>
      </c>
      <c r="X1047" s="5">
        <f>IF(tblOrdenes[[#This Row],[centro_costo]]="","",_xlfn.XLOOKUP(tblOrdenes[[#This Row],[centro_costo]],tblCECO[codigo],tblCECO[area],"(sin catálogo)"))</f>
        <v/>
      </c>
      <c r="Y10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7" s="5">
        <f>IF(tblOrdenes[[#This Row],[centro_costo]]="","",_xlfn.XLOOKUP(tblOrdenes[[#This Row],[centro_costo]],tblCECO[codigo],tblCECO[coordinador],"(sin catálogo)"))</f>
        <v/>
      </c>
      <c r="AA1047" s="5">
        <f>IF(tblOrdenes[[#This Row],[puesto_trabajo]]="","",_xlfn.XLOOKUP(tblOrdenes[[#This Row],[puesto_trabajo]],tblPuestos[codigo],tblPuestos[especialidad],"(sin catálogo)"))</f>
        <v/>
      </c>
      <c r="AB1047" s="5">
        <f>IF(tblOrdenes[[#This Row],[cod_actividad]]="","",_xlfn.XLOOKUP(tblOrdenes[[#This Row],[cod_actividad]],tblActividades[codigo],tblActividades[descripcion],"(sin catálogo)"))</f>
        <v/>
      </c>
      <c r="AC1047" s="20">
        <f>IF(tblOrdenes[[#This Row],[fecha_inicio]]="","",TODAY()-tblOrdenes[[#This Row],[fecha_inicio]])</f>
        <v/>
      </c>
      <c r="AD10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7" s="5">
        <f>IF(tblOrdenes[[#This Row],[backlog_habiles]]="","",IF(tblOrdenes[[#This Row],[backlog_habiles]]&lt;0,"FUTURO",IF(tblOrdenes[[#This Row],[backlog_habiles]]&gt;p_dias_backlog_max,"BACKLOG","MES CORRIENTE")))</f>
        <v/>
      </c>
      <c r="AF1047" s="5">
        <f>IF(tblOrdenes[[#This Row],[backlog_habiles]]="",FALSE,AND(tblOrdenes[[#This Row],[backlog_habiles]]&gt;p_dias_backlog_min,tblOrdenes[[#This Row],[backlog_habiles]]&lt;=p_dias_backlog_max))</f>
        <v/>
      </c>
      <c r="AG1047" s="4" t="n"/>
      <c r="AH10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7" s="18">
        <f>IF(tblOrdenes[[#This Row],[orden]]="","",_xlfn.XLOOKUP(tblOrdenes[[#This Row],[id_operacion]],tblEjecucion[id_operacion],tblEjecucion[precio],0))</f>
        <v/>
      </c>
      <c r="AL1047" s="18">
        <f>IF(tblOrdenes[[#This Row],[orden]]="","",MAX(0,_xlfn.XLOOKUP(tblOrdenes[[#This Row],[id_operacion]],tblEjecucion[id_operacion],tblEjecucion[costo_plan_total],0)-tblOrdenes[[#This Row],[costo_servicio]]))</f>
        <v/>
      </c>
      <c r="AM1047" s="18">
        <f>IF(tblOrdenes[[#This Row],[orden]]="","",tblOrdenes[[#This Row],[costo_servicio]]+tblOrdenes[[#This Row],[costo_materiales]])</f>
        <v/>
      </c>
      <c r="AN10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7" s="4" t="n"/>
      <c r="AP1047" s="4" t="n"/>
      <c r="AQ1047" s="4" t="n"/>
      <c r="AR1047" s="5">
        <f>IF(tblOrdenes[[#This Row],[link_checklist]]="","",HYPERLINK(p_ruta_base_checklists&amp;tblOrdenes[[#This Row],[link_checklist]],"abrir"))</f>
        <v/>
      </c>
      <c r="AS1047" s="4" t="n"/>
      <c r="AT1047" s="5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22" t="n"/>
      <c r="K1048" s="5" t="n"/>
      <c r="L1048" s="18" t="n"/>
      <c r="M10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5">
        <f>IF(tblOrdenes[[#This Row],[fecha_inicio]]="","",YEAR(tblOrdenes[[#This Row],[fecha_inicio]]))</f>
        <v/>
      </c>
      <c r="Q1048" s="5">
        <f>IF(tblOrdenes[[#This Row],[fecha_inicio]]="","",MONTH(tblOrdenes[[#This Row],[fecha_inicio]]))</f>
        <v/>
      </c>
      <c r="R1048" s="5">
        <f>IF(tblOrdenes[[#This Row],[fecha_inicio]]="","",tblOrdenes[[#This Row],[anio]]&amp;"-"&amp;TEXT(tblOrdenes[[#This Row],[mes]],"00"))</f>
        <v/>
      </c>
      <c r="S1048" s="5">
        <f>IF(tblOrdenes[[#This Row],[fecha_inicio]]="","",INDEX(lista_dias,WEEKDAY(tblOrdenes[[#This Row],[fecha_inicio]],2)))</f>
        <v/>
      </c>
      <c r="T10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8" s="5">
        <f>IF(tblOrdenes[[#This Row],[tipo_ot]]="","",_xlfn.XLOOKUP(tblOrdenes[[#This Row],[tipo_ot]],tblTiposOT[codigo],tblTiposOT[clasificacion],"sin_clasificar"))</f>
        <v/>
      </c>
      <c r="V10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8" s="5">
        <f>IF(tblOrdenes[[#This Row],[centro_costo]]="","",_xlfn.XLOOKUP(tblOrdenes[[#This Row],[centro_costo]],tblCECO[codigo],tblCECO[linea],"(sin catálogo)"))</f>
        <v/>
      </c>
      <c r="X1048" s="5">
        <f>IF(tblOrdenes[[#This Row],[centro_costo]]="","",_xlfn.XLOOKUP(tblOrdenes[[#This Row],[centro_costo]],tblCECO[codigo],tblCECO[area],"(sin catálogo)"))</f>
        <v/>
      </c>
      <c r="Y10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8" s="5">
        <f>IF(tblOrdenes[[#This Row],[centro_costo]]="","",_xlfn.XLOOKUP(tblOrdenes[[#This Row],[centro_costo]],tblCECO[codigo],tblCECO[coordinador],"(sin catálogo)"))</f>
        <v/>
      </c>
      <c r="AA1048" s="5">
        <f>IF(tblOrdenes[[#This Row],[puesto_trabajo]]="","",_xlfn.XLOOKUP(tblOrdenes[[#This Row],[puesto_trabajo]],tblPuestos[codigo],tblPuestos[especialidad],"(sin catálogo)"))</f>
        <v/>
      </c>
      <c r="AB1048" s="5">
        <f>IF(tblOrdenes[[#This Row],[cod_actividad]]="","",_xlfn.XLOOKUP(tblOrdenes[[#This Row],[cod_actividad]],tblActividades[codigo],tblActividades[descripcion],"(sin catálogo)"))</f>
        <v/>
      </c>
      <c r="AC1048" s="20">
        <f>IF(tblOrdenes[[#This Row],[fecha_inicio]]="","",TODAY()-tblOrdenes[[#This Row],[fecha_inicio]])</f>
        <v/>
      </c>
      <c r="AD10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8" s="5">
        <f>IF(tblOrdenes[[#This Row],[backlog_habiles]]="","",IF(tblOrdenes[[#This Row],[backlog_habiles]]&lt;0,"FUTURO",IF(tblOrdenes[[#This Row],[backlog_habiles]]&gt;p_dias_backlog_max,"BACKLOG","MES CORRIENTE")))</f>
        <v/>
      </c>
      <c r="AF1048" s="5">
        <f>IF(tblOrdenes[[#This Row],[backlog_habiles]]="",FALSE,AND(tblOrdenes[[#This Row],[backlog_habiles]]&gt;p_dias_backlog_min,tblOrdenes[[#This Row],[backlog_habiles]]&lt;=p_dias_backlog_max))</f>
        <v/>
      </c>
      <c r="AG1048" s="4" t="n"/>
      <c r="AH10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8" s="18">
        <f>IF(tblOrdenes[[#This Row],[orden]]="","",_xlfn.XLOOKUP(tblOrdenes[[#This Row],[id_operacion]],tblEjecucion[id_operacion],tblEjecucion[precio],0))</f>
        <v/>
      </c>
      <c r="AL1048" s="18">
        <f>IF(tblOrdenes[[#This Row],[orden]]="","",MAX(0,_xlfn.XLOOKUP(tblOrdenes[[#This Row],[id_operacion]],tblEjecucion[id_operacion],tblEjecucion[costo_plan_total],0)-tblOrdenes[[#This Row],[costo_servicio]]))</f>
        <v/>
      </c>
      <c r="AM1048" s="18">
        <f>IF(tblOrdenes[[#This Row],[orden]]="","",tblOrdenes[[#This Row],[costo_servicio]]+tblOrdenes[[#This Row],[costo_materiales]])</f>
        <v/>
      </c>
      <c r="AN10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8" s="4" t="n"/>
      <c r="AP1048" s="4" t="n"/>
      <c r="AQ1048" s="4" t="n"/>
      <c r="AR1048" s="5">
        <f>IF(tblOrdenes[[#This Row],[link_checklist]]="","",HYPERLINK(p_ruta_base_checklists&amp;tblOrdenes[[#This Row],[link_checklist]],"abrir"))</f>
        <v/>
      </c>
      <c r="AS1048" s="4" t="n"/>
      <c r="AT1048" s="5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22" t="n"/>
      <c r="K1049" s="5" t="n"/>
      <c r="L1049" s="18" t="n"/>
      <c r="M10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5">
        <f>IF(tblOrdenes[[#This Row],[fecha_inicio]]="","",YEAR(tblOrdenes[[#This Row],[fecha_inicio]]))</f>
        <v/>
      </c>
      <c r="Q1049" s="5">
        <f>IF(tblOrdenes[[#This Row],[fecha_inicio]]="","",MONTH(tblOrdenes[[#This Row],[fecha_inicio]]))</f>
        <v/>
      </c>
      <c r="R1049" s="5">
        <f>IF(tblOrdenes[[#This Row],[fecha_inicio]]="","",tblOrdenes[[#This Row],[anio]]&amp;"-"&amp;TEXT(tblOrdenes[[#This Row],[mes]],"00"))</f>
        <v/>
      </c>
      <c r="S1049" s="5">
        <f>IF(tblOrdenes[[#This Row],[fecha_inicio]]="","",INDEX(lista_dias,WEEKDAY(tblOrdenes[[#This Row],[fecha_inicio]],2)))</f>
        <v/>
      </c>
      <c r="T10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9" s="5">
        <f>IF(tblOrdenes[[#This Row],[tipo_ot]]="","",_xlfn.XLOOKUP(tblOrdenes[[#This Row],[tipo_ot]],tblTiposOT[codigo],tblTiposOT[clasificacion],"sin_clasificar"))</f>
        <v/>
      </c>
      <c r="V10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9" s="5">
        <f>IF(tblOrdenes[[#This Row],[centro_costo]]="","",_xlfn.XLOOKUP(tblOrdenes[[#This Row],[centro_costo]],tblCECO[codigo],tblCECO[linea],"(sin catálogo)"))</f>
        <v/>
      </c>
      <c r="X1049" s="5">
        <f>IF(tblOrdenes[[#This Row],[centro_costo]]="","",_xlfn.XLOOKUP(tblOrdenes[[#This Row],[centro_costo]],tblCECO[codigo],tblCECO[area],"(sin catálogo)"))</f>
        <v/>
      </c>
      <c r="Y10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49" s="5">
        <f>IF(tblOrdenes[[#This Row],[centro_costo]]="","",_xlfn.XLOOKUP(tblOrdenes[[#This Row],[centro_costo]],tblCECO[codigo],tblCECO[coordinador],"(sin catálogo)"))</f>
        <v/>
      </c>
      <c r="AA1049" s="5">
        <f>IF(tblOrdenes[[#This Row],[puesto_trabajo]]="","",_xlfn.XLOOKUP(tblOrdenes[[#This Row],[puesto_trabajo]],tblPuestos[codigo],tblPuestos[especialidad],"(sin catálogo)"))</f>
        <v/>
      </c>
      <c r="AB1049" s="5">
        <f>IF(tblOrdenes[[#This Row],[cod_actividad]]="","",_xlfn.XLOOKUP(tblOrdenes[[#This Row],[cod_actividad]],tblActividades[codigo],tblActividades[descripcion],"(sin catálogo)"))</f>
        <v/>
      </c>
      <c r="AC1049" s="20">
        <f>IF(tblOrdenes[[#This Row],[fecha_inicio]]="","",TODAY()-tblOrdenes[[#This Row],[fecha_inicio]])</f>
        <v/>
      </c>
      <c r="AD10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49" s="5">
        <f>IF(tblOrdenes[[#This Row],[backlog_habiles]]="","",IF(tblOrdenes[[#This Row],[backlog_habiles]]&lt;0,"FUTURO",IF(tblOrdenes[[#This Row],[backlog_habiles]]&gt;p_dias_backlog_max,"BACKLOG","MES CORRIENTE")))</f>
        <v/>
      </c>
      <c r="AF1049" s="5">
        <f>IF(tblOrdenes[[#This Row],[backlog_habiles]]="",FALSE,AND(tblOrdenes[[#This Row],[backlog_habiles]]&gt;p_dias_backlog_min,tblOrdenes[[#This Row],[backlog_habiles]]&lt;=p_dias_backlog_max))</f>
        <v/>
      </c>
      <c r="AG1049" s="4" t="n"/>
      <c r="AH10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49" s="18">
        <f>IF(tblOrdenes[[#This Row],[orden]]="","",_xlfn.XLOOKUP(tblOrdenes[[#This Row],[id_operacion]],tblEjecucion[id_operacion],tblEjecucion[precio],0))</f>
        <v/>
      </c>
      <c r="AL1049" s="18">
        <f>IF(tblOrdenes[[#This Row],[orden]]="","",MAX(0,_xlfn.XLOOKUP(tblOrdenes[[#This Row],[id_operacion]],tblEjecucion[id_operacion],tblEjecucion[costo_plan_total],0)-tblOrdenes[[#This Row],[costo_servicio]]))</f>
        <v/>
      </c>
      <c r="AM1049" s="18">
        <f>IF(tblOrdenes[[#This Row],[orden]]="","",tblOrdenes[[#This Row],[costo_servicio]]+tblOrdenes[[#This Row],[costo_materiales]])</f>
        <v/>
      </c>
      <c r="AN10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49" s="4" t="n"/>
      <c r="AP1049" s="4" t="n"/>
      <c r="AQ1049" s="4" t="n"/>
      <c r="AR1049" s="5">
        <f>IF(tblOrdenes[[#This Row],[link_checklist]]="","",HYPERLINK(p_ruta_base_checklists&amp;tblOrdenes[[#This Row],[link_checklist]],"abrir"))</f>
        <v/>
      </c>
      <c r="AS1049" s="4" t="n"/>
      <c r="AT1049" s="5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22" t="n"/>
      <c r="K1050" s="5" t="n"/>
      <c r="L1050" s="18" t="n"/>
      <c r="M10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5">
        <f>IF(tblOrdenes[[#This Row],[fecha_inicio]]="","",YEAR(tblOrdenes[[#This Row],[fecha_inicio]]))</f>
        <v/>
      </c>
      <c r="Q1050" s="5">
        <f>IF(tblOrdenes[[#This Row],[fecha_inicio]]="","",MONTH(tblOrdenes[[#This Row],[fecha_inicio]]))</f>
        <v/>
      </c>
      <c r="R1050" s="5">
        <f>IF(tblOrdenes[[#This Row],[fecha_inicio]]="","",tblOrdenes[[#This Row],[anio]]&amp;"-"&amp;TEXT(tblOrdenes[[#This Row],[mes]],"00"))</f>
        <v/>
      </c>
      <c r="S1050" s="5">
        <f>IF(tblOrdenes[[#This Row],[fecha_inicio]]="","",INDEX(lista_dias,WEEKDAY(tblOrdenes[[#This Row],[fecha_inicio]],2)))</f>
        <v/>
      </c>
      <c r="T10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0" s="5">
        <f>IF(tblOrdenes[[#This Row],[tipo_ot]]="","",_xlfn.XLOOKUP(tblOrdenes[[#This Row],[tipo_ot]],tblTiposOT[codigo],tblTiposOT[clasificacion],"sin_clasificar"))</f>
        <v/>
      </c>
      <c r="V10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0" s="5">
        <f>IF(tblOrdenes[[#This Row],[centro_costo]]="","",_xlfn.XLOOKUP(tblOrdenes[[#This Row],[centro_costo]],tblCECO[codigo],tblCECO[linea],"(sin catálogo)"))</f>
        <v/>
      </c>
      <c r="X1050" s="5">
        <f>IF(tblOrdenes[[#This Row],[centro_costo]]="","",_xlfn.XLOOKUP(tblOrdenes[[#This Row],[centro_costo]],tblCECO[codigo],tblCECO[area],"(sin catálogo)"))</f>
        <v/>
      </c>
      <c r="Y10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0" s="5">
        <f>IF(tblOrdenes[[#This Row],[centro_costo]]="","",_xlfn.XLOOKUP(tblOrdenes[[#This Row],[centro_costo]],tblCECO[codigo],tblCECO[coordinador],"(sin catálogo)"))</f>
        <v/>
      </c>
      <c r="AA1050" s="5">
        <f>IF(tblOrdenes[[#This Row],[puesto_trabajo]]="","",_xlfn.XLOOKUP(tblOrdenes[[#This Row],[puesto_trabajo]],tblPuestos[codigo],tblPuestos[especialidad],"(sin catálogo)"))</f>
        <v/>
      </c>
      <c r="AB1050" s="5">
        <f>IF(tblOrdenes[[#This Row],[cod_actividad]]="","",_xlfn.XLOOKUP(tblOrdenes[[#This Row],[cod_actividad]],tblActividades[codigo],tblActividades[descripcion],"(sin catálogo)"))</f>
        <v/>
      </c>
      <c r="AC1050" s="20">
        <f>IF(tblOrdenes[[#This Row],[fecha_inicio]]="","",TODAY()-tblOrdenes[[#This Row],[fecha_inicio]])</f>
        <v/>
      </c>
      <c r="AD10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0" s="5">
        <f>IF(tblOrdenes[[#This Row],[backlog_habiles]]="","",IF(tblOrdenes[[#This Row],[backlog_habiles]]&lt;0,"FUTURO",IF(tblOrdenes[[#This Row],[backlog_habiles]]&gt;p_dias_backlog_max,"BACKLOG","MES CORRIENTE")))</f>
        <v/>
      </c>
      <c r="AF1050" s="5">
        <f>IF(tblOrdenes[[#This Row],[backlog_habiles]]="",FALSE,AND(tblOrdenes[[#This Row],[backlog_habiles]]&gt;p_dias_backlog_min,tblOrdenes[[#This Row],[backlog_habiles]]&lt;=p_dias_backlog_max))</f>
        <v/>
      </c>
      <c r="AG1050" s="4" t="n"/>
      <c r="AH10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0" s="18">
        <f>IF(tblOrdenes[[#This Row],[orden]]="","",_xlfn.XLOOKUP(tblOrdenes[[#This Row],[id_operacion]],tblEjecucion[id_operacion],tblEjecucion[precio],0))</f>
        <v/>
      </c>
      <c r="AL1050" s="18">
        <f>IF(tblOrdenes[[#This Row],[orden]]="","",MAX(0,_xlfn.XLOOKUP(tblOrdenes[[#This Row],[id_operacion]],tblEjecucion[id_operacion],tblEjecucion[costo_plan_total],0)-tblOrdenes[[#This Row],[costo_servicio]]))</f>
        <v/>
      </c>
      <c r="AM1050" s="18">
        <f>IF(tblOrdenes[[#This Row],[orden]]="","",tblOrdenes[[#This Row],[costo_servicio]]+tblOrdenes[[#This Row],[costo_materiales]])</f>
        <v/>
      </c>
      <c r="AN10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0" s="4" t="n"/>
      <c r="AP1050" s="4" t="n"/>
      <c r="AQ1050" s="4" t="n"/>
      <c r="AR1050" s="5">
        <f>IF(tblOrdenes[[#This Row],[link_checklist]]="","",HYPERLINK(p_ruta_base_checklists&amp;tblOrdenes[[#This Row],[link_checklist]],"abrir"))</f>
        <v/>
      </c>
      <c r="AS1050" s="4" t="n"/>
      <c r="AT1050" s="5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22" t="n"/>
      <c r="K1051" s="5" t="n"/>
      <c r="L1051" s="18" t="n"/>
      <c r="M10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5">
        <f>IF(tblOrdenes[[#This Row],[fecha_inicio]]="","",YEAR(tblOrdenes[[#This Row],[fecha_inicio]]))</f>
        <v/>
      </c>
      <c r="Q1051" s="5">
        <f>IF(tblOrdenes[[#This Row],[fecha_inicio]]="","",MONTH(tblOrdenes[[#This Row],[fecha_inicio]]))</f>
        <v/>
      </c>
      <c r="R1051" s="5">
        <f>IF(tblOrdenes[[#This Row],[fecha_inicio]]="","",tblOrdenes[[#This Row],[anio]]&amp;"-"&amp;TEXT(tblOrdenes[[#This Row],[mes]],"00"))</f>
        <v/>
      </c>
      <c r="S1051" s="5">
        <f>IF(tblOrdenes[[#This Row],[fecha_inicio]]="","",INDEX(lista_dias,WEEKDAY(tblOrdenes[[#This Row],[fecha_inicio]],2)))</f>
        <v/>
      </c>
      <c r="T10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1" s="5">
        <f>IF(tblOrdenes[[#This Row],[tipo_ot]]="","",_xlfn.XLOOKUP(tblOrdenes[[#This Row],[tipo_ot]],tblTiposOT[codigo],tblTiposOT[clasificacion],"sin_clasificar"))</f>
        <v/>
      </c>
      <c r="V10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1" s="5">
        <f>IF(tblOrdenes[[#This Row],[centro_costo]]="","",_xlfn.XLOOKUP(tblOrdenes[[#This Row],[centro_costo]],tblCECO[codigo],tblCECO[linea],"(sin catálogo)"))</f>
        <v/>
      </c>
      <c r="X1051" s="5">
        <f>IF(tblOrdenes[[#This Row],[centro_costo]]="","",_xlfn.XLOOKUP(tblOrdenes[[#This Row],[centro_costo]],tblCECO[codigo],tblCECO[area],"(sin catálogo)"))</f>
        <v/>
      </c>
      <c r="Y10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1" s="5">
        <f>IF(tblOrdenes[[#This Row],[centro_costo]]="","",_xlfn.XLOOKUP(tblOrdenes[[#This Row],[centro_costo]],tblCECO[codigo],tblCECO[coordinador],"(sin catálogo)"))</f>
        <v/>
      </c>
      <c r="AA1051" s="5">
        <f>IF(tblOrdenes[[#This Row],[puesto_trabajo]]="","",_xlfn.XLOOKUP(tblOrdenes[[#This Row],[puesto_trabajo]],tblPuestos[codigo],tblPuestos[especialidad],"(sin catálogo)"))</f>
        <v/>
      </c>
      <c r="AB1051" s="5">
        <f>IF(tblOrdenes[[#This Row],[cod_actividad]]="","",_xlfn.XLOOKUP(tblOrdenes[[#This Row],[cod_actividad]],tblActividades[codigo],tblActividades[descripcion],"(sin catálogo)"))</f>
        <v/>
      </c>
      <c r="AC1051" s="20">
        <f>IF(tblOrdenes[[#This Row],[fecha_inicio]]="","",TODAY()-tblOrdenes[[#This Row],[fecha_inicio]])</f>
        <v/>
      </c>
      <c r="AD10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1" s="5">
        <f>IF(tblOrdenes[[#This Row],[backlog_habiles]]="","",IF(tblOrdenes[[#This Row],[backlog_habiles]]&lt;0,"FUTURO",IF(tblOrdenes[[#This Row],[backlog_habiles]]&gt;p_dias_backlog_max,"BACKLOG","MES CORRIENTE")))</f>
        <v/>
      </c>
      <c r="AF1051" s="5">
        <f>IF(tblOrdenes[[#This Row],[backlog_habiles]]="",FALSE,AND(tblOrdenes[[#This Row],[backlog_habiles]]&gt;p_dias_backlog_min,tblOrdenes[[#This Row],[backlog_habiles]]&lt;=p_dias_backlog_max))</f>
        <v/>
      </c>
      <c r="AG1051" s="4" t="n"/>
      <c r="AH10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1" s="18">
        <f>IF(tblOrdenes[[#This Row],[orden]]="","",_xlfn.XLOOKUP(tblOrdenes[[#This Row],[id_operacion]],tblEjecucion[id_operacion],tblEjecucion[precio],0))</f>
        <v/>
      </c>
      <c r="AL1051" s="18">
        <f>IF(tblOrdenes[[#This Row],[orden]]="","",MAX(0,_xlfn.XLOOKUP(tblOrdenes[[#This Row],[id_operacion]],tblEjecucion[id_operacion],tblEjecucion[costo_plan_total],0)-tblOrdenes[[#This Row],[costo_servicio]]))</f>
        <v/>
      </c>
      <c r="AM1051" s="18">
        <f>IF(tblOrdenes[[#This Row],[orden]]="","",tblOrdenes[[#This Row],[costo_servicio]]+tblOrdenes[[#This Row],[costo_materiales]])</f>
        <v/>
      </c>
      <c r="AN10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1" s="4" t="n"/>
      <c r="AP1051" s="4" t="n"/>
      <c r="AQ1051" s="4" t="n"/>
      <c r="AR1051" s="5">
        <f>IF(tblOrdenes[[#This Row],[link_checklist]]="","",HYPERLINK(p_ruta_base_checklists&amp;tblOrdenes[[#This Row],[link_checklist]],"abrir"))</f>
        <v/>
      </c>
      <c r="AS1051" s="4" t="n"/>
      <c r="AT1051" s="5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22" t="n"/>
      <c r="K1052" s="5" t="n"/>
      <c r="L1052" s="18" t="n"/>
      <c r="M10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5">
        <f>IF(tblOrdenes[[#This Row],[fecha_inicio]]="","",YEAR(tblOrdenes[[#This Row],[fecha_inicio]]))</f>
        <v/>
      </c>
      <c r="Q1052" s="5">
        <f>IF(tblOrdenes[[#This Row],[fecha_inicio]]="","",MONTH(tblOrdenes[[#This Row],[fecha_inicio]]))</f>
        <v/>
      </c>
      <c r="R1052" s="5">
        <f>IF(tblOrdenes[[#This Row],[fecha_inicio]]="","",tblOrdenes[[#This Row],[anio]]&amp;"-"&amp;TEXT(tblOrdenes[[#This Row],[mes]],"00"))</f>
        <v/>
      </c>
      <c r="S1052" s="5">
        <f>IF(tblOrdenes[[#This Row],[fecha_inicio]]="","",INDEX(lista_dias,WEEKDAY(tblOrdenes[[#This Row],[fecha_inicio]],2)))</f>
        <v/>
      </c>
      <c r="T10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2" s="5">
        <f>IF(tblOrdenes[[#This Row],[tipo_ot]]="","",_xlfn.XLOOKUP(tblOrdenes[[#This Row],[tipo_ot]],tblTiposOT[codigo],tblTiposOT[clasificacion],"sin_clasificar"))</f>
        <v/>
      </c>
      <c r="V10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2" s="5">
        <f>IF(tblOrdenes[[#This Row],[centro_costo]]="","",_xlfn.XLOOKUP(tblOrdenes[[#This Row],[centro_costo]],tblCECO[codigo],tblCECO[linea],"(sin catálogo)"))</f>
        <v/>
      </c>
      <c r="X1052" s="5">
        <f>IF(tblOrdenes[[#This Row],[centro_costo]]="","",_xlfn.XLOOKUP(tblOrdenes[[#This Row],[centro_costo]],tblCECO[codigo],tblCECO[area],"(sin catálogo)"))</f>
        <v/>
      </c>
      <c r="Y10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2" s="5">
        <f>IF(tblOrdenes[[#This Row],[centro_costo]]="","",_xlfn.XLOOKUP(tblOrdenes[[#This Row],[centro_costo]],tblCECO[codigo],tblCECO[coordinador],"(sin catálogo)"))</f>
        <v/>
      </c>
      <c r="AA1052" s="5">
        <f>IF(tblOrdenes[[#This Row],[puesto_trabajo]]="","",_xlfn.XLOOKUP(tblOrdenes[[#This Row],[puesto_trabajo]],tblPuestos[codigo],tblPuestos[especialidad],"(sin catálogo)"))</f>
        <v/>
      </c>
      <c r="AB1052" s="5">
        <f>IF(tblOrdenes[[#This Row],[cod_actividad]]="","",_xlfn.XLOOKUP(tblOrdenes[[#This Row],[cod_actividad]],tblActividades[codigo],tblActividades[descripcion],"(sin catálogo)"))</f>
        <v/>
      </c>
      <c r="AC1052" s="20">
        <f>IF(tblOrdenes[[#This Row],[fecha_inicio]]="","",TODAY()-tblOrdenes[[#This Row],[fecha_inicio]])</f>
        <v/>
      </c>
      <c r="AD10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2" s="5">
        <f>IF(tblOrdenes[[#This Row],[backlog_habiles]]="","",IF(tblOrdenes[[#This Row],[backlog_habiles]]&lt;0,"FUTURO",IF(tblOrdenes[[#This Row],[backlog_habiles]]&gt;p_dias_backlog_max,"BACKLOG","MES CORRIENTE")))</f>
        <v/>
      </c>
      <c r="AF1052" s="5">
        <f>IF(tblOrdenes[[#This Row],[backlog_habiles]]="",FALSE,AND(tblOrdenes[[#This Row],[backlog_habiles]]&gt;p_dias_backlog_min,tblOrdenes[[#This Row],[backlog_habiles]]&lt;=p_dias_backlog_max))</f>
        <v/>
      </c>
      <c r="AG1052" s="4" t="n"/>
      <c r="AH10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2" s="18">
        <f>IF(tblOrdenes[[#This Row],[orden]]="","",_xlfn.XLOOKUP(tblOrdenes[[#This Row],[id_operacion]],tblEjecucion[id_operacion],tblEjecucion[precio],0))</f>
        <v/>
      </c>
      <c r="AL1052" s="18">
        <f>IF(tblOrdenes[[#This Row],[orden]]="","",MAX(0,_xlfn.XLOOKUP(tblOrdenes[[#This Row],[id_operacion]],tblEjecucion[id_operacion],tblEjecucion[costo_plan_total],0)-tblOrdenes[[#This Row],[costo_servicio]]))</f>
        <v/>
      </c>
      <c r="AM1052" s="18">
        <f>IF(tblOrdenes[[#This Row],[orden]]="","",tblOrdenes[[#This Row],[costo_servicio]]+tblOrdenes[[#This Row],[costo_materiales]])</f>
        <v/>
      </c>
      <c r="AN10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2" s="4" t="n"/>
      <c r="AP1052" s="4" t="n"/>
      <c r="AQ1052" s="4" t="n"/>
      <c r="AR1052" s="5">
        <f>IF(tblOrdenes[[#This Row],[link_checklist]]="","",HYPERLINK(p_ruta_base_checklists&amp;tblOrdenes[[#This Row],[link_checklist]],"abrir"))</f>
        <v/>
      </c>
      <c r="AS1052" s="4" t="n"/>
      <c r="AT1052" s="5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22" t="n"/>
      <c r="K1053" s="5" t="n"/>
      <c r="L1053" s="18" t="n"/>
      <c r="M10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5">
        <f>IF(tblOrdenes[[#This Row],[fecha_inicio]]="","",YEAR(tblOrdenes[[#This Row],[fecha_inicio]]))</f>
        <v/>
      </c>
      <c r="Q1053" s="5">
        <f>IF(tblOrdenes[[#This Row],[fecha_inicio]]="","",MONTH(tblOrdenes[[#This Row],[fecha_inicio]]))</f>
        <v/>
      </c>
      <c r="R1053" s="5">
        <f>IF(tblOrdenes[[#This Row],[fecha_inicio]]="","",tblOrdenes[[#This Row],[anio]]&amp;"-"&amp;TEXT(tblOrdenes[[#This Row],[mes]],"00"))</f>
        <v/>
      </c>
      <c r="S1053" s="5">
        <f>IF(tblOrdenes[[#This Row],[fecha_inicio]]="","",INDEX(lista_dias,WEEKDAY(tblOrdenes[[#This Row],[fecha_inicio]],2)))</f>
        <v/>
      </c>
      <c r="T10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3" s="5">
        <f>IF(tblOrdenes[[#This Row],[tipo_ot]]="","",_xlfn.XLOOKUP(tblOrdenes[[#This Row],[tipo_ot]],tblTiposOT[codigo],tblTiposOT[clasificacion],"sin_clasificar"))</f>
        <v/>
      </c>
      <c r="V10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3" s="5">
        <f>IF(tblOrdenes[[#This Row],[centro_costo]]="","",_xlfn.XLOOKUP(tblOrdenes[[#This Row],[centro_costo]],tblCECO[codigo],tblCECO[linea],"(sin catálogo)"))</f>
        <v/>
      </c>
      <c r="X1053" s="5">
        <f>IF(tblOrdenes[[#This Row],[centro_costo]]="","",_xlfn.XLOOKUP(tblOrdenes[[#This Row],[centro_costo]],tblCECO[codigo],tblCECO[area],"(sin catálogo)"))</f>
        <v/>
      </c>
      <c r="Y10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3" s="5">
        <f>IF(tblOrdenes[[#This Row],[centro_costo]]="","",_xlfn.XLOOKUP(tblOrdenes[[#This Row],[centro_costo]],tblCECO[codigo],tblCECO[coordinador],"(sin catálogo)"))</f>
        <v/>
      </c>
      <c r="AA1053" s="5">
        <f>IF(tblOrdenes[[#This Row],[puesto_trabajo]]="","",_xlfn.XLOOKUP(tblOrdenes[[#This Row],[puesto_trabajo]],tblPuestos[codigo],tblPuestos[especialidad],"(sin catálogo)"))</f>
        <v/>
      </c>
      <c r="AB1053" s="5">
        <f>IF(tblOrdenes[[#This Row],[cod_actividad]]="","",_xlfn.XLOOKUP(tblOrdenes[[#This Row],[cod_actividad]],tblActividades[codigo],tblActividades[descripcion],"(sin catálogo)"))</f>
        <v/>
      </c>
      <c r="AC1053" s="20">
        <f>IF(tblOrdenes[[#This Row],[fecha_inicio]]="","",TODAY()-tblOrdenes[[#This Row],[fecha_inicio]])</f>
        <v/>
      </c>
      <c r="AD10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3" s="5">
        <f>IF(tblOrdenes[[#This Row],[backlog_habiles]]="","",IF(tblOrdenes[[#This Row],[backlog_habiles]]&lt;0,"FUTURO",IF(tblOrdenes[[#This Row],[backlog_habiles]]&gt;p_dias_backlog_max,"BACKLOG","MES CORRIENTE")))</f>
        <v/>
      </c>
      <c r="AF1053" s="5">
        <f>IF(tblOrdenes[[#This Row],[backlog_habiles]]="",FALSE,AND(tblOrdenes[[#This Row],[backlog_habiles]]&gt;p_dias_backlog_min,tblOrdenes[[#This Row],[backlog_habiles]]&lt;=p_dias_backlog_max))</f>
        <v/>
      </c>
      <c r="AG1053" s="4" t="n"/>
      <c r="AH10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3" s="18">
        <f>IF(tblOrdenes[[#This Row],[orden]]="","",_xlfn.XLOOKUP(tblOrdenes[[#This Row],[id_operacion]],tblEjecucion[id_operacion],tblEjecucion[precio],0))</f>
        <v/>
      </c>
      <c r="AL1053" s="18">
        <f>IF(tblOrdenes[[#This Row],[orden]]="","",MAX(0,_xlfn.XLOOKUP(tblOrdenes[[#This Row],[id_operacion]],tblEjecucion[id_operacion],tblEjecucion[costo_plan_total],0)-tblOrdenes[[#This Row],[costo_servicio]]))</f>
        <v/>
      </c>
      <c r="AM1053" s="18">
        <f>IF(tblOrdenes[[#This Row],[orden]]="","",tblOrdenes[[#This Row],[costo_servicio]]+tblOrdenes[[#This Row],[costo_materiales]])</f>
        <v/>
      </c>
      <c r="AN10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3" s="4" t="n"/>
      <c r="AP1053" s="4" t="n"/>
      <c r="AQ1053" s="4" t="n"/>
      <c r="AR1053" s="5">
        <f>IF(tblOrdenes[[#This Row],[link_checklist]]="","",HYPERLINK(p_ruta_base_checklists&amp;tblOrdenes[[#This Row],[link_checklist]],"abrir"))</f>
        <v/>
      </c>
      <c r="AS1053" s="4" t="n"/>
      <c r="AT1053" s="5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22" t="n"/>
      <c r="K1054" s="5" t="n"/>
      <c r="L1054" s="18" t="n"/>
      <c r="M10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5">
        <f>IF(tblOrdenes[[#This Row],[fecha_inicio]]="","",YEAR(tblOrdenes[[#This Row],[fecha_inicio]]))</f>
        <v/>
      </c>
      <c r="Q1054" s="5">
        <f>IF(tblOrdenes[[#This Row],[fecha_inicio]]="","",MONTH(tblOrdenes[[#This Row],[fecha_inicio]]))</f>
        <v/>
      </c>
      <c r="R1054" s="5">
        <f>IF(tblOrdenes[[#This Row],[fecha_inicio]]="","",tblOrdenes[[#This Row],[anio]]&amp;"-"&amp;TEXT(tblOrdenes[[#This Row],[mes]],"00"))</f>
        <v/>
      </c>
      <c r="S1054" s="5">
        <f>IF(tblOrdenes[[#This Row],[fecha_inicio]]="","",INDEX(lista_dias,WEEKDAY(tblOrdenes[[#This Row],[fecha_inicio]],2)))</f>
        <v/>
      </c>
      <c r="T10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4" s="5">
        <f>IF(tblOrdenes[[#This Row],[tipo_ot]]="","",_xlfn.XLOOKUP(tblOrdenes[[#This Row],[tipo_ot]],tblTiposOT[codigo],tblTiposOT[clasificacion],"sin_clasificar"))</f>
        <v/>
      </c>
      <c r="V10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4" s="5">
        <f>IF(tblOrdenes[[#This Row],[centro_costo]]="","",_xlfn.XLOOKUP(tblOrdenes[[#This Row],[centro_costo]],tblCECO[codigo],tblCECO[linea],"(sin catálogo)"))</f>
        <v/>
      </c>
      <c r="X1054" s="5">
        <f>IF(tblOrdenes[[#This Row],[centro_costo]]="","",_xlfn.XLOOKUP(tblOrdenes[[#This Row],[centro_costo]],tblCECO[codigo],tblCECO[area],"(sin catálogo)"))</f>
        <v/>
      </c>
      <c r="Y10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4" s="5">
        <f>IF(tblOrdenes[[#This Row],[centro_costo]]="","",_xlfn.XLOOKUP(tblOrdenes[[#This Row],[centro_costo]],tblCECO[codigo],tblCECO[coordinador],"(sin catálogo)"))</f>
        <v/>
      </c>
      <c r="AA1054" s="5">
        <f>IF(tblOrdenes[[#This Row],[puesto_trabajo]]="","",_xlfn.XLOOKUP(tblOrdenes[[#This Row],[puesto_trabajo]],tblPuestos[codigo],tblPuestos[especialidad],"(sin catálogo)"))</f>
        <v/>
      </c>
      <c r="AB1054" s="5">
        <f>IF(tblOrdenes[[#This Row],[cod_actividad]]="","",_xlfn.XLOOKUP(tblOrdenes[[#This Row],[cod_actividad]],tblActividades[codigo],tblActividades[descripcion],"(sin catálogo)"))</f>
        <v/>
      </c>
      <c r="AC1054" s="20">
        <f>IF(tblOrdenes[[#This Row],[fecha_inicio]]="","",TODAY()-tblOrdenes[[#This Row],[fecha_inicio]])</f>
        <v/>
      </c>
      <c r="AD10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4" s="5">
        <f>IF(tblOrdenes[[#This Row],[backlog_habiles]]="","",IF(tblOrdenes[[#This Row],[backlog_habiles]]&lt;0,"FUTURO",IF(tblOrdenes[[#This Row],[backlog_habiles]]&gt;p_dias_backlog_max,"BACKLOG","MES CORRIENTE")))</f>
        <v/>
      </c>
      <c r="AF1054" s="5">
        <f>IF(tblOrdenes[[#This Row],[backlog_habiles]]="",FALSE,AND(tblOrdenes[[#This Row],[backlog_habiles]]&gt;p_dias_backlog_min,tblOrdenes[[#This Row],[backlog_habiles]]&lt;=p_dias_backlog_max))</f>
        <v/>
      </c>
      <c r="AG1054" s="4" t="n"/>
      <c r="AH10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4" s="18">
        <f>IF(tblOrdenes[[#This Row],[orden]]="","",_xlfn.XLOOKUP(tblOrdenes[[#This Row],[id_operacion]],tblEjecucion[id_operacion],tblEjecucion[precio],0))</f>
        <v/>
      </c>
      <c r="AL1054" s="18">
        <f>IF(tblOrdenes[[#This Row],[orden]]="","",MAX(0,_xlfn.XLOOKUP(tblOrdenes[[#This Row],[id_operacion]],tblEjecucion[id_operacion],tblEjecucion[costo_plan_total],0)-tblOrdenes[[#This Row],[costo_servicio]]))</f>
        <v/>
      </c>
      <c r="AM1054" s="18">
        <f>IF(tblOrdenes[[#This Row],[orden]]="","",tblOrdenes[[#This Row],[costo_servicio]]+tblOrdenes[[#This Row],[costo_materiales]])</f>
        <v/>
      </c>
      <c r="AN10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4" s="4" t="n"/>
      <c r="AP1054" s="4" t="n"/>
      <c r="AQ1054" s="4" t="n"/>
      <c r="AR1054" s="5">
        <f>IF(tblOrdenes[[#This Row],[link_checklist]]="","",HYPERLINK(p_ruta_base_checklists&amp;tblOrdenes[[#This Row],[link_checklist]],"abrir"))</f>
        <v/>
      </c>
      <c r="AS1054" s="4" t="n"/>
      <c r="AT1054" s="5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22" t="n"/>
      <c r="K1055" s="5" t="n"/>
      <c r="L1055" s="18" t="n"/>
      <c r="M10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5">
        <f>IF(tblOrdenes[[#This Row],[fecha_inicio]]="","",YEAR(tblOrdenes[[#This Row],[fecha_inicio]]))</f>
        <v/>
      </c>
      <c r="Q1055" s="5">
        <f>IF(tblOrdenes[[#This Row],[fecha_inicio]]="","",MONTH(tblOrdenes[[#This Row],[fecha_inicio]]))</f>
        <v/>
      </c>
      <c r="R1055" s="5">
        <f>IF(tblOrdenes[[#This Row],[fecha_inicio]]="","",tblOrdenes[[#This Row],[anio]]&amp;"-"&amp;TEXT(tblOrdenes[[#This Row],[mes]],"00"))</f>
        <v/>
      </c>
      <c r="S1055" s="5">
        <f>IF(tblOrdenes[[#This Row],[fecha_inicio]]="","",INDEX(lista_dias,WEEKDAY(tblOrdenes[[#This Row],[fecha_inicio]],2)))</f>
        <v/>
      </c>
      <c r="T10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5" s="5">
        <f>IF(tblOrdenes[[#This Row],[tipo_ot]]="","",_xlfn.XLOOKUP(tblOrdenes[[#This Row],[tipo_ot]],tblTiposOT[codigo],tblTiposOT[clasificacion],"sin_clasificar"))</f>
        <v/>
      </c>
      <c r="V10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5" s="5">
        <f>IF(tblOrdenes[[#This Row],[centro_costo]]="","",_xlfn.XLOOKUP(tblOrdenes[[#This Row],[centro_costo]],tblCECO[codigo],tblCECO[linea],"(sin catálogo)"))</f>
        <v/>
      </c>
      <c r="X1055" s="5">
        <f>IF(tblOrdenes[[#This Row],[centro_costo]]="","",_xlfn.XLOOKUP(tblOrdenes[[#This Row],[centro_costo]],tblCECO[codigo],tblCECO[area],"(sin catálogo)"))</f>
        <v/>
      </c>
      <c r="Y10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5" s="5">
        <f>IF(tblOrdenes[[#This Row],[centro_costo]]="","",_xlfn.XLOOKUP(tblOrdenes[[#This Row],[centro_costo]],tblCECO[codigo],tblCECO[coordinador],"(sin catálogo)"))</f>
        <v/>
      </c>
      <c r="AA1055" s="5">
        <f>IF(tblOrdenes[[#This Row],[puesto_trabajo]]="","",_xlfn.XLOOKUP(tblOrdenes[[#This Row],[puesto_trabajo]],tblPuestos[codigo],tblPuestos[especialidad],"(sin catálogo)"))</f>
        <v/>
      </c>
      <c r="AB1055" s="5">
        <f>IF(tblOrdenes[[#This Row],[cod_actividad]]="","",_xlfn.XLOOKUP(tblOrdenes[[#This Row],[cod_actividad]],tblActividades[codigo],tblActividades[descripcion],"(sin catálogo)"))</f>
        <v/>
      </c>
      <c r="AC1055" s="20">
        <f>IF(tblOrdenes[[#This Row],[fecha_inicio]]="","",TODAY()-tblOrdenes[[#This Row],[fecha_inicio]])</f>
        <v/>
      </c>
      <c r="AD10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5" s="5">
        <f>IF(tblOrdenes[[#This Row],[backlog_habiles]]="","",IF(tblOrdenes[[#This Row],[backlog_habiles]]&lt;0,"FUTURO",IF(tblOrdenes[[#This Row],[backlog_habiles]]&gt;p_dias_backlog_max,"BACKLOG","MES CORRIENTE")))</f>
        <v/>
      </c>
      <c r="AF1055" s="5">
        <f>IF(tblOrdenes[[#This Row],[backlog_habiles]]="",FALSE,AND(tblOrdenes[[#This Row],[backlog_habiles]]&gt;p_dias_backlog_min,tblOrdenes[[#This Row],[backlog_habiles]]&lt;=p_dias_backlog_max))</f>
        <v/>
      </c>
      <c r="AG1055" s="4" t="n"/>
      <c r="AH10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5" s="18">
        <f>IF(tblOrdenes[[#This Row],[orden]]="","",_xlfn.XLOOKUP(tblOrdenes[[#This Row],[id_operacion]],tblEjecucion[id_operacion],tblEjecucion[precio],0))</f>
        <v/>
      </c>
      <c r="AL1055" s="18">
        <f>IF(tblOrdenes[[#This Row],[orden]]="","",MAX(0,_xlfn.XLOOKUP(tblOrdenes[[#This Row],[id_operacion]],tblEjecucion[id_operacion],tblEjecucion[costo_plan_total],0)-tblOrdenes[[#This Row],[costo_servicio]]))</f>
        <v/>
      </c>
      <c r="AM1055" s="18">
        <f>IF(tblOrdenes[[#This Row],[orden]]="","",tblOrdenes[[#This Row],[costo_servicio]]+tblOrdenes[[#This Row],[costo_materiales]])</f>
        <v/>
      </c>
      <c r="AN10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5" s="4" t="n"/>
      <c r="AP1055" s="4" t="n"/>
      <c r="AQ1055" s="4" t="n"/>
      <c r="AR1055" s="5">
        <f>IF(tblOrdenes[[#This Row],[link_checklist]]="","",HYPERLINK(p_ruta_base_checklists&amp;tblOrdenes[[#This Row],[link_checklist]],"abrir"))</f>
        <v/>
      </c>
      <c r="AS1055" s="4" t="n"/>
      <c r="AT1055" s="5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22" t="n"/>
      <c r="K1056" s="5" t="n"/>
      <c r="L1056" s="18" t="n"/>
      <c r="M10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5">
        <f>IF(tblOrdenes[[#This Row],[fecha_inicio]]="","",YEAR(tblOrdenes[[#This Row],[fecha_inicio]]))</f>
        <v/>
      </c>
      <c r="Q1056" s="5">
        <f>IF(tblOrdenes[[#This Row],[fecha_inicio]]="","",MONTH(tblOrdenes[[#This Row],[fecha_inicio]]))</f>
        <v/>
      </c>
      <c r="R1056" s="5">
        <f>IF(tblOrdenes[[#This Row],[fecha_inicio]]="","",tblOrdenes[[#This Row],[anio]]&amp;"-"&amp;TEXT(tblOrdenes[[#This Row],[mes]],"00"))</f>
        <v/>
      </c>
      <c r="S1056" s="5">
        <f>IF(tblOrdenes[[#This Row],[fecha_inicio]]="","",INDEX(lista_dias,WEEKDAY(tblOrdenes[[#This Row],[fecha_inicio]],2)))</f>
        <v/>
      </c>
      <c r="T10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6" s="5">
        <f>IF(tblOrdenes[[#This Row],[tipo_ot]]="","",_xlfn.XLOOKUP(tblOrdenes[[#This Row],[tipo_ot]],tblTiposOT[codigo],tblTiposOT[clasificacion],"sin_clasificar"))</f>
        <v/>
      </c>
      <c r="V10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6" s="5">
        <f>IF(tblOrdenes[[#This Row],[centro_costo]]="","",_xlfn.XLOOKUP(tblOrdenes[[#This Row],[centro_costo]],tblCECO[codigo],tblCECO[linea],"(sin catálogo)"))</f>
        <v/>
      </c>
      <c r="X1056" s="5">
        <f>IF(tblOrdenes[[#This Row],[centro_costo]]="","",_xlfn.XLOOKUP(tblOrdenes[[#This Row],[centro_costo]],tblCECO[codigo],tblCECO[area],"(sin catálogo)"))</f>
        <v/>
      </c>
      <c r="Y10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6" s="5">
        <f>IF(tblOrdenes[[#This Row],[centro_costo]]="","",_xlfn.XLOOKUP(tblOrdenes[[#This Row],[centro_costo]],tblCECO[codigo],tblCECO[coordinador],"(sin catálogo)"))</f>
        <v/>
      </c>
      <c r="AA1056" s="5">
        <f>IF(tblOrdenes[[#This Row],[puesto_trabajo]]="","",_xlfn.XLOOKUP(tblOrdenes[[#This Row],[puesto_trabajo]],tblPuestos[codigo],tblPuestos[especialidad],"(sin catálogo)"))</f>
        <v/>
      </c>
      <c r="AB1056" s="5">
        <f>IF(tblOrdenes[[#This Row],[cod_actividad]]="","",_xlfn.XLOOKUP(tblOrdenes[[#This Row],[cod_actividad]],tblActividades[codigo],tblActividades[descripcion],"(sin catálogo)"))</f>
        <v/>
      </c>
      <c r="AC1056" s="20">
        <f>IF(tblOrdenes[[#This Row],[fecha_inicio]]="","",TODAY()-tblOrdenes[[#This Row],[fecha_inicio]])</f>
        <v/>
      </c>
      <c r="AD10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6" s="5">
        <f>IF(tblOrdenes[[#This Row],[backlog_habiles]]="","",IF(tblOrdenes[[#This Row],[backlog_habiles]]&lt;0,"FUTURO",IF(tblOrdenes[[#This Row],[backlog_habiles]]&gt;p_dias_backlog_max,"BACKLOG","MES CORRIENTE")))</f>
        <v/>
      </c>
      <c r="AF1056" s="5">
        <f>IF(tblOrdenes[[#This Row],[backlog_habiles]]="",FALSE,AND(tblOrdenes[[#This Row],[backlog_habiles]]&gt;p_dias_backlog_min,tblOrdenes[[#This Row],[backlog_habiles]]&lt;=p_dias_backlog_max))</f>
        <v/>
      </c>
      <c r="AG1056" s="4" t="n"/>
      <c r="AH10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6" s="18">
        <f>IF(tblOrdenes[[#This Row],[orden]]="","",_xlfn.XLOOKUP(tblOrdenes[[#This Row],[id_operacion]],tblEjecucion[id_operacion],tblEjecucion[precio],0))</f>
        <v/>
      </c>
      <c r="AL1056" s="18">
        <f>IF(tblOrdenes[[#This Row],[orden]]="","",MAX(0,_xlfn.XLOOKUP(tblOrdenes[[#This Row],[id_operacion]],tblEjecucion[id_operacion],tblEjecucion[costo_plan_total],0)-tblOrdenes[[#This Row],[costo_servicio]]))</f>
        <v/>
      </c>
      <c r="AM1056" s="18">
        <f>IF(tblOrdenes[[#This Row],[orden]]="","",tblOrdenes[[#This Row],[costo_servicio]]+tblOrdenes[[#This Row],[costo_materiales]])</f>
        <v/>
      </c>
      <c r="AN10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6" s="4" t="n"/>
      <c r="AP1056" s="4" t="n"/>
      <c r="AQ1056" s="4" t="n"/>
      <c r="AR1056" s="5">
        <f>IF(tblOrdenes[[#This Row],[link_checklist]]="","",HYPERLINK(p_ruta_base_checklists&amp;tblOrdenes[[#This Row],[link_checklist]],"abrir"))</f>
        <v/>
      </c>
      <c r="AS1056" s="4" t="n"/>
      <c r="AT1056" s="5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22" t="n"/>
      <c r="K1057" s="5" t="n"/>
      <c r="L1057" s="18" t="n"/>
      <c r="M10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5">
        <f>IF(tblOrdenes[[#This Row],[fecha_inicio]]="","",YEAR(tblOrdenes[[#This Row],[fecha_inicio]]))</f>
        <v/>
      </c>
      <c r="Q1057" s="5">
        <f>IF(tblOrdenes[[#This Row],[fecha_inicio]]="","",MONTH(tblOrdenes[[#This Row],[fecha_inicio]]))</f>
        <v/>
      </c>
      <c r="R1057" s="5">
        <f>IF(tblOrdenes[[#This Row],[fecha_inicio]]="","",tblOrdenes[[#This Row],[anio]]&amp;"-"&amp;TEXT(tblOrdenes[[#This Row],[mes]],"00"))</f>
        <v/>
      </c>
      <c r="S1057" s="5">
        <f>IF(tblOrdenes[[#This Row],[fecha_inicio]]="","",INDEX(lista_dias,WEEKDAY(tblOrdenes[[#This Row],[fecha_inicio]],2)))</f>
        <v/>
      </c>
      <c r="T10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7" s="5">
        <f>IF(tblOrdenes[[#This Row],[tipo_ot]]="","",_xlfn.XLOOKUP(tblOrdenes[[#This Row],[tipo_ot]],tblTiposOT[codigo],tblTiposOT[clasificacion],"sin_clasificar"))</f>
        <v/>
      </c>
      <c r="V10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7" s="5">
        <f>IF(tblOrdenes[[#This Row],[centro_costo]]="","",_xlfn.XLOOKUP(tblOrdenes[[#This Row],[centro_costo]],tblCECO[codigo],tblCECO[linea],"(sin catálogo)"))</f>
        <v/>
      </c>
      <c r="X1057" s="5">
        <f>IF(tblOrdenes[[#This Row],[centro_costo]]="","",_xlfn.XLOOKUP(tblOrdenes[[#This Row],[centro_costo]],tblCECO[codigo],tblCECO[area],"(sin catálogo)"))</f>
        <v/>
      </c>
      <c r="Y10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7" s="5">
        <f>IF(tblOrdenes[[#This Row],[centro_costo]]="","",_xlfn.XLOOKUP(tblOrdenes[[#This Row],[centro_costo]],tblCECO[codigo],tblCECO[coordinador],"(sin catálogo)"))</f>
        <v/>
      </c>
      <c r="AA1057" s="5">
        <f>IF(tblOrdenes[[#This Row],[puesto_trabajo]]="","",_xlfn.XLOOKUP(tblOrdenes[[#This Row],[puesto_trabajo]],tblPuestos[codigo],tblPuestos[especialidad],"(sin catálogo)"))</f>
        <v/>
      </c>
      <c r="AB1057" s="5">
        <f>IF(tblOrdenes[[#This Row],[cod_actividad]]="","",_xlfn.XLOOKUP(tblOrdenes[[#This Row],[cod_actividad]],tblActividades[codigo],tblActividades[descripcion],"(sin catálogo)"))</f>
        <v/>
      </c>
      <c r="AC1057" s="20">
        <f>IF(tblOrdenes[[#This Row],[fecha_inicio]]="","",TODAY()-tblOrdenes[[#This Row],[fecha_inicio]])</f>
        <v/>
      </c>
      <c r="AD10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7" s="5">
        <f>IF(tblOrdenes[[#This Row],[backlog_habiles]]="","",IF(tblOrdenes[[#This Row],[backlog_habiles]]&lt;0,"FUTURO",IF(tblOrdenes[[#This Row],[backlog_habiles]]&gt;p_dias_backlog_max,"BACKLOG","MES CORRIENTE")))</f>
        <v/>
      </c>
      <c r="AF1057" s="5">
        <f>IF(tblOrdenes[[#This Row],[backlog_habiles]]="",FALSE,AND(tblOrdenes[[#This Row],[backlog_habiles]]&gt;p_dias_backlog_min,tblOrdenes[[#This Row],[backlog_habiles]]&lt;=p_dias_backlog_max))</f>
        <v/>
      </c>
      <c r="AG1057" s="4" t="n"/>
      <c r="AH10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7" s="18">
        <f>IF(tblOrdenes[[#This Row],[orden]]="","",_xlfn.XLOOKUP(tblOrdenes[[#This Row],[id_operacion]],tblEjecucion[id_operacion],tblEjecucion[precio],0))</f>
        <v/>
      </c>
      <c r="AL1057" s="18">
        <f>IF(tblOrdenes[[#This Row],[orden]]="","",MAX(0,_xlfn.XLOOKUP(tblOrdenes[[#This Row],[id_operacion]],tblEjecucion[id_operacion],tblEjecucion[costo_plan_total],0)-tblOrdenes[[#This Row],[costo_servicio]]))</f>
        <v/>
      </c>
      <c r="AM1057" s="18">
        <f>IF(tblOrdenes[[#This Row],[orden]]="","",tblOrdenes[[#This Row],[costo_servicio]]+tblOrdenes[[#This Row],[costo_materiales]])</f>
        <v/>
      </c>
      <c r="AN10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7" s="4" t="n"/>
      <c r="AP1057" s="4" t="n"/>
      <c r="AQ1057" s="4" t="n"/>
      <c r="AR1057" s="5">
        <f>IF(tblOrdenes[[#This Row],[link_checklist]]="","",HYPERLINK(p_ruta_base_checklists&amp;tblOrdenes[[#This Row],[link_checklist]],"abrir"))</f>
        <v/>
      </c>
      <c r="AS1057" s="4" t="n"/>
      <c r="AT1057" s="5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22" t="n"/>
      <c r="K1058" s="5" t="n"/>
      <c r="L1058" s="18" t="n"/>
      <c r="M10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5">
        <f>IF(tblOrdenes[[#This Row],[fecha_inicio]]="","",YEAR(tblOrdenes[[#This Row],[fecha_inicio]]))</f>
        <v/>
      </c>
      <c r="Q1058" s="5">
        <f>IF(tblOrdenes[[#This Row],[fecha_inicio]]="","",MONTH(tblOrdenes[[#This Row],[fecha_inicio]]))</f>
        <v/>
      </c>
      <c r="R1058" s="5">
        <f>IF(tblOrdenes[[#This Row],[fecha_inicio]]="","",tblOrdenes[[#This Row],[anio]]&amp;"-"&amp;TEXT(tblOrdenes[[#This Row],[mes]],"00"))</f>
        <v/>
      </c>
      <c r="S1058" s="5">
        <f>IF(tblOrdenes[[#This Row],[fecha_inicio]]="","",INDEX(lista_dias,WEEKDAY(tblOrdenes[[#This Row],[fecha_inicio]],2)))</f>
        <v/>
      </c>
      <c r="T10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8" s="5">
        <f>IF(tblOrdenes[[#This Row],[tipo_ot]]="","",_xlfn.XLOOKUP(tblOrdenes[[#This Row],[tipo_ot]],tblTiposOT[codigo],tblTiposOT[clasificacion],"sin_clasificar"))</f>
        <v/>
      </c>
      <c r="V10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8" s="5">
        <f>IF(tblOrdenes[[#This Row],[centro_costo]]="","",_xlfn.XLOOKUP(tblOrdenes[[#This Row],[centro_costo]],tblCECO[codigo],tblCECO[linea],"(sin catálogo)"))</f>
        <v/>
      </c>
      <c r="X1058" s="5">
        <f>IF(tblOrdenes[[#This Row],[centro_costo]]="","",_xlfn.XLOOKUP(tblOrdenes[[#This Row],[centro_costo]],tblCECO[codigo],tblCECO[area],"(sin catálogo)"))</f>
        <v/>
      </c>
      <c r="Y10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8" s="5">
        <f>IF(tblOrdenes[[#This Row],[centro_costo]]="","",_xlfn.XLOOKUP(tblOrdenes[[#This Row],[centro_costo]],tblCECO[codigo],tblCECO[coordinador],"(sin catálogo)"))</f>
        <v/>
      </c>
      <c r="AA1058" s="5">
        <f>IF(tblOrdenes[[#This Row],[puesto_trabajo]]="","",_xlfn.XLOOKUP(tblOrdenes[[#This Row],[puesto_trabajo]],tblPuestos[codigo],tblPuestos[especialidad],"(sin catálogo)"))</f>
        <v/>
      </c>
      <c r="AB1058" s="5">
        <f>IF(tblOrdenes[[#This Row],[cod_actividad]]="","",_xlfn.XLOOKUP(tblOrdenes[[#This Row],[cod_actividad]],tblActividades[codigo],tblActividades[descripcion],"(sin catálogo)"))</f>
        <v/>
      </c>
      <c r="AC1058" s="20">
        <f>IF(tblOrdenes[[#This Row],[fecha_inicio]]="","",TODAY()-tblOrdenes[[#This Row],[fecha_inicio]])</f>
        <v/>
      </c>
      <c r="AD10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8" s="5">
        <f>IF(tblOrdenes[[#This Row],[backlog_habiles]]="","",IF(tblOrdenes[[#This Row],[backlog_habiles]]&lt;0,"FUTURO",IF(tblOrdenes[[#This Row],[backlog_habiles]]&gt;p_dias_backlog_max,"BACKLOG","MES CORRIENTE")))</f>
        <v/>
      </c>
      <c r="AF1058" s="5">
        <f>IF(tblOrdenes[[#This Row],[backlog_habiles]]="",FALSE,AND(tblOrdenes[[#This Row],[backlog_habiles]]&gt;p_dias_backlog_min,tblOrdenes[[#This Row],[backlog_habiles]]&lt;=p_dias_backlog_max))</f>
        <v/>
      </c>
      <c r="AG1058" s="4" t="n"/>
      <c r="AH10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8" s="18">
        <f>IF(tblOrdenes[[#This Row],[orden]]="","",_xlfn.XLOOKUP(tblOrdenes[[#This Row],[id_operacion]],tblEjecucion[id_operacion],tblEjecucion[precio],0))</f>
        <v/>
      </c>
      <c r="AL1058" s="18">
        <f>IF(tblOrdenes[[#This Row],[orden]]="","",MAX(0,_xlfn.XLOOKUP(tblOrdenes[[#This Row],[id_operacion]],tblEjecucion[id_operacion],tblEjecucion[costo_plan_total],0)-tblOrdenes[[#This Row],[costo_servicio]]))</f>
        <v/>
      </c>
      <c r="AM1058" s="18">
        <f>IF(tblOrdenes[[#This Row],[orden]]="","",tblOrdenes[[#This Row],[costo_servicio]]+tblOrdenes[[#This Row],[costo_materiales]])</f>
        <v/>
      </c>
      <c r="AN10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8" s="4" t="n"/>
      <c r="AP1058" s="4" t="n"/>
      <c r="AQ1058" s="4" t="n"/>
      <c r="AR1058" s="5">
        <f>IF(tblOrdenes[[#This Row],[link_checklist]]="","",HYPERLINK(p_ruta_base_checklists&amp;tblOrdenes[[#This Row],[link_checklist]],"abrir"))</f>
        <v/>
      </c>
      <c r="AS1058" s="4" t="n"/>
      <c r="AT1058" s="5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22" t="n"/>
      <c r="K1059" s="5" t="n"/>
      <c r="L1059" s="18" t="n"/>
      <c r="M10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5">
        <f>IF(tblOrdenes[[#This Row],[fecha_inicio]]="","",YEAR(tblOrdenes[[#This Row],[fecha_inicio]]))</f>
        <v/>
      </c>
      <c r="Q1059" s="5">
        <f>IF(tblOrdenes[[#This Row],[fecha_inicio]]="","",MONTH(tblOrdenes[[#This Row],[fecha_inicio]]))</f>
        <v/>
      </c>
      <c r="R1059" s="5">
        <f>IF(tblOrdenes[[#This Row],[fecha_inicio]]="","",tblOrdenes[[#This Row],[anio]]&amp;"-"&amp;TEXT(tblOrdenes[[#This Row],[mes]],"00"))</f>
        <v/>
      </c>
      <c r="S1059" s="5">
        <f>IF(tblOrdenes[[#This Row],[fecha_inicio]]="","",INDEX(lista_dias,WEEKDAY(tblOrdenes[[#This Row],[fecha_inicio]],2)))</f>
        <v/>
      </c>
      <c r="T10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9" s="5">
        <f>IF(tblOrdenes[[#This Row],[tipo_ot]]="","",_xlfn.XLOOKUP(tblOrdenes[[#This Row],[tipo_ot]],tblTiposOT[codigo],tblTiposOT[clasificacion],"sin_clasificar"))</f>
        <v/>
      </c>
      <c r="V10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9" s="5">
        <f>IF(tblOrdenes[[#This Row],[centro_costo]]="","",_xlfn.XLOOKUP(tblOrdenes[[#This Row],[centro_costo]],tblCECO[codigo],tblCECO[linea],"(sin catálogo)"))</f>
        <v/>
      </c>
      <c r="X1059" s="5">
        <f>IF(tblOrdenes[[#This Row],[centro_costo]]="","",_xlfn.XLOOKUP(tblOrdenes[[#This Row],[centro_costo]],tblCECO[codigo],tblCECO[area],"(sin catálogo)"))</f>
        <v/>
      </c>
      <c r="Y10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59" s="5">
        <f>IF(tblOrdenes[[#This Row],[centro_costo]]="","",_xlfn.XLOOKUP(tblOrdenes[[#This Row],[centro_costo]],tblCECO[codigo],tblCECO[coordinador],"(sin catálogo)"))</f>
        <v/>
      </c>
      <c r="AA1059" s="5">
        <f>IF(tblOrdenes[[#This Row],[puesto_trabajo]]="","",_xlfn.XLOOKUP(tblOrdenes[[#This Row],[puesto_trabajo]],tblPuestos[codigo],tblPuestos[especialidad],"(sin catálogo)"))</f>
        <v/>
      </c>
      <c r="AB1059" s="5">
        <f>IF(tblOrdenes[[#This Row],[cod_actividad]]="","",_xlfn.XLOOKUP(tblOrdenes[[#This Row],[cod_actividad]],tblActividades[codigo],tblActividades[descripcion],"(sin catálogo)"))</f>
        <v/>
      </c>
      <c r="AC1059" s="20">
        <f>IF(tblOrdenes[[#This Row],[fecha_inicio]]="","",TODAY()-tblOrdenes[[#This Row],[fecha_inicio]])</f>
        <v/>
      </c>
      <c r="AD10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59" s="5">
        <f>IF(tblOrdenes[[#This Row],[backlog_habiles]]="","",IF(tblOrdenes[[#This Row],[backlog_habiles]]&lt;0,"FUTURO",IF(tblOrdenes[[#This Row],[backlog_habiles]]&gt;p_dias_backlog_max,"BACKLOG","MES CORRIENTE")))</f>
        <v/>
      </c>
      <c r="AF1059" s="5">
        <f>IF(tblOrdenes[[#This Row],[backlog_habiles]]="",FALSE,AND(tblOrdenes[[#This Row],[backlog_habiles]]&gt;p_dias_backlog_min,tblOrdenes[[#This Row],[backlog_habiles]]&lt;=p_dias_backlog_max))</f>
        <v/>
      </c>
      <c r="AG1059" s="4" t="n"/>
      <c r="AH10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59" s="18">
        <f>IF(tblOrdenes[[#This Row],[orden]]="","",_xlfn.XLOOKUP(tblOrdenes[[#This Row],[id_operacion]],tblEjecucion[id_operacion],tblEjecucion[precio],0))</f>
        <v/>
      </c>
      <c r="AL1059" s="18">
        <f>IF(tblOrdenes[[#This Row],[orden]]="","",MAX(0,_xlfn.XLOOKUP(tblOrdenes[[#This Row],[id_operacion]],tblEjecucion[id_operacion],tblEjecucion[costo_plan_total],0)-tblOrdenes[[#This Row],[costo_servicio]]))</f>
        <v/>
      </c>
      <c r="AM1059" s="18">
        <f>IF(tblOrdenes[[#This Row],[orden]]="","",tblOrdenes[[#This Row],[costo_servicio]]+tblOrdenes[[#This Row],[costo_materiales]])</f>
        <v/>
      </c>
      <c r="AN10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59" s="4" t="n"/>
      <c r="AP1059" s="4" t="n"/>
      <c r="AQ1059" s="4" t="n"/>
      <c r="AR1059" s="5">
        <f>IF(tblOrdenes[[#This Row],[link_checklist]]="","",HYPERLINK(p_ruta_base_checklists&amp;tblOrdenes[[#This Row],[link_checklist]],"abrir"))</f>
        <v/>
      </c>
      <c r="AS1059" s="4" t="n"/>
      <c r="AT1059" s="5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22" t="n"/>
      <c r="K1060" s="5" t="n"/>
      <c r="L1060" s="18" t="n"/>
      <c r="M10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5">
        <f>IF(tblOrdenes[[#This Row],[fecha_inicio]]="","",YEAR(tblOrdenes[[#This Row],[fecha_inicio]]))</f>
        <v/>
      </c>
      <c r="Q1060" s="5">
        <f>IF(tblOrdenes[[#This Row],[fecha_inicio]]="","",MONTH(tblOrdenes[[#This Row],[fecha_inicio]]))</f>
        <v/>
      </c>
      <c r="R1060" s="5">
        <f>IF(tblOrdenes[[#This Row],[fecha_inicio]]="","",tblOrdenes[[#This Row],[anio]]&amp;"-"&amp;TEXT(tblOrdenes[[#This Row],[mes]],"00"))</f>
        <v/>
      </c>
      <c r="S1060" s="5">
        <f>IF(tblOrdenes[[#This Row],[fecha_inicio]]="","",INDEX(lista_dias,WEEKDAY(tblOrdenes[[#This Row],[fecha_inicio]],2)))</f>
        <v/>
      </c>
      <c r="T10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0" s="5">
        <f>IF(tblOrdenes[[#This Row],[tipo_ot]]="","",_xlfn.XLOOKUP(tblOrdenes[[#This Row],[tipo_ot]],tblTiposOT[codigo],tblTiposOT[clasificacion],"sin_clasificar"))</f>
        <v/>
      </c>
      <c r="V10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0" s="5">
        <f>IF(tblOrdenes[[#This Row],[centro_costo]]="","",_xlfn.XLOOKUP(tblOrdenes[[#This Row],[centro_costo]],tblCECO[codigo],tblCECO[linea],"(sin catálogo)"))</f>
        <v/>
      </c>
      <c r="X1060" s="5">
        <f>IF(tblOrdenes[[#This Row],[centro_costo]]="","",_xlfn.XLOOKUP(tblOrdenes[[#This Row],[centro_costo]],tblCECO[codigo],tblCECO[area],"(sin catálogo)"))</f>
        <v/>
      </c>
      <c r="Y10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0" s="5">
        <f>IF(tblOrdenes[[#This Row],[centro_costo]]="","",_xlfn.XLOOKUP(tblOrdenes[[#This Row],[centro_costo]],tblCECO[codigo],tblCECO[coordinador],"(sin catálogo)"))</f>
        <v/>
      </c>
      <c r="AA1060" s="5">
        <f>IF(tblOrdenes[[#This Row],[puesto_trabajo]]="","",_xlfn.XLOOKUP(tblOrdenes[[#This Row],[puesto_trabajo]],tblPuestos[codigo],tblPuestos[especialidad],"(sin catálogo)"))</f>
        <v/>
      </c>
      <c r="AB1060" s="5">
        <f>IF(tblOrdenes[[#This Row],[cod_actividad]]="","",_xlfn.XLOOKUP(tblOrdenes[[#This Row],[cod_actividad]],tblActividades[codigo],tblActividades[descripcion],"(sin catálogo)"))</f>
        <v/>
      </c>
      <c r="AC1060" s="20">
        <f>IF(tblOrdenes[[#This Row],[fecha_inicio]]="","",TODAY()-tblOrdenes[[#This Row],[fecha_inicio]])</f>
        <v/>
      </c>
      <c r="AD10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0" s="5">
        <f>IF(tblOrdenes[[#This Row],[backlog_habiles]]="","",IF(tblOrdenes[[#This Row],[backlog_habiles]]&lt;0,"FUTURO",IF(tblOrdenes[[#This Row],[backlog_habiles]]&gt;p_dias_backlog_max,"BACKLOG","MES CORRIENTE")))</f>
        <v/>
      </c>
      <c r="AF1060" s="5">
        <f>IF(tblOrdenes[[#This Row],[backlog_habiles]]="",FALSE,AND(tblOrdenes[[#This Row],[backlog_habiles]]&gt;p_dias_backlog_min,tblOrdenes[[#This Row],[backlog_habiles]]&lt;=p_dias_backlog_max))</f>
        <v/>
      </c>
      <c r="AG1060" s="4" t="n"/>
      <c r="AH10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0" s="18">
        <f>IF(tblOrdenes[[#This Row],[orden]]="","",_xlfn.XLOOKUP(tblOrdenes[[#This Row],[id_operacion]],tblEjecucion[id_operacion],tblEjecucion[precio],0))</f>
        <v/>
      </c>
      <c r="AL1060" s="18">
        <f>IF(tblOrdenes[[#This Row],[orden]]="","",MAX(0,_xlfn.XLOOKUP(tblOrdenes[[#This Row],[id_operacion]],tblEjecucion[id_operacion],tblEjecucion[costo_plan_total],0)-tblOrdenes[[#This Row],[costo_servicio]]))</f>
        <v/>
      </c>
      <c r="AM1060" s="18">
        <f>IF(tblOrdenes[[#This Row],[orden]]="","",tblOrdenes[[#This Row],[costo_servicio]]+tblOrdenes[[#This Row],[costo_materiales]])</f>
        <v/>
      </c>
      <c r="AN10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0" s="4" t="n"/>
      <c r="AP1060" s="4" t="n"/>
      <c r="AQ1060" s="4" t="n"/>
      <c r="AR1060" s="5">
        <f>IF(tblOrdenes[[#This Row],[link_checklist]]="","",HYPERLINK(p_ruta_base_checklists&amp;tblOrdenes[[#This Row],[link_checklist]],"abrir"))</f>
        <v/>
      </c>
      <c r="AS1060" s="4" t="n"/>
      <c r="AT1060" s="5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22" t="n"/>
      <c r="K1061" s="5" t="n"/>
      <c r="L1061" s="18" t="n"/>
      <c r="M10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5">
        <f>IF(tblOrdenes[[#This Row],[fecha_inicio]]="","",YEAR(tblOrdenes[[#This Row],[fecha_inicio]]))</f>
        <v/>
      </c>
      <c r="Q1061" s="5">
        <f>IF(tblOrdenes[[#This Row],[fecha_inicio]]="","",MONTH(tblOrdenes[[#This Row],[fecha_inicio]]))</f>
        <v/>
      </c>
      <c r="R1061" s="5">
        <f>IF(tblOrdenes[[#This Row],[fecha_inicio]]="","",tblOrdenes[[#This Row],[anio]]&amp;"-"&amp;TEXT(tblOrdenes[[#This Row],[mes]],"00"))</f>
        <v/>
      </c>
      <c r="S1061" s="5">
        <f>IF(tblOrdenes[[#This Row],[fecha_inicio]]="","",INDEX(lista_dias,WEEKDAY(tblOrdenes[[#This Row],[fecha_inicio]],2)))</f>
        <v/>
      </c>
      <c r="T10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1" s="5">
        <f>IF(tblOrdenes[[#This Row],[tipo_ot]]="","",_xlfn.XLOOKUP(tblOrdenes[[#This Row],[tipo_ot]],tblTiposOT[codigo],tblTiposOT[clasificacion],"sin_clasificar"))</f>
        <v/>
      </c>
      <c r="V10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1" s="5">
        <f>IF(tblOrdenes[[#This Row],[centro_costo]]="","",_xlfn.XLOOKUP(tblOrdenes[[#This Row],[centro_costo]],tblCECO[codigo],tblCECO[linea],"(sin catálogo)"))</f>
        <v/>
      </c>
      <c r="X1061" s="5">
        <f>IF(tblOrdenes[[#This Row],[centro_costo]]="","",_xlfn.XLOOKUP(tblOrdenes[[#This Row],[centro_costo]],tblCECO[codigo],tblCECO[area],"(sin catálogo)"))</f>
        <v/>
      </c>
      <c r="Y10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1" s="5">
        <f>IF(tblOrdenes[[#This Row],[centro_costo]]="","",_xlfn.XLOOKUP(tblOrdenes[[#This Row],[centro_costo]],tblCECO[codigo],tblCECO[coordinador],"(sin catálogo)"))</f>
        <v/>
      </c>
      <c r="AA1061" s="5">
        <f>IF(tblOrdenes[[#This Row],[puesto_trabajo]]="","",_xlfn.XLOOKUP(tblOrdenes[[#This Row],[puesto_trabajo]],tblPuestos[codigo],tblPuestos[especialidad],"(sin catálogo)"))</f>
        <v/>
      </c>
      <c r="AB1061" s="5">
        <f>IF(tblOrdenes[[#This Row],[cod_actividad]]="","",_xlfn.XLOOKUP(tblOrdenes[[#This Row],[cod_actividad]],tblActividades[codigo],tblActividades[descripcion],"(sin catálogo)"))</f>
        <v/>
      </c>
      <c r="AC1061" s="20">
        <f>IF(tblOrdenes[[#This Row],[fecha_inicio]]="","",TODAY()-tblOrdenes[[#This Row],[fecha_inicio]])</f>
        <v/>
      </c>
      <c r="AD10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1" s="5">
        <f>IF(tblOrdenes[[#This Row],[backlog_habiles]]="","",IF(tblOrdenes[[#This Row],[backlog_habiles]]&lt;0,"FUTURO",IF(tblOrdenes[[#This Row],[backlog_habiles]]&gt;p_dias_backlog_max,"BACKLOG","MES CORRIENTE")))</f>
        <v/>
      </c>
      <c r="AF1061" s="5">
        <f>IF(tblOrdenes[[#This Row],[backlog_habiles]]="",FALSE,AND(tblOrdenes[[#This Row],[backlog_habiles]]&gt;p_dias_backlog_min,tblOrdenes[[#This Row],[backlog_habiles]]&lt;=p_dias_backlog_max))</f>
        <v/>
      </c>
      <c r="AG1061" s="4" t="n"/>
      <c r="AH10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1" s="18">
        <f>IF(tblOrdenes[[#This Row],[orden]]="","",_xlfn.XLOOKUP(tblOrdenes[[#This Row],[id_operacion]],tblEjecucion[id_operacion],tblEjecucion[precio],0))</f>
        <v/>
      </c>
      <c r="AL1061" s="18">
        <f>IF(tblOrdenes[[#This Row],[orden]]="","",MAX(0,_xlfn.XLOOKUP(tblOrdenes[[#This Row],[id_operacion]],tblEjecucion[id_operacion],tblEjecucion[costo_plan_total],0)-tblOrdenes[[#This Row],[costo_servicio]]))</f>
        <v/>
      </c>
      <c r="AM1061" s="18">
        <f>IF(tblOrdenes[[#This Row],[orden]]="","",tblOrdenes[[#This Row],[costo_servicio]]+tblOrdenes[[#This Row],[costo_materiales]])</f>
        <v/>
      </c>
      <c r="AN10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1" s="4" t="n"/>
      <c r="AP1061" s="4" t="n"/>
      <c r="AQ1061" s="4" t="n"/>
      <c r="AR1061" s="5">
        <f>IF(tblOrdenes[[#This Row],[link_checklist]]="","",HYPERLINK(p_ruta_base_checklists&amp;tblOrdenes[[#This Row],[link_checklist]],"abrir"))</f>
        <v/>
      </c>
      <c r="AS1061" s="4" t="n"/>
      <c r="AT1061" s="5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22" t="n"/>
      <c r="K1062" s="5" t="n"/>
      <c r="L1062" s="18" t="n"/>
      <c r="M10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5">
        <f>IF(tblOrdenes[[#This Row],[fecha_inicio]]="","",YEAR(tblOrdenes[[#This Row],[fecha_inicio]]))</f>
        <v/>
      </c>
      <c r="Q1062" s="5">
        <f>IF(tblOrdenes[[#This Row],[fecha_inicio]]="","",MONTH(tblOrdenes[[#This Row],[fecha_inicio]]))</f>
        <v/>
      </c>
      <c r="R1062" s="5">
        <f>IF(tblOrdenes[[#This Row],[fecha_inicio]]="","",tblOrdenes[[#This Row],[anio]]&amp;"-"&amp;TEXT(tblOrdenes[[#This Row],[mes]],"00"))</f>
        <v/>
      </c>
      <c r="S1062" s="5">
        <f>IF(tblOrdenes[[#This Row],[fecha_inicio]]="","",INDEX(lista_dias,WEEKDAY(tblOrdenes[[#This Row],[fecha_inicio]],2)))</f>
        <v/>
      </c>
      <c r="T10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2" s="5">
        <f>IF(tblOrdenes[[#This Row],[tipo_ot]]="","",_xlfn.XLOOKUP(tblOrdenes[[#This Row],[tipo_ot]],tblTiposOT[codigo],tblTiposOT[clasificacion],"sin_clasificar"))</f>
        <v/>
      </c>
      <c r="V10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2" s="5">
        <f>IF(tblOrdenes[[#This Row],[centro_costo]]="","",_xlfn.XLOOKUP(tblOrdenes[[#This Row],[centro_costo]],tblCECO[codigo],tblCECO[linea],"(sin catálogo)"))</f>
        <v/>
      </c>
      <c r="X1062" s="5">
        <f>IF(tblOrdenes[[#This Row],[centro_costo]]="","",_xlfn.XLOOKUP(tblOrdenes[[#This Row],[centro_costo]],tblCECO[codigo],tblCECO[area],"(sin catálogo)"))</f>
        <v/>
      </c>
      <c r="Y10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2" s="5">
        <f>IF(tblOrdenes[[#This Row],[centro_costo]]="","",_xlfn.XLOOKUP(tblOrdenes[[#This Row],[centro_costo]],tblCECO[codigo],tblCECO[coordinador],"(sin catálogo)"))</f>
        <v/>
      </c>
      <c r="AA1062" s="5">
        <f>IF(tblOrdenes[[#This Row],[puesto_trabajo]]="","",_xlfn.XLOOKUP(tblOrdenes[[#This Row],[puesto_trabajo]],tblPuestos[codigo],tblPuestos[especialidad],"(sin catálogo)"))</f>
        <v/>
      </c>
      <c r="AB1062" s="5">
        <f>IF(tblOrdenes[[#This Row],[cod_actividad]]="","",_xlfn.XLOOKUP(tblOrdenes[[#This Row],[cod_actividad]],tblActividades[codigo],tblActividades[descripcion],"(sin catálogo)"))</f>
        <v/>
      </c>
      <c r="AC1062" s="20">
        <f>IF(tblOrdenes[[#This Row],[fecha_inicio]]="","",TODAY()-tblOrdenes[[#This Row],[fecha_inicio]])</f>
        <v/>
      </c>
      <c r="AD10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2" s="5">
        <f>IF(tblOrdenes[[#This Row],[backlog_habiles]]="","",IF(tblOrdenes[[#This Row],[backlog_habiles]]&lt;0,"FUTURO",IF(tblOrdenes[[#This Row],[backlog_habiles]]&gt;p_dias_backlog_max,"BACKLOG","MES CORRIENTE")))</f>
        <v/>
      </c>
      <c r="AF1062" s="5">
        <f>IF(tblOrdenes[[#This Row],[backlog_habiles]]="",FALSE,AND(tblOrdenes[[#This Row],[backlog_habiles]]&gt;p_dias_backlog_min,tblOrdenes[[#This Row],[backlog_habiles]]&lt;=p_dias_backlog_max))</f>
        <v/>
      </c>
      <c r="AG1062" s="4" t="n"/>
      <c r="AH10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2" s="18">
        <f>IF(tblOrdenes[[#This Row],[orden]]="","",_xlfn.XLOOKUP(tblOrdenes[[#This Row],[id_operacion]],tblEjecucion[id_operacion],tblEjecucion[precio],0))</f>
        <v/>
      </c>
      <c r="AL1062" s="18">
        <f>IF(tblOrdenes[[#This Row],[orden]]="","",MAX(0,_xlfn.XLOOKUP(tblOrdenes[[#This Row],[id_operacion]],tblEjecucion[id_operacion],tblEjecucion[costo_plan_total],0)-tblOrdenes[[#This Row],[costo_servicio]]))</f>
        <v/>
      </c>
      <c r="AM1062" s="18">
        <f>IF(tblOrdenes[[#This Row],[orden]]="","",tblOrdenes[[#This Row],[costo_servicio]]+tblOrdenes[[#This Row],[costo_materiales]])</f>
        <v/>
      </c>
      <c r="AN10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2" s="4" t="n"/>
      <c r="AP1062" s="4" t="n"/>
      <c r="AQ1062" s="4" t="n"/>
      <c r="AR1062" s="5">
        <f>IF(tblOrdenes[[#This Row],[link_checklist]]="","",HYPERLINK(p_ruta_base_checklists&amp;tblOrdenes[[#This Row],[link_checklist]],"abrir"))</f>
        <v/>
      </c>
      <c r="AS1062" s="4" t="n"/>
      <c r="AT1062" s="5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22" t="n"/>
      <c r="K1063" s="5" t="n"/>
      <c r="L1063" s="18" t="n"/>
      <c r="M10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5">
        <f>IF(tblOrdenes[[#This Row],[fecha_inicio]]="","",YEAR(tblOrdenes[[#This Row],[fecha_inicio]]))</f>
        <v/>
      </c>
      <c r="Q1063" s="5">
        <f>IF(tblOrdenes[[#This Row],[fecha_inicio]]="","",MONTH(tblOrdenes[[#This Row],[fecha_inicio]]))</f>
        <v/>
      </c>
      <c r="R1063" s="5">
        <f>IF(tblOrdenes[[#This Row],[fecha_inicio]]="","",tblOrdenes[[#This Row],[anio]]&amp;"-"&amp;TEXT(tblOrdenes[[#This Row],[mes]],"00"))</f>
        <v/>
      </c>
      <c r="S1063" s="5">
        <f>IF(tblOrdenes[[#This Row],[fecha_inicio]]="","",INDEX(lista_dias,WEEKDAY(tblOrdenes[[#This Row],[fecha_inicio]],2)))</f>
        <v/>
      </c>
      <c r="T10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3" s="5">
        <f>IF(tblOrdenes[[#This Row],[tipo_ot]]="","",_xlfn.XLOOKUP(tblOrdenes[[#This Row],[tipo_ot]],tblTiposOT[codigo],tblTiposOT[clasificacion],"sin_clasificar"))</f>
        <v/>
      </c>
      <c r="V10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3" s="5">
        <f>IF(tblOrdenes[[#This Row],[centro_costo]]="","",_xlfn.XLOOKUP(tblOrdenes[[#This Row],[centro_costo]],tblCECO[codigo],tblCECO[linea],"(sin catálogo)"))</f>
        <v/>
      </c>
      <c r="X1063" s="5">
        <f>IF(tblOrdenes[[#This Row],[centro_costo]]="","",_xlfn.XLOOKUP(tblOrdenes[[#This Row],[centro_costo]],tblCECO[codigo],tblCECO[area],"(sin catálogo)"))</f>
        <v/>
      </c>
      <c r="Y10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3" s="5">
        <f>IF(tblOrdenes[[#This Row],[centro_costo]]="","",_xlfn.XLOOKUP(tblOrdenes[[#This Row],[centro_costo]],tblCECO[codigo],tblCECO[coordinador],"(sin catálogo)"))</f>
        <v/>
      </c>
      <c r="AA1063" s="5">
        <f>IF(tblOrdenes[[#This Row],[puesto_trabajo]]="","",_xlfn.XLOOKUP(tblOrdenes[[#This Row],[puesto_trabajo]],tblPuestos[codigo],tblPuestos[especialidad],"(sin catálogo)"))</f>
        <v/>
      </c>
      <c r="AB1063" s="5">
        <f>IF(tblOrdenes[[#This Row],[cod_actividad]]="","",_xlfn.XLOOKUP(tblOrdenes[[#This Row],[cod_actividad]],tblActividades[codigo],tblActividades[descripcion],"(sin catálogo)"))</f>
        <v/>
      </c>
      <c r="AC1063" s="20">
        <f>IF(tblOrdenes[[#This Row],[fecha_inicio]]="","",TODAY()-tblOrdenes[[#This Row],[fecha_inicio]])</f>
        <v/>
      </c>
      <c r="AD10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3" s="5">
        <f>IF(tblOrdenes[[#This Row],[backlog_habiles]]="","",IF(tblOrdenes[[#This Row],[backlog_habiles]]&lt;0,"FUTURO",IF(tblOrdenes[[#This Row],[backlog_habiles]]&gt;p_dias_backlog_max,"BACKLOG","MES CORRIENTE")))</f>
        <v/>
      </c>
      <c r="AF1063" s="5">
        <f>IF(tblOrdenes[[#This Row],[backlog_habiles]]="",FALSE,AND(tblOrdenes[[#This Row],[backlog_habiles]]&gt;p_dias_backlog_min,tblOrdenes[[#This Row],[backlog_habiles]]&lt;=p_dias_backlog_max))</f>
        <v/>
      </c>
      <c r="AG1063" s="4" t="n"/>
      <c r="AH10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3" s="18">
        <f>IF(tblOrdenes[[#This Row],[orden]]="","",_xlfn.XLOOKUP(tblOrdenes[[#This Row],[id_operacion]],tblEjecucion[id_operacion],tblEjecucion[precio],0))</f>
        <v/>
      </c>
      <c r="AL1063" s="18">
        <f>IF(tblOrdenes[[#This Row],[orden]]="","",MAX(0,_xlfn.XLOOKUP(tblOrdenes[[#This Row],[id_operacion]],tblEjecucion[id_operacion],tblEjecucion[costo_plan_total],0)-tblOrdenes[[#This Row],[costo_servicio]]))</f>
        <v/>
      </c>
      <c r="AM1063" s="18">
        <f>IF(tblOrdenes[[#This Row],[orden]]="","",tblOrdenes[[#This Row],[costo_servicio]]+tblOrdenes[[#This Row],[costo_materiales]])</f>
        <v/>
      </c>
      <c r="AN10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3" s="4" t="n"/>
      <c r="AP1063" s="4" t="n"/>
      <c r="AQ1063" s="4" t="n"/>
      <c r="AR1063" s="5">
        <f>IF(tblOrdenes[[#This Row],[link_checklist]]="","",HYPERLINK(p_ruta_base_checklists&amp;tblOrdenes[[#This Row],[link_checklist]],"abrir"))</f>
        <v/>
      </c>
      <c r="AS1063" s="4" t="n"/>
      <c r="AT1063" s="5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22" t="n"/>
      <c r="K1064" s="5" t="n"/>
      <c r="L1064" s="18" t="n"/>
      <c r="M10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5">
        <f>IF(tblOrdenes[[#This Row],[fecha_inicio]]="","",YEAR(tblOrdenes[[#This Row],[fecha_inicio]]))</f>
        <v/>
      </c>
      <c r="Q1064" s="5">
        <f>IF(tblOrdenes[[#This Row],[fecha_inicio]]="","",MONTH(tblOrdenes[[#This Row],[fecha_inicio]]))</f>
        <v/>
      </c>
      <c r="R1064" s="5">
        <f>IF(tblOrdenes[[#This Row],[fecha_inicio]]="","",tblOrdenes[[#This Row],[anio]]&amp;"-"&amp;TEXT(tblOrdenes[[#This Row],[mes]],"00"))</f>
        <v/>
      </c>
      <c r="S1064" s="5">
        <f>IF(tblOrdenes[[#This Row],[fecha_inicio]]="","",INDEX(lista_dias,WEEKDAY(tblOrdenes[[#This Row],[fecha_inicio]],2)))</f>
        <v/>
      </c>
      <c r="T10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4" s="5">
        <f>IF(tblOrdenes[[#This Row],[tipo_ot]]="","",_xlfn.XLOOKUP(tblOrdenes[[#This Row],[tipo_ot]],tblTiposOT[codigo],tblTiposOT[clasificacion],"sin_clasificar"))</f>
        <v/>
      </c>
      <c r="V10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4" s="5">
        <f>IF(tblOrdenes[[#This Row],[centro_costo]]="","",_xlfn.XLOOKUP(tblOrdenes[[#This Row],[centro_costo]],tblCECO[codigo],tblCECO[linea],"(sin catálogo)"))</f>
        <v/>
      </c>
      <c r="X1064" s="5">
        <f>IF(tblOrdenes[[#This Row],[centro_costo]]="","",_xlfn.XLOOKUP(tblOrdenes[[#This Row],[centro_costo]],tblCECO[codigo],tblCECO[area],"(sin catálogo)"))</f>
        <v/>
      </c>
      <c r="Y10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4" s="5">
        <f>IF(tblOrdenes[[#This Row],[centro_costo]]="","",_xlfn.XLOOKUP(tblOrdenes[[#This Row],[centro_costo]],tblCECO[codigo],tblCECO[coordinador],"(sin catálogo)"))</f>
        <v/>
      </c>
      <c r="AA1064" s="5">
        <f>IF(tblOrdenes[[#This Row],[puesto_trabajo]]="","",_xlfn.XLOOKUP(tblOrdenes[[#This Row],[puesto_trabajo]],tblPuestos[codigo],tblPuestos[especialidad],"(sin catálogo)"))</f>
        <v/>
      </c>
      <c r="AB1064" s="5">
        <f>IF(tblOrdenes[[#This Row],[cod_actividad]]="","",_xlfn.XLOOKUP(tblOrdenes[[#This Row],[cod_actividad]],tblActividades[codigo],tblActividades[descripcion],"(sin catálogo)"))</f>
        <v/>
      </c>
      <c r="AC1064" s="20">
        <f>IF(tblOrdenes[[#This Row],[fecha_inicio]]="","",TODAY()-tblOrdenes[[#This Row],[fecha_inicio]])</f>
        <v/>
      </c>
      <c r="AD10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4" s="5">
        <f>IF(tblOrdenes[[#This Row],[backlog_habiles]]="","",IF(tblOrdenes[[#This Row],[backlog_habiles]]&lt;0,"FUTURO",IF(tblOrdenes[[#This Row],[backlog_habiles]]&gt;p_dias_backlog_max,"BACKLOG","MES CORRIENTE")))</f>
        <v/>
      </c>
      <c r="AF1064" s="5">
        <f>IF(tblOrdenes[[#This Row],[backlog_habiles]]="",FALSE,AND(tblOrdenes[[#This Row],[backlog_habiles]]&gt;p_dias_backlog_min,tblOrdenes[[#This Row],[backlog_habiles]]&lt;=p_dias_backlog_max))</f>
        <v/>
      </c>
      <c r="AG1064" s="4" t="n"/>
      <c r="AH10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4" s="18">
        <f>IF(tblOrdenes[[#This Row],[orden]]="","",_xlfn.XLOOKUP(tblOrdenes[[#This Row],[id_operacion]],tblEjecucion[id_operacion],tblEjecucion[precio],0))</f>
        <v/>
      </c>
      <c r="AL1064" s="18">
        <f>IF(tblOrdenes[[#This Row],[orden]]="","",MAX(0,_xlfn.XLOOKUP(tblOrdenes[[#This Row],[id_operacion]],tblEjecucion[id_operacion],tblEjecucion[costo_plan_total],0)-tblOrdenes[[#This Row],[costo_servicio]]))</f>
        <v/>
      </c>
      <c r="AM1064" s="18">
        <f>IF(tblOrdenes[[#This Row],[orden]]="","",tblOrdenes[[#This Row],[costo_servicio]]+tblOrdenes[[#This Row],[costo_materiales]])</f>
        <v/>
      </c>
      <c r="AN10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4" s="4" t="n"/>
      <c r="AP1064" s="4" t="n"/>
      <c r="AQ1064" s="4" t="n"/>
      <c r="AR1064" s="5">
        <f>IF(tblOrdenes[[#This Row],[link_checklist]]="","",HYPERLINK(p_ruta_base_checklists&amp;tblOrdenes[[#This Row],[link_checklist]],"abrir"))</f>
        <v/>
      </c>
      <c r="AS1064" s="4" t="n"/>
      <c r="AT1064" s="5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22" t="n"/>
      <c r="K1065" s="5" t="n"/>
      <c r="L1065" s="18" t="n"/>
      <c r="M10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5">
        <f>IF(tblOrdenes[[#This Row],[fecha_inicio]]="","",YEAR(tblOrdenes[[#This Row],[fecha_inicio]]))</f>
        <v/>
      </c>
      <c r="Q1065" s="5">
        <f>IF(tblOrdenes[[#This Row],[fecha_inicio]]="","",MONTH(tblOrdenes[[#This Row],[fecha_inicio]]))</f>
        <v/>
      </c>
      <c r="R1065" s="5">
        <f>IF(tblOrdenes[[#This Row],[fecha_inicio]]="","",tblOrdenes[[#This Row],[anio]]&amp;"-"&amp;TEXT(tblOrdenes[[#This Row],[mes]],"00"))</f>
        <v/>
      </c>
      <c r="S1065" s="5">
        <f>IF(tblOrdenes[[#This Row],[fecha_inicio]]="","",INDEX(lista_dias,WEEKDAY(tblOrdenes[[#This Row],[fecha_inicio]],2)))</f>
        <v/>
      </c>
      <c r="T10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5" s="5">
        <f>IF(tblOrdenes[[#This Row],[tipo_ot]]="","",_xlfn.XLOOKUP(tblOrdenes[[#This Row],[tipo_ot]],tblTiposOT[codigo],tblTiposOT[clasificacion],"sin_clasificar"))</f>
        <v/>
      </c>
      <c r="V10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5" s="5">
        <f>IF(tblOrdenes[[#This Row],[centro_costo]]="","",_xlfn.XLOOKUP(tblOrdenes[[#This Row],[centro_costo]],tblCECO[codigo],tblCECO[linea],"(sin catálogo)"))</f>
        <v/>
      </c>
      <c r="X1065" s="5">
        <f>IF(tblOrdenes[[#This Row],[centro_costo]]="","",_xlfn.XLOOKUP(tblOrdenes[[#This Row],[centro_costo]],tblCECO[codigo],tblCECO[area],"(sin catálogo)"))</f>
        <v/>
      </c>
      <c r="Y10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5" s="5">
        <f>IF(tblOrdenes[[#This Row],[centro_costo]]="","",_xlfn.XLOOKUP(tblOrdenes[[#This Row],[centro_costo]],tblCECO[codigo],tblCECO[coordinador],"(sin catálogo)"))</f>
        <v/>
      </c>
      <c r="AA1065" s="5">
        <f>IF(tblOrdenes[[#This Row],[puesto_trabajo]]="","",_xlfn.XLOOKUP(tblOrdenes[[#This Row],[puesto_trabajo]],tblPuestos[codigo],tblPuestos[especialidad],"(sin catálogo)"))</f>
        <v/>
      </c>
      <c r="AB1065" s="5">
        <f>IF(tblOrdenes[[#This Row],[cod_actividad]]="","",_xlfn.XLOOKUP(tblOrdenes[[#This Row],[cod_actividad]],tblActividades[codigo],tblActividades[descripcion],"(sin catálogo)"))</f>
        <v/>
      </c>
      <c r="AC1065" s="20">
        <f>IF(tblOrdenes[[#This Row],[fecha_inicio]]="","",TODAY()-tblOrdenes[[#This Row],[fecha_inicio]])</f>
        <v/>
      </c>
      <c r="AD10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5" s="5">
        <f>IF(tblOrdenes[[#This Row],[backlog_habiles]]="","",IF(tblOrdenes[[#This Row],[backlog_habiles]]&lt;0,"FUTURO",IF(tblOrdenes[[#This Row],[backlog_habiles]]&gt;p_dias_backlog_max,"BACKLOG","MES CORRIENTE")))</f>
        <v/>
      </c>
      <c r="AF1065" s="5">
        <f>IF(tblOrdenes[[#This Row],[backlog_habiles]]="",FALSE,AND(tblOrdenes[[#This Row],[backlog_habiles]]&gt;p_dias_backlog_min,tblOrdenes[[#This Row],[backlog_habiles]]&lt;=p_dias_backlog_max))</f>
        <v/>
      </c>
      <c r="AG1065" s="4" t="n"/>
      <c r="AH10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5" s="18">
        <f>IF(tblOrdenes[[#This Row],[orden]]="","",_xlfn.XLOOKUP(tblOrdenes[[#This Row],[id_operacion]],tblEjecucion[id_operacion],tblEjecucion[precio],0))</f>
        <v/>
      </c>
      <c r="AL1065" s="18">
        <f>IF(tblOrdenes[[#This Row],[orden]]="","",MAX(0,_xlfn.XLOOKUP(tblOrdenes[[#This Row],[id_operacion]],tblEjecucion[id_operacion],tblEjecucion[costo_plan_total],0)-tblOrdenes[[#This Row],[costo_servicio]]))</f>
        <v/>
      </c>
      <c r="AM1065" s="18">
        <f>IF(tblOrdenes[[#This Row],[orden]]="","",tblOrdenes[[#This Row],[costo_servicio]]+tblOrdenes[[#This Row],[costo_materiales]])</f>
        <v/>
      </c>
      <c r="AN10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5" s="4" t="n"/>
      <c r="AP1065" s="4" t="n"/>
      <c r="AQ1065" s="4" t="n"/>
      <c r="AR1065" s="5">
        <f>IF(tblOrdenes[[#This Row],[link_checklist]]="","",HYPERLINK(p_ruta_base_checklists&amp;tblOrdenes[[#This Row],[link_checklist]],"abrir"))</f>
        <v/>
      </c>
      <c r="AS1065" s="4" t="n"/>
      <c r="AT1065" s="5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22" t="n"/>
      <c r="K1066" s="5" t="n"/>
      <c r="L1066" s="18" t="n"/>
      <c r="M10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5">
        <f>IF(tblOrdenes[[#This Row],[fecha_inicio]]="","",YEAR(tblOrdenes[[#This Row],[fecha_inicio]]))</f>
        <v/>
      </c>
      <c r="Q1066" s="5">
        <f>IF(tblOrdenes[[#This Row],[fecha_inicio]]="","",MONTH(tblOrdenes[[#This Row],[fecha_inicio]]))</f>
        <v/>
      </c>
      <c r="R1066" s="5">
        <f>IF(tblOrdenes[[#This Row],[fecha_inicio]]="","",tblOrdenes[[#This Row],[anio]]&amp;"-"&amp;TEXT(tblOrdenes[[#This Row],[mes]],"00"))</f>
        <v/>
      </c>
      <c r="S1066" s="5">
        <f>IF(tblOrdenes[[#This Row],[fecha_inicio]]="","",INDEX(lista_dias,WEEKDAY(tblOrdenes[[#This Row],[fecha_inicio]],2)))</f>
        <v/>
      </c>
      <c r="T10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6" s="5">
        <f>IF(tblOrdenes[[#This Row],[tipo_ot]]="","",_xlfn.XLOOKUP(tblOrdenes[[#This Row],[tipo_ot]],tblTiposOT[codigo],tblTiposOT[clasificacion],"sin_clasificar"))</f>
        <v/>
      </c>
      <c r="V10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6" s="5">
        <f>IF(tblOrdenes[[#This Row],[centro_costo]]="","",_xlfn.XLOOKUP(tblOrdenes[[#This Row],[centro_costo]],tblCECO[codigo],tblCECO[linea],"(sin catálogo)"))</f>
        <v/>
      </c>
      <c r="X1066" s="5">
        <f>IF(tblOrdenes[[#This Row],[centro_costo]]="","",_xlfn.XLOOKUP(tblOrdenes[[#This Row],[centro_costo]],tblCECO[codigo],tblCECO[area],"(sin catálogo)"))</f>
        <v/>
      </c>
      <c r="Y10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6" s="5">
        <f>IF(tblOrdenes[[#This Row],[centro_costo]]="","",_xlfn.XLOOKUP(tblOrdenes[[#This Row],[centro_costo]],tblCECO[codigo],tblCECO[coordinador],"(sin catálogo)"))</f>
        <v/>
      </c>
      <c r="AA1066" s="5">
        <f>IF(tblOrdenes[[#This Row],[puesto_trabajo]]="","",_xlfn.XLOOKUP(tblOrdenes[[#This Row],[puesto_trabajo]],tblPuestos[codigo],tblPuestos[especialidad],"(sin catálogo)"))</f>
        <v/>
      </c>
      <c r="AB1066" s="5">
        <f>IF(tblOrdenes[[#This Row],[cod_actividad]]="","",_xlfn.XLOOKUP(tblOrdenes[[#This Row],[cod_actividad]],tblActividades[codigo],tblActividades[descripcion],"(sin catálogo)"))</f>
        <v/>
      </c>
      <c r="AC1066" s="20">
        <f>IF(tblOrdenes[[#This Row],[fecha_inicio]]="","",TODAY()-tblOrdenes[[#This Row],[fecha_inicio]])</f>
        <v/>
      </c>
      <c r="AD10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6" s="5">
        <f>IF(tblOrdenes[[#This Row],[backlog_habiles]]="","",IF(tblOrdenes[[#This Row],[backlog_habiles]]&lt;0,"FUTURO",IF(tblOrdenes[[#This Row],[backlog_habiles]]&gt;p_dias_backlog_max,"BACKLOG","MES CORRIENTE")))</f>
        <v/>
      </c>
      <c r="AF1066" s="5">
        <f>IF(tblOrdenes[[#This Row],[backlog_habiles]]="",FALSE,AND(tblOrdenes[[#This Row],[backlog_habiles]]&gt;p_dias_backlog_min,tblOrdenes[[#This Row],[backlog_habiles]]&lt;=p_dias_backlog_max))</f>
        <v/>
      </c>
      <c r="AG1066" s="4" t="n"/>
      <c r="AH10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6" s="18">
        <f>IF(tblOrdenes[[#This Row],[orden]]="","",_xlfn.XLOOKUP(tblOrdenes[[#This Row],[id_operacion]],tblEjecucion[id_operacion],tblEjecucion[precio],0))</f>
        <v/>
      </c>
      <c r="AL1066" s="18">
        <f>IF(tblOrdenes[[#This Row],[orden]]="","",MAX(0,_xlfn.XLOOKUP(tblOrdenes[[#This Row],[id_operacion]],tblEjecucion[id_operacion],tblEjecucion[costo_plan_total],0)-tblOrdenes[[#This Row],[costo_servicio]]))</f>
        <v/>
      </c>
      <c r="AM1066" s="18">
        <f>IF(tblOrdenes[[#This Row],[orden]]="","",tblOrdenes[[#This Row],[costo_servicio]]+tblOrdenes[[#This Row],[costo_materiales]])</f>
        <v/>
      </c>
      <c r="AN10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6" s="4" t="n"/>
      <c r="AP1066" s="4" t="n"/>
      <c r="AQ1066" s="4" t="n"/>
      <c r="AR1066" s="5">
        <f>IF(tblOrdenes[[#This Row],[link_checklist]]="","",HYPERLINK(p_ruta_base_checklists&amp;tblOrdenes[[#This Row],[link_checklist]],"abrir"))</f>
        <v/>
      </c>
      <c r="AS1066" s="4" t="n"/>
      <c r="AT1066" s="5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22" t="n"/>
      <c r="K1067" s="5" t="n"/>
      <c r="L1067" s="18" t="n"/>
      <c r="M10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5">
        <f>IF(tblOrdenes[[#This Row],[fecha_inicio]]="","",YEAR(tblOrdenes[[#This Row],[fecha_inicio]]))</f>
        <v/>
      </c>
      <c r="Q1067" s="5">
        <f>IF(tblOrdenes[[#This Row],[fecha_inicio]]="","",MONTH(tblOrdenes[[#This Row],[fecha_inicio]]))</f>
        <v/>
      </c>
      <c r="R1067" s="5">
        <f>IF(tblOrdenes[[#This Row],[fecha_inicio]]="","",tblOrdenes[[#This Row],[anio]]&amp;"-"&amp;TEXT(tblOrdenes[[#This Row],[mes]],"00"))</f>
        <v/>
      </c>
      <c r="S1067" s="5">
        <f>IF(tblOrdenes[[#This Row],[fecha_inicio]]="","",INDEX(lista_dias,WEEKDAY(tblOrdenes[[#This Row],[fecha_inicio]],2)))</f>
        <v/>
      </c>
      <c r="T10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7" s="5">
        <f>IF(tblOrdenes[[#This Row],[tipo_ot]]="","",_xlfn.XLOOKUP(tblOrdenes[[#This Row],[tipo_ot]],tblTiposOT[codigo],tblTiposOT[clasificacion],"sin_clasificar"))</f>
        <v/>
      </c>
      <c r="V10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7" s="5">
        <f>IF(tblOrdenes[[#This Row],[centro_costo]]="","",_xlfn.XLOOKUP(tblOrdenes[[#This Row],[centro_costo]],tblCECO[codigo],tblCECO[linea],"(sin catálogo)"))</f>
        <v/>
      </c>
      <c r="X1067" s="5">
        <f>IF(tblOrdenes[[#This Row],[centro_costo]]="","",_xlfn.XLOOKUP(tblOrdenes[[#This Row],[centro_costo]],tblCECO[codigo],tblCECO[area],"(sin catálogo)"))</f>
        <v/>
      </c>
      <c r="Y10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7" s="5">
        <f>IF(tblOrdenes[[#This Row],[centro_costo]]="","",_xlfn.XLOOKUP(tblOrdenes[[#This Row],[centro_costo]],tblCECO[codigo],tblCECO[coordinador],"(sin catálogo)"))</f>
        <v/>
      </c>
      <c r="AA1067" s="5">
        <f>IF(tblOrdenes[[#This Row],[puesto_trabajo]]="","",_xlfn.XLOOKUP(tblOrdenes[[#This Row],[puesto_trabajo]],tblPuestos[codigo],tblPuestos[especialidad],"(sin catálogo)"))</f>
        <v/>
      </c>
      <c r="AB1067" s="5">
        <f>IF(tblOrdenes[[#This Row],[cod_actividad]]="","",_xlfn.XLOOKUP(tblOrdenes[[#This Row],[cod_actividad]],tblActividades[codigo],tblActividades[descripcion],"(sin catálogo)"))</f>
        <v/>
      </c>
      <c r="AC1067" s="20">
        <f>IF(tblOrdenes[[#This Row],[fecha_inicio]]="","",TODAY()-tblOrdenes[[#This Row],[fecha_inicio]])</f>
        <v/>
      </c>
      <c r="AD10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7" s="5">
        <f>IF(tblOrdenes[[#This Row],[backlog_habiles]]="","",IF(tblOrdenes[[#This Row],[backlog_habiles]]&lt;0,"FUTURO",IF(tblOrdenes[[#This Row],[backlog_habiles]]&gt;p_dias_backlog_max,"BACKLOG","MES CORRIENTE")))</f>
        <v/>
      </c>
      <c r="AF1067" s="5">
        <f>IF(tblOrdenes[[#This Row],[backlog_habiles]]="",FALSE,AND(tblOrdenes[[#This Row],[backlog_habiles]]&gt;p_dias_backlog_min,tblOrdenes[[#This Row],[backlog_habiles]]&lt;=p_dias_backlog_max))</f>
        <v/>
      </c>
      <c r="AG1067" s="4" t="n"/>
      <c r="AH10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7" s="18">
        <f>IF(tblOrdenes[[#This Row],[orden]]="","",_xlfn.XLOOKUP(tblOrdenes[[#This Row],[id_operacion]],tblEjecucion[id_operacion],tblEjecucion[precio],0))</f>
        <v/>
      </c>
      <c r="AL1067" s="18">
        <f>IF(tblOrdenes[[#This Row],[orden]]="","",MAX(0,_xlfn.XLOOKUP(tblOrdenes[[#This Row],[id_operacion]],tblEjecucion[id_operacion],tblEjecucion[costo_plan_total],0)-tblOrdenes[[#This Row],[costo_servicio]]))</f>
        <v/>
      </c>
      <c r="AM1067" s="18">
        <f>IF(tblOrdenes[[#This Row],[orden]]="","",tblOrdenes[[#This Row],[costo_servicio]]+tblOrdenes[[#This Row],[costo_materiales]])</f>
        <v/>
      </c>
      <c r="AN10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7" s="4" t="n"/>
      <c r="AP1067" s="4" t="n"/>
      <c r="AQ1067" s="4" t="n"/>
      <c r="AR1067" s="5">
        <f>IF(tblOrdenes[[#This Row],[link_checklist]]="","",HYPERLINK(p_ruta_base_checklists&amp;tblOrdenes[[#This Row],[link_checklist]],"abrir"))</f>
        <v/>
      </c>
      <c r="AS1067" s="4" t="n"/>
      <c r="AT1067" s="5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22" t="n"/>
      <c r="K1068" s="5" t="n"/>
      <c r="L1068" s="18" t="n"/>
      <c r="M10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5">
        <f>IF(tblOrdenes[[#This Row],[fecha_inicio]]="","",YEAR(tblOrdenes[[#This Row],[fecha_inicio]]))</f>
        <v/>
      </c>
      <c r="Q1068" s="5">
        <f>IF(tblOrdenes[[#This Row],[fecha_inicio]]="","",MONTH(tblOrdenes[[#This Row],[fecha_inicio]]))</f>
        <v/>
      </c>
      <c r="R1068" s="5">
        <f>IF(tblOrdenes[[#This Row],[fecha_inicio]]="","",tblOrdenes[[#This Row],[anio]]&amp;"-"&amp;TEXT(tblOrdenes[[#This Row],[mes]],"00"))</f>
        <v/>
      </c>
      <c r="S1068" s="5">
        <f>IF(tblOrdenes[[#This Row],[fecha_inicio]]="","",INDEX(lista_dias,WEEKDAY(tblOrdenes[[#This Row],[fecha_inicio]],2)))</f>
        <v/>
      </c>
      <c r="T10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8" s="5">
        <f>IF(tblOrdenes[[#This Row],[tipo_ot]]="","",_xlfn.XLOOKUP(tblOrdenes[[#This Row],[tipo_ot]],tblTiposOT[codigo],tblTiposOT[clasificacion],"sin_clasificar"))</f>
        <v/>
      </c>
      <c r="V10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8" s="5">
        <f>IF(tblOrdenes[[#This Row],[centro_costo]]="","",_xlfn.XLOOKUP(tblOrdenes[[#This Row],[centro_costo]],tblCECO[codigo],tblCECO[linea],"(sin catálogo)"))</f>
        <v/>
      </c>
      <c r="X1068" s="5">
        <f>IF(tblOrdenes[[#This Row],[centro_costo]]="","",_xlfn.XLOOKUP(tblOrdenes[[#This Row],[centro_costo]],tblCECO[codigo],tblCECO[area],"(sin catálogo)"))</f>
        <v/>
      </c>
      <c r="Y10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8" s="5">
        <f>IF(tblOrdenes[[#This Row],[centro_costo]]="","",_xlfn.XLOOKUP(tblOrdenes[[#This Row],[centro_costo]],tblCECO[codigo],tblCECO[coordinador],"(sin catálogo)"))</f>
        <v/>
      </c>
      <c r="AA1068" s="5">
        <f>IF(tblOrdenes[[#This Row],[puesto_trabajo]]="","",_xlfn.XLOOKUP(tblOrdenes[[#This Row],[puesto_trabajo]],tblPuestos[codigo],tblPuestos[especialidad],"(sin catálogo)"))</f>
        <v/>
      </c>
      <c r="AB1068" s="5">
        <f>IF(tblOrdenes[[#This Row],[cod_actividad]]="","",_xlfn.XLOOKUP(tblOrdenes[[#This Row],[cod_actividad]],tblActividades[codigo],tblActividades[descripcion],"(sin catálogo)"))</f>
        <v/>
      </c>
      <c r="AC1068" s="20">
        <f>IF(tblOrdenes[[#This Row],[fecha_inicio]]="","",TODAY()-tblOrdenes[[#This Row],[fecha_inicio]])</f>
        <v/>
      </c>
      <c r="AD10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8" s="5">
        <f>IF(tblOrdenes[[#This Row],[backlog_habiles]]="","",IF(tblOrdenes[[#This Row],[backlog_habiles]]&lt;0,"FUTURO",IF(tblOrdenes[[#This Row],[backlog_habiles]]&gt;p_dias_backlog_max,"BACKLOG","MES CORRIENTE")))</f>
        <v/>
      </c>
      <c r="AF1068" s="5">
        <f>IF(tblOrdenes[[#This Row],[backlog_habiles]]="",FALSE,AND(tblOrdenes[[#This Row],[backlog_habiles]]&gt;p_dias_backlog_min,tblOrdenes[[#This Row],[backlog_habiles]]&lt;=p_dias_backlog_max))</f>
        <v/>
      </c>
      <c r="AG1068" s="4" t="n"/>
      <c r="AH10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8" s="18">
        <f>IF(tblOrdenes[[#This Row],[orden]]="","",_xlfn.XLOOKUP(tblOrdenes[[#This Row],[id_operacion]],tblEjecucion[id_operacion],tblEjecucion[precio],0))</f>
        <v/>
      </c>
      <c r="AL1068" s="18">
        <f>IF(tblOrdenes[[#This Row],[orden]]="","",MAX(0,_xlfn.XLOOKUP(tblOrdenes[[#This Row],[id_operacion]],tblEjecucion[id_operacion],tblEjecucion[costo_plan_total],0)-tblOrdenes[[#This Row],[costo_servicio]]))</f>
        <v/>
      </c>
      <c r="AM1068" s="18">
        <f>IF(tblOrdenes[[#This Row],[orden]]="","",tblOrdenes[[#This Row],[costo_servicio]]+tblOrdenes[[#This Row],[costo_materiales]])</f>
        <v/>
      </c>
      <c r="AN10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8" s="4" t="n"/>
      <c r="AP1068" s="4" t="n"/>
      <c r="AQ1068" s="4" t="n"/>
      <c r="AR1068" s="5">
        <f>IF(tblOrdenes[[#This Row],[link_checklist]]="","",HYPERLINK(p_ruta_base_checklists&amp;tblOrdenes[[#This Row],[link_checklist]],"abrir"))</f>
        <v/>
      </c>
      <c r="AS1068" s="4" t="n"/>
      <c r="AT1068" s="5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22" t="n"/>
      <c r="K1069" s="5" t="n"/>
      <c r="L1069" s="18" t="n"/>
      <c r="M10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5">
        <f>IF(tblOrdenes[[#This Row],[fecha_inicio]]="","",YEAR(tblOrdenes[[#This Row],[fecha_inicio]]))</f>
        <v/>
      </c>
      <c r="Q1069" s="5">
        <f>IF(tblOrdenes[[#This Row],[fecha_inicio]]="","",MONTH(tblOrdenes[[#This Row],[fecha_inicio]]))</f>
        <v/>
      </c>
      <c r="R1069" s="5">
        <f>IF(tblOrdenes[[#This Row],[fecha_inicio]]="","",tblOrdenes[[#This Row],[anio]]&amp;"-"&amp;TEXT(tblOrdenes[[#This Row],[mes]],"00"))</f>
        <v/>
      </c>
      <c r="S1069" s="5">
        <f>IF(tblOrdenes[[#This Row],[fecha_inicio]]="","",INDEX(lista_dias,WEEKDAY(tblOrdenes[[#This Row],[fecha_inicio]],2)))</f>
        <v/>
      </c>
      <c r="T10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9" s="5">
        <f>IF(tblOrdenes[[#This Row],[tipo_ot]]="","",_xlfn.XLOOKUP(tblOrdenes[[#This Row],[tipo_ot]],tblTiposOT[codigo],tblTiposOT[clasificacion],"sin_clasificar"))</f>
        <v/>
      </c>
      <c r="V10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9" s="5">
        <f>IF(tblOrdenes[[#This Row],[centro_costo]]="","",_xlfn.XLOOKUP(tblOrdenes[[#This Row],[centro_costo]],tblCECO[codigo],tblCECO[linea],"(sin catálogo)"))</f>
        <v/>
      </c>
      <c r="X1069" s="5">
        <f>IF(tblOrdenes[[#This Row],[centro_costo]]="","",_xlfn.XLOOKUP(tblOrdenes[[#This Row],[centro_costo]],tblCECO[codigo],tblCECO[area],"(sin catálogo)"))</f>
        <v/>
      </c>
      <c r="Y10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69" s="5">
        <f>IF(tblOrdenes[[#This Row],[centro_costo]]="","",_xlfn.XLOOKUP(tblOrdenes[[#This Row],[centro_costo]],tblCECO[codigo],tblCECO[coordinador],"(sin catálogo)"))</f>
        <v/>
      </c>
      <c r="AA1069" s="5">
        <f>IF(tblOrdenes[[#This Row],[puesto_trabajo]]="","",_xlfn.XLOOKUP(tblOrdenes[[#This Row],[puesto_trabajo]],tblPuestos[codigo],tblPuestos[especialidad],"(sin catálogo)"))</f>
        <v/>
      </c>
      <c r="AB1069" s="5">
        <f>IF(tblOrdenes[[#This Row],[cod_actividad]]="","",_xlfn.XLOOKUP(tblOrdenes[[#This Row],[cod_actividad]],tblActividades[codigo],tblActividades[descripcion],"(sin catálogo)"))</f>
        <v/>
      </c>
      <c r="AC1069" s="20">
        <f>IF(tblOrdenes[[#This Row],[fecha_inicio]]="","",TODAY()-tblOrdenes[[#This Row],[fecha_inicio]])</f>
        <v/>
      </c>
      <c r="AD10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69" s="5">
        <f>IF(tblOrdenes[[#This Row],[backlog_habiles]]="","",IF(tblOrdenes[[#This Row],[backlog_habiles]]&lt;0,"FUTURO",IF(tblOrdenes[[#This Row],[backlog_habiles]]&gt;p_dias_backlog_max,"BACKLOG","MES CORRIENTE")))</f>
        <v/>
      </c>
      <c r="AF1069" s="5">
        <f>IF(tblOrdenes[[#This Row],[backlog_habiles]]="",FALSE,AND(tblOrdenes[[#This Row],[backlog_habiles]]&gt;p_dias_backlog_min,tblOrdenes[[#This Row],[backlog_habiles]]&lt;=p_dias_backlog_max))</f>
        <v/>
      </c>
      <c r="AG1069" s="4" t="n"/>
      <c r="AH10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69" s="18">
        <f>IF(tblOrdenes[[#This Row],[orden]]="","",_xlfn.XLOOKUP(tblOrdenes[[#This Row],[id_operacion]],tblEjecucion[id_operacion],tblEjecucion[precio],0))</f>
        <v/>
      </c>
      <c r="AL1069" s="18">
        <f>IF(tblOrdenes[[#This Row],[orden]]="","",MAX(0,_xlfn.XLOOKUP(tblOrdenes[[#This Row],[id_operacion]],tblEjecucion[id_operacion],tblEjecucion[costo_plan_total],0)-tblOrdenes[[#This Row],[costo_servicio]]))</f>
        <v/>
      </c>
      <c r="AM1069" s="18">
        <f>IF(tblOrdenes[[#This Row],[orden]]="","",tblOrdenes[[#This Row],[costo_servicio]]+tblOrdenes[[#This Row],[costo_materiales]])</f>
        <v/>
      </c>
      <c r="AN10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69" s="4" t="n"/>
      <c r="AP1069" s="4" t="n"/>
      <c r="AQ1069" s="4" t="n"/>
      <c r="AR1069" s="5">
        <f>IF(tblOrdenes[[#This Row],[link_checklist]]="","",HYPERLINK(p_ruta_base_checklists&amp;tblOrdenes[[#This Row],[link_checklist]],"abrir"))</f>
        <v/>
      </c>
      <c r="AS1069" s="4" t="n"/>
      <c r="AT1069" s="5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22" t="n"/>
      <c r="K1070" s="5" t="n"/>
      <c r="L1070" s="18" t="n"/>
      <c r="M10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5">
        <f>IF(tblOrdenes[[#This Row],[fecha_inicio]]="","",YEAR(tblOrdenes[[#This Row],[fecha_inicio]]))</f>
        <v/>
      </c>
      <c r="Q1070" s="5">
        <f>IF(tblOrdenes[[#This Row],[fecha_inicio]]="","",MONTH(tblOrdenes[[#This Row],[fecha_inicio]]))</f>
        <v/>
      </c>
      <c r="R1070" s="5">
        <f>IF(tblOrdenes[[#This Row],[fecha_inicio]]="","",tblOrdenes[[#This Row],[anio]]&amp;"-"&amp;TEXT(tblOrdenes[[#This Row],[mes]],"00"))</f>
        <v/>
      </c>
      <c r="S1070" s="5">
        <f>IF(tblOrdenes[[#This Row],[fecha_inicio]]="","",INDEX(lista_dias,WEEKDAY(tblOrdenes[[#This Row],[fecha_inicio]],2)))</f>
        <v/>
      </c>
      <c r="T10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0" s="5">
        <f>IF(tblOrdenes[[#This Row],[tipo_ot]]="","",_xlfn.XLOOKUP(tblOrdenes[[#This Row],[tipo_ot]],tblTiposOT[codigo],tblTiposOT[clasificacion],"sin_clasificar"))</f>
        <v/>
      </c>
      <c r="V10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0" s="5">
        <f>IF(tblOrdenes[[#This Row],[centro_costo]]="","",_xlfn.XLOOKUP(tblOrdenes[[#This Row],[centro_costo]],tblCECO[codigo],tblCECO[linea],"(sin catálogo)"))</f>
        <v/>
      </c>
      <c r="X1070" s="5">
        <f>IF(tblOrdenes[[#This Row],[centro_costo]]="","",_xlfn.XLOOKUP(tblOrdenes[[#This Row],[centro_costo]],tblCECO[codigo],tblCECO[area],"(sin catálogo)"))</f>
        <v/>
      </c>
      <c r="Y10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0" s="5">
        <f>IF(tblOrdenes[[#This Row],[centro_costo]]="","",_xlfn.XLOOKUP(tblOrdenes[[#This Row],[centro_costo]],tblCECO[codigo],tblCECO[coordinador],"(sin catálogo)"))</f>
        <v/>
      </c>
      <c r="AA1070" s="5">
        <f>IF(tblOrdenes[[#This Row],[puesto_trabajo]]="","",_xlfn.XLOOKUP(tblOrdenes[[#This Row],[puesto_trabajo]],tblPuestos[codigo],tblPuestos[especialidad],"(sin catálogo)"))</f>
        <v/>
      </c>
      <c r="AB1070" s="5">
        <f>IF(tblOrdenes[[#This Row],[cod_actividad]]="","",_xlfn.XLOOKUP(tblOrdenes[[#This Row],[cod_actividad]],tblActividades[codigo],tblActividades[descripcion],"(sin catálogo)"))</f>
        <v/>
      </c>
      <c r="AC1070" s="20">
        <f>IF(tblOrdenes[[#This Row],[fecha_inicio]]="","",TODAY()-tblOrdenes[[#This Row],[fecha_inicio]])</f>
        <v/>
      </c>
      <c r="AD10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0" s="5">
        <f>IF(tblOrdenes[[#This Row],[backlog_habiles]]="","",IF(tblOrdenes[[#This Row],[backlog_habiles]]&lt;0,"FUTURO",IF(tblOrdenes[[#This Row],[backlog_habiles]]&gt;p_dias_backlog_max,"BACKLOG","MES CORRIENTE")))</f>
        <v/>
      </c>
      <c r="AF1070" s="5">
        <f>IF(tblOrdenes[[#This Row],[backlog_habiles]]="",FALSE,AND(tblOrdenes[[#This Row],[backlog_habiles]]&gt;p_dias_backlog_min,tblOrdenes[[#This Row],[backlog_habiles]]&lt;=p_dias_backlog_max))</f>
        <v/>
      </c>
      <c r="AG1070" s="4" t="n"/>
      <c r="AH10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0" s="18">
        <f>IF(tblOrdenes[[#This Row],[orden]]="","",_xlfn.XLOOKUP(tblOrdenes[[#This Row],[id_operacion]],tblEjecucion[id_operacion],tblEjecucion[precio],0))</f>
        <v/>
      </c>
      <c r="AL1070" s="18">
        <f>IF(tblOrdenes[[#This Row],[orden]]="","",MAX(0,_xlfn.XLOOKUP(tblOrdenes[[#This Row],[id_operacion]],tblEjecucion[id_operacion],tblEjecucion[costo_plan_total],0)-tblOrdenes[[#This Row],[costo_servicio]]))</f>
        <v/>
      </c>
      <c r="AM1070" s="18">
        <f>IF(tblOrdenes[[#This Row],[orden]]="","",tblOrdenes[[#This Row],[costo_servicio]]+tblOrdenes[[#This Row],[costo_materiales]])</f>
        <v/>
      </c>
      <c r="AN10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0" s="4" t="n"/>
      <c r="AP1070" s="4" t="n"/>
      <c r="AQ1070" s="4" t="n"/>
      <c r="AR1070" s="5">
        <f>IF(tblOrdenes[[#This Row],[link_checklist]]="","",HYPERLINK(p_ruta_base_checklists&amp;tblOrdenes[[#This Row],[link_checklist]],"abrir"))</f>
        <v/>
      </c>
      <c r="AS1070" s="4" t="n"/>
      <c r="AT1070" s="5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22" t="n"/>
      <c r="K1071" s="5" t="n"/>
      <c r="L1071" s="18" t="n"/>
      <c r="M10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5">
        <f>IF(tblOrdenes[[#This Row],[fecha_inicio]]="","",YEAR(tblOrdenes[[#This Row],[fecha_inicio]]))</f>
        <v/>
      </c>
      <c r="Q1071" s="5">
        <f>IF(tblOrdenes[[#This Row],[fecha_inicio]]="","",MONTH(tblOrdenes[[#This Row],[fecha_inicio]]))</f>
        <v/>
      </c>
      <c r="R1071" s="5">
        <f>IF(tblOrdenes[[#This Row],[fecha_inicio]]="","",tblOrdenes[[#This Row],[anio]]&amp;"-"&amp;TEXT(tblOrdenes[[#This Row],[mes]],"00"))</f>
        <v/>
      </c>
      <c r="S1071" s="5">
        <f>IF(tblOrdenes[[#This Row],[fecha_inicio]]="","",INDEX(lista_dias,WEEKDAY(tblOrdenes[[#This Row],[fecha_inicio]],2)))</f>
        <v/>
      </c>
      <c r="T10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1" s="5">
        <f>IF(tblOrdenes[[#This Row],[tipo_ot]]="","",_xlfn.XLOOKUP(tblOrdenes[[#This Row],[tipo_ot]],tblTiposOT[codigo],tblTiposOT[clasificacion],"sin_clasificar"))</f>
        <v/>
      </c>
      <c r="V10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1" s="5">
        <f>IF(tblOrdenes[[#This Row],[centro_costo]]="","",_xlfn.XLOOKUP(tblOrdenes[[#This Row],[centro_costo]],tblCECO[codigo],tblCECO[linea],"(sin catálogo)"))</f>
        <v/>
      </c>
      <c r="X1071" s="5">
        <f>IF(tblOrdenes[[#This Row],[centro_costo]]="","",_xlfn.XLOOKUP(tblOrdenes[[#This Row],[centro_costo]],tblCECO[codigo],tblCECO[area],"(sin catálogo)"))</f>
        <v/>
      </c>
      <c r="Y10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1" s="5">
        <f>IF(tblOrdenes[[#This Row],[centro_costo]]="","",_xlfn.XLOOKUP(tblOrdenes[[#This Row],[centro_costo]],tblCECO[codigo],tblCECO[coordinador],"(sin catálogo)"))</f>
        <v/>
      </c>
      <c r="AA1071" s="5">
        <f>IF(tblOrdenes[[#This Row],[puesto_trabajo]]="","",_xlfn.XLOOKUP(tblOrdenes[[#This Row],[puesto_trabajo]],tblPuestos[codigo],tblPuestos[especialidad],"(sin catálogo)"))</f>
        <v/>
      </c>
      <c r="AB1071" s="5">
        <f>IF(tblOrdenes[[#This Row],[cod_actividad]]="","",_xlfn.XLOOKUP(tblOrdenes[[#This Row],[cod_actividad]],tblActividades[codigo],tblActividades[descripcion],"(sin catálogo)"))</f>
        <v/>
      </c>
      <c r="AC1071" s="20">
        <f>IF(tblOrdenes[[#This Row],[fecha_inicio]]="","",TODAY()-tblOrdenes[[#This Row],[fecha_inicio]])</f>
        <v/>
      </c>
      <c r="AD10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1" s="5">
        <f>IF(tblOrdenes[[#This Row],[backlog_habiles]]="","",IF(tblOrdenes[[#This Row],[backlog_habiles]]&lt;0,"FUTURO",IF(tblOrdenes[[#This Row],[backlog_habiles]]&gt;p_dias_backlog_max,"BACKLOG","MES CORRIENTE")))</f>
        <v/>
      </c>
      <c r="AF1071" s="5">
        <f>IF(tblOrdenes[[#This Row],[backlog_habiles]]="",FALSE,AND(tblOrdenes[[#This Row],[backlog_habiles]]&gt;p_dias_backlog_min,tblOrdenes[[#This Row],[backlog_habiles]]&lt;=p_dias_backlog_max))</f>
        <v/>
      </c>
      <c r="AG1071" s="4" t="n"/>
      <c r="AH10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1" s="18">
        <f>IF(tblOrdenes[[#This Row],[orden]]="","",_xlfn.XLOOKUP(tblOrdenes[[#This Row],[id_operacion]],tblEjecucion[id_operacion],tblEjecucion[precio],0))</f>
        <v/>
      </c>
      <c r="AL1071" s="18">
        <f>IF(tblOrdenes[[#This Row],[orden]]="","",MAX(0,_xlfn.XLOOKUP(tblOrdenes[[#This Row],[id_operacion]],tblEjecucion[id_operacion],tblEjecucion[costo_plan_total],0)-tblOrdenes[[#This Row],[costo_servicio]]))</f>
        <v/>
      </c>
      <c r="AM1071" s="18">
        <f>IF(tblOrdenes[[#This Row],[orden]]="","",tblOrdenes[[#This Row],[costo_servicio]]+tblOrdenes[[#This Row],[costo_materiales]])</f>
        <v/>
      </c>
      <c r="AN10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1" s="4" t="n"/>
      <c r="AP1071" s="4" t="n"/>
      <c r="AQ1071" s="4" t="n"/>
      <c r="AR1071" s="5">
        <f>IF(tblOrdenes[[#This Row],[link_checklist]]="","",HYPERLINK(p_ruta_base_checklists&amp;tblOrdenes[[#This Row],[link_checklist]],"abrir"))</f>
        <v/>
      </c>
      <c r="AS1071" s="4" t="n"/>
      <c r="AT1071" s="5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22" t="n"/>
      <c r="K1072" s="5" t="n"/>
      <c r="L1072" s="18" t="n"/>
      <c r="M10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5">
        <f>IF(tblOrdenes[[#This Row],[fecha_inicio]]="","",YEAR(tblOrdenes[[#This Row],[fecha_inicio]]))</f>
        <v/>
      </c>
      <c r="Q1072" s="5">
        <f>IF(tblOrdenes[[#This Row],[fecha_inicio]]="","",MONTH(tblOrdenes[[#This Row],[fecha_inicio]]))</f>
        <v/>
      </c>
      <c r="R1072" s="5">
        <f>IF(tblOrdenes[[#This Row],[fecha_inicio]]="","",tblOrdenes[[#This Row],[anio]]&amp;"-"&amp;TEXT(tblOrdenes[[#This Row],[mes]],"00"))</f>
        <v/>
      </c>
      <c r="S1072" s="5">
        <f>IF(tblOrdenes[[#This Row],[fecha_inicio]]="","",INDEX(lista_dias,WEEKDAY(tblOrdenes[[#This Row],[fecha_inicio]],2)))</f>
        <v/>
      </c>
      <c r="T10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2" s="5">
        <f>IF(tblOrdenes[[#This Row],[tipo_ot]]="","",_xlfn.XLOOKUP(tblOrdenes[[#This Row],[tipo_ot]],tblTiposOT[codigo],tblTiposOT[clasificacion],"sin_clasificar"))</f>
        <v/>
      </c>
      <c r="V10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2" s="5">
        <f>IF(tblOrdenes[[#This Row],[centro_costo]]="","",_xlfn.XLOOKUP(tblOrdenes[[#This Row],[centro_costo]],tblCECO[codigo],tblCECO[linea],"(sin catálogo)"))</f>
        <v/>
      </c>
      <c r="X1072" s="5">
        <f>IF(tblOrdenes[[#This Row],[centro_costo]]="","",_xlfn.XLOOKUP(tblOrdenes[[#This Row],[centro_costo]],tblCECO[codigo],tblCECO[area],"(sin catálogo)"))</f>
        <v/>
      </c>
      <c r="Y10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2" s="5">
        <f>IF(tblOrdenes[[#This Row],[centro_costo]]="","",_xlfn.XLOOKUP(tblOrdenes[[#This Row],[centro_costo]],tblCECO[codigo],tblCECO[coordinador],"(sin catálogo)"))</f>
        <v/>
      </c>
      <c r="AA1072" s="5">
        <f>IF(tblOrdenes[[#This Row],[puesto_trabajo]]="","",_xlfn.XLOOKUP(tblOrdenes[[#This Row],[puesto_trabajo]],tblPuestos[codigo],tblPuestos[especialidad],"(sin catálogo)"))</f>
        <v/>
      </c>
      <c r="AB1072" s="5">
        <f>IF(tblOrdenes[[#This Row],[cod_actividad]]="","",_xlfn.XLOOKUP(tblOrdenes[[#This Row],[cod_actividad]],tblActividades[codigo],tblActividades[descripcion],"(sin catálogo)"))</f>
        <v/>
      </c>
      <c r="AC1072" s="20">
        <f>IF(tblOrdenes[[#This Row],[fecha_inicio]]="","",TODAY()-tblOrdenes[[#This Row],[fecha_inicio]])</f>
        <v/>
      </c>
      <c r="AD10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2" s="5">
        <f>IF(tblOrdenes[[#This Row],[backlog_habiles]]="","",IF(tblOrdenes[[#This Row],[backlog_habiles]]&lt;0,"FUTURO",IF(tblOrdenes[[#This Row],[backlog_habiles]]&gt;p_dias_backlog_max,"BACKLOG","MES CORRIENTE")))</f>
        <v/>
      </c>
      <c r="AF1072" s="5">
        <f>IF(tblOrdenes[[#This Row],[backlog_habiles]]="",FALSE,AND(tblOrdenes[[#This Row],[backlog_habiles]]&gt;p_dias_backlog_min,tblOrdenes[[#This Row],[backlog_habiles]]&lt;=p_dias_backlog_max))</f>
        <v/>
      </c>
      <c r="AG1072" s="4" t="n"/>
      <c r="AH10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2" s="18">
        <f>IF(tblOrdenes[[#This Row],[orden]]="","",_xlfn.XLOOKUP(tblOrdenes[[#This Row],[id_operacion]],tblEjecucion[id_operacion],tblEjecucion[precio],0))</f>
        <v/>
      </c>
      <c r="AL1072" s="18">
        <f>IF(tblOrdenes[[#This Row],[orden]]="","",MAX(0,_xlfn.XLOOKUP(tblOrdenes[[#This Row],[id_operacion]],tblEjecucion[id_operacion],tblEjecucion[costo_plan_total],0)-tblOrdenes[[#This Row],[costo_servicio]]))</f>
        <v/>
      </c>
      <c r="AM1072" s="18">
        <f>IF(tblOrdenes[[#This Row],[orden]]="","",tblOrdenes[[#This Row],[costo_servicio]]+tblOrdenes[[#This Row],[costo_materiales]])</f>
        <v/>
      </c>
      <c r="AN10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2" s="4" t="n"/>
      <c r="AP1072" s="4" t="n"/>
      <c r="AQ1072" s="4" t="n"/>
      <c r="AR1072" s="5">
        <f>IF(tblOrdenes[[#This Row],[link_checklist]]="","",HYPERLINK(p_ruta_base_checklists&amp;tblOrdenes[[#This Row],[link_checklist]],"abrir"))</f>
        <v/>
      </c>
      <c r="AS1072" s="4" t="n"/>
      <c r="AT1072" s="5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22" t="n"/>
      <c r="K1073" s="5" t="n"/>
      <c r="L1073" s="18" t="n"/>
      <c r="M10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5">
        <f>IF(tblOrdenes[[#This Row],[fecha_inicio]]="","",YEAR(tblOrdenes[[#This Row],[fecha_inicio]]))</f>
        <v/>
      </c>
      <c r="Q1073" s="5">
        <f>IF(tblOrdenes[[#This Row],[fecha_inicio]]="","",MONTH(tblOrdenes[[#This Row],[fecha_inicio]]))</f>
        <v/>
      </c>
      <c r="R1073" s="5">
        <f>IF(tblOrdenes[[#This Row],[fecha_inicio]]="","",tblOrdenes[[#This Row],[anio]]&amp;"-"&amp;TEXT(tblOrdenes[[#This Row],[mes]],"00"))</f>
        <v/>
      </c>
      <c r="S1073" s="5">
        <f>IF(tblOrdenes[[#This Row],[fecha_inicio]]="","",INDEX(lista_dias,WEEKDAY(tblOrdenes[[#This Row],[fecha_inicio]],2)))</f>
        <v/>
      </c>
      <c r="T10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3" s="5">
        <f>IF(tblOrdenes[[#This Row],[tipo_ot]]="","",_xlfn.XLOOKUP(tblOrdenes[[#This Row],[tipo_ot]],tblTiposOT[codigo],tblTiposOT[clasificacion],"sin_clasificar"))</f>
        <v/>
      </c>
      <c r="V10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3" s="5">
        <f>IF(tblOrdenes[[#This Row],[centro_costo]]="","",_xlfn.XLOOKUP(tblOrdenes[[#This Row],[centro_costo]],tblCECO[codigo],tblCECO[linea],"(sin catálogo)"))</f>
        <v/>
      </c>
      <c r="X1073" s="5">
        <f>IF(tblOrdenes[[#This Row],[centro_costo]]="","",_xlfn.XLOOKUP(tblOrdenes[[#This Row],[centro_costo]],tblCECO[codigo],tblCECO[area],"(sin catálogo)"))</f>
        <v/>
      </c>
      <c r="Y10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3" s="5">
        <f>IF(tblOrdenes[[#This Row],[centro_costo]]="","",_xlfn.XLOOKUP(tblOrdenes[[#This Row],[centro_costo]],tblCECO[codigo],tblCECO[coordinador],"(sin catálogo)"))</f>
        <v/>
      </c>
      <c r="AA1073" s="5">
        <f>IF(tblOrdenes[[#This Row],[puesto_trabajo]]="","",_xlfn.XLOOKUP(tblOrdenes[[#This Row],[puesto_trabajo]],tblPuestos[codigo],tblPuestos[especialidad],"(sin catálogo)"))</f>
        <v/>
      </c>
      <c r="AB1073" s="5">
        <f>IF(tblOrdenes[[#This Row],[cod_actividad]]="","",_xlfn.XLOOKUP(tblOrdenes[[#This Row],[cod_actividad]],tblActividades[codigo],tblActividades[descripcion],"(sin catálogo)"))</f>
        <v/>
      </c>
      <c r="AC1073" s="20">
        <f>IF(tblOrdenes[[#This Row],[fecha_inicio]]="","",TODAY()-tblOrdenes[[#This Row],[fecha_inicio]])</f>
        <v/>
      </c>
      <c r="AD10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3" s="5">
        <f>IF(tblOrdenes[[#This Row],[backlog_habiles]]="","",IF(tblOrdenes[[#This Row],[backlog_habiles]]&lt;0,"FUTURO",IF(tblOrdenes[[#This Row],[backlog_habiles]]&gt;p_dias_backlog_max,"BACKLOG","MES CORRIENTE")))</f>
        <v/>
      </c>
      <c r="AF1073" s="5">
        <f>IF(tblOrdenes[[#This Row],[backlog_habiles]]="",FALSE,AND(tblOrdenes[[#This Row],[backlog_habiles]]&gt;p_dias_backlog_min,tblOrdenes[[#This Row],[backlog_habiles]]&lt;=p_dias_backlog_max))</f>
        <v/>
      </c>
      <c r="AG1073" s="4" t="n"/>
      <c r="AH10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3" s="18">
        <f>IF(tblOrdenes[[#This Row],[orden]]="","",_xlfn.XLOOKUP(tblOrdenes[[#This Row],[id_operacion]],tblEjecucion[id_operacion],tblEjecucion[precio],0))</f>
        <v/>
      </c>
      <c r="AL1073" s="18">
        <f>IF(tblOrdenes[[#This Row],[orden]]="","",MAX(0,_xlfn.XLOOKUP(tblOrdenes[[#This Row],[id_operacion]],tblEjecucion[id_operacion],tblEjecucion[costo_plan_total],0)-tblOrdenes[[#This Row],[costo_servicio]]))</f>
        <v/>
      </c>
      <c r="AM1073" s="18">
        <f>IF(tblOrdenes[[#This Row],[orden]]="","",tblOrdenes[[#This Row],[costo_servicio]]+tblOrdenes[[#This Row],[costo_materiales]])</f>
        <v/>
      </c>
      <c r="AN10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3" s="4" t="n"/>
      <c r="AP1073" s="4" t="n"/>
      <c r="AQ1073" s="4" t="n"/>
      <c r="AR1073" s="5">
        <f>IF(tblOrdenes[[#This Row],[link_checklist]]="","",HYPERLINK(p_ruta_base_checklists&amp;tblOrdenes[[#This Row],[link_checklist]],"abrir"))</f>
        <v/>
      </c>
      <c r="AS1073" s="4" t="n"/>
      <c r="AT1073" s="5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22" t="n"/>
      <c r="K1074" s="5" t="n"/>
      <c r="L1074" s="18" t="n"/>
      <c r="M10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5">
        <f>IF(tblOrdenes[[#This Row],[fecha_inicio]]="","",YEAR(tblOrdenes[[#This Row],[fecha_inicio]]))</f>
        <v/>
      </c>
      <c r="Q1074" s="5">
        <f>IF(tblOrdenes[[#This Row],[fecha_inicio]]="","",MONTH(tblOrdenes[[#This Row],[fecha_inicio]]))</f>
        <v/>
      </c>
      <c r="R1074" s="5">
        <f>IF(tblOrdenes[[#This Row],[fecha_inicio]]="","",tblOrdenes[[#This Row],[anio]]&amp;"-"&amp;TEXT(tblOrdenes[[#This Row],[mes]],"00"))</f>
        <v/>
      </c>
      <c r="S1074" s="5">
        <f>IF(tblOrdenes[[#This Row],[fecha_inicio]]="","",INDEX(lista_dias,WEEKDAY(tblOrdenes[[#This Row],[fecha_inicio]],2)))</f>
        <v/>
      </c>
      <c r="T10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4" s="5">
        <f>IF(tblOrdenes[[#This Row],[tipo_ot]]="","",_xlfn.XLOOKUP(tblOrdenes[[#This Row],[tipo_ot]],tblTiposOT[codigo],tblTiposOT[clasificacion],"sin_clasificar"))</f>
        <v/>
      </c>
      <c r="V10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4" s="5">
        <f>IF(tblOrdenes[[#This Row],[centro_costo]]="","",_xlfn.XLOOKUP(tblOrdenes[[#This Row],[centro_costo]],tblCECO[codigo],tblCECO[linea],"(sin catálogo)"))</f>
        <v/>
      </c>
      <c r="X1074" s="5">
        <f>IF(tblOrdenes[[#This Row],[centro_costo]]="","",_xlfn.XLOOKUP(tblOrdenes[[#This Row],[centro_costo]],tblCECO[codigo],tblCECO[area],"(sin catálogo)"))</f>
        <v/>
      </c>
      <c r="Y10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4" s="5">
        <f>IF(tblOrdenes[[#This Row],[centro_costo]]="","",_xlfn.XLOOKUP(tblOrdenes[[#This Row],[centro_costo]],tblCECO[codigo],tblCECO[coordinador],"(sin catálogo)"))</f>
        <v/>
      </c>
      <c r="AA1074" s="5">
        <f>IF(tblOrdenes[[#This Row],[puesto_trabajo]]="","",_xlfn.XLOOKUP(tblOrdenes[[#This Row],[puesto_trabajo]],tblPuestos[codigo],tblPuestos[especialidad],"(sin catálogo)"))</f>
        <v/>
      </c>
      <c r="AB1074" s="5">
        <f>IF(tblOrdenes[[#This Row],[cod_actividad]]="","",_xlfn.XLOOKUP(tblOrdenes[[#This Row],[cod_actividad]],tblActividades[codigo],tblActividades[descripcion],"(sin catálogo)"))</f>
        <v/>
      </c>
      <c r="AC1074" s="20">
        <f>IF(tblOrdenes[[#This Row],[fecha_inicio]]="","",TODAY()-tblOrdenes[[#This Row],[fecha_inicio]])</f>
        <v/>
      </c>
      <c r="AD10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4" s="5">
        <f>IF(tblOrdenes[[#This Row],[backlog_habiles]]="","",IF(tblOrdenes[[#This Row],[backlog_habiles]]&lt;0,"FUTURO",IF(tblOrdenes[[#This Row],[backlog_habiles]]&gt;p_dias_backlog_max,"BACKLOG","MES CORRIENTE")))</f>
        <v/>
      </c>
      <c r="AF1074" s="5">
        <f>IF(tblOrdenes[[#This Row],[backlog_habiles]]="",FALSE,AND(tblOrdenes[[#This Row],[backlog_habiles]]&gt;p_dias_backlog_min,tblOrdenes[[#This Row],[backlog_habiles]]&lt;=p_dias_backlog_max))</f>
        <v/>
      </c>
      <c r="AG1074" s="4" t="n"/>
      <c r="AH10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4" s="18">
        <f>IF(tblOrdenes[[#This Row],[orden]]="","",_xlfn.XLOOKUP(tblOrdenes[[#This Row],[id_operacion]],tblEjecucion[id_operacion],tblEjecucion[precio],0))</f>
        <v/>
      </c>
      <c r="AL1074" s="18">
        <f>IF(tblOrdenes[[#This Row],[orden]]="","",MAX(0,_xlfn.XLOOKUP(tblOrdenes[[#This Row],[id_operacion]],tblEjecucion[id_operacion],tblEjecucion[costo_plan_total],0)-tblOrdenes[[#This Row],[costo_servicio]]))</f>
        <v/>
      </c>
      <c r="AM1074" s="18">
        <f>IF(tblOrdenes[[#This Row],[orden]]="","",tblOrdenes[[#This Row],[costo_servicio]]+tblOrdenes[[#This Row],[costo_materiales]])</f>
        <v/>
      </c>
      <c r="AN10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4" s="4" t="n"/>
      <c r="AP1074" s="4" t="n"/>
      <c r="AQ1074" s="4" t="n"/>
      <c r="AR1074" s="5">
        <f>IF(tblOrdenes[[#This Row],[link_checklist]]="","",HYPERLINK(p_ruta_base_checklists&amp;tblOrdenes[[#This Row],[link_checklist]],"abrir"))</f>
        <v/>
      </c>
      <c r="AS1074" s="4" t="n"/>
      <c r="AT1074" s="5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22" t="n"/>
      <c r="K1075" s="5" t="n"/>
      <c r="L1075" s="18" t="n"/>
      <c r="M10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5">
        <f>IF(tblOrdenes[[#This Row],[fecha_inicio]]="","",YEAR(tblOrdenes[[#This Row],[fecha_inicio]]))</f>
        <v/>
      </c>
      <c r="Q1075" s="5">
        <f>IF(tblOrdenes[[#This Row],[fecha_inicio]]="","",MONTH(tblOrdenes[[#This Row],[fecha_inicio]]))</f>
        <v/>
      </c>
      <c r="R1075" s="5">
        <f>IF(tblOrdenes[[#This Row],[fecha_inicio]]="","",tblOrdenes[[#This Row],[anio]]&amp;"-"&amp;TEXT(tblOrdenes[[#This Row],[mes]],"00"))</f>
        <v/>
      </c>
      <c r="S1075" s="5">
        <f>IF(tblOrdenes[[#This Row],[fecha_inicio]]="","",INDEX(lista_dias,WEEKDAY(tblOrdenes[[#This Row],[fecha_inicio]],2)))</f>
        <v/>
      </c>
      <c r="T10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5" s="5">
        <f>IF(tblOrdenes[[#This Row],[tipo_ot]]="","",_xlfn.XLOOKUP(tblOrdenes[[#This Row],[tipo_ot]],tblTiposOT[codigo],tblTiposOT[clasificacion],"sin_clasificar"))</f>
        <v/>
      </c>
      <c r="V10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5" s="5">
        <f>IF(tblOrdenes[[#This Row],[centro_costo]]="","",_xlfn.XLOOKUP(tblOrdenes[[#This Row],[centro_costo]],tblCECO[codigo],tblCECO[linea],"(sin catálogo)"))</f>
        <v/>
      </c>
      <c r="X1075" s="5">
        <f>IF(tblOrdenes[[#This Row],[centro_costo]]="","",_xlfn.XLOOKUP(tblOrdenes[[#This Row],[centro_costo]],tblCECO[codigo],tblCECO[area],"(sin catálogo)"))</f>
        <v/>
      </c>
      <c r="Y10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5" s="5">
        <f>IF(tblOrdenes[[#This Row],[centro_costo]]="","",_xlfn.XLOOKUP(tblOrdenes[[#This Row],[centro_costo]],tblCECO[codigo],tblCECO[coordinador],"(sin catálogo)"))</f>
        <v/>
      </c>
      <c r="AA1075" s="5">
        <f>IF(tblOrdenes[[#This Row],[puesto_trabajo]]="","",_xlfn.XLOOKUP(tblOrdenes[[#This Row],[puesto_trabajo]],tblPuestos[codigo],tblPuestos[especialidad],"(sin catálogo)"))</f>
        <v/>
      </c>
      <c r="AB1075" s="5">
        <f>IF(tblOrdenes[[#This Row],[cod_actividad]]="","",_xlfn.XLOOKUP(tblOrdenes[[#This Row],[cod_actividad]],tblActividades[codigo],tblActividades[descripcion],"(sin catálogo)"))</f>
        <v/>
      </c>
      <c r="AC1075" s="20">
        <f>IF(tblOrdenes[[#This Row],[fecha_inicio]]="","",TODAY()-tblOrdenes[[#This Row],[fecha_inicio]])</f>
        <v/>
      </c>
      <c r="AD10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5" s="5">
        <f>IF(tblOrdenes[[#This Row],[backlog_habiles]]="","",IF(tblOrdenes[[#This Row],[backlog_habiles]]&lt;0,"FUTURO",IF(tblOrdenes[[#This Row],[backlog_habiles]]&gt;p_dias_backlog_max,"BACKLOG","MES CORRIENTE")))</f>
        <v/>
      </c>
      <c r="AF1075" s="5">
        <f>IF(tblOrdenes[[#This Row],[backlog_habiles]]="",FALSE,AND(tblOrdenes[[#This Row],[backlog_habiles]]&gt;p_dias_backlog_min,tblOrdenes[[#This Row],[backlog_habiles]]&lt;=p_dias_backlog_max))</f>
        <v/>
      </c>
      <c r="AG1075" s="4" t="n"/>
      <c r="AH10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5" s="18">
        <f>IF(tblOrdenes[[#This Row],[orden]]="","",_xlfn.XLOOKUP(tblOrdenes[[#This Row],[id_operacion]],tblEjecucion[id_operacion],tblEjecucion[precio],0))</f>
        <v/>
      </c>
      <c r="AL1075" s="18">
        <f>IF(tblOrdenes[[#This Row],[orden]]="","",MAX(0,_xlfn.XLOOKUP(tblOrdenes[[#This Row],[id_operacion]],tblEjecucion[id_operacion],tblEjecucion[costo_plan_total],0)-tblOrdenes[[#This Row],[costo_servicio]]))</f>
        <v/>
      </c>
      <c r="AM1075" s="18">
        <f>IF(tblOrdenes[[#This Row],[orden]]="","",tblOrdenes[[#This Row],[costo_servicio]]+tblOrdenes[[#This Row],[costo_materiales]])</f>
        <v/>
      </c>
      <c r="AN10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5" s="4" t="n"/>
      <c r="AP1075" s="4" t="n"/>
      <c r="AQ1075" s="4" t="n"/>
      <c r="AR1075" s="5">
        <f>IF(tblOrdenes[[#This Row],[link_checklist]]="","",HYPERLINK(p_ruta_base_checklists&amp;tblOrdenes[[#This Row],[link_checklist]],"abrir"))</f>
        <v/>
      </c>
      <c r="AS1075" s="4" t="n"/>
      <c r="AT1075" s="5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22" t="n"/>
      <c r="K1076" s="5" t="n"/>
      <c r="L1076" s="18" t="n"/>
      <c r="M10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5">
        <f>IF(tblOrdenes[[#This Row],[fecha_inicio]]="","",YEAR(tblOrdenes[[#This Row],[fecha_inicio]]))</f>
        <v/>
      </c>
      <c r="Q1076" s="5">
        <f>IF(tblOrdenes[[#This Row],[fecha_inicio]]="","",MONTH(tblOrdenes[[#This Row],[fecha_inicio]]))</f>
        <v/>
      </c>
      <c r="R1076" s="5">
        <f>IF(tblOrdenes[[#This Row],[fecha_inicio]]="","",tblOrdenes[[#This Row],[anio]]&amp;"-"&amp;TEXT(tblOrdenes[[#This Row],[mes]],"00"))</f>
        <v/>
      </c>
      <c r="S1076" s="5">
        <f>IF(tblOrdenes[[#This Row],[fecha_inicio]]="","",INDEX(lista_dias,WEEKDAY(tblOrdenes[[#This Row],[fecha_inicio]],2)))</f>
        <v/>
      </c>
      <c r="T10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6" s="5">
        <f>IF(tblOrdenes[[#This Row],[tipo_ot]]="","",_xlfn.XLOOKUP(tblOrdenes[[#This Row],[tipo_ot]],tblTiposOT[codigo],tblTiposOT[clasificacion],"sin_clasificar"))</f>
        <v/>
      </c>
      <c r="V10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6" s="5">
        <f>IF(tblOrdenes[[#This Row],[centro_costo]]="","",_xlfn.XLOOKUP(tblOrdenes[[#This Row],[centro_costo]],tblCECO[codigo],tblCECO[linea],"(sin catálogo)"))</f>
        <v/>
      </c>
      <c r="X1076" s="5">
        <f>IF(tblOrdenes[[#This Row],[centro_costo]]="","",_xlfn.XLOOKUP(tblOrdenes[[#This Row],[centro_costo]],tblCECO[codigo],tblCECO[area],"(sin catálogo)"))</f>
        <v/>
      </c>
      <c r="Y10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6" s="5">
        <f>IF(tblOrdenes[[#This Row],[centro_costo]]="","",_xlfn.XLOOKUP(tblOrdenes[[#This Row],[centro_costo]],tblCECO[codigo],tblCECO[coordinador],"(sin catálogo)"))</f>
        <v/>
      </c>
      <c r="AA1076" s="5">
        <f>IF(tblOrdenes[[#This Row],[puesto_trabajo]]="","",_xlfn.XLOOKUP(tblOrdenes[[#This Row],[puesto_trabajo]],tblPuestos[codigo],tblPuestos[especialidad],"(sin catálogo)"))</f>
        <v/>
      </c>
      <c r="AB1076" s="5">
        <f>IF(tblOrdenes[[#This Row],[cod_actividad]]="","",_xlfn.XLOOKUP(tblOrdenes[[#This Row],[cod_actividad]],tblActividades[codigo],tblActividades[descripcion],"(sin catálogo)"))</f>
        <v/>
      </c>
      <c r="AC1076" s="20">
        <f>IF(tblOrdenes[[#This Row],[fecha_inicio]]="","",TODAY()-tblOrdenes[[#This Row],[fecha_inicio]])</f>
        <v/>
      </c>
      <c r="AD10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6" s="5">
        <f>IF(tblOrdenes[[#This Row],[backlog_habiles]]="","",IF(tblOrdenes[[#This Row],[backlog_habiles]]&lt;0,"FUTURO",IF(tblOrdenes[[#This Row],[backlog_habiles]]&gt;p_dias_backlog_max,"BACKLOG","MES CORRIENTE")))</f>
        <v/>
      </c>
      <c r="AF1076" s="5">
        <f>IF(tblOrdenes[[#This Row],[backlog_habiles]]="",FALSE,AND(tblOrdenes[[#This Row],[backlog_habiles]]&gt;p_dias_backlog_min,tblOrdenes[[#This Row],[backlog_habiles]]&lt;=p_dias_backlog_max))</f>
        <v/>
      </c>
      <c r="AG1076" s="4" t="n"/>
      <c r="AH10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6" s="18">
        <f>IF(tblOrdenes[[#This Row],[orden]]="","",_xlfn.XLOOKUP(tblOrdenes[[#This Row],[id_operacion]],tblEjecucion[id_operacion],tblEjecucion[precio],0))</f>
        <v/>
      </c>
      <c r="AL1076" s="18">
        <f>IF(tblOrdenes[[#This Row],[orden]]="","",MAX(0,_xlfn.XLOOKUP(tblOrdenes[[#This Row],[id_operacion]],tblEjecucion[id_operacion],tblEjecucion[costo_plan_total],0)-tblOrdenes[[#This Row],[costo_servicio]]))</f>
        <v/>
      </c>
      <c r="AM1076" s="18">
        <f>IF(tblOrdenes[[#This Row],[orden]]="","",tblOrdenes[[#This Row],[costo_servicio]]+tblOrdenes[[#This Row],[costo_materiales]])</f>
        <v/>
      </c>
      <c r="AN10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6" s="4" t="n"/>
      <c r="AP1076" s="4" t="n"/>
      <c r="AQ1076" s="4" t="n"/>
      <c r="AR1076" s="5">
        <f>IF(tblOrdenes[[#This Row],[link_checklist]]="","",HYPERLINK(p_ruta_base_checklists&amp;tblOrdenes[[#This Row],[link_checklist]],"abrir"))</f>
        <v/>
      </c>
      <c r="AS1076" s="4" t="n"/>
      <c r="AT1076" s="5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22" t="n"/>
      <c r="K1077" s="5" t="n"/>
      <c r="L1077" s="18" t="n"/>
      <c r="M10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5">
        <f>IF(tblOrdenes[[#This Row],[fecha_inicio]]="","",YEAR(tblOrdenes[[#This Row],[fecha_inicio]]))</f>
        <v/>
      </c>
      <c r="Q1077" s="5">
        <f>IF(tblOrdenes[[#This Row],[fecha_inicio]]="","",MONTH(tblOrdenes[[#This Row],[fecha_inicio]]))</f>
        <v/>
      </c>
      <c r="R1077" s="5">
        <f>IF(tblOrdenes[[#This Row],[fecha_inicio]]="","",tblOrdenes[[#This Row],[anio]]&amp;"-"&amp;TEXT(tblOrdenes[[#This Row],[mes]],"00"))</f>
        <v/>
      </c>
      <c r="S1077" s="5">
        <f>IF(tblOrdenes[[#This Row],[fecha_inicio]]="","",INDEX(lista_dias,WEEKDAY(tblOrdenes[[#This Row],[fecha_inicio]],2)))</f>
        <v/>
      </c>
      <c r="T10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7" s="5">
        <f>IF(tblOrdenes[[#This Row],[tipo_ot]]="","",_xlfn.XLOOKUP(tblOrdenes[[#This Row],[tipo_ot]],tblTiposOT[codigo],tblTiposOT[clasificacion],"sin_clasificar"))</f>
        <v/>
      </c>
      <c r="V10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7" s="5">
        <f>IF(tblOrdenes[[#This Row],[centro_costo]]="","",_xlfn.XLOOKUP(tblOrdenes[[#This Row],[centro_costo]],tblCECO[codigo],tblCECO[linea],"(sin catálogo)"))</f>
        <v/>
      </c>
      <c r="X1077" s="5">
        <f>IF(tblOrdenes[[#This Row],[centro_costo]]="","",_xlfn.XLOOKUP(tblOrdenes[[#This Row],[centro_costo]],tblCECO[codigo],tblCECO[area],"(sin catálogo)"))</f>
        <v/>
      </c>
      <c r="Y10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7" s="5">
        <f>IF(tblOrdenes[[#This Row],[centro_costo]]="","",_xlfn.XLOOKUP(tblOrdenes[[#This Row],[centro_costo]],tblCECO[codigo],tblCECO[coordinador],"(sin catálogo)"))</f>
        <v/>
      </c>
      <c r="AA1077" s="5">
        <f>IF(tblOrdenes[[#This Row],[puesto_trabajo]]="","",_xlfn.XLOOKUP(tblOrdenes[[#This Row],[puesto_trabajo]],tblPuestos[codigo],tblPuestos[especialidad],"(sin catálogo)"))</f>
        <v/>
      </c>
      <c r="AB1077" s="5">
        <f>IF(tblOrdenes[[#This Row],[cod_actividad]]="","",_xlfn.XLOOKUP(tblOrdenes[[#This Row],[cod_actividad]],tblActividades[codigo],tblActividades[descripcion],"(sin catálogo)"))</f>
        <v/>
      </c>
      <c r="AC1077" s="20">
        <f>IF(tblOrdenes[[#This Row],[fecha_inicio]]="","",TODAY()-tblOrdenes[[#This Row],[fecha_inicio]])</f>
        <v/>
      </c>
      <c r="AD10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7" s="5">
        <f>IF(tblOrdenes[[#This Row],[backlog_habiles]]="","",IF(tblOrdenes[[#This Row],[backlog_habiles]]&lt;0,"FUTURO",IF(tblOrdenes[[#This Row],[backlog_habiles]]&gt;p_dias_backlog_max,"BACKLOG","MES CORRIENTE")))</f>
        <v/>
      </c>
      <c r="AF1077" s="5">
        <f>IF(tblOrdenes[[#This Row],[backlog_habiles]]="",FALSE,AND(tblOrdenes[[#This Row],[backlog_habiles]]&gt;p_dias_backlog_min,tblOrdenes[[#This Row],[backlog_habiles]]&lt;=p_dias_backlog_max))</f>
        <v/>
      </c>
      <c r="AG1077" s="4" t="n"/>
      <c r="AH10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7" s="18">
        <f>IF(tblOrdenes[[#This Row],[orden]]="","",_xlfn.XLOOKUP(tblOrdenes[[#This Row],[id_operacion]],tblEjecucion[id_operacion],tblEjecucion[precio],0))</f>
        <v/>
      </c>
      <c r="AL1077" s="18">
        <f>IF(tblOrdenes[[#This Row],[orden]]="","",MAX(0,_xlfn.XLOOKUP(tblOrdenes[[#This Row],[id_operacion]],tblEjecucion[id_operacion],tblEjecucion[costo_plan_total],0)-tblOrdenes[[#This Row],[costo_servicio]]))</f>
        <v/>
      </c>
      <c r="AM1077" s="18">
        <f>IF(tblOrdenes[[#This Row],[orden]]="","",tblOrdenes[[#This Row],[costo_servicio]]+tblOrdenes[[#This Row],[costo_materiales]])</f>
        <v/>
      </c>
      <c r="AN10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7" s="4" t="n"/>
      <c r="AP1077" s="4" t="n"/>
      <c r="AQ1077" s="4" t="n"/>
      <c r="AR1077" s="5">
        <f>IF(tblOrdenes[[#This Row],[link_checklist]]="","",HYPERLINK(p_ruta_base_checklists&amp;tblOrdenes[[#This Row],[link_checklist]],"abrir"))</f>
        <v/>
      </c>
      <c r="AS1077" s="4" t="n"/>
      <c r="AT1077" s="5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22" t="n"/>
      <c r="K1078" s="5" t="n"/>
      <c r="L1078" s="18" t="n"/>
      <c r="M10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5">
        <f>IF(tblOrdenes[[#This Row],[fecha_inicio]]="","",YEAR(tblOrdenes[[#This Row],[fecha_inicio]]))</f>
        <v/>
      </c>
      <c r="Q1078" s="5">
        <f>IF(tblOrdenes[[#This Row],[fecha_inicio]]="","",MONTH(tblOrdenes[[#This Row],[fecha_inicio]]))</f>
        <v/>
      </c>
      <c r="R1078" s="5">
        <f>IF(tblOrdenes[[#This Row],[fecha_inicio]]="","",tblOrdenes[[#This Row],[anio]]&amp;"-"&amp;TEXT(tblOrdenes[[#This Row],[mes]],"00"))</f>
        <v/>
      </c>
      <c r="S1078" s="5">
        <f>IF(tblOrdenes[[#This Row],[fecha_inicio]]="","",INDEX(lista_dias,WEEKDAY(tblOrdenes[[#This Row],[fecha_inicio]],2)))</f>
        <v/>
      </c>
      <c r="T10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8" s="5">
        <f>IF(tblOrdenes[[#This Row],[tipo_ot]]="","",_xlfn.XLOOKUP(tblOrdenes[[#This Row],[tipo_ot]],tblTiposOT[codigo],tblTiposOT[clasificacion],"sin_clasificar"))</f>
        <v/>
      </c>
      <c r="V10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8" s="5">
        <f>IF(tblOrdenes[[#This Row],[centro_costo]]="","",_xlfn.XLOOKUP(tblOrdenes[[#This Row],[centro_costo]],tblCECO[codigo],tblCECO[linea],"(sin catálogo)"))</f>
        <v/>
      </c>
      <c r="X1078" s="5">
        <f>IF(tblOrdenes[[#This Row],[centro_costo]]="","",_xlfn.XLOOKUP(tblOrdenes[[#This Row],[centro_costo]],tblCECO[codigo],tblCECO[area],"(sin catálogo)"))</f>
        <v/>
      </c>
      <c r="Y10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8" s="5">
        <f>IF(tblOrdenes[[#This Row],[centro_costo]]="","",_xlfn.XLOOKUP(tblOrdenes[[#This Row],[centro_costo]],tblCECO[codigo],tblCECO[coordinador],"(sin catálogo)"))</f>
        <v/>
      </c>
      <c r="AA1078" s="5">
        <f>IF(tblOrdenes[[#This Row],[puesto_trabajo]]="","",_xlfn.XLOOKUP(tblOrdenes[[#This Row],[puesto_trabajo]],tblPuestos[codigo],tblPuestos[especialidad],"(sin catálogo)"))</f>
        <v/>
      </c>
      <c r="AB1078" s="5">
        <f>IF(tblOrdenes[[#This Row],[cod_actividad]]="","",_xlfn.XLOOKUP(tblOrdenes[[#This Row],[cod_actividad]],tblActividades[codigo],tblActividades[descripcion],"(sin catálogo)"))</f>
        <v/>
      </c>
      <c r="AC1078" s="20">
        <f>IF(tblOrdenes[[#This Row],[fecha_inicio]]="","",TODAY()-tblOrdenes[[#This Row],[fecha_inicio]])</f>
        <v/>
      </c>
      <c r="AD10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8" s="5">
        <f>IF(tblOrdenes[[#This Row],[backlog_habiles]]="","",IF(tblOrdenes[[#This Row],[backlog_habiles]]&lt;0,"FUTURO",IF(tblOrdenes[[#This Row],[backlog_habiles]]&gt;p_dias_backlog_max,"BACKLOG","MES CORRIENTE")))</f>
        <v/>
      </c>
      <c r="AF1078" s="5">
        <f>IF(tblOrdenes[[#This Row],[backlog_habiles]]="",FALSE,AND(tblOrdenes[[#This Row],[backlog_habiles]]&gt;p_dias_backlog_min,tblOrdenes[[#This Row],[backlog_habiles]]&lt;=p_dias_backlog_max))</f>
        <v/>
      </c>
      <c r="AG1078" s="4" t="n"/>
      <c r="AH10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8" s="18">
        <f>IF(tblOrdenes[[#This Row],[orden]]="","",_xlfn.XLOOKUP(tblOrdenes[[#This Row],[id_operacion]],tblEjecucion[id_operacion],tblEjecucion[precio],0))</f>
        <v/>
      </c>
      <c r="AL1078" s="18">
        <f>IF(tblOrdenes[[#This Row],[orden]]="","",MAX(0,_xlfn.XLOOKUP(tblOrdenes[[#This Row],[id_operacion]],tblEjecucion[id_operacion],tblEjecucion[costo_plan_total],0)-tblOrdenes[[#This Row],[costo_servicio]]))</f>
        <v/>
      </c>
      <c r="AM1078" s="18">
        <f>IF(tblOrdenes[[#This Row],[orden]]="","",tblOrdenes[[#This Row],[costo_servicio]]+tblOrdenes[[#This Row],[costo_materiales]])</f>
        <v/>
      </c>
      <c r="AN10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8" s="4" t="n"/>
      <c r="AP1078" s="4" t="n"/>
      <c r="AQ1078" s="4" t="n"/>
      <c r="AR1078" s="5">
        <f>IF(tblOrdenes[[#This Row],[link_checklist]]="","",HYPERLINK(p_ruta_base_checklists&amp;tblOrdenes[[#This Row],[link_checklist]],"abrir"))</f>
        <v/>
      </c>
      <c r="AS1078" s="4" t="n"/>
      <c r="AT1078" s="5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22" t="n"/>
      <c r="K1079" s="5" t="n"/>
      <c r="L1079" s="18" t="n"/>
      <c r="M10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5">
        <f>IF(tblOrdenes[[#This Row],[fecha_inicio]]="","",YEAR(tblOrdenes[[#This Row],[fecha_inicio]]))</f>
        <v/>
      </c>
      <c r="Q1079" s="5">
        <f>IF(tblOrdenes[[#This Row],[fecha_inicio]]="","",MONTH(tblOrdenes[[#This Row],[fecha_inicio]]))</f>
        <v/>
      </c>
      <c r="R1079" s="5">
        <f>IF(tblOrdenes[[#This Row],[fecha_inicio]]="","",tblOrdenes[[#This Row],[anio]]&amp;"-"&amp;TEXT(tblOrdenes[[#This Row],[mes]],"00"))</f>
        <v/>
      </c>
      <c r="S1079" s="5">
        <f>IF(tblOrdenes[[#This Row],[fecha_inicio]]="","",INDEX(lista_dias,WEEKDAY(tblOrdenes[[#This Row],[fecha_inicio]],2)))</f>
        <v/>
      </c>
      <c r="T10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9" s="5">
        <f>IF(tblOrdenes[[#This Row],[tipo_ot]]="","",_xlfn.XLOOKUP(tblOrdenes[[#This Row],[tipo_ot]],tblTiposOT[codigo],tblTiposOT[clasificacion],"sin_clasificar"))</f>
        <v/>
      </c>
      <c r="V10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9" s="5">
        <f>IF(tblOrdenes[[#This Row],[centro_costo]]="","",_xlfn.XLOOKUP(tblOrdenes[[#This Row],[centro_costo]],tblCECO[codigo],tblCECO[linea],"(sin catálogo)"))</f>
        <v/>
      </c>
      <c r="X1079" s="5">
        <f>IF(tblOrdenes[[#This Row],[centro_costo]]="","",_xlfn.XLOOKUP(tblOrdenes[[#This Row],[centro_costo]],tblCECO[codigo],tblCECO[area],"(sin catálogo)"))</f>
        <v/>
      </c>
      <c r="Y10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79" s="5">
        <f>IF(tblOrdenes[[#This Row],[centro_costo]]="","",_xlfn.XLOOKUP(tblOrdenes[[#This Row],[centro_costo]],tblCECO[codigo],tblCECO[coordinador],"(sin catálogo)"))</f>
        <v/>
      </c>
      <c r="AA1079" s="5">
        <f>IF(tblOrdenes[[#This Row],[puesto_trabajo]]="","",_xlfn.XLOOKUP(tblOrdenes[[#This Row],[puesto_trabajo]],tblPuestos[codigo],tblPuestos[especialidad],"(sin catálogo)"))</f>
        <v/>
      </c>
      <c r="AB1079" s="5">
        <f>IF(tblOrdenes[[#This Row],[cod_actividad]]="","",_xlfn.XLOOKUP(tblOrdenes[[#This Row],[cod_actividad]],tblActividades[codigo],tblActividades[descripcion],"(sin catálogo)"))</f>
        <v/>
      </c>
      <c r="AC1079" s="20">
        <f>IF(tblOrdenes[[#This Row],[fecha_inicio]]="","",TODAY()-tblOrdenes[[#This Row],[fecha_inicio]])</f>
        <v/>
      </c>
      <c r="AD10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79" s="5">
        <f>IF(tblOrdenes[[#This Row],[backlog_habiles]]="","",IF(tblOrdenes[[#This Row],[backlog_habiles]]&lt;0,"FUTURO",IF(tblOrdenes[[#This Row],[backlog_habiles]]&gt;p_dias_backlog_max,"BACKLOG","MES CORRIENTE")))</f>
        <v/>
      </c>
      <c r="AF1079" s="5">
        <f>IF(tblOrdenes[[#This Row],[backlog_habiles]]="",FALSE,AND(tblOrdenes[[#This Row],[backlog_habiles]]&gt;p_dias_backlog_min,tblOrdenes[[#This Row],[backlog_habiles]]&lt;=p_dias_backlog_max))</f>
        <v/>
      </c>
      <c r="AG1079" s="4" t="n"/>
      <c r="AH10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79" s="18">
        <f>IF(tblOrdenes[[#This Row],[orden]]="","",_xlfn.XLOOKUP(tblOrdenes[[#This Row],[id_operacion]],tblEjecucion[id_operacion],tblEjecucion[precio],0))</f>
        <v/>
      </c>
      <c r="AL1079" s="18">
        <f>IF(tblOrdenes[[#This Row],[orden]]="","",MAX(0,_xlfn.XLOOKUP(tblOrdenes[[#This Row],[id_operacion]],tblEjecucion[id_operacion],tblEjecucion[costo_plan_total],0)-tblOrdenes[[#This Row],[costo_servicio]]))</f>
        <v/>
      </c>
      <c r="AM1079" s="18">
        <f>IF(tblOrdenes[[#This Row],[orden]]="","",tblOrdenes[[#This Row],[costo_servicio]]+tblOrdenes[[#This Row],[costo_materiales]])</f>
        <v/>
      </c>
      <c r="AN10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79" s="4" t="n"/>
      <c r="AP1079" s="4" t="n"/>
      <c r="AQ1079" s="4" t="n"/>
      <c r="AR1079" s="5">
        <f>IF(tblOrdenes[[#This Row],[link_checklist]]="","",HYPERLINK(p_ruta_base_checklists&amp;tblOrdenes[[#This Row],[link_checklist]],"abrir"))</f>
        <v/>
      </c>
      <c r="AS1079" s="4" t="n"/>
      <c r="AT1079" s="5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22" t="n"/>
      <c r="K1080" s="5" t="n"/>
      <c r="L1080" s="18" t="n"/>
      <c r="M10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5">
        <f>IF(tblOrdenes[[#This Row],[fecha_inicio]]="","",YEAR(tblOrdenes[[#This Row],[fecha_inicio]]))</f>
        <v/>
      </c>
      <c r="Q1080" s="5">
        <f>IF(tblOrdenes[[#This Row],[fecha_inicio]]="","",MONTH(tblOrdenes[[#This Row],[fecha_inicio]]))</f>
        <v/>
      </c>
      <c r="R1080" s="5">
        <f>IF(tblOrdenes[[#This Row],[fecha_inicio]]="","",tblOrdenes[[#This Row],[anio]]&amp;"-"&amp;TEXT(tblOrdenes[[#This Row],[mes]],"00"))</f>
        <v/>
      </c>
      <c r="S1080" s="5">
        <f>IF(tblOrdenes[[#This Row],[fecha_inicio]]="","",INDEX(lista_dias,WEEKDAY(tblOrdenes[[#This Row],[fecha_inicio]],2)))</f>
        <v/>
      </c>
      <c r="T10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0" s="5">
        <f>IF(tblOrdenes[[#This Row],[tipo_ot]]="","",_xlfn.XLOOKUP(tblOrdenes[[#This Row],[tipo_ot]],tblTiposOT[codigo],tblTiposOT[clasificacion],"sin_clasificar"))</f>
        <v/>
      </c>
      <c r="V10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0" s="5">
        <f>IF(tblOrdenes[[#This Row],[centro_costo]]="","",_xlfn.XLOOKUP(tblOrdenes[[#This Row],[centro_costo]],tblCECO[codigo],tblCECO[linea],"(sin catálogo)"))</f>
        <v/>
      </c>
      <c r="X1080" s="5">
        <f>IF(tblOrdenes[[#This Row],[centro_costo]]="","",_xlfn.XLOOKUP(tblOrdenes[[#This Row],[centro_costo]],tblCECO[codigo],tblCECO[area],"(sin catálogo)"))</f>
        <v/>
      </c>
      <c r="Y10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0" s="5">
        <f>IF(tblOrdenes[[#This Row],[centro_costo]]="","",_xlfn.XLOOKUP(tblOrdenes[[#This Row],[centro_costo]],tblCECO[codigo],tblCECO[coordinador],"(sin catálogo)"))</f>
        <v/>
      </c>
      <c r="AA1080" s="5">
        <f>IF(tblOrdenes[[#This Row],[puesto_trabajo]]="","",_xlfn.XLOOKUP(tblOrdenes[[#This Row],[puesto_trabajo]],tblPuestos[codigo],tblPuestos[especialidad],"(sin catálogo)"))</f>
        <v/>
      </c>
      <c r="AB1080" s="5">
        <f>IF(tblOrdenes[[#This Row],[cod_actividad]]="","",_xlfn.XLOOKUP(tblOrdenes[[#This Row],[cod_actividad]],tblActividades[codigo],tblActividades[descripcion],"(sin catálogo)"))</f>
        <v/>
      </c>
      <c r="AC1080" s="20">
        <f>IF(tblOrdenes[[#This Row],[fecha_inicio]]="","",TODAY()-tblOrdenes[[#This Row],[fecha_inicio]])</f>
        <v/>
      </c>
      <c r="AD10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0" s="5">
        <f>IF(tblOrdenes[[#This Row],[backlog_habiles]]="","",IF(tblOrdenes[[#This Row],[backlog_habiles]]&lt;0,"FUTURO",IF(tblOrdenes[[#This Row],[backlog_habiles]]&gt;p_dias_backlog_max,"BACKLOG","MES CORRIENTE")))</f>
        <v/>
      </c>
      <c r="AF1080" s="5">
        <f>IF(tblOrdenes[[#This Row],[backlog_habiles]]="",FALSE,AND(tblOrdenes[[#This Row],[backlog_habiles]]&gt;p_dias_backlog_min,tblOrdenes[[#This Row],[backlog_habiles]]&lt;=p_dias_backlog_max))</f>
        <v/>
      </c>
      <c r="AG1080" s="4" t="n"/>
      <c r="AH10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0" s="18">
        <f>IF(tblOrdenes[[#This Row],[orden]]="","",_xlfn.XLOOKUP(tblOrdenes[[#This Row],[id_operacion]],tblEjecucion[id_operacion],tblEjecucion[precio],0))</f>
        <v/>
      </c>
      <c r="AL1080" s="18">
        <f>IF(tblOrdenes[[#This Row],[orden]]="","",MAX(0,_xlfn.XLOOKUP(tblOrdenes[[#This Row],[id_operacion]],tblEjecucion[id_operacion],tblEjecucion[costo_plan_total],0)-tblOrdenes[[#This Row],[costo_servicio]]))</f>
        <v/>
      </c>
      <c r="AM1080" s="18">
        <f>IF(tblOrdenes[[#This Row],[orden]]="","",tblOrdenes[[#This Row],[costo_servicio]]+tblOrdenes[[#This Row],[costo_materiales]])</f>
        <v/>
      </c>
      <c r="AN10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0" s="4" t="n"/>
      <c r="AP1080" s="4" t="n"/>
      <c r="AQ1080" s="4" t="n"/>
      <c r="AR1080" s="5">
        <f>IF(tblOrdenes[[#This Row],[link_checklist]]="","",HYPERLINK(p_ruta_base_checklists&amp;tblOrdenes[[#This Row],[link_checklist]],"abrir"))</f>
        <v/>
      </c>
      <c r="AS1080" s="4" t="n"/>
      <c r="AT1080" s="5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22" t="n"/>
      <c r="K1081" s="5" t="n"/>
      <c r="L1081" s="18" t="n"/>
      <c r="M10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5">
        <f>IF(tblOrdenes[[#This Row],[fecha_inicio]]="","",YEAR(tblOrdenes[[#This Row],[fecha_inicio]]))</f>
        <v/>
      </c>
      <c r="Q1081" s="5">
        <f>IF(tblOrdenes[[#This Row],[fecha_inicio]]="","",MONTH(tblOrdenes[[#This Row],[fecha_inicio]]))</f>
        <v/>
      </c>
      <c r="R1081" s="5">
        <f>IF(tblOrdenes[[#This Row],[fecha_inicio]]="","",tblOrdenes[[#This Row],[anio]]&amp;"-"&amp;TEXT(tblOrdenes[[#This Row],[mes]],"00"))</f>
        <v/>
      </c>
      <c r="S1081" s="5">
        <f>IF(tblOrdenes[[#This Row],[fecha_inicio]]="","",INDEX(lista_dias,WEEKDAY(tblOrdenes[[#This Row],[fecha_inicio]],2)))</f>
        <v/>
      </c>
      <c r="T10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1" s="5">
        <f>IF(tblOrdenes[[#This Row],[tipo_ot]]="","",_xlfn.XLOOKUP(tblOrdenes[[#This Row],[tipo_ot]],tblTiposOT[codigo],tblTiposOT[clasificacion],"sin_clasificar"))</f>
        <v/>
      </c>
      <c r="V10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1" s="5">
        <f>IF(tblOrdenes[[#This Row],[centro_costo]]="","",_xlfn.XLOOKUP(tblOrdenes[[#This Row],[centro_costo]],tblCECO[codigo],tblCECO[linea],"(sin catálogo)"))</f>
        <v/>
      </c>
      <c r="X1081" s="5">
        <f>IF(tblOrdenes[[#This Row],[centro_costo]]="","",_xlfn.XLOOKUP(tblOrdenes[[#This Row],[centro_costo]],tblCECO[codigo],tblCECO[area],"(sin catálogo)"))</f>
        <v/>
      </c>
      <c r="Y10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1" s="5">
        <f>IF(tblOrdenes[[#This Row],[centro_costo]]="","",_xlfn.XLOOKUP(tblOrdenes[[#This Row],[centro_costo]],tblCECO[codigo],tblCECO[coordinador],"(sin catálogo)"))</f>
        <v/>
      </c>
      <c r="AA1081" s="5">
        <f>IF(tblOrdenes[[#This Row],[puesto_trabajo]]="","",_xlfn.XLOOKUP(tblOrdenes[[#This Row],[puesto_trabajo]],tblPuestos[codigo],tblPuestos[especialidad],"(sin catálogo)"))</f>
        <v/>
      </c>
      <c r="AB1081" s="5">
        <f>IF(tblOrdenes[[#This Row],[cod_actividad]]="","",_xlfn.XLOOKUP(tblOrdenes[[#This Row],[cod_actividad]],tblActividades[codigo],tblActividades[descripcion],"(sin catálogo)"))</f>
        <v/>
      </c>
      <c r="AC1081" s="20">
        <f>IF(tblOrdenes[[#This Row],[fecha_inicio]]="","",TODAY()-tblOrdenes[[#This Row],[fecha_inicio]])</f>
        <v/>
      </c>
      <c r="AD10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1" s="5">
        <f>IF(tblOrdenes[[#This Row],[backlog_habiles]]="","",IF(tblOrdenes[[#This Row],[backlog_habiles]]&lt;0,"FUTURO",IF(tblOrdenes[[#This Row],[backlog_habiles]]&gt;p_dias_backlog_max,"BACKLOG","MES CORRIENTE")))</f>
        <v/>
      </c>
      <c r="AF1081" s="5">
        <f>IF(tblOrdenes[[#This Row],[backlog_habiles]]="",FALSE,AND(tblOrdenes[[#This Row],[backlog_habiles]]&gt;p_dias_backlog_min,tblOrdenes[[#This Row],[backlog_habiles]]&lt;=p_dias_backlog_max))</f>
        <v/>
      </c>
      <c r="AG1081" s="4" t="n"/>
      <c r="AH10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1" s="18">
        <f>IF(tblOrdenes[[#This Row],[orden]]="","",_xlfn.XLOOKUP(tblOrdenes[[#This Row],[id_operacion]],tblEjecucion[id_operacion],tblEjecucion[precio],0))</f>
        <v/>
      </c>
      <c r="AL1081" s="18">
        <f>IF(tblOrdenes[[#This Row],[orden]]="","",MAX(0,_xlfn.XLOOKUP(tblOrdenes[[#This Row],[id_operacion]],tblEjecucion[id_operacion],tblEjecucion[costo_plan_total],0)-tblOrdenes[[#This Row],[costo_servicio]]))</f>
        <v/>
      </c>
      <c r="AM1081" s="18">
        <f>IF(tblOrdenes[[#This Row],[orden]]="","",tblOrdenes[[#This Row],[costo_servicio]]+tblOrdenes[[#This Row],[costo_materiales]])</f>
        <v/>
      </c>
      <c r="AN10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1" s="4" t="n"/>
      <c r="AP1081" s="4" t="n"/>
      <c r="AQ1081" s="4" t="n"/>
      <c r="AR1081" s="5">
        <f>IF(tblOrdenes[[#This Row],[link_checklist]]="","",HYPERLINK(p_ruta_base_checklists&amp;tblOrdenes[[#This Row],[link_checklist]],"abrir"))</f>
        <v/>
      </c>
      <c r="AS1081" s="4" t="n"/>
      <c r="AT1081" s="5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22" t="n"/>
      <c r="K1082" s="5" t="n"/>
      <c r="L1082" s="18" t="n"/>
      <c r="M10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5">
        <f>IF(tblOrdenes[[#This Row],[fecha_inicio]]="","",YEAR(tblOrdenes[[#This Row],[fecha_inicio]]))</f>
        <v/>
      </c>
      <c r="Q1082" s="5">
        <f>IF(tblOrdenes[[#This Row],[fecha_inicio]]="","",MONTH(tblOrdenes[[#This Row],[fecha_inicio]]))</f>
        <v/>
      </c>
      <c r="R1082" s="5">
        <f>IF(tblOrdenes[[#This Row],[fecha_inicio]]="","",tblOrdenes[[#This Row],[anio]]&amp;"-"&amp;TEXT(tblOrdenes[[#This Row],[mes]],"00"))</f>
        <v/>
      </c>
      <c r="S1082" s="5">
        <f>IF(tblOrdenes[[#This Row],[fecha_inicio]]="","",INDEX(lista_dias,WEEKDAY(tblOrdenes[[#This Row],[fecha_inicio]],2)))</f>
        <v/>
      </c>
      <c r="T10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2" s="5">
        <f>IF(tblOrdenes[[#This Row],[tipo_ot]]="","",_xlfn.XLOOKUP(tblOrdenes[[#This Row],[tipo_ot]],tblTiposOT[codigo],tblTiposOT[clasificacion],"sin_clasificar"))</f>
        <v/>
      </c>
      <c r="V10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2" s="5">
        <f>IF(tblOrdenes[[#This Row],[centro_costo]]="","",_xlfn.XLOOKUP(tblOrdenes[[#This Row],[centro_costo]],tblCECO[codigo],tblCECO[linea],"(sin catálogo)"))</f>
        <v/>
      </c>
      <c r="X1082" s="5">
        <f>IF(tblOrdenes[[#This Row],[centro_costo]]="","",_xlfn.XLOOKUP(tblOrdenes[[#This Row],[centro_costo]],tblCECO[codigo],tblCECO[area],"(sin catálogo)"))</f>
        <v/>
      </c>
      <c r="Y10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2" s="5">
        <f>IF(tblOrdenes[[#This Row],[centro_costo]]="","",_xlfn.XLOOKUP(tblOrdenes[[#This Row],[centro_costo]],tblCECO[codigo],tblCECO[coordinador],"(sin catálogo)"))</f>
        <v/>
      </c>
      <c r="AA1082" s="5">
        <f>IF(tblOrdenes[[#This Row],[puesto_trabajo]]="","",_xlfn.XLOOKUP(tblOrdenes[[#This Row],[puesto_trabajo]],tblPuestos[codigo],tblPuestos[especialidad],"(sin catálogo)"))</f>
        <v/>
      </c>
      <c r="AB1082" s="5">
        <f>IF(tblOrdenes[[#This Row],[cod_actividad]]="","",_xlfn.XLOOKUP(tblOrdenes[[#This Row],[cod_actividad]],tblActividades[codigo],tblActividades[descripcion],"(sin catálogo)"))</f>
        <v/>
      </c>
      <c r="AC1082" s="20">
        <f>IF(tblOrdenes[[#This Row],[fecha_inicio]]="","",TODAY()-tblOrdenes[[#This Row],[fecha_inicio]])</f>
        <v/>
      </c>
      <c r="AD10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2" s="5">
        <f>IF(tblOrdenes[[#This Row],[backlog_habiles]]="","",IF(tblOrdenes[[#This Row],[backlog_habiles]]&lt;0,"FUTURO",IF(tblOrdenes[[#This Row],[backlog_habiles]]&gt;p_dias_backlog_max,"BACKLOG","MES CORRIENTE")))</f>
        <v/>
      </c>
      <c r="AF1082" s="5">
        <f>IF(tblOrdenes[[#This Row],[backlog_habiles]]="",FALSE,AND(tblOrdenes[[#This Row],[backlog_habiles]]&gt;p_dias_backlog_min,tblOrdenes[[#This Row],[backlog_habiles]]&lt;=p_dias_backlog_max))</f>
        <v/>
      </c>
      <c r="AG1082" s="4" t="n"/>
      <c r="AH10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2" s="18">
        <f>IF(tblOrdenes[[#This Row],[orden]]="","",_xlfn.XLOOKUP(tblOrdenes[[#This Row],[id_operacion]],tblEjecucion[id_operacion],tblEjecucion[precio],0))</f>
        <v/>
      </c>
      <c r="AL1082" s="18">
        <f>IF(tblOrdenes[[#This Row],[orden]]="","",MAX(0,_xlfn.XLOOKUP(tblOrdenes[[#This Row],[id_operacion]],tblEjecucion[id_operacion],tblEjecucion[costo_plan_total],0)-tblOrdenes[[#This Row],[costo_servicio]]))</f>
        <v/>
      </c>
      <c r="AM1082" s="18">
        <f>IF(tblOrdenes[[#This Row],[orden]]="","",tblOrdenes[[#This Row],[costo_servicio]]+tblOrdenes[[#This Row],[costo_materiales]])</f>
        <v/>
      </c>
      <c r="AN10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2" s="4" t="n"/>
      <c r="AP1082" s="4" t="n"/>
      <c r="AQ1082" s="4" t="n"/>
      <c r="AR1082" s="5">
        <f>IF(tblOrdenes[[#This Row],[link_checklist]]="","",HYPERLINK(p_ruta_base_checklists&amp;tblOrdenes[[#This Row],[link_checklist]],"abrir"))</f>
        <v/>
      </c>
      <c r="AS1082" s="4" t="n"/>
      <c r="AT1082" s="5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22" t="n"/>
      <c r="K1083" s="5" t="n"/>
      <c r="L1083" s="18" t="n"/>
      <c r="M10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5">
        <f>IF(tblOrdenes[[#This Row],[fecha_inicio]]="","",YEAR(tblOrdenes[[#This Row],[fecha_inicio]]))</f>
        <v/>
      </c>
      <c r="Q1083" s="5">
        <f>IF(tblOrdenes[[#This Row],[fecha_inicio]]="","",MONTH(tblOrdenes[[#This Row],[fecha_inicio]]))</f>
        <v/>
      </c>
      <c r="R1083" s="5">
        <f>IF(tblOrdenes[[#This Row],[fecha_inicio]]="","",tblOrdenes[[#This Row],[anio]]&amp;"-"&amp;TEXT(tblOrdenes[[#This Row],[mes]],"00"))</f>
        <v/>
      </c>
      <c r="S1083" s="5">
        <f>IF(tblOrdenes[[#This Row],[fecha_inicio]]="","",INDEX(lista_dias,WEEKDAY(tblOrdenes[[#This Row],[fecha_inicio]],2)))</f>
        <v/>
      </c>
      <c r="T10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3" s="5">
        <f>IF(tblOrdenes[[#This Row],[tipo_ot]]="","",_xlfn.XLOOKUP(tblOrdenes[[#This Row],[tipo_ot]],tblTiposOT[codigo],tblTiposOT[clasificacion],"sin_clasificar"))</f>
        <v/>
      </c>
      <c r="V10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3" s="5">
        <f>IF(tblOrdenes[[#This Row],[centro_costo]]="","",_xlfn.XLOOKUP(tblOrdenes[[#This Row],[centro_costo]],tblCECO[codigo],tblCECO[linea],"(sin catálogo)"))</f>
        <v/>
      </c>
      <c r="X1083" s="5">
        <f>IF(tblOrdenes[[#This Row],[centro_costo]]="","",_xlfn.XLOOKUP(tblOrdenes[[#This Row],[centro_costo]],tblCECO[codigo],tblCECO[area],"(sin catálogo)"))</f>
        <v/>
      </c>
      <c r="Y10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3" s="5">
        <f>IF(tblOrdenes[[#This Row],[centro_costo]]="","",_xlfn.XLOOKUP(tblOrdenes[[#This Row],[centro_costo]],tblCECO[codigo],tblCECO[coordinador],"(sin catálogo)"))</f>
        <v/>
      </c>
      <c r="AA1083" s="5">
        <f>IF(tblOrdenes[[#This Row],[puesto_trabajo]]="","",_xlfn.XLOOKUP(tblOrdenes[[#This Row],[puesto_trabajo]],tblPuestos[codigo],tblPuestos[especialidad],"(sin catálogo)"))</f>
        <v/>
      </c>
      <c r="AB1083" s="5">
        <f>IF(tblOrdenes[[#This Row],[cod_actividad]]="","",_xlfn.XLOOKUP(tblOrdenes[[#This Row],[cod_actividad]],tblActividades[codigo],tblActividades[descripcion],"(sin catálogo)"))</f>
        <v/>
      </c>
      <c r="AC1083" s="20">
        <f>IF(tblOrdenes[[#This Row],[fecha_inicio]]="","",TODAY()-tblOrdenes[[#This Row],[fecha_inicio]])</f>
        <v/>
      </c>
      <c r="AD10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3" s="5">
        <f>IF(tblOrdenes[[#This Row],[backlog_habiles]]="","",IF(tblOrdenes[[#This Row],[backlog_habiles]]&lt;0,"FUTURO",IF(tblOrdenes[[#This Row],[backlog_habiles]]&gt;p_dias_backlog_max,"BACKLOG","MES CORRIENTE")))</f>
        <v/>
      </c>
      <c r="AF1083" s="5">
        <f>IF(tblOrdenes[[#This Row],[backlog_habiles]]="",FALSE,AND(tblOrdenes[[#This Row],[backlog_habiles]]&gt;p_dias_backlog_min,tblOrdenes[[#This Row],[backlog_habiles]]&lt;=p_dias_backlog_max))</f>
        <v/>
      </c>
      <c r="AG1083" s="4" t="n"/>
      <c r="AH10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3" s="18">
        <f>IF(tblOrdenes[[#This Row],[orden]]="","",_xlfn.XLOOKUP(tblOrdenes[[#This Row],[id_operacion]],tblEjecucion[id_operacion],tblEjecucion[precio],0))</f>
        <v/>
      </c>
      <c r="AL1083" s="18">
        <f>IF(tblOrdenes[[#This Row],[orden]]="","",MAX(0,_xlfn.XLOOKUP(tblOrdenes[[#This Row],[id_operacion]],tblEjecucion[id_operacion],tblEjecucion[costo_plan_total],0)-tblOrdenes[[#This Row],[costo_servicio]]))</f>
        <v/>
      </c>
      <c r="AM1083" s="18">
        <f>IF(tblOrdenes[[#This Row],[orden]]="","",tblOrdenes[[#This Row],[costo_servicio]]+tblOrdenes[[#This Row],[costo_materiales]])</f>
        <v/>
      </c>
      <c r="AN10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3" s="4" t="n"/>
      <c r="AP1083" s="4" t="n"/>
      <c r="AQ1083" s="4" t="n"/>
      <c r="AR1083" s="5">
        <f>IF(tblOrdenes[[#This Row],[link_checklist]]="","",HYPERLINK(p_ruta_base_checklists&amp;tblOrdenes[[#This Row],[link_checklist]],"abrir"))</f>
        <v/>
      </c>
      <c r="AS1083" s="4" t="n"/>
      <c r="AT1083" s="5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22" t="n"/>
      <c r="K1084" s="5" t="n"/>
      <c r="L1084" s="18" t="n"/>
      <c r="M10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5">
        <f>IF(tblOrdenes[[#This Row],[fecha_inicio]]="","",YEAR(tblOrdenes[[#This Row],[fecha_inicio]]))</f>
        <v/>
      </c>
      <c r="Q1084" s="5">
        <f>IF(tblOrdenes[[#This Row],[fecha_inicio]]="","",MONTH(tblOrdenes[[#This Row],[fecha_inicio]]))</f>
        <v/>
      </c>
      <c r="R1084" s="5">
        <f>IF(tblOrdenes[[#This Row],[fecha_inicio]]="","",tblOrdenes[[#This Row],[anio]]&amp;"-"&amp;TEXT(tblOrdenes[[#This Row],[mes]],"00"))</f>
        <v/>
      </c>
      <c r="S1084" s="5">
        <f>IF(tblOrdenes[[#This Row],[fecha_inicio]]="","",INDEX(lista_dias,WEEKDAY(tblOrdenes[[#This Row],[fecha_inicio]],2)))</f>
        <v/>
      </c>
      <c r="T10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4" s="5">
        <f>IF(tblOrdenes[[#This Row],[tipo_ot]]="","",_xlfn.XLOOKUP(tblOrdenes[[#This Row],[tipo_ot]],tblTiposOT[codigo],tblTiposOT[clasificacion],"sin_clasificar"))</f>
        <v/>
      </c>
      <c r="V10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4" s="5">
        <f>IF(tblOrdenes[[#This Row],[centro_costo]]="","",_xlfn.XLOOKUP(tblOrdenes[[#This Row],[centro_costo]],tblCECO[codigo],tblCECO[linea],"(sin catálogo)"))</f>
        <v/>
      </c>
      <c r="X1084" s="5">
        <f>IF(tblOrdenes[[#This Row],[centro_costo]]="","",_xlfn.XLOOKUP(tblOrdenes[[#This Row],[centro_costo]],tblCECO[codigo],tblCECO[area],"(sin catálogo)"))</f>
        <v/>
      </c>
      <c r="Y10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4" s="5">
        <f>IF(tblOrdenes[[#This Row],[centro_costo]]="","",_xlfn.XLOOKUP(tblOrdenes[[#This Row],[centro_costo]],tblCECO[codigo],tblCECO[coordinador],"(sin catálogo)"))</f>
        <v/>
      </c>
      <c r="AA1084" s="5">
        <f>IF(tblOrdenes[[#This Row],[puesto_trabajo]]="","",_xlfn.XLOOKUP(tblOrdenes[[#This Row],[puesto_trabajo]],tblPuestos[codigo],tblPuestos[especialidad],"(sin catálogo)"))</f>
        <v/>
      </c>
      <c r="AB1084" s="5">
        <f>IF(tblOrdenes[[#This Row],[cod_actividad]]="","",_xlfn.XLOOKUP(tblOrdenes[[#This Row],[cod_actividad]],tblActividades[codigo],tblActividades[descripcion],"(sin catálogo)"))</f>
        <v/>
      </c>
      <c r="AC1084" s="20">
        <f>IF(tblOrdenes[[#This Row],[fecha_inicio]]="","",TODAY()-tblOrdenes[[#This Row],[fecha_inicio]])</f>
        <v/>
      </c>
      <c r="AD10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4" s="5">
        <f>IF(tblOrdenes[[#This Row],[backlog_habiles]]="","",IF(tblOrdenes[[#This Row],[backlog_habiles]]&lt;0,"FUTURO",IF(tblOrdenes[[#This Row],[backlog_habiles]]&gt;p_dias_backlog_max,"BACKLOG","MES CORRIENTE")))</f>
        <v/>
      </c>
      <c r="AF1084" s="5">
        <f>IF(tblOrdenes[[#This Row],[backlog_habiles]]="",FALSE,AND(tblOrdenes[[#This Row],[backlog_habiles]]&gt;p_dias_backlog_min,tblOrdenes[[#This Row],[backlog_habiles]]&lt;=p_dias_backlog_max))</f>
        <v/>
      </c>
      <c r="AG1084" s="4" t="n"/>
      <c r="AH10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4" s="18">
        <f>IF(tblOrdenes[[#This Row],[orden]]="","",_xlfn.XLOOKUP(tblOrdenes[[#This Row],[id_operacion]],tblEjecucion[id_operacion],tblEjecucion[precio],0))</f>
        <v/>
      </c>
      <c r="AL1084" s="18">
        <f>IF(tblOrdenes[[#This Row],[orden]]="","",MAX(0,_xlfn.XLOOKUP(tblOrdenes[[#This Row],[id_operacion]],tblEjecucion[id_operacion],tblEjecucion[costo_plan_total],0)-tblOrdenes[[#This Row],[costo_servicio]]))</f>
        <v/>
      </c>
      <c r="AM1084" s="18">
        <f>IF(tblOrdenes[[#This Row],[orden]]="","",tblOrdenes[[#This Row],[costo_servicio]]+tblOrdenes[[#This Row],[costo_materiales]])</f>
        <v/>
      </c>
      <c r="AN10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4" s="4" t="n"/>
      <c r="AP1084" s="4" t="n"/>
      <c r="AQ1084" s="4" t="n"/>
      <c r="AR1084" s="5">
        <f>IF(tblOrdenes[[#This Row],[link_checklist]]="","",HYPERLINK(p_ruta_base_checklists&amp;tblOrdenes[[#This Row],[link_checklist]],"abrir"))</f>
        <v/>
      </c>
      <c r="AS1084" s="4" t="n"/>
      <c r="AT1084" s="5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22" t="n"/>
      <c r="K1085" s="5" t="n"/>
      <c r="L1085" s="18" t="n"/>
      <c r="M10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5">
        <f>IF(tblOrdenes[[#This Row],[fecha_inicio]]="","",YEAR(tblOrdenes[[#This Row],[fecha_inicio]]))</f>
        <v/>
      </c>
      <c r="Q1085" s="5">
        <f>IF(tblOrdenes[[#This Row],[fecha_inicio]]="","",MONTH(tblOrdenes[[#This Row],[fecha_inicio]]))</f>
        <v/>
      </c>
      <c r="R1085" s="5">
        <f>IF(tblOrdenes[[#This Row],[fecha_inicio]]="","",tblOrdenes[[#This Row],[anio]]&amp;"-"&amp;TEXT(tblOrdenes[[#This Row],[mes]],"00"))</f>
        <v/>
      </c>
      <c r="S1085" s="5">
        <f>IF(tblOrdenes[[#This Row],[fecha_inicio]]="","",INDEX(lista_dias,WEEKDAY(tblOrdenes[[#This Row],[fecha_inicio]],2)))</f>
        <v/>
      </c>
      <c r="T10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5" s="5">
        <f>IF(tblOrdenes[[#This Row],[tipo_ot]]="","",_xlfn.XLOOKUP(tblOrdenes[[#This Row],[tipo_ot]],tblTiposOT[codigo],tblTiposOT[clasificacion],"sin_clasificar"))</f>
        <v/>
      </c>
      <c r="V10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5" s="5">
        <f>IF(tblOrdenes[[#This Row],[centro_costo]]="","",_xlfn.XLOOKUP(tblOrdenes[[#This Row],[centro_costo]],tblCECO[codigo],tblCECO[linea],"(sin catálogo)"))</f>
        <v/>
      </c>
      <c r="X1085" s="5">
        <f>IF(tblOrdenes[[#This Row],[centro_costo]]="","",_xlfn.XLOOKUP(tblOrdenes[[#This Row],[centro_costo]],tblCECO[codigo],tblCECO[area],"(sin catálogo)"))</f>
        <v/>
      </c>
      <c r="Y10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5" s="5">
        <f>IF(tblOrdenes[[#This Row],[centro_costo]]="","",_xlfn.XLOOKUP(tblOrdenes[[#This Row],[centro_costo]],tblCECO[codigo],tblCECO[coordinador],"(sin catálogo)"))</f>
        <v/>
      </c>
      <c r="AA1085" s="5">
        <f>IF(tblOrdenes[[#This Row],[puesto_trabajo]]="","",_xlfn.XLOOKUP(tblOrdenes[[#This Row],[puesto_trabajo]],tblPuestos[codigo],tblPuestos[especialidad],"(sin catálogo)"))</f>
        <v/>
      </c>
      <c r="AB1085" s="5">
        <f>IF(tblOrdenes[[#This Row],[cod_actividad]]="","",_xlfn.XLOOKUP(tblOrdenes[[#This Row],[cod_actividad]],tblActividades[codigo],tblActividades[descripcion],"(sin catálogo)"))</f>
        <v/>
      </c>
      <c r="AC1085" s="20">
        <f>IF(tblOrdenes[[#This Row],[fecha_inicio]]="","",TODAY()-tblOrdenes[[#This Row],[fecha_inicio]])</f>
        <v/>
      </c>
      <c r="AD10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5" s="5">
        <f>IF(tblOrdenes[[#This Row],[backlog_habiles]]="","",IF(tblOrdenes[[#This Row],[backlog_habiles]]&lt;0,"FUTURO",IF(tblOrdenes[[#This Row],[backlog_habiles]]&gt;p_dias_backlog_max,"BACKLOG","MES CORRIENTE")))</f>
        <v/>
      </c>
      <c r="AF1085" s="5">
        <f>IF(tblOrdenes[[#This Row],[backlog_habiles]]="",FALSE,AND(tblOrdenes[[#This Row],[backlog_habiles]]&gt;p_dias_backlog_min,tblOrdenes[[#This Row],[backlog_habiles]]&lt;=p_dias_backlog_max))</f>
        <v/>
      </c>
      <c r="AG1085" s="4" t="n"/>
      <c r="AH10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5" s="18">
        <f>IF(tblOrdenes[[#This Row],[orden]]="","",_xlfn.XLOOKUP(tblOrdenes[[#This Row],[id_operacion]],tblEjecucion[id_operacion],tblEjecucion[precio],0))</f>
        <v/>
      </c>
      <c r="AL1085" s="18">
        <f>IF(tblOrdenes[[#This Row],[orden]]="","",MAX(0,_xlfn.XLOOKUP(tblOrdenes[[#This Row],[id_operacion]],tblEjecucion[id_operacion],tblEjecucion[costo_plan_total],0)-tblOrdenes[[#This Row],[costo_servicio]]))</f>
        <v/>
      </c>
      <c r="AM1085" s="18">
        <f>IF(tblOrdenes[[#This Row],[orden]]="","",tblOrdenes[[#This Row],[costo_servicio]]+tblOrdenes[[#This Row],[costo_materiales]])</f>
        <v/>
      </c>
      <c r="AN10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5" s="4" t="n"/>
      <c r="AP1085" s="4" t="n"/>
      <c r="AQ1085" s="4" t="n"/>
      <c r="AR1085" s="5">
        <f>IF(tblOrdenes[[#This Row],[link_checklist]]="","",HYPERLINK(p_ruta_base_checklists&amp;tblOrdenes[[#This Row],[link_checklist]],"abrir"))</f>
        <v/>
      </c>
      <c r="AS1085" s="4" t="n"/>
      <c r="AT1085" s="5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22" t="n"/>
      <c r="K1086" s="5" t="n"/>
      <c r="L1086" s="18" t="n"/>
      <c r="M10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5">
        <f>IF(tblOrdenes[[#This Row],[fecha_inicio]]="","",YEAR(tblOrdenes[[#This Row],[fecha_inicio]]))</f>
        <v/>
      </c>
      <c r="Q1086" s="5">
        <f>IF(tblOrdenes[[#This Row],[fecha_inicio]]="","",MONTH(tblOrdenes[[#This Row],[fecha_inicio]]))</f>
        <v/>
      </c>
      <c r="R1086" s="5">
        <f>IF(tblOrdenes[[#This Row],[fecha_inicio]]="","",tblOrdenes[[#This Row],[anio]]&amp;"-"&amp;TEXT(tblOrdenes[[#This Row],[mes]],"00"))</f>
        <v/>
      </c>
      <c r="S1086" s="5">
        <f>IF(tblOrdenes[[#This Row],[fecha_inicio]]="","",INDEX(lista_dias,WEEKDAY(tblOrdenes[[#This Row],[fecha_inicio]],2)))</f>
        <v/>
      </c>
      <c r="T10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6" s="5">
        <f>IF(tblOrdenes[[#This Row],[tipo_ot]]="","",_xlfn.XLOOKUP(tblOrdenes[[#This Row],[tipo_ot]],tblTiposOT[codigo],tblTiposOT[clasificacion],"sin_clasificar"))</f>
        <v/>
      </c>
      <c r="V10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6" s="5">
        <f>IF(tblOrdenes[[#This Row],[centro_costo]]="","",_xlfn.XLOOKUP(tblOrdenes[[#This Row],[centro_costo]],tblCECO[codigo],tblCECO[linea],"(sin catálogo)"))</f>
        <v/>
      </c>
      <c r="X1086" s="5">
        <f>IF(tblOrdenes[[#This Row],[centro_costo]]="","",_xlfn.XLOOKUP(tblOrdenes[[#This Row],[centro_costo]],tblCECO[codigo],tblCECO[area],"(sin catálogo)"))</f>
        <v/>
      </c>
      <c r="Y10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6" s="5">
        <f>IF(tblOrdenes[[#This Row],[centro_costo]]="","",_xlfn.XLOOKUP(tblOrdenes[[#This Row],[centro_costo]],tblCECO[codigo],tblCECO[coordinador],"(sin catálogo)"))</f>
        <v/>
      </c>
      <c r="AA1086" s="5">
        <f>IF(tblOrdenes[[#This Row],[puesto_trabajo]]="","",_xlfn.XLOOKUP(tblOrdenes[[#This Row],[puesto_trabajo]],tblPuestos[codigo],tblPuestos[especialidad],"(sin catálogo)"))</f>
        <v/>
      </c>
      <c r="AB1086" s="5">
        <f>IF(tblOrdenes[[#This Row],[cod_actividad]]="","",_xlfn.XLOOKUP(tblOrdenes[[#This Row],[cod_actividad]],tblActividades[codigo],tblActividades[descripcion],"(sin catálogo)"))</f>
        <v/>
      </c>
      <c r="AC1086" s="20">
        <f>IF(tblOrdenes[[#This Row],[fecha_inicio]]="","",TODAY()-tblOrdenes[[#This Row],[fecha_inicio]])</f>
        <v/>
      </c>
      <c r="AD10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6" s="5">
        <f>IF(tblOrdenes[[#This Row],[backlog_habiles]]="","",IF(tblOrdenes[[#This Row],[backlog_habiles]]&lt;0,"FUTURO",IF(tblOrdenes[[#This Row],[backlog_habiles]]&gt;p_dias_backlog_max,"BACKLOG","MES CORRIENTE")))</f>
        <v/>
      </c>
      <c r="AF1086" s="5">
        <f>IF(tblOrdenes[[#This Row],[backlog_habiles]]="",FALSE,AND(tblOrdenes[[#This Row],[backlog_habiles]]&gt;p_dias_backlog_min,tblOrdenes[[#This Row],[backlog_habiles]]&lt;=p_dias_backlog_max))</f>
        <v/>
      </c>
      <c r="AG1086" s="4" t="n"/>
      <c r="AH10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6" s="18">
        <f>IF(tblOrdenes[[#This Row],[orden]]="","",_xlfn.XLOOKUP(tblOrdenes[[#This Row],[id_operacion]],tblEjecucion[id_operacion],tblEjecucion[precio],0))</f>
        <v/>
      </c>
      <c r="AL1086" s="18">
        <f>IF(tblOrdenes[[#This Row],[orden]]="","",MAX(0,_xlfn.XLOOKUP(tblOrdenes[[#This Row],[id_operacion]],tblEjecucion[id_operacion],tblEjecucion[costo_plan_total],0)-tblOrdenes[[#This Row],[costo_servicio]]))</f>
        <v/>
      </c>
      <c r="AM1086" s="18">
        <f>IF(tblOrdenes[[#This Row],[orden]]="","",tblOrdenes[[#This Row],[costo_servicio]]+tblOrdenes[[#This Row],[costo_materiales]])</f>
        <v/>
      </c>
      <c r="AN10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6" s="4" t="n"/>
      <c r="AP1086" s="4" t="n"/>
      <c r="AQ1086" s="4" t="n"/>
      <c r="AR1086" s="5">
        <f>IF(tblOrdenes[[#This Row],[link_checklist]]="","",HYPERLINK(p_ruta_base_checklists&amp;tblOrdenes[[#This Row],[link_checklist]],"abrir"))</f>
        <v/>
      </c>
      <c r="AS1086" s="4" t="n"/>
      <c r="AT1086" s="5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22" t="n"/>
      <c r="K1087" s="5" t="n"/>
      <c r="L1087" s="18" t="n"/>
      <c r="M10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5">
        <f>IF(tblOrdenes[[#This Row],[fecha_inicio]]="","",YEAR(tblOrdenes[[#This Row],[fecha_inicio]]))</f>
        <v/>
      </c>
      <c r="Q1087" s="5">
        <f>IF(tblOrdenes[[#This Row],[fecha_inicio]]="","",MONTH(tblOrdenes[[#This Row],[fecha_inicio]]))</f>
        <v/>
      </c>
      <c r="R1087" s="5">
        <f>IF(tblOrdenes[[#This Row],[fecha_inicio]]="","",tblOrdenes[[#This Row],[anio]]&amp;"-"&amp;TEXT(tblOrdenes[[#This Row],[mes]],"00"))</f>
        <v/>
      </c>
      <c r="S1087" s="5">
        <f>IF(tblOrdenes[[#This Row],[fecha_inicio]]="","",INDEX(lista_dias,WEEKDAY(tblOrdenes[[#This Row],[fecha_inicio]],2)))</f>
        <v/>
      </c>
      <c r="T10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7" s="5">
        <f>IF(tblOrdenes[[#This Row],[tipo_ot]]="","",_xlfn.XLOOKUP(tblOrdenes[[#This Row],[tipo_ot]],tblTiposOT[codigo],tblTiposOT[clasificacion],"sin_clasificar"))</f>
        <v/>
      </c>
      <c r="V10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7" s="5">
        <f>IF(tblOrdenes[[#This Row],[centro_costo]]="","",_xlfn.XLOOKUP(tblOrdenes[[#This Row],[centro_costo]],tblCECO[codigo],tblCECO[linea],"(sin catálogo)"))</f>
        <v/>
      </c>
      <c r="X1087" s="5">
        <f>IF(tblOrdenes[[#This Row],[centro_costo]]="","",_xlfn.XLOOKUP(tblOrdenes[[#This Row],[centro_costo]],tblCECO[codigo],tblCECO[area],"(sin catálogo)"))</f>
        <v/>
      </c>
      <c r="Y10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7" s="5">
        <f>IF(tblOrdenes[[#This Row],[centro_costo]]="","",_xlfn.XLOOKUP(tblOrdenes[[#This Row],[centro_costo]],tblCECO[codigo],tblCECO[coordinador],"(sin catálogo)"))</f>
        <v/>
      </c>
      <c r="AA1087" s="5">
        <f>IF(tblOrdenes[[#This Row],[puesto_trabajo]]="","",_xlfn.XLOOKUP(tblOrdenes[[#This Row],[puesto_trabajo]],tblPuestos[codigo],tblPuestos[especialidad],"(sin catálogo)"))</f>
        <v/>
      </c>
      <c r="AB1087" s="5">
        <f>IF(tblOrdenes[[#This Row],[cod_actividad]]="","",_xlfn.XLOOKUP(tblOrdenes[[#This Row],[cod_actividad]],tblActividades[codigo],tblActividades[descripcion],"(sin catálogo)"))</f>
        <v/>
      </c>
      <c r="AC1087" s="20">
        <f>IF(tblOrdenes[[#This Row],[fecha_inicio]]="","",TODAY()-tblOrdenes[[#This Row],[fecha_inicio]])</f>
        <v/>
      </c>
      <c r="AD10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7" s="5">
        <f>IF(tblOrdenes[[#This Row],[backlog_habiles]]="","",IF(tblOrdenes[[#This Row],[backlog_habiles]]&lt;0,"FUTURO",IF(tblOrdenes[[#This Row],[backlog_habiles]]&gt;p_dias_backlog_max,"BACKLOG","MES CORRIENTE")))</f>
        <v/>
      </c>
      <c r="AF1087" s="5">
        <f>IF(tblOrdenes[[#This Row],[backlog_habiles]]="",FALSE,AND(tblOrdenes[[#This Row],[backlog_habiles]]&gt;p_dias_backlog_min,tblOrdenes[[#This Row],[backlog_habiles]]&lt;=p_dias_backlog_max))</f>
        <v/>
      </c>
      <c r="AG1087" s="4" t="n"/>
      <c r="AH10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7" s="18">
        <f>IF(tblOrdenes[[#This Row],[orden]]="","",_xlfn.XLOOKUP(tblOrdenes[[#This Row],[id_operacion]],tblEjecucion[id_operacion],tblEjecucion[precio],0))</f>
        <v/>
      </c>
      <c r="AL1087" s="18">
        <f>IF(tblOrdenes[[#This Row],[orden]]="","",MAX(0,_xlfn.XLOOKUP(tblOrdenes[[#This Row],[id_operacion]],tblEjecucion[id_operacion],tblEjecucion[costo_plan_total],0)-tblOrdenes[[#This Row],[costo_servicio]]))</f>
        <v/>
      </c>
      <c r="AM1087" s="18">
        <f>IF(tblOrdenes[[#This Row],[orden]]="","",tblOrdenes[[#This Row],[costo_servicio]]+tblOrdenes[[#This Row],[costo_materiales]])</f>
        <v/>
      </c>
      <c r="AN10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7" s="4" t="n"/>
      <c r="AP1087" s="4" t="n"/>
      <c r="AQ1087" s="4" t="n"/>
      <c r="AR1087" s="5">
        <f>IF(tblOrdenes[[#This Row],[link_checklist]]="","",HYPERLINK(p_ruta_base_checklists&amp;tblOrdenes[[#This Row],[link_checklist]],"abrir"))</f>
        <v/>
      </c>
      <c r="AS1087" s="4" t="n"/>
      <c r="AT1087" s="5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22" t="n"/>
      <c r="K1088" s="5" t="n"/>
      <c r="L1088" s="18" t="n"/>
      <c r="M10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5">
        <f>IF(tblOrdenes[[#This Row],[fecha_inicio]]="","",YEAR(tblOrdenes[[#This Row],[fecha_inicio]]))</f>
        <v/>
      </c>
      <c r="Q1088" s="5">
        <f>IF(tblOrdenes[[#This Row],[fecha_inicio]]="","",MONTH(tblOrdenes[[#This Row],[fecha_inicio]]))</f>
        <v/>
      </c>
      <c r="R1088" s="5">
        <f>IF(tblOrdenes[[#This Row],[fecha_inicio]]="","",tblOrdenes[[#This Row],[anio]]&amp;"-"&amp;TEXT(tblOrdenes[[#This Row],[mes]],"00"))</f>
        <v/>
      </c>
      <c r="S1088" s="5">
        <f>IF(tblOrdenes[[#This Row],[fecha_inicio]]="","",INDEX(lista_dias,WEEKDAY(tblOrdenes[[#This Row],[fecha_inicio]],2)))</f>
        <v/>
      </c>
      <c r="T10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8" s="5">
        <f>IF(tblOrdenes[[#This Row],[tipo_ot]]="","",_xlfn.XLOOKUP(tblOrdenes[[#This Row],[tipo_ot]],tblTiposOT[codigo],tblTiposOT[clasificacion],"sin_clasificar"))</f>
        <v/>
      </c>
      <c r="V10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8" s="5">
        <f>IF(tblOrdenes[[#This Row],[centro_costo]]="","",_xlfn.XLOOKUP(tblOrdenes[[#This Row],[centro_costo]],tblCECO[codigo],tblCECO[linea],"(sin catálogo)"))</f>
        <v/>
      </c>
      <c r="X1088" s="5">
        <f>IF(tblOrdenes[[#This Row],[centro_costo]]="","",_xlfn.XLOOKUP(tblOrdenes[[#This Row],[centro_costo]],tblCECO[codigo],tblCECO[area],"(sin catálogo)"))</f>
        <v/>
      </c>
      <c r="Y10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8" s="5">
        <f>IF(tblOrdenes[[#This Row],[centro_costo]]="","",_xlfn.XLOOKUP(tblOrdenes[[#This Row],[centro_costo]],tblCECO[codigo],tblCECO[coordinador],"(sin catálogo)"))</f>
        <v/>
      </c>
      <c r="AA1088" s="5">
        <f>IF(tblOrdenes[[#This Row],[puesto_trabajo]]="","",_xlfn.XLOOKUP(tblOrdenes[[#This Row],[puesto_trabajo]],tblPuestos[codigo],tblPuestos[especialidad],"(sin catálogo)"))</f>
        <v/>
      </c>
      <c r="AB1088" s="5">
        <f>IF(tblOrdenes[[#This Row],[cod_actividad]]="","",_xlfn.XLOOKUP(tblOrdenes[[#This Row],[cod_actividad]],tblActividades[codigo],tblActividades[descripcion],"(sin catálogo)"))</f>
        <v/>
      </c>
      <c r="AC1088" s="20">
        <f>IF(tblOrdenes[[#This Row],[fecha_inicio]]="","",TODAY()-tblOrdenes[[#This Row],[fecha_inicio]])</f>
        <v/>
      </c>
      <c r="AD10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8" s="5">
        <f>IF(tblOrdenes[[#This Row],[backlog_habiles]]="","",IF(tblOrdenes[[#This Row],[backlog_habiles]]&lt;0,"FUTURO",IF(tblOrdenes[[#This Row],[backlog_habiles]]&gt;p_dias_backlog_max,"BACKLOG","MES CORRIENTE")))</f>
        <v/>
      </c>
      <c r="AF1088" s="5">
        <f>IF(tblOrdenes[[#This Row],[backlog_habiles]]="",FALSE,AND(tblOrdenes[[#This Row],[backlog_habiles]]&gt;p_dias_backlog_min,tblOrdenes[[#This Row],[backlog_habiles]]&lt;=p_dias_backlog_max))</f>
        <v/>
      </c>
      <c r="AG1088" s="4" t="n"/>
      <c r="AH10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8" s="18">
        <f>IF(tblOrdenes[[#This Row],[orden]]="","",_xlfn.XLOOKUP(tblOrdenes[[#This Row],[id_operacion]],tblEjecucion[id_operacion],tblEjecucion[precio],0))</f>
        <v/>
      </c>
      <c r="AL1088" s="18">
        <f>IF(tblOrdenes[[#This Row],[orden]]="","",MAX(0,_xlfn.XLOOKUP(tblOrdenes[[#This Row],[id_operacion]],tblEjecucion[id_operacion],tblEjecucion[costo_plan_total],0)-tblOrdenes[[#This Row],[costo_servicio]]))</f>
        <v/>
      </c>
      <c r="AM1088" s="18">
        <f>IF(tblOrdenes[[#This Row],[orden]]="","",tblOrdenes[[#This Row],[costo_servicio]]+tblOrdenes[[#This Row],[costo_materiales]])</f>
        <v/>
      </c>
      <c r="AN10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8" s="4" t="n"/>
      <c r="AP1088" s="4" t="n"/>
      <c r="AQ1088" s="4" t="n"/>
      <c r="AR1088" s="5">
        <f>IF(tblOrdenes[[#This Row],[link_checklist]]="","",HYPERLINK(p_ruta_base_checklists&amp;tblOrdenes[[#This Row],[link_checklist]],"abrir"))</f>
        <v/>
      </c>
      <c r="AS1088" s="4" t="n"/>
      <c r="AT1088" s="5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22" t="n"/>
      <c r="K1089" s="5" t="n"/>
      <c r="L1089" s="18" t="n"/>
      <c r="M10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5">
        <f>IF(tblOrdenes[[#This Row],[fecha_inicio]]="","",YEAR(tblOrdenes[[#This Row],[fecha_inicio]]))</f>
        <v/>
      </c>
      <c r="Q1089" s="5">
        <f>IF(tblOrdenes[[#This Row],[fecha_inicio]]="","",MONTH(tblOrdenes[[#This Row],[fecha_inicio]]))</f>
        <v/>
      </c>
      <c r="R1089" s="5">
        <f>IF(tblOrdenes[[#This Row],[fecha_inicio]]="","",tblOrdenes[[#This Row],[anio]]&amp;"-"&amp;TEXT(tblOrdenes[[#This Row],[mes]],"00"))</f>
        <v/>
      </c>
      <c r="S1089" s="5">
        <f>IF(tblOrdenes[[#This Row],[fecha_inicio]]="","",INDEX(lista_dias,WEEKDAY(tblOrdenes[[#This Row],[fecha_inicio]],2)))</f>
        <v/>
      </c>
      <c r="T10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9" s="5">
        <f>IF(tblOrdenes[[#This Row],[tipo_ot]]="","",_xlfn.XLOOKUP(tblOrdenes[[#This Row],[tipo_ot]],tblTiposOT[codigo],tblTiposOT[clasificacion],"sin_clasificar"))</f>
        <v/>
      </c>
      <c r="V10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9" s="5">
        <f>IF(tblOrdenes[[#This Row],[centro_costo]]="","",_xlfn.XLOOKUP(tblOrdenes[[#This Row],[centro_costo]],tblCECO[codigo],tblCECO[linea],"(sin catálogo)"))</f>
        <v/>
      </c>
      <c r="X1089" s="5">
        <f>IF(tblOrdenes[[#This Row],[centro_costo]]="","",_xlfn.XLOOKUP(tblOrdenes[[#This Row],[centro_costo]],tblCECO[codigo],tblCECO[area],"(sin catálogo)"))</f>
        <v/>
      </c>
      <c r="Y10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89" s="5">
        <f>IF(tblOrdenes[[#This Row],[centro_costo]]="","",_xlfn.XLOOKUP(tblOrdenes[[#This Row],[centro_costo]],tblCECO[codigo],tblCECO[coordinador],"(sin catálogo)"))</f>
        <v/>
      </c>
      <c r="AA1089" s="5">
        <f>IF(tblOrdenes[[#This Row],[puesto_trabajo]]="","",_xlfn.XLOOKUP(tblOrdenes[[#This Row],[puesto_trabajo]],tblPuestos[codigo],tblPuestos[especialidad],"(sin catálogo)"))</f>
        <v/>
      </c>
      <c r="AB1089" s="5">
        <f>IF(tblOrdenes[[#This Row],[cod_actividad]]="","",_xlfn.XLOOKUP(tblOrdenes[[#This Row],[cod_actividad]],tblActividades[codigo],tblActividades[descripcion],"(sin catálogo)"))</f>
        <v/>
      </c>
      <c r="AC1089" s="20">
        <f>IF(tblOrdenes[[#This Row],[fecha_inicio]]="","",TODAY()-tblOrdenes[[#This Row],[fecha_inicio]])</f>
        <v/>
      </c>
      <c r="AD10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89" s="5">
        <f>IF(tblOrdenes[[#This Row],[backlog_habiles]]="","",IF(tblOrdenes[[#This Row],[backlog_habiles]]&lt;0,"FUTURO",IF(tblOrdenes[[#This Row],[backlog_habiles]]&gt;p_dias_backlog_max,"BACKLOG","MES CORRIENTE")))</f>
        <v/>
      </c>
      <c r="AF1089" s="5">
        <f>IF(tblOrdenes[[#This Row],[backlog_habiles]]="",FALSE,AND(tblOrdenes[[#This Row],[backlog_habiles]]&gt;p_dias_backlog_min,tblOrdenes[[#This Row],[backlog_habiles]]&lt;=p_dias_backlog_max))</f>
        <v/>
      </c>
      <c r="AG1089" s="4" t="n"/>
      <c r="AH10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89" s="18">
        <f>IF(tblOrdenes[[#This Row],[orden]]="","",_xlfn.XLOOKUP(tblOrdenes[[#This Row],[id_operacion]],tblEjecucion[id_operacion],tblEjecucion[precio],0))</f>
        <v/>
      </c>
      <c r="AL1089" s="18">
        <f>IF(tblOrdenes[[#This Row],[orden]]="","",MAX(0,_xlfn.XLOOKUP(tblOrdenes[[#This Row],[id_operacion]],tblEjecucion[id_operacion],tblEjecucion[costo_plan_total],0)-tblOrdenes[[#This Row],[costo_servicio]]))</f>
        <v/>
      </c>
      <c r="AM1089" s="18">
        <f>IF(tblOrdenes[[#This Row],[orden]]="","",tblOrdenes[[#This Row],[costo_servicio]]+tblOrdenes[[#This Row],[costo_materiales]])</f>
        <v/>
      </c>
      <c r="AN10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89" s="4" t="n"/>
      <c r="AP1089" s="4" t="n"/>
      <c r="AQ1089" s="4" t="n"/>
      <c r="AR1089" s="5">
        <f>IF(tblOrdenes[[#This Row],[link_checklist]]="","",HYPERLINK(p_ruta_base_checklists&amp;tblOrdenes[[#This Row],[link_checklist]],"abrir"))</f>
        <v/>
      </c>
      <c r="AS1089" s="4" t="n"/>
      <c r="AT1089" s="5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22" t="n"/>
      <c r="K1090" s="5" t="n"/>
      <c r="L1090" s="18" t="n"/>
      <c r="M10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5">
        <f>IF(tblOrdenes[[#This Row],[fecha_inicio]]="","",YEAR(tblOrdenes[[#This Row],[fecha_inicio]]))</f>
        <v/>
      </c>
      <c r="Q1090" s="5">
        <f>IF(tblOrdenes[[#This Row],[fecha_inicio]]="","",MONTH(tblOrdenes[[#This Row],[fecha_inicio]]))</f>
        <v/>
      </c>
      <c r="R1090" s="5">
        <f>IF(tblOrdenes[[#This Row],[fecha_inicio]]="","",tblOrdenes[[#This Row],[anio]]&amp;"-"&amp;TEXT(tblOrdenes[[#This Row],[mes]],"00"))</f>
        <v/>
      </c>
      <c r="S1090" s="5">
        <f>IF(tblOrdenes[[#This Row],[fecha_inicio]]="","",INDEX(lista_dias,WEEKDAY(tblOrdenes[[#This Row],[fecha_inicio]],2)))</f>
        <v/>
      </c>
      <c r="T10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0" s="5">
        <f>IF(tblOrdenes[[#This Row],[tipo_ot]]="","",_xlfn.XLOOKUP(tblOrdenes[[#This Row],[tipo_ot]],tblTiposOT[codigo],tblTiposOT[clasificacion],"sin_clasificar"))</f>
        <v/>
      </c>
      <c r="V10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0" s="5">
        <f>IF(tblOrdenes[[#This Row],[centro_costo]]="","",_xlfn.XLOOKUP(tblOrdenes[[#This Row],[centro_costo]],tblCECO[codigo],tblCECO[linea],"(sin catálogo)"))</f>
        <v/>
      </c>
      <c r="X1090" s="5">
        <f>IF(tblOrdenes[[#This Row],[centro_costo]]="","",_xlfn.XLOOKUP(tblOrdenes[[#This Row],[centro_costo]],tblCECO[codigo],tblCECO[area],"(sin catálogo)"))</f>
        <v/>
      </c>
      <c r="Y10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0" s="5">
        <f>IF(tblOrdenes[[#This Row],[centro_costo]]="","",_xlfn.XLOOKUP(tblOrdenes[[#This Row],[centro_costo]],tblCECO[codigo],tblCECO[coordinador],"(sin catálogo)"))</f>
        <v/>
      </c>
      <c r="AA1090" s="5">
        <f>IF(tblOrdenes[[#This Row],[puesto_trabajo]]="","",_xlfn.XLOOKUP(tblOrdenes[[#This Row],[puesto_trabajo]],tblPuestos[codigo],tblPuestos[especialidad],"(sin catálogo)"))</f>
        <v/>
      </c>
      <c r="AB1090" s="5">
        <f>IF(tblOrdenes[[#This Row],[cod_actividad]]="","",_xlfn.XLOOKUP(tblOrdenes[[#This Row],[cod_actividad]],tblActividades[codigo],tblActividades[descripcion],"(sin catálogo)"))</f>
        <v/>
      </c>
      <c r="AC1090" s="20">
        <f>IF(tblOrdenes[[#This Row],[fecha_inicio]]="","",TODAY()-tblOrdenes[[#This Row],[fecha_inicio]])</f>
        <v/>
      </c>
      <c r="AD10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0" s="5">
        <f>IF(tblOrdenes[[#This Row],[backlog_habiles]]="","",IF(tblOrdenes[[#This Row],[backlog_habiles]]&lt;0,"FUTURO",IF(tblOrdenes[[#This Row],[backlog_habiles]]&gt;p_dias_backlog_max,"BACKLOG","MES CORRIENTE")))</f>
        <v/>
      </c>
      <c r="AF1090" s="5">
        <f>IF(tblOrdenes[[#This Row],[backlog_habiles]]="",FALSE,AND(tblOrdenes[[#This Row],[backlog_habiles]]&gt;p_dias_backlog_min,tblOrdenes[[#This Row],[backlog_habiles]]&lt;=p_dias_backlog_max))</f>
        <v/>
      </c>
      <c r="AG1090" s="4" t="n"/>
      <c r="AH10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0" s="18">
        <f>IF(tblOrdenes[[#This Row],[orden]]="","",_xlfn.XLOOKUP(tblOrdenes[[#This Row],[id_operacion]],tblEjecucion[id_operacion],tblEjecucion[precio],0))</f>
        <v/>
      </c>
      <c r="AL1090" s="18">
        <f>IF(tblOrdenes[[#This Row],[orden]]="","",MAX(0,_xlfn.XLOOKUP(tblOrdenes[[#This Row],[id_operacion]],tblEjecucion[id_operacion],tblEjecucion[costo_plan_total],0)-tblOrdenes[[#This Row],[costo_servicio]]))</f>
        <v/>
      </c>
      <c r="AM1090" s="18">
        <f>IF(tblOrdenes[[#This Row],[orden]]="","",tblOrdenes[[#This Row],[costo_servicio]]+tblOrdenes[[#This Row],[costo_materiales]])</f>
        <v/>
      </c>
      <c r="AN10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0" s="4" t="n"/>
      <c r="AP1090" s="4" t="n"/>
      <c r="AQ1090" s="4" t="n"/>
      <c r="AR1090" s="5">
        <f>IF(tblOrdenes[[#This Row],[link_checklist]]="","",HYPERLINK(p_ruta_base_checklists&amp;tblOrdenes[[#This Row],[link_checklist]],"abrir"))</f>
        <v/>
      </c>
      <c r="AS1090" s="4" t="n"/>
      <c r="AT1090" s="5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22" t="n"/>
      <c r="K1091" s="5" t="n"/>
      <c r="L1091" s="18" t="n"/>
      <c r="M10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5">
        <f>IF(tblOrdenes[[#This Row],[fecha_inicio]]="","",YEAR(tblOrdenes[[#This Row],[fecha_inicio]]))</f>
        <v/>
      </c>
      <c r="Q1091" s="5">
        <f>IF(tblOrdenes[[#This Row],[fecha_inicio]]="","",MONTH(tblOrdenes[[#This Row],[fecha_inicio]]))</f>
        <v/>
      </c>
      <c r="R1091" s="5">
        <f>IF(tblOrdenes[[#This Row],[fecha_inicio]]="","",tblOrdenes[[#This Row],[anio]]&amp;"-"&amp;TEXT(tblOrdenes[[#This Row],[mes]],"00"))</f>
        <v/>
      </c>
      <c r="S1091" s="5">
        <f>IF(tblOrdenes[[#This Row],[fecha_inicio]]="","",INDEX(lista_dias,WEEKDAY(tblOrdenes[[#This Row],[fecha_inicio]],2)))</f>
        <v/>
      </c>
      <c r="T10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1" s="5">
        <f>IF(tblOrdenes[[#This Row],[tipo_ot]]="","",_xlfn.XLOOKUP(tblOrdenes[[#This Row],[tipo_ot]],tblTiposOT[codigo],tblTiposOT[clasificacion],"sin_clasificar"))</f>
        <v/>
      </c>
      <c r="V10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1" s="5">
        <f>IF(tblOrdenes[[#This Row],[centro_costo]]="","",_xlfn.XLOOKUP(tblOrdenes[[#This Row],[centro_costo]],tblCECO[codigo],tblCECO[linea],"(sin catálogo)"))</f>
        <v/>
      </c>
      <c r="X1091" s="5">
        <f>IF(tblOrdenes[[#This Row],[centro_costo]]="","",_xlfn.XLOOKUP(tblOrdenes[[#This Row],[centro_costo]],tblCECO[codigo],tblCECO[area],"(sin catálogo)"))</f>
        <v/>
      </c>
      <c r="Y10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1" s="5">
        <f>IF(tblOrdenes[[#This Row],[centro_costo]]="","",_xlfn.XLOOKUP(tblOrdenes[[#This Row],[centro_costo]],tblCECO[codigo],tblCECO[coordinador],"(sin catálogo)"))</f>
        <v/>
      </c>
      <c r="AA1091" s="5">
        <f>IF(tblOrdenes[[#This Row],[puesto_trabajo]]="","",_xlfn.XLOOKUP(tblOrdenes[[#This Row],[puesto_trabajo]],tblPuestos[codigo],tblPuestos[especialidad],"(sin catálogo)"))</f>
        <v/>
      </c>
      <c r="AB1091" s="5">
        <f>IF(tblOrdenes[[#This Row],[cod_actividad]]="","",_xlfn.XLOOKUP(tblOrdenes[[#This Row],[cod_actividad]],tblActividades[codigo],tblActividades[descripcion],"(sin catálogo)"))</f>
        <v/>
      </c>
      <c r="AC1091" s="20">
        <f>IF(tblOrdenes[[#This Row],[fecha_inicio]]="","",TODAY()-tblOrdenes[[#This Row],[fecha_inicio]])</f>
        <v/>
      </c>
      <c r="AD10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1" s="5">
        <f>IF(tblOrdenes[[#This Row],[backlog_habiles]]="","",IF(tblOrdenes[[#This Row],[backlog_habiles]]&lt;0,"FUTURO",IF(tblOrdenes[[#This Row],[backlog_habiles]]&gt;p_dias_backlog_max,"BACKLOG","MES CORRIENTE")))</f>
        <v/>
      </c>
      <c r="AF1091" s="5">
        <f>IF(tblOrdenes[[#This Row],[backlog_habiles]]="",FALSE,AND(tblOrdenes[[#This Row],[backlog_habiles]]&gt;p_dias_backlog_min,tblOrdenes[[#This Row],[backlog_habiles]]&lt;=p_dias_backlog_max))</f>
        <v/>
      </c>
      <c r="AG1091" s="4" t="n"/>
      <c r="AH10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1" s="18">
        <f>IF(tblOrdenes[[#This Row],[orden]]="","",_xlfn.XLOOKUP(tblOrdenes[[#This Row],[id_operacion]],tblEjecucion[id_operacion],tblEjecucion[precio],0))</f>
        <v/>
      </c>
      <c r="AL1091" s="18">
        <f>IF(tblOrdenes[[#This Row],[orden]]="","",MAX(0,_xlfn.XLOOKUP(tblOrdenes[[#This Row],[id_operacion]],tblEjecucion[id_operacion],tblEjecucion[costo_plan_total],0)-tblOrdenes[[#This Row],[costo_servicio]]))</f>
        <v/>
      </c>
      <c r="AM1091" s="18">
        <f>IF(tblOrdenes[[#This Row],[orden]]="","",tblOrdenes[[#This Row],[costo_servicio]]+tblOrdenes[[#This Row],[costo_materiales]])</f>
        <v/>
      </c>
      <c r="AN10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1" s="4" t="n"/>
      <c r="AP1091" s="4" t="n"/>
      <c r="AQ1091" s="4" t="n"/>
      <c r="AR1091" s="5">
        <f>IF(tblOrdenes[[#This Row],[link_checklist]]="","",HYPERLINK(p_ruta_base_checklists&amp;tblOrdenes[[#This Row],[link_checklist]],"abrir"))</f>
        <v/>
      </c>
      <c r="AS1091" s="4" t="n"/>
      <c r="AT1091" s="5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22" t="n"/>
      <c r="K1092" s="5" t="n"/>
      <c r="L1092" s="18" t="n"/>
      <c r="M10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5">
        <f>IF(tblOrdenes[[#This Row],[fecha_inicio]]="","",YEAR(tblOrdenes[[#This Row],[fecha_inicio]]))</f>
        <v/>
      </c>
      <c r="Q1092" s="5">
        <f>IF(tblOrdenes[[#This Row],[fecha_inicio]]="","",MONTH(tblOrdenes[[#This Row],[fecha_inicio]]))</f>
        <v/>
      </c>
      <c r="R1092" s="5">
        <f>IF(tblOrdenes[[#This Row],[fecha_inicio]]="","",tblOrdenes[[#This Row],[anio]]&amp;"-"&amp;TEXT(tblOrdenes[[#This Row],[mes]],"00"))</f>
        <v/>
      </c>
      <c r="S1092" s="5">
        <f>IF(tblOrdenes[[#This Row],[fecha_inicio]]="","",INDEX(lista_dias,WEEKDAY(tblOrdenes[[#This Row],[fecha_inicio]],2)))</f>
        <v/>
      </c>
      <c r="T10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2" s="5">
        <f>IF(tblOrdenes[[#This Row],[tipo_ot]]="","",_xlfn.XLOOKUP(tblOrdenes[[#This Row],[tipo_ot]],tblTiposOT[codigo],tblTiposOT[clasificacion],"sin_clasificar"))</f>
        <v/>
      </c>
      <c r="V10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2" s="5">
        <f>IF(tblOrdenes[[#This Row],[centro_costo]]="","",_xlfn.XLOOKUP(tblOrdenes[[#This Row],[centro_costo]],tblCECO[codigo],tblCECO[linea],"(sin catálogo)"))</f>
        <v/>
      </c>
      <c r="X1092" s="5">
        <f>IF(tblOrdenes[[#This Row],[centro_costo]]="","",_xlfn.XLOOKUP(tblOrdenes[[#This Row],[centro_costo]],tblCECO[codigo],tblCECO[area],"(sin catálogo)"))</f>
        <v/>
      </c>
      <c r="Y10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2" s="5">
        <f>IF(tblOrdenes[[#This Row],[centro_costo]]="","",_xlfn.XLOOKUP(tblOrdenes[[#This Row],[centro_costo]],tblCECO[codigo],tblCECO[coordinador],"(sin catálogo)"))</f>
        <v/>
      </c>
      <c r="AA1092" s="5">
        <f>IF(tblOrdenes[[#This Row],[puesto_trabajo]]="","",_xlfn.XLOOKUP(tblOrdenes[[#This Row],[puesto_trabajo]],tblPuestos[codigo],tblPuestos[especialidad],"(sin catálogo)"))</f>
        <v/>
      </c>
      <c r="AB1092" s="5">
        <f>IF(tblOrdenes[[#This Row],[cod_actividad]]="","",_xlfn.XLOOKUP(tblOrdenes[[#This Row],[cod_actividad]],tblActividades[codigo],tblActividades[descripcion],"(sin catálogo)"))</f>
        <v/>
      </c>
      <c r="AC1092" s="20">
        <f>IF(tblOrdenes[[#This Row],[fecha_inicio]]="","",TODAY()-tblOrdenes[[#This Row],[fecha_inicio]])</f>
        <v/>
      </c>
      <c r="AD10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2" s="5">
        <f>IF(tblOrdenes[[#This Row],[backlog_habiles]]="","",IF(tblOrdenes[[#This Row],[backlog_habiles]]&lt;0,"FUTURO",IF(tblOrdenes[[#This Row],[backlog_habiles]]&gt;p_dias_backlog_max,"BACKLOG","MES CORRIENTE")))</f>
        <v/>
      </c>
      <c r="AF1092" s="5">
        <f>IF(tblOrdenes[[#This Row],[backlog_habiles]]="",FALSE,AND(tblOrdenes[[#This Row],[backlog_habiles]]&gt;p_dias_backlog_min,tblOrdenes[[#This Row],[backlog_habiles]]&lt;=p_dias_backlog_max))</f>
        <v/>
      </c>
      <c r="AG1092" s="4" t="n"/>
      <c r="AH10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2" s="18">
        <f>IF(tblOrdenes[[#This Row],[orden]]="","",_xlfn.XLOOKUP(tblOrdenes[[#This Row],[id_operacion]],tblEjecucion[id_operacion],tblEjecucion[precio],0))</f>
        <v/>
      </c>
      <c r="AL1092" s="18">
        <f>IF(tblOrdenes[[#This Row],[orden]]="","",MAX(0,_xlfn.XLOOKUP(tblOrdenes[[#This Row],[id_operacion]],tblEjecucion[id_operacion],tblEjecucion[costo_plan_total],0)-tblOrdenes[[#This Row],[costo_servicio]]))</f>
        <v/>
      </c>
      <c r="AM1092" s="18">
        <f>IF(tblOrdenes[[#This Row],[orden]]="","",tblOrdenes[[#This Row],[costo_servicio]]+tblOrdenes[[#This Row],[costo_materiales]])</f>
        <v/>
      </c>
      <c r="AN10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2" s="4" t="n"/>
      <c r="AP1092" s="4" t="n"/>
      <c r="AQ1092" s="4" t="n"/>
      <c r="AR1092" s="5">
        <f>IF(tblOrdenes[[#This Row],[link_checklist]]="","",HYPERLINK(p_ruta_base_checklists&amp;tblOrdenes[[#This Row],[link_checklist]],"abrir"))</f>
        <v/>
      </c>
      <c r="AS1092" s="4" t="n"/>
      <c r="AT1092" s="5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22" t="n"/>
      <c r="K1093" s="5" t="n"/>
      <c r="L1093" s="18" t="n"/>
      <c r="M10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5">
        <f>IF(tblOrdenes[[#This Row],[fecha_inicio]]="","",YEAR(tblOrdenes[[#This Row],[fecha_inicio]]))</f>
        <v/>
      </c>
      <c r="Q1093" s="5">
        <f>IF(tblOrdenes[[#This Row],[fecha_inicio]]="","",MONTH(tblOrdenes[[#This Row],[fecha_inicio]]))</f>
        <v/>
      </c>
      <c r="R1093" s="5">
        <f>IF(tblOrdenes[[#This Row],[fecha_inicio]]="","",tblOrdenes[[#This Row],[anio]]&amp;"-"&amp;TEXT(tblOrdenes[[#This Row],[mes]],"00"))</f>
        <v/>
      </c>
      <c r="S1093" s="5">
        <f>IF(tblOrdenes[[#This Row],[fecha_inicio]]="","",INDEX(lista_dias,WEEKDAY(tblOrdenes[[#This Row],[fecha_inicio]],2)))</f>
        <v/>
      </c>
      <c r="T10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3" s="5">
        <f>IF(tblOrdenes[[#This Row],[tipo_ot]]="","",_xlfn.XLOOKUP(tblOrdenes[[#This Row],[tipo_ot]],tblTiposOT[codigo],tblTiposOT[clasificacion],"sin_clasificar"))</f>
        <v/>
      </c>
      <c r="V10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3" s="5">
        <f>IF(tblOrdenes[[#This Row],[centro_costo]]="","",_xlfn.XLOOKUP(tblOrdenes[[#This Row],[centro_costo]],tblCECO[codigo],tblCECO[linea],"(sin catálogo)"))</f>
        <v/>
      </c>
      <c r="X1093" s="5">
        <f>IF(tblOrdenes[[#This Row],[centro_costo]]="","",_xlfn.XLOOKUP(tblOrdenes[[#This Row],[centro_costo]],tblCECO[codigo],tblCECO[area],"(sin catálogo)"))</f>
        <v/>
      </c>
      <c r="Y10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3" s="5">
        <f>IF(tblOrdenes[[#This Row],[centro_costo]]="","",_xlfn.XLOOKUP(tblOrdenes[[#This Row],[centro_costo]],tblCECO[codigo],tblCECO[coordinador],"(sin catálogo)"))</f>
        <v/>
      </c>
      <c r="AA1093" s="5">
        <f>IF(tblOrdenes[[#This Row],[puesto_trabajo]]="","",_xlfn.XLOOKUP(tblOrdenes[[#This Row],[puesto_trabajo]],tblPuestos[codigo],tblPuestos[especialidad],"(sin catálogo)"))</f>
        <v/>
      </c>
      <c r="AB1093" s="5">
        <f>IF(tblOrdenes[[#This Row],[cod_actividad]]="","",_xlfn.XLOOKUP(tblOrdenes[[#This Row],[cod_actividad]],tblActividades[codigo],tblActividades[descripcion],"(sin catálogo)"))</f>
        <v/>
      </c>
      <c r="AC1093" s="20">
        <f>IF(tblOrdenes[[#This Row],[fecha_inicio]]="","",TODAY()-tblOrdenes[[#This Row],[fecha_inicio]])</f>
        <v/>
      </c>
      <c r="AD10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3" s="5">
        <f>IF(tblOrdenes[[#This Row],[backlog_habiles]]="","",IF(tblOrdenes[[#This Row],[backlog_habiles]]&lt;0,"FUTURO",IF(tblOrdenes[[#This Row],[backlog_habiles]]&gt;p_dias_backlog_max,"BACKLOG","MES CORRIENTE")))</f>
        <v/>
      </c>
      <c r="AF1093" s="5">
        <f>IF(tblOrdenes[[#This Row],[backlog_habiles]]="",FALSE,AND(tblOrdenes[[#This Row],[backlog_habiles]]&gt;p_dias_backlog_min,tblOrdenes[[#This Row],[backlog_habiles]]&lt;=p_dias_backlog_max))</f>
        <v/>
      </c>
      <c r="AG1093" s="4" t="n"/>
      <c r="AH10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3" s="18">
        <f>IF(tblOrdenes[[#This Row],[orden]]="","",_xlfn.XLOOKUP(tblOrdenes[[#This Row],[id_operacion]],tblEjecucion[id_operacion],tblEjecucion[precio],0))</f>
        <v/>
      </c>
      <c r="AL1093" s="18">
        <f>IF(tblOrdenes[[#This Row],[orden]]="","",MAX(0,_xlfn.XLOOKUP(tblOrdenes[[#This Row],[id_operacion]],tblEjecucion[id_operacion],tblEjecucion[costo_plan_total],0)-tblOrdenes[[#This Row],[costo_servicio]]))</f>
        <v/>
      </c>
      <c r="AM1093" s="18">
        <f>IF(tblOrdenes[[#This Row],[orden]]="","",tblOrdenes[[#This Row],[costo_servicio]]+tblOrdenes[[#This Row],[costo_materiales]])</f>
        <v/>
      </c>
      <c r="AN10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3" s="4" t="n"/>
      <c r="AP1093" s="4" t="n"/>
      <c r="AQ1093" s="4" t="n"/>
      <c r="AR1093" s="5">
        <f>IF(tblOrdenes[[#This Row],[link_checklist]]="","",HYPERLINK(p_ruta_base_checklists&amp;tblOrdenes[[#This Row],[link_checklist]],"abrir"))</f>
        <v/>
      </c>
      <c r="AS1093" s="4" t="n"/>
      <c r="AT1093" s="5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22" t="n"/>
      <c r="K1094" s="5" t="n"/>
      <c r="L1094" s="18" t="n"/>
      <c r="M10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5">
        <f>IF(tblOrdenes[[#This Row],[fecha_inicio]]="","",YEAR(tblOrdenes[[#This Row],[fecha_inicio]]))</f>
        <v/>
      </c>
      <c r="Q1094" s="5">
        <f>IF(tblOrdenes[[#This Row],[fecha_inicio]]="","",MONTH(tblOrdenes[[#This Row],[fecha_inicio]]))</f>
        <v/>
      </c>
      <c r="R1094" s="5">
        <f>IF(tblOrdenes[[#This Row],[fecha_inicio]]="","",tblOrdenes[[#This Row],[anio]]&amp;"-"&amp;TEXT(tblOrdenes[[#This Row],[mes]],"00"))</f>
        <v/>
      </c>
      <c r="S1094" s="5">
        <f>IF(tblOrdenes[[#This Row],[fecha_inicio]]="","",INDEX(lista_dias,WEEKDAY(tblOrdenes[[#This Row],[fecha_inicio]],2)))</f>
        <v/>
      </c>
      <c r="T10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4" s="5">
        <f>IF(tblOrdenes[[#This Row],[tipo_ot]]="","",_xlfn.XLOOKUP(tblOrdenes[[#This Row],[tipo_ot]],tblTiposOT[codigo],tblTiposOT[clasificacion],"sin_clasificar"))</f>
        <v/>
      </c>
      <c r="V10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4" s="5">
        <f>IF(tblOrdenes[[#This Row],[centro_costo]]="","",_xlfn.XLOOKUP(tblOrdenes[[#This Row],[centro_costo]],tblCECO[codigo],tblCECO[linea],"(sin catálogo)"))</f>
        <v/>
      </c>
      <c r="X1094" s="5">
        <f>IF(tblOrdenes[[#This Row],[centro_costo]]="","",_xlfn.XLOOKUP(tblOrdenes[[#This Row],[centro_costo]],tblCECO[codigo],tblCECO[area],"(sin catálogo)"))</f>
        <v/>
      </c>
      <c r="Y10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4" s="5">
        <f>IF(tblOrdenes[[#This Row],[centro_costo]]="","",_xlfn.XLOOKUP(tblOrdenes[[#This Row],[centro_costo]],tblCECO[codigo],tblCECO[coordinador],"(sin catálogo)"))</f>
        <v/>
      </c>
      <c r="AA1094" s="5">
        <f>IF(tblOrdenes[[#This Row],[puesto_trabajo]]="","",_xlfn.XLOOKUP(tblOrdenes[[#This Row],[puesto_trabajo]],tblPuestos[codigo],tblPuestos[especialidad],"(sin catálogo)"))</f>
        <v/>
      </c>
      <c r="AB1094" s="5">
        <f>IF(tblOrdenes[[#This Row],[cod_actividad]]="","",_xlfn.XLOOKUP(tblOrdenes[[#This Row],[cod_actividad]],tblActividades[codigo],tblActividades[descripcion],"(sin catálogo)"))</f>
        <v/>
      </c>
      <c r="AC1094" s="20">
        <f>IF(tblOrdenes[[#This Row],[fecha_inicio]]="","",TODAY()-tblOrdenes[[#This Row],[fecha_inicio]])</f>
        <v/>
      </c>
      <c r="AD10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4" s="5">
        <f>IF(tblOrdenes[[#This Row],[backlog_habiles]]="","",IF(tblOrdenes[[#This Row],[backlog_habiles]]&lt;0,"FUTURO",IF(tblOrdenes[[#This Row],[backlog_habiles]]&gt;p_dias_backlog_max,"BACKLOG","MES CORRIENTE")))</f>
        <v/>
      </c>
      <c r="AF1094" s="5">
        <f>IF(tblOrdenes[[#This Row],[backlog_habiles]]="",FALSE,AND(tblOrdenes[[#This Row],[backlog_habiles]]&gt;p_dias_backlog_min,tblOrdenes[[#This Row],[backlog_habiles]]&lt;=p_dias_backlog_max))</f>
        <v/>
      </c>
      <c r="AG1094" s="4" t="n"/>
      <c r="AH10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4" s="18">
        <f>IF(tblOrdenes[[#This Row],[orden]]="","",_xlfn.XLOOKUP(tblOrdenes[[#This Row],[id_operacion]],tblEjecucion[id_operacion],tblEjecucion[precio],0))</f>
        <v/>
      </c>
      <c r="AL1094" s="18">
        <f>IF(tblOrdenes[[#This Row],[orden]]="","",MAX(0,_xlfn.XLOOKUP(tblOrdenes[[#This Row],[id_operacion]],tblEjecucion[id_operacion],tblEjecucion[costo_plan_total],0)-tblOrdenes[[#This Row],[costo_servicio]]))</f>
        <v/>
      </c>
      <c r="AM1094" s="18">
        <f>IF(tblOrdenes[[#This Row],[orden]]="","",tblOrdenes[[#This Row],[costo_servicio]]+tblOrdenes[[#This Row],[costo_materiales]])</f>
        <v/>
      </c>
      <c r="AN10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4" s="4" t="n"/>
      <c r="AP1094" s="4" t="n"/>
      <c r="AQ1094" s="4" t="n"/>
      <c r="AR1094" s="5">
        <f>IF(tblOrdenes[[#This Row],[link_checklist]]="","",HYPERLINK(p_ruta_base_checklists&amp;tblOrdenes[[#This Row],[link_checklist]],"abrir"))</f>
        <v/>
      </c>
      <c r="AS1094" s="4" t="n"/>
      <c r="AT1094" s="5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22" t="n"/>
      <c r="K1095" s="5" t="n"/>
      <c r="L1095" s="18" t="n"/>
      <c r="M10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5">
        <f>IF(tblOrdenes[[#This Row],[fecha_inicio]]="","",YEAR(tblOrdenes[[#This Row],[fecha_inicio]]))</f>
        <v/>
      </c>
      <c r="Q1095" s="5">
        <f>IF(tblOrdenes[[#This Row],[fecha_inicio]]="","",MONTH(tblOrdenes[[#This Row],[fecha_inicio]]))</f>
        <v/>
      </c>
      <c r="R1095" s="5">
        <f>IF(tblOrdenes[[#This Row],[fecha_inicio]]="","",tblOrdenes[[#This Row],[anio]]&amp;"-"&amp;TEXT(tblOrdenes[[#This Row],[mes]],"00"))</f>
        <v/>
      </c>
      <c r="S1095" s="5">
        <f>IF(tblOrdenes[[#This Row],[fecha_inicio]]="","",INDEX(lista_dias,WEEKDAY(tblOrdenes[[#This Row],[fecha_inicio]],2)))</f>
        <v/>
      </c>
      <c r="T10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5" s="5">
        <f>IF(tblOrdenes[[#This Row],[tipo_ot]]="","",_xlfn.XLOOKUP(tblOrdenes[[#This Row],[tipo_ot]],tblTiposOT[codigo],tblTiposOT[clasificacion],"sin_clasificar"))</f>
        <v/>
      </c>
      <c r="V10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5" s="5">
        <f>IF(tblOrdenes[[#This Row],[centro_costo]]="","",_xlfn.XLOOKUP(tblOrdenes[[#This Row],[centro_costo]],tblCECO[codigo],tblCECO[linea],"(sin catálogo)"))</f>
        <v/>
      </c>
      <c r="X1095" s="5">
        <f>IF(tblOrdenes[[#This Row],[centro_costo]]="","",_xlfn.XLOOKUP(tblOrdenes[[#This Row],[centro_costo]],tblCECO[codigo],tblCECO[area],"(sin catálogo)"))</f>
        <v/>
      </c>
      <c r="Y10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5" s="5">
        <f>IF(tblOrdenes[[#This Row],[centro_costo]]="","",_xlfn.XLOOKUP(tblOrdenes[[#This Row],[centro_costo]],tblCECO[codigo],tblCECO[coordinador],"(sin catálogo)"))</f>
        <v/>
      </c>
      <c r="AA1095" s="5">
        <f>IF(tblOrdenes[[#This Row],[puesto_trabajo]]="","",_xlfn.XLOOKUP(tblOrdenes[[#This Row],[puesto_trabajo]],tblPuestos[codigo],tblPuestos[especialidad],"(sin catálogo)"))</f>
        <v/>
      </c>
      <c r="AB1095" s="5">
        <f>IF(tblOrdenes[[#This Row],[cod_actividad]]="","",_xlfn.XLOOKUP(tblOrdenes[[#This Row],[cod_actividad]],tblActividades[codigo],tblActividades[descripcion],"(sin catálogo)"))</f>
        <v/>
      </c>
      <c r="AC1095" s="20">
        <f>IF(tblOrdenes[[#This Row],[fecha_inicio]]="","",TODAY()-tblOrdenes[[#This Row],[fecha_inicio]])</f>
        <v/>
      </c>
      <c r="AD10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5" s="5">
        <f>IF(tblOrdenes[[#This Row],[backlog_habiles]]="","",IF(tblOrdenes[[#This Row],[backlog_habiles]]&lt;0,"FUTURO",IF(tblOrdenes[[#This Row],[backlog_habiles]]&gt;p_dias_backlog_max,"BACKLOG","MES CORRIENTE")))</f>
        <v/>
      </c>
      <c r="AF1095" s="5">
        <f>IF(tblOrdenes[[#This Row],[backlog_habiles]]="",FALSE,AND(tblOrdenes[[#This Row],[backlog_habiles]]&gt;p_dias_backlog_min,tblOrdenes[[#This Row],[backlog_habiles]]&lt;=p_dias_backlog_max))</f>
        <v/>
      </c>
      <c r="AG1095" s="4" t="n"/>
      <c r="AH10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5" s="18">
        <f>IF(tblOrdenes[[#This Row],[orden]]="","",_xlfn.XLOOKUP(tblOrdenes[[#This Row],[id_operacion]],tblEjecucion[id_operacion],tblEjecucion[precio],0))</f>
        <v/>
      </c>
      <c r="AL1095" s="18">
        <f>IF(tblOrdenes[[#This Row],[orden]]="","",MAX(0,_xlfn.XLOOKUP(tblOrdenes[[#This Row],[id_operacion]],tblEjecucion[id_operacion],tblEjecucion[costo_plan_total],0)-tblOrdenes[[#This Row],[costo_servicio]]))</f>
        <v/>
      </c>
      <c r="AM1095" s="18">
        <f>IF(tblOrdenes[[#This Row],[orden]]="","",tblOrdenes[[#This Row],[costo_servicio]]+tblOrdenes[[#This Row],[costo_materiales]])</f>
        <v/>
      </c>
      <c r="AN10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5" s="4" t="n"/>
      <c r="AP1095" s="4" t="n"/>
      <c r="AQ1095" s="4" t="n"/>
      <c r="AR1095" s="5">
        <f>IF(tblOrdenes[[#This Row],[link_checklist]]="","",HYPERLINK(p_ruta_base_checklists&amp;tblOrdenes[[#This Row],[link_checklist]],"abrir"))</f>
        <v/>
      </c>
      <c r="AS1095" s="4" t="n"/>
      <c r="AT1095" s="5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22" t="n"/>
      <c r="K1096" s="5" t="n"/>
      <c r="L1096" s="18" t="n"/>
      <c r="M10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5">
        <f>IF(tblOrdenes[[#This Row],[fecha_inicio]]="","",YEAR(tblOrdenes[[#This Row],[fecha_inicio]]))</f>
        <v/>
      </c>
      <c r="Q1096" s="5">
        <f>IF(tblOrdenes[[#This Row],[fecha_inicio]]="","",MONTH(tblOrdenes[[#This Row],[fecha_inicio]]))</f>
        <v/>
      </c>
      <c r="R1096" s="5">
        <f>IF(tblOrdenes[[#This Row],[fecha_inicio]]="","",tblOrdenes[[#This Row],[anio]]&amp;"-"&amp;TEXT(tblOrdenes[[#This Row],[mes]],"00"))</f>
        <v/>
      </c>
      <c r="S1096" s="5">
        <f>IF(tblOrdenes[[#This Row],[fecha_inicio]]="","",INDEX(lista_dias,WEEKDAY(tblOrdenes[[#This Row],[fecha_inicio]],2)))</f>
        <v/>
      </c>
      <c r="T10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6" s="5">
        <f>IF(tblOrdenes[[#This Row],[tipo_ot]]="","",_xlfn.XLOOKUP(tblOrdenes[[#This Row],[tipo_ot]],tblTiposOT[codigo],tblTiposOT[clasificacion],"sin_clasificar"))</f>
        <v/>
      </c>
      <c r="V10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6" s="5">
        <f>IF(tblOrdenes[[#This Row],[centro_costo]]="","",_xlfn.XLOOKUP(tblOrdenes[[#This Row],[centro_costo]],tblCECO[codigo],tblCECO[linea],"(sin catálogo)"))</f>
        <v/>
      </c>
      <c r="X1096" s="5">
        <f>IF(tblOrdenes[[#This Row],[centro_costo]]="","",_xlfn.XLOOKUP(tblOrdenes[[#This Row],[centro_costo]],tblCECO[codigo],tblCECO[area],"(sin catálogo)"))</f>
        <v/>
      </c>
      <c r="Y10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6" s="5">
        <f>IF(tblOrdenes[[#This Row],[centro_costo]]="","",_xlfn.XLOOKUP(tblOrdenes[[#This Row],[centro_costo]],tblCECO[codigo],tblCECO[coordinador],"(sin catálogo)"))</f>
        <v/>
      </c>
      <c r="AA1096" s="5">
        <f>IF(tblOrdenes[[#This Row],[puesto_trabajo]]="","",_xlfn.XLOOKUP(tblOrdenes[[#This Row],[puesto_trabajo]],tblPuestos[codigo],tblPuestos[especialidad],"(sin catálogo)"))</f>
        <v/>
      </c>
      <c r="AB1096" s="5">
        <f>IF(tblOrdenes[[#This Row],[cod_actividad]]="","",_xlfn.XLOOKUP(tblOrdenes[[#This Row],[cod_actividad]],tblActividades[codigo],tblActividades[descripcion],"(sin catálogo)"))</f>
        <v/>
      </c>
      <c r="AC1096" s="20">
        <f>IF(tblOrdenes[[#This Row],[fecha_inicio]]="","",TODAY()-tblOrdenes[[#This Row],[fecha_inicio]])</f>
        <v/>
      </c>
      <c r="AD10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6" s="5">
        <f>IF(tblOrdenes[[#This Row],[backlog_habiles]]="","",IF(tblOrdenes[[#This Row],[backlog_habiles]]&lt;0,"FUTURO",IF(tblOrdenes[[#This Row],[backlog_habiles]]&gt;p_dias_backlog_max,"BACKLOG","MES CORRIENTE")))</f>
        <v/>
      </c>
      <c r="AF1096" s="5">
        <f>IF(tblOrdenes[[#This Row],[backlog_habiles]]="",FALSE,AND(tblOrdenes[[#This Row],[backlog_habiles]]&gt;p_dias_backlog_min,tblOrdenes[[#This Row],[backlog_habiles]]&lt;=p_dias_backlog_max))</f>
        <v/>
      </c>
      <c r="AG1096" s="4" t="n"/>
      <c r="AH10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6" s="18">
        <f>IF(tblOrdenes[[#This Row],[orden]]="","",_xlfn.XLOOKUP(tblOrdenes[[#This Row],[id_operacion]],tblEjecucion[id_operacion],tblEjecucion[precio],0))</f>
        <v/>
      </c>
      <c r="AL1096" s="18">
        <f>IF(tblOrdenes[[#This Row],[orden]]="","",MAX(0,_xlfn.XLOOKUP(tblOrdenes[[#This Row],[id_operacion]],tblEjecucion[id_operacion],tblEjecucion[costo_plan_total],0)-tblOrdenes[[#This Row],[costo_servicio]]))</f>
        <v/>
      </c>
      <c r="AM1096" s="18">
        <f>IF(tblOrdenes[[#This Row],[orden]]="","",tblOrdenes[[#This Row],[costo_servicio]]+tblOrdenes[[#This Row],[costo_materiales]])</f>
        <v/>
      </c>
      <c r="AN10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6" s="4" t="n"/>
      <c r="AP1096" s="4" t="n"/>
      <c r="AQ1096" s="4" t="n"/>
      <c r="AR1096" s="5">
        <f>IF(tblOrdenes[[#This Row],[link_checklist]]="","",HYPERLINK(p_ruta_base_checklists&amp;tblOrdenes[[#This Row],[link_checklist]],"abrir"))</f>
        <v/>
      </c>
      <c r="AS1096" s="4" t="n"/>
      <c r="AT1096" s="5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22" t="n"/>
      <c r="K1097" s="5" t="n"/>
      <c r="L1097" s="18" t="n"/>
      <c r="M10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5">
        <f>IF(tblOrdenes[[#This Row],[fecha_inicio]]="","",YEAR(tblOrdenes[[#This Row],[fecha_inicio]]))</f>
        <v/>
      </c>
      <c r="Q1097" s="5">
        <f>IF(tblOrdenes[[#This Row],[fecha_inicio]]="","",MONTH(tblOrdenes[[#This Row],[fecha_inicio]]))</f>
        <v/>
      </c>
      <c r="R1097" s="5">
        <f>IF(tblOrdenes[[#This Row],[fecha_inicio]]="","",tblOrdenes[[#This Row],[anio]]&amp;"-"&amp;TEXT(tblOrdenes[[#This Row],[mes]],"00"))</f>
        <v/>
      </c>
      <c r="S1097" s="5">
        <f>IF(tblOrdenes[[#This Row],[fecha_inicio]]="","",INDEX(lista_dias,WEEKDAY(tblOrdenes[[#This Row],[fecha_inicio]],2)))</f>
        <v/>
      </c>
      <c r="T10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7" s="5">
        <f>IF(tblOrdenes[[#This Row],[tipo_ot]]="","",_xlfn.XLOOKUP(tblOrdenes[[#This Row],[tipo_ot]],tblTiposOT[codigo],tblTiposOT[clasificacion],"sin_clasificar"))</f>
        <v/>
      </c>
      <c r="V10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7" s="5">
        <f>IF(tblOrdenes[[#This Row],[centro_costo]]="","",_xlfn.XLOOKUP(tblOrdenes[[#This Row],[centro_costo]],tblCECO[codigo],tblCECO[linea],"(sin catálogo)"))</f>
        <v/>
      </c>
      <c r="X1097" s="5">
        <f>IF(tblOrdenes[[#This Row],[centro_costo]]="","",_xlfn.XLOOKUP(tblOrdenes[[#This Row],[centro_costo]],tblCECO[codigo],tblCECO[area],"(sin catálogo)"))</f>
        <v/>
      </c>
      <c r="Y10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7" s="5">
        <f>IF(tblOrdenes[[#This Row],[centro_costo]]="","",_xlfn.XLOOKUP(tblOrdenes[[#This Row],[centro_costo]],tblCECO[codigo],tblCECO[coordinador],"(sin catálogo)"))</f>
        <v/>
      </c>
      <c r="AA1097" s="5">
        <f>IF(tblOrdenes[[#This Row],[puesto_trabajo]]="","",_xlfn.XLOOKUP(tblOrdenes[[#This Row],[puesto_trabajo]],tblPuestos[codigo],tblPuestos[especialidad],"(sin catálogo)"))</f>
        <v/>
      </c>
      <c r="AB1097" s="5">
        <f>IF(tblOrdenes[[#This Row],[cod_actividad]]="","",_xlfn.XLOOKUP(tblOrdenes[[#This Row],[cod_actividad]],tblActividades[codigo],tblActividades[descripcion],"(sin catálogo)"))</f>
        <v/>
      </c>
      <c r="AC1097" s="20">
        <f>IF(tblOrdenes[[#This Row],[fecha_inicio]]="","",TODAY()-tblOrdenes[[#This Row],[fecha_inicio]])</f>
        <v/>
      </c>
      <c r="AD10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7" s="5">
        <f>IF(tblOrdenes[[#This Row],[backlog_habiles]]="","",IF(tblOrdenes[[#This Row],[backlog_habiles]]&lt;0,"FUTURO",IF(tblOrdenes[[#This Row],[backlog_habiles]]&gt;p_dias_backlog_max,"BACKLOG","MES CORRIENTE")))</f>
        <v/>
      </c>
      <c r="AF1097" s="5">
        <f>IF(tblOrdenes[[#This Row],[backlog_habiles]]="",FALSE,AND(tblOrdenes[[#This Row],[backlog_habiles]]&gt;p_dias_backlog_min,tblOrdenes[[#This Row],[backlog_habiles]]&lt;=p_dias_backlog_max))</f>
        <v/>
      </c>
      <c r="AG1097" s="4" t="n"/>
      <c r="AH10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7" s="18">
        <f>IF(tblOrdenes[[#This Row],[orden]]="","",_xlfn.XLOOKUP(tblOrdenes[[#This Row],[id_operacion]],tblEjecucion[id_operacion],tblEjecucion[precio],0))</f>
        <v/>
      </c>
      <c r="AL1097" s="18">
        <f>IF(tblOrdenes[[#This Row],[orden]]="","",MAX(0,_xlfn.XLOOKUP(tblOrdenes[[#This Row],[id_operacion]],tblEjecucion[id_operacion],tblEjecucion[costo_plan_total],0)-tblOrdenes[[#This Row],[costo_servicio]]))</f>
        <v/>
      </c>
      <c r="AM1097" s="18">
        <f>IF(tblOrdenes[[#This Row],[orden]]="","",tblOrdenes[[#This Row],[costo_servicio]]+tblOrdenes[[#This Row],[costo_materiales]])</f>
        <v/>
      </c>
      <c r="AN10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7" s="4" t="n"/>
      <c r="AP1097" s="4" t="n"/>
      <c r="AQ1097" s="4" t="n"/>
      <c r="AR1097" s="5">
        <f>IF(tblOrdenes[[#This Row],[link_checklist]]="","",HYPERLINK(p_ruta_base_checklists&amp;tblOrdenes[[#This Row],[link_checklist]],"abrir"))</f>
        <v/>
      </c>
      <c r="AS1097" s="4" t="n"/>
      <c r="AT1097" s="5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22" t="n"/>
      <c r="K1098" s="5" t="n"/>
      <c r="L1098" s="18" t="n"/>
      <c r="M10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5">
        <f>IF(tblOrdenes[[#This Row],[fecha_inicio]]="","",YEAR(tblOrdenes[[#This Row],[fecha_inicio]]))</f>
        <v/>
      </c>
      <c r="Q1098" s="5">
        <f>IF(tblOrdenes[[#This Row],[fecha_inicio]]="","",MONTH(tblOrdenes[[#This Row],[fecha_inicio]]))</f>
        <v/>
      </c>
      <c r="R1098" s="5">
        <f>IF(tblOrdenes[[#This Row],[fecha_inicio]]="","",tblOrdenes[[#This Row],[anio]]&amp;"-"&amp;TEXT(tblOrdenes[[#This Row],[mes]],"00"))</f>
        <v/>
      </c>
      <c r="S1098" s="5">
        <f>IF(tblOrdenes[[#This Row],[fecha_inicio]]="","",INDEX(lista_dias,WEEKDAY(tblOrdenes[[#This Row],[fecha_inicio]],2)))</f>
        <v/>
      </c>
      <c r="T10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8" s="5">
        <f>IF(tblOrdenes[[#This Row],[tipo_ot]]="","",_xlfn.XLOOKUP(tblOrdenes[[#This Row],[tipo_ot]],tblTiposOT[codigo],tblTiposOT[clasificacion],"sin_clasificar"))</f>
        <v/>
      </c>
      <c r="V10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8" s="5">
        <f>IF(tblOrdenes[[#This Row],[centro_costo]]="","",_xlfn.XLOOKUP(tblOrdenes[[#This Row],[centro_costo]],tblCECO[codigo],tblCECO[linea],"(sin catálogo)"))</f>
        <v/>
      </c>
      <c r="X1098" s="5">
        <f>IF(tblOrdenes[[#This Row],[centro_costo]]="","",_xlfn.XLOOKUP(tblOrdenes[[#This Row],[centro_costo]],tblCECO[codigo],tblCECO[area],"(sin catálogo)"))</f>
        <v/>
      </c>
      <c r="Y10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8" s="5">
        <f>IF(tblOrdenes[[#This Row],[centro_costo]]="","",_xlfn.XLOOKUP(tblOrdenes[[#This Row],[centro_costo]],tblCECO[codigo],tblCECO[coordinador],"(sin catálogo)"))</f>
        <v/>
      </c>
      <c r="AA1098" s="5">
        <f>IF(tblOrdenes[[#This Row],[puesto_trabajo]]="","",_xlfn.XLOOKUP(tblOrdenes[[#This Row],[puesto_trabajo]],tblPuestos[codigo],tblPuestos[especialidad],"(sin catálogo)"))</f>
        <v/>
      </c>
      <c r="AB1098" s="5">
        <f>IF(tblOrdenes[[#This Row],[cod_actividad]]="","",_xlfn.XLOOKUP(tblOrdenes[[#This Row],[cod_actividad]],tblActividades[codigo],tblActividades[descripcion],"(sin catálogo)"))</f>
        <v/>
      </c>
      <c r="AC1098" s="20">
        <f>IF(tblOrdenes[[#This Row],[fecha_inicio]]="","",TODAY()-tblOrdenes[[#This Row],[fecha_inicio]])</f>
        <v/>
      </c>
      <c r="AD10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8" s="5">
        <f>IF(tblOrdenes[[#This Row],[backlog_habiles]]="","",IF(tblOrdenes[[#This Row],[backlog_habiles]]&lt;0,"FUTURO",IF(tblOrdenes[[#This Row],[backlog_habiles]]&gt;p_dias_backlog_max,"BACKLOG","MES CORRIENTE")))</f>
        <v/>
      </c>
      <c r="AF1098" s="5">
        <f>IF(tblOrdenes[[#This Row],[backlog_habiles]]="",FALSE,AND(tblOrdenes[[#This Row],[backlog_habiles]]&gt;p_dias_backlog_min,tblOrdenes[[#This Row],[backlog_habiles]]&lt;=p_dias_backlog_max))</f>
        <v/>
      </c>
      <c r="AG1098" s="4" t="n"/>
      <c r="AH10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8" s="18">
        <f>IF(tblOrdenes[[#This Row],[orden]]="","",_xlfn.XLOOKUP(tblOrdenes[[#This Row],[id_operacion]],tblEjecucion[id_operacion],tblEjecucion[precio],0))</f>
        <v/>
      </c>
      <c r="AL1098" s="18">
        <f>IF(tblOrdenes[[#This Row],[orden]]="","",MAX(0,_xlfn.XLOOKUP(tblOrdenes[[#This Row],[id_operacion]],tblEjecucion[id_operacion],tblEjecucion[costo_plan_total],0)-tblOrdenes[[#This Row],[costo_servicio]]))</f>
        <v/>
      </c>
      <c r="AM1098" s="18">
        <f>IF(tblOrdenes[[#This Row],[orden]]="","",tblOrdenes[[#This Row],[costo_servicio]]+tblOrdenes[[#This Row],[costo_materiales]])</f>
        <v/>
      </c>
      <c r="AN10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8" s="4" t="n"/>
      <c r="AP1098" s="4" t="n"/>
      <c r="AQ1098" s="4" t="n"/>
      <c r="AR1098" s="5">
        <f>IF(tblOrdenes[[#This Row],[link_checklist]]="","",HYPERLINK(p_ruta_base_checklists&amp;tblOrdenes[[#This Row],[link_checklist]],"abrir"))</f>
        <v/>
      </c>
      <c r="AS1098" s="4" t="n"/>
      <c r="AT1098" s="5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22" t="n"/>
      <c r="K1099" s="5" t="n"/>
      <c r="L1099" s="18" t="n"/>
      <c r="M10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5">
        <f>IF(tblOrdenes[[#This Row],[fecha_inicio]]="","",YEAR(tblOrdenes[[#This Row],[fecha_inicio]]))</f>
        <v/>
      </c>
      <c r="Q1099" s="5">
        <f>IF(tblOrdenes[[#This Row],[fecha_inicio]]="","",MONTH(tblOrdenes[[#This Row],[fecha_inicio]]))</f>
        <v/>
      </c>
      <c r="R1099" s="5">
        <f>IF(tblOrdenes[[#This Row],[fecha_inicio]]="","",tblOrdenes[[#This Row],[anio]]&amp;"-"&amp;TEXT(tblOrdenes[[#This Row],[mes]],"00"))</f>
        <v/>
      </c>
      <c r="S1099" s="5">
        <f>IF(tblOrdenes[[#This Row],[fecha_inicio]]="","",INDEX(lista_dias,WEEKDAY(tblOrdenes[[#This Row],[fecha_inicio]],2)))</f>
        <v/>
      </c>
      <c r="T10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9" s="5">
        <f>IF(tblOrdenes[[#This Row],[tipo_ot]]="","",_xlfn.XLOOKUP(tblOrdenes[[#This Row],[tipo_ot]],tblTiposOT[codigo],tblTiposOT[clasificacion],"sin_clasificar"))</f>
        <v/>
      </c>
      <c r="V10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9" s="5">
        <f>IF(tblOrdenes[[#This Row],[centro_costo]]="","",_xlfn.XLOOKUP(tblOrdenes[[#This Row],[centro_costo]],tblCECO[codigo],tblCECO[linea],"(sin catálogo)"))</f>
        <v/>
      </c>
      <c r="X1099" s="5">
        <f>IF(tblOrdenes[[#This Row],[centro_costo]]="","",_xlfn.XLOOKUP(tblOrdenes[[#This Row],[centro_costo]],tblCECO[codigo],tblCECO[area],"(sin catálogo)"))</f>
        <v/>
      </c>
      <c r="Y10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099" s="5">
        <f>IF(tblOrdenes[[#This Row],[centro_costo]]="","",_xlfn.XLOOKUP(tblOrdenes[[#This Row],[centro_costo]],tblCECO[codigo],tblCECO[coordinador],"(sin catálogo)"))</f>
        <v/>
      </c>
      <c r="AA1099" s="5">
        <f>IF(tblOrdenes[[#This Row],[puesto_trabajo]]="","",_xlfn.XLOOKUP(tblOrdenes[[#This Row],[puesto_trabajo]],tblPuestos[codigo],tblPuestos[especialidad],"(sin catálogo)"))</f>
        <v/>
      </c>
      <c r="AB1099" s="5">
        <f>IF(tblOrdenes[[#This Row],[cod_actividad]]="","",_xlfn.XLOOKUP(tblOrdenes[[#This Row],[cod_actividad]],tblActividades[codigo],tblActividades[descripcion],"(sin catálogo)"))</f>
        <v/>
      </c>
      <c r="AC1099" s="20">
        <f>IF(tblOrdenes[[#This Row],[fecha_inicio]]="","",TODAY()-tblOrdenes[[#This Row],[fecha_inicio]])</f>
        <v/>
      </c>
      <c r="AD10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099" s="5">
        <f>IF(tblOrdenes[[#This Row],[backlog_habiles]]="","",IF(tblOrdenes[[#This Row],[backlog_habiles]]&lt;0,"FUTURO",IF(tblOrdenes[[#This Row],[backlog_habiles]]&gt;p_dias_backlog_max,"BACKLOG","MES CORRIENTE")))</f>
        <v/>
      </c>
      <c r="AF1099" s="5">
        <f>IF(tblOrdenes[[#This Row],[backlog_habiles]]="",FALSE,AND(tblOrdenes[[#This Row],[backlog_habiles]]&gt;p_dias_backlog_min,tblOrdenes[[#This Row],[backlog_habiles]]&lt;=p_dias_backlog_max))</f>
        <v/>
      </c>
      <c r="AG1099" s="4" t="n"/>
      <c r="AH10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0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0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099" s="18">
        <f>IF(tblOrdenes[[#This Row],[orden]]="","",_xlfn.XLOOKUP(tblOrdenes[[#This Row],[id_operacion]],tblEjecucion[id_operacion],tblEjecucion[precio],0))</f>
        <v/>
      </c>
      <c r="AL1099" s="18">
        <f>IF(tblOrdenes[[#This Row],[orden]]="","",MAX(0,_xlfn.XLOOKUP(tblOrdenes[[#This Row],[id_operacion]],tblEjecucion[id_operacion],tblEjecucion[costo_plan_total],0)-tblOrdenes[[#This Row],[costo_servicio]]))</f>
        <v/>
      </c>
      <c r="AM1099" s="18">
        <f>IF(tblOrdenes[[#This Row],[orden]]="","",tblOrdenes[[#This Row],[costo_servicio]]+tblOrdenes[[#This Row],[costo_materiales]])</f>
        <v/>
      </c>
      <c r="AN10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099" s="4" t="n"/>
      <c r="AP1099" s="4" t="n"/>
      <c r="AQ1099" s="4" t="n"/>
      <c r="AR1099" s="5">
        <f>IF(tblOrdenes[[#This Row],[link_checklist]]="","",HYPERLINK(p_ruta_base_checklists&amp;tblOrdenes[[#This Row],[link_checklist]],"abrir"))</f>
        <v/>
      </c>
      <c r="AS1099" s="4" t="n"/>
      <c r="AT1099" s="5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22" t="n"/>
      <c r="K1100" s="5" t="n"/>
      <c r="L1100" s="18" t="n"/>
      <c r="M1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5">
        <f>IF(tblOrdenes[[#This Row],[fecha_inicio]]="","",YEAR(tblOrdenes[[#This Row],[fecha_inicio]]))</f>
        <v/>
      </c>
      <c r="Q1100" s="5">
        <f>IF(tblOrdenes[[#This Row],[fecha_inicio]]="","",MONTH(tblOrdenes[[#This Row],[fecha_inicio]]))</f>
        <v/>
      </c>
      <c r="R1100" s="5">
        <f>IF(tblOrdenes[[#This Row],[fecha_inicio]]="","",tblOrdenes[[#This Row],[anio]]&amp;"-"&amp;TEXT(tblOrdenes[[#This Row],[mes]],"00"))</f>
        <v/>
      </c>
      <c r="S1100" s="5">
        <f>IF(tblOrdenes[[#This Row],[fecha_inicio]]="","",INDEX(lista_dias,WEEKDAY(tblOrdenes[[#This Row],[fecha_inicio]],2)))</f>
        <v/>
      </c>
      <c r="T1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0" s="5">
        <f>IF(tblOrdenes[[#This Row],[tipo_ot]]="","",_xlfn.XLOOKUP(tblOrdenes[[#This Row],[tipo_ot]],tblTiposOT[codigo],tblTiposOT[clasificacion],"sin_clasificar"))</f>
        <v/>
      </c>
      <c r="V11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0" s="5">
        <f>IF(tblOrdenes[[#This Row],[centro_costo]]="","",_xlfn.XLOOKUP(tblOrdenes[[#This Row],[centro_costo]],tblCECO[codigo],tblCECO[linea],"(sin catálogo)"))</f>
        <v/>
      </c>
      <c r="X1100" s="5">
        <f>IF(tblOrdenes[[#This Row],[centro_costo]]="","",_xlfn.XLOOKUP(tblOrdenes[[#This Row],[centro_costo]],tblCECO[codigo],tblCECO[area],"(sin catálogo)"))</f>
        <v/>
      </c>
      <c r="Y1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0" s="5">
        <f>IF(tblOrdenes[[#This Row],[centro_costo]]="","",_xlfn.XLOOKUP(tblOrdenes[[#This Row],[centro_costo]],tblCECO[codigo],tblCECO[coordinador],"(sin catálogo)"))</f>
        <v/>
      </c>
      <c r="AA1100" s="5">
        <f>IF(tblOrdenes[[#This Row],[puesto_trabajo]]="","",_xlfn.XLOOKUP(tblOrdenes[[#This Row],[puesto_trabajo]],tblPuestos[codigo],tblPuestos[especialidad],"(sin catálogo)"))</f>
        <v/>
      </c>
      <c r="AB1100" s="5">
        <f>IF(tblOrdenes[[#This Row],[cod_actividad]]="","",_xlfn.XLOOKUP(tblOrdenes[[#This Row],[cod_actividad]],tblActividades[codigo],tblActividades[descripcion],"(sin catálogo)"))</f>
        <v/>
      </c>
      <c r="AC1100" s="20">
        <f>IF(tblOrdenes[[#This Row],[fecha_inicio]]="","",TODAY()-tblOrdenes[[#This Row],[fecha_inicio]])</f>
        <v/>
      </c>
      <c r="AD11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0" s="5">
        <f>IF(tblOrdenes[[#This Row],[backlog_habiles]]="","",IF(tblOrdenes[[#This Row],[backlog_habiles]]&lt;0,"FUTURO",IF(tblOrdenes[[#This Row],[backlog_habiles]]&gt;p_dias_backlog_max,"BACKLOG","MES CORRIENTE")))</f>
        <v/>
      </c>
      <c r="AF1100" s="5">
        <f>IF(tblOrdenes[[#This Row],[backlog_habiles]]="",FALSE,AND(tblOrdenes[[#This Row],[backlog_habiles]]&gt;p_dias_backlog_min,tblOrdenes[[#This Row],[backlog_habiles]]&lt;=p_dias_backlog_max))</f>
        <v/>
      </c>
      <c r="AG1100" s="4" t="n"/>
      <c r="AH1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0" s="18">
        <f>IF(tblOrdenes[[#This Row],[orden]]="","",_xlfn.XLOOKUP(tblOrdenes[[#This Row],[id_operacion]],tblEjecucion[id_operacion],tblEjecucion[precio],0))</f>
        <v/>
      </c>
      <c r="AL1100" s="18">
        <f>IF(tblOrdenes[[#This Row],[orden]]="","",MAX(0,_xlfn.XLOOKUP(tblOrdenes[[#This Row],[id_operacion]],tblEjecucion[id_operacion],tblEjecucion[costo_plan_total],0)-tblOrdenes[[#This Row],[costo_servicio]]))</f>
        <v/>
      </c>
      <c r="AM1100" s="18">
        <f>IF(tblOrdenes[[#This Row],[orden]]="","",tblOrdenes[[#This Row],[costo_servicio]]+tblOrdenes[[#This Row],[costo_materiales]])</f>
        <v/>
      </c>
      <c r="AN1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0" s="4" t="n"/>
      <c r="AP1100" s="4" t="n"/>
      <c r="AQ1100" s="4" t="n"/>
      <c r="AR1100" s="5">
        <f>IF(tblOrdenes[[#This Row],[link_checklist]]="","",HYPERLINK(p_ruta_base_checklists&amp;tblOrdenes[[#This Row],[link_checklist]],"abrir"))</f>
        <v/>
      </c>
      <c r="AS1100" s="4" t="n"/>
      <c r="AT1100" s="5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22" t="n"/>
      <c r="K1101" s="5" t="n"/>
      <c r="L1101" s="18" t="n"/>
      <c r="M1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5">
        <f>IF(tblOrdenes[[#This Row],[fecha_inicio]]="","",YEAR(tblOrdenes[[#This Row],[fecha_inicio]]))</f>
        <v/>
      </c>
      <c r="Q1101" s="5">
        <f>IF(tblOrdenes[[#This Row],[fecha_inicio]]="","",MONTH(tblOrdenes[[#This Row],[fecha_inicio]]))</f>
        <v/>
      </c>
      <c r="R1101" s="5">
        <f>IF(tblOrdenes[[#This Row],[fecha_inicio]]="","",tblOrdenes[[#This Row],[anio]]&amp;"-"&amp;TEXT(tblOrdenes[[#This Row],[mes]],"00"))</f>
        <v/>
      </c>
      <c r="S1101" s="5">
        <f>IF(tblOrdenes[[#This Row],[fecha_inicio]]="","",INDEX(lista_dias,WEEKDAY(tblOrdenes[[#This Row],[fecha_inicio]],2)))</f>
        <v/>
      </c>
      <c r="T1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1" s="5">
        <f>IF(tblOrdenes[[#This Row],[tipo_ot]]="","",_xlfn.XLOOKUP(tblOrdenes[[#This Row],[tipo_ot]],tblTiposOT[codigo],tblTiposOT[clasificacion],"sin_clasificar"))</f>
        <v/>
      </c>
      <c r="V11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1" s="5">
        <f>IF(tblOrdenes[[#This Row],[centro_costo]]="","",_xlfn.XLOOKUP(tblOrdenes[[#This Row],[centro_costo]],tblCECO[codigo],tblCECO[linea],"(sin catálogo)"))</f>
        <v/>
      </c>
      <c r="X1101" s="5">
        <f>IF(tblOrdenes[[#This Row],[centro_costo]]="","",_xlfn.XLOOKUP(tblOrdenes[[#This Row],[centro_costo]],tblCECO[codigo],tblCECO[area],"(sin catálogo)"))</f>
        <v/>
      </c>
      <c r="Y1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1" s="5">
        <f>IF(tblOrdenes[[#This Row],[centro_costo]]="","",_xlfn.XLOOKUP(tblOrdenes[[#This Row],[centro_costo]],tblCECO[codigo],tblCECO[coordinador],"(sin catálogo)"))</f>
        <v/>
      </c>
      <c r="AA1101" s="5">
        <f>IF(tblOrdenes[[#This Row],[puesto_trabajo]]="","",_xlfn.XLOOKUP(tblOrdenes[[#This Row],[puesto_trabajo]],tblPuestos[codigo],tblPuestos[especialidad],"(sin catálogo)"))</f>
        <v/>
      </c>
      <c r="AB1101" s="5">
        <f>IF(tblOrdenes[[#This Row],[cod_actividad]]="","",_xlfn.XLOOKUP(tblOrdenes[[#This Row],[cod_actividad]],tblActividades[codigo],tblActividades[descripcion],"(sin catálogo)"))</f>
        <v/>
      </c>
      <c r="AC1101" s="20">
        <f>IF(tblOrdenes[[#This Row],[fecha_inicio]]="","",TODAY()-tblOrdenes[[#This Row],[fecha_inicio]])</f>
        <v/>
      </c>
      <c r="AD11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1" s="5">
        <f>IF(tblOrdenes[[#This Row],[backlog_habiles]]="","",IF(tblOrdenes[[#This Row],[backlog_habiles]]&lt;0,"FUTURO",IF(tblOrdenes[[#This Row],[backlog_habiles]]&gt;p_dias_backlog_max,"BACKLOG","MES CORRIENTE")))</f>
        <v/>
      </c>
      <c r="AF1101" s="5">
        <f>IF(tblOrdenes[[#This Row],[backlog_habiles]]="",FALSE,AND(tblOrdenes[[#This Row],[backlog_habiles]]&gt;p_dias_backlog_min,tblOrdenes[[#This Row],[backlog_habiles]]&lt;=p_dias_backlog_max))</f>
        <v/>
      </c>
      <c r="AG1101" s="4" t="n"/>
      <c r="AH1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1" s="18">
        <f>IF(tblOrdenes[[#This Row],[orden]]="","",_xlfn.XLOOKUP(tblOrdenes[[#This Row],[id_operacion]],tblEjecucion[id_operacion],tblEjecucion[precio],0))</f>
        <v/>
      </c>
      <c r="AL1101" s="18">
        <f>IF(tblOrdenes[[#This Row],[orden]]="","",MAX(0,_xlfn.XLOOKUP(tblOrdenes[[#This Row],[id_operacion]],tblEjecucion[id_operacion],tblEjecucion[costo_plan_total],0)-tblOrdenes[[#This Row],[costo_servicio]]))</f>
        <v/>
      </c>
      <c r="AM1101" s="18">
        <f>IF(tblOrdenes[[#This Row],[orden]]="","",tblOrdenes[[#This Row],[costo_servicio]]+tblOrdenes[[#This Row],[costo_materiales]])</f>
        <v/>
      </c>
      <c r="AN1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1" s="4" t="n"/>
      <c r="AP1101" s="4" t="n"/>
      <c r="AQ1101" s="4" t="n"/>
      <c r="AR1101" s="5">
        <f>IF(tblOrdenes[[#This Row],[link_checklist]]="","",HYPERLINK(p_ruta_base_checklists&amp;tblOrdenes[[#This Row],[link_checklist]],"abrir"))</f>
        <v/>
      </c>
      <c r="AS1101" s="4" t="n"/>
      <c r="AT1101" s="5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22" t="n"/>
      <c r="K1102" s="5" t="n"/>
      <c r="L1102" s="18" t="n"/>
      <c r="M1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5">
        <f>IF(tblOrdenes[[#This Row],[fecha_inicio]]="","",YEAR(tblOrdenes[[#This Row],[fecha_inicio]]))</f>
        <v/>
      </c>
      <c r="Q1102" s="5">
        <f>IF(tblOrdenes[[#This Row],[fecha_inicio]]="","",MONTH(tblOrdenes[[#This Row],[fecha_inicio]]))</f>
        <v/>
      </c>
      <c r="R1102" s="5">
        <f>IF(tblOrdenes[[#This Row],[fecha_inicio]]="","",tblOrdenes[[#This Row],[anio]]&amp;"-"&amp;TEXT(tblOrdenes[[#This Row],[mes]],"00"))</f>
        <v/>
      </c>
      <c r="S1102" s="5">
        <f>IF(tblOrdenes[[#This Row],[fecha_inicio]]="","",INDEX(lista_dias,WEEKDAY(tblOrdenes[[#This Row],[fecha_inicio]],2)))</f>
        <v/>
      </c>
      <c r="T1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2" s="5">
        <f>IF(tblOrdenes[[#This Row],[tipo_ot]]="","",_xlfn.XLOOKUP(tblOrdenes[[#This Row],[tipo_ot]],tblTiposOT[codigo],tblTiposOT[clasificacion],"sin_clasificar"))</f>
        <v/>
      </c>
      <c r="V11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2" s="5">
        <f>IF(tblOrdenes[[#This Row],[centro_costo]]="","",_xlfn.XLOOKUP(tblOrdenes[[#This Row],[centro_costo]],tblCECO[codigo],tblCECO[linea],"(sin catálogo)"))</f>
        <v/>
      </c>
      <c r="X1102" s="5">
        <f>IF(tblOrdenes[[#This Row],[centro_costo]]="","",_xlfn.XLOOKUP(tblOrdenes[[#This Row],[centro_costo]],tblCECO[codigo],tblCECO[area],"(sin catálogo)"))</f>
        <v/>
      </c>
      <c r="Y1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2" s="5">
        <f>IF(tblOrdenes[[#This Row],[centro_costo]]="","",_xlfn.XLOOKUP(tblOrdenes[[#This Row],[centro_costo]],tblCECO[codigo],tblCECO[coordinador],"(sin catálogo)"))</f>
        <v/>
      </c>
      <c r="AA1102" s="5">
        <f>IF(tblOrdenes[[#This Row],[puesto_trabajo]]="","",_xlfn.XLOOKUP(tblOrdenes[[#This Row],[puesto_trabajo]],tblPuestos[codigo],tblPuestos[especialidad],"(sin catálogo)"))</f>
        <v/>
      </c>
      <c r="AB1102" s="5">
        <f>IF(tblOrdenes[[#This Row],[cod_actividad]]="","",_xlfn.XLOOKUP(tblOrdenes[[#This Row],[cod_actividad]],tblActividades[codigo],tblActividades[descripcion],"(sin catálogo)"))</f>
        <v/>
      </c>
      <c r="AC1102" s="20">
        <f>IF(tblOrdenes[[#This Row],[fecha_inicio]]="","",TODAY()-tblOrdenes[[#This Row],[fecha_inicio]])</f>
        <v/>
      </c>
      <c r="AD11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2" s="5">
        <f>IF(tblOrdenes[[#This Row],[backlog_habiles]]="","",IF(tblOrdenes[[#This Row],[backlog_habiles]]&lt;0,"FUTURO",IF(tblOrdenes[[#This Row],[backlog_habiles]]&gt;p_dias_backlog_max,"BACKLOG","MES CORRIENTE")))</f>
        <v/>
      </c>
      <c r="AF1102" s="5">
        <f>IF(tblOrdenes[[#This Row],[backlog_habiles]]="",FALSE,AND(tblOrdenes[[#This Row],[backlog_habiles]]&gt;p_dias_backlog_min,tblOrdenes[[#This Row],[backlog_habiles]]&lt;=p_dias_backlog_max))</f>
        <v/>
      </c>
      <c r="AG1102" s="4" t="n"/>
      <c r="AH1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2" s="18">
        <f>IF(tblOrdenes[[#This Row],[orden]]="","",_xlfn.XLOOKUP(tblOrdenes[[#This Row],[id_operacion]],tblEjecucion[id_operacion],tblEjecucion[precio],0))</f>
        <v/>
      </c>
      <c r="AL1102" s="18">
        <f>IF(tblOrdenes[[#This Row],[orden]]="","",MAX(0,_xlfn.XLOOKUP(tblOrdenes[[#This Row],[id_operacion]],tblEjecucion[id_operacion],tblEjecucion[costo_plan_total],0)-tblOrdenes[[#This Row],[costo_servicio]]))</f>
        <v/>
      </c>
      <c r="AM1102" s="18">
        <f>IF(tblOrdenes[[#This Row],[orden]]="","",tblOrdenes[[#This Row],[costo_servicio]]+tblOrdenes[[#This Row],[costo_materiales]])</f>
        <v/>
      </c>
      <c r="AN1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2" s="4" t="n"/>
      <c r="AP1102" s="4" t="n"/>
      <c r="AQ1102" s="4" t="n"/>
      <c r="AR1102" s="5">
        <f>IF(tblOrdenes[[#This Row],[link_checklist]]="","",HYPERLINK(p_ruta_base_checklists&amp;tblOrdenes[[#This Row],[link_checklist]],"abrir"))</f>
        <v/>
      </c>
      <c r="AS1102" s="4" t="n"/>
      <c r="AT1102" s="5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22" t="n"/>
      <c r="K1103" s="5" t="n"/>
      <c r="L1103" s="18" t="n"/>
      <c r="M1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5">
        <f>IF(tblOrdenes[[#This Row],[fecha_inicio]]="","",YEAR(tblOrdenes[[#This Row],[fecha_inicio]]))</f>
        <v/>
      </c>
      <c r="Q1103" s="5">
        <f>IF(tblOrdenes[[#This Row],[fecha_inicio]]="","",MONTH(tblOrdenes[[#This Row],[fecha_inicio]]))</f>
        <v/>
      </c>
      <c r="R1103" s="5">
        <f>IF(tblOrdenes[[#This Row],[fecha_inicio]]="","",tblOrdenes[[#This Row],[anio]]&amp;"-"&amp;TEXT(tblOrdenes[[#This Row],[mes]],"00"))</f>
        <v/>
      </c>
      <c r="S1103" s="5">
        <f>IF(tblOrdenes[[#This Row],[fecha_inicio]]="","",INDEX(lista_dias,WEEKDAY(tblOrdenes[[#This Row],[fecha_inicio]],2)))</f>
        <v/>
      </c>
      <c r="T1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3" s="5">
        <f>IF(tblOrdenes[[#This Row],[tipo_ot]]="","",_xlfn.XLOOKUP(tblOrdenes[[#This Row],[tipo_ot]],tblTiposOT[codigo],tblTiposOT[clasificacion],"sin_clasificar"))</f>
        <v/>
      </c>
      <c r="V11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3" s="5">
        <f>IF(tblOrdenes[[#This Row],[centro_costo]]="","",_xlfn.XLOOKUP(tblOrdenes[[#This Row],[centro_costo]],tblCECO[codigo],tblCECO[linea],"(sin catálogo)"))</f>
        <v/>
      </c>
      <c r="X1103" s="5">
        <f>IF(tblOrdenes[[#This Row],[centro_costo]]="","",_xlfn.XLOOKUP(tblOrdenes[[#This Row],[centro_costo]],tblCECO[codigo],tblCECO[area],"(sin catálogo)"))</f>
        <v/>
      </c>
      <c r="Y1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3" s="5">
        <f>IF(tblOrdenes[[#This Row],[centro_costo]]="","",_xlfn.XLOOKUP(tblOrdenes[[#This Row],[centro_costo]],tblCECO[codigo],tblCECO[coordinador],"(sin catálogo)"))</f>
        <v/>
      </c>
      <c r="AA1103" s="5">
        <f>IF(tblOrdenes[[#This Row],[puesto_trabajo]]="","",_xlfn.XLOOKUP(tblOrdenes[[#This Row],[puesto_trabajo]],tblPuestos[codigo],tblPuestos[especialidad],"(sin catálogo)"))</f>
        <v/>
      </c>
      <c r="AB1103" s="5">
        <f>IF(tblOrdenes[[#This Row],[cod_actividad]]="","",_xlfn.XLOOKUP(tblOrdenes[[#This Row],[cod_actividad]],tblActividades[codigo],tblActividades[descripcion],"(sin catálogo)"))</f>
        <v/>
      </c>
      <c r="AC1103" s="20">
        <f>IF(tblOrdenes[[#This Row],[fecha_inicio]]="","",TODAY()-tblOrdenes[[#This Row],[fecha_inicio]])</f>
        <v/>
      </c>
      <c r="AD11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3" s="5">
        <f>IF(tblOrdenes[[#This Row],[backlog_habiles]]="","",IF(tblOrdenes[[#This Row],[backlog_habiles]]&lt;0,"FUTURO",IF(tblOrdenes[[#This Row],[backlog_habiles]]&gt;p_dias_backlog_max,"BACKLOG","MES CORRIENTE")))</f>
        <v/>
      </c>
      <c r="AF1103" s="5">
        <f>IF(tblOrdenes[[#This Row],[backlog_habiles]]="",FALSE,AND(tblOrdenes[[#This Row],[backlog_habiles]]&gt;p_dias_backlog_min,tblOrdenes[[#This Row],[backlog_habiles]]&lt;=p_dias_backlog_max))</f>
        <v/>
      </c>
      <c r="AG1103" s="4" t="n"/>
      <c r="AH1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3" s="18">
        <f>IF(tblOrdenes[[#This Row],[orden]]="","",_xlfn.XLOOKUP(tblOrdenes[[#This Row],[id_operacion]],tblEjecucion[id_operacion],tblEjecucion[precio],0))</f>
        <v/>
      </c>
      <c r="AL1103" s="18">
        <f>IF(tblOrdenes[[#This Row],[orden]]="","",MAX(0,_xlfn.XLOOKUP(tblOrdenes[[#This Row],[id_operacion]],tblEjecucion[id_operacion],tblEjecucion[costo_plan_total],0)-tblOrdenes[[#This Row],[costo_servicio]]))</f>
        <v/>
      </c>
      <c r="AM1103" s="18">
        <f>IF(tblOrdenes[[#This Row],[orden]]="","",tblOrdenes[[#This Row],[costo_servicio]]+tblOrdenes[[#This Row],[costo_materiales]])</f>
        <v/>
      </c>
      <c r="AN1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3" s="4" t="n"/>
      <c r="AP1103" s="4" t="n"/>
      <c r="AQ1103" s="4" t="n"/>
      <c r="AR1103" s="5">
        <f>IF(tblOrdenes[[#This Row],[link_checklist]]="","",HYPERLINK(p_ruta_base_checklists&amp;tblOrdenes[[#This Row],[link_checklist]],"abrir"))</f>
        <v/>
      </c>
      <c r="AS1103" s="4" t="n"/>
      <c r="AT1103" s="5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22" t="n"/>
      <c r="K1104" s="5" t="n"/>
      <c r="L1104" s="18" t="n"/>
      <c r="M1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5">
        <f>IF(tblOrdenes[[#This Row],[fecha_inicio]]="","",YEAR(tblOrdenes[[#This Row],[fecha_inicio]]))</f>
        <v/>
      </c>
      <c r="Q1104" s="5">
        <f>IF(tblOrdenes[[#This Row],[fecha_inicio]]="","",MONTH(tblOrdenes[[#This Row],[fecha_inicio]]))</f>
        <v/>
      </c>
      <c r="R1104" s="5">
        <f>IF(tblOrdenes[[#This Row],[fecha_inicio]]="","",tblOrdenes[[#This Row],[anio]]&amp;"-"&amp;TEXT(tblOrdenes[[#This Row],[mes]],"00"))</f>
        <v/>
      </c>
      <c r="S1104" s="5">
        <f>IF(tblOrdenes[[#This Row],[fecha_inicio]]="","",INDEX(lista_dias,WEEKDAY(tblOrdenes[[#This Row],[fecha_inicio]],2)))</f>
        <v/>
      </c>
      <c r="T1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4" s="5">
        <f>IF(tblOrdenes[[#This Row],[tipo_ot]]="","",_xlfn.XLOOKUP(tblOrdenes[[#This Row],[tipo_ot]],tblTiposOT[codigo],tblTiposOT[clasificacion],"sin_clasificar"))</f>
        <v/>
      </c>
      <c r="V11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4" s="5">
        <f>IF(tblOrdenes[[#This Row],[centro_costo]]="","",_xlfn.XLOOKUP(tblOrdenes[[#This Row],[centro_costo]],tblCECO[codigo],tblCECO[linea],"(sin catálogo)"))</f>
        <v/>
      </c>
      <c r="X1104" s="5">
        <f>IF(tblOrdenes[[#This Row],[centro_costo]]="","",_xlfn.XLOOKUP(tblOrdenes[[#This Row],[centro_costo]],tblCECO[codigo],tblCECO[area],"(sin catálogo)"))</f>
        <v/>
      </c>
      <c r="Y1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4" s="5">
        <f>IF(tblOrdenes[[#This Row],[centro_costo]]="","",_xlfn.XLOOKUP(tblOrdenes[[#This Row],[centro_costo]],tblCECO[codigo],tblCECO[coordinador],"(sin catálogo)"))</f>
        <v/>
      </c>
      <c r="AA1104" s="5">
        <f>IF(tblOrdenes[[#This Row],[puesto_trabajo]]="","",_xlfn.XLOOKUP(tblOrdenes[[#This Row],[puesto_trabajo]],tblPuestos[codigo],tblPuestos[especialidad],"(sin catálogo)"))</f>
        <v/>
      </c>
      <c r="AB1104" s="5">
        <f>IF(tblOrdenes[[#This Row],[cod_actividad]]="","",_xlfn.XLOOKUP(tblOrdenes[[#This Row],[cod_actividad]],tblActividades[codigo],tblActividades[descripcion],"(sin catálogo)"))</f>
        <v/>
      </c>
      <c r="AC1104" s="20">
        <f>IF(tblOrdenes[[#This Row],[fecha_inicio]]="","",TODAY()-tblOrdenes[[#This Row],[fecha_inicio]])</f>
        <v/>
      </c>
      <c r="AD110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4" s="5">
        <f>IF(tblOrdenes[[#This Row],[backlog_habiles]]="","",IF(tblOrdenes[[#This Row],[backlog_habiles]]&lt;0,"FUTURO",IF(tblOrdenes[[#This Row],[backlog_habiles]]&gt;p_dias_backlog_max,"BACKLOG","MES CORRIENTE")))</f>
        <v/>
      </c>
      <c r="AF1104" s="5">
        <f>IF(tblOrdenes[[#This Row],[backlog_habiles]]="",FALSE,AND(tblOrdenes[[#This Row],[backlog_habiles]]&gt;p_dias_backlog_min,tblOrdenes[[#This Row],[backlog_habiles]]&lt;=p_dias_backlog_max))</f>
        <v/>
      </c>
      <c r="AG1104" s="4" t="n"/>
      <c r="AH1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4" s="18">
        <f>IF(tblOrdenes[[#This Row],[orden]]="","",_xlfn.XLOOKUP(tblOrdenes[[#This Row],[id_operacion]],tblEjecucion[id_operacion],tblEjecucion[precio],0))</f>
        <v/>
      </c>
      <c r="AL1104" s="18">
        <f>IF(tblOrdenes[[#This Row],[orden]]="","",MAX(0,_xlfn.XLOOKUP(tblOrdenes[[#This Row],[id_operacion]],tblEjecucion[id_operacion],tblEjecucion[costo_plan_total],0)-tblOrdenes[[#This Row],[costo_servicio]]))</f>
        <v/>
      </c>
      <c r="AM1104" s="18">
        <f>IF(tblOrdenes[[#This Row],[orden]]="","",tblOrdenes[[#This Row],[costo_servicio]]+tblOrdenes[[#This Row],[costo_materiales]])</f>
        <v/>
      </c>
      <c r="AN1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4" s="4" t="n"/>
      <c r="AP1104" s="4" t="n"/>
      <c r="AQ1104" s="4" t="n"/>
      <c r="AR1104" s="5">
        <f>IF(tblOrdenes[[#This Row],[link_checklist]]="","",HYPERLINK(p_ruta_base_checklists&amp;tblOrdenes[[#This Row],[link_checklist]],"abrir"))</f>
        <v/>
      </c>
      <c r="AS1104" s="4" t="n"/>
      <c r="AT1104" s="5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22" t="n"/>
      <c r="K1105" s="5" t="n"/>
      <c r="L1105" s="18" t="n"/>
      <c r="M1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5">
        <f>IF(tblOrdenes[[#This Row],[fecha_inicio]]="","",YEAR(tblOrdenes[[#This Row],[fecha_inicio]]))</f>
        <v/>
      </c>
      <c r="Q1105" s="5">
        <f>IF(tblOrdenes[[#This Row],[fecha_inicio]]="","",MONTH(tblOrdenes[[#This Row],[fecha_inicio]]))</f>
        <v/>
      </c>
      <c r="R1105" s="5">
        <f>IF(tblOrdenes[[#This Row],[fecha_inicio]]="","",tblOrdenes[[#This Row],[anio]]&amp;"-"&amp;TEXT(tblOrdenes[[#This Row],[mes]],"00"))</f>
        <v/>
      </c>
      <c r="S1105" s="5">
        <f>IF(tblOrdenes[[#This Row],[fecha_inicio]]="","",INDEX(lista_dias,WEEKDAY(tblOrdenes[[#This Row],[fecha_inicio]],2)))</f>
        <v/>
      </c>
      <c r="T1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5" s="5">
        <f>IF(tblOrdenes[[#This Row],[tipo_ot]]="","",_xlfn.XLOOKUP(tblOrdenes[[#This Row],[tipo_ot]],tblTiposOT[codigo],tblTiposOT[clasificacion],"sin_clasificar"))</f>
        <v/>
      </c>
      <c r="V11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5" s="5">
        <f>IF(tblOrdenes[[#This Row],[centro_costo]]="","",_xlfn.XLOOKUP(tblOrdenes[[#This Row],[centro_costo]],tblCECO[codigo],tblCECO[linea],"(sin catálogo)"))</f>
        <v/>
      </c>
      <c r="X1105" s="5">
        <f>IF(tblOrdenes[[#This Row],[centro_costo]]="","",_xlfn.XLOOKUP(tblOrdenes[[#This Row],[centro_costo]],tblCECO[codigo],tblCECO[area],"(sin catálogo)"))</f>
        <v/>
      </c>
      <c r="Y1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5" s="5">
        <f>IF(tblOrdenes[[#This Row],[centro_costo]]="","",_xlfn.XLOOKUP(tblOrdenes[[#This Row],[centro_costo]],tblCECO[codigo],tblCECO[coordinador],"(sin catálogo)"))</f>
        <v/>
      </c>
      <c r="AA1105" s="5">
        <f>IF(tblOrdenes[[#This Row],[puesto_trabajo]]="","",_xlfn.XLOOKUP(tblOrdenes[[#This Row],[puesto_trabajo]],tblPuestos[codigo],tblPuestos[especialidad],"(sin catálogo)"))</f>
        <v/>
      </c>
      <c r="AB1105" s="5">
        <f>IF(tblOrdenes[[#This Row],[cod_actividad]]="","",_xlfn.XLOOKUP(tblOrdenes[[#This Row],[cod_actividad]],tblActividades[codigo],tblActividades[descripcion],"(sin catálogo)"))</f>
        <v/>
      </c>
      <c r="AC1105" s="20">
        <f>IF(tblOrdenes[[#This Row],[fecha_inicio]]="","",TODAY()-tblOrdenes[[#This Row],[fecha_inicio]])</f>
        <v/>
      </c>
      <c r="AD110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5" s="5">
        <f>IF(tblOrdenes[[#This Row],[backlog_habiles]]="","",IF(tblOrdenes[[#This Row],[backlog_habiles]]&lt;0,"FUTURO",IF(tblOrdenes[[#This Row],[backlog_habiles]]&gt;p_dias_backlog_max,"BACKLOG","MES CORRIENTE")))</f>
        <v/>
      </c>
      <c r="AF1105" s="5">
        <f>IF(tblOrdenes[[#This Row],[backlog_habiles]]="",FALSE,AND(tblOrdenes[[#This Row],[backlog_habiles]]&gt;p_dias_backlog_min,tblOrdenes[[#This Row],[backlog_habiles]]&lt;=p_dias_backlog_max))</f>
        <v/>
      </c>
      <c r="AG1105" s="4" t="n"/>
      <c r="AH1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5" s="18">
        <f>IF(tblOrdenes[[#This Row],[orden]]="","",_xlfn.XLOOKUP(tblOrdenes[[#This Row],[id_operacion]],tblEjecucion[id_operacion],tblEjecucion[precio],0))</f>
        <v/>
      </c>
      <c r="AL1105" s="18">
        <f>IF(tblOrdenes[[#This Row],[orden]]="","",MAX(0,_xlfn.XLOOKUP(tblOrdenes[[#This Row],[id_operacion]],tblEjecucion[id_operacion],tblEjecucion[costo_plan_total],0)-tblOrdenes[[#This Row],[costo_servicio]]))</f>
        <v/>
      </c>
      <c r="AM1105" s="18">
        <f>IF(tblOrdenes[[#This Row],[orden]]="","",tblOrdenes[[#This Row],[costo_servicio]]+tblOrdenes[[#This Row],[costo_materiales]])</f>
        <v/>
      </c>
      <c r="AN1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5" s="4" t="n"/>
      <c r="AP1105" s="4" t="n"/>
      <c r="AQ1105" s="4" t="n"/>
      <c r="AR1105" s="5">
        <f>IF(tblOrdenes[[#This Row],[link_checklist]]="","",HYPERLINK(p_ruta_base_checklists&amp;tblOrdenes[[#This Row],[link_checklist]],"abrir"))</f>
        <v/>
      </c>
      <c r="AS1105" s="4" t="n"/>
      <c r="AT1105" s="5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22" t="n"/>
      <c r="K1106" s="5" t="n"/>
      <c r="L1106" s="18" t="n"/>
      <c r="M1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5">
        <f>IF(tblOrdenes[[#This Row],[fecha_inicio]]="","",YEAR(tblOrdenes[[#This Row],[fecha_inicio]]))</f>
        <v/>
      </c>
      <c r="Q1106" s="5">
        <f>IF(tblOrdenes[[#This Row],[fecha_inicio]]="","",MONTH(tblOrdenes[[#This Row],[fecha_inicio]]))</f>
        <v/>
      </c>
      <c r="R1106" s="5">
        <f>IF(tblOrdenes[[#This Row],[fecha_inicio]]="","",tblOrdenes[[#This Row],[anio]]&amp;"-"&amp;TEXT(tblOrdenes[[#This Row],[mes]],"00"))</f>
        <v/>
      </c>
      <c r="S1106" s="5">
        <f>IF(tblOrdenes[[#This Row],[fecha_inicio]]="","",INDEX(lista_dias,WEEKDAY(tblOrdenes[[#This Row],[fecha_inicio]],2)))</f>
        <v/>
      </c>
      <c r="T1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6" s="5">
        <f>IF(tblOrdenes[[#This Row],[tipo_ot]]="","",_xlfn.XLOOKUP(tblOrdenes[[#This Row],[tipo_ot]],tblTiposOT[codigo],tblTiposOT[clasificacion],"sin_clasificar"))</f>
        <v/>
      </c>
      <c r="V11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6" s="5">
        <f>IF(tblOrdenes[[#This Row],[centro_costo]]="","",_xlfn.XLOOKUP(tblOrdenes[[#This Row],[centro_costo]],tblCECO[codigo],tblCECO[linea],"(sin catálogo)"))</f>
        <v/>
      </c>
      <c r="X1106" s="5">
        <f>IF(tblOrdenes[[#This Row],[centro_costo]]="","",_xlfn.XLOOKUP(tblOrdenes[[#This Row],[centro_costo]],tblCECO[codigo],tblCECO[area],"(sin catálogo)"))</f>
        <v/>
      </c>
      <c r="Y1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6" s="5">
        <f>IF(tblOrdenes[[#This Row],[centro_costo]]="","",_xlfn.XLOOKUP(tblOrdenes[[#This Row],[centro_costo]],tblCECO[codigo],tblCECO[coordinador],"(sin catálogo)"))</f>
        <v/>
      </c>
      <c r="AA1106" s="5">
        <f>IF(tblOrdenes[[#This Row],[puesto_trabajo]]="","",_xlfn.XLOOKUP(tblOrdenes[[#This Row],[puesto_trabajo]],tblPuestos[codigo],tblPuestos[especialidad],"(sin catálogo)"))</f>
        <v/>
      </c>
      <c r="AB1106" s="5">
        <f>IF(tblOrdenes[[#This Row],[cod_actividad]]="","",_xlfn.XLOOKUP(tblOrdenes[[#This Row],[cod_actividad]],tblActividades[codigo],tblActividades[descripcion],"(sin catálogo)"))</f>
        <v/>
      </c>
      <c r="AC1106" s="20">
        <f>IF(tblOrdenes[[#This Row],[fecha_inicio]]="","",TODAY()-tblOrdenes[[#This Row],[fecha_inicio]])</f>
        <v/>
      </c>
      <c r="AD110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6" s="5">
        <f>IF(tblOrdenes[[#This Row],[backlog_habiles]]="","",IF(tblOrdenes[[#This Row],[backlog_habiles]]&lt;0,"FUTURO",IF(tblOrdenes[[#This Row],[backlog_habiles]]&gt;p_dias_backlog_max,"BACKLOG","MES CORRIENTE")))</f>
        <v/>
      </c>
      <c r="AF1106" s="5">
        <f>IF(tblOrdenes[[#This Row],[backlog_habiles]]="",FALSE,AND(tblOrdenes[[#This Row],[backlog_habiles]]&gt;p_dias_backlog_min,tblOrdenes[[#This Row],[backlog_habiles]]&lt;=p_dias_backlog_max))</f>
        <v/>
      </c>
      <c r="AG1106" s="4" t="n"/>
      <c r="AH1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6" s="18">
        <f>IF(tblOrdenes[[#This Row],[orden]]="","",_xlfn.XLOOKUP(tblOrdenes[[#This Row],[id_operacion]],tblEjecucion[id_operacion],tblEjecucion[precio],0))</f>
        <v/>
      </c>
      <c r="AL1106" s="18">
        <f>IF(tblOrdenes[[#This Row],[orden]]="","",MAX(0,_xlfn.XLOOKUP(tblOrdenes[[#This Row],[id_operacion]],tblEjecucion[id_operacion],tblEjecucion[costo_plan_total],0)-tblOrdenes[[#This Row],[costo_servicio]]))</f>
        <v/>
      </c>
      <c r="AM1106" s="18">
        <f>IF(tblOrdenes[[#This Row],[orden]]="","",tblOrdenes[[#This Row],[costo_servicio]]+tblOrdenes[[#This Row],[costo_materiales]])</f>
        <v/>
      </c>
      <c r="AN1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6" s="4" t="n"/>
      <c r="AP1106" s="4" t="n"/>
      <c r="AQ1106" s="4" t="n"/>
      <c r="AR1106" s="5">
        <f>IF(tblOrdenes[[#This Row],[link_checklist]]="","",HYPERLINK(p_ruta_base_checklists&amp;tblOrdenes[[#This Row],[link_checklist]],"abrir"))</f>
        <v/>
      </c>
      <c r="AS1106" s="4" t="n"/>
      <c r="AT1106" s="5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22" t="n"/>
      <c r="K1107" s="5" t="n"/>
      <c r="L1107" s="18" t="n"/>
      <c r="M1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5">
        <f>IF(tblOrdenes[[#This Row],[fecha_inicio]]="","",YEAR(tblOrdenes[[#This Row],[fecha_inicio]]))</f>
        <v/>
      </c>
      <c r="Q1107" s="5">
        <f>IF(tblOrdenes[[#This Row],[fecha_inicio]]="","",MONTH(tblOrdenes[[#This Row],[fecha_inicio]]))</f>
        <v/>
      </c>
      <c r="R1107" s="5">
        <f>IF(tblOrdenes[[#This Row],[fecha_inicio]]="","",tblOrdenes[[#This Row],[anio]]&amp;"-"&amp;TEXT(tblOrdenes[[#This Row],[mes]],"00"))</f>
        <v/>
      </c>
      <c r="S1107" s="5">
        <f>IF(tblOrdenes[[#This Row],[fecha_inicio]]="","",INDEX(lista_dias,WEEKDAY(tblOrdenes[[#This Row],[fecha_inicio]],2)))</f>
        <v/>
      </c>
      <c r="T1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7" s="5">
        <f>IF(tblOrdenes[[#This Row],[tipo_ot]]="","",_xlfn.XLOOKUP(tblOrdenes[[#This Row],[tipo_ot]],tblTiposOT[codigo],tblTiposOT[clasificacion],"sin_clasificar"))</f>
        <v/>
      </c>
      <c r="V11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7" s="5">
        <f>IF(tblOrdenes[[#This Row],[centro_costo]]="","",_xlfn.XLOOKUP(tblOrdenes[[#This Row],[centro_costo]],tblCECO[codigo],tblCECO[linea],"(sin catálogo)"))</f>
        <v/>
      </c>
      <c r="X1107" s="5">
        <f>IF(tblOrdenes[[#This Row],[centro_costo]]="","",_xlfn.XLOOKUP(tblOrdenes[[#This Row],[centro_costo]],tblCECO[codigo],tblCECO[area],"(sin catálogo)"))</f>
        <v/>
      </c>
      <c r="Y1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7" s="5">
        <f>IF(tblOrdenes[[#This Row],[centro_costo]]="","",_xlfn.XLOOKUP(tblOrdenes[[#This Row],[centro_costo]],tblCECO[codigo],tblCECO[coordinador],"(sin catálogo)"))</f>
        <v/>
      </c>
      <c r="AA1107" s="5">
        <f>IF(tblOrdenes[[#This Row],[puesto_trabajo]]="","",_xlfn.XLOOKUP(tblOrdenes[[#This Row],[puesto_trabajo]],tblPuestos[codigo],tblPuestos[especialidad],"(sin catálogo)"))</f>
        <v/>
      </c>
      <c r="AB1107" s="5">
        <f>IF(tblOrdenes[[#This Row],[cod_actividad]]="","",_xlfn.XLOOKUP(tblOrdenes[[#This Row],[cod_actividad]],tblActividades[codigo],tblActividades[descripcion],"(sin catálogo)"))</f>
        <v/>
      </c>
      <c r="AC1107" s="20">
        <f>IF(tblOrdenes[[#This Row],[fecha_inicio]]="","",TODAY()-tblOrdenes[[#This Row],[fecha_inicio]])</f>
        <v/>
      </c>
      <c r="AD110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7" s="5">
        <f>IF(tblOrdenes[[#This Row],[backlog_habiles]]="","",IF(tblOrdenes[[#This Row],[backlog_habiles]]&lt;0,"FUTURO",IF(tblOrdenes[[#This Row],[backlog_habiles]]&gt;p_dias_backlog_max,"BACKLOG","MES CORRIENTE")))</f>
        <v/>
      </c>
      <c r="AF1107" s="5">
        <f>IF(tblOrdenes[[#This Row],[backlog_habiles]]="",FALSE,AND(tblOrdenes[[#This Row],[backlog_habiles]]&gt;p_dias_backlog_min,tblOrdenes[[#This Row],[backlog_habiles]]&lt;=p_dias_backlog_max))</f>
        <v/>
      </c>
      <c r="AG1107" s="4" t="n"/>
      <c r="AH1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7" s="18">
        <f>IF(tblOrdenes[[#This Row],[orden]]="","",_xlfn.XLOOKUP(tblOrdenes[[#This Row],[id_operacion]],tblEjecucion[id_operacion],tblEjecucion[precio],0))</f>
        <v/>
      </c>
      <c r="AL1107" s="18">
        <f>IF(tblOrdenes[[#This Row],[orden]]="","",MAX(0,_xlfn.XLOOKUP(tblOrdenes[[#This Row],[id_operacion]],tblEjecucion[id_operacion],tblEjecucion[costo_plan_total],0)-tblOrdenes[[#This Row],[costo_servicio]]))</f>
        <v/>
      </c>
      <c r="AM1107" s="18">
        <f>IF(tblOrdenes[[#This Row],[orden]]="","",tblOrdenes[[#This Row],[costo_servicio]]+tblOrdenes[[#This Row],[costo_materiales]])</f>
        <v/>
      </c>
      <c r="AN1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7" s="4" t="n"/>
      <c r="AP1107" s="4" t="n"/>
      <c r="AQ1107" s="4" t="n"/>
      <c r="AR1107" s="5">
        <f>IF(tblOrdenes[[#This Row],[link_checklist]]="","",HYPERLINK(p_ruta_base_checklists&amp;tblOrdenes[[#This Row],[link_checklist]],"abrir"))</f>
        <v/>
      </c>
      <c r="AS1107" s="4" t="n"/>
      <c r="AT1107" s="5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22" t="n"/>
      <c r="K1108" s="5" t="n"/>
      <c r="L1108" s="18" t="n"/>
      <c r="M1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5">
        <f>IF(tblOrdenes[[#This Row],[fecha_inicio]]="","",YEAR(tblOrdenes[[#This Row],[fecha_inicio]]))</f>
        <v/>
      </c>
      <c r="Q1108" s="5">
        <f>IF(tblOrdenes[[#This Row],[fecha_inicio]]="","",MONTH(tblOrdenes[[#This Row],[fecha_inicio]]))</f>
        <v/>
      </c>
      <c r="R1108" s="5">
        <f>IF(tblOrdenes[[#This Row],[fecha_inicio]]="","",tblOrdenes[[#This Row],[anio]]&amp;"-"&amp;TEXT(tblOrdenes[[#This Row],[mes]],"00"))</f>
        <v/>
      </c>
      <c r="S1108" s="5">
        <f>IF(tblOrdenes[[#This Row],[fecha_inicio]]="","",INDEX(lista_dias,WEEKDAY(tblOrdenes[[#This Row],[fecha_inicio]],2)))</f>
        <v/>
      </c>
      <c r="T1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8" s="5">
        <f>IF(tblOrdenes[[#This Row],[tipo_ot]]="","",_xlfn.XLOOKUP(tblOrdenes[[#This Row],[tipo_ot]],tblTiposOT[codigo],tblTiposOT[clasificacion],"sin_clasificar"))</f>
        <v/>
      </c>
      <c r="V11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8" s="5">
        <f>IF(tblOrdenes[[#This Row],[centro_costo]]="","",_xlfn.XLOOKUP(tblOrdenes[[#This Row],[centro_costo]],tblCECO[codigo],tblCECO[linea],"(sin catálogo)"))</f>
        <v/>
      </c>
      <c r="X1108" s="5">
        <f>IF(tblOrdenes[[#This Row],[centro_costo]]="","",_xlfn.XLOOKUP(tblOrdenes[[#This Row],[centro_costo]],tblCECO[codigo],tblCECO[area],"(sin catálogo)"))</f>
        <v/>
      </c>
      <c r="Y1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8" s="5">
        <f>IF(tblOrdenes[[#This Row],[centro_costo]]="","",_xlfn.XLOOKUP(tblOrdenes[[#This Row],[centro_costo]],tblCECO[codigo],tblCECO[coordinador],"(sin catálogo)"))</f>
        <v/>
      </c>
      <c r="AA1108" s="5">
        <f>IF(tblOrdenes[[#This Row],[puesto_trabajo]]="","",_xlfn.XLOOKUP(tblOrdenes[[#This Row],[puesto_trabajo]],tblPuestos[codigo],tblPuestos[especialidad],"(sin catálogo)"))</f>
        <v/>
      </c>
      <c r="AB1108" s="5">
        <f>IF(tblOrdenes[[#This Row],[cod_actividad]]="","",_xlfn.XLOOKUP(tblOrdenes[[#This Row],[cod_actividad]],tblActividades[codigo],tblActividades[descripcion],"(sin catálogo)"))</f>
        <v/>
      </c>
      <c r="AC1108" s="20">
        <f>IF(tblOrdenes[[#This Row],[fecha_inicio]]="","",TODAY()-tblOrdenes[[#This Row],[fecha_inicio]])</f>
        <v/>
      </c>
      <c r="AD110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8" s="5">
        <f>IF(tblOrdenes[[#This Row],[backlog_habiles]]="","",IF(tblOrdenes[[#This Row],[backlog_habiles]]&lt;0,"FUTURO",IF(tblOrdenes[[#This Row],[backlog_habiles]]&gt;p_dias_backlog_max,"BACKLOG","MES CORRIENTE")))</f>
        <v/>
      </c>
      <c r="AF1108" s="5">
        <f>IF(tblOrdenes[[#This Row],[backlog_habiles]]="",FALSE,AND(tblOrdenes[[#This Row],[backlog_habiles]]&gt;p_dias_backlog_min,tblOrdenes[[#This Row],[backlog_habiles]]&lt;=p_dias_backlog_max))</f>
        <v/>
      </c>
      <c r="AG1108" s="4" t="n"/>
      <c r="AH1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8" s="18">
        <f>IF(tblOrdenes[[#This Row],[orden]]="","",_xlfn.XLOOKUP(tblOrdenes[[#This Row],[id_operacion]],tblEjecucion[id_operacion],tblEjecucion[precio],0))</f>
        <v/>
      </c>
      <c r="AL1108" s="18">
        <f>IF(tblOrdenes[[#This Row],[orden]]="","",MAX(0,_xlfn.XLOOKUP(tblOrdenes[[#This Row],[id_operacion]],tblEjecucion[id_operacion],tblEjecucion[costo_plan_total],0)-tblOrdenes[[#This Row],[costo_servicio]]))</f>
        <v/>
      </c>
      <c r="AM1108" s="18">
        <f>IF(tblOrdenes[[#This Row],[orden]]="","",tblOrdenes[[#This Row],[costo_servicio]]+tblOrdenes[[#This Row],[costo_materiales]])</f>
        <v/>
      </c>
      <c r="AN1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8" s="4" t="n"/>
      <c r="AP1108" s="4" t="n"/>
      <c r="AQ1108" s="4" t="n"/>
      <c r="AR1108" s="5">
        <f>IF(tblOrdenes[[#This Row],[link_checklist]]="","",HYPERLINK(p_ruta_base_checklists&amp;tblOrdenes[[#This Row],[link_checklist]],"abrir"))</f>
        <v/>
      </c>
      <c r="AS1108" s="4" t="n"/>
      <c r="AT1108" s="5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22" t="n"/>
      <c r="K1109" s="5" t="n"/>
      <c r="L1109" s="18" t="n"/>
      <c r="M1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5">
        <f>IF(tblOrdenes[[#This Row],[fecha_inicio]]="","",YEAR(tblOrdenes[[#This Row],[fecha_inicio]]))</f>
        <v/>
      </c>
      <c r="Q1109" s="5">
        <f>IF(tblOrdenes[[#This Row],[fecha_inicio]]="","",MONTH(tblOrdenes[[#This Row],[fecha_inicio]]))</f>
        <v/>
      </c>
      <c r="R1109" s="5">
        <f>IF(tblOrdenes[[#This Row],[fecha_inicio]]="","",tblOrdenes[[#This Row],[anio]]&amp;"-"&amp;TEXT(tblOrdenes[[#This Row],[mes]],"00"))</f>
        <v/>
      </c>
      <c r="S1109" s="5">
        <f>IF(tblOrdenes[[#This Row],[fecha_inicio]]="","",INDEX(lista_dias,WEEKDAY(tblOrdenes[[#This Row],[fecha_inicio]],2)))</f>
        <v/>
      </c>
      <c r="T1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9" s="5">
        <f>IF(tblOrdenes[[#This Row],[tipo_ot]]="","",_xlfn.XLOOKUP(tblOrdenes[[#This Row],[tipo_ot]],tblTiposOT[codigo],tblTiposOT[clasificacion],"sin_clasificar"))</f>
        <v/>
      </c>
      <c r="V11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9" s="5">
        <f>IF(tblOrdenes[[#This Row],[centro_costo]]="","",_xlfn.XLOOKUP(tblOrdenes[[#This Row],[centro_costo]],tblCECO[codigo],tblCECO[linea],"(sin catálogo)"))</f>
        <v/>
      </c>
      <c r="X1109" s="5">
        <f>IF(tblOrdenes[[#This Row],[centro_costo]]="","",_xlfn.XLOOKUP(tblOrdenes[[#This Row],[centro_costo]],tblCECO[codigo],tblCECO[area],"(sin catálogo)"))</f>
        <v/>
      </c>
      <c r="Y1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09" s="5">
        <f>IF(tblOrdenes[[#This Row],[centro_costo]]="","",_xlfn.XLOOKUP(tblOrdenes[[#This Row],[centro_costo]],tblCECO[codigo],tblCECO[coordinador],"(sin catálogo)"))</f>
        <v/>
      </c>
      <c r="AA1109" s="5">
        <f>IF(tblOrdenes[[#This Row],[puesto_trabajo]]="","",_xlfn.XLOOKUP(tblOrdenes[[#This Row],[puesto_trabajo]],tblPuestos[codigo],tblPuestos[especialidad],"(sin catálogo)"))</f>
        <v/>
      </c>
      <c r="AB1109" s="5">
        <f>IF(tblOrdenes[[#This Row],[cod_actividad]]="","",_xlfn.XLOOKUP(tblOrdenes[[#This Row],[cod_actividad]],tblActividades[codigo],tblActividades[descripcion],"(sin catálogo)"))</f>
        <v/>
      </c>
      <c r="AC1109" s="20">
        <f>IF(tblOrdenes[[#This Row],[fecha_inicio]]="","",TODAY()-tblOrdenes[[#This Row],[fecha_inicio]])</f>
        <v/>
      </c>
      <c r="AD110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09" s="5">
        <f>IF(tblOrdenes[[#This Row],[backlog_habiles]]="","",IF(tblOrdenes[[#This Row],[backlog_habiles]]&lt;0,"FUTURO",IF(tblOrdenes[[#This Row],[backlog_habiles]]&gt;p_dias_backlog_max,"BACKLOG","MES CORRIENTE")))</f>
        <v/>
      </c>
      <c r="AF1109" s="5">
        <f>IF(tblOrdenes[[#This Row],[backlog_habiles]]="",FALSE,AND(tblOrdenes[[#This Row],[backlog_habiles]]&gt;p_dias_backlog_min,tblOrdenes[[#This Row],[backlog_habiles]]&lt;=p_dias_backlog_max))</f>
        <v/>
      </c>
      <c r="AG1109" s="4" t="n"/>
      <c r="AH1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0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0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09" s="18">
        <f>IF(tblOrdenes[[#This Row],[orden]]="","",_xlfn.XLOOKUP(tblOrdenes[[#This Row],[id_operacion]],tblEjecucion[id_operacion],tblEjecucion[precio],0))</f>
        <v/>
      </c>
      <c r="AL1109" s="18">
        <f>IF(tblOrdenes[[#This Row],[orden]]="","",MAX(0,_xlfn.XLOOKUP(tblOrdenes[[#This Row],[id_operacion]],tblEjecucion[id_operacion],tblEjecucion[costo_plan_total],0)-tblOrdenes[[#This Row],[costo_servicio]]))</f>
        <v/>
      </c>
      <c r="AM1109" s="18">
        <f>IF(tblOrdenes[[#This Row],[orden]]="","",tblOrdenes[[#This Row],[costo_servicio]]+tblOrdenes[[#This Row],[costo_materiales]])</f>
        <v/>
      </c>
      <c r="AN1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09" s="4" t="n"/>
      <c r="AP1109" s="4" t="n"/>
      <c r="AQ1109" s="4" t="n"/>
      <c r="AR1109" s="5">
        <f>IF(tblOrdenes[[#This Row],[link_checklist]]="","",HYPERLINK(p_ruta_base_checklists&amp;tblOrdenes[[#This Row],[link_checklist]],"abrir"))</f>
        <v/>
      </c>
      <c r="AS1109" s="4" t="n"/>
      <c r="AT1109" s="5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22" t="n"/>
      <c r="K1110" s="5" t="n"/>
      <c r="L1110" s="18" t="n"/>
      <c r="M1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5">
        <f>IF(tblOrdenes[[#This Row],[fecha_inicio]]="","",YEAR(tblOrdenes[[#This Row],[fecha_inicio]]))</f>
        <v/>
      </c>
      <c r="Q1110" s="5">
        <f>IF(tblOrdenes[[#This Row],[fecha_inicio]]="","",MONTH(tblOrdenes[[#This Row],[fecha_inicio]]))</f>
        <v/>
      </c>
      <c r="R1110" s="5">
        <f>IF(tblOrdenes[[#This Row],[fecha_inicio]]="","",tblOrdenes[[#This Row],[anio]]&amp;"-"&amp;TEXT(tblOrdenes[[#This Row],[mes]],"00"))</f>
        <v/>
      </c>
      <c r="S1110" s="5">
        <f>IF(tblOrdenes[[#This Row],[fecha_inicio]]="","",INDEX(lista_dias,WEEKDAY(tblOrdenes[[#This Row],[fecha_inicio]],2)))</f>
        <v/>
      </c>
      <c r="T1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0" s="5">
        <f>IF(tblOrdenes[[#This Row],[tipo_ot]]="","",_xlfn.XLOOKUP(tblOrdenes[[#This Row],[tipo_ot]],tblTiposOT[codigo],tblTiposOT[clasificacion],"sin_clasificar"))</f>
        <v/>
      </c>
      <c r="V11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0" s="5">
        <f>IF(tblOrdenes[[#This Row],[centro_costo]]="","",_xlfn.XLOOKUP(tblOrdenes[[#This Row],[centro_costo]],tblCECO[codigo],tblCECO[linea],"(sin catálogo)"))</f>
        <v/>
      </c>
      <c r="X1110" s="5">
        <f>IF(tblOrdenes[[#This Row],[centro_costo]]="","",_xlfn.XLOOKUP(tblOrdenes[[#This Row],[centro_costo]],tblCECO[codigo],tblCECO[area],"(sin catálogo)"))</f>
        <v/>
      </c>
      <c r="Y1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0" s="5">
        <f>IF(tblOrdenes[[#This Row],[centro_costo]]="","",_xlfn.XLOOKUP(tblOrdenes[[#This Row],[centro_costo]],tblCECO[codigo],tblCECO[coordinador],"(sin catálogo)"))</f>
        <v/>
      </c>
      <c r="AA1110" s="5">
        <f>IF(tblOrdenes[[#This Row],[puesto_trabajo]]="","",_xlfn.XLOOKUP(tblOrdenes[[#This Row],[puesto_trabajo]],tblPuestos[codigo],tblPuestos[especialidad],"(sin catálogo)"))</f>
        <v/>
      </c>
      <c r="AB1110" s="5">
        <f>IF(tblOrdenes[[#This Row],[cod_actividad]]="","",_xlfn.XLOOKUP(tblOrdenes[[#This Row],[cod_actividad]],tblActividades[codigo],tblActividades[descripcion],"(sin catálogo)"))</f>
        <v/>
      </c>
      <c r="AC1110" s="20">
        <f>IF(tblOrdenes[[#This Row],[fecha_inicio]]="","",TODAY()-tblOrdenes[[#This Row],[fecha_inicio]])</f>
        <v/>
      </c>
      <c r="AD111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0" s="5">
        <f>IF(tblOrdenes[[#This Row],[backlog_habiles]]="","",IF(tblOrdenes[[#This Row],[backlog_habiles]]&lt;0,"FUTURO",IF(tblOrdenes[[#This Row],[backlog_habiles]]&gt;p_dias_backlog_max,"BACKLOG","MES CORRIENTE")))</f>
        <v/>
      </c>
      <c r="AF1110" s="5">
        <f>IF(tblOrdenes[[#This Row],[backlog_habiles]]="",FALSE,AND(tblOrdenes[[#This Row],[backlog_habiles]]&gt;p_dias_backlog_min,tblOrdenes[[#This Row],[backlog_habiles]]&lt;=p_dias_backlog_max))</f>
        <v/>
      </c>
      <c r="AG1110" s="4" t="n"/>
      <c r="AH1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0" s="18">
        <f>IF(tblOrdenes[[#This Row],[orden]]="","",_xlfn.XLOOKUP(tblOrdenes[[#This Row],[id_operacion]],tblEjecucion[id_operacion],tblEjecucion[precio],0))</f>
        <v/>
      </c>
      <c r="AL1110" s="18">
        <f>IF(tblOrdenes[[#This Row],[orden]]="","",MAX(0,_xlfn.XLOOKUP(tblOrdenes[[#This Row],[id_operacion]],tblEjecucion[id_operacion],tblEjecucion[costo_plan_total],0)-tblOrdenes[[#This Row],[costo_servicio]]))</f>
        <v/>
      </c>
      <c r="AM1110" s="18">
        <f>IF(tblOrdenes[[#This Row],[orden]]="","",tblOrdenes[[#This Row],[costo_servicio]]+tblOrdenes[[#This Row],[costo_materiales]])</f>
        <v/>
      </c>
      <c r="AN1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0" s="4" t="n"/>
      <c r="AP1110" s="4" t="n"/>
      <c r="AQ1110" s="4" t="n"/>
      <c r="AR1110" s="5">
        <f>IF(tblOrdenes[[#This Row],[link_checklist]]="","",HYPERLINK(p_ruta_base_checklists&amp;tblOrdenes[[#This Row],[link_checklist]],"abrir"))</f>
        <v/>
      </c>
      <c r="AS1110" s="4" t="n"/>
      <c r="AT1110" s="5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22" t="n"/>
      <c r="K1111" s="5" t="n"/>
      <c r="L1111" s="18" t="n"/>
      <c r="M1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5">
        <f>IF(tblOrdenes[[#This Row],[fecha_inicio]]="","",YEAR(tblOrdenes[[#This Row],[fecha_inicio]]))</f>
        <v/>
      </c>
      <c r="Q1111" s="5">
        <f>IF(tblOrdenes[[#This Row],[fecha_inicio]]="","",MONTH(tblOrdenes[[#This Row],[fecha_inicio]]))</f>
        <v/>
      </c>
      <c r="R1111" s="5">
        <f>IF(tblOrdenes[[#This Row],[fecha_inicio]]="","",tblOrdenes[[#This Row],[anio]]&amp;"-"&amp;TEXT(tblOrdenes[[#This Row],[mes]],"00"))</f>
        <v/>
      </c>
      <c r="S1111" s="5">
        <f>IF(tblOrdenes[[#This Row],[fecha_inicio]]="","",INDEX(lista_dias,WEEKDAY(tblOrdenes[[#This Row],[fecha_inicio]],2)))</f>
        <v/>
      </c>
      <c r="T1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1" s="5">
        <f>IF(tblOrdenes[[#This Row],[tipo_ot]]="","",_xlfn.XLOOKUP(tblOrdenes[[#This Row],[tipo_ot]],tblTiposOT[codigo],tblTiposOT[clasificacion],"sin_clasificar"))</f>
        <v/>
      </c>
      <c r="V11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1" s="5">
        <f>IF(tblOrdenes[[#This Row],[centro_costo]]="","",_xlfn.XLOOKUP(tblOrdenes[[#This Row],[centro_costo]],tblCECO[codigo],tblCECO[linea],"(sin catálogo)"))</f>
        <v/>
      </c>
      <c r="X1111" s="5">
        <f>IF(tblOrdenes[[#This Row],[centro_costo]]="","",_xlfn.XLOOKUP(tblOrdenes[[#This Row],[centro_costo]],tblCECO[codigo],tblCECO[area],"(sin catálogo)"))</f>
        <v/>
      </c>
      <c r="Y1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1" s="5">
        <f>IF(tblOrdenes[[#This Row],[centro_costo]]="","",_xlfn.XLOOKUP(tblOrdenes[[#This Row],[centro_costo]],tblCECO[codigo],tblCECO[coordinador],"(sin catálogo)"))</f>
        <v/>
      </c>
      <c r="AA1111" s="5">
        <f>IF(tblOrdenes[[#This Row],[puesto_trabajo]]="","",_xlfn.XLOOKUP(tblOrdenes[[#This Row],[puesto_trabajo]],tblPuestos[codigo],tblPuestos[especialidad],"(sin catálogo)"))</f>
        <v/>
      </c>
      <c r="AB1111" s="5">
        <f>IF(tblOrdenes[[#This Row],[cod_actividad]]="","",_xlfn.XLOOKUP(tblOrdenes[[#This Row],[cod_actividad]],tblActividades[codigo],tblActividades[descripcion],"(sin catálogo)"))</f>
        <v/>
      </c>
      <c r="AC1111" s="20">
        <f>IF(tblOrdenes[[#This Row],[fecha_inicio]]="","",TODAY()-tblOrdenes[[#This Row],[fecha_inicio]])</f>
        <v/>
      </c>
      <c r="AD111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1" s="5">
        <f>IF(tblOrdenes[[#This Row],[backlog_habiles]]="","",IF(tblOrdenes[[#This Row],[backlog_habiles]]&lt;0,"FUTURO",IF(tblOrdenes[[#This Row],[backlog_habiles]]&gt;p_dias_backlog_max,"BACKLOG","MES CORRIENTE")))</f>
        <v/>
      </c>
      <c r="AF1111" s="5">
        <f>IF(tblOrdenes[[#This Row],[backlog_habiles]]="",FALSE,AND(tblOrdenes[[#This Row],[backlog_habiles]]&gt;p_dias_backlog_min,tblOrdenes[[#This Row],[backlog_habiles]]&lt;=p_dias_backlog_max))</f>
        <v/>
      </c>
      <c r="AG1111" s="4" t="n"/>
      <c r="AH1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1" s="18">
        <f>IF(tblOrdenes[[#This Row],[orden]]="","",_xlfn.XLOOKUP(tblOrdenes[[#This Row],[id_operacion]],tblEjecucion[id_operacion],tblEjecucion[precio],0))</f>
        <v/>
      </c>
      <c r="AL1111" s="18">
        <f>IF(tblOrdenes[[#This Row],[orden]]="","",MAX(0,_xlfn.XLOOKUP(tblOrdenes[[#This Row],[id_operacion]],tblEjecucion[id_operacion],tblEjecucion[costo_plan_total],0)-tblOrdenes[[#This Row],[costo_servicio]]))</f>
        <v/>
      </c>
      <c r="AM1111" s="18">
        <f>IF(tblOrdenes[[#This Row],[orden]]="","",tblOrdenes[[#This Row],[costo_servicio]]+tblOrdenes[[#This Row],[costo_materiales]])</f>
        <v/>
      </c>
      <c r="AN1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1" s="4" t="n"/>
      <c r="AP1111" s="4" t="n"/>
      <c r="AQ1111" s="4" t="n"/>
      <c r="AR1111" s="5">
        <f>IF(tblOrdenes[[#This Row],[link_checklist]]="","",HYPERLINK(p_ruta_base_checklists&amp;tblOrdenes[[#This Row],[link_checklist]],"abrir"))</f>
        <v/>
      </c>
      <c r="AS1111" s="4" t="n"/>
      <c r="AT1111" s="5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22" t="n"/>
      <c r="K1112" s="5" t="n"/>
      <c r="L1112" s="18" t="n"/>
      <c r="M1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5">
        <f>IF(tblOrdenes[[#This Row],[fecha_inicio]]="","",YEAR(tblOrdenes[[#This Row],[fecha_inicio]]))</f>
        <v/>
      </c>
      <c r="Q1112" s="5">
        <f>IF(tblOrdenes[[#This Row],[fecha_inicio]]="","",MONTH(tblOrdenes[[#This Row],[fecha_inicio]]))</f>
        <v/>
      </c>
      <c r="R1112" s="5">
        <f>IF(tblOrdenes[[#This Row],[fecha_inicio]]="","",tblOrdenes[[#This Row],[anio]]&amp;"-"&amp;TEXT(tblOrdenes[[#This Row],[mes]],"00"))</f>
        <v/>
      </c>
      <c r="S1112" s="5">
        <f>IF(tblOrdenes[[#This Row],[fecha_inicio]]="","",INDEX(lista_dias,WEEKDAY(tblOrdenes[[#This Row],[fecha_inicio]],2)))</f>
        <v/>
      </c>
      <c r="T1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2" s="5">
        <f>IF(tblOrdenes[[#This Row],[tipo_ot]]="","",_xlfn.XLOOKUP(tblOrdenes[[#This Row],[tipo_ot]],tblTiposOT[codigo],tblTiposOT[clasificacion],"sin_clasificar"))</f>
        <v/>
      </c>
      <c r="V11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2" s="5">
        <f>IF(tblOrdenes[[#This Row],[centro_costo]]="","",_xlfn.XLOOKUP(tblOrdenes[[#This Row],[centro_costo]],tblCECO[codigo],tblCECO[linea],"(sin catálogo)"))</f>
        <v/>
      </c>
      <c r="X1112" s="5">
        <f>IF(tblOrdenes[[#This Row],[centro_costo]]="","",_xlfn.XLOOKUP(tblOrdenes[[#This Row],[centro_costo]],tblCECO[codigo],tblCECO[area],"(sin catálogo)"))</f>
        <v/>
      </c>
      <c r="Y1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2" s="5">
        <f>IF(tblOrdenes[[#This Row],[centro_costo]]="","",_xlfn.XLOOKUP(tblOrdenes[[#This Row],[centro_costo]],tblCECO[codigo],tblCECO[coordinador],"(sin catálogo)"))</f>
        <v/>
      </c>
      <c r="AA1112" s="5">
        <f>IF(tblOrdenes[[#This Row],[puesto_trabajo]]="","",_xlfn.XLOOKUP(tblOrdenes[[#This Row],[puesto_trabajo]],tblPuestos[codigo],tblPuestos[especialidad],"(sin catálogo)"))</f>
        <v/>
      </c>
      <c r="AB1112" s="5">
        <f>IF(tblOrdenes[[#This Row],[cod_actividad]]="","",_xlfn.XLOOKUP(tblOrdenes[[#This Row],[cod_actividad]],tblActividades[codigo],tblActividades[descripcion],"(sin catálogo)"))</f>
        <v/>
      </c>
      <c r="AC1112" s="20">
        <f>IF(tblOrdenes[[#This Row],[fecha_inicio]]="","",TODAY()-tblOrdenes[[#This Row],[fecha_inicio]])</f>
        <v/>
      </c>
      <c r="AD111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2" s="5">
        <f>IF(tblOrdenes[[#This Row],[backlog_habiles]]="","",IF(tblOrdenes[[#This Row],[backlog_habiles]]&lt;0,"FUTURO",IF(tblOrdenes[[#This Row],[backlog_habiles]]&gt;p_dias_backlog_max,"BACKLOG","MES CORRIENTE")))</f>
        <v/>
      </c>
      <c r="AF1112" s="5">
        <f>IF(tblOrdenes[[#This Row],[backlog_habiles]]="",FALSE,AND(tblOrdenes[[#This Row],[backlog_habiles]]&gt;p_dias_backlog_min,tblOrdenes[[#This Row],[backlog_habiles]]&lt;=p_dias_backlog_max))</f>
        <v/>
      </c>
      <c r="AG1112" s="4" t="n"/>
      <c r="AH1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2" s="18">
        <f>IF(tblOrdenes[[#This Row],[orden]]="","",_xlfn.XLOOKUP(tblOrdenes[[#This Row],[id_operacion]],tblEjecucion[id_operacion],tblEjecucion[precio],0))</f>
        <v/>
      </c>
      <c r="AL1112" s="18">
        <f>IF(tblOrdenes[[#This Row],[orden]]="","",MAX(0,_xlfn.XLOOKUP(tblOrdenes[[#This Row],[id_operacion]],tblEjecucion[id_operacion],tblEjecucion[costo_plan_total],0)-tblOrdenes[[#This Row],[costo_servicio]]))</f>
        <v/>
      </c>
      <c r="AM1112" s="18">
        <f>IF(tblOrdenes[[#This Row],[orden]]="","",tblOrdenes[[#This Row],[costo_servicio]]+tblOrdenes[[#This Row],[costo_materiales]])</f>
        <v/>
      </c>
      <c r="AN1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2" s="4" t="n"/>
      <c r="AP1112" s="4" t="n"/>
      <c r="AQ1112" s="4" t="n"/>
      <c r="AR1112" s="5">
        <f>IF(tblOrdenes[[#This Row],[link_checklist]]="","",HYPERLINK(p_ruta_base_checklists&amp;tblOrdenes[[#This Row],[link_checklist]],"abrir"))</f>
        <v/>
      </c>
      <c r="AS1112" s="4" t="n"/>
      <c r="AT1112" s="5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22" t="n"/>
      <c r="K1113" s="5" t="n"/>
      <c r="L1113" s="18" t="n"/>
      <c r="M1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5">
        <f>IF(tblOrdenes[[#This Row],[fecha_inicio]]="","",YEAR(tblOrdenes[[#This Row],[fecha_inicio]]))</f>
        <v/>
      </c>
      <c r="Q1113" s="5">
        <f>IF(tblOrdenes[[#This Row],[fecha_inicio]]="","",MONTH(tblOrdenes[[#This Row],[fecha_inicio]]))</f>
        <v/>
      </c>
      <c r="R1113" s="5">
        <f>IF(tblOrdenes[[#This Row],[fecha_inicio]]="","",tblOrdenes[[#This Row],[anio]]&amp;"-"&amp;TEXT(tblOrdenes[[#This Row],[mes]],"00"))</f>
        <v/>
      </c>
      <c r="S1113" s="5">
        <f>IF(tblOrdenes[[#This Row],[fecha_inicio]]="","",INDEX(lista_dias,WEEKDAY(tblOrdenes[[#This Row],[fecha_inicio]],2)))</f>
        <v/>
      </c>
      <c r="T1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3" s="5">
        <f>IF(tblOrdenes[[#This Row],[tipo_ot]]="","",_xlfn.XLOOKUP(tblOrdenes[[#This Row],[tipo_ot]],tblTiposOT[codigo],tblTiposOT[clasificacion],"sin_clasificar"))</f>
        <v/>
      </c>
      <c r="V11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3" s="5">
        <f>IF(tblOrdenes[[#This Row],[centro_costo]]="","",_xlfn.XLOOKUP(tblOrdenes[[#This Row],[centro_costo]],tblCECO[codigo],tblCECO[linea],"(sin catálogo)"))</f>
        <v/>
      </c>
      <c r="X1113" s="5">
        <f>IF(tblOrdenes[[#This Row],[centro_costo]]="","",_xlfn.XLOOKUP(tblOrdenes[[#This Row],[centro_costo]],tblCECO[codigo],tblCECO[area],"(sin catálogo)"))</f>
        <v/>
      </c>
      <c r="Y1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3" s="5">
        <f>IF(tblOrdenes[[#This Row],[centro_costo]]="","",_xlfn.XLOOKUP(tblOrdenes[[#This Row],[centro_costo]],tblCECO[codigo],tblCECO[coordinador],"(sin catálogo)"))</f>
        <v/>
      </c>
      <c r="AA1113" s="5">
        <f>IF(tblOrdenes[[#This Row],[puesto_trabajo]]="","",_xlfn.XLOOKUP(tblOrdenes[[#This Row],[puesto_trabajo]],tblPuestos[codigo],tblPuestos[especialidad],"(sin catálogo)"))</f>
        <v/>
      </c>
      <c r="AB1113" s="5">
        <f>IF(tblOrdenes[[#This Row],[cod_actividad]]="","",_xlfn.XLOOKUP(tblOrdenes[[#This Row],[cod_actividad]],tblActividades[codigo],tblActividades[descripcion],"(sin catálogo)"))</f>
        <v/>
      </c>
      <c r="AC1113" s="20">
        <f>IF(tblOrdenes[[#This Row],[fecha_inicio]]="","",TODAY()-tblOrdenes[[#This Row],[fecha_inicio]])</f>
        <v/>
      </c>
      <c r="AD111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3" s="5">
        <f>IF(tblOrdenes[[#This Row],[backlog_habiles]]="","",IF(tblOrdenes[[#This Row],[backlog_habiles]]&lt;0,"FUTURO",IF(tblOrdenes[[#This Row],[backlog_habiles]]&gt;p_dias_backlog_max,"BACKLOG","MES CORRIENTE")))</f>
        <v/>
      </c>
      <c r="AF1113" s="5">
        <f>IF(tblOrdenes[[#This Row],[backlog_habiles]]="",FALSE,AND(tblOrdenes[[#This Row],[backlog_habiles]]&gt;p_dias_backlog_min,tblOrdenes[[#This Row],[backlog_habiles]]&lt;=p_dias_backlog_max))</f>
        <v/>
      </c>
      <c r="AG1113" s="4" t="n"/>
      <c r="AH1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3" s="18">
        <f>IF(tblOrdenes[[#This Row],[orden]]="","",_xlfn.XLOOKUP(tblOrdenes[[#This Row],[id_operacion]],tblEjecucion[id_operacion],tblEjecucion[precio],0))</f>
        <v/>
      </c>
      <c r="AL1113" s="18">
        <f>IF(tblOrdenes[[#This Row],[orden]]="","",MAX(0,_xlfn.XLOOKUP(tblOrdenes[[#This Row],[id_operacion]],tblEjecucion[id_operacion],tblEjecucion[costo_plan_total],0)-tblOrdenes[[#This Row],[costo_servicio]]))</f>
        <v/>
      </c>
      <c r="AM1113" s="18">
        <f>IF(tblOrdenes[[#This Row],[orden]]="","",tblOrdenes[[#This Row],[costo_servicio]]+tblOrdenes[[#This Row],[costo_materiales]])</f>
        <v/>
      </c>
      <c r="AN1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3" s="4" t="n"/>
      <c r="AP1113" s="4" t="n"/>
      <c r="AQ1113" s="4" t="n"/>
      <c r="AR1113" s="5">
        <f>IF(tblOrdenes[[#This Row],[link_checklist]]="","",HYPERLINK(p_ruta_base_checklists&amp;tblOrdenes[[#This Row],[link_checklist]],"abrir"))</f>
        <v/>
      </c>
      <c r="AS1113" s="4" t="n"/>
      <c r="AT1113" s="5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22" t="n"/>
      <c r="K1114" s="5" t="n"/>
      <c r="L1114" s="18" t="n"/>
      <c r="M1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5">
        <f>IF(tblOrdenes[[#This Row],[fecha_inicio]]="","",YEAR(tblOrdenes[[#This Row],[fecha_inicio]]))</f>
        <v/>
      </c>
      <c r="Q1114" s="5">
        <f>IF(tblOrdenes[[#This Row],[fecha_inicio]]="","",MONTH(tblOrdenes[[#This Row],[fecha_inicio]]))</f>
        <v/>
      </c>
      <c r="R1114" s="5">
        <f>IF(tblOrdenes[[#This Row],[fecha_inicio]]="","",tblOrdenes[[#This Row],[anio]]&amp;"-"&amp;TEXT(tblOrdenes[[#This Row],[mes]],"00"))</f>
        <v/>
      </c>
      <c r="S1114" s="5">
        <f>IF(tblOrdenes[[#This Row],[fecha_inicio]]="","",INDEX(lista_dias,WEEKDAY(tblOrdenes[[#This Row],[fecha_inicio]],2)))</f>
        <v/>
      </c>
      <c r="T1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4" s="5">
        <f>IF(tblOrdenes[[#This Row],[tipo_ot]]="","",_xlfn.XLOOKUP(tblOrdenes[[#This Row],[tipo_ot]],tblTiposOT[codigo],tblTiposOT[clasificacion],"sin_clasificar"))</f>
        <v/>
      </c>
      <c r="V11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4" s="5">
        <f>IF(tblOrdenes[[#This Row],[centro_costo]]="","",_xlfn.XLOOKUP(tblOrdenes[[#This Row],[centro_costo]],tblCECO[codigo],tblCECO[linea],"(sin catálogo)"))</f>
        <v/>
      </c>
      <c r="X1114" s="5">
        <f>IF(tblOrdenes[[#This Row],[centro_costo]]="","",_xlfn.XLOOKUP(tblOrdenes[[#This Row],[centro_costo]],tblCECO[codigo],tblCECO[area],"(sin catálogo)"))</f>
        <v/>
      </c>
      <c r="Y1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4" s="5">
        <f>IF(tblOrdenes[[#This Row],[centro_costo]]="","",_xlfn.XLOOKUP(tblOrdenes[[#This Row],[centro_costo]],tblCECO[codigo],tblCECO[coordinador],"(sin catálogo)"))</f>
        <v/>
      </c>
      <c r="AA1114" s="5">
        <f>IF(tblOrdenes[[#This Row],[puesto_trabajo]]="","",_xlfn.XLOOKUP(tblOrdenes[[#This Row],[puesto_trabajo]],tblPuestos[codigo],tblPuestos[especialidad],"(sin catálogo)"))</f>
        <v/>
      </c>
      <c r="AB1114" s="5">
        <f>IF(tblOrdenes[[#This Row],[cod_actividad]]="","",_xlfn.XLOOKUP(tblOrdenes[[#This Row],[cod_actividad]],tblActividades[codigo],tblActividades[descripcion],"(sin catálogo)"))</f>
        <v/>
      </c>
      <c r="AC1114" s="20">
        <f>IF(tblOrdenes[[#This Row],[fecha_inicio]]="","",TODAY()-tblOrdenes[[#This Row],[fecha_inicio]])</f>
        <v/>
      </c>
      <c r="AD111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4" s="5">
        <f>IF(tblOrdenes[[#This Row],[backlog_habiles]]="","",IF(tblOrdenes[[#This Row],[backlog_habiles]]&lt;0,"FUTURO",IF(tblOrdenes[[#This Row],[backlog_habiles]]&gt;p_dias_backlog_max,"BACKLOG","MES CORRIENTE")))</f>
        <v/>
      </c>
      <c r="AF1114" s="5">
        <f>IF(tblOrdenes[[#This Row],[backlog_habiles]]="",FALSE,AND(tblOrdenes[[#This Row],[backlog_habiles]]&gt;p_dias_backlog_min,tblOrdenes[[#This Row],[backlog_habiles]]&lt;=p_dias_backlog_max))</f>
        <v/>
      </c>
      <c r="AG1114" s="4" t="n"/>
      <c r="AH1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4" s="18">
        <f>IF(tblOrdenes[[#This Row],[orden]]="","",_xlfn.XLOOKUP(tblOrdenes[[#This Row],[id_operacion]],tblEjecucion[id_operacion],tblEjecucion[precio],0))</f>
        <v/>
      </c>
      <c r="AL1114" s="18">
        <f>IF(tblOrdenes[[#This Row],[orden]]="","",MAX(0,_xlfn.XLOOKUP(tblOrdenes[[#This Row],[id_operacion]],tblEjecucion[id_operacion],tblEjecucion[costo_plan_total],0)-tblOrdenes[[#This Row],[costo_servicio]]))</f>
        <v/>
      </c>
      <c r="AM1114" s="18">
        <f>IF(tblOrdenes[[#This Row],[orden]]="","",tblOrdenes[[#This Row],[costo_servicio]]+tblOrdenes[[#This Row],[costo_materiales]])</f>
        <v/>
      </c>
      <c r="AN1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4" s="4" t="n"/>
      <c r="AP1114" s="4" t="n"/>
      <c r="AQ1114" s="4" t="n"/>
      <c r="AR1114" s="5">
        <f>IF(tblOrdenes[[#This Row],[link_checklist]]="","",HYPERLINK(p_ruta_base_checklists&amp;tblOrdenes[[#This Row],[link_checklist]],"abrir"))</f>
        <v/>
      </c>
      <c r="AS1114" s="4" t="n"/>
      <c r="AT1114" s="5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22" t="n"/>
      <c r="K1115" s="5" t="n"/>
      <c r="L1115" s="18" t="n"/>
      <c r="M1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5">
        <f>IF(tblOrdenes[[#This Row],[fecha_inicio]]="","",YEAR(tblOrdenes[[#This Row],[fecha_inicio]]))</f>
        <v/>
      </c>
      <c r="Q1115" s="5">
        <f>IF(tblOrdenes[[#This Row],[fecha_inicio]]="","",MONTH(tblOrdenes[[#This Row],[fecha_inicio]]))</f>
        <v/>
      </c>
      <c r="R1115" s="5">
        <f>IF(tblOrdenes[[#This Row],[fecha_inicio]]="","",tblOrdenes[[#This Row],[anio]]&amp;"-"&amp;TEXT(tblOrdenes[[#This Row],[mes]],"00"))</f>
        <v/>
      </c>
      <c r="S1115" s="5">
        <f>IF(tblOrdenes[[#This Row],[fecha_inicio]]="","",INDEX(lista_dias,WEEKDAY(tblOrdenes[[#This Row],[fecha_inicio]],2)))</f>
        <v/>
      </c>
      <c r="T1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5" s="5">
        <f>IF(tblOrdenes[[#This Row],[tipo_ot]]="","",_xlfn.XLOOKUP(tblOrdenes[[#This Row],[tipo_ot]],tblTiposOT[codigo],tblTiposOT[clasificacion],"sin_clasificar"))</f>
        <v/>
      </c>
      <c r="V11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5" s="5">
        <f>IF(tblOrdenes[[#This Row],[centro_costo]]="","",_xlfn.XLOOKUP(tblOrdenes[[#This Row],[centro_costo]],tblCECO[codigo],tblCECO[linea],"(sin catálogo)"))</f>
        <v/>
      </c>
      <c r="X1115" s="5">
        <f>IF(tblOrdenes[[#This Row],[centro_costo]]="","",_xlfn.XLOOKUP(tblOrdenes[[#This Row],[centro_costo]],tblCECO[codigo],tblCECO[area],"(sin catálogo)"))</f>
        <v/>
      </c>
      <c r="Y1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5" s="5">
        <f>IF(tblOrdenes[[#This Row],[centro_costo]]="","",_xlfn.XLOOKUP(tblOrdenes[[#This Row],[centro_costo]],tblCECO[codigo],tblCECO[coordinador],"(sin catálogo)"))</f>
        <v/>
      </c>
      <c r="AA1115" s="5">
        <f>IF(tblOrdenes[[#This Row],[puesto_trabajo]]="","",_xlfn.XLOOKUP(tblOrdenes[[#This Row],[puesto_trabajo]],tblPuestos[codigo],tblPuestos[especialidad],"(sin catálogo)"))</f>
        <v/>
      </c>
      <c r="AB1115" s="5">
        <f>IF(tblOrdenes[[#This Row],[cod_actividad]]="","",_xlfn.XLOOKUP(tblOrdenes[[#This Row],[cod_actividad]],tblActividades[codigo],tblActividades[descripcion],"(sin catálogo)"))</f>
        <v/>
      </c>
      <c r="AC1115" s="20">
        <f>IF(tblOrdenes[[#This Row],[fecha_inicio]]="","",TODAY()-tblOrdenes[[#This Row],[fecha_inicio]])</f>
        <v/>
      </c>
      <c r="AD111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5" s="5">
        <f>IF(tblOrdenes[[#This Row],[backlog_habiles]]="","",IF(tblOrdenes[[#This Row],[backlog_habiles]]&lt;0,"FUTURO",IF(tblOrdenes[[#This Row],[backlog_habiles]]&gt;p_dias_backlog_max,"BACKLOG","MES CORRIENTE")))</f>
        <v/>
      </c>
      <c r="AF1115" s="5">
        <f>IF(tblOrdenes[[#This Row],[backlog_habiles]]="",FALSE,AND(tblOrdenes[[#This Row],[backlog_habiles]]&gt;p_dias_backlog_min,tblOrdenes[[#This Row],[backlog_habiles]]&lt;=p_dias_backlog_max))</f>
        <v/>
      </c>
      <c r="AG1115" s="4" t="n"/>
      <c r="AH1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5" s="18">
        <f>IF(tblOrdenes[[#This Row],[orden]]="","",_xlfn.XLOOKUP(tblOrdenes[[#This Row],[id_operacion]],tblEjecucion[id_operacion],tblEjecucion[precio],0))</f>
        <v/>
      </c>
      <c r="AL1115" s="18">
        <f>IF(tblOrdenes[[#This Row],[orden]]="","",MAX(0,_xlfn.XLOOKUP(tblOrdenes[[#This Row],[id_operacion]],tblEjecucion[id_operacion],tblEjecucion[costo_plan_total],0)-tblOrdenes[[#This Row],[costo_servicio]]))</f>
        <v/>
      </c>
      <c r="AM1115" s="18">
        <f>IF(tblOrdenes[[#This Row],[orden]]="","",tblOrdenes[[#This Row],[costo_servicio]]+tblOrdenes[[#This Row],[costo_materiales]])</f>
        <v/>
      </c>
      <c r="AN1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5" s="4" t="n"/>
      <c r="AP1115" s="4" t="n"/>
      <c r="AQ1115" s="4" t="n"/>
      <c r="AR1115" s="5">
        <f>IF(tblOrdenes[[#This Row],[link_checklist]]="","",HYPERLINK(p_ruta_base_checklists&amp;tblOrdenes[[#This Row],[link_checklist]],"abrir"))</f>
        <v/>
      </c>
      <c r="AS1115" s="4" t="n"/>
      <c r="AT1115" s="5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22" t="n"/>
      <c r="K1116" s="5" t="n"/>
      <c r="L1116" s="18" t="n"/>
      <c r="M1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5">
        <f>IF(tblOrdenes[[#This Row],[fecha_inicio]]="","",YEAR(tblOrdenes[[#This Row],[fecha_inicio]]))</f>
        <v/>
      </c>
      <c r="Q1116" s="5">
        <f>IF(tblOrdenes[[#This Row],[fecha_inicio]]="","",MONTH(tblOrdenes[[#This Row],[fecha_inicio]]))</f>
        <v/>
      </c>
      <c r="R1116" s="5">
        <f>IF(tblOrdenes[[#This Row],[fecha_inicio]]="","",tblOrdenes[[#This Row],[anio]]&amp;"-"&amp;TEXT(tblOrdenes[[#This Row],[mes]],"00"))</f>
        <v/>
      </c>
      <c r="S1116" s="5">
        <f>IF(tblOrdenes[[#This Row],[fecha_inicio]]="","",INDEX(lista_dias,WEEKDAY(tblOrdenes[[#This Row],[fecha_inicio]],2)))</f>
        <v/>
      </c>
      <c r="T1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6" s="5">
        <f>IF(tblOrdenes[[#This Row],[tipo_ot]]="","",_xlfn.XLOOKUP(tblOrdenes[[#This Row],[tipo_ot]],tblTiposOT[codigo],tblTiposOT[clasificacion],"sin_clasificar"))</f>
        <v/>
      </c>
      <c r="V11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6" s="5">
        <f>IF(tblOrdenes[[#This Row],[centro_costo]]="","",_xlfn.XLOOKUP(tblOrdenes[[#This Row],[centro_costo]],tblCECO[codigo],tblCECO[linea],"(sin catálogo)"))</f>
        <v/>
      </c>
      <c r="X1116" s="5">
        <f>IF(tblOrdenes[[#This Row],[centro_costo]]="","",_xlfn.XLOOKUP(tblOrdenes[[#This Row],[centro_costo]],tblCECO[codigo],tblCECO[area],"(sin catálogo)"))</f>
        <v/>
      </c>
      <c r="Y1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6" s="5">
        <f>IF(tblOrdenes[[#This Row],[centro_costo]]="","",_xlfn.XLOOKUP(tblOrdenes[[#This Row],[centro_costo]],tblCECO[codigo],tblCECO[coordinador],"(sin catálogo)"))</f>
        <v/>
      </c>
      <c r="AA1116" s="5">
        <f>IF(tblOrdenes[[#This Row],[puesto_trabajo]]="","",_xlfn.XLOOKUP(tblOrdenes[[#This Row],[puesto_trabajo]],tblPuestos[codigo],tblPuestos[especialidad],"(sin catálogo)"))</f>
        <v/>
      </c>
      <c r="AB1116" s="5">
        <f>IF(tblOrdenes[[#This Row],[cod_actividad]]="","",_xlfn.XLOOKUP(tblOrdenes[[#This Row],[cod_actividad]],tblActividades[codigo],tblActividades[descripcion],"(sin catálogo)"))</f>
        <v/>
      </c>
      <c r="AC1116" s="20">
        <f>IF(tblOrdenes[[#This Row],[fecha_inicio]]="","",TODAY()-tblOrdenes[[#This Row],[fecha_inicio]])</f>
        <v/>
      </c>
      <c r="AD111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6" s="5">
        <f>IF(tblOrdenes[[#This Row],[backlog_habiles]]="","",IF(tblOrdenes[[#This Row],[backlog_habiles]]&lt;0,"FUTURO",IF(tblOrdenes[[#This Row],[backlog_habiles]]&gt;p_dias_backlog_max,"BACKLOG","MES CORRIENTE")))</f>
        <v/>
      </c>
      <c r="AF1116" s="5">
        <f>IF(tblOrdenes[[#This Row],[backlog_habiles]]="",FALSE,AND(tblOrdenes[[#This Row],[backlog_habiles]]&gt;p_dias_backlog_min,tblOrdenes[[#This Row],[backlog_habiles]]&lt;=p_dias_backlog_max))</f>
        <v/>
      </c>
      <c r="AG1116" s="4" t="n"/>
      <c r="AH1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6" s="18">
        <f>IF(tblOrdenes[[#This Row],[orden]]="","",_xlfn.XLOOKUP(tblOrdenes[[#This Row],[id_operacion]],tblEjecucion[id_operacion],tblEjecucion[precio],0))</f>
        <v/>
      </c>
      <c r="AL1116" s="18">
        <f>IF(tblOrdenes[[#This Row],[orden]]="","",MAX(0,_xlfn.XLOOKUP(tblOrdenes[[#This Row],[id_operacion]],tblEjecucion[id_operacion],tblEjecucion[costo_plan_total],0)-tblOrdenes[[#This Row],[costo_servicio]]))</f>
        <v/>
      </c>
      <c r="AM1116" s="18">
        <f>IF(tblOrdenes[[#This Row],[orden]]="","",tblOrdenes[[#This Row],[costo_servicio]]+tblOrdenes[[#This Row],[costo_materiales]])</f>
        <v/>
      </c>
      <c r="AN1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6" s="4" t="n"/>
      <c r="AP1116" s="4" t="n"/>
      <c r="AQ1116" s="4" t="n"/>
      <c r="AR1116" s="5">
        <f>IF(tblOrdenes[[#This Row],[link_checklist]]="","",HYPERLINK(p_ruta_base_checklists&amp;tblOrdenes[[#This Row],[link_checklist]],"abrir"))</f>
        <v/>
      </c>
      <c r="AS1116" s="4" t="n"/>
      <c r="AT1116" s="5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22" t="n"/>
      <c r="K1117" s="5" t="n"/>
      <c r="L1117" s="18" t="n"/>
      <c r="M1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5">
        <f>IF(tblOrdenes[[#This Row],[fecha_inicio]]="","",YEAR(tblOrdenes[[#This Row],[fecha_inicio]]))</f>
        <v/>
      </c>
      <c r="Q1117" s="5">
        <f>IF(tblOrdenes[[#This Row],[fecha_inicio]]="","",MONTH(tblOrdenes[[#This Row],[fecha_inicio]]))</f>
        <v/>
      </c>
      <c r="R1117" s="5">
        <f>IF(tblOrdenes[[#This Row],[fecha_inicio]]="","",tblOrdenes[[#This Row],[anio]]&amp;"-"&amp;TEXT(tblOrdenes[[#This Row],[mes]],"00"))</f>
        <v/>
      </c>
      <c r="S1117" s="5">
        <f>IF(tblOrdenes[[#This Row],[fecha_inicio]]="","",INDEX(lista_dias,WEEKDAY(tblOrdenes[[#This Row],[fecha_inicio]],2)))</f>
        <v/>
      </c>
      <c r="T1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7" s="5">
        <f>IF(tblOrdenes[[#This Row],[tipo_ot]]="","",_xlfn.XLOOKUP(tblOrdenes[[#This Row],[tipo_ot]],tblTiposOT[codigo],tblTiposOT[clasificacion],"sin_clasificar"))</f>
        <v/>
      </c>
      <c r="V11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7" s="5">
        <f>IF(tblOrdenes[[#This Row],[centro_costo]]="","",_xlfn.XLOOKUP(tblOrdenes[[#This Row],[centro_costo]],tblCECO[codigo],tblCECO[linea],"(sin catálogo)"))</f>
        <v/>
      </c>
      <c r="X1117" s="5">
        <f>IF(tblOrdenes[[#This Row],[centro_costo]]="","",_xlfn.XLOOKUP(tblOrdenes[[#This Row],[centro_costo]],tblCECO[codigo],tblCECO[area],"(sin catálogo)"))</f>
        <v/>
      </c>
      <c r="Y1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7" s="5">
        <f>IF(tblOrdenes[[#This Row],[centro_costo]]="","",_xlfn.XLOOKUP(tblOrdenes[[#This Row],[centro_costo]],tblCECO[codigo],tblCECO[coordinador],"(sin catálogo)"))</f>
        <v/>
      </c>
      <c r="AA1117" s="5">
        <f>IF(tblOrdenes[[#This Row],[puesto_trabajo]]="","",_xlfn.XLOOKUP(tblOrdenes[[#This Row],[puesto_trabajo]],tblPuestos[codigo],tblPuestos[especialidad],"(sin catálogo)"))</f>
        <v/>
      </c>
      <c r="AB1117" s="5">
        <f>IF(tblOrdenes[[#This Row],[cod_actividad]]="","",_xlfn.XLOOKUP(tblOrdenes[[#This Row],[cod_actividad]],tblActividades[codigo],tblActividades[descripcion],"(sin catálogo)"))</f>
        <v/>
      </c>
      <c r="AC1117" s="20">
        <f>IF(tblOrdenes[[#This Row],[fecha_inicio]]="","",TODAY()-tblOrdenes[[#This Row],[fecha_inicio]])</f>
        <v/>
      </c>
      <c r="AD111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7" s="5">
        <f>IF(tblOrdenes[[#This Row],[backlog_habiles]]="","",IF(tblOrdenes[[#This Row],[backlog_habiles]]&lt;0,"FUTURO",IF(tblOrdenes[[#This Row],[backlog_habiles]]&gt;p_dias_backlog_max,"BACKLOG","MES CORRIENTE")))</f>
        <v/>
      </c>
      <c r="AF1117" s="5">
        <f>IF(tblOrdenes[[#This Row],[backlog_habiles]]="",FALSE,AND(tblOrdenes[[#This Row],[backlog_habiles]]&gt;p_dias_backlog_min,tblOrdenes[[#This Row],[backlog_habiles]]&lt;=p_dias_backlog_max))</f>
        <v/>
      </c>
      <c r="AG1117" s="4" t="n"/>
      <c r="AH1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7" s="18">
        <f>IF(tblOrdenes[[#This Row],[orden]]="","",_xlfn.XLOOKUP(tblOrdenes[[#This Row],[id_operacion]],tblEjecucion[id_operacion],tblEjecucion[precio],0))</f>
        <v/>
      </c>
      <c r="AL1117" s="18">
        <f>IF(tblOrdenes[[#This Row],[orden]]="","",MAX(0,_xlfn.XLOOKUP(tblOrdenes[[#This Row],[id_operacion]],tblEjecucion[id_operacion],tblEjecucion[costo_plan_total],0)-tblOrdenes[[#This Row],[costo_servicio]]))</f>
        <v/>
      </c>
      <c r="AM1117" s="18">
        <f>IF(tblOrdenes[[#This Row],[orden]]="","",tblOrdenes[[#This Row],[costo_servicio]]+tblOrdenes[[#This Row],[costo_materiales]])</f>
        <v/>
      </c>
      <c r="AN1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7" s="4" t="n"/>
      <c r="AP1117" s="4" t="n"/>
      <c r="AQ1117" s="4" t="n"/>
      <c r="AR1117" s="5">
        <f>IF(tblOrdenes[[#This Row],[link_checklist]]="","",HYPERLINK(p_ruta_base_checklists&amp;tblOrdenes[[#This Row],[link_checklist]],"abrir"))</f>
        <v/>
      </c>
      <c r="AS1117" s="4" t="n"/>
      <c r="AT1117" s="5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22" t="n"/>
      <c r="K1118" s="5" t="n"/>
      <c r="L1118" s="18" t="n"/>
      <c r="M1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5">
        <f>IF(tblOrdenes[[#This Row],[fecha_inicio]]="","",YEAR(tblOrdenes[[#This Row],[fecha_inicio]]))</f>
        <v/>
      </c>
      <c r="Q1118" s="5">
        <f>IF(tblOrdenes[[#This Row],[fecha_inicio]]="","",MONTH(tblOrdenes[[#This Row],[fecha_inicio]]))</f>
        <v/>
      </c>
      <c r="R1118" s="5">
        <f>IF(tblOrdenes[[#This Row],[fecha_inicio]]="","",tblOrdenes[[#This Row],[anio]]&amp;"-"&amp;TEXT(tblOrdenes[[#This Row],[mes]],"00"))</f>
        <v/>
      </c>
      <c r="S1118" s="5">
        <f>IF(tblOrdenes[[#This Row],[fecha_inicio]]="","",INDEX(lista_dias,WEEKDAY(tblOrdenes[[#This Row],[fecha_inicio]],2)))</f>
        <v/>
      </c>
      <c r="T1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8" s="5">
        <f>IF(tblOrdenes[[#This Row],[tipo_ot]]="","",_xlfn.XLOOKUP(tblOrdenes[[#This Row],[tipo_ot]],tblTiposOT[codigo],tblTiposOT[clasificacion],"sin_clasificar"))</f>
        <v/>
      </c>
      <c r="V11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8" s="5">
        <f>IF(tblOrdenes[[#This Row],[centro_costo]]="","",_xlfn.XLOOKUP(tblOrdenes[[#This Row],[centro_costo]],tblCECO[codigo],tblCECO[linea],"(sin catálogo)"))</f>
        <v/>
      </c>
      <c r="X1118" s="5">
        <f>IF(tblOrdenes[[#This Row],[centro_costo]]="","",_xlfn.XLOOKUP(tblOrdenes[[#This Row],[centro_costo]],tblCECO[codigo],tblCECO[area],"(sin catálogo)"))</f>
        <v/>
      </c>
      <c r="Y1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8" s="5">
        <f>IF(tblOrdenes[[#This Row],[centro_costo]]="","",_xlfn.XLOOKUP(tblOrdenes[[#This Row],[centro_costo]],tblCECO[codigo],tblCECO[coordinador],"(sin catálogo)"))</f>
        <v/>
      </c>
      <c r="AA1118" s="5">
        <f>IF(tblOrdenes[[#This Row],[puesto_trabajo]]="","",_xlfn.XLOOKUP(tblOrdenes[[#This Row],[puesto_trabajo]],tblPuestos[codigo],tblPuestos[especialidad],"(sin catálogo)"))</f>
        <v/>
      </c>
      <c r="AB1118" s="5">
        <f>IF(tblOrdenes[[#This Row],[cod_actividad]]="","",_xlfn.XLOOKUP(tblOrdenes[[#This Row],[cod_actividad]],tblActividades[codigo],tblActividades[descripcion],"(sin catálogo)"))</f>
        <v/>
      </c>
      <c r="AC1118" s="20">
        <f>IF(tblOrdenes[[#This Row],[fecha_inicio]]="","",TODAY()-tblOrdenes[[#This Row],[fecha_inicio]])</f>
        <v/>
      </c>
      <c r="AD111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8" s="5">
        <f>IF(tblOrdenes[[#This Row],[backlog_habiles]]="","",IF(tblOrdenes[[#This Row],[backlog_habiles]]&lt;0,"FUTURO",IF(tblOrdenes[[#This Row],[backlog_habiles]]&gt;p_dias_backlog_max,"BACKLOG","MES CORRIENTE")))</f>
        <v/>
      </c>
      <c r="AF1118" s="5">
        <f>IF(tblOrdenes[[#This Row],[backlog_habiles]]="",FALSE,AND(tblOrdenes[[#This Row],[backlog_habiles]]&gt;p_dias_backlog_min,tblOrdenes[[#This Row],[backlog_habiles]]&lt;=p_dias_backlog_max))</f>
        <v/>
      </c>
      <c r="AG1118" s="4" t="n"/>
      <c r="AH1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8" s="18">
        <f>IF(tblOrdenes[[#This Row],[orden]]="","",_xlfn.XLOOKUP(tblOrdenes[[#This Row],[id_operacion]],tblEjecucion[id_operacion],tblEjecucion[precio],0))</f>
        <v/>
      </c>
      <c r="AL1118" s="18">
        <f>IF(tblOrdenes[[#This Row],[orden]]="","",MAX(0,_xlfn.XLOOKUP(tblOrdenes[[#This Row],[id_operacion]],tblEjecucion[id_operacion],tblEjecucion[costo_plan_total],0)-tblOrdenes[[#This Row],[costo_servicio]]))</f>
        <v/>
      </c>
      <c r="AM1118" s="18">
        <f>IF(tblOrdenes[[#This Row],[orden]]="","",tblOrdenes[[#This Row],[costo_servicio]]+tblOrdenes[[#This Row],[costo_materiales]])</f>
        <v/>
      </c>
      <c r="AN1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8" s="4" t="n"/>
      <c r="AP1118" s="4" t="n"/>
      <c r="AQ1118" s="4" t="n"/>
      <c r="AR1118" s="5">
        <f>IF(tblOrdenes[[#This Row],[link_checklist]]="","",HYPERLINK(p_ruta_base_checklists&amp;tblOrdenes[[#This Row],[link_checklist]],"abrir"))</f>
        <v/>
      </c>
      <c r="AS1118" s="4" t="n"/>
      <c r="AT1118" s="5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22" t="n"/>
      <c r="K1119" s="5" t="n"/>
      <c r="L1119" s="18" t="n"/>
      <c r="M1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5">
        <f>IF(tblOrdenes[[#This Row],[fecha_inicio]]="","",YEAR(tblOrdenes[[#This Row],[fecha_inicio]]))</f>
        <v/>
      </c>
      <c r="Q1119" s="5">
        <f>IF(tblOrdenes[[#This Row],[fecha_inicio]]="","",MONTH(tblOrdenes[[#This Row],[fecha_inicio]]))</f>
        <v/>
      </c>
      <c r="R1119" s="5">
        <f>IF(tblOrdenes[[#This Row],[fecha_inicio]]="","",tblOrdenes[[#This Row],[anio]]&amp;"-"&amp;TEXT(tblOrdenes[[#This Row],[mes]],"00"))</f>
        <v/>
      </c>
      <c r="S1119" s="5">
        <f>IF(tblOrdenes[[#This Row],[fecha_inicio]]="","",INDEX(lista_dias,WEEKDAY(tblOrdenes[[#This Row],[fecha_inicio]],2)))</f>
        <v/>
      </c>
      <c r="T1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9" s="5">
        <f>IF(tblOrdenes[[#This Row],[tipo_ot]]="","",_xlfn.XLOOKUP(tblOrdenes[[#This Row],[tipo_ot]],tblTiposOT[codigo],tblTiposOT[clasificacion],"sin_clasificar"))</f>
        <v/>
      </c>
      <c r="V11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9" s="5">
        <f>IF(tblOrdenes[[#This Row],[centro_costo]]="","",_xlfn.XLOOKUP(tblOrdenes[[#This Row],[centro_costo]],tblCECO[codigo],tblCECO[linea],"(sin catálogo)"))</f>
        <v/>
      </c>
      <c r="X1119" s="5">
        <f>IF(tblOrdenes[[#This Row],[centro_costo]]="","",_xlfn.XLOOKUP(tblOrdenes[[#This Row],[centro_costo]],tblCECO[codigo],tblCECO[area],"(sin catálogo)"))</f>
        <v/>
      </c>
      <c r="Y1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19" s="5">
        <f>IF(tblOrdenes[[#This Row],[centro_costo]]="","",_xlfn.XLOOKUP(tblOrdenes[[#This Row],[centro_costo]],tblCECO[codigo],tblCECO[coordinador],"(sin catálogo)"))</f>
        <v/>
      </c>
      <c r="AA1119" s="5">
        <f>IF(tblOrdenes[[#This Row],[puesto_trabajo]]="","",_xlfn.XLOOKUP(tblOrdenes[[#This Row],[puesto_trabajo]],tblPuestos[codigo],tblPuestos[especialidad],"(sin catálogo)"))</f>
        <v/>
      </c>
      <c r="AB1119" s="5">
        <f>IF(tblOrdenes[[#This Row],[cod_actividad]]="","",_xlfn.XLOOKUP(tblOrdenes[[#This Row],[cod_actividad]],tblActividades[codigo],tblActividades[descripcion],"(sin catálogo)"))</f>
        <v/>
      </c>
      <c r="AC1119" s="20">
        <f>IF(tblOrdenes[[#This Row],[fecha_inicio]]="","",TODAY()-tblOrdenes[[#This Row],[fecha_inicio]])</f>
        <v/>
      </c>
      <c r="AD111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19" s="5">
        <f>IF(tblOrdenes[[#This Row],[backlog_habiles]]="","",IF(tblOrdenes[[#This Row],[backlog_habiles]]&lt;0,"FUTURO",IF(tblOrdenes[[#This Row],[backlog_habiles]]&gt;p_dias_backlog_max,"BACKLOG","MES CORRIENTE")))</f>
        <v/>
      </c>
      <c r="AF1119" s="5">
        <f>IF(tblOrdenes[[#This Row],[backlog_habiles]]="",FALSE,AND(tblOrdenes[[#This Row],[backlog_habiles]]&gt;p_dias_backlog_min,tblOrdenes[[#This Row],[backlog_habiles]]&lt;=p_dias_backlog_max))</f>
        <v/>
      </c>
      <c r="AG1119" s="4" t="n"/>
      <c r="AH1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1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1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19" s="18">
        <f>IF(tblOrdenes[[#This Row],[orden]]="","",_xlfn.XLOOKUP(tblOrdenes[[#This Row],[id_operacion]],tblEjecucion[id_operacion],tblEjecucion[precio],0))</f>
        <v/>
      </c>
      <c r="AL1119" s="18">
        <f>IF(tblOrdenes[[#This Row],[orden]]="","",MAX(0,_xlfn.XLOOKUP(tblOrdenes[[#This Row],[id_operacion]],tblEjecucion[id_operacion],tblEjecucion[costo_plan_total],0)-tblOrdenes[[#This Row],[costo_servicio]]))</f>
        <v/>
      </c>
      <c r="AM1119" s="18">
        <f>IF(tblOrdenes[[#This Row],[orden]]="","",tblOrdenes[[#This Row],[costo_servicio]]+tblOrdenes[[#This Row],[costo_materiales]])</f>
        <v/>
      </c>
      <c r="AN1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19" s="4" t="n"/>
      <c r="AP1119" s="4" t="n"/>
      <c r="AQ1119" s="4" t="n"/>
      <c r="AR1119" s="5">
        <f>IF(tblOrdenes[[#This Row],[link_checklist]]="","",HYPERLINK(p_ruta_base_checklists&amp;tblOrdenes[[#This Row],[link_checklist]],"abrir"))</f>
        <v/>
      </c>
      <c r="AS1119" s="4" t="n"/>
      <c r="AT1119" s="5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22" t="n"/>
      <c r="K1120" s="5" t="n"/>
      <c r="L1120" s="18" t="n"/>
      <c r="M1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5">
        <f>IF(tblOrdenes[[#This Row],[fecha_inicio]]="","",YEAR(tblOrdenes[[#This Row],[fecha_inicio]]))</f>
        <v/>
      </c>
      <c r="Q1120" s="5">
        <f>IF(tblOrdenes[[#This Row],[fecha_inicio]]="","",MONTH(tblOrdenes[[#This Row],[fecha_inicio]]))</f>
        <v/>
      </c>
      <c r="R1120" s="5">
        <f>IF(tblOrdenes[[#This Row],[fecha_inicio]]="","",tblOrdenes[[#This Row],[anio]]&amp;"-"&amp;TEXT(tblOrdenes[[#This Row],[mes]],"00"))</f>
        <v/>
      </c>
      <c r="S1120" s="5">
        <f>IF(tblOrdenes[[#This Row],[fecha_inicio]]="","",INDEX(lista_dias,WEEKDAY(tblOrdenes[[#This Row],[fecha_inicio]],2)))</f>
        <v/>
      </c>
      <c r="T1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0" s="5">
        <f>IF(tblOrdenes[[#This Row],[tipo_ot]]="","",_xlfn.XLOOKUP(tblOrdenes[[#This Row],[tipo_ot]],tblTiposOT[codigo],tblTiposOT[clasificacion],"sin_clasificar"))</f>
        <v/>
      </c>
      <c r="V11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0" s="5">
        <f>IF(tblOrdenes[[#This Row],[centro_costo]]="","",_xlfn.XLOOKUP(tblOrdenes[[#This Row],[centro_costo]],tblCECO[codigo],tblCECO[linea],"(sin catálogo)"))</f>
        <v/>
      </c>
      <c r="X1120" s="5">
        <f>IF(tblOrdenes[[#This Row],[centro_costo]]="","",_xlfn.XLOOKUP(tblOrdenes[[#This Row],[centro_costo]],tblCECO[codigo],tblCECO[area],"(sin catálogo)"))</f>
        <v/>
      </c>
      <c r="Y1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0" s="5">
        <f>IF(tblOrdenes[[#This Row],[centro_costo]]="","",_xlfn.XLOOKUP(tblOrdenes[[#This Row],[centro_costo]],tblCECO[codigo],tblCECO[coordinador],"(sin catálogo)"))</f>
        <v/>
      </c>
      <c r="AA1120" s="5">
        <f>IF(tblOrdenes[[#This Row],[puesto_trabajo]]="","",_xlfn.XLOOKUP(tblOrdenes[[#This Row],[puesto_trabajo]],tblPuestos[codigo],tblPuestos[especialidad],"(sin catálogo)"))</f>
        <v/>
      </c>
      <c r="AB1120" s="5">
        <f>IF(tblOrdenes[[#This Row],[cod_actividad]]="","",_xlfn.XLOOKUP(tblOrdenes[[#This Row],[cod_actividad]],tblActividades[codigo],tblActividades[descripcion],"(sin catálogo)"))</f>
        <v/>
      </c>
      <c r="AC1120" s="20">
        <f>IF(tblOrdenes[[#This Row],[fecha_inicio]]="","",TODAY()-tblOrdenes[[#This Row],[fecha_inicio]])</f>
        <v/>
      </c>
      <c r="AD112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0" s="5">
        <f>IF(tblOrdenes[[#This Row],[backlog_habiles]]="","",IF(tblOrdenes[[#This Row],[backlog_habiles]]&lt;0,"FUTURO",IF(tblOrdenes[[#This Row],[backlog_habiles]]&gt;p_dias_backlog_max,"BACKLOG","MES CORRIENTE")))</f>
        <v/>
      </c>
      <c r="AF1120" s="5">
        <f>IF(tblOrdenes[[#This Row],[backlog_habiles]]="",FALSE,AND(tblOrdenes[[#This Row],[backlog_habiles]]&gt;p_dias_backlog_min,tblOrdenes[[#This Row],[backlog_habiles]]&lt;=p_dias_backlog_max))</f>
        <v/>
      </c>
      <c r="AG1120" s="4" t="n"/>
      <c r="AH1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0" s="18">
        <f>IF(tblOrdenes[[#This Row],[orden]]="","",_xlfn.XLOOKUP(tblOrdenes[[#This Row],[id_operacion]],tblEjecucion[id_operacion],tblEjecucion[precio],0))</f>
        <v/>
      </c>
      <c r="AL1120" s="18">
        <f>IF(tblOrdenes[[#This Row],[orden]]="","",MAX(0,_xlfn.XLOOKUP(tblOrdenes[[#This Row],[id_operacion]],tblEjecucion[id_operacion],tblEjecucion[costo_plan_total],0)-tblOrdenes[[#This Row],[costo_servicio]]))</f>
        <v/>
      </c>
      <c r="AM1120" s="18">
        <f>IF(tblOrdenes[[#This Row],[orden]]="","",tblOrdenes[[#This Row],[costo_servicio]]+tblOrdenes[[#This Row],[costo_materiales]])</f>
        <v/>
      </c>
      <c r="AN1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0" s="4" t="n"/>
      <c r="AP1120" s="4" t="n"/>
      <c r="AQ1120" s="4" t="n"/>
      <c r="AR1120" s="5">
        <f>IF(tblOrdenes[[#This Row],[link_checklist]]="","",HYPERLINK(p_ruta_base_checklists&amp;tblOrdenes[[#This Row],[link_checklist]],"abrir"))</f>
        <v/>
      </c>
      <c r="AS1120" s="4" t="n"/>
      <c r="AT1120" s="5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22" t="n"/>
      <c r="K1121" s="5" t="n"/>
      <c r="L1121" s="18" t="n"/>
      <c r="M1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5">
        <f>IF(tblOrdenes[[#This Row],[fecha_inicio]]="","",YEAR(tblOrdenes[[#This Row],[fecha_inicio]]))</f>
        <v/>
      </c>
      <c r="Q1121" s="5">
        <f>IF(tblOrdenes[[#This Row],[fecha_inicio]]="","",MONTH(tblOrdenes[[#This Row],[fecha_inicio]]))</f>
        <v/>
      </c>
      <c r="R1121" s="5">
        <f>IF(tblOrdenes[[#This Row],[fecha_inicio]]="","",tblOrdenes[[#This Row],[anio]]&amp;"-"&amp;TEXT(tblOrdenes[[#This Row],[mes]],"00"))</f>
        <v/>
      </c>
      <c r="S1121" s="5">
        <f>IF(tblOrdenes[[#This Row],[fecha_inicio]]="","",INDEX(lista_dias,WEEKDAY(tblOrdenes[[#This Row],[fecha_inicio]],2)))</f>
        <v/>
      </c>
      <c r="T1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1" s="5">
        <f>IF(tblOrdenes[[#This Row],[tipo_ot]]="","",_xlfn.XLOOKUP(tblOrdenes[[#This Row],[tipo_ot]],tblTiposOT[codigo],tblTiposOT[clasificacion],"sin_clasificar"))</f>
        <v/>
      </c>
      <c r="V11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1" s="5">
        <f>IF(tblOrdenes[[#This Row],[centro_costo]]="","",_xlfn.XLOOKUP(tblOrdenes[[#This Row],[centro_costo]],tblCECO[codigo],tblCECO[linea],"(sin catálogo)"))</f>
        <v/>
      </c>
      <c r="X1121" s="5">
        <f>IF(tblOrdenes[[#This Row],[centro_costo]]="","",_xlfn.XLOOKUP(tblOrdenes[[#This Row],[centro_costo]],tblCECO[codigo],tblCECO[area],"(sin catálogo)"))</f>
        <v/>
      </c>
      <c r="Y1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1" s="5">
        <f>IF(tblOrdenes[[#This Row],[centro_costo]]="","",_xlfn.XLOOKUP(tblOrdenes[[#This Row],[centro_costo]],tblCECO[codigo],tblCECO[coordinador],"(sin catálogo)"))</f>
        <v/>
      </c>
      <c r="AA1121" s="5">
        <f>IF(tblOrdenes[[#This Row],[puesto_trabajo]]="","",_xlfn.XLOOKUP(tblOrdenes[[#This Row],[puesto_trabajo]],tblPuestos[codigo],tblPuestos[especialidad],"(sin catálogo)"))</f>
        <v/>
      </c>
      <c r="AB1121" s="5">
        <f>IF(tblOrdenes[[#This Row],[cod_actividad]]="","",_xlfn.XLOOKUP(tblOrdenes[[#This Row],[cod_actividad]],tblActividades[codigo],tblActividades[descripcion],"(sin catálogo)"))</f>
        <v/>
      </c>
      <c r="AC1121" s="20">
        <f>IF(tblOrdenes[[#This Row],[fecha_inicio]]="","",TODAY()-tblOrdenes[[#This Row],[fecha_inicio]])</f>
        <v/>
      </c>
      <c r="AD112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1" s="5">
        <f>IF(tblOrdenes[[#This Row],[backlog_habiles]]="","",IF(tblOrdenes[[#This Row],[backlog_habiles]]&lt;0,"FUTURO",IF(tblOrdenes[[#This Row],[backlog_habiles]]&gt;p_dias_backlog_max,"BACKLOG","MES CORRIENTE")))</f>
        <v/>
      </c>
      <c r="AF1121" s="5">
        <f>IF(tblOrdenes[[#This Row],[backlog_habiles]]="",FALSE,AND(tblOrdenes[[#This Row],[backlog_habiles]]&gt;p_dias_backlog_min,tblOrdenes[[#This Row],[backlog_habiles]]&lt;=p_dias_backlog_max))</f>
        <v/>
      </c>
      <c r="AG1121" s="4" t="n"/>
      <c r="AH1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1" s="18">
        <f>IF(tblOrdenes[[#This Row],[orden]]="","",_xlfn.XLOOKUP(tblOrdenes[[#This Row],[id_operacion]],tblEjecucion[id_operacion],tblEjecucion[precio],0))</f>
        <v/>
      </c>
      <c r="AL1121" s="18">
        <f>IF(tblOrdenes[[#This Row],[orden]]="","",MAX(0,_xlfn.XLOOKUP(tblOrdenes[[#This Row],[id_operacion]],tblEjecucion[id_operacion],tblEjecucion[costo_plan_total],0)-tblOrdenes[[#This Row],[costo_servicio]]))</f>
        <v/>
      </c>
      <c r="AM1121" s="18">
        <f>IF(tblOrdenes[[#This Row],[orden]]="","",tblOrdenes[[#This Row],[costo_servicio]]+tblOrdenes[[#This Row],[costo_materiales]])</f>
        <v/>
      </c>
      <c r="AN1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1" s="4" t="n"/>
      <c r="AP1121" s="4" t="n"/>
      <c r="AQ1121" s="4" t="n"/>
      <c r="AR1121" s="5">
        <f>IF(tblOrdenes[[#This Row],[link_checklist]]="","",HYPERLINK(p_ruta_base_checklists&amp;tblOrdenes[[#This Row],[link_checklist]],"abrir"))</f>
        <v/>
      </c>
      <c r="AS1121" s="4" t="n"/>
      <c r="AT1121" s="5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22" t="n"/>
      <c r="K1122" s="5" t="n"/>
      <c r="L1122" s="18" t="n"/>
      <c r="M1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5">
        <f>IF(tblOrdenes[[#This Row],[fecha_inicio]]="","",YEAR(tblOrdenes[[#This Row],[fecha_inicio]]))</f>
        <v/>
      </c>
      <c r="Q1122" s="5">
        <f>IF(tblOrdenes[[#This Row],[fecha_inicio]]="","",MONTH(tblOrdenes[[#This Row],[fecha_inicio]]))</f>
        <v/>
      </c>
      <c r="R1122" s="5">
        <f>IF(tblOrdenes[[#This Row],[fecha_inicio]]="","",tblOrdenes[[#This Row],[anio]]&amp;"-"&amp;TEXT(tblOrdenes[[#This Row],[mes]],"00"))</f>
        <v/>
      </c>
      <c r="S1122" s="5">
        <f>IF(tblOrdenes[[#This Row],[fecha_inicio]]="","",INDEX(lista_dias,WEEKDAY(tblOrdenes[[#This Row],[fecha_inicio]],2)))</f>
        <v/>
      </c>
      <c r="T1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2" s="5">
        <f>IF(tblOrdenes[[#This Row],[tipo_ot]]="","",_xlfn.XLOOKUP(tblOrdenes[[#This Row],[tipo_ot]],tblTiposOT[codigo],tblTiposOT[clasificacion],"sin_clasificar"))</f>
        <v/>
      </c>
      <c r="V11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2" s="5">
        <f>IF(tblOrdenes[[#This Row],[centro_costo]]="","",_xlfn.XLOOKUP(tblOrdenes[[#This Row],[centro_costo]],tblCECO[codigo],tblCECO[linea],"(sin catálogo)"))</f>
        <v/>
      </c>
      <c r="X1122" s="5">
        <f>IF(tblOrdenes[[#This Row],[centro_costo]]="","",_xlfn.XLOOKUP(tblOrdenes[[#This Row],[centro_costo]],tblCECO[codigo],tblCECO[area],"(sin catálogo)"))</f>
        <v/>
      </c>
      <c r="Y1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2" s="5">
        <f>IF(tblOrdenes[[#This Row],[centro_costo]]="","",_xlfn.XLOOKUP(tblOrdenes[[#This Row],[centro_costo]],tblCECO[codigo],tblCECO[coordinador],"(sin catálogo)"))</f>
        <v/>
      </c>
      <c r="AA1122" s="5">
        <f>IF(tblOrdenes[[#This Row],[puesto_trabajo]]="","",_xlfn.XLOOKUP(tblOrdenes[[#This Row],[puesto_trabajo]],tblPuestos[codigo],tblPuestos[especialidad],"(sin catálogo)"))</f>
        <v/>
      </c>
      <c r="AB1122" s="5">
        <f>IF(tblOrdenes[[#This Row],[cod_actividad]]="","",_xlfn.XLOOKUP(tblOrdenes[[#This Row],[cod_actividad]],tblActividades[codigo],tblActividades[descripcion],"(sin catálogo)"))</f>
        <v/>
      </c>
      <c r="AC1122" s="20">
        <f>IF(tblOrdenes[[#This Row],[fecha_inicio]]="","",TODAY()-tblOrdenes[[#This Row],[fecha_inicio]])</f>
        <v/>
      </c>
      <c r="AD112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2" s="5">
        <f>IF(tblOrdenes[[#This Row],[backlog_habiles]]="","",IF(tblOrdenes[[#This Row],[backlog_habiles]]&lt;0,"FUTURO",IF(tblOrdenes[[#This Row],[backlog_habiles]]&gt;p_dias_backlog_max,"BACKLOG","MES CORRIENTE")))</f>
        <v/>
      </c>
      <c r="AF1122" s="5">
        <f>IF(tblOrdenes[[#This Row],[backlog_habiles]]="",FALSE,AND(tblOrdenes[[#This Row],[backlog_habiles]]&gt;p_dias_backlog_min,tblOrdenes[[#This Row],[backlog_habiles]]&lt;=p_dias_backlog_max))</f>
        <v/>
      </c>
      <c r="AG1122" s="4" t="n"/>
      <c r="AH1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2" s="18">
        <f>IF(tblOrdenes[[#This Row],[orden]]="","",_xlfn.XLOOKUP(tblOrdenes[[#This Row],[id_operacion]],tblEjecucion[id_operacion],tblEjecucion[precio],0))</f>
        <v/>
      </c>
      <c r="AL1122" s="18">
        <f>IF(tblOrdenes[[#This Row],[orden]]="","",MAX(0,_xlfn.XLOOKUP(tblOrdenes[[#This Row],[id_operacion]],tblEjecucion[id_operacion],tblEjecucion[costo_plan_total],0)-tblOrdenes[[#This Row],[costo_servicio]]))</f>
        <v/>
      </c>
      <c r="AM1122" s="18">
        <f>IF(tblOrdenes[[#This Row],[orden]]="","",tblOrdenes[[#This Row],[costo_servicio]]+tblOrdenes[[#This Row],[costo_materiales]])</f>
        <v/>
      </c>
      <c r="AN1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2" s="4" t="n"/>
      <c r="AP1122" s="4" t="n"/>
      <c r="AQ1122" s="4" t="n"/>
      <c r="AR1122" s="5">
        <f>IF(tblOrdenes[[#This Row],[link_checklist]]="","",HYPERLINK(p_ruta_base_checklists&amp;tblOrdenes[[#This Row],[link_checklist]],"abrir"))</f>
        <v/>
      </c>
      <c r="AS1122" s="4" t="n"/>
      <c r="AT1122" s="5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22" t="n"/>
      <c r="K1123" s="5" t="n"/>
      <c r="L1123" s="18" t="n"/>
      <c r="M1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5">
        <f>IF(tblOrdenes[[#This Row],[fecha_inicio]]="","",YEAR(tblOrdenes[[#This Row],[fecha_inicio]]))</f>
        <v/>
      </c>
      <c r="Q1123" s="5">
        <f>IF(tblOrdenes[[#This Row],[fecha_inicio]]="","",MONTH(tblOrdenes[[#This Row],[fecha_inicio]]))</f>
        <v/>
      </c>
      <c r="R1123" s="5">
        <f>IF(tblOrdenes[[#This Row],[fecha_inicio]]="","",tblOrdenes[[#This Row],[anio]]&amp;"-"&amp;TEXT(tblOrdenes[[#This Row],[mes]],"00"))</f>
        <v/>
      </c>
      <c r="S1123" s="5">
        <f>IF(tblOrdenes[[#This Row],[fecha_inicio]]="","",INDEX(lista_dias,WEEKDAY(tblOrdenes[[#This Row],[fecha_inicio]],2)))</f>
        <v/>
      </c>
      <c r="T1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3" s="5">
        <f>IF(tblOrdenes[[#This Row],[tipo_ot]]="","",_xlfn.XLOOKUP(tblOrdenes[[#This Row],[tipo_ot]],tblTiposOT[codigo],tblTiposOT[clasificacion],"sin_clasificar"))</f>
        <v/>
      </c>
      <c r="V11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3" s="5">
        <f>IF(tblOrdenes[[#This Row],[centro_costo]]="","",_xlfn.XLOOKUP(tblOrdenes[[#This Row],[centro_costo]],tblCECO[codigo],tblCECO[linea],"(sin catálogo)"))</f>
        <v/>
      </c>
      <c r="X1123" s="5">
        <f>IF(tblOrdenes[[#This Row],[centro_costo]]="","",_xlfn.XLOOKUP(tblOrdenes[[#This Row],[centro_costo]],tblCECO[codigo],tblCECO[area],"(sin catálogo)"))</f>
        <v/>
      </c>
      <c r="Y1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3" s="5">
        <f>IF(tblOrdenes[[#This Row],[centro_costo]]="","",_xlfn.XLOOKUP(tblOrdenes[[#This Row],[centro_costo]],tblCECO[codigo],tblCECO[coordinador],"(sin catálogo)"))</f>
        <v/>
      </c>
      <c r="AA1123" s="5">
        <f>IF(tblOrdenes[[#This Row],[puesto_trabajo]]="","",_xlfn.XLOOKUP(tblOrdenes[[#This Row],[puesto_trabajo]],tblPuestos[codigo],tblPuestos[especialidad],"(sin catálogo)"))</f>
        <v/>
      </c>
      <c r="AB1123" s="5">
        <f>IF(tblOrdenes[[#This Row],[cod_actividad]]="","",_xlfn.XLOOKUP(tblOrdenes[[#This Row],[cod_actividad]],tblActividades[codigo],tblActividades[descripcion],"(sin catálogo)"))</f>
        <v/>
      </c>
      <c r="AC1123" s="20">
        <f>IF(tblOrdenes[[#This Row],[fecha_inicio]]="","",TODAY()-tblOrdenes[[#This Row],[fecha_inicio]])</f>
        <v/>
      </c>
      <c r="AD112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3" s="5">
        <f>IF(tblOrdenes[[#This Row],[backlog_habiles]]="","",IF(tblOrdenes[[#This Row],[backlog_habiles]]&lt;0,"FUTURO",IF(tblOrdenes[[#This Row],[backlog_habiles]]&gt;p_dias_backlog_max,"BACKLOG","MES CORRIENTE")))</f>
        <v/>
      </c>
      <c r="AF1123" s="5">
        <f>IF(tblOrdenes[[#This Row],[backlog_habiles]]="",FALSE,AND(tblOrdenes[[#This Row],[backlog_habiles]]&gt;p_dias_backlog_min,tblOrdenes[[#This Row],[backlog_habiles]]&lt;=p_dias_backlog_max))</f>
        <v/>
      </c>
      <c r="AG1123" s="4" t="n"/>
      <c r="AH1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3" s="18">
        <f>IF(tblOrdenes[[#This Row],[orden]]="","",_xlfn.XLOOKUP(tblOrdenes[[#This Row],[id_operacion]],tblEjecucion[id_operacion],tblEjecucion[precio],0))</f>
        <v/>
      </c>
      <c r="AL1123" s="18">
        <f>IF(tblOrdenes[[#This Row],[orden]]="","",MAX(0,_xlfn.XLOOKUP(tblOrdenes[[#This Row],[id_operacion]],tblEjecucion[id_operacion],tblEjecucion[costo_plan_total],0)-tblOrdenes[[#This Row],[costo_servicio]]))</f>
        <v/>
      </c>
      <c r="AM1123" s="18">
        <f>IF(tblOrdenes[[#This Row],[orden]]="","",tblOrdenes[[#This Row],[costo_servicio]]+tblOrdenes[[#This Row],[costo_materiales]])</f>
        <v/>
      </c>
      <c r="AN1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3" s="4" t="n"/>
      <c r="AP1123" s="4" t="n"/>
      <c r="AQ1123" s="4" t="n"/>
      <c r="AR1123" s="5">
        <f>IF(tblOrdenes[[#This Row],[link_checklist]]="","",HYPERLINK(p_ruta_base_checklists&amp;tblOrdenes[[#This Row],[link_checklist]],"abrir"))</f>
        <v/>
      </c>
      <c r="AS1123" s="4" t="n"/>
      <c r="AT1123" s="5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22" t="n"/>
      <c r="K1124" s="5" t="n"/>
      <c r="L1124" s="18" t="n"/>
      <c r="M1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5">
        <f>IF(tblOrdenes[[#This Row],[fecha_inicio]]="","",YEAR(tblOrdenes[[#This Row],[fecha_inicio]]))</f>
        <v/>
      </c>
      <c r="Q1124" s="5">
        <f>IF(tblOrdenes[[#This Row],[fecha_inicio]]="","",MONTH(tblOrdenes[[#This Row],[fecha_inicio]]))</f>
        <v/>
      </c>
      <c r="R1124" s="5">
        <f>IF(tblOrdenes[[#This Row],[fecha_inicio]]="","",tblOrdenes[[#This Row],[anio]]&amp;"-"&amp;TEXT(tblOrdenes[[#This Row],[mes]],"00"))</f>
        <v/>
      </c>
      <c r="S1124" s="5">
        <f>IF(tblOrdenes[[#This Row],[fecha_inicio]]="","",INDEX(lista_dias,WEEKDAY(tblOrdenes[[#This Row],[fecha_inicio]],2)))</f>
        <v/>
      </c>
      <c r="T1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4" s="5">
        <f>IF(tblOrdenes[[#This Row],[tipo_ot]]="","",_xlfn.XLOOKUP(tblOrdenes[[#This Row],[tipo_ot]],tblTiposOT[codigo],tblTiposOT[clasificacion],"sin_clasificar"))</f>
        <v/>
      </c>
      <c r="V11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4" s="5">
        <f>IF(tblOrdenes[[#This Row],[centro_costo]]="","",_xlfn.XLOOKUP(tblOrdenes[[#This Row],[centro_costo]],tblCECO[codigo],tblCECO[linea],"(sin catálogo)"))</f>
        <v/>
      </c>
      <c r="X1124" s="5">
        <f>IF(tblOrdenes[[#This Row],[centro_costo]]="","",_xlfn.XLOOKUP(tblOrdenes[[#This Row],[centro_costo]],tblCECO[codigo],tblCECO[area],"(sin catálogo)"))</f>
        <v/>
      </c>
      <c r="Y1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4" s="5">
        <f>IF(tblOrdenes[[#This Row],[centro_costo]]="","",_xlfn.XLOOKUP(tblOrdenes[[#This Row],[centro_costo]],tblCECO[codigo],tblCECO[coordinador],"(sin catálogo)"))</f>
        <v/>
      </c>
      <c r="AA1124" s="5">
        <f>IF(tblOrdenes[[#This Row],[puesto_trabajo]]="","",_xlfn.XLOOKUP(tblOrdenes[[#This Row],[puesto_trabajo]],tblPuestos[codigo],tblPuestos[especialidad],"(sin catálogo)"))</f>
        <v/>
      </c>
      <c r="AB1124" s="5">
        <f>IF(tblOrdenes[[#This Row],[cod_actividad]]="","",_xlfn.XLOOKUP(tblOrdenes[[#This Row],[cod_actividad]],tblActividades[codigo],tblActividades[descripcion],"(sin catálogo)"))</f>
        <v/>
      </c>
      <c r="AC1124" s="20">
        <f>IF(tblOrdenes[[#This Row],[fecha_inicio]]="","",TODAY()-tblOrdenes[[#This Row],[fecha_inicio]])</f>
        <v/>
      </c>
      <c r="AD112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4" s="5">
        <f>IF(tblOrdenes[[#This Row],[backlog_habiles]]="","",IF(tblOrdenes[[#This Row],[backlog_habiles]]&lt;0,"FUTURO",IF(tblOrdenes[[#This Row],[backlog_habiles]]&gt;p_dias_backlog_max,"BACKLOG","MES CORRIENTE")))</f>
        <v/>
      </c>
      <c r="AF1124" s="5">
        <f>IF(tblOrdenes[[#This Row],[backlog_habiles]]="",FALSE,AND(tblOrdenes[[#This Row],[backlog_habiles]]&gt;p_dias_backlog_min,tblOrdenes[[#This Row],[backlog_habiles]]&lt;=p_dias_backlog_max))</f>
        <v/>
      </c>
      <c r="AG1124" s="4" t="n"/>
      <c r="AH1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4" s="18">
        <f>IF(tblOrdenes[[#This Row],[orden]]="","",_xlfn.XLOOKUP(tblOrdenes[[#This Row],[id_operacion]],tblEjecucion[id_operacion],tblEjecucion[precio],0))</f>
        <v/>
      </c>
      <c r="AL1124" s="18">
        <f>IF(tblOrdenes[[#This Row],[orden]]="","",MAX(0,_xlfn.XLOOKUP(tblOrdenes[[#This Row],[id_operacion]],tblEjecucion[id_operacion],tblEjecucion[costo_plan_total],0)-tblOrdenes[[#This Row],[costo_servicio]]))</f>
        <v/>
      </c>
      <c r="AM1124" s="18">
        <f>IF(tblOrdenes[[#This Row],[orden]]="","",tblOrdenes[[#This Row],[costo_servicio]]+tblOrdenes[[#This Row],[costo_materiales]])</f>
        <v/>
      </c>
      <c r="AN1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4" s="4" t="n"/>
      <c r="AP1124" s="4" t="n"/>
      <c r="AQ1124" s="4" t="n"/>
      <c r="AR1124" s="5">
        <f>IF(tblOrdenes[[#This Row],[link_checklist]]="","",HYPERLINK(p_ruta_base_checklists&amp;tblOrdenes[[#This Row],[link_checklist]],"abrir"))</f>
        <v/>
      </c>
      <c r="AS1124" s="4" t="n"/>
      <c r="AT1124" s="5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22" t="n"/>
      <c r="K1125" s="5" t="n"/>
      <c r="L1125" s="18" t="n"/>
      <c r="M1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5">
        <f>IF(tblOrdenes[[#This Row],[fecha_inicio]]="","",YEAR(tblOrdenes[[#This Row],[fecha_inicio]]))</f>
        <v/>
      </c>
      <c r="Q1125" s="5">
        <f>IF(tblOrdenes[[#This Row],[fecha_inicio]]="","",MONTH(tblOrdenes[[#This Row],[fecha_inicio]]))</f>
        <v/>
      </c>
      <c r="R1125" s="5">
        <f>IF(tblOrdenes[[#This Row],[fecha_inicio]]="","",tblOrdenes[[#This Row],[anio]]&amp;"-"&amp;TEXT(tblOrdenes[[#This Row],[mes]],"00"))</f>
        <v/>
      </c>
      <c r="S1125" s="5">
        <f>IF(tblOrdenes[[#This Row],[fecha_inicio]]="","",INDEX(lista_dias,WEEKDAY(tblOrdenes[[#This Row],[fecha_inicio]],2)))</f>
        <v/>
      </c>
      <c r="T1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5" s="5">
        <f>IF(tblOrdenes[[#This Row],[tipo_ot]]="","",_xlfn.XLOOKUP(tblOrdenes[[#This Row],[tipo_ot]],tblTiposOT[codigo],tblTiposOT[clasificacion],"sin_clasificar"))</f>
        <v/>
      </c>
      <c r="V11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5" s="5">
        <f>IF(tblOrdenes[[#This Row],[centro_costo]]="","",_xlfn.XLOOKUP(tblOrdenes[[#This Row],[centro_costo]],tblCECO[codigo],tblCECO[linea],"(sin catálogo)"))</f>
        <v/>
      </c>
      <c r="X1125" s="5">
        <f>IF(tblOrdenes[[#This Row],[centro_costo]]="","",_xlfn.XLOOKUP(tblOrdenes[[#This Row],[centro_costo]],tblCECO[codigo],tblCECO[area],"(sin catálogo)"))</f>
        <v/>
      </c>
      <c r="Y1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5" s="5">
        <f>IF(tblOrdenes[[#This Row],[centro_costo]]="","",_xlfn.XLOOKUP(tblOrdenes[[#This Row],[centro_costo]],tblCECO[codigo],tblCECO[coordinador],"(sin catálogo)"))</f>
        <v/>
      </c>
      <c r="AA1125" s="5">
        <f>IF(tblOrdenes[[#This Row],[puesto_trabajo]]="","",_xlfn.XLOOKUP(tblOrdenes[[#This Row],[puesto_trabajo]],tblPuestos[codigo],tblPuestos[especialidad],"(sin catálogo)"))</f>
        <v/>
      </c>
      <c r="AB1125" s="5">
        <f>IF(tblOrdenes[[#This Row],[cod_actividad]]="","",_xlfn.XLOOKUP(tblOrdenes[[#This Row],[cod_actividad]],tblActividades[codigo],tblActividades[descripcion],"(sin catálogo)"))</f>
        <v/>
      </c>
      <c r="AC1125" s="20">
        <f>IF(tblOrdenes[[#This Row],[fecha_inicio]]="","",TODAY()-tblOrdenes[[#This Row],[fecha_inicio]])</f>
        <v/>
      </c>
      <c r="AD112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5" s="5">
        <f>IF(tblOrdenes[[#This Row],[backlog_habiles]]="","",IF(tblOrdenes[[#This Row],[backlog_habiles]]&lt;0,"FUTURO",IF(tblOrdenes[[#This Row],[backlog_habiles]]&gt;p_dias_backlog_max,"BACKLOG","MES CORRIENTE")))</f>
        <v/>
      </c>
      <c r="AF1125" s="5">
        <f>IF(tblOrdenes[[#This Row],[backlog_habiles]]="",FALSE,AND(tblOrdenes[[#This Row],[backlog_habiles]]&gt;p_dias_backlog_min,tblOrdenes[[#This Row],[backlog_habiles]]&lt;=p_dias_backlog_max))</f>
        <v/>
      </c>
      <c r="AG1125" s="4" t="n"/>
      <c r="AH1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5" s="18">
        <f>IF(tblOrdenes[[#This Row],[orden]]="","",_xlfn.XLOOKUP(tblOrdenes[[#This Row],[id_operacion]],tblEjecucion[id_operacion],tblEjecucion[precio],0))</f>
        <v/>
      </c>
      <c r="AL1125" s="18">
        <f>IF(tblOrdenes[[#This Row],[orden]]="","",MAX(0,_xlfn.XLOOKUP(tblOrdenes[[#This Row],[id_operacion]],tblEjecucion[id_operacion],tblEjecucion[costo_plan_total],0)-tblOrdenes[[#This Row],[costo_servicio]]))</f>
        <v/>
      </c>
      <c r="AM1125" s="18">
        <f>IF(tblOrdenes[[#This Row],[orden]]="","",tblOrdenes[[#This Row],[costo_servicio]]+tblOrdenes[[#This Row],[costo_materiales]])</f>
        <v/>
      </c>
      <c r="AN1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5" s="4" t="n"/>
      <c r="AP1125" s="4" t="n"/>
      <c r="AQ1125" s="4" t="n"/>
      <c r="AR1125" s="5">
        <f>IF(tblOrdenes[[#This Row],[link_checklist]]="","",HYPERLINK(p_ruta_base_checklists&amp;tblOrdenes[[#This Row],[link_checklist]],"abrir"))</f>
        <v/>
      </c>
      <c r="AS1125" s="4" t="n"/>
      <c r="AT1125" s="5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22" t="n"/>
      <c r="K1126" s="5" t="n"/>
      <c r="L1126" s="18" t="n"/>
      <c r="M1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5">
        <f>IF(tblOrdenes[[#This Row],[fecha_inicio]]="","",YEAR(tblOrdenes[[#This Row],[fecha_inicio]]))</f>
        <v/>
      </c>
      <c r="Q1126" s="5">
        <f>IF(tblOrdenes[[#This Row],[fecha_inicio]]="","",MONTH(tblOrdenes[[#This Row],[fecha_inicio]]))</f>
        <v/>
      </c>
      <c r="R1126" s="5">
        <f>IF(tblOrdenes[[#This Row],[fecha_inicio]]="","",tblOrdenes[[#This Row],[anio]]&amp;"-"&amp;TEXT(tblOrdenes[[#This Row],[mes]],"00"))</f>
        <v/>
      </c>
      <c r="S1126" s="5">
        <f>IF(tblOrdenes[[#This Row],[fecha_inicio]]="","",INDEX(lista_dias,WEEKDAY(tblOrdenes[[#This Row],[fecha_inicio]],2)))</f>
        <v/>
      </c>
      <c r="T1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6" s="5">
        <f>IF(tblOrdenes[[#This Row],[tipo_ot]]="","",_xlfn.XLOOKUP(tblOrdenes[[#This Row],[tipo_ot]],tblTiposOT[codigo],tblTiposOT[clasificacion],"sin_clasificar"))</f>
        <v/>
      </c>
      <c r="V11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6" s="5">
        <f>IF(tblOrdenes[[#This Row],[centro_costo]]="","",_xlfn.XLOOKUP(tblOrdenes[[#This Row],[centro_costo]],tblCECO[codigo],tblCECO[linea],"(sin catálogo)"))</f>
        <v/>
      </c>
      <c r="X1126" s="5">
        <f>IF(tblOrdenes[[#This Row],[centro_costo]]="","",_xlfn.XLOOKUP(tblOrdenes[[#This Row],[centro_costo]],tblCECO[codigo],tblCECO[area],"(sin catálogo)"))</f>
        <v/>
      </c>
      <c r="Y1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6" s="5">
        <f>IF(tblOrdenes[[#This Row],[centro_costo]]="","",_xlfn.XLOOKUP(tblOrdenes[[#This Row],[centro_costo]],tblCECO[codigo],tblCECO[coordinador],"(sin catálogo)"))</f>
        <v/>
      </c>
      <c r="AA1126" s="5">
        <f>IF(tblOrdenes[[#This Row],[puesto_trabajo]]="","",_xlfn.XLOOKUP(tblOrdenes[[#This Row],[puesto_trabajo]],tblPuestos[codigo],tblPuestos[especialidad],"(sin catálogo)"))</f>
        <v/>
      </c>
      <c r="AB1126" s="5">
        <f>IF(tblOrdenes[[#This Row],[cod_actividad]]="","",_xlfn.XLOOKUP(tblOrdenes[[#This Row],[cod_actividad]],tblActividades[codigo],tblActividades[descripcion],"(sin catálogo)"))</f>
        <v/>
      </c>
      <c r="AC1126" s="20">
        <f>IF(tblOrdenes[[#This Row],[fecha_inicio]]="","",TODAY()-tblOrdenes[[#This Row],[fecha_inicio]])</f>
        <v/>
      </c>
      <c r="AD112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6" s="5">
        <f>IF(tblOrdenes[[#This Row],[backlog_habiles]]="","",IF(tblOrdenes[[#This Row],[backlog_habiles]]&lt;0,"FUTURO",IF(tblOrdenes[[#This Row],[backlog_habiles]]&gt;p_dias_backlog_max,"BACKLOG","MES CORRIENTE")))</f>
        <v/>
      </c>
      <c r="AF1126" s="5">
        <f>IF(tblOrdenes[[#This Row],[backlog_habiles]]="",FALSE,AND(tblOrdenes[[#This Row],[backlog_habiles]]&gt;p_dias_backlog_min,tblOrdenes[[#This Row],[backlog_habiles]]&lt;=p_dias_backlog_max))</f>
        <v/>
      </c>
      <c r="AG1126" s="4" t="n"/>
      <c r="AH1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6" s="18">
        <f>IF(tblOrdenes[[#This Row],[orden]]="","",_xlfn.XLOOKUP(tblOrdenes[[#This Row],[id_operacion]],tblEjecucion[id_operacion],tblEjecucion[precio],0))</f>
        <v/>
      </c>
      <c r="AL1126" s="18">
        <f>IF(tblOrdenes[[#This Row],[orden]]="","",MAX(0,_xlfn.XLOOKUP(tblOrdenes[[#This Row],[id_operacion]],tblEjecucion[id_operacion],tblEjecucion[costo_plan_total],0)-tblOrdenes[[#This Row],[costo_servicio]]))</f>
        <v/>
      </c>
      <c r="AM1126" s="18">
        <f>IF(tblOrdenes[[#This Row],[orden]]="","",tblOrdenes[[#This Row],[costo_servicio]]+tblOrdenes[[#This Row],[costo_materiales]])</f>
        <v/>
      </c>
      <c r="AN1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6" s="4" t="n"/>
      <c r="AP1126" s="4" t="n"/>
      <c r="AQ1126" s="4" t="n"/>
      <c r="AR1126" s="5">
        <f>IF(tblOrdenes[[#This Row],[link_checklist]]="","",HYPERLINK(p_ruta_base_checklists&amp;tblOrdenes[[#This Row],[link_checklist]],"abrir"))</f>
        <v/>
      </c>
      <c r="AS1126" s="4" t="n"/>
      <c r="AT1126" s="5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22" t="n"/>
      <c r="K1127" s="5" t="n"/>
      <c r="L1127" s="18" t="n"/>
      <c r="M1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5">
        <f>IF(tblOrdenes[[#This Row],[fecha_inicio]]="","",YEAR(tblOrdenes[[#This Row],[fecha_inicio]]))</f>
        <v/>
      </c>
      <c r="Q1127" s="5">
        <f>IF(tblOrdenes[[#This Row],[fecha_inicio]]="","",MONTH(tblOrdenes[[#This Row],[fecha_inicio]]))</f>
        <v/>
      </c>
      <c r="R1127" s="5">
        <f>IF(tblOrdenes[[#This Row],[fecha_inicio]]="","",tblOrdenes[[#This Row],[anio]]&amp;"-"&amp;TEXT(tblOrdenes[[#This Row],[mes]],"00"))</f>
        <v/>
      </c>
      <c r="S1127" s="5">
        <f>IF(tblOrdenes[[#This Row],[fecha_inicio]]="","",INDEX(lista_dias,WEEKDAY(tblOrdenes[[#This Row],[fecha_inicio]],2)))</f>
        <v/>
      </c>
      <c r="T1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7" s="5">
        <f>IF(tblOrdenes[[#This Row],[tipo_ot]]="","",_xlfn.XLOOKUP(tblOrdenes[[#This Row],[tipo_ot]],tblTiposOT[codigo],tblTiposOT[clasificacion],"sin_clasificar"))</f>
        <v/>
      </c>
      <c r="V11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7" s="5">
        <f>IF(tblOrdenes[[#This Row],[centro_costo]]="","",_xlfn.XLOOKUP(tblOrdenes[[#This Row],[centro_costo]],tblCECO[codigo],tblCECO[linea],"(sin catálogo)"))</f>
        <v/>
      </c>
      <c r="X1127" s="5">
        <f>IF(tblOrdenes[[#This Row],[centro_costo]]="","",_xlfn.XLOOKUP(tblOrdenes[[#This Row],[centro_costo]],tblCECO[codigo],tblCECO[area],"(sin catálogo)"))</f>
        <v/>
      </c>
      <c r="Y1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7" s="5">
        <f>IF(tblOrdenes[[#This Row],[centro_costo]]="","",_xlfn.XLOOKUP(tblOrdenes[[#This Row],[centro_costo]],tblCECO[codigo],tblCECO[coordinador],"(sin catálogo)"))</f>
        <v/>
      </c>
      <c r="AA1127" s="5">
        <f>IF(tblOrdenes[[#This Row],[puesto_trabajo]]="","",_xlfn.XLOOKUP(tblOrdenes[[#This Row],[puesto_trabajo]],tblPuestos[codigo],tblPuestos[especialidad],"(sin catálogo)"))</f>
        <v/>
      </c>
      <c r="AB1127" s="5">
        <f>IF(tblOrdenes[[#This Row],[cod_actividad]]="","",_xlfn.XLOOKUP(tblOrdenes[[#This Row],[cod_actividad]],tblActividades[codigo],tblActividades[descripcion],"(sin catálogo)"))</f>
        <v/>
      </c>
      <c r="AC1127" s="20">
        <f>IF(tblOrdenes[[#This Row],[fecha_inicio]]="","",TODAY()-tblOrdenes[[#This Row],[fecha_inicio]])</f>
        <v/>
      </c>
      <c r="AD112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7" s="5">
        <f>IF(tblOrdenes[[#This Row],[backlog_habiles]]="","",IF(tblOrdenes[[#This Row],[backlog_habiles]]&lt;0,"FUTURO",IF(tblOrdenes[[#This Row],[backlog_habiles]]&gt;p_dias_backlog_max,"BACKLOG","MES CORRIENTE")))</f>
        <v/>
      </c>
      <c r="AF1127" s="5">
        <f>IF(tblOrdenes[[#This Row],[backlog_habiles]]="",FALSE,AND(tblOrdenes[[#This Row],[backlog_habiles]]&gt;p_dias_backlog_min,tblOrdenes[[#This Row],[backlog_habiles]]&lt;=p_dias_backlog_max))</f>
        <v/>
      </c>
      <c r="AG1127" s="4" t="n"/>
      <c r="AH1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7" s="18">
        <f>IF(tblOrdenes[[#This Row],[orden]]="","",_xlfn.XLOOKUP(tblOrdenes[[#This Row],[id_operacion]],tblEjecucion[id_operacion],tblEjecucion[precio],0))</f>
        <v/>
      </c>
      <c r="AL1127" s="18">
        <f>IF(tblOrdenes[[#This Row],[orden]]="","",MAX(0,_xlfn.XLOOKUP(tblOrdenes[[#This Row],[id_operacion]],tblEjecucion[id_operacion],tblEjecucion[costo_plan_total],0)-tblOrdenes[[#This Row],[costo_servicio]]))</f>
        <v/>
      </c>
      <c r="AM1127" s="18">
        <f>IF(tblOrdenes[[#This Row],[orden]]="","",tblOrdenes[[#This Row],[costo_servicio]]+tblOrdenes[[#This Row],[costo_materiales]])</f>
        <v/>
      </c>
      <c r="AN1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7" s="4" t="n"/>
      <c r="AP1127" s="4" t="n"/>
      <c r="AQ1127" s="4" t="n"/>
      <c r="AR1127" s="5">
        <f>IF(tblOrdenes[[#This Row],[link_checklist]]="","",HYPERLINK(p_ruta_base_checklists&amp;tblOrdenes[[#This Row],[link_checklist]],"abrir"))</f>
        <v/>
      </c>
      <c r="AS1127" s="4" t="n"/>
      <c r="AT1127" s="5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22" t="n"/>
      <c r="K1128" s="5" t="n"/>
      <c r="L1128" s="18" t="n"/>
      <c r="M1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5">
        <f>IF(tblOrdenes[[#This Row],[fecha_inicio]]="","",YEAR(tblOrdenes[[#This Row],[fecha_inicio]]))</f>
        <v/>
      </c>
      <c r="Q1128" s="5">
        <f>IF(tblOrdenes[[#This Row],[fecha_inicio]]="","",MONTH(tblOrdenes[[#This Row],[fecha_inicio]]))</f>
        <v/>
      </c>
      <c r="R1128" s="5">
        <f>IF(tblOrdenes[[#This Row],[fecha_inicio]]="","",tblOrdenes[[#This Row],[anio]]&amp;"-"&amp;TEXT(tblOrdenes[[#This Row],[mes]],"00"))</f>
        <v/>
      </c>
      <c r="S1128" s="5">
        <f>IF(tblOrdenes[[#This Row],[fecha_inicio]]="","",INDEX(lista_dias,WEEKDAY(tblOrdenes[[#This Row],[fecha_inicio]],2)))</f>
        <v/>
      </c>
      <c r="T1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8" s="5">
        <f>IF(tblOrdenes[[#This Row],[tipo_ot]]="","",_xlfn.XLOOKUP(tblOrdenes[[#This Row],[tipo_ot]],tblTiposOT[codigo],tblTiposOT[clasificacion],"sin_clasificar"))</f>
        <v/>
      </c>
      <c r="V11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8" s="5">
        <f>IF(tblOrdenes[[#This Row],[centro_costo]]="","",_xlfn.XLOOKUP(tblOrdenes[[#This Row],[centro_costo]],tblCECO[codigo],tblCECO[linea],"(sin catálogo)"))</f>
        <v/>
      </c>
      <c r="X1128" s="5">
        <f>IF(tblOrdenes[[#This Row],[centro_costo]]="","",_xlfn.XLOOKUP(tblOrdenes[[#This Row],[centro_costo]],tblCECO[codigo],tblCECO[area],"(sin catálogo)"))</f>
        <v/>
      </c>
      <c r="Y1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8" s="5">
        <f>IF(tblOrdenes[[#This Row],[centro_costo]]="","",_xlfn.XLOOKUP(tblOrdenes[[#This Row],[centro_costo]],tblCECO[codigo],tblCECO[coordinador],"(sin catálogo)"))</f>
        <v/>
      </c>
      <c r="AA1128" s="5">
        <f>IF(tblOrdenes[[#This Row],[puesto_trabajo]]="","",_xlfn.XLOOKUP(tblOrdenes[[#This Row],[puesto_trabajo]],tblPuestos[codigo],tblPuestos[especialidad],"(sin catálogo)"))</f>
        <v/>
      </c>
      <c r="AB1128" s="5">
        <f>IF(tblOrdenes[[#This Row],[cod_actividad]]="","",_xlfn.XLOOKUP(tblOrdenes[[#This Row],[cod_actividad]],tblActividades[codigo],tblActividades[descripcion],"(sin catálogo)"))</f>
        <v/>
      </c>
      <c r="AC1128" s="20">
        <f>IF(tblOrdenes[[#This Row],[fecha_inicio]]="","",TODAY()-tblOrdenes[[#This Row],[fecha_inicio]])</f>
        <v/>
      </c>
      <c r="AD112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8" s="5">
        <f>IF(tblOrdenes[[#This Row],[backlog_habiles]]="","",IF(tblOrdenes[[#This Row],[backlog_habiles]]&lt;0,"FUTURO",IF(tblOrdenes[[#This Row],[backlog_habiles]]&gt;p_dias_backlog_max,"BACKLOG","MES CORRIENTE")))</f>
        <v/>
      </c>
      <c r="AF1128" s="5">
        <f>IF(tblOrdenes[[#This Row],[backlog_habiles]]="",FALSE,AND(tblOrdenes[[#This Row],[backlog_habiles]]&gt;p_dias_backlog_min,tblOrdenes[[#This Row],[backlog_habiles]]&lt;=p_dias_backlog_max))</f>
        <v/>
      </c>
      <c r="AG1128" s="4" t="n"/>
      <c r="AH1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8" s="18">
        <f>IF(tblOrdenes[[#This Row],[orden]]="","",_xlfn.XLOOKUP(tblOrdenes[[#This Row],[id_operacion]],tblEjecucion[id_operacion],tblEjecucion[precio],0))</f>
        <v/>
      </c>
      <c r="AL1128" s="18">
        <f>IF(tblOrdenes[[#This Row],[orden]]="","",MAX(0,_xlfn.XLOOKUP(tblOrdenes[[#This Row],[id_operacion]],tblEjecucion[id_operacion],tblEjecucion[costo_plan_total],0)-tblOrdenes[[#This Row],[costo_servicio]]))</f>
        <v/>
      </c>
      <c r="AM1128" s="18">
        <f>IF(tblOrdenes[[#This Row],[orden]]="","",tblOrdenes[[#This Row],[costo_servicio]]+tblOrdenes[[#This Row],[costo_materiales]])</f>
        <v/>
      </c>
      <c r="AN1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8" s="4" t="n"/>
      <c r="AP1128" s="4" t="n"/>
      <c r="AQ1128" s="4" t="n"/>
      <c r="AR1128" s="5">
        <f>IF(tblOrdenes[[#This Row],[link_checklist]]="","",HYPERLINK(p_ruta_base_checklists&amp;tblOrdenes[[#This Row],[link_checklist]],"abrir"))</f>
        <v/>
      </c>
      <c r="AS1128" s="4" t="n"/>
      <c r="AT1128" s="5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22" t="n"/>
      <c r="K1129" s="5" t="n"/>
      <c r="L1129" s="18" t="n"/>
      <c r="M1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5">
        <f>IF(tblOrdenes[[#This Row],[fecha_inicio]]="","",YEAR(tblOrdenes[[#This Row],[fecha_inicio]]))</f>
        <v/>
      </c>
      <c r="Q1129" s="5">
        <f>IF(tblOrdenes[[#This Row],[fecha_inicio]]="","",MONTH(tblOrdenes[[#This Row],[fecha_inicio]]))</f>
        <v/>
      </c>
      <c r="R1129" s="5">
        <f>IF(tblOrdenes[[#This Row],[fecha_inicio]]="","",tblOrdenes[[#This Row],[anio]]&amp;"-"&amp;TEXT(tblOrdenes[[#This Row],[mes]],"00"))</f>
        <v/>
      </c>
      <c r="S1129" s="5">
        <f>IF(tblOrdenes[[#This Row],[fecha_inicio]]="","",INDEX(lista_dias,WEEKDAY(tblOrdenes[[#This Row],[fecha_inicio]],2)))</f>
        <v/>
      </c>
      <c r="T1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9" s="5">
        <f>IF(tblOrdenes[[#This Row],[tipo_ot]]="","",_xlfn.XLOOKUP(tblOrdenes[[#This Row],[tipo_ot]],tblTiposOT[codigo],tblTiposOT[clasificacion],"sin_clasificar"))</f>
        <v/>
      </c>
      <c r="V11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9" s="5">
        <f>IF(tblOrdenes[[#This Row],[centro_costo]]="","",_xlfn.XLOOKUP(tblOrdenes[[#This Row],[centro_costo]],tblCECO[codigo],tblCECO[linea],"(sin catálogo)"))</f>
        <v/>
      </c>
      <c r="X1129" s="5">
        <f>IF(tblOrdenes[[#This Row],[centro_costo]]="","",_xlfn.XLOOKUP(tblOrdenes[[#This Row],[centro_costo]],tblCECO[codigo],tblCECO[area],"(sin catálogo)"))</f>
        <v/>
      </c>
      <c r="Y1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29" s="5">
        <f>IF(tblOrdenes[[#This Row],[centro_costo]]="","",_xlfn.XLOOKUP(tblOrdenes[[#This Row],[centro_costo]],tblCECO[codigo],tblCECO[coordinador],"(sin catálogo)"))</f>
        <v/>
      </c>
      <c r="AA1129" s="5">
        <f>IF(tblOrdenes[[#This Row],[puesto_trabajo]]="","",_xlfn.XLOOKUP(tblOrdenes[[#This Row],[puesto_trabajo]],tblPuestos[codigo],tblPuestos[especialidad],"(sin catálogo)"))</f>
        <v/>
      </c>
      <c r="AB1129" s="5">
        <f>IF(tblOrdenes[[#This Row],[cod_actividad]]="","",_xlfn.XLOOKUP(tblOrdenes[[#This Row],[cod_actividad]],tblActividades[codigo],tblActividades[descripcion],"(sin catálogo)"))</f>
        <v/>
      </c>
      <c r="AC1129" s="20">
        <f>IF(tblOrdenes[[#This Row],[fecha_inicio]]="","",TODAY()-tblOrdenes[[#This Row],[fecha_inicio]])</f>
        <v/>
      </c>
      <c r="AD112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29" s="5">
        <f>IF(tblOrdenes[[#This Row],[backlog_habiles]]="","",IF(tblOrdenes[[#This Row],[backlog_habiles]]&lt;0,"FUTURO",IF(tblOrdenes[[#This Row],[backlog_habiles]]&gt;p_dias_backlog_max,"BACKLOG","MES CORRIENTE")))</f>
        <v/>
      </c>
      <c r="AF1129" s="5">
        <f>IF(tblOrdenes[[#This Row],[backlog_habiles]]="",FALSE,AND(tblOrdenes[[#This Row],[backlog_habiles]]&gt;p_dias_backlog_min,tblOrdenes[[#This Row],[backlog_habiles]]&lt;=p_dias_backlog_max))</f>
        <v/>
      </c>
      <c r="AG1129" s="4" t="n"/>
      <c r="AH1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2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2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29" s="18">
        <f>IF(tblOrdenes[[#This Row],[orden]]="","",_xlfn.XLOOKUP(tblOrdenes[[#This Row],[id_operacion]],tblEjecucion[id_operacion],tblEjecucion[precio],0))</f>
        <v/>
      </c>
      <c r="AL1129" s="18">
        <f>IF(tblOrdenes[[#This Row],[orden]]="","",MAX(0,_xlfn.XLOOKUP(tblOrdenes[[#This Row],[id_operacion]],tblEjecucion[id_operacion],tblEjecucion[costo_plan_total],0)-tblOrdenes[[#This Row],[costo_servicio]]))</f>
        <v/>
      </c>
      <c r="AM1129" s="18">
        <f>IF(tblOrdenes[[#This Row],[orden]]="","",tblOrdenes[[#This Row],[costo_servicio]]+tblOrdenes[[#This Row],[costo_materiales]])</f>
        <v/>
      </c>
      <c r="AN1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29" s="4" t="n"/>
      <c r="AP1129" s="4" t="n"/>
      <c r="AQ1129" s="4" t="n"/>
      <c r="AR1129" s="5">
        <f>IF(tblOrdenes[[#This Row],[link_checklist]]="","",HYPERLINK(p_ruta_base_checklists&amp;tblOrdenes[[#This Row],[link_checklist]],"abrir"))</f>
        <v/>
      </c>
      <c r="AS1129" s="4" t="n"/>
      <c r="AT1129" s="5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22" t="n"/>
      <c r="K1130" s="5" t="n"/>
      <c r="L1130" s="18" t="n"/>
      <c r="M1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5">
        <f>IF(tblOrdenes[[#This Row],[fecha_inicio]]="","",YEAR(tblOrdenes[[#This Row],[fecha_inicio]]))</f>
        <v/>
      </c>
      <c r="Q1130" s="5">
        <f>IF(tblOrdenes[[#This Row],[fecha_inicio]]="","",MONTH(tblOrdenes[[#This Row],[fecha_inicio]]))</f>
        <v/>
      </c>
      <c r="R1130" s="5">
        <f>IF(tblOrdenes[[#This Row],[fecha_inicio]]="","",tblOrdenes[[#This Row],[anio]]&amp;"-"&amp;TEXT(tblOrdenes[[#This Row],[mes]],"00"))</f>
        <v/>
      </c>
      <c r="S1130" s="5">
        <f>IF(tblOrdenes[[#This Row],[fecha_inicio]]="","",INDEX(lista_dias,WEEKDAY(tblOrdenes[[#This Row],[fecha_inicio]],2)))</f>
        <v/>
      </c>
      <c r="T1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0" s="5">
        <f>IF(tblOrdenes[[#This Row],[tipo_ot]]="","",_xlfn.XLOOKUP(tblOrdenes[[#This Row],[tipo_ot]],tblTiposOT[codigo],tblTiposOT[clasificacion],"sin_clasificar"))</f>
        <v/>
      </c>
      <c r="V11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0" s="5">
        <f>IF(tblOrdenes[[#This Row],[centro_costo]]="","",_xlfn.XLOOKUP(tblOrdenes[[#This Row],[centro_costo]],tblCECO[codigo],tblCECO[linea],"(sin catálogo)"))</f>
        <v/>
      </c>
      <c r="X1130" s="5">
        <f>IF(tblOrdenes[[#This Row],[centro_costo]]="","",_xlfn.XLOOKUP(tblOrdenes[[#This Row],[centro_costo]],tblCECO[codigo],tblCECO[area],"(sin catálogo)"))</f>
        <v/>
      </c>
      <c r="Y1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0" s="5">
        <f>IF(tblOrdenes[[#This Row],[centro_costo]]="","",_xlfn.XLOOKUP(tblOrdenes[[#This Row],[centro_costo]],tblCECO[codigo],tblCECO[coordinador],"(sin catálogo)"))</f>
        <v/>
      </c>
      <c r="AA1130" s="5">
        <f>IF(tblOrdenes[[#This Row],[puesto_trabajo]]="","",_xlfn.XLOOKUP(tblOrdenes[[#This Row],[puesto_trabajo]],tblPuestos[codigo],tblPuestos[especialidad],"(sin catálogo)"))</f>
        <v/>
      </c>
      <c r="AB1130" s="5">
        <f>IF(tblOrdenes[[#This Row],[cod_actividad]]="","",_xlfn.XLOOKUP(tblOrdenes[[#This Row],[cod_actividad]],tblActividades[codigo],tblActividades[descripcion],"(sin catálogo)"))</f>
        <v/>
      </c>
      <c r="AC1130" s="20">
        <f>IF(tblOrdenes[[#This Row],[fecha_inicio]]="","",TODAY()-tblOrdenes[[#This Row],[fecha_inicio]])</f>
        <v/>
      </c>
      <c r="AD113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0" s="5">
        <f>IF(tblOrdenes[[#This Row],[backlog_habiles]]="","",IF(tblOrdenes[[#This Row],[backlog_habiles]]&lt;0,"FUTURO",IF(tblOrdenes[[#This Row],[backlog_habiles]]&gt;p_dias_backlog_max,"BACKLOG","MES CORRIENTE")))</f>
        <v/>
      </c>
      <c r="AF1130" s="5">
        <f>IF(tblOrdenes[[#This Row],[backlog_habiles]]="",FALSE,AND(tblOrdenes[[#This Row],[backlog_habiles]]&gt;p_dias_backlog_min,tblOrdenes[[#This Row],[backlog_habiles]]&lt;=p_dias_backlog_max))</f>
        <v/>
      </c>
      <c r="AG1130" s="4" t="n"/>
      <c r="AH1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0" s="18">
        <f>IF(tblOrdenes[[#This Row],[orden]]="","",_xlfn.XLOOKUP(tblOrdenes[[#This Row],[id_operacion]],tblEjecucion[id_operacion],tblEjecucion[precio],0))</f>
        <v/>
      </c>
      <c r="AL1130" s="18">
        <f>IF(tblOrdenes[[#This Row],[orden]]="","",MAX(0,_xlfn.XLOOKUP(tblOrdenes[[#This Row],[id_operacion]],tblEjecucion[id_operacion],tblEjecucion[costo_plan_total],0)-tblOrdenes[[#This Row],[costo_servicio]]))</f>
        <v/>
      </c>
      <c r="AM1130" s="18">
        <f>IF(tblOrdenes[[#This Row],[orden]]="","",tblOrdenes[[#This Row],[costo_servicio]]+tblOrdenes[[#This Row],[costo_materiales]])</f>
        <v/>
      </c>
      <c r="AN1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0" s="4" t="n"/>
      <c r="AP1130" s="4" t="n"/>
      <c r="AQ1130" s="4" t="n"/>
      <c r="AR1130" s="5">
        <f>IF(tblOrdenes[[#This Row],[link_checklist]]="","",HYPERLINK(p_ruta_base_checklists&amp;tblOrdenes[[#This Row],[link_checklist]],"abrir"))</f>
        <v/>
      </c>
      <c r="AS1130" s="4" t="n"/>
      <c r="AT1130" s="5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22" t="n"/>
      <c r="K1131" s="5" t="n"/>
      <c r="L1131" s="18" t="n"/>
      <c r="M1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5">
        <f>IF(tblOrdenes[[#This Row],[fecha_inicio]]="","",YEAR(tblOrdenes[[#This Row],[fecha_inicio]]))</f>
        <v/>
      </c>
      <c r="Q1131" s="5">
        <f>IF(tblOrdenes[[#This Row],[fecha_inicio]]="","",MONTH(tblOrdenes[[#This Row],[fecha_inicio]]))</f>
        <v/>
      </c>
      <c r="R1131" s="5">
        <f>IF(tblOrdenes[[#This Row],[fecha_inicio]]="","",tblOrdenes[[#This Row],[anio]]&amp;"-"&amp;TEXT(tblOrdenes[[#This Row],[mes]],"00"))</f>
        <v/>
      </c>
      <c r="S1131" s="5">
        <f>IF(tblOrdenes[[#This Row],[fecha_inicio]]="","",INDEX(lista_dias,WEEKDAY(tblOrdenes[[#This Row],[fecha_inicio]],2)))</f>
        <v/>
      </c>
      <c r="T1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1" s="5">
        <f>IF(tblOrdenes[[#This Row],[tipo_ot]]="","",_xlfn.XLOOKUP(tblOrdenes[[#This Row],[tipo_ot]],tblTiposOT[codigo],tblTiposOT[clasificacion],"sin_clasificar"))</f>
        <v/>
      </c>
      <c r="V11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1" s="5">
        <f>IF(tblOrdenes[[#This Row],[centro_costo]]="","",_xlfn.XLOOKUP(tblOrdenes[[#This Row],[centro_costo]],tblCECO[codigo],tblCECO[linea],"(sin catálogo)"))</f>
        <v/>
      </c>
      <c r="X1131" s="5">
        <f>IF(tblOrdenes[[#This Row],[centro_costo]]="","",_xlfn.XLOOKUP(tblOrdenes[[#This Row],[centro_costo]],tblCECO[codigo],tblCECO[area],"(sin catálogo)"))</f>
        <v/>
      </c>
      <c r="Y1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1" s="5">
        <f>IF(tblOrdenes[[#This Row],[centro_costo]]="","",_xlfn.XLOOKUP(tblOrdenes[[#This Row],[centro_costo]],tblCECO[codigo],tblCECO[coordinador],"(sin catálogo)"))</f>
        <v/>
      </c>
      <c r="AA1131" s="5">
        <f>IF(tblOrdenes[[#This Row],[puesto_trabajo]]="","",_xlfn.XLOOKUP(tblOrdenes[[#This Row],[puesto_trabajo]],tblPuestos[codigo],tblPuestos[especialidad],"(sin catálogo)"))</f>
        <v/>
      </c>
      <c r="AB1131" s="5">
        <f>IF(tblOrdenes[[#This Row],[cod_actividad]]="","",_xlfn.XLOOKUP(tblOrdenes[[#This Row],[cod_actividad]],tblActividades[codigo],tblActividades[descripcion],"(sin catálogo)"))</f>
        <v/>
      </c>
      <c r="AC1131" s="20">
        <f>IF(tblOrdenes[[#This Row],[fecha_inicio]]="","",TODAY()-tblOrdenes[[#This Row],[fecha_inicio]])</f>
        <v/>
      </c>
      <c r="AD113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1" s="5">
        <f>IF(tblOrdenes[[#This Row],[backlog_habiles]]="","",IF(tblOrdenes[[#This Row],[backlog_habiles]]&lt;0,"FUTURO",IF(tblOrdenes[[#This Row],[backlog_habiles]]&gt;p_dias_backlog_max,"BACKLOG","MES CORRIENTE")))</f>
        <v/>
      </c>
      <c r="AF1131" s="5">
        <f>IF(tblOrdenes[[#This Row],[backlog_habiles]]="",FALSE,AND(tblOrdenes[[#This Row],[backlog_habiles]]&gt;p_dias_backlog_min,tblOrdenes[[#This Row],[backlog_habiles]]&lt;=p_dias_backlog_max))</f>
        <v/>
      </c>
      <c r="AG1131" s="4" t="n"/>
      <c r="AH1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1" s="18">
        <f>IF(tblOrdenes[[#This Row],[orden]]="","",_xlfn.XLOOKUP(tblOrdenes[[#This Row],[id_operacion]],tblEjecucion[id_operacion],tblEjecucion[precio],0))</f>
        <v/>
      </c>
      <c r="AL1131" s="18">
        <f>IF(tblOrdenes[[#This Row],[orden]]="","",MAX(0,_xlfn.XLOOKUP(tblOrdenes[[#This Row],[id_operacion]],tblEjecucion[id_operacion],tblEjecucion[costo_plan_total],0)-tblOrdenes[[#This Row],[costo_servicio]]))</f>
        <v/>
      </c>
      <c r="AM1131" s="18">
        <f>IF(tblOrdenes[[#This Row],[orden]]="","",tblOrdenes[[#This Row],[costo_servicio]]+tblOrdenes[[#This Row],[costo_materiales]])</f>
        <v/>
      </c>
      <c r="AN1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1" s="4" t="n"/>
      <c r="AP1131" s="4" t="n"/>
      <c r="AQ1131" s="4" t="n"/>
      <c r="AR1131" s="5">
        <f>IF(tblOrdenes[[#This Row],[link_checklist]]="","",HYPERLINK(p_ruta_base_checklists&amp;tblOrdenes[[#This Row],[link_checklist]],"abrir"))</f>
        <v/>
      </c>
      <c r="AS1131" s="4" t="n"/>
      <c r="AT1131" s="5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22" t="n"/>
      <c r="K1132" s="5" t="n"/>
      <c r="L1132" s="18" t="n"/>
      <c r="M1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5">
        <f>IF(tblOrdenes[[#This Row],[fecha_inicio]]="","",YEAR(tblOrdenes[[#This Row],[fecha_inicio]]))</f>
        <v/>
      </c>
      <c r="Q1132" s="5">
        <f>IF(tblOrdenes[[#This Row],[fecha_inicio]]="","",MONTH(tblOrdenes[[#This Row],[fecha_inicio]]))</f>
        <v/>
      </c>
      <c r="R1132" s="5">
        <f>IF(tblOrdenes[[#This Row],[fecha_inicio]]="","",tblOrdenes[[#This Row],[anio]]&amp;"-"&amp;TEXT(tblOrdenes[[#This Row],[mes]],"00"))</f>
        <v/>
      </c>
      <c r="S1132" s="5">
        <f>IF(tblOrdenes[[#This Row],[fecha_inicio]]="","",INDEX(lista_dias,WEEKDAY(tblOrdenes[[#This Row],[fecha_inicio]],2)))</f>
        <v/>
      </c>
      <c r="T1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2" s="5">
        <f>IF(tblOrdenes[[#This Row],[tipo_ot]]="","",_xlfn.XLOOKUP(tblOrdenes[[#This Row],[tipo_ot]],tblTiposOT[codigo],tblTiposOT[clasificacion],"sin_clasificar"))</f>
        <v/>
      </c>
      <c r="V11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2" s="5">
        <f>IF(tblOrdenes[[#This Row],[centro_costo]]="","",_xlfn.XLOOKUP(tblOrdenes[[#This Row],[centro_costo]],tblCECO[codigo],tblCECO[linea],"(sin catálogo)"))</f>
        <v/>
      </c>
      <c r="X1132" s="5">
        <f>IF(tblOrdenes[[#This Row],[centro_costo]]="","",_xlfn.XLOOKUP(tblOrdenes[[#This Row],[centro_costo]],tblCECO[codigo],tblCECO[area],"(sin catálogo)"))</f>
        <v/>
      </c>
      <c r="Y1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2" s="5">
        <f>IF(tblOrdenes[[#This Row],[centro_costo]]="","",_xlfn.XLOOKUP(tblOrdenes[[#This Row],[centro_costo]],tblCECO[codigo],tblCECO[coordinador],"(sin catálogo)"))</f>
        <v/>
      </c>
      <c r="AA1132" s="5">
        <f>IF(tblOrdenes[[#This Row],[puesto_trabajo]]="","",_xlfn.XLOOKUP(tblOrdenes[[#This Row],[puesto_trabajo]],tblPuestos[codigo],tblPuestos[especialidad],"(sin catálogo)"))</f>
        <v/>
      </c>
      <c r="AB1132" s="5">
        <f>IF(tblOrdenes[[#This Row],[cod_actividad]]="","",_xlfn.XLOOKUP(tblOrdenes[[#This Row],[cod_actividad]],tblActividades[codigo],tblActividades[descripcion],"(sin catálogo)"))</f>
        <v/>
      </c>
      <c r="AC1132" s="20">
        <f>IF(tblOrdenes[[#This Row],[fecha_inicio]]="","",TODAY()-tblOrdenes[[#This Row],[fecha_inicio]])</f>
        <v/>
      </c>
      <c r="AD113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2" s="5">
        <f>IF(tblOrdenes[[#This Row],[backlog_habiles]]="","",IF(tblOrdenes[[#This Row],[backlog_habiles]]&lt;0,"FUTURO",IF(tblOrdenes[[#This Row],[backlog_habiles]]&gt;p_dias_backlog_max,"BACKLOG","MES CORRIENTE")))</f>
        <v/>
      </c>
      <c r="AF1132" s="5">
        <f>IF(tblOrdenes[[#This Row],[backlog_habiles]]="",FALSE,AND(tblOrdenes[[#This Row],[backlog_habiles]]&gt;p_dias_backlog_min,tblOrdenes[[#This Row],[backlog_habiles]]&lt;=p_dias_backlog_max))</f>
        <v/>
      </c>
      <c r="AG1132" s="4" t="n"/>
      <c r="AH1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2" s="18">
        <f>IF(tblOrdenes[[#This Row],[orden]]="","",_xlfn.XLOOKUP(tblOrdenes[[#This Row],[id_operacion]],tblEjecucion[id_operacion],tblEjecucion[precio],0))</f>
        <v/>
      </c>
      <c r="AL1132" s="18">
        <f>IF(tblOrdenes[[#This Row],[orden]]="","",MAX(0,_xlfn.XLOOKUP(tblOrdenes[[#This Row],[id_operacion]],tblEjecucion[id_operacion],tblEjecucion[costo_plan_total],0)-tblOrdenes[[#This Row],[costo_servicio]]))</f>
        <v/>
      </c>
      <c r="AM1132" s="18">
        <f>IF(tblOrdenes[[#This Row],[orden]]="","",tblOrdenes[[#This Row],[costo_servicio]]+tblOrdenes[[#This Row],[costo_materiales]])</f>
        <v/>
      </c>
      <c r="AN1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2" s="4" t="n"/>
      <c r="AP1132" s="4" t="n"/>
      <c r="AQ1132" s="4" t="n"/>
      <c r="AR1132" s="5">
        <f>IF(tblOrdenes[[#This Row],[link_checklist]]="","",HYPERLINK(p_ruta_base_checklists&amp;tblOrdenes[[#This Row],[link_checklist]],"abrir"))</f>
        <v/>
      </c>
      <c r="AS1132" s="4" t="n"/>
      <c r="AT1132" s="5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22" t="n"/>
      <c r="K1133" s="5" t="n"/>
      <c r="L1133" s="18" t="n"/>
      <c r="M1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5">
        <f>IF(tblOrdenes[[#This Row],[fecha_inicio]]="","",YEAR(tblOrdenes[[#This Row],[fecha_inicio]]))</f>
        <v/>
      </c>
      <c r="Q1133" s="5">
        <f>IF(tblOrdenes[[#This Row],[fecha_inicio]]="","",MONTH(tblOrdenes[[#This Row],[fecha_inicio]]))</f>
        <v/>
      </c>
      <c r="R1133" s="5">
        <f>IF(tblOrdenes[[#This Row],[fecha_inicio]]="","",tblOrdenes[[#This Row],[anio]]&amp;"-"&amp;TEXT(tblOrdenes[[#This Row],[mes]],"00"))</f>
        <v/>
      </c>
      <c r="S1133" s="5">
        <f>IF(tblOrdenes[[#This Row],[fecha_inicio]]="","",INDEX(lista_dias,WEEKDAY(tblOrdenes[[#This Row],[fecha_inicio]],2)))</f>
        <v/>
      </c>
      <c r="T1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3" s="5">
        <f>IF(tblOrdenes[[#This Row],[tipo_ot]]="","",_xlfn.XLOOKUP(tblOrdenes[[#This Row],[tipo_ot]],tblTiposOT[codigo],tblTiposOT[clasificacion],"sin_clasificar"))</f>
        <v/>
      </c>
      <c r="V11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3" s="5">
        <f>IF(tblOrdenes[[#This Row],[centro_costo]]="","",_xlfn.XLOOKUP(tblOrdenes[[#This Row],[centro_costo]],tblCECO[codigo],tblCECO[linea],"(sin catálogo)"))</f>
        <v/>
      </c>
      <c r="X1133" s="5">
        <f>IF(tblOrdenes[[#This Row],[centro_costo]]="","",_xlfn.XLOOKUP(tblOrdenes[[#This Row],[centro_costo]],tblCECO[codigo],tblCECO[area],"(sin catálogo)"))</f>
        <v/>
      </c>
      <c r="Y1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3" s="5">
        <f>IF(tblOrdenes[[#This Row],[centro_costo]]="","",_xlfn.XLOOKUP(tblOrdenes[[#This Row],[centro_costo]],tblCECO[codigo],tblCECO[coordinador],"(sin catálogo)"))</f>
        <v/>
      </c>
      <c r="AA1133" s="5">
        <f>IF(tblOrdenes[[#This Row],[puesto_trabajo]]="","",_xlfn.XLOOKUP(tblOrdenes[[#This Row],[puesto_trabajo]],tblPuestos[codigo],tblPuestos[especialidad],"(sin catálogo)"))</f>
        <v/>
      </c>
      <c r="AB1133" s="5">
        <f>IF(tblOrdenes[[#This Row],[cod_actividad]]="","",_xlfn.XLOOKUP(tblOrdenes[[#This Row],[cod_actividad]],tblActividades[codigo],tblActividades[descripcion],"(sin catálogo)"))</f>
        <v/>
      </c>
      <c r="AC1133" s="20">
        <f>IF(tblOrdenes[[#This Row],[fecha_inicio]]="","",TODAY()-tblOrdenes[[#This Row],[fecha_inicio]])</f>
        <v/>
      </c>
      <c r="AD113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3" s="5">
        <f>IF(tblOrdenes[[#This Row],[backlog_habiles]]="","",IF(tblOrdenes[[#This Row],[backlog_habiles]]&lt;0,"FUTURO",IF(tblOrdenes[[#This Row],[backlog_habiles]]&gt;p_dias_backlog_max,"BACKLOG","MES CORRIENTE")))</f>
        <v/>
      </c>
      <c r="AF1133" s="5">
        <f>IF(tblOrdenes[[#This Row],[backlog_habiles]]="",FALSE,AND(tblOrdenes[[#This Row],[backlog_habiles]]&gt;p_dias_backlog_min,tblOrdenes[[#This Row],[backlog_habiles]]&lt;=p_dias_backlog_max))</f>
        <v/>
      </c>
      <c r="AG1133" s="4" t="n"/>
      <c r="AH1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3" s="18">
        <f>IF(tblOrdenes[[#This Row],[orden]]="","",_xlfn.XLOOKUP(tblOrdenes[[#This Row],[id_operacion]],tblEjecucion[id_operacion],tblEjecucion[precio],0))</f>
        <v/>
      </c>
      <c r="AL1133" s="18">
        <f>IF(tblOrdenes[[#This Row],[orden]]="","",MAX(0,_xlfn.XLOOKUP(tblOrdenes[[#This Row],[id_operacion]],tblEjecucion[id_operacion],tblEjecucion[costo_plan_total],0)-tblOrdenes[[#This Row],[costo_servicio]]))</f>
        <v/>
      </c>
      <c r="AM1133" s="18">
        <f>IF(tblOrdenes[[#This Row],[orden]]="","",tblOrdenes[[#This Row],[costo_servicio]]+tblOrdenes[[#This Row],[costo_materiales]])</f>
        <v/>
      </c>
      <c r="AN1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3" s="4" t="n"/>
      <c r="AP1133" s="4" t="n"/>
      <c r="AQ1133" s="4" t="n"/>
      <c r="AR1133" s="5">
        <f>IF(tblOrdenes[[#This Row],[link_checklist]]="","",HYPERLINK(p_ruta_base_checklists&amp;tblOrdenes[[#This Row],[link_checklist]],"abrir"))</f>
        <v/>
      </c>
      <c r="AS1133" s="4" t="n"/>
      <c r="AT1133" s="5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22" t="n"/>
      <c r="K1134" s="5" t="n"/>
      <c r="L1134" s="18" t="n"/>
      <c r="M1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5">
        <f>IF(tblOrdenes[[#This Row],[fecha_inicio]]="","",YEAR(tblOrdenes[[#This Row],[fecha_inicio]]))</f>
        <v/>
      </c>
      <c r="Q1134" s="5">
        <f>IF(tblOrdenes[[#This Row],[fecha_inicio]]="","",MONTH(tblOrdenes[[#This Row],[fecha_inicio]]))</f>
        <v/>
      </c>
      <c r="R1134" s="5">
        <f>IF(tblOrdenes[[#This Row],[fecha_inicio]]="","",tblOrdenes[[#This Row],[anio]]&amp;"-"&amp;TEXT(tblOrdenes[[#This Row],[mes]],"00"))</f>
        <v/>
      </c>
      <c r="S1134" s="5">
        <f>IF(tblOrdenes[[#This Row],[fecha_inicio]]="","",INDEX(lista_dias,WEEKDAY(tblOrdenes[[#This Row],[fecha_inicio]],2)))</f>
        <v/>
      </c>
      <c r="T1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4" s="5">
        <f>IF(tblOrdenes[[#This Row],[tipo_ot]]="","",_xlfn.XLOOKUP(tblOrdenes[[#This Row],[tipo_ot]],tblTiposOT[codigo],tblTiposOT[clasificacion],"sin_clasificar"))</f>
        <v/>
      </c>
      <c r="V11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4" s="5">
        <f>IF(tblOrdenes[[#This Row],[centro_costo]]="","",_xlfn.XLOOKUP(tblOrdenes[[#This Row],[centro_costo]],tblCECO[codigo],tblCECO[linea],"(sin catálogo)"))</f>
        <v/>
      </c>
      <c r="X1134" s="5">
        <f>IF(tblOrdenes[[#This Row],[centro_costo]]="","",_xlfn.XLOOKUP(tblOrdenes[[#This Row],[centro_costo]],tblCECO[codigo],tblCECO[area],"(sin catálogo)"))</f>
        <v/>
      </c>
      <c r="Y1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4" s="5">
        <f>IF(tblOrdenes[[#This Row],[centro_costo]]="","",_xlfn.XLOOKUP(tblOrdenes[[#This Row],[centro_costo]],tblCECO[codigo],tblCECO[coordinador],"(sin catálogo)"))</f>
        <v/>
      </c>
      <c r="AA1134" s="5">
        <f>IF(tblOrdenes[[#This Row],[puesto_trabajo]]="","",_xlfn.XLOOKUP(tblOrdenes[[#This Row],[puesto_trabajo]],tblPuestos[codigo],tblPuestos[especialidad],"(sin catálogo)"))</f>
        <v/>
      </c>
      <c r="AB1134" s="5">
        <f>IF(tblOrdenes[[#This Row],[cod_actividad]]="","",_xlfn.XLOOKUP(tblOrdenes[[#This Row],[cod_actividad]],tblActividades[codigo],tblActividades[descripcion],"(sin catálogo)"))</f>
        <v/>
      </c>
      <c r="AC1134" s="20">
        <f>IF(tblOrdenes[[#This Row],[fecha_inicio]]="","",TODAY()-tblOrdenes[[#This Row],[fecha_inicio]])</f>
        <v/>
      </c>
      <c r="AD113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4" s="5">
        <f>IF(tblOrdenes[[#This Row],[backlog_habiles]]="","",IF(tblOrdenes[[#This Row],[backlog_habiles]]&lt;0,"FUTURO",IF(tblOrdenes[[#This Row],[backlog_habiles]]&gt;p_dias_backlog_max,"BACKLOG","MES CORRIENTE")))</f>
        <v/>
      </c>
      <c r="AF1134" s="5">
        <f>IF(tblOrdenes[[#This Row],[backlog_habiles]]="",FALSE,AND(tblOrdenes[[#This Row],[backlog_habiles]]&gt;p_dias_backlog_min,tblOrdenes[[#This Row],[backlog_habiles]]&lt;=p_dias_backlog_max))</f>
        <v/>
      </c>
      <c r="AG1134" s="4" t="n"/>
      <c r="AH1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4" s="18">
        <f>IF(tblOrdenes[[#This Row],[orden]]="","",_xlfn.XLOOKUP(tblOrdenes[[#This Row],[id_operacion]],tblEjecucion[id_operacion],tblEjecucion[precio],0))</f>
        <v/>
      </c>
      <c r="AL1134" s="18">
        <f>IF(tblOrdenes[[#This Row],[orden]]="","",MAX(0,_xlfn.XLOOKUP(tblOrdenes[[#This Row],[id_operacion]],tblEjecucion[id_operacion],tblEjecucion[costo_plan_total],0)-tblOrdenes[[#This Row],[costo_servicio]]))</f>
        <v/>
      </c>
      <c r="AM1134" s="18">
        <f>IF(tblOrdenes[[#This Row],[orden]]="","",tblOrdenes[[#This Row],[costo_servicio]]+tblOrdenes[[#This Row],[costo_materiales]])</f>
        <v/>
      </c>
      <c r="AN1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4" s="4" t="n"/>
      <c r="AP1134" s="4" t="n"/>
      <c r="AQ1134" s="4" t="n"/>
      <c r="AR1134" s="5">
        <f>IF(tblOrdenes[[#This Row],[link_checklist]]="","",HYPERLINK(p_ruta_base_checklists&amp;tblOrdenes[[#This Row],[link_checklist]],"abrir"))</f>
        <v/>
      </c>
      <c r="AS1134" s="4" t="n"/>
      <c r="AT1134" s="5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22" t="n"/>
      <c r="K1135" s="5" t="n"/>
      <c r="L1135" s="18" t="n"/>
      <c r="M1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5">
        <f>IF(tblOrdenes[[#This Row],[fecha_inicio]]="","",YEAR(tblOrdenes[[#This Row],[fecha_inicio]]))</f>
        <v/>
      </c>
      <c r="Q1135" s="5">
        <f>IF(tblOrdenes[[#This Row],[fecha_inicio]]="","",MONTH(tblOrdenes[[#This Row],[fecha_inicio]]))</f>
        <v/>
      </c>
      <c r="R1135" s="5">
        <f>IF(tblOrdenes[[#This Row],[fecha_inicio]]="","",tblOrdenes[[#This Row],[anio]]&amp;"-"&amp;TEXT(tblOrdenes[[#This Row],[mes]],"00"))</f>
        <v/>
      </c>
      <c r="S1135" s="5">
        <f>IF(tblOrdenes[[#This Row],[fecha_inicio]]="","",INDEX(lista_dias,WEEKDAY(tblOrdenes[[#This Row],[fecha_inicio]],2)))</f>
        <v/>
      </c>
      <c r="T1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5" s="5">
        <f>IF(tblOrdenes[[#This Row],[tipo_ot]]="","",_xlfn.XLOOKUP(tblOrdenes[[#This Row],[tipo_ot]],tblTiposOT[codigo],tblTiposOT[clasificacion],"sin_clasificar"))</f>
        <v/>
      </c>
      <c r="V11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5" s="5">
        <f>IF(tblOrdenes[[#This Row],[centro_costo]]="","",_xlfn.XLOOKUP(tblOrdenes[[#This Row],[centro_costo]],tblCECO[codigo],tblCECO[linea],"(sin catálogo)"))</f>
        <v/>
      </c>
      <c r="X1135" s="5">
        <f>IF(tblOrdenes[[#This Row],[centro_costo]]="","",_xlfn.XLOOKUP(tblOrdenes[[#This Row],[centro_costo]],tblCECO[codigo],tblCECO[area],"(sin catálogo)"))</f>
        <v/>
      </c>
      <c r="Y1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5" s="5">
        <f>IF(tblOrdenes[[#This Row],[centro_costo]]="","",_xlfn.XLOOKUP(tblOrdenes[[#This Row],[centro_costo]],tblCECO[codigo],tblCECO[coordinador],"(sin catálogo)"))</f>
        <v/>
      </c>
      <c r="AA1135" s="5">
        <f>IF(tblOrdenes[[#This Row],[puesto_trabajo]]="","",_xlfn.XLOOKUP(tblOrdenes[[#This Row],[puesto_trabajo]],tblPuestos[codigo],tblPuestos[especialidad],"(sin catálogo)"))</f>
        <v/>
      </c>
      <c r="AB1135" s="5">
        <f>IF(tblOrdenes[[#This Row],[cod_actividad]]="","",_xlfn.XLOOKUP(tblOrdenes[[#This Row],[cod_actividad]],tblActividades[codigo],tblActividades[descripcion],"(sin catálogo)"))</f>
        <v/>
      </c>
      <c r="AC1135" s="20">
        <f>IF(tblOrdenes[[#This Row],[fecha_inicio]]="","",TODAY()-tblOrdenes[[#This Row],[fecha_inicio]])</f>
        <v/>
      </c>
      <c r="AD113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5" s="5">
        <f>IF(tblOrdenes[[#This Row],[backlog_habiles]]="","",IF(tblOrdenes[[#This Row],[backlog_habiles]]&lt;0,"FUTURO",IF(tblOrdenes[[#This Row],[backlog_habiles]]&gt;p_dias_backlog_max,"BACKLOG","MES CORRIENTE")))</f>
        <v/>
      </c>
      <c r="AF1135" s="5">
        <f>IF(tblOrdenes[[#This Row],[backlog_habiles]]="",FALSE,AND(tblOrdenes[[#This Row],[backlog_habiles]]&gt;p_dias_backlog_min,tblOrdenes[[#This Row],[backlog_habiles]]&lt;=p_dias_backlog_max))</f>
        <v/>
      </c>
      <c r="AG1135" s="4" t="n"/>
      <c r="AH1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5" s="18">
        <f>IF(tblOrdenes[[#This Row],[orden]]="","",_xlfn.XLOOKUP(tblOrdenes[[#This Row],[id_operacion]],tblEjecucion[id_operacion],tblEjecucion[precio],0))</f>
        <v/>
      </c>
      <c r="AL1135" s="18">
        <f>IF(tblOrdenes[[#This Row],[orden]]="","",MAX(0,_xlfn.XLOOKUP(tblOrdenes[[#This Row],[id_operacion]],tblEjecucion[id_operacion],tblEjecucion[costo_plan_total],0)-tblOrdenes[[#This Row],[costo_servicio]]))</f>
        <v/>
      </c>
      <c r="AM1135" s="18">
        <f>IF(tblOrdenes[[#This Row],[orden]]="","",tblOrdenes[[#This Row],[costo_servicio]]+tblOrdenes[[#This Row],[costo_materiales]])</f>
        <v/>
      </c>
      <c r="AN1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5" s="4" t="n"/>
      <c r="AP1135" s="4" t="n"/>
      <c r="AQ1135" s="4" t="n"/>
      <c r="AR1135" s="5">
        <f>IF(tblOrdenes[[#This Row],[link_checklist]]="","",HYPERLINK(p_ruta_base_checklists&amp;tblOrdenes[[#This Row],[link_checklist]],"abrir"))</f>
        <v/>
      </c>
      <c r="AS1135" s="4" t="n"/>
      <c r="AT1135" s="5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22" t="n"/>
      <c r="K1136" s="5" t="n"/>
      <c r="L1136" s="18" t="n"/>
      <c r="M1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5">
        <f>IF(tblOrdenes[[#This Row],[fecha_inicio]]="","",YEAR(tblOrdenes[[#This Row],[fecha_inicio]]))</f>
        <v/>
      </c>
      <c r="Q1136" s="5">
        <f>IF(tblOrdenes[[#This Row],[fecha_inicio]]="","",MONTH(tblOrdenes[[#This Row],[fecha_inicio]]))</f>
        <v/>
      </c>
      <c r="R1136" s="5">
        <f>IF(tblOrdenes[[#This Row],[fecha_inicio]]="","",tblOrdenes[[#This Row],[anio]]&amp;"-"&amp;TEXT(tblOrdenes[[#This Row],[mes]],"00"))</f>
        <v/>
      </c>
      <c r="S1136" s="5">
        <f>IF(tblOrdenes[[#This Row],[fecha_inicio]]="","",INDEX(lista_dias,WEEKDAY(tblOrdenes[[#This Row],[fecha_inicio]],2)))</f>
        <v/>
      </c>
      <c r="T1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6" s="5">
        <f>IF(tblOrdenes[[#This Row],[tipo_ot]]="","",_xlfn.XLOOKUP(tblOrdenes[[#This Row],[tipo_ot]],tblTiposOT[codigo],tblTiposOT[clasificacion],"sin_clasificar"))</f>
        <v/>
      </c>
      <c r="V11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6" s="5">
        <f>IF(tblOrdenes[[#This Row],[centro_costo]]="","",_xlfn.XLOOKUP(tblOrdenes[[#This Row],[centro_costo]],tblCECO[codigo],tblCECO[linea],"(sin catálogo)"))</f>
        <v/>
      </c>
      <c r="X1136" s="5">
        <f>IF(tblOrdenes[[#This Row],[centro_costo]]="","",_xlfn.XLOOKUP(tblOrdenes[[#This Row],[centro_costo]],tblCECO[codigo],tblCECO[area],"(sin catálogo)"))</f>
        <v/>
      </c>
      <c r="Y1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6" s="5">
        <f>IF(tblOrdenes[[#This Row],[centro_costo]]="","",_xlfn.XLOOKUP(tblOrdenes[[#This Row],[centro_costo]],tblCECO[codigo],tblCECO[coordinador],"(sin catálogo)"))</f>
        <v/>
      </c>
      <c r="AA1136" s="5">
        <f>IF(tblOrdenes[[#This Row],[puesto_trabajo]]="","",_xlfn.XLOOKUP(tblOrdenes[[#This Row],[puesto_trabajo]],tblPuestos[codigo],tblPuestos[especialidad],"(sin catálogo)"))</f>
        <v/>
      </c>
      <c r="AB1136" s="5">
        <f>IF(tblOrdenes[[#This Row],[cod_actividad]]="","",_xlfn.XLOOKUP(tblOrdenes[[#This Row],[cod_actividad]],tblActividades[codigo],tblActividades[descripcion],"(sin catálogo)"))</f>
        <v/>
      </c>
      <c r="AC1136" s="20">
        <f>IF(tblOrdenes[[#This Row],[fecha_inicio]]="","",TODAY()-tblOrdenes[[#This Row],[fecha_inicio]])</f>
        <v/>
      </c>
      <c r="AD113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6" s="5">
        <f>IF(tblOrdenes[[#This Row],[backlog_habiles]]="","",IF(tblOrdenes[[#This Row],[backlog_habiles]]&lt;0,"FUTURO",IF(tblOrdenes[[#This Row],[backlog_habiles]]&gt;p_dias_backlog_max,"BACKLOG","MES CORRIENTE")))</f>
        <v/>
      </c>
      <c r="AF1136" s="5">
        <f>IF(tblOrdenes[[#This Row],[backlog_habiles]]="",FALSE,AND(tblOrdenes[[#This Row],[backlog_habiles]]&gt;p_dias_backlog_min,tblOrdenes[[#This Row],[backlog_habiles]]&lt;=p_dias_backlog_max))</f>
        <v/>
      </c>
      <c r="AG1136" s="4" t="n"/>
      <c r="AH1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6" s="18">
        <f>IF(tblOrdenes[[#This Row],[orden]]="","",_xlfn.XLOOKUP(tblOrdenes[[#This Row],[id_operacion]],tblEjecucion[id_operacion],tblEjecucion[precio],0))</f>
        <v/>
      </c>
      <c r="AL1136" s="18">
        <f>IF(tblOrdenes[[#This Row],[orden]]="","",MAX(0,_xlfn.XLOOKUP(tblOrdenes[[#This Row],[id_operacion]],tblEjecucion[id_operacion],tblEjecucion[costo_plan_total],0)-tblOrdenes[[#This Row],[costo_servicio]]))</f>
        <v/>
      </c>
      <c r="AM1136" s="18">
        <f>IF(tblOrdenes[[#This Row],[orden]]="","",tblOrdenes[[#This Row],[costo_servicio]]+tblOrdenes[[#This Row],[costo_materiales]])</f>
        <v/>
      </c>
      <c r="AN1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6" s="4" t="n"/>
      <c r="AP1136" s="4" t="n"/>
      <c r="AQ1136" s="4" t="n"/>
      <c r="AR1136" s="5">
        <f>IF(tblOrdenes[[#This Row],[link_checklist]]="","",HYPERLINK(p_ruta_base_checklists&amp;tblOrdenes[[#This Row],[link_checklist]],"abrir"))</f>
        <v/>
      </c>
      <c r="AS1136" s="4" t="n"/>
      <c r="AT1136" s="5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22" t="n"/>
      <c r="K1137" s="5" t="n"/>
      <c r="L1137" s="18" t="n"/>
      <c r="M1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5">
        <f>IF(tblOrdenes[[#This Row],[fecha_inicio]]="","",YEAR(tblOrdenes[[#This Row],[fecha_inicio]]))</f>
        <v/>
      </c>
      <c r="Q1137" s="5">
        <f>IF(tblOrdenes[[#This Row],[fecha_inicio]]="","",MONTH(tblOrdenes[[#This Row],[fecha_inicio]]))</f>
        <v/>
      </c>
      <c r="R1137" s="5">
        <f>IF(tblOrdenes[[#This Row],[fecha_inicio]]="","",tblOrdenes[[#This Row],[anio]]&amp;"-"&amp;TEXT(tblOrdenes[[#This Row],[mes]],"00"))</f>
        <v/>
      </c>
      <c r="S1137" s="5">
        <f>IF(tblOrdenes[[#This Row],[fecha_inicio]]="","",INDEX(lista_dias,WEEKDAY(tblOrdenes[[#This Row],[fecha_inicio]],2)))</f>
        <v/>
      </c>
      <c r="T1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7" s="5">
        <f>IF(tblOrdenes[[#This Row],[tipo_ot]]="","",_xlfn.XLOOKUP(tblOrdenes[[#This Row],[tipo_ot]],tblTiposOT[codigo],tblTiposOT[clasificacion],"sin_clasificar"))</f>
        <v/>
      </c>
      <c r="V11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7" s="5">
        <f>IF(tblOrdenes[[#This Row],[centro_costo]]="","",_xlfn.XLOOKUP(tblOrdenes[[#This Row],[centro_costo]],tblCECO[codigo],tblCECO[linea],"(sin catálogo)"))</f>
        <v/>
      </c>
      <c r="X1137" s="5">
        <f>IF(tblOrdenes[[#This Row],[centro_costo]]="","",_xlfn.XLOOKUP(tblOrdenes[[#This Row],[centro_costo]],tblCECO[codigo],tblCECO[area],"(sin catálogo)"))</f>
        <v/>
      </c>
      <c r="Y1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7" s="5">
        <f>IF(tblOrdenes[[#This Row],[centro_costo]]="","",_xlfn.XLOOKUP(tblOrdenes[[#This Row],[centro_costo]],tblCECO[codigo],tblCECO[coordinador],"(sin catálogo)"))</f>
        <v/>
      </c>
      <c r="AA1137" s="5">
        <f>IF(tblOrdenes[[#This Row],[puesto_trabajo]]="","",_xlfn.XLOOKUP(tblOrdenes[[#This Row],[puesto_trabajo]],tblPuestos[codigo],tblPuestos[especialidad],"(sin catálogo)"))</f>
        <v/>
      </c>
      <c r="AB1137" s="5">
        <f>IF(tblOrdenes[[#This Row],[cod_actividad]]="","",_xlfn.XLOOKUP(tblOrdenes[[#This Row],[cod_actividad]],tblActividades[codigo],tblActividades[descripcion],"(sin catálogo)"))</f>
        <v/>
      </c>
      <c r="AC1137" s="20">
        <f>IF(tblOrdenes[[#This Row],[fecha_inicio]]="","",TODAY()-tblOrdenes[[#This Row],[fecha_inicio]])</f>
        <v/>
      </c>
      <c r="AD113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7" s="5">
        <f>IF(tblOrdenes[[#This Row],[backlog_habiles]]="","",IF(tblOrdenes[[#This Row],[backlog_habiles]]&lt;0,"FUTURO",IF(tblOrdenes[[#This Row],[backlog_habiles]]&gt;p_dias_backlog_max,"BACKLOG","MES CORRIENTE")))</f>
        <v/>
      </c>
      <c r="AF1137" s="5">
        <f>IF(tblOrdenes[[#This Row],[backlog_habiles]]="",FALSE,AND(tblOrdenes[[#This Row],[backlog_habiles]]&gt;p_dias_backlog_min,tblOrdenes[[#This Row],[backlog_habiles]]&lt;=p_dias_backlog_max))</f>
        <v/>
      </c>
      <c r="AG1137" s="4" t="n"/>
      <c r="AH1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7" s="18">
        <f>IF(tblOrdenes[[#This Row],[orden]]="","",_xlfn.XLOOKUP(tblOrdenes[[#This Row],[id_operacion]],tblEjecucion[id_operacion],tblEjecucion[precio],0))</f>
        <v/>
      </c>
      <c r="AL1137" s="18">
        <f>IF(tblOrdenes[[#This Row],[orden]]="","",MAX(0,_xlfn.XLOOKUP(tblOrdenes[[#This Row],[id_operacion]],tblEjecucion[id_operacion],tblEjecucion[costo_plan_total],0)-tblOrdenes[[#This Row],[costo_servicio]]))</f>
        <v/>
      </c>
      <c r="AM1137" s="18">
        <f>IF(tblOrdenes[[#This Row],[orden]]="","",tblOrdenes[[#This Row],[costo_servicio]]+tblOrdenes[[#This Row],[costo_materiales]])</f>
        <v/>
      </c>
      <c r="AN1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7" s="4" t="n"/>
      <c r="AP1137" s="4" t="n"/>
      <c r="AQ1137" s="4" t="n"/>
      <c r="AR1137" s="5">
        <f>IF(tblOrdenes[[#This Row],[link_checklist]]="","",HYPERLINK(p_ruta_base_checklists&amp;tblOrdenes[[#This Row],[link_checklist]],"abrir"))</f>
        <v/>
      </c>
      <c r="AS1137" s="4" t="n"/>
      <c r="AT1137" s="5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22" t="n"/>
      <c r="K1138" s="5" t="n"/>
      <c r="L1138" s="18" t="n"/>
      <c r="M1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5">
        <f>IF(tblOrdenes[[#This Row],[fecha_inicio]]="","",YEAR(tblOrdenes[[#This Row],[fecha_inicio]]))</f>
        <v/>
      </c>
      <c r="Q1138" s="5">
        <f>IF(tblOrdenes[[#This Row],[fecha_inicio]]="","",MONTH(tblOrdenes[[#This Row],[fecha_inicio]]))</f>
        <v/>
      </c>
      <c r="R1138" s="5">
        <f>IF(tblOrdenes[[#This Row],[fecha_inicio]]="","",tblOrdenes[[#This Row],[anio]]&amp;"-"&amp;TEXT(tblOrdenes[[#This Row],[mes]],"00"))</f>
        <v/>
      </c>
      <c r="S1138" s="5">
        <f>IF(tblOrdenes[[#This Row],[fecha_inicio]]="","",INDEX(lista_dias,WEEKDAY(tblOrdenes[[#This Row],[fecha_inicio]],2)))</f>
        <v/>
      </c>
      <c r="T1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8" s="5">
        <f>IF(tblOrdenes[[#This Row],[tipo_ot]]="","",_xlfn.XLOOKUP(tblOrdenes[[#This Row],[tipo_ot]],tblTiposOT[codigo],tblTiposOT[clasificacion],"sin_clasificar"))</f>
        <v/>
      </c>
      <c r="V11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8" s="5">
        <f>IF(tblOrdenes[[#This Row],[centro_costo]]="","",_xlfn.XLOOKUP(tblOrdenes[[#This Row],[centro_costo]],tblCECO[codigo],tblCECO[linea],"(sin catálogo)"))</f>
        <v/>
      </c>
      <c r="X1138" s="5">
        <f>IF(tblOrdenes[[#This Row],[centro_costo]]="","",_xlfn.XLOOKUP(tblOrdenes[[#This Row],[centro_costo]],tblCECO[codigo],tblCECO[area],"(sin catálogo)"))</f>
        <v/>
      </c>
      <c r="Y1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8" s="5">
        <f>IF(tblOrdenes[[#This Row],[centro_costo]]="","",_xlfn.XLOOKUP(tblOrdenes[[#This Row],[centro_costo]],tblCECO[codigo],tblCECO[coordinador],"(sin catálogo)"))</f>
        <v/>
      </c>
      <c r="AA1138" s="5">
        <f>IF(tblOrdenes[[#This Row],[puesto_trabajo]]="","",_xlfn.XLOOKUP(tblOrdenes[[#This Row],[puesto_trabajo]],tblPuestos[codigo],tblPuestos[especialidad],"(sin catálogo)"))</f>
        <v/>
      </c>
      <c r="AB1138" s="5">
        <f>IF(tblOrdenes[[#This Row],[cod_actividad]]="","",_xlfn.XLOOKUP(tblOrdenes[[#This Row],[cod_actividad]],tblActividades[codigo],tblActividades[descripcion],"(sin catálogo)"))</f>
        <v/>
      </c>
      <c r="AC1138" s="20">
        <f>IF(tblOrdenes[[#This Row],[fecha_inicio]]="","",TODAY()-tblOrdenes[[#This Row],[fecha_inicio]])</f>
        <v/>
      </c>
      <c r="AD113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8" s="5">
        <f>IF(tblOrdenes[[#This Row],[backlog_habiles]]="","",IF(tblOrdenes[[#This Row],[backlog_habiles]]&lt;0,"FUTURO",IF(tblOrdenes[[#This Row],[backlog_habiles]]&gt;p_dias_backlog_max,"BACKLOG","MES CORRIENTE")))</f>
        <v/>
      </c>
      <c r="AF1138" s="5">
        <f>IF(tblOrdenes[[#This Row],[backlog_habiles]]="",FALSE,AND(tblOrdenes[[#This Row],[backlog_habiles]]&gt;p_dias_backlog_min,tblOrdenes[[#This Row],[backlog_habiles]]&lt;=p_dias_backlog_max))</f>
        <v/>
      </c>
      <c r="AG1138" s="4" t="n"/>
      <c r="AH1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8" s="18">
        <f>IF(tblOrdenes[[#This Row],[orden]]="","",_xlfn.XLOOKUP(tblOrdenes[[#This Row],[id_operacion]],tblEjecucion[id_operacion],tblEjecucion[precio],0))</f>
        <v/>
      </c>
      <c r="AL1138" s="18">
        <f>IF(tblOrdenes[[#This Row],[orden]]="","",MAX(0,_xlfn.XLOOKUP(tblOrdenes[[#This Row],[id_operacion]],tblEjecucion[id_operacion],tblEjecucion[costo_plan_total],0)-tblOrdenes[[#This Row],[costo_servicio]]))</f>
        <v/>
      </c>
      <c r="AM1138" s="18">
        <f>IF(tblOrdenes[[#This Row],[orden]]="","",tblOrdenes[[#This Row],[costo_servicio]]+tblOrdenes[[#This Row],[costo_materiales]])</f>
        <v/>
      </c>
      <c r="AN1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8" s="4" t="n"/>
      <c r="AP1138" s="4" t="n"/>
      <c r="AQ1138" s="4" t="n"/>
      <c r="AR1138" s="5">
        <f>IF(tblOrdenes[[#This Row],[link_checklist]]="","",HYPERLINK(p_ruta_base_checklists&amp;tblOrdenes[[#This Row],[link_checklist]],"abrir"))</f>
        <v/>
      </c>
      <c r="AS1138" s="4" t="n"/>
      <c r="AT1138" s="5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22" t="n"/>
      <c r="K1139" s="5" t="n"/>
      <c r="L1139" s="18" t="n"/>
      <c r="M1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5">
        <f>IF(tblOrdenes[[#This Row],[fecha_inicio]]="","",YEAR(tblOrdenes[[#This Row],[fecha_inicio]]))</f>
        <v/>
      </c>
      <c r="Q1139" s="5">
        <f>IF(tblOrdenes[[#This Row],[fecha_inicio]]="","",MONTH(tblOrdenes[[#This Row],[fecha_inicio]]))</f>
        <v/>
      </c>
      <c r="R1139" s="5">
        <f>IF(tblOrdenes[[#This Row],[fecha_inicio]]="","",tblOrdenes[[#This Row],[anio]]&amp;"-"&amp;TEXT(tblOrdenes[[#This Row],[mes]],"00"))</f>
        <v/>
      </c>
      <c r="S1139" s="5">
        <f>IF(tblOrdenes[[#This Row],[fecha_inicio]]="","",INDEX(lista_dias,WEEKDAY(tblOrdenes[[#This Row],[fecha_inicio]],2)))</f>
        <v/>
      </c>
      <c r="T1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9" s="5">
        <f>IF(tblOrdenes[[#This Row],[tipo_ot]]="","",_xlfn.XLOOKUP(tblOrdenes[[#This Row],[tipo_ot]],tblTiposOT[codigo],tblTiposOT[clasificacion],"sin_clasificar"))</f>
        <v/>
      </c>
      <c r="V11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9" s="5">
        <f>IF(tblOrdenes[[#This Row],[centro_costo]]="","",_xlfn.XLOOKUP(tblOrdenes[[#This Row],[centro_costo]],tblCECO[codigo],tblCECO[linea],"(sin catálogo)"))</f>
        <v/>
      </c>
      <c r="X1139" s="5">
        <f>IF(tblOrdenes[[#This Row],[centro_costo]]="","",_xlfn.XLOOKUP(tblOrdenes[[#This Row],[centro_costo]],tblCECO[codigo],tblCECO[area],"(sin catálogo)"))</f>
        <v/>
      </c>
      <c r="Y1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39" s="5">
        <f>IF(tblOrdenes[[#This Row],[centro_costo]]="","",_xlfn.XLOOKUP(tblOrdenes[[#This Row],[centro_costo]],tblCECO[codigo],tblCECO[coordinador],"(sin catálogo)"))</f>
        <v/>
      </c>
      <c r="AA1139" s="5">
        <f>IF(tblOrdenes[[#This Row],[puesto_trabajo]]="","",_xlfn.XLOOKUP(tblOrdenes[[#This Row],[puesto_trabajo]],tblPuestos[codigo],tblPuestos[especialidad],"(sin catálogo)"))</f>
        <v/>
      </c>
      <c r="AB1139" s="5">
        <f>IF(tblOrdenes[[#This Row],[cod_actividad]]="","",_xlfn.XLOOKUP(tblOrdenes[[#This Row],[cod_actividad]],tblActividades[codigo],tblActividades[descripcion],"(sin catálogo)"))</f>
        <v/>
      </c>
      <c r="AC1139" s="20">
        <f>IF(tblOrdenes[[#This Row],[fecha_inicio]]="","",TODAY()-tblOrdenes[[#This Row],[fecha_inicio]])</f>
        <v/>
      </c>
      <c r="AD113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39" s="5">
        <f>IF(tblOrdenes[[#This Row],[backlog_habiles]]="","",IF(tblOrdenes[[#This Row],[backlog_habiles]]&lt;0,"FUTURO",IF(tblOrdenes[[#This Row],[backlog_habiles]]&gt;p_dias_backlog_max,"BACKLOG","MES CORRIENTE")))</f>
        <v/>
      </c>
      <c r="AF1139" s="5">
        <f>IF(tblOrdenes[[#This Row],[backlog_habiles]]="",FALSE,AND(tblOrdenes[[#This Row],[backlog_habiles]]&gt;p_dias_backlog_min,tblOrdenes[[#This Row],[backlog_habiles]]&lt;=p_dias_backlog_max))</f>
        <v/>
      </c>
      <c r="AG1139" s="4" t="n"/>
      <c r="AH1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3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3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39" s="18">
        <f>IF(tblOrdenes[[#This Row],[orden]]="","",_xlfn.XLOOKUP(tblOrdenes[[#This Row],[id_operacion]],tblEjecucion[id_operacion],tblEjecucion[precio],0))</f>
        <v/>
      </c>
      <c r="AL1139" s="18">
        <f>IF(tblOrdenes[[#This Row],[orden]]="","",MAX(0,_xlfn.XLOOKUP(tblOrdenes[[#This Row],[id_operacion]],tblEjecucion[id_operacion],tblEjecucion[costo_plan_total],0)-tblOrdenes[[#This Row],[costo_servicio]]))</f>
        <v/>
      </c>
      <c r="AM1139" s="18">
        <f>IF(tblOrdenes[[#This Row],[orden]]="","",tblOrdenes[[#This Row],[costo_servicio]]+tblOrdenes[[#This Row],[costo_materiales]])</f>
        <v/>
      </c>
      <c r="AN1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39" s="4" t="n"/>
      <c r="AP1139" s="4" t="n"/>
      <c r="AQ1139" s="4" t="n"/>
      <c r="AR1139" s="5">
        <f>IF(tblOrdenes[[#This Row],[link_checklist]]="","",HYPERLINK(p_ruta_base_checklists&amp;tblOrdenes[[#This Row],[link_checklist]],"abrir"))</f>
        <v/>
      </c>
      <c r="AS1139" s="4" t="n"/>
      <c r="AT1139" s="5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22" t="n"/>
      <c r="K1140" s="5" t="n"/>
      <c r="L1140" s="18" t="n"/>
      <c r="M1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5">
        <f>IF(tblOrdenes[[#This Row],[fecha_inicio]]="","",YEAR(tblOrdenes[[#This Row],[fecha_inicio]]))</f>
        <v/>
      </c>
      <c r="Q1140" s="5">
        <f>IF(tblOrdenes[[#This Row],[fecha_inicio]]="","",MONTH(tblOrdenes[[#This Row],[fecha_inicio]]))</f>
        <v/>
      </c>
      <c r="R1140" s="5">
        <f>IF(tblOrdenes[[#This Row],[fecha_inicio]]="","",tblOrdenes[[#This Row],[anio]]&amp;"-"&amp;TEXT(tblOrdenes[[#This Row],[mes]],"00"))</f>
        <v/>
      </c>
      <c r="S1140" s="5">
        <f>IF(tblOrdenes[[#This Row],[fecha_inicio]]="","",INDEX(lista_dias,WEEKDAY(tblOrdenes[[#This Row],[fecha_inicio]],2)))</f>
        <v/>
      </c>
      <c r="T1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0" s="5">
        <f>IF(tblOrdenes[[#This Row],[tipo_ot]]="","",_xlfn.XLOOKUP(tblOrdenes[[#This Row],[tipo_ot]],tblTiposOT[codigo],tblTiposOT[clasificacion],"sin_clasificar"))</f>
        <v/>
      </c>
      <c r="V11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0" s="5">
        <f>IF(tblOrdenes[[#This Row],[centro_costo]]="","",_xlfn.XLOOKUP(tblOrdenes[[#This Row],[centro_costo]],tblCECO[codigo],tblCECO[linea],"(sin catálogo)"))</f>
        <v/>
      </c>
      <c r="X1140" s="5">
        <f>IF(tblOrdenes[[#This Row],[centro_costo]]="","",_xlfn.XLOOKUP(tblOrdenes[[#This Row],[centro_costo]],tblCECO[codigo],tblCECO[area],"(sin catálogo)"))</f>
        <v/>
      </c>
      <c r="Y1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0" s="5">
        <f>IF(tblOrdenes[[#This Row],[centro_costo]]="","",_xlfn.XLOOKUP(tblOrdenes[[#This Row],[centro_costo]],tblCECO[codigo],tblCECO[coordinador],"(sin catálogo)"))</f>
        <v/>
      </c>
      <c r="AA1140" s="5">
        <f>IF(tblOrdenes[[#This Row],[puesto_trabajo]]="","",_xlfn.XLOOKUP(tblOrdenes[[#This Row],[puesto_trabajo]],tblPuestos[codigo],tblPuestos[especialidad],"(sin catálogo)"))</f>
        <v/>
      </c>
      <c r="AB1140" s="5">
        <f>IF(tblOrdenes[[#This Row],[cod_actividad]]="","",_xlfn.XLOOKUP(tblOrdenes[[#This Row],[cod_actividad]],tblActividades[codigo],tblActividades[descripcion],"(sin catálogo)"))</f>
        <v/>
      </c>
      <c r="AC1140" s="20">
        <f>IF(tblOrdenes[[#This Row],[fecha_inicio]]="","",TODAY()-tblOrdenes[[#This Row],[fecha_inicio]])</f>
        <v/>
      </c>
      <c r="AD114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0" s="5">
        <f>IF(tblOrdenes[[#This Row],[backlog_habiles]]="","",IF(tblOrdenes[[#This Row],[backlog_habiles]]&lt;0,"FUTURO",IF(tblOrdenes[[#This Row],[backlog_habiles]]&gt;p_dias_backlog_max,"BACKLOG","MES CORRIENTE")))</f>
        <v/>
      </c>
      <c r="AF1140" s="5">
        <f>IF(tblOrdenes[[#This Row],[backlog_habiles]]="",FALSE,AND(tblOrdenes[[#This Row],[backlog_habiles]]&gt;p_dias_backlog_min,tblOrdenes[[#This Row],[backlog_habiles]]&lt;=p_dias_backlog_max))</f>
        <v/>
      </c>
      <c r="AG1140" s="4" t="n"/>
      <c r="AH1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0" s="18">
        <f>IF(tblOrdenes[[#This Row],[orden]]="","",_xlfn.XLOOKUP(tblOrdenes[[#This Row],[id_operacion]],tblEjecucion[id_operacion],tblEjecucion[precio],0))</f>
        <v/>
      </c>
      <c r="AL1140" s="18">
        <f>IF(tblOrdenes[[#This Row],[orden]]="","",MAX(0,_xlfn.XLOOKUP(tblOrdenes[[#This Row],[id_operacion]],tblEjecucion[id_operacion],tblEjecucion[costo_plan_total],0)-tblOrdenes[[#This Row],[costo_servicio]]))</f>
        <v/>
      </c>
      <c r="AM1140" s="18">
        <f>IF(tblOrdenes[[#This Row],[orden]]="","",tblOrdenes[[#This Row],[costo_servicio]]+tblOrdenes[[#This Row],[costo_materiales]])</f>
        <v/>
      </c>
      <c r="AN1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0" s="4" t="n"/>
      <c r="AP1140" s="4" t="n"/>
      <c r="AQ1140" s="4" t="n"/>
      <c r="AR1140" s="5">
        <f>IF(tblOrdenes[[#This Row],[link_checklist]]="","",HYPERLINK(p_ruta_base_checklists&amp;tblOrdenes[[#This Row],[link_checklist]],"abrir"))</f>
        <v/>
      </c>
      <c r="AS1140" s="4" t="n"/>
      <c r="AT1140" s="5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22" t="n"/>
      <c r="K1141" s="5" t="n"/>
      <c r="L1141" s="18" t="n"/>
      <c r="M1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5">
        <f>IF(tblOrdenes[[#This Row],[fecha_inicio]]="","",YEAR(tblOrdenes[[#This Row],[fecha_inicio]]))</f>
        <v/>
      </c>
      <c r="Q1141" s="5">
        <f>IF(tblOrdenes[[#This Row],[fecha_inicio]]="","",MONTH(tblOrdenes[[#This Row],[fecha_inicio]]))</f>
        <v/>
      </c>
      <c r="R1141" s="5">
        <f>IF(tblOrdenes[[#This Row],[fecha_inicio]]="","",tblOrdenes[[#This Row],[anio]]&amp;"-"&amp;TEXT(tblOrdenes[[#This Row],[mes]],"00"))</f>
        <v/>
      </c>
      <c r="S1141" s="5">
        <f>IF(tblOrdenes[[#This Row],[fecha_inicio]]="","",INDEX(lista_dias,WEEKDAY(tblOrdenes[[#This Row],[fecha_inicio]],2)))</f>
        <v/>
      </c>
      <c r="T1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1" s="5">
        <f>IF(tblOrdenes[[#This Row],[tipo_ot]]="","",_xlfn.XLOOKUP(tblOrdenes[[#This Row],[tipo_ot]],tblTiposOT[codigo],tblTiposOT[clasificacion],"sin_clasificar"))</f>
        <v/>
      </c>
      <c r="V11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1" s="5">
        <f>IF(tblOrdenes[[#This Row],[centro_costo]]="","",_xlfn.XLOOKUP(tblOrdenes[[#This Row],[centro_costo]],tblCECO[codigo],tblCECO[linea],"(sin catálogo)"))</f>
        <v/>
      </c>
      <c r="X1141" s="5">
        <f>IF(tblOrdenes[[#This Row],[centro_costo]]="","",_xlfn.XLOOKUP(tblOrdenes[[#This Row],[centro_costo]],tblCECO[codigo],tblCECO[area],"(sin catálogo)"))</f>
        <v/>
      </c>
      <c r="Y1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1" s="5">
        <f>IF(tblOrdenes[[#This Row],[centro_costo]]="","",_xlfn.XLOOKUP(tblOrdenes[[#This Row],[centro_costo]],tblCECO[codigo],tblCECO[coordinador],"(sin catálogo)"))</f>
        <v/>
      </c>
      <c r="AA1141" s="5">
        <f>IF(tblOrdenes[[#This Row],[puesto_trabajo]]="","",_xlfn.XLOOKUP(tblOrdenes[[#This Row],[puesto_trabajo]],tblPuestos[codigo],tblPuestos[especialidad],"(sin catálogo)"))</f>
        <v/>
      </c>
      <c r="AB1141" s="5">
        <f>IF(tblOrdenes[[#This Row],[cod_actividad]]="","",_xlfn.XLOOKUP(tblOrdenes[[#This Row],[cod_actividad]],tblActividades[codigo],tblActividades[descripcion],"(sin catálogo)"))</f>
        <v/>
      </c>
      <c r="AC1141" s="20">
        <f>IF(tblOrdenes[[#This Row],[fecha_inicio]]="","",TODAY()-tblOrdenes[[#This Row],[fecha_inicio]])</f>
        <v/>
      </c>
      <c r="AD114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1" s="5">
        <f>IF(tblOrdenes[[#This Row],[backlog_habiles]]="","",IF(tblOrdenes[[#This Row],[backlog_habiles]]&lt;0,"FUTURO",IF(tblOrdenes[[#This Row],[backlog_habiles]]&gt;p_dias_backlog_max,"BACKLOG","MES CORRIENTE")))</f>
        <v/>
      </c>
      <c r="AF1141" s="5">
        <f>IF(tblOrdenes[[#This Row],[backlog_habiles]]="",FALSE,AND(tblOrdenes[[#This Row],[backlog_habiles]]&gt;p_dias_backlog_min,tblOrdenes[[#This Row],[backlog_habiles]]&lt;=p_dias_backlog_max))</f>
        <v/>
      </c>
      <c r="AG1141" s="4" t="n"/>
      <c r="AH1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1" s="18">
        <f>IF(tblOrdenes[[#This Row],[orden]]="","",_xlfn.XLOOKUP(tblOrdenes[[#This Row],[id_operacion]],tblEjecucion[id_operacion],tblEjecucion[precio],0))</f>
        <v/>
      </c>
      <c r="AL1141" s="18">
        <f>IF(tblOrdenes[[#This Row],[orden]]="","",MAX(0,_xlfn.XLOOKUP(tblOrdenes[[#This Row],[id_operacion]],tblEjecucion[id_operacion],tblEjecucion[costo_plan_total],0)-tblOrdenes[[#This Row],[costo_servicio]]))</f>
        <v/>
      </c>
      <c r="AM1141" s="18">
        <f>IF(tblOrdenes[[#This Row],[orden]]="","",tblOrdenes[[#This Row],[costo_servicio]]+tblOrdenes[[#This Row],[costo_materiales]])</f>
        <v/>
      </c>
      <c r="AN1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1" s="4" t="n"/>
      <c r="AP1141" s="4" t="n"/>
      <c r="AQ1141" s="4" t="n"/>
      <c r="AR1141" s="5">
        <f>IF(tblOrdenes[[#This Row],[link_checklist]]="","",HYPERLINK(p_ruta_base_checklists&amp;tblOrdenes[[#This Row],[link_checklist]],"abrir"))</f>
        <v/>
      </c>
      <c r="AS1141" s="4" t="n"/>
      <c r="AT1141" s="5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22" t="n"/>
      <c r="K1142" s="5" t="n"/>
      <c r="L1142" s="18" t="n"/>
      <c r="M1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5">
        <f>IF(tblOrdenes[[#This Row],[fecha_inicio]]="","",YEAR(tblOrdenes[[#This Row],[fecha_inicio]]))</f>
        <v/>
      </c>
      <c r="Q1142" s="5">
        <f>IF(tblOrdenes[[#This Row],[fecha_inicio]]="","",MONTH(tblOrdenes[[#This Row],[fecha_inicio]]))</f>
        <v/>
      </c>
      <c r="R1142" s="5">
        <f>IF(tblOrdenes[[#This Row],[fecha_inicio]]="","",tblOrdenes[[#This Row],[anio]]&amp;"-"&amp;TEXT(tblOrdenes[[#This Row],[mes]],"00"))</f>
        <v/>
      </c>
      <c r="S1142" s="5">
        <f>IF(tblOrdenes[[#This Row],[fecha_inicio]]="","",INDEX(lista_dias,WEEKDAY(tblOrdenes[[#This Row],[fecha_inicio]],2)))</f>
        <v/>
      </c>
      <c r="T1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2" s="5">
        <f>IF(tblOrdenes[[#This Row],[tipo_ot]]="","",_xlfn.XLOOKUP(tblOrdenes[[#This Row],[tipo_ot]],tblTiposOT[codigo],tblTiposOT[clasificacion],"sin_clasificar"))</f>
        <v/>
      </c>
      <c r="V11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2" s="5">
        <f>IF(tblOrdenes[[#This Row],[centro_costo]]="","",_xlfn.XLOOKUP(tblOrdenes[[#This Row],[centro_costo]],tblCECO[codigo],tblCECO[linea],"(sin catálogo)"))</f>
        <v/>
      </c>
      <c r="X1142" s="5">
        <f>IF(tblOrdenes[[#This Row],[centro_costo]]="","",_xlfn.XLOOKUP(tblOrdenes[[#This Row],[centro_costo]],tblCECO[codigo],tblCECO[area],"(sin catálogo)"))</f>
        <v/>
      </c>
      <c r="Y1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2" s="5">
        <f>IF(tblOrdenes[[#This Row],[centro_costo]]="","",_xlfn.XLOOKUP(tblOrdenes[[#This Row],[centro_costo]],tblCECO[codigo],tblCECO[coordinador],"(sin catálogo)"))</f>
        <v/>
      </c>
      <c r="AA1142" s="5">
        <f>IF(tblOrdenes[[#This Row],[puesto_trabajo]]="","",_xlfn.XLOOKUP(tblOrdenes[[#This Row],[puesto_trabajo]],tblPuestos[codigo],tblPuestos[especialidad],"(sin catálogo)"))</f>
        <v/>
      </c>
      <c r="AB1142" s="5">
        <f>IF(tblOrdenes[[#This Row],[cod_actividad]]="","",_xlfn.XLOOKUP(tblOrdenes[[#This Row],[cod_actividad]],tblActividades[codigo],tblActividades[descripcion],"(sin catálogo)"))</f>
        <v/>
      </c>
      <c r="AC1142" s="20">
        <f>IF(tblOrdenes[[#This Row],[fecha_inicio]]="","",TODAY()-tblOrdenes[[#This Row],[fecha_inicio]])</f>
        <v/>
      </c>
      <c r="AD114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2" s="5">
        <f>IF(tblOrdenes[[#This Row],[backlog_habiles]]="","",IF(tblOrdenes[[#This Row],[backlog_habiles]]&lt;0,"FUTURO",IF(tblOrdenes[[#This Row],[backlog_habiles]]&gt;p_dias_backlog_max,"BACKLOG","MES CORRIENTE")))</f>
        <v/>
      </c>
      <c r="AF1142" s="5">
        <f>IF(tblOrdenes[[#This Row],[backlog_habiles]]="",FALSE,AND(tblOrdenes[[#This Row],[backlog_habiles]]&gt;p_dias_backlog_min,tblOrdenes[[#This Row],[backlog_habiles]]&lt;=p_dias_backlog_max))</f>
        <v/>
      </c>
      <c r="AG1142" s="4" t="n"/>
      <c r="AH1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2" s="18">
        <f>IF(tblOrdenes[[#This Row],[orden]]="","",_xlfn.XLOOKUP(tblOrdenes[[#This Row],[id_operacion]],tblEjecucion[id_operacion],tblEjecucion[precio],0))</f>
        <v/>
      </c>
      <c r="AL1142" s="18">
        <f>IF(tblOrdenes[[#This Row],[orden]]="","",MAX(0,_xlfn.XLOOKUP(tblOrdenes[[#This Row],[id_operacion]],tblEjecucion[id_operacion],tblEjecucion[costo_plan_total],0)-tblOrdenes[[#This Row],[costo_servicio]]))</f>
        <v/>
      </c>
      <c r="AM1142" s="18">
        <f>IF(tblOrdenes[[#This Row],[orden]]="","",tblOrdenes[[#This Row],[costo_servicio]]+tblOrdenes[[#This Row],[costo_materiales]])</f>
        <v/>
      </c>
      <c r="AN1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2" s="4" t="n"/>
      <c r="AP1142" s="4" t="n"/>
      <c r="AQ1142" s="4" t="n"/>
      <c r="AR1142" s="5">
        <f>IF(tblOrdenes[[#This Row],[link_checklist]]="","",HYPERLINK(p_ruta_base_checklists&amp;tblOrdenes[[#This Row],[link_checklist]],"abrir"))</f>
        <v/>
      </c>
      <c r="AS1142" s="4" t="n"/>
      <c r="AT1142" s="5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22" t="n"/>
      <c r="K1143" s="5" t="n"/>
      <c r="L1143" s="18" t="n"/>
      <c r="M1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5">
        <f>IF(tblOrdenes[[#This Row],[fecha_inicio]]="","",YEAR(tblOrdenes[[#This Row],[fecha_inicio]]))</f>
        <v/>
      </c>
      <c r="Q1143" s="5">
        <f>IF(tblOrdenes[[#This Row],[fecha_inicio]]="","",MONTH(tblOrdenes[[#This Row],[fecha_inicio]]))</f>
        <v/>
      </c>
      <c r="R1143" s="5">
        <f>IF(tblOrdenes[[#This Row],[fecha_inicio]]="","",tblOrdenes[[#This Row],[anio]]&amp;"-"&amp;TEXT(tblOrdenes[[#This Row],[mes]],"00"))</f>
        <v/>
      </c>
      <c r="S1143" s="5">
        <f>IF(tblOrdenes[[#This Row],[fecha_inicio]]="","",INDEX(lista_dias,WEEKDAY(tblOrdenes[[#This Row],[fecha_inicio]],2)))</f>
        <v/>
      </c>
      <c r="T1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3" s="5">
        <f>IF(tblOrdenes[[#This Row],[tipo_ot]]="","",_xlfn.XLOOKUP(tblOrdenes[[#This Row],[tipo_ot]],tblTiposOT[codigo],tblTiposOT[clasificacion],"sin_clasificar"))</f>
        <v/>
      </c>
      <c r="V11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3" s="5">
        <f>IF(tblOrdenes[[#This Row],[centro_costo]]="","",_xlfn.XLOOKUP(tblOrdenes[[#This Row],[centro_costo]],tblCECO[codigo],tblCECO[linea],"(sin catálogo)"))</f>
        <v/>
      </c>
      <c r="X1143" s="5">
        <f>IF(tblOrdenes[[#This Row],[centro_costo]]="","",_xlfn.XLOOKUP(tblOrdenes[[#This Row],[centro_costo]],tblCECO[codigo],tblCECO[area],"(sin catálogo)"))</f>
        <v/>
      </c>
      <c r="Y1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3" s="5">
        <f>IF(tblOrdenes[[#This Row],[centro_costo]]="","",_xlfn.XLOOKUP(tblOrdenes[[#This Row],[centro_costo]],tblCECO[codigo],tblCECO[coordinador],"(sin catálogo)"))</f>
        <v/>
      </c>
      <c r="AA1143" s="5">
        <f>IF(tblOrdenes[[#This Row],[puesto_trabajo]]="","",_xlfn.XLOOKUP(tblOrdenes[[#This Row],[puesto_trabajo]],tblPuestos[codigo],tblPuestos[especialidad],"(sin catálogo)"))</f>
        <v/>
      </c>
      <c r="AB1143" s="5">
        <f>IF(tblOrdenes[[#This Row],[cod_actividad]]="","",_xlfn.XLOOKUP(tblOrdenes[[#This Row],[cod_actividad]],tblActividades[codigo],tblActividades[descripcion],"(sin catálogo)"))</f>
        <v/>
      </c>
      <c r="AC1143" s="20">
        <f>IF(tblOrdenes[[#This Row],[fecha_inicio]]="","",TODAY()-tblOrdenes[[#This Row],[fecha_inicio]])</f>
        <v/>
      </c>
      <c r="AD114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3" s="5">
        <f>IF(tblOrdenes[[#This Row],[backlog_habiles]]="","",IF(tblOrdenes[[#This Row],[backlog_habiles]]&lt;0,"FUTURO",IF(tblOrdenes[[#This Row],[backlog_habiles]]&gt;p_dias_backlog_max,"BACKLOG","MES CORRIENTE")))</f>
        <v/>
      </c>
      <c r="AF1143" s="5">
        <f>IF(tblOrdenes[[#This Row],[backlog_habiles]]="",FALSE,AND(tblOrdenes[[#This Row],[backlog_habiles]]&gt;p_dias_backlog_min,tblOrdenes[[#This Row],[backlog_habiles]]&lt;=p_dias_backlog_max))</f>
        <v/>
      </c>
      <c r="AG1143" s="4" t="n"/>
      <c r="AH1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3" s="18">
        <f>IF(tblOrdenes[[#This Row],[orden]]="","",_xlfn.XLOOKUP(tblOrdenes[[#This Row],[id_operacion]],tblEjecucion[id_operacion],tblEjecucion[precio],0))</f>
        <v/>
      </c>
      <c r="AL1143" s="18">
        <f>IF(tblOrdenes[[#This Row],[orden]]="","",MAX(0,_xlfn.XLOOKUP(tblOrdenes[[#This Row],[id_operacion]],tblEjecucion[id_operacion],tblEjecucion[costo_plan_total],0)-tblOrdenes[[#This Row],[costo_servicio]]))</f>
        <v/>
      </c>
      <c r="AM1143" s="18">
        <f>IF(tblOrdenes[[#This Row],[orden]]="","",tblOrdenes[[#This Row],[costo_servicio]]+tblOrdenes[[#This Row],[costo_materiales]])</f>
        <v/>
      </c>
      <c r="AN1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3" s="4" t="n"/>
      <c r="AP1143" s="4" t="n"/>
      <c r="AQ1143" s="4" t="n"/>
      <c r="AR1143" s="5">
        <f>IF(tblOrdenes[[#This Row],[link_checklist]]="","",HYPERLINK(p_ruta_base_checklists&amp;tblOrdenes[[#This Row],[link_checklist]],"abrir"))</f>
        <v/>
      </c>
      <c r="AS1143" s="4" t="n"/>
      <c r="AT1143" s="5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22" t="n"/>
      <c r="K1144" s="5" t="n"/>
      <c r="L1144" s="18" t="n"/>
      <c r="M1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5">
        <f>IF(tblOrdenes[[#This Row],[fecha_inicio]]="","",YEAR(tblOrdenes[[#This Row],[fecha_inicio]]))</f>
        <v/>
      </c>
      <c r="Q1144" s="5">
        <f>IF(tblOrdenes[[#This Row],[fecha_inicio]]="","",MONTH(tblOrdenes[[#This Row],[fecha_inicio]]))</f>
        <v/>
      </c>
      <c r="R1144" s="5">
        <f>IF(tblOrdenes[[#This Row],[fecha_inicio]]="","",tblOrdenes[[#This Row],[anio]]&amp;"-"&amp;TEXT(tblOrdenes[[#This Row],[mes]],"00"))</f>
        <v/>
      </c>
      <c r="S1144" s="5">
        <f>IF(tblOrdenes[[#This Row],[fecha_inicio]]="","",INDEX(lista_dias,WEEKDAY(tblOrdenes[[#This Row],[fecha_inicio]],2)))</f>
        <v/>
      </c>
      <c r="T1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4" s="5">
        <f>IF(tblOrdenes[[#This Row],[tipo_ot]]="","",_xlfn.XLOOKUP(tblOrdenes[[#This Row],[tipo_ot]],tblTiposOT[codigo],tblTiposOT[clasificacion],"sin_clasificar"))</f>
        <v/>
      </c>
      <c r="V11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4" s="5">
        <f>IF(tblOrdenes[[#This Row],[centro_costo]]="","",_xlfn.XLOOKUP(tblOrdenes[[#This Row],[centro_costo]],tblCECO[codigo],tblCECO[linea],"(sin catálogo)"))</f>
        <v/>
      </c>
      <c r="X1144" s="5">
        <f>IF(tblOrdenes[[#This Row],[centro_costo]]="","",_xlfn.XLOOKUP(tblOrdenes[[#This Row],[centro_costo]],tblCECO[codigo],tblCECO[area],"(sin catálogo)"))</f>
        <v/>
      </c>
      <c r="Y1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4" s="5">
        <f>IF(tblOrdenes[[#This Row],[centro_costo]]="","",_xlfn.XLOOKUP(tblOrdenes[[#This Row],[centro_costo]],tblCECO[codigo],tblCECO[coordinador],"(sin catálogo)"))</f>
        <v/>
      </c>
      <c r="AA1144" s="5">
        <f>IF(tblOrdenes[[#This Row],[puesto_trabajo]]="","",_xlfn.XLOOKUP(tblOrdenes[[#This Row],[puesto_trabajo]],tblPuestos[codigo],tblPuestos[especialidad],"(sin catálogo)"))</f>
        <v/>
      </c>
      <c r="AB1144" s="5">
        <f>IF(tblOrdenes[[#This Row],[cod_actividad]]="","",_xlfn.XLOOKUP(tblOrdenes[[#This Row],[cod_actividad]],tblActividades[codigo],tblActividades[descripcion],"(sin catálogo)"))</f>
        <v/>
      </c>
      <c r="AC1144" s="20">
        <f>IF(tblOrdenes[[#This Row],[fecha_inicio]]="","",TODAY()-tblOrdenes[[#This Row],[fecha_inicio]])</f>
        <v/>
      </c>
      <c r="AD114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4" s="5">
        <f>IF(tblOrdenes[[#This Row],[backlog_habiles]]="","",IF(tblOrdenes[[#This Row],[backlog_habiles]]&lt;0,"FUTURO",IF(tblOrdenes[[#This Row],[backlog_habiles]]&gt;p_dias_backlog_max,"BACKLOG","MES CORRIENTE")))</f>
        <v/>
      </c>
      <c r="AF1144" s="5">
        <f>IF(tblOrdenes[[#This Row],[backlog_habiles]]="",FALSE,AND(tblOrdenes[[#This Row],[backlog_habiles]]&gt;p_dias_backlog_min,tblOrdenes[[#This Row],[backlog_habiles]]&lt;=p_dias_backlog_max))</f>
        <v/>
      </c>
      <c r="AG1144" s="4" t="n"/>
      <c r="AH1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4" s="18">
        <f>IF(tblOrdenes[[#This Row],[orden]]="","",_xlfn.XLOOKUP(tblOrdenes[[#This Row],[id_operacion]],tblEjecucion[id_operacion],tblEjecucion[precio],0))</f>
        <v/>
      </c>
      <c r="AL1144" s="18">
        <f>IF(tblOrdenes[[#This Row],[orden]]="","",MAX(0,_xlfn.XLOOKUP(tblOrdenes[[#This Row],[id_operacion]],tblEjecucion[id_operacion],tblEjecucion[costo_plan_total],0)-tblOrdenes[[#This Row],[costo_servicio]]))</f>
        <v/>
      </c>
      <c r="AM1144" s="18">
        <f>IF(tblOrdenes[[#This Row],[orden]]="","",tblOrdenes[[#This Row],[costo_servicio]]+tblOrdenes[[#This Row],[costo_materiales]])</f>
        <v/>
      </c>
      <c r="AN1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4" s="4" t="n"/>
      <c r="AP1144" s="4" t="n"/>
      <c r="AQ1144" s="4" t="n"/>
      <c r="AR1144" s="5">
        <f>IF(tblOrdenes[[#This Row],[link_checklist]]="","",HYPERLINK(p_ruta_base_checklists&amp;tblOrdenes[[#This Row],[link_checklist]],"abrir"))</f>
        <v/>
      </c>
      <c r="AS1144" s="4" t="n"/>
      <c r="AT1144" s="5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22" t="n"/>
      <c r="K1145" s="5" t="n"/>
      <c r="L1145" s="18" t="n"/>
      <c r="M1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5">
        <f>IF(tblOrdenes[[#This Row],[fecha_inicio]]="","",YEAR(tblOrdenes[[#This Row],[fecha_inicio]]))</f>
        <v/>
      </c>
      <c r="Q1145" s="5">
        <f>IF(tblOrdenes[[#This Row],[fecha_inicio]]="","",MONTH(tblOrdenes[[#This Row],[fecha_inicio]]))</f>
        <v/>
      </c>
      <c r="R1145" s="5">
        <f>IF(tblOrdenes[[#This Row],[fecha_inicio]]="","",tblOrdenes[[#This Row],[anio]]&amp;"-"&amp;TEXT(tblOrdenes[[#This Row],[mes]],"00"))</f>
        <v/>
      </c>
      <c r="S1145" s="5">
        <f>IF(tblOrdenes[[#This Row],[fecha_inicio]]="","",INDEX(lista_dias,WEEKDAY(tblOrdenes[[#This Row],[fecha_inicio]],2)))</f>
        <v/>
      </c>
      <c r="T1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5" s="5">
        <f>IF(tblOrdenes[[#This Row],[tipo_ot]]="","",_xlfn.XLOOKUP(tblOrdenes[[#This Row],[tipo_ot]],tblTiposOT[codigo],tblTiposOT[clasificacion],"sin_clasificar"))</f>
        <v/>
      </c>
      <c r="V11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5" s="5">
        <f>IF(tblOrdenes[[#This Row],[centro_costo]]="","",_xlfn.XLOOKUP(tblOrdenes[[#This Row],[centro_costo]],tblCECO[codigo],tblCECO[linea],"(sin catálogo)"))</f>
        <v/>
      </c>
      <c r="X1145" s="5">
        <f>IF(tblOrdenes[[#This Row],[centro_costo]]="","",_xlfn.XLOOKUP(tblOrdenes[[#This Row],[centro_costo]],tblCECO[codigo],tblCECO[area],"(sin catálogo)"))</f>
        <v/>
      </c>
      <c r="Y1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5" s="5">
        <f>IF(tblOrdenes[[#This Row],[centro_costo]]="","",_xlfn.XLOOKUP(tblOrdenes[[#This Row],[centro_costo]],tblCECO[codigo],tblCECO[coordinador],"(sin catálogo)"))</f>
        <v/>
      </c>
      <c r="AA1145" s="5">
        <f>IF(tblOrdenes[[#This Row],[puesto_trabajo]]="","",_xlfn.XLOOKUP(tblOrdenes[[#This Row],[puesto_trabajo]],tblPuestos[codigo],tblPuestos[especialidad],"(sin catálogo)"))</f>
        <v/>
      </c>
      <c r="AB1145" s="5">
        <f>IF(tblOrdenes[[#This Row],[cod_actividad]]="","",_xlfn.XLOOKUP(tblOrdenes[[#This Row],[cod_actividad]],tblActividades[codigo],tblActividades[descripcion],"(sin catálogo)"))</f>
        <v/>
      </c>
      <c r="AC1145" s="20">
        <f>IF(tblOrdenes[[#This Row],[fecha_inicio]]="","",TODAY()-tblOrdenes[[#This Row],[fecha_inicio]])</f>
        <v/>
      </c>
      <c r="AD114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5" s="5">
        <f>IF(tblOrdenes[[#This Row],[backlog_habiles]]="","",IF(tblOrdenes[[#This Row],[backlog_habiles]]&lt;0,"FUTURO",IF(tblOrdenes[[#This Row],[backlog_habiles]]&gt;p_dias_backlog_max,"BACKLOG","MES CORRIENTE")))</f>
        <v/>
      </c>
      <c r="AF1145" s="5">
        <f>IF(tblOrdenes[[#This Row],[backlog_habiles]]="",FALSE,AND(tblOrdenes[[#This Row],[backlog_habiles]]&gt;p_dias_backlog_min,tblOrdenes[[#This Row],[backlog_habiles]]&lt;=p_dias_backlog_max))</f>
        <v/>
      </c>
      <c r="AG1145" s="4" t="n"/>
      <c r="AH1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5" s="18">
        <f>IF(tblOrdenes[[#This Row],[orden]]="","",_xlfn.XLOOKUP(tblOrdenes[[#This Row],[id_operacion]],tblEjecucion[id_operacion],tblEjecucion[precio],0))</f>
        <v/>
      </c>
      <c r="AL1145" s="18">
        <f>IF(tblOrdenes[[#This Row],[orden]]="","",MAX(0,_xlfn.XLOOKUP(tblOrdenes[[#This Row],[id_operacion]],tblEjecucion[id_operacion],tblEjecucion[costo_plan_total],0)-tblOrdenes[[#This Row],[costo_servicio]]))</f>
        <v/>
      </c>
      <c r="AM1145" s="18">
        <f>IF(tblOrdenes[[#This Row],[orden]]="","",tblOrdenes[[#This Row],[costo_servicio]]+tblOrdenes[[#This Row],[costo_materiales]])</f>
        <v/>
      </c>
      <c r="AN1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5" s="4" t="n"/>
      <c r="AP1145" s="4" t="n"/>
      <c r="AQ1145" s="4" t="n"/>
      <c r="AR1145" s="5">
        <f>IF(tblOrdenes[[#This Row],[link_checklist]]="","",HYPERLINK(p_ruta_base_checklists&amp;tblOrdenes[[#This Row],[link_checklist]],"abrir"))</f>
        <v/>
      </c>
      <c r="AS1145" s="4" t="n"/>
      <c r="AT1145" s="5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22" t="n"/>
      <c r="K1146" s="5" t="n"/>
      <c r="L1146" s="18" t="n"/>
      <c r="M1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5">
        <f>IF(tblOrdenes[[#This Row],[fecha_inicio]]="","",YEAR(tblOrdenes[[#This Row],[fecha_inicio]]))</f>
        <v/>
      </c>
      <c r="Q1146" s="5">
        <f>IF(tblOrdenes[[#This Row],[fecha_inicio]]="","",MONTH(tblOrdenes[[#This Row],[fecha_inicio]]))</f>
        <v/>
      </c>
      <c r="R1146" s="5">
        <f>IF(tblOrdenes[[#This Row],[fecha_inicio]]="","",tblOrdenes[[#This Row],[anio]]&amp;"-"&amp;TEXT(tblOrdenes[[#This Row],[mes]],"00"))</f>
        <v/>
      </c>
      <c r="S1146" s="5">
        <f>IF(tblOrdenes[[#This Row],[fecha_inicio]]="","",INDEX(lista_dias,WEEKDAY(tblOrdenes[[#This Row],[fecha_inicio]],2)))</f>
        <v/>
      </c>
      <c r="T1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6" s="5">
        <f>IF(tblOrdenes[[#This Row],[tipo_ot]]="","",_xlfn.XLOOKUP(tblOrdenes[[#This Row],[tipo_ot]],tblTiposOT[codigo],tblTiposOT[clasificacion],"sin_clasificar"))</f>
        <v/>
      </c>
      <c r="V11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6" s="5">
        <f>IF(tblOrdenes[[#This Row],[centro_costo]]="","",_xlfn.XLOOKUP(tblOrdenes[[#This Row],[centro_costo]],tblCECO[codigo],tblCECO[linea],"(sin catálogo)"))</f>
        <v/>
      </c>
      <c r="X1146" s="5">
        <f>IF(tblOrdenes[[#This Row],[centro_costo]]="","",_xlfn.XLOOKUP(tblOrdenes[[#This Row],[centro_costo]],tblCECO[codigo],tblCECO[area],"(sin catálogo)"))</f>
        <v/>
      </c>
      <c r="Y1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6" s="5">
        <f>IF(tblOrdenes[[#This Row],[centro_costo]]="","",_xlfn.XLOOKUP(tblOrdenes[[#This Row],[centro_costo]],tblCECO[codigo],tblCECO[coordinador],"(sin catálogo)"))</f>
        <v/>
      </c>
      <c r="AA1146" s="5">
        <f>IF(tblOrdenes[[#This Row],[puesto_trabajo]]="","",_xlfn.XLOOKUP(tblOrdenes[[#This Row],[puesto_trabajo]],tblPuestos[codigo],tblPuestos[especialidad],"(sin catálogo)"))</f>
        <v/>
      </c>
      <c r="AB1146" s="5">
        <f>IF(tblOrdenes[[#This Row],[cod_actividad]]="","",_xlfn.XLOOKUP(tblOrdenes[[#This Row],[cod_actividad]],tblActividades[codigo],tblActividades[descripcion],"(sin catálogo)"))</f>
        <v/>
      </c>
      <c r="AC1146" s="20">
        <f>IF(tblOrdenes[[#This Row],[fecha_inicio]]="","",TODAY()-tblOrdenes[[#This Row],[fecha_inicio]])</f>
        <v/>
      </c>
      <c r="AD114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6" s="5">
        <f>IF(tblOrdenes[[#This Row],[backlog_habiles]]="","",IF(tblOrdenes[[#This Row],[backlog_habiles]]&lt;0,"FUTURO",IF(tblOrdenes[[#This Row],[backlog_habiles]]&gt;p_dias_backlog_max,"BACKLOG","MES CORRIENTE")))</f>
        <v/>
      </c>
      <c r="AF1146" s="5">
        <f>IF(tblOrdenes[[#This Row],[backlog_habiles]]="",FALSE,AND(tblOrdenes[[#This Row],[backlog_habiles]]&gt;p_dias_backlog_min,tblOrdenes[[#This Row],[backlog_habiles]]&lt;=p_dias_backlog_max))</f>
        <v/>
      </c>
      <c r="AG1146" s="4" t="n"/>
      <c r="AH1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6" s="18">
        <f>IF(tblOrdenes[[#This Row],[orden]]="","",_xlfn.XLOOKUP(tblOrdenes[[#This Row],[id_operacion]],tblEjecucion[id_operacion],tblEjecucion[precio],0))</f>
        <v/>
      </c>
      <c r="AL1146" s="18">
        <f>IF(tblOrdenes[[#This Row],[orden]]="","",MAX(0,_xlfn.XLOOKUP(tblOrdenes[[#This Row],[id_operacion]],tblEjecucion[id_operacion],tblEjecucion[costo_plan_total],0)-tblOrdenes[[#This Row],[costo_servicio]]))</f>
        <v/>
      </c>
      <c r="AM1146" s="18">
        <f>IF(tblOrdenes[[#This Row],[orden]]="","",tblOrdenes[[#This Row],[costo_servicio]]+tblOrdenes[[#This Row],[costo_materiales]])</f>
        <v/>
      </c>
      <c r="AN1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6" s="4" t="n"/>
      <c r="AP1146" s="4" t="n"/>
      <c r="AQ1146" s="4" t="n"/>
      <c r="AR1146" s="5">
        <f>IF(tblOrdenes[[#This Row],[link_checklist]]="","",HYPERLINK(p_ruta_base_checklists&amp;tblOrdenes[[#This Row],[link_checklist]],"abrir"))</f>
        <v/>
      </c>
      <c r="AS1146" s="4" t="n"/>
      <c r="AT1146" s="5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22" t="n"/>
      <c r="K1147" s="5" t="n"/>
      <c r="L1147" s="18" t="n"/>
      <c r="M1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5">
        <f>IF(tblOrdenes[[#This Row],[fecha_inicio]]="","",YEAR(tblOrdenes[[#This Row],[fecha_inicio]]))</f>
        <v/>
      </c>
      <c r="Q1147" s="5">
        <f>IF(tblOrdenes[[#This Row],[fecha_inicio]]="","",MONTH(tblOrdenes[[#This Row],[fecha_inicio]]))</f>
        <v/>
      </c>
      <c r="R1147" s="5">
        <f>IF(tblOrdenes[[#This Row],[fecha_inicio]]="","",tblOrdenes[[#This Row],[anio]]&amp;"-"&amp;TEXT(tblOrdenes[[#This Row],[mes]],"00"))</f>
        <v/>
      </c>
      <c r="S1147" s="5">
        <f>IF(tblOrdenes[[#This Row],[fecha_inicio]]="","",INDEX(lista_dias,WEEKDAY(tblOrdenes[[#This Row],[fecha_inicio]],2)))</f>
        <v/>
      </c>
      <c r="T1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7" s="5">
        <f>IF(tblOrdenes[[#This Row],[tipo_ot]]="","",_xlfn.XLOOKUP(tblOrdenes[[#This Row],[tipo_ot]],tblTiposOT[codigo],tblTiposOT[clasificacion],"sin_clasificar"))</f>
        <v/>
      </c>
      <c r="V11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7" s="5">
        <f>IF(tblOrdenes[[#This Row],[centro_costo]]="","",_xlfn.XLOOKUP(tblOrdenes[[#This Row],[centro_costo]],tblCECO[codigo],tblCECO[linea],"(sin catálogo)"))</f>
        <v/>
      </c>
      <c r="X1147" s="5">
        <f>IF(tblOrdenes[[#This Row],[centro_costo]]="","",_xlfn.XLOOKUP(tblOrdenes[[#This Row],[centro_costo]],tblCECO[codigo],tblCECO[area],"(sin catálogo)"))</f>
        <v/>
      </c>
      <c r="Y1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7" s="5">
        <f>IF(tblOrdenes[[#This Row],[centro_costo]]="","",_xlfn.XLOOKUP(tblOrdenes[[#This Row],[centro_costo]],tblCECO[codigo],tblCECO[coordinador],"(sin catálogo)"))</f>
        <v/>
      </c>
      <c r="AA1147" s="5">
        <f>IF(tblOrdenes[[#This Row],[puesto_trabajo]]="","",_xlfn.XLOOKUP(tblOrdenes[[#This Row],[puesto_trabajo]],tblPuestos[codigo],tblPuestos[especialidad],"(sin catálogo)"))</f>
        <v/>
      </c>
      <c r="AB1147" s="5">
        <f>IF(tblOrdenes[[#This Row],[cod_actividad]]="","",_xlfn.XLOOKUP(tblOrdenes[[#This Row],[cod_actividad]],tblActividades[codigo],tblActividades[descripcion],"(sin catálogo)"))</f>
        <v/>
      </c>
      <c r="AC1147" s="20">
        <f>IF(tblOrdenes[[#This Row],[fecha_inicio]]="","",TODAY()-tblOrdenes[[#This Row],[fecha_inicio]])</f>
        <v/>
      </c>
      <c r="AD114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7" s="5">
        <f>IF(tblOrdenes[[#This Row],[backlog_habiles]]="","",IF(tblOrdenes[[#This Row],[backlog_habiles]]&lt;0,"FUTURO",IF(tblOrdenes[[#This Row],[backlog_habiles]]&gt;p_dias_backlog_max,"BACKLOG","MES CORRIENTE")))</f>
        <v/>
      </c>
      <c r="AF1147" s="5">
        <f>IF(tblOrdenes[[#This Row],[backlog_habiles]]="",FALSE,AND(tblOrdenes[[#This Row],[backlog_habiles]]&gt;p_dias_backlog_min,tblOrdenes[[#This Row],[backlog_habiles]]&lt;=p_dias_backlog_max))</f>
        <v/>
      </c>
      <c r="AG1147" s="4" t="n"/>
      <c r="AH1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7" s="18">
        <f>IF(tblOrdenes[[#This Row],[orden]]="","",_xlfn.XLOOKUP(tblOrdenes[[#This Row],[id_operacion]],tblEjecucion[id_operacion],tblEjecucion[precio],0))</f>
        <v/>
      </c>
      <c r="AL1147" s="18">
        <f>IF(tblOrdenes[[#This Row],[orden]]="","",MAX(0,_xlfn.XLOOKUP(tblOrdenes[[#This Row],[id_operacion]],tblEjecucion[id_operacion],tblEjecucion[costo_plan_total],0)-tblOrdenes[[#This Row],[costo_servicio]]))</f>
        <v/>
      </c>
      <c r="AM1147" s="18">
        <f>IF(tblOrdenes[[#This Row],[orden]]="","",tblOrdenes[[#This Row],[costo_servicio]]+tblOrdenes[[#This Row],[costo_materiales]])</f>
        <v/>
      </c>
      <c r="AN1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7" s="4" t="n"/>
      <c r="AP1147" s="4" t="n"/>
      <c r="AQ1147" s="4" t="n"/>
      <c r="AR1147" s="5">
        <f>IF(tblOrdenes[[#This Row],[link_checklist]]="","",HYPERLINK(p_ruta_base_checklists&amp;tblOrdenes[[#This Row],[link_checklist]],"abrir"))</f>
        <v/>
      </c>
      <c r="AS1147" s="4" t="n"/>
      <c r="AT1147" s="5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22" t="n"/>
      <c r="K1148" s="5" t="n"/>
      <c r="L1148" s="18" t="n"/>
      <c r="M1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5">
        <f>IF(tblOrdenes[[#This Row],[fecha_inicio]]="","",YEAR(tblOrdenes[[#This Row],[fecha_inicio]]))</f>
        <v/>
      </c>
      <c r="Q1148" s="5">
        <f>IF(tblOrdenes[[#This Row],[fecha_inicio]]="","",MONTH(tblOrdenes[[#This Row],[fecha_inicio]]))</f>
        <v/>
      </c>
      <c r="R1148" s="5">
        <f>IF(tblOrdenes[[#This Row],[fecha_inicio]]="","",tblOrdenes[[#This Row],[anio]]&amp;"-"&amp;TEXT(tblOrdenes[[#This Row],[mes]],"00"))</f>
        <v/>
      </c>
      <c r="S1148" s="5">
        <f>IF(tblOrdenes[[#This Row],[fecha_inicio]]="","",INDEX(lista_dias,WEEKDAY(tblOrdenes[[#This Row],[fecha_inicio]],2)))</f>
        <v/>
      </c>
      <c r="T1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8" s="5">
        <f>IF(tblOrdenes[[#This Row],[tipo_ot]]="","",_xlfn.XLOOKUP(tblOrdenes[[#This Row],[tipo_ot]],tblTiposOT[codigo],tblTiposOT[clasificacion],"sin_clasificar"))</f>
        <v/>
      </c>
      <c r="V11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8" s="5">
        <f>IF(tblOrdenes[[#This Row],[centro_costo]]="","",_xlfn.XLOOKUP(tblOrdenes[[#This Row],[centro_costo]],tblCECO[codigo],tblCECO[linea],"(sin catálogo)"))</f>
        <v/>
      </c>
      <c r="X1148" s="5">
        <f>IF(tblOrdenes[[#This Row],[centro_costo]]="","",_xlfn.XLOOKUP(tblOrdenes[[#This Row],[centro_costo]],tblCECO[codigo],tblCECO[area],"(sin catálogo)"))</f>
        <v/>
      </c>
      <c r="Y1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8" s="5">
        <f>IF(tblOrdenes[[#This Row],[centro_costo]]="","",_xlfn.XLOOKUP(tblOrdenes[[#This Row],[centro_costo]],tblCECO[codigo],tblCECO[coordinador],"(sin catálogo)"))</f>
        <v/>
      </c>
      <c r="AA1148" s="5">
        <f>IF(tblOrdenes[[#This Row],[puesto_trabajo]]="","",_xlfn.XLOOKUP(tblOrdenes[[#This Row],[puesto_trabajo]],tblPuestos[codigo],tblPuestos[especialidad],"(sin catálogo)"))</f>
        <v/>
      </c>
      <c r="AB1148" s="5">
        <f>IF(tblOrdenes[[#This Row],[cod_actividad]]="","",_xlfn.XLOOKUP(tblOrdenes[[#This Row],[cod_actividad]],tblActividades[codigo],tblActividades[descripcion],"(sin catálogo)"))</f>
        <v/>
      </c>
      <c r="AC1148" s="20">
        <f>IF(tblOrdenes[[#This Row],[fecha_inicio]]="","",TODAY()-tblOrdenes[[#This Row],[fecha_inicio]])</f>
        <v/>
      </c>
      <c r="AD114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8" s="5">
        <f>IF(tblOrdenes[[#This Row],[backlog_habiles]]="","",IF(tblOrdenes[[#This Row],[backlog_habiles]]&lt;0,"FUTURO",IF(tblOrdenes[[#This Row],[backlog_habiles]]&gt;p_dias_backlog_max,"BACKLOG","MES CORRIENTE")))</f>
        <v/>
      </c>
      <c r="AF1148" s="5">
        <f>IF(tblOrdenes[[#This Row],[backlog_habiles]]="",FALSE,AND(tblOrdenes[[#This Row],[backlog_habiles]]&gt;p_dias_backlog_min,tblOrdenes[[#This Row],[backlog_habiles]]&lt;=p_dias_backlog_max))</f>
        <v/>
      </c>
      <c r="AG1148" s="4" t="n"/>
      <c r="AH1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8" s="18">
        <f>IF(tblOrdenes[[#This Row],[orden]]="","",_xlfn.XLOOKUP(tblOrdenes[[#This Row],[id_operacion]],tblEjecucion[id_operacion],tblEjecucion[precio],0))</f>
        <v/>
      </c>
      <c r="AL1148" s="18">
        <f>IF(tblOrdenes[[#This Row],[orden]]="","",MAX(0,_xlfn.XLOOKUP(tblOrdenes[[#This Row],[id_operacion]],tblEjecucion[id_operacion],tblEjecucion[costo_plan_total],0)-tblOrdenes[[#This Row],[costo_servicio]]))</f>
        <v/>
      </c>
      <c r="AM1148" s="18">
        <f>IF(tblOrdenes[[#This Row],[orden]]="","",tblOrdenes[[#This Row],[costo_servicio]]+tblOrdenes[[#This Row],[costo_materiales]])</f>
        <v/>
      </c>
      <c r="AN1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8" s="4" t="n"/>
      <c r="AP1148" s="4" t="n"/>
      <c r="AQ1148" s="4" t="n"/>
      <c r="AR1148" s="5">
        <f>IF(tblOrdenes[[#This Row],[link_checklist]]="","",HYPERLINK(p_ruta_base_checklists&amp;tblOrdenes[[#This Row],[link_checklist]],"abrir"))</f>
        <v/>
      </c>
      <c r="AS1148" s="4" t="n"/>
      <c r="AT1148" s="5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22" t="n"/>
      <c r="K1149" s="5" t="n"/>
      <c r="L1149" s="18" t="n"/>
      <c r="M1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5">
        <f>IF(tblOrdenes[[#This Row],[fecha_inicio]]="","",YEAR(tblOrdenes[[#This Row],[fecha_inicio]]))</f>
        <v/>
      </c>
      <c r="Q1149" s="5">
        <f>IF(tblOrdenes[[#This Row],[fecha_inicio]]="","",MONTH(tblOrdenes[[#This Row],[fecha_inicio]]))</f>
        <v/>
      </c>
      <c r="R1149" s="5">
        <f>IF(tblOrdenes[[#This Row],[fecha_inicio]]="","",tblOrdenes[[#This Row],[anio]]&amp;"-"&amp;TEXT(tblOrdenes[[#This Row],[mes]],"00"))</f>
        <v/>
      </c>
      <c r="S1149" s="5">
        <f>IF(tblOrdenes[[#This Row],[fecha_inicio]]="","",INDEX(lista_dias,WEEKDAY(tblOrdenes[[#This Row],[fecha_inicio]],2)))</f>
        <v/>
      </c>
      <c r="T1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9" s="5">
        <f>IF(tblOrdenes[[#This Row],[tipo_ot]]="","",_xlfn.XLOOKUP(tblOrdenes[[#This Row],[tipo_ot]],tblTiposOT[codigo],tblTiposOT[clasificacion],"sin_clasificar"))</f>
        <v/>
      </c>
      <c r="V11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9" s="5">
        <f>IF(tblOrdenes[[#This Row],[centro_costo]]="","",_xlfn.XLOOKUP(tblOrdenes[[#This Row],[centro_costo]],tblCECO[codigo],tblCECO[linea],"(sin catálogo)"))</f>
        <v/>
      </c>
      <c r="X1149" s="5">
        <f>IF(tblOrdenes[[#This Row],[centro_costo]]="","",_xlfn.XLOOKUP(tblOrdenes[[#This Row],[centro_costo]],tblCECO[codigo],tblCECO[area],"(sin catálogo)"))</f>
        <v/>
      </c>
      <c r="Y1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49" s="5">
        <f>IF(tblOrdenes[[#This Row],[centro_costo]]="","",_xlfn.XLOOKUP(tblOrdenes[[#This Row],[centro_costo]],tblCECO[codigo],tblCECO[coordinador],"(sin catálogo)"))</f>
        <v/>
      </c>
      <c r="AA1149" s="5">
        <f>IF(tblOrdenes[[#This Row],[puesto_trabajo]]="","",_xlfn.XLOOKUP(tblOrdenes[[#This Row],[puesto_trabajo]],tblPuestos[codigo],tblPuestos[especialidad],"(sin catálogo)"))</f>
        <v/>
      </c>
      <c r="AB1149" s="5">
        <f>IF(tblOrdenes[[#This Row],[cod_actividad]]="","",_xlfn.XLOOKUP(tblOrdenes[[#This Row],[cod_actividad]],tblActividades[codigo],tblActividades[descripcion],"(sin catálogo)"))</f>
        <v/>
      </c>
      <c r="AC1149" s="20">
        <f>IF(tblOrdenes[[#This Row],[fecha_inicio]]="","",TODAY()-tblOrdenes[[#This Row],[fecha_inicio]])</f>
        <v/>
      </c>
      <c r="AD114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49" s="5">
        <f>IF(tblOrdenes[[#This Row],[backlog_habiles]]="","",IF(tblOrdenes[[#This Row],[backlog_habiles]]&lt;0,"FUTURO",IF(tblOrdenes[[#This Row],[backlog_habiles]]&gt;p_dias_backlog_max,"BACKLOG","MES CORRIENTE")))</f>
        <v/>
      </c>
      <c r="AF1149" s="5">
        <f>IF(tblOrdenes[[#This Row],[backlog_habiles]]="",FALSE,AND(tblOrdenes[[#This Row],[backlog_habiles]]&gt;p_dias_backlog_min,tblOrdenes[[#This Row],[backlog_habiles]]&lt;=p_dias_backlog_max))</f>
        <v/>
      </c>
      <c r="AG1149" s="4" t="n"/>
      <c r="AH1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4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4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49" s="18">
        <f>IF(tblOrdenes[[#This Row],[orden]]="","",_xlfn.XLOOKUP(tblOrdenes[[#This Row],[id_operacion]],tblEjecucion[id_operacion],tblEjecucion[precio],0))</f>
        <v/>
      </c>
      <c r="AL1149" s="18">
        <f>IF(tblOrdenes[[#This Row],[orden]]="","",MAX(0,_xlfn.XLOOKUP(tblOrdenes[[#This Row],[id_operacion]],tblEjecucion[id_operacion],tblEjecucion[costo_plan_total],0)-tblOrdenes[[#This Row],[costo_servicio]]))</f>
        <v/>
      </c>
      <c r="AM1149" s="18">
        <f>IF(tblOrdenes[[#This Row],[orden]]="","",tblOrdenes[[#This Row],[costo_servicio]]+tblOrdenes[[#This Row],[costo_materiales]])</f>
        <v/>
      </c>
      <c r="AN1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49" s="4" t="n"/>
      <c r="AP1149" s="4" t="n"/>
      <c r="AQ1149" s="4" t="n"/>
      <c r="AR1149" s="5">
        <f>IF(tblOrdenes[[#This Row],[link_checklist]]="","",HYPERLINK(p_ruta_base_checklists&amp;tblOrdenes[[#This Row],[link_checklist]],"abrir"))</f>
        <v/>
      </c>
      <c r="AS1149" s="4" t="n"/>
      <c r="AT1149" s="5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22" t="n"/>
      <c r="K1150" s="5" t="n"/>
      <c r="L1150" s="18" t="n"/>
      <c r="M1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5">
        <f>IF(tblOrdenes[[#This Row],[fecha_inicio]]="","",YEAR(tblOrdenes[[#This Row],[fecha_inicio]]))</f>
        <v/>
      </c>
      <c r="Q1150" s="5">
        <f>IF(tblOrdenes[[#This Row],[fecha_inicio]]="","",MONTH(tblOrdenes[[#This Row],[fecha_inicio]]))</f>
        <v/>
      </c>
      <c r="R1150" s="5">
        <f>IF(tblOrdenes[[#This Row],[fecha_inicio]]="","",tblOrdenes[[#This Row],[anio]]&amp;"-"&amp;TEXT(tblOrdenes[[#This Row],[mes]],"00"))</f>
        <v/>
      </c>
      <c r="S1150" s="5">
        <f>IF(tblOrdenes[[#This Row],[fecha_inicio]]="","",INDEX(lista_dias,WEEKDAY(tblOrdenes[[#This Row],[fecha_inicio]],2)))</f>
        <v/>
      </c>
      <c r="T1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0" s="5">
        <f>IF(tblOrdenes[[#This Row],[tipo_ot]]="","",_xlfn.XLOOKUP(tblOrdenes[[#This Row],[tipo_ot]],tblTiposOT[codigo],tblTiposOT[clasificacion],"sin_clasificar"))</f>
        <v/>
      </c>
      <c r="V11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0" s="5">
        <f>IF(tblOrdenes[[#This Row],[centro_costo]]="","",_xlfn.XLOOKUP(tblOrdenes[[#This Row],[centro_costo]],tblCECO[codigo],tblCECO[linea],"(sin catálogo)"))</f>
        <v/>
      </c>
      <c r="X1150" s="5">
        <f>IF(tblOrdenes[[#This Row],[centro_costo]]="","",_xlfn.XLOOKUP(tblOrdenes[[#This Row],[centro_costo]],tblCECO[codigo],tblCECO[area],"(sin catálogo)"))</f>
        <v/>
      </c>
      <c r="Y1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0" s="5">
        <f>IF(tblOrdenes[[#This Row],[centro_costo]]="","",_xlfn.XLOOKUP(tblOrdenes[[#This Row],[centro_costo]],tblCECO[codigo],tblCECO[coordinador],"(sin catálogo)"))</f>
        <v/>
      </c>
      <c r="AA1150" s="5">
        <f>IF(tblOrdenes[[#This Row],[puesto_trabajo]]="","",_xlfn.XLOOKUP(tblOrdenes[[#This Row],[puesto_trabajo]],tblPuestos[codigo],tblPuestos[especialidad],"(sin catálogo)"))</f>
        <v/>
      </c>
      <c r="AB1150" s="5">
        <f>IF(tblOrdenes[[#This Row],[cod_actividad]]="","",_xlfn.XLOOKUP(tblOrdenes[[#This Row],[cod_actividad]],tblActividades[codigo],tblActividades[descripcion],"(sin catálogo)"))</f>
        <v/>
      </c>
      <c r="AC1150" s="20">
        <f>IF(tblOrdenes[[#This Row],[fecha_inicio]]="","",TODAY()-tblOrdenes[[#This Row],[fecha_inicio]])</f>
        <v/>
      </c>
      <c r="AD115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0" s="5">
        <f>IF(tblOrdenes[[#This Row],[backlog_habiles]]="","",IF(tblOrdenes[[#This Row],[backlog_habiles]]&lt;0,"FUTURO",IF(tblOrdenes[[#This Row],[backlog_habiles]]&gt;p_dias_backlog_max,"BACKLOG","MES CORRIENTE")))</f>
        <v/>
      </c>
      <c r="AF1150" s="5">
        <f>IF(tblOrdenes[[#This Row],[backlog_habiles]]="",FALSE,AND(tblOrdenes[[#This Row],[backlog_habiles]]&gt;p_dias_backlog_min,tblOrdenes[[#This Row],[backlog_habiles]]&lt;=p_dias_backlog_max))</f>
        <v/>
      </c>
      <c r="AG1150" s="4" t="n"/>
      <c r="AH1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0" s="18">
        <f>IF(tblOrdenes[[#This Row],[orden]]="","",_xlfn.XLOOKUP(tblOrdenes[[#This Row],[id_operacion]],tblEjecucion[id_operacion],tblEjecucion[precio],0))</f>
        <v/>
      </c>
      <c r="AL1150" s="18">
        <f>IF(tblOrdenes[[#This Row],[orden]]="","",MAX(0,_xlfn.XLOOKUP(tblOrdenes[[#This Row],[id_operacion]],tblEjecucion[id_operacion],tblEjecucion[costo_plan_total],0)-tblOrdenes[[#This Row],[costo_servicio]]))</f>
        <v/>
      </c>
      <c r="AM1150" s="18">
        <f>IF(tblOrdenes[[#This Row],[orden]]="","",tblOrdenes[[#This Row],[costo_servicio]]+tblOrdenes[[#This Row],[costo_materiales]])</f>
        <v/>
      </c>
      <c r="AN1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0" s="4" t="n"/>
      <c r="AP1150" s="4" t="n"/>
      <c r="AQ1150" s="4" t="n"/>
      <c r="AR1150" s="5">
        <f>IF(tblOrdenes[[#This Row],[link_checklist]]="","",HYPERLINK(p_ruta_base_checklists&amp;tblOrdenes[[#This Row],[link_checklist]],"abrir"))</f>
        <v/>
      </c>
      <c r="AS1150" s="4" t="n"/>
      <c r="AT1150" s="5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22" t="n"/>
      <c r="K1151" s="5" t="n"/>
      <c r="L1151" s="18" t="n"/>
      <c r="M1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5">
        <f>IF(tblOrdenes[[#This Row],[fecha_inicio]]="","",YEAR(tblOrdenes[[#This Row],[fecha_inicio]]))</f>
        <v/>
      </c>
      <c r="Q1151" s="5">
        <f>IF(tblOrdenes[[#This Row],[fecha_inicio]]="","",MONTH(tblOrdenes[[#This Row],[fecha_inicio]]))</f>
        <v/>
      </c>
      <c r="R1151" s="5">
        <f>IF(tblOrdenes[[#This Row],[fecha_inicio]]="","",tblOrdenes[[#This Row],[anio]]&amp;"-"&amp;TEXT(tblOrdenes[[#This Row],[mes]],"00"))</f>
        <v/>
      </c>
      <c r="S1151" s="5">
        <f>IF(tblOrdenes[[#This Row],[fecha_inicio]]="","",INDEX(lista_dias,WEEKDAY(tblOrdenes[[#This Row],[fecha_inicio]],2)))</f>
        <v/>
      </c>
      <c r="T1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1" s="5">
        <f>IF(tblOrdenes[[#This Row],[tipo_ot]]="","",_xlfn.XLOOKUP(tblOrdenes[[#This Row],[tipo_ot]],tblTiposOT[codigo],tblTiposOT[clasificacion],"sin_clasificar"))</f>
        <v/>
      </c>
      <c r="V11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1" s="5">
        <f>IF(tblOrdenes[[#This Row],[centro_costo]]="","",_xlfn.XLOOKUP(tblOrdenes[[#This Row],[centro_costo]],tblCECO[codigo],tblCECO[linea],"(sin catálogo)"))</f>
        <v/>
      </c>
      <c r="X1151" s="5">
        <f>IF(tblOrdenes[[#This Row],[centro_costo]]="","",_xlfn.XLOOKUP(tblOrdenes[[#This Row],[centro_costo]],tblCECO[codigo],tblCECO[area],"(sin catálogo)"))</f>
        <v/>
      </c>
      <c r="Y1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1" s="5">
        <f>IF(tblOrdenes[[#This Row],[centro_costo]]="","",_xlfn.XLOOKUP(tblOrdenes[[#This Row],[centro_costo]],tblCECO[codigo],tblCECO[coordinador],"(sin catálogo)"))</f>
        <v/>
      </c>
      <c r="AA1151" s="5">
        <f>IF(tblOrdenes[[#This Row],[puesto_trabajo]]="","",_xlfn.XLOOKUP(tblOrdenes[[#This Row],[puesto_trabajo]],tblPuestos[codigo],tblPuestos[especialidad],"(sin catálogo)"))</f>
        <v/>
      </c>
      <c r="AB1151" s="5">
        <f>IF(tblOrdenes[[#This Row],[cod_actividad]]="","",_xlfn.XLOOKUP(tblOrdenes[[#This Row],[cod_actividad]],tblActividades[codigo],tblActividades[descripcion],"(sin catálogo)"))</f>
        <v/>
      </c>
      <c r="AC1151" s="20">
        <f>IF(tblOrdenes[[#This Row],[fecha_inicio]]="","",TODAY()-tblOrdenes[[#This Row],[fecha_inicio]])</f>
        <v/>
      </c>
      <c r="AD115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1" s="5">
        <f>IF(tblOrdenes[[#This Row],[backlog_habiles]]="","",IF(tblOrdenes[[#This Row],[backlog_habiles]]&lt;0,"FUTURO",IF(tblOrdenes[[#This Row],[backlog_habiles]]&gt;p_dias_backlog_max,"BACKLOG","MES CORRIENTE")))</f>
        <v/>
      </c>
      <c r="AF1151" s="5">
        <f>IF(tblOrdenes[[#This Row],[backlog_habiles]]="",FALSE,AND(tblOrdenes[[#This Row],[backlog_habiles]]&gt;p_dias_backlog_min,tblOrdenes[[#This Row],[backlog_habiles]]&lt;=p_dias_backlog_max))</f>
        <v/>
      </c>
      <c r="AG1151" s="4" t="n"/>
      <c r="AH1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1" s="18">
        <f>IF(tblOrdenes[[#This Row],[orden]]="","",_xlfn.XLOOKUP(tblOrdenes[[#This Row],[id_operacion]],tblEjecucion[id_operacion],tblEjecucion[precio],0))</f>
        <v/>
      </c>
      <c r="AL1151" s="18">
        <f>IF(tblOrdenes[[#This Row],[orden]]="","",MAX(0,_xlfn.XLOOKUP(tblOrdenes[[#This Row],[id_operacion]],tblEjecucion[id_operacion],tblEjecucion[costo_plan_total],0)-tblOrdenes[[#This Row],[costo_servicio]]))</f>
        <v/>
      </c>
      <c r="AM1151" s="18">
        <f>IF(tblOrdenes[[#This Row],[orden]]="","",tblOrdenes[[#This Row],[costo_servicio]]+tblOrdenes[[#This Row],[costo_materiales]])</f>
        <v/>
      </c>
      <c r="AN1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1" s="4" t="n"/>
      <c r="AP1151" s="4" t="n"/>
      <c r="AQ1151" s="4" t="n"/>
      <c r="AR1151" s="5">
        <f>IF(tblOrdenes[[#This Row],[link_checklist]]="","",HYPERLINK(p_ruta_base_checklists&amp;tblOrdenes[[#This Row],[link_checklist]],"abrir"))</f>
        <v/>
      </c>
      <c r="AS1151" s="4" t="n"/>
      <c r="AT1151" s="5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22" t="n"/>
      <c r="K1152" s="5" t="n"/>
      <c r="L1152" s="18" t="n"/>
      <c r="M1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5">
        <f>IF(tblOrdenes[[#This Row],[fecha_inicio]]="","",YEAR(tblOrdenes[[#This Row],[fecha_inicio]]))</f>
        <v/>
      </c>
      <c r="Q1152" s="5">
        <f>IF(tblOrdenes[[#This Row],[fecha_inicio]]="","",MONTH(tblOrdenes[[#This Row],[fecha_inicio]]))</f>
        <v/>
      </c>
      <c r="R1152" s="5">
        <f>IF(tblOrdenes[[#This Row],[fecha_inicio]]="","",tblOrdenes[[#This Row],[anio]]&amp;"-"&amp;TEXT(tblOrdenes[[#This Row],[mes]],"00"))</f>
        <v/>
      </c>
      <c r="S1152" s="5">
        <f>IF(tblOrdenes[[#This Row],[fecha_inicio]]="","",INDEX(lista_dias,WEEKDAY(tblOrdenes[[#This Row],[fecha_inicio]],2)))</f>
        <v/>
      </c>
      <c r="T1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2" s="5">
        <f>IF(tblOrdenes[[#This Row],[tipo_ot]]="","",_xlfn.XLOOKUP(tblOrdenes[[#This Row],[tipo_ot]],tblTiposOT[codigo],tblTiposOT[clasificacion],"sin_clasificar"))</f>
        <v/>
      </c>
      <c r="V11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2" s="5">
        <f>IF(tblOrdenes[[#This Row],[centro_costo]]="","",_xlfn.XLOOKUP(tblOrdenes[[#This Row],[centro_costo]],tblCECO[codigo],tblCECO[linea],"(sin catálogo)"))</f>
        <v/>
      </c>
      <c r="X1152" s="5">
        <f>IF(tblOrdenes[[#This Row],[centro_costo]]="","",_xlfn.XLOOKUP(tblOrdenes[[#This Row],[centro_costo]],tblCECO[codigo],tblCECO[area],"(sin catálogo)"))</f>
        <v/>
      </c>
      <c r="Y1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2" s="5">
        <f>IF(tblOrdenes[[#This Row],[centro_costo]]="","",_xlfn.XLOOKUP(tblOrdenes[[#This Row],[centro_costo]],tblCECO[codigo],tblCECO[coordinador],"(sin catálogo)"))</f>
        <v/>
      </c>
      <c r="AA1152" s="5">
        <f>IF(tblOrdenes[[#This Row],[puesto_trabajo]]="","",_xlfn.XLOOKUP(tblOrdenes[[#This Row],[puesto_trabajo]],tblPuestos[codigo],tblPuestos[especialidad],"(sin catálogo)"))</f>
        <v/>
      </c>
      <c r="AB1152" s="5">
        <f>IF(tblOrdenes[[#This Row],[cod_actividad]]="","",_xlfn.XLOOKUP(tblOrdenes[[#This Row],[cod_actividad]],tblActividades[codigo],tblActividades[descripcion],"(sin catálogo)"))</f>
        <v/>
      </c>
      <c r="AC1152" s="20">
        <f>IF(tblOrdenes[[#This Row],[fecha_inicio]]="","",TODAY()-tblOrdenes[[#This Row],[fecha_inicio]])</f>
        <v/>
      </c>
      <c r="AD115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2" s="5">
        <f>IF(tblOrdenes[[#This Row],[backlog_habiles]]="","",IF(tblOrdenes[[#This Row],[backlog_habiles]]&lt;0,"FUTURO",IF(tblOrdenes[[#This Row],[backlog_habiles]]&gt;p_dias_backlog_max,"BACKLOG","MES CORRIENTE")))</f>
        <v/>
      </c>
      <c r="AF1152" s="5">
        <f>IF(tblOrdenes[[#This Row],[backlog_habiles]]="",FALSE,AND(tblOrdenes[[#This Row],[backlog_habiles]]&gt;p_dias_backlog_min,tblOrdenes[[#This Row],[backlog_habiles]]&lt;=p_dias_backlog_max))</f>
        <v/>
      </c>
      <c r="AG1152" s="4" t="n"/>
      <c r="AH1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2" s="18">
        <f>IF(tblOrdenes[[#This Row],[orden]]="","",_xlfn.XLOOKUP(tblOrdenes[[#This Row],[id_operacion]],tblEjecucion[id_operacion],tblEjecucion[precio],0))</f>
        <v/>
      </c>
      <c r="AL1152" s="18">
        <f>IF(tblOrdenes[[#This Row],[orden]]="","",MAX(0,_xlfn.XLOOKUP(tblOrdenes[[#This Row],[id_operacion]],tblEjecucion[id_operacion],tblEjecucion[costo_plan_total],0)-tblOrdenes[[#This Row],[costo_servicio]]))</f>
        <v/>
      </c>
      <c r="AM1152" s="18">
        <f>IF(tblOrdenes[[#This Row],[orden]]="","",tblOrdenes[[#This Row],[costo_servicio]]+tblOrdenes[[#This Row],[costo_materiales]])</f>
        <v/>
      </c>
      <c r="AN1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2" s="4" t="n"/>
      <c r="AP1152" s="4" t="n"/>
      <c r="AQ1152" s="4" t="n"/>
      <c r="AR1152" s="5">
        <f>IF(tblOrdenes[[#This Row],[link_checklist]]="","",HYPERLINK(p_ruta_base_checklists&amp;tblOrdenes[[#This Row],[link_checklist]],"abrir"))</f>
        <v/>
      </c>
      <c r="AS1152" s="4" t="n"/>
      <c r="AT1152" s="5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22" t="n"/>
      <c r="K1153" s="5" t="n"/>
      <c r="L1153" s="18" t="n"/>
      <c r="M1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5">
        <f>IF(tblOrdenes[[#This Row],[fecha_inicio]]="","",YEAR(tblOrdenes[[#This Row],[fecha_inicio]]))</f>
        <v/>
      </c>
      <c r="Q1153" s="5">
        <f>IF(tblOrdenes[[#This Row],[fecha_inicio]]="","",MONTH(tblOrdenes[[#This Row],[fecha_inicio]]))</f>
        <v/>
      </c>
      <c r="R1153" s="5">
        <f>IF(tblOrdenes[[#This Row],[fecha_inicio]]="","",tblOrdenes[[#This Row],[anio]]&amp;"-"&amp;TEXT(tblOrdenes[[#This Row],[mes]],"00"))</f>
        <v/>
      </c>
      <c r="S1153" s="5">
        <f>IF(tblOrdenes[[#This Row],[fecha_inicio]]="","",INDEX(lista_dias,WEEKDAY(tblOrdenes[[#This Row],[fecha_inicio]],2)))</f>
        <v/>
      </c>
      <c r="T1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3" s="5">
        <f>IF(tblOrdenes[[#This Row],[tipo_ot]]="","",_xlfn.XLOOKUP(tblOrdenes[[#This Row],[tipo_ot]],tblTiposOT[codigo],tblTiposOT[clasificacion],"sin_clasificar"))</f>
        <v/>
      </c>
      <c r="V11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3" s="5">
        <f>IF(tblOrdenes[[#This Row],[centro_costo]]="","",_xlfn.XLOOKUP(tblOrdenes[[#This Row],[centro_costo]],tblCECO[codigo],tblCECO[linea],"(sin catálogo)"))</f>
        <v/>
      </c>
      <c r="X1153" s="5">
        <f>IF(tblOrdenes[[#This Row],[centro_costo]]="","",_xlfn.XLOOKUP(tblOrdenes[[#This Row],[centro_costo]],tblCECO[codigo],tblCECO[area],"(sin catálogo)"))</f>
        <v/>
      </c>
      <c r="Y1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3" s="5">
        <f>IF(tblOrdenes[[#This Row],[centro_costo]]="","",_xlfn.XLOOKUP(tblOrdenes[[#This Row],[centro_costo]],tblCECO[codigo],tblCECO[coordinador],"(sin catálogo)"))</f>
        <v/>
      </c>
      <c r="AA1153" s="5">
        <f>IF(tblOrdenes[[#This Row],[puesto_trabajo]]="","",_xlfn.XLOOKUP(tblOrdenes[[#This Row],[puesto_trabajo]],tblPuestos[codigo],tblPuestos[especialidad],"(sin catálogo)"))</f>
        <v/>
      </c>
      <c r="AB1153" s="5">
        <f>IF(tblOrdenes[[#This Row],[cod_actividad]]="","",_xlfn.XLOOKUP(tblOrdenes[[#This Row],[cod_actividad]],tblActividades[codigo],tblActividades[descripcion],"(sin catálogo)"))</f>
        <v/>
      </c>
      <c r="AC1153" s="20">
        <f>IF(tblOrdenes[[#This Row],[fecha_inicio]]="","",TODAY()-tblOrdenes[[#This Row],[fecha_inicio]])</f>
        <v/>
      </c>
      <c r="AD115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3" s="5">
        <f>IF(tblOrdenes[[#This Row],[backlog_habiles]]="","",IF(tblOrdenes[[#This Row],[backlog_habiles]]&lt;0,"FUTURO",IF(tblOrdenes[[#This Row],[backlog_habiles]]&gt;p_dias_backlog_max,"BACKLOG","MES CORRIENTE")))</f>
        <v/>
      </c>
      <c r="AF1153" s="5">
        <f>IF(tblOrdenes[[#This Row],[backlog_habiles]]="",FALSE,AND(tblOrdenes[[#This Row],[backlog_habiles]]&gt;p_dias_backlog_min,tblOrdenes[[#This Row],[backlog_habiles]]&lt;=p_dias_backlog_max))</f>
        <v/>
      </c>
      <c r="AG1153" s="4" t="n"/>
      <c r="AH1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3" s="18">
        <f>IF(tblOrdenes[[#This Row],[orden]]="","",_xlfn.XLOOKUP(tblOrdenes[[#This Row],[id_operacion]],tblEjecucion[id_operacion],tblEjecucion[precio],0))</f>
        <v/>
      </c>
      <c r="AL1153" s="18">
        <f>IF(tblOrdenes[[#This Row],[orden]]="","",MAX(0,_xlfn.XLOOKUP(tblOrdenes[[#This Row],[id_operacion]],tblEjecucion[id_operacion],tblEjecucion[costo_plan_total],0)-tblOrdenes[[#This Row],[costo_servicio]]))</f>
        <v/>
      </c>
      <c r="AM1153" s="18">
        <f>IF(tblOrdenes[[#This Row],[orden]]="","",tblOrdenes[[#This Row],[costo_servicio]]+tblOrdenes[[#This Row],[costo_materiales]])</f>
        <v/>
      </c>
      <c r="AN1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3" s="4" t="n"/>
      <c r="AP1153" s="4" t="n"/>
      <c r="AQ1153" s="4" t="n"/>
      <c r="AR1153" s="5">
        <f>IF(tblOrdenes[[#This Row],[link_checklist]]="","",HYPERLINK(p_ruta_base_checklists&amp;tblOrdenes[[#This Row],[link_checklist]],"abrir"))</f>
        <v/>
      </c>
      <c r="AS1153" s="4" t="n"/>
      <c r="AT1153" s="5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22" t="n"/>
      <c r="K1154" s="5" t="n"/>
      <c r="L1154" s="18" t="n"/>
      <c r="M1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5">
        <f>IF(tblOrdenes[[#This Row],[fecha_inicio]]="","",YEAR(tblOrdenes[[#This Row],[fecha_inicio]]))</f>
        <v/>
      </c>
      <c r="Q1154" s="5">
        <f>IF(tblOrdenes[[#This Row],[fecha_inicio]]="","",MONTH(tblOrdenes[[#This Row],[fecha_inicio]]))</f>
        <v/>
      </c>
      <c r="R1154" s="5">
        <f>IF(tblOrdenes[[#This Row],[fecha_inicio]]="","",tblOrdenes[[#This Row],[anio]]&amp;"-"&amp;TEXT(tblOrdenes[[#This Row],[mes]],"00"))</f>
        <v/>
      </c>
      <c r="S1154" s="5">
        <f>IF(tblOrdenes[[#This Row],[fecha_inicio]]="","",INDEX(lista_dias,WEEKDAY(tblOrdenes[[#This Row],[fecha_inicio]],2)))</f>
        <v/>
      </c>
      <c r="T1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4" s="5">
        <f>IF(tblOrdenes[[#This Row],[tipo_ot]]="","",_xlfn.XLOOKUP(tblOrdenes[[#This Row],[tipo_ot]],tblTiposOT[codigo],tblTiposOT[clasificacion],"sin_clasificar"))</f>
        <v/>
      </c>
      <c r="V11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4" s="5">
        <f>IF(tblOrdenes[[#This Row],[centro_costo]]="","",_xlfn.XLOOKUP(tblOrdenes[[#This Row],[centro_costo]],tblCECO[codigo],tblCECO[linea],"(sin catálogo)"))</f>
        <v/>
      </c>
      <c r="X1154" s="5">
        <f>IF(tblOrdenes[[#This Row],[centro_costo]]="","",_xlfn.XLOOKUP(tblOrdenes[[#This Row],[centro_costo]],tblCECO[codigo],tblCECO[area],"(sin catálogo)"))</f>
        <v/>
      </c>
      <c r="Y1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4" s="5">
        <f>IF(tblOrdenes[[#This Row],[centro_costo]]="","",_xlfn.XLOOKUP(tblOrdenes[[#This Row],[centro_costo]],tblCECO[codigo],tblCECO[coordinador],"(sin catálogo)"))</f>
        <v/>
      </c>
      <c r="AA1154" s="5">
        <f>IF(tblOrdenes[[#This Row],[puesto_trabajo]]="","",_xlfn.XLOOKUP(tblOrdenes[[#This Row],[puesto_trabajo]],tblPuestos[codigo],tblPuestos[especialidad],"(sin catálogo)"))</f>
        <v/>
      </c>
      <c r="AB1154" s="5">
        <f>IF(tblOrdenes[[#This Row],[cod_actividad]]="","",_xlfn.XLOOKUP(tblOrdenes[[#This Row],[cod_actividad]],tblActividades[codigo],tblActividades[descripcion],"(sin catálogo)"))</f>
        <v/>
      </c>
      <c r="AC1154" s="20">
        <f>IF(tblOrdenes[[#This Row],[fecha_inicio]]="","",TODAY()-tblOrdenes[[#This Row],[fecha_inicio]])</f>
        <v/>
      </c>
      <c r="AD115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4" s="5">
        <f>IF(tblOrdenes[[#This Row],[backlog_habiles]]="","",IF(tblOrdenes[[#This Row],[backlog_habiles]]&lt;0,"FUTURO",IF(tblOrdenes[[#This Row],[backlog_habiles]]&gt;p_dias_backlog_max,"BACKLOG","MES CORRIENTE")))</f>
        <v/>
      </c>
      <c r="AF1154" s="5">
        <f>IF(tblOrdenes[[#This Row],[backlog_habiles]]="",FALSE,AND(tblOrdenes[[#This Row],[backlog_habiles]]&gt;p_dias_backlog_min,tblOrdenes[[#This Row],[backlog_habiles]]&lt;=p_dias_backlog_max))</f>
        <v/>
      </c>
      <c r="AG1154" s="4" t="n"/>
      <c r="AH1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4" s="18">
        <f>IF(tblOrdenes[[#This Row],[orden]]="","",_xlfn.XLOOKUP(tblOrdenes[[#This Row],[id_operacion]],tblEjecucion[id_operacion],tblEjecucion[precio],0))</f>
        <v/>
      </c>
      <c r="AL1154" s="18">
        <f>IF(tblOrdenes[[#This Row],[orden]]="","",MAX(0,_xlfn.XLOOKUP(tblOrdenes[[#This Row],[id_operacion]],tblEjecucion[id_operacion],tblEjecucion[costo_plan_total],0)-tblOrdenes[[#This Row],[costo_servicio]]))</f>
        <v/>
      </c>
      <c r="AM1154" s="18">
        <f>IF(tblOrdenes[[#This Row],[orden]]="","",tblOrdenes[[#This Row],[costo_servicio]]+tblOrdenes[[#This Row],[costo_materiales]])</f>
        <v/>
      </c>
      <c r="AN1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4" s="4" t="n"/>
      <c r="AP1154" s="4" t="n"/>
      <c r="AQ1154" s="4" t="n"/>
      <c r="AR1154" s="5">
        <f>IF(tblOrdenes[[#This Row],[link_checklist]]="","",HYPERLINK(p_ruta_base_checklists&amp;tblOrdenes[[#This Row],[link_checklist]],"abrir"))</f>
        <v/>
      </c>
      <c r="AS1154" s="4" t="n"/>
      <c r="AT1154" s="5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22" t="n"/>
      <c r="K1155" s="5" t="n"/>
      <c r="L1155" s="18" t="n"/>
      <c r="M1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5">
        <f>IF(tblOrdenes[[#This Row],[fecha_inicio]]="","",YEAR(tblOrdenes[[#This Row],[fecha_inicio]]))</f>
        <v/>
      </c>
      <c r="Q1155" s="5">
        <f>IF(tblOrdenes[[#This Row],[fecha_inicio]]="","",MONTH(tblOrdenes[[#This Row],[fecha_inicio]]))</f>
        <v/>
      </c>
      <c r="R1155" s="5">
        <f>IF(tblOrdenes[[#This Row],[fecha_inicio]]="","",tblOrdenes[[#This Row],[anio]]&amp;"-"&amp;TEXT(tblOrdenes[[#This Row],[mes]],"00"))</f>
        <v/>
      </c>
      <c r="S1155" s="5">
        <f>IF(tblOrdenes[[#This Row],[fecha_inicio]]="","",INDEX(lista_dias,WEEKDAY(tblOrdenes[[#This Row],[fecha_inicio]],2)))</f>
        <v/>
      </c>
      <c r="T1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5" s="5">
        <f>IF(tblOrdenes[[#This Row],[tipo_ot]]="","",_xlfn.XLOOKUP(tblOrdenes[[#This Row],[tipo_ot]],tblTiposOT[codigo],tblTiposOT[clasificacion],"sin_clasificar"))</f>
        <v/>
      </c>
      <c r="V11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5" s="5">
        <f>IF(tblOrdenes[[#This Row],[centro_costo]]="","",_xlfn.XLOOKUP(tblOrdenes[[#This Row],[centro_costo]],tblCECO[codigo],tblCECO[linea],"(sin catálogo)"))</f>
        <v/>
      </c>
      <c r="X1155" s="5">
        <f>IF(tblOrdenes[[#This Row],[centro_costo]]="","",_xlfn.XLOOKUP(tblOrdenes[[#This Row],[centro_costo]],tblCECO[codigo],tblCECO[area],"(sin catálogo)"))</f>
        <v/>
      </c>
      <c r="Y1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5" s="5">
        <f>IF(tblOrdenes[[#This Row],[centro_costo]]="","",_xlfn.XLOOKUP(tblOrdenes[[#This Row],[centro_costo]],tblCECO[codigo],tblCECO[coordinador],"(sin catálogo)"))</f>
        <v/>
      </c>
      <c r="AA1155" s="5">
        <f>IF(tblOrdenes[[#This Row],[puesto_trabajo]]="","",_xlfn.XLOOKUP(tblOrdenes[[#This Row],[puesto_trabajo]],tblPuestos[codigo],tblPuestos[especialidad],"(sin catálogo)"))</f>
        <v/>
      </c>
      <c r="AB1155" s="5">
        <f>IF(tblOrdenes[[#This Row],[cod_actividad]]="","",_xlfn.XLOOKUP(tblOrdenes[[#This Row],[cod_actividad]],tblActividades[codigo],tblActividades[descripcion],"(sin catálogo)"))</f>
        <v/>
      </c>
      <c r="AC1155" s="20">
        <f>IF(tblOrdenes[[#This Row],[fecha_inicio]]="","",TODAY()-tblOrdenes[[#This Row],[fecha_inicio]])</f>
        <v/>
      </c>
      <c r="AD115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5" s="5">
        <f>IF(tblOrdenes[[#This Row],[backlog_habiles]]="","",IF(tblOrdenes[[#This Row],[backlog_habiles]]&lt;0,"FUTURO",IF(tblOrdenes[[#This Row],[backlog_habiles]]&gt;p_dias_backlog_max,"BACKLOG","MES CORRIENTE")))</f>
        <v/>
      </c>
      <c r="AF1155" s="5">
        <f>IF(tblOrdenes[[#This Row],[backlog_habiles]]="",FALSE,AND(tblOrdenes[[#This Row],[backlog_habiles]]&gt;p_dias_backlog_min,tblOrdenes[[#This Row],[backlog_habiles]]&lt;=p_dias_backlog_max))</f>
        <v/>
      </c>
      <c r="AG1155" s="4" t="n"/>
      <c r="AH1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5" s="18">
        <f>IF(tblOrdenes[[#This Row],[orden]]="","",_xlfn.XLOOKUP(tblOrdenes[[#This Row],[id_operacion]],tblEjecucion[id_operacion],tblEjecucion[precio],0))</f>
        <v/>
      </c>
      <c r="AL1155" s="18">
        <f>IF(tblOrdenes[[#This Row],[orden]]="","",MAX(0,_xlfn.XLOOKUP(tblOrdenes[[#This Row],[id_operacion]],tblEjecucion[id_operacion],tblEjecucion[costo_plan_total],0)-tblOrdenes[[#This Row],[costo_servicio]]))</f>
        <v/>
      </c>
      <c r="AM1155" s="18">
        <f>IF(tblOrdenes[[#This Row],[orden]]="","",tblOrdenes[[#This Row],[costo_servicio]]+tblOrdenes[[#This Row],[costo_materiales]])</f>
        <v/>
      </c>
      <c r="AN1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5" s="4" t="n"/>
      <c r="AP1155" s="4" t="n"/>
      <c r="AQ1155" s="4" t="n"/>
      <c r="AR1155" s="5">
        <f>IF(tblOrdenes[[#This Row],[link_checklist]]="","",HYPERLINK(p_ruta_base_checklists&amp;tblOrdenes[[#This Row],[link_checklist]],"abrir"))</f>
        <v/>
      </c>
      <c r="AS1155" s="4" t="n"/>
      <c r="AT1155" s="5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22" t="n"/>
      <c r="K1156" s="5" t="n"/>
      <c r="L1156" s="18" t="n"/>
      <c r="M1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5">
        <f>IF(tblOrdenes[[#This Row],[fecha_inicio]]="","",YEAR(tblOrdenes[[#This Row],[fecha_inicio]]))</f>
        <v/>
      </c>
      <c r="Q1156" s="5">
        <f>IF(tblOrdenes[[#This Row],[fecha_inicio]]="","",MONTH(tblOrdenes[[#This Row],[fecha_inicio]]))</f>
        <v/>
      </c>
      <c r="R1156" s="5">
        <f>IF(tblOrdenes[[#This Row],[fecha_inicio]]="","",tblOrdenes[[#This Row],[anio]]&amp;"-"&amp;TEXT(tblOrdenes[[#This Row],[mes]],"00"))</f>
        <v/>
      </c>
      <c r="S1156" s="5">
        <f>IF(tblOrdenes[[#This Row],[fecha_inicio]]="","",INDEX(lista_dias,WEEKDAY(tblOrdenes[[#This Row],[fecha_inicio]],2)))</f>
        <v/>
      </c>
      <c r="T1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6" s="5">
        <f>IF(tblOrdenes[[#This Row],[tipo_ot]]="","",_xlfn.XLOOKUP(tblOrdenes[[#This Row],[tipo_ot]],tblTiposOT[codigo],tblTiposOT[clasificacion],"sin_clasificar"))</f>
        <v/>
      </c>
      <c r="V11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6" s="5">
        <f>IF(tblOrdenes[[#This Row],[centro_costo]]="","",_xlfn.XLOOKUP(tblOrdenes[[#This Row],[centro_costo]],tblCECO[codigo],tblCECO[linea],"(sin catálogo)"))</f>
        <v/>
      </c>
      <c r="X1156" s="5">
        <f>IF(tblOrdenes[[#This Row],[centro_costo]]="","",_xlfn.XLOOKUP(tblOrdenes[[#This Row],[centro_costo]],tblCECO[codigo],tblCECO[area],"(sin catálogo)"))</f>
        <v/>
      </c>
      <c r="Y1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6" s="5">
        <f>IF(tblOrdenes[[#This Row],[centro_costo]]="","",_xlfn.XLOOKUP(tblOrdenes[[#This Row],[centro_costo]],tblCECO[codigo],tblCECO[coordinador],"(sin catálogo)"))</f>
        <v/>
      </c>
      <c r="AA1156" s="5">
        <f>IF(tblOrdenes[[#This Row],[puesto_trabajo]]="","",_xlfn.XLOOKUP(tblOrdenes[[#This Row],[puesto_trabajo]],tblPuestos[codigo],tblPuestos[especialidad],"(sin catálogo)"))</f>
        <v/>
      </c>
      <c r="AB1156" s="5">
        <f>IF(tblOrdenes[[#This Row],[cod_actividad]]="","",_xlfn.XLOOKUP(tblOrdenes[[#This Row],[cod_actividad]],tblActividades[codigo],tblActividades[descripcion],"(sin catálogo)"))</f>
        <v/>
      </c>
      <c r="AC1156" s="20">
        <f>IF(tblOrdenes[[#This Row],[fecha_inicio]]="","",TODAY()-tblOrdenes[[#This Row],[fecha_inicio]])</f>
        <v/>
      </c>
      <c r="AD115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6" s="5">
        <f>IF(tblOrdenes[[#This Row],[backlog_habiles]]="","",IF(tblOrdenes[[#This Row],[backlog_habiles]]&lt;0,"FUTURO",IF(tblOrdenes[[#This Row],[backlog_habiles]]&gt;p_dias_backlog_max,"BACKLOG","MES CORRIENTE")))</f>
        <v/>
      </c>
      <c r="AF1156" s="5">
        <f>IF(tblOrdenes[[#This Row],[backlog_habiles]]="",FALSE,AND(tblOrdenes[[#This Row],[backlog_habiles]]&gt;p_dias_backlog_min,tblOrdenes[[#This Row],[backlog_habiles]]&lt;=p_dias_backlog_max))</f>
        <v/>
      </c>
      <c r="AG1156" s="4" t="n"/>
      <c r="AH1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6" s="18">
        <f>IF(tblOrdenes[[#This Row],[orden]]="","",_xlfn.XLOOKUP(tblOrdenes[[#This Row],[id_operacion]],tblEjecucion[id_operacion],tblEjecucion[precio],0))</f>
        <v/>
      </c>
      <c r="AL1156" s="18">
        <f>IF(tblOrdenes[[#This Row],[orden]]="","",MAX(0,_xlfn.XLOOKUP(tblOrdenes[[#This Row],[id_operacion]],tblEjecucion[id_operacion],tblEjecucion[costo_plan_total],0)-tblOrdenes[[#This Row],[costo_servicio]]))</f>
        <v/>
      </c>
      <c r="AM1156" s="18">
        <f>IF(tblOrdenes[[#This Row],[orden]]="","",tblOrdenes[[#This Row],[costo_servicio]]+tblOrdenes[[#This Row],[costo_materiales]])</f>
        <v/>
      </c>
      <c r="AN1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6" s="4" t="n"/>
      <c r="AP1156" s="4" t="n"/>
      <c r="AQ1156" s="4" t="n"/>
      <c r="AR1156" s="5">
        <f>IF(tblOrdenes[[#This Row],[link_checklist]]="","",HYPERLINK(p_ruta_base_checklists&amp;tblOrdenes[[#This Row],[link_checklist]],"abrir"))</f>
        <v/>
      </c>
      <c r="AS1156" s="4" t="n"/>
      <c r="AT1156" s="5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22" t="n"/>
      <c r="K1157" s="5" t="n"/>
      <c r="L1157" s="18" t="n"/>
      <c r="M1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5">
        <f>IF(tblOrdenes[[#This Row],[fecha_inicio]]="","",YEAR(tblOrdenes[[#This Row],[fecha_inicio]]))</f>
        <v/>
      </c>
      <c r="Q1157" s="5">
        <f>IF(tblOrdenes[[#This Row],[fecha_inicio]]="","",MONTH(tblOrdenes[[#This Row],[fecha_inicio]]))</f>
        <v/>
      </c>
      <c r="R1157" s="5">
        <f>IF(tblOrdenes[[#This Row],[fecha_inicio]]="","",tblOrdenes[[#This Row],[anio]]&amp;"-"&amp;TEXT(tblOrdenes[[#This Row],[mes]],"00"))</f>
        <v/>
      </c>
      <c r="S1157" s="5">
        <f>IF(tblOrdenes[[#This Row],[fecha_inicio]]="","",INDEX(lista_dias,WEEKDAY(tblOrdenes[[#This Row],[fecha_inicio]],2)))</f>
        <v/>
      </c>
      <c r="T1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7" s="5">
        <f>IF(tblOrdenes[[#This Row],[tipo_ot]]="","",_xlfn.XLOOKUP(tblOrdenes[[#This Row],[tipo_ot]],tblTiposOT[codigo],tblTiposOT[clasificacion],"sin_clasificar"))</f>
        <v/>
      </c>
      <c r="V11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7" s="5">
        <f>IF(tblOrdenes[[#This Row],[centro_costo]]="","",_xlfn.XLOOKUP(tblOrdenes[[#This Row],[centro_costo]],tblCECO[codigo],tblCECO[linea],"(sin catálogo)"))</f>
        <v/>
      </c>
      <c r="X1157" s="5">
        <f>IF(tblOrdenes[[#This Row],[centro_costo]]="","",_xlfn.XLOOKUP(tblOrdenes[[#This Row],[centro_costo]],tblCECO[codigo],tblCECO[area],"(sin catálogo)"))</f>
        <v/>
      </c>
      <c r="Y1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7" s="5">
        <f>IF(tblOrdenes[[#This Row],[centro_costo]]="","",_xlfn.XLOOKUP(tblOrdenes[[#This Row],[centro_costo]],tblCECO[codigo],tblCECO[coordinador],"(sin catálogo)"))</f>
        <v/>
      </c>
      <c r="AA1157" s="5">
        <f>IF(tblOrdenes[[#This Row],[puesto_trabajo]]="","",_xlfn.XLOOKUP(tblOrdenes[[#This Row],[puesto_trabajo]],tblPuestos[codigo],tblPuestos[especialidad],"(sin catálogo)"))</f>
        <v/>
      </c>
      <c r="AB1157" s="5">
        <f>IF(tblOrdenes[[#This Row],[cod_actividad]]="","",_xlfn.XLOOKUP(tblOrdenes[[#This Row],[cod_actividad]],tblActividades[codigo],tblActividades[descripcion],"(sin catálogo)"))</f>
        <v/>
      </c>
      <c r="AC1157" s="20">
        <f>IF(tblOrdenes[[#This Row],[fecha_inicio]]="","",TODAY()-tblOrdenes[[#This Row],[fecha_inicio]])</f>
        <v/>
      </c>
      <c r="AD115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7" s="5">
        <f>IF(tblOrdenes[[#This Row],[backlog_habiles]]="","",IF(tblOrdenes[[#This Row],[backlog_habiles]]&lt;0,"FUTURO",IF(tblOrdenes[[#This Row],[backlog_habiles]]&gt;p_dias_backlog_max,"BACKLOG","MES CORRIENTE")))</f>
        <v/>
      </c>
      <c r="AF1157" s="5">
        <f>IF(tblOrdenes[[#This Row],[backlog_habiles]]="",FALSE,AND(tblOrdenes[[#This Row],[backlog_habiles]]&gt;p_dias_backlog_min,tblOrdenes[[#This Row],[backlog_habiles]]&lt;=p_dias_backlog_max))</f>
        <v/>
      </c>
      <c r="AG1157" s="4" t="n"/>
      <c r="AH1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7" s="18">
        <f>IF(tblOrdenes[[#This Row],[orden]]="","",_xlfn.XLOOKUP(tblOrdenes[[#This Row],[id_operacion]],tblEjecucion[id_operacion],tblEjecucion[precio],0))</f>
        <v/>
      </c>
      <c r="AL1157" s="18">
        <f>IF(tblOrdenes[[#This Row],[orden]]="","",MAX(0,_xlfn.XLOOKUP(tblOrdenes[[#This Row],[id_operacion]],tblEjecucion[id_operacion],tblEjecucion[costo_plan_total],0)-tblOrdenes[[#This Row],[costo_servicio]]))</f>
        <v/>
      </c>
      <c r="AM1157" s="18">
        <f>IF(tblOrdenes[[#This Row],[orden]]="","",tblOrdenes[[#This Row],[costo_servicio]]+tblOrdenes[[#This Row],[costo_materiales]])</f>
        <v/>
      </c>
      <c r="AN1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7" s="4" t="n"/>
      <c r="AP1157" s="4" t="n"/>
      <c r="AQ1157" s="4" t="n"/>
      <c r="AR1157" s="5">
        <f>IF(tblOrdenes[[#This Row],[link_checklist]]="","",HYPERLINK(p_ruta_base_checklists&amp;tblOrdenes[[#This Row],[link_checklist]],"abrir"))</f>
        <v/>
      </c>
      <c r="AS1157" s="4" t="n"/>
      <c r="AT1157" s="5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22" t="n"/>
      <c r="K1158" s="5" t="n"/>
      <c r="L1158" s="18" t="n"/>
      <c r="M1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5">
        <f>IF(tblOrdenes[[#This Row],[fecha_inicio]]="","",YEAR(tblOrdenes[[#This Row],[fecha_inicio]]))</f>
        <v/>
      </c>
      <c r="Q1158" s="5">
        <f>IF(tblOrdenes[[#This Row],[fecha_inicio]]="","",MONTH(tblOrdenes[[#This Row],[fecha_inicio]]))</f>
        <v/>
      </c>
      <c r="R1158" s="5">
        <f>IF(tblOrdenes[[#This Row],[fecha_inicio]]="","",tblOrdenes[[#This Row],[anio]]&amp;"-"&amp;TEXT(tblOrdenes[[#This Row],[mes]],"00"))</f>
        <v/>
      </c>
      <c r="S1158" s="5">
        <f>IF(tblOrdenes[[#This Row],[fecha_inicio]]="","",INDEX(lista_dias,WEEKDAY(tblOrdenes[[#This Row],[fecha_inicio]],2)))</f>
        <v/>
      </c>
      <c r="T1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8" s="5">
        <f>IF(tblOrdenes[[#This Row],[tipo_ot]]="","",_xlfn.XLOOKUP(tblOrdenes[[#This Row],[tipo_ot]],tblTiposOT[codigo],tblTiposOT[clasificacion],"sin_clasificar"))</f>
        <v/>
      </c>
      <c r="V11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8" s="5">
        <f>IF(tblOrdenes[[#This Row],[centro_costo]]="","",_xlfn.XLOOKUP(tblOrdenes[[#This Row],[centro_costo]],tblCECO[codigo],tblCECO[linea],"(sin catálogo)"))</f>
        <v/>
      </c>
      <c r="X1158" s="5">
        <f>IF(tblOrdenes[[#This Row],[centro_costo]]="","",_xlfn.XLOOKUP(tblOrdenes[[#This Row],[centro_costo]],tblCECO[codigo],tblCECO[area],"(sin catálogo)"))</f>
        <v/>
      </c>
      <c r="Y1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8" s="5">
        <f>IF(tblOrdenes[[#This Row],[centro_costo]]="","",_xlfn.XLOOKUP(tblOrdenes[[#This Row],[centro_costo]],tblCECO[codigo],tblCECO[coordinador],"(sin catálogo)"))</f>
        <v/>
      </c>
      <c r="AA1158" s="5">
        <f>IF(tblOrdenes[[#This Row],[puesto_trabajo]]="","",_xlfn.XLOOKUP(tblOrdenes[[#This Row],[puesto_trabajo]],tblPuestos[codigo],tblPuestos[especialidad],"(sin catálogo)"))</f>
        <v/>
      </c>
      <c r="AB1158" s="5">
        <f>IF(tblOrdenes[[#This Row],[cod_actividad]]="","",_xlfn.XLOOKUP(tblOrdenes[[#This Row],[cod_actividad]],tblActividades[codigo],tblActividades[descripcion],"(sin catálogo)"))</f>
        <v/>
      </c>
      <c r="AC1158" s="20">
        <f>IF(tblOrdenes[[#This Row],[fecha_inicio]]="","",TODAY()-tblOrdenes[[#This Row],[fecha_inicio]])</f>
        <v/>
      </c>
      <c r="AD115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8" s="5">
        <f>IF(tblOrdenes[[#This Row],[backlog_habiles]]="","",IF(tblOrdenes[[#This Row],[backlog_habiles]]&lt;0,"FUTURO",IF(tblOrdenes[[#This Row],[backlog_habiles]]&gt;p_dias_backlog_max,"BACKLOG","MES CORRIENTE")))</f>
        <v/>
      </c>
      <c r="AF1158" s="5">
        <f>IF(tblOrdenes[[#This Row],[backlog_habiles]]="",FALSE,AND(tblOrdenes[[#This Row],[backlog_habiles]]&gt;p_dias_backlog_min,tblOrdenes[[#This Row],[backlog_habiles]]&lt;=p_dias_backlog_max))</f>
        <v/>
      </c>
      <c r="AG1158" s="4" t="n"/>
      <c r="AH1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8" s="18">
        <f>IF(tblOrdenes[[#This Row],[orden]]="","",_xlfn.XLOOKUP(tblOrdenes[[#This Row],[id_operacion]],tblEjecucion[id_operacion],tblEjecucion[precio],0))</f>
        <v/>
      </c>
      <c r="AL1158" s="18">
        <f>IF(tblOrdenes[[#This Row],[orden]]="","",MAX(0,_xlfn.XLOOKUP(tblOrdenes[[#This Row],[id_operacion]],tblEjecucion[id_operacion],tblEjecucion[costo_plan_total],0)-tblOrdenes[[#This Row],[costo_servicio]]))</f>
        <v/>
      </c>
      <c r="AM1158" s="18">
        <f>IF(tblOrdenes[[#This Row],[orden]]="","",tblOrdenes[[#This Row],[costo_servicio]]+tblOrdenes[[#This Row],[costo_materiales]])</f>
        <v/>
      </c>
      <c r="AN1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8" s="4" t="n"/>
      <c r="AP1158" s="4" t="n"/>
      <c r="AQ1158" s="4" t="n"/>
      <c r="AR1158" s="5">
        <f>IF(tblOrdenes[[#This Row],[link_checklist]]="","",HYPERLINK(p_ruta_base_checklists&amp;tblOrdenes[[#This Row],[link_checklist]],"abrir"))</f>
        <v/>
      </c>
      <c r="AS1158" s="4" t="n"/>
      <c r="AT1158" s="5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22" t="n"/>
      <c r="K1159" s="5" t="n"/>
      <c r="L1159" s="18" t="n"/>
      <c r="M1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5">
        <f>IF(tblOrdenes[[#This Row],[fecha_inicio]]="","",YEAR(tblOrdenes[[#This Row],[fecha_inicio]]))</f>
        <v/>
      </c>
      <c r="Q1159" s="5">
        <f>IF(tblOrdenes[[#This Row],[fecha_inicio]]="","",MONTH(tblOrdenes[[#This Row],[fecha_inicio]]))</f>
        <v/>
      </c>
      <c r="R1159" s="5">
        <f>IF(tblOrdenes[[#This Row],[fecha_inicio]]="","",tblOrdenes[[#This Row],[anio]]&amp;"-"&amp;TEXT(tblOrdenes[[#This Row],[mes]],"00"))</f>
        <v/>
      </c>
      <c r="S1159" s="5">
        <f>IF(tblOrdenes[[#This Row],[fecha_inicio]]="","",INDEX(lista_dias,WEEKDAY(tblOrdenes[[#This Row],[fecha_inicio]],2)))</f>
        <v/>
      </c>
      <c r="T1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9" s="5">
        <f>IF(tblOrdenes[[#This Row],[tipo_ot]]="","",_xlfn.XLOOKUP(tblOrdenes[[#This Row],[tipo_ot]],tblTiposOT[codigo],tblTiposOT[clasificacion],"sin_clasificar"))</f>
        <v/>
      </c>
      <c r="V11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9" s="5">
        <f>IF(tblOrdenes[[#This Row],[centro_costo]]="","",_xlfn.XLOOKUP(tblOrdenes[[#This Row],[centro_costo]],tblCECO[codigo],tblCECO[linea],"(sin catálogo)"))</f>
        <v/>
      </c>
      <c r="X1159" s="5">
        <f>IF(tblOrdenes[[#This Row],[centro_costo]]="","",_xlfn.XLOOKUP(tblOrdenes[[#This Row],[centro_costo]],tblCECO[codigo],tblCECO[area],"(sin catálogo)"))</f>
        <v/>
      </c>
      <c r="Y1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59" s="5">
        <f>IF(tblOrdenes[[#This Row],[centro_costo]]="","",_xlfn.XLOOKUP(tblOrdenes[[#This Row],[centro_costo]],tblCECO[codigo],tblCECO[coordinador],"(sin catálogo)"))</f>
        <v/>
      </c>
      <c r="AA1159" s="5">
        <f>IF(tblOrdenes[[#This Row],[puesto_trabajo]]="","",_xlfn.XLOOKUP(tblOrdenes[[#This Row],[puesto_trabajo]],tblPuestos[codigo],tblPuestos[especialidad],"(sin catálogo)"))</f>
        <v/>
      </c>
      <c r="AB1159" s="5">
        <f>IF(tblOrdenes[[#This Row],[cod_actividad]]="","",_xlfn.XLOOKUP(tblOrdenes[[#This Row],[cod_actividad]],tblActividades[codigo],tblActividades[descripcion],"(sin catálogo)"))</f>
        <v/>
      </c>
      <c r="AC1159" s="20">
        <f>IF(tblOrdenes[[#This Row],[fecha_inicio]]="","",TODAY()-tblOrdenes[[#This Row],[fecha_inicio]])</f>
        <v/>
      </c>
      <c r="AD115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59" s="5">
        <f>IF(tblOrdenes[[#This Row],[backlog_habiles]]="","",IF(tblOrdenes[[#This Row],[backlog_habiles]]&lt;0,"FUTURO",IF(tblOrdenes[[#This Row],[backlog_habiles]]&gt;p_dias_backlog_max,"BACKLOG","MES CORRIENTE")))</f>
        <v/>
      </c>
      <c r="AF1159" s="5">
        <f>IF(tblOrdenes[[#This Row],[backlog_habiles]]="",FALSE,AND(tblOrdenes[[#This Row],[backlog_habiles]]&gt;p_dias_backlog_min,tblOrdenes[[#This Row],[backlog_habiles]]&lt;=p_dias_backlog_max))</f>
        <v/>
      </c>
      <c r="AG1159" s="4" t="n"/>
      <c r="AH1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5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5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59" s="18">
        <f>IF(tblOrdenes[[#This Row],[orden]]="","",_xlfn.XLOOKUP(tblOrdenes[[#This Row],[id_operacion]],tblEjecucion[id_operacion],tblEjecucion[precio],0))</f>
        <v/>
      </c>
      <c r="AL1159" s="18">
        <f>IF(tblOrdenes[[#This Row],[orden]]="","",MAX(0,_xlfn.XLOOKUP(tblOrdenes[[#This Row],[id_operacion]],tblEjecucion[id_operacion],tblEjecucion[costo_plan_total],0)-tblOrdenes[[#This Row],[costo_servicio]]))</f>
        <v/>
      </c>
      <c r="AM1159" s="18">
        <f>IF(tblOrdenes[[#This Row],[orden]]="","",tblOrdenes[[#This Row],[costo_servicio]]+tblOrdenes[[#This Row],[costo_materiales]])</f>
        <v/>
      </c>
      <c r="AN1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59" s="4" t="n"/>
      <c r="AP1159" s="4" t="n"/>
      <c r="AQ1159" s="4" t="n"/>
      <c r="AR1159" s="5">
        <f>IF(tblOrdenes[[#This Row],[link_checklist]]="","",HYPERLINK(p_ruta_base_checklists&amp;tblOrdenes[[#This Row],[link_checklist]],"abrir"))</f>
        <v/>
      </c>
      <c r="AS1159" s="4" t="n"/>
      <c r="AT1159" s="5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22" t="n"/>
      <c r="K1160" s="5" t="n"/>
      <c r="L1160" s="18" t="n"/>
      <c r="M1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5">
        <f>IF(tblOrdenes[[#This Row],[fecha_inicio]]="","",YEAR(tblOrdenes[[#This Row],[fecha_inicio]]))</f>
        <v/>
      </c>
      <c r="Q1160" s="5">
        <f>IF(tblOrdenes[[#This Row],[fecha_inicio]]="","",MONTH(tblOrdenes[[#This Row],[fecha_inicio]]))</f>
        <v/>
      </c>
      <c r="R1160" s="5">
        <f>IF(tblOrdenes[[#This Row],[fecha_inicio]]="","",tblOrdenes[[#This Row],[anio]]&amp;"-"&amp;TEXT(tblOrdenes[[#This Row],[mes]],"00"))</f>
        <v/>
      </c>
      <c r="S1160" s="5">
        <f>IF(tblOrdenes[[#This Row],[fecha_inicio]]="","",INDEX(lista_dias,WEEKDAY(tblOrdenes[[#This Row],[fecha_inicio]],2)))</f>
        <v/>
      </c>
      <c r="T1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0" s="5">
        <f>IF(tblOrdenes[[#This Row],[tipo_ot]]="","",_xlfn.XLOOKUP(tblOrdenes[[#This Row],[tipo_ot]],tblTiposOT[codigo],tblTiposOT[clasificacion],"sin_clasificar"))</f>
        <v/>
      </c>
      <c r="V11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0" s="5">
        <f>IF(tblOrdenes[[#This Row],[centro_costo]]="","",_xlfn.XLOOKUP(tblOrdenes[[#This Row],[centro_costo]],tblCECO[codigo],tblCECO[linea],"(sin catálogo)"))</f>
        <v/>
      </c>
      <c r="X1160" s="5">
        <f>IF(tblOrdenes[[#This Row],[centro_costo]]="","",_xlfn.XLOOKUP(tblOrdenes[[#This Row],[centro_costo]],tblCECO[codigo],tblCECO[area],"(sin catálogo)"))</f>
        <v/>
      </c>
      <c r="Y1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0" s="5">
        <f>IF(tblOrdenes[[#This Row],[centro_costo]]="","",_xlfn.XLOOKUP(tblOrdenes[[#This Row],[centro_costo]],tblCECO[codigo],tblCECO[coordinador],"(sin catálogo)"))</f>
        <v/>
      </c>
      <c r="AA1160" s="5">
        <f>IF(tblOrdenes[[#This Row],[puesto_trabajo]]="","",_xlfn.XLOOKUP(tblOrdenes[[#This Row],[puesto_trabajo]],tblPuestos[codigo],tblPuestos[especialidad],"(sin catálogo)"))</f>
        <v/>
      </c>
      <c r="AB1160" s="5">
        <f>IF(tblOrdenes[[#This Row],[cod_actividad]]="","",_xlfn.XLOOKUP(tblOrdenes[[#This Row],[cod_actividad]],tblActividades[codigo],tblActividades[descripcion],"(sin catálogo)"))</f>
        <v/>
      </c>
      <c r="AC1160" s="20">
        <f>IF(tblOrdenes[[#This Row],[fecha_inicio]]="","",TODAY()-tblOrdenes[[#This Row],[fecha_inicio]])</f>
        <v/>
      </c>
      <c r="AD116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0" s="5">
        <f>IF(tblOrdenes[[#This Row],[backlog_habiles]]="","",IF(tblOrdenes[[#This Row],[backlog_habiles]]&lt;0,"FUTURO",IF(tblOrdenes[[#This Row],[backlog_habiles]]&gt;p_dias_backlog_max,"BACKLOG","MES CORRIENTE")))</f>
        <v/>
      </c>
      <c r="AF1160" s="5">
        <f>IF(tblOrdenes[[#This Row],[backlog_habiles]]="",FALSE,AND(tblOrdenes[[#This Row],[backlog_habiles]]&gt;p_dias_backlog_min,tblOrdenes[[#This Row],[backlog_habiles]]&lt;=p_dias_backlog_max))</f>
        <v/>
      </c>
      <c r="AG1160" s="4" t="n"/>
      <c r="AH1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0" s="18">
        <f>IF(tblOrdenes[[#This Row],[orden]]="","",_xlfn.XLOOKUP(tblOrdenes[[#This Row],[id_operacion]],tblEjecucion[id_operacion],tblEjecucion[precio],0))</f>
        <v/>
      </c>
      <c r="AL1160" s="18">
        <f>IF(tblOrdenes[[#This Row],[orden]]="","",MAX(0,_xlfn.XLOOKUP(tblOrdenes[[#This Row],[id_operacion]],tblEjecucion[id_operacion],tblEjecucion[costo_plan_total],0)-tblOrdenes[[#This Row],[costo_servicio]]))</f>
        <v/>
      </c>
      <c r="AM1160" s="18">
        <f>IF(tblOrdenes[[#This Row],[orden]]="","",tblOrdenes[[#This Row],[costo_servicio]]+tblOrdenes[[#This Row],[costo_materiales]])</f>
        <v/>
      </c>
      <c r="AN1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0" s="4" t="n"/>
      <c r="AP1160" s="4" t="n"/>
      <c r="AQ1160" s="4" t="n"/>
      <c r="AR1160" s="5">
        <f>IF(tblOrdenes[[#This Row],[link_checklist]]="","",HYPERLINK(p_ruta_base_checklists&amp;tblOrdenes[[#This Row],[link_checklist]],"abrir"))</f>
        <v/>
      </c>
      <c r="AS1160" s="4" t="n"/>
      <c r="AT1160" s="5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22" t="n"/>
      <c r="K1161" s="5" t="n"/>
      <c r="L1161" s="18" t="n"/>
      <c r="M1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5">
        <f>IF(tblOrdenes[[#This Row],[fecha_inicio]]="","",YEAR(tblOrdenes[[#This Row],[fecha_inicio]]))</f>
        <v/>
      </c>
      <c r="Q1161" s="5">
        <f>IF(tblOrdenes[[#This Row],[fecha_inicio]]="","",MONTH(tblOrdenes[[#This Row],[fecha_inicio]]))</f>
        <v/>
      </c>
      <c r="R1161" s="5">
        <f>IF(tblOrdenes[[#This Row],[fecha_inicio]]="","",tblOrdenes[[#This Row],[anio]]&amp;"-"&amp;TEXT(tblOrdenes[[#This Row],[mes]],"00"))</f>
        <v/>
      </c>
      <c r="S1161" s="5">
        <f>IF(tblOrdenes[[#This Row],[fecha_inicio]]="","",INDEX(lista_dias,WEEKDAY(tblOrdenes[[#This Row],[fecha_inicio]],2)))</f>
        <v/>
      </c>
      <c r="T1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1" s="5">
        <f>IF(tblOrdenes[[#This Row],[tipo_ot]]="","",_xlfn.XLOOKUP(tblOrdenes[[#This Row],[tipo_ot]],tblTiposOT[codigo],tblTiposOT[clasificacion],"sin_clasificar"))</f>
        <v/>
      </c>
      <c r="V11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1" s="5">
        <f>IF(tblOrdenes[[#This Row],[centro_costo]]="","",_xlfn.XLOOKUP(tblOrdenes[[#This Row],[centro_costo]],tblCECO[codigo],tblCECO[linea],"(sin catálogo)"))</f>
        <v/>
      </c>
      <c r="X1161" s="5">
        <f>IF(tblOrdenes[[#This Row],[centro_costo]]="","",_xlfn.XLOOKUP(tblOrdenes[[#This Row],[centro_costo]],tblCECO[codigo],tblCECO[area],"(sin catálogo)"))</f>
        <v/>
      </c>
      <c r="Y1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1" s="5">
        <f>IF(tblOrdenes[[#This Row],[centro_costo]]="","",_xlfn.XLOOKUP(tblOrdenes[[#This Row],[centro_costo]],tblCECO[codigo],tblCECO[coordinador],"(sin catálogo)"))</f>
        <v/>
      </c>
      <c r="AA1161" s="5">
        <f>IF(tblOrdenes[[#This Row],[puesto_trabajo]]="","",_xlfn.XLOOKUP(tblOrdenes[[#This Row],[puesto_trabajo]],tblPuestos[codigo],tblPuestos[especialidad],"(sin catálogo)"))</f>
        <v/>
      </c>
      <c r="AB1161" s="5">
        <f>IF(tblOrdenes[[#This Row],[cod_actividad]]="","",_xlfn.XLOOKUP(tblOrdenes[[#This Row],[cod_actividad]],tblActividades[codigo],tblActividades[descripcion],"(sin catálogo)"))</f>
        <v/>
      </c>
      <c r="AC1161" s="20">
        <f>IF(tblOrdenes[[#This Row],[fecha_inicio]]="","",TODAY()-tblOrdenes[[#This Row],[fecha_inicio]])</f>
        <v/>
      </c>
      <c r="AD116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1" s="5">
        <f>IF(tblOrdenes[[#This Row],[backlog_habiles]]="","",IF(tblOrdenes[[#This Row],[backlog_habiles]]&lt;0,"FUTURO",IF(tblOrdenes[[#This Row],[backlog_habiles]]&gt;p_dias_backlog_max,"BACKLOG","MES CORRIENTE")))</f>
        <v/>
      </c>
      <c r="AF1161" s="5">
        <f>IF(tblOrdenes[[#This Row],[backlog_habiles]]="",FALSE,AND(tblOrdenes[[#This Row],[backlog_habiles]]&gt;p_dias_backlog_min,tblOrdenes[[#This Row],[backlog_habiles]]&lt;=p_dias_backlog_max))</f>
        <v/>
      </c>
      <c r="AG1161" s="4" t="n"/>
      <c r="AH1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1" s="18">
        <f>IF(tblOrdenes[[#This Row],[orden]]="","",_xlfn.XLOOKUP(tblOrdenes[[#This Row],[id_operacion]],tblEjecucion[id_operacion],tblEjecucion[precio],0))</f>
        <v/>
      </c>
      <c r="AL1161" s="18">
        <f>IF(tblOrdenes[[#This Row],[orden]]="","",MAX(0,_xlfn.XLOOKUP(tblOrdenes[[#This Row],[id_operacion]],tblEjecucion[id_operacion],tblEjecucion[costo_plan_total],0)-tblOrdenes[[#This Row],[costo_servicio]]))</f>
        <v/>
      </c>
      <c r="AM1161" s="18">
        <f>IF(tblOrdenes[[#This Row],[orden]]="","",tblOrdenes[[#This Row],[costo_servicio]]+tblOrdenes[[#This Row],[costo_materiales]])</f>
        <v/>
      </c>
      <c r="AN1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1" s="4" t="n"/>
      <c r="AP1161" s="4" t="n"/>
      <c r="AQ1161" s="4" t="n"/>
      <c r="AR1161" s="5">
        <f>IF(tblOrdenes[[#This Row],[link_checklist]]="","",HYPERLINK(p_ruta_base_checklists&amp;tblOrdenes[[#This Row],[link_checklist]],"abrir"))</f>
        <v/>
      </c>
      <c r="AS1161" s="4" t="n"/>
      <c r="AT1161" s="5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22" t="n"/>
      <c r="K1162" s="5" t="n"/>
      <c r="L1162" s="18" t="n"/>
      <c r="M1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5">
        <f>IF(tblOrdenes[[#This Row],[fecha_inicio]]="","",YEAR(tblOrdenes[[#This Row],[fecha_inicio]]))</f>
        <v/>
      </c>
      <c r="Q1162" s="5">
        <f>IF(tblOrdenes[[#This Row],[fecha_inicio]]="","",MONTH(tblOrdenes[[#This Row],[fecha_inicio]]))</f>
        <v/>
      </c>
      <c r="R1162" s="5">
        <f>IF(tblOrdenes[[#This Row],[fecha_inicio]]="","",tblOrdenes[[#This Row],[anio]]&amp;"-"&amp;TEXT(tblOrdenes[[#This Row],[mes]],"00"))</f>
        <v/>
      </c>
      <c r="S1162" s="5">
        <f>IF(tblOrdenes[[#This Row],[fecha_inicio]]="","",INDEX(lista_dias,WEEKDAY(tblOrdenes[[#This Row],[fecha_inicio]],2)))</f>
        <v/>
      </c>
      <c r="T1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2" s="5">
        <f>IF(tblOrdenes[[#This Row],[tipo_ot]]="","",_xlfn.XLOOKUP(tblOrdenes[[#This Row],[tipo_ot]],tblTiposOT[codigo],tblTiposOT[clasificacion],"sin_clasificar"))</f>
        <v/>
      </c>
      <c r="V11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2" s="5">
        <f>IF(tblOrdenes[[#This Row],[centro_costo]]="","",_xlfn.XLOOKUP(tblOrdenes[[#This Row],[centro_costo]],tblCECO[codigo],tblCECO[linea],"(sin catálogo)"))</f>
        <v/>
      </c>
      <c r="X1162" s="5">
        <f>IF(tblOrdenes[[#This Row],[centro_costo]]="","",_xlfn.XLOOKUP(tblOrdenes[[#This Row],[centro_costo]],tblCECO[codigo],tblCECO[area],"(sin catálogo)"))</f>
        <v/>
      </c>
      <c r="Y1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2" s="5">
        <f>IF(tblOrdenes[[#This Row],[centro_costo]]="","",_xlfn.XLOOKUP(tblOrdenes[[#This Row],[centro_costo]],tblCECO[codigo],tblCECO[coordinador],"(sin catálogo)"))</f>
        <v/>
      </c>
      <c r="AA1162" s="5">
        <f>IF(tblOrdenes[[#This Row],[puesto_trabajo]]="","",_xlfn.XLOOKUP(tblOrdenes[[#This Row],[puesto_trabajo]],tblPuestos[codigo],tblPuestos[especialidad],"(sin catálogo)"))</f>
        <v/>
      </c>
      <c r="AB1162" s="5">
        <f>IF(tblOrdenes[[#This Row],[cod_actividad]]="","",_xlfn.XLOOKUP(tblOrdenes[[#This Row],[cod_actividad]],tblActividades[codigo],tblActividades[descripcion],"(sin catálogo)"))</f>
        <v/>
      </c>
      <c r="AC1162" s="20">
        <f>IF(tblOrdenes[[#This Row],[fecha_inicio]]="","",TODAY()-tblOrdenes[[#This Row],[fecha_inicio]])</f>
        <v/>
      </c>
      <c r="AD116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2" s="5">
        <f>IF(tblOrdenes[[#This Row],[backlog_habiles]]="","",IF(tblOrdenes[[#This Row],[backlog_habiles]]&lt;0,"FUTURO",IF(tblOrdenes[[#This Row],[backlog_habiles]]&gt;p_dias_backlog_max,"BACKLOG","MES CORRIENTE")))</f>
        <v/>
      </c>
      <c r="AF1162" s="5">
        <f>IF(tblOrdenes[[#This Row],[backlog_habiles]]="",FALSE,AND(tblOrdenes[[#This Row],[backlog_habiles]]&gt;p_dias_backlog_min,tblOrdenes[[#This Row],[backlog_habiles]]&lt;=p_dias_backlog_max))</f>
        <v/>
      </c>
      <c r="AG1162" s="4" t="n"/>
      <c r="AH1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2" s="18">
        <f>IF(tblOrdenes[[#This Row],[orden]]="","",_xlfn.XLOOKUP(tblOrdenes[[#This Row],[id_operacion]],tblEjecucion[id_operacion],tblEjecucion[precio],0))</f>
        <v/>
      </c>
      <c r="AL1162" s="18">
        <f>IF(tblOrdenes[[#This Row],[orden]]="","",MAX(0,_xlfn.XLOOKUP(tblOrdenes[[#This Row],[id_operacion]],tblEjecucion[id_operacion],tblEjecucion[costo_plan_total],0)-tblOrdenes[[#This Row],[costo_servicio]]))</f>
        <v/>
      </c>
      <c r="AM1162" s="18">
        <f>IF(tblOrdenes[[#This Row],[orden]]="","",tblOrdenes[[#This Row],[costo_servicio]]+tblOrdenes[[#This Row],[costo_materiales]])</f>
        <v/>
      </c>
      <c r="AN1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2" s="4" t="n"/>
      <c r="AP1162" s="4" t="n"/>
      <c r="AQ1162" s="4" t="n"/>
      <c r="AR1162" s="5">
        <f>IF(tblOrdenes[[#This Row],[link_checklist]]="","",HYPERLINK(p_ruta_base_checklists&amp;tblOrdenes[[#This Row],[link_checklist]],"abrir"))</f>
        <v/>
      </c>
      <c r="AS1162" s="4" t="n"/>
      <c r="AT1162" s="5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22" t="n"/>
      <c r="K1163" s="5" t="n"/>
      <c r="L1163" s="18" t="n"/>
      <c r="M1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5">
        <f>IF(tblOrdenes[[#This Row],[fecha_inicio]]="","",YEAR(tblOrdenes[[#This Row],[fecha_inicio]]))</f>
        <v/>
      </c>
      <c r="Q1163" s="5">
        <f>IF(tblOrdenes[[#This Row],[fecha_inicio]]="","",MONTH(tblOrdenes[[#This Row],[fecha_inicio]]))</f>
        <v/>
      </c>
      <c r="R1163" s="5">
        <f>IF(tblOrdenes[[#This Row],[fecha_inicio]]="","",tblOrdenes[[#This Row],[anio]]&amp;"-"&amp;TEXT(tblOrdenes[[#This Row],[mes]],"00"))</f>
        <v/>
      </c>
      <c r="S1163" s="5">
        <f>IF(tblOrdenes[[#This Row],[fecha_inicio]]="","",INDEX(lista_dias,WEEKDAY(tblOrdenes[[#This Row],[fecha_inicio]],2)))</f>
        <v/>
      </c>
      <c r="T1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3" s="5">
        <f>IF(tblOrdenes[[#This Row],[tipo_ot]]="","",_xlfn.XLOOKUP(tblOrdenes[[#This Row],[tipo_ot]],tblTiposOT[codigo],tblTiposOT[clasificacion],"sin_clasificar"))</f>
        <v/>
      </c>
      <c r="V11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3" s="5">
        <f>IF(tblOrdenes[[#This Row],[centro_costo]]="","",_xlfn.XLOOKUP(tblOrdenes[[#This Row],[centro_costo]],tblCECO[codigo],tblCECO[linea],"(sin catálogo)"))</f>
        <v/>
      </c>
      <c r="X1163" s="5">
        <f>IF(tblOrdenes[[#This Row],[centro_costo]]="","",_xlfn.XLOOKUP(tblOrdenes[[#This Row],[centro_costo]],tblCECO[codigo],tblCECO[area],"(sin catálogo)"))</f>
        <v/>
      </c>
      <c r="Y1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3" s="5">
        <f>IF(tblOrdenes[[#This Row],[centro_costo]]="","",_xlfn.XLOOKUP(tblOrdenes[[#This Row],[centro_costo]],tblCECO[codigo],tblCECO[coordinador],"(sin catálogo)"))</f>
        <v/>
      </c>
      <c r="AA1163" s="5">
        <f>IF(tblOrdenes[[#This Row],[puesto_trabajo]]="","",_xlfn.XLOOKUP(tblOrdenes[[#This Row],[puesto_trabajo]],tblPuestos[codigo],tblPuestos[especialidad],"(sin catálogo)"))</f>
        <v/>
      </c>
      <c r="AB1163" s="5">
        <f>IF(tblOrdenes[[#This Row],[cod_actividad]]="","",_xlfn.XLOOKUP(tblOrdenes[[#This Row],[cod_actividad]],tblActividades[codigo],tblActividades[descripcion],"(sin catálogo)"))</f>
        <v/>
      </c>
      <c r="AC1163" s="20">
        <f>IF(tblOrdenes[[#This Row],[fecha_inicio]]="","",TODAY()-tblOrdenes[[#This Row],[fecha_inicio]])</f>
        <v/>
      </c>
      <c r="AD116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3" s="5">
        <f>IF(tblOrdenes[[#This Row],[backlog_habiles]]="","",IF(tblOrdenes[[#This Row],[backlog_habiles]]&lt;0,"FUTURO",IF(tblOrdenes[[#This Row],[backlog_habiles]]&gt;p_dias_backlog_max,"BACKLOG","MES CORRIENTE")))</f>
        <v/>
      </c>
      <c r="AF1163" s="5">
        <f>IF(tblOrdenes[[#This Row],[backlog_habiles]]="",FALSE,AND(tblOrdenes[[#This Row],[backlog_habiles]]&gt;p_dias_backlog_min,tblOrdenes[[#This Row],[backlog_habiles]]&lt;=p_dias_backlog_max))</f>
        <v/>
      </c>
      <c r="AG1163" s="4" t="n"/>
      <c r="AH1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3" s="18">
        <f>IF(tblOrdenes[[#This Row],[orden]]="","",_xlfn.XLOOKUP(tblOrdenes[[#This Row],[id_operacion]],tblEjecucion[id_operacion],tblEjecucion[precio],0))</f>
        <v/>
      </c>
      <c r="AL1163" s="18">
        <f>IF(tblOrdenes[[#This Row],[orden]]="","",MAX(0,_xlfn.XLOOKUP(tblOrdenes[[#This Row],[id_operacion]],tblEjecucion[id_operacion],tblEjecucion[costo_plan_total],0)-tblOrdenes[[#This Row],[costo_servicio]]))</f>
        <v/>
      </c>
      <c r="AM1163" s="18">
        <f>IF(tblOrdenes[[#This Row],[orden]]="","",tblOrdenes[[#This Row],[costo_servicio]]+tblOrdenes[[#This Row],[costo_materiales]])</f>
        <v/>
      </c>
      <c r="AN1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3" s="4" t="n"/>
      <c r="AP1163" s="4" t="n"/>
      <c r="AQ1163" s="4" t="n"/>
      <c r="AR1163" s="5">
        <f>IF(tblOrdenes[[#This Row],[link_checklist]]="","",HYPERLINK(p_ruta_base_checklists&amp;tblOrdenes[[#This Row],[link_checklist]],"abrir"))</f>
        <v/>
      </c>
      <c r="AS1163" s="4" t="n"/>
      <c r="AT1163" s="5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22" t="n"/>
      <c r="K1164" s="5" t="n"/>
      <c r="L1164" s="18" t="n"/>
      <c r="M1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5">
        <f>IF(tblOrdenes[[#This Row],[fecha_inicio]]="","",YEAR(tblOrdenes[[#This Row],[fecha_inicio]]))</f>
        <v/>
      </c>
      <c r="Q1164" s="5">
        <f>IF(tblOrdenes[[#This Row],[fecha_inicio]]="","",MONTH(tblOrdenes[[#This Row],[fecha_inicio]]))</f>
        <v/>
      </c>
      <c r="R1164" s="5">
        <f>IF(tblOrdenes[[#This Row],[fecha_inicio]]="","",tblOrdenes[[#This Row],[anio]]&amp;"-"&amp;TEXT(tblOrdenes[[#This Row],[mes]],"00"))</f>
        <v/>
      </c>
      <c r="S1164" s="5">
        <f>IF(tblOrdenes[[#This Row],[fecha_inicio]]="","",INDEX(lista_dias,WEEKDAY(tblOrdenes[[#This Row],[fecha_inicio]],2)))</f>
        <v/>
      </c>
      <c r="T1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4" s="5">
        <f>IF(tblOrdenes[[#This Row],[tipo_ot]]="","",_xlfn.XLOOKUP(tblOrdenes[[#This Row],[tipo_ot]],tblTiposOT[codigo],tblTiposOT[clasificacion],"sin_clasificar"))</f>
        <v/>
      </c>
      <c r="V11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4" s="5">
        <f>IF(tblOrdenes[[#This Row],[centro_costo]]="","",_xlfn.XLOOKUP(tblOrdenes[[#This Row],[centro_costo]],tblCECO[codigo],tblCECO[linea],"(sin catálogo)"))</f>
        <v/>
      </c>
      <c r="X1164" s="5">
        <f>IF(tblOrdenes[[#This Row],[centro_costo]]="","",_xlfn.XLOOKUP(tblOrdenes[[#This Row],[centro_costo]],tblCECO[codigo],tblCECO[area],"(sin catálogo)"))</f>
        <v/>
      </c>
      <c r="Y1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4" s="5">
        <f>IF(tblOrdenes[[#This Row],[centro_costo]]="","",_xlfn.XLOOKUP(tblOrdenes[[#This Row],[centro_costo]],tblCECO[codigo],tblCECO[coordinador],"(sin catálogo)"))</f>
        <v/>
      </c>
      <c r="AA1164" s="5">
        <f>IF(tblOrdenes[[#This Row],[puesto_trabajo]]="","",_xlfn.XLOOKUP(tblOrdenes[[#This Row],[puesto_trabajo]],tblPuestos[codigo],tblPuestos[especialidad],"(sin catálogo)"))</f>
        <v/>
      </c>
      <c r="AB1164" s="5">
        <f>IF(tblOrdenes[[#This Row],[cod_actividad]]="","",_xlfn.XLOOKUP(tblOrdenes[[#This Row],[cod_actividad]],tblActividades[codigo],tblActividades[descripcion],"(sin catálogo)"))</f>
        <v/>
      </c>
      <c r="AC1164" s="20">
        <f>IF(tblOrdenes[[#This Row],[fecha_inicio]]="","",TODAY()-tblOrdenes[[#This Row],[fecha_inicio]])</f>
        <v/>
      </c>
      <c r="AD116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4" s="5">
        <f>IF(tblOrdenes[[#This Row],[backlog_habiles]]="","",IF(tblOrdenes[[#This Row],[backlog_habiles]]&lt;0,"FUTURO",IF(tblOrdenes[[#This Row],[backlog_habiles]]&gt;p_dias_backlog_max,"BACKLOG","MES CORRIENTE")))</f>
        <v/>
      </c>
      <c r="AF1164" s="5">
        <f>IF(tblOrdenes[[#This Row],[backlog_habiles]]="",FALSE,AND(tblOrdenes[[#This Row],[backlog_habiles]]&gt;p_dias_backlog_min,tblOrdenes[[#This Row],[backlog_habiles]]&lt;=p_dias_backlog_max))</f>
        <v/>
      </c>
      <c r="AG1164" s="4" t="n"/>
      <c r="AH1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4" s="18">
        <f>IF(tblOrdenes[[#This Row],[orden]]="","",_xlfn.XLOOKUP(tblOrdenes[[#This Row],[id_operacion]],tblEjecucion[id_operacion],tblEjecucion[precio],0))</f>
        <v/>
      </c>
      <c r="AL1164" s="18">
        <f>IF(tblOrdenes[[#This Row],[orden]]="","",MAX(0,_xlfn.XLOOKUP(tblOrdenes[[#This Row],[id_operacion]],tblEjecucion[id_operacion],tblEjecucion[costo_plan_total],0)-tblOrdenes[[#This Row],[costo_servicio]]))</f>
        <v/>
      </c>
      <c r="AM1164" s="18">
        <f>IF(tblOrdenes[[#This Row],[orden]]="","",tblOrdenes[[#This Row],[costo_servicio]]+tblOrdenes[[#This Row],[costo_materiales]])</f>
        <v/>
      </c>
      <c r="AN1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4" s="4" t="n"/>
      <c r="AP1164" s="4" t="n"/>
      <c r="AQ1164" s="4" t="n"/>
      <c r="AR1164" s="5">
        <f>IF(tblOrdenes[[#This Row],[link_checklist]]="","",HYPERLINK(p_ruta_base_checklists&amp;tblOrdenes[[#This Row],[link_checklist]],"abrir"))</f>
        <v/>
      </c>
      <c r="AS1164" s="4" t="n"/>
      <c r="AT1164" s="5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22" t="n"/>
      <c r="K1165" s="5" t="n"/>
      <c r="L1165" s="18" t="n"/>
      <c r="M1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5">
        <f>IF(tblOrdenes[[#This Row],[fecha_inicio]]="","",YEAR(tblOrdenes[[#This Row],[fecha_inicio]]))</f>
        <v/>
      </c>
      <c r="Q1165" s="5">
        <f>IF(tblOrdenes[[#This Row],[fecha_inicio]]="","",MONTH(tblOrdenes[[#This Row],[fecha_inicio]]))</f>
        <v/>
      </c>
      <c r="R1165" s="5">
        <f>IF(tblOrdenes[[#This Row],[fecha_inicio]]="","",tblOrdenes[[#This Row],[anio]]&amp;"-"&amp;TEXT(tblOrdenes[[#This Row],[mes]],"00"))</f>
        <v/>
      </c>
      <c r="S1165" s="5">
        <f>IF(tblOrdenes[[#This Row],[fecha_inicio]]="","",INDEX(lista_dias,WEEKDAY(tblOrdenes[[#This Row],[fecha_inicio]],2)))</f>
        <v/>
      </c>
      <c r="T1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5" s="5">
        <f>IF(tblOrdenes[[#This Row],[tipo_ot]]="","",_xlfn.XLOOKUP(tblOrdenes[[#This Row],[tipo_ot]],tblTiposOT[codigo],tblTiposOT[clasificacion],"sin_clasificar"))</f>
        <v/>
      </c>
      <c r="V11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5" s="5">
        <f>IF(tblOrdenes[[#This Row],[centro_costo]]="","",_xlfn.XLOOKUP(tblOrdenes[[#This Row],[centro_costo]],tblCECO[codigo],tblCECO[linea],"(sin catálogo)"))</f>
        <v/>
      </c>
      <c r="X1165" s="5">
        <f>IF(tblOrdenes[[#This Row],[centro_costo]]="","",_xlfn.XLOOKUP(tblOrdenes[[#This Row],[centro_costo]],tblCECO[codigo],tblCECO[area],"(sin catálogo)"))</f>
        <v/>
      </c>
      <c r="Y1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5" s="5">
        <f>IF(tblOrdenes[[#This Row],[centro_costo]]="","",_xlfn.XLOOKUP(tblOrdenes[[#This Row],[centro_costo]],tblCECO[codigo],tblCECO[coordinador],"(sin catálogo)"))</f>
        <v/>
      </c>
      <c r="AA1165" s="5">
        <f>IF(tblOrdenes[[#This Row],[puesto_trabajo]]="","",_xlfn.XLOOKUP(tblOrdenes[[#This Row],[puesto_trabajo]],tblPuestos[codigo],tblPuestos[especialidad],"(sin catálogo)"))</f>
        <v/>
      </c>
      <c r="AB1165" s="5">
        <f>IF(tblOrdenes[[#This Row],[cod_actividad]]="","",_xlfn.XLOOKUP(tblOrdenes[[#This Row],[cod_actividad]],tblActividades[codigo],tblActividades[descripcion],"(sin catálogo)"))</f>
        <v/>
      </c>
      <c r="AC1165" s="20">
        <f>IF(tblOrdenes[[#This Row],[fecha_inicio]]="","",TODAY()-tblOrdenes[[#This Row],[fecha_inicio]])</f>
        <v/>
      </c>
      <c r="AD116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5" s="5">
        <f>IF(tblOrdenes[[#This Row],[backlog_habiles]]="","",IF(tblOrdenes[[#This Row],[backlog_habiles]]&lt;0,"FUTURO",IF(tblOrdenes[[#This Row],[backlog_habiles]]&gt;p_dias_backlog_max,"BACKLOG","MES CORRIENTE")))</f>
        <v/>
      </c>
      <c r="AF1165" s="5">
        <f>IF(tblOrdenes[[#This Row],[backlog_habiles]]="",FALSE,AND(tblOrdenes[[#This Row],[backlog_habiles]]&gt;p_dias_backlog_min,tblOrdenes[[#This Row],[backlog_habiles]]&lt;=p_dias_backlog_max))</f>
        <v/>
      </c>
      <c r="AG1165" s="4" t="n"/>
      <c r="AH1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5" s="18">
        <f>IF(tblOrdenes[[#This Row],[orden]]="","",_xlfn.XLOOKUP(tblOrdenes[[#This Row],[id_operacion]],tblEjecucion[id_operacion],tblEjecucion[precio],0))</f>
        <v/>
      </c>
      <c r="AL1165" s="18">
        <f>IF(tblOrdenes[[#This Row],[orden]]="","",MAX(0,_xlfn.XLOOKUP(tblOrdenes[[#This Row],[id_operacion]],tblEjecucion[id_operacion],tblEjecucion[costo_plan_total],0)-tblOrdenes[[#This Row],[costo_servicio]]))</f>
        <v/>
      </c>
      <c r="AM1165" s="18">
        <f>IF(tblOrdenes[[#This Row],[orden]]="","",tblOrdenes[[#This Row],[costo_servicio]]+tblOrdenes[[#This Row],[costo_materiales]])</f>
        <v/>
      </c>
      <c r="AN1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5" s="4" t="n"/>
      <c r="AP1165" s="4" t="n"/>
      <c r="AQ1165" s="4" t="n"/>
      <c r="AR1165" s="5">
        <f>IF(tblOrdenes[[#This Row],[link_checklist]]="","",HYPERLINK(p_ruta_base_checklists&amp;tblOrdenes[[#This Row],[link_checklist]],"abrir"))</f>
        <v/>
      </c>
      <c r="AS1165" s="4" t="n"/>
      <c r="AT1165" s="5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22" t="n"/>
      <c r="K1166" s="5" t="n"/>
      <c r="L1166" s="18" t="n"/>
      <c r="M1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5">
        <f>IF(tblOrdenes[[#This Row],[fecha_inicio]]="","",YEAR(tblOrdenes[[#This Row],[fecha_inicio]]))</f>
        <v/>
      </c>
      <c r="Q1166" s="5">
        <f>IF(tblOrdenes[[#This Row],[fecha_inicio]]="","",MONTH(tblOrdenes[[#This Row],[fecha_inicio]]))</f>
        <v/>
      </c>
      <c r="R1166" s="5">
        <f>IF(tblOrdenes[[#This Row],[fecha_inicio]]="","",tblOrdenes[[#This Row],[anio]]&amp;"-"&amp;TEXT(tblOrdenes[[#This Row],[mes]],"00"))</f>
        <v/>
      </c>
      <c r="S1166" s="5">
        <f>IF(tblOrdenes[[#This Row],[fecha_inicio]]="","",INDEX(lista_dias,WEEKDAY(tblOrdenes[[#This Row],[fecha_inicio]],2)))</f>
        <v/>
      </c>
      <c r="T1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6" s="5">
        <f>IF(tblOrdenes[[#This Row],[tipo_ot]]="","",_xlfn.XLOOKUP(tblOrdenes[[#This Row],[tipo_ot]],tblTiposOT[codigo],tblTiposOT[clasificacion],"sin_clasificar"))</f>
        <v/>
      </c>
      <c r="V11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6" s="5">
        <f>IF(tblOrdenes[[#This Row],[centro_costo]]="","",_xlfn.XLOOKUP(tblOrdenes[[#This Row],[centro_costo]],tblCECO[codigo],tblCECO[linea],"(sin catálogo)"))</f>
        <v/>
      </c>
      <c r="X1166" s="5">
        <f>IF(tblOrdenes[[#This Row],[centro_costo]]="","",_xlfn.XLOOKUP(tblOrdenes[[#This Row],[centro_costo]],tblCECO[codigo],tblCECO[area],"(sin catálogo)"))</f>
        <v/>
      </c>
      <c r="Y1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6" s="5">
        <f>IF(tblOrdenes[[#This Row],[centro_costo]]="","",_xlfn.XLOOKUP(tblOrdenes[[#This Row],[centro_costo]],tblCECO[codigo],tblCECO[coordinador],"(sin catálogo)"))</f>
        <v/>
      </c>
      <c r="AA1166" s="5">
        <f>IF(tblOrdenes[[#This Row],[puesto_trabajo]]="","",_xlfn.XLOOKUP(tblOrdenes[[#This Row],[puesto_trabajo]],tblPuestos[codigo],tblPuestos[especialidad],"(sin catálogo)"))</f>
        <v/>
      </c>
      <c r="AB1166" s="5">
        <f>IF(tblOrdenes[[#This Row],[cod_actividad]]="","",_xlfn.XLOOKUP(tblOrdenes[[#This Row],[cod_actividad]],tblActividades[codigo],tblActividades[descripcion],"(sin catálogo)"))</f>
        <v/>
      </c>
      <c r="AC1166" s="20">
        <f>IF(tblOrdenes[[#This Row],[fecha_inicio]]="","",TODAY()-tblOrdenes[[#This Row],[fecha_inicio]])</f>
        <v/>
      </c>
      <c r="AD116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6" s="5">
        <f>IF(tblOrdenes[[#This Row],[backlog_habiles]]="","",IF(tblOrdenes[[#This Row],[backlog_habiles]]&lt;0,"FUTURO",IF(tblOrdenes[[#This Row],[backlog_habiles]]&gt;p_dias_backlog_max,"BACKLOG","MES CORRIENTE")))</f>
        <v/>
      </c>
      <c r="AF1166" s="5">
        <f>IF(tblOrdenes[[#This Row],[backlog_habiles]]="",FALSE,AND(tblOrdenes[[#This Row],[backlog_habiles]]&gt;p_dias_backlog_min,tblOrdenes[[#This Row],[backlog_habiles]]&lt;=p_dias_backlog_max))</f>
        <v/>
      </c>
      <c r="AG1166" s="4" t="n"/>
      <c r="AH1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6" s="18">
        <f>IF(tblOrdenes[[#This Row],[orden]]="","",_xlfn.XLOOKUP(tblOrdenes[[#This Row],[id_operacion]],tblEjecucion[id_operacion],tblEjecucion[precio],0))</f>
        <v/>
      </c>
      <c r="AL1166" s="18">
        <f>IF(tblOrdenes[[#This Row],[orden]]="","",MAX(0,_xlfn.XLOOKUP(tblOrdenes[[#This Row],[id_operacion]],tblEjecucion[id_operacion],tblEjecucion[costo_plan_total],0)-tblOrdenes[[#This Row],[costo_servicio]]))</f>
        <v/>
      </c>
      <c r="AM1166" s="18">
        <f>IF(tblOrdenes[[#This Row],[orden]]="","",tblOrdenes[[#This Row],[costo_servicio]]+tblOrdenes[[#This Row],[costo_materiales]])</f>
        <v/>
      </c>
      <c r="AN1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6" s="4" t="n"/>
      <c r="AP1166" s="4" t="n"/>
      <c r="AQ1166" s="4" t="n"/>
      <c r="AR1166" s="5">
        <f>IF(tblOrdenes[[#This Row],[link_checklist]]="","",HYPERLINK(p_ruta_base_checklists&amp;tblOrdenes[[#This Row],[link_checklist]],"abrir"))</f>
        <v/>
      </c>
      <c r="AS1166" s="4" t="n"/>
      <c r="AT1166" s="5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22" t="n"/>
      <c r="K1167" s="5" t="n"/>
      <c r="L1167" s="18" t="n"/>
      <c r="M1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5">
        <f>IF(tblOrdenes[[#This Row],[fecha_inicio]]="","",YEAR(tblOrdenes[[#This Row],[fecha_inicio]]))</f>
        <v/>
      </c>
      <c r="Q1167" s="5">
        <f>IF(tblOrdenes[[#This Row],[fecha_inicio]]="","",MONTH(tblOrdenes[[#This Row],[fecha_inicio]]))</f>
        <v/>
      </c>
      <c r="R1167" s="5">
        <f>IF(tblOrdenes[[#This Row],[fecha_inicio]]="","",tblOrdenes[[#This Row],[anio]]&amp;"-"&amp;TEXT(tblOrdenes[[#This Row],[mes]],"00"))</f>
        <v/>
      </c>
      <c r="S1167" s="5">
        <f>IF(tblOrdenes[[#This Row],[fecha_inicio]]="","",INDEX(lista_dias,WEEKDAY(tblOrdenes[[#This Row],[fecha_inicio]],2)))</f>
        <v/>
      </c>
      <c r="T1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7" s="5">
        <f>IF(tblOrdenes[[#This Row],[tipo_ot]]="","",_xlfn.XLOOKUP(tblOrdenes[[#This Row],[tipo_ot]],tblTiposOT[codigo],tblTiposOT[clasificacion],"sin_clasificar"))</f>
        <v/>
      </c>
      <c r="V11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7" s="5">
        <f>IF(tblOrdenes[[#This Row],[centro_costo]]="","",_xlfn.XLOOKUP(tblOrdenes[[#This Row],[centro_costo]],tblCECO[codigo],tblCECO[linea],"(sin catálogo)"))</f>
        <v/>
      </c>
      <c r="X1167" s="5">
        <f>IF(tblOrdenes[[#This Row],[centro_costo]]="","",_xlfn.XLOOKUP(tblOrdenes[[#This Row],[centro_costo]],tblCECO[codigo],tblCECO[area],"(sin catálogo)"))</f>
        <v/>
      </c>
      <c r="Y1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7" s="5">
        <f>IF(tblOrdenes[[#This Row],[centro_costo]]="","",_xlfn.XLOOKUP(tblOrdenes[[#This Row],[centro_costo]],tblCECO[codigo],tblCECO[coordinador],"(sin catálogo)"))</f>
        <v/>
      </c>
      <c r="AA1167" s="5">
        <f>IF(tblOrdenes[[#This Row],[puesto_trabajo]]="","",_xlfn.XLOOKUP(tblOrdenes[[#This Row],[puesto_trabajo]],tblPuestos[codigo],tblPuestos[especialidad],"(sin catálogo)"))</f>
        <v/>
      </c>
      <c r="AB1167" s="5">
        <f>IF(tblOrdenes[[#This Row],[cod_actividad]]="","",_xlfn.XLOOKUP(tblOrdenes[[#This Row],[cod_actividad]],tblActividades[codigo],tblActividades[descripcion],"(sin catálogo)"))</f>
        <v/>
      </c>
      <c r="AC1167" s="20">
        <f>IF(tblOrdenes[[#This Row],[fecha_inicio]]="","",TODAY()-tblOrdenes[[#This Row],[fecha_inicio]])</f>
        <v/>
      </c>
      <c r="AD116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7" s="5">
        <f>IF(tblOrdenes[[#This Row],[backlog_habiles]]="","",IF(tblOrdenes[[#This Row],[backlog_habiles]]&lt;0,"FUTURO",IF(tblOrdenes[[#This Row],[backlog_habiles]]&gt;p_dias_backlog_max,"BACKLOG","MES CORRIENTE")))</f>
        <v/>
      </c>
      <c r="AF1167" s="5">
        <f>IF(tblOrdenes[[#This Row],[backlog_habiles]]="",FALSE,AND(tblOrdenes[[#This Row],[backlog_habiles]]&gt;p_dias_backlog_min,tblOrdenes[[#This Row],[backlog_habiles]]&lt;=p_dias_backlog_max))</f>
        <v/>
      </c>
      <c r="AG1167" s="4" t="n"/>
      <c r="AH1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7" s="18">
        <f>IF(tblOrdenes[[#This Row],[orden]]="","",_xlfn.XLOOKUP(tblOrdenes[[#This Row],[id_operacion]],tblEjecucion[id_operacion],tblEjecucion[precio],0))</f>
        <v/>
      </c>
      <c r="AL1167" s="18">
        <f>IF(tblOrdenes[[#This Row],[orden]]="","",MAX(0,_xlfn.XLOOKUP(tblOrdenes[[#This Row],[id_operacion]],tblEjecucion[id_operacion],tblEjecucion[costo_plan_total],0)-tblOrdenes[[#This Row],[costo_servicio]]))</f>
        <v/>
      </c>
      <c r="AM1167" s="18">
        <f>IF(tblOrdenes[[#This Row],[orden]]="","",tblOrdenes[[#This Row],[costo_servicio]]+tblOrdenes[[#This Row],[costo_materiales]])</f>
        <v/>
      </c>
      <c r="AN1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7" s="4" t="n"/>
      <c r="AP1167" s="4" t="n"/>
      <c r="AQ1167" s="4" t="n"/>
      <c r="AR1167" s="5">
        <f>IF(tblOrdenes[[#This Row],[link_checklist]]="","",HYPERLINK(p_ruta_base_checklists&amp;tblOrdenes[[#This Row],[link_checklist]],"abrir"))</f>
        <v/>
      </c>
      <c r="AS1167" s="4" t="n"/>
      <c r="AT1167" s="5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22" t="n"/>
      <c r="K1168" s="5" t="n"/>
      <c r="L1168" s="18" t="n"/>
      <c r="M1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5">
        <f>IF(tblOrdenes[[#This Row],[fecha_inicio]]="","",YEAR(tblOrdenes[[#This Row],[fecha_inicio]]))</f>
        <v/>
      </c>
      <c r="Q1168" s="5">
        <f>IF(tblOrdenes[[#This Row],[fecha_inicio]]="","",MONTH(tblOrdenes[[#This Row],[fecha_inicio]]))</f>
        <v/>
      </c>
      <c r="R1168" s="5">
        <f>IF(tblOrdenes[[#This Row],[fecha_inicio]]="","",tblOrdenes[[#This Row],[anio]]&amp;"-"&amp;TEXT(tblOrdenes[[#This Row],[mes]],"00"))</f>
        <v/>
      </c>
      <c r="S1168" s="5">
        <f>IF(tblOrdenes[[#This Row],[fecha_inicio]]="","",INDEX(lista_dias,WEEKDAY(tblOrdenes[[#This Row],[fecha_inicio]],2)))</f>
        <v/>
      </c>
      <c r="T1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8" s="5">
        <f>IF(tblOrdenes[[#This Row],[tipo_ot]]="","",_xlfn.XLOOKUP(tblOrdenes[[#This Row],[tipo_ot]],tblTiposOT[codigo],tblTiposOT[clasificacion],"sin_clasificar"))</f>
        <v/>
      </c>
      <c r="V11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8" s="5">
        <f>IF(tblOrdenes[[#This Row],[centro_costo]]="","",_xlfn.XLOOKUP(tblOrdenes[[#This Row],[centro_costo]],tblCECO[codigo],tblCECO[linea],"(sin catálogo)"))</f>
        <v/>
      </c>
      <c r="X1168" s="5">
        <f>IF(tblOrdenes[[#This Row],[centro_costo]]="","",_xlfn.XLOOKUP(tblOrdenes[[#This Row],[centro_costo]],tblCECO[codigo],tblCECO[area],"(sin catálogo)"))</f>
        <v/>
      </c>
      <c r="Y1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8" s="5">
        <f>IF(tblOrdenes[[#This Row],[centro_costo]]="","",_xlfn.XLOOKUP(tblOrdenes[[#This Row],[centro_costo]],tblCECO[codigo],tblCECO[coordinador],"(sin catálogo)"))</f>
        <v/>
      </c>
      <c r="AA1168" s="5">
        <f>IF(tblOrdenes[[#This Row],[puesto_trabajo]]="","",_xlfn.XLOOKUP(tblOrdenes[[#This Row],[puesto_trabajo]],tblPuestos[codigo],tblPuestos[especialidad],"(sin catálogo)"))</f>
        <v/>
      </c>
      <c r="AB1168" s="5">
        <f>IF(tblOrdenes[[#This Row],[cod_actividad]]="","",_xlfn.XLOOKUP(tblOrdenes[[#This Row],[cod_actividad]],tblActividades[codigo],tblActividades[descripcion],"(sin catálogo)"))</f>
        <v/>
      </c>
      <c r="AC1168" s="20">
        <f>IF(tblOrdenes[[#This Row],[fecha_inicio]]="","",TODAY()-tblOrdenes[[#This Row],[fecha_inicio]])</f>
        <v/>
      </c>
      <c r="AD116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8" s="5">
        <f>IF(tblOrdenes[[#This Row],[backlog_habiles]]="","",IF(tblOrdenes[[#This Row],[backlog_habiles]]&lt;0,"FUTURO",IF(tblOrdenes[[#This Row],[backlog_habiles]]&gt;p_dias_backlog_max,"BACKLOG","MES CORRIENTE")))</f>
        <v/>
      </c>
      <c r="AF1168" s="5">
        <f>IF(tblOrdenes[[#This Row],[backlog_habiles]]="",FALSE,AND(tblOrdenes[[#This Row],[backlog_habiles]]&gt;p_dias_backlog_min,tblOrdenes[[#This Row],[backlog_habiles]]&lt;=p_dias_backlog_max))</f>
        <v/>
      </c>
      <c r="AG1168" s="4" t="n"/>
      <c r="AH1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8" s="18">
        <f>IF(tblOrdenes[[#This Row],[orden]]="","",_xlfn.XLOOKUP(tblOrdenes[[#This Row],[id_operacion]],tblEjecucion[id_operacion],tblEjecucion[precio],0))</f>
        <v/>
      </c>
      <c r="AL1168" s="18">
        <f>IF(tblOrdenes[[#This Row],[orden]]="","",MAX(0,_xlfn.XLOOKUP(tblOrdenes[[#This Row],[id_operacion]],tblEjecucion[id_operacion],tblEjecucion[costo_plan_total],0)-tblOrdenes[[#This Row],[costo_servicio]]))</f>
        <v/>
      </c>
      <c r="AM1168" s="18">
        <f>IF(tblOrdenes[[#This Row],[orden]]="","",tblOrdenes[[#This Row],[costo_servicio]]+tblOrdenes[[#This Row],[costo_materiales]])</f>
        <v/>
      </c>
      <c r="AN1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8" s="4" t="n"/>
      <c r="AP1168" s="4" t="n"/>
      <c r="AQ1168" s="4" t="n"/>
      <c r="AR1168" s="5">
        <f>IF(tblOrdenes[[#This Row],[link_checklist]]="","",HYPERLINK(p_ruta_base_checklists&amp;tblOrdenes[[#This Row],[link_checklist]],"abrir"))</f>
        <v/>
      </c>
      <c r="AS1168" s="4" t="n"/>
      <c r="AT1168" s="5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22" t="n"/>
      <c r="K1169" s="5" t="n"/>
      <c r="L1169" s="18" t="n"/>
      <c r="M1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5">
        <f>IF(tblOrdenes[[#This Row],[fecha_inicio]]="","",YEAR(tblOrdenes[[#This Row],[fecha_inicio]]))</f>
        <v/>
      </c>
      <c r="Q1169" s="5">
        <f>IF(tblOrdenes[[#This Row],[fecha_inicio]]="","",MONTH(tblOrdenes[[#This Row],[fecha_inicio]]))</f>
        <v/>
      </c>
      <c r="R1169" s="5">
        <f>IF(tblOrdenes[[#This Row],[fecha_inicio]]="","",tblOrdenes[[#This Row],[anio]]&amp;"-"&amp;TEXT(tblOrdenes[[#This Row],[mes]],"00"))</f>
        <v/>
      </c>
      <c r="S1169" s="5">
        <f>IF(tblOrdenes[[#This Row],[fecha_inicio]]="","",INDEX(lista_dias,WEEKDAY(tblOrdenes[[#This Row],[fecha_inicio]],2)))</f>
        <v/>
      </c>
      <c r="T1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9" s="5">
        <f>IF(tblOrdenes[[#This Row],[tipo_ot]]="","",_xlfn.XLOOKUP(tblOrdenes[[#This Row],[tipo_ot]],tblTiposOT[codigo],tblTiposOT[clasificacion],"sin_clasificar"))</f>
        <v/>
      </c>
      <c r="V11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9" s="5">
        <f>IF(tblOrdenes[[#This Row],[centro_costo]]="","",_xlfn.XLOOKUP(tblOrdenes[[#This Row],[centro_costo]],tblCECO[codigo],tblCECO[linea],"(sin catálogo)"))</f>
        <v/>
      </c>
      <c r="X1169" s="5">
        <f>IF(tblOrdenes[[#This Row],[centro_costo]]="","",_xlfn.XLOOKUP(tblOrdenes[[#This Row],[centro_costo]],tblCECO[codigo],tblCECO[area],"(sin catálogo)"))</f>
        <v/>
      </c>
      <c r="Y1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69" s="5">
        <f>IF(tblOrdenes[[#This Row],[centro_costo]]="","",_xlfn.XLOOKUP(tblOrdenes[[#This Row],[centro_costo]],tblCECO[codigo],tblCECO[coordinador],"(sin catálogo)"))</f>
        <v/>
      </c>
      <c r="AA1169" s="5">
        <f>IF(tblOrdenes[[#This Row],[puesto_trabajo]]="","",_xlfn.XLOOKUP(tblOrdenes[[#This Row],[puesto_trabajo]],tblPuestos[codigo],tblPuestos[especialidad],"(sin catálogo)"))</f>
        <v/>
      </c>
      <c r="AB1169" s="5">
        <f>IF(tblOrdenes[[#This Row],[cod_actividad]]="","",_xlfn.XLOOKUP(tblOrdenes[[#This Row],[cod_actividad]],tblActividades[codigo],tblActividades[descripcion],"(sin catálogo)"))</f>
        <v/>
      </c>
      <c r="AC1169" s="20">
        <f>IF(tblOrdenes[[#This Row],[fecha_inicio]]="","",TODAY()-tblOrdenes[[#This Row],[fecha_inicio]])</f>
        <v/>
      </c>
      <c r="AD116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69" s="5">
        <f>IF(tblOrdenes[[#This Row],[backlog_habiles]]="","",IF(tblOrdenes[[#This Row],[backlog_habiles]]&lt;0,"FUTURO",IF(tblOrdenes[[#This Row],[backlog_habiles]]&gt;p_dias_backlog_max,"BACKLOG","MES CORRIENTE")))</f>
        <v/>
      </c>
      <c r="AF1169" s="5">
        <f>IF(tblOrdenes[[#This Row],[backlog_habiles]]="",FALSE,AND(tblOrdenes[[#This Row],[backlog_habiles]]&gt;p_dias_backlog_min,tblOrdenes[[#This Row],[backlog_habiles]]&lt;=p_dias_backlog_max))</f>
        <v/>
      </c>
      <c r="AG1169" s="4" t="n"/>
      <c r="AH1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6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6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69" s="18">
        <f>IF(tblOrdenes[[#This Row],[orden]]="","",_xlfn.XLOOKUP(tblOrdenes[[#This Row],[id_operacion]],tblEjecucion[id_operacion],tblEjecucion[precio],0))</f>
        <v/>
      </c>
      <c r="AL1169" s="18">
        <f>IF(tblOrdenes[[#This Row],[orden]]="","",MAX(0,_xlfn.XLOOKUP(tblOrdenes[[#This Row],[id_operacion]],tblEjecucion[id_operacion],tblEjecucion[costo_plan_total],0)-tblOrdenes[[#This Row],[costo_servicio]]))</f>
        <v/>
      </c>
      <c r="AM1169" s="18">
        <f>IF(tblOrdenes[[#This Row],[orden]]="","",tblOrdenes[[#This Row],[costo_servicio]]+tblOrdenes[[#This Row],[costo_materiales]])</f>
        <v/>
      </c>
      <c r="AN1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69" s="4" t="n"/>
      <c r="AP1169" s="4" t="n"/>
      <c r="AQ1169" s="4" t="n"/>
      <c r="AR1169" s="5">
        <f>IF(tblOrdenes[[#This Row],[link_checklist]]="","",HYPERLINK(p_ruta_base_checklists&amp;tblOrdenes[[#This Row],[link_checklist]],"abrir"))</f>
        <v/>
      </c>
      <c r="AS1169" s="4" t="n"/>
      <c r="AT1169" s="5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22" t="n"/>
      <c r="K1170" s="5" t="n"/>
      <c r="L1170" s="18" t="n"/>
      <c r="M1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5">
        <f>IF(tblOrdenes[[#This Row],[fecha_inicio]]="","",YEAR(tblOrdenes[[#This Row],[fecha_inicio]]))</f>
        <v/>
      </c>
      <c r="Q1170" s="5">
        <f>IF(tblOrdenes[[#This Row],[fecha_inicio]]="","",MONTH(tblOrdenes[[#This Row],[fecha_inicio]]))</f>
        <v/>
      </c>
      <c r="R1170" s="5">
        <f>IF(tblOrdenes[[#This Row],[fecha_inicio]]="","",tblOrdenes[[#This Row],[anio]]&amp;"-"&amp;TEXT(tblOrdenes[[#This Row],[mes]],"00"))</f>
        <v/>
      </c>
      <c r="S1170" s="5">
        <f>IF(tblOrdenes[[#This Row],[fecha_inicio]]="","",INDEX(lista_dias,WEEKDAY(tblOrdenes[[#This Row],[fecha_inicio]],2)))</f>
        <v/>
      </c>
      <c r="T1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0" s="5">
        <f>IF(tblOrdenes[[#This Row],[tipo_ot]]="","",_xlfn.XLOOKUP(tblOrdenes[[#This Row],[tipo_ot]],tblTiposOT[codigo],tblTiposOT[clasificacion],"sin_clasificar"))</f>
        <v/>
      </c>
      <c r="V11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0" s="5">
        <f>IF(tblOrdenes[[#This Row],[centro_costo]]="","",_xlfn.XLOOKUP(tblOrdenes[[#This Row],[centro_costo]],tblCECO[codigo],tblCECO[linea],"(sin catálogo)"))</f>
        <v/>
      </c>
      <c r="X1170" s="5">
        <f>IF(tblOrdenes[[#This Row],[centro_costo]]="","",_xlfn.XLOOKUP(tblOrdenes[[#This Row],[centro_costo]],tblCECO[codigo],tblCECO[area],"(sin catálogo)"))</f>
        <v/>
      </c>
      <c r="Y1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0" s="5">
        <f>IF(tblOrdenes[[#This Row],[centro_costo]]="","",_xlfn.XLOOKUP(tblOrdenes[[#This Row],[centro_costo]],tblCECO[codigo],tblCECO[coordinador],"(sin catálogo)"))</f>
        <v/>
      </c>
      <c r="AA1170" s="5">
        <f>IF(tblOrdenes[[#This Row],[puesto_trabajo]]="","",_xlfn.XLOOKUP(tblOrdenes[[#This Row],[puesto_trabajo]],tblPuestos[codigo],tblPuestos[especialidad],"(sin catálogo)"))</f>
        <v/>
      </c>
      <c r="AB1170" s="5">
        <f>IF(tblOrdenes[[#This Row],[cod_actividad]]="","",_xlfn.XLOOKUP(tblOrdenes[[#This Row],[cod_actividad]],tblActividades[codigo],tblActividades[descripcion],"(sin catálogo)"))</f>
        <v/>
      </c>
      <c r="AC1170" s="20">
        <f>IF(tblOrdenes[[#This Row],[fecha_inicio]]="","",TODAY()-tblOrdenes[[#This Row],[fecha_inicio]])</f>
        <v/>
      </c>
      <c r="AD117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0" s="5">
        <f>IF(tblOrdenes[[#This Row],[backlog_habiles]]="","",IF(tblOrdenes[[#This Row],[backlog_habiles]]&lt;0,"FUTURO",IF(tblOrdenes[[#This Row],[backlog_habiles]]&gt;p_dias_backlog_max,"BACKLOG","MES CORRIENTE")))</f>
        <v/>
      </c>
      <c r="AF1170" s="5">
        <f>IF(tblOrdenes[[#This Row],[backlog_habiles]]="",FALSE,AND(tblOrdenes[[#This Row],[backlog_habiles]]&gt;p_dias_backlog_min,tblOrdenes[[#This Row],[backlog_habiles]]&lt;=p_dias_backlog_max))</f>
        <v/>
      </c>
      <c r="AG1170" s="4" t="n"/>
      <c r="AH1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0" s="18">
        <f>IF(tblOrdenes[[#This Row],[orden]]="","",_xlfn.XLOOKUP(tblOrdenes[[#This Row],[id_operacion]],tblEjecucion[id_operacion],tblEjecucion[precio],0))</f>
        <v/>
      </c>
      <c r="AL1170" s="18">
        <f>IF(tblOrdenes[[#This Row],[orden]]="","",MAX(0,_xlfn.XLOOKUP(tblOrdenes[[#This Row],[id_operacion]],tblEjecucion[id_operacion],tblEjecucion[costo_plan_total],0)-tblOrdenes[[#This Row],[costo_servicio]]))</f>
        <v/>
      </c>
      <c r="AM1170" s="18">
        <f>IF(tblOrdenes[[#This Row],[orden]]="","",tblOrdenes[[#This Row],[costo_servicio]]+tblOrdenes[[#This Row],[costo_materiales]])</f>
        <v/>
      </c>
      <c r="AN1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0" s="4" t="n"/>
      <c r="AP1170" s="4" t="n"/>
      <c r="AQ1170" s="4" t="n"/>
      <c r="AR1170" s="5">
        <f>IF(tblOrdenes[[#This Row],[link_checklist]]="","",HYPERLINK(p_ruta_base_checklists&amp;tblOrdenes[[#This Row],[link_checklist]],"abrir"))</f>
        <v/>
      </c>
      <c r="AS1170" s="4" t="n"/>
      <c r="AT1170" s="5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22" t="n"/>
      <c r="K1171" s="5" t="n"/>
      <c r="L1171" s="18" t="n"/>
      <c r="M1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5">
        <f>IF(tblOrdenes[[#This Row],[fecha_inicio]]="","",YEAR(tblOrdenes[[#This Row],[fecha_inicio]]))</f>
        <v/>
      </c>
      <c r="Q1171" s="5">
        <f>IF(tblOrdenes[[#This Row],[fecha_inicio]]="","",MONTH(tblOrdenes[[#This Row],[fecha_inicio]]))</f>
        <v/>
      </c>
      <c r="R1171" s="5">
        <f>IF(tblOrdenes[[#This Row],[fecha_inicio]]="","",tblOrdenes[[#This Row],[anio]]&amp;"-"&amp;TEXT(tblOrdenes[[#This Row],[mes]],"00"))</f>
        <v/>
      </c>
      <c r="S1171" s="5">
        <f>IF(tblOrdenes[[#This Row],[fecha_inicio]]="","",INDEX(lista_dias,WEEKDAY(tblOrdenes[[#This Row],[fecha_inicio]],2)))</f>
        <v/>
      </c>
      <c r="T1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1" s="5">
        <f>IF(tblOrdenes[[#This Row],[tipo_ot]]="","",_xlfn.XLOOKUP(tblOrdenes[[#This Row],[tipo_ot]],tblTiposOT[codigo],tblTiposOT[clasificacion],"sin_clasificar"))</f>
        <v/>
      </c>
      <c r="V11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1" s="5">
        <f>IF(tblOrdenes[[#This Row],[centro_costo]]="","",_xlfn.XLOOKUP(tblOrdenes[[#This Row],[centro_costo]],tblCECO[codigo],tblCECO[linea],"(sin catálogo)"))</f>
        <v/>
      </c>
      <c r="X1171" s="5">
        <f>IF(tblOrdenes[[#This Row],[centro_costo]]="","",_xlfn.XLOOKUP(tblOrdenes[[#This Row],[centro_costo]],tblCECO[codigo],tblCECO[area],"(sin catálogo)"))</f>
        <v/>
      </c>
      <c r="Y1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1" s="5">
        <f>IF(tblOrdenes[[#This Row],[centro_costo]]="","",_xlfn.XLOOKUP(tblOrdenes[[#This Row],[centro_costo]],tblCECO[codigo],tblCECO[coordinador],"(sin catálogo)"))</f>
        <v/>
      </c>
      <c r="AA1171" s="5">
        <f>IF(tblOrdenes[[#This Row],[puesto_trabajo]]="","",_xlfn.XLOOKUP(tblOrdenes[[#This Row],[puesto_trabajo]],tblPuestos[codigo],tblPuestos[especialidad],"(sin catálogo)"))</f>
        <v/>
      </c>
      <c r="AB1171" s="5">
        <f>IF(tblOrdenes[[#This Row],[cod_actividad]]="","",_xlfn.XLOOKUP(tblOrdenes[[#This Row],[cod_actividad]],tblActividades[codigo],tblActividades[descripcion],"(sin catálogo)"))</f>
        <v/>
      </c>
      <c r="AC1171" s="20">
        <f>IF(tblOrdenes[[#This Row],[fecha_inicio]]="","",TODAY()-tblOrdenes[[#This Row],[fecha_inicio]])</f>
        <v/>
      </c>
      <c r="AD117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1" s="5">
        <f>IF(tblOrdenes[[#This Row],[backlog_habiles]]="","",IF(tblOrdenes[[#This Row],[backlog_habiles]]&lt;0,"FUTURO",IF(tblOrdenes[[#This Row],[backlog_habiles]]&gt;p_dias_backlog_max,"BACKLOG","MES CORRIENTE")))</f>
        <v/>
      </c>
      <c r="AF1171" s="5">
        <f>IF(tblOrdenes[[#This Row],[backlog_habiles]]="",FALSE,AND(tblOrdenes[[#This Row],[backlog_habiles]]&gt;p_dias_backlog_min,tblOrdenes[[#This Row],[backlog_habiles]]&lt;=p_dias_backlog_max))</f>
        <v/>
      </c>
      <c r="AG1171" s="4" t="n"/>
      <c r="AH1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1" s="18">
        <f>IF(tblOrdenes[[#This Row],[orden]]="","",_xlfn.XLOOKUP(tblOrdenes[[#This Row],[id_operacion]],tblEjecucion[id_operacion],tblEjecucion[precio],0))</f>
        <v/>
      </c>
      <c r="AL1171" s="18">
        <f>IF(tblOrdenes[[#This Row],[orden]]="","",MAX(0,_xlfn.XLOOKUP(tblOrdenes[[#This Row],[id_operacion]],tblEjecucion[id_operacion],tblEjecucion[costo_plan_total],0)-tblOrdenes[[#This Row],[costo_servicio]]))</f>
        <v/>
      </c>
      <c r="AM1171" s="18">
        <f>IF(tblOrdenes[[#This Row],[orden]]="","",tblOrdenes[[#This Row],[costo_servicio]]+tblOrdenes[[#This Row],[costo_materiales]])</f>
        <v/>
      </c>
      <c r="AN1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1" s="4" t="n"/>
      <c r="AP1171" s="4" t="n"/>
      <c r="AQ1171" s="4" t="n"/>
      <c r="AR1171" s="5">
        <f>IF(tblOrdenes[[#This Row],[link_checklist]]="","",HYPERLINK(p_ruta_base_checklists&amp;tblOrdenes[[#This Row],[link_checklist]],"abrir"))</f>
        <v/>
      </c>
      <c r="AS1171" s="4" t="n"/>
      <c r="AT1171" s="5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22" t="n"/>
      <c r="K1172" s="5" t="n"/>
      <c r="L1172" s="18" t="n"/>
      <c r="M1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5">
        <f>IF(tblOrdenes[[#This Row],[fecha_inicio]]="","",YEAR(tblOrdenes[[#This Row],[fecha_inicio]]))</f>
        <v/>
      </c>
      <c r="Q1172" s="5">
        <f>IF(tblOrdenes[[#This Row],[fecha_inicio]]="","",MONTH(tblOrdenes[[#This Row],[fecha_inicio]]))</f>
        <v/>
      </c>
      <c r="R1172" s="5">
        <f>IF(tblOrdenes[[#This Row],[fecha_inicio]]="","",tblOrdenes[[#This Row],[anio]]&amp;"-"&amp;TEXT(tblOrdenes[[#This Row],[mes]],"00"))</f>
        <v/>
      </c>
      <c r="S1172" s="5">
        <f>IF(tblOrdenes[[#This Row],[fecha_inicio]]="","",INDEX(lista_dias,WEEKDAY(tblOrdenes[[#This Row],[fecha_inicio]],2)))</f>
        <v/>
      </c>
      <c r="T1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2" s="5">
        <f>IF(tblOrdenes[[#This Row],[tipo_ot]]="","",_xlfn.XLOOKUP(tblOrdenes[[#This Row],[tipo_ot]],tblTiposOT[codigo],tblTiposOT[clasificacion],"sin_clasificar"))</f>
        <v/>
      </c>
      <c r="V11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2" s="5">
        <f>IF(tblOrdenes[[#This Row],[centro_costo]]="","",_xlfn.XLOOKUP(tblOrdenes[[#This Row],[centro_costo]],tblCECO[codigo],tblCECO[linea],"(sin catálogo)"))</f>
        <v/>
      </c>
      <c r="X1172" s="5">
        <f>IF(tblOrdenes[[#This Row],[centro_costo]]="","",_xlfn.XLOOKUP(tblOrdenes[[#This Row],[centro_costo]],tblCECO[codigo],tblCECO[area],"(sin catálogo)"))</f>
        <v/>
      </c>
      <c r="Y1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2" s="5">
        <f>IF(tblOrdenes[[#This Row],[centro_costo]]="","",_xlfn.XLOOKUP(tblOrdenes[[#This Row],[centro_costo]],tblCECO[codigo],tblCECO[coordinador],"(sin catálogo)"))</f>
        <v/>
      </c>
      <c r="AA1172" s="5">
        <f>IF(tblOrdenes[[#This Row],[puesto_trabajo]]="","",_xlfn.XLOOKUP(tblOrdenes[[#This Row],[puesto_trabajo]],tblPuestos[codigo],tblPuestos[especialidad],"(sin catálogo)"))</f>
        <v/>
      </c>
      <c r="AB1172" s="5">
        <f>IF(tblOrdenes[[#This Row],[cod_actividad]]="","",_xlfn.XLOOKUP(tblOrdenes[[#This Row],[cod_actividad]],tblActividades[codigo],tblActividades[descripcion],"(sin catálogo)"))</f>
        <v/>
      </c>
      <c r="AC1172" s="20">
        <f>IF(tblOrdenes[[#This Row],[fecha_inicio]]="","",TODAY()-tblOrdenes[[#This Row],[fecha_inicio]])</f>
        <v/>
      </c>
      <c r="AD117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2" s="5">
        <f>IF(tblOrdenes[[#This Row],[backlog_habiles]]="","",IF(tblOrdenes[[#This Row],[backlog_habiles]]&lt;0,"FUTURO",IF(tblOrdenes[[#This Row],[backlog_habiles]]&gt;p_dias_backlog_max,"BACKLOG","MES CORRIENTE")))</f>
        <v/>
      </c>
      <c r="AF1172" s="5">
        <f>IF(tblOrdenes[[#This Row],[backlog_habiles]]="",FALSE,AND(tblOrdenes[[#This Row],[backlog_habiles]]&gt;p_dias_backlog_min,tblOrdenes[[#This Row],[backlog_habiles]]&lt;=p_dias_backlog_max))</f>
        <v/>
      </c>
      <c r="AG1172" s="4" t="n"/>
      <c r="AH1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2" s="18">
        <f>IF(tblOrdenes[[#This Row],[orden]]="","",_xlfn.XLOOKUP(tblOrdenes[[#This Row],[id_operacion]],tblEjecucion[id_operacion],tblEjecucion[precio],0))</f>
        <v/>
      </c>
      <c r="AL1172" s="18">
        <f>IF(tblOrdenes[[#This Row],[orden]]="","",MAX(0,_xlfn.XLOOKUP(tblOrdenes[[#This Row],[id_operacion]],tblEjecucion[id_operacion],tblEjecucion[costo_plan_total],0)-tblOrdenes[[#This Row],[costo_servicio]]))</f>
        <v/>
      </c>
      <c r="AM1172" s="18">
        <f>IF(tblOrdenes[[#This Row],[orden]]="","",tblOrdenes[[#This Row],[costo_servicio]]+tblOrdenes[[#This Row],[costo_materiales]])</f>
        <v/>
      </c>
      <c r="AN1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2" s="4" t="n"/>
      <c r="AP1172" s="4" t="n"/>
      <c r="AQ1172" s="4" t="n"/>
      <c r="AR1172" s="5">
        <f>IF(tblOrdenes[[#This Row],[link_checklist]]="","",HYPERLINK(p_ruta_base_checklists&amp;tblOrdenes[[#This Row],[link_checklist]],"abrir"))</f>
        <v/>
      </c>
      <c r="AS1172" s="4" t="n"/>
      <c r="AT1172" s="5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22" t="n"/>
      <c r="K1173" s="5" t="n"/>
      <c r="L1173" s="18" t="n"/>
      <c r="M1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5">
        <f>IF(tblOrdenes[[#This Row],[fecha_inicio]]="","",YEAR(tblOrdenes[[#This Row],[fecha_inicio]]))</f>
        <v/>
      </c>
      <c r="Q1173" s="5">
        <f>IF(tblOrdenes[[#This Row],[fecha_inicio]]="","",MONTH(tblOrdenes[[#This Row],[fecha_inicio]]))</f>
        <v/>
      </c>
      <c r="R1173" s="5">
        <f>IF(tblOrdenes[[#This Row],[fecha_inicio]]="","",tblOrdenes[[#This Row],[anio]]&amp;"-"&amp;TEXT(tblOrdenes[[#This Row],[mes]],"00"))</f>
        <v/>
      </c>
      <c r="S1173" s="5">
        <f>IF(tblOrdenes[[#This Row],[fecha_inicio]]="","",INDEX(lista_dias,WEEKDAY(tblOrdenes[[#This Row],[fecha_inicio]],2)))</f>
        <v/>
      </c>
      <c r="T1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3" s="5">
        <f>IF(tblOrdenes[[#This Row],[tipo_ot]]="","",_xlfn.XLOOKUP(tblOrdenes[[#This Row],[tipo_ot]],tblTiposOT[codigo],tblTiposOT[clasificacion],"sin_clasificar"))</f>
        <v/>
      </c>
      <c r="V11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3" s="5">
        <f>IF(tblOrdenes[[#This Row],[centro_costo]]="","",_xlfn.XLOOKUP(tblOrdenes[[#This Row],[centro_costo]],tblCECO[codigo],tblCECO[linea],"(sin catálogo)"))</f>
        <v/>
      </c>
      <c r="X1173" s="5">
        <f>IF(tblOrdenes[[#This Row],[centro_costo]]="","",_xlfn.XLOOKUP(tblOrdenes[[#This Row],[centro_costo]],tblCECO[codigo],tblCECO[area],"(sin catálogo)"))</f>
        <v/>
      </c>
      <c r="Y1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3" s="5">
        <f>IF(tblOrdenes[[#This Row],[centro_costo]]="","",_xlfn.XLOOKUP(tblOrdenes[[#This Row],[centro_costo]],tblCECO[codigo],tblCECO[coordinador],"(sin catálogo)"))</f>
        <v/>
      </c>
      <c r="AA1173" s="5">
        <f>IF(tblOrdenes[[#This Row],[puesto_trabajo]]="","",_xlfn.XLOOKUP(tblOrdenes[[#This Row],[puesto_trabajo]],tblPuestos[codigo],tblPuestos[especialidad],"(sin catálogo)"))</f>
        <v/>
      </c>
      <c r="AB1173" s="5">
        <f>IF(tblOrdenes[[#This Row],[cod_actividad]]="","",_xlfn.XLOOKUP(tblOrdenes[[#This Row],[cod_actividad]],tblActividades[codigo],tblActividades[descripcion],"(sin catálogo)"))</f>
        <v/>
      </c>
      <c r="AC1173" s="20">
        <f>IF(tblOrdenes[[#This Row],[fecha_inicio]]="","",TODAY()-tblOrdenes[[#This Row],[fecha_inicio]])</f>
        <v/>
      </c>
      <c r="AD117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3" s="5">
        <f>IF(tblOrdenes[[#This Row],[backlog_habiles]]="","",IF(tblOrdenes[[#This Row],[backlog_habiles]]&lt;0,"FUTURO",IF(tblOrdenes[[#This Row],[backlog_habiles]]&gt;p_dias_backlog_max,"BACKLOG","MES CORRIENTE")))</f>
        <v/>
      </c>
      <c r="AF1173" s="5">
        <f>IF(tblOrdenes[[#This Row],[backlog_habiles]]="",FALSE,AND(tblOrdenes[[#This Row],[backlog_habiles]]&gt;p_dias_backlog_min,tblOrdenes[[#This Row],[backlog_habiles]]&lt;=p_dias_backlog_max))</f>
        <v/>
      </c>
      <c r="AG1173" s="4" t="n"/>
      <c r="AH1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3" s="18">
        <f>IF(tblOrdenes[[#This Row],[orden]]="","",_xlfn.XLOOKUP(tblOrdenes[[#This Row],[id_operacion]],tblEjecucion[id_operacion],tblEjecucion[precio],0))</f>
        <v/>
      </c>
      <c r="AL1173" s="18">
        <f>IF(tblOrdenes[[#This Row],[orden]]="","",MAX(0,_xlfn.XLOOKUP(tblOrdenes[[#This Row],[id_operacion]],tblEjecucion[id_operacion],tblEjecucion[costo_plan_total],0)-tblOrdenes[[#This Row],[costo_servicio]]))</f>
        <v/>
      </c>
      <c r="AM1173" s="18">
        <f>IF(tblOrdenes[[#This Row],[orden]]="","",tblOrdenes[[#This Row],[costo_servicio]]+tblOrdenes[[#This Row],[costo_materiales]])</f>
        <v/>
      </c>
      <c r="AN1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3" s="4" t="n"/>
      <c r="AP1173" s="4" t="n"/>
      <c r="AQ1173" s="4" t="n"/>
      <c r="AR1173" s="5">
        <f>IF(tblOrdenes[[#This Row],[link_checklist]]="","",HYPERLINK(p_ruta_base_checklists&amp;tblOrdenes[[#This Row],[link_checklist]],"abrir"))</f>
        <v/>
      </c>
      <c r="AS1173" s="4" t="n"/>
      <c r="AT1173" s="5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22" t="n"/>
      <c r="K1174" s="5" t="n"/>
      <c r="L1174" s="18" t="n"/>
      <c r="M1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5">
        <f>IF(tblOrdenes[[#This Row],[fecha_inicio]]="","",YEAR(tblOrdenes[[#This Row],[fecha_inicio]]))</f>
        <v/>
      </c>
      <c r="Q1174" s="5">
        <f>IF(tblOrdenes[[#This Row],[fecha_inicio]]="","",MONTH(tblOrdenes[[#This Row],[fecha_inicio]]))</f>
        <v/>
      </c>
      <c r="R1174" s="5">
        <f>IF(tblOrdenes[[#This Row],[fecha_inicio]]="","",tblOrdenes[[#This Row],[anio]]&amp;"-"&amp;TEXT(tblOrdenes[[#This Row],[mes]],"00"))</f>
        <v/>
      </c>
      <c r="S1174" s="5">
        <f>IF(tblOrdenes[[#This Row],[fecha_inicio]]="","",INDEX(lista_dias,WEEKDAY(tblOrdenes[[#This Row],[fecha_inicio]],2)))</f>
        <v/>
      </c>
      <c r="T1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4" s="5">
        <f>IF(tblOrdenes[[#This Row],[tipo_ot]]="","",_xlfn.XLOOKUP(tblOrdenes[[#This Row],[tipo_ot]],tblTiposOT[codigo],tblTiposOT[clasificacion],"sin_clasificar"))</f>
        <v/>
      </c>
      <c r="V11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4" s="5">
        <f>IF(tblOrdenes[[#This Row],[centro_costo]]="","",_xlfn.XLOOKUP(tblOrdenes[[#This Row],[centro_costo]],tblCECO[codigo],tblCECO[linea],"(sin catálogo)"))</f>
        <v/>
      </c>
      <c r="X1174" s="5">
        <f>IF(tblOrdenes[[#This Row],[centro_costo]]="","",_xlfn.XLOOKUP(tblOrdenes[[#This Row],[centro_costo]],tblCECO[codigo],tblCECO[area],"(sin catálogo)"))</f>
        <v/>
      </c>
      <c r="Y1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4" s="5">
        <f>IF(tblOrdenes[[#This Row],[centro_costo]]="","",_xlfn.XLOOKUP(tblOrdenes[[#This Row],[centro_costo]],tblCECO[codigo],tblCECO[coordinador],"(sin catálogo)"))</f>
        <v/>
      </c>
      <c r="AA1174" s="5">
        <f>IF(tblOrdenes[[#This Row],[puesto_trabajo]]="","",_xlfn.XLOOKUP(tblOrdenes[[#This Row],[puesto_trabajo]],tblPuestos[codigo],tblPuestos[especialidad],"(sin catálogo)"))</f>
        <v/>
      </c>
      <c r="AB1174" s="5">
        <f>IF(tblOrdenes[[#This Row],[cod_actividad]]="","",_xlfn.XLOOKUP(tblOrdenes[[#This Row],[cod_actividad]],tblActividades[codigo],tblActividades[descripcion],"(sin catálogo)"))</f>
        <v/>
      </c>
      <c r="AC1174" s="20">
        <f>IF(tblOrdenes[[#This Row],[fecha_inicio]]="","",TODAY()-tblOrdenes[[#This Row],[fecha_inicio]])</f>
        <v/>
      </c>
      <c r="AD117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4" s="5">
        <f>IF(tblOrdenes[[#This Row],[backlog_habiles]]="","",IF(tblOrdenes[[#This Row],[backlog_habiles]]&lt;0,"FUTURO",IF(tblOrdenes[[#This Row],[backlog_habiles]]&gt;p_dias_backlog_max,"BACKLOG","MES CORRIENTE")))</f>
        <v/>
      </c>
      <c r="AF1174" s="5">
        <f>IF(tblOrdenes[[#This Row],[backlog_habiles]]="",FALSE,AND(tblOrdenes[[#This Row],[backlog_habiles]]&gt;p_dias_backlog_min,tblOrdenes[[#This Row],[backlog_habiles]]&lt;=p_dias_backlog_max))</f>
        <v/>
      </c>
      <c r="AG1174" s="4" t="n"/>
      <c r="AH1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4" s="18">
        <f>IF(tblOrdenes[[#This Row],[orden]]="","",_xlfn.XLOOKUP(tblOrdenes[[#This Row],[id_operacion]],tblEjecucion[id_operacion],tblEjecucion[precio],0))</f>
        <v/>
      </c>
      <c r="AL1174" s="18">
        <f>IF(tblOrdenes[[#This Row],[orden]]="","",MAX(0,_xlfn.XLOOKUP(tblOrdenes[[#This Row],[id_operacion]],tblEjecucion[id_operacion],tblEjecucion[costo_plan_total],0)-tblOrdenes[[#This Row],[costo_servicio]]))</f>
        <v/>
      </c>
      <c r="AM1174" s="18">
        <f>IF(tblOrdenes[[#This Row],[orden]]="","",tblOrdenes[[#This Row],[costo_servicio]]+tblOrdenes[[#This Row],[costo_materiales]])</f>
        <v/>
      </c>
      <c r="AN1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4" s="4" t="n"/>
      <c r="AP1174" s="4" t="n"/>
      <c r="AQ1174" s="4" t="n"/>
      <c r="AR1174" s="5">
        <f>IF(tblOrdenes[[#This Row],[link_checklist]]="","",HYPERLINK(p_ruta_base_checklists&amp;tblOrdenes[[#This Row],[link_checklist]],"abrir"))</f>
        <v/>
      </c>
      <c r="AS1174" s="4" t="n"/>
      <c r="AT1174" s="5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22" t="n"/>
      <c r="K1175" s="5" t="n"/>
      <c r="L1175" s="18" t="n"/>
      <c r="M1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5">
        <f>IF(tblOrdenes[[#This Row],[fecha_inicio]]="","",YEAR(tblOrdenes[[#This Row],[fecha_inicio]]))</f>
        <v/>
      </c>
      <c r="Q1175" s="5">
        <f>IF(tblOrdenes[[#This Row],[fecha_inicio]]="","",MONTH(tblOrdenes[[#This Row],[fecha_inicio]]))</f>
        <v/>
      </c>
      <c r="R1175" s="5">
        <f>IF(tblOrdenes[[#This Row],[fecha_inicio]]="","",tblOrdenes[[#This Row],[anio]]&amp;"-"&amp;TEXT(tblOrdenes[[#This Row],[mes]],"00"))</f>
        <v/>
      </c>
      <c r="S1175" s="5">
        <f>IF(tblOrdenes[[#This Row],[fecha_inicio]]="","",INDEX(lista_dias,WEEKDAY(tblOrdenes[[#This Row],[fecha_inicio]],2)))</f>
        <v/>
      </c>
      <c r="T1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5" s="5">
        <f>IF(tblOrdenes[[#This Row],[tipo_ot]]="","",_xlfn.XLOOKUP(tblOrdenes[[#This Row],[tipo_ot]],tblTiposOT[codigo],tblTiposOT[clasificacion],"sin_clasificar"))</f>
        <v/>
      </c>
      <c r="V11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5" s="5">
        <f>IF(tblOrdenes[[#This Row],[centro_costo]]="","",_xlfn.XLOOKUP(tblOrdenes[[#This Row],[centro_costo]],tblCECO[codigo],tblCECO[linea],"(sin catálogo)"))</f>
        <v/>
      </c>
      <c r="X1175" s="5">
        <f>IF(tblOrdenes[[#This Row],[centro_costo]]="","",_xlfn.XLOOKUP(tblOrdenes[[#This Row],[centro_costo]],tblCECO[codigo],tblCECO[area],"(sin catálogo)"))</f>
        <v/>
      </c>
      <c r="Y1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5" s="5">
        <f>IF(tblOrdenes[[#This Row],[centro_costo]]="","",_xlfn.XLOOKUP(tblOrdenes[[#This Row],[centro_costo]],tblCECO[codigo],tblCECO[coordinador],"(sin catálogo)"))</f>
        <v/>
      </c>
      <c r="AA1175" s="5">
        <f>IF(tblOrdenes[[#This Row],[puesto_trabajo]]="","",_xlfn.XLOOKUP(tblOrdenes[[#This Row],[puesto_trabajo]],tblPuestos[codigo],tblPuestos[especialidad],"(sin catálogo)"))</f>
        <v/>
      </c>
      <c r="AB1175" s="5">
        <f>IF(tblOrdenes[[#This Row],[cod_actividad]]="","",_xlfn.XLOOKUP(tblOrdenes[[#This Row],[cod_actividad]],tblActividades[codigo],tblActividades[descripcion],"(sin catálogo)"))</f>
        <v/>
      </c>
      <c r="AC1175" s="20">
        <f>IF(tblOrdenes[[#This Row],[fecha_inicio]]="","",TODAY()-tblOrdenes[[#This Row],[fecha_inicio]])</f>
        <v/>
      </c>
      <c r="AD117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5" s="5">
        <f>IF(tblOrdenes[[#This Row],[backlog_habiles]]="","",IF(tblOrdenes[[#This Row],[backlog_habiles]]&lt;0,"FUTURO",IF(tblOrdenes[[#This Row],[backlog_habiles]]&gt;p_dias_backlog_max,"BACKLOG","MES CORRIENTE")))</f>
        <v/>
      </c>
      <c r="AF1175" s="5">
        <f>IF(tblOrdenes[[#This Row],[backlog_habiles]]="",FALSE,AND(tblOrdenes[[#This Row],[backlog_habiles]]&gt;p_dias_backlog_min,tblOrdenes[[#This Row],[backlog_habiles]]&lt;=p_dias_backlog_max))</f>
        <v/>
      </c>
      <c r="AG1175" s="4" t="n"/>
      <c r="AH1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5" s="18">
        <f>IF(tblOrdenes[[#This Row],[orden]]="","",_xlfn.XLOOKUP(tblOrdenes[[#This Row],[id_operacion]],tblEjecucion[id_operacion],tblEjecucion[precio],0))</f>
        <v/>
      </c>
      <c r="AL1175" s="18">
        <f>IF(tblOrdenes[[#This Row],[orden]]="","",MAX(0,_xlfn.XLOOKUP(tblOrdenes[[#This Row],[id_operacion]],tblEjecucion[id_operacion],tblEjecucion[costo_plan_total],0)-tblOrdenes[[#This Row],[costo_servicio]]))</f>
        <v/>
      </c>
      <c r="AM1175" s="18">
        <f>IF(tblOrdenes[[#This Row],[orden]]="","",tblOrdenes[[#This Row],[costo_servicio]]+tblOrdenes[[#This Row],[costo_materiales]])</f>
        <v/>
      </c>
      <c r="AN1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5" s="4" t="n"/>
      <c r="AP1175" s="4" t="n"/>
      <c r="AQ1175" s="4" t="n"/>
      <c r="AR1175" s="5">
        <f>IF(tblOrdenes[[#This Row],[link_checklist]]="","",HYPERLINK(p_ruta_base_checklists&amp;tblOrdenes[[#This Row],[link_checklist]],"abrir"))</f>
        <v/>
      </c>
      <c r="AS1175" s="4" t="n"/>
      <c r="AT1175" s="5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22" t="n"/>
      <c r="K1176" s="5" t="n"/>
      <c r="L1176" s="18" t="n"/>
      <c r="M1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5">
        <f>IF(tblOrdenes[[#This Row],[fecha_inicio]]="","",YEAR(tblOrdenes[[#This Row],[fecha_inicio]]))</f>
        <v/>
      </c>
      <c r="Q1176" s="5">
        <f>IF(tblOrdenes[[#This Row],[fecha_inicio]]="","",MONTH(tblOrdenes[[#This Row],[fecha_inicio]]))</f>
        <v/>
      </c>
      <c r="R1176" s="5">
        <f>IF(tblOrdenes[[#This Row],[fecha_inicio]]="","",tblOrdenes[[#This Row],[anio]]&amp;"-"&amp;TEXT(tblOrdenes[[#This Row],[mes]],"00"))</f>
        <v/>
      </c>
      <c r="S1176" s="5">
        <f>IF(tblOrdenes[[#This Row],[fecha_inicio]]="","",INDEX(lista_dias,WEEKDAY(tblOrdenes[[#This Row],[fecha_inicio]],2)))</f>
        <v/>
      </c>
      <c r="T1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6" s="5">
        <f>IF(tblOrdenes[[#This Row],[tipo_ot]]="","",_xlfn.XLOOKUP(tblOrdenes[[#This Row],[tipo_ot]],tblTiposOT[codigo],tblTiposOT[clasificacion],"sin_clasificar"))</f>
        <v/>
      </c>
      <c r="V11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6" s="5">
        <f>IF(tblOrdenes[[#This Row],[centro_costo]]="","",_xlfn.XLOOKUP(tblOrdenes[[#This Row],[centro_costo]],tblCECO[codigo],tblCECO[linea],"(sin catálogo)"))</f>
        <v/>
      </c>
      <c r="X1176" s="5">
        <f>IF(tblOrdenes[[#This Row],[centro_costo]]="","",_xlfn.XLOOKUP(tblOrdenes[[#This Row],[centro_costo]],tblCECO[codigo],tblCECO[area],"(sin catálogo)"))</f>
        <v/>
      </c>
      <c r="Y1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6" s="5">
        <f>IF(tblOrdenes[[#This Row],[centro_costo]]="","",_xlfn.XLOOKUP(tblOrdenes[[#This Row],[centro_costo]],tblCECO[codigo],tblCECO[coordinador],"(sin catálogo)"))</f>
        <v/>
      </c>
      <c r="AA1176" s="5">
        <f>IF(tblOrdenes[[#This Row],[puesto_trabajo]]="","",_xlfn.XLOOKUP(tblOrdenes[[#This Row],[puesto_trabajo]],tblPuestos[codigo],tblPuestos[especialidad],"(sin catálogo)"))</f>
        <v/>
      </c>
      <c r="AB1176" s="5">
        <f>IF(tblOrdenes[[#This Row],[cod_actividad]]="","",_xlfn.XLOOKUP(tblOrdenes[[#This Row],[cod_actividad]],tblActividades[codigo],tblActividades[descripcion],"(sin catálogo)"))</f>
        <v/>
      </c>
      <c r="AC1176" s="20">
        <f>IF(tblOrdenes[[#This Row],[fecha_inicio]]="","",TODAY()-tblOrdenes[[#This Row],[fecha_inicio]])</f>
        <v/>
      </c>
      <c r="AD117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6" s="5">
        <f>IF(tblOrdenes[[#This Row],[backlog_habiles]]="","",IF(tblOrdenes[[#This Row],[backlog_habiles]]&lt;0,"FUTURO",IF(tblOrdenes[[#This Row],[backlog_habiles]]&gt;p_dias_backlog_max,"BACKLOG","MES CORRIENTE")))</f>
        <v/>
      </c>
      <c r="AF1176" s="5">
        <f>IF(tblOrdenes[[#This Row],[backlog_habiles]]="",FALSE,AND(tblOrdenes[[#This Row],[backlog_habiles]]&gt;p_dias_backlog_min,tblOrdenes[[#This Row],[backlog_habiles]]&lt;=p_dias_backlog_max))</f>
        <v/>
      </c>
      <c r="AG1176" s="4" t="n"/>
      <c r="AH1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6" s="18">
        <f>IF(tblOrdenes[[#This Row],[orden]]="","",_xlfn.XLOOKUP(tblOrdenes[[#This Row],[id_operacion]],tblEjecucion[id_operacion],tblEjecucion[precio],0))</f>
        <v/>
      </c>
      <c r="AL1176" s="18">
        <f>IF(tblOrdenes[[#This Row],[orden]]="","",MAX(0,_xlfn.XLOOKUP(tblOrdenes[[#This Row],[id_operacion]],tblEjecucion[id_operacion],tblEjecucion[costo_plan_total],0)-tblOrdenes[[#This Row],[costo_servicio]]))</f>
        <v/>
      </c>
      <c r="AM1176" s="18">
        <f>IF(tblOrdenes[[#This Row],[orden]]="","",tblOrdenes[[#This Row],[costo_servicio]]+tblOrdenes[[#This Row],[costo_materiales]])</f>
        <v/>
      </c>
      <c r="AN1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6" s="4" t="n"/>
      <c r="AP1176" s="4" t="n"/>
      <c r="AQ1176" s="4" t="n"/>
      <c r="AR1176" s="5">
        <f>IF(tblOrdenes[[#This Row],[link_checklist]]="","",HYPERLINK(p_ruta_base_checklists&amp;tblOrdenes[[#This Row],[link_checklist]],"abrir"))</f>
        <v/>
      </c>
      <c r="AS1176" s="4" t="n"/>
      <c r="AT1176" s="5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22" t="n"/>
      <c r="K1177" s="5" t="n"/>
      <c r="L1177" s="18" t="n"/>
      <c r="M1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5">
        <f>IF(tblOrdenes[[#This Row],[fecha_inicio]]="","",YEAR(tblOrdenes[[#This Row],[fecha_inicio]]))</f>
        <v/>
      </c>
      <c r="Q1177" s="5">
        <f>IF(tblOrdenes[[#This Row],[fecha_inicio]]="","",MONTH(tblOrdenes[[#This Row],[fecha_inicio]]))</f>
        <v/>
      </c>
      <c r="R1177" s="5">
        <f>IF(tblOrdenes[[#This Row],[fecha_inicio]]="","",tblOrdenes[[#This Row],[anio]]&amp;"-"&amp;TEXT(tblOrdenes[[#This Row],[mes]],"00"))</f>
        <v/>
      </c>
      <c r="S1177" s="5">
        <f>IF(tblOrdenes[[#This Row],[fecha_inicio]]="","",INDEX(lista_dias,WEEKDAY(tblOrdenes[[#This Row],[fecha_inicio]],2)))</f>
        <v/>
      </c>
      <c r="T1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7" s="5">
        <f>IF(tblOrdenes[[#This Row],[tipo_ot]]="","",_xlfn.XLOOKUP(tblOrdenes[[#This Row],[tipo_ot]],tblTiposOT[codigo],tblTiposOT[clasificacion],"sin_clasificar"))</f>
        <v/>
      </c>
      <c r="V11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7" s="5">
        <f>IF(tblOrdenes[[#This Row],[centro_costo]]="","",_xlfn.XLOOKUP(tblOrdenes[[#This Row],[centro_costo]],tblCECO[codigo],tblCECO[linea],"(sin catálogo)"))</f>
        <v/>
      </c>
      <c r="X1177" s="5">
        <f>IF(tblOrdenes[[#This Row],[centro_costo]]="","",_xlfn.XLOOKUP(tblOrdenes[[#This Row],[centro_costo]],tblCECO[codigo],tblCECO[area],"(sin catálogo)"))</f>
        <v/>
      </c>
      <c r="Y1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7" s="5">
        <f>IF(tblOrdenes[[#This Row],[centro_costo]]="","",_xlfn.XLOOKUP(tblOrdenes[[#This Row],[centro_costo]],tblCECO[codigo],tblCECO[coordinador],"(sin catálogo)"))</f>
        <v/>
      </c>
      <c r="AA1177" s="5">
        <f>IF(tblOrdenes[[#This Row],[puesto_trabajo]]="","",_xlfn.XLOOKUP(tblOrdenes[[#This Row],[puesto_trabajo]],tblPuestos[codigo],tblPuestos[especialidad],"(sin catálogo)"))</f>
        <v/>
      </c>
      <c r="AB1177" s="5">
        <f>IF(tblOrdenes[[#This Row],[cod_actividad]]="","",_xlfn.XLOOKUP(tblOrdenes[[#This Row],[cod_actividad]],tblActividades[codigo],tblActividades[descripcion],"(sin catálogo)"))</f>
        <v/>
      </c>
      <c r="AC1177" s="20">
        <f>IF(tblOrdenes[[#This Row],[fecha_inicio]]="","",TODAY()-tblOrdenes[[#This Row],[fecha_inicio]])</f>
        <v/>
      </c>
      <c r="AD117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7" s="5">
        <f>IF(tblOrdenes[[#This Row],[backlog_habiles]]="","",IF(tblOrdenes[[#This Row],[backlog_habiles]]&lt;0,"FUTURO",IF(tblOrdenes[[#This Row],[backlog_habiles]]&gt;p_dias_backlog_max,"BACKLOG","MES CORRIENTE")))</f>
        <v/>
      </c>
      <c r="AF1177" s="5">
        <f>IF(tblOrdenes[[#This Row],[backlog_habiles]]="",FALSE,AND(tblOrdenes[[#This Row],[backlog_habiles]]&gt;p_dias_backlog_min,tblOrdenes[[#This Row],[backlog_habiles]]&lt;=p_dias_backlog_max))</f>
        <v/>
      </c>
      <c r="AG1177" s="4" t="n"/>
      <c r="AH1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7" s="18">
        <f>IF(tblOrdenes[[#This Row],[orden]]="","",_xlfn.XLOOKUP(tblOrdenes[[#This Row],[id_operacion]],tblEjecucion[id_operacion],tblEjecucion[precio],0))</f>
        <v/>
      </c>
      <c r="AL1177" s="18">
        <f>IF(tblOrdenes[[#This Row],[orden]]="","",MAX(0,_xlfn.XLOOKUP(tblOrdenes[[#This Row],[id_operacion]],tblEjecucion[id_operacion],tblEjecucion[costo_plan_total],0)-tblOrdenes[[#This Row],[costo_servicio]]))</f>
        <v/>
      </c>
      <c r="AM1177" s="18">
        <f>IF(tblOrdenes[[#This Row],[orden]]="","",tblOrdenes[[#This Row],[costo_servicio]]+tblOrdenes[[#This Row],[costo_materiales]])</f>
        <v/>
      </c>
      <c r="AN1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7" s="4" t="n"/>
      <c r="AP1177" s="4" t="n"/>
      <c r="AQ1177" s="4" t="n"/>
      <c r="AR1177" s="5">
        <f>IF(tblOrdenes[[#This Row],[link_checklist]]="","",HYPERLINK(p_ruta_base_checklists&amp;tblOrdenes[[#This Row],[link_checklist]],"abrir"))</f>
        <v/>
      </c>
      <c r="AS1177" s="4" t="n"/>
      <c r="AT1177" s="5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22" t="n"/>
      <c r="K1178" s="5" t="n"/>
      <c r="L1178" s="18" t="n"/>
      <c r="M1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5">
        <f>IF(tblOrdenes[[#This Row],[fecha_inicio]]="","",YEAR(tblOrdenes[[#This Row],[fecha_inicio]]))</f>
        <v/>
      </c>
      <c r="Q1178" s="5">
        <f>IF(tblOrdenes[[#This Row],[fecha_inicio]]="","",MONTH(tblOrdenes[[#This Row],[fecha_inicio]]))</f>
        <v/>
      </c>
      <c r="R1178" s="5">
        <f>IF(tblOrdenes[[#This Row],[fecha_inicio]]="","",tblOrdenes[[#This Row],[anio]]&amp;"-"&amp;TEXT(tblOrdenes[[#This Row],[mes]],"00"))</f>
        <v/>
      </c>
      <c r="S1178" s="5">
        <f>IF(tblOrdenes[[#This Row],[fecha_inicio]]="","",INDEX(lista_dias,WEEKDAY(tblOrdenes[[#This Row],[fecha_inicio]],2)))</f>
        <v/>
      </c>
      <c r="T1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8" s="5">
        <f>IF(tblOrdenes[[#This Row],[tipo_ot]]="","",_xlfn.XLOOKUP(tblOrdenes[[#This Row],[tipo_ot]],tblTiposOT[codigo],tblTiposOT[clasificacion],"sin_clasificar"))</f>
        <v/>
      </c>
      <c r="V11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8" s="5">
        <f>IF(tblOrdenes[[#This Row],[centro_costo]]="","",_xlfn.XLOOKUP(tblOrdenes[[#This Row],[centro_costo]],tblCECO[codigo],tblCECO[linea],"(sin catálogo)"))</f>
        <v/>
      </c>
      <c r="X1178" s="5">
        <f>IF(tblOrdenes[[#This Row],[centro_costo]]="","",_xlfn.XLOOKUP(tblOrdenes[[#This Row],[centro_costo]],tblCECO[codigo],tblCECO[area],"(sin catálogo)"))</f>
        <v/>
      </c>
      <c r="Y1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8" s="5">
        <f>IF(tblOrdenes[[#This Row],[centro_costo]]="","",_xlfn.XLOOKUP(tblOrdenes[[#This Row],[centro_costo]],tblCECO[codigo],tblCECO[coordinador],"(sin catálogo)"))</f>
        <v/>
      </c>
      <c r="AA1178" s="5">
        <f>IF(tblOrdenes[[#This Row],[puesto_trabajo]]="","",_xlfn.XLOOKUP(tblOrdenes[[#This Row],[puesto_trabajo]],tblPuestos[codigo],tblPuestos[especialidad],"(sin catálogo)"))</f>
        <v/>
      </c>
      <c r="AB1178" s="5">
        <f>IF(tblOrdenes[[#This Row],[cod_actividad]]="","",_xlfn.XLOOKUP(tblOrdenes[[#This Row],[cod_actividad]],tblActividades[codigo],tblActividades[descripcion],"(sin catálogo)"))</f>
        <v/>
      </c>
      <c r="AC1178" s="20">
        <f>IF(tblOrdenes[[#This Row],[fecha_inicio]]="","",TODAY()-tblOrdenes[[#This Row],[fecha_inicio]])</f>
        <v/>
      </c>
      <c r="AD117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8" s="5">
        <f>IF(tblOrdenes[[#This Row],[backlog_habiles]]="","",IF(tblOrdenes[[#This Row],[backlog_habiles]]&lt;0,"FUTURO",IF(tblOrdenes[[#This Row],[backlog_habiles]]&gt;p_dias_backlog_max,"BACKLOG","MES CORRIENTE")))</f>
        <v/>
      </c>
      <c r="AF1178" s="5">
        <f>IF(tblOrdenes[[#This Row],[backlog_habiles]]="",FALSE,AND(tblOrdenes[[#This Row],[backlog_habiles]]&gt;p_dias_backlog_min,tblOrdenes[[#This Row],[backlog_habiles]]&lt;=p_dias_backlog_max))</f>
        <v/>
      </c>
      <c r="AG1178" s="4" t="n"/>
      <c r="AH1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8" s="18">
        <f>IF(tblOrdenes[[#This Row],[orden]]="","",_xlfn.XLOOKUP(tblOrdenes[[#This Row],[id_operacion]],tblEjecucion[id_operacion],tblEjecucion[precio],0))</f>
        <v/>
      </c>
      <c r="AL1178" s="18">
        <f>IF(tblOrdenes[[#This Row],[orden]]="","",MAX(0,_xlfn.XLOOKUP(tblOrdenes[[#This Row],[id_operacion]],tblEjecucion[id_operacion],tblEjecucion[costo_plan_total],0)-tblOrdenes[[#This Row],[costo_servicio]]))</f>
        <v/>
      </c>
      <c r="AM1178" s="18">
        <f>IF(tblOrdenes[[#This Row],[orden]]="","",tblOrdenes[[#This Row],[costo_servicio]]+tblOrdenes[[#This Row],[costo_materiales]])</f>
        <v/>
      </c>
      <c r="AN1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8" s="4" t="n"/>
      <c r="AP1178" s="4" t="n"/>
      <c r="AQ1178" s="4" t="n"/>
      <c r="AR1178" s="5">
        <f>IF(tblOrdenes[[#This Row],[link_checklist]]="","",HYPERLINK(p_ruta_base_checklists&amp;tblOrdenes[[#This Row],[link_checklist]],"abrir"))</f>
        <v/>
      </c>
      <c r="AS1178" s="4" t="n"/>
      <c r="AT1178" s="5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22" t="n"/>
      <c r="K1179" s="5" t="n"/>
      <c r="L1179" s="18" t="n"/>
      <c r="M1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5">
        <f>IF(tblOrdenes[[#This Row],[fecha_inicio]]="","",YEAR(tblOrdenes[[#This Row],[fecha_inicio]]))</f>
        <v/>
      </c>
      <c r="Q1179" s="5">
        <f>IF(tblOrdenes[[#This Row],[fecha_inicio]]="","",MONTH(tblOrdenes[[#This Row],[fecha_inicio]]))</f>
        <v/>
      </c>
      <c r="R1179" s="5">
        <f>IF(tblOrdenes[[#This Row],[fecha_inicio]]="","",tblOrdenes[[#This Row],[anio]]&amp;"-"&amp;TEXT(tblOrdenes[[#This Row],[mes]],"00"))</f>
        <v/>
      </c>
      <c r="S1179" s="5">
        <f>IF(tblOrdenes[[#This Row],[fecha_inicio]]="","",INDEX(lista_dias,WEEKDAY(tblOrdenes[[#This Row],[fecha_inicio]],2)))</f>
        <v/>
      </c>
      <c r="T1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9" s="5">
        <f>IF(tblOrdenes[[#This Row],[tipo_ot]]="","",_xlfn.XLOOKUP(tblOrdenes[[#This Row],[tipo_ot]],tblTiposOT[codigo],tblTiposOT[clasificacion],"sin_clasificar"))</f>
        <v/>
      </c>
      <c r="V11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9" s="5">
        <f>IF(tblOrdenes[[#This Row],[centro_costo]]="","",_xlfn.XLOOKUP(tblOrdenes[[#This Row],[centro_costo]],tblCECO[codigo],tblCECO[linea],"(sin catálogo)"))</f>
        <v/>
      </c>
      <c r="X1179" s="5">
        <f>IF(tblOrdenes[[#This Row],[centro_costo]]="","",_xlfn.XLOOKUP(tblOrdenes[[#This Row],[centro_costo]],tblCECO[codigo],tblCECO[area],"(sin catálogo)"))</f>
        <v/>
      </c>
      <c r="Y1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79" s="5">
        <f>IF(tblOrdenes[[#This Row],[centro_costo]]="","",_xlfn.XLOOKUP(tblOrdenes[[#This Row],[centro_costo]],tblCECO[codigo],tblCECO[coordinador],"(sin catálogo)"))</f>
        <v/>
      </c>
      <c r="AA1179" s="5">
        <f>IF(tblOrdenes[[#This Row],[puesto_trabajo]]="","",_xlfn.XLOOKUP(tblOrdenes[[#This Row],[puesto_trabajo]],tblPuestos[codigo],tblPuestos[especialidad],"(sin catálogo)"))</f>
        <v/>
      </c>
      <c r="AB1179" s="5">
        <f>IF(tblOrdenes[[#This Row],[cod_actividad]]="","",_xlfn.XLOOKUP(tblOrdenes[[#This Row],[cod_actividad]],tblActividades[codigo],tblActividades[descripcion],"(sin catálogo)"))</f>
        <v/>
      </c>
      <c r="AC1179" s="20">
        <f>IF(tblOrdenes[[#This Row],[fecha_inicio]]="","",TODAY()-tblOrdenes[[#This Row],[fecha_inicio]])</f>
        <v/>
      </c>
      <c r="AD117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79" s="5">
        <f>IF(tblOrdenes[[#This Row],[backlog_habiles]]="","",IF(tblOrdenes[[#This Row],[backlog_habiles]]&lt;0,"FUTURO",IF(tblOrdenes[[#This Row],[backlog_habiles]]&gt;p_dias_backlog_max,"BACKLOG","MES CORRIENTE")))</f>
        <v/>
      </c>
      <c r="AF1179" s="5">
        <f>IF(tblOrdenes[[#This Row],[backlog_habiles]]="",FALSE,AND(tblOrdenes[[#This Row],[backlog_habiles]]&gt;p_dias_backlog_min,tblOrdenes[[#This Row],[backlog_habiles]]&lt;=p_dias_backlog_max))</f>
        <v/>
      </c>
      <c r="AG1179" s="4" t="n"/>
      <c r="AH1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7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7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79" s="18">
        <f>IF(tblOrdenes[[#This Row],[orden]]="","",_xlfn.XLOOKUP(tblOrdenes[[#This Row],[id_operacion]],tblEjecucion[id_operacion],tblEjecucion[precio],0))</f>
        <v/>
      </c>
      <c r="AL1179" s="18">
        <f>IF(tblOrdenes[[#This Row],[orden]]="","",MAX(0,_xlfn.XLOOKUP(tblOrdenes[[#This Row],[id_operacion]],tblEjecucion[id_operacion],tblEjecucion[costo_plan_total],0)-tblOrdenes[[#This Row],[costo_servicio]]))</f>
        <v/>
      </c>
      <c r="AM1179" s="18">
        <f>IF(tblOrdenes[[#This Row],[orden]]="","",tblOrdenes[[#This Row],[costo_servicio]]+tblOrdenes[[#This Row],[costo_materiales]])</f>
        <v/>
      </c>
      <c r="AN1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79" s="4" t="n"/>
      <c r="AP1179" s="4" t="n"/>
      <c r="AQ1179" s="4" t="n"/>
      <c r="AR1179" s="5">
        <f>IF(tblOrdenes[[#This Row],[link_checklist]]="","",HYPERLINK(p_ruta_base_checklists&amp;tblOrdenes[[#This Row],[link_checklist]],"abrir"))</f>
        <v/>
      </c>
      <c r="AS1179" s="4" t="n"/>
      <c r="AT1179" s="5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22" t="n"/>
      <c r="K1180" s="5" t="n"/>
      <c r="L1180" s="18" t="n"/>
      <c r="M1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5">
        <f>IF(tblOrdenes[[#This Row],[fecha_inicio]]="","",YEAR(tblOrdenes[[#This Row],[fecha_inicio]]))</f>
        <v/>
      </c>
      <c r="Q1180" s="5">
        <f>IF(tblOrdenes[[#This Row],[fecha_inicio]]="","",MONTH(tblOrdenes[[#This Row],[fecha_inicio]]))</f>
        <v/>
      </c>
      <c r="R1180" s="5">
        <f>IF(tblOrdenes[[#This Row],[fecha_inicio]]="","",tblOrdenes[[#This Row],[anio]]&amp;"-"&amp;TEXT(tblOrdenes[[#This Row],[mes]],"00"))</f>
        <v/>
      </c>
      <c r="S1180" s="5">
        <f>IF(tblOrdenes[[#This Row],[fecha_inicio]]="","",INDEX(lista_dias,WEEKDAY(tblOrdenes[[#This Row],[fecha_inicio]],2)))</f>
        <v/>
      </c>
      <c r="T1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0" s="5">
        <f>IF(tblOrdenes[[#This Row],[tipo_ot]]="","",_xlfn.XLOOKUP(tblOrdenes[[#This Row],[tipo_ot]],tblTiposOT[codigo],tblTiposOT[clasificacion],"sin_clasificar"))</f>
        <v/>
      </c>
      <c r="V11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0" s="5">
        <f>IF(tblOrdenes[[#This Row],[centro_costo]]="","",_xlfn.XLOOKUP(tblOrdenes[[#This Row],[centro_costo]],tblCECO[codigo],tblCECO[linea],"(sin catálogo)"))</f>
        <v/>
      </c>
      <c r="X1180" s="5">
        <f>IF(tblOrdenes[[#This Row],[centro_costo]]="","",_xlfn.XLOOKUP(tblOrdenes[[#This Row],[centro_costo]],tblCECO[codigo],tblCECO[area],"(sin catálogo)"))</f>
        <v/>
      </c>
      <c r="Y1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0" s="5">
        <f>IF(tblOrdenes[[#This Row],[centro_costo]]="","",_xlfn.XLOOKUP(tblOrdenes[[#This Row],[centro_costo]],tblCECO[codigo],tblCECO[coordinador],"(sin catálogo)"))</f>
        <v/>
      </c>
      <c r="AA1180" s="5">
        <f>IF(tblOrdenes[[#This Row],[puesto_trabajo]]="","",_xlfn.XLOOKUP(tblOrdenes[[#This Row],[puesto_trabajo]],tblPuestos[codigo],tblPuestos[especialidad],"(sin catálogo)"))</f>
        <v/>
      </c>
      <c r="AB1180" s="5">
        <f>IF(tblOrdenes[[#This Row],[cod_actividad]]="","",_xlfn.XLOOKUP(tblOrdenes[[#This Row],[cod_actividad]],tblActividades[codigo],tblActividades[descripcion],"(sin catálogo)"))</f>
        <v/>
      </c>
      <c r="AC1180" s="20">
        <f>IF(tblOrdenes[[#This Row],[fecha_inicio]]="","",TODAY()-tblOrdenes[[#This Row],[fecha_inicio]])</f>
        <v/>
      </c>
      <c r="AD118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0" s="5">
        <f>IF(tblOrdenes[[#This Row],[backlog_habiles]]="","",IF(tblOrdenes[[#This Row],[backlog_habiles]]&lt;0,"FUTURO",IF(tblOrdenes[[#This Row],[backlog_habiles]]&gt;p_dias_backlog_max,"BACKLOG","MES CORRIENTE")))</f>
        <v/>
      </c>
      <c r="AF1180" s="5">
        <f>IF(tblOrdenes[[#This Row],[backlog_habiles]]="",FALSE,AND(tblOrdenes[[#This Row],[backlog_habiles]]&gt;p_dias_backlog_min,tblOrdenes[[#This Row],[backlog_habiles]]&lt;=p_dias_backlog_max))</f>
        <v/>
      </c>
      <c r="AG1180" s="4" t="n"/>
      <c r="AH1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0" s="18">
        <f>IF(tblOrdenes[[#This Row],[orden]]="","",_xlfn.XLOOKUP(tblOrdenes[[#This Row],[id_operacion]],tblEjecucion[id_operacion],tblEjecucion[precio],0))</f>
        <v/>
      </c>
      <c r="AL1180" s="18">
        <f>IF(tblOrdenes[[#This Row],[orden]]="","",MAX(0,_xlfn.XLOOKUP(tblOrdenes[[#This Row],[id_operacion]],tblEjecucion[id_operacion],tblEjecucion[costo_plan_total],0)-tblOrdenes[[#This Row],[costo_servicio]]))</f>
        <v/>
      </c>
      <c r="AM1180" s="18">
        <f>IF(tblOrdenes[[#This Row],[orden]]="","",tblOrdenes[[#This Row],[costo_servicio]]+tblOrdenes[[#This Row],[costo_materiales]])</f>
        <v/>
      </c>
      <c r="AN1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0" s="4" t="n"/>
      <c r="AP1180" s="4" t="n"/>
      <c r="AQ1180" s="4" t="n"/>
      <c r="AR1180" s="5">
        <f>IF(tblOrdenes[[#This Row],[link_checklist]]="","",HYPERLINK(p_ruta_base_checklists&amp;tblOrdenes[[#This Row],[link_checklist]],"abrir"))</f>
        <v/>
      </c>
      <c r="AS1180" s="4" t="n"/>
      <c r="AT1180" s="5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22" t="n"/>
      <c r="K1181" s="5" t="n"/>
      <c r="L1181" s="18" t="n"/>
      <c r="M1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5">
        <f>IF(tblOrdenes[[#This Row],[fecha_inicio]]="","",YEAR(tblOrdenes[[#This Row],[fecha_inicio]]))</f>
        <v/>
      </c>
      <c r="Q1181" s="5">
        <f>IF(tblOrdenes[[#This Row],[fecha_inicio]]="","",MONTH(tblOrdenes[[#This Row],[fecha_inicio]]))</f>
        <v/>
      </c>
      <c r="R1181" s="5">
        <f>IF(tblOrdenes[[#This Row],[fecha_inicio]]="","",tblOrdenes[[#This Row],[anio]]&amp;"-"&amp;TEXT(tblOrdenes[[#This Row],[mes]],"00"))</f>
        <v/>
      </c>
      <c r="S1181" s="5">
        <f>IF(tblOrdenes[[#This Row],[fecha_inicio]]="","",INDEX(lista_dias,WEEKDAY(tblOrdenes[[#This Row],[fecha_inicio]],2)))</f>
        <v/>
      </c>
      <c r="T1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1" s="5">
        <f>IF(tblOrdenes[[#This Row],[tipo_ot]]="","",_xlfn.XLOOKUP(tblOrdenes[[#This Row],[tipo_ot]],tblTiposOT[codigo],tblTiposOT[clasificacion],"sin_clasificar"))</f>
        <v/>
      </c>
      <c r="V11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1" s="5">
        <f>IF(tblOrdenes[[#This Row],[centro_costo]]="","",_xlfn.XLOOKUP(tblOrdenes[[#This Row],[centro_costo]],tblCECO[codigo],tblCECO[linea],"(sin catálogo)"))</f>
        <v/>
      </c>
      <c r="X1181" s="5">
        <f>IF(tblOrdenes[[#This Row],[centro_costo]]="","",_xlfn.XLOOKUP(tblOrdenes[[#This Row],[centro_costo]],tblCECO[codigo],tblCECO[area],"(sin catálogo)"))</f>
        <v/>
      </c>
      <c r="Y1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1" s="5">
        <f>IF(tblOrdenes[[#This Row],[centro_costo]]="","",_xlfn.XLOOKUP(tblOrdenes[[#This Row],[centro_costo]],tblCECO[codigo],tblCECO[coordinador],"(sin catálogo)"))</f>
        <v/>
      </c>
      <c r="AA1181" s="5">
        <f>IF(tblOrdenes[[#This Row],[puesto_trabajo]]="","",_xlfn.XLOOKUP(tblOrdenes[[#This Row],[puesto_trabajo]],tblPuestos[codigo],tblPuestos[especialidad],"(sin catálogo)"))</f>
        <v/>
      </c>
      <c r="AB1181" s="5">
        <f>IF(tblOrdenes[[#This Row],[cod_actividad]]="","",_xlfn.XLOOKUP(tblOrdenes[[#This Row],[cod_actividad]],tblActividades[codigo],tblActividades[descripcion],"(sin catálogo)"))</f>
        <v/>
      </c>
      <c r="AC1181" s="20">
        <f>IF(tblOrdenes[[#This Row],[fecha_inicio]]="","",TODAY()-tblOrdenes[[#This Row],[fecha_inicio]])</f>
        <v/>
      </c>
      <c r="AD118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1" s="5">
        <f>IF(tblOrdenes[[#This Row],[backlog_habiles]]="","",IF(tblOrdenes[[#This Row],[backlog_habiles]]&lt;0,"FUTURO",IF(tblOrdenes[[#This Row],[backlog_habiles]]&gt;p_dias_backlog_max,"BACKLOG","MES CORRIENTE")))</f>
        <v/>
      </c>
      <c r="AF1181" s="5">
        <f>IF(tblOrdenes[[#This Row],[backlog_habiles]]="",FALSE,AND(tblOrdenes[[#This Row],[backlog_habiles]]&gt;p_dias_backlog_min,tblOrdenes[[#This Row],[backlog_habiles]]&lt;=p_dias_backlog_max))</f>
        <v/>
      </c>
      <c r="AG1181" s="4" t="n"/>
      <c r="AH1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1" s="18">
        <f>IF(tblOrdenes[[#This Row],[orden]]="","",_xlfn.XLOOKUP(tblOrdenes[[#This Row],[id_operacion]],tblEjecucion[id_operacion],tblEjecucion[precio],0))</f>
        <v/>
      </c>
      <c r="AL1181" s="18">
        <f>IF(tblOrdenes[[#This Row],[orden]]="","",MAX(0,_xlfn.XLOOKUP(tblOrdenes[[#This Row],[id_operacion]],tblEjecucion[id_operacion],tblEjecucion[costo_plan_total],0)-tblOrdenes[[#This Row],[costo_servicio]]))</f>
        <v/>
      </c>
      <c r="AM1181" s="18">
        <f>IF(tblOrdenes[[#This Row],[orden]]="","",tblOrdenes[[#This Row],[costo_servicio]]+tblOrdenes[[#This Row],[costo_materiales]])</f>
        <v/>
      </c>
      <c r="AN1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1" s="4" t="n"/>
      <c r="AP1181" s="4" t="n"/>
      <c r="AQ1181" s="4" t="n"/>
      <c r="AR1181" s="5">
        <f>IF(tblOrdenes[[#This Row],[link_checklist]]="","",HYPERLINK(p_ruta_base_checklists&amp;tblOrdenes[[#This Row],[link_checklist]],"abrir"))</f>
        <v/>
      </c>
      <c r="AS1181" s="4" t="n"/>
      <c r="AT1181" s="5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22" t="n"/>
      <c r="K1182" s="5" t="n"/>
      <c r="L1182" s="18" t="n"/>
      <c r="M1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5">
        <f>IF(tblOrdenes[[#This Row],[fecha_inicio]]="","",YEAR(tblOrdenes[[#This Row],[fecha_inicio]]))</f>
        <v/>
      </c>
      <c r="Q1182" s="5">
        <f>IF(tblOrdenes[[#This Row],[fecha_inicio]]="","",MONTH(tblOrdenes[[#This Row],[fecha_inicio]]))</f>
        <v/>
      </c>
      <c r="R1182" s="5">
        <f>IF(tblOrdenes[[#This Row],[fecha_inicio]]="","",tblOrdenes[[#This Row],[anio]]&amp;"-"&amp;TEXT(tblOrdenes[[#This Row],[mes]],"00"))</f>
        <v/>
      </c>
      <c r="S1182" s="5">
        <f>IF(tblOrdenes[[#This Row],[fecha_inicio]]="","",INDEX(lista_dias,WEEKDAY(tblOrdenes[[#This Row],[fecha_inicio]],2)))</f>
        <v/>
      </c>
      <c r="T1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2" s="5">
        <f>IF(tblOrdenes[[#This Row],[tipo_ot]]="","",_xlfn.XLOOKUP(tblOrdenes[[#This Row],[tipo_ot]],tblTiposOT[codigo],tblTiposOT[clasificacion],"sin_clasificar"))</f>
        <v/>
      </c>
      <c r="V11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2" s="5">
        <f>IF(tblOrdenes[[#This Row],[centro_costo]]="","",_xlfn.XLOOKUP(tblOrdenes[[#This Row],[centro_costo]],tblCECO[codigo],tblCECO[linea],"(sin catálogo)"))</f>
        <v/>
      </c>
      <c r="X1182" s="5">
        <f>IF(tblOrdenes[[#This Row],[centro_costo]]="","",_xlfn.XLOOKUP(tblOrdenes[[#This Row],[centro_costo]],tblCECO[codigo],tblCECO[area],"(sin catálogo)"))</f>
        <v/>
      </c>
      <c r="Y1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2" s="5">
        <f>IF(tblOrdenes[[#This Row],[centro_costo]]="","",_xlfn.XLOOKUP(tblOrdenes[[#This Row],[centro_costo]],tblCECO[codigo],tblCECO[coordinador],"(sin catálogo)"))</f>
        <v/>
      </c>
      <c r="AA1182" s="5">
        <f>IF(tblOrdenes[[#This Row],[puesto_trabajo]]="","",_xlfn.XLOOKUP(tblOrdenes[[#This Row],[puesto_trabajo]],tblPuestos[codigo],tblPuestos[especialidad],"(sin catálogo)"))</f>
        <v/>
      </c>
      <c r="AB1182" s="5">
        <f>IF(tblOrdenes[[#This Row],[cod_actividad]]="","",_xlfn.XLOOKUP(tblOrdenes[[#This Row],[cod_actividad]],tblActividades[codigo],tblActividades[descripcion],"(sin catálogo)"))</f>
        <v/>
      </c>
      <c r="AC1182" s="20">
        <f>IF(tblOrdenes[[#This Row],[fecha_inicio]]="","",TODAY()-tblOrdenes[[#This Row],[fecha_inicio]])</f>
        <v/>
      </c>
      <c r="AD118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2" s="5">
        <f>IF(tblOrdenes[[#This Row],[backlog_habiles]]="","",IF(tblOrdenes[[#This Row],[backlog_habiles]]&lt;0,"FUTURO",IF(tblOrdenes[[#This Row],[backlog_habiles]]&gt;p_dias_backlog_max,"BACKLOG","MES CORRIENTE")))</f>
        <v/>
      </c>
      <c r="AF1182" s="5">
        <f>IF(tblOrdenes[[#This Row],[backlog_habiles]]="",FALSE,AND(tblOrdenes[[#This Row],[backlog_habiles]]&gt;p_dias_backlog_min,tblOrdenes[[#This Row],[backlog_habiles]]&lt;=p_dias_backlog_max))</f>
        <v/>
      </c>
      <c r="AG1182" s="4" t="n"/>
      <c r="AH1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2" s="18">
        <f>IF(tblOrdenes[[#This Row],[orden]]="","",_xlfn.XLOOKUP(tblOrdenes[[#This Row],[id_operacion]],tblEjecucion[id_operacion],tblEjecucion[precio],0))</f>
        <v/>
      </c>
      <c r="AL1182" s="18">
        <f>IF(tblOrdenes[[#This Row],[orden]]="","",MAX(0,_xlfn.XLOOKUP(tblOrdenes[[#This Row],[id_operacion]],tblEjecucion[id_operacion],tblEjecucion[costo_plan_total],0)-tblOrdenes[[#This Row],[costo_servicio]]))</f>
        <v/>
      </c>
      <c r="AM1182" s="18">
        <f>IF(tblOrdenes[[#This Row],[orden]]="","",tblOrdenes[[#This Row],[costo_servicio]]+tblOrdenes[[#This Row],[costo_materiales]])</f>
        <v/>
      </c>
      <c r="AN1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2" s="4" t="n"/>
      <c r="AP1182" s="4" t="n"/>
      <c r="AQ1182" s="4" t="n"/>
      <c r="AR1182" s="5">
        <f>IF(tblOrdenes[[#This Row],[link_checklist]]="","",HYPERLINK(p_ruta_base_checklists&amp;tblOrdenes[[#This Row],[link_checklist]],"abrir"))</f>
        <v/>
      </c>
      <c r="AS1182" s="4" t="n"/>
      <c r="AT1182" s="5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22" t="n"/>
      <c r="K1183" s="5" t="n"/>
      <c r="L1183" s="18" t="n"/>
      <c r="M1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5">
        <f>IF(tblOrdenes[[#This Row],[fecha_inicio]]="","",YEAR(tblOrdenes[[#This Row],[fecha_inicio]]))</f>
        <v/>
      </c>
      <c r="Q1183" s="5">
        <f>IF(tblOrdenes[[#This Row],[fecha_inicio]]="","",MONTH(tblOrdenes[[#This Row],[fecha_inicio]]))</f>
        <v/>
      </c>
      <c r="R1183" s="5">
        <f>IF(tblOrdenes[[#This Row],[fecha_inicio]]="","",tblOrdenes[[#This Row],[anio]]&amp;"-"&amp;TEXT(tblOrdenes[[#This Row],[mes]],"00"))</f>
        <v/>
      </c>
      <c r="S1183" s="5">
        <f>IF(tblOrdenes[[#This Row],[fecha_inicio]]="","",INDEX(lista_dias,WEEKDAY(tblOrdenes[[#This Row],[fecha_inicio]],2)))</f>
        <v/>
      </c>
      <c r="T1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3" s="5">
        <f>IF(tblOrdenes[[#This Row],[tipo_ot]]="","",_xlfn.XLOOKUP(tblOrdenes[[#This Row],[tipo_ot]],tblTiposOT[codigo],tblTiposOT[clasificacion],"sin_clasificar"))</f>
        <v/>
      </c>
      <c r="V11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3" s="5">
        <f>IF(tblOrdenes[[#This Row],[centro_costo]]="","",_xlfn.XLOOKUP(tblOrdenes[[#This Row],[centro_costo]],tblCECO[codigo],tblCECO[linea],"(sin catálogo)"))</f>
        <v/>
      </c>
      <c r="X1183" s="5">
        <f>IF(tblOrdenes[[#This Row],[centro_costo]]="","",_xlfn.XLOOKUP(tblOrdenes[[#This Row],[centro_costo]],tblCECO[codigo],tblCECO[area],"(sin catálogo)"))</f>
        <v/>
      </c>
      <c r="Y1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3" s="5">
        <f>IF(tblOrdenes[[#This Row],[centro_costo]]="","",_xlfn.XLOOKUP(tblOrdenes[[#This Row],[centro_costo]],tblCECO[codigo],tblCECO[coordinador],"(sin catálogo)"))</f>
        <v/>
      </c>
      <c r="AA1183" s="5">
        <f>IF(tblOrdenes[[#This Row],[puesto_trabajo]]="","",_xlfn.XLOOKUP(tblOrdenes[[#This Row],[puesto_trabajo]],tblPuestos[codigo],tblPuestos[especialidad],"(sin catálogo)"))</f>
        <v/>
      </c>
      <c r="AB1183" s="5">
        <f>IF(tblOrdenes[[#This Row],[cod_actividad]]="","",_xlfn.XLOOKUP(tblOrdenes[[#This Row],[cod_actividad]],tblActividades[codigo],tblActividades[descripcion],"(sin catálogo)"))</f>
        <v/>
      </c>
      <c r="AC1183" s="20">
        <f>IF(tblOrdenes[[#This Row],[fecha_inicio]]="","",TODAY()-tblOrdenes[[#This Row],[fecha_inicio]])</f>
        <v/>
      </c>
      <c r="AD118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3" s="5">
        <f>IF(tblOrdenes[[#This Row],[backlog_habiles]]="","",IF(tblOrdenes[[#This Row],[backlog_habiles]]&lt;0,"FUTURO",IF(tblOrdenes[[#This Row],[backlog_habiles]]&gt;p_dias_backlog_max,"BACKLOG","MES CORRIENTE")))</f>
        <v/>
      </c>
      <c r="AF1183" s="5">
        <f>IF(tblOrdenes[[#This Row],[backlog_habiles]]="",FALSE,AND(tblOrdenes[[#This Row],[backlog_habiles]]&gt;p_dias_backlog_min,tblOrdenes[[#This Row],[backlog_habiles]]&lt;=p_dias_backlog_max))</f>
        <v/>
      </c>
      <c r="AG1183" s="4" t="n"/>
      <c r="AH1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3" s="18">
        <f>IF(tblOrdenes[[#This Row],[orden]]="","",_xlfn.XLOOKUP(tblOrdenes[[#This Row],[id_operacion]],tblEjecucion[id_operacion],tblEjecucion[precio],0))</f>
        <v/>
      </c>
      <c r="AL1183" s="18">
        <f>IF(tblOrdenes[[#This Row],[orden]]="","",MAX(0,_xlfn.XLOOKUP(tblOrdenes[[#This Row],[id_operacion]],tblEjecucion[id_operacion],tblEjecucion[costo_plan_total],0)-tblOrdenes[[#This Row],[costo_servicio]]))</f>
        <v/>
      </c>
      <c r="AM1183" s="18">
        <f>IF(tblOrdenes[[#This Row],[orden]]="","",tblOrdenes[[#This Row],[costo_servicio]]+tblOrdenes[[#This Row],[costo_materiales]])</f>
        <v/>
      </c>
      <c r="AN1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3" s="4" t="n"/>
      <c r="AP1183" s="4" t="n"/>
      <c r="AQ1183" s="4" t="n"/>
      <c r="AR1183" s="5">
        <f>IF(tblOrdenes[[#This Row],[link_checklist]]="","",HYPERLINK(p_ruta_base_checklists&amp;tblOrdenes[[#This Row],[link_checklist]],"abrir"))</f>
        <v/>
      </c>
      <c r="AS1183" s="4" t="n"/>
      <c r="AT1183" s="5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22" t="n"/>
      <c r="K1184" s="5" t="n"/>
      <c r="L1184" s="18" t="n"/>
      <c r="M1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5">
        <f>IF(tblOrdenes[[#This Row],[fecha_inicio]]="","",YEAR(tblOrdenes[[#This Row],[fecha_inicio]]))</f>
        <v/>
      </c>
      <c r="Q1184" s="5">
        <f>IF(tblOrdenes[[#This Row],[fecha_inicio]]="","",MONTH(tblOrdenes[[#This Row],[fecha_inicio]]))</f>
        <v/>
      </c>
      <c r="R1184" s="5">
        <f>IF(tblOrdenes[[#This Row],[fecha_inicio]]="","",tblOrdenes[[#This Row],[anio]]&amp;"-"&amp;TEXT(tblOrdenes[[#This Row],[mes]],"00"))</f>
        <v/>
      </c>
      <c r="S1184" s="5">
        <f>IF(tblOrdenes[[#This Row],[fecha_inicio]]="","",INDEX(lista_dias,WEEKDAY(tblOrdenes[[#This Row],[fecha_inicio]],2)))</f>
        <v/>
      </c>
      <c r="T1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4" s="5">
        <f>IF(tblOrdenes[[#This Row],[tipo_ot]]="","",_xlfn.XLOOKUP(tblOrdenes[[#This Row],[tipo_ot]],tblTiposOT[codigo],tblTiposOT[clasificacion],"sin_clasificar"))</f>
        <v/>
      </c>
      <c r="V11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4" s="5">
        <f>IF(tblOrdenes[[#This Row],[centro_costo]]="","",_xlfn.XLOOKUP(tblOrdenes[[#This Row],[centro_costo]],tblCECO[codigo],tblCECO[linea],"(sin catálogo)"))</f>
        <v/>
      </c>
      <c r="X1184" s="5">
        <f>IF(tblOrdenes[[#This Row],[centro_costo]]="","",_xlfn.XLOOKUP(tblOrdenes[[#This Row],[centro_costo]],tblCECO[codigo],tblCECO[area],"(sin catálogo)"))</f>
        <v/>
      </c>
      <c r="Y1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4" s="5">
        <f>IF(tblOrdenes[[#This Row],[centro_costo]]="","",_xlfn.XLOOKUP(tblOrdenes[[#This Row],[centro_costo]],tblCECO[codigo],tblCECO[coordinador],"(sin catálogo)"))</f>
        <v/>
      </c>
      <c r="AA1184" s="5">
        <f>IF(tblOrdenes[[#This Row],[puesto_trabajo]]="","",_xlfn.XLOOKUP(tblOrdenes[[#This Row],[puesto_trabajo]],tblPuestos[codigo],tblPuestos[especialidad],"(sin catálogo)"))</f>
        <v/>
      </c>
      <c r="AB1184" s="5">
        <f>IF(tblOrdenes[[#This Row],[cod_actividad]]="","",_xlfn.XLOOKUP(tblOrdenes[[#This Row],[cod_actividad]],tblActividades[codigo],tblActividades[descripcion],"(sin catálogo)"))</f>
        <v/>
      </c>
      <c r="AC1184" s="20">
        <f>IF(tblOrdenes[[#This Row],[fecha_inicio]]="","",TODAY()-tblOrdenes[[#This Row],[fecha_inicio]])</f>
        <v/>
      </c>
      <c r="AD118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4" s="5">
        <f>IF(tblOrdenes[[#This Row],[backlog_habiles]]="","",IF(tblOrdenes[[#This Row],[backlog_habiles]]&lt;0,"FUTURO",IF(tblOrdenes[[#This Row],[backlog_habiles]]&gt;p_dias_backlog_max,"BACKLOG","MES CORRIENTE")))</f>
        <v/>
      </c>
      <c r="AF1184" s="5">
        <f>IF(tblOrdenes[[#This Row],[backlog_habiles]]="",FALSE,AND(tblOrdenes[[#This Row],[backlog_habiles]]&gt;p_dias_backlog_min,tblOrdenes[[#This Row],[backlog_habiles]]&lt;=p_dias_backlog_max))</f>
        <v/>
      </c>
      <c r="AG1184" s="4" t="n"/>
      <c r="AH1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4" s="18">
        <f>IF(tblOrdenes[[#This Row],[orden]]="","",_xlfn.XLOOKUP(tblOrdenes[[#This Row],[id_operacion]],tblEjecucion[id_operacion],tblEjecucion[precio],0))</f>
        <v/>
      </c>
      <c r="AL1184" s="18">
        <f>IF(tblOrdenes[[#This Row],[orden]]="","",MAX(0,_xlfn.XLOOKUP(tblOrdenes[[#This Row],[id_operacion]],tblEjecucion[id_operacion],tblEjecucion[costo_plan_total],0)-tblOrdenes[[#This Row],[costo_servicio]]))</f>
        <v/>
      </c>
      <c r="AM1184" s="18">
        <f>IF(tblOrdenes[[#This Row],[orden]]="","",tblOrdenes[[#This Row],[costo_servicio]]+tblOrdenes[[#This Row],[costo_materiales]])</f>
        <v/>
      </c>
      <c r="AN1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4" s="4" t="n"/>
      <c r="AP1184" s="4" t="n"/>
      <c r="AQ1184" s="4" t="n"/>
      <c r="AR1184" s="5">
        <f>IF(tblOrdenes[[#This Row],[link_checklist]]="","",HYPERLINK(p_ruta_base_checklists&amp;tblOrdenes[[#This Row],[link_checklist]],"abrir"))</f>
        <v/>
      </c>
      <c r="AS1184" s="4" t="n"/>
      <c r="AT1184" s="5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22" t="n"/>
      <c r="K1185" s="5" t="n"/>
      <c r="L1185" s="18" t="n"/>
      <c r="M1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5">
        <f>IF(tblOrdenes[[#This Row],[fecha_inicio]]="","",YEAR(tblOrdenes[[#This Row],[fecha_inicio]]))</f>
        <v/>
      </c>
      <c r="Q1185" s="5">
        <f>IF(tblOrdenes[[#This Row],[fecha_inicio]]="","",MONTH(tblOrdenes[[#This Row],[fecha_inicio]]))</f>
        <v/>
      </c>
      <c r="R1185" s="5">
        <f>IF(tblOrdenes[[#This Row],[fecha_inicio]]="","",tblOrdenes[[#This Row],[anio]]&amp;"-"&amp;TEXT(tblOrdenes[[#This Row],[mes]],"00"))</f>
        <v/>
      </c>
      <c r="S1185" s="5">
        <f>IF(tblOrdenes[[#This Row],[fecha_inicio]]="","",INDEX(lista_dias,WEEKDAY(tblOrdenes[[#This Row],[fecha_inicio]],2)))</f>
        <v/>
      </c>
      <c r="T1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5" s="5">
        <f>IF(tblOrdenes[[#This Row],[tipo_ot]]="","",_xlfn.XLOOKUP(tblOrdenes[[#This Row],[tipo_ot]],tblTiposOT[codigo],tblTiposOT[clasificacion],"sin_clasificar"))</f>
        <v/>
      </c>
      <c r="V11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5" s="5">
        <f>IF(tblOrdenes[[#This Row],[centro_costo]]="","",_xlfn.XLOOKUP(tblOrdenes[[#This Row],[centro_costo]],tblCECO[codigo],tblCECO[linea],"(sin catálogo)"))</f>
        <v/>
      </c>
      <c r="X1185" s="5">
        <f>IF(tblOrdenes[[#This Row],[centro_costo]]="","",_xlfn.XLOOKUP(tblOrdenes[[#This Row],[centro_costo]],tblCECO[codigo],tblCECO[area],"(sin catálogo)"))</f>
        <v/>
      </c>
      <c r="Y1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5" s="5">
        <f>IF(tblOrdenes[[#This Row],[centro_costo]]="","",_xlfn.XLOOKUP(tblOrdenes[[#This Row],[centro_costo]],tblCECO[codigo],tblCECO[coordinador],"(sin catálogo)"))</f>
        <v/>
      </c>
      <c r="AA1185" s="5">
        <f>IF(tblOrdenes[[#This Row],[puesto_trabajo]]="","",_xlfn.XLOOKUP(tblOrdenes[[#This Row],[puesto_trabajo]],tblPuestos[codigo],tblPuestos[especialidad],"(sin catálogo)"))</f>
        <v/>
      </c>
      <c r="AB1185" s="5">
        <f>IF(tblOrdenes[[#This Row],[cod_actividad]]="","",_xlfn.XLOOKUP(tblOrdenes[[#This Row],[cod_actividad]],tblActividades[codigo],tblActividades[descripcion],"(sin catálogo)"))</f>
        <v/>
      </c>
      <c r="AC1185" s="20">
        <f>IF(tblOrdenes[[#This Row],[fecha_inicio]]="","",TODAY()-tblOrdenes[[#This Row],[fecha_inicio]])</f>
        <v/>
      </c>
      <c r="AD118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5" s="5">
        <f>IF(tblOrdenes[[#This Row],[backlog_habiles]]="","",IF(tblOrdenes[[#This Row],[backlog_habiles]]&lt;0,"FUTURO",IF(tblOrdenes[[#This Row],[backlog_habiles]]&gt;p_dias_backlog_max,"BACKLOG","MES CORRIENTE")))</f>
        <v/>
      </c>
      <c r="AF1185" s="5">
        <f>IF(tblOrdenes[[#This Row],[backlog_habiles]]="",FALSE,AND(tblOrdenes[[#This Row],[backlog_habiles]]&gt;p_dias_backlog_min,tblOrdenes[[#This Row],[backlog_habiles]]&lt;=p_dias_backlog_max))</f>
        <v/>
      </c>
      <c r="AG1185" s="4" t="n"/>
      <c r="AH1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5" s="18">
        <f>IF(tblOrdenes[[#This Row],[orden]]="","",_xlfn.XLOOKUP(tblOrdenes[[#This Row],[id_operacion]],tblEjecucion[id_operacion],tblEjecucion[precio],0))</f>
        <v/>
      </c>
      <c r="AL1185" s="18">
        <f>IF(tblOrdenes[[#This Row],[orden]]="","",MAX(0,_xlfn.XLOOKUP(tblOrdenes[[#This Row],[id_operacion]],tblEjecucion[id_operacion],tblEjecucion[costo_plan_total],0)-tblOrdenes[[#This Row],[costo_servicio]]))</f>
        <v/>
      </c>
      <c r="AM1185" s="18">
        <f>IF(tblOrdenes[[#This Row],[orden]]="","",tblOrdenes[[#This Row],[costo_servicio]]+tblOrdenes[[#This Row],[costo_materiales]])</f>
        <v/>
      </c>
      <c r="AN1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5" s="4" t="n"/>
      <c r="AP1185" s="4" t="n"/>
      <c r="AQ1185" s="4" t="n"/>
      <c r="AR1185" s="5">
        <f>IF(tblOrdenes[[#This Row],[link_checklist]]="","",HYPERLINK(p_ruta_base_checklists&amp;tblOrdenes[[#This Row],[link_checklist]],"abrir"))</f>
        <v/>
      </c>
      <c r="AS1185" s="4" t="n"/>
      <c r="AT1185" s="5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22" t="n"/>
      <c r="K1186" s="5" t="n"/>
      <c r="L1186" s="18" t="n"/>
      <c r="M1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5">
        <f>IF(tblOrdenes[[#This Row],[fecha_inicio]]="","",YEAR(tblOrdenes[[#This Row],[fecha_inicio]]))</f>
        <v/>
      </c>
      <c r="Q1186" s="5">
        <f>IF(tblOrdenes[[#This Row],[fecha_inicio]]="","",MONTH(tblOrdenes[[#This Row],[fecha_inicio]]))</f>
        <v/>
      </c>
      <c r="R1186" s="5">
        <f>IF(tblOrdenes[[#This Row],[fecha_inicio]]="","",tblOrdenes[[#This Row],[anio]]&amp;"-"&amp;TEXT(tblOrdenes[[#This Row],[mes]],"00"))</f>
        <v/>
      </c>
      <c r="S1186" s="5">
        <f>IF(tblOrdenes[[#This Row],[fecha_inicio]]="","",INDEX(lista_dias,WEEKDAY(tblOrdenes[[#This Row],[fecha_inicio]],2)))</f>
        <v/>
      </c>
      <c r="T1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6" s="5">
        <f>IF(tblOrdenes[[#This Row],[tipo_ot]]="","",_xlfn.XLOOKUP(tblOrdenes[[#This Row],[tipo_ot]],tblTiposOT[codigo],tblTiposOT[clasificacion],"sin_clasificar"))</f>
        <v/>
      </c>
      <c r="V11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6" s="5">
        <f>IF(tblOrdenes[[#This Row],[centro_costo]]="","",_xlfn.XLOOKUP(tblOrdenes[[#This Row],[centro_costo]],tblCECO[codigo],tblCECO[linea],"(sin catálogo)"))</f>
        <v/>
      </c>
      <c r="X1186" s="5">
        <f>IF(tblOrdenes[[#This Row],[centro_costo]]="","",_xlfn.XLOOKUP(tblOrdenes[[#This Row],[centro_costo]],tblCECO[codigo],tblCECO[area],"(sin catálogo)"))</f>
        <v/>
      </c>
      <c r="Y1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6" s="5">
        <f>IF(tblOrdenes[[#This Row],[centro_costo]]="","",_xlfn.XLOOKUP(tblOrdenes[[#This Row],[centro_costo]],tblCECO[codigo],tblCECO[coordinador],"(sin catálogo)"))</f>
        <v/>
      </c>
      <c r="AA1186" s="5">
        <f>IF(tblOrdenes[[#This Row],[puesto_trabajo]]="","",_xlfn.XLOOKUP(tblOrdenes[[#This Row],[puesto_trabajo]],tblPuestos[codigo],tblPuestos[especialidad],"(sin catálogo)"))</f>
        <v/>
      </c>
      <c r="AB1186" s="5">
        <f>IF(tblOrdenes[[#This Row],[cod_actividad]]="","",_xlfn.XLOOKUP(tblOrdenes[[#This Row],[cod_actividad]],tblActividades[codigo],tblActividades[descripcion],"(sin catálogo)"))</f>
        <v/>
      </c>
      <c r="AC1186" s="20">
        <f>IF(tblOrdenes[[#This Row],[fecha_inicio]]="","",TODAY()-tblOrdenes[[#This Row],[fecha_inicio]])</f>
        <v/>
      </c>
      <c r="AD118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6" s="5">
        <f>IF(tblOrdenes[[#This Row],[backlog_habiles]]="","",IF(tblOrdenes[[#This Row],[backlog_habiles]]&lt;0,"FUTURO",IF(tblOrdenes[[#This Row],[backlog_habiles]]&gt;p_dias_backlog_max,"BACKLOG","MES CORRIENTE")))</f>
        <v/>
      </c>
      <c r="AF1186" s="5">
        <f>IF(tblOrdenes[[#This Row],[backlog_habiles]]="",FALSE,AND(tblOrdenes[[#This Row],[backlog_habiles]]&gt;p_dias_backlog_min,tblOrdenes[[#This Row],[backlog_habiles]]&lt;=p_dias_backlog_max))</f>
        <v/>
      </c>
      <c r="AG1186" s="4" t="n"/>
      <c r="AH1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6" s="18">
        <f>IF(tblOrdenes[[#This Row],[orden]]="","",_xlfn.XLOOKUP(tblOrdenes[[#This Row],[id_operacion]],tblEjecucion[id_operacion],tblEjecucion[precio],0))</f>
        <v/>
      </c>
      <c r="AL1186" s="18">
        <f>IF(tblOrdenes[[#This Row],[orden]]="","",MAX(0,_xlfn.XLOOKUP(tblOrdenes[[#This Row],[id_operacion]],tblEjecucion[id_operacion],tblEjecucion[costo_plan_total],0)-tblOrdenes[[#This Row],[costo_servicio]]))</f>
        <v/>
      </c>
      <c r="AM1186" s="18">
        <f>IF(tblOrdenes[[#This Row],[orden]]="","",tblOrdenes[[#This Row],[costo_servicio]]+tblOrdenes[[#This Row],[costo_materiales]])</f>
        <v/>
      </c>
      <c r="AN1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6" s="4" t="n"/>
      <c r="AP1186" s="4" t="n"/>
      <c r="AQ1186" s="4" t="n"/>
      <c r="AR1186" s="5">
        <f>IF(tblOrdenes[[#This Row],[link_checklist]]="","",HYPERLINK(p_ruta_base_checklists&amp;tblOrdenes[[#This Row],[link_checklist]],"abrir"))</f>
        <v/>
      </c>
      <c r="AS1186" s="4" t="n"/>
      <c r="AT1186" s="5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22" t="n"/>
      <c r="K1187" s="5" t="n"/>
      <c r="L1187" s="18" t="n"/>
      <c r="M1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5">
        <f>IF(tblOrdenes[[#This Row],[fecha_inicio]]="","",YEAR(tblOrdenes[[#This Row],[fecha_inicio]]))</f>
        <v/>
      </c>
      <c r="Q1187" s="5">
        <f>IF(tblOrdenes[[#This Row],[fecha_inicio]]="","",MONTH(tblOrdenes[[#This Row],[fecha_inicio]]))</f>
        <v/>
      </c>
      <c r="R1187" s="5">
        <f>IF(tblOrdenes[[#This Row],[fecha_inicio]]="","",tblOrdenes[[#This Row],[anio]]&amp;"-"&amp;TEXT(tblOrdenes[[#This Row],[mes]],"00"))</f>
        <v/>
      </c>
      <c r="S1187" s="5">
        <f>IF(tblOrdenes[[#This Row],[fecha_inicio]]="","",INDEX(lista_dias,WEEKDAY(tblOrdenes[[#This Row],[fecha_inicio]],2)))</f>
        <v/>
      </c>
      <c r="T1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7" s="5">
        <f>IF(tblOrdenes[[#This Row],[tipo_ot]]="","",_xlfn.XLOOKUP(tblOrdenes[[#This Row],[tipo_ot]],tblTiposOT[codigo],tblTiposOT[clasificacion],"sin_clasificar"))</f>
        <v/>
      </c>
      <c r="V11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7" s="5">
        <f>IF(tblOrdenes[[#This Row],[centro_costo]]="","",_xlfn.XLOOKUP(tblOrdenes[[#This Row],[centro_costo]],tblCECO[codigo],tblCECO[linea],"(sin catálogo)"))</f>
        <v/>
      </c>
      <c r="X1187" s="5">
        <f>IF(tblOrdenes[[#This Row],[centro_costo]]="","",_xlfn.XLOOKUP(tblOrdenes[[#This Row],[centro_costo]],tblCECO[codigo],tblCECO[area],"(sin catálogo)"))</f>
        <v/>
      </c>
      <c r="Y1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7" s="5">
        <f>IF(tblOrdenes[[#This Row],[centro_costo]]="","",_xlfn.XLOOKUP(tblOrdenes[[#This Row],[centro_costo]],tblCECO[codigo],tblCECO[coordinador],"(sin catálogo)"))</f>
        <v/>
      </c>
      <c r="AA1187" s="5">
        <f>IF(tblOrdenes[[#This Row],[puesto_trabajo]]="","",_xlfn.XLOOKUP(tblOrdenes[[#This Row],[puesto_trabajo]],tblPuestos[codigo],tblPuestos[especialidad],"(sin catálogo)"))</f>
        <v/>
      </c>
      <c r="AB1187" s="5">
        <f>IF(tblOrdenes[[#This Row],[cod_actividad]]="","",_xlfn.XLOOKUP(tblOrdenes[[#This Row],[cod_actividad]],tblActividades[codigo],tblActividades[descripcion],"(sin catálogo)"))</f>
        <v/>
      </c>
      <c r="AC1187" s="20">
        <f>IF(tblOrdenes[[#This Row],[fecha_inicio]]="","",TODAY()-tblOrdenes[[#This Row],[fecha_inicio]])</f>
        <v/>
      </c>
      <c r="AD118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7" s="5">
        <f>IF(tblOrdenes[[#This Row],[backlog_habiles]]="","",IF(tblOrdenes[[#This Row],[backlog_habiles]]&lt;0,"FUTURO",IF(tblOrdenes[[#This Row],[backlog_habiles]]&gt;p_dias_backlog_max,"BACKLOG","MES CORRIENTE")))</f>
        <v/>
      </c>
      <c r="AF1187" s="5">
        <f>IF(tblOrdenes[[#This Row],[backlog_habiles]]="",FALSE,AND(tblOrdenes[[#This Row],[backlog_habiles]]&gt;p_dias_backlog_min,tblOrdenes[[#This Row],[backlog_habiles]]&lt;=p_dias_backlog_max))</f>
        <v/>
      </c>
      <c r="AG1187" s="4" t="n"/>
      <c r="AH1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7" s="18">
        <f>IF(tblOrdenes[[#This Row],[orden]]="","",_xlfn.XLOOKUP(tblOrdenes[[#This Row],[id_operacion]],tblEjecucion[id_operacion],tblEjecucion[precio],0))</f>
        <v/>
      </c>
      <c r="AL1187" s="18">
        <f>IF(tblOrdenes[[#This Row],[orden]]="","",MAX(0,_xlfn.XLOOKUP(tblOrdenes[[#This Row],[id_operacion]],tblEjecucion[id_operacion],tblEjecucion[costo_plan_total],0)-tblOrdenes[[#This Row],[costo_servicio]]))</f>
        <v/>
      </c>
      <c r="AM1187" s="18">
        <f>IF(tblOrdenes[[#This Row],[orden]]="","",tblOrdenes[[#This Row],[costo_servicio]]+tblOrdenes[[#This Row],[costo_materiales]])</f>
        <v/>
      </c>
      <c r="AN1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7" s="4" t="n"/>
      <c r="AP1187" s="4" t="n"/>
      <c r="AQ1187" s="4" t="n"/>
      <c r="AR1187" s="5">
        <f>IF(tblOrdenes[[#This Row],[link_checklist]]="","",HYPERLINK(p_ruta_base_checklists&amp;tblOrdenes[[#This Row],[link_checklist]],"abrir"))</f>
        <v/>
      </c>
      <c r="AS1187" s="4" t="n"/>
      <c r="AT1187" s="5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22" t="n"/>
      <c r="K1188" s="5" t="n"/>
      <c r="L1188" s="18" t="n"/>
      <c r="M1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5">
        <f>IF(tblOrdenes[[#This Row],[fecha_inicio]]="","",YEAR(tblOrdenes[[#This Row],[fecha_inicio]]))</f>
        <v/>
      </c>
      <c r="Q1188" s="5">
        <f>IF(tblOrdenes[[#This Row],[fecha_inicio]]="","",MONTH(tblOrdenes[[#This Row],[fecha_inicio]]))</f>
        <v/>
      </c>
      <c r="R1188" s="5">
        <f>IF(tblOrdenes[[#This Row],[fecha_inicio]]="","",tblOrdenes[[#This Row],[anio]]&amp;"-"&amp;TEXT(tblOrdenes[[#This Row],[mes]],"00"))</f>
        <v/>
      </c>
      <c r="S1188" s="5">
        <f>IF(tblOrdenes[[#This Row],[fecha_inicio]]="","",INDEX(lista_dias,WEEKDAY(tblOrdenes[[#This Row],[fecha_inicio]],2)))</f>
        <v/>
      </c>
      <c r="T1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8" s="5">
        <f>IF(tblOrdenes[[#This Row],[tipo_ot]]="","",_xlfn.XLOOKUP(tblOrdenes[[#This Row],[tipo_ot]],tblTiposOT[codigo],tblTiposOT[clasificacion],"sin_clasificar"))</f>
        <v/>
      </c>
      <c r="V11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8" s="5">
        <f>IF(tblOrdenes[[#This Row],[centro_costo]]="","",_xlfn.XLOOKUP(tblOrdenes[[#This Row],[centro_costo]],tblCECO[codigo],tblCECO[linea],"(sin catálogo)"))</f>
        <v/>
      </c>
      <c r="X1188" s="5">
        <f>IF(tblOrdenes[[#This Row],[centro_costo]]="","",_xlfn.XLOOKUP(tblOrdenes[[#This Row],[centro_costo]],tblCECO[codigo],tblCECO[area],"(sin catálogo)"))</f>
        <v/>
      </c>
      <c r="Y1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8" s="5">
        <f>IF(tblOrdenes[[#This Row],[centro_costo]]="","",_xlfn.XLOOKUP(tblOrdenes[[#This Row],[centro_costo]],tblCECO[codigo],tblCECO[coordinador],"(sin catálogo)"))</f>
        <v/>
      </c>
      <c r="AA1188" s="5">
        <f>IF(tblOrdenes[[#This Row],[puesto_trabajo]]="","",_xlfn.XLOOKUP(tblOrdenes[[#This Row],[puesto_trabajo]],tblPuestos[codigo],tblPuestos[especialidad],"(sin catálogo)"))</f>
        <v/>
      </c>
      <c r="AB1188" s="5">
        <f>IF(tblOrdenes[[#This Row],[cod_actividad]]="","",_xlfn.XLOOKUP(tblOrdenes[[#This Row],[cod_actividad]],tblActividades[codigo],tblActividades[descripcion],"(sin catálogo)"))</f>
        <v/>
      </c>
      <c r="AC1188" s="20">
        <f>IF(tblOrdenes[[#This Row],[fecha_inicio]]="","",TODAY()-tblOrdenes[[#This Row],[fecha_inicio]])</f>
        <v/>
      </c>
      <c r="AD118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8" s="5">
        <f>IF(tblOrdenes[[#This Row],[backlog_habiles]]="","",IF(tblOrdenes[[#This Row],[backlog_habiles]]&lt;0,"FUTURO",IF(tblOrdenes[[#This Row],[backlog_habiles]]&gt;p_dias_backlog_max,"BACKLOG","MES CORRIENTE")))</f>
        <v/>
      </c>
      <c r="AF1188" s="5">
        <f>IF(tblOrdenes[[#This Row],[backlog_habiles]]="",FALSE,AND(tblOrdenes[[#This Row],[backlog_habiles]]&gt;p_dias_backlog_min,tblOrdenes[[#This Row],[backlog_habiles]]&lt;=p_dias_backlog_max))</f>
        <v/>
      </c>
      <c r="AG1188" s="4" t="n"/>
      <c r="AH1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8" s="18">
        <f>IF(tblOrdenes[[#This Row],[orden]]="","",_xlfn.XLOOKUP(tblOrdenes[[#This Row],[id_operacion]],tblEjecucion[id_operacion],tblEjecucion[precio],0))</f>
        <v/>
      </c>
      <c r="AL1188" s="18">
        <f>IF(tblOrdenes[[#This Row],[orden]]="","",MAX(0,_xlfn.XLOOKUP(tblOrdenes[[#This Row],[id_operacion]],tblEjecucion[id_operacion],tblEjecucion[costo_plan_total],0)-tblOrdenes[[#This Row],[costo_servicio]]))</f>
        <v/>
      </c>
      <c r="AM1188" s="18">
        <f>IF(tblOrdenes[[#This Row],[orden]]="","",tblOrdenes[[#This Row],[costo_servicio]]+tblOrdenes[[#This Row],[costo_materiales]])</f>
        <v/>
      </c>
      <c r="AN1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8" s="4" t="n"/>
      <c r="AP1188" s="4" t="n"/>
      <c r="AQ1188" s="4" t="n"/>
      <c r="AR1188" s="5">
        <f>IF(tblOrdenes[[#This Row],[link_checklist]]="","",HYPERLINK(p_ruta_base_checklists&amp;tblOrdenes[[#This Row],[link_checklist]],"abrir"))</f>
        <v/>
      </c>
      <c r="AS1188" s="4" t="n"/>
      <c r="AT1188" s="5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22" t="n"/>
      <c r="K1189" s="5" t="n"/>
      <c r="L1189" s="18" t="n"/>
      <c r="M1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5">
        <f>IF(tblOrdenes[[#This Row],[fecha_inicio]]="","",YEAR(tblOrdenes[[#This Row],[fecha_inicio]]))</f>
        <v/>
      </c>
      <c r="Q1189" s="5">
        <f>IF(tblOrdenes[[#This Row],[fecha_inicio]]="","",MONTH(tblOrdenes[[#This Row],[fecha_inicio]]))</f>
        <v/>
      </c>
      <c r="R1189" s="5">
        <f>IF(tblOrdenes[[#This Row],[fecha_inicio]]="","",tblOrdenes[[#This Row],[anio]]&amp;"-"&amp;TEXT(tblOrdenes[[#This Row],[mes]],"00"))</f>
        <v/>
      </c>
      <c r="S1189" s="5">
        <f>IF(tblOrdenes[[#This Row],[fecha_inicio]]="","",INDEX(lista_dias,WEEKDAY(tblOrdenes[[#This Row],[fecha_inicio]],2)))</f>
        <v/>
      </c>
      <c r="T1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9" s="5">
        <f>IF(tblOrdenes[[#This Row],[tipo_ot]]="","",_xlfn.XLOOKUP(tblOrdenes[[#This Row],[tipo_ot]],tblTiposOT[codigo],tblTiposOT[clasificacion],"sin_clasificar"))</f>
        <v/>
      </c>
      <c r="V11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9" s="5">
        <f>IF(tblOrdenes[[#This Row],[centro_costo]]="","",_xlfn.XLOOKUP(tblOrdenes[[#This Row],[centro_costo]],tblCECO[codigo],tblCECO[linea],"(sin catálogo)"))</f>
        <v/>
      </c>
      <c r="X1189" s="5">
        <f>IF(tblOrdenes[[#This Row],[centro_costo]]="","",_xlfn.XLOOKUP(tblOrdenes[[#This Row],[centro_costo]],tblCECO[codigo],tblCECO[area],"(sin catálogo)"))</f>
        <v/>
      </c>
      <c r="Y1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89" s="5">
        <f>IF(tblOrdenes[[#This Row],[centro_costo]]="","",_xlfn.XLOOKUP(tblOrdenes[[#This Row],[centro_costo]],tblCECO[codigo],tblCECO[coordinador],"(sin catálogo)"))</f>
        <v/>
      </c>
      <c r="AA1189" s="5">
        <f>IF(tblOrdenes[[#This Row],[puesto_trabajo]]="","",_xlfn.XLOOKUP(tblOrdenes[[#This Row],[puesto_trabajo]],tblPuestos[codigo],tblPuestos[especialidad],"(sin catálogo)"))</f>
        <v/>
      </c>
      <c r="AB1189" s="5">
        <f>IF(tblOrdenes[[#This Row],[cod_actividad]]="","",_xlfn.XLOOKUP(tblOrdenes[[#This Row],[cod_actividad]],tblActividades[codigo],tblActividades[descripcion],"(sin catálogo)"))</f>
        <v/>
      </c>
      <c r="AC1189" s="20">
        <f>IF(tblOrdenes[[#This Row],[fecha_inicio]]="","",TODAY()-tblOrdenes[[#This Row],[fecha_inicio]])</f>
        <v/>
      </c>
      <c r="AD118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89" s="5">
        <f>IF(tblOrdenes[[#This Row],[backlog_habiles]]="","",IF(tblOrdenes[[#This Row],[backlog_habiles]]&lt;0,"FUTURO",IF(tblOrdenes[[#This Row],[backlog_habiles]]&gt;p_dias_backlog_max,"BACKLOG","MES CORRIENTE")))</f>
        <v/>
      </c>
      <c r="AF1189" s="5">
        <f>IF(tblOrdenes[[#This Row],[backlog_habiles]]="",FALSE,AND(tblOrdenes[[#This Row],[backlog_habiles]]&gt;p_dias_backlog_min,tblOrdenes[[#This Row],[backlog_habiles]]&lt;=p_dias_backlog_max))</f>
        <v/>
      </c>
      <c r="AG1189" s="4" t="n"/>
      <c r="AH1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8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8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89" s="18">
        <f>IF(tblOrdenes[[#This Row],[orden]]="","",_xlfn.XLOOKUP(tblOrdenes[[#This Row],[id_operacion]],tblEjecucion[id_operacion],tblEjecucion[precio],0))</f>
        <v/>
      </c>
      <c r="AL1189" s="18">
        <f>IF(tblOrdenes[[#This Row],[orden]]="","",MAX(0,_xlfn.XLOOKUP(tblOrdenes[[#This Row],[id_operacion]],tblEjecucion[id_operacion],tblEjecucion[costo_plan_total],0)-tblOrdenes[[#This Row],[costo_servicio]]))</f>
        <v/>
      </c>
      <c r="AM1189" s="18">
        <f>IF(tblOrdenes[[#This Row],[orden]]="","",tblOrdenes[[#This Row],[costo_servicio]]+tblOrdenes[[#This Row],[costo_materiales]])</f>
        <v/>
      </c>
      <c r="AN1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89" s="4" t="n"/>
      <c r="AP1189" s="4" t="n"/>
      <c r="AQ1189" s="4" t="n"/>
      <c r="AR1189" s="5">
        <f>IF(tblOrdenes[[#This Row],[link_checklist]]="","",HYPERLINK(p_ruta_base_checklists&amp;tblOrdenes[[#This Row],[link_checklist]],"abrir"))</f>
        <v/>
      </c>
      <c r="AS1189" s="4" t="n"/>
      <c r="AT1189" s="5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22" t="n"/>
      <c r="K1190" s="5" t="n"/>
      <c r="L1190" s="18" t="n"/>
      <c r="M1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5">
        <f>IF(tblOrdenes[[#This Row],[fecha_inicio]]="","",YEAR(tblOrdenes[[#This Row],[fecha_inicio]]))</f>
        <v/>
      </c>
      <c r="Q1190" s="5">
        <f>IF(tblOrdenes[[#This Row],[fecha_inicio]]="","",MONTH(tblOrdenes[[#This Row],[fecha_inicio]]))</f>
        <v/>
      </c>
      <c r="R1190" s="5">
        <f>IF(tblOrdenes[[#This Row],[fecha_inicio]]="","",tblOrdenes[[#This Row],[anio]]&amp;"-"&amp;TEXT(tblOrdenes[[#This Row],[mes]],"00"))</f>
        <v/>
      </c>
      <c r="S1190" s="5">
        <f>IF(tblOrdenes[[#This Row],[fecha_inicio]]="","",INDEX(lista_dias,WEEKDAY(tblOrdenes[[#This Row],[fecha_inicio]],2)))</f>
        <v/>
      </c>
      <c r="T1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0" s="5">
        <f>IF(tblOrdenes[[#This Row],[tipo_ot]]="","",_xlfn.XLOOKUP(tblOrdenes[[#This Row],[tipo_ot]],tblTiposOT[codigo],tblTiposOT[clasificacion],"sin_clasificar"))</f>
        <v/>
      </c>
      <c r="V11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0" s="5">
        <f>IF(tblOrdenes[[#This Row],[centro_costo]]="","",_xlfn.XLOOKUP(tblOrdenes[[#This Row],[centro_costo]],tblCECO[codigo],tblCECO[linea],"(sin catálogo)"))</f>
        <v/>
      </c>
      <c r="X1190" s="5">
        <f>IF(tblOrdenes[[#This Row],[centro_costo]]="","",_xlfn.XLOOKUP(tblOrdenes[[#This Row],[centro_costo]],tblCECO[codigo],tblCECO[area],"(sin catálogo)"))</f>
        <v/>
      </c>
      <c r="Y1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0" s="5">
        <f>IF(tblOrdenes[[#This Row],[centro_costo]]="","",_xlfn.XLOOKUP(tblOrdenes[[#This Row],[centro_costo]],tblCECO[codigo],tblCECO[coordinador],"(sin catálogo)"))</f>
        <v/>
      </c>
      <c r="AA1190" s="5">
        <f>IF(tblOrdenes[[#This Row],[puesto_trabajo]]="","",_xlfn.XLOOKUP(tblOrdenes[[#This Row],[puesto_trabajo]],tblPuestos[codigo],tblPuestos[especialidad],"(sin catálogo)"))</f>
        <v/>
      </c>
      <c r="AB1190" s="5">
        <f>IF(tblOrdenes[[#This Row],[cod_actividad]]="","",_xlfn.XLOOKUP(tblOrdenes[[#This Row],[cod_actividad]],tblActividades[codigo],tblActividades[descripcion],"(sin catálogo)"))</f>
        <v/>
      </c>
      <c r="AC1190" s="20">
        <f>IF(tblOrdenes[[#This Row],[fecha_inicio]]="","",TODAY()-tblOrdenes[[#This Row],[fecha_inicio]])</f>
        <v/>
      </c>
      <c r="AD119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0" s="5">
        <f>IF(tblOrdenes[[#This Row],[backlog_habiles]]="","",IF(tblOrdenes[[#This Row],[backlog_habiles]]&lt;0,"FUTURO",IF(tblOrdenes[[#This Row],[backlog_habiles]]&gt;p_dias_backlog_max,"BACKLOG","MES CORRIENTE")))</f>
        <v/>
      </c>
      <c r="AF1190" s="5">
        <f>IF(tblOrdenes[[#This Row],[backlog_habiles]]="",FALSE,AND(tblOrdenes[[#This Row],[backlog_habiles]]&gt;p_dias_backlog_min,tblOrdenes[[#This Row],[backlog_habiles]]&lt;=p_dias_backlog_max))</f>
        <v/>
      </c>
      <c r="AG1190" s="4" t="n"/>
      <c r="AH1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0" s="18">
        <f>IF(tblOrdenes[[#This Row],[orden]]="","",_xlfn.XLOOKUP(tblOrdenes[[#This Row],[id_operacion]],tblEjecucion[id_operacion],tblEjecucion[precio],0))</f>
        <v/>
      </c>
      <c r="AL1190" s="18">
        <f>IF(tblOrdenes[[#This Row],[orden]]="","",MAX(0,_xlfn.XLOOKUP(tblOrdenes[[#This Row],[id_operacion]],tblEjecucion[id_operacion],tblEjecucion[costo_plan_total],0)-tblOrdenes[[#This Row],[costo_servicio]]))</f>
        <v/>
      </c>
      <c r="AM1190" s="18">
        <f>IF(tblOrdenes[[#This Row],[orden]]="","",tblOrdenes[[#This Row],[costo_servicio]]+tblOrdenes[[#This Row],[costo_materiales]])</f>
        <v/>
      </c>
      <c r="AN1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0" s="4" t="n"/>
      <c r="AP1190" s="4" t="n"/>
      <c r="AQ1190" s="4" t="n"/>
      <c r="AR1190" s="5">
        <f>IF(tblOrdenes[[#This Row],[link_checklist]]="","",HYPERLINK(p_ruta_base_checklists&amp;tblOrdenes[[#This Row],[link_checklist]],"abrir"))</f>
        <v/>
      </c>
      <c r="AS1190" s="4" t="n"/>
      <c r="AT1190" s="5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22" t="n"/>
      <c r="K1191" s="5" t="n"/>
      <c r="L1191" s="18" t="n"/>
      <c r="M1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5">
        <f>IF(tblOrdenes[[#This Row],[fecha_inicio]]="","",YEAR(tblOrdenes[[#This Row],[fecha_inicio]]))</f>
        <v/>
      </c>
      <c r="Q1191" s="5">
        <f>IF(tblOrdenes[[#This Row],[fecha_inicio]]="","",MONTH(tblOrdenes[[#This Row],[fecha_inicio]]))</f>
        <v/>
      </c>
      <c r="R1191" s="5">
        <f>IF(tblOrdenes[[#This Row],[fecha_inicio]]="","",tblOrdenes[[#This Row],[anio]]&amp;"-"&amp;TEXT(tblOrdenes[[#This Row],[mes]],"00"))</f>
        <v/>
      </c>
      <c r="S1191" s="5">
        <f>IF(tblOrdenes[[#This Row],[fecha_inicio]]="","",INDEX(lista_dias,WEEKDAY(tblOrdenes[[#This Row],[fecha_inicio]],2)))</f>
        <v/>
      </c>
      <c r="T1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1" s="5">
        <f>IF(tblOrdenes[[#This Row],[tipo_ot]]="","",_xlfn.XLOOKUP(tblOrdenes[[#This Row],[tipo_ot]],tblTiposOT[codigo],tblTiposOT[clasificacion],"sin_clasificar"))</f>
        <v/>
      </c>
      <c r="V11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1" s="5">
        <f>IF(tblOrdenes[[#This Row],[centro_costo]]="","",_xlfn.XLOOKUP(tblOrdenes[[#This Row],[centro_costo]],tblCECO[codigo],tblCECO[linea],"(sin catálogo)"))</f>
        <v/>
      </c>
      <c r="X1191" s="5">
        <f>IF(tblOrdenes[[#This Row],[centro_costo]]="","",_xlfn.XLOOKUP(tblOrdenes[[#This Row],[centro_costo]],tblCECO[codigo],tblCECO[area],"(sin catálogo)"))</f>
        <v/>
      </c>
      <c r="Y1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1" s="5">
        <f>IF(tblOrdenes[[#This Row],[centro_costo]]="","",_xlfn.XLOOKUP(tblOrdenes[[#This Row],[centro_costo]],tblCECO[codigo],tblCECO[coordinador],"(sin catálogo)"))</f>
        <v/>
      </c>
      <c r="AA1191" s="5">
        <f>IF(tblOrdenes[[#This Row],[puesto_trabajo]]="","",_xlfn.XLOOKUP(tblOrdenes[[#This Row],[puesto_trabajo]],tblPuestos[codigo],tblPuestos[especialidad],"(sin catálogo)"))</f>
        <v/>
      </c>
      <c r="AB1191" s="5">
        <f>IF(tblOrdenes[[#This Row],[cod_actividad]]="","",_xlfn.XLOOKUP(tblOrdenes[[#This Row],[cod_actividad]],tblActividades[codigo],tblActividades[descripcion],"(sin catálogo)"))</f>
        <v/>
      </c>
      <c r="AC1191" s="20">
        <f>IF(tblOrdenes[[#This Row],[fecha_inicio]]="","",TODAY()-tblOrdenes[[#This Row],[fecha_inicio]])</f>
        <v/>
      </c>
      <c r="AD119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1" s="5">
        <f>IF(tblOrdenes[[#This Row],[backlog_habiles]]="","",IF(tblOrdenes[[#This Row],[backlog_habiles]]&lt;0,"FUTURO",IF(tblOrdenes[[#This Row],[backlog_habiles]]&gt;p_dias_backlog_max,"BACKLOG","MES CORRIENTE")))</f>
        <v/>
      </c>
      <c r="AF1191" s="5">
        <f>IF(tblOrdenes[[#This Row],[backlog_habiles]]="",FALSE,AND(tblOrdenes[[#This Row],[backlog_habiles]]&gt;p_dias_backlog_min,tblOrdenes[[#This Row],[backlog_habiles]]&lt;=p_dias_backlog_max))</f>
        <v/>
      </c>
      <c r="AG1191" s="4" t="n"/>
      <c r="AH1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1" s="18">
        <f>IF(tblOrdenes[[#This Row],[orden]]="","",_xlfn.XLOOKUP(tblOrdenes[[#This Row],[id_operacion]],tblEjecucion[id_operacion],tblEjecucion[precio],0))</f>
        <v/>
      </c>
      <c r="AL1191" s="18">
        <f>IF(tblOrdenes[[#This Row],[orden]]="","",MAX(0,_xlfn.XLOOKUP(tblOrdenes[[#This Row],[id_operacion]],tblEjecucion[id_operacion],tblEjecucion[costo_plan_total],0)-tblOrdenes[[#This Row],[costo_servicio]]))</f>
        <v/>
      </c>
      <c r="AM1191" s="18">
        <f>IF(tblOrdenes[[#This Row],[orden]]="","",tblOrdenes[[#This Row],[costo_servicio]]+tblOrdenes[[#This Row],[costo_materiales]])</f>
        <v/>
      </c>
      <c r="AN1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1" s="4" t="n"/>
      <c r="AP1191" s="4" t="n"/>
      <c r="AQ1191" s="4" t="n"/>
      <c r="AR1191" s="5">
        <f>IF(tblOrdenes[[#This Row],[link_checklist]]="","",HYPERLINK(p_ruta_base_checklists&amp;tblOrdenes[[#This Row],[link_checklist]],"abrir"))</f>
        <v/>
      </c>
      <c r="AS1191" s="4" t="n"/>
      <c r="AT1191" s="5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22" t="n"/>
      <c r="K1192" s="5" t="n"/>
      <c r="L1192" s="18" t="n"/>
      <c r="M1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5">
        <f>IF(tblOrdenes[[#This Row],[fecha_inicio]]="","",YEAR(tblOrdenes[[#This Row],[fecha_inicio]]))</f>
        <v/>
      </c>
      <c r="Q1192" s="5">
        <f>IF(tblOrdenes[[#This Row],[fecha_inicio]]="","",MONTH(tblOrdenes[[#This Row],[fecha_inicio]]))</f>
        <v/>
      </c>
      <c r="R1192" s="5">
        <f>IF(tblOrdenes[[#This Row],[fecha_inicio]]="","",tblOrdenes[[#This Row],[anio]]&amp;"-"&amp;TEXT(tblOrdenes[[#This Row],[mes]],"00"))</f>
        <v/>
      </c>
      <c r="S1192" s="5">
        <f>IF(tblOrdenes[[#This Row],[fecha_inicio]]="","",INDEX(lista_dias,WEEKDAY(tblOrdenes[[#This Row],[fecha_inicio]],2)))</f>
        <v/>
      </c>
      <c r="T1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2" s="5">
        <f>IF(tblOrdenes[[#This Row],[tipo_ot]]="","",_xlfn.XLOOKUP(tblOrdenes[[#This Row],[tipo_ot]],tblTiposOT[codigo],tblTiposOT[clasificacion],"sin_clasificar"))</f>
        <v/>
      </c>
      <c r="V11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2" s="5">
        <f>IF(tblOrdenes[[#This Row],[centro_costo]]="","",_xlfn.XLOOKUP(tblOrdenes[[#This Row],[centro_costo]],tblCECO[codigo],tblCECO[linea],"(sin catálogo)"))</f>
        <v/>
      </c>
      <c r="X1192" s="5">
        <f>IF(tblOrdenes[[#This Row],[centro_costo]]="","",_xlfn.XLOOKUP(tblOrdenes[[#This Row],[centro_costo]],tblCECO[codigo],tblCECO[area],"(sin catálogo)"))</f>
        <v/>
      </c>
      <c r="Y1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2" s="5">
        <f>IF(tblOrdenes[[#This Row],[centro_costo]]="","",_xlfn.XLOOKUP(tblOrdenes[[#This Row],[centro_costo]],tblCECO[codigo],tblCECO[coordinador],"(sin catálogo)"))</f>
        <v/>
      </c>
      <c r="AA1192" s="5">
        <f>IF(tblOrdenes[[#This Row],[puesto_trabajo]]="","",_xlfn.XLOOKUP(tblOrdenes[[#This Row],[puesto_trabajo]],tblPuestos[codigo],tblPuestos[especialidad],"(sin catálogo)"))</f>
        <v/>
      </c>
      <c r="AB1192" s="5">
        <f>IF(tblOrdenes[[#This Row],[cod_actividad]]="","",_xlfn.XLOOKUP(tblOrdenes[[#This Row],[cod_actividad]],tblActividades[codigo],tblActividades[descripcion],"(sin catálogo)"))</f>
        <v/>
      </c>
      <c r="AC1192" s="20">
        <f>IF(tblOrdenes[[#This Row],[fecha_inicio]]="","",TODAY()-tblOrdenes[[#This Row],[fecha_inicio]])</f>
        <v/>
      </c>
      <c r="AD119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2" s="5">
        <f>IF(tblOrdenes[[#This Row],[backlog_habiles]]="","",IF(tblOrdenes[[#This Row],[backlog_habiles]]&lt;0,"FUTURO",IF(tblOrdenes[[#This Row],[backlog_habiles]]&gt;p_dias_backlog_max,"BACKLOG","MES CORRIENTE")))</f>
        <v/>
      </c>
      <c r="AF1192" s="5">
        <f>IF(tblOrdenes[[#This Row],[backlog_habiles]]="",FALSE,AND(tblOrdenes[[#This Row],[backlog_habiles]]&gt;p_dias_backlog_min,tblOrdenes[[#This Row],[backlog_habiles]]&lt;=p_dias_backlog_max))</f>
        <v/>
      </c>
      <c r="AG1192" s="4" t="n"/>
      <c r="AH1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2" s="18">
        <f>IF(tblOrdenes[[#This Row],[orden]]="","",_xlfn.XLOOKUP(tblOrdenes[[#This Row],[id_operacion]],tblEjecucion[id_operacion],tblEjecucion[precio],0))</f>
        <v/>
      </c>
      <c r="AL1192" s="18">
        <f>IF(tblOrdenes[[#This Row],[orden]]="","",MAX(0,_xlfn.XLOOKUP(tblOrdenes[[#This Row],[id_operacion]],tblEjecucion[id_operacion],tblEjecucion[costo_plan_total],0)-tblOrdenes[[#This Row],[costo_servicio]]))</f>
        <v/>
      </c>
      <c r="AM1192" s="18">
        <f>IF(tblOrdenes[[#This Row],[orden]]="","",tblOrdenes[[#This Row],[costo_servicio]]+tblOrdenes[[#This Row],[costo_materiales]])</f>
        <v/>
      </c>
      <c r="AN1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2" s="4" t="n"/>
      <c r="AP1192" s="4" t="n"/>
      <c r="AQ1192" s="4" t="n"/>
      <c r="AR1192" s="5">
        <f>IF(tblOrdenes[[#This Row],[link_checklist]]="","",HYPERLINK(p_ruta_base_checklists&amp;tblOrdenes[[#This Row],[link_checklist]],"abrir"))</f>
        <v/>
      </c>
      <c r="AS1192" s="4" t="n"/>
      <c r="AT1192" s="5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22" t="n"/>
      <c r="K1193" s="5" t="n"/>
      <c r="L1193" s="18" t="n"/>
      <c r="M1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5">
        <f>IF(tblOrdenes[[#This Row],[fecha_inicio]]="","",YEAR(tblOrdenes[[#This Row],[fecha_inicio]]))</f>
        <v/>
      </c>
      <c r="Q1193" s="5">
        <f>IF(tblOrdenes[[#This Row],[fecha_inicio]]="","",MONTH(tblOrdenes[[#This Row],[fecha_inicio]]))</f>
        <v/>
      </c>
      <c r="R1193" s="5">
        <f>IF(tblOrdenes[[#This Row],[fecha_inicio]]="","",tblOrdenes[[#This Row],[anio]]&amp;"-"&amp;TEXT(tblOrdenes[[#This Row],[mes]],"00"))</f>
        <v/>
      </c>
      <c r="S1193" s="5">
        <f>IF(tblOrdenes[[#This Row],[fecha_inicio]]="","",INDEX(lista_dias,WEEKDAY(tblOrdenes[[#This Row],[fecha_inicio]],2)))</f>
        <v/>
      </c>
      <c r="T1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3" s="5">
        <f>IF(tblOrdenes[[#This Row],[tipo_ot]]="","",_xlfn.XLOOKUP(tblOrdenes[[#This Row],[tipo_ot]],tblTiposOT[codigo],tblTiposOT[clasificacion],"sin_clasificar"))</f>
        <v/>
      </c>
      <c r="V11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3" s="5">
        <f>IF(tblOrdenes[[#This Row],[centro_costo]]="","",_xlfn.XLOOKUP(tblOrdenes[[#This Row],[centro_costo]],tblCECO[codigo],tblCECO[linea],"(sin catálogo)"))</f>
        <v/>
      </c>
      <c r="X1193" s="5">
        <f>IF(tblOrdenes[[#This Row],[centro_costo]]="","",_xlfn.XLOOKUP(tblOrdenes[[#This Row],[centro_costo]],tblCECO[codigo],tblCECO[area],"(sin catálogo)"))</f>
        <v/>
      </c>
      <c r="Y1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3" s="5">
        <f>IF(tblOrdenes[[#This Row],[centro_costo]]="","",_xlfn.XLOOKUP(tblOrdenes[[#This Row],[centro_costo]],tblCECO[codigo],tblCECO[coordinador],"(sin catálogo)"))</f>
        <v/>
      </c>
      <c r="AA1193" s="5">
        <f>IF(tblOrdenes[[#This Row],[puesto_trabajo]]="","",_xlfn.XLOOKUP(tblOrdenes[[#This Row],[puesto_trabajo]],tblPuestos[codigo],tblPuestos[especialidad],"(sin catálogo)"))</f>
        <v/>
      </c>
      <c r="AB1193" s="5">
        <f>IF(tblOrdenes[[#This Row],[cod_actividad]]="","",_xlfn.XLOOKUP(tblOrdenes[[#This Row],[cod_actividad]],tblActividades[codigo],tblActividades[descripcion],"(sin catálogo)"))</f>
        <v/>
      </c>
      <c r="AC1193" s="20">
        <f>IF(tblOrdenes[[#This Row],[fecha_inicio]]="","",TODAY()-tblOrdenes[[#This Row],[fecha_inicio]])</f>
        <v/>
      </c>
      <c r="AD119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3" s="5">
        <f>IF(tblOrdenes[[#This Row],[backlog_habiles]]="","",IF(tblOrdenes[[#This Row],[backlog_habiles]]&lt;0,"FUTURO",IF(tblOrdenes[[#This Row],[backlog_habiles]]&gt;p_dias_backlog_max,"BACKLOG","MES CORRIENTE")))</f>
        <v/>
      </c>
      <c r="AF1193" s="5">
        <f>IF(tblOrdenes[[#This Row],[backlog_habiles]]="",FALSE,AND(tblOrdenes[[#This Row],[backlog_habiles]]&gt;p_dias_backlog_min,tblOrdenes[[#This Row],[backlog_habiles]]&lt;=p_dias_backlog_max))</f>
        <v/>
      </c>
      <c r="AG1193" s="4" t="n"/>
      <c r="AH1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3" s="18">
        <f>IF(tblOrdenes[[#This Row],[orden]]="","",_xlfn.XLOOKUP(tblOrdenes[[#This Row],[id_operacion]],tblEjecucion[id_operacion],tblEjecucion[precio],0))</f>
        <v/>
      </c>
      <c r="AL1193" s="18">
        <f>IF(tblOrdenes[[#This Row],[orden]]="","",MAX(0,_xlfn.XLOOKUP(tblOrdenes[[#This Row],[id_operacion]],tblEjecucion[id_operacion],tblEjecucion[costo_plan_total],0)-tblOrdenes[[#This Row],[costo_servicio]]))</f>
        <v/>
      </c>
      <c r="AM1193" s="18">
        <f>IF(tblOrdenes[[#This Row],[orden]]="","",tblOrdenes[[#This Row],[costo_servicio]]+tblOrdenes[[#This Row],[costo_materiales]])</f>
        <v/>
      </c>
      <c r="AN1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3" s="4" t="n"/>
      <c r="AP1193" s="4" t="n"/>
      <c r="AQ1193" s="4" t="n"/>
      <c r="AR1193" s="5">
        <f>IF(tblOrdenes[[#This Row],[link_checklist]]="","",HYPERLINK(p_ruta_base_checklists&amp;tblOrdenes[[#This Row],[link_checklist]],"abrir"))</f>
        <v/>
      </c>
      <c r="AS1193" s="4" t="n"/>
      <c r="AT1193" s="5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22" t="n"/>
      <c r="K1194" s="5" t="n"/>
      <c r="L1194" s="18" t="n"/>
      <c r="M1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5">
        <f>IF(tblOrdenes[[#This Row],[fecha_inicio]]="","",YEAR(tblOrdenes[[#This Row],[fecha_inicio]]))</f>
        <v/>
      </c>
      <c r="Q1194" s="5">
        <f>IF(tblOrdenes[[#This Row],[fecha_inicio]]="","",MONTH(tblOrdenes[[#This Row],[fecha_inicio]]))</f>
        <v/>
      </c>
      <c r="R1194" s="5">
        <f>IF(tblOrdenes[[#This Row],[fecha_inicio]]="","",tblOrdenes[[#This Row],[anio]]&amp;"-"&amp;TEXT(tblOrdenes[[#This Row],[mes]],"00"))</f>
        <v/>
      </c>
      <c r="S1194" s="5">
        <f>IF(tblOrdenes[[#This Row],[fecha_inicio]]="","",INDEX(lista_dias,WEEKDAY(tblOrdenes[[#This Row],[fecha_inicio]],2)))</f>
        <v/>
      </c>
      <c r="T1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4" s="5">
        <f>IF(tblOrdenes[[#This Row],[tipo_ot]]="","",_xlfn.XLOOKUP(tblOrdenes[[#This Row],[tipo_ot]],tblTiposOT[codigo],tblTiposOT[clasificacion],"sin_clasificar"))</f>
        <v/>
      </c>
      <c r="V11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4" s="5">
        <f>IF(tblOrdenes[[#This Row],[centro_costo]]="","",_xlfn.XLOOKUP(tblOrdenes[[#This Row],[centro_costo]],tblCECO[codigo],tblCECO[linea],"(sin catálogo)"))</f>
        <v/>
      </c>
      <c r="X1194" s="5">
        <f>IF(tblOrdenes[[#This Row],[centro_costo]]="","",_xlfn.XLOOKUP(tblOrdenes[[#This Row],[centro_costo]],tblCECO[codigo],tblCECO[area],"(sin catálogo)"))</f>
        <v/>
      </c>
      <c r="Y1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4" s="5">
        <f>IF(tblOrdenes[[#This Row],[centro_costo]]="","",_xlfn.XLOOKUP(tblOrdenes[[#This Row],[centro_costo]],tblCECO[codigo],tblCECO[coordinador],"(sin catálogo)"))</f>
        <v/>
      </c>
      <c r="AA1194" s="5">
        <f>IF(tblOrdenes[[#This Row],[puesto_trabajo]]="","",_xlfn.XLOOKUP(tblOrdenes[[#This Row],[puesto_trabajo]],tblPuestos[codigo],tblPuestos[especialidad],"(sin catálogo)"))</f>
        <v/>
      </c>
      <c r="AB1194" s="5">
        <f>IF(tblOrdenes[[#This Row],[cod_actividad]]="","",_xlfn.XLOOKUP(tblOrdenes[[#This Row],[cod_actividad]],tblActividades[codigo],tblActividades[descripcion],"(sin catálogo)"))</f>
        <v/>
      </c>
      <c r="AC1194" s="20">
        <f>IF(tblOrdenes[[#This Row],[fecha_inicio]]="","",TODAY()-tblOrdenes[[#This Row],[fecha_inicio]])</f>
        <v/>
      </c>
      <c r="AD1194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4" s="5">
        <f>IF(tblOrdenes[[#This Row],[backlog_habiles]]="","",IF(tblOrdenes[[#This Row],[backlog_habiles]]&lt;0,"FUTURO",IF(tblOrdenes[[#This Row],[backlog_habiles]]&gt;p_dias_backlog_max,"BACKLOG","MES CORRIENTE")))</f>
        <v/>
      </c>
      <c r="AF1194" s="5">
        <f>IF(tblOrdenes[[#This Row],[backlog_habiles]]="",FALSE,AND(tblOrdenes[[#This Row],[backlog_habiles]]&gt;p_dias_backlog_min,tblOrdenes[[#This Row],[backlog_habiles]]&lt;=p_dias_backlog_max))</f>
        <v/>
      </c>
      <c r="AG1194" s="4" t="n"/>
      <c r="AH1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4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4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4" s="18">
        <f>IF(tblOrdenes[[#This Row],[orden]]="","",_xlfn.XLOOKUP(tblOrdenes[[#This Row],[id_operacion]],tblEjecucion[id_operacion],tblEjecucion[precio],0))</f>
        <v/>
      </c>
      <c r="AL1194" s="18">
        <f>IF(tblOrdenes[[#This Row],[orden]]="","",MAX(0,_xlfn.XLOOKUP(tblOrdenes[[#This Row],[id_operacion]],tblEjecucion[id_operacion],tblEjecucion[costo_plan_total],0)-tblOrdenes[[#This Row],[costo_servicio]]))</f>
        <v/>
      </c>
      <c r="AM1194" s="18">
        <f>IF(tblOrdenes[[#This Row],[orden]]="","",tblOrdenes[[#This Row],[costo_servicio]]+tblOrdenes[[#This Row],[costo_materiales]])</f>
        <v/>
      </c>
      <c r="AN1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4" s="4" t="n"/>
      <c r="AP1194" s="4" t="n"/>
      <c r="AQ1194" s="4" t="n"/>
      <c r="AR1194" s="5">
        <f>IF(tblOrdenes[[#This Row],[link_checklist]]="","",HYPERLINK(p_ruta_base_checklists&amp;tblOrdenes[[#This Row],[link_checklist]],"abrir"))</f>
        <v/>
      </c>
      <c r="AS1194" s="4" t="n"/>
      <c r="AT1194" s="5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22" t="n"/>
      <c r="K1195" s="5" t="n"/>
      <c r="L1195" s="18" t="n"/>
      <c r="M1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5">
        <f>IF(tblOrdenes[[#This Row],[fecha_inicio]]="","",YEAR(tblOrdenes[[#This Row],[fecha_inicio]]))</f>
        <v/>
      </c>
      <c r="Q1195" s="5">
        <f>IF(tblOrdenes[[#This Row],[fecha_inicio]]="","",MONTH(tblOrdenes[[#This Row],[fecha_inicio]]))</f>
        <v/>
      </c>
      <c r="R1195" s="5">
        <f>IF(tblOrdenes[[#This Row],[fecha_inicio]]="","",tblOrdenes[[#This Row],[anio]]&amp;"-"&amp;TEXT(tblOrdenes[[#This Row],[mes]],"00"))</f>
        <v/>
      </c>
      <c r="S1195" s="5">
        <f>IF(tblOrdenes[[#This Row],[fecha_inicio]]="","",INDEX(lista_dias,WEEKDAY(tblOrdenes[[#This Row],[fecha_inicio]],2)))</f>
        <v/>
      </c>
      <c r="T1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5" s="5">
        <f>IF(tblOrdenes[[#This Row],[tipo_ot]]="","",_xlfn.XLOOKUP(tblOrdenes[[#This Row],[tipo_ot]],tblTiposOT[codigo],tblTiposOT[clasificacion],"sin_clasificar"))</f>
        <v/>
      </c>
      <c r="V11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5" s="5">
        <f>IF(tblOrdenes[[#This Row],[centro_costo]]="","",_xlfn.XLOOKUP(tblOrdenes[[#This Row],[centro_costo]],tblCECO[codigo],tblCECO[linea],"(sin catálogo)"))</f>
        <v/>
      </c>
      <c r="X1195" s="5">
        <f>IF(tblOrdenes[[#This Row],[centro_costo]]="","",_xlfn.XLOOKUP(tblOrdenes[[#This Row],[centro_costo]],tblCECO[codigo],tblCECO[area],"(sin catálogo)"))</f>
        <v/>
      </c>
      <c r="Y1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5" s="5">
        <f>IF(tblOrdenes[[#This Row],[centro_costo]]="","",_xlfn.XLOOKUP(tblOrdenes[[#This Row],[centro_costo]],tblCECO[codigo],tblCECO[coordinador],"(sin catálogo)"))</f>
        <v/>
      </c>
      <c r="AA1195" s="5">
        <f>IF(tblOrdenes[[#This Row],[puesto_trabajo]]="","",_xlfn.XLOOKUP(tblOrdenes[[#This Row],[puesto_trabajo]],tblPuestos[codigo],tblPuestos[especialidad],"(sin catálogo)"))</f>
        <v/>
      </c>
      <c r="AB1195" s="5">
        <f>IF(tblOrdenes[[#This Row],[cod_actividad]]="","",_xlfn.XLOOKUP(tblOrdenes[[#This Row],[cod_actividad]],tblActividades[codigo],tblActividades[descripcion],"(sin catálogo)"))</f>
        <v/>
      </c>
      <c r="AC1195" s="20">
        <f>IF(tblOrdenes[[#This Row],[fecha_inicio]]="","",TODAY()-tblOrdenes[[#This Row],[fecha_inicio]])</f>
        <v/>
      </c>
      <c r="AD1195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5" s="5">
        <f>IF(tblOrdenes[[#This Row],[backlog_habiles]]="","",IF(tblOrdenes[[#This Row],[backlog_habiles]]&lt;0,"FUTURO",IF(tblOrdenes[[#This Row],[backlog_habiles]]&gt;p_dias_backlog_max,"BACKLOG","MES CORRIENTE")))</f>
        <v/>
      </c>
      <c r="AF1195" s="5">
        <f>IF(tblOrdenes[[#This Row],[backlog_habiles]]="",FALSE,AND(tblOrdenes[[#This Row],[backlog_habiles]]&gt;p_dias_backlog_min,tblOrdenes[[#This Row],[backlog_habiles]]&lt;=p_dias_backlog_max))</f>
        <v/>
      </c>
      <c r="AG1195" s="4" t="n"/>
      <c r="AH1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5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5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5" s="18">
        <f>IF(tblOrdenes[[#This Row],[orden]]="","",_xlfn.XLOOKUP(tblOrdenes[[#This Row],[id_operacion]],tblEjecucion[id_operacion],tblEjecucion[precio],0))</f>
        <v/>
      </c>
      <c r="AL1195" s="18">
        <f>IF(tblOrdenes[[#This Row],[orden]]="","",MAX(0,_xlfn.XLOOKUP(tblOrdenes[[#This Row],[id_operacion]],tblEjecucion[id_operacion],tblEjecucion[costo_plan_total],0)-tblOrdenes[[#This Row],[costo_servicio]]))</f>
        <v/>
      </c>
      <c r="AM1195" s="18">
        <f>IF(tblOrdenes[[#This Row],[orden]]="","",tblOrdenes[[#This Row],[costo_servicio]]+tblOrdenes[[#This Row],[costo_materiales]])</f>
        <v/>
      </c>
      <c r="AN1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5" s="4" t="n"/>
      <c r="AP1195" s="4" t="n"/>
      <c r="AQ1195" s="4" t="n"/>
      <c r="AR1195" s="5">
        <f>IF(tblOrdenes[[#This Row],[link_checklist]]="","",HYPERLINK(p_ruta_base_checklists&amp;tblOrdenes[[#This Row],[link_checklist]],"abrir"))</f>
        <v/>
      </c>
      <c r="AS1195" s="4" t="n"/>
      <c r="AT1195" s="5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22" t="n"/>
      <c r="K1196" s="5" t="n"/>
      <c r="L1196" s="18" t="n"/>
      <c r="M1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5">
        <f>IF(tblOrdenes[[#This Row],[fecha_inicio]]="","",YEAR(tblOrdenes[[#This Row],[fecha_inicio]]))</f>
        <v/>
      </c>
      <c r="Q1196" s="5">
        <f>IF(tblOrdenes[[#This Row],[fecha_inicio]]="","",MONTH(tblOrdenes[[#This Row],[fecha_inicio]]))</f>
        <v/>
      </c>
      <c r="R1196" s="5">
        <f>IF(tblOrdenes[[#This Row],[fecha_inicio]]="","",tblOrdenes[[#This Row],[anio]]&amp;"-"&amp;TEXT(tblOrdenes[[#This Row],[mes]],"00"))</f>
        <v/>
      </c>
      <c r="S1196" s="5">
        <f>IF(tblOrdenes[[#This Row],[fecha_inicio]]="","",INDEX(lista_dias,WEEKDAY(tblOrdenes[[#This Row],[fecha_inicio]],2)))</f>
        <v/>
      </c>
      <c r="T1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6" s="5">
        <f>IF(tblOrdenes[[#This Row],[tipo_ot]]="","",_xlfn.XLOOKUP(tblOrdenes[[#This Row],[tipo_ot]],tblTiposOT[codigo],tblTiposOT[clasificacion],"sin_clasificar"))</f>
        <v/>
      </c>
      <c r="V11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6" s="5">
        <f>IF(tblOrdenes[[#This Row],[centro_costo]]="","",_xlfn.XLOOKUP(tblOrdenes[[#This Row],[centro_costo]],tblCECO[codigo],tblCECO[linea],"(sin catálogo)"))</f>
        <v/>
      </c>
      <c r="X1196" s="5">
        <f>IF(tblOrdenes[[#This Row],[centro_costo]]="","",_xlfn.XLOOKUP(tblOrdenes[[#This Row],[centro_costo]],tblCECO[codigo],tblCECO[area],"(sin catálogo)"))</f>
        <v/>
      </c>
      <c r="Y1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6" s="5">
        <f>IF(tblOrdenes[[#This Row],[centro_costo]]="","",_xlfn.XLOOKUP(tblOrdenes[[#This Row],[centro_costo]],tblCECO[codigo],tblCECO[coordinador],"(sin catálogo)"))</f>
        <v/>
      </c>
      <c r="AA1196" s="5">
        <f>IF(tblOrdenes[[#This Row],[puesto_trabajo]]="","",_xlfn.XLOOKUP(tblOrdenes[[#This Row],[puesto_trabajo]],tblPuestos[codigo],tblPuestos[especialidad],"(sin catálogo)"))</f>
        <v/>
      </c>
      <c r="AB1196" s="5">
        <f>IF(tblOrdenes[[#This Row],[cod_actividad]]="","",_xlfn.XLOOKUP(tblOrdenes[[#This Row],[cod_actividad]],tblActividades[codigo],tblActividades[descripcion],"(sin catálogo)"))</f>
        <v/>
      </c>
      <c r="AC1196" s="20">
        <f>IF(tblOrdenes[[#This Row],[fecha_inicio]]="","",TODAY()-tblOrdenes[[#This Row],[fecha_inicio]])</f>
        <v/>
      </c>
      <c r="AD1196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6" s="5">
        <f>IF(tblOrdenes[[#This Row],[backlog_habiles]]="","",IF(tblOrdenes[[#This Row],[backlog_habiles]]&lt;0,"FUTURO",IF(tblOrdenes[[#This Row],[backlog_habiles]]&gt;p_dias_backlog_max,"BACKLOG","MES CORRIENTE")))</f>
        <v/>
      </c>
      <c r="AF1196" s="5">
        <f>IF(tblOrdenes[[#This Row],[backlog_habiles]]="",FALSE,AND(tblOrdenes[[#This Row],[backlog_habiles]]&gt;p_dias_backlog_min,tblOrdenes[[#This Row],[backlog_habiles]]&lt;=p_dias_backlog_max))</f>
        <v/>
      </c>
      <c r="AG1196" s="4" t="n"/>
      <c r="AH1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6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6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6" s="18">
        <f>IF(tblOrdenes[[#This Row],[orden]]="","",_xlfn.XLOOKUP(tblOrdenes[[#This Row],[id_operacion]],tblEjecucion[id_operacion],tblEjecucion[precio],0))</f>
        <v/>
      </c>
      <c r="AL1196" s="18">
        <f>IF(tblOrdenes[[#This Row],[orden]]="","",MAX(0,_xlfn.XLOOKUP(tblOrdenes[[#This Row],[id_operacion]],tblEjecucion[id_operacion],tblEjecucion[costo_plan_total],0)-tblOrdenes[[#This Row],[costo_servicio]]))</f>
        <v/>
      </c>
      <c r="AM1196" s="18">
        <f>IF(tblOrdenes[[#This Row],[orden]]="","",tblOrdenes[[#This Row],[costo_servicio]]+tblOrdenes[[#This Row],[costo_materiales]])</f>
        <v/>
      </c>
      <c r="AN1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6" s="4" t="n"/>
      <c r="AP1196" s="4" t="n"/>
      <c r="AQ1196" s="4" t="n"/>
      <c r="AR1196" s="5">
        <f>IF(tblOrdenes[[#This Row],[link_checklist]]="","",HYPERLINK(p_ruta_base_checklists&amp;tblOrdenes[[#This Row],[link_checklist]],"abrir"))</f>
        <v/>
      </c>
      <c r="AS1196" s="4" t="n"/>
      <c r="AT1196" s="5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22" t="n"/>
      <c r="K1197" s="5" t="n"/>
      <c r="L1197" s="18" t="n"/>
      <c r="M1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5">
        <f>IF(tblOrdenes[[#This Row],[fecha_inicio]]="","",YEAR(tblOrdenes[[#This Row],[fecha_inicio]]))</f>
        <v/>
      </c>
      <c r="Q1197" s="5">
        <f>IF(tblOrdenes[[#This Row],[fecha_inicio]]="","",MONTH(tblOrdenes[[#This Row],[fecha_inicio]]))</f>
        <v/>
      </c>
      <c r="R1197" s="5">
        <f>IF(tblOrdenes[[#This Row],[fecha_inicio]]="","",tblOrdenes[[#This Row],[anio]]&amp;"-"&amp;TEXT(tblOrdenes[[#This Row],[mes]],"00"))</f>
        <v/>
      </c>
      <c r="S1197" s="5">
        <f>IF(tblOrdenes[[#This Row],[fecha_inicio]]="","",INDEX(lista_dias,WEEKDAY(tblOrdenes[[#This Row],[fecha_inicio]],2)))</f>
        <v/>
      </c>
      <c r="T1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7" s="5">
        <f>IF(tblOrdenes[[#This Row],[tipo_ot]]="","",_xlfn.XLOOKUP(tblOrdenes[[#This Row],[tipo_ot]],tblTiposOT[codigo],tblTiposOT[clasificacion],"sin_clasificar"))</f>
        <v/>
      </c>
      <c r="V11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7" s="5">
        <f>IF(tblOrdenes[[#This Row],[centro_costo]]="","",_xlfn.XLOOKUP(tblOrdenes[[#This Row],[centro_costo]],tblCECO[codigo],tblCECO[linea],"(sin catálogo)"))</f>
        <v/>
      </c>
      <c r="X1197" s="5">
        <f>IF(tblOrdenes[[#This Row],[centro_costo]]="","",_xlfn.XLOOKUP(tblOrdenes[[#This Row],[centro_costo]],tblCECO[codigo],tblCECO[area],"(sin catálogo)"))</f>
        <v/>
      </c>
      <c r="Y1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7" s="5">
        <f>IF(tblOrdenes[[#This Row],[centro_costo]]="","",_xlfn.XLOOKUP(tblOrdenes[[#This Row],[centro_costo]],tblCECO[codigo],tblCECO[coordinador],"(sin catálogo)"))</f>
        <v/>
      </c>
      <c r="AA1197" s="5">
        <f>IF(tblOrdenes[[#This Row],[puesto_trabajo]]="","",_xlfn.XLOOKUP(tblOrdenes[[#This Row],[puesto_trabajo]],tblPuestos[codigo],tblPuestos[especialidad],"(sin catálogo)"))</f>
        <v/>
      </c>
      <c r="AB1197" s="5">
        <f>IF(tblOrdenes[[#This Row],[cod_actividad]]="","",_xlfn.XLOOKUP(tblOrdenes[[#This Row],[cod_actividad]],tblActividades[codigo],tblActividades[descripcion],"(sin catálogo)"))</f>
        <v/>
      </c>
      <c r="AC1197" s="20">
        <f>IF(tblOrdenes[[#This Row],[fecha_inicio]]="","",TODAY()-tblOrdenes[[#This Row],[fecha_inicio]])</f>
        <v/>
      </c>
      <c r="AD1197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7" s="5">
        <f>IF(tblOrdenes[[#This Row],[backlog_habiles]]="","",IF(tblOrdenes[[#This Row],[backlog_habiles]]&lt;0,"FUTURO",IF(tblOrdenes[[#This Row],[backlog_habiles]]&gt;p_dias_backlog_max,"BACKLOG","MES CORRIENTE")))</f>
        <v/>
      </c>
      <c r="AF1197" s="5">
        <f>IF(tblOrdenes[[#This Row],[backlog_habiles]]="",FALSE,AND(tblOrdenes[[#This Row],[backlog_habiles]]&gt;p_dias_backlog_min,tblOrdenes[[#This Row],[backlog_habiles]]&lt;=p_dias_backlog_max))</f>
        <v/>
      </c>
      <c r="AG1197" s="4" t="n"/>
      <c r="AH1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7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7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7" s="18">
        <f>IF(tblOrdenes[[#This Row],[orden]]="","",_xlfn.XLOOKUP(tblOrdenes[[#This Row],[id_operacion]],tblEjecucion[id_operacion],tblEjecucion[precio],0))</f>
        <v/>
      </c>
      <c r="AL1197" s="18">
        <f>IF(tblOrdenes[[#This Row],[orden]]="","",MAX(0,_xlfn.XLOOKUP(tblOrdenes[[#This Row],[id_operacion]],tblEjecucion[id_operacion],tblEjecucion[costo_plan_total],0)-tblOrdenes[[#This Row],[costo_servicio]]))</f>
        <v/>
      </c>
      <c r="AM1197" s="18">
        <f>IF(tblOrdenes[[#This Row],[orden]]="","",tblOrdenes[[#This Row],[costo_servicio]]+tblOrdenes[[#This Row],[costo_materiales]])</f>
        <v/>
      </c>
      <c r="AN1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7" s="4" t="n"/>
      <c r="AP1197" s="4" t="n"/>
      <c r="AQ1197" s="4" t="n"/>
      <c r="AR1197" s="5">
        <f>IF(tblOrdenes[[#This Row],[link_checklist]]="","",HYPERLINK(p_ruta_base_checklists&amp;tblOrdenes[[#This Row],[link_checklist]],"abrir"))</f>
        <v/>
      </c>
      <c r="AS1197" s="4" t="n"/>
      <c r="AT1197" s="5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22" t="n"/>
      <c r="K1198" s="5" t="n"/>
      <c r="L1198" s="18" t="n"/>
      <c r="M1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5">
        <f>IF(tblOrdenes[[#This Row],[fecha_inicio]]="","",YEAR(tblOrdenes[[#This Row],[fecha_inicio]]))</f>
        <v/>
      </c>
      <c r="Q1198" s="5">
        <f>IF(tblOrdenes[[#This Row],[fecha_inicio]]="","",MONTH(tblOrdenes[[#This Row],[fecha_inicio]]))</f>
        <v/>
      </c>
      <c r="R1198" s="5">
        <f>IF(tblOrdenes[[#This Row],[fecha_inicio]]="","",tblOrdenes[[#This Row],[anio]]&amp;"-"&amp;TEXT(tblOrdenes[[#This Row],[mes]],"00"))</f>
        <v/>
      </c>
      <c r="S1198" s="5">
        <f>IF(tblOrdenes[[#This Row],[fecha_inicio]]="","",INDEX(lista_dias,WEEKDAY(tblOrdenes[[#This Row],[fecha_inicio]],2)))</f>
        <v/>
      </c>
      <c r="T1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8" s="5">
        <f>IF(tblOrdenes[[#This Row],[tipo_ot]]="","",_xlfn.XLOOKUP(tblOrdenes[[#This Row],[tipo_ot]],tblTiposOT[codigo],tblTiposOT[clasificacion],"sin_clasificar"))</f>
        <v/>
      </c>
      <c r="V11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8" s="5">
        <f>IF(tblOrdenes[[#This Row],[centro_costo]]="","",_xlfn.XLOOKUP(tblOrdenes[[#This Row],[centro_costo]],tblCECO[codigo],tblCECO[linea],"(sin catálogo)"))</f>
        <v/>
      </c>
      <c r="X1198" s="5">
        <f>IF(tblOrdenes[[#This Row],[centro_costo]]="","",_xlfn.XLOOKUP(tblOrdenes[[#This Row],[centro_costo]],tblCECO[codigo],tblCECO[area],"(sin catálogo)"))</f>
        <v/>
      </c>
      <c r="Y1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8" s="5">
        <f>IF(tblOrdenes[[#This Row],[centro_costo]]="","",_xlfn.XLOOKUP(tblOrdenes[[#This Row],[centro_costo]],tblCECO[codigo],tblCECO[coordinador],"(sin catálogo)"))</f>
        <v/>
      </c>
      <c r="AA1198" s="5">
        <f>IF(tblOrdenes[[#This Row],[puesto_trabajo]]="","",_xlfn.XLOOKUP(tblOrdenes[[#This Row],[puesto_trabajo]],tblPuestos[codigo],tblPuestos[especialidad],"(sin catálogo)"))</f>
        <v/>
      </c>
      <c r="AB1198" s="5">
        <f>IF(tblOrdenes[[#This Row],[cod_actividad]]="","",_xlfn.XLOOKUP(tblOrdenes[[#This Row],[cod_actividad]],tblActividades[codigo],tblActividades[descripcion],"(sin catálogo)"))</f>
        <v/>
      </c>
      <c r="AC1198" s="20">
        <f>IF(tblOrdenes[[#This Row],[fecha_inicio]]="","",TODAY()-tblOrdenes[[#This Row],[fecha_inicio]])</f>
        <v/>
      </c>
      <c r="AD1198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8" s="5">
        <f>IF(tblOrdenes[[#This Row],[backlog_habiles]]="","",IF(tblOrdenes[[#This Row],[backlog_habiles]]&lt;0,"FUTURO",IF(tblOrdenes[[#This Row],[backlog_habiles]]&gt;p_dias_backlog_max,"BACKLOG","MES CORRIENTE")))</f>
        <v/>
      </c>
      <c r="AF1198" s="5">
        <f>IF(tblOrdenes[[#This Row],[backlog_habiles]]="",FALSE,AND(tblOrdenes[[#This Row],[backlog_habiles]]&gt;p_dias_backlog_min,tblOrdenes[[#This Row],[backlog_habiles]]&lt;=p_dias_backlog_max))</f>
        <v/>
      </c>
      <c r="AG1198" s="4" t="n"/>
      <c r="AH1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8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8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8" s="18">
        <f>IF(tblOrdenes[[#This Row],[orden]]="","",_xlfn.XLOOKUP(tblOrdenes[[#This Row],[id_operacion]],tblEjecucion[id_operacion],tblEjecucion[precio],0))</f>
        <v/>
      </c>
      <c r="AL1198" s="18">
        <f>IF(tblOrdenes[[#This Row],[orden]]="","",MAX(0,_xlfn.XLOOKUP(tblOrdenes[[#This Row],[id_operacion]],tblEjecucion[id_operacion],tblEjecucion[costo_plan_total],0)-tblOrdenes[[#This Row],[costo_servicio]]))</f>
        <v/>
      </c>
      <c r="AM1198" s="18">
        <f>IF(tblOrdenes[[#This Row],[orden]]="","",tblOrdenes[[#This Row],[costo_servicio]]+tblOrdenes[[#This Row],[costo_materiales]])</f>
        <v/>
      </c>
      <c r="AN1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8" s="4" t="n"/>
      <c r="AP1198" s="4" t="n"/>
      <c r="AQ1198" s="4" t="n"/>
      <c r="AR1198" s="5">
        <f>IF(tblOrdenes[[#This Row],[link_checklist]]="","",HYPERLINK(p_ruta_base_checklists&amp;tblOrdenes[[#This Row],[link_checklist]],"abrir"))</f>
        <v/>
      </c>
      <c r="AS1198" s="4" t="n"/>
      <c r="AT1198" s="5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22" t="n"/>
      <c r="K1199" s="5" t="n"/>
      <c r="L1199" s="18" t="n"/>
      <c r="M1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5">
        <f>IF(tblOrdenes[[#This Row],[fecha_inicio]]="","",YEAR(tblOrdenes[[#This Row],[fecha_inicio]]))</f>
        <v/>
      </c>
      <c r="Q1199" s="5">
        <f>IF(tblOrdenes[[#This Row],[fecha_inicio]]="","",MONTH(tblOrdenes[[#This Row],[fecha_inicio]]))</f>
        <v/>
      </c>
      <c r="R1199" s="5">
        <f>IF(tblOrdenes[[#This Row],[fecha_inicio]]="","",tblOrdenes[[#This Row],[anio]]&amp;"-"&amp;TEXT(tblOrdenes[[#This Row],[mes]],"00"))</f>
        <v/>
      </c>
      <c r="S1199" s="5">
        <f>IF(tblOrdenes[[#This Row],[fecha_inicio]]="","",INDEX(lista_dias,WEEKDAY(tblOrdenes[[#This Row],[fecha_inicio]],2)))</f>
        <v/>
      </c>
      <c r="T1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9" s="5">
        <f>IF(tblOrdenes[[#This Row],[tipo_ot]]="","",_xlfn.XLOOKUP(tblOrdenes[[#This Row],[tipo_ot]],tblTiposOT[codigo],tblTiposOT[clasificacion],"sin_clasificar"))</f>
        <v/>
      </c>
      <c r="V11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9" s="5">
        <f>IF(tblOrdenes[[#This Row],[centro_costo]]="","",_xlfn.XLOOKUP(tblOrdenes[[#This Row],[centro_costo]],tblCECO[codigo],tblCECO[linea],"(sin catálogo)"))</f>
        <v/>
      </c>
      <c r="X1199" s="5">
        <f>IF(tblOrdenes[[#This Row],[centro_costo]]="","",_xlfn.XLOOKUP(tblOrdenes[[#This Row],[centro_costo]],tblCECO[codigo],tblCECO[area],"(sin catálogo)"))</f>
        <v/>
      </c>
      <c r="Y1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199" s="5">
        <f>IF(tblOrdenes[[#This Row],[centro_costo]]="","",_xlfn.XLOOKUP(tblOrdenes[[#This Row],[centro_costo]],tblCECO[codigo],tblCECO[coordinador],"(sin catálogo)"))</f>
        <v/>
      </c>
      <c r="AA1199" s="5">
        <f>IF(tblOrdenes[[#This Row],[puesto_trabajo]]="","",_xlfn.XLOOKUP(tblOrdenes[[#This Row],[puesto_trabajo]],tblPuestos[codigo],tblPuestos[especialidad],"(sin catálogo)"))</f>
        <v/>
      </c>
      <c r="AB1199" s="5">
        <f>IF(tblOrdenes[[#This Row],[cod_actividad]]="","",_xlfn.XLOOKUP(tblOrdenes[[#This Row],[cod_actividad]],tblActividades[codigo],tblActividades[descripcion],"(sin catálogo)"))</f>
        <v/>
      </c>
      <c r="AC1199" s="20">
        <f>IF(tblOrdenes[[#This Row],[fecha_inicio]]="","",TODAY()-tblOrdenes[[#This Row],[fecha_inicio]])</f>
        <v/>
      </c>
      <c r="AD1199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199" s="5">
        <f>IF(tblOrdenes[[#This Row],[backlog_habiles]]="","",IF(tblOrdenes[[#This Row],[backlog_habiles]]&lt;0,"FUTURO",IF(tblOrdenes[[#This Row],[backlog_habiles]]&gt;p_dias_backlog_max,"BACKLOG","MES CORRIENTE")))</f>
        <v/>
      </c>
      <c r="AF1199" s="5">
        <f>IF(tblOrdenes[[#This Row],[backlog_habiles]]="",FALSE,AND(tblOrdenes[[#This Row],[backlog_habiles]]&gt;p_dias_backlog_min,tblOrdenes[[#This Row],[backlog_habiles]]&lt;=p_dias_backlog_max))</f>
        <v/>
      </c>
      <c r="AG1199" s="4" t="n"/>
      <c r="AH1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199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199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199" s="18">
        <f>IF(tblOrdenes[[#This Row],[orden]]="","",_xlfn.XLOOKUP(tblOrdenes[[#This Row],[id_operacion]],tblEjecucion[id_operacion],tblEjecucion[precio],0))</f>
        <v/>
      </c>
      <c r="AL1199" s="18">
        <f>IF(tblOrdenes[[#This Row],[orden]]="","",MAX(0,_xlfn.XLOOKUP(tblOrdenes[[#This Row],[id_operacion]],tblEjecucion[id_operacion],tblEjecucion[costo_plan_total],0)-tblOrdenes[[#This Row],[costo_servicio]]))</f>
        <v/>
      </c>
      <c r="AM1199" s="18">
        <f>IF(tblOrdenes[[#This Row],[orden]]="","",tblOrdenes[[#This Row],[costo_servicio]]+tblOrdenes[[#This Row],[costo_materiales]])</f>
        <v/>
      </c>
      <c r="AN1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199" s="4" t="n"/>
      <c r="AP1199" s="4" t="n"/>
      <c r="AQ1199" s="4" t="n"/>
      <c r="AR1199" s="5">
        <f>IF(tblOrdenes[[#This Row],[link_checklist]]="","",HYPERLINK(p_ruta_base_checklists&amp;tblOrdenes[[#This Row],[link_checklist]],"abrir"))</f>
        <v/>
      </c>
      <c r="AS1199" s="4" t="n"/>
      <c r="AT1199" s="5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22" t="n"/>
      <c r="K1200" s="5" t="n"/>
      <c r="L1200" s="18" t="n"/>
      <c r="M1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5">
        <f>IF(tblOrdenes[[#This Row],[fecha_inicio]]="","",YEAR(tblOrdenes[[#This Row],[fecha_inicio]]))</f>
        <v/>
      </c>
      <c r="Q1200" s="5">
        <f>IF(tblOrdenes[[#This Row],[fecha_inicio]]="","",MONTH(tblOrdenes[[#This Row],[fecha_inicio]]))</f>
        <v/>
      </c>
      <c r="R1200" s="5">
        <f>IF(tblOrdenes[[#This Row],[fecha_inicio]]="","",tblOrdenes[[#This Row],[anio]]&amp;"-"&amp;TEXT(tblOrdenes[[#This Row],[mes]],"00"))</f>
        <v/>
      </c>
      <c r="S1200" s="5">
        <f>IF(tblOrdenes[[#This Row],[fecha_inicio]]="","",INDEX(lista_dias,WEEKDAY(tblOrdenes[[#This Row],[fecha_inicio]],2)))</f>
        <v/>
      </c>
      <c r="T1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0" s="5">
        <f>IF(tblOrdenes[[#This Row],[tipo_ot]]="","",_xlfn.XLOOKUP(tblOrdenes[[#This Row],[tipo_ot]],tblTiposOT[codigo],tblTiposOT[clasificacion],"sin_clasificar"))</f>
        <v/>
      </c>
      <c r="V12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0" s="5">
        <f>IF(tblOrdenes[[#This Row],[centro_costo]]="","",_xlfn.XLOOKUP(tblOrdenes[[#This Row],[centro_costo]],tblCECO[codigo],tblCECO[linea],"(sin catálogo)"))</f>
        <v/>
      </c>
      <c r="X1200" s="5">
        <f>IF(tblOrdenes[[#This Row],[centro_costo]]="","",_xlfn.XLOOKUP(tblOrdenes[[#This Row],[centro_costo]],tblCECO[codigo],tblCECO[area],"(sin catálogo)"))</f>
        <v/>
      </c>
      <c r="Y1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00" s="5">
        <f>IF(tblOrdenes[[#This Row],[centro_costo]]="","",_xlfn.XLOOKUP(tblOrdenes[[#This Row],[centro_costo]],tblCECO[codigo],tblCECO[coordinador],"(sin catálogo)"))</f>
        <v/>
      </c>
      <c r="AA1200" s="5">
        <f>IF(tblOrdenes[[#This Row],[puesto_trabajo]]="","",_xlfn.XLOOKUP(tblOrdenes[[#This Row],[puesto_trabajo]],tblPuestos[codigo],tblPuestos[especialidad],"(sin catálogo)"))</f>
        <v/>
      </c>
      <c r="AB1200" s="5">
        <f>IF(tblOrdenes[[#This Row],[cod_actividad]]="","",_xlfn.XLOOKUP(tblOrdenes[[#This Row],[cod_actividad]],tblActividades[codigo],tblActividades[descripcion],"(sin catálogo)"))</f>
        <v/>
      </c>
      <c r="AC1200" s="20">
        <f>IF(tblOrdenes[[#This Row],[fecha_inicio]]="","",TODAY()-tblOrdenes[[#This Row],[fecha_inicio]])</f>
        <v/>
      </c>
      <c r="AD1200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00" s="5">
        <f>IF(tblOrdenes[[#This Row],[backlog_habiles]]="","",IF(tblOrdenes[[#This Row],[backlog_habiles]]&lt;0,"FUTURO",IF(tblOrdenes[[#This Row],[backlog_habiles]]&gt;p_dias_backlog_max,"BACKLOG","MES CORRIENTE")))</f>
        <v/>
      </c>
      <c r="AF1200" s="5">
        <f>IF(tblOrdenes[[#This Row],[backlog_habiles]]="",FALSE,AND(tblOrdenes[[#This Row],[backlog_habiles]]&gt;p_dias_backlog_min,tblOrdenes[[#This Row],[backlog_habiles]]&lt;=p_dias_backlog_max))</f>
        <v/>
      </c>
      <c r="AG1200" s="4" t="n"/>
      <c r="AH1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00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00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00" s="18">
        <f>IF(tblOrdenes[[#This Row],[orden]]="","",_xlfn.XLOOKUP(tblOrdenes[[#This Row],[id_operacion]],tblEjecucion[id_operacion],tblEjecucion[precio],0))</f>
        <v/>
      </c>
      <c r="AL1200" s="18">
        <f>IF(tblOrdenes[[#This Row],[orden]]="","",MAX(0,_xlfn.XLOOKUP(tblOrdenes[[#This Row],[id_operacion]],tblEjecucion[id_operacion],tblEjecucion[costo_plan_total],0)-tblOrdenes[[#This Row],[costo_servicio]]))</f>
        <v/>
      </c>
      <c r="AM1200" s="18">
        <f>IF(tblOrdenes[[#This Row],[orden]]="","",tblOrdenes[[#This Row],[costo_servicio]]+tblOrdenes[[#This Row],[costo_materiales]])</f>
        <v/>
      </c>
      <c r="AN1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00" s="4" t="n"/>
      <c r="AP1200" s="4" t="n"/>
      <c r="AQ1200" s="4" t="n"/>
      <c r="AR1200" s="5">
        <f>IF(tblOrdenes[[#This Row],[link_checklist]]="","",HYPERLINK(p_ruta_base_checklists&amp;tblOrdenes[[#This Row],[link_checklist]],"abrir"))</f>
        <v/>
      </c>
      <c r="AS1200" s="4" t="n"/>
      <c r="AT1200" s="5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22" t="n"/>
      <c r="K1201" s="5" t="n"/>
      <c r="L1201" s="18" t="n"/>
      <c r="M1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5">
        <f>IF(tblOrdenes[[#This Row],[fecha_inicio]]="","",YEAR(tblOrdenes[[#This Row],[fecha_inicio]]))</f>
        <v/>
      </c>
      <c r="Q1201" s="5">
        <f>IF(tblOrdenes[[#This Row],[fecha_inicio]]="","",MONTH(tblOrdenes[[#This Row],[fecha_inicio]]))</f>
        <v/>
      </c>
      <c r="R1201" s="5">
        <f>IF(tblOrdenes[[#This Row],[fecha_inicio]]="","",tblOrdenes[[#This Row],[anio]]&amp;"-"&amp;TEXT(tblOrdenes[[#This Row],[mes]],"00"))</f>
        <v/>
      </c>
      <c r="S1201" s="5">
        <f>IF(tblOrdenes[[#This Row],[fecha_inicio]]="","",INDEX(lista_dias,WEEKDAY(tblOrdenes[[#This Row],[fecha_inicio]],2)))</f>
        <v/>
      </c>
      <c r="T1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1" s="5">
        <f>IF(tblOrdenes[[#This Row],[tipo_ot]]="","",_xlfn.XLOOKUP(tblOrdenes[[#This Row],[tipo_ot]],tblTiposOT[codigo],tblTiposOT[clasificacion],"sin_clasificar"))</f>
        <v/>
      </c>
      <c r="V12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1" s="5">
        <f>IF(tblOrdenes[[#This Row],[centro_costo]]="","",_xlfn.XLOOKUP(tblOrdenes[[#This Row],[centro_costo]],tblCECO[codigo],tblCECO[linea],"(sin catálogo)"))</f>
        <v/>
      </c>
      <c r="X1201" s="5">
        <f>IF(tblOrdenes[[#This Row],[centro_costo]]="","",_xlfn.XLOOKUP(tblOrdenes[[#This Row],[centro_costo]],tblCECO[codigo],tblCECO[area],"(sin catálogo)"))</f>
        <v/>
      </c>
      <c r="Y1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01" s="5">
        <f>IF(tblOrdenes[[#This Row],[centro_costo]]="","",_xlfn.XLOOKUP(tblOrdenes[[#This Row],[centro_costo]],tblCECO[codigo],tblCECO[coordinador],"(sin catálogo)"))</f>
        <v/>
      </c>
      <c r="AA1201" s="5">
        <f>IF(tblOrdenes[[#This Row],[puesto_trabajo]]="","",_xlfn.XLOOKUP(tblOrdenes[[#This Row],[puesto_trabajo]],tblPuestos[codigo],tblPuestos[especialidad],"(sin catálogo)"))</f>
        <v/>
      </c>
      <c r="AB1201" s="5">
        <f>IF(tblOrdenes[[#This Row],[cod_actividad]]="","",_xlfn.XLOOKUP(tblOrdenes[[#This Row],[cod_actividad]],tblActividades[codigo],tblActividades[descripcion],"(sin catálogo)"))</f>
        <v/>
      </c>
      <c r="AC1201" s="20">
        <f>IF(tblOrdenes[[#This Row],[fecha_inicio]]="","",TODAY()-tblOrdenes[[#This Row],[fecha_inicio]])</f>
        <v/>
      </c>
      <c r="AD1201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01" s="5">
        <f>IF(tblOrdenes[[#This Row],[backlog_habiles]]="","",IF(tblOrdenes[[#This Row],[backlog_habiles]]&lt;0,"FUTURO",IF(tblOrdenes[[#This Row],[backlog_habiles]]&gt;p_dias_backlog_max,"BACKLOG","MES CORRIENTE")))</f>
        <v/>
      </c>
      <c r="AF1201" s="5">
        <f>IF(tblOrdenes[[#This Row],[backlog_habiles]]="",FALSE,AND(tblOrdenes[[#This Row],[backlog_habiles]]&gt;p_dias_backlog_min,tblOrdenes[[#This Row],[backlog_habiles]]&lt;=p_dias_backlog_max))</f>
        <v/>
      </c>
      <c r="AG1201" s="4" t="n"/>
      <c r="AH1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01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01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01" s="18">
        <f>IF(tblOrdenes[[#This Row],[orden]]="","",_xlfn.XLOOKUP(tblOrdenes[[#This Row],[id_operacion]],tblEjecucion[id_operacion],tblEjecucion[precio],0))</f>
        <v/>
      </c>
      <c r="AL1201" s="18">
        <f>IF(tblOrdenes[[#This Row],[orden]]="","",MAX(0,_xlfn.XLOOKUP(tblOrdenes[[#This Row],[id_operacion]],tblEjecucion[id_operacion],tblEjecucion[costo_plan_total],0)-tblOrdenes[[#This Row],[costo_servicio]]))</f>
        <v/>
      </c>
      <c r="AM1201" s="18">
        <f>IF(tblOrdenes[[#This Row],[orden]]="","",tblOrdenes[[#This Row],[costo_servicio]]+tblOrdenes[[#This Row],[costo_materiales]])</f>
        <v/>
      </c>
      <c r="AN1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01" s="4" t="n"/>
      <c r="AP1201" s="4" t="n"/>
      <c r="AQ1201" s="4" t="n"/>
      <c r="AR1201" s="5">
        <f>IF(tblOrdenes[[#This Row],[link_checklist]]="","",HYPERLINK(p_ruta_base_checklists&amp;tblOrdenes[[#This Row],[link_checklist]],"abrir"))</f>
        <v/>
      </c>
      <c r="AS1201" s="4" t="n"/>
      <c r="AT1201" s="5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22" t="n"/>
      <c r="K1202" s="5" t="n"/>
      <c r="L1202" s="18" t="n"/>
      <c r="M1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5">
        <f>IF(tblOrdenes[[#This Row],[fecha_inicio]]="","",YEAR(tblOrdenes[[#This Row],[fecha_inicio]]))</f>
        <v/>
      </c>
      <c r="Q1202" s="5">
        <f>IF(tblOrdenes[[#This Row],[fecha_inicio]]="","",MONTH(tblOrdenes[[#This Row],[fecha_inicio]]))</f>
        <v/>
      </c>
      <c r="R1202" s="5">
        <f>IF(tblOrdenes[[#This Row],[fecha_inicio]]="","",tblOrdenes[[#This Row],[anio]]&amp;"-"&amp;TEXT(tblOrdenes[[#This Row],[mes]],"00"))</f>
        <v/>
      </c>
      <c r="S1202" s="5">
        <f>IF(tblOrdenes[[#This Row],[fecha_inicio]]="","",INDEX(lista_dias,WEEKDAY(tblOrdenes[[#This Row],[fecha_inicio]],2)))</f>
        <v/>
      </c>
      <c r="T1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2" s="5">
        <f>IF(tblOrdenes[[#This Row],[tipo_ot]]="","",_xlfn.XLOOKUP(tblOrdenes[[#This Row],[tipo_ot]],tblTiposOT[codigo],tblTiposOT[clasificacion],"sin_clasificar"))</f>
        <v/>
      </c>
      <c r="V12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2" s="5">
        <f>IF(tblOrdenes[[#This Row],[centro_costo]]="","",_xlfn.XLOOKUP(tblOrdenes[[#This Row],[centro_costo]],tblCECO[codigo],tblCECO[linea],"(sin catálogo)"))</f>
        <v/>
      </c>
      <c r="X1202" s="5">
        <f>IF(tblOrdenes[[#This Row],[centro_costo]]="","",_xlfn.XLOOKUP(tblOrdenes[[#This Row],[centro_costo]],tblCECO[codigo],tblCECO[area],"(sin catálogo)"))</f>
        <v/>
      </c>
      <c r="Y1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02" s="5">
        <f>IF(tblOrdenes[[#This Row],[centro_costo]]="","",_xlfn.XLOOKUP(tblOrdenes[[#This Row],[centro_costo]],tblCECO[codigo],tblCECO[coordinador],"(sin catálogo)"))</f>
        <v/>
      </c>
      <c r="AA1202" s="5">
        <f>IF(tblOrdenes[[#This Row],[puesto_trabajo]]="","",_xlfn.XLOOKUP(tblOrdenes[[#This Row],[puesto_trabajo]],tblPuestos[codigo],tblPuestos[especialidad],"(sin catálogo)"))</f>
        <v/>
      </c>
      <c r="AB1202" s="5">
        <f>IF(tblOrdenes[[#This Row],[cod_actividad]]="","",_xlfn.XLOOKUP(tblOrdenes[[#This Row],[cod_actividad]],tblActividades[codigo],tblActividades[descripcion],"(sin catálogo)"))</f>
        <v/>
      </c>
      <c r="AC1202" s="20">
        <f>IF(tblOrdenes[[#This Row],[fecha_inicio]]="","",TODAY()-tblOrdenes[[#This Row],[fecha_inicio]])</f>
        <v/>
      </c>
      <c r="AD1202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02" s="5">
        <f>IF(tblOrdenes[[#This Row],[backlog_habiles]]="","",IF(tblOrdenes[[#This Row],[backlog_habiles]]&lt;0,"FUTURO",IF(tblOrdenes[[#This Row],[backlog_habiles]]&gt;p_dias_backlog_max,"BACKLOG","MES CORRIENTE")))</f>
        <v/>
      </c>
      <c r="AF1202" s="5">
        <f>IF(tblOrdenes[[#This Row],[backlog_habiles]]="",FALSE,AND(tblOrdenes[[#This Row],[backlog_habiles]]&gt;p_dias_backlog_min,tblOrdenes[[#This Row],[backlog_habiles]]&lt;=p_dias_backlog_max))</f>
        <v/>
      </c>
      <c r="AG1202" s="4" t="n"/>
      <c r="AH1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02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02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02" s="18">
        <f>IF(tblOrdenes[[#This Row],[orden]]="","",_xlfn.XLOOKUP(tblOrdenes[[#This Row],[id_operacion]],tblEjecucion[id_operacion],tblEjecucion[precio],0))</f>
        <v/>
      </c>
      <c r="AL1202" s="18">
        <f>IF(tblOrdenes[[#This Row],[orden]]="","",MAX(0,_xlfn.XLOOKUP(tblOrdenes[[#This Row],[id_operacion]],tblEjecucion[id_operacion],tblEjecucion[costo_plan_total],0)-tblOrdenes[[#This Row],[costo_servicio]]))</f>
        <v/>
      </c>
      <c r="AM1202" s="18">
        <f>IF(tblOrdenes[[#This Row],[orden]]="","",tblOrdenes[[#This Row],[costo_servicio]]+tblOrdenes[[#This Row],[costo_materiales]])</f>
        <v/>
      </c>
      <c r="AN1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02" s="4" t="n"/>
      <c r="AP1202" s="4" t="n"/>
      <c r="AQ1202" s="4" t="n"/>
      <c r="AR1202" s="5">
        <f>IF(tblOrdenes[[#This Row],[link_checklist]]="","",HYPERLINK(p_ruta_base_checklists&amp;tblOrdenes[[#This Row],[link_checklist]],"abrir"))</f>
        <v/>
      </c>
      <c r="AS1202" s="4" t="n"/>
      <c r="AT1202" s="5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22" t="n"/>
      <c r="K1203" s="5" t="n"/>
      <c r="L1203" s="18" t="n"/>
      <c r="M1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5">
        <f>IF(tblOrdenes[[#This Row],[fecha_inicio]]="","",YEAR(tblOrdenes[[#This Row],[fecha_inicio]]))</f>
        <v/>
      </c>
      <c r="Q1203" s="5">
        <f>IF(tblOrdenes[[#This Row],[fecha_inicio]]="","",MONTH(tblOrdenes[[#This Row],[fecha_inicio]]))</f>
        <v/>
      </c>
      <c r="R1203" s="5">
        <f>IF(tblOrdenes[[#This Row],[fecha_inicio]]="","",tblOrdenes[[#This Row],[anio]]&amp;"-"&amp;TEXT(tblOrdenes[[#This Row],[mes]],"00"))</f>
        <v/>
      </c>
      <c r="S1203" s="5">
        <f>IF(tblOrdenes[[#This Row],[fecha_inicio]]="","",INDEX(lista_dias,WEEKDAY(tblOrdenes[[#This Row],[fecha_inicio]],2)))</f>
        <v/>
      </c>
      <c r="T1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3" s="5">
        <f>IF(tblOrdenes[[#This Row],[tipo_ot]]="","",_xlfn.XLOOKUP(tblOrdenes[[#This Row],[tipo_ot]],tblTiposOT[codigo],tblTiposOT[clasificacion],"sin_clasificar"))</f>
        <v/>
      </c>
      <c r="V12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3" s="5">
        <f>IF(tblOrdenes[[#This Row],[centro_costo]]="","",_xlfn.XLOOKUP(tblOrdenes[[#This Row],[centro_costo]],tblCECO[codigo],tblCECO[linea],"(sin catálogo)"))</f>
        <v/>
      </c>
      <c r="X1203" s="5">
        <f>IF(tblOrdenes[[#This Row],[centro_costo]]="","",_xlfn.XLOOKUP(tblOrdenes[[#This Row],[centro_costo]],tblCECO[codigo],tblCECO[area],"(sin catálogo)"))</f>
        <v/>
      </c>
      <c r="Y1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Z1203" s="5">
        <f>IF(tblOrdenes[[#This Row],[centro_costo]]="","",_xlfn.XLOOKUP(tblOrdenes[[#This Row],[centro_costo]],tblCECO[codigo],tblCECO[coordinador],"(sin catálogo)"))</f>
        <v/>
      </c>
      <c r="AA1203" s="5">
        <f>IF(tblOrdenes[[#This Row],[puesto_trabajo]]="","",_xlfn.XLOOKUP(tblOrdenes[[#This Row],[puesto_trabajo]],tblPuestos[codigo],tblPuestos[especialidad],"(sin catálogo)"))</f>
        <v/>
      </c>
      <c r="AB1203" s="5">
        <f>IF(tblOrdenes[[#This Row],[cod_actividad]]="","",_xlfn.XLOOKUP(tblOrdenes[[#This Row],[cod_actividad]],tblActividades[codigo],tblActividades[descripcion],"(sin catálogo)"))</f>
        <v/>
      </c>
      <c r="AC1203" s="20">
        <f>IF(tblOrdenes[[#This Row],[fecha_inicio]]="","",TODAY()-tblOrdenes[[#This Row],[fecha_inicio]])</f>
        <v/>
      </c>
      <c r="AD1203" s="20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E1203" s="5">
        <f>IF(tblOrdenes[[#This Row],[backlog_habiles]]="","",IF(tblOrdenes[[#This Row],[backlog_habiles]]&lt;0,"FUTURO",IF(tblOrdenes[[#This Row],[backlog_habiles]]&gt;p_dias_backlog_max,"BACKLOG","MES CORRIENTE")))</f>
        <v/>
      </c>
      <c r="AF1203" s="5">
        <f>IF(tblOrdenes[[#This Row],[backlog_habiles]]="",FALSE,AND(tblOrdenes[[#This Row],[backlog_habiles]]&gt;p_dias_backlog_min,tblOrdenes[[#This Row],[backlog_habiles]]&lt;=p_dias_backlog_max))</f>
        <v/>
      </c>
      <c r="AG1203" s="4" t="n"/>
      <c r="AH1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I1203" s="2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J1203" s="2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K1203" s="18">
        <f>IF(tblOrdenes[[#This Row],[orden]]="","",_xlfn.XLOOKUP(tblOrdenes[[#This Row],[id_operacion]],tblEjecucion[id_operacion],tblEjecucion[precio],0))</f>
        <v/>
      </c>
      <c r="AL1203" s="18">
        <f>IF(tblOrdenes[[#This Row],[orden]]="","",MAX(0,_xlfn.XLOOKUP(tblOrdenes[[#This Row],[id_operacion]],tblEjecucion[id_operacion],tblEjecucion[costo_plan_total],0)-tblOrdenes[[#This Row],[costo_servicio]]))</f>
        <v/>
      </c>
      <c r="AM1203" s="18">
        <f>IF(tblOrdenes[[#This Row],[orden]]="","",tblOrdenes[[#This Row],[costo_servicio]]+tblOrdenes[[#This Row],[costo_materiales]])</f>
        <v/>
      </c>
      <c r="AN1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O1203" s="4" t="n"/>
      <c r="AP1203" s="4" t="n"/>
      <c r="AQ1203" s="4" t="n"/>
      <c r="AR1203" s="5">
        <f>IF(tblOrdenes[[#This Row],[link_checklist]]="","",HYPERLINK(p_ruta_base_checklists&amp;tblOrdenes[[#This Row],[link_checklist]],"abrir"))</f>
        <v/>
      </c>
      <c r="AS1203" s="4" t="n"/>
      <c r="AT1203" s="5">
        <f>IF(tblOrdenes[[#This Row],[orden]]="","",tblOrdenes[[#This Row],[orden]]&amp;IF(tblOrdenes[[#This Row],[operacion]]="","0010",tblOrdenes[[#This Row],[operacion]]))</f>
        <v/>
      </c>
    </row>
  </sheetData>
  <conditionalFormatting sqref="AC4:AC1203">
    <cfRule type="cellIs" priority="1" operator="greaterThan" dxfId="0">
      <formula>90</formula>
    </cfRule>
  </conditionalFormatting>
  <conditionalFormatting sqref="AG4:AG1203">
    <cfRule type="expression" priority="2" dxfId="1">
      <formula>AND($AF4=TRUE,$AG4="")</formula>
    </cfRule>
  </conditionalFormatting>
  <conditionalFormatting sqref="AJ4:AJ1203">
    <cfRule type="cellIs" priority="3" operator="lessThan" dxfId="0">
      <formula>0</formula>
    </cfRule>
  </conditionalFormatting>
  <dataValidations count="5">
    <dataValidation sqref="AG4:AG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15" t="inlineStr">
        <is>
          <t>semana</t>
        </is>
      </c>
      <c r="B3" s="15" t="inlineStr">
        <is>
          <t>dia</t>
        </is>
      </c>
      <c r="C3" s="15" t="inlineStr">
        <is>
          <t>tecnico</t>
        </is>
      </c>
      <c r="D3" s="15" t="inlineStr">
        <is>
          <t>area</t>
        </is>
      </c>
      <c r="E3" s="15" t="inlineStr">
        <is>
          <t>especialidad</t>
        </is>
      </c>
      <c r="F3" s="15" t="inlineStr">
        <is>
          <t>n_ciclo</t>
        </is>
      </c>
      <c r="G3" s="15" t="inlineStr">
        <is>
          <t>posicion_ciclo</t>
        </is>
      </c>
      <c r="H3" s="15" t="inlineStr">
        <is>
          <t>en_vacaciones</t>
        </is>
      </c>
      <c r="I3" s="15" t="inlineStr">
        <is>
          <t>turno_manual</t>
        </is>
      </c>
      <c r="J3" s="15" t="inlineStr">
        <is>
          <t>turno</t>
        </is>
      </c>
      <c r="K3" s="15" t="inlineStr">
        <is>
          <t>supervisor</t>
        </is>
      </c>
      <c r="L3" s="15" t="inlineStr">
        <is>
          <t>fecha</t>
        </is>
      </c>
      <c r="M3" s="15" t="inlineStr">
        <is>
          <t>horas_disponibles</t>
        </is>
      </c>
      <c r="N3" s="15" t="inlineStr">
        <is>
          <t>clave</t>
        </is>
      </c>
      <c r="O3" s="15" t="inlineStr">
        <is>
          <t>hora_inicio</t>
        </is>
      </c>
      <c r="P3" s="15" t="inlineStr">
        <is>
          <t>hora_fin</t>
        </is>
      </c>
      <c r="Q3" s="15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5">
        <f>_xlfn.XLOOKUP(tblAsignaciones[[#This Row],[tecnico]],tblTecnicos[nombre],tblTecnicos[area],"")</f>
        <v/>
      </c>
      <c r="E4" s="5">
        <f>_xlfn.XLOOKUP(tblAsignaciones[[#This Row],[tecnico]],tblTecnicos[nombre],tblTecnicos[especialidad],"")</f>
        <v/>
      </c>
      <c r="F4" s="5">
        <f>COUNTIFS(tblTecnicos[rotativo],"sí",tblTecnicos[especialidad],tblAsignaciones[[#This Row],[especialidad]],tblTecnicos[area],tblAsignaciones[[#This Row],[area]],tblTecnicos[activo],"sí")</f>
        <v/>
      </c>
      <c r="G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4" t="n"/>
      <c r="J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5">
        <f>_xlfn.XLOOKUP(tblAsignaciones[[#This Row],[tecnico]],tblTecnicos[nombre],tblTecnicos[supervisor],"")</f>
        <v/>
      </c>
      <c r="L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5">
        <f>tblAsignaciones[[#This Row],[semana]]&amp;"|"&amp;tblAsignaciones[[#This Row],[dia]]&amp;"|"&amp;tblAsignaciones[[#This Row],[tecnico]]</f>
        <v/>
      </c>
      <c r="O4" s="5">
        <f>_xlfn.XLOOKUP(tblAsignaciones[[#This Row],[turno]],tblTurnos[turno],tblTurnos[hora_inicio],"")</f>
        <v/>
      </c>
      <c r="P4" s="5">
        <f>_xlfn.XLOOKUP(tblAsignaciones[[#This Row],[turno]],tblTurnos[turno],tblTurnos[hora_fin],"")</f>
        <v/>
      </c>
      <c r="Q4" s="5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5">
        <f>_xlfn.XLOOKUP(tblAsignaciones[[#This Row],[tecnico]],tblTecnicos[nombre],tblTecnicos[area],"")</f>
        <v/>
      </c>
      <c r="E5" s="5">
        <f>_xlfn.XLOOKUP(tblAsignaciones[[#This Row],[tecnico]],tblTecnicos[nombre],tblTecnicos[especialidad],"")</f>
        <v/>
      </c>
      <c r="F5" s="5">
        <f>COUNTIFS(tblTecnicos[rotativo],"sí",tblTecnicos[especialidad],tblAsignaciones[[#This Row],[especialidad]],tblTecnicos[area],tblAsignaciones[[#This Row],[area]],tblTecnicos[activo],"sí")</f>
        <v/>
      </c>
      <c r="G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4" t="n"/>
      <c r="J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5">
        <f>_xlfn.XLOOKUP(tblAsignaciones[[#This Row],[tecnico]],tblTecnicos[nombre],tblTecnicos[supervisor],"")</f>
        <v/>
      </c>
      <c r="L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5">
        <f>tblAsignaciones[[#This Row],[semana]]&amp;"|"&amp;tblAsignaciones[[#This Row],[dia]]&amp;"|"&amp;tblAsignaciones[[#This Row],[tecnico]]</f>
        <v/>
      </c>
      <c r="O5" s="5">
        <f>_xlfn.XLOOKUP(tblAsignaciones[[#This Row],[turno]],tblTurnos[turno],tblTurnos[hora_inicio],"")</f>
        <v/>
      </c>
      <c r="P5" s="5">
        <f>_xlfn.XLOOKUP(tblAsignaciones[[#This Row],[turno]],tblTurnos[turno],tblTurnos[hora_fin],"")</f>
        <v/>
      </c>
      <c r="Q5" s="5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5">
        <f>_xlfn.XLOOKUP(tblAsignaciones[[#This Row],[tecnico]],tblTecnicos[nombre],tblTecnicos[area],"")</f>
        <v/>
      </c>
      <c r="E6" s="5">
        <f>_xlfn.XLOOKUP(tblAsignaciones[[#This Row],[tecnico]],tblTecnicos[nombre],tblTecnicos[especialidad],"")</f>
        <v/>
      </c>
      <c r="F6" s="5">
        <f>COUNTIFS(tblTecnicos[rotativo],"sí",tblTecnicos[especialidad],tblAsignaciones[[#This Row],[especialidad]],tblTecnicos[area],tblAsignaciones[[#This Row],[area]],tblTecnicos[activo],"sí")</f>
        <v/>
      </c>
      <c r="G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4" t="n"/>
      <c r="J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5">
        <f>_xlfn.XLOOKUP(tblAsignaciones[[#This Row],[tecnico]],tblTecnicos[nombre],tblTecnicos[supervisor],"")</f>
        <v/>
      </c>
      <c r="L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5">
        <f>tblAsignaciones[[#This Row],[semana]]&amp;"|"&amp;tblAsignaciones[[#This Row],[dia]]&amp;"|"&amp;tblAsignaciones[[#This Row],[tecnico]]</f>
        <v/>
      </c>
      <c r="O6" s="5">
        <f>_xlfn.XLOOKUP(tblAsignaciones[[#This Row],[turno]],tblTurnos[turno],tblTurnos[hora_inicio],"")</f>
        <v/>
      </c>
      <c r="P6" s="5">
        <f>_xlfn.XLOOKUP(tblAsignaciones[[#This Row],[turno]],tblTurnos[turno],tblTurnos[hora_fin],"")</f>
        <v/>
      </c>
      <c r="Q6" s="5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5">
        <f>_xlfn.XLOOKUP(tblAsignaciones[[#This Row],[tecnico]],tblTecnicos[nombre],tblTecnicos[area],"")</f>
        <v/>
      </c>
      <c r="E7" s="5">
        <f>_xlfn.XLOOKUP(tblAsignaciones[[#This Row],[tecnico]],tblTecnicos[nombre],tblTecnicos[especialidad],"")</f>
        <v/>
      </c>
      <c r="F7" s="5">
        <f>COUNTIFS(tblTecnicos[rotativo],"sí",tblTecnicos[especialidad],tblAsignaciones[[#This Row],[especialidad]],tblTecnicos[area],tblAsignaciones[[#This Row],[area]],tblTecnicos[activo],"sí")</f>
        <v/>
      </c>
      <c r="G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4" t="n"/>
      <c r="J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5">
        <f>_xlfn.XLOOKUP(tblAsignaciones[[#This Row],[tecnico]],tblTecnicos[nombre],tblTecnicos[supervisor],"")</f>
        <v/>
      </c>
      <c r="L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5">
        <f>tblAsignaciones[[#This Row],[semana]]&amp;"|"&amp;tblAsignaciones[[#This Row],[dia]]&amp;"|"&amp;tblAsignaciones[[#This Row],[tecnico]]</f>
        <v/>
      </c>
      <c r="O7" s="5">
        <f>_xlfn.XLOOKUP(tblAsignaciones[[#This Row],[turno]],tblTurnos[turno],tblTurnos[hora_inicio],"")</f>
        <v/>
      </c>
      <c r="P7" s="5">
        <f>_xlfn.XLOOKUP(tblAsignaciones[[#This Row],[turno]],tblTurnos[turno],tblTurnos[hora_fin],"")</f>
        <v/>
      </c>
      <c r="Q7" s="5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5">
        <f>_xlfn.XLOOKUP(tblAsignaciones[[#This Row],[tecnico]],tblTecnicos[nombre],tblTecnicos[area],"")</f>
        <v/>
      </c>
      <c r="E8" s="5">
        <f>_xlfn.XLOOKUP(tblAsignaciones[[#This Row],[tecnico]],tblTecnicos[nombre],tblTecnicos[especialidad],"")</f>
        <v/>
      </c>
      <c r="F8" s="5">
        <f>COUNTIFS(tblTecnicos[rotativo],"sí",tblTecnicos[especialidad],tblAsignaciones[[#This Row],[especialidad]],tblTecnicos[area],tblAsignaciones[[#This Row],[area]],tblTecnicos[activo],"sí")</f>
        <v/>
      </c>
      <c r="G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4" t="n"/>
      <c r="J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5">
        <f>_xlfn.XLOOKUP(tblAsignaciones[[#This Row],[tecnico]],tblTecnicos[nombre],tblTecnicos[supervisor],"")</f>
        <v/>
      </c>
      <c r="L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5">
        <f>tblAsignaciones[[#This Row],[semana]]&amp;"|"&amp;tblAsignaciones[[#This Row],[dia]]&amp;"|"&amp;tblAsignaciones[[#This Row],[tecnico]]</f>
        <v/>
      </c>
      <c r="O8" s="5">
        <f>_xlfn.XLOOKUP(tblAsignaciones[[#This Row],[turno]],tblTurnos[turno],tblTurnos[hora_inicio],"")</f>
        <v/>
      </c>
      <c r="P8" s="5">
        <f>_xlfn.XLOOKUP(tblAsignaciones[[#This Row],[turno]],tblTurnos[turno],tblTurnos[hora_fin],"")</f>
        <v/>
      </c>
      <c r="Q8" s="5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5">
        <f>_xlfn.XLOOKUP(tblAsignaciones[[#This Row],[tecnico]],tblTecnicos[nombre],tblTecnicos[area],"")</f>
        <v/>
      </c>
      <c r="E9" s="5">
        <f>_xlfn.XLOOKUP(tblAsignaciones[[#This Row],[tecnico]],tblTecnicos[nombre],tblTecnicos[especialidad],"")</f>
        <v/>
      </c>
      <c r="F9" s="5">
        <f>COUNTIFS(tblTecnicos[rotativo],"sí",tblTecnicos[especialidad],tblAsignaciones[[#This Row],[especialidad]],tblTecnicos[area],tblAsignaciones[[#This Row],[area]],tblTecnicos[activo],"sí")</f>
        <v/>
      </c>
      <c r="G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4" t="n"/>
      <c r="J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5">
        <f>_xlfn.XLOOKUP(tblAsignaciones[[#This Row],[tecnico]],tblTecnicos[nombre],tblTecnicos[supervisor],"")</f>
        <v/>
      </c>
      <c r="L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5">
        <f>tblAsignaciones[[#This Row],[semana]]&amp;"|"&amp;tblAsignaciones[[#This Row],[dia]]&amp;"|"&amp;tblAsignaciones[[#This Row],[tecnico]]</f>
        <v/>
      </c>
      <c r="O9" s="5">
        <f>_xlfn.XLOOKUP(tblAsignaciones[[#This Row],[turno]],tblTurnos[turno],tblTurnos[hora_inicio],"")</f>
        <v/>
      </c>
      <c r="P9" s="5">
        <f>_xlfn.XLOOKUP(tblAsignaciones[[#This Row],[turno]],tblTurnos[turno],tblTurnos[hora_fin],"")</f>
        <v/>
      </c>
      <c r="Q9" s="5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5">
        <f>_xlfn.XLOOKUP(tblAsignaciones[[#This Row],[tecnico]],tblTecnicos[nombre],tblTecnicos[area],"")</f>
        <v/>
      </c>
      <c r="E10" s="5">
        <f>_xlfn.XLOOKUP(tblAsignaciones[[#This Row],[tecnico]],tblTecnicos[nombre],tblTecnicos[especialidad],"")</f>
        <v/>
      </c>
      <c r="F10" s="5">
        <f>COUNTIFS(tblTecnicos[rotativo],"sí",tblTecnicos[especialidad],tblAsignaciones[[#This Row],[especialidad]],tblTecnicos[area],tblAsignaciones[[#This Row],[area]],tblTecnicos[activo],"sí")</f>
        <v/>
      </c>
      <c r="G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4" t="n"/>
      <c r="J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5">
        <f>_xlfn.XLOOKUP(tblAsignaciones[[#This Row],[tecnico]],tblTecnicos[nombre],tblTecnicos[supervisor],"")</f>
        <v/>
      </c>
      <c r="L1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5">
        <f>tblAsignaciones[[#This Row],[semana]]&amp;"|"&amp;tblAsignaciones[[#This Row],[dia]]&amp;"|"&amp;tblAsignaciones[[#This Row],[tecnico]]</f>
        <v/>
      </c>
      <c r="O10" s="5">
        <f>_xlfn.XLOOKUP(tblAsignaciones[[#This Row],[turno]],tblTurnos[turno],tblTurnos[hora_inicio],"")</f>
        <v/>
      </c>
      <c r="P10" s="5">
        <f>_xlfn.XLOOKUP(tblAsignaciones[[#This Row],[turno]],tblTurnos[turno],tblTurnos[hora_fin],"")</f>
        <v/>
      </c>
      <c r="Q10" s="5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5">
        <f>_xlfn.XLOOKUP(tblAsignaciones[[#This Row],[tecnico]],tblTecnicos[nombre],tblTecnicos[area],"")</f>
        <v/>
      </c>
      <c r="E11" s="5">
        <f>_xlfn.XLOOKUP(tblAsignaciones[[#This Row],[tecnico]],tblTecnicos[nombre],tblTecnicos[especialidad],"")</f>
        <v/>
      </c>
      <c r="F11" s="5">
        <f>COUNTIFS(tblTecnicos[rotativo],"sí",tblTecnicos[especialidad],tblAsignaciones[[#This Row],[especialidad]],tblTecnicos[area],tblAsignaciones[[#This Row],[area]],tblTecnicos[activo],"sí")</f>
        <v/>
      </c>
      <c r="G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4" t="n"/>
      <c r="J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5">
        <f>_xlfn.XLOOKUP(tblAsignaciones[[#This Row],[tecnico]],tblTecnicos[nombre],tblTecnicos[supervisor],"")</f>
        <v/>
      </c>
      <c r="L1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5">
        <f>tblAsignaciones[[#This Row],[semana]]&amp;"|"&amp;tblAsignaciones[[#This Row],[dia]]&amp;"|"&amp;tblAsignaciones[[#This Row],[tecnico]]</f>
        <v/>
      </c>
      <c r="O11" s="5">
        <f>_xlfn.XLOOKUP(tblAsignaciones[[#This Row],[turno]],tblTurnos[turno],tblTurnos[hora_inicio],"")</f>
        <v/>
      </c>
      <c r="P11" s="5">
        <f>_xlfn.XLOOKUP(tblAsignaciones[[#This Row],[turno]],tblTurnos[turno],tblTurnos[hora_fin],"")</f>
        <v/>
      </c>
      <c r="Q11" s="5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5">
        <f>_xlfn.XLOOKUP(tblAsignaciones[[#This Row],[tecnico]],tblTecnicos[nombre],tblTecnicos[area],"")</f>
        <v/>
      </c>
      <c r="E12" s="5">
        <f>_xlfn.XLOOKUP(tblAsignaciones[[#This Row],[tecnico]],tblTecnicos[nombre],tblTecnicos[especialidad],"")</f>
        <v/>
      </c>
      <c r="F12" s="5">
        <f>COUNTIFS(tblTecnicos[rotativo],"sí",tblTecnicos[especialidad],tblAsignaciones[[#This Row],[especialidad]],tblTecnicos[area],tblAsignaciones[[#This Row],[area]],tblTecnicos[activo],"sí")</f>
        <v/>
      </c>
      <c r="G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4" t="n"/>
      <c r="J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5">
        <f>_xlfn.XLOOKUP(tblAsignaciones[[#This Row],[tecnico]],tblTecnicos[nombre],tblTecnicos[supervisor],"")</f>
        <v/>
      </c>
      <c r="L1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5">
        <f>tblAsignaciones[[#This Row],[semana]]&amp;"|"&amp;tblAsignaciones[[#This Row],[dia]]&amp;"|"&amp;tblAsignaciones[[#This Row],[tecnico]]</f>
        <v/>
      </c>
      <c r="O12" s="5">
        <f>_xlfn.XLOOKUP(tblAsignaciones[[#This Row],[turno]],tblTurnos[turno],tblTurnos[hora_inicio],"")</f>
        <v/>
      </c>
      <c r="P12" s="5">
        <f>_xlfn.XLOOKUP(tblAsignaciones[[#This Row],[turno]],tblTurnos[turno],tblTurnos[hora_fin],"")</f>
        <v/>
      </c>
      <c r="Q12" s="5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5">
        <f>_xlfn.XLOOKUP(tblAsignaciones[[#This Row],[tecnico]],tblTecnicos[nombre],tblTecnicos[area],"")</f>
        <v/>
      </c>
      <c r="E13" s="5">
        <f>_xlfn.XLOOKUP(tblAsignaciones[[#This Row],[tecnico]],tblTecnicos[nombre],tblTecnicos[especialidad],"")</f>
        <v/>
      </c>
      <c r="F13" s="5">
        <f>COUNTIFS(tblTecnicos[rotativo],"sí",tblTecnicos[especialidad],tblAsignaciones[[#This Row],[especialidad]],tblTecnicos[area],tblAsignaciones[[#This Row],[area]],tblTecnicos[activo],"sí")</f>
        <v/>
      </c>
      <c r="G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4" t="n"/>
      <c r="J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5">
        <f>_xlfn.XLOOKUP(tblAsignaciones[[#This Row],[tecnico]],tblTecnicos[nombre],tblTecnicos[supervisor],"")</f>
        <v/>
      </c>
      <c r="L1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5">
        <f>tblAsignaciones[[#This Row],[semana]]&amp;"|"&amp;tblAsignaciones[[#This Row],[dia]]&amp;"|"&amp;tblAsignaciones[[#This Row],[tecnico]]</f>
        <v/>
      </c>
      <c r="O13" s="5">
        <f>_xlfn.XLOOKUP(tblAsignaciones[[#This Row],[turno]],tblTurnos[turno],tblTurnos[hora_inicio],"")</f>
        <v/>
      </c>
      <c r="P13" s="5">
        <f>_xlfn.XLOOKUP(tblAsignaciones[[#This Row],[turno]],tblTurnos[turno],tblTurnos[hora_fin],"")</f>
        <v/>
      </c>
      <c r="Q13" s="5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5">
        <f>_xlfn.XLOOKUP(tblAsignaciones[[#This Row],[tecnico]],tblTecnicos[nombre],tblTecnicos[area],"")</f>
        <v/>
      </c>
      <c r="E14" s="5">
        <f>_xlfn.XLOOKUP(tblAsignaciones[[#This Row],[tecnico]],tblTecnicos[nombre],tblTecnicos[especialidad],"")</f>
        <v/>
      </c>
      <c r="F14" s="5">
        <f>COUNTIFS(tblTecnicos[rotativo],"sí",tblTecnicos[especialidad],tblAsignaciones[[#This Row],[especialidad]],tblTecnicos[area],tblAsignaciones[[#This Row],[area]],tblTecnicos[activo],"sí")</f>
        <v/>
      </c>
      <c r="G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4" t="n"/>
      <c r="J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5">
        <f>_xlfn.XLOOKUP(tblAsignaciones[[#This Row],[tecnico]],tblTecnicos[nombre],tblTecnicos[supervisor],"")</f>
        <v/>
      </c>
      <c r="L1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5">
        <f>tblAsignaciones[[#This Row],[semana]]&amp;"|"&amp;tblAsignaciones[[#This Row],[dia]]&amp;"|"&amp;tblAsignaciones[[#This Row],[tecnico]]</f>
        <v/>
      </c>
      <c r="O14" s="5">
        <f>_xlfn.XLOOKUP(tblAsignaciones[[#This Row],[turno]],tblTurnos[turno],tblTurnos[hora_inicio],"")</f>
        <v/>
      </c>
      <c r="P14" s="5">
        <f>_xlfn.XLOOKUP(tblAsignaciones[[#This Row],[turno]],tblTurnos[turno],tblTurnos[hora_fin],"")</f>
        <v/>
      </c>
      <c r="Q14" s="5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5">
        <f>_xlfn.XLOOKUP(tblAsignaciones[[#This Row],[tecnico]],tblTecnicos[nombre],tblTecnicos[area],"")</f>
        <v/>
      </c>
      <c r="E15" s="5">
        <f>_xlfn.XLOOKUP(tblAsignaciones[[#This Row],[tecnico]],tblTecnicos[nombre],tblTecnicos[especialidad],"")</f>
        <v/>
      </c>
      <c r="F15" s="5">
        <f>COUNTIFS(tblTecnicos[rotativo],"sí",tblTecnicos[especialidad],tblAsignaciones[[#This Row],[especialidad]],tblTecnicos[area],tblAsignaciones[[#This Row],[area]],tblTecnicos[activo],"sí")</f>
        <v/>
      </c>
      <c r="G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4" t="n"/>
      <c r="J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5">
        <f>_xlfn.XLOOKUP(tblAsignaciones[[#This Row],[tecnico]],tblTecnicos[nombre],tblTecnicos[supervisor],"")</f>
        <v/>
      </c>
      <c r="L1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5">
        <f>tblAsignaciones[[#This Row],[semana]]&amp;"|"&amp;tblAsignaciones[[#This Row],[dia]]&amp;"|"&amp;tblAsignaciones[[#This Row],[tecnico]]</f>
        <v/>
      </c>
      <c r="O15" s="5">
        <f>_xlfn.XLOOKUP(tblAsignaciones[[#This Row],[turno]],tblTurnos[turno],tblTurnos[hora_inicio],"")</f>
        <v/>
      </c>
      <c r="P15" s="5">
        <f>_xlfn.XLOOKUP(tblAsignaciones[[#This Row],[turno]],tblTurnos[turno],tblTurnos[hora_fin],"")</f>
        <v/>
      </c>
      <c r="Q15" s="5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5">
        <f>_xlfn.XLOOKUP(tblAsignaciones[[#This Row],[tecnico]],tblTecnicos[nombre],tblTecnicos[area],"")</f>
        <v/>
      </c>
      <c r="E16" s="5">
        <f>_xlfn.XLOOKUP(tblAsignaciones[[#This Row],[tecnico]],tblTecnicos[nombre],tblTecnicos[especialidad],"")</f>
        <v/>
      </c>
      <c r="F16" s="5">
        <f>COUNTIFS(tblTecnicos[rotativo],"sí",tblTecnicos[especialidad],tblAsignaciones[[#This Row],[especialidad]],tblTecnicos[area],tblAsignaciones[[#This Row],[area]],tblTecnicos[activo],"sí")</f>
        <v/>
      </c>
      <c r="G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4" t="n"/>
      <c r="J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5">
        <f>_xlfn.XLOOKUP(tblAsignaciones[[#This Row],[tecnico]],tblTecnicos[nombre],tblTecnicos[supervisor],"")</f>
        <v/>
      </c>
      <c r="L1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5">
        <f>tblAsignaciones[[#This Row],[semana]]&amp;"|"&amp;tblAsignaciones[[#This Row],[dia]]&amp;"|"&amp;tblAsignaciones[[#This Row],[tecnico]]</f>
        <v/>
      </c>
      <c r="O16" s="5">
        <f>_xlfn.XLOOKUP(tblAsignaciones[[#This Row],[turno]],tblTurnos[turno],tblTurnos[hora_inicio],"")</f>
        <v/>
      </c>
      <c r="P16" s="5">
        <f>_xlfn.XLOOKUP(tblAsignaciones[[#This Row],[turno]],tblTurnos[turno],tblTurnos[hora_fin],"")</f>
        <v/>
      </c>
      <c r="Q16" s="5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5">
        <f>_xlfn.XLOOKUP(tblAsignaciones[[#This Row],[tecnico]],tblTecnicos[nombre],tblTecnicos[area],"")</f>
        <v/>
      </c>
      <c r="E17" s="5">
        <f>_xlfn.XLOOKUP(tblAsignaciones[[#This Row],[tecnico]],tblTecnicos[nombre],tblTecnicos[especialidad],"")</f>
        <v/>
      </c>
      <c r="F17" s="5">
        <f>COUNTIFS(tblTecnicos[rotativo],"sí",tblTecnicos[especialidad],tblAsignaciones[[#This Row],[especialidad]],tblTecnicos[area],tblAsignaciones[[#This Row],[area]],tblTecnicos[activo],"sí")</f>
        <v/>
      </c>
      <c r="G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4" t="n"/>
      <c r="J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5">
        <f>_xlfn.XLOOKUP(tblAsignaciones[[#This Row],[tecnico]],tblTecnicos[nombre],tblTecnicos[supervisor],"")</f>
        <v/>
      </c>
      <c r="L1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5">
        <f>tblAsignaciones[[#This Row],[semana]]&amp;"|"&amp;tblAsignaciones[[#This Row],[dia]]&amp;"|"&amp;tblAsignaciones[[#This Row],[tecnico]]</f>
        <v/>
      </c>
      <c r="O17" s="5">
        <f>_xlfn.XLOOKUP(tblAsignaciones[[#This Row],[turno]],tblTurnos[turno],tblTurnos[hora_inicio],"")</f>
        <v/>
      </c>
      <c r="P17" s="5">
        <f>_xlfn.XLOOKUP(tblAsignaciones[[#This Row],[turno]],tblTurnos[turno],tblTurnos[hora_fin],"")</f>
        <v/>
      </c>
      <c r="Q17" s="5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5">
        <f>_xlfn.XLOOKUP(tblAsignaciones[[#This Row],[tecnico]],tblTecnicos[nombre],tblTecnicos[area],"")</f>
        <v/>
      </c>
      <c r="E18" s="5">
        <f>_xlfn.XLOOKUP(tblAsignaciones[[#This Row],[tecnico]],tblTecnicos[nombre],tblTecnicos[especialidad],"")</f>
        <v/>
      </c>
      <c r="F18" s="5">
        <f>COUNTIFS(tblTecnicos[rotativo],"sí",tblTecnicos[especialidad],tblAsignaciones[[#This Row],[especialidad]],tblTecnicos[area],tblAsignaciones[[#This Row],[area]],tblTecnicos[activo],"sí")</f>
        <v/>
      </c>
      <c r="G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4" t="n"/>
      <c r="J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5">
        <f>_xlfn.XLOOKUP(tblAsignaciones[[#This Row],[tecnico]],tblTecnicos[nombre],tblTecnicos[supervisor],"")</f>
        <v/>
      </c>
      <c r="L1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5">
        <f>tblAsignaciones[[#This Row],[semana]]&amp;"|"&amp;tblAsignaciones[[#This Row],[dia]]&amp;"|"&amp;tblAsignaciones[[#This Row],[tecnico]]</f>
        <v/>
      </c>
      <c r="O18" s="5">
        <f>_xlfn.XLOOKUP(tblAsignaciones[[#This Row],[turno]],tblTurnos[turno],tblTurnos[hora_inicio],"")</f>
        <v/>
      </c>
      <c r="P18" s="5">
        <f>_xlfn.XLOOKUP(tblAsignaciones[[#This Row],[turno]],tblTurnos[turno],tblTurnos[hora_fin],"")</f>
        <v/>
      </c>
      <c r="Q18" s="5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5">
        <f>_xlfn.XLOOKUP(tblAsignaciones[[#This Row],[tecnico]],tblTecnicos[nombre],tblTecnicos[area],"")</f>
        <v/>
      </c>
      <c r="E19" s="5">
        <f>_xlfn.XLOOKUP(tblAsignaciones[[#This Row],[tecnico]],tblTecnicos[nombre],tblTecnicos[especialidad],"")</f>
        <v/>
      </c>
      <c r="F19" s="5">
        <f>COUNTIFS(tblTecnicos[rotativo],"sí",tblTecnicos[especialidad],tblAsignaciones[[#This Row],[especialidad]],tblTecnicos[area],tblAsignaciones[[#This Row],[area]],tblTecnicos[activo],"sí")</f>
        <v/>
      </c>
      <c r="G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4" t="n"/>
      <c r="J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5">
        <f>_xlfn.XLOOKUP(tblAsignaciones[[#This Row],[tecnico]],tblTecnicos[nombre],tblTecnicos[supervisor],"")</f>
        <v/>
      </c>
      <c r="L1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5">
        <f>tblAsignaciones[[#This Row],[semana]]&amp;"|"&amp;tblAsignaciones[[#This Row],[dia]]&amp;"|"&amp;tblAsignaciones[[#This Row],[tecnico]]</f>
        <v/>
      </c>
      <c r="O19" s="5">
        <f>_xlfn.XLOOKUP(tblAsignaciones[[#This Row],[turno]],tblTurnos[turno],tblTurnos[hora_inicio],"")</f>
        <v/>
      </c>
      <c r="P19" s="5">
        <f>_xlfn.XLOOKUP(tblAsignaciones[[#This Row],[turno]],tblTurnos[turno],tblTurnos[hora_fin],"")</f>
        <v/>
      </c>
      <c r="Q19" s="5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5">
        <f>_xlfn.XLOOKUP(tblAsignaciones[[#This Row],[tecnico]],tblTecnicos[nombre],tblTecnicos[area],"")</f>
        <v/>
      </c>
      <c r="E20" s="5">
        <f>_xlfn.XLOOKUP(tblAsignaciones[[#This Row],[tecnico]],tblTecnicos[nombre],tblTecnicos[especialidad],"")</f>
        <v/>
      </c>
      <c r="F20" s="5">
        <f>COUNTIFS(tblTecnicos[rotativo],"sí",tblTecnicos[especialidad],tblAsignaciones[[#This Row],[especialidad]],tblTecnicos[area],tblAsignaciones[[#This Row],[area]],tblTecnicos[activo],"sí")</f>
        <v/>
      </c>
      <c r="G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4" t="n"/>
      <c r="J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5">
        <f>_xlfn.XLOOKUP(tblAsignaciones[[#This Row],[tecnico]],tblTecnicos[nombre],tblTecnicos[supervisor],"")</f>
        <v/>
      </c>
      <c r="L2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5">
        <f>tblAsignaciones[[#This Row],[semana]]&amp;"|"&amp;tblAsignaciones[[#This Row],[dia]]&amp;"|"&amp;tblAsignaciones[[#This Row],[tecnico]]</f>
        <v/>
      </c>
      <c r="O20" s="5">
        <f>_xlfn.XLOOKUP(tblAsignaciones[[#This Row],[turno]],tblTurnos[turno],tblTurnos[hora_inicio],"")</f>
        <v/>
      </c>
      <c r="P20" s="5">
        <f>_xlfn.XLOOKUP(tblAsignaciones[[#This Row],[turno]],tblTurnos[turno],tblTurnos[hora_fin],"")</f>
        <v/>
      </c>
      <c r="Q20" s="5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5">
        <f>_xlfn.XLOOKUP(tblAsignaciones[[#This Row],[tecnico]],tblTecnicos[nombre],tblTecnicos[area],"")</f>
        <v/>
      </c>
      <c r="E21" s="5">
        <f>_xlfn.XLOOKUP(tblAsignaciones[[#This Row],[tecnico]],tblTecnicos[nombre],tblTecnicos[especialidad],"")</f>
        <v/>
      </c>
      <c r="F21" s="5">
        <f>COUNTIFS(tblTecnicos[rotativo],"sí",tblTecnicos[especialidad],tblAsignaciones[[#This Row],[especialidad]],tblTecnicos[area],tblAsignaciones[[#This Row],[area]],tblTecnicos[activo],"sí")</f>
        <v/>
      </c>
      <c r="G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4" t="n"/>
      <c r="J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5">
        <f>_xlfn.XLOOKUP(tblAsignaciones[[#This Row],[tecnico]],tblTecnicos[nombre],tblTecnicos[supervisor],"")</f>
        <v/>
      </c>
      <c r="L2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5">
        <f>tblAsignaciones[[#This Row],[semana]]&amp;"|"&amp;tblAsignaciones[[#This Row],[dia]]&amp;"|"&amp;tblAsignaciones[[#This Row],[tecnico]]</f>
        <v/>
      </c>
      <c r="O21" s="5">
        <f>_xlfn.XLOOKUP(tblAsignaciones[[#This Row],[turno]],tblTurnos[turno],tblTurnos[hora_inicio],"")</f>
        <v/>
      </c>
      <c r="P21" s="5">
        <f>_xlfn.XLOOKUP(tblAsignaciones[[#This Row],[turno]],tblTurnos[turno],tblTurnos[hora_fin],"")</f>
        <v/>
      </c>
      <c r="Q21" s="5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5">
        <f>_xlfn.XLOOKUP(tblAsignaciones[[#This Row],[tecnico]],tblTecnicos[nombre],tblTecnicos[area],"")</f>
        <v/>
      </c>
      <c r="E22" s="5">
        <f>_xlfn.XLOOKUP(tblAsignaciones[[#This Row],[tecnico]],tblTecnicos[nombre],tblTecnicos[especialidad],"")</f>
        <v/>
      </c>
      <c r="F22" s="5">
        <f>COUNTIFS(tblTecnicos[rotativo],"sí",tblTecnicos[especialidad],tblAsignaciones[[#This Row],[especialidad]],tblTecnicos[area],tblAsignaciones[[#This Row],[area]],tblTecnicos[activo],"sí")</f>
        <v/>
      </c>
      <c r="G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4" t="n"/>
      <c r="J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5">
        <f>_xlfn.XLOOKUP(tblAsignaciones[[#This Row],[tecnico]],tblTecnicos[nombre],tblTecnicos[supervisor],"")</f>
        <v/>
      </c>
      <c r="L2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5">
        <f>tblAsignaciones[[#This Row],[semana]]&amp;"|"&amp;tblAsignaciones[[#This Row],[dia]]&amp;"|"&amp;tblAsignaciones[[#This Row],[tecnico]]</f>
        <v/>
      </c>
      <c r="O22" s="5">
        <f>_xlfn.XLOOKUP(tblAsignaciones[[#This Row],[turno]],tblTurnos[turno],tblTurnos[hora_inicio],"")</f>
        <v/>
      </c>
      <c r="P22" s="5">
        <f>_xlfn.XLOOKUP(tblAsignaciones[[#This Row],[turno]],tblTurnos[turno],tblTurnos[hora_fin],"")</f>
        <v/>
      </c>
      <c r="Q22" s="5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5">
        <f>_xlfn.XLOOKUP(tblAsignaciones[[#This Row],[tecnico]],tblTecnicos[nombre],tblTecnicos[area],"")</f>
        <v/>
      </c>
      <c r="E23" s="5">
        <f>_xlfn.XLOOKUP(tblAsignaciones[[#This Row],[tecnico]],tblTecnicos[nombre],tblTecnicos[especialidad],"")</f>
        <v/>
      </c>
      <c r="F23" s="5">
        <f>COUNTIFS(tblTecnicos[rotativo],"sí",tblTecnicos[especialidad],tblAsignaciones[[#This Row],[especialidad]],tblTecnicos[area],tblAsignaciones[[#This Row],[area]],tblTecnicos[activo],"sí")</f>
        <v/>
      </c>
      <c r="G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4" t="n"/>
      <c r="J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5">
        <f>_xlfn.XLOOKUP(tblAsignaciones[[#This Row],[tecnico]],tblTecnicos[nombre],tblTecnicos[supervisor],"")</f>
        <v/>
      </c>
      <c r="L2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5">
        <f>tblAsignaciones[[#This Row],[semana]]&amp;"|"&amp;tblAsignaciones[[#This Row],[dia]]&amp;"|"&amp;tblAsignaciones[[#This Row],[tecnico]]</f>
        <v/>
      </c>
      <c r="O23" s="5">
        <f>_xlfn.XLOOKUP(tblAsignaciones[[#This Row],[turno]],tblTurnos[turno],tblTurnos[hora_inicio],"")</f>
        <v/>
      </c>
      <c r="P23" s="5">
        <f>_xlfn.XLOOKUP(tblAsignaciones[[#This Row],[turno]],tblTurnos[turno],tblTurnos[hora_fin],"")</f>
        <v/>
      </c>
      <c r="Q23" s="5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5">
        <f>_xlfn.XLOOKUP(tblAsignaciones[[#This Row],[tecnico]],tblTecnicos[nombre],tblTecnicos[area],"")</f>
        <v/>
      </c>
      <c r="E24" s="5">
        <f>_xlfn.XLOOKUP(tblAsignaciones[[#This Row],[tecnico]],tblTecnicos[nombre],tblTecnicos[especialidad],"")</f>
        <v/>
      </c>
      <c r="F24" s="5">
        <f>COUNTIFS(tblTecnicos[rotativo],"sí",tblTecnicos[especialidad],tblAsignaciones[[#This Row],[especialidad]],tblTecnicos[area],tblAsignaciones[[#This Row],[area]],tblTecnicos[activo],"sí")</f>
        <v/>
      </c>
      <c r="G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4" t="n"/>
      <c r="J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5">
        <f>_xlfn.XLOOKUP(tblAsignaciones[[#This Row],[tecnico]],tblTecnicos[nombre],tblTecnicos[supervisor],"")</f>
        <v/>
      </c>
      <c r="L2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5">
        <f>tblAsignaciones[[#This Row],[semana]]&amp;"|"&amp;tblAsignaciones[[#This Row],[dia]]&amp;"|"&amp;tblAsignaciones[[#This Row],[tecnico]]</f>
        <v/>
      </c>
      <c r="O24" s="5">
        <f>_xlfn.XLOOKUP(tblAsignaciones[[#This Row],[turno]],tblTurnos[turno],tblTurnos[hora_inicio],"")</f>
        <v/>
      </c>
      <c r="P24" s="5">
        <f>_xlfn.XLOOKUP(tblAsignaciones[[#This Row],[turno]],tblTurnos[turno],tblTurnos[hora_fin],"")</f>
        <v/>
      </c>
      <c r="Q24" s="5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5">
        <f>_xlfn.XLOOKUP(tblAsignaciones[[#This Row],[tecnico]],tblTecnicos[nombre],tblTecnicos[area],"")</f>
        <v/>
      </c>
      <c r="E25" s="5">
        <f>_xlfn.XLOOKUP(tblAsignaciones[[#This Row],[tecnico]],tblTecnicos[nombre],tblTecnicos[especialidad],"")</f>
        <v/>
      </c>
      <c r="F25" s="5">
        <f>COUNTIFS(tblTecnicos[rotativo],"sí",tblTecnicos[especialidad],tblAsignaciones[[#This Row],[especialidad]],tblTecnicos[area],tblAsignaciones[[#This Row],[area]],tblTecnicos[activo],"sí")</f>
        <v/>
      </c>
      <c r="G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4" t="n"/>
      <c r="J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5">
        <f>_xlfn.XLOOKUP(tblAsignaciones[[#This Row],[tecnico]],tblTecnicos[nombre],tblTecnicos[supervisor],"")</f>
        <v/>
      </c>
      <c r="L2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5">
        <f>tblAsignaciones[[#This Row],[semana]]&amp;"|"&amp;tblAsignaciones[[#This Row],[dia]]&amp;"|"&amp;tblAsignaciones[[#This Row],[tecnico]]</f>
        <v/>
      </c>
      <c r="O25" s="5">
        <f>_xlfn.XLOOKUP(tblAsignaciones[[#This Row],[turno]],tblTurnos[turno],tblTurnos[hora_inicio],"")</f>
        <v/>
      </c>
      <c r="P25" s="5">
        <f>_xlfn.XLOOKUP(tblAsignaciones[[#This Row],[turno]],tblTurnos[turno],tblTurnos[hora_fin],"")</f>
        <v/>
      </c>
      <c r="Q25" s="5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5">
        <f>_xlfn.XLOOKUP(tblAsignaciones[[#This Row],[tecnico]],tblTecnicos[nombre],tblTecnicos[area],"")</f>
        <v/>
      </c>
      <c r="E26" s="5">
        <f>_xlfn.XLOOKUP(tblAsignaciones[[#This Row],[tecnico]],tblTecnicos[nombre],tblTecnicos[especialidad],"")</f>
        <v/>
      </c>
      <c r="F26" s="5">
        <f>COUNTIFS(tblTecnicos[rotativo],"sí",tblTecnicos[especialidad],tblAsignaciones[[#This Row],[especialidad]],tblTecnicos[area],tblAsignaciones[[#This Row],[area]],tblTecnicos[activo],"sí")</f>
        <v/>
      </c>
      <c r="G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4" t="n"/>
      <c r="J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5">
        <f>_xlfn.XLOOKUP(tblAsignaciones[[#This Row],[tecnico]],tblTecnicos[nombre],tblTecnicos[supervisor],"")</f>
        <v/>
      </c>
      <c r="L2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5">
        <f>tblAsignaciones[[#This Row],[semana]]&amp;"|"&amp;tblAsignaciones[[#This Row],[dia]]&amp;"|"&amp;tblAsignaciones[[#This Row],[tecnico]]</f>
        <v/>
      </c>
      <c r="O26" s="5">
        <f>_xlfn.XLOOKUP(tblAsignaciones[[#This Row],[turno]],tblTurnos[turno],tblTurnos[hora_inicio],"")</f>
        <v/>
      </c>
      <c r="P26" s="5">
        <f>_xlfn.XLOOKUP(tblAsignaciones[[#This Row],[turno]],tblTurnos[turno],tblTurnos[hora_fin],"")</f>
        <v/>
      </c>
      <c r="Q26" s="5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5">
        <f>_xlfn.XLOOKUP(tblAsignaciones[[#This Row],[tecnico]],tblTecnicos[nombre],tblTecnicos[area],"")</f>
        <v/>
      </c>
      <c r="E27" s="5">
        <f>_xlfn.XLOOKUP(tblAsignaciones[[#This Row],[tecnico]],tblTecnicos[nombre],tblTecnicos[especialidad],"")</f>
        <v/>
      </c>
      <c r="F27" s="5">
        <f>COUNTIFS(tblTecnicos[rotativo],"sí",tblTecnicos[especialidad],tblAsignaciones[[#This Row],[especialidad]],tblTecnicos[area],tblAsignaciones[[#This Row],[area]],tblTecnicos[activo],"sí")</f>
        <v/>
      </c>
      <c r="G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4" t="n"/>
      <c r="J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5">
        <f>_xlfn.XLOOKUP(tblAsignaciones[[#This Row],[tecnico]],tblTecnicos[nombre],tblTecnicos[supervisor],"")</f>
        <v/>
      </c>
      <c r="L2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5">
        <f>tblAsignaciones[[#This Row],[semana]]&amp;"|"&amp;tblAsignaciones[[#This Row],[dia]]&amp;"|"&amp;tblAsignaciones[[#This Row],[tecnico]]</f>
        <v/>
      </c>
      <c r="O27" s="5">
        <f>_xlfn.XLOOKUP(tblAsignaciones[[#This Row],[turno]],tblTurnos[turno],tblTurnos[hora_inicio],"")</f>
        <v/>
      </c>
      <c r="P27" s="5">
        <f>_xlfn.XLOOKUP(tblAsignaciones[[#This Row],[turno]],tblTurnos[turno],tblTurnos[hora_fin],"")</f>
        <v/>
      </c>
      <c r="Q27" s="5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5">
        <f>_xlfn.XLOOKUP(tblAsignaciones[[#This Row],[tecnico]],tblTecnicos[nombre],tblTecnicos[area],"")</f>
        <v/>
      </c>
      <c r="E28" s="5">
        <f>_xlfn.XLOOKUP(tblAsignaciones[[#This Row],[tecnico]],tblTecnicos[nombre],tblTecnicos[especialidad],"")</f>
        <v/>
      </c>
      <c r="F28" s="5">
        <f>COUNTIFS(tblTecnicos[rotativo],"sí",tblTecnicos[especialidad],tblAsignaciones[[#This Row],[especialidad]],tblTecnicos[area],tblAsignaciones[[#This Row],[area]],tblTecnicos[activo],"sí")</f>
        <v/>
      </c>
      <c r="G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4" t="n"/>
      <c r="J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5">
        <f>_xlfn.XLOOKUP(tblAsignaciones[[#This Row],[tecnico]],tblTecnicos[nombre],tblTecnicos[supervisor],"")</f>
        <v/>
      </c>
      <c r="L2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5">
        <f>tblAsignaciones[[#This Row],[semana]]&amp;"|"&amp;tblAsignaciones[[#This Row],[dia]]&amp;"|"&amp;tblAsignaciones[[#This Row],[tecnico]]</f>
        <v/>
      </c>
      <c r="O28" s="5">
        <f>_xlfn.XLOOKUP(tblAsignaciones[[#This Row],[turno]],tblTurnos[turno],tblTurnos[hora_inicio],"")</f>
        <v/>
      </c>
      <c r="P28" s="5">
        <f>_xlfn.XLOOKUP(tblAsignaciones[[#This Row],[turno]],tblTurnos[turno],tblTurnos[hora_fin],"")</f>
        <v/>
      </c>
      <c r="Q28" s="5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5">
        <f>_xlfn.XLOOKUP(tblAsignaciones[[#This Row],[tecnico]],tblTecnicos[nombre],tblTecnicos[area],"")</f>
        <v/>
      </c>
      <c r="E29" s="5">
        <f>_xlfn.XLOOKUP(tblAsignaciones[[#This Row],[tecnico]],tblTecnicos[nombre],tblTecnicos[especialidad],"")</f>
        <v/>
      </c>
      <c r="F29" s="5">
        <f>COUNTIFS(tblTecnicos[rotativo],"sí",tblTecnicos[especialidad],tblAsignaciones[[#This Row],[especialidad]],tblTecnicos[area],tblAsignaciones[[#This Row],[area]],tblTecnicos[activo],"sí")</f>
        <v/>
      </c>
      <c r="G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4" t="n"/>
      <c r="J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5">
        <f>_xlfn.XLOOKUP(tblAsignaciones[[#This Row],[tecnico]],tblTecnicos[nombre],tblTecnicos[supervisor],"")</f>
        <v/>
      </c>
      <c r="L2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5">
        <f>tblAsignaciones[[#This Row],[semana]]&amp;"|"&amp;tblAsignaciones[[#This Row],[dia]]&amp;"|"&amp;tblAsignaciones[[#This Row],[tecnico]]</f>
        <v/>
      </c>
      <c r="O29" s="5">
        <f>_xlfn.XLOOKUP(tblAsignaciones[[#This Row],[turno]],tblTurnos[turno],tblTurnos[hora_inicio],"")</f>
        <v/>
      </c>
      <c r="P29" s="5">
        <f>_xlfn.XLOOKUP(tblAsignaciones[[#This Row],[turno]],tblTurnos[turno],tblTurnos[hora_fin],"")</f>
        <v/>
      </c>
      <c r="Q29" s="5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5">
        <f>_xlfn.XLOOKUP(tblAsignaciones[[#This Row],[tecnico]],tblTecnicos[nombre],tblTecnicos[area],"")</f>
        <v/>
      </c>
      <c r="E30" s="5">
        <f>_xlfn.XLOOKUP(tblAsignaciones[[#This Row],[tecnico]],tblTecnicos[nombre],tblTecnicos[especialidad],"")</f>
        <v/>
      </c>
      <c r="F30" s="5">
        <f>COUNTIFS(tblTecnicos[rotativo],"sí",tblTecnicos[especialidad],tblAsignaciones[[#This Row],[especialidad]],tblTecnicos[area],tblAsignaciones[[#This Row],[area]],tblTecnicos[activo],"sí")</f>
        <v/>
      </c>
      <c r="G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4" t="n"/>
      <c r="J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5">
        <f>_xlfn.XLOOKUP(tblAsignaciones[[#This Row],[tecnico]],tblTecnicos[nombre],tblTecnicos[supervisor],"")</f>
        <v/>
      </c>
      <c r="L3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5">
        <f>tblAsignaciones[[#This Row],[semana]]&amp;"|"&amp;tblAsignaciones[[#This Row],[dia]]&amp;"|"&amp;tblAsignaciones[[#This Row],[tecnico]]</f>
        <v/>
      </c>
      <c r="O30" s="5">
        <f>_xlfn.XLOOKUP(tblAsignaciones[[#This Row],[turno]],tblTurnos[turno],tblTurnos[hora_inicio],"")</f>
        <v/>
      </c>
      <c r="P30" s="5">
        <f>_xlfn.XLOOKUP(tblAsignaciones[[#This Row],[turno]],tblTurnos[turno],tblTurnos[hora_fin],"")</f>
        <v/>
      </c>
      <c r="Q30" s="5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5">
        <f>_xlfn.XLOOKUP(tblAsignaciones[[#This Row],[tecnico]],tblTecnicos[nombre],tblTecnicos[area],"")</f>
        <v/>
      </c>
      <c r="E31" s="5">
        <f>_xlfn.XLOOKUP(tblAsignaciones[[#This Row],[tecnico]],tblTecnicos[nombre],tblTecnicos[especialidad],"")</f>
        <v/>
      </c>
      <c r="F31" s="5">
        <f>COUNTIFS(tblTecnicos[rotativo],"sí",tblTecnicos[especialidad],tblAsignaciones[[#This Row],[especialidad]],tblTecnicos[area],tblAsignaciones[[#This Row],[area]],tblTecnicos[activo],"sí")</f>
        <v/>
      </c>
      <c r="G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4" t="n"/>
      <c r="J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5">
        <f>_xlfn.XLOOKUP(tblAsignaciones[[#This Row],[tecnico]],tblTecnicos[nombre],tblTecnicos[supervisor],"")</f>
        <v/>
      </c>
      <c r="L3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5">
        <f>tblAsignaciones[[#This Row],[semana]]&amp;"|"&amp;tblAsignaciones[[#This Row],[dia]]&amp;"|"&amp;tblAsignaciones[[#This Row],[tecnico]]</f>
        <v/>
      </c>
      <c r="O31" s="5">
        <f>_xlfn.XLOOKUP(tblAsignaciones[[#This Row],[turno]],tblTurnos[turno],tblTurnos[hora_inicio],"")</f>
        <v/>
      </c>
      <c r="P31" s="5">
        <f>_xlfn.XLOOKUP(tblAsignaciones[[#This Row],[turno]],tblTurnos[turno],tblTurnos[hora_fin],"")</f>
        <v/>
      </c>
      <c r="Q31" s="5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5">
        <f>_xlfn.XLOOKUP(tblAsignaciones[[#This Row],[tecnico]],tblTecnicos[nombre],tblTecnicos[area],"")</f>
        <v/>
      </c>
      <c r="E32" s="5">
        <f>_xlfn.XLOOKUP(tblAsignaciones[[#This Row],[tecnico]],tblTecnicos[nombre],tblTecnicos[especialidad],"")</f>
        <v/>
      </c>
      <c r="F32" s="5">
        <f>COUNTIFS(tblTecnicos[rotativo],"sí",tblTecnicos[especialidad],tblAsignaciones[[#This Row],[especialidad]],tblTecnicos[area],tblAsignaciones[[#This Row],[area]],tblTecnicos[activo],"sí")</f>
        <v/>
      </c>
      <c r="G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4" t="n"/>
      <c r="J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5">
        <f>_xlfn.XLOOKUP(tblAsignaciones[[#This Row],[tecnico]],tblTecnicos[nombre],tblTecnicos[supervisor],"")</f>
        <v/>
      </c>
      <c r="L3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5">
        <f>tblAsignaciones[[#This Row],[semana]]&amp;"|"&amp;tblAsignaciones[[#This Row],[dia]]&amp;"|"&amp;tblAsignaciones[[#This Row],[tecnico]]</f>
        <v/>
      </c>
      <c r="O32" s="5">
        <f>_xlfn.XLOOKUP(tblAsignaciones[[#This Row],[turno]],tblTurnos[turno],tblTurnos[hora_inicio],"")</f>
        <v/>
      </c>
      <c r="P32" s="5">
        <f>_xlfn.XLOOKUP(tblAsignaciones[[#This Row],[turno]],tblTurnos[turno],tblTurnos[hora_fin],"")</f>
        <v/>
      </c>
      <c r="Q32" s="5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5">
        <f>_xlfn.XLOOKUP(tblAsignaciones[[#This Row],[tecnico]],tblTecnicos[nombre],tblTecnicos[area],"")</f>
        <v/>
      </c>
      <c r="E33" s="5">
        <f>_xlfn.XLOOKUP(tblAsignaciones[[#This Row],[tecnico]],tblTecnicos[nombre],tblTecnicos[especialidad],"")</f>
        <v/>
      </c>
      <c r="F33" s="5">
        <f>COUNTIFS(tblTecnicos[rotativo],"sí",tblTecnicos[especialidad],tblAsignaciones[[#This Row],[especialidad]],tblTecnicos[area],tblAsignaciones[[#This Row],[area]],tblTecnicos[activo],"sí")</f>
        <v/>
      </c>
      <c r="G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4" t="n"/>
      <c r="J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5">
        <f>_xlfn.XLOOKUP(tblAsignaciones[[#This Row],[tecnico]],tblTecnicos[nombre],tblTecnicos[supervisor],"")</f>
        <v/>
      </c>
      <c r="L3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5">
        <f>tblAsignaciones[[#This Row],[semana]]&amp;"|"&amp;tblAsignaciones[[#This Row],[dia]]&amp;"|"&amp;tblAsignaciones[[#This Row],[tecnico]]</f>
        <v/>
      </c>
      <c r="O33" s="5">
        <f>_xlfn.XLOOKUP(tblAsignaciones[[#This Row],[turno]],tblTurnos[turno],tblTurnos[hora_inicio],"")</f>
        <v/>
      </c>
      <c r="P33" s="5">
        <f>_xlfn.XLOOKUP(tblAsignaciones[[#This Row],[turno]],tblTurnos[turno],tblTurnos[hora_fin],"")</f>
        <v/>
      </c>
      <c r="Q33" s="5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5">
        <f>_xlfn.XLOOKUP(tblAsignaciones[[#This Row],[tecnico]],tblTecnicos[nombre],tblTecnicos[area],"")</f>
        <v/>
      </c>
      <c r="E34" s="5">
        <f>_xlfn.XLOOKUP(tblAsignaciones[[#This Row],[tecnico]],tblTecnicos[nombre],tblTecnicos[especialidad],"")</f>
        <v/>
      </c>
      <c r="F34" s="5">
        <f>COUNTIFS(tblTecnicos[rotativo],"sí",tblTecnicos[especialidad],tblAsignaciones[[#This Row],[especialidad]],tblTecnicos[area],tblAsignaciones[[#This Row],[area]],tblTecnicos[activo],"sí")</f>
        <v/>
      </c>
      <c r="G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4" t="n"/>
      <c r="J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5">
        <f>_xlfn.XLOOKUP(tblAsignaciones[[#This Row],[tecnico]],tblTecnicos[nombre],tblTecnicos[supervisor],"")</f>
        <v/>
      </c>
      <c r="L3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5">
        <f>tblAsignaciones[[#This Row],[semana]]&amp;"|"&amp;tblAsignaciones[[#This Row],[dia]]&amp;"|"&amp;tblAsignaciones[[#This Row],[tecnico]]</f>
        <v/>
      </c>
      <c r="O34" s="5">
        <f>_xlfn.XLOOKUP(tblAsignaciones[[#This Row],[turno]],tblTurnos[turno],tblTurnos[hora_inicio],"")</f>
        <v/>
      </c>
      <c r="P34" s="5">
        <f>_xlfn.XLOOKUP(tblAsignaciones[[#This Row],[turno]],tblTurnos[turno],tblTurnos[hora_fin],"")</f>
        <v/>
      </c>
      <c r="Q34" s="5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5">
        <f>_xlfn.XLOOKUP(tblAsignaciones[[#This Row],[tecnico]],tblTecnicos[nombre],tblTecnicos[area],"")</f>
        <v/>
      </c>
      <c r="E35" s="5">
        <f>_xlfn.XLOOKUP(tblAsignaciones[[#This Row],[tecnico]],tblTecnicos[nombre],tblTecnicos[especialidad],"")</f>
        <v/>
      </c>
      <c r="F35" s="5">
        <f>COUNTIFS(tblTecnicos[rotativo],"sí",tblTecnicos[especialidad],tblAsignaciones[[#This Row],[especialidad]],tblTecnicos[area],tblAsignaciones[[#This Row],[area]],tblTecnicos[activo],"sí")</f>
        <v/>
      </c>
      <c r="G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4" t="n"/>
      <c r="J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5">
        <f>_xlfn.XLOOKUP(tblAsignaciones[[#This Row],[tecnico]],tblTecnicos[nombre],tblTecnicos[supervisor],"")</f>
        <v/>
      </c>
      <c r="L3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5">
        <f>tblAsignaciones[[#This Row],[semana]]&amp;"|"&amp;tblAsignaciones[[#This Row],[dia]]&amp;"|"&amp;tblAsignaciones[[#This Row],[tecnico]]</f>
        <v/>
      </c>
      <c r="O35" s="5">
        <f>_xlfn.XLOOKUP(tblAsignaciones[[#This Row],[turno]],tblTurnos[turno],tblTurnos[hora_inicio],"")</f>
        <v/>
      </c>
      <c r="P35" s="5">
        <f>_xlfn.XLOOKUP(tblAsignaciones[[#This Row],[turno]],tblTurnos[turno],tblTurnos[hora_fin],"")</f>
        <v/>
      </c>
      <c r="Q35" s="5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5">
        <f>_xlfn.XLOOKUP(tblAsignaciones[[#This Row],[tecnico]],tblTecnicos[nombre],tblTecnicos[area],"")</f>
        <v/>
      </c>
      <c r="E36" s="5">
        <f>_xlfn.XLOOKUP(tblAsignaciones[[#This Row],[tecnico]],tblTecnicos[nombre],tblTecnicos[especialidad],"")</f>
        <v/>
      </c>
      <c r="F36" s="5">
        <f>COUNTIFS(tblTecnicos[rotativo],"sí",tblTecnicos[especialidad],tblAsignaciones[[#This Row],[especialidad]],tblTecnicos[area],tblAsignaciones[[#This Row],[area]],tblTecnicos[activo],"sí")</f>
        <v/>
      </c>
      <c r="G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4" t="n"/>
      <c r="J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5">
        <f>_xlfn.XLOOKUP(tblAsignaciones[[#This Row],[tecnico]],tblTecnicos[nombre],tblTecnicos[supervisor],"")</f>
        <v/>
      </c>
      <c r="L3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5">
        <f>tblAsignaciones[[#This Row],[semana]]&amp;"|"&amp;tblAsignaciones[[#This Row],[dia]]&amp;"|"&amp;tblAsignaciones[[#This Row],[tecnico]]</f>
        <v/>
      </c>
      <c r="O36" s="5">
        <f>_xlfn.XLOOKUP(tblAsignaciones[[#This Row],[turno]],tblTurnos[turno],tblTurnos[hora_inicio],"")</f>
        <v/>
      </c>
      <c r="P36" s="5">
        <f>_xlfn.XLOOKUP(tblAsignaciones[[#This Row],[turno]],tblTurnos[turno],tblTurnos[hora_fin],"")</f>
        <v/>
      </c>
      <c r="Q36" s="5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5">
        <f>_xlfn.XLOOKUP(tblAsignaciones[[#This Row],[tecnico]],tblTecnicos[nombre],tblTecnicos[area],"")</f>
        <v/>
      </c>
      <c r="E37" s="5">
        <f>_xlfn.XLOOKUP(tblAsignaciones[[#This Row],[tecnico]],tblTecnicos[nombre],tblTecnicos[especialidad],"")</f>
        <v/>
      </c>
      <c r="F37" s="5">
        <f>COUNTIFS(tblTecnicos[rotativo],"sí",tblTecnicos[especialidad],tblAsignaciones[[#This Row],[especialidad]],tblTecnicos[area],tblAsignaciones[[#This Row],[area]],tblTecnicos[activo],"sí")</f>
        <v/>
      </c>
      <c r="G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4" t="n"/>
      <c r="J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5">
        <f>_xlfn.XLOOKUP(tblAsignaciones[[#This Row],[tecnico]],tblTecnicos[nombre],tblTecnicos[supervisor],"")</f>
        <v/>
      </c>
      <c r="L3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5">
        <f>tblAsignaciones[[#This Row],[semana]]&amp;"|"&amp;tblAsignaciones[[#This Row],[dia]]&amp;"|"&amp;tblAsignaciones[[#This Row],[tecnico]]</f>
        <v/>
      </c>
      <c r="O37" s="5">
        <f>_xlfn.XLOOKUP(tblAsignaciones[[#This Row],[turno]],tblTurnos[turno],tblTurnos[hora_inicio],"")</f>
        <v/>
      </c>
      <c r="P37" s="5">
        <f>_xlfn.XLOOKUP(tblAsignaciones[[#This Row],[turno]],tblTurnos[turno],tblTurnos[hora_fin],"")</f>
        <v/>
      </c>
      <c r="Q37" s="5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5">
        <f>_xlfn.XLOOKUP(tblAsignaciones[[#This Row],[tecnico]],tblTecnicos[nombre],tblTecnicos[area],"")</f>
        <v/>
      </c>
      <c r="E38" s="5">
        <f>_xlfn.XLOOKUP(tblAsignaciones[[#This Row],[tecnico]],tblTecnicos[nombre],tblTecnicos[especialidad],"")</f>
        <v/>
      </c>
      <c r="F38" s="5">
        <f>COUNTIFS(tblTecnicos[rotativo],"sí",tblTecnicos[especialidad],tblAsignaciones[[#This Row],[especialidad]],tblTecnicos[area],tblAsignaciones[[#This Row],[area]],tblTecnicos[activo],"sí")</f>
        <v/>
      </c>
      <c r="G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4" t="n"/>
      <c r="J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5">
        <f>_xlfn.XLOOKUP(tblAsignaciones[[#This Row],[tecnico]],tblTecnicos[nombre],tblTecnicos[supervisor],"")</f>
        <v/>
      </c>
      <c r="L3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5">
        <f>tblAsignaciones[[#This Row],[semana]]&amp;"|"&amp;tblAsignaciones[[#This Row],[dia]]&amp;"|"&amp;tblAsignaciones[[#This Row],[tecnico]]</f>
        <v/>
      </c>
      <c r="O38" s="5">
        <f>_xlfn.XLOOKUP(tblAsignaciones[[#This Row],[turno]],tblTurnos[turno],tblTurnos[hora_inicio],"")</f>
        <v/>
      </c>
      <c r="P38" s="5">
        <f>_xlfn.XLOOKUP(tblAsignaciones[[#This Row],[turno]],tblTurnos[turno],tblTurnos[hora_fin],"")</f>
        <v/>
      </c>
      <c r="Q38" s="5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5">
        <f>_xlfn.XLOOKUP(tblAsignaciones[[#This Row],[tecnico]],tblTecnicos[nombre],tblTecnicos[area],"")</f>
        <v/>
      </c>
      <c r="E39" s="5">
        <f>_xlfn.XLOOKUP(tblAsignaciones[[#This Row],[tecnico]],tblTecnicos[nombre],tblTecnicos[especialidad],"")</f>
        <v/>
      </c>
      <c r="F39" s="5">
        <f>COUNTIFS(tblTecnicos[rotativo],"sí",tblTecnicos[especialidad],tblAsignaciones[[#This Row],[especialidad]],tblTecnicos[area],tblAsignaciones[[#This Row],[area]],tblTecnicos[activo],"sí")</f>
        <v/>
      </c>
      <c r="G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4" t="n"/>
      <c r="J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5">
        <f>_xlfn.XLOOKUP(tblAsignaciones[[#This Row],[tecnico]],tblTecnicos[nombre],tblTecnicos[supervisor],"")</f>
        <v/>
      </c>
      <c r="L3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5">
        <f>tblAsignaciones[[#This Row],[semana]]&amp;"|"&amp;tblAsignaciones[[#This Row],[dia]]&amp;"|"&amp;tblAsignaciones[[#This Row],[tecnico]]</f>
        <v/>
      </c>
      <c r="O39" s="5">
        <f>_xlfn.XLOOKUP(tblAsignaciones[[#This Row],[turno]],tblTurnos[turno],tblTurnos[hora_inicio],"")</f>
        <v/>
      </c>
      <c r="P39" s="5">
        <f>_xlfn.XLOOKUP(tblAsignaciones[[#This Row],[turno]],tblTurnos[turno],tblTurnos[hora_fin],"")</f>
        <v/>
      </c>
      <c r="Q39" s="5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5">
        <f>_xlfn.XLOOKUP(tblAsignaciones[[#This Row],[tecnico]],tblTecnicos[nombre],tblTecnicos[area],"")</f>
        <v/>
      </c>
      <c r="E40" s="5">
        <f>_xlfn.XLOOKUP(tblAsignaciones[[#This Row],[tecnico]],tblTecnicos[nombre],tblTecnicos[especialidad],"")</f>
        <v/>
      </c>
      <c r="F40" s="5">
        <f>COUNTIFS(tblTecnicos[rotativo],"sí",tblTecnicos[especialidad],tblAsignaciones[[#This Row],[especialidad]],tblTecnicos[area],tblAsignaciones[[#This Row],[area]],tblTecnicos[activo],"sí")</f>
        <v/>
      </c>
      <c r="G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4" t="n"/>
      <c r="J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5">
        <f>_xlfn.XLOOKUP(tblAsignaciones[[#This Row],[tecnico]],tblTecnicos[nombre],tblTecnicos[supervisor],"")</f>
        <v/>
      </c>
      <c r="L4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5">
        <f>tblAsignaciones[[#This Row],[semana]]&amp;"|"&amp;tblAsignaciones[[#This Row],[dia]]&amp;"|"&amp;tblAsignaciones[[#This Row],[tecnico]]</f>
        <v/>
      </c>
      <c r="O40" s="5">
        <f>_xlfn.XLOOKUP(tblAsignaciones[[#This Row],[turno]],tblTurnos[turno],tblTurnos[hora_inicio],"")</f>
        <v/>
      </c>
      <c r="P40" s="5">
        <f>_xlfn.XLOOKUP(tblAsignaciones[[#This Row],[turno]],tblTurnos[turno],tblTurnos[hora_fin],"")</f>
        <v/>
      </c>
      <c r="Q40" s="5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5">
        <f>_xlfn.XLOOKUP(tblAsignaciones[[#This Row],[tecnico]],tblTecnicos[nombre],tblTecnicos[area],"")</f>
        <v/>
      </c>
      <c r="E41" s="5">
        <f>_xlfn.XLOOKUP(tblAsignaciones[[#This Row],[tecnico]],tblTecnicos[nombre],tblTecnicos[especialidad],"")</f>
        <v/>
      </c>
      <c r="F41" s="5">
        <f>COUNTIFS(tblTecnicos[rotativo],"sí",tblTecnicos[especialidad],tblAsignaciones[[#This Row],[especialidad]],tblTecnicos[area],tblAsignaciones[[#This Row],[area]],tblTecnicos[activo],"sí")</f>
        <v/>
      </c>
      <c r="G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4" t="n"/>
      <c r="J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5">
        <f>_xlfn.XLOOKUP(tblAsignaciones[[#This Row],[tecnico]],tblTecnicos[nombre],tblTecnicos[supervisor],"")</f>
        <v/>
      </c>
      <c r="L4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5">
        <f>tblAsignaciones[[#This Row],[semana]]&amp;"|"&amp;tblAsignaciones[[#This Row],[dia]]&amp;"|"&amp;tblAsignaciones[[#This Row],[tecnico]]</f>
        <v/>
      </c>
      <c r="O41" s="5">
        <f>_xlfn.XLOOKUP(tblAsignaciones[[#This Row],[turno]],tblTurnos[turno],tblTurnos[hora_inicio],"")</f>
        <v/>
      </c>
      <c r="P41" s="5">
        <f>_xlfn.XLOOKUP(tblAsignaciones[[#This Row],[turno]],tblTurnos[turno],tblTurnos[hora_fin],"")</f>
        <v/>
      </c>
      <c r="Q41" s="5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5">
        <f>_xlfn.XLOOKUP(tblAsignaciones[[#This Row],[tecnico]],tblTecnicos[nombre],tblTecnicos[area],"")</f>
        <v/>
      </c>
      <c r="E42" s="5">
        <f>_xlfn.XLOOKUP(tblAsignaciones[[#This Row],[tecnico]],tblTecnicos[nombre],tblTecnicos[especialidad],"")</f>
        <v/>
      </c>
      <c r="F42" s="5">
        <f>COUNTIFS(tblTecnicos[rotativo],"sí",tblTecnicos[especialidad],tblAsignaciones[[#This Row],[especialidad]],tblTecnicos[area],tblAsignaciones[[#This Row],[area]],tblTecnicos[activo],"sí")</f>
        <v/>
      </c>
      <c r="G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4" t="n"/>
      <c r="J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5">
        <f>_xlfn.XLOOKUP(tblAsignaciones[[#This Row],[tecnico]],tblTecnicos[nombre],tblTecnicos[supervisor],"")</f>
        <v/>
      </c>
      <c r="L4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5">
        <f>tblAsignaciones[[#This Row],[semana]]&amp;"|"&amp;tblAsignaciones[[#This Row],[dia]]&amp;"|"&amp;tblAsignaciones[[#This Row],[tecnico]]</f>
        <v/>
      </c>
      <c r="O42" s="5">
        <f>_xlfn.XLOOKUP(tblAsignaciones[[#This Row],[turno]],tblTurnos[turno],tblTurnos[hora_inicio],"")</f>
        <v/>
      </c>
      <c r="P42" s="5">
        <f>_xlfn.XLOOKUP(tblAsignaciones[[#This Row],[turno]],tblTurnos[turno],tblTurnos[hora_fin],"")</f>
        <v/>
      </c>
      <c r="Q42" s="5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5">
        <f>_xlfn.XLOOKUP(tblAsignaciones[[#This Row],[tecnico]],tblTecnicos[nombre],tblTecnicos[area],"")</f>
        <v/>
      </c>
      <c r="E43" s="5">
        <f>_xlfn.XLOOKUP(tblAsignaciones[[#This Row],[tecnico]],tblTecnicos[nombre],tblTecnicos[especialidad],"")</f>
        <v/>
      </c>
      <c r="F43" s="5">
        <f>COUNTIFS(tblTecnicos[rotativo],"sí",tblTecnicos[especialidad],tblAsignaciones[[#This Row],[especialidad]],tblTecnicos[area],tblAsignaciones[[#This Row],[area]],tblTecnicos[activo],"sí")</f>
        <v/>
      </c>
      <c r="G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4" t="n"/>
      <c r="J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5">
        <f>_xlfn.XLOOKUP(tblAsignaciones[[#This Row],[tecnico]],tblTecnicos[nombre],tblTecnicos[supervisor],"")</f>
        <v/>
      </c>
      <c r="L4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5">
        <f>tblAsignaciones[[#This Row],[semana]]&amp;"|"&amp;tblAsignaciones[[#This Row],[dia]]&amp;"|"&amp;tblAsignaciones[[#This Row],[tecnico]]</f>
        <v/>
      </c>
      <c r="O43" s="5">
        <f>_xlfn.XLOOKUP(tblAsignaciones[[#This Row],[turno]],tblTurnos[turno],tblTurnos[hora_inicio],"")</f>
        <v/>
      </c>
      <c r="P43" s="5">
        <f>_xlfn.XLOOKUP(tblAsignaciones[[#This Row],[turno]],tblTurnos[turno],tblTurnos[hora_fin],"")</f>
        <v/>
      </c>
      <c r="Q43" s="5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5">
        <f>_xlfn.XLOOKUP(tblAsignaciones[[#This Row],[tecnico]],tblTecnicos[nombre],tblTecnicos[area],"")</f>
        <v/>
      </c>
      <c r="E44" s="5">
        <f>_xlfn.XLOOKUP(tblAsignaciones[[#This Row],[tecnico]],tblTecnicos[nombre],tblTecnicos[especialidad],"")</f>
        <v/>
      </c>
      <c r="F44" s="5">
        <f>COUNTIFS(tblTecnicos[rotativo],"sí",tblTecnicos[especialidad],tblAsignaciones[[#This Row],[especialidad]],tblTecnicos[area],tblAsignaciones[[#This Row],[area]],tblTecnicos[activo],"sí")</f>
        <v/>
      </c>
      <c r="G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4" t="n"/>
      <c r="J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5">
        <f>_xlfn.XLOOKUP(tblAsignaciones[[#This Row],[tecnico]],tblTecnicos[nombre],tblTecnicos[supervisor],"")</f>
        <v/>
      </c>
      <c r="L4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5">
        <f>tblAsignaciones[[#This Row],[semana]]&amp;"|"&amp;tblAsignaciones[[#This Row],[dia]]&amp;"|"&amp;tblAsignaciones[[#This Row],[tecnico]]</f>
        <v/>
      </c>
      <c r="O44" s="5">
        <f>_xlfn.XLOOKUP(tblAsignaciones[[#This Row],[turno]],tblTurnos[turno],tblTurnos[hora_inicio],"")</f>
        <v/>
      </c>
      <c r="P44" s="5">
        <f>_xlfn.XLOOKUP(tblAsignaciones[[#This Row],[turno]],tblTurnos[turno],tblTurnos[hora_fin],"")</f>
        <v/>
      </c>
      <c r="Q44" s="5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5">
        <f>_xlfn.XLOOKUP(tblAsignaciones[[#This Row],[tecnico]],tblTecnicos[nombre],tblTecnicos[area],"")</f>
        <v/>
      </c>
      <c r="E45" s="5">
        <f>_xlfn.XLOOKUP(tblAsignaciones[[#This Row],[tecnico]],tblTecnicos[nombre],tblTecnicos[especialidad],"")</f>
        <v/>
      </c>
      <c r="F45" s="5">
        <f>COUNTIFS(tblTecnicos[rotativo],"sí",tblTecnicos[especialidad],tblAsignaciones[[#This Row],[especialidad]],tblTecnicos[area],tblAsignaciones[[#This Row],[area]],tblTecnicos[activo],"sí")</f>
        <v/>
      </c>
      <c r="G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4" t="n"/>
      <c r="J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5">
        <f>_xlfn.XLOOKUP(tblAsignaciones[[#This Row],[tecnico]],tblTecnicos[nombre],tblTecnicos[supervisor],"")</f>
        <v/>
      </c>
      <c r="L4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5">
        <f>tblAsignaciones[[#This Row],[semana]]&amp;"|"&amp;tblAsignaciones[[#This Row],[dia]]&amp;"|"&amp;tblAsignaciones[[#This Row],[tecnico]]</f>
        <v/>
      </c>
      <c r="O45" s="5">
        <f>_xlfn.XLOOKUP(tblAsignaciones[[#This Row],[turno]],tblTurnos[turno],tblTurnos[hora_inicio],"")</f>
        <v/>
      </c>
      <c r="P45" s="5">
        <f>_xlfn.XLOOKUP(tblAsignaciones[[#This Row],[turno]],tblTurnos[turno],tblTurnos[hora_fin],"")</f>
        <v/>
      </c>
      <c r="Q45" s="5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5">
        <f>_xlfn.XLOOKUP(tblAsignaciones[[#This Row],[tecnico]],tblTecnicos[nombre],tblTecnicos[area],"")</f>
        <v/>
      </c>
      <c r="E46" s="5">
        <f>_xlfn.XLOOKUP(tblAsignaciones[[#This Row],[tecnico]],tblTecnicos[nombre],tblTecnicos[especialidad],"")</f>
        <v/>
      </c>
      <c r="F46" s="5">
        <f>COUNTIFS(tblTecnicos[rotativo],"sí",tblTecnicos[especialidad],tblAsignaciones[[#This Row],[especialidad]],tblTecnicos[area],tblAsignaciones[[#This Row],[area]],tblTecnicos[activo],"sí")</f>
        <v/>
      </c>
      <c r="G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4" t="n"/>
      <c r="J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5">
        <f>_xlfn.XLOOKUP(tblAsignaciones[[#This Row],[tecnico]],tblTecnicos[nombre],tblTecnicos[supervisor],"")</f>
        <v/>
      </c>
      <c r="L4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5">
        <f>tblAsignaciones[[#This Row],[semana]]&amp;"|"&amp;tblAsignaciones[[#This Row],[dia]]&amp;"|"&amp;tblAsignaciones[[#This Row],[tecnico]]</f>
        <v/>
      </c>
      <c r="O46" s="5">
        <f>_xlfn.XLOOKUP(tblAsignaciones[[#This Row],[turno]],tblTurnos[turno],tblTurnos[hora_inicio],"")</f>
        <v/>
      </c>
      <c r="P46" s="5">
        <f>_xlfn.XLOOKUP(tblAsignaciones[[#This Row],[turno]],tblTurnos[turno],tblTurnos[hora_fin],"")</f>
        <v/>
      </c>
      <c r="Q46" s="5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5">
        <f>_xlfn.XLOOKUP(tblAsignaciones[[#This Row],[tecnico]],tblTecnicos[nombre],tblTecnicos[area],"")</f>
        <v/>
      </c>
      <c r="E47" s="5">
        <f>_xlfn.XLOOKUP(tblAsignaciones[[#This Row],[tecnico]],tblTecnicos[nombre],tblTecnicos[especialidad],"")</f>
        <v/>
      </c>
      <c r="F47" s="5">
        <f>COUNTIFS(tblTecnicos[rotativo],"sí",tblTecnicos[especialidad],tblAsignaciones[[#This Row],[especialidad]],tblTecnicos[area],tblAsignaciones[[#This Row],[area]],tblTecnicos[activo],"sí")</f>
        <v/>
      </c>
      <c r="G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4" t="n"/>
      <c r="J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5">
        <f>_xlfn.XLOOKUP(tblAsignaciones[[#This Row],[tecnico]],tblTecnicos[nombre],tblTecnicos[supervisor],"")</f>
        <v/>
      </c>
      <c r="L4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5">
        <f>tblAsignaciones[[#This Row],[semana]]&amp;"|"&amp;tblAsignaciones[[#This Row],[dia]]&amp;"|"&amp;tblAsignaciones[[#This Row],[tecnico]]</f>
        <v/>
      </c>
      <c r="O47" s="5">
        <f>_xlfn.XLOOKUP(tblAsignaciones[[#This Row],[turno]],tblTurnos[turno],tblTurnos[hora_inicio],"")</f>
        <v/>
      </c>
      <c r="P47" s="5">
        <f>_xlfn.XLOOKUP(tblAsignaciones[[#This Row],[turno]],tblTurnos[turno],tblTurnos[hora_fin],"")</f>
        <v/>
      </c>
      <c r="Q47" s="5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5">
        <f>_xlfn.XLOOKUP(tblAsignaciones[[#This Row],[tecnico]],tblTecnicos[nombre],tblTecnicos[area],"")</f>
        <v/>
      </c>
      <c r="E48" s="5">
        <f>_xlfn.XLOOKUP(tblAsignaciones[[#This Row],[tecnico]],tblTecnicos[nombre],tblTecnicos[especialidad],"")</f>
        <v/>
      </c>
      <c r="F48" s="5">
        <f>COUNTIFS(tblTecnicos[rotativo],"sí",tblTecnicos[especialidad],tblAsignaciones[[#This Row],[especialidad]],tblTecnicos[area],tblAsignaciones[[#This Row],[area]],tblTecnicos[activo],"sí")</f>
        <v/>
      </c>
      <c r="G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4" t="n"/>
      <c r="J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5">
        <f>_xlfn.XLOOKUP(tblAsignaciones[[#This Row],[tecnico]],tblTecnicos[nombre],tblTecnicos[supervisor],"")</f>
        <v/>
      </c>
      <c r="L4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5">
        <f>tblAsignaciones[[#This Row],[semana]]&amp;"|"&amp;tblAsignaciones[[#This Row],[dia]]&amp;"|"&amp;tblAsignaciones[[#This Row],[tecnico]]</f>
        <v/>
      </c>
      <c r="O48" s="5">
        <f>_xlfn.XLOOKUP(tblAsignaciones[[#This Row],[turno]],tblTurnos[turno],tblTurnos[hora_inicio],"")</f>
        <v/>
      </c>
      <c r="P48" s="5">
        <f>_xlfn.XLOOKUP(tblAsignaciones[[#This Row],[turno]],tblTurnos[turno],tblTurnos[hora_fin],"")</f>
        <v/>
      </c>
      <c r="Q48" s="5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5">
        <f>_xlfn.XLOOKUP(tblAsignaciones[[#This Row],[tecnico]],tblTecnicos[nombre],tblTecnicos[area],"")</f>
        <v/>
      </c>
      <c r="E49" s="5">
        <f>_xlfn.XLOOKUP(tblAsignaciones[[#This Row],[tecnico]],tblTecnicos[nombre],tblTecnicos[especialidad],"")</f>
        <v/>
      </c>
      <c r="F49" s="5">
        <f>COUNTIFS(tblTecnicos[rotativo],"sí",tblTecnicos[especialidad],tblAsignaciones[[#This Row],[especialidad]],tblTecnicos[area],tblAsignaciones[[#This Row],[area]],tblTecnicos[activo],"sí")</f>
        <v/>
      </c>
      <c r="G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4" t="n"/>
      <c r="J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5">
        <f>_xlfn.XLOOKUP(tblAsignaciones[[#This Row],[tecnico]],tblTecnicos[nombre],tblTecnicos[supervisor],"")</f>
        <v/>
      </c>
      <c r="L4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5">
        <f>tblAsignaciones[[#This Row],[semana]]&amp;"|"&amp;tblAsignaciones[[#This Row],[dia]]&amp;"|"&amp;tblAsignaciones[[#This Row],[tecnico]]</f>
        <v/>
      </c>
      <c r="O49" s="5">
        <f>_xlfn.XLOOKUP(tblAsignaciones[[#This Row],[turno]],tblTurnos[turno],tblTurnos[hora_inicio],"")</f>
        <v/>
      </c>
      <c r="P49" s="5">
        <f>_xlfn.XLOOKUP(tblAsignaciones[[#This Row],[turno]],tblTurnos[turno],tblTurnos[hora_fin],"")</f>
        <v/>
      </c>
      <c r="Q49" s="5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5">
        <f>_xlfn.XLOOKUP(tblAsignaciones[[#This Row],[tecnico]],tblTecnicos[nombre],tblTecnicos[area],"")</f>
        <v/>
      </c>
      <c r="E50" s="5">
        <f>_xlfn.XLOOKUP(tblAsignaciones[[#This Row],[tecnico]],tblTecnicos[nombre],tblTecnicos[especialidad],"")</f>
        <v/>
      </c>
      <c r="F50" s="5">
        <f>COUNTIFS(tblTecnicos[rotativo],"sí",tblTecnicos[especialidad],tblAsignaciones[[#This Row],[especialidad]],tblTecnicos[area],tblAsignaciones[[#This Row],[area]],tblTecnicos[activo],"sí")</f>
        <v/>
      </c>
      <c r="G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4" t="n"/>
      <c r="J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5">
        <f>_xlfn.XLOOKUP(tblAsignaciones[[#This Row],[tecnico]],tblTecnicos[nombre],tblTecnicos[supervisor],"")</f>
        <v/>
      </c>
      <c r="L5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5">
        <f>tblAsignaciones[[#This Row],[semana]]&amp;"|"&amp;tblAsignaciones[[#This Row],[dia]]&amp;"|"&amp;tblAsignaciones[[#This Row],[tecnico]]</f>
        <v/>
      </c>
      <c r="O50" s="5">
        <f>_xlfn.XLOOKUP(tblAsignaciones[[#This Row],[turno]],tblTurnos[turno],tblTurnos[hora_inicio],"")</f>
        <v/>
      </c>
      <c r="P50" s="5">
        <f>_xlfn.XLOOKUP(tblAsignaciones[[#This Row],[turno]],tblTurnos[turno],tblTurnos[hora_fin],"")</f>
        <v/>
      </c>
      <c r="Q50" s="5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5">
        <f>_xlfn.XLOOKUP(tblAsignaciones[[#This Row],[tecnico]],tblTecnicos[nombre],tblTecnicos[area],"")</f>
        <v/>
      </c>
      <c r="E51" s="5">
        <f>_xlfn.XLOOKUP(tblAsignaciones[[#This Row],[tecnico]],tblTecnicos[nombre],tblTecnicos[especialidad],"")</f>
        <v/>
      </c>
      <c r="F51" s="5">
        <f>COUNTIFS(tblTecnicos[rotativo],"sí",tblTecnicos[especialidad],tblAsignaciones[[#This Row],[especialidad]],tblTecnicos[area],tblAsignaciones[[#This Row],[area]],tblTecnicos[activo],"sí")</f>
        <v/>
      </c>
      <c r="G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4" t="n"/>
      <c r="J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5">
        <f>_xlfn.XLOOKUP(tblAsignaciones[[#This Row],[tecnico]],tblTecnicos[nombre],tblTecnicos[supervisor],"")</f>
        <v/>
      </c>
      <c r="L5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5">
        <f>tblAsignaciones[[#This Row],[semana]]&amp;"|"&amp;tblAsignaciones[[#This Row],[dia]]&amp;"|"&amp;tblAsignaciones[[#This Row],[tecnico]]</f>
        <v/>
      </c>
      <c r="O51" s="5">
        <f>_xlfn.XLOOKUP(tblAsignaciones[[#This Row],[turno]],tblTurnos[turno],tblTurnos[hora_inicio],"")</f>
        <v/>
      </c>
      <c r="P51" s="5">
        <f>_xlfn.XLOOKUP(tblAsignaciones[[#This Row],[turno]],tblTurnos[turno],tblTurnos[hora_fin],"")</f>
        <v/>
      </c>
      <c r="Q51" s="5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5">
        <f>_xlfn.XLOOKUP(tblAsignaciones[[#This Row],[tecnico]],tblTecnicos[nombre],tblTecnicos[area],"")</f>
        <v/>
      </c>
      <c r="E52" s="5">
        <f>_xlfn.XLOOKUP(tblAsignaciones[[#This Row],[tecnico]],tblTecnicos[nombre],tblTecnicos[especialidad],"")</f>
        <v/>
      </c>
      <c r="F52" s="5">
        <f>COUNTIFS(tblTecnicos[rotativo],"sí",tblTecnicos[especialidad],tblAsignaciones[[#This Row],[especialidad]],tblTecnicos[area],tblAsignaciones[[#This Row],[area]],tblTecnicos[activo],"sí")</f>
        <v/>
      </c>
      <c r="G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4" t="n"/>
      <c r="J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5">
        <f>_xlfn.XLOOKUP(tblAsignaciones[[#This Row],[tecnico]],tblTecnicos[nombre],tblTecnicos[supervisor],"")</f>
        <v/>
      </c>
      <c r="L5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5">
        <f>tblAsignaciones[[#This Row],[semana]]&amp;"|"&amp;tblAsignaciones[[#This Row],[dia]]&amp;"|"&amp;tblAsignaciones[[#This Row],[tecnico]]</f>
        <v/>
      </c>
      <c r="O52" s="5">
        <f>_xlfn.XLOOKUP(tblAsignaciones[[#This Row],[turno]],tblTurnos[turno],tblTurnos[hora_inicio],"")</f>
        <v/>
      </c>
      <c r="P52" s="5">
        <f>_xlfn.XLOOKUP(tblAsignaciones[[#This Row],[turno]],tblTurnos[turno],tblTurnos[hora_fin],"")</f>
        <v/>
      </c>
      <c r="Q52" s="5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5">
        <f>_xlfn.XLOOKUP(tblAsignaciones[[#This Row],[tecnico]],tblTecnicos[nombre],tblTecnicos[area],"")</f>
        <v/>
      </c>
      <c r="E53" s="5">
        <f>_xlfn.XLOOKUP(tblAsignaciones[[#This Row],[tecnico]],tblTecnicos[nombre],tblTecnicos[especialidad],"")</f>
        <v/>
      </c>
      <c r="F53" s="5">
        <f>COUNTIFS(tblTecnicos[rotativo],"sí",tblTecnicos[especialidad],tblAsignaciones[[#This Row],[especialidad]],tblTecnicos[area],tblAsignaciones[[#This Row],[area]],tblTecnicos[activo],"sí")</f>
        <v/>
      </c>
      <c r="G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4" t="n"/>
      <c r="J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5">
        <f>_xlfn.XLOOKUP(tblAsignaciones[[#This Row],[tecnico]],tblTecnicos[nombre],tblTecnicos[supervisor],"")</f>
        <v/>
      </c>
      <c r="L5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5">
        <f>tblAsignaciones[[#This Row],[semana]]&amp;"|"&amp;tblAsignaciones[[#This Row],[dia]]&amp;"|"&amp;tblAsignaciones[[#This Row],[tecnico]]</f>
        <v/>
      </c>
      <c r="O53" s="5">
        <f>_xlfn.XLOOKUP(tblAsignaciones[[#This Row],[turno]],tblTurnos[turno],tblTurnos[hora_inicio],"")</f>
        <v/>
      </c>
      <c r="P53" s="5">
        <f>_xlfn.XLOOKUP(tblAsignaciones[[#This Row],[turno]],tblTurnos[turno],tblTurnos[hora_fin],"")</f>
        <v/>
      </c>
      <c r="Q53" s="5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5">
        <f>_xlfn.XLOOKUP(tblAsignaciones[[#This Row],[tecnico]],tblTecnicos[nombre],tblTecnicos[area],"")</f>
        <v/>
      </c>
      <c r="E54" s="5">
        <f>_xlfn.XLOOKUP(tblAsignaciones[[#This Row],[tecnico]],tblTecnicos[nombre],tblTecnicos[especialidad],"")</f>
        <v/>
      </c>
      <c r="F54" s="5">
        <f>COUNTIFS(tblTecnicos[rotativo],"sí",tblTecnicos[especialidad],tblAsignaciones[[#This Row],[especialidad]],tblTecnicos[area],tblAsignaciones[[#This Row],[area]],tblTecnicos[activo],"sí")</f>
        <v/>
      </c>
      <c r="G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4" t="n"/>
      <c r="J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5">
        <f>_xlfn.XLOOKUP(tblAsignaciones[[#This Row],[tecnico]],tblTecnicos[nombre],tblTecnicos[supervisor],"")</f>
        <v/>
      </c>
      <c r="L5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5">
        <f>tblAsignaciones[[#This Row],[semana]]&amp;"|"&amp;tblAsignaciones[[#This Row],[dia]]&amp;"|"&amp;tblAsignaciones[[#This Row],[tecnico]]</f>
        <v/>
      </c>
      <c r="O54" s="5">
        <f>_xlfn.XLOOKUP(tblAsignaciones[[#This Row],[turno]],tblTurnos[turno],tblTurnos[hora_inicio],"")</f>
        <v/>
      </c>
      <c r="P54" s="5">
        <f>_xlfn.XLOOKUP(tblAsignaciones[[#This Row],[turno]],tblTurnos[turno],tblTurnos[hora_fin],"")</f>
        <v/>
      </c>
      <c r="Q54" s="5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5">
        <f>_xlfn.XLOOKUP(tblAsignaciones[[#This Row],[tecnico]],tblTecnicos[nombre],tblTecnicos[area],"")</f>
        <v/>
      </c>
      <c r="E55" s="5">
        <f>_xlfn.XLOOKUP(tblAsignaciones[[#This Row],[tecnico]],tblTecnicos[nombre],tblTecnicos[especialidad],"")</f>
        <v/>
      </c>
      <c r="F55" s="5">
        <f>COUNTIFS(tblTecnicos[rotativo],"sí",tblTecnicos[especialidad],tblAsignaciones[[#This Row],[especialidad]],tblTecnicos[area],tblAsignaciones[[#This Row],[area]],tblTecnicos[activo],"sí")</f>
        <v/>
      </c>
      <c r="G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4" t="n"/>
      <c r="J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5">
        <f>_xlfn.XLOOKUP(tblAsignaciones[[#This Row],[tecnico]],tblTecnicos[nombre],tblTecnicos[supervisor],"")</f>
        <v/>
      </c>
      <c r="L5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5">
        <f>tblAsignaciones[[#This Row],[semana]]&amp;"|"&amp;tblAsignaciones[[#This Row],[dia]]&amp;"|"&amp;tblAsignaciones[[#This Row],[tecnico]]</f>
        <v/>
      </c>
      <c r="O55" s="5">
        <f>_xlfn.XLOOKUP(tblAsignaciones[[#This Row],[turno]],tblTurnos[turno],tblTurnos[hora_inicio],"")</f>
        <v/>
      </c>
      <c r="P55" s="5">
        <f>_xlfn.XLOOKUP(tblAsignaciones[[#This Row],[turno]],tblTurnos[turno],tblTurnos[hora_fin],"")</f>
        <v/>
      </c>
      <c r="Q55" s="5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5">
        <f>_xlfn.XLOOKUP(tblAsignaciones[[#This Row],[tecnico]],tblTecnicos[nombre],tblTecnicos[area],"")</f>
        <v/>
      </c>
      <c r="E56" s="5">
        <f>_xlfn.XLOOKUP(tblAsignaciones[[#This Row],[tecnico]],tblTecnicos[nombre],tblTecnicos[especialidad],"")</f>
        <v/>
      </c>
      <c r="F56" s="5">
        <f>COUNTIFS(tblTecnicos[rotativo],"sí",tblTecnicos[especialidad],tblAsignaciones[[#This Row],[especialidad]],tblTecnicos[area],tblAsignaciones[[#This Row],[area]],tblTecnicos[activo],"sí")</f>
        <v/>
      </c>
      <c r="G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4" t="n"/>
      <c r="J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5">
        <f>_xlfn.XLOOKUP(tblAsignaciones[[#This Row],[tecnico]],tblTecnicos[nombre],tblTecnicos[supervisor],"")</f>
        <v/>
      </c>
      <c r="L5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5">
        <f>tblAsignaciones[[#This Row],[semana]]&amp;"|"&amp;tblAsignaciones[[#This Row],[dia]]&amp;"|"&amp;tblAsignaciones[[#This Row],[tecnico]]</f>
        <v/>
      </c>
      <c r="O56" s="5">
        <f>_xlfn.XLOOKUP(tblAsignaciones[[#This Row],[turno]],tblTurnos[turno],tblTurnos[hora_inicio],"")</f>
        <v/>
      </c>
      <c r="P56" s="5">
        <f>_xlfn.XLOOKUP(tblAsignaciones[[#This Row],[turno]],tblTurnos[turno],tblTurnos[hora_fin],"")</f>
        <v/>
      </c>
      <c r="Q56" s="5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5">
        <f>_xlfn.XLOOKUP(tblAsignaciones[[#This Row],[tecnico]],tblTecnicos[nombre],tblTecnicos[area],"")</f>
        <v/>
      </c>
      <c r="E57" s="5">
        <f>_xlfn.XLOOKUP(tblAsignaciones[[#This Row],[tecnico]],tblTecnicos[nombre],tblTecnicos[especialidad],"")</f>
        <v/>
      </c>
      <c r="F57" s="5">
        <f>COUNTIFS(tblTecnicos[rotativo],"sí",tblTecnicos[especialidad],tblAsignaciones[[#This Row],[especialidad]],tblTecnicos[area],tblAsignaciones[[#This Row],[area]],tblTecnicos[activo],"sí")</f>
        <v/>
      </c>
      <c r="G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4" t="n"/>
      <c r="J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5">
        <f>_xlfn.XLOOKUP(tblAsignaciones[[#This Row],[tecnico]],tblTecnicos[nombre],tblTecnicos[supervisor],"")</f>
        <v/>
      </c>
      <c r="L5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5">
        <f>tblAsignaciones[[#This Row],[semana]]&amp;"|"&amp;tblAsignaciones[[#This Row],[dia]]&amp;"|"&amp;tblAsignaciones[[#This Row],[tecnico]]</f>
        <v/>
      </c>
      <c r="O57" s="5">
        <f>_xlfn.XLOOKUP(tblAsignaciones[[#This Row],[turno]],tblTurnos[turno],tblTurnos[hora_inicio],"")</f>
        <v/>
      </c>
      <c r="P57" s="5">
        <f>_xlfn.XLOOKUP(tblAsignaciones[[#This Row],[turno]],tblTurnos[turno],tblTurnos[hora_fin],"")</f>
        <v/>
      </c>
      <c r="Q57" s="5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5">
        <f>_xlfn.XLOOKUP(tblAsignaciones[[#This Row],[tecnico]],tblTecnicos[nombre],tblTecnicos[area],"")</f>
        <v/>
      </c>
      <c r="E58" s="5">
        <f>_xlfn.XLOOKUP(tblAsignaciones[[#This Row],[tecnico]],tblTecnicos[nombre],tblTecnicos[especialidad],"")</f>
        <v/>
      </c>
      <c r="F58" s="5">
        <f>COUNTIFS(tblTecnicos[rotativo],"sí",tblTecnicos[especialidad],tblAsignaciones[[#This Row],[especialidad]],tblTecnicos[area],tblAsignaciones[[#This Row],[area]],tblTecnicos[activo],"sí")</f>
        <v/>
      </c>
      <c r="G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4" t="n"/>
      <c r="J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5">
        <f>_xlfn.XLOOKUP(tblAsignaciones[[#This Row],[tecnico]],tblTecnicos[nombre],tblTecnicos[supervisor],"")</f>
        <v/>
      </c>
      <c r="L5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5">
        <f>tblAsignaciones[[#This Row],[semana]]&amp;"|"&amp;tblAsignaciones[[#This Row],[dia]]&amp;"|"&amp;tblAsignaciones[[#This Row],[tecnico]]</f>
        <v/>
      </c>
      <c r="O58" s="5">
        <f>_xlfn.XLOOKUP(tblAsignaciones[[#This Row],[turno]],tblTurnos[turno],tblTurnos[hora_inicio],"")</f>
        <v/>
      </c>
      <c r="P58" s="5">
        <f>_xlfn.XLOOKUP(tblAsignaciones[[#This Row],[turno]],tblTurnos[turno],tblTurnos[hora_fin],"")</f>
        <v/>
      </c>
      <c r="Q58" s="5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5">
        <f>_xlfn.XLOOKUP(tblAsignaciones[[#This Row],[tecnico]],tblTecnicos[nombre],tblTecnicos[area],"")</f>
        <v/>
      </c>
      <c r="E59" s="5">
        <f>_xlfn.XLOOKUP(tblAsignaciones[[#This Row],[tecnico]],tblTecnicos[nombre],tblTecnicos[especialidad],"")</f>
        <v/>
      </c>
      <c r="F59" s="5">
        <f>COUNTIFS(tblTecnicos[rotativo],"sí",tblTecnicos[especialidad],tblAsignaciones[[#This Row],[especialidad]],tblTecnicos[area],tblAsignaciones[[#This Row],[area]],tblTecnicos[activo],"sí")</f>
        <v/>
      </c>
      <c r="G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4" t="n"/>
      <c r="J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5">
        <f>_xlfn.XLOOKUP(tblAsignaciones[[#This Row],[tecnico]],tblTecnicos[nombre],tblTecnicos[supervisor],"")</f>
        <v/>
      </c>
      <c r="L5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5">
        <f>tblAsignaciones[[#This Row],[semana]]&amp;"|"&amp;tblAsignaciones[[#This Row],[dia]]&amp;"|"&amp;tblAsignaciones[[#This Row],[tecnico]]</f>
        <v/>
      </c>
      <c r="O59" s="5">
        <f>_xlfn.XLOOKUP(tblAsignaciones[[#This Row],[turno]],tblTurnos[turno],tblTurnos[hora_inicio],"")</f>
        <v/>
      </c>
      <c r="P59" s="5">
        <f>_xlfn.XLOOKUP(tblAsignaciones[[#This Row],[turno]],tblTurnos[turno],tblTurnos[hora_fin],"")</f>
        <v/>
      </c>
      <c r="Q59" s="5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5">
        <f>_xlfn.XLOOKUP(tblAsignaciones[[#This Row],[tecnico]],tblTecnicos[nombre],tblTecnicos[area],"")</f>
        <v/>
      </c>
      <c r="E60" s="5">
        <f>_xlfn.XLOOKUP(tblAsignaciones[[#This Row],[tecnico]],tblTecnicos[nombre],tblTecnicos[especialidad],"")</f>
        <v/>
      </c>
      <c r="F60" s="5">
        <f>COUNTIFS(tblTecnicos[rotativo],"sí",tblTecnicos[especialidad],tblAsignaciones[[#This Row],[especialidad]],tblTecnicos[area],tblAsignaciones[[#This Row],[area]],tblTecnicos[activo],"sí")</f>
        <v/>
      </c>
      <c r="G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4" t="n"/>
      <c r="J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5">
        <f>_xlfn.XLOOKUP(tblAsignaciones[[#This Row],[tecnico]],tblTecnicos[nombre],tblTecnicos[supervisor],"")</f>
        <v/>
      </c>
      <c r="L6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5">
        <f>tblAsignaciones[[#This Row],[semana]]&amp;"|"&amp;tblAsignaciones[[#This Row],[dia]]&amp;"|"&amp;tblAsignaciones[[#This Row],[tecnico]]</f>
        <v/>
      </c>
      <c r="O60" s="5">
        <f>_xlfn.XLOOKUP(tblAsignaciones[[#This Row],[turno]],tblTurnos[turno],tblTurnos[hora_inicio],"")</f>
        <v/>
      </c>
      <c r="P60" s="5">
        <f>_xlfn.XLOOKUP(tblAsignaciones[[#This Row],[turno]],tblTurnos[turno],tblTurnos[hora_fin],"")</f>
        <v/>
      </c>
      <c r="Q60" s="5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5">
        <f>_xlfn.XLOOKUP(tblAsignaciones[[#This Row],[tecnico]],tblTecnicos[nombre],tblTecnicos[area],"")</f>
        <v/>
      </c>
      <c r="E61" s="5">
        <f>_xlfn.XLOOKUP(tblAsignaciones[[#This Row],[tecnico]],tblTecnicos[nombre],tblTecnicos[especialidad],"")</f>
        <v/>
      </c>
      <c r="F61" s="5">
        <f>COUNTIFS(tblTecnicos[rotativo],"sí",tblTecnicos[especialidad],tblAsignaciones[[#This Row],[especialidad]],tblTecnicos[area],tblAsignaciones[[#This Row],[area]],tblTecnicos[activo],"sí")</f>
        <v/>
      </c>
      <c r="G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4" t="n"/>
      <c r="J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5">
        <f>_xlfn.XLOOKUP(tblAsignaciones[[#This Row],[tecnico]],tblTecnicos[nombre],tblTecnicos[supervisor],"")</f>
        <v/>
      </c>
      <c r="L6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5">
        <f>tblAsignaciones[[#This Row],[semana]]&amp;"|"&amp;tblAsignaciones[[#This Row],[dia]]&amp;"|"&amp;tblAsignaciones[[#This Row],[tecnico]]</f>
        <v/>
      </c>
      <c r="O61" s="5">
        <f>_xlfn.XLOOKUP(tblAsignaciones[[#This Row],[turno]],tblTurnos[turno],tblTurnos[hora_inicio],"")</f>
        <v/>
      </c>
      <c r="P61" s="5">
        <f>_xlfn.XLOOKUP(tblAsignaciones[[#This Row],[turno]],tblTurnos[turno],tblTurnos[hora_fin],"")</f>
        <v/>
      </c>
      <c r="Q61" s="5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5">
        <f>_xlfn.XLOOKUP(tblAsignaciones[[#This Row],[tecnico]],tblTecnicos[nombre],tblTecnicos[area],"")</f>
        <v/>
      </c>
      <c r="E62" s="5">
        <f>_xlfn.XLOOKUP(tblAsignaciones[[#This Row],[tecnico]],tblTecnicos[nombre],tblTecnicos[especialidad],"")</f>
        <v/>
      </c>
      <c r="F62" s="5">
        <f>COUNTIFS(tblTecnicos[rotativo],"sí",tblTecnicos[especialidad],tblAsignaciones[[#This Row],[especialidad]],tblTecnicos[area],tblAsignaciones[[#This Row],[area]],tblTecnicos[activo],"sí")</f>
        <v/>
      </c>
      <c r="G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4" t="n"/>
      <c r="J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5">
        <f>_xlfn.XLOOKUP(tblAsignaciones[[#This Row],[tecnico]],tblTecnicos[nombre],tblTecnicos[supervisor],"")</f>
        <v/>
      </c>
      <c r="L6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5">
        <f>tblAsignaciones[[#This Row],[semana]]&amp;"|"&amp;tblAsignaciones[[#This Row],[dia]]&amp;"|"&amp;tblAsignaciones[[#This Row],[tecnico]]</f>
        <v/>
      </c>
      <c r="O62" s="5">
        <f>_xlfn.XLOOKUP(tblAsignaciones[[#This Row],[turno]],tblTurnos[turno],tblTurnos[hora_inicio],"")</f>
        <v/>
      </c>
      <c r="P62" s="5">
        <f>_xlfn.XLOOKUP(tblAsignaciones[[#This Row],[turno]],tblTurnos[turno],tblTurnos[hora_fin],"")</f>
        <v/>
      </c>
      <c r="Q62" s="5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5">
        <f>_xlfn.XLOOKUP(tblAsignaciones[[#This Row],[tecnico]],tblTecnicos[nombre],tblTecnicos[area],"")</f>
        <v/>
      </c>
      <c r="E63" s="5">
        <f>_xlfn.XLOOKUP(tblAsignaciones[[#This Row],[tecnico]],tblTecnicos[nombre],tblTecnicos[especialidad],"")</f>
        <v/>
      </c>
      <c r="F63" s="5">
        <f>COUNTIFS(tblTecnicos[rotativo],"sí",tblTecnicos[especialidad],tblAsignaciones[[#This Row],[especialidad]],tblTecnicos[area],tblAsignaciones[[#This Row],[area]],tblTecnicos[activo],"sí")</f>
        <v/>
      </c>
      <c r="G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4" t="n"/>
      <c r="J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5">
        <f>_xlfn.XLOOKUP(tblAsignaciones[[#This Row],[tecnico]],tblTecnicos[nombre],tblTecnicos[supervisor],"")</f>
        <v/>
      </c>
      <c r="L6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5">
        <f>tblAsignaciones[[#This Row],[semana]]&amp;"|"&amp;tblAsignaciones[[#This Row],[dia]]&amp;"|"&amp;tblAsignaciones[[#This Row],[tecnico]]</f>
        <v/>
      </c>
      <c r="O63" s="5">
        <f>_xlfn.XLOOKUP(tblAsignaciones[[#This Row],[turno]],tblTurnos[turno],tblTurnos[hora_inicio],"")</f>
        <v/>
      </c>
      <c r="P63" s="5">
        <f>_xlfn.XLOOKUP(tblAsignaciones[[#This Row],[turno]],tblTurnos[turno],tblTurnos[hora_fin],"")</f>
        <v/>
      </c>
      <c r="Q63" s="5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5">
        <f>_xlfn.XLOOKUP(tblAsignaciones[[#This Row],[tecnico]],tblTecnicos[nombre],tblTecnicos[area],"")</f>
        <v/>
      </c>
      <c r="E64" s="5">
        <f>_xlfn.XLOOKUP(tblAsignaciones[[#This Row],[tecnico]],tblTecnicos[nombre],tblTecnicos[especialidad],"")</f>
        <v/>
      </c>
      <c r="F64" s="5">
        <f>COUNTIFS(tblTecnicos[rotativo],"sí",tblTecnicos[especialidad],tblAsignaciones[[#This Row],[especialidad]],tblTecnicos[area],tblAsignaciones[[#This Row],[area]],tblTecnicos[activo],"sí")</f>
        <v/>
      </c>
      <c r="G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4" t="n"/>
      <c r="J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5">
        <f>_xlfn.XLOOKUP(tblAsignaciones[[#This Row],[tecnico]],tblTecnicos[nombre],tblTecnicos[supervisor],"")</f>
        <v/>
      </c>
      <c r="L6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5">
        <f>tblAsignaciones[[#This Row],[semana]]&amp;"|"&amp;tblAsignaciones[[#This Row],[dia]]&amp;"|"&amp;tblAsignaciones[[#This Row],[tecnico]]</f>
        <v/>
      </c>
      <c r="O64" s="5">
        <f>_xlfn.XLOOKUP(tblAsignaciones[[#This Row],[turno]],tblTurnos[turno],tblTurnos[hora_inicio],"")</f>
        <v/>
      </c>
      <c r="P64" s="5">
        <f>_xlfn.XLOOKUP(tblAsignaciones[[#This Row],[turno]],tblTurnos[turno],tblTurnos[hora_fin],"")</f>
        <v/>
      </c>
      <c r="Q64" s="5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5">
        <f>_xlfn.XLOOKUP(tblAsignaciones[[#This Row],[tecnico]],tblTecnicos[nombre],tblTecnicos[area],"")</f>
        <v/>
      </c>
      <c r="E65" s="5">
        <f>_xlfn.XLOOKUP(tblAsignaciones[[#This Row],[tecnico]],tblTecnicos[nombre],tblTecnicos[especialidad],"")</f>
        <v/>
      </c>
      <c r="F65" s="5">
        <f>COUNTIFS(tblTecnicos[rotativo],"sí",tblTecnicos[especialidad],tblAsignaciones[[#This Row],[especialidad]],tblTecnicos[area],tblAsignaciones[[#This Row],[area]],tblTecnicos[activo],"sí")</f>
        <v/>
      </c>
      <c r="G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4" t="n"/>
      <c r="J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5">
        <f>_xlfn.XLOOKUP(tblAsignaciones[[#This Row],[tecnico]],tblTecnicos[nombre],tblTecnicos[supervisor],"")</f>
        <v/>
      </c>
      <c r="L6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5">
        <f>tblAsignaciones[[#This Row],[semana]]&amp;"|"&amp;tblAsignaciones[[#This Row],[dia]]&amp;"|"&amp;tblAsignaciones[[#This Row],[tecnico]]</f>
        <v/>
      </c>
      <c r="O65" s="5">
        <f>_xlfn.XLOOKUP(tblAsignaciones[[#This Row],[turno]],tblTurnos[turno],tblTurnos[hora_inicio],"")</f>
        <v/>
      </c>
      <c r="P65" s="5">
        <f>_xlfn.XLOOKUP(tblAsignaciones[[#This Row],[turno]],tblTurnos[turno],tblTurnos[hora_fin],"")</f>
        <v/>
      </c>
      <c r="Q65" s="5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5">
        <f>_xlfn.XLOOKUP(tblAsignaciones[[#This Row],[tecnico]],tblTecnicos[nombre],tblTecnicos[area],"")</f>
        <v/>
      </c>
      <c r="E66" s="5">
        <f>_xlfn.XLOOKUP(tblAsignaciones[[#This Row],[tecnico]],tblTecnicos[nombre],tblTecnicos[especialidad],"")</f>
        <v/>
      </c>
      <c r="F66" s="5">
        <f>COUNTIFS(tblTecnicos[rotativo],"sí",tblTecnicos[especialidad],tblAsignaciones[[#This Row],[especialidad]],tblTecnicos[area],tblAsignaciones[[#This Row],[area]],tblTecnicos[activo],"sí")</f>
        <v/>
      </c>
      <c r="G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4" t="n"/>
      <c r="J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5">
        <f>_xlfn.XLOOKUP(tblAsignaciones[[#This Row],[tecnico]],tblTecnicos[nombre],tblTecnicos[supervisor],"")</f>
        <v/>
      </c>
      <c r="L6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5">
        <f>tblAsignaciones[[#This Row],[semana]]&amp;"|"&amp;tblAsignaciones[[#This Row],[dia]]&amp;"|"&amp;tblAsignaciones[[#This Row],[tecnico]]</f>
        <v/>
      </c>
      <c r="O66" s="5">
        <f>_xlfn.XLOOKUP(tblAsignaciones[[#This Row],[turno]],tblTurnos[turno],tblTurnos[hora_inicio],"")</f>
        <v/>
      </c>
      <c r="P66" s="5">
        <f>_xlfn.XLOOKUP(tblAsignaciones[[#This Row],[turno]],tblTurnos[turno],tblTurnos[hora_fin],"")</f>
        <v/>
      </c>
      <c r="Q66" s="5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5">
        <f>_xlfn.XLOOKUP(tblAsignaciones[[#This Row],[tecnico]],tblTecnicos[nombre],tblTecnicos[area],"")</f>
        <v/>
      </c>
      <c r="E67" s="5">
        <f>_xlfn.XLOOKUP(tblAsignaciones[[#This Row],[tecnico]],tblTecnicos[nombre],tblTecnicos[especialidad],"")</f>
        <v/>
      </c>
      <c r="F67" s="5">
        <f>COUNTIFS(tblTecnicos[rotativo],"sí",tblTecnicos[especialidad],tblAsignaciones[[#This Row],[especialidad]],tblTecnicos[area],tblAsignaciones[[#This Row],[area]],tblTecnicos[activo],"sí")</f>
        <v/>
      </c>
      <c r="G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4" t="n"/>
      <c r="J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5">
        <f>_xlfn.XLOOKUP(tblAsignaciones[[#This Row],[tecnico]],tblTecnicos[nombre],tblTecnicos[supervisor],"")</f>
        <v/>
      </c>
      <c r="L6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5">
        <f>tblAsignaciones[[#This Row],[semana]]&amp;"|"&amp;tblAsignaciones[[#This Row],[dia]]&amp;"|"&amp;tblAsignaciones[[#This Row],[tecnico]]</f>
        <v/>
      </c>
      <c r="O67" s="5">
        <f>_xlfn.XLOOKUP(tblAsignaciones[[#This Row],[turno]],tblTurnos[turno],tblTurnos[hora_inicio],"")</f>
        <v/>
      </c>
      <c r="P67" s="5">
        <f>_xlfn.XLOOKUP(tblAsignaciones[[#This Row],[turno]],tblTurnos[turno],tblTurnos[hora_fin],"")</f>
        <v/>
      </c>
      <c r="Q67" s="5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5">
        <f>_xlfn.XLOOKUP(tblAsignaciones[[#This Row],[tecnico]],tblTecnicos[nombre],tblTecnicos[area],"")</f>
        <v/>
      </c>
      <c r="E68" s="5">
        <f>_xlfn.XLOOKUP(tblAsignaciones[[#This Row],[tecnico]],tblTecnicos[nombre],tblTecnicos[especialidad],"")</f>
        <v/>
      </c>
      <c r="F68" s="5">
        <f>COUNTIFS(tblTecnicos[rotativo],"sí",tblTecnicos[especialidad],tblAsignaciones[[#This Row],[especialidad]],tblTecnicos[area],tblAsignaciones[[#This Row],[area]],tblTecnicos[activo],"sí")</f>
        <v/>
      </c>
      <c r="G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4" t="n"/>
      <c r="J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5">
        <f>_xlfn.XLOOKUP(tblAsignaciones[[#This Row],[tecnico]],tblTecnicos[nombre],tblTecnicos[supervisor],"")</f>
        <v/>
      </c>
      <c r="L6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5">
        <f>tblAsignaciones[[#This Row],[semana]]&amp;"|"&amp;tblAsignaciones[[#This Row],[dia]]&amp;"|"&amp;tblAsignaciones[[#This Row],[tecnico]]</f>
        <v/>
      </c>
      <c r="O68" s="5">
        <f>_xlfn.XLOOKUP(tblAsignaciones[[#This Row],[turno]],tblTurnos[turno],tblTurnos[hora_inicio],"")</f>
        <v/>
      </c>
      <c r="P68" s="5">
        <f>_xlfn.XLOOKUP(tblAsignaciones[[#This Row],[turno]],tblTurnos[turno],tblTurnos[hora_fin],"")</f>
        <v/>
      </c>
      <c r="Q68" s="5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5">
        <f>_xlfn.XLOOKUP(tblAsignaciones[[#This Row],[tecnico]],tblTecnicos[nombre],tblTecnicos[area],"")</f>
        <v/>
      </c>
      <c r="E69" s="5">
        <f>_xlfn.XLOOKUP(tblAsignaciones[[#This Row],[tecnico]],tblTecnicos[nombre],tblTecnicos[especialidad],"")</f>
        <v/>
      </c>
      <c r="F69" s="5">
        <f>COUNTIFS(tblTecnicos[rotativo],"sí",tblTecnicos[especialidad],tblAsignaciones[[#This Row],[especialidad]],tblTecnicos[area],tblAsignaciones[[#This Row],[area]],tblTecnicos[activo],"sí")</f>
        <v/>
      </c>
      <c r="G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4" t="n"/>
      <c r="J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5">
        <f>_xlfn.XLOOKUP(tblAsignaciones[[#This Row],[tecnico]],tblTecnicos[nombre],tblTecnicos[supervisor],"")</f>
        <v/>
      </c>
      <c r="L6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5">
        <f>tblAsignaciones[[#This Row],[semana]]&amp;"|"&amp;tblAsignaciones[[#This Row],[dia]]&amp;"|"&amp;tblAsignaciones[[#This Row],[tecnico]]</f>
        <v/>
      </c>
      <c r="O69" s="5">
        <f>_xlfn.XLOOKUP(tblAsignaciones[[#This Row],[turno]],tblTurnos[turno],tblTurnos[hora_inicio],"")</f>
        <v/>
      </c>
      <c r="P69" s="5">
        <f>_xlfn.XLOOKUP(tblAsignaciones[[#This Row],[turno]],tblTurnos[turno],tblTurnos[hora_fin],"")</f>
        <v/>
      </c>
      <c r="Q69" s="5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5">
        <f>_xlfn.XLOOKUP(tblAsignaciones[[#This Row],[tecnico]],tblTecnicos[nombre],tblTecnicos[area],"")</f>
        <v/>
      </c>
      <c r="E70" s="5">
        <f>_xlfn.XLOOKUP(tblAsignaciones[[#This Row],[tecnico]],tblTecnicos[nombre],tblTecnicos[especialidad],"")</f>
        <v/>
      </c>
      <c r="F70" s="5">
        <f>COUNTIFS(tblTecnicos[rotativo],"sí",tblTecnicos[especialidad],tblAsignaciones[[#This Row],[especialidad]],tblTecnicos[area],tblAsignaciones[[#This Row],[area]],tblTecnicos[activo],"sí")</f>
        <v/>
      </c>
      <c r="G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4" t="n"/>
      <c r="J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5">
        <f>_xlfn.XLOOKUP(tblAsignaciones[[#This Row],[tecnico]],tblTecnicos[nombre],tblTecnicos[supervisor],"")</f>
        <v/>
      </c>
      <c r="L7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5">
        <f>tblAsignaciones[[#This Row],[semana]]&amp;"|"&amp;tblAsignaciones[[#This Row],[dia]]&amp;"|"&amp;tblAsignaciones[[#This Row],[tecnico]]</f>
        <v/>
      </c>
      <c r="O70" s="5">
        <f>_xlfn.XLOOKUP(tblAsignaciones[[#This Row],[turno]],tblTurnos[turno],tblTurnos[hora_inicio],"")</f>
        <v/>
      </c>
      <c r="P70" s="5">
        <f>_xlfn.XLOOKUP(tblAsignaciones[[#This Row],[turno]],tblTurnos[turno],tblTurnos[hora_fin],"")</f>
        <v/>
      </c>
      <c r="Q70" s="5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5">
        <f>_xlfn.XLOOKUP(tblAsignaciones[[#This Row],[tecnico]],tblTecnicos[nombre],tblTecnicos[area],"")</f>
        <v/>
      </c>
      <c r="E71" s="5">
        <f>_xlfn.XLOOKUP(tblAsignaciones[[#This Row],[tecnico]],tblTecnicos[nombre],tblTecnicos[especialidad],"")</f>
        <v/>
      </c>
      <c r="F71" s="5">
        <f>COUNTIFS(tblTecnicos[rotativo],"sí",tblTecnicos[especialidad],tblAsignaciones[[#This Row],[especialidad]],tblTecnicos[area],tblAsignaciones[[#This Row],[area]],tblTecnicos[activo],"sí")</f>
        <v/>
      </c>
      <c r="G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4" t="n"/>
      <c r="J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5">
        <f>_xlfn.XLOOKUP(tblAsignaciones[[#This Row],[tecnico]],tblTecnicos[nombre],tblTecnicos[supervisor],"")</f>
        <v/>
      </c>
      <c r="L7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5">
        <f>tblAsignaciones[[#This Row],[semana]]&amp;"|"&amp;tblAsignaciones[[#This Row],[dia]]&amp;"|"&amp;tblAsignaciones[[#This Row],[tecnico]]</f>
        <v/>
      </c>
      <c r="O71" s="5">
        <f>_xlfn.XLOOKUP(tblAsignaciones[[#This Row],[turno]],tblTurnos[turno],tblTurnos[hora_inicio],"")</f>
        <v/>
      </c>
      <c r="P71" s="5">
        <f>_xlfn.XLOOKUP(tblAsignaciones[[#This Row],[turno]],tblTurnos[turno],tblTurnos[hora_fin],"")</f>
        <v/>
      </c>
      <c r="Q71" s="5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5">
        <f>_xlfn.XLOOKUP(tblAsignaciones[[#This Row],[tecnico]],tblTecnicos[nombre],tblTecnicos[area],"")</f>
        <v/>
      </c>
      <c r="E72" s="5">
        <f>_xlfn.XLOOKUP(tblAsignaciones[[#This Row],[tecnico]],tblTecnicos[nombre],tblTecnicos[especialidad],"")</f>
        <v/>
      </c>
      <c r="F72" s="5">
        <f>COUNTIFS(tblTecnicos[rotativo],"sí",tblTecnicos[especialidad],tblAsignaciones[[#This Row],[especialidad]],tblTecnicos[area],tblAsignaciones[[#This Row],[area]],tblTecnicos[activo],"sí")</f>
        <v/>
      </c>
      <c r="G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4" t="n"/>
      <c r="J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5">
        <f>_xlfn.XLOOKUP(tblAsignaciones[[#This Row],[tecnico]],tblTecnicos[nombre],tblTecnicos[supervisor],"")</f>
        <v/>
      </c>
      <c r="L7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5">
        <f>tblAsignaciones[[#This Row],[semana]]&amp;"|"&amp;tblAsignaciones[[#This Row],[dia]]&amp;"|"&amp;tblAsignaciones[[#This Row],[tecnico]]</f>
        <v/>
      </c>
      <c r="O72" s="5">
        <f>_xlfn.XLOOKUP(tblAsignaciones[[#This Row],[turno]],tblTurnos[turno],tblTurnos[hora_inicio],"")</f>
        <v/>
      </c>
      <c r="P72" s="5">
        <f>_xlfn.XLOOKUP(tblAsignaciones[[#This Row],[turno]],tblTurnos[turno],tblTurnos[hora_fin],"")</f>
        <v/>
      </c>
      <c r="Q72" s="5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5">
        <f>_xlfn.XLOOKUP(tblAsignaciones[[#This Row],[tecnico]],tblTecnicos[nombre],tblTecnicos[area],"")</f>
        <v/>
      </c>
      <c r="E73" s="5">
        <f>_xlfn.XLOOKUP(tblAsignaciones[[#This Row],[tecnico]],tblTecnicos[nombre],tblTecnicos[especialidad],"")</f>
        <v/>
      </c>
      <c r="F73" s="5">
        <f>COUNTIFS(tblTecnicos[rotativo],"sí",tblTecnicos[especialidad],tblAsignaciones[[#This Row],[especialidad]],tblTecnicos[area],tblAsignaciones[[#This Row],[area]],tblTecnicos[activo],"sí")</f>
        <v/>
      </c>
      <c r="G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4" t="n"/>
      <c r="J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5">
        <f>_xlfn.XLOOKUP(tblAsignaciones[[#This Row],[tecnico]],tblTecnicos[nombre],tblTecnicos[supervisor],"")</f>
        <v/>
      </c>
      <c r="L7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5">
        <f>tblAsignaciones[[#This Row],[semana]]&amp;"|"&amp;tblAsignaciones[[#This Row],[dia]]&amp;"|"&amp;tblAsignaciones[[#This Row],[tecnico]]</f>
        <v/>
      </c>
      <c r="O73" s="5">
        <f>_xlfn.XLOOKUP(tblAsignaciones[[#This Row],[turno]],tblTurnos[turno],tblTurnos[hora_inicio],"")</f>
        <v/>
      </c>
      <c r="P73" s="5">
        <f>_xlfn.XLOOKUP(tblAsignaciones[[#This Row],[turno]],tblTurnos[turno],tblTurnos[hora_fin],"")</f>
        <v/>
      </c>
      <c r="Q73" s="5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5">
        <f>_xlfn.XLOOKUP(tblAsignaciones[[#This Row],[tecnico]],tblTecnicos[nombre],tblTecnicos[area],"")</f>
        <v/>
      </c>
      <c r="E74" s="5">
        <f>_xlfn.XLOOKUP(tblAsignaciones[[#This Row],[tecnico]],tblTecnicos[nombre],tblTecnicos[especialidad],"")</f>
        <v/>
      </c>
      <c r="F74" s="5">
        <f>COUNTIFS(tblTecnicos[rotativo],"sí",tblTecnicos[especialidad],tblAsignaciones[[#This Row],[especialidad]],tblTecnicos[area],tblAsignaciones[[#This Row],[area]],tblTecnicos[activo],"sí")</f>
        <v/>
      </c>
      <c r="G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4" t="n"/>
      <c r="J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5">
        <f>_xlfn.XLOOKUP(tblAsignaciones[[#This Row],[tecnico]],tblTecnicos[nombre],tblTecnicos[supervisor],"")</f>
        <v/>
      </c>
      <c r="L7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5">
        <f>tblAsignaciones[[#This Row],[semana]]&amp;"|"&amp;tblAsignaciones[[#This Row],[dia]]&amp;"|"&amp;tblAsignaciones[[#This Row],[tecnico]]</f>
        <v/>
      </c>
      <c r="O74" s="5">
        <f>_xlfn.XLOOKUP(tblAsignaciones[[#This Row],[turno]],tblTurnos[turno],tblTurnos[hora_inicio],"")</f>
        <v/>
      </c>
      <c r="P74" s="5">
        <f>_xlfn.XLOOKUP(tblAsignaciones[[#This Row],[turno]],tblTurnos[turno],tblTurnos[hora_fin],"")</f>
        <v/>
      </c>
      <c r="Q74" s="5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5">
        <f>_xlfn.XLOOKUP(tblAsignaciones[[#This Row],[tecnico]],tblTecnicos[nombre],tblTecnicos[area],"")</f>
        <v/>
      </c>
      <c r="E75" s="5">
        <f>_xlfn.XLOOKUP(tblAsignaciones[[#This Row],[tecnico]],tblTecnicos[nombre],tblTecnicos[especialidad],"")</f>
        <v/>
      </c>
      <c r="F75" s="5">
        <f>COUNTIFS(tblTecnicos[rotativo],"sí",tblTecnicos[especialidad],tblAsignaciones[[#This Row],[especialidad]],tblTecnicos[area],tblAsignaciones[[#This Row],[area]],tblTecnicos[activo],"sí")</f>
        <v/>
      </c>
      <c r="G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4" t="n"/>
      <c r="J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5">
        <f>_xlfn.XLOOKUP(tblAsignaciones[[#This Row],[tecnico]],tblTecnicos[nombre],tblTecnicos[supervisor],"")</f>
        <v/>
      </c>
      <c r="L7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5">
        <f>tblAsignaciones[[#This Row],[semana]]&amp;"|"&amp;tblAsignaciones[[#This Row],[dia]]&amp;"|"&amp;tblAsignaciones[[#This Row],[tecnico]]</f>
        <v/>
      </c>
      <c r="O75" s="5">
        <f>_xlfn.XLOOKUP(tblAsignaciones[[#This Row],[turno]],tblTurnos[turno],tblTurnos[hora_inicio],"")</f>
        <v/>
      </c>
      <c r="P75" s="5">
        <f>_xlfn.XLOOKUP(tblAsignaciones[[#This Row],[turno]],tblTurnos[turno],tblTurnos[hora_fin],"")</f>
        <v/>
      </c>
      <c r="Q75" s="5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5">
        <f>_xlfn.XLOOKUP(tblAsignaciones[[#This Row],[tecnico]],tblTecnicos[nombre],tblTecnicos[area],"")</f>
        <v/>
      </c>
      <c r="E76" s="5">
        <f>_xlfn.XLOOKUP(tblAsignaciones[[#This Row],[tecnico]],tblTecnicos[nombre],tblTecnicos[especialidad],"")</f>
        <v/>
      </c>
      <c r="F76" s="5">
        <f>COUNTIFS(tblTecnicos[rotativo],"sí",tblTecnicos[especialidad],tblAsignaciones[[#This Row],[especialidad]],tblTecnicos[area],tblAsignaciones[[#This Row],[area]],tblTecnicos[activo],"sí")</f>
        <v/>
      </c>
      <c r="G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4" t="n"/>
      <c r="J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5">
        <f>_xlfn.XLOOKUP(tblAsignaciones[[#This Row],[tecnico]],tblTecnicos[nombre],tblTecnicos[supervisor],"")</f>
        <v/>
      </c>
      <c r="L7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5">
        <f>tblAsignaciones[[#This Row],[semana]]&amp;"|"&amp;tblAsignaciones[[#This Row],[dia]]&amp;"|"&amp;tblAsignaciones[[#This Row],[tecnico]]</f>
        <v/>
      </c>
      <c r="O76" s="5">
        <f>_xlfn.XLOOKUP(tblAsignaciones[[#This Row],[turno]],tblTurnos[turno],tblTurnos[hora_inicio],"")</f>
        <v/>
      </c>
      <c r="P76" s="5">
        <f>_xlfn.XLOOKUP(tblAsignaciones[[#This Row],[turno]],tblTurnos[turno],tblTurnos[hora_fin],"")</f>
        <v/>
      </c>
      <c r="Q76" s="5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5">
        <f>_xlfn.XLOOKUP(tblAsignaciones[[#This Row],[tecnico]],tblTecnicos[nombre],tblTecnicos[area],"")</f>
        <v/>
      </c>
      <c r="E77" s="5">
        <f>_xlfn.XLOOKUP(tblAsignaciones[[#This Row],[tecnico]],tblTecnicos[nombre],tblTecnicos[especialidad],"")</f>
        <v/>
      </c>
      <c r="F77" s="5">
        <f>COUNTIFS(tblTecnicos[rotativo],"sí",tblTecnicos[especialidad],tblAsignaciones[[#This Row],[especialidad]],tblTecnicos[area],tblAsignaciones[[#This Row],[area]],tblTecnicos[activo],"sí")</f>
        <v/>
      </c>
      <c r="G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4" t="n"/>
      <c r="J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5">
        <f>_xlfn.XLOOKUP(tblAsignaciones[[#This Row],[tecnico]],tblTecnicos[nombre],tblTecnicos[supervisor],"")</f>
        <v/>
      </c>
      <c r="L7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5">
        <f>tblAsignaciones[[#This Row],[semana]]&amp;"|"&amp;tblAsignaciones[[#This Row],[dia]]&amp;"|"&amp;tblAsignaciones[[#This Row],[tecnico]]</f>
        <v/>
      </c>
      <c r="O77" s="5">
        <f>_xlfn.XLOOKUP(tblAsignaciones[[#This Row],[turno]],tblTurnos[turno],tblTurnos[hora_inicio],"")</f>
        <v/>
      </c>
      <c r="P77" s="5">
        <f>_xlfn.XLOOKUP(tblAsignaciones[[#This Row],[turno]],tblTurnos[turno],tblTurnos[hora_fin],"")</f>
        <v/>
      </c>
      <c r="Q77" s="5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5">
        <f>_xlfn.XLOOKUP(tblAsignaciones[[#This Row],[tecnico]],tblTecnicos[nombre],tblTecnicos[area],"")</f>
        <v/>
      </c>
      <c r="E78" s="5">
        <f>_xlfn.XLOOKUP(tblAsignaciones[[#This Row],[tecnico]],tblTecnicos[nombre],tblTecnicos[especialidad],"")</f>
        <v/>
      </c>
      <c r="F78" s="5">
        <f>COUNTIFS(tblTecnicos[rotativo],"sí",tblTecnicos[especialidad],tblAsignaciones[[#This Row],[especialidad]],tblTecnicos[area],tblAsignaciones[[#This Row],[area]],tblTecnicos[activo],"sí")</f>
        <v/>
      </c>
      <c r="G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4" t="n"/>
      <c r="J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5">
        <f>_xlfn.XLOOKUP(tblAsignaciones[[#This Row],[tecnico]],tblTecnicos[nombre],tblTecnicos[supervisor],"")</f>
        <v/>
      </c>
      <c r="L7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5">
        <f>tblAsignaciones[[#This Row],[semana]]&amp;"|"&amp;tblAsignaciones[[#This Row],[dia]]&amp;"|"&amp;tblAsignaciones[[#This Row],[tecnico]]</f>
        <v/>
      </c>
      <c r="O78" s="5">
        <f>_xlfn.XLOOKUP(tblAsignaciones[[#This Row],[turno]],tblTurnos[turno],tblTurnos[hora_inicio],"")</f>
        <v/>
      </c>
      <c r="P78" s="5">
        <f>_xlfn.XLOOKUP(tblAsignaciones[[#This Row],[turno]],tblTurnos[turno],tblTurnos[hora_fin],"")</f>
        <v/>
      </c>
      <c r="Q78" s="5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5">
        <f>_xlfn.XLOOKUP(tblAsignaciones[[#This Row],[tecnico]],tblTecnicos[nombre],tblTecnicos[area],"")</f>
        <v/>
      </c>
      <c r="E79" s="5">
        <f>_xlfn.XLOOKUP(tblAsignaciones[[#This Row],[tecnico]],tblTecnicos[nombre],tblTecnicos[especialidad],"")</f>
        <v/>
      </c>
      <c r="F79" s="5">
        <f>COUNTIFS(tblTecnicos[rotativo],"sí",tblTecnicos[especialidad],tblAsignaciones[[#This Row],[especialidad]],tblTecnicos[area],tblAsignaciones[[#This Row],[area]],tblTecnicos[activo],"sí")</f>
        <v/>
      </c>
      <c r="G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4" t="n"/>
      <c r="J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5">
        <f>_xlfn.XLOOKUP(tblAsignaciones[[#This Row],[tecnico]],tblTecnicos[nombre],tblTecnicos[supervisor],"")</f>
        <v/>
      </c>
      <c r="L7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5">
        <f>tblAsignaciones[[#This Row],[semana]]&amp;"|"&amp;tblAsignaciones[[#This Row],[dia]]&amp;"|"&amp;tblAsignaciones[[#This Row],[tecnico]]</f>
        <v/>
      </c>
      <c r="O79" s="5">
        <f>_xlfn.XLOOKUP(tblAsignaciones[[#This Row],[turno]],tblTurnos[turno],tblTurnos[hora_inicio],"")</f>
        <v/>
      </c>
      <c r="P79" s="5">
        <f>_xlfn.XLOOKUP(tblAsignaciones[[#This Row],[turno]],tblTurnos[turno],tblTurnos[hora_fin],"")</f>
        <v/>
      </c>
      <c r="Q79" s="5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5">
        <f>_xlfn.XLOOKUP(tblAsignaciones[[#This Row],[tecnico]],tblTecnicos[nombre],tblTecnicos[area],"")</f>
        <v/>
      </c>
      <c r="E80" s="5">
        <f>_xlfn.XLOOKUP(tblAsignaciones[[#This Row],[tecnico]],tblTecnicos[nombre],tblTecnicos[especialidad],"")</f>
        <v/>
      </c>
      <c r="F80" s="5">
        <f>COUNTIFS(tblTecnicos[rotativo],"sí",tblTecnicos[especialidad],tblAsignaciones[[#This Row],[especialidad]],tblTecnicos[area],tblAsignaciones[[#This Row],[area]],tblTecnicos[activo],"sí")</f>
        <v/>
      </c>
      <c r="G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4" t="n"/>
      <c r="J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5">
        <f>_xlfn.XLOOKUP(tblAsignaciones[[#This Row],[tecnico]],tblTecnicos[nombre],tblTecnicos[supervisor],"")</f>
        <v/>
      </c>
      <c r="L8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5">
        <f>tblAsignaciones[[#This Row],[semana]]&amp;"|"&amp;tblAsignaciones[[#This Row],[dia]]&amp;"|"&amp;tblAsignaciones[[#This Row],[tecnico]]</f>
        <v/>
      </c>
      <c r="O80" s="5">
        <f>_xlfn.XLOOKUP(tblAsignaciones[[#This Row],[turno]],tblTurnos[turno],tblTurnos[hora_inicio],"")</f>
        <v/>
      </c>
      <c r="P80" s="5">
        <f>_xlfn.XLOOKUP(tblAsignaciones[[#This Row],[turno]],tblTurnos[turno],tblTurnos[hora_fin],"")</f>
        <v/>
      </c>
      <c r="Q80" s="5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5">
        <f>_xlfn.XLOOKUP(tblAsignaciones[[#This Row],[tecnico]],tblTecnicos[nombre],tblTecnicos[area],"")</f>
        <v/>
      </c>
      <c r="E81" s="5">
        <f>_xlfn.XLOOKUP(tblAsignaciones[[#This Row],[tecnico]],tblTecnicos[nombre],tblTecnicos[especialidad],"")</f>
        <v/>
      </c>
      <c r="F81" s="5">
        <f>COUNTIFS(tblTecnicos[rotativo],"sí",tblTecnicos[especialidad],tblAsignaciones[[#This Row],[especialidad]],tblTecnicos[area],tblAsignaciones[[#This Row],[area]],tblTecnicos[activo],"sí")</f>
        <v/>
      </c>
      <c r="G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4" t="n"/>
      <c r="J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5">
        <f>_xlfn.XLOOKUP(tblAsignaciones[[#This Row],[tecnico]],tblTecnicos[nombre],tblTecnicos[supervisor],"")</f>
        <v/>
      </c>
      <c r="L8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5">
        <f>tblAsignaciones[[#This Row],[semana]]&amp;"|"&amp;tblAsignaciones[[#This Row],[dia]]&amp;"|"&amp;tblAsignaciones[[#This Row],[tecnico]]</f>
        <v/>
      </c>
      <c r="O81" s="5">
        <f>_xlfn.XLOOKUP(tblAsignaciones[[#This Row],[turno]],tblTurnos[turno],tblTurnos[hora_inicio],"")</f>
        <v/>
      </c>
      <c r="P81" s="5">
        <f>_xlfn.XLOOKUP(tblAsignaciones[[#This Row],[turno]],tblTurnos[turno],tblTurnos[hora_fin],"")</f>
        <v/>
      </c>
      <c r="Q81" s="5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5">
        <f>_xlfn.XLOOKUP(tblAsignaciones[[#This Row],[tecnico]],tblTecnicos[nombre],tblTecnicos[area],"")</f>
        <v/>
      </c>
      <c r="E82" s="5">
        <f>_xlfn.XLOOKUP(tblAsignaciones[[#This Row],[tecnico]],tblTecnicos[nombre],tblTecnicos[especialidad],"")</f>
        <v/>
      </c>
      <c r="F82" s="5">
        <f>COUNTIFS(tblTecnicos[rotativo],"sí",tblTecnicos[especialidad],tblAsignaciones[[#This Row],[especialidad]],tblTecnicos[area],tblAsignaciones[[#This Row],[area]],tblTecnicos[activo],"sí")</f>
        <v/>
      </c>
      <c r="G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4" t="n"/>
      <c r="J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5">
        <f>_xlfn.XLOOKUP(tblAsignaciones[[#This Row],[tecnico]],tblTecnicos[nombre],tblTecnicos[supervisor],"")</f>
        <v/>
      </c>
      <c r="L8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5">
        <f>tblAsignaciones[[#This Row],[semana]]&amp;"|"&amp;tblAsignaciones[[#This Row],[dia]]&amp;"|"&amp;tblAsignaciones[[#This Row],[tecnico]]</f>
        <v/>
      </c>
      <c r="O82" s="5">
        <f>_xlfn.XLOOKUP(tblAsignaciones[[#This Row],[turno]],tblTurnos[turno],tblTurnos[hora_inicio],"")</f>
        <v/>
      </c>
      <c r="P82" s="5">
        <f>_xlfn.XLOOKUP(tblAsignaciones[[#This Row],[turno]],tblTurnos[turno],tblTurnos[hora_fin],"")</f>
        <v/>
      </c>
      <c r="Q82" s="5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5">
        <f>_xlfn.XLOOKUP(tblAsignaciones[[#This Row],[tecnico]],tblTecnicos[nombre],tblTecnicos[area],"")</f>
        <v/>
      </c>
      <c r="E83" s="5">
        <f>_xlfn.XLOOKUP(tblAsignaciones[[#This Row],[tecnico]],tblTecnicos[nombre],tblTecnicos[especialidad],"")</f>
        <v/>
      </c>
      <c r="F83" s="5">
        <f>COUNTIFS(tblTecnicos[rotativo],"sí",tblTecnicos[especialidad],tblAsignaciones[[#This Row],[especialidad]],tblTecnicos[area],tblAsignaciones[[#This Row],[area]],tblTecnicos[activo],"sí")</f>
        <v/>
      </c>
      <c r="G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4" t="n"/>
      <c r="J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5">
        <f>_xlfn.XLOOKUP(tblAsignaciones[[#This Row],[tecnico]],tblTecnicos[nombre],tblTecnicos[supervisor],"")</f>
        <v/>
      </c>
      <c r="L8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5">
        <f>tblAsignaciones[[#This Row],[semana]]&amp;"|"&amp;tblAsignaciones[[#This Row],[dia]]&amp;"|"&amp;tblAsignaciones[[#This Row],[tecnico]]</f>
        <v/>
      </c>
      <c r="O83" s="5">
        <f>_xlfn.XLOOKUP(tblAsignaciones[[#This Row],[turno]],tblTurnos[turno],tblTurnos[hora_inicio],"")</f>
        <v/>
      </c>
      <c r="P83" s="5">
        <f>_xlfn.XLOOKUP(tblAsignaciones[[#This Row],[turno]],tblTurnos[turno],tblTurnos[hora_fin],"")</f>
        <v/>
      </c>
      <c r="Q83" s="5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5">
        <f>_xlfn.XLOOKUP(tblAsignaciones[[#This Row],[tecnico]],tblTecnicos[nombre],tblTecnicos[area],"")</f>
        <v/>
      </c>
      <c r="E84" s="5">
        <f>_xlfn.XLOOKUP(tblAsignaciones[[#This Row],[tecnico]],tblTecnicos[nombre],tblTecnicos[especialidad],"")</f>
        <v/>
      </c>
      <c r="F84" s="5">
        <f>COUNTIFS(tblTecnicos[rotativo],"sí",tblTecnicos[especialidad],tblAsignaciones[[#This Row],[especialidad]],tblTecnicos[area],tblAsignaciones[[#This Row],[area]],tblTecnicos[activo],"sí")</f>
        <v/>
      </c>
      <c r="G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4" t="n"/>
      <c r="J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5">
        <f>_xlfn.XLOOKUP(tblAsignaciones[[#This Row],[tecnico]],tblTecnicos[nombre],tblTecnicos[supervisor],"")</f>
        <v/>
      </c>
      <c r="L8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5">
        <f>tblAsignaciones[[#This Row],[semana]]&amp;"|"&amp;tblAsignaciones[[#This Row],[dia]]&amp;"|"&amp;tblAsignaciones[[#This Row],[tecnico]]</f>
        <v/>
      </c>
      <c r="O84" s="5">
        <f>_xlfn.XLOOKUP(tblAsignaciones[[#This Row],[turno]],tblTurnos[turno],tblTurnos[hora_inicio],"")</f>
        <v/>
      </c>
      <c r="P84" s="5">
        <f>_xlfn.XLOOKUP(tblAsignaciones[[#This Row],[turno]],tblTurnos[turno],tblTurnos[hora_fin],"")</f>
        <v/>
      </c>
      <c r="Q84" s="5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5">
        <f>_xlfn.XLOOKUP(tblAsignaciones[[#This Row],[tecnico]],tblTecnicos[nombre],tblTecnicos[area],"")</f>
        <v/>
      </c>
      <c r="E85" s="5">
        <f>_xlfn.XLOOKUP(tblAsignaciones[[#This Row],[tecnico]],tblTecnicos[nombre],tblTecnicos[especialidad],"")</f>
        <v/>
      </c>
      <c r="F85" s="5">
        <f>COUNTIFS(tblTecnicos[rotativo],"sí",tblTecnicos[especialidad],tblAsignaciones[[#This Row],[especialidad]],tblTecnicos[area],tblAsignaciones[[#This Row],[area]],tblTecnicos[activo],"sí")</f>
        <v/>
      </c>
      <c r="G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4" t="n"/>
      <c r="J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5">
        <f>_xlfn.XLOOKUP(tblAsignaciones[[#This Row],[tecnico]],tblTecnicos[nombre],tblTecnicos[supervisor],"")</f>
        <v/>
      </c>
      <c r="L8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5">
        <f>tblAsignaciones[[#This Row],[semana]]&amp;"|"&amp;tblAsignaciones[[#This Row],[dia]]&amp;"|"&amp;tblAsignaciones[[#This Row],[tecnico]]</f>
        <v/>
      </c>
      <c r="O85" s="5">
        <f>_xlfn.XLOOKUP(tblAsignaciones[[#This Row],[turno]],tblTurnos[turno],tblTurnos[hora_inicio],"")</f>
        <v/>
      </c>
      <c r="P85" s="5">
        <f>_xlfn.XLOOKUP(tblAsignaciones[[#This Row],[turno]],tblTurnos[turno],tblTurnos[hora_fin],"")</f>
        <v/>
      </c>
      <c r="Q85" s="5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5">
        <f>_xlfn.XLOOKUP(tblAsignaciones[[#This Row],[tecnico]],tblTecnicos[nombre],tblTecnicos[area],"")</f>
        <v/>
      </c>
      <c r="E86" s="5">
        <f>_xlfn.XLOOKUP(tblAsignaciones[[#This Row],[tecnico]],tblTecnicos[nombre],tblTecnicos[especialidad],"")</f>
        <v/>
      </c>
      <c r="F86" s="5">
        <f>COUNTIFS(tblTecnicos[rotativo],"sí",tblTecnicos[especialidad],tblAsignaciones[[#This Row],[especialidad]],tblTecnicos[area],tblAsignaciones[[#This Row],[area]],tblTecnicos[activo],"sí")</f>
        <v/>
      </c>
      <c r="G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4" t="n"/>
      <c r="J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5">
        <f>_xlfn.XLOOKUP(tblAsignaciones[[#This Row],[tecnico]],tblTecnicos[nombre],tblTecnicos[supervisor],"")</f>
        <v/>
      </c>
      <c r="L8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5">
        <f>tblAsignaciones[[#This Row],[semana]]&amp;"|"&amp;tblAsignaciones[[#This Row],[dia]]&amp;"|"&amp;tblAsignaciones[[#This Row],[tecnico]]</f>
        <v/>
      </c>
      <c r="O86" s="5">
        <f>_xlfn.XLOOKUP(tblAsignaciones[[#This Row],[turno]],tblTurnos[turno],tblTurnos[hora_inicio],"")</f>
        <v/>
      </c>
      <c r="P86" s="5">
        <f>_xlfn.XLOOKUP(tblAsignaciones[[#This Row],[turno]],tblTurnos[turno],tblTurnos[hora_fin],"")</f>
        <v/>
      </c>
      <c r="Q86" s="5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5">
        <f>_xlfn.XLOOKUP(tblAsignaciones[[#This Row],[tecnico]],tblTecnicos[nombre],tblTecnicos[area],"")</f>
        <v/>
      </c>
      <c r="E87" s="5">
        <f>_xlfn.XLOOKUP(tblAsignaciones[[#This Row],[tecnico]],tblTecnicos[nombre],tblTecnicos[especialidad],"")</f>
        <v/>
      </c>
      <c r="F87" s="5">
        <f>COUNTIFS(tblTecnicos[rotativo],"sí",tblTecnicos[especialidad],tblAsignaciones[[#This Row],[especialidad]],tblTecnicos[area],tblAsignaciones[[#This Row],[area]],tblTecnicos[activo],"sí")</f>
        <v/>
      </c>
      <c r="G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4" t="n"/>
      <c r="J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5">
        <f>_xlfn.XLOOKUP(tblAsignaciones[[#This Row],[tecnico]],tblTecnicos[nombre],tblTecnicos[supervisor],"")</f>
        <v/>
      </c>
      <c r="L8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5">
        <f>tblAsignaciones[[#This Row],[semana]]&amp;"|"&amp;tblAsignaciones[[#This Row],[dia]]&amp;"|"&amp;tblAsignaciones[[#This Row],[tecnico]]</f>
        <v/>
      </c>
      <c r="O87" s="5">
        <f>_xlfn.XLOOKUP(tblAsignaciones[[#This Row],[turno]],tblTurnos[turno],tblTurnos[hora_inicio],"")</f>
        <v/>
      </c>
      <c r="P87" s="5">
        <f>_xlfn.XLOOKUP(tblAsignaciones[[#This Row],[turno]],tblTurnos[turno],tblTurnos[hora_fin],"")</f>
        <v/>
      </c>
      <c r="Q87" s="5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5">
        <f>_xlfn.XLOOKUP(tblAsignaciones[[#This Row],[tecnico]],tblTecnicos[nombre],tblTecnicos[area],"")</f>
        <v/>
      </c>
      <c r="E88" s="5">
        <f>_xlfn.XLOOKUP(tblAsignaciones[[#This Row],[tecnico]],tblTecnicos[nombre],tblTecnicos[especialidad],"")</f>
        <v/>
      </c>
      <c r="F88" s="5">
        <f>COUNTIFS(tblTecnicos[rotativo],"sí",tblTecnicos[especialidad],tblAsignaciones[[#This Row],[especialidad]],tblTecnicos[area],tblAsignaciones[[#This Row],[area]],tblTecnicos[activo],"sí")</f>
        <v/>
      </c>
      <c r="G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4" t="n"/>
      <c r="J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5">
        <f>_xlfn.XLOOKUP(tblAsignaciones[[#This Row],[tecnico]],tblTecnicos[nombre],tblTecnicos[supervisor],"")</f>
        <v/>
      </c>
      <c r="L8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5">
        <f>tblAsignaciones[[#This Row],[semana]]&amp;"|"&amp;tblAsignaciones[[#This Row],[dia]]&amp;"|"&amp;tblAsignaciones[[#This Row],[tecnico]]</f>
        <v/>
      </c>
      <c r="O88" s="5">
        <f>_xlfn.XLOOKUP(tblAsignaciones[[#This Row],[turno]],tblTurnos[turno],tblTurnos[hora_inicio],"")</f>
        <v/>
      </c>
      <c r="P88" s="5">
        <f>_xlfn.XLOOKUP(tblAsignaciones[[#This Row],[turno]],tblTurnos[turno],tblTurnos[hora_fin],"")</f>
        <v/>
      </c>
      <c r="Q88" s="5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5">
        <f>_xlfn.XLOOKUP(tblAsignaciones[[#This Row],[tecnico]],tblTecnicos[nombre],tblTecnicos[area],"")</f>
        <v/>
      </c>
      <c r="E89" s="5">
        <f>_xlfn.XLOOKUP(tblAsignaciones[[#This Row],[tecnico]],tblTecnicos[nombre],tblTecnicos[especialidad],"")</f>
        <v/>
      </c>
      <c r="F89" s="5">
        <f>COUNTIFS(tblTecnicos[rotativo],"sí",tblTecnicos[especialidad],tblAsignaciones[[#This Row],[especialidad]],tblTecnicos[area],tblAsignaciones[[#This Row],[area]],tblTecnicos[activo],"sí")</f>
        <v/>
      </c>
      <c r="G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4" t="n"/>
      <c r="J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5">
        <f>_xlfn.XLOOKUP(tblAsignaciones[[#This Row],[tecnico]],tblTecnicos[nombre],tblTecnicos[supervisor],"")</f>
        <v/>
      </c>
      <c r="L8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5">
        <f>tblAsignaciones[[#This Row],[semana]]&amp;"|"&amp;tblAsignaciones[[#This Row],[dia]]&amp;"|"&amp;tblAsignaciones[[#This Row],[tecnico]]</f>
        <v/>
      </c>
      <c r="O89" s="5">
        <f>_xlfn.XLOOKUP(tblAsignaciones[[#This Row],[turno]],tblTurnos[turno],tblTurnos[hora_inicio],"")</f>
        <v/>
      </c>
      <c r="P89" s="5">
        <f>_xlfn.XLOOKUP(tblAsignaciones[[#This Row],[turno]],tblTurnos[turno],tblTurnos[hora_fin],"")</f>
        <v/>
      </c>
      <c r="Q89" s="5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5">
        <f>_xlfn.XLOOKUP(tblAsignaciones[[#This Row],[tecnico]],tblTecnicos[nombre],tblTecnicos[area],"")</f>
        <v/>
      </c>
      <c r="E90" s="5">
        <f>_xlfn.XLOOKUP(tblAsignaciones[[#This Row],[tecnico]],tblTecnicos[nombre],tblTecnicos[especialidad],"")</f>
        <v/>
      </c>
      <c r="F90" s="5">
        <f>COUNTIFS(tblTecnicos[rotativo],"sí",tblTecnicos[especialidad],tblAsignaciones[[#This Row],[especialidad]],tblTecnicos[area],tblAsignaciones[[#This Row],[area]],tblTecnicos[activo],"sí")</f>
        <v/>
      </c>
      <c r="G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4" t="n"/>
      <c r="J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5">
        <f>_xlfn.XLOOKUP(tblAsignaciones[[#This Row],[tecnico]],tblTecnicos[nombre],tblTecnicos[supervisor],"")</f>
        <v/>
      </c>
      <c r="L9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5">
        <f>tblAsignaciones[[#This Row],[semana]]&amp;"|"&amp;tblAsignaciones[[#This Row],[dia]]&amp;"|"&amp;tblAsignaciones[[#This Row],[tecnico]]</f>
        <v/>
      </c>
      <c r="O90" s="5">
        <f>_xlfn.XLOOKUP(tblAsignaciones[[#This Row],[turno]],tblTurnos[turno],tblTurnos[hora_inicio],"")</f>
        <v/>
      </c>
      <c r="P90" s="5">
        <f>_xlfn.XLOOKUP(tblAsignaciones[[#This Row],[turno]],tblTurnos[turno],tblTurnos[hora_fin],"")</f>
        <v/>
      </c>
      <c r="Q90" s="5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5">
        <f>_xlfn.XLOOKUP(tblAsignaciones[[#This Row],[tecnico]],tblTecnicos[nombre],tblTecnicos[area],"")</f>
        <v/>
      </c>
      <c r="E91" s="5">
        <f>_xlfn.XLOOKUP(tblAsignaciones[[#This Row],[tecnico]],tblTecnicos[nombre],tblTecnicos[especialidad],"")</f>
        <v/>
      </c>
      <c r="F91" s="5">
        <f>COUNTIFS(tblTecnicos[rotativo],"sí",tblTecnicos[especialidad],tblAsignaciones[[#This Row],[especialidad]],tblTecnicos[area],tblAsignaciones[[#This Row],[area]],tblTecnicos[activo],"sí")</f>
        <v/>
      </c>
      <c r="G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4" t="n"/>
      <c r="J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5">
        <f>_xlfn.XLOOKUP(tblAsignaciones[[#This Row],[tecnico]],tblTecnicos[nombre],tblTecnicos[supervisor],"")</f>
        <v/>
      </c>
      <c r="L9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5">
        <f>tblAsignaciones[[#This Row],[semana]]&amp;"|"&amp;tblAsignaciones[[#This Row],[dia]]&amp;"|"&amp;tblAsignaciones[[#This Row],[tecnico]]</f>
        <v/>
      </c>
      <c r="O91" s="5">
        <f>_xlfn.XLOOKUP(tblAsignaciones[[#This Row],[turno]],tblTurnos[turno],tblTurnos[hora_inicio],"")</f>
        <v/>
      </c>
      <c r="P91" s="5">
        <f>_xlfn.XLOOKUP(tblAsignaciones[[#This Row],[turno]],tblTurnos[turno],tblTurnos[hora_fin],"")</f>
        <v/>
      </c>
      <c r="Q91" s="5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5">
        <f>_xlfn.XLOOKUP(tblAsignaciones[[#This Row],[tecnico]],tblTecnicos[nombre],tblTecnicos[area],"")</f>
        <v/>
      </c>
      <c r="E92" s="5">
        <f>_xlfn.XLOOKUP(tblAsignaciones[[#This Row],[tecnico]],tblTecnicos[nombre],tblTecnicos[especialidad],"")</f>
        <v/>
      </c>
      <c r="F92" s="5">
        <f>COUNTIFS(tblTecnicos[rotativo],"sí",tblTecnicos[especialidad],tblAsignaciones[[#This Row],[especialidad]],tblTecnicos[area],tblAsignaciones[[#This Row],[area]],tblTecnicos[activo],"sí")</f>
        <v/>
      </c>
      <c r="G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4" t="n"/>
      <c r="J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5">
        <f>_xlfn.XLOOKUP(tblAsignaciones[[#This Row],[tecnico]],tblTecnicos[nombre],tblTecnicos[supervisor],"")</f>
        <v/>
      </c>
      <c r="L9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5">
        <f>tblAsignaciones[[#This Row],[semana]]&amp;"|"&amp;tblAsignaciones[[#This Row],[dia]]&amp;"|"&amp;tblAsignaciones[[#This Row],[tecnico]]</f>
        <v/>
      </c>
      <c r="O92" s="5">
        <f>_xlfn.XLOOKUP(tblAsignaciones[[#This Row],[turno]],tblTurnos[turno],tblTurnos[hora_inicio],"")</f>
        <v/>
      </c>
      <c r="P92" s="5">
        <f>_xlfn.XLOOKUP(tblAsignaciones[[#This Row],[turno]],tblTurnos[turno],tblTurnos[hora_fin],"")</f>
        <v/>
      </c>
      <c r="Q92" s="5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5">
        <f>_xlfn.XLOOKUP(tblAsignaciones[[#This Row],[tecnico]],tblTecnicos[nombre],tblTecnicos[area],"")</f>
        <v/>
      </c>
      <c r="E93" s="5">
        <f>_xlfn.XLOOKUP(tblAsignaciones[[#This Row],[tecnico]],tblTecnicos[nombre],tblTecnicos[especialidad],"")</f>
        <v/>
      </c>
      <c r="F93" s="5">
        <f>COUNTIFS(tblTecnicos[rotativo],"sí",tblTecnicos[especialidad],tblAsignaciones[[#This Row],[especialidad]],tblTecnicos[area],tblAsignaciones[[#This Row],[area]],tblTecnicos[activo],"sí")</f>
        <v/>
      </c>
      <c r="G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4" t="n"/>
      <c r="J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5">
        <f>_xlfn.XLOOKUP(tblAsignaciones[[#This Row],[tecnico]],tblTecnicos[nombre],tblTecnicos[supervisor],"")</f>
        <v/>
      </c>
      <c r="L9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5">
        <f>tblAsignaciones[[#This Row],[semana]]&amp;"|"&amp;tblAsignaciones[[#This Row],[dia]]&amp;"|"&amp;tblAsignaciones[[#This Row],[tecnico]]</f>
        <v/>
      </c>
      <c r="O93" s="5">
        <f>_xlfn.XLOOKUP(tblAsignaciones[[#This Row],[turno]],tblTurnos[turno],tblTurnos[hora_inicio],"")</f>
        <v/>
      </c>
      <c r="P93" s="5">
        <f>_xlfn.XLOOKUP(tblAsignaciones[[#This Row],[turno]],tblTurnos[turno],tblTurnos[hora_fin],"")</f>
        <v/>
      </c>
      <c r="Q93" s="5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5">
        <f>_xlfn.XLOOKUP(tblAsignaciones[[#This Row],[tecnico]],tblTecnicos[nombre],tblTecnicos[area],"")</f>
        <v/>
      </c>
      <c r="E94" s="5">
        <f>_xlfn.XLOOKUP(tblAsignaciones[[#This Row],[tecnico]],tblTecnicos[nombre],tblTecnicos[especialidad],"")</f>
        <v/>
      </c>
      <c r="F94" s="5">
        <f>COUNTIFS(tblTecnicos[rotativo],"sí",tblTecnicos[especialidad],tblAsignaciones[[#This Row],[especialidad]],tblTecnicos[area],tblAsignaciones[[#This Row],[area]],tblTecnicos[activo],"sí")</f>
        <v/>
      </c>
      <c r="G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4" t="n"/>
      <c r="J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5">
        <f>_xlfn.XLOOKUP(tblAsignaciones[[#This Row],[tecnico]],tblTecnicos[nombre],tblTecnicos[supervisor],"")</f>
        <v/>
      </c>
      <c r="L9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5">
        <f>tblAsignaciones[[#This Row],[semana]]&amp;"|"&amp;tblAsignaciones[[#This Row],[dia]]&amp;"|"&amp;tblAsignaciones[[#This Row],[tecnico]]</f>
        <v/>
      </c>
      <c r="O94" s="5">
        <f>_xlfn.XLOOKUP(tblAsignaciones[[#This Row],[turno]],tblTurnos[turno],tblTurnos[hora_inicio],"")</f>
        <v/>
      </c>
      <c r="P94" s="5">
        <f>_xlfn.XLOOKUP(tblAsignaciones[[#This Row],[turno]],tblTurnos[turno],tblTurnos[hora_fin],"")</f>
        <v/>
      </c>
      <c r="Q94" s="5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5">
        <f>_xlfn.XLOOKUP(tblAsignaciones[[#This Row],[tecnico]],tblTecnicos[nombre],tblTecnicos[area],"")</f>
        <v/>
      </c>
      <c r="E95" s="5">
        <f>_xlfn.XLOOKUP(tblAsignaciones[[#This Row],[tecnico]],tblTecnicos[nombre],tblTecnicos[especialidad],"")</f>
        <v/>
      </c>
      <c r="F95" s="5">
        <f>COUNTIFS(tblTecnicos[rotativo],"sí",tblTecnicos[especialidad],tblAsignaciones[[#This Row],[especialidad]],tblTecnicos[area],tblAsignaciones[[#This Row],[area]],tblTecnicos[activo],"sí")</f>
        <v/>
      </c>
      <c r="G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4" t="n"/>
      <c r="J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5">
        <f>_xlfn.XLOOKUP(tblAsignaciones[[#This Row],[tecnico]],tblTecnicos[nombre],tblTecnicos[supervisor],"")</f>
        <v/>
      </c>
      <c r="L9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5">
        <f>tblAsignaciones[[#This Row],[semana]]&amp;"|"&amp;tblAsignaciones[[#This Row],[dia]]&amp;"|"&amp;tblAsignaciones[[#This Row],[tecnico]]</f>
        <v/>
      </c>
      <c r="O95" s="5">
        <f>_xlfn.XLOOKUP(tblAsignaciones[[#This Row],[turno]],tblTurnos[turno],tblTurnos[hora_inicio],"")</f>
        <v/>
      </c>
      <c r="P95" s="5">
        <f>_xlfn.XLOOKUP(tblAsignaciones[[#This Row],[turno]],tblTurnos[turno],tblTurnos[hora_fin],"")</f>
        <v/>
      </c>
      <c r="Q95" s="5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5">
        <f>_xlfn.XLOOKUP(tblAsignaciones[[#This Row],[tecnico]],tblTecnicos[nombre],tblTecnicos[area],"")</f>
        <v/>
      </c>
      <c r="E96" s="5">
        <f>_xlfn.XLOOKUP(tblAsignaciones[[#This Row],[tecnico]],tblTecnicos[nombre],tblTecnicos[especialidad],"")</f>
        <v/>
      </c>
      <c r="F96" s="5">
        <f>COUNTIFS(tblTecnicos[rotativo],"sí",tblTecnicos[especialidad],tblAsignaciones[[#This Row],[especialidad]],tblTecnicos[area],tblAsignaciones[[#This Row],[area]],tblTecnicos[activo],"sí")</f>
        <v/>
      </c>
      <c r="G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4" t="n"/>
      <c r="J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5">
        <f>_xlfn.XLOOKUP(tblAsignaciones[[#This Row],[tecnico]],tblTecnicos[nombre],tblTecnicos[supervisor],"")</f>
        <v/>
      </c>
      <c r="L9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5">
        <f>tblAsignaciones[[#This Row],[semana]]&amp;"|"&amp;tblAsignaciones[[#This Row],[dia]]&amp;"|"&amp;tblAsignaciones[[#This Row],[tecnico]]</f>
        <v/>
      </c>
      <c r="O96" s="5">
        <f>_xlfn.XLOOKUP(tblAsignaciones[[#This Row],[turno]],tblTurnos[turno],tblTurnos[hora_inicio],"")</f>
        <v/>
      </c>
      <c r="P96" s="5">
        <f>_xlfn.XLOOKUP(tblAsignaciones[[#This Row],[turno]],tblTurnos[turno],tblTurnos[hora_fin],"")</f>
        <v/>
      </c>
      <c r="Q96" s="5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5">
        <f>_xlfn.XLOOKUP(tblAsignaciones[[#This Row],[tecnico]],tblTecnicos[nombre],tblTecnicos[area],"")</f>
        <v/>
      </c>
      <c r="E97" s="5">
        <f>_xlfn.XLOOKUP(tblAsignaciones[[#This Row],[tecnico]],tblTecnicos[nombre],tblTecnicos[especialidad],"")</f>
        <v/>
      </c>
      <c r="F97" s="5">
        <f>COUNTIFS(tblTecnicos[rotativo],"sí",tblTecnicos[especialidad],tblAsignaciones[[#This Row],[especialidad]],tblTecnicos[area],tblAsignaciones[[#This Row],[area]],tblTecnicos[activo],"sí")</f>
        <v/>
      </c>
      <c r="G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4" t="n"/>
      <c r="J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5">
        <f>_xlfn.XLOOKUP(tblAsignaciones[[#This Row],[tecnico]],tblTecnicos[nombre],tblTecnicos[supervisor],"")</f>
        <v/>
      </c>
      <c r="L9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5">
        <f>tblAsignaciones[[#This Row],[semana]]&amp;"|"&amp;tblAsignaciones[[#This Row],[dia]]&amp;"|"&amp;tblAsignaciones[[#This Row],[tecnico]]</f>
        <v/>
      </c>
      <c r="O97" s="5">
        <f>_xlfn.XLOOKUP(tblAsignaciones[[#This Row],[turno]],tblTurnos[turno],tblTurnos[hora_inicio],"")</f>
        <v/>
      </c>
      <c r="P97" s="5">
        <f>_xlfn.XLOOKUP(tblAsignaciones[[#This Row],[turno]],tblTurnos[turno],tblTurnos[hora_fin],"")</f>
        <v/>
      </c>
      <c r="Q97" s="5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5">
        <f>_xlfn.XLOOKUP(tblAsignaciones[[#This Row],[tecnico]],tblTecnicos[nombre],tblTecnicos[area],"")</f>
        <v/>
      </c>
      <c r="E98" s="5">
        <f>_xlfn.XLOOKUP(tblAsignaciones[[#This Row],[tecnico]],tblTecnicos[nombre],tblTecnicos[especialidad],"")</f>
        <v/>
      </c>
      <c r="F98" s="5">
        <f>COUNTIFS(tblTecnicos[rotativo],"sí",tblTecnicos[especialidad],tblAsignaciones[[#This Row],[especialidad]],tblTecnicos[area],tblAsignaciones[[#This Row],[area]],tblTecnicos[activo],"sí")</f>
        <v/>
      </c>
      <c r="G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4" t="n"/>
      <c r="J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5">
        <f>_xlfn.XLOOKUP(tblAsignaciones[[#This Row],[tecnico]],tblTecnicos[nombre],tblTecnicos[supervisor],"")</f>
        <v/>
      </c>
      <c r="L9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5">
        <f>tblAsignaciones[[#This Row],[semana]]&amp;"|"&amp;tblAsignaciones[[#This Row],[dia]]&amp;"|"&amp;tblAsignaciones[[#This Row],[tecnico]]</f>
        <v/>
      </c>
      <c r="O98" s="5">
        <f>_xlfn.XLOOKUP(tblAsignaciones[[#This Row],[turno]],tblTurnos[turno],tblTurnos[hora_inicio],"")</f>
        <v/>
      </c>
      <c r="P98" s="5">
        <f>_xlfn.XLOOKUP(tblAsignaciones[[#This Row],[turno]],tblTurnos[turno],tblTurnos[hora_fin],"")</f>
        <v/>
      </c>
      <c r="Q98" s="5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5">
        <f>_xlfn.XLOOKUP(tblAsignaciones[[#This Row],[tecnico]],tblTecnicos[nombre],tblTecnicos[area],"")</f>
        <v/>
      </c>
      <c r="E99" s="5">
        <f>_xlfn.XLOOKUP(tblAsignaciones[[#This Row],[tecnico]],tblTecnicos[nombre],tblTecnicos[especialidad],"")</f>
        <v/>
      </c>
      <c r="F99" s="5">
        <f>COUNTIFS(tblTecnicos[rotativo],"sí",tblTecnicos[especialidad],tblAsignaciones[[#This Row],[especialidad]],tblTecnicos[area],tblAsignaciones[[#This Row],[area]],tblTecnicos[activo],"sí")</f>
        <v/>
      </c>
      <c r="G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4" t="n"/>
      <c r="J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5">
        <f>_xlfn.XLOOKUP(tblAsignaciones[[#This Row],[tecnico]],tblTecnicos[nombre],tblTecnicos[supervisor],"")</f>
        <v/>
      </c>
      <c r="L9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5">
        <f>tblAsignaciones[[#This Row],[semana]]&amp;"|"&amp;tblAsignaciones[[#This Row],[dia]]&amp;"|"&amp;tblAsignaciones[[#This Row],[tecnico]]</f>
        <v/>
      </c>
      <c r="O99" s="5">
        <f>_xlfn.XLOOKUP(tblAsignaciones[[#This Row],[turno]],tblTurnos[turno],tblTurnos[hora_inicio],"")</f>
        <v/>
      </c>
      <c r="P99" s="5">
        <f>_xlfn.XLOOKUP(tblAsignaciones[[#This Row],[turno]],tblTurnos[turno],tblTurnos[hora_fin],"")</f>
        <v/>
      </c>
      <c r="Q99" s="5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5">
        <f>_xlfn.XLOOKUP(tblAsignaciones[[#This Row],[tecnico]],tblTecnicos[nombre],tblTecnicos[area],"")</f>
        <v/>
      </c>
      <c r="E100" s="5">
        <f>_xlfn.XLOOKUP(tblAsignaciones[[#This Row],[tecnico]],tblTecnicos[nombre],tblTecnicos[especialidad],"")</f>
        <v/>
      </c>
      <c r="F100" s="5">
        <f>COUNTIFS(tblTecnicos[rotativo],"sí",tblTecnicos[especialidad],tblAsignaciones[[#This Row],[especialidad]],tblTecnicos[area],tblAsignaciones[[#This Row],[area]],tblTecnicos[activo],"sí")</f>
        <v/>
      </c>
      <c r="G1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4" t="n"/>
      <c r="J1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5">
        <f>_xlfn.XLOOKUP(tblAsignaciones[[#This Row],[tecnico]],tblTecnicos[nombre],tblTecnicos[supervisor],"")</f>
        <v/>
      </c>
      <c r="L10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5">
        <f>tblAsignaciones[[#This Row],[semana]]&amp;"|"&amp;tblAsignaciones[[#This Row],[dia]]&amp;"|"&amp;tblAsignaciones[[#This Row],[tecnico]]</f>
        <v/>
      </c>
      <c r="O100" s="5">
        <f>_xlfn.XLOOKUP(tblAsignaciones[[#This Row],[turno]],tblTurnos[turno],tblTurnos[hora_inicio],"")</f>
        <v/>
      </c>
      <c r="P100" s="5">
        <f>_xlfn.XLOOKUP(tblAsignaciones[[#This Row],[turno]],tblTurnos[turno],tblTurnos[hora_fin],"")</f>
        <v/>
      </c>
      <c r="Q100" s="5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5">
        <f>_xlfn.XLOOKUP(tblAsignaciones[[#This Row],[tecnico]],tblTecnicos[nombre],tblTecnicos[area],"")</f>
        <v/>
      </c>
      <c r="E101" s="5">
        <f>_xlfn.XLOOKUP(tblAsignaciones[[#This Row],[tecnico]],tblTecnicos[nombre],tblTecnicos[especialidad],"")</f>
        <v/>
      </c>
      <c r="F101" s="5">
        <f>COUNTIFS(tblTecnicos[rotativo],"sí",tblTecnicos[especialidad],tblAsignaciones[[#This Row],[especialidad]],tblTecnicos[area],tblAsignaciones[[#This Row],[area]],tblTecnicos[activo],"sí")</f>
        <v/>
      </c>
      <c r="G1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4" t="n"/>
      <c r="J1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5">
        <f>_xlfn.XLOOKUP(tblAsignaciones[[#This Row],[tecnico]],tblTecnicos[nombre],tblTecnicos[supervisor],"")</f>
        <v/>
      </c>
      <c r="L10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5">
        <f>tblAsignaciones[[#This Row],[semana]]&amp;"|"&amp;tblAsignaciones[[#This Row],[dia]]&amp;"|"&amp;tblAsignaciones[[#This Row],[tecnico]]</f>
        <v/>
      </c>
      <c r="O101" s="5">
        <f>_xlfn.XLOOKUP(tblAsignaciones[[#This Row],[turno]],tblTurnos[turno],tblTurnos[hora_inicio],"")</f>
        <v/>
      </c>
      <c r="P101" s="5">
        <f>_xlfn.XLOOKUP(tblAsignaciones[[#This Row],[turno]],tblTurnos[turno],tblTurnos[hora_fin],"")</f>
        <v/>
      </c>
      <c r="Q101" s="5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5">
        <f>_xlfn.XLOOKUP(tblAsignaciones[[#This Row],[tecnico]],tblTecnicos[nombre],tblTecnicos[area],"")</f>
        <v/>
      </c>
      <c r="E102" s="5">
        <f>_xlfn.XLOOKUP(tblAsignaciones[[#This Row],[tecnico]],tblTecnicos[nombre],tblTecnicos[especialidad],"")</f>
        <v/>
      </c>
      <c r="F102" s="5">
        <f>COUNTIFS(tblTecnicos[rotativo],"sí",tblTecnicos[especialidad],tblAsignaciones[[#This Row],[especialidad]],tblTecnicos[area],tblAsignaciones[[#This Row],[area]],tblTecnicos[activo],"sí")</f>
        <v/>
      </c>
      <c r="G1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4" t="n"/>
      <c r="J1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5">
        <f>_xlfn.XLOOKUP(tblAsignaciones[[#This Row],[tecnico]],tblTecnicos[nombre],tblTecnicos[supervisor],"")</f>
        <v/>
      </c>
      <c r="L10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5">
        <f>tblAsignaciones[[#This Row],[semana]]&amp;"|"&amp;tblAsignaciones[[#This Row],[dia]]&amp;"|"&amp;tblAsignaciones[[#This Row],[tecnico]]</f>
        <v/>
      </c>
      <c r="O102" s="5">
        <f>_xlfn.XLOOKUP(tblAsignaciones[[#This Row],[turno]],tblTurnos[turno],tblTurnos[hora_inicio],"")</f>
        <v/>
      </c>
      <c r="P102" s="5">
        <f>_xlfn.XLOOKUP(tblAsignaciones[[#This Row],[turno]],tblTurnos[turno],tblTurnos[hora_fin],"")</f>
        <v/>
      </c>
      <c r="Q102" s="5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5">
        <f>_xlfn.XLOOKUP(tblAsignaciones[[#This Row],[tecnico]],tblTecnicos[nombre],tblTecnicos[area],"")</f>
        <v/>
      </c>
      <c r="E103" s="5">
        <f>_xlfn.XLOOKUP(tblAsignaciones[[#This Row],[tecnico]],tblTecnicos[nombre],tblTecnicos[especialidad],"")</f>
        <v/>
      </c>
      <c r="F103" s="5">
        <f>COUNTIFS(tblTecnicos[rotativo],"sí",tblTecnicos[especialidad],tblAsignaciones[[#This Row],[especialidad]],tblTecnicos[area],tblAsignaciones[[#This Row],[area]],tblTecnicos[activo],"sí")</f>
        <v/>
      </c>
      <c r="G1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4" t="n"/>
      <c r="J1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5">
        <f>_xlfn.XLOOKUP(tblAsignaciones[[#This Row],[tecnico]],tblTecnicos[nombre],tblTecnicos[supervisor],"")</f>
        <v/>
      </c>
      <c r="L10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5">
        <f>tblAsignaciones[[#This Row],[semana]]&amp;"|"&amp;tblAsignaciones[[#This Row],[dia]]&amp;"|"&amp;tblAsignaciones[[#This Row],[tecnico]]</f>
        <v/>
      </c>
      <c r="O103" s="5">
        <f>_xlfn.XLOOKUP(tblAsignaciones[[#This Row],[turno]],tblTurnos[turno],tblTurnos[hora_inicio],"")</f>
        <v/>
      </c>
      <c r="P103" s="5">
        <f>_xlfn.XLOOKUP(tblAsignaciones[[#This Row],[turno]],tblTurnos[turno],tblTurnos[hora_fin],"")</f>
        <v/>
      </c>
      <c r="Q103" s="5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5">
        <f>_xlfn.XLOOKUP(tblAsignaciones[[#This Row],[tecnico]],tblTecnicos[nombre],tblTecnicos[area],"")</f>
        <v/>
      </c>
      <c r="E104" s="5">
        <f>_xlfn.XLOOKUP(tblAsignaciones[[#This Row],[tecnico]],tblTecnicos[nombre],tblTecnicos[especialidad],"")</f>
        <v/>
      </c>
      <c r="F104" s="5">
        <f>COUNTIFS(tblTecnicos[rotativo],"sí",tblTecnicos[especialidad],tblAsignaciones[[#This Row],[especialidad]],tblTecnicos[area],tblAsignaciones[[#This Row],[area]],tblTecnicos[activo],"sí")</f>
        <v/>
      </c>
      <c r="G1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4" t="n"/>
      <c r="J1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5">
        <f>_xlfn.XLOOKUP(tblAsignaciones[[#This Row],[tecnico]],tblTecnicos[nombre],tblTecnicos[supervisor],"")</f>
        <v/>
      </c>
      <c r="L10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5">
        <f>tblAsignaciones[[#This Row],[semana]]&amp;"|"&amp;tblAsignaciones[[#This Row],[dia]]&amp;"|"&amp;tblAsignaciones[[#This Row],[tecnico]]</f>
        <v/>
      </c>
      <c r="O104" s="5">
        <f>_xlfn.XLOOKUP(tblAsignaciones[[#This Row],[turno]],tblTurnos[turno],tblTurnos[hora_inicio],"")</f>
        <v/>
      </c>
      <c r="P104" s="5">
        <f>_xlfn.XLOOKUP(tblAsignaciones[[#This Row],[turno]],tblTurnos[turno],tblTurnos[hora_fin],"")</f>
        <v/>
      </c>
      <c r="Q104" s="5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5">
        <f>_xlfn.XLOOKUP(tblAsignaciones[[#This Row],[tecnico]],tblTecnicos[nombre],tblTecnicos[area],"")</f>
        <v/>
      </c>
      <c r="E105" s="5">
        <f>_xlfn.XLOOKUP(tblAsignaciones[[#This Row],[tecnico]],tblTecnicos[nombre],tblTecnicos[especialidad],"")</f>
        <v/>
      </c>
      <c r="F105" s="5">
        <f>COUNTIFS(tblTecnicos[rotativo],"sí",tblTecnicos[especialidad],tblAsignaciones[[#This Row],[especialidad]],tblTecnicos[area],tblAsignaciones[[#This Row],[area]],tblTecnicos[activo],"sí")</f>
        <v/>
      </c>
      <c r="G1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4" t="n"/>
      <c r="J1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5">
        <f>_xlfn.XLOOKUP(tblAsignaciones[[#This Row],[tecnico]],tblTecnicos[nombre],tblTecnicos[supervisor],"")</f>
        <v/>
      </c>
      <c r="L10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5">
        <f>tblAsignaciones[[#This Row],[semana]]&amp;"|"&amp;tblAsignaciones[[#This Row],[dia]]&amp;"|"&amp;tblAsignaciones[[#This Row],[tecnico]]</f>
        <v/>
      </c>
      <c r="O105" s="5">
        <f>_xlfn.XLOOKUP(tblAsignaciones[[#This Row],[turno]],tblTurnos[turno],tblTurnos[hora_inicio],"")</f>
        <v/>
      </c>
      <c r="P105" s="5">
        <f>_xlfn.XLOOKUP(tblAsignaciones[[#This Row],[turno]],tblTurnos[turno],tblTurnos[hora_fin],"")</f>
        <v/>
      </c>
      <c r="Q105" s="5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5">
        <f>_xlfn.XLOOKUP(tblAsignaciones[[#This Row],[tecnico]],tblTecnicos[nombre],tblTecnicos[area],"")</f>
        <v/>
      </c>
      <c r="E106" s="5">
        <f>_xlfn.XLOOKUP(tblAsignaciones[[#This Row],[tecnico]],tblTecnicos[nombre],tblTecnicos[especialidad],"")</f>
        <v/>
      </c>
      <c r="F106" s="5">
        <f>COUNTIFS(tblTecnicos[rotativo],"sí",tblTecnicos[especialidad],tblAsignaciones[[#This Row],[especialidad]],tblTecnicos[area],tblAsignaciones[[#This Row],[area]],tblTecnicos[activo],"sí")</f>
        <v/>
      </c>
      <c r="G1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4" t="n"/>
      <c r="J1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5">
        <f>_xlfn.XLOOKUP(tblAsignaciones[[#This Row],[tecnico]],tblTecnicos[nombre],tblTecnicos[supervisor],"")</f>
        <v/>
      </c>
      <c r="L10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5">
        <f>tblAsignaciones[[#This Row],[semana]]&amp;"|"&amp;tblAsignaciones[[#This Row],[dia]]&amp;"|"&amp;tblAsignaciones[[#This Row],[tecnico]]</f>
        <v/>
      </c>
      <c r="O106" s="5">
        <f>_xlfn.XLOOKUP(tblAsignaciones[[#This Row],[turno]],tblTurnos[turno],tblTurnos[hora_inicio],"")</f>
        <v/>
      </c>
      <c r="P106" s="5">
        <f>_xlfn.XLOOKUP(tblAsignaciones[[#This Row],[turno]],tblTurnos[turno],tblTurnos[hora_fin],"")</f>
        <v/>
      </c>
      <c r="Q106" s="5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5">
        <f>_xlfn.XLOOKUP(tblAsignaciones[[#This Row],[tecnico]],tblTecnicos[nombre],tblTecnicos[area],"")</f>
        <v/>
      </c>
      <c r="E107" s="5">
        <f>_xlfn.XLOOKUP(tblAsignaciones[[#This Row],[tecnico]],tblTecnicos[nombre],tblTecnicos[especialidad],"")</f>
        <v/>
      </c>
      <c r="F107" s="5">
        <f>COUNTIFS(tblTecnicos[rotativo],"sí",tblTecnicos[especialidad],tblAsignaciones[[#This Row],[especialidad]],tblTecnicos[area],tblAsignaciones[[#This Row],[area]],tblTecnicos[activo],"sí")</f>
        <v/>
      </c>
      <c r="G1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4" t="n"/>
      <c r="J1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5">
        <f>_xlfn.XLOOKUP(tblAsignaciones[[#This Row],[tecnico]],tblTecnicos[nombre],tblTecnicos[supervisor],"")</f>
        <v/>
      </c>
      <c r="L10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5">
        <f>tblAsignaciones[[#This Row],[semana]]&amp;"|"&amp;tblAsignaciones[[#This Row],[dia]]&amp;"|"&amp;tblAsignaciones[[#This Row],[tecnico]]</f>
        <v/>
      </c>
      <c r="O107" s="5">
        <f>_xlfn.XLOOKUP(tblAsignaciones[[#This Row],[turno]],tblTurnos[turno],tblTurnos[hora_inicio],"")</f>
        <v/>
      </c>
      <c r="P107" s="5">
        <f>_xlfn.XLOOKUP(tblAsignaciones[[#This Row],[turno]],tblTurnos[turno],tblTurnos[hora_fin],"")</f>
        <v/>
      </c>
      <c r="Q107" s="5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5">
        <f>_xlfn.XLOOKUP(tblAsignaciones[[#This Row],[tecnico]],tblTecnicos[nombre],tblTecnicos[area],"")</f>
        <v/>
      </c>
      <c r="E108" s="5">
        <f>_xlfn.XLOOKUP(tblAsignaciones[[#This Row],[tecnico]],tblTecnicos[nombre],tblTecnicos[especialidad],"")</f>
        <v/>
      </c>
      <c r="F108" s="5">
        <f>COUNTIFS(tblTecnicos[rotativo],"sí",tblTecnicos[especialidad],tblAsignaciones[[#This Row],[especialidad]],tblTecnicos[area],tblAsignaciones[[#This Row],[area]],tblTecnicos[activo],"sí")</f>
        <v/>
      </c>
      <c r="G1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4" t="n"/>
      <c r="J1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5">
        <f>_xlfn.XLOOKUP(tblAsignaciones[[#This Row],[tecnico]],tblTecnicos[nombre],tblTecnicos[supervisor],"")</f>
        <v/>
      </c>
      <c r="L10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5">
        <f>tblAsignaciones[[#This Row],[semana]]&amp;"|"&amp;tblAsignaciones[[#This Row],[dia]]&amp;"|"&amp;tblAsignaciones[[#This Row],[tecnico]]</f>
        <v/>
      </c>
      <c r="O108" s="5">
        <f>_xlfn.XLOOKUP(tblAsignaciones[[#This Row],[turno]],tblTurnos[turno],tblTurnos[hora_inicio],"")</f>
        <v/>
      </c>
      <c r="P108" s="5">
        <f>_xlfn.XLOOKUP(tblAsignaciones[[#This Row],[turno]],tblTurnos[turno],tblTurnos[hora_fin],"")</f>
        <v/>
      </c>
      <c r="Q108" s="5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5">
        <f>_xlfn.XLOOKUP(tblAsignaciones[[#This Row],[tecnico]],tblTecnicos[nombre],tblTecnicos[area],"")</f>
        <v/>
      </c>
      <c r="E109" s="5">
        <f>_xlfn.XLOOKUP(tblAsignaciones[[#This Row],[tecnico]],tblTecnicos[nombre],tblTecnicos[especialidad],"")</f>
        <v/>
      </c>
      <c r="F109" s="5">
        <f>COUNTIFS(tblTecnicos[rotativo],"sí",tblTecnicos[especialidad],tblAsignaciones[[#This Row],[especialidad]],tblTecnicos[area],tblAsignaciones[[#This Row],[area]],tblTecnicos[activo],"sí")</f>
        <v/>
      </c>
      <c r="G1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4" t="n"/>
      <c r="J1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5">
        <f>_xlfn.XLOOKUP(tblAsignaciones[[#This Row],[tecnico]],tblTecnicos[nombre],tblTecnicos[supervisor],"")</f>
        <v/>
      </c>
      <c r="L10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5">
        <f>tblAsignaciones[[#This Row],[semana]]&amp;"|"&amp;tblAsignaciones[[#This Row],[dia]]&amp;"|"&amp;tblAsignaciones[[#This Row],[tecnico]]</f>
        <v/>
      </c>
      <c r="O109" s="5">
        <f>_xlfn.XLOOKUP(tblAsignaciones[[#This Row],[turno]],tblTurnos[turno],tblTurnos[hora_inicio],"")</f>
        <v/>
      </c>
      <c r="P109" s="5">
        <f>_xlfn.XLOOKUP(tblAsignaciones[[#This Row],[turno]],tblTurnos[turno],tblTurnos[hora_fin],"")</f>
        <v/>
      </c>
      <c r="Q109" s="5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5">
        <f>_xlfn.XLOOKUP(tblAsignaciones[[#This Row],[tecnico]],tblTecnicos[nombre],tblTecnicos[area],"")</f>
        <v/>
      </c>
      <c r="E110" s="5">
        <f>_xlfn.XLOOKUP(tblAsignaciones[[#This Row],[tecnico]],tblTecnicos[nombre],tblTecnicos[especialidad],"")</f>
        <v/>
      </c>
      <c r="F110" s="5">
        <f>COUNTIFS(tblTecnicos[rotativo],"sí",tblTecnicos[especialidad],tblAsignaciones[[#This Row],[especialidad]],tblTecnicos[area],tblAsignaciones[[#This Row],[area]],tblTecnicos[activo],"sí")</f>
        <v/>
      </c>
      <c r="G1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4" t="n"/>
      <c r="J1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5">
        <f>_xlfn.XLOOKUP(tblAsignaciones[[#This Row],[tecnico]],tblTecnicos[nombre],tblTecnicos[supervisor],"")</f>
        <v/>
      </c>
      <c r="L11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5">
        <f>tblAsignaciones[[#This Row],[semana]]&amp;"|"&amp;tblAsignaciones[[#This Row],[dia]]&amp;"|"&amp;tblAsignaciones[[#This Row],[tecnico]]</f>
        <v/>
      </c>
      <c r="O110" s="5">
        <f>_xlfn.XLOOKUP(tblAsignaciones[[#This Row],[turno]],tblTurnos[turno],tblTurnos[hora_inicio],"")</f>
        <v/>
      </c>
      <c r="P110" s="5">
        <f>_xlfn.XLOOKUP(tblAsignaciones[[#This Row],[turno]],tblTurnos[turno],tblTurnos[hora_fin],"")</f>
        <v/>
      </c>
      <c r="Q110" s="5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5">
        <f>_xlfn.XLOOKUP(tblAsignaciones[[#This Row],[tecnico]],tblTecnicos[nombre],tblTecnicos[area],"")</f>
        <v/>
      </c>
      <c r="E111" s="5">
        <f>_xlfn.XLOOKUP(tblAsignaciones[[#This Row],[tecnico]],tblTecnicos[nombre],tblTecnicos[especialidad],"")</f>
        <v/>
      </c>
      <c r="F111" s="5">
        <f>COUNTIFS(tblTecnicos[rotativo],"sí",tblTecnicos[especialidad],tblAsignaciones[[#This Row],[especialidad]],tblTecnicos[area],tblAsignaciones[[#This Row],[area]],tblTecnicos[activo],"sí")</f>
        <v/>
      </c>
      <c r="G1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4" t="n"/>
      <c r="J1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5">
        <f>_xlfn.XLOOKUP(tblAsignaciones[[#This Row],[tecnico]],tblTecnicos[nombre],tblTecnicos[supervisor],"")</f>
        <v/>
      </c>
      <c r="L11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5">
        <f>tblAsignaciones[[#This Row],[semana]]&amp;"|"&amp;tblAsignaciones[[#This Row],[dia]]&amp;"|"&amp;tblAsignaciones[[#This Row],[tecnico]]</f>
        <v/>
      </c>
      <c r="O111" s="5">
        <f>_xlfn.XLOOKUP(tblAsignaciones[[#This Row],[turno]],tblTurnos[turno],tblTurnos[hora_inicio],"")</f>
        <v/>
      </c>
      <c r="P111" s="5">
        <f>_xlfn.XLOOKUP(tblAsignaciones[[#This Row],[turno]],tblTurnos[turno],tblTurnos[hora_fin],"")</f>
        <v/>
      </c>
      <c r="Q111" s="5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5">
        <f>_xlfn.XLOOKUP(tblAsignaciones[[#This Row],[tecnico]],tblTecnicos[nombre],tblTecnicos[area],"")</f>
        <v/>
      </c>
      <c r="E112" s="5">
        <f>_xlfn.XLOOKUP(tblAsignaciones[[#This Row],[tecnico]],tblTecnicos[nombre],tblTecnicos[especialidad],"")</f>
        <v/>
      </c>
      <c r="F112" s="5">
        <f>COUNTIFS(tblTecnicos[rotativo],"sí",tblTecnicos[especialidad],tblAsignaciones[[#This Row],[especialidad]],tblTecnicos[area],tblAsignaciones[[#This Row],[area]],tblTecnicos[activo],"sí")</f>
        <v/>
      </c>
      <c r="G1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4" t="n"/>
      <c r="J1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5">
        <f>_xlfn.XLOOKUP(tblAsignaciones[[#This Row],[tecnico]],tblTecnicos[nombre],tblTecnicos[supervisor],"")</f>
        <v/>
      </c>
      <c r="L11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5">
        <f>tblAsignaciones[[#This Row],[semana]]&amp;"|"&amp;tblAsignaciones[[#This Row],[dia]]&amp;"|"&amp;tblAsignaciones[[#This Row],[tecnico]]</f>
        <v/>
      </c>
      <c r="O112" s="5">
        <f>_xlfn.XLOOKUP(tblAsignaciones[[#This Row],[turno]],tblTurnos[turno],tblTurnos[hora_inicio],"")</f>
        <v/>
      </c>
      <c r="P112" s="5">
        <f>_xlfn.XLOOKUP(tblAsignaciones[[#This Row],[turno]],tblTurnos[turno],tblTurnos[hora_fin],"")</f>
        <v/>
      </c>
      <c r="Q112" s="5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5">
        <f>_xlfn.XLOOKUP(tblAsignaciones[[#This Row],[tecnico]],tblTecnicos[nombre],tblTecnicos[area],"")</f>
        <v/>
      </c>
      <c r="E113" s="5">
        <f>_xlfn.XLOOKUP(tblAsignaciones[[#This Row],[tecnico]],tblTecnicos[nombre],tblTecnicos[especialidad],"")</f>
        <v/>
      </c>
      <c r="F113" s="5">
        <f>COUNTIFS(tblTecnicos[rotativo],"sí",tblTecnicos[especialidad],tblAsignaciones[[#This Row],[especialidad]],tblTecnicos[area],tblAsignaciones[[#This Row],[area]],tblTecnicos[activo],"sí")</f>
        <v/>
      </c>
      <c r="G1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4" t="n"/>
      <c r="J1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5">
        <f>_xlfn.XLOOKUP(tblAsignaciones[[#This Row],[tecnico]],tblTecnicos[nombre],tblTecnicos[supervisor],"")</f>
        <v/>
      </c>
      <c r="L11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5">
        <f>tblAsignaciones[[#This Row],[semana]]&amp;"|"&amp;tblAsignaciones[[#This Row],[dia]]&amp;"|"&amp;tblAsignaciones[[#This Row],[tecnico]]</f>
        <v/>
      </c>
      <c r="O113" s="5">
        <f>_xlfn.XLOOKUP(tblAsignaciones[[#This Row],[turno]],tblTurnos[turno],tblTurnos[hora_inicio],"")</f>
        <v/>
      </c>
      <c r="P113" s="5">
        <f>_xlfn.XLOOKUP(tblAsignaciones[[#This Row],[turno]],tblTurnos[turno],tblTurnos[hora_fin],"")</f>
        <v/>
      </c>
      <c r="Q113" s="5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5">
        <f>_xlfn.XLOOKUP(tblAsignaciones[[#This Row],[tecnico]],tblTecnicos[nombre],tblTecnicos[area],"")</f>
        <v/>
      </c>
      <c r="E114" s="5">
        <f>_xlfn.XLOOKUP(tblAsignaciones[[#This Row],[tecnico]],tblTecnicos[nombre],tblTecnicos[especialidad],"")</f>
        <v/>
      </c>
      <c r="F114" s="5">
        <f>COUNTIFS(tblTecnicos[rotativo],"sí",tblTecnicos[especialidad],tblAsignaciones[[#This Row],[especialidad]],tblTecnicos[area],tblAsignaciones[[#This Row],[area]],tblTecnicos[activo],"sí")</f>
        <v/>
      </c>
      <c r="G1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4" t="n"/>
      <c r="J1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5">
        <f>_xlfn.XLOOKUP(tblAsignaciones[[#This Row],[tecnico]],tblTecnicos[nombre],tblTecnicos[supervisor],"")</f>
        <v/>
      </c>
      <c r="L11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5">
        <f>tblAsignaciones[[#This Row],[semana]]&amp;"|"&amp;tblAsignaciones[[#This Row],[dia]]&amp;"|"&amp;tblAsignaciones[[#This Row],[tecnico]]</f>
        <v/>
      </c>
      <c r="O114" s="5">
        <f>_xlfn.XLOOKUP(tblAsignaciones[[#This Row],[turno]],tblTurnos[turno],tblTurnos[hora_inicio],"")</f>
        <v/>
      </c>
      <c r="P114" s="5">
        <f>_xlfn.XLOOKUP(tblAsignaciones[[#This Row],[turno]],tblTurnos[turno],tblTurnos[hora_fin],"")</f>
        <v/>
      </c>
      <c r="Q114" s="5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5">
        <f>_xlfn.XLOOKUP(tblAsignaciones[[#This Row],[tecnico]],tblTecnicos[nombre],tblTecnicos[area],"")</f>
        <v/>
      </c>
      <c r="E115" s="5">
        <f>_xlfn.XLOOKUP(tblAsignaciones[[#This Row],[tecnico]],tblTecnicos[nombre],tblTecnicos[especialidad],"")</f>
        <v/>
      </c>
      <c r="F115" s="5">
        <f>COUNTIFS(tblTecnicos[rotativo],"sí",tblTecnicos[especialidad],tblAsignaciones[[#This Row],[especialidad]],tblTecnicos[area],tblAsignaciones[[#This Row],[area]],tblTecnicos[activo],"sí")</f>
        <v/>
      </c>
      <c r="G1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4" t="n"/>
      <c r="J1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5">
        <f>_xlfn.XLOOKUP(tblAsignaciones[[#This Row],[tecnico]],tblTecnicos[nombre],tblTecnicos[supervisor],"")</f>
        <v/>
      </c>
      <c r="L11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5">
        <f>tblAsignaciones[[#This Row],[semana]]&amp;"|"&amp;tblAsignaciones[[#This Row],[dia]]&amp;"|"&amp;tblAsignaciones[[#This Row],[tecnico]]</f>
        <v/>
      </c>
      <c r="O115" s="5">
        <f>_xlfn.XLOOKUP(tblAsignaciones[[#This Row],[turno]],tblTurnos[turno],tblTurnos[hora_inicio],"")</f>
        <v/>
      </c>
      <c r="P115" s="5">
        <f>_xlfn.XLOOKUP(tblAsignaciones[[#This Row],[turno]],tblTurnos[turno],tblTurnos[hora_fin],"")</f>
        <v/>
      </c>
      <c r="Q115" s="5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5">
        <f>_xlfn.XLOOKUP(tblAsignaciones[[#This Row],[tecnico]],tblTecnicos[nombre],tblTecnicos[area],"")</f>
        <v/>
      </c>
      <c r="E116" s="5">
        <f>_xlfn.XLOOKUP(tblAsignaciones[[#This Row],[tecnico]],tblTecnicos[nombre],tblTecnicos[especialidad],"")</f>
        <v/>
      </c>
      <c r="F116" s="5">
        <f>COUNTIFS(tblTecnicos[rotativo],"sí",tblTecnicos[especialidad],tblAsignaciones[[#This Row],[especialidad]],tblTecnicos[area],tblAsignaciones[[#This Row],[area]],tblTecnicos[activo],"sí")</f>
        <v/>
      </c>
      <c r="G1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4" t="n"/>
      <c r="J1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5">
        <f>_xlfn.XLOOKUP(tblAsignaciones[[#This Row],[tecnico]],tblTecnicos[nombre],tblTecnicos[supervisor],"")</f>
        <v/>
      </c>
      <c r="L11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5">
        <f>tblAsignaciones[[#This Row],[semana]]&amp;"|"&amp;tblAsignaciones[[#This Row],[dia]]&amp;"|"&amp;tblAsignaciones[[#This Row],[tecnico]]</f>
        <v/>
      </c>
      <c r="O116" s="5">
        <f>_xlfn.XLOOKUP(tblAsignaciones[[#This Row],[turno]],tblTurnos[turno],tblTurnos[hora_inicio],"")</f>
        <v/>
      </c>
      <c r="P116" s="5">
        <f>_xlfn.XLOOKUP(tblAsignaciones[[#This Row],[turno]],tblTurnos[turno],tblTurnos[hora_fin],"")</f>
        <v/>
      </c>
      <c r="Q116" s="5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5">
        <f>_xlfn.XLOOKUP(tblAsignaciones[[#This Row],[tecnico]],tblTecnicos[nombre],tblTecnicos[area],"")</f>
        <v/>
      </c>
      <c r="E117" s="5">
        <f>_xlfn.XLOOKUP(tblAsignaciones[[#This Row],[tecnico]],tblTecnicos[nombre],tblTecnicos[especialidad],"")</f>
        <v/>
      </c>
      <c r="F117" s="5">
        <f>COUNTIFS(tblTecnicos[rotativo],"sí",tblTecnicos[especialidad],tblAsignaciones[[#This Row],[especialidad]],tblTecnicos[area],tblAsignaciones[[#This Row],[area]],tblTecnicos[activo],"sí")</f>
        <v/>
      </c>
      <c r="G1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4" t="n"/>
      <c r="J1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5">
        <f>_xlfn.XLOOKUP(tblAsignaciones[[#This Row],[tecnico]],tblTecnicos[nombre],tblTecnicos[supervisor],"")</f>
        <v/>
      </c>
      <c r="L11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5">
        <f>tblAsignaciones[[#This Row],[semana]]&amp;"|"&amp;tblAsignaciones[[#This Row],[dia]]&amp;"|"&amp;tblAsignaciones[[#This Row],[tecnico]]</f>
        <v/>
      </c>
      <c r="O117" s="5">
        <f>_xlfn.XLOOKUP(tblAsignaciones[[#This Row],[turno]],tblTurnos[turno],tblTurnos[hora_inicio],"")</f>
        <v/>
      </c>
      <c r="P117" s="5">
        <f>_xlfn.XLOOKUP(tblAsignaciones[[#This Row],[turno]],tblTurnos[turno],tblTurnos[hora_fin],"")</f>
        <v/>
      </c>
      <c r="Q117" s="5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5">
        <f>_xlfn.XLOOKUP(tblAsignaciones[[#This Row],[tecnico]],tblTecnicos[nombre],tblTecnicos[area],"")</f>
        <v/>
      </c>
      <c r="E118" s="5">
        <f>_xlfn.XLOOKUP(tblAsignaciones[[#This Row],[tecnico]],tblTecnicos[nombre],tblTecnicos[especialidad],"")</f>
        <v/>
      </c>
      <c r="F118" s="5">
        <f>COUNTIFS(tblTecnicos[rotativo],"sí",tblTecnicos[especialidad],tblAsignaciones[[#This Row],[especialidad]],tblTecnicos[area],tblAsignaciones[[#This Row],[area]],tblTecnicos[activo],"sí")</f>
        <v/>
      </c>
      <c r="G1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4" t="n"/>
      <c r="J1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5">
        <f>_xlfn.XLOOKUP(tblAsignaciones[[#This Row],[tecnico]],tblTecnicos[nombre],tblTecnicos[supervisor],"")</f>
        <v/>
      </c>
      <c r="L11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5">
        <f>tblAsignaciones[[#This Row],[semana]]&amp;"|"&amp;tblAsignaciones[[#This Row],[dia]]&amp;"|"&amp;tblAsignaciones[[#This Row],[tecnico]]</f>
        <v/>
      </c>
      <c r="O118" s="5">
        <f>_xlfn.XLOOKUP(tblAsignaciones[[#This Row],[turno]],tblTurnos[turno],tblTurnos[hora_inicio],"")</f>
        <v/>
      </c>
      <c r="P118" s="5">
        <f>_xlfn.XLOOKUP(tblAsignaciones[[#This Row],[turno]],tblTurnos[turno],tblTurnos[hora_fin],"")</f>
        <v/>
      </c>
      <c r="Q118" s="5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5">
        <f>_xlfn.XLOOKUP(tblAsignaciones[[#This Row],[tecnico]],tblTecnicos[nombre],tblTecnicos[area],"")</f>
        <v/>
      </c>
      <c r="E119" s="5">
        <f>_xlfn.XLOOKUP(tblAsignaciones[[#This Row],[tecnico]],tblTecnicos[nombre],tblTecnicos[especialidad],"")</f>
        <v/>
      </c>
      <c r="F119" s="5">
        <f>COUNTIFS(tblTecnicos[rotativo],"sí",tblTecnicos[especialidad],tblAsignaciones[[#This Row],[especialidad]],tblTecnicos[area],tblAsignaciones[[#This Row],[area]],tblTecnicos[activo],"sí")</f>
        <v/>
      </c>
      <c r="G1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4" t="n"/>
      <c r="J1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5">
        <f>_xlfn.XLOOKUP(tblAsignaciones[[#This Row],[tecnico]],tblTecnicos[nombre],tblTecnicos[supervisor],"")</f>
        <v/>
      </c>
      <c r="L11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5">
        <f>tblAsignaciones[[#This Row],[semana]]&amp;"|"&amp;tblAsignaciones[[#This Row],[dia]]&amp;"|"&amp;tblAsignaciones[[#This Row],[tecnico]]</f>
        <v/>
      </c>
      <c r="O119" s="5">
        <f>_xlfn.XLOOKUP(tblAsignaciones[[#This Row],[turno]],tblTurnos[turno],tblTurnos[hora_inicio],"")</f>
        <v/>
      </c>
      <c r="P119" s="5">
        <f>_xlfn.XLOOKUP(tblAsignaciones[[#This Row],[turno]],tblTurnos[turno],tblTurnos[hora_fin],"")</f>
        <v/>
      </c>
      <c r="Q119" s="5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5">
        <f>_xlfn.XLOOKUP(tblAsignaciones[[#This Row],[tecnico]],tblTecnicos[nombre],tblTecnicos[area],"")</f>
        <v/>
      </c>
      <c r="E120" s="5">
        <f>_xlfn.XLOOKUP(tblAsignaciones[[#This Row],[tecnico]],tblTecnicos[nombre],tblTecnicos[especialidad],"")</f>
        <v/>
      </c>
      <c r="F120" s="5">
        <f>COUNTIFS(tblTecnicos[rotativo],"sí",tblTecnicos[especialidad],tblAsignaciones[[#This Row],[especialidad]],tblTecnicos[area],tblAsignaciones[[#This Row],[area]],tblTecnicos[activo],"sí")</f>
        <v/>
      </c>
      <c r="G1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4" t="n"/>
      <c r="J1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5">
        <f>_xlfn.XLOOKUP(tblAsignaciones[[#This Row],[tecnico]],tblTecnicos[nombre],tblTecnicos[supervisor],"")</f>
        <v/>
      </c>
      <c r="L12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5">
        <f>tblAsignaciones[[#This Row],[semana]]&amp;"|"&amp;tblAsignaciones[[#This Row],[dia]]&amp;"|"&amp;tblAsignaciones[[#This Row],[tecnico]]</f>
        <v/>
      </c>
      <c r="O120" s="5">
        <f>_xlfn.XLOOKUP(tblAsignaciones[[#This Row],[turno]],tblTurnos[turno],tblTurnos[hora_inicio],"")</f>
        <v/>
      </c>
      <c r="P120" s="5">
        <f>_xlfn.XLOOKUP(tblAsignaciones[[#This Row],[turno]],tblTurnos[turno],tblTurnos[hora_fin],"")</f>
        <v/>
      </c>
      <c r="Q120" s="5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5">
        <f>_xlfn.XLOOKUP(tblAsignaciones[[#This Row],[tecnico]],tblTecnicos[nombre],tblTecnicos[area],"")</f>
        <v/>
      </c>
      <c r="E121" s="5">
        <f>_xlfn.XLOOKUP(tblAsignaciones[[#This Row],[tecnico]],tblTecnicos[nombre],tblTecnicos[especialidad],"")</f>
        <v/>
      </c>
      <c r="F121" s="5">
        <f>COUNTIFS(tblTecnicos[rotativo],"sí",tblTecnicos[especialidad],tblAsignaciones[[#This Row],[especialidad]],tblTecnicos[area],tblAsignaciones[[#This Row],[area]],tblTecnicos[activo],"sí")</f>
        <v/>
      </c>
      <c r="G1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4" t="n"/>
      <c r="J1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5">
        <f>_xlfn.XLOOKUP(tblAsignaciones[[#This Row],[tecnico]],tblTecnicos[nombre],tblTecnicos[supervisor],"")</f>
        <v/>
      </c>
      <c r="L12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5">
        <f>tblAsignaciones[[#This Row],[semana]]&amp;"|"&amp;tblAsignaciones[[#This Row],[dia]]&amp;"|"&amp;tblAsignaciones[[#This Row],[tecnico]]</f>
        <v/>
      </c>
      <c r="O121" s="5">
        <f>_xlfn.XLOOKUP(tblAsignaciones[[#This Row],[turno]],tblTurnos[turno],tblTurnos[hora_inicio],"")</f>
        <v/>
      </c>
      <c r="P121" s="5">
        <f>_xlfn.XLOOKUP(tblAsignaciones[[#This Row],[turno]],tblTurnos[turno],tblTurnos[hora_fin],"")</f>
        <v/>
      </c>
      <c r="Q121" s="5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5">
        <f>_xlfn.XLOOKUP(tblAsignaciones[[#This Row],[tecnico]],tblTecnicos[nombre],tblTecnicos[area],"")</f>
        <v/>
      </c>
      <c r="E122" s="5">
        <f>_xlfn.XLOOKUP(tblAsignaciones[[#This Row],[tecnico]],tblTecnicos[nombre],tblTecnicos[especialidad],"")</f>
        <v/>
      </c>
      <c r="F122" s="5">
        <f>COUNTIFS(tblTecnicos[rotativo],"sí",tblTecnicos[especialidad],tblAsignaciones[[#This Row],[especialidad]],tblTecnicos[area],tblAsignaciones[[#This Row],[area]],tblTecnicos[activo],"sí")</f>
        <v/>
      </c>
      <c r="G1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4" t="n"/>
      <c r="J1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5">
        <f>_xlfn.XLOOKUP(tblAsignaciones[[#This Row],[tecnico]],tblTecnicos[nombre],tblTecnicos[supervisor],"")</f>
        <v/>
      </c>
      <c r="L12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5">
        <f>tblAsignaciones[[#This Row],[semana]]&amp;"|"&amp;tblAsignaciones[[#This Row],[dia]]&amp;"|"&amp;tblAsignaciones[[#This Row],[tecnico]]</f>
        <v/>
      </c>
      <c r="O122" s="5">
        <f>_xlfn.XLOOKUP(tblAsignaciones[[#This Row],[turno]],tblTurnos[turno],tblTurnos[hora_inicio],"")</f>
        <v/>
      </c>
      <c r="P122" s="5">
        <f>_xlfn.XLOOKUP(tblAsignaciones[[#This Row],[turno]],tblTurnos[turno],tblTurnos[hora_fin],"")</f>
        <v/>
      </c>
      <c r="Q122" s="5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5">
        <f>_xlfn.XLOOKUP(tblAsignaciones[[#This Row],[tecnico]],tblTecnicos[nombre],tblTecnicos[area],"")</f>
        <v/>
      </c>
      <c r="E123" s="5">
        <f>_xlfn.XLOOKUP(tblAsignaciones[[#This Row],[tecnico]],tblTecnicos[nombre],tblTecnicos[especialidad],"")</f>
        <v/>
      </c>
      <c r="F123" s="5">
        <f>COUNTIFS(tblTecnicos[rotativo],"sí",tblTecnicos[especialidad],tblAsignaciones[[#This Row],[especialidad]],tblTecnicos[area],tblAsignaciones[[#This Row],[area]],tblTecnicos[activo],"sí")</f>
        <v/>
      </c>
      <c r="G1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4" t="n"/>
      <c r="J1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5">
        <f>_xlfn.XLOOKUP(tblAsignaciones[[#This Row],[tecnico]],tblTecnicos[nombre],tblTecnicos[supervisor],"")</f>
        <v/>
      </c>
      <c r="L12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5">
        <f>tblAsignaciones[[#This Row],[semana]]&amp;"|"&amp;tblAsignaciones[[#This Row],[dia]]&amp;"|"&amp;tblAsignaciones[[#This Row],[tecnico]]</f>
        <v/>
      </c>
      <c r="O123" s="5">
        <f>_xlfn.XLOOKUP(tblAsignaciones[[#This Row],[turno]],tblTurnos[turno],tblTurnos[hora_inicio],"")</f>
        <v/>
      </c>
      <c r="P123" s="5">
        <f>_xlfn.XLOOKUP(tblAsignaciones[[#This Row],[turno]],tblTurnos[turno],tblTurnos[hora_fin],"")</f>
        <v/>
      </c>
      <c r="Q123" s="5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5">
        <f>_xlfn.XLOOKUP(tblAsignaciones[[#This Row],[tecnico]],tblTecnicos[nombre],tblTecnicos[area],"")</f>
        <v/>
      </c>
      <c r="E124" s="5">
        <f>_xlfn.XLOOKUP(tblAsignaciones[[#This Row],[tecnico]],tblTecnicos[nombre],tblTecnicos[especialidad],"")</f>
        <v/>
      </c>
      <c r="F124" s="5">
        <f>COUNTIFS(tblTecnicos[rotativo],"sí",tblTecnicos[especialidad],tblAsignaciones[[#This Row],[especialidad]],tblTecnicos[area],tblAsignaciones[[#This Row],[area]],tblTecnicos[activo],"sí")</f>
        <v/>
      </c>
      <c r="G1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4" t="n"/>
      <c r="J1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5">
        <f>_xlfn.XLOOKUP(tblAsignaciones[[#This Row],[tecnico]],tblTecnicos[nombre],tblTecnicos[supervisor],"")</f>
        <v/>
      </c>
      <c r="L12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5">
        <f>tblAsignaciones[[#This Row],[semana]]&amp;"|"&amp;tblAsignaciones[[#This Row],[dia]]&amp;"|"&amp;tblAsignaciones[[#This Row],[tecnico]]</f>
        <v/>
      </c>
      <c r="O124" s="5">
        <f>_xlfn.XLOOKUP(tblAsignaciones[[#This Row],[turno]],tblTurnos[turno],tblTurnos[hora_inicio],"")</f>
        <v/>
      </c>
      <c r="P124" s="5">
        <f>_xlfn.XLOOKUP(tblAsignaciones[[#This Row],[turno]],tblTurnos[turno],tblTurnos[hora_fin],"")</f>
        <v/>
      </c>
      <c r="Q124" s="5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5">
        <f>_xlfn.XLOOKUP(tblAsignaciones[[#This Row],[tecnico]],tblTecnicos[nombre],tblTecnicos[area],"")</f>
        <v/>
      </c>
      <c r="E125" s="5">
        <f>_xlfn.XLOOKUP(tblAsignaciones[[#This Row],[tecnico]],tblTecnicos[nombre],tblTecnicos[especialidad],"")</f>
        <v/>
      </c>
      <c r="F125" s="5">
        <f>COUNTIFS(tblTecnicos[rotativo],"sí",tblTecnicos[especialidad],tblAsignaciones[[#This Row],[especialidad]],tblTecnicos[area],tblAsignaciones[[#This Row],[area]],tblTecnicos[activo],"sí")</f>
        <v/>
      </c>
      <c r="G1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4" t="n"/>
      <c r="J1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5">
        <f>_xlfn.XLOOKUP(tblAsignaciones[[#This Row],[tecnico]],tblTecnicos[nombre],tblTecnicos[supervisor],"")</f>
        <v/>
      </c>
      <c r="L12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5">
        <f>tblAsignaciones[[#This Row],[semana]]&amp;"|"&amp;tblAsignaciones[[#This Row],[dia]]&amp;"|"&amp;tblAsignaciones[[#This Row],[tecnico]]</f>
        <v/>
      </c>
      <c r="O125" s="5">
        <f>_xlfn.XLOOKUP(tblAsignaciones[[#This Row],[turno]],tblTurnos[turno],tblTurnos[hora_inicio],"")</f>
        <v/>
      </c>
      <c r="P125" s="5">
        <f>_xlfn.XLOOKUP(tblAsignaciones[[#This Row],[turno]],tblTurnos[turno],tblTurnos[hora_fin],"")</f>
        <v/>
      </c>
      <c r="Q125" s="5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5">
        <f>_xlfn.XLOOKUP(tblAsignaciones[[#This Row],[tecnico]],tblTecnicos[nombre],tblTecnicos[area],"")</f>
        <v/>
      </c>
      <c r="E126" s="5">
        <f>_xlfn.XLOOKUP(tblAsignaciones[[#This Row],[tecnico]],tblTecnicos[nombre],tblTecnicos[especialidad],"")</f>
        <v/>
      </c>
      <c r="F126" s="5">
        <f>COUNTIFS(tblTecnicos[rotativo],"sí",tblTecnicos[especialidad],tblAsignaciones[[#This Row],[especialidad]],tblTecnicos[area],tblAsignaciones[[#This Row],[area]],tblTecnicos[activo],"sí")</f>
        <v/>
      </c>
      <c r="G1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4" t="n"/>
      <c r="J1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5">
        <f>_xlfn.XLOOKUP(tblAsignaciones[[#This Row],[tecnico]],tblTecnicos[nombre],tblTecnicos[supervisor],"")</f>
        <v/>
      </c>
      <c r="L12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5">
        <f>tblAsignaciones[[#This Row],[semana]]&amp;"|"&amp;tblAsignaciones[[#This Row],[dia]]&amp;"|"&amp;tblAsignaciones[[#This Row],[tecnico]]</f>
        <v/>
      </c>
      <c r="O126" s="5">
        <f>_xlfn.XLOOKUP(tblAsignaciones[[#This Row],[turno]],tblTurnos[turno],tblTurnos[hora_inicio],"")</f>
        <v/>
      </c>
      <c r="P126" s="5">
        <f>_xlfn.XLOOKUP(tblAsignaciones[[#This Row],[turno]],tblTurnos[turno],tblTurnos[hora_fin],"")</f>
        <v/>
      </c>
      <c r="Q126" s="5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5">
        <f>_xlfn.XLOOKUP(tblAsignaciones[[#This Row],[tecnico]],tblTecnicos[nombre],tblTecnicos[area],"")</f>
        <v/>
      </c>
      <c r="E127" s="5">
        <f>_xlfn.XLOOKUP(tblAsignaciones[[#This Row],[tecnico]],tblTecnicos[nombre],tblTecnicos[especialidad],"")</f>
        <v/>
      </c>
      <c r="F127" s="5">
        <f>COUNTIFS(tblTecnicos[rotativo],"sí",tblTecnicos[especialidad],tblAsignaciones[[#This Row],[especialidad]],tblTecnicos[area],tblAsignaciones[[#This Row],[area]],tblTecnicos[activo],"sí")</f>
        <v/>
      </c>
      <c r="G1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4" t="n"/>
      <c r="J1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5">
        <f>_xlfn.XLOOKUP(tblAsignaciones[[#This Row],[tecnico]],tblTecnicos[nombre],tblTecnicos[supervisor],"")</f>
        <v/>
      </c>
      <c r="L12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5">
        <f>tblAsignaciones[[#This Row],[semana]]&amp;"|"&amp;tblAsignaciones[[#This Row],[dia]]&amp;"|"&amp;tblAsignaciones[[#This Row],[tecnico]]</f>
        <v/>
      </c>
      <c r="O127" s="5">
        <f>_xlfn.XLOOKUP(tblAsignaciones[[#This Row],[turno]],tblTurnos[turno],tblTurnos[hora_inicio],"")</f>
        <v/>
      </c>
      <c r="P127" s="5">
        <f>_xlfn.XLOOKUP(tblAsignaciones[[#This Row],[turno]],tblTurnos[turno],tblTurnos[hora_fin],"")</f>
        <v/>
      </c>
      <c r="Q127" s="5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5">
        <f>_xlfn.XLOOKUP(tblAsignaciones[[#This Row],[tecnico]],tblTecnicos[nombre],tblTecnicos[area],"")</f>
        <v/>
      </c>
      <c r="E128" s="5">
        <f>_xlfn.XLOOKUP(tblAsignaciones[[#This Row],[tecnico]],tblTecnicos[nombre],tblTecnicos[especialidad],"")</f>
        <v/>
      </c>
      <c r="F128" s="5">
        <f>COUNTIFS(tblTecnicos[rotativo],"sí",tblTecnicos[especialidad],tblAsignaciones[[#This Row],[especialidad]],tblTecnicos[area],tblAsignaciones[[#This Row],[area]],tblTecnicos[activo],"sí")</f>
        <v/>
      </c>
      <c r="G1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4" t="n"/>
      <c r="J1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5">
        <f>_xlfn.XLOOKUP(tblAsignaciones[[#This Row],[tecnico]],tblTecnicos[nombre],tblTecnicos[supervisor],"")</f>
        <v/>
      </c>
      <c r="L12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5">
        <f>tblAsignaciones[[#This Row],[semana]]&amp;"|"&amp;tblAsignaciones[[#This Row],[dia]]&amp;"|"&amp;tblAsignaciones[[#This Row],[tecnico]]</f>
        <v/>
      </c>
      <c r="O128" s="5">
        <f>_xlfn.XLOOKUP(tblAsignaciones[[#This Row],[turno]],tblTurnos[turno],tblTurnos[hora_inicio],"")</f>
        <v/>
      </c>
      <c r="P128" s="5">
        <f>_xlfn.XLOOKUP(tblAsignaciones[[#This Row],[turno]],tblTurnos[turno],tblTurnos[hora_fin],"")</f>
        <v/>
      </c>
      <c r="Q128" s="5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5">
        <f>_xlfn.XLOOKUP(tblAsignaciones[[#This Row],[tecnico]],tblTecnicos[nombre],tblTecnicos[area],"")</f>
        <v/>
      </c>
      <c r="E129" s="5">
        <f>_xlfn.XLOOKUP(tblAsignaciones[[#This Row],[tecnico]],tblTecnicos[nombre],tblTecnicos[especialidad],"")</f>
        <v/>
      </c>
      <c r="F129" s="5">
        <f>COUNTIFS(tblTecnicos[rotativo],"sí",tblTecnicos[especialidad],tblAsignaciones[[#This Row],[especialidad]],tblTecnicos[area],tblAsignaciones[[#This Row],[area]],tblTecnicos[activo],"sí")</f>
        <v/>
      </c>
      <c r="G1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4" t="n"/>
      <c r="J1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5">
        <f>_xlfn.XLOOKUP(tblAsignaciones[[#This Row],[tecnico]],tblTecnicos[nombre],tblTecnicos[supervisor],"")</f>
        <v/>
      </c>
      <c r="L12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5">
        <f>tblAsignaciones[[#This Row],[semana]]&amp;"|"&amp;tblAsignaciones[[#This Row],[dia]]&amp;"|"&amp;tblAsignaciones[[#This Row],[tecnico]]</f>
        <v/>
      </c>
      <c r="O129" s="5">
        <f>_xlfn.XLOOKUP(tblAsignaciones[[#This Row],[turno]],tblTurnos[turno],tblTurnos[hora_inicio],"")</f>
        <v/>
      </c>
      <c r="P129" s="5">
        <f>_xlfn.XLOOKUP(tblAsignaciones[[#This Row],[turno]],tblTurnos[turno],tblTurnos[hora_fin],"")</f>
        <v/>
      </c>
      <c r="Q129" s="5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5">
        <f>_xlfn.XLOOKUP(tblAsignaciones[[#This Row],[tecnico]],tblTecnicos[nombre],tblTecnicos[area],"")</f>
        <v/>
      </c>
      <c r="E130" s="5">
        <f>_xlfn.XLOOKUP(tblAsignaciones[[#This Row],[tecnico]],tblTecnicos[nombre],tblTecnicos[especialidad],"")</f>
        <v/>
      </c>
      <c r="F130" s="5">
        <f>COUNTIFS(tblTecnicos[rotativo],"sí",tblTecnicos[especialidad],tblAsignaciones[[#This Row],[especialidad]],tblTecnicos[area],tblAsignaciones[[#This Row],[area]],tblTecnicos[activo],"sí")</f>
        <v/>
      </c>
      <c r="G1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4" t="n"/>
      <c r="J1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5">
        <f>_xlfn.XLOOKUP(tblAsignaciones[[#This Row],[tecnico]],tblTecnicos[nombre],tblTecnicos[supervisor],"")</f>
        <v/>
      </c>
      <c r="L13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5">
        <f>tblAsignaciones[[#This Row],[semana]]&amp;"|"&amp;tblAsignaciones[[#This Row],[dia]]&amp;"|"&amp;tblAsignaciones[[#This Row],[tecnico]]</f>
        <v/>
      </c>
      <c r="O130" s="5">
        <f>_xlfn.XLOOKUP(tblAsignaciones[[#This Row],[turno]],tblTurnos[turno],tblTurnos[hora_inicio],"")</f>
        <v/>
      </c>
      <c r="P130" s="5">
        <f>_xlfn.XLOOKUP(tblAsignaciones[[#This Row],[turno]],tblTurnos[turno],tblTurnos[hora_fin],"")</f>
        <v/>
      </c>
      <c r="Q130" s="5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5">
        <f>_xlfn.XLOOKUP(tblAsignaciones[[#This Row],[tecnico]],tblTecnicos[nombre],tblTecnicos[area],"")</f>
        <v/>
      </c>
      <c r="E131" s="5">
        <f>_xlfn.XLOOKUP(tblAsignaciones[[#This Row],[tecnico]],tblTecnicos[nombre],tblTecnicos[especialidad],"")</f>
        <v/>
      </c>
      <c r="F131" s="5">
        <f>COUNTIFS(tblTecnicos[rotativo],"sí",tblTecnicos[especialidad],tblAsignaciones[[#This Row],[especialidad]],tblTecnicos[area],tblAsignaciones[[#This Row],[area]],tblTecnicos[activo],"sí")</f>
        <v/>
      </c>
      <c r="G1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4" t="n"/>
      <c r="J1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5">
        <f>_xlfn.XLOOKUP(tblAsignaciones[[#This Row],[tecnico]],tblTecnicos[nombre],tblTecnicos[supervisor],"")</f>
        <v/>
      </c>
      <c r="L13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5">
        <f>tblAsignaciones[[#This Row],[semana]]&amp;"|"&amp;tblAsignaciones[[#This Row],[dia]]&amp;"|"&amp;tblAsignaciones[[#This Row],[tecnico]]</f>
        <v/>
      </c>
      <c r="O131" s="5">
        <f>_xlfn.XLOOKUP(tblAsignaciones[[#This Row],[turno]],tblTurnos[turno],tblTurnos[hora_inicio],"")</f>
        <v/>
      </c>
      <c r="P131" s="5">
        <f>_xlfn.XLOOKUP(tblAsignaciones[[#This Row],[turno]],tblTurnos[turno],tblTurnos[hora_fin],"")</f>
        <v/>
      </c>
      <c r="Q131" s="5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5">
        <f>_xlfn.XLOOKUP(tblAsignaciones[[#This Row],[tecnico]],tblTecnicos[nombre],tblTecnicos[area],"")</f>
        <v/>
      </c>
      <c r="E132" s="5">
        <f>_xlfn.XLOOKUP(tblAsignaciones[[#This Row],[tecnico]],tblTecnicos[nombre],tblTecnicos[especialidad],"")</f>
        <v/>
      </c>
      <c r="F132" s="5">
        <f>COUNTIFS(tblTecnicos[rotativo],"sí",tblTecnicos[especialidad],tblAsignaciones[[#This Row],[especialidad]],tblTecnicos[area],tblAsignaciones[[#This Row],[area]],tblTecnicos[activo],"sí")</f>
        <v/>
      </c>
      <c r="G1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4" t="n"/>
      <c r="J1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5">
        <f>_xlfn.XLOOKUP(tblAsignaciones[[#This Row],[tecnico]],tblTecnicos[nombre],tblTecnicos[supervisor],"")</f>
        <v/>
      </c>
      <c r="L13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5">
        <f>tblAsignaciones[[#This Row],[semana]]&amp;"|"&amp;tblAsignaciones[[#This Row],[dia]]&amp;"|"&amp;tblAsignaciones[[#This Row],[tecnico]]</f>
        <v/>
      </c>
      <c r="O132" s="5">
        <f>_xlfn.XLOOKUP(tblAsignaciones[[#This Row],[turno]],tblTurnos[turno],tblTurnos[hora_inicio],"")</f>
        <v/>
      </c>
      <c r="P132" s="5">
        <f>_xlfn.XLOOKUP(tblAsignaciones[[#This Row],[turno]],tblTurnos[turno],tblTurnos[hora_fin],"")</f>
        <v/>
      </c>
      <c r="Q132" s="5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5">
        <f>_xlfn.XLOOKUP(tblAsignaciones[[#This Row],[tecnico]],tblTecnicos[nombre],tblTecnicos[area],"")</f>
        <v/>
      </c>
      <c r="E133" s="5">
        <f>_xlfn.XLOOKUP(tblAsignaciones[[#This Row],[tecnico]],tblTecnicos[nombre],tblTecnicos[especialidad],"")</f>
        <v/>
      </c>
      <c r="F133" s="5">
        <f>COUNTIFS(tblTecnicos[rotativo],"sí",tblTecnicos[especialidad],tblAsignaciones[[#This Row],[especialidad]],tblTecnicos[area],tblAsignaciones[[#This Row],[area]],tblTecnicos[activo],"sí")</f>
        <v/>
      </c>
      <c r="G1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4" t="n"/>
      <c r="J1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5">
        <f>_xlfn.XLOOKUP(tblAsignaciones[[#This Row],[tecnico]],tblTecnicos[nombre],tblTecnicos[supervisor],"")</f>
        <v/>
      </c>
      <c r="L13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5">
        <f>tblAsignaciones[[#This Row],[semana]]&amp;"|"&amp;tblAsignaciones[[#This Row],[dia]]&amp;"|"&amp;tblAsignaciones[[#This Row],[tecnico]]</f>
        <v/>
      </c>
      <c r="O133" s="5">
        <f>_xlfn.XLOOKUP(tblAsignaciones[[#This Row],[turno]],tblTurnos[turno],tblTurnos[hora_inicio],"")</f>
        <v/>
      </c>
      <c r="P133" s="5">
        <f>_xlfn.XLOOKUP(tblAsignaciones[[#This Row],[turno]],tblTurnos[turno],tblTurnos[hora_fin],"")</f>
        <v/>
      </c>
      <c r="Q133" s="5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5">
        <f>_xlfn.XLOOKUP(tblAsignaciones[[#This Row],[tecnico]],tblTecnicos[nombre],tblTecnicos[area],"")</f>
        <v/>
      </c>
      <c r="E134" s="5">
        <f>_xlfn.XLOOKUP(tblAsignaciones[[#This Row],[tecnico]],tblTecnicos[nombre],tblTecnicos[especialidad],"")</f>
        <v/>
      </c>
      <c r="F134" s="5">
        <f>COUNTIFS(tblTecnicos[rotativo],"sí",tblTecnicos[especialidad],tblAsignaciones[[#This Row],[especialidad]],tblTecnicos[area],tblAsignaciones[[#This Row],[area]],tblTecnicos[activo],"sí")</f>
        <v/>
      </c>
      <c r="G1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4" t="n"/>
      <c r="J1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5">
        <f>_xlfn.XLOOKUP(tblAsignaciones[[#This Row],[tecnico]],tblTecnicos[nombre],tblTecnicos[supervisor],"")</f>
        <v/>
      </c>
      <c r="L13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5">
        <f>tblAsignaciones[[#This Row],[semana]]&amp;"|"&amp;tblAsignaciones[[#This Row],[dia]]&amp;"|"&amp;tblAsignaciones[[#This Row],[tecnico]]</f>
        <v/>
      </c>
      <c r="O134" s="5">
        <f>_xlfn.XLOOKUP(tblAsignaciones[[#This Row],[turno]],tblTurnos[turno],tblTurnos[hora_inicio],"")</f>
        <v/>
      </c>
      <c r="P134" s="5">
        <f>_xlfn.XLOOKUP(tblAsignaciones[[#This Row],[turno]],tblTurnos[turno],tblTurnos[hora_fin],"")</f>
        <v/>
      </c>
      <c r="Q134" s="5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5">
        <f>_xlfn.XLOOKUP(tblAsignaciones[[#This Row],[tecnico]],tblTecnicos[nombre],tblTecnicos[area],"")</f>
        <v/>
      </c>
      <c r="E135" s="5">
        <f>_xlfn.XLOOKUP(tblAsignaciones[[#This Row],[tecnico]],tblTecnicos[nombre],tblTecnicos[especialidad],"")</f>
        <v/>
      </c>
      <c r="F135" s="5">
        <f>COUNTIFS(tblTecnicos[rotativo],"sí",tblTecnicos[especialidad],tblAsignaciones[[#This Row],[especialidad]],tblTecnicos[area],tblAsignaciones[[#This Row],[area]],tblTecnicos[activo],"sí")</f>
        <v/>
      </c>
      <c r="G1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4" t="n"/>
      <c r="J1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5">
        <f>_xlfn.XLOOKUP(tblAsignaciones[[#This Row],[tecnico]],tblTecnicos[nombre],tblTecnicos[supervisor],"")</f>
        <v/>
      </c>
      <c r="L13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5">
        <f>tblAsignaciones[[#This Row],[semana]]&amp;"|"&amp;tblAsignaciones[[#This Row],[dia]]&amp;"|"&amp;tblAsignaciones[[#This Row],[tecnico]]</f>
        <v/>
      </c>
      <c r="O135" s="5">
        <f>_xlfn.XLOOKUP(tblAsignaciones[[#This Row],[turno]],tblTurnos[turno],tblTurnos[hora_inicio],"")</f>
        <v/>
      </c>
      <c r="P135" s="5">
        <f>_xlfn.XLOOKUP(tblAsignaciones[[#This Row],[turno]],tblTurnos[turno],tblTurnos[hora_fin],"")</f>
        <v/>
      </c>
      <c r="Q135" s="5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5">
        <f>_xlfn.XLOOKUP(tblAsignaciones[[#This Row],[tecnico]],tblTecnicos[nombre],tblTecnicos[area],"")</f>
        <v/>
      </c>
      <c r="E136" s="5">
        <f>_xlfn.XLOOKUP(tblAsignaciones[[#This Row],[tecnico]],tblTecnicos[nombre],tblTecnicos[especialidad],"")</f>
        <v/>
      </c>
      <c r="F136" s="5">
        <f>COUNTIFS(tblTecnicos[rotativo],"sí",tblTecnicos[especialidad],tblAsignaciones[[#This Row],[especialidad]],tblTecnicos[area],tblAsignaciones[[#This Row],[area]],tblTecnicos[activo],"sí")</f>
        <v/>
      </c>
      <c r="G1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4" t="n"/>
      <c r="J1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5">
        <f>_xlfn.XLOOKUP(tblAsignaciones[[#This Row],[tecnico]],tblTecnicos[nombre],tblTecnicos[supervisor],"")</f>
        <v/>
      </c>
      <c r="L13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5">
        <f>tblAsignaciones[[#This Row],[semana]]&amp;"|"&amp;tblAsignaciones[[#This Row],[dia]]&amp;"|"&amp;tblAsignaciones[[#This Row],[tecnico]]</f>
        <v/>
      </c>
      <c r="O136" s="5">
        <f>_xlfn.XLOOKUP(tblAsignaciones[[#This Row],[turno]],tblTurnos[turno],tblTurnos[hora_inicio],"")</f>
        <v/>
      </c>
      <c r="P136" s="5">
        <f>_xlfn.XLOOKUP(tblAsignaciones[[#This Row],[turno]],tblTurnos[turno],tblTurnos[hora_fin],"")</f>
        <v/>
      </c>
      <c r="Q136" s="5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5">
        <f>_xlfn.XLOOKUP(tblAsignaciones[[#This Row],[tecnico]],tblTecnicos[nombre],tblTecnicos[area],"")</f>
        <v/>
      </c>
      <c r="E137" s="5">
        <f>_xlfn.XLOOKUP(tblAsignaciones[[#This Row],[tecnico]],tblTecnicos[nombre],tblTecnicos[especialidad],"")</f>
        <v/>
      </c>
      <c r="F137" s="5">
        <f>COUNTIFS(tblTecnicos[rotativo],"sí",tblTecnicos[especialidad],tblAsignaciones[[#This Row],[especialidad]],tblTecnicos[area],tblAsignaciones[[#This Row],[area]],tblTecnicos[activo],"sí")</f>
        <v/>
      </c>
      <c r="G1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4" t="n"/>
      <c r="J1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5">
        <f>_xlfn.XLOOKUP(tblAsignaciones[[#This Row],[tecnico]],tblTecnicos[nombre],tblTecnicos[supervisor],"")</f>
        <v/>
      </c>
      <c r="L13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5">
        <f>tblAsignaciones[[#This Row],[semana]]&amp;"|"&amp;tblAsignaciones[[#This Row],[dia]]&amp;"|"&amp;tblAsignaciones[[#This Row],[tecnico]]</f>
        <v/>
      </c>
      <c r="O137" s="5">
        <f>_xlfn.XLOOKUP(tblAsignaciones[[#This Row],[turno]],tblTurnos[turno],tblTurnos[hora_inicio],"")</f>
        <v/>
      </c>
      <c r="P137" s="5">
        <f>_xlfn.XLOOKUP(tblAsignaciones[[#This Row],[turno]],tblTurnos[turno],tblTurnos[hora_fin],"")</f>
        <v/>
      </c>
      <c r="Q137" s="5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5">
        <f>_xlfn.XLOOKUP(tblAsignaciones[[#This Row],[tecnico]],tblTecnicos[nombre],tblTecnicos[area],"")</f>
        <v/>
      </c>
      <c r="E138" s="5">
        <f>_xlfn.XLOOKUP(tblAsignaciones[[#This Row],[tecnico]],tblTecnicos[nombre],tblTecnicos[especialidad],"")</f>
        <v/>
      </c>
      <c r="F138" s="5">
        <f>COUNTIFS(tblTecnicos[rotativo],"sí",tblTecnicos[especialidad],tblAsignaciones[[#This Row],[especialidad]],tblTecnicos[area],tblAsignaciones[[#This Row],[area]],tblTecnicos[activo],"sí")</f>
        <v/>
      </c>
      <c r="G1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4" t="n"/>
      <c r="J1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5">
        <f>_xlfn.XLOOKUP(tblAsignaciones[[#This Row],[tecnico]],tblTecnicos[nombre],tblTecnicos[supervisor],"")</f>
        <v/>
      </c>
      <c r="L13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5">
        <f>tblAsignaciones[[#This Row],[semana]]&amp;"|"&amp;tblAsignaciones[[#This Row],[dia]]&amp;"|"&amp;tblAsignaciones[[#This Row],[tecnico]]</f>
        <v/>
      </c>
      <c r="O138" s="5">
        <f>_xlfn.XLOOKUP(tblAsignaciones[[#This Row],[turno]],tblTurnos[turno],tblTurnos[hora_inicio],"")</f>
        <v/>
      </c>
      <c r="P138" s="5">
        <f>_xlfn.XLOOKUP(tblAsignaciones[[#This Row],[turno]],tblTurnos[turno],tblTurnos[hora_fin],"")</f>
        <v/>
      </c>
      <c r="Q138" s="5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5">
        <f>_xlfn.XLOOKUP(tblAsignaciones[[#This Row],[tecnico]],tblTecnicos[nombre],tblTecnicos[area],"")</f>
        <v/>
      </c>
      <c r="E139" s="5">
        <f>_xlfn.XLOOKUP(tblAsignaciones[[#This Row],[tecnico]],tblTecnicos[nombre],tblTecnicos[especialidad],"")</f>
        <v/>
      </c>
      <c r="F139" s="5">
        <f>COUNTIFS(tblTecnicos[rotativo],"sí",tblTecnicos[especialidad],tblAsignaciones[[#This Row],[especialidad]],tblTecnicos[area],tblAsignaciones[[#This Row],[area]],tblTecnicos[activo],"sí")</f>
        <v/>
      </c>
      <c r="G1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4" t="n"/>
      <c r="J1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5">
        <f>_xlfn.XLOOKUP(tblAsignaciones[[#This Row],[tecnico]],tblTecnicos[nombre],tblTecnicos[supervisor],"")</f>
        <v/>
      </c>
      <c r="L13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5">
        <f>tblAsignaciones[[#This Row],[semana]]&amp;"|"&amp;tblAsignaciones[[#This Row],[dia]]&amp;"|"&amp;tblAsignaciones[[#This Row],[tecnico]]</f>
        <v/>
      </c>
      <c r="O139" s="5">
        <f>_xlfn.XLOOKUP(tblAsignaciones[[#This Row],[turno]],tblTurnos[turno],tblTurnos[hora_inicio],"")</f>
        <v/>
      </c>
      <c r="P139" s="5">
        <f>_xlfn.XLOOKUP(tblAsignaciones[[#This Row],[turno]],tblTurnos[turno],tblTurnos[hora_fin],"")</f>
        <v/>
      </c>
      <c r="Q139" s="5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5">
        <f>_xlfn.XLOOKUP(tblAsignaciones[[#This Row],[tecnico]],tblTecnicos[nombre],tblTecnicos[area],"")</f>
        <v/>
      </c>
      <c r="E140" s="5">
        <f>_xlfn.XLOOKUP(tblAsignaciones[[#This Row],[tecnico]],tblTecnicos[nombre],tblTecnicos[especialidad],"")</f>
        <v/>
      </c>
      <c r="F140" s="5">
        <f>COUNTIFS(tblTecnicos[rotativo],"sí",tblTecnicos[especialidad],tblAsignaciones[[#This Row],[especialidad]],tblTecnicos[area],tblAsignaciones[[#This Row],[area]],tblTecnicos[activo],"sí")</f>
        <v/>
      </c>
      <c r="G1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4" t="n"/>
      <c r="J1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5">
        <f>_xlfn.XLOOKUP(tblAsignaciones[[#This Row],[tecnico]],tblTecnicos[nombre],tblTecnicos[supervisor],"")</f>
        <v/>
      </c>
      <c r="L14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5">
        <f>tblAsignaciones[[#This Row],[semana]]&amp;"|"&amp;tblAsignaciones[[#This Row],[dia]]&amp;"|"&amp;tblAsignaciones[[#This Row],[tecnico]]</f>
        <v/>
      </c>
      <c r="O140" s="5">
        <f>_xlfn.XLOOKUP(tblAsignaciones[[#This Row],[turno]],tblTurnos[turno],tblTurnos[hora_inicio],"")</f>
        <v/>
      </c>
      <c r="P140" s="5">
        <f>_xlfn.XLOOKUP(tblAsignaciones[[#This Row],[turno]],tblTurnos[turno],tblTurnos[hora_fin],"")</f>
        <v/>
      </c>
      <c r="Q140" s="5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5">
        <f>_xlfn.XLOOKUP(tblAsignaciones[[#This Row],[tecnico]],tblTecnicos[nombre],tblTecnicos[area],"")</f>
        <v/>
      </c>
      <c r="E141" s="5">
        <f>_xlfn.XLOOKUP(tblAsignaciones[[#This Row],[tecnico]],tblTecnicos[nombre],tblTecnicos[especialidad],"")</f>
        <v/>
      </c>
      <c r="F141" s="5">
        <f>COUNTIFS(tblTecnicos[rotativo],"sí",tblTecnicos[especialidad],tblAsignaciones[[#This Row],[especialidad]],tblTecnicos[area],tblAsignaciones[[#This Row],[area]],tblTecnicos[activo],"sí")</f>
        <v/>
      </c>
      <c r="G1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4" t="n"/>
      <c r="J1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5">
        <f>_xlfn.XLOOKUP(tblAsignaciones[[#This Row],[tecnico]],tblTecnicos[nombre],tblTecnicos[supervisor],"")</f>
        <v/>
      </c>
      <c r="L14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5">
        <f>tblAsignaciones[[#This Row],[semana]]&amp;"|"&amp;tblAsignaciones[[#This Row],[dia]]&amp;"|"&amp;tblAsignaciones[[#This Row],[tecnico]]</f>
        <v/>
      </c>
      <c r="O141" s="5">
        <f>_xlfn.XLOOKUP(tblAsignaciones[[#This Row],[turno]],tblTurnos[turno],tblTurnos[hora_inicio],"")</f>
        <v/>
      </c>
      <c r="P141" s="5">
        <f>_xlfn.XLOOKUP(tblAsignaciones[[#This Row],[turno]],tblTurnos[turno],tblTurnos[hora_fin],"")</f>
        <v/>
      </c>
      <c r="Q141" s="5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5">
        <f>_xlfn.XLOOKUP(tblAsignaciones[[#This Row],[tecnico]],tblTecnicos[nombre],tblTecnicos[area],"")</f>
        <v/>
      </c>
      <c r="E142" s="5">
        <f>_xlfn.XLOOKUP(tblAsignaciones[[#This Row],[tecnico]],tblTecnicos[nombre],tblTecnicos[especialidad],"")</f>
        <v/>
      </c>
      <c r="F142" s="5">
        <f>COUNTIFS(tblTecnicos[rotativo],"sí",tblTecnicos[especialidad],tblAsignaciones[[#This Row],[especialidad]],tblTecnicos[area],tblAsignaciones[[#This Row],[area]],tblTecnicos[activo],"sí")</f>
        <v/>
      </c>
      <c r="G1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4" t="n"/>
      <c r="J1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5">
        <f>_xlfn.XLOOKUP(tblAsignaciones[[#This Row],[tecnico]],tblTecnicos[nombre],tblTecnicos[supervisor],"")</f>
        <v/>
      </c>
      <c r="L14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5">
        <f>tblAsignaciones[[#This Row],[semana]]&amp;"|"&amp;tblAsignaciones[[#This Row],[dia]]&amp;"|"&amp;tblAsignaciones[[#This Row],[tecnico]]</f>
        <v/>
      </c>
      <c r="O142" s="5">
        <f>_xlfn.XLOOKUP(tblAsignaciones[[#This Row],[turno]],tblTurnos[turno],tblTurnos[hora_inicio],"")</f>
        <v/>
      </c>
      <c r="P142" s="5">
        <f>_xlfn.XLOOKUP(tblAsignaciones[[#This Row],[turno]],tblTurnos[turno],tblTurnos[hora_fin],"")</f>
        <v/>
      </c>
      <c r="Q142" s="5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5">
        <f>_xlfn.XLOOKUP(tblAsignaciones[[#This Row],[tecnico]],tblTecnicos[nombre],tblTecnicos[area],"")</f>
        <v/>
      </c>
      <c r="E143" s="5">
        <f>_xlfn.XLOOKUP(tblAsignaciones[[#This Row],[tecnico]],tblTecnicos[nombre],tblTecnicos[especialidad],"")</f>
        <v/>
      </c>
      <c r="F143" s="5">
        <f>COUNTIFS(tblTecnicos[rotativo],"sí",tblTecnicos[especialidad],tblAsignaciones[[#This Row],[especialidad]],tblTecnicos[area],tblAsignaciones[[#This Row],[area]],tblTecnicos[activo],"sí")</f>
        <v/>
      </c>
      <c r="G1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4" t="n"/>
      <c r="J1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5">
        <f>_xlfn.XLOOKUP(tblAsignaciones[[#This Row],[tecnico]],tblTecnicos[nombre],tblTecnicos[supervisor],"")</f>
        <v/>
      </c>
      <c r="L14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5">
        <f>tblAsignaciones[[#This Row],[semana]]&amp;"|"&amp;tblAsignaciones[[#This Row],[dia]]&amp;"|"&amp;tblAsignaciones[[#This Row],[tecnico]]</f>
        <v/>
      </c>
      <c r="O143" s="5">
        <f>_xlfn.XLOOKUP(tblAsignaciones[[#This Row],[turno]],tblTurnos[turno],tblTurnos[hora_inicio],"")</f>
        <v/>
      </c>
      <c r="P143" s="5">
        <f>_xlfn.XLOOKUP(tblAsignaciones[[#This Row],[turno]],tblTurnos[turno],tblTurnos[hora_fin],"")</f>
        <v/>
      </c>
      <c r="Q143" s="5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5">
        <f>_xlfn.XLOOKUP(tblAsignaciones[[#This Row],[tecnico]],tblTecnicos[nombre],tblTecnicos[area],"")</f>
        <v/>
      </c>
      <c r="E144" s="5">
        <f>_xlfn.XLOOKUP(tblAsignaciones[[#This Row],[tecnico]],tblTecnicos[nombre],tblTecnicos[especialidad],"")</f>
        <v/>
      </c>
      <c r="F144" s="5">
        <f>COUNTIFS(tblTecnicos[rotativo],"sí",tblTecnicos[especialidad],tblAsignaciones[[#This Row],[especialidad]],tblTecnicos[area],tblAsignaciones[[#This Row],[area]],tblTecnicos[activo],"sí")</f>
        <v/>
      </c>
      <c r="G1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4" t="n"/>
      <c r="J1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5">
        <f>_xlfn.XLOOKUP(tblAsignaciones[[#This Row],[tecnico]],tblTecnicos[nombre],tblTecnicos[supervisor],"")</f>
        <v/>
      </c>
      <c r="L14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5">
        <f>tblAsignaciones[[#This Row],[semana]]&amp;"|"&amp;tblAsignaciones[[#This Row],[dia]]&amp;"|"&amp;tblAsignaciones[[#This Row],[tecnico]]</f>
        <v/>
      </c>
      <c r="O144" s="5">
        <f>_xlfn.XLOOKUP(tblAsignaciones[[#This Row],[turno]],tblTurnos[turno],tblTurnos[hora_inicio],"")</f>
        <v/>
      </c>
      <c r="P144" s="5">
        <f>_xlfn.XLOOKUP(tblAsignaciones[[#This Row],[turno]],tblTurnos[turno],tblTurnos[hora_fin],"")</f>
        <v/>
      </c>
      <c r="Q144" s="5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5">
        <f>_xlfn.XLOOKUP(tblAsignaciones[[#This Row],[tecnico]],tblTecnicos[nombre],tblTecnicos[area],"")</f>
        <v/>
      </c>
      <c r="E145" s="5">
        <f>_xlfn.XLOOKUP(tblAsignaciones[[#This Row],[tecnico]],tblTecnicos[nombre],tblTecnicos[especialidad],"")</f>
        <v/>
      </c>
      <c r="F145" s="5">
        <f>COUNTIFS(tblTecnicos[rotativo],"sí",tblTecnicos[especialidad],tblAsignaciones[[#This Row],[especialidad]],tblTecnicos[area],tblAsignaciones[[#This Row],[area]],tblTecnicos[activo],"sí")</f>
        <v/>
      </c>
      <c r="G1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4" t="n"/>
      <c r="J1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5">
        <f>_xlfn.XLOOKUP(tblAsignaciones[[#This Row],[tecnico]],tblTecnicos[nombre],tblTecnicos[supervisor],"")</f>
        <v/>
      </c>
      <c r="L14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5">
        <f>tblAsignaciones[[#This Row],[semana]]&amp;"|"&amp;tblAsignaciones[[#This Row],[dia]]&amp;"|"&amp;tblAsignaciones[[#This Row],[tecnico]]</f>
        <v/>
      </c>
      <c r="O145" s="5">
        <f>_xlfn.XLOOKUP(tblAsignaciones[[#This Row],[turno]],tblTurnos[turno],tblTurnos[hora_inicio],"")</f>
        <v/>
      </c>
      <c r="P145" s="5">
        <f>_xlfn.XLOOKUP(tblAsignaciones[[#This Row],[turno]],tblTurnos[turno],tblTurnos[hora_fin],"")</f>
        <v/>
      </c>
      <c r="Q145" s="5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5">
        <f>_xlfn.XLOOKUP(tblAsignaciones[[#This Row],[tecnico]],tblTecnicos[nombre],tblTecnicos[area],"")</f>
        <v/>
      </c>
      <c r="E146" s="5">
        <f>_xlfn.XLOOKUP(tblAsignaciones[[#This Row],[tecnico]],tblTecnicos[nombre],tblTecnicos[especialidad],"")</f>
        <v/>
      </c>
      <c r="F146" s="5">
        <f>COUNTIFS(tblTecnicos[rotativo],"sí",tblTecnicos[especialidad],tblAsignaciones[[#This Row],[especialidad]],tblTecnicos[area],tblAsignaciones[[#This Row],[area]],tblTecnicos[activo],"sí")</f>
        <v/>
      </c>
      <c r="G1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4" t="n"/>
      <c r="J1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5">
        <f>_xlfn.XLOOKUP(tblAsignaciones[[#This Row],[tecnico]],tblTecnicos[nombre],tblTecnicos[supervisor],"")</f>
        <v/>
      </c>
      <c r="L14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5">
        <f>tblAsignaciones[[#This Row],[semana]]&amp;"|"&amp;tblAsignaciones[[#This Row],[dia]]&amp;"|"&amp;tblAsignaciones[[#This Row],[tecnico]]</f>
        <v/>
      </c>
      <c r="O146" s="5">
        <f>_xlfn.XLOOKUP(tblAsignaciones[[#This Row],[turno]],tblTurnos[turno],tblTurnos[hora_inicio],"")</f>
        <v/>
      </c>
      <c r="P146" s="5">
        <f>_xlfn.XLOOKUP(tblAsignaciones[[#This Row],[turno]],tblTurnos[turno],tblTurnos[hora_fin],"")</f>
        <v/>
      </c>
      <c r="Q146" s="5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5">
        <f>_xlfn.XLOOKUP(tblAsignaciones[[#This Row],[tecnico]],tblTecnicos[nombre],tblTecnicos[area],"")</f>
        <v/>
      </c>
      <c r="E147" s="5">
        <f>_xlfn.XLOOKUP(tblAsignaciones[[#This Row],[tecnico]],tblTecnicos[nombre],tblTecnicos[especialidad],"")</f>
        <v/>
      </c>
      <c r="F147" s="5">
        <f>COUNTIFS(tblTecnicos[rotativo],"sí",tblTecnicos[especialidad],tblAsignaciones[[#This Row],[especialidad]],tblTecnicos[area],tblAsignaciones[[#This Row],[area]],tblTecnicos[activo],"sí")</f>
        <v/>
      </c>
      <c r="G1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4" t="n"/>
      <c r="J1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5">
        <f>_xlfn.XLOOKUP(tblAsignaciones[[#This Row],[tecnico]],tblTecnicos[nombre],tblTecnicos[supervisor],"")</f>
        <v/>
      </c>
      <c r="L14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5">
        <f>tblAsignaciones[[#This Row],[semana]]&amp;"|"&amp;tblAsignaciones[[#This Row],[dia]]&amp;"|"&amp;tblAsignaciones[[#This Row],[tecnico]]</f>
        <v/>
      </c>
      <c r="O147" s="5">
        <f>_xlfn.XLOOKUP(tblAsignaciones[[#This Row],[turno]],tblTurnos[turno],tblTurnos[hora_inicio],"")</f>
        <v/>
      </c>
      <c r="P147" s="5">
        <f>_xlfn.XLOOKUP(tblAsignaciones[[#This Row],[turno]],tblTurnos[turno],tblTurnos[hora_fin],"")</f>
        <v/>
      </c>
      <c r="Q147" s="5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5">
        <f>_xlfn.XLOOKUP(tblAsignaciones[[#This Row],[tecnico]],tblTecnicos[nombre],tblTecnicos[area],"")</f>
        <v/>
      </c>
      <c r="E148" s="5">
        <f>_xlfn.XLOOKUP(tblAsignaciones[[#This Row],[tecnico]],tblTecnicos[nombre],tblTecnicos[especialidad],"")</f>
        <v/>
      </c>
      <c r="F148" s="5">
        <f>COUNTIFS(tblTecnicos[rotativo],"sí",tblTecnicos[especialidad],tblAsignaciones[[#This Row],[especialidad]],tblTecnicos[area],tblAsignaciones[[#This Row],[area]],tblTecnicos[activo],"sí")</f>
        <v/>
      </c>
      <c r="G1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4" t="n"/>
      <c r="J1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5">
        <f>_xlfn.XLOOKUP(tblAsignaciones[[#This Row],[tecnico]],tblTecnicos[nombre],tblTecnicos[supervisor],"")</f>
        <v/>
      </c>
      <c r="L14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5">
        <f>tblAsignaciones[[#This Row],[semana]]&amp;"|"&amp;tblAsignaciones[[#This Row],[dia]]&amp;"|"&amp;tblAsignaciones[[#This Row],[tecnico]]</f>
        <v/>
      </c>
      <c r="O148" s="5">
        <f>_xlfn.XLOOKUP(tblAsignaciones[[#This Row],[turno]],tblTurnos[turno],tblTurnos[hora_inicio],"")</f>
        <v/>
      </c>
      <c r="P148" s="5">
        <f>_xlfn.XLOOKUP(tblAsignaciones[[#This Row],[turno]],tblTurnos[turno],tblTurnos[hora_fin],"")</f>
        <v/>
      </c>
      <c r="Q148" s="5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5">
        <f>_xlfn.XLOOKUP(tblAsignaciones[[#This Row],[tecnico]],tblTecnicos[nombre],tblTecnicos[area],"")</f>
        <v/>
      </c>
      <c r="E149" s="5">
        <f>_xlfn.XLOOKUP(tblAsignaciones[[#This Row],[tecnico]],tblTecnicos[nombre],tblTecnicos[especialidad],"")</f>
        <v/>
      </c>
      <c r="F149" s="5">
        <f>COUNTIFS(tblTecnicos[rotativo],"sí",tblTecnicos[especialidad],tblAsignaciones[[#This Row],[especialidad]],tblTecnicos[area],tblAsignaciones[[#This Row],[area]],tblTecnicos[activo],"sí")</f>
        <v/>
      </c>
      <c r="G1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4" t="n"/>
      <c r="J1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5">
        <f>_xlfn.XLOOKUP(tblAsignaciones[[#This Row],[tecnico]],tblTecnicos[nombre],tblTecnicos[supervisor],"")</f>
        <v/>
      </c>
      <c r="L14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5">
        <f>tblAsignaciones[[#This Row],[semana]]&amp;"|"&amp;tblAsignaciones[[#This Row],[dia]]&amp;"|"&amp;tblAsignaciones[[#This Row],[tecnico]]</f>
        <v/>
      </c>
      <c r="O149" s="5">
        <f>_xlfn.XLOOKUP(tblAsignaciones[[#This Row],[turno]],tblTurnos[turno],tblTurnos[hora_inicio],"")</f>
        <v/>
      </c>
      <c r="P149" s="5">
        <f>_xlfn.XLOOKUP(tblAsignaciones[[#This Row],[turno]],tblTurnos[turno],tblTurnos[hora_fin],"")</f>
        <v/>
      </c>
      <c r="Q149" s="5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5">
        <f>_xlfn.XLOOKUP(tblAsignaciones[[#This Row],[tecnico]],tblTecnicos[nombre],tblTecnicos[area],"")</f>
        <v/>
      </c>
      <c r="E150" s="5">
        <f>_xlfn.XLOOKUP(tblAsignaciones[[#This Row],[tecnico]],tblTecnicos[nombre],tblTecnicos[especialidad],"")</f>
        <v/>
      </c>
      <c r="F150" s="5">
        <f>COUNTIFS(tblTecnicos[rotativo],"sí",tblTecnicos[especialidad],tblAsignaciones[[#This Row],[especialidad]],tblTecnicos[area],tblAsignaciones[[#This Row],[area]],tblTecnicos[activo],"sí")</f>
        <v/>
      </c>
      <c r="G1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4" t="n"/>
      <c r="J1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5">
        <f>_xlfn.XLOOKUP(tblAsignaciones[[#This Row],[tecnico]],tblTecnicos[nombre],tblTecnicos[supervisor],"")</f>
        <v/>
      </c>
      <c r="L15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5">
        <f>tblAsignaciones[[#This Row],[semana]]&amp;"|"&amp;tblAsignaciones[[#This Row],[dia]]&amp;"|"&amp;tblAsignaciones[[#This Row],[tecnico]]</f>
        <v/>
      </c>
      <c r="O150" s="5">
        <f>_xlfn.XLOOKUP(tblAsignaciones[[#This Row],[turno]],tblTurnos[turno],tblTurnos[hora_inicio],"")</f>
        <v/>
      </c>
      <c r="P150" s="5">
        <f>_xlfn.XLOOKUP(tblAsignaciones[[#This Row],[turno]],tblTurnos[turno],tblTurnos[hora_fin],"")</f>
        <v/>
      </c>
      <c r="Q150" s="5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5">
        <f>_xlfn.XLOOKUP(tblAsignaciones[[#This Row],[tecnico]],tblTecnicos[nombre],tblTecnicos[area],"")</f>
        <v/>
      </c>
      <c r="E151" s="5">
        <f>_xlfn.XLOOKUP(tblAsignaciones[[#This Row],[tecnico]],tblTecnicos[nombre],tblTecnicos[especialidad],"")</f>
        <v/>
      </c>
      <c r="F151" s="5">
        <f>COUNTIFS(tblTecnicos[rotativo],"sí",tblTecnicos[especialidad],tblAsignaciones[[#This Row],[especialidad]],tblTecnicos[area],tblAsignaciones[[#This Row],[area]],tblTecnicos[activo],"sí")</f>
        <v/>
      </c>
      <c r="G1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4" t="n"/>
      <c r="J1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5">
        <f>_xlfn.XLOOKUP(tblAsignaciones[[#This Row],[tecnico]],tblTecnicos[nombre],tblTecnicos[supervisor],"")</f>
        <v/>
      </c>
      <c r="L15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5">
        <f>tblAsignaciones[[#This Row],[semana]]&amp;"|"&amp;tblAsignaciones[[#This Row],[dia]]&amp;"|"&amp;tblAsignaciones[[#This Row],[tecnico]]</f>
        <v/>
      </c>
      <c r="O151" s="5">
        <f>_xlfn.XLOOKUP(tblAsignaciones[[#This Row],[turno]],tblTurnos[turno],tblTurnos[hora_inicio],"")</f>
        <v/>
      </c>
      <c r="P151" s="5">
        <f>_xlfn.XLOOKUP(tblAsignaciones[[#This Row],[turno]],tblTurnos[turno],tblTurnos[hora_fin],"")</f>
        <v/>
      </c>
      <c r="Q151" s="5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5">
        <f>_xlfn.XLOOKUP(tblAsignaciones[[#This Row],[tecnico]],tblTecnicos[nombre],tblTecnicos[area],"")</f>
        <v/>
      </c>
      <c r="E152" s="5">
        <f>_xlfn.XLOOKUP(tblAsignaciones[[#This Row],[tecnico]],tblTecnicos[nombre],tblTecnicos[especialidad],"")</f>
        <v/>
      </c>
      <c r="F152" s="5">
        <f>COUNTIFS(tblTecnicos[rotativo],"sí",tblTecnicos[especialidad],tblAsignaciones[[#This Row],[especialidad]],tblTecnicos[area],tblAsignaciones[[#This Row],[area]],tblTecnicos[activo],"sí")</f>
        <v/>
      </c>
      <c r="G1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4" t="n"/>
      <c r="J1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5">
        <f>_xlfn.XLOOKUP(tblAsignaciones[[#This Row],[tecnico]],tblTecnicos[nombre],tblTecnicos[supervisor],"")</f>
        <v/>
      </c>
      <c r="L15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5">
        <f>tblAsignaciones[[#This Row],[semana]]&amp;"|"&amp;tblAsignaciones[[#This Row],[dia]]&amp;"|"&amp;tblAsignaciones[[#This Row],[tecnico]]</f>
        <v/>
      </c>
      <c r="O152" s="5">
        <f>_xlfn.XLOOKUP(tblAsignaciones[[#This Row],[turno]],tblTurnos[turno],tblTurnos[hora_inicio],"")</f>
        <v/>
      </c>
      <c r="P152" s="5">
        <f>_xlfn.XLOOKUP(tblAsignaciones[[#This Row],[turno]],tblTurnos[turno],tblTurnos[hora_fin],"")</f>
        <v/>
      </c>
      <c r="Q152" s="5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5">
        <f>_xlfn.XLOOKUP(tblAsignaciones[[#This Row],[tecnico]],tblTecnicos[nombre],tblTecnicos[area],"")</f>
        <v/>
      </c>
      <c r="E153" s="5">
        <f>_xlfn.XLOOKUP(tblAsignaciones[[#This Row],[tecnico]],tblTecnicos[nombre],tblTecnicos[especialidad],"")</f>
        <v/>
      </c>
      <c r="F153" s="5">
        <f>COUNTIFS(tblTecnicos[rotativo],"sí",tblTecnicos[especialidad],tblAsignaciones[[#This Row],[especialidad]],tblTecnicos[area],tblAsignaciones[[#This Row],[area]],tblTecnicos[activo],"sí")</f>
        <v/>
      </c>
      <c r="G1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4" t="n"/>
      <c r="J1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5">
        <f>_xlfn.XLOOKUP(tblAsignaciones[[#This Row],[tecnico]],tblTecnicos[nombre],tblTecnicos[supervisor],"")</f>
        <v/>
      </c>
      <c r="L15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5">
        <f>tblAsignaciones[[#This Row],[semana]]&amp;"|"&amp;tblAsignaciones[[#This Row],[dia]]&amp;"|"&amp;tblAsignaciones[[#This Row],[tecnico]]</f>
        <v/>
      </c>
      <c r="O153" s="5">
        <f>_xlfn.XLOOKUP(tblAsignaciones[[#This Row],[turno]],tblTurnos[turno],tblTurnos[hora_inicio],"")</f>
        <v/>
      </c>
      <c r="P153" s="5">
        <f>_xlfn.XLOOKUP(tblAsignaciones[[#This Row],[turno]],tblTurnos[turno],tblTurnos[hora_fin],"")</f>
        <v/>
      </c>
      <c r="Q153" s="5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5">
        <f>_xlfn.XLOOKUP(tblAsignaciones[[#This Row],[tecnico]],tblTecnicos[nombre],tblTecnicos[area],"")</f>
        <v/>
      </c>
      <c r="E154" s="5">
        <f>_xlfn.XLOOKUP(tblAsignaciones[[#This Row],[tecnico]],tblTecnicos[nombre],tblTecnicos[especialidad],"")</f>
        <v/>
      </c>
      <c r="F154" s="5">
        <f>COUNTIFS(tblTecnicos[rotativo],"sí",tblTecnicos[especialidad],tblAsignaciones[[#This Row],[especialidad]],tblTecnicos[area],tblAsignaciones[[#This Row],[area]],tblTecnicos[activo],"sí")</f>
        <v/>
      </c>
      <c r="G1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4" t="n"/>
      <c r="J1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5">
        <f>_xlfn.XLOOKUP(tblAsignaciones[[#This Row],[tecnico]],tblTecnicos[nombre],tblTecnicos[supervisor],"")</f>
        <v/>
      </c>
      <c r="L15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5">
        <f>tblAsignaciones[[#This Row],[semana]]&amp;"|"&amp;tblAsignaciones[[#This Row],[dia]]&amp;"|"&amp;tblAsignaciones[[#This Row],[tecnico]]</f>
        <v/>
      </c>
      <c r="O154" s="5">
        <f>_xlfn.XLOOKUP(tblAsignaciones[[#This Row],[turno]],tblTurnos[turno],tblTurnos[hora_inicio],"")</f>
        <v/>
      </c>
      <c r="P154" s="5">
        <f>_xlfn.XLOOKUP(tblAsignaciones[[#This Row],[turno]],tblTurnos[turno],tblTurnos[hora_fin],"")</f>
        <v/>
      </c>
      <c r="Q154" s="5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5">
        <f>_xlfn.XLOOKUP(tblAsignaciones[[#This Row],[tecnico]],tblTecnicos[nombre],tblTecnicos[area],"")</f>
        <v/>
      </c>
      <c r="E155" s="5">
        <f>_xlfn.XLOOKUP(tblAsignaciones[[#This Row],[tecnico]],tblTecnicos[nombre],tblTecnicos[especialidad],"")</f>
        <v/>
      </c>
      <c r="F155" s="5">
        <f>COUNTIFS(tblTecnicos[rotativo],"sí",tblTecnicos[especialidad],tblAsignaciones[[#This Row],[especialidad]],tblTecnicos[area],tblAsignaciones[[#This Row],[area]],tblTecnicos[activo],"sí")</f>
        <v/>
      </c>
      <c r="G1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4" t="n"/>
      <c r="J1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5">
        <f>_xlfn.XLOOKUP(tblAsignaciones[[#This Row],[tecnico]],tblTecnicos[nombre],tblTecnicos[supervisor],"")</f>
        <v/>
      </c>
      <c r="L15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5">
        <f>tblAsignaciones[[#This Row],[semana]]&amp;"|"&amp;tblAsignaciones[[#This Row],[dia]]&amp;"|"&amp;tblAsignaciones[[#This Row],[tecnico]]</f>
        <v/>
      </c>
      <c r="O155" s="5">
        <f>_xlfn.XLOOKUP(tblAsignaciones[[#This Row],[turno]],tblTurnos[turno],tblTurnos[hora_inicio],"")</f>
        <v/>
      </c>
      <c r="P155" s="5">
        <f>_xlfn.XLOOKUP(tblAsignaciones[[#This Row],[turno]],tblTurnos[turno],tblTurnos[hora_fin],"")</f>
        <v/>
      </c>
      <c r="Q155" s="5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5">
        <f>_xlfn.XLOOKUP(tblAsignaciones[[#This Row],[tecnico]],tblTecnicos[nombre],tblTecnicos[area],"")</f>
        <v/>
      </c>
      <c r="E156" s="5">
        <f>_xlfn.XLOOKUP(tblAsignaciones[[#This Row],[tecnico]],tblTecnicos[nombre],tblTecnicos[especialidad],"")</f>
        <v/>
      </c>
      <c r="F156" s="5">
        <f>COUNTIFS(tblTecnicos[rotativo],"sí",tblTecnicos[especialidad],tblAsignaciones[[#This Row],[especialidad]],tblTecnicos[area],tblAsignaciones[[#This Row],[area]],tblTecnicos[activo],"sí")</f>
        <v/>
      </c>
      <c r="G1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4" t="n"/>
      <c r="J1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5">
        <f>_xlfn.XLOOKUP(tblAsignaciones[[#This Row],[tecnico]],tblTecnicos[nombre],tblTecnicos[supervisor],"")</f>
        <v/>
      </c>
      <c r="L15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5">
        <f>tblAsignaciones[[#This Row],[semana]]&amp;"|"&amp;tblAsignaciones[[#This Row],[dia]]&amp;"|"&amp;tblAsignaciones[[#This Row],[tecnico]]</f>
        <v/>
      </c>
      <c r="O156" s="5">
        <f>_xlfn.XLOOKUP(tblAsignaciones[[#This Row],[turno]],tblTurnos[turno],tblTurnos[hora_inicio],"")</f>
        <v/>
      </c>
      <c r="P156" s="5">
        <f>_xlfn.XLOOKUP(tblAsignaciones[[#This Row],[turno]],tblTurnos[turno],tblTurnos[hora_fin],"")</f>
        <v/>
      </c>
      <c r="Q156" s="5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5">
        <f>_xlfn.XLOOKUP(tblAsignaciones[[#This Row],[tecnico]],tblTecnicos[nombre],tblTecnicos[area],"")</f>
        <v/>
      </c>
      <c r="E157" s="5">
        <f>_xlfn.XLOOKUP(tblAsignaciones[[#This Row],[tecnico]],tblTecnicos[nombre],tblTecnicos[especialidad],"")</f>
        <v/>
      </c>
      <c r="F157" s="5">
        <f>COUNTIFS(tblTecnicos[rotativo],"sí",tblTecnicos[especialidad],tblAsignaciones[[#This Row],[especialidad]],tblTecnicos[area],tblAsignaciones[[#This Row],[area]],tblTecnicos[activo],"sí")</f>
        <v/>
      </c>
      <c r="G1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4" t="n"/>
      <c r="J1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5">
        <f>_xlfn.XLOOKUP(tblAsignaciones[[#This Row],[tecnico]],tblTecnicos[nombre],tblTecnicos[supervisor],"")</f>
        <v/>
      </c>
      <c r="L15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5">
        <f>tblAsignaciones[[#This Row],[semana]]&amp;"|"&amp;tblAsignaciones[[#This Row],[dia]]&amp;"|"&amp;tblAsignaciones[[#This Row],[tecnico]]</f>
        <v/>
      </c>
      <c r="O157" s="5">
        <f>_xlfn.XLOOKUP(tblAsignaciones[[#This Row],[turno]],tblTurnos[turno],tblTurnos[hora_inicio],"")</f>
        <v/>
      </c>
      <c r="P157" s="5">
        <f>_xlfn.XLOOKUP(tblAsignaciones[[#This Row],[turno]],tblTurnos[turno],tblTurnos[hora_fin],"")</f>
        <v/>
      </c>
      <c r="Q157" s="5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5">
        <f>_xlfn.XLOOKUP(tblAsignaciones[[#This Row],[tecnico]],tblTecnicos[nombre],tblTecnicos[area],"")</f>
        <v/>
      </c>
      <c r="E158" s="5">
        <f>_xlfn.XLOOKUP(tblAsignaciones[[#This Row],[tecnico]],tblTecnicos[nombre],tblTecnicos[especialidad],"")</f>
        <v/>
      </c>
      <c r="F158" s="5">
        <f>COUNTIFS(tblTecnicos[rotativo],"sí",tblTecnicos[especialidad],tblAsignaciones[[#This Row],[especialidad]],tblTecnicos[area],tblAsignaciones[[#This Row],[area]],tblTecnicos[activo],"sí")</f>
        <v/>
      </c>
      <c r="G1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4" t="n"/>
      <c r="J1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5">
        <f>_xlfn.XLOOKUP(tblAsignaciones[[#This Row],[tecnico]],tblTecnicos[nombre],tblTecnicos[supervisor],"")</f>
        <v/>
      </c>
      <c r="L15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5">
        <f>tblAsignaciones[[#This Row],[semana]]&amp;"|"&amp;tblAsignaciones[[#This Row],[dia]]&amp;"|"&amp;tblAsignaciones[[#This Row],[tecnico]]</f>
        <v/>
      </c>
      <c r="O158" s="5">
        <f>_xlfn.XLOOKUP(tblAsignaciones[[#This Row],[turno]],tblTurnos[turno],tblTurnos[hora_inicio],"")</f>
        <v/>
      </c>
      <c r="P158" s="5">
        <f>_xlfn.XLOOKUP(tblAsignaciones[[#This Row],[turno]],tblTurnos[turno],tblTurnos[hora_fin],"")</f>
        <v/>
      </c>
      <c r="Q158" s="5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5">
        <f>_xlfn.XLOOKUP(tblAsignaciones[[#This Row],[tecnico]],tblTecnicos[nombre],tblTecnicos[area],"")</f>
        <v/>
      </c>
      <c r="E159" s="5">
        <f>_xlfn.XLOOKUP(tblAsignaciones[[#This Row],[tecnico]],tblTecnicos[nombre],tblTecnicos[especialidad],"")</f>
        <v/>
      </c>
      <c r="F159" s="5">
        <f>COUNTIFS(tblTecnicos[rotativo],"sí",tblTecnicos[especialidad],tblAsignaciones[[#This Row],[especialidad]],tblTecnicos[area],tblAsignaciones[[#This Row],[area]],tblTecnicos[activo],"sí")</f>
        <v/>
      </c>
      <c r="G1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4" t="n"/>
      <c r="J1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5">
        <f>_xlfn.XLOOKUP(tblAsignaciones[[#This Row],[tecnico]],tblTecnicos[nombre],tblTecnicos[supervisor],"")</f>
        <v/>
      </c>
      <c r="L15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5">
        <f>tblAsignaciones[[#This Row],[semana]]&amp;"|"&amp;tblAsignaciones[[#This Row],[dia]]&amp;"|"&amp;tblAsignaciones[[#This Row],[tecnico]]</f>
        <v/>
      </c>
      <c r="O159" s="5">
        <f>_xlfn.XLOOKUP(tblAsignaciones[[#This Row],[turno]],tblTurnos[turno],tblTurnos[hora_inicio],"")</f>
        <v/>
      </c>
      <c r="P159" s="5">
        <f>_xlfn.XLOOKUP(tblAsignaciones[[#This Row],[turno]],tblTurnos[turno],tblTurnos[hora_fin],"")</f>
        <v/>
      </c>
      <c r="Q159" s="5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5">
        <f>_xlfn.XLOOKUP(tblAsignaciones[[#This Row],[tecnico]],tblTecnicos[nombre],tblTecnicos[area],"")</f>
        <v/>
      </c>
      <c r="E160" s="5">
        <f>_xlfn.XLOOKUP(tblAsignaciones[[#This Row],[tecnico]],tblTecnicos[nombre],tblTecnicos[especialidad],"")</f>
        <v/>
      </c>
      <c r="F160" s="5">
        <f>COUNTIFS(tblTecnicos[rotativo],"sí",tblTecnicos[especialidad],tblAsignaciones[[#This Row],[especialidad]],tblTecnicos[area],tblAsignaciones[[#This Row],[area]],tblTecnicos[activo],"sí")</f>
        <v/>
      </c>
      <c r="G1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4" t="n"/>
      <c r="J1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5">
        <f>_xlfn.XLOOKUP(tblAsignaciones[[#This Row],[tecnico]],tblTecnicos[nombre],tblTecnicos[supervisor],"")</f>
        <v/>
      </c>
      <c r="L16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5">
        <f>tblAsignaciones[[#This Row],[semana]]&amp;"|"&amp;tblAsignaciones[[#This Row],[dia]]&amp;"|"&amp;tblAsignaciones[[#This Row],[tecnico]]</f>
        <v/>
      </c>
      <c r="O160" s="5">
        <f>_xlfn.XLOOKUP(tblAsignaciones[[#This Row],[turno]],tblTurnos[turno],tblTurnos[hora_inicio],"")</f>
        <v/>
      </c>
      <c r="P160" s="5">
        <f>_xlfn.XLOOKUP(tblAsignaciones[[#This Row],[turno]],tblTurnos[turno],tblTurnos[hora_fin],"")</f>
        <v/>
      </c>
      <c r="Q160" s="5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5">
        <f>_xlfn.XLOOKUP(tblAsignaciones[[#This Row],[tecnico]],tblTecnicos[nombre],tblTecnicos[area],"")</f>
        <v/>
      </c>
      <c r="E161" s="5">
        <f>_xlfn.XLOOKUP(tblAsignaciones[[#This Row],[tecnico]],tblTecnicos[nombre],tblTecnicos[especialidad],"")</f>
        <v/>
      </c>
      <c r="F161" s="5">
        <f>COUNTIFS(tblTecnicos[rotativo],"sí",tblTecnicos[especialidad],tblAsignaciones[[#This Row],[especialidad]],tblTecnicos[area],tblAsignaciones[[#This Row],[area]],tblTecnicos[activo],"sí")</f>
        <v/>
      </c>
      <c r="G1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4" t="n"/>
      <c r="J1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5">
        <f>_xlfn.XLOOKUP(tblAsignaciones[[#This Row],[tecnico]],tblTecnicos[nombre],tblTecnicos[supervisor],"")</f>
        <v/>
      </c>
      <c r="L16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5">
        <f>tblAsignaciones[[#This Row],[semana]]&amp;"|"&amp;tblAsignaciones[[#This Row],[dia]]&amp;"|"&amp;tblAsignaciones[[#This Row],[tecnico]]</f>
        <v/>
      </c>
      <c r="O161" s="5">
        <f>_xlfn.XLOOKUP(tblAsignaciones[[#This Row],[turno]],tblTurnos[turno],tblTurnos[hora_inicio],"")</f>
        <v/>
      </c>
      <c r="P161" s="5">
        <f>_xlfn.XLOOKUP(tblAsignaciones[[#This Row],[turno]],tblTurnos[turno],tblTurnos[hora_fin],"")</f>
        <v/>
      </c>
      <c r="Q161" s="5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5">
        <f>_xlfn.XLOOKUP(tblAsignaciones[[#This Row],[tecnico]],tblTecnicos[nombre],tblTecnicos[area],"")</f>
        <v/>
      </c>
      <c r="E162" s="5">
        <f>_xlfn.XLOOKUP(tblAsignaciones[[#This Row],[tecnico]],tblTecnicos[nombre],tblTecnicos[especialidad],"")</f>
        <v/>
      </c>
      <c r="F162" s="5">
        <f>COUNTIFS(tblTecnicos[rotativo],"sí",tblTecnicos[especialidad],tblAsignaciones[[#This Row],[especialidad]],tblTecnicos[area],tblAsignaciones[[#This Row],[area]],tblTecnicos[activo],"sí")</f>
        <v/>
      </c>
      <c r="G1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4" t="n"/>
      <c r="J1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5">
        <f>_xlfn.XLOOKUP(tblAsignaciones[[#This Row],[tecnico]],tblTecnicos[nombre],tblTecnicos[supervisor],"")</f>
        <v/>
      </c>
      <c r="L16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5">
        <f>tblAsignaciones[[#This Row],[semana]]&amp;"|"&amp;tblAsignaciones[[#This Row],[dia]]&amp;"|"&amp;tblAsignaciones[[#This Row],[tecnico]]</f>
        <v/>
      </c>
      <c r="O162" s="5">
        <f>_xlfn.XLOOKUP(tblAsignaciones[[#This Row],[turno]],tblTurnos[turno],tblTurnos[hora_inicio],"")</f>
        <v/>
      </c>
      <c r="P162" s="5">
        <f>_xlfn.XLOOKUP(tblAsignaciones[[#This Row],[turno]],tblTurnos[turno],tblTurnos[hora_fin],"")</f>
        <v/>
      </c>
      <c r="Q162" s="5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5">
        <f>_xlfn.XLOOKUP(tblAsignaciones[[#This Row],[tecnico]],tblTecnicos[nombre],tblTecnicos[area],"")</f>
        <v/>
      </c>
      <c r="E163" s="5">
        <f>_xlfn.XLOOKUP(tblAsignaciones[[#This Row],[tecnico]],tblTecnicos[nombre],tblTecnicos[especialidad],"")</f>
        <v/>
      </c>
      <c r="F163" s="5">
        <f>COUNTIFS(tblTecnicos[rotativo],"sí",tblTecnicos[especialidad],tblAsignaciones[[#This Row],[especialidad]],tblTecnicos[area],tblAsignaciones[[#This Row],[area]],tblTecnicos[activo],"sí")</f>
        <v/>
      </c>
      <c r="G1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4" t="n"/>
      <c r="J1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5">
        <f>_xlfn.XLOOKUP(tblAsignaciones[[#This Row],[tecnico]],tblTecnicos[nombre],tblTecnicos[supervisor],"")</f>
        <v/>
      </c>
      <c r="L16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5">
        <f>tblAsignaciones[[#This Row],[semana]]&amp;"|"&amp;tblAsignaciones[[#This Row],[dia]]&amp;"|"&amp;tblAsignaciones[[#This Row],[tecnico]]</f>
        <v/>
      </c>
      <c r="O163" s="5">
        <f>_xlfn.XLOOKUP(tblAsignaciones[[#This Row],[turno]],tblTurnos[turno],tblTurnos[hora_inicio],"")</f>
        <v/>
      </c>
      <c r="P163" s="5">
        <f>_xlfn.XLOOKUP(tblAsignaciones[[#This Row],[turno]],tblTurnos[turno],tblTurnos[hora_fin],"")</f>
        <v/>
      </c>
      <c r="Q163" s="5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5">
        <f>_xlfn.XLOOKUP(tblAsignaciones[[#This Row],[tecnico]],tblTecnicos[nombre],tblTecnicos[area],"")</f>
        <v/>
      </c>
      <c r="E164" s="5">
        <f>_xlfn.XLOOKUP(tblAsignaciones[[#This Row],[tecnico]],tblTecnicos[nombre],tblTecnicos[especialidad],"")</f>
        <v/>
      </c>
      <c r="F164" s="5">
        <f>COUNTIFS(tblTecnicos[rotativo],"sí",tblTecnicos[especialidad],tblAsignaciones[[#This Row],[especialidad]],tblTecnicos[area],tblAsignaciones[[#This Row],[area]],tblTecnicos[activo],"sí")</f>
        <v/>
      </c>
      <c r="G1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4" t="n"/>
      <c r="J1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5">
        <f>_xlfn.XLOOKUP(tblAsignaciones[[#This Row],[tecnico]],tblTecnicos[nombre],tblTecnicos[supervisor],"")</f>
        <v/>
      </c>
      <c r="L16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5">
        <f>tblAsignaciones[[#This Row],[semana]]&amp;"|"&amp;tblAsignaciones[[#This Row],[dia]]&amp;"|"&amp;tblAsignaciones[[#This Row],[tecnico]]</f>
        <v/>
      </c>
      <c r="O164" s="5">
        <f>_xlfn.XLOOKUP(tblAsignaciones[[#This Row],[turno]],tblTurnos[turno],tblTurnos[hora_inicio],"")</f>
        <v/>
      </c>
      <c r="P164" s="5">
        <f>_xlfn.XLOOKUP(tblAsignaciones[[#This Row],[turno]],tblTurnos[turno],tblTurnos[hora_fin],"")</f>
        <v/>
      </c>
      <c r="Q164" s="5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5">
        <f>_xlfn.XLOOKUP(tblAsignaciones[[#This Row],[tecnico]],tblTecnicos[nombre],tblTecnicos[area],"")</f>
        <v/>
      </c>
      <c r="E165" s="5">
        <f>_xlfn.XLOOKUP(tblAsignaciones[[#This Row],[tecnico]],tblTecnicos[nombre],tblTecnicos[especialidad],"")</f>
        <v/>
      </c>
      <c r="F165" s="5">
        <f>COUNTIFS(tblTecnicos[rotativo],"sí",tblTecnicos[especialidad],tblAsignaciones[[#This Row],[especialidad]],tblTecnicos[area],tblAsignaciones[[#This Row],[area]],tblTecnicos[activo],"sí")</f>
        <v/>
      </c>
      <c r="G1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4" t="n"/>
      <c r="J1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5">
        <f>_xlfn.XLOOKUP(tblAsignaciones[[#This Row],[tecnico]],tblTecnicos[nombre],tblTecnicos[supervisor],"")</f>
        <v/>
      </c>
      <c r="L16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5">
        <f>tblAsignaciones[[#This Row],[semana]]&amp;"|"&amp;tblAsignaciones[[#This Row],[dia]]&amp;"|"&amp;tblAsignaciones[[#This Row],[tecnico]]</f>
        <v/>
      </c>
      <c r="O165" s="5">
        <f>_xlfn.XLOOKUP(tblAsignaciones[[#This Row],[turno]],tblTurnos[turno],tblTurnos[hora_inicio],"")</f>
        <v/>
      </c>
      <c r="P165" s="5">
        <f>_xlfn.XLOOKUP(tblAsignaciones[[#This Row],[turno]],tblTurnos[turno],tblTurnos[hora_fin],"")</f>
        <v/>
      </c>
      <c r="Q165" s="5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5">
        <f>_xlfn.XLOOKUP(tblAsignaciones[[#This Row],[tecnico]],tblTecnicos[nombre],tblTecnicos[area],"")</f>
        <v/>
      </c>
      <c r="E166" s="5">
        <f>_xlfn.XLOOKUP(tblAsignaciones[[#This Row],[tecnico]],tblTecnicos[nombre],tblTecnicos[especialidad],"")</f>
        <v/>
      </c>
      <c r="F166" s="5">
        <f>COUNTIFS(tblTecnicos[rotativo],"sí",tblTecnicos[especialidad],tblAsignaciones[[#This Row],[especialidad]],tblTecnicos[area],tblAsignaciones[[#This Row],[area]],tblTecnicos[activo],"sí")</f>
        <v/>
      </c>
      <c r="G1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4" t="n"/>
      <c r="J1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5">
        <f>_xlfn.XLOOKUP(tblAsignaciones[[#This Row],[tecnico]],tblTecnicos[nombre],tblTecnicos[supervisor],"")</f>
        <v/>
      </c>
      <c r="L16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5">
        <f>tblAsignaciones[[#This Row],[semana]]&amp;"|"&amp;tblAsignaciones[[#This Row],[dia]]&amp;"|"&amp;tblAsignaciones[[#This Row],[tecnico]]</f>
        <v/>
      </c>
      <c r="O166" s="5">
        <f>_xlfn.XLOOKUP(tblAsignaciones[[#This Row],[turno]],tblTurnos[turno],tblTurnos[hora_inicio],"")</f>
        <v/>
      </c>
      <c r="P166" s="5">
        <f>_xlfn.XLOOKUP(tblAsignaciones[[#This Row],[turno]],tblTurnos[turno],tblTurnos[hora_fin],"")</f>
        <v/>
      </c>
      <c r="Q166" s="5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5">
        <f>_xlfn.XLOOKUP(tblAsignaciones[[#This Row],[tecnico]],tblTecnicos[nombre],tblTecnicos[area],"")</f>
        <v/>
      </c>
      <c r="E167" s="5">
        <f>_xlfn.XLOOKUP(tblAsignaciones[[#This Row],[tecnico]],tblTecnicos[nombre],tblTecnicos[especialidad],"")</f>
        <v/>
      </c>
      <c r="F167" s="5">
        <f>COUNTIFS(tblTecnicos[rotativo],"sí",tblTecnicos[especialidad],tblAsignaciones[[#This Row],[especialidad]],tblTecnicos[area],tblAsignaciones[[#This Row],[area]],tblTecnicos[activo],"sí")</f>
        <v/>
      </c>
      <c r="G1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4" t="n"/>
      <c r="J1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5">
        <f>_xlfn.XLOOKUP(tblAsignaciones[[#This Row],[tecnico]],tblTecnicos[nombre],tblTecnicos[supervisor],"")</f>
        <v/>
      </c>
      <c r="L16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5">
        <f>tblAsignaciones[[#This Row],[semana]]&amp;"|"&amp;tblAsignaciones[[#This Row],[dia]]&amp;"|"&amp;tblAsignaciones[[#This Row],[tecnico]]</f>
        <v/>
      </c>
      <c r="O167" s="5">
        <f>_xlfn.XLOOKUP(tblAsignaciones[[#This Row],[turno]],tblTurnos[turno],tblTurnos[hora_inicio],"")</f>
        <v/>
      </c>
      <c r="P167" s="5">
        <f>_xlfn.XLOOKUP(tblAsignaciones[[#This Row],[turno]],tblTurnos[turno],tblTurnos[hora_fin],"")</f>
        <v/>
      </c>
      <c r="Q167" s="5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5">
        <f>_xlfn.XLOOKUP(tblAsignaciones[[#This Row],[tecnico]],tblTecnicos[nombre],tblTecnicos[area],"")</f>
        <v/>
      </c>
      <c r="E168" s="5">
        <f>_xlfn.XLOOKUP(tblAsignaciones[[#This Row],[tecnico]],tblTecnicos[nombre],tblTecnicos[especialidad],"")</f>
        <v/>
      </c>
      <c r="F168" s="5">
        <f>COUNTIFS(tblTecnicos[rotativo],"sí",tblTecnicos[especialidad],tblAsignaciones[[#This Row],[especialidad]],tblTecnicos[area],tblAsignaciones[[#This Row],[area]],tblTecnicos[activo],"sí")</f>
        <v/>
      </c>
      <c r="G1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4" t="n"/>
      <c r="J1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5">
        <f>_xlfn.XLOOKUP(tblAsignaciones[[#This Row],[tecnico]],tblTecnicos[nombre],tblTecnicos[supervisor],"")</f>
        <v/>
      </c>
      <c r="L16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5">
        <f>tblAsignaciones[[#This Row],[semana]]&amp;"|"&amp;tblAsignaciones[[#This Row],[dia]]&amp;"|"&amp;tblAsignaciones[[#This Row],[tecnico]]</f>
        <v/>
      </c>
      <c r="O168" s="5">
        <f>_xlfn.XLOOKUP(tblAsignaciones[[#This Row],[turno]],tblTurnos[turno],tblTurnos[hora_inicio],"")</f>
        <v/>
      </c>
      <c r="P168" s="5">
        <f>_xlfn.XLOOKUP(tblAsignaciones[[#This Row],[turno]],tblTurnos[turno],tblTurnos[hora_fin],"")</f>
        <v/>
      </c>
      <c r="Q168" s="5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5">
        <f>_xlfn.XLOOKUP(tblAsignaciones[[#This Row],[tecnico]],tblTecnicos[nombre],tblTecnicos[area],"")</f>
        <v/>
      </c>
      <c r="E169" s="5">
        <f>_xlfn.XLOOKUP(tblAsignaciones[[#This Row],[tecnico]],tblTecnicos[nombre],tblTecnicos[especialidad],"")</f>
        <v/>
      </c>
      <c r="F169" s="5">
        <f>COUNTIFS(tblTecnicos[rotativo],"sí",tblTecnicos[especialidad],tblAsignaciones[[#This Row],[especialidad]],tblTecnicos[area],tblAsignaciones[[#This Row],[area]],tblTecnicos[activo],"sí")</f>
        <v/>
      </c>
      <c r="G1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4" t="n"/>
      <c r="J1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5">
        <f>_xlfn.XLOOKUP(tblAsignaciones[[#This Row],[tecnico]],tblTecnicos[nombre],tblTecnicos[supervisor],"")</f>
        <v/>
      </c>
      <c r="L16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5">
        <f>tblAsignaciones[[#This Row],[semana]]&amp;"|"&amp;tblAsignaciones[[#This Row],[dia]]&amp;"|"&amp;tblAsignaciones[[#This Row],[tecnico]]</f>
        <v/>
      </c>
      <c r="O169" s="5">
        <f>_xlfn.XLOOKUP(tblAsignaciones[[#This Row],[turno]],tblTurnos[turno],tblTurnos[hora_inicio],"")</f>
        <v/>
      </c>
      <c r="P169" s="5">
        <f>_xlfn.XLOOKUP(tblAsignaciones[[#This Row],[turno]],tblTurnos[turno],tblTurnos[hora_fin],"")</f>
        <v/>
      </c>
      <c r="Q169" s="5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5">
        <f>_xlfn.XLOOKUP(tblAsignaciones[[#This Row],[tecnico]],tblTecnicos[nombre],tblTecnicos[area],"")</f>
        <v/>
      </c>
      <c r="E170" s="5">
        <f>_xlfn.XLOOKUP(tblAsignaciones[[#This Row],[tecnico]],tblTecnicos[nombre],tblTecnicos[especialidad],"")</f>
        <v/>
      </c>
      <c r="F170" s="5">
        <f>COUNTIFS(tblTecnicos[rotativo],"sí",tblTecnicos[especialidad],tblAsignaciones[[#This Row],[especialidad]],tblTecnicos[area],tblAsignaciones[[#This Row],[area]],tblTecnicos[activo],"sí")</f>
        <v/>
      </c>
      <c r="G1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4" t="n"/>
      <c r="J1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5">
        <f>_xlfn.XLOOKUP(tblAsignaciones[[#This Row],[tecnico]],tblTecnicos[nombre],tblTecnicos[supervisor],"")</f>
        <v/>
      </c>
      <c r="L17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5">
        <f>tblAsignaciones[[#This Row],[semana]]&amp;"|"&amp;tblAsignaciones[[#This Row],[dia]]&amp;"|"&amp;tblAsignaciones[[#This Row],[tecnico]]</f>
        <v/>
      </c>
      <c r="O170" s="5">
        <f>_xlfn.XLOOKUP(tblAsignaciones[[#This Row],[turno]],tblTurnos[turno],tblTurnos[hora_inicio],"")</f>
        <v/>
      </c>
      <c r="P170" s="5">
        <f>_xlfn.XLOOKUP(tblAsignaciones[[#This Row],[turno]],tblTurnos[turno],tblTurnos[hora_fin],"")</f>
        <v/>
      </c>
      <c r="Q170" s="5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5">
        <f>_xlfn.XLOOKUP(tblAsignaciones[[#This Row],[tecnico]],tblTecnicos[nombre],tblTecnicos[area],"")</f>
        <v/>
      </c>
      <c r="E171" s="5">
        <f>_xlfn.XLOOKUP(tblAsignaciones[[#This Row],[tecnico]],tblTecnicos[nombre],tblTecnicos[especialidad],"")</f>
        <v/>
      </c>
      <c r="F171" s="5">
        <f>COUNTIFS(tblTecnicos[rotativo],"sí",tblTecnicos[especialidad],tblAsignaciones[[#This Row],[especialidad]],tblTecnicos[area],tblAsignaciones[[#This Row],[area]],tblTecnicos[activo],"sí")</f>
        <v/>
      </c>
      <c r="G1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4" t="n"/>
      <c r="J1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5">
        <f>_xlfn.XLOOKUP(tblAsignaciones[[#This Row],[tecnico]],tblTecnicos[nombre],tblTecnicos[supervisor],"")</f>
        <v/>
      </c>
      <c r="L17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5">
        <f>tblAsignaciones[[#This Row],[semana]]&amp;"|"&amp;tblAsignaciones[[#This Row],[dia]]&amp;"|"&amp;tblAsignaciones[[#This Row],[tecnico]]</f>
        <v/>
      </c>
      <c r="O171" s="5">
        <f>_xlfn.XLOOKUP(tblAsignaciones[[#This Row],[turno]],tblTurnos[turno],tblTurnos[hora_inicio],"")</f>
        <v/>
      </c>
      <c r="P171" s="5">
        <f>_xlfn.XLOOKUP(tblAsignaciones[[#This Row],[turno]],tblTurnos[turno],tblTurnos[hora_fin],"")</f>
        <v/>
      </c>
      <c r="Q171" s="5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5">
        <f>_xlfn.XLOOKUP(tblAsignaciones[[#This Row],[tecnico]],tblTecnicos[nombre],tblTecnicos[area],"")</f>
        <v/>
      </c>
      <c r="E172" s="5">
        <f>_xlfn.XLOOKUP(tblAsignaciones[[#This Row],[tecnico]],tblTecnicos[nombre],tblTecnicos[especialidad],"")</f>
        <v/>
      </c>
      <c r="F172" s="5">
        <f>COUNTIFS(tblTecnicos[rotativo],"sí",tblTecnicos[especialidad],tblAsignaciones[[#This Row],[especialidad]],tblTecnicos[area],tblAsignaciones[[#This Row],[area]],tblTecnicos[activo],"sí")</f>
        <v/>
      </c>
      <c r="G1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4" t="n"/>
      <c r="J1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5">
        <f>_xlfn.XLOOKUP(tblAsignaciones[[#This Row],[tecnico]],tblTecnicos[nombre],tblTecnicos[supervisor],"")</f>
        <v/>
      </c>
      <c r="L17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5">
        <f>tblAsignaciones[[#This Row],[semana]]&amp;"|"&amp;tblAsignaciones[[#This Row],[dia]]&amp;"|"&amp;tblAsignaciones[[#This Row],[tecnico]]</f>
        <v/>
      </c>
      <c r="O172" s="5">
        <f>_xlfn.XLOOKUP(tblAsignaciones[[#This Row],[turno]],tblTurnos[turno],tblTurnos[hora_inicio],"")</f>
        <v/>
      </c>
      <c r="P172" s="5">
        <f>_xlfn.XLOOKUP(tblAsignaciones[[#This Row],[turno]],tblTurnos[turno],tblTurnos[hora_fin],"")</f>
        <v/>
      </c>
      <c r="Q172" s="5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5">
        <f>_xlfn.XLOOKUP(tblAsignaciones[[#This Row],[tecnico]],tblTecnicos[nombre],tblTecnicos[area],"")</f>
        <v/>
      </c>
      <c r="E173" s="5">
        <f>_xlfn.XLOOKUP(tblAsignaciones[[#This Row],[tecnico]],tblTecnicos[nombre],tblTecnicos[especialidad],"")</f>
        <v/>
      </c>
      <c r="F173" s="5">
        <f>COUNTIFS(tblTecnicos[rotativo],"sí",tblTecnicos[especialidad],tblAsignaciones[[#This Row],[especialidad]],tblTecnicos[area],tblAsignaciones[[#This Row],[area]],tblTecnicos[activo],"sí")</f>
        <v/>
      </c>
      <c r="G1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4" t="n"/>
      <c r="J1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5">
        <f>_xlfn.XLOOKUP(tblAsignaciones[[#This Row],[tecnico]],tblTecnicos[nombre],tblTecnicos[supervisor],"")</f>
        <v/>
      </c>
      <c r="L17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5">
        <f>tblAsignaciones[[#This Row],[semana]]&amp;"|"&amp;tblAsignaciones[[#This Row],[dia]]&amp;"|"&amp;tblAsignaciones[[#This Row],[tecnico]]</f>
        <v/>
      </c>
      <c r="O173" s="5">
        <f>_xlfn.XLOOKUP(tblAsignaciones[[#This Row],[turno]],tblTurnos[turno],tblTurnos[hora_inicio],"")</f>
        <v/>
      </c>
      <c r="P173" s="5">
        <f>_xlfn.XLOOKUP(tblAsignaciones[[#This Row],[turno]],tblTurnos[turno],tblTurnos[hora_fin],"")</f>
        <v/>
      </c>
      <c r="Q173" s="5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5">
        <f>_xlfn.XLOOKUP(tblAsignaciones[[#This Row],[tecnico]],tblTecnicos[nombre],tblTecnicos[area],"")</f>
        <v/>
      </c>
      <c r="E174" s="5">
        <f>_xlfn.XLOOKUP(tblAsignaciones[[#This Row],[tecnico]],tblTecnicos[nombre],tblTecnicos[especialidad],"")</f>
        <v/>
      </c>
      <c r="F174" s="5">
        <f>COUNTIFS(tblTecnicos[rotativo],"sí",tblTecnicos[especialidad],tblAsignaciones[[#This Row],[especialidad]],tblTecnicos[area],tblAsignaciones[[#This Row],[area]],tblTecnicos[activo],"sí")</f>
        <v/>
      </c>
      <c r="G1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4" t="n"/>
      <c r="J1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5">
        <f>_xlfn.XLOOKUP(tblAsignaciones[[#This Row],[tecnico]],tblTecnicos[nombre],tblTecnicos[supervisor],"")</f>
        <v/>
      </c>
      <c r="L17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5">
        <f>tblAsignaciones[[#This Row],[semana]]&amp;"|"&amp;tblAsignaciones[[#This Row],[dia]]&amp;"|"&amp;tblAsignaciones[[#This Row],[tecnico]]</f>
        <v/>
      </c>
      <c r="O174" s="5">
        <f>_xlfn.XLOOKUP(tblAsignaciones[[#This Row],[turno]],tblTurnos[turno],tblTurnos[hora_inicio],"")</f>
        <v/>
      </c>
      <c r="P174" s="5">
        <f>_xlfn.XLOOKUP(tblAsignaciones[[#This Row],[turno]],tblTurnos[turno],tblTurnos[hora_fin],"")</f>
        <v/>
      </c>
      <c r="Q174" s="5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5">
        <f>_xlfn.XLOOKUP(tblAsignaciones[[#This Row],[tecnico]],tblTecnicos[nombre],tblTecnicos[area],"")</f>
        <v/>
      </c>
      <c r="E175" s="5">
        <f>_xlfn.XLOOKUP(tblAsignaciones[[#This Row],[tecnico]],tblTecnicos[nombre],tblTecnicos[especialidad],"")</f>
        <v/>
      </c>
      <c r="F175" s="5">
        <f>COUNTIFS(tblTecnicos[rotativo],"sí",tblTecnicos[especialidad],tblAsignaciones[[#This Row],[especialidad]],tblTecnicos[area],tblAsignaciones[[#This Row],[area]],tblTecnicos[activo],"sí")</f>
        <v/>
      </c>
      <c r="G1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4" t="n"/>
      <c r="J1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5">
        <f>_xlfn.XLOOKUP(tblAsignaciones[[#This Row],[tecnico]],tblTecnicos[nombre],tblTecnicos[supervisor],"")</f>
        <v/>
      </c>
      <c r="L17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5">
        <f>tblAsignaciones[[#This Row],[semana]]&amp;"|"&amp;tblAsignaciones[[#This Row],[dia]]&amp;"|"&amp;tblAsignaciones[[#This Row],[tecnico]]</f>
        <v/>
      </c>
      <c r="O175" s="5">
        <f>_xlfn.XLOOKUP(tblAsignaciones[[#This Row],[turno]],tblTurnos[turno],tblTurnos[hora_inicio],"")</f>
        <v/>
      </c>
      <c r="P175" s="5">
        <f>_xlfn.XLOOKUP(tblAsignaciones[[#This Row],[turno]],tblTurnos[turno],tblTurnos[hora_fin],"")</f>
        <v/>
      </c>
      <c r="Q175" s="5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5">
        <f>_xlfn.XLOOKUP(tblAsignaciones[[#This Row],[tecnico]],tblTecnicos[nombre],tblTecnicos[area],"")</f>
        <v/>
      </c>
      <c r="E176" s="5">
        <f>_xlfn.XLOOKUP(tblAsignaciones[[#This Row],[tecnico]],tblTecnicos[nombre],tblTecnicos[especialidad],"")</f>
        <v/>
      </c>
      <c r="F176" s="5">
        <f>COUNTIFS(tblTecnicos[rotativo],"sí",tblTecnicos[especialidad],tblAsignaciones[[#This Row],[especialidad]],tblTecnicos[area],tblAsignaciones[[#This Row],[area]],tblTecnicos[activo],"sí")</f>
        <v/>
      </c>
      <c r="G1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4" t="n"/>
      <c r="J1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5">
        <f>_xlfn.XLOOKUP(tblAsignaciones[[#This Row],[tecnico]],tblTecnicos[nombre],tblTecnicos[supervisor],"")</f>
        <v/>
      </c>
      <c r="L17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5">
        <f>tblAsignaciones[[#This Row],[semana]]&amp;"|"&amp;tblAsignaciones[[#This Row],[dia]]&amp;"|"&amp;tblAsignaciones[[#This Row],[tecnico]]</f>
        <v/>
      </c>
      <c r="O176" s="5">
        <f>_xlfn.XLOOKUP(tblAsignaciones[[#This Row],[turno]],tblTurnos[turno],tblTurnos[hora_inicio],"")</f>
        <v/>
      </c>
      <c r="P176" s="5">
        <f>_xlfn.XLOOKUP(tblAsignaciones[[#This Row],[turno]],tblTurnos[turno],tblTurnos[hora_fin],"")</f>
        <v/>
      </c>
      <c r="Q176" s="5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5">
        <f>_xlfn.XLOOKUP(tblAsignaciones[[#This Row],[tecnico]],tblTecnicos[nombre],tblTecnicos[area],"")</f>
        <v/>
      </c>
      <c r="E177" s="5">
        <f>_xlfn.XLOOKUP(tblAsignaciones[[#This Row],[tecnico]],tblTecnicos[nombre],tblTecnicos[especialidad],"")</f>
        <v/>
      </c>
      <c r="F177" s="5">
        <f>COUNTIFS(tblTecnicos[rotativo],"sí",tblTecnicos[especialidad],tblAsignaciones[[#This Row],[especialidad]],tblTecnicos[area],tblAsignaciones[[#This Row],[area]],tblTecnicos[activo],"sí")</f>
        <v/>
      </c>
      <c r="G1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4" t="n"/>
      <c r="J1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5">
        <f>_xlfn.XLOOKUP(tblAsignaciones[[#This Row],[tecnico]],tblTecnicos[nombre],tblTecnicos[supervisor],"")</f>
        <v/>
      </c>
      <c r="L17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5">
        <f>tblAsignaciones[[#This Row],[semana]]&amp;"|"&amp;tblAsignaciones[[#This Row],[dia]]&amp;"|"&amp;tblAsignaciones[[#This Row],[tecnico]]</f>
        <v/>
      </c>
      <c r="O177" s="5">
        <f>_xlfn.XLOOKUP(tblAsignaciones[[#This Row],[turno]],tblTurnos[turno],tblTurnos[hora_inicio],"")</f>
        <v/>
      </c>
      <c r="P177" s="5">
        <f>_xlfn.XLOOKUP(tblAsignaciones[[#This Row],[turno]],tblTurnos[turno],tblTurnos[hora_fin],"")</f>
        <v/>
      </c>
      <c r="Q177" s="5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5">
        <f>_xlfn.XLOOKUP(tblAsignaciones[[#This Row],[tecnico]],tblTecnicos[nombre],tblTecnicos[area],"")</f>
        <v/>
      </c>
      <c r="E178" s="5">
        <f>_xlfn.XLOOKUP(tblAsignaciones[[#This Row],[tecnico]],tblTecnicos[nombre],tblTecnicos[especialidad],"")</f>
        <v/>
      </c>
      <c r="F178" s="5">
        <f>COUNTIFS(tblTecnicos[rotativo],"sí",tblTecnicos[especialidad],tblAsignaciones[[#This Row],[especialidad]],tblTecnicos[area],tblAsignaciones[[#This Row],[area]],tblTecnicos[activo],"sí")</f>
        <v/>
      </c>
      <c r="G1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4" t="n"/>
      <c r="J1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5">
        <f>_xlfn.XLOOKUP(tblAsignaciones[[#This Row],[tecnico]],tblTecnicos[nombre],tblTecnicos[supervisor],"")</f>
        <v/>
      </c>
      <c r="L17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5">
        <f>tblAsignaciones[[#This Row],[semana]]&amp;"|"&amp;tblAsignaciones[[#This Row],[dia]]&amp;"|"&amp;tblAsignaciones[[#This Row],[tecnico]]</f>
        <v/>
      </c>
      <c r="O178" s="5">
        <f>_xlfn.XLOOKUP(tblAsignaciones[[#This Row],[turno]],tblTurnos[turno],tblTurnos[hora_inicio],"")</f>
        <v/>
      </c>
      <c r="P178" s="5">
        <f>_xlfn.XLOOKUP(tblAsignaciones[[#This Row],[turno]],tblTurnos[turno],tblTurnos[hora_fin],"")</f>
        <v/>
      </c>
      <c r="Q178" s="5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5">
        <f>_xlfn.XLOOKUP(tblAsignaciones[[#This Row],[tecnico]],tblTecnicos[nombre],tblTecnicos[area],"")</f>
        <v/>
      </c>
      <c r="E179" s="5">
        <f>_xlfn.XLOOKUP(tblAsignaciones[[#This Row],[tecnico]],tblTecnicos[nombre],tblTecnicos[especialidad],"")</f>
        <v/>
      </c>
      <c r="F179" s="5">
        <f>COUNTIFS(tblTecnicos[rotativo],"sí",tblTecnicos[especialidad],tblAsignaciones[[#This Row],[especialidad]],tblTecnicos[area],tblAsignaciones[[#This Row],[area]],tblTecnicos[activo],"sí")</f>
        <v/>
      </c>
      <c r="G1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4" t="n"/>
      <c r="J1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5">
        <f>_xlfn.XLOOKUP(tblAsignaciones[[#This Row],[tecnico]],tblTecnicos[nombre],tblTecnicos[supervisor],"")</f>
        <v/>
      </c>
      <c r="L17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5">
        <f>tblAsignaciones[[#This Row],[semana]]&amp;"|"&amp;tblAsignaciones[[#This Row],[dia]]&amp;"|"&amp;tblAsignaciones[[#This Row],[tecnico]]</f>
        <v/>
      </c>
      <c r="O179" s="5">
        <f>_xlfn.XLOOKUP(tblAsignaciones[[#This Row],[turno]],tblTurnos[turno],tblTurnos[hora_inicio],"")</f>
        <v/>
      </c>
      <c r="P179" s="5">
        <f>_xlfn.XLOOKUP(tblAsignaciones[[#This Row],[turno]],tblTurnos[turno],tblTurnos[hora_fin],"")</f>
        <v/>
      </c>
      <c r="Q179" s="5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5">
        <f>_xlfn.XLOOKUP(tblAsignaciones[[#This Row],[tecnico]],tblTecnicos[nombre],tblTecnicos[area],"")</f>
        <v/>
      </c>
      <c r="E180" s="5">
        <f>_xlfn.XLOOKUP(tblAsignaciones[[#This Row],[tecnico]],tblTecnicos[nombre],tblTecnicos[especialidad],"")</f>
        <v/>
      </c>
      <c r="F180" s="5">
        <f>COUNTIFS(tblTecnicos[rotativo],"sí",tblTecnicos[especialidad],tblAsignaciones[[#This Row],[especialidad]],tblTecnicos[area],tblAsignaciones[[#This Row],[area]],tblTecnicos[activo],"sí")</f>
        <v/>
      </c>
      <c r="G1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4" t="n"/>
      <c r="J1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5">
        <f>_xlfn.XLOOKUP(tblAsignaciones[[#This Row],[tecnico]],tblTecnicos[nombre],tblTecnicos[supervisor],"")</f>
        <v/>
      </c>
      <c r="L18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5">
        <f>tblAsignaciones[[#This Row],[semana]]&amp;"|"&amp;tblAsignaciones[[#This Row],[dia]]&amp;"|"&amp;tblAsignaciones[[#This Row],[tecnico]]</f>
        <v/>
      </c>
      <c r="O180" s="5">
        <f>_xlfn.XLOOKUP(tblAsignaciones[[#This Row],[turno]],tblTurnos[turno],tblTurnos[hora_inicio],"")</f>
        <v/>
      </c>
      <c r="P180" s="5">
        <f>_xlfn.XLOOKUP(tblAsignaciones[[#This Row],[turno]],tblTurnos[turno],tblTurnos[hora_fin],"")</f>
        <v/>
      </c>
      <c r="Q180" s="5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5">
        <f>_xlfn.XLOOKUP(tblAsignaciones[[#This Row],[tecnico]],tblTecnicos[nombre],tblTecnicos[area],"")</f>
        <v/>
      </c>
      <c r="E181" s="5">
        <f>_xlfn.XLOOKUP(tblAsignaciones[[#This Row],[tecnico]],tblTecnicos[nombre],tblTecnicos[especialidad],"")</f>
        <v/>
      </c>
      <c r="F181" s="5">
        <f>COUNTIFS(tblTecnicos[rotativo],"sí",tblTecnicos[especialidad],tblAsignaciones[[#This Row],[especialidad]],tblTecnicos[area],tblAsignaciones[[#This Row],[area]],tblTecnicos[activo],"sí")</f>
        <v/>
      </c>
      <c r="G1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4" t="n"/>
      <c r="J1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5">
        <f>_xlfn.XLOOKUP(tblAsignaciones[[#This Row],[tecnico]],tblTecnicos[nombre],tblTecnicos[supervisor],"")</f>
        <v/>
      </c>
      <c r="L18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5">
        <f>tblAsignaciones[[#This Row],[semana]]&amp;"|"&amp;tblAsignaciones[[#This Row],[dia]]&amp;"|"&amp;tblAsignaciones[[#This Row],[tecnico]]</f>
        <v/>
      </c>
      <c r="O181" s="5">
        <f>_xlfn.XLOOKUP(tblAsignaciones[[#This Row],[turno]],tblTurnos[turno],tblTurnos[hora_inicio],"")</f>
        <v/>
      </c>
      <c r="P181" s="5">
        <f>_xlfn.XLOOKUP(tblAsignaciones[[#This Row],[turno]],tblTurnos[turno],tblTurnos[hora_fin],"")</f>
        <v/>
      </c>
      <c r="Q181" s="5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5">
        <f>_xlfn.XLOOKUP(tblAsignaciones[[#This Row],[tecnico]],tblTecnicos[nombre],tblTecnicos[area],"")</f>
        <v/>
      </c>
      <c r="E182" s="5">
        <f>_xlfn.XLOOKUP(tblAsignaciones[[#This Row],[tecnico]],tblTecnicos[nombre],tblTecnicos[especialidad],"")</f>
        <v/>
      </c>
      <c r="F182" s="5">
        <f>COUNTIFS(tblTecnicos[rotativo],"sí",tblTecnicos[especialidad],tblAsignaciones[[#This Row],[especialidad]],tblTecnicos[area],tblAsignaciones[[#This Row],[area]],tblTecnicos[activo],"sí")</f>
        <v/>
      </c>
      <c r="G1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4" t="n"/>
      <c r="J1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5">
        <f>_xlfn.XLOOKUP(tblAsignaciones[[#This Row],[tecnico]],tblTecnicos[nombre],tblTecnicos[supervisor],"")</f>
        <v/>
      </c>
      <c r="L18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5">
        <f>tblAsignaciones[[#This Row],[semana]]&amp;"|"&amp;tblAsignaciones[[#This Row],[dia]]&amp;"|"&amp;tblAsignaciones[[#This Row],[tecnico]]</f>
        <v/>
      </c>
      <c r="O182" s="5">
        <f>_xlfn.XLOOKUP(tblAsignaciones[[#This Row],[turno]],tblTurnos[turno],tblTurnos[hora_inicio],"")</f>
        <v/>
      </c>
      <c r="P182" s="5">
        <f>_xlfn.XLOOKUP(tblAsignaciones[[#This Row],[turno]],tblTurnos[turno],tblTurnos[hora_fin],"")</f>
        <v/>
      </c>
      <c r="Q182" s="5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5">
        <f>_xlfn.XLOOKUP(tblAsignaciones[[#This Row],[tecnico]],tblTecnicos[nombre],tblTecnicos[area],"")</f>
        <v/>
      </c>
      <c r="E183" s="5">
        <f>_xlfn.XLOOKUP(tblAsignaciones[[#This Row],[tecnico]],tblTecnicos[nombre],tblTecnicos[especialidad],"")</f>
        <v/>
      </c>
      <c r="F183" s="5">
        <f>COUNTIFS(tblTecnicos[rotativo],"sí",tblTecnicos[especialidad],tblAsignaciones[[#This Row],[especialidad]],tblTecnicos[area],tblAsignaciones[[#This Row],[area]],tblTecnicos[activo],"sí")</f>
        <v/>
      </c>
      <c r="G1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4" t="n"/>
      <c r="J1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5">
        <f>_xlfn.XLOOKUP(tblAsignaciones[[#This Row],[tecnico]],tblTecnicos[nombre],tblTecnicos[supervisor],"")</f>
        <v/>
      </c>
      <c r="L18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5">
        <f>tblAsignaciones[[#This Row],[semana]]&amp;"|"&amp;tblAsignaciones[[#This Row],[dia]]&amp;"|"&amp;tblAsignaciones[[#This Row],[tecnico]]</f>
        <v/>
      </c>
      <c r="O183" s="5">
        <f>_xlfn.XLOOKUP(tblAsignaciones[[#This Row],[turno]],tblTurnos[turno],tblTurnos[hora_inicio],"")</f>
        <v/>
      </c>
      <c r="P183" s="5">
        <f>_xlfn.XLOOKUP(tblAsignaciones[[#This Row],[turno]],tblTurnos[turno],tblTurnos[hora_fin],"")</f>
        <v/>
      </c>
      <c r="Q183" s="5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5">
        <f>_xlfn.XLOOKUP(tblAsignaciones[[#This Row],[tecnico]],tblTecnicos[nombre],tblTecnicos[area],"")</f>
        <v/>
      </c>
      <c r="E184" s="5">
        <f>_xlfn.XLOOKUP(tblAsignaciones[[#This Row],[tecnico]],tblTecnicos[nombre],tblTecnicos[especialidad],"")</f>
        <v/>
      </c>
      <c r="F184" s="5">
        <f>COUNTIFS(tblTecnicos[rotativo],"sí",tblTecnicos[especialidad],tblAsignaciones[[#This Row],[especialidad]],tblTecnicos[area],tblAsignaciones[[#This Row],[area]],tblTecnicos[activo],"sí")</f>
        <v/>
      </c>
      <c r="G1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4" t="n"/>
      <c r="J1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5">
        <f>_xlfn.XLOOKUP(tblAsignaciones[[#This Row],[tecnico]],tblTecnicos[nombre],tblTecnicos[supervisor],"")</f>
        <v/>
      </c>
      <c r="L18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5">
        <f>tblAsignaciones[[#This Row],[semana]]&amp;"|"&amp;tblAsignaciones[[#This Row],[dia]]&amp;"|"&amp;tblAsignaciones[[#This Row],[tecnico]]</f>
        <v/>
      </c>
      <c r="O184" s="5">
        <f>_xlfn.XLOOKUP(tblAsignaciones[[#This Row],[turno]],tblTurnos[turno],tblTurnos[hora_inicio],"")</f>
        <v/>
      </c>
      <c r="P184" s="5">
        <f>_xlfn.XLOOKUP(tblAsignaciones[[#This Row],[turno]],tblTurnos[turno],tblTurnos[hora_fin],"")</f>
        <v/>
      </c>
      <c r="Q184" s="5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5">
        <f>_xlfn.XLOOKUP(tblAsignaciones[[#This Row],[tecnico]],tblTecnicos[nombre],tblTecnicos[area],"")</f>
        <v/>
      </c>
      <c r="E185" s="5">
        <f>_xlfn.XLOOKUP(tblAsignaciones[[#This Row],[tecnico]],tblTecnicos[nombre],tblTecnicos[especialidad],"")</f>
        <v/>
      </c>
      <c r="F185" s="5">
        <f>COUNTIFS(tblTecnicos[rotativo],"sí",tblTecnicos[especialidad],tblAsignaciones[[#This Row],[especialidad]],tblTecnicos[area],tblAsignaciones[[#This Row],[area]],tblTecnicos[activo],"sí")</f>
        <v/>
      </c>
      <c r="G1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4" t="n"/>
      <c r="J1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5">
        <f>_xlfn.XLOOKUP(tblAsignaciones[[#This Row],[tecnico]],tblTecnicos[nombre],tblTecnicos[supervisor],"")</f>
        <v/>
      </c>
      <c r="L18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5">
        <f>tblAsignaciones[[#This Row],[semana]]&amp;"|"&amp;tblAsignaciones[[#This Row],[dia]]&amp;"|"&amp;tblAsignaciones[[#This Row],[tecnico]]</f>
        <v/>
      </c>
      <c r="O185" s="5">
        <f>_xlfn.XLOOKUP(tblAsignaciones[[#This Row],[turno]],tblTurnos[turno],tblTurnos[hora_inicio],"")</f>
        <v/>
      </c>
      <c r="P185" s="5">
        <f>_xlfn.XLOOKUP(tblAsignaciones[[#This Row],[turno]],tblTurnos[turno],tblTurnos[hora_fin],"")</f>
        <v/>
      </c>
      <c r="Q185" s="5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5">
        <f>_xlfn.XLOOKUP(tblAsignaciones[[#This Row],[tecnico]],tblTecnicos[nombre],tblTecnicos[area],"")</f>
        <v/>
      </c>
      <c r="E186" s="5">
        <f>_xlfn.XLOOKUP(tblAsignaciones[[#This Row],[tecnico]],tblTecnicos[nombre],tblTecnicos[especialidad],"")</f>
        <v/>
      </c>
      <c r="F186" s="5">
        <f>COUNTIFS(tblTecnicos[rotativo],"sí",tblTecnicos[especialidad],tblAsignaciones[[#This Row],[especialidad]],tblTecnicos[area],tblAsignaciones[[#This Row],[area]],tblTecnicos[activo],"sí")</f>
        <v/>
      </c>
      <c r="G1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4" t="n"/>
      <c r="J1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5">
        <f>_xlfn.XLOOKUP(tblAsignaciones[[#This Row],[tecnico]],tblTecnicos[nombre],tblTecnicos[supervisor],"")</f>
        <v/>
      </c>
      <c r="L18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5">
        <f>tblAsignaciones[[#This Row],[semana]]&amp;"|"&amp;tblAsignaciones[[#This Row],[dia]]&amp;"|"&amp;tblAsignaciones[[#This Row],[tecnico]]</f>
        <v/>
      </c>
      <c r="O186" s="5">
        <f>_xlfn.XLOOKUP(tblAsignaciones[[#This Row],[turno]],tblTurnos[turno],tblTurnos[hora_inicio],"")</f>
        <v/>
      </c>
      <c r="P186" s="5">
        <f>_xlfn.XLOOKUP(tblAsignaciones[[#This Row],[turno]],tblTurnos[turno],tblTurnos[hora_fin],"")</f>
        <v/>
      </c>
      <c r="Q186" s="5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5">
        <f>_xlfn.XLOOKUP(tblAsignaciones[[#This Row],[tecnico]],tblTecnicos[nombre],tblTecnicos[area],"")</f>
        <v/>
      </c>
      <c r="E187" s="5">
        <f>_xlfn.XLOOKUP(tblAsignaciones[[#This Row],[tecnico]],tblTecnicos[nombre],tblTecnicos[especialidad],"")</f>
        <v/>
      </c>
      <c r="F187" s="5">
        <f>COUNTIFS(tblTecnicos[rotativo],"sí",tblTecnicos[especialidad],tblAsignaciones[[#This Row],[especialidad]],tblTecnicos[area],tblAsignaciones[[#This Row],[area]],tblTecnicos[activo],"sí")</f>
        <v/>
      </c>
      <c r="G1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4" t="n"/>
      <c r="J1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5">
        <f>_xlfn.XLOOKUP(tblAsignaciones[[#This Row],[tecnico]],tblTecnicos[nombre],tblTecnicos[supervisor],"")</f>
        <v/>
      </c>
      <c r="L18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5">
        <f>tblAsignaciones[[#This Row],[semana]]&amp;"|"&amp;tblAsignaciones[[#This Row],[dia]]&amp;"|"&amp;tblAsignaciones[[#This Row],[tecnico]]</f>
        <v/>
      </c>
      <c r="O187" s="5">
        <f>_xlfn.XLOOKUP(tblAsignaciones[[#This Row],[turno]],tblTurnos[turno],tblTurnos[hora_inicio],"")</f>
        <v/>
      </c>
      <c r="P187" s="5">
        <f>_xlfn.XLOOKUP(tblAsignaciones[[#This Row],[turno]],tblTurnos[turno],tblTurnos[hora_fin],"")</f>
        <v/>
      </c>
      <c r="Q187" s="5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5">
        <f>_xlfn.XLOOKUP(tblAsignaciones[[#This Row],[tecnico]],tblTecnicos[nombre],tblTecnicos[area],"")</f>
        <v/>
      </c>
      <c r="E188" s="5">
        <f>_xlfn.XLOOKUP(tblAsignaciones[[#This Row],[tecnico]],tblTecnicos[nombre],tblTecnicos[especialidad],"")</f>
        <v/>
      </c>
      <c r="F188" s="5">
        <f>COUNTIFS(tblTecnicos[rotativo],"sí",tblTecnicos[especialidad],tblAsignaciones[[#This Row],[especialidad]],tblTecnicos[area],tblAsignaciones[[#This Row],[area]],tblTecnicos[activo],"sí")</f>
        <v/>
      </c>
      <c r="G1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4" t="n"/>
      <c r="J1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5">
        <f>_xlfn.XLOOKUP(tblAsignaciones[[#This Row],[tecnico]],tblTecnicos[nombre],tblTecnicos[supervisor],"")</f>
        <v/>
      </c>
      <c r="L18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5">
        <f>tblAsignaciones[[#This Row],[semana]]&amp;"|"&amp;tblAsignaciones[[#This Row],[dia]]&amp;"|"&amp;tblAsignaciones[[#This Row],[tecnico]]</f>
        <v/>
      </c>
      <c r="O188" s="5">
        <f>_xlfn.XLOOKUP(tblAsignaciones[[#This Row],[turno]],tblTurnos[turno],tblTurnos[hora_inicio],"")</f>
        <v/>
      </c>
      <c r="P188" s="5">
        <f>_xlfn.XLOOKUP(tblAsignaciones[[#This Row],[turno]],tblTurnos[turno],tblTurnos[hora_fin],"")</f>
        <v/>
      </c>
      <c r="Q188" s="5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5">
        <f>_xlfn.XLOOKUP(tblAsignaciones[[#This Row],[tecnico]],tblTecnicos[nombre],tblTecnicos[area],"")</f>
        <v/>
      </c>
      <c r="E189" s="5">
        <f>_xlfn.XLOOKUP(tblAsignaciones[[#This Row],[tecnico]],tblTecnicos[nombre],tblTecnicos[especialidad],"")</f>
        <v/>
      </c>
      <c r="F189" s="5">
        <f>COUNTIFS(tblTecnicos[rotativo],"sí",tblTecnicos[especialidad],tblAsignaciones[[#This Row],[especialidad]],tblTecnicos[area],tblAsignaciones[[#This Row],[area]],tblTecnicos[activo],"sí")</f>
        <v/>
      </c>
      <c r="G1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4" t="n"/>
      <c r="J1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5">
        <f>_xlfn.XLOOKUP(tblAsignaciones[[#This Row],[tecnico]],tblTecnicos[nombre],tblTecnicos[supervisor],"")</f>
        <v/>
      </c>
      <c r="L18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5">
        <f>tblAsignaciones[[#This Row],[semana]]&amp;"|"&amp;tblAsignaciones[[#This Row],[dia]]&amp;"|"&amp;tblAsignaciones[[#This Row],[tecnico]]</f>
        <v/>
      </c>
      <c r="O189" s="5">
        <f>_xlfn.XLOOKUP(tblAsignaciones[[#This Row],[turno]],tblTurnos[turno],tblTurnos[hora_inicio],"")</f>
        <v/>
      </c>
      <c r="P189" s="5">
        <f>_xlfn.XLOOKUP(tblAsignaciones[[#This Row],[turno]],tblTurnos[turno],tblTurnos[hora_fin],"")</f>
        <v/>
      </c>
      <c r="Q189" s="5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5">
        <f>_xlfn.XLOOKUP(tblAsignaciones[[#This Row],[tecnico]],tblTecnicos[nombre],tblTecnicos[area],"")</f>
        <v/>
      </c>
      <c r="E190" s="5">
        <f>_xlfn.XLOOKUP(tblAsignaciones[[#This Row],[tecnico]],tblTecnicos[nombre],tblTecnicos[especialidad],"")</f>
        <v/>
      </c>
      <c r="F190" s="5">
        <f>COUNTIFS(tblTecnicos[rotativo],"sí",tblTecnicos[especialidad],tblAsignaciones[[#This Row],[especialidad]],tblTecnicos[area],tblAsignaciones[[#This Row],[area]],tblTecnicos[activo],"sí")</f>
        <v/>
      </c>
      <c r="G1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4" t="n"/>
      <c r="J1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5">
        <f>_xlfn.XLOOKUP(tblAsignaciones[[#This Row],[tecnico]],tblTecnicos[nombre],tblTecnicos[supervisor],"")</f>
        <v/>
      </c>
      <c r="L19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5">
        <f>tblAsignaciones[[#This Row],[semana]]&amp;"|"&amp;tblAsignaciones[[#This Row],[dia]]&amp;"|"&amp;tblAsignaciones[[#This Row],[tecnico]]</f>
        <v/>
      </c>
      <c r="O190" s="5">
        <f>_xlfn.XLOOKUP(tblAsignaciones[[#This Row],[turno]],tblTurnos[turno],tblTurnos[hora_inicio],"")</f>
        <v/>
      </c>
      <c r="P190" s="5">
        <f>_xlfn.XLOOKUP(tblAsignaciones[[#This Row],[turno]],tblTurnos[turno],tblTurnos[hora_fin],"")</f>
        <v/>
      </c>
      <c r="Q190" s="5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5">
        <f>_xlfn.XLOOKUP(tblAsignaciones[[#This Row],[tecnico]],tblTecnicos[nombre],tblTecnicos[area],"")</f>
        <v/>
      </c>
      <c r="E191" s="5">
        <f>_xlfn.XLOOKUP(tblAsignaciones[[#This Row],[tecnico]],tblTecnicos[nombre],tblTecnicos[especialidad],"")</f>
        <v/>
      </c>
      <c r="F191" s="5">
        <f>COUNTIFS(tblTecnicos[rotativo],"sí",tblTecnicos[especialidad],tblAsignaciones[[#This Row],[especialidad]],tblTecnicos[area],tblAsignaciones[[#This Row],[area]],tblTecnicos[activo],"sí")</f>
        <v/>
      </c>
      <c r="G1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4" t="n"/>
      <c r="J1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5">
        <f>_xlfn.XLOOKUP(tblAsignaciones[[#This Row],[tecnico]],tblTecnicos[nombre],tblTecnicos[supervisor],"")</f>
        <v/>
      </c>
      <c r="L19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5">
        <f>tblAsignaciones[[#This Row],[semana]]&amp;"|"&amp;tblAsignaciones[[#This Row],[dia]]&amp;"|"&amp;tblAsignaciones[[#This Row],[tecnico]]</f>
        <v/>
      </c>
      <c r="O191" s="5">
        <f>_xlfn.XLOOKUP(tblAsignaciones[[#This Row],[turno]],tblTurnos[turno],tblTurnos[hora_inicio],"")</f>
        <v/>
      </c>
      <c r="P191" s="5">
        <f>_xlfn.XLOOKUP(tblAsignaciones[[#This Row],[turno]],tblTurnos[turno],tblTurnos[hora_fin],"")</f>
        <v/>
      </c>
      <c r="Q191" s="5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5">
        <f>_xlfn.XLOOKUP(tblAsignaciones[[#This Row],[tecnico]],tblTecnicos[nombre],tblTecnicos[area],"")</f>
        <v/>
      </c>
      <c r="E192" s="5">
        <f>_xlfn.XLOOKUP(tblAsignaciones[[#This Row],[tecnico]],tblTecnicos[nombre],tblTecnicos[especialidad],"")</f>
        <v/>
      </c>
      <c r="F192" s="5">
        <f>COUNTIFS(tblTecnicos[rotativo],"sí",tblTecnicos[especialidad],tblAsignaciones[[#This Row],[especialidad]],tblTecnicos[area],tblAsignaciones[[#This Row],[area]],tblTecnicos[activo],"sí")</f>
        <v/>
      </c>
      <c r="G1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4" t="n"/>
      <c r="J1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5">
        <f>_xlfn.XLOOKUP(tblAsignaciones[[#This Row],[tecnico]],tblTecnicos[nombre],tblTecnicos[supervisor],"")</f>
        <v/>
      </c>
      <c r="L19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5">
        <f>tblAsignaciones[[#This Row],[semana]]&amp;"|"&amp;tblAsignaciones[[#This Row],[dia]]&amp;"|"&amp;tblAsignaciones[[#This Row],[tecnico]]</f>
        <v/>
      </c>
      <c r="O192" s="5">
        <f>_xlfn.XLOOKUP(tblAsignaciones[[#This Row],[turno]],tblTurnos[turno],tblTurnos[hora_inicio],"")</f>
        <v/>
      </c>
      <c r="P192" s="5">
        <f>_xlfn.XLOOKUP(tblAsignaciones[[#This Row],[turno]],tblTurnos[turno],tblTurnos[hora_fin],"")</f>
        <v/>
      </c>
      <c r="Q192" s="5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5">
        <f>_xlfn.XLOOKUP(tblAsignaciones[[#This Row],[tecnico]],tblTecnicos[nombre],tblTecnicos[area],"")</f>
        <v/>
      </c>
      <c r="E193" s="5">
        <f>_xlfn.XLOOKUP(tblAsignaciones[[#This Row],[tecnico]],tblTecnicos[nombre],tblTecnicos[especialidad],"")</f>
        <v/>
      </c>
      <c r="F193" s="5">
        <f>COUNTIFS(tblTecnicos[rotativo],"sí",tblTecnicos[especialidad],tblAsignaciones[[#This Row],[especialidad]],tblTecnicos[area],tblAsignaciones[[#This Row],[area]],tblTecnicos[activo],"sí")</f>
        <v/>
      </c>
      <c r="G1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4" t="n"/>
      <c r="J1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5">
        <f>_xlfn.XLOOKUP(tblAsignaciones[[#This Row],[tecnico]],tblTecnicos[nombre],tblTecnicos[supervisor],"")</f>
        <v/>
      </c>
      <c r="L19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5">
        <f>tblAsignaciones[[#This Row],[semana]]&amp;"|"&amp;tblAsignaciones[[#This Row],[dia]]&amp;"|"&amp;tblAsignaciones[[#This Row],[tecnico]]</f>
        <v/>
      </c>
      <c r="O193" s="5">
        <f>_xlfn.XLOOKUP(tblAsignaciones[[#This Row],[turno]],tblTurnos[turno],tblTurnos[hora_inicio],"")</f>
        <v/>
      </c>
      <c r="P193" s="5">
        <f>_xlfn.XLOOKUP(tblAsignaciones[[#This Row],[turno]],tblTurnos[turno],tblTurnos[hora_fin],"")</f>
        <v/>
      </c>
      <c r="Q193" s="5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5">
        <f>_xlfn.XLOOKUP(tblAsignaciones[[#This Row],[tecnico]],tblTecnicos[nombre],tblTecnicos[area],"")</f>
        <v/>
      </c>
      <c r="E194" s="5">
        <f>_xlfn.XLOOKUP(tblAsignaciones[[#This Row],[tecnico]],tblTecnicos[nombre],tblTecnicos[especialidad],"")</f>
        <v/>
      </c>
      <c r="F194" s="5">
        <f>COUNTIFS(tblTecnicos[rotativo],"sí",tblTecnicos[especialidad],tblAsignaciones[[#This Row],[especialidad]],tblTecnicos[area],tblAsignaciones[[#This Row],[area]],tblTecnicos[activo],"sí")</f>
        <v/>
      </c>
      <c r="G1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4" t="n"/>
      <c r="J1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5">
        <f>_xlfn.XLOOKUP(tblAsignaciones[[#This Row],[tecnico]],tblTecnicos[nombre],tblTecnicos[supervisor],"")</f>
        <v/>
      </c>
      <c r="L19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5">
        <f>tblAsignaciones[[#This Row],[semana]]&amp;"|"&amp;tblAsignaciones[[#This Row],[dia]]&amp;"|"&amp;tblAsignaciones[[#This Row],[tecnico]]</f>
        <v/>
      </c>
      <c r="O194" s="5">
        <f>_xlfn.XLOOKUP(tblAsignaciones[[#This Row],[turno]],tblTurnos[turno],tblTurnos[hora_inicio],"")</f>
        <v/>
      </c>
      <c r="P194" s="5">
        <f>_xlfn.XLOOKUP(tblAsignaciones[[#This Row],[turno]],tblTurnos[turno],tblTurnos[hora_fin],"")</f>
        <v/>
      </c>
      <c r="Q194" s="5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5">
        <f>_xlfn.XLOOKUP(tblAsignaciones[[#This Row],[tecnico]],tblTecnicos[nombre],tblTecnicos[area],"")</f>
        <v/>
      </c>
      <c r="E195" s="5">
        <f>_xlfn.XLOOKUP(tblAsignaciones[[#This Row],[tecnico]],tblTecnicos[nombre],tblTecnicos[especialidad],"")</f>
        <v/>
      </c>
      <c r="F195" s="5">
        <f>COUNTIFS(tblTecnicos[rotativo],"sí",tblTecnicos[especialidad],tblAsignaciones[[#This Row],[especialidad]],tblTecnicos[area],tblAsignaciones[[#This Row],[area]],tblTecnicos[activo],"sí")</f>
        <v/>
      </c>
      <c r="G1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4" t="n"/>
      <c r="J1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5">
        <f>_xlfn.XLOOKUP(tblAsignaciones[[#This Row],[tecnico]],tblTecnicos[nombre],tblTecnicos[supervisor],"")</f>
        <v/>
      </c>
      <c r="L19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5">
        <f>tblAsignaciones[[#This Row],[semana]]&amp;"|"&amp;tblAsignaciones[[#This Row],[dia]]&amp;"|"&amp;tblAsignaciones[[#This Row],[tecnico]]</f>
        <v/>
      </c>
      <c r="O195" s="5">
        <f>_xlfn.XLOOKUP(tblAsignaciones[[#This Row],[turno]],tblTurnos[turno],tblTurnos[hora_inicio],"")</f>
        <v/>
      </c>
      <c r="P195" s="5">
        <f>_xlfn.XLOOKUP(tblAsignaciones[[#This Row],[turno]],tblTurnos[turno],tblTurnos[hora_fin],"")</f>
        <v/>
      </c>
      <c r="Q195" s="5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5">
        <f>_xlfn.XLOOKUP(tblAsignaciones[[#This Row],[tecnico]],tblTecnicos[nombre],tblTecnicos[area],"")</f>
        <v/>
      </c>
      <c r="E196" s="5">
        <f>_xlfn.XLOOKUP(tblAsignaciones[[#This Row],[tecnico]],tblTecnicos[nombre],tblTecnicos[especialidad],"")</f>
        <v/>
      </c>
      <c r="F196" s="5">
        <f>COUNTIFS(tblTecnicos[rotativo],"sí",tblTecnicos[especialidad],tblAsignaciones[[#This Row],[especialidad]],tblTecnicos[area],tblAsignaciones[[#This Row],[area]],tblTecnicos[activo],"sí")</f>
        <v/>
      </c>
      <c r="G1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4" t="n"/>
      <c r="J1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5">
        <f>_xlfn.XLOOKUP(tblAsignaciones[[#This Row],[tecnico]],tblTecnicos[nombre],tblTecnicos[supervisor],"")</f>
        <v/>
      </c>
      <c r="L19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5">
        <f>tblAsignaciones[[#This Row],[semana]]&amp;"|"&amp;tblAsignaciones[[#This Row],[dia]]&amp;"|"&amp;tblAsignaciones[[#This Row],[tecnico]]</f>
        <v/>
      </c>
      <c r="O196" s="5">
        <f>_xlfn.XLOOKUP(tblAsignaciones[[#This Row],[turno]],tblTurnos[turno],tblTurnos[hora_inicio],"")</f>
        <v/>
      </c>
      <c r="P196" s="5">
        <f>_xlfn.XLOOKUP(tblAsignaciones[[#This Row],[turno]],tblTurnos[turno],tblTurnos[hora_fin],"")</f>
        <v/>
      </c>
      <c r="Q196" s="5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5">
        <f>_xlfn.XLOOKUP(tblAsignaciones[[#This Row],[tecnico]],tblTecnicos[nombre],tblTecnicos[area],"")</f>
        <v/>
      </c>
      <c r="E197" s="5">
        <f>_xlfn.XLOOKUP(tblAsignaciones[[#This Row],[tecnico]],tblTecnicos[nombre],tblTecnicos[especialidad],"")</f>
        <v/>
      </c>
      <c r="F197" s="5">
        <f>COUNTIFS(tblTecnicos[rotativo],"sí",tblTecnicos[especialidad],tblAsignaciones[[#This Row],[especialidad]],tblTecnicos[area],tblAsignaciones[[#This Row],[area]],tblTecnicos[activo],"sí")</f>
        <v/>
      </c>
      <c r="G1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4" t="n"/>
      <c r="J1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5">
        <f>_xlfn.XLOOKUP(tblAsignaciones[[#This Row],[tecnico]],tblTecnicos[nombre],tblTecnicos[supervisor],"")</f>
        <v/>
      </c>
      <c r="L19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5">
        <f>tblAsignaciones[[#This Row],[semana]]&amp;"|"&amp;tblAsignaciones[[#This Row],[dia]]&amp;"|"&amp;tblAsignaciones[[#This Row],[tecnico]]</f>
        <v/>
      </c>
      <c r="O197" s="5">
        <f>_xlfn.XLOOKUP(tblAsignaciones[[#This Row],[turno]],tblTurnos[turno],tblTurnos[hora_inicio],"")</f>
        <v/>
      </c>
      <c r="P197" s="5">
        <f>_xlfn.XLOOKUP(tblAsignaciones[[#This Row],[turno]],tblTurnos[turno],tblTurnos[hora_fin],"")</f>
        <v/>
      </c>
      <c r="Q197" s="5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5">
        <f>_xlfn.XLOOKUP(tblAsignaciones[[#This Row],[tecnico]],tblTecnicos[nombre],tblTecnicos[area],"")</f>
        <v/>
      </c>
      <c r="E198" s="5">
        <f>_xlfn.XLOOKUP(tblAsignaciones[[#This Row],[tecnico]],tblTecnicos[nombre],tblTecnicos[especialidad],"")</f>
        <v/>
      </c>
      <c r="F198" s="5">
        <f>COUNTIFS(tblTecnicos[rotativo],"sí",tblTecnicos[especialidad],tblAsignaciones[[#This Row],[especialidad]],tblTecnicos[area],tblAsignaciones[[#This Row],[area]],tblTecnicos[activo],"sí")</f>
        <v/>
      </c>
      <c r="G1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4" t="n"/>
      <c r="J1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5">
        <f>_xlfn.XLOOKUP(tblAsignaciones[[#This Row],[tecnico]],tblTecnicos[nombre],tblTecnicos[supervisor],"")</f>
        <v/>
      </c>
      <c r="L19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5">
        <f>tblAsignaciones[[#This Row],[semana]]&amp;"|"&amp;tblAsignaciones[[#This Row],[dia]]&amp;"|"&amp;tblAsignaciones[[#This Row],[tecnico]]</f>
        <v/>
      </c>
      <c r="O198" s="5">
        <f>_xlfn.XLOOKUP(tblAsignaciones[[#This Row],[turno]],tblTurnos[turno],tblTurnos[hora_inicio],"")</f>
        <v/>
      </c>
      <c r="P198" s="5">
        <f>_xlfn.XLOOKUP(tblAsignaciones[[#This Row],[turno]],tblTurnos[turno],tblTurnos[hora_fin],"")</f>
        <v/>
      </c>
      <c r="Q198" s="5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5">
        <f>_xlfn.XLOOKUP(tblAsignaciones[[#This Row],[tecnico]],tblTecnicos[nombre],tblTecnicos[area],"")</f>
        <v/>
      </c>
      <c r="E199" s="5">
        <f>_xlfn.XLOOKUP(tblAsignaciones[[#This Row],[tecnico]],tblTecnicos[nombre],tblTecnicos[especialidad],"")</f>
        <v/>
      </c>
      <c r="F199" s="5">
        <f>COUNTIFS(tblTecnicos[rotativo],"sí",tblTecnicos[especialidad],tblAsignaciones[[#This Row],[especialidad]],tblTecnicos[area],tblAsignaciones[[#This Row],[area]],tblTecnicos[activo],"sí")</f>
        <v/>
      </c>
      <c r="G1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4" t="n"/>
      <c r="J1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5">
        <f>_xlfn.XLOOKUP(tblAsignaciones[[#This Row],[tecnico]],tblTecnicos[nombre],tblTecnicos[supervisor],"")</f>
        <v/>
      </c>
      <c r="L19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5">
        <f>tblAsignaciones[[#This Row],[semana]]&amp;"|"&amp;tblAsignaciones[[#This Row],[dia]]&amp;"|"&amp;tblAsignaciones[[#This Row],[tecnico]]</f>
        <v/>
      </c>
      <c r="O199" s="5">
        <f>_xlfn.XLOOKUP(tblAsignaciones[[#This Row],[turno]],tblTurnos[turno],tblTurnos[hora_inicio],"")</f>
        <v/>
      </c>
      <c r="P199" s="5">
        <f>_xlfn.XLOOKUP(tblAsignaciones[[#This Row],[turno]],tblTurnos[turno],tblTurnos[hora_fin],"")</f>
        <v/>
      </c>
      <c r="Q199" s="5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5">
        <f>_xlfn.XLOOKUP(tblAsignaciones[[#This Row],[tecnico]],tblTecnicos[nombre],tblTecnicos[area],"")</f>
        <v/>
      </c>
      <c r="E200" s="5">
        <f>_xlfn.XLOOKUP(tblAsignaciones[[#This Row],[tecnico]],tblTecnicos[nombre],tblTecnicos[especialidad],"")</f>
        <v/>
      </c>
      <c r="F200" s="5">
        <f>COUNTIFS(tblTecnicos[rotativo],"sí",tblTecnicos[especialidad],tblAsignaciones[[#This Row],[especialidad]],tblTecnicos[area],tblAsignaciones[[#This Row],[area]],tblTecnicos[activo],"sí")</f>
        <v/>
      </c>
      <c r="G2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4" t="n"/>
      <c r="J2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5">
        <f>_xlfn.XLOOKUP(tblAsignaciones[[#This Row],[tecnico]],tblTecnicos[nombre],tblTecnicos[supervisor],"")</f>
        <v/>
      </c>
      <c r="L20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5">
        <f>tblAsignaciones[[#This Row],[semana]]&amp;"|"&amp;tblAsignaciones[[#This Row],[dia]]&amp;"|"&amp;tblAsignaciones[[#This Row],[tecnico]]</f>
        <v/>
      </c>
      <c r="O200" s="5">
        <f>_xlfn.XLOOKUP(tblAsignaciones[[#This Row],[turno]],tblTurnos[turno],tblTurnos[hora_inicio],"")</f>
        <v/>
      </c>
      <c r="P200" s="5">
        <f>_xlfn.XLOOKUP(tblAsignaciones[[#This Row],[turno]],tblTurnos[turno],tblTurnos[hora_fin],"")</f>
        <v/>
      </c>
      <c r="Q200" s="5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5">
        <f>_xlfn.XLOOKUP(tblAsignaciones[[#This Row],[tecnico]],tblTecnicos[nombre],tblTecnicos[area],"")</f>
        <v/>
      </c>
      <c r="E201" s="5">
        <f>_xlfn.XLOOKUP(tblAsignaciones[[#This Row],[tecnico]],tblTecnicos[nombre],tblTecnicos[especialidad],"")</f>
        <v/>
      </c>
      <c r="F201" s="5">
        <f>COUNTIFS(tblTecnicos[rotativo],"sí",tblTecnicos[especialidad],tblAsignaciones[[#This Row],[especialidad]],tblTecnicos[area],tblAsignaciones[[#This Row],[area]],tblTecnicos[activo],"sí")</f>
        <v/>
      </c>
      <c r="G2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4" t="n"/>
      <c r="J2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5">
        <f>_xlfn.XLOOKUP(tblAsignaciones[[#This Row],[tecnico]],tblTecnicos[nombre],tblTecnicos[supervisor],"")</f>
        <v/>
      </c>
      <c r="L20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5">
        <f>tblAsignaciones[[#This Row],[semana]]&amp;"|"&amp;tblAsignaciones[[#This Row],[dia]]&amp;"|"&amp;tblAsignaciones[[#This Row],[tecnico]]</f>
        <v/>
      </c>
      <c r="O201" s="5">
        <f>_xlfn.XLOOKUP(tblAsignaciones[[#This Row],[turno]],tblTurnos[turno],tblTurnos[hora_inicio],"")</f>
        <v/>
      </c>
      <c r="P201" s="5">
        <f>_xlfn.XLOOKUP(tblAsignaciones[[#This Row],[turno]],tblTurnos[turno],tblTurnos[hora_fin],"")</f>
        <v/>
      </c>
      <c r="Q201" s="5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5">
        <f>_xlfn.XLOOKUP(tblAsignaciones[[#This Row],[tecnico]],tblTecnicos[nombre],tblTecnicos[area],"")</f>
        <v/>
      </c>
      <c r="E202" s="5">
        <f>_xlfn.XLOOKUP(tblAsignaciones[[#This Row],[tecnico]],tblTecnicos[nombre],tblTecnicos[especialidad],"")</f>
        <v/>
      </c>
      <c r="F202" s="5">
        <f>COUNTIFS(tblTecnicos[rotativo],"sí",tblTecnicos[especialidad],tblAsignaciones[[#This Row],[especialidad]],tblTecnicos[area],tblAsignaciones[[#This Row],[area]],tblTecnicos[activo],"sí")</f>
        <v/>
      </c>
      <c r="G2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4" t="n"/>
      <c r="J2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5">
        <f>_xlfn.XLOOKUP(tblAsignaciones[[#This Row],[tecnico]],tblTecnicos[nombre],tblTecnicos[supervisor],"")</f>
        <v/>
      </c>
      <c r="L20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5">
        <f>tblAsignaciones[[#This Row],[semana]]&amp;"|"&amp;tblAsignaciones[[#This Row],[dia]]&amp;"|"&amp;tblAsignaciones[[#This Row],[tecnico]]</f>
        <v/>
      </c>
      <c r="O202" s="5">
        <f>_xlfn.XLOOKUP(tblAsignaciones[[#This Row],[turno]],tblTurnos[turno],tblTurnos[hora_inicio],"")</f>
        <v/>
      </c>
      <c r="P202" s="5">
        <f>_xlfn.XLOOKUP(tblAsignaciones[[#This Row],[turno]],tblTurnos[turno],tblTurnos[hora_fin],"")</f>
        <v/>
      </c>
      <c r="Q202" s="5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5">
        <f>_xlfn.XLOOKUP(tblAsignaciones[[#This Row],[tecnico]],tblTecnicos[nombre],tblTecnicos[area],"")</f>
        <v/>
      </c>
      <c r="E203" s="5">
        <f>_xlfn.XLOOKUP(tblAsignaciones[[#This Row],[tecnico]],tblTecnicos[nombre],tblTecnicos[especialidad],"")</f>
        <v/>
      </c>
      <c r="F203" s="5">
        <f>COUNTIFS(tblTecnicos[rotativo],"sí",tblTecnicos[especialidad],tblAsignaciones[[#This Row],[especialidad]],tblTecnicos[area],tblAsignaciones[[#This Row],[area]],tblTecnicos[activo],"sí")</f>
        <v/>
      </c>
      <c r="G2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4" t="n"/>
      <c r="J2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5">
        <f>_xlfn.XLOOKUP(tblAsignaciones[[#This Row],[tecnico]],tblTecnicos[nombre],tblTecnicos[supervisor],"")</f>
        <v/>
      </c>
      <c r="L20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5">
        <f>tblAsignaciones[[#This Row],[semana]]&amp;"|"&amp;tblAsignaciones[[#This Row],[dia]]&amp;"|"&amp;tblAsignaciones[[#This Row],[tecnico]]</f>
        <v/>
      </c>
      <c r="O203" s="5">
        <f>_xlfn.XLOOKUP(tblAsignaciones[[#This Row],[turno]],tblTurnos[turno],tblTurnos[hora_inicio],"")</f>
        <v/>
      </c>
      <c r="P203" s="5">
        <f>_xlfn.XLOOKUP(tblAsignaciones[[#This Row],[turno]],tblTurnos[turno],tblTurnos[hora_fin],"")</f>
        <v/>
      </c>
      <c r="Q203" s="5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5">
        <f>_xlfn.XLOOKUP(tblAsignaciones[[#This Row],[tecnico]],tblTecnicos[nombre],tblTecnicos[area],"")</f>
        <v/>
      </c>
      <c r="E204" s="5">
        <f>_xlfn.XLOOKUP(tblAsignaciones[[#This Row],[tecnico]],tblTecnicos[nombre],tblTecnicos[especialidad],"")</f>
        <v/>
      </c>
      <c r="F204" s="5">
        <f>COUNTIFS(tblTecnicos[rotativo],"sí",tblTecnicos[especialidad],tblAsignaciones[[#This Row],[especialidad]],tblTecnicos[area],tblAsignaciones[[#This Row],[area]],tblTecnicos[activo],"sí")</f>
        <v/>
      </c>
      <c r="G2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4" t="n"/>
      <c r="J2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5">
        <f>_xlfn.XLOOKUP(tblAsignaciones[[#This Row],[tecnico]],tblTecnicos[nombre],tblTecnicos[supervisor],"")</f>
        <v/>
      </c>
      <c r="L20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5">
        <f>tblAsignaciones[[#This Row],[semana]]&amp;"|"&amp;tblAsignaciones[[#This Row],[dia]]&amp;"|"&amp;tblAsignaciones[[#This Row],[tecnico]]</f>
        <v/>
      </c>
      <c r="O204" s="5">
        <f>_xlfn.XLOOKUP(tblAsignaciones[[#This Row],[turno]],tblTurnos[turno],tblTurnos[hora_inicio],"")</f>
        <v/>
      </c>
      <c r="P204" s="5">
        <f>_xlfn.XLOOKUP(tblAsignaciones[[#This Row],[turno]],tblTurnos[turno],tblTurnos[hora_fin],"")</f>
        <v/>
      </c>
      <c r="Q204" s="5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5">
        <f>_xlfn.XLOOKUP(tblAsignaciones[[#This Row],[tecnico]],tblTecnicos[nombre],tblTecnicos[area],"")</f>
        <v/>
      </c>
      <c r="E205" s="5">
        <f>_xlfn.XLOOKUP(tblAsignaciones[[#This Row],[tecnico]],tblTecnicos[nombre],tblTecnicos[especialidad],"")</f>
        <v/>
      </c>
      <c r="F205" s="5">
        <f>COUNTIFS(tblTecnicos[rotativo],"sí",tblTecnicos[especialidad],tblAsignaciones[[#This Row],[especialidad]],tblTecnicos[area],tblAsignaciones[[#This Row],[area]],tblTecnicos[activo],"sí")</f>
        <v/>
      </c>
      <c r="G2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4" t="n"/>
      <c r="J2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5">
        <f>_xlfn.XLOOKUP(tblAsignaciones[[#This Row],[tecnico]],tblTecnicos[nombre],tblTecnicos[supervisor],"")</f>
        <v/>
      </c>
      <c r="L20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5">
        <f>tblAsignaciones[[#This Row],[semana]]&amp;"|"&amp;tblAsignaciones[[#This Row],[dia]]&amp;"|"&amp;tblAsignaciones[[#This Row],[tecnico]]</f>
        <v/>
      </c>
      <c r="O205" s="5">
        <f>_xlfn.XLOOKUP(tblAsignaciones[[#This Row],[turno]],tblTurnos[turno],tblTurnos[hora_inicio],"")</f>
        <v/>
      </c>
      <c r="P205" s="5">
        <f>_xlfn.XLOOKUP(tblAsignaciones[[#This Row],[turno]],tblTurnos[turno],tblTurnos[hora_fin],"")</f>
        <v/>
      </c>
      <c r="Q205" s="5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5">
        <f>_xlfn.XLOOKUP(tblAsignaciones[[#This Row],[tecnico]],tblTecnicos[nombre],tblTecnicos[area],"")</f>
        <v/>
      </c>
      <c r="E206" s="5">
        <f>_xlfn.XLOOKUP(tblAsignaciones[[#This Row],[tecnico]],tblTecnicos[nombre],tblTecnicos[especialidad],"")</f>
        <v/>
      </c>
      <c r="F206" s="5">
        <f>COUNTIFS(tblTecnicos[rotativo],"sí",tblTecnicos[especialidad],tblAsignaciones[[#This Row],[especialidad]],tblTecnicos[area],tblAsignaciones[[#This Row],[area]],tblTecnicos[activo],"sí")</f>
        <v/>
      </c>
      <c r="G2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4" t="n"/>
      <c r="J2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5">
        <f>_xlfn.XLOOKUP(tblAsignaciones[[#This Row],[tecnico]],tblTecnicos[nombre],tblTecnicos[supervisor],"")</f>
        <v/>
      </c>
      <c r="L20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5">
        <f>tblAsignaciones[[#This Row],[semana]]&amp;"|"&amp;tblAsignaciones[[#This Row],[dia]]&amp;"|"&amp;tblAsignaciones[[#This Row],[tecnico]]</f>
        <v/>
      </c>
      <c r="O206" s="5">
        <f>_xlfn.XLOOKUP(tblAsignaciones[[#This Row],[turno]],tblTurnos[turno],tblTurnos[hora_inicio],"")</f>
        <v/>
      </c>
      <c r="P206" s="5">
        <f>_xlfn.XLOOKUP(tblAsignaciones[[#This Row],[turno]],tblTurnos[turno],tblTurnos[hora_fin],"")</f>
        <v/>
      </c>
      <c r="Q206" s="5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5">
        <f>_xlfn.XLOOKUP(tblAsignaciones[[#This Row],[tecnico]],tblTecnicos[nombre],tblTecnicos[area],"")</f>
        <v/>
      </c>
      <c r="E207" s="5">
        <f>_xlfn.XLOOKUP(tblAsignaciones[[#This Row],[tecnico]],tblTecnicos[nombre],tblTecnicos[especialidad],"")</f>
        <v/>
      </c>
      <c r="F207" s="5">
        <f>COUNTIFS(tblTecnicos[rotativo],"sí",tblTecnicos[especialidad],tblAsignaciones[[#This Row],[especialidad]],tblTecnicos[area],tblAsignaciones[[#This Row],[area]],tblTecnicos[activo],"sí")</f>
        <v/>
      </c>
      <c r="G2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4" t="n"/>
      <c r="J2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5">
        <f>_xlfn.XLOOKUP(tblAsignaciones[[#This Row],[tecnico]],tblTecnicos[nombre],tblTecnicos[supervisor],"")</f>
        <v/>
      </c>
      <c r="L20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5">
        <f>tblAsignaciones[[#This Row],[semana]]&amp;"|"&amp;tblAsignaciones[[#This Row],[dia]]&amp;"|"&amp;tblAsignaciones[[#This Row],[tecnico]]</f>
        <v/>
      </c>
      <c r="O207" s="5">
        <f>_xlfn.XLOOKUP(tblAsignaciones[[#This Row],[turno]],tblTurnos[turno],tblTurnos[hora_inicio],"")</f>
        <v/>
      </c>
      <c r="P207" s="5">
        <f>_xlfn.XLOOKUP(tblAsignaciones[[#This Row],[turno]],tblTurnos[turno],tblTurnos[hora_fin],"")</f>
        <v/>
      </c>
      <c r="Q207" s="5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5">
        <f>_xlfn.XLOOKUP(tblAsignaciones[[#This Row],[tecnico]],tblTecnicos[nombre],tblTecnicos[area],"")</f>
        <v/>
      </c>
      <c r="E208" s="5">
        <f>_xlfn.XLOOKUP(tblAsignaciones[[#This Row],[tecnico]],tblTecnicos[nombre],tblTecnicos[especialidad],"")</f>
        <v/>
      </c>
      <c r="F208" s="5">
        <f>COUNTIFS(tblTecnicos[rotativo],"sí",tblTecnicos[especialidad],tblAsignaciones[[#This Row],[especialidad]],tblTecnicos[area],tblAsignaciones[[#This Row],[area]],tblTecnicos[activo],"sí")</f>
        <v/>
      </c>
      <c r="G2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4" t="n"/>
      <c r="J2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5">
        <f>_xlfn.XLOOKUP(tblAsignaciones[[#This Row],[tecnico]],tblTecnicos[nombre],tblTecnicos[supervisor],"")</f>
        <v/>
      </c>
      <c r="L20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5">
        <f>tblAsignaciones[[#This Row],[semana]]&amp;"|"&amp;tblAsignaciones[[#This Row],[dia]]&amp;"|"&amp;tblAsignaciones[[#This Row],[tecnico]]</f>
        <v/>
      </c>
      <c r="O208" s="5">
        <f>_xlfn.XLOOKUP(tblAsignaciones[[#This Row],[turno]],tblTurnos[turno],tblTurnos[hora_inicio],"")</f>
        <v/>
      </c>
      <c r="P208" s="5">
        <f>_xlfn.XLOOKUP(tblAsignaciones[[#This Row],[turno]],tblTurnos[turno],tblTurnos[hora_fin],"")</f>
        <v/>
      </c>
      <c r="Q208" s="5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5">
        <f>_xlfn.XLOOKUP(tblAsignaciones[[#This Row],[tecnico]],tblTecnicos[nombre],tblTecnicos[area],"")</f>
        <v/>
      </c>
      <c r="E209" s="5">
        <f>_xlfn.XLOOKUP(tblAsignaciones[[#This Row],[tecnico]],tblTecnicos[nombre],tblTecnicos[especialidad],"")</f>
        <v/>
      </c>
      <c r="F209" s="5">
        <f>COUNTIFS(tblTecnicos[rotativo],"sí",tblTecnicos[especialidad],tblAsignaciones[[#This Row],[especialidad]],tblTecnicos[area],tblAsignaciones[[#This Row],[area]],tblTecnicos[activo],"sí")</f>
        <v/>
      </c>
      <c r="G2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4" t="n"/>
      <c r="J2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5">
        <f>_xlfn.XLOOKUP(tblAsignaciones[[#This Row],[tecnico]],tblTecnicos[nombre],tblTecnicos[supervisor],"")</f>
        <v/>
      </c>
      <c r="L20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5">
        <f>tblAsignaciones[[#This Row],[semana]]&amp;"|"&amp;tblAsignaciones[[#This Row],[dia]]&amp;"|"&amp;tblAsignaciones[[#This Row],[tecnico]]</f>
        <v/>
      </c>
      <c r="O209" s="5">
        <f>_xlfn.XLOOKUP(tblAsignaciones[[#This Row],[turno]],tblTurnos[turno],tblTurnos[hora_inicio],"")</f>
        <v/>
      </c>
      <c r="P209" s="5">
        <f>_xlfn.XLOOKUP(tblAsignaciones[[#This Row],[turno]],tblTurnos[turno],tblTurnos[hora_fin],"")</f>
        <v/>
      </c>
      <c r="Q209" s="5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5">
        <f>_xlfn.XLOOKUP(tblAsignaciones[[#This Row],[tecnico]],tblTecnicos[nombre],tblTecnicos[area],"")</f>
        <v/>
      </c>
      <c r="E210" s="5">
        <f>_xlfn.XLOOKUP(tblAsignaciones[[#This Row],[tecnico]],tblTecnicos[nombre],tblTecnicos[especialidad],"")</f>
        <v/>
      </c>
      <c r="F210" s="5">
        <f>COUNTIFS(tblTecnicos[rotativo],"sí",tblTecnicos[especialidad],tblAsignaciones[[#This Row],[especialidad]],tblTecnicos[area],tblAsignaciones[[#This Row],[area]],tblTecnicos[activo],"sí")</f>
        <v/>
      </c>
      <c r="G2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4" t="n"/>
      <c r="J2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5">
        <f>_xlfn.XLOOKUP(tblAsignaciones[[#This Row],[tecnico]],tblTecnicos[nombre],tblTecnicos[supervisor],"")</f>
        <v/>
      </c>
      <c r="L21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5">
        <f>tblAsignaciones[[#This Row],[semana]]&amp;"|"&amp;tblAsignaciones[[#This Row],[dia]]&amp;"|"&amp;tblAsignaciones[[#This Row],[tecnico]]</f>
        <v/>
      </c>
      <c r="O210" s="5">
        <f>_xlfn.XLOOKUP(tblAsignaciones[[#This Row],[turno]],tblTurnos[turno],tblTurnos[hora_inicio],"")</f>
        <v/>
      </c>
      <c r="P210" s="5">
        <f>_xlfn.XLOOKUP(tblAsignaciones[[#This Row],[turno]],tblTurnos[turno],tblTurnos[hora_fin],"")</f>
        <v/>
      </c>
      <c r="Q210" s="5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5">
        <f>_xlfn.XLOOKUP(tblAsignaciones[[#This Row],[tecnico]],tblTecnicos[nombre],tblTecnicos[area],"")</f>
        <v/>
      </c>
      <c r="E211" s="5">
        <f>_xlfn.XLOOKUP(tblAsignaciones[[#This Row],[tecnico]],tblTecnicos[nombre],tblTecnicos[especialidad],"")</f>
        <v/>
      </c>
      <c r="F211" s="5">
        <f>COUNTIFS(tblTecnicos[rotativo],"sí",tblTecnicos[especialidad],tblAsignaciones[[#This Row],[especialidad]],tblTecnicos[area],tblAsignaciones[[#This Row],[area]],tblTecnicos[activo],"sí")</f>
        <v/>
      </c>
      <c r="G2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4" t="n"/>
      <c r="J2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5">
        <f>_xlfn.XLOOKUP(tblAsignaciones[[#This Row],[tecnico]],tblTecnicos[nombre],tblTecnicos[supervisor],"")</f>
        <v/>
      </c>
      <c r="L21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5">
        <f>tblAsignaciones[[#This Row],[semana]]&amp;"|"&amp;tblAsignaciones[[#This Row],[dia]]&amp;"|"&amp;tblAsignaciones[[#This Row],[tecnico]]</f>
        <v/>
      </c>
      <c r="O211" s="5">
        <f>_xlfn.XLOOKUP(tblAsignaciones[[#This Row],[turno]],tblTurnos[turno],tblTurnos[hora_inicio],"")</f>
        <v/>
      </c>
      <c r="P211" s="5">
        <f>_xlfn.XLOOKUP(tblAsignaciones[[#This Row],[turno]],tblTurnos[turno],tblTurnos[hora_fin],"")</f>
        <v/>
      </c>
      <c r="Q211" s="5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5">
        <f>_xlfn.XLOOKUP(tblAsignaciones[[#This Row],[tecnico]],tblTecnicos[nombre],tblTecnicos[area],"")</f>
        <v/>
      </c>
      <c r="E212" s="5">
        <f>_xlfn.XLOOKUP(tblAsignaciones[[#This Row],[tecnico]],tblTecnicos[nombre],tblTecnicos[especialidad],"")</f>
        <v/>
      </c>
      <c r="F212" s="5">
        <f>COUNTIFS(tblTecnicos[rotativo],"sí",tblTecnicos[especialidad],tblAsignaciones[[#This Row],[especialidad]],tblTecnicos[area],tblAsignaciones[[#This Row],[area]],tblTecnicos[activo],"sí")</f>
        <v/>
      </c>
      <c r="G2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4" t="n"/>
      <c r="J2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5">
        <f>_xlfn.XLOOKUP(tblAsignaciones[[#This Row],[tecnico]],tblTecnicos[nombre],tblTecnicos[supervisor],"")</f>
        <v/>
      </c>
      <c r="L21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5">
        <f>tblAsignaciones[[#This Row],[semana]]&amp;"|"&amp;tblAsignaciones[[#This Row],[dia]]&amp;"|"&amp;tblAsignaciones[[#This Row],[tecnico]]</f>
        <v/>
      </c>
      <c r="O212" s="5">
        <f>_xlfn.XLOOKUP(tblAsignaciones[[#This Row],[turno]],tblTurnos[turno],tblTurnos[hora_inicio],"")</f>
        <v/>
      </c>
      <c r="P212" s="5">
        <f>_xlfn.XLOOKUP(tblAsignaciones[[#This Row],[turno]],tblTurnos[turno],tblTurnos[hora_fin],"")</f>
        <v/>
      </c>
      <c r="Q212" s="5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5">
        <f>_xlfn.XLOOKUP(tblAsignaciones[[#This Row],[tecnico]],tblTecnicos[nombre],tblTecnicos[area],"")</f>
        <v/>
      </c>
      <c r="E213" s="5">
        <f>_xlfn.XLOOKUP(tblAsignaciones[[#This Row],[tecnico]],tblTecnicos[nombre],tblTecnicos[especialidad],"")</f>
        <v/>
      </c>
      <c r="F213" s="5">
        <f>COUNTIFS(tblTecnicos[rotativo],"sí",tblTecnicos[especialidad],tblAsignaciones[[#This Row],[especialidad]],tblTecnicos[area],tblAsignaciones[[#This Row],[area]],tblTecnicos[activo],"sí")</f>
        <v/>
      </c>
      <c r="G2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4" t="n"/>
      <c r="J2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5">
        <f>_xlfn.XLOOKUP(tblAsignaciones[[#This Row],[tecnico]],tblTecnicos[nombre],tblTecnicos[supervisor],"")</f>
        <v/>
      </c>
      <c r="L21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5">
        <f>tblAsignaciones[[#This Row],[semana]]&amp;"|"&amp;tblAsignaciones[[#This Row],[dia]]&amp;"|"&amp;tblAsignaciones[[#This Row],[tecnico]]</f>
        <v/>
      </c>
      <c r="O213" s="5">
        <f>_xlfn.XLOOKUP(tblAsignaciones[[#This Row],[turno]],tblTurnos[turno],tblTurnos[hora_inicio],"")</f>
        <v/>
      </c>
      <c r="P213" s="5">
        <f>_xlfn.XLOOKUP(tblAsignaciones[[#This Row],[turno]],tblTurnos[turno],tblTurnos[hora_fin],"")</f>
        <v/>
      </c>
      <c r="Q213" s="5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5">
        <f>_xlfn.XLOOKUP(tblAsignaciones[[#This Row],[tecnico]],tblTecnicos[nombre],tblTecnicos[area],"")</f>
        <v/>
      </c>
      <c r="E214" s="5">
        <f>_xlfn.XLOOKUP(tblAsignaciones[[#This Row],[tecnico]],tblTecnicos[nombre],tblTecnicos[especialidad],"")</f>
        <v/>
      </c>
      <c r="F214" s="5">
        <f>COUNTIFS(tblTecnicos[rotativo],"sí",tblTecnicos[especialidad],tblAsignaciones[[#This Row],[especialidad]],tblTecnicos[area],tblAsignaciones[[#This Row],[area]],tblTecnicos[activo],"sí")</f>
        <v/>
      </c>
      <c r="G2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4" t="n"/>
      <c r="J2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5">
        <f>_xlfn.XLOOKUP(tblAsignaciones[[#This Row],[tecnico]],tblTecnicos[nombre],tblTecnicos[supervisor],"")</f>
        <v/>
      </c>
      <c r="L21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5">
        <f>tblAsignaciones[[#This Row],[semana]]&amp;"|"&amp;tblAsignaciones[[#This Row],[dia]]&amp;"|"&amp;tblAsignaciones[[#This Row],[tecnico]]</f>
        <v/>
      </c>
      <c r="O214" s="5">
        <f>_xlfn.XLOOKUP(tblAsignaciones[[#This Row],[turno]],tblTurnos[turno],tblTurnos[hora_inicio],"")</f>
        <v/>
      </c>
      <c r="P214" s="5">
        <f>_xlfn.XLOOKUP(tblAsignaciones[[#This Row],[turno]],tblTurnos[turno],tblTurnos[hora_fin],"")</f>
        <v/>
      </c>
      <c r="Q214" s="5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5">
        <f>_xlfn.XLOOKUP(tblAsignaciones[[#This Row],[tecnico]],tblTecnicos[nombre],tblTecnicos[area],"")</f>
        <v/>
      </c>
      <c r="E215" s="5">
        <f>_xlfn.XLOOKUP(tblAsignaciones[[#This Row],[tecnico]],tblTecnicos[nombre],tblTecnicos[especialidad],"")</f>
        <v/>
      </c>
      <c r="F215" s="5">
        <f>COUNTIFS(tblTecnicos[rotativo],"sí",tblTecnicos[especialidad],tblAsignaciones[[#This Row],[especialidad]],tblTecnicos[area],tblAsignaciones[[#This Row],[area]],tblTecnicos[activo],"sí")</f>
        <v/>
      </c>
      <c r="G2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4" t="n"/>
      <c r="J2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5">
        <f>_xlfn.XLOOKUP(tblAsignaciones[[#This Row],[tecnico]],tblTecnicos[nombre],tblTecnicos[supervisor],"")</f>
        <v/>
      </c>
      <c r="L21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5">
        <f>tblAsignaciones[[#This Row],[semana]]&amp;"|"&amp;tblAsignaciones[[#This Row],[dia]]&amp;"|"&amp;tblAsignaciones[[#This Row],[tecnico]]</f>
        <v/>
      </c>
      <c r="O215" s="5">
        <f>_xlfn.XLOOKUP(tblAsignaciones[[#This Row],[turno]],tblTurnos[turno],tblTurnos[hora_inicio],"")</f>
        <v/>
      </c>
      <c r="P215" s="5">
        <f>_xlfn.XLOOKUP(tblAsignaciones[[#This Row],[turno]],tblTurnos[turno],tblTurnos[hora_fin],"")</f>
        <v/>
      </c>
      <c r="Q215" s="5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5">
        <f>_xlfn.XLOOKUP(tblAsignaciones[[#This Row],[tecnico]],tblTecnicos[nombre],tblTecnicos[area],"")</f>
        <v/>
      </c>
      <c r="E216" s="5">
        <f>_xlfn.XLOOKUP(tblAsignaciones[[#This Row],[tecnico]],tblTecnicos[nombre],tblTecnicos[especialidad],"")</f>
        <v/>
      </c>
      <c r="F216" s="5">
        <f>COUNTIFS(tblTecnicos[rotativo],"sí",tblTecnicos[especialidad],tblAsignaciones[[#This Row],[especialidad]],tblTecnicos[area],tblAsignaciones[[#This Row],[area]],tblTecnicos[activo],"sí")</f>
        <v/>
      </c>
      <c r="G2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4" t="n"/>
      <c r="J2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5">
        <f>_xlfn.XLOOKUP(tblAsignaciones[[#This Row],[tecnico]],tblTecnicos[nombre],tblTecnicos[supervisor],"")</f>
        <v/>
      </c>
      <c r="L21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5">
        <f>tblAsignaciones[[#This Row],[semana]]&amp;"|"&amp;tblAsignaciones[[#This Row],[dia]]&amp;"|"&amp;tblAsignaciones[[#This Row],[tecnico]]</f>
        <v/>
      </c>
      <c r="O216" s="5">
        <f>_xlfn.XLOOKUP(tblAsignaciones[[#This Row],[turno]],tblTurnos[turno],tblTurnos[hora_inicio],"")</f>
        <v/>
      </c>
      <c r="P216" s="5">
        <f>_xlfn.XLOOKUP(tblAsignaciones[[#This Row],[turno]],tblTurnos[turno],tblTurnos[hora_fin],"")</f>
        <v/>
      </c>
      <c r="Q216" s="5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5">
        <f>_xlfn.XLOOKUP(tblAsignaciones[[#This Row],[tecnico]],tblTecnicos[nombre],tblTecnicos[area],"")</f>
        <v/>
      </c>
      <c r="E217" s="5">
        <f>_xlfn.XLOOKUP(tblAsignaciones[[#This Row],[tecnico]],tblTecnicos[nombre],tblTecnicos[especialidad],"")</f>
        <v/>
      </c>
      <c r="F217" s="5">
        <f>COUNTIFS(tblTecnicos[rotativo],"sí",tblTecnicos[especialidad],tblAsignaciones[[#This Row],[especialidad]],tblTecnicos[area],tblAsignaciones[[#This Row],[area]],tblTecnicos[activo],"sí")</f>
        <v/>
      </c>
      <c r="G2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4" t="n"/>
      <c r="J2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5">
        <f>_xlfn.XLOOKUP(tblAsignaciones[[#This Row],[tecnico]],tblTecnicos[nombre],tblTecnicos[supervisor],"")</f>
        <v/>
      </c>
      <c r="L21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5">
        <f>tblAsignaciones[[#This Row],[semana]]&amp;"|"&amp;tblAsignaciones[[#This Row],[dia]]&amp;"|"&amp;tblAsignaciones[[#This Row],[tecnico]]</f>
        <v/>
      </c>
      <c r="O217" s="5">
        <f>_xlfn.XLOOKUP(tblAsignaciones[[#This Row],[turno]],tblTurnos[turno],tblTurnos[hora_inicio],"")</f>
        <v/>
      </c>
      <c r="P217" s="5">
        <f>_xlfn.XLOOKUP(tblAsignaciones[[#This Row],[turno]],tblTurnos[turno],tblTurnos[hora_fin],"")</f>
        <v/>
      </c>
      <c r="Q217" s="5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5">
        <f>_xlfn.XLOOKUP(tblAsignaciones[[#This Row],[tecnico]],tblTecnicos[nombre],tblTecnicos[area],"")</f>
        <v/>
      </c>
      <c r="E218" s="5">
        <f>_xlfn.XLOOKUP(tblAsignaciones[[#This Row],[tecnico]],tblTecnicos[nombre],tblTecnicos[especialidad],"")</f>
        <v/>
      </c>
      <c r="F218" s="5">
        <f>COUNTIFS(tblTecnicos[rotativo],"sí",tblTecnicos[especialidad],tblAsignaciones[[#This Row],[especialidad]],tblTecnicos[area],tblAsignaciones[[#This Row],[area]],tblTecnicos[activo],"sí")</f>
        <v/>
      </c>
      <c r="G2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4" t="n"/>
      <c r="J2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5">
        <f>_xlfn.XLOOKUP(tblAsignaciones[[#This Row],[tecnico]],tblTecnicos[nombre],tblTecnicos[supervisor],"")</f>
        <v/>
      </c>
      <c r="L21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5">
        <f>tblAsignaciones[[#This Row],[semana]]&amp;"|"&amp;tblAsignaciones[[#This Row],[dia]]&amp;"|"&amp;tblAsignaciones[[#This Row],[tecnico]]</f>
        <v/>
      </c>
      <c r="O218" s="5">
        <f>_xlfn.XLOOKUP(tblAsignaciones[[#This Row],[turno]],tblTurnos[turno],tblTurnos[hora_inicio],"")</f>
        <v/>
      </c>
      <c r="P218" s="5">
        <f>_xlfn.XLOOKUP(tblAsignaciones[[#This Row],[turno]],tblTurnos[turno],tblTurnos[hora_fin],"")</f>
        <v/>
      </c>
      <c r="Q218" s="5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5">
        <f>_xlfn.XLOOKUP(tblAsignaciones[[#This Row],[tecnico]],tblTecnicos[nombre],tblTecnicos[area],"")</f>
        <v/>
      </c>
      <c r="E219" s="5">
        <f>_xlfn.XLOOKUP(tblAsignaciones[[#This Row],[tecnico]],tblTecnicos[nombre],tblTecnicos[especialidad],"")</f>
        <v/>
      </c>
      <c r="F219" s="5">
        <f>COUNTIFS(tblTecnicos[rotativo],"sí",tblTecnicos[especialidad],tblAsignaciones[[#This Row],[especialidad]],tblTecnicos[area],tblAsignaciones[[#This Row],[area]],tblTecnicos[activo],"sí")</f>
        <v/>
      </c>
      <c r="G2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4" t="n"/>
      <c r="J2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5">
        <f>_xlfn.XLOOKUP(tblAsignaciones[[#This Row],[tecnico]],tblTecnicos[nombre],tblTecnicos[supervisor],"")</f>
        <v/>
      </c>
      <c r="L21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5">
        <f>tblAsignaciones[[#This Row],[semana]]&amp;"|"&amp;tblAsignaciones[[#This Row],[dia]]&amp;"|"&amp;tblAsignaciones[[#This Row],[tecnico]]</f>
        <v/>
      </c>
      <c r="O219" s="5">
        <f>_xlfn.XLOOKUP(tblAsignaciones[[#This Row],[turno]],tblTurnos[turno],tblTurnos[hora_inicio],"")</f>
        <v/>
      </c>
      <c r="P219" s="5">
        <f>_xlfn.XLOOKUP(tblAsignaciones[[#This Row],[turno]],tblTurnos[turno],tblTurnos[hora_fin],"")</f>
        <v/>
      </c>
      <c r="Q219" s="5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5">
        <f>_xlfn.XLOOKUP(tblAsignaciones[[#This Row],[tecnico]],tblTecnicos[nombre],tblTecnicos[area],"")</f>
        <v/>
      </c>
      <c r="E220" s="5">
        <f>_xlfn.XLOOKUP(tblAsignaciones[[#This Row],[tecnico]],tblTecnicos[nombre],tblTecnicos[especialidad],"")</f>
        <v/>
      </c>
      <c r="F220" s="5">
        <f>COUNTIFS(tblTecnicos[rotativo],"sí",tblTecnicos[especialidad],tblAsignaciones[[#This Row],[especialidad]],tblTecnicos[area],tblAsignaciones[[#This Row],[area]],tblTecnicos[activo],"sí")</f>
        <v/>
      </c>
      <c r="G2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4" t="n"/>
      <c r="J2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5">
        <f>_xlfn.XLOOKUP(tblAsignaciones[[#This Row],[tecnico]],tblTecnicos[nombre],tblTecnicos[supervisor],"")</f>
        <v/>
      </c>
      <c r="L22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5">
        <f>tblAsignaciones[[#This Row],[semana]]&amp;"|"&amp;tblAsignaciones[[#This Row],[dia]]&amp;"|"&amp;tblAsignaciones[[#This Row],[tecnico]]</f>
        <v/>
      </c>
      <c r="O220" s="5">
        <f>_xlfn.XLOOKUP(tblAsignaciones[[#This Row],[turno]],tblTurnos[turno],tblTurnos[hora_inicio],"")</f>
        <v/>
      </c>
      <c r="P220" s="5">
        <f>_xlfn.XLOOKUP(tblAsignaciones[[#This Row],[turno]],tblTurnos[turno],tblTurnos[hora_fin],"")</f>
        <v/>
      </c>
      <c r="Q220" s="5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5">
        <f>_xlfn.XLOOKUP(tblAsignaciones[[#This Row],[tecnico]],tblTecnicos[nombre],tblTecnicos[area],"")</f>
        <v/>
      </c>
      <c r="E221" s="5">
        <f>_xlfn.XLOOKUP(tblAsignaciones[[#This Row],[tecnico]],tblTecnicos[nombre],tblTecnicos[especialidad],"")</f>
        <v/>
      </c>
      <c r="F221" s="5">
        <f>COUNTIFS(tblTecnicos[rotativo],"sí",tblTecnicos[especialidad],tblAsignaciones[[#This Row],[especialidad]],tblTecnicos[area],tblAsignaciones[[#This Row],[area]],tblTecnicos[activo],"sí")</f>
        <v/>
      </c>
      <c r="G2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4" t="n"/>
      <c r="J2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5">
        <f>_xlfn.XLOOKUP(tblAsignaciones[[#This Row],[tecnico]],tblTecnicos[nombre],tblTecnicos[supervisor],"")</f>
        <v/>
      </c>
      <c r="L22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5">
        <f>tblAsignaciones[[#This Row],[semana]]&amp;"|"&amp;tblAsignaciones[[#This Row],[dia]]&amp;"|"&amp;tblAsignaciones[[#This Row],[tecnico]]</f>
        <v/>
      </c>
      <c r="O221" s="5">
        <f>_xlfn.XLOOKUP(tblAsignaciones[[#This Row],[turno]],tblTurnos[turno],tblTurnos[hora_inicio],"")</f>
        <v/>
      </c>
      <c r="P221" s="5">
        <f>_xlfn.XLOOKUP(tblAsignaciones[[#This Row],[turno]],tblTurnos[turno],tblTurnos[hora_fin],"")</f>
        <v/>
      </c>
      <c r="Q221" s="5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5">
        <f>_xlfn.XLOOKUP(tblAsignaciones[[#This Row],[tecnico]],tblTecnicos[nombre],tblTecnicos[area],"")</f>
        <v/>
      </c>
      <c r="E222" s="5">
        <f>_xlfn.XLOOKUP(tblAsignaciones[[#This Row],[tecnico]],tblTecnicos[nombre],tblTecnicos[especialidad],"")</f>
        <v/>
      </c>
      <c r="F222" s="5">
        <f>COUNTIFS(tblTecnicos[rotativo],"sí",tblTecnicos[especialidad],tblAsignaciones[[#This Row],[especialidad]],tblTecnicos[area],tblAsignaciones[[#This Row],[area]],tblTecnicos[activo],"sí")</f>
        <v/>
      </c>
      <c r="G2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4" t="n"/>
      <c r="J2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5">
        <f>_xlfn.XLOOKUP(tblAsignaciones[[#This Row],[tecnico]],tblTecnicos[nombre],tblTecnicos[supervisor],"")</f>
        <v/>
      </c>
      <c r="L22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5">
        <f>tblAsignaciones[[#This Row],[semana]]&amp;"|"&amp;tblAsignaciones[[#This Row],[dia]]&amp;"|"&amp;tblAsignaciones[[#This Row],[tecnico]]</f>
        <v/>
      </c>
      <c r="O222" s="5">
        <f>_xlfn.XLOOKUP(tblAsignaciones[[#This Row],[turno]],tblTurnos[turno],tblTurnos[hora_inicio],"")</f>
        <v/>
      </c>
      <c r="P222" s="5">
        <f>_xlfn.XLOOKUP(tblAsignaciones[[#This Row],[turno]],tblTurnos[turno],tblTurnos[hora_fin],"")</f>
        <v/>
      </c>
      <c r="Q222" s="5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5">
        <f>_xlfn.XLOOKUP(tblAsignaciones[[#This Row],[tecnico]],tblTecnicos[nombre],tblTecnicos[area],"")</f>
        <v/>
      </c>
      <c r="E223" s="5">
        <f>_xlfn.XLOOKUP(tblAsignaciones[[#This Row],[tecnico]],tblTecnicos[nombre],tblTecnicos[especialidad],"")</f>
        <v/>
      </c>
      <c r="F223" s="5">
        <f>COUNTIFS(tblTecnicos[rotativo],"sí",tblTecnicos[especialidad],tblAsignaciones[[#This Row],[especialidad]],tblTecnicos[area],tblAsignaciones[[#This Row],[area]],tblTecnicos[activo],"sí")</f>
        <v/>
      </c>
      <c r="G2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4" t="n"/>
      <c r="J2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5">
        <f>_xlfn.XLOOKUP(tblAsignaciones[[#This Row],[tecnico]],tblTecnicos[nombre],tblTecnicos[supervisor],"")</f>
        <v/>
      </c>
      <c r="L22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5">
        <f>tblAsignaciones[[#This Row],[semana]]&amp;"|"&amp;tblAsignaciones[[#This Row],[dia]]&amp;"|"&amp;tblAsignaciones[[#This Row],[tecnico]]</f>
        <v/>
      </c>
      <c r="O223" s="5">
        <f>_xlfn.XLOOKUP(tblAsignaciones[[#This Row],[turno]],tblTurnos[turno],tblTurnos[hora_inicio],"")</f>
        <v/>
      </c>
      <c r="P223" s="5">
        <f>_xlfn.XLOOKUP(tblAsignaciones[[#This Row],[turno]],tblTurnos[turno],tblTurnos[hora_fin],"")</f>
        <v/>
      </c>
      <c r="Q223" s="5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5">
        <f>_xlfn.XLOOKUP(tblAsignaciones[[#This Row],[tecnico]],tblTecnicos[nombre],tblTecnicos[area],"")</f>
        <v/>
      </c>
      <c r="E224" s="5">
        <f>_xlfn.XLOOKUP(tblAsignaciones[[#This Row],[tecnico]],tblTecnicos[nombre],tblTecnicos[especialidad],"")</f>
        <v/>
      </c>
      <c r="F224" s="5">
        <f>COUNTIFS(tblTecnicos[rotativo],"sí",tblTecnicos[especialidad],tblAsignaciones[[#This Row],[especialidad]],tblTecnicos[area],tblAsignaciones[[#This Row],[area]],tblTecnicos[activo],"sí")</f>
        <v/>
      </c>
      <c r="G2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4" t="n"/>
      <c r="J2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5">
        <f>_xlfn.XLOOKUP(tblAsignaciones[[#This Row],[tecnico]],tblTecnicos[nombre],tblTecnicos[supervisor],"")</f>
        <v/>
      </c>
      <c r="L22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5">
        <f>tblAsignaciones[[#This Row],[semana]]&amp;"|"&amp;tblAsignaciones[[#This Row],[dia]]&amp;"|"&amp;tblAsignaciones[[#This Row],[tecnico]]</f>
        <v/>
      </c>
      <c r="O224" s="5">
        <f>_xlfn.XLOOKUP(tblAsignaciones[[#This Row],[turno]],tblTurnos[turno],tblTurnos[hora_inicio],"")</f>
        <v/>
      </c>
      <c r="P224" s="5">
        <f>_xlfn.XLOOKUP(tblAsignaciones[[#This Row],[turno]],tblTurnos[turno],tblTurnos[hora_fin],"")</f>
        <v/>
      </c>
      <c r="Q224" s="5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5">
        <f>_xlfn.XLOOKUP(tblAsignaciones[[#This Row],[tecnico]],tblTecnicos[nombre],tblTecnicos[area],"")</f>
        <v/>
      </c>
      <c r="E225" s="5">
        <f>_xlfn.XLOOKUP(tblAsignaciones[[#This Row],[tecnico]],tblTecnicos[nombre],tblTecnicos[especialidad],"")</f>
        <v/>
      </c>
      <c r="F225" s="5">
        <f>COUNTIFS(tblTecnicos[rotativo],"sí",tblTecnicos[especialidad],tblAsignaciones[[#This Row],[especialidad]],tblTecnicos[area],tblAsignaciones[[#This Row],[area]],tblTecnicos[activo],"sí")</f>
        <v/>
      </c>
      <c r="G2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4" t="n"/>
      <c r="J2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5">
        <f>_xlfn.XLOOKUP(tblAsignaciones[[#This Row],[tecnico]],tblTecnicos[nombre],tblTecnicos[supervisor],"")</f>
        <v/>
      </c>
      <c r="L22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5">
        <f>tblAsignaciones[[#This Row],[semana]]&amp;"|"&amp;tblAsignaciones[[#This Row],[dia]]&amp;"|"&amp;tblAsignaciones[[#This Row],[tecnico]]</f>
        <v/>
      </c>
      <c r="O225" s="5">
        <f>_xlfn.XLOOKUP(tblAsignaciones[[#This Row],[turno]],tblTurnos[turno],tblTurnos[hora_inicio],"")</f>
        <v/>
      </c>
      <c r="P225" s="5">
        <f>_xlfn.XLOOKUP(tblAsignaciones[[#This Row],[turno]],tblTurnos[turno],tblTurnos[hora_fin],"")</f>
        <v/>
      </c>
      <c r="Q225" s="5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5">
        <f>_xlfn.XLOOKUP(tblAsignaciones[[#This Row],[tecnico]],tblTecnicos[nombre],tblTecnicos[area],"")</f>
        <v/>
      </c>
      <c r="E226" s="5">
        <f>_xlfn.XLOOKUP(tblAsignaciones[[#This Row],[tecnico]],tblTecnicos[nombre],tblTecnicos[especialidad],"")</f>
        <v/>
      </c>
      <c r="F226" s="5">
        <f>COUNTIFS(tblTecnicos[rotativo],"sí",tblTecnicos[especialidad],tblAsignaciones[[#This Row],[especialidad]],tblTecnicos[area],tblAsignaciones[[#This Row],[area]],tblTecnicos[activo],"sí")</f>
        <v/>
      </c>
      <c r="G2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4" t="n"/>
      <c r="J2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5">
        <f>_xlfn.XLOOKUP(tblAsignaciones[[#This Row],[tecnico]],tblTecnicos[nombre],tblTecnicos[supervisor],"")</f>
        <v/>
      </c>
      <c r="L22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5">
        <f>tblAsignaciones[[#This Row],[semana]]&amp;"|"&amp;tblAsignaciones[[#This Row],[dia]]&amp;"|"&amp;tblAsignaciones[[#This Row],[tecnico]]</f>
        <v/>
      </c>
      <c r="O226" s="5">
        <f>_xlfn.XLOOKUP(tblAsignaciones[[#This Row],[turno]],tblTurnos[turno],tblTurnos[hora_inicio],"")</f>
        <v/>
      </c>
      <c r="P226" s="5">
        <f>_xlfn.XLOOKUP(tblAsignaciones[[#This Row],[turno]],tblTurnos[turno],tblTurnos[hora_fin],"")</f>
        <v/>
      </c>
      <c r="Q226" s="5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5">
        <f>_xlfn.XLOOKUP(tblAsignaciones[[#This Row],[tecnico]],tblTecnicos[nombre],tblTecnicos[area],"")</f>
        <v/>
      </c>
      <c r="E227" s="5">
        <f>_xlfn.XLOOKUP(tblAsignaciones[[#This Row],[tecnico]],tblTecnicos[nombre],tblTecnicos[especialidad],"")</f>
        <v/>
      </c>
      <c r="F227" s="5">
        <f>COUNTIFS(tblTecnicos[rotativo],"sí",tblTecnicos[especialidad],tblAsignaciones[[#This Row],[especialidad]],tblTecnicos[area],tblAsignaciones[[#This Row],[area]],tblTecnicos[activo],"sí")</f>
        <v/>
      </c>
      <c r="G2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4" t="n"/>
      <c r="J2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5">
        <f>_xlfn.XLOOKUP(tblAsignaciones[[#This Row],[tecnico]],tblTecnicos[nombre],tblTecnicos[supervisor],"")</f>
        <v/>
      </c>
      <c r="L22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5">
        <f>tblAsignaciones[[#This Row],[semana]]&amp;"|"&amp;tblAsignaciones[[#This Row],[dia]]&amp;"|"&amp;tblAsignaciones[[#This Row],[tecnico]]</f>
        <v/>
      </c>
      <c r="O227" s="5">
        <f>_xlfn.XLOOKUP(tblAsignaciones[[#This Row],[turno]],tblTurnos[turno],tblTurnos[hora_inicio],"")</f>
        <v/>
      </c>
      <c r="P227" s="5">
        <f>_xlfn.XLOOKUP(tblAsignaciones[[#This Row],[turno]],tblTurnos[turno],tblTurnos[hora_fin],"")</f>
        <v/>
      </c>
      <c r="Q227" s="5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5">
        <f>_xlfn.XLOOKUP(tblAsignaciones[[#This Row],[tecnico]],tblTecnicos[nombre],tblTecnicos[area],"")</f>
        <v/>
      </c>
      <c r="E228" s="5">
        <f>_xlfn.XLOOKUP(tblAsignaciones[[#This Row],[tecnico]],tblTecnicos[nombre],tblTecnicos[especialidad],"")</f>
        <v/>
      </c>
      <c r="F228" s="5">
        <f>COUNTIFS(tblTecnicos[rotativo],"sí",tblTecnicos[especialidad],tblAsignaciones[[#This Row],[especialidad]],tblTecnicos[area],tblAsignaciones[[#This Row],[area]],tblTecnicos[activo],"sí")</f>
        <v/>
      </c>
      <c r="G2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4" t="n"/>
      <c r="J2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5">
        <f>_xlfn.XLOOKUP(tblAsignaciones[[#This Row],[tecnico]],tblTecnicos[nombre],tblTecnicos[supervisor],"")</f>
        <v/>
      </c>
      <c r="L22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5">
        <f>tblAsignaciones[[#This Row],[semana]]&amp;"|"&amp;tblAsignaciones[[#This Row],[dia]]&amp;"|"&amp;tblAsignaciones[[#This Row],[tecnico]]</f>
        <v/>
      </c>
      <c r="O228" s="5">
        <f>_xlfn.XLOOKUP(tblAsignaciones[[#This Row],[turno]],tblTurnos[turno],tblTurnos[hora_inicio],"")</f>
        <v/>
      </c>
      <c r="P228" s="5">
        <f>_xlfn.XLOOKUP(tblAsignaciones[[#This Row],[turno]],tblTurnos[turno],tblTurnos[hora_fin],"")</f>
        <v/>
      </c>
      <c r="Q228" s="5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5">
        <f>_xlfn.XLOOKUP(tblAsignaciones[[#This Row],[tecnico]],tblTecnicos[nombre],tblTecnicos[area],"")</f>
        <v/>
      </c>
      <c r="E229" s="5">
        <f>_xlfn.XLOOKUP(tblAsignaciones[[#This Row],[tecnico]],tblTecnicos[nombre],tblTecnicos[especialidad],"")</f>
        <v/>
      </c>
      <c r="F229" s="5">
        <f>COUNTIFS(tblTecnicos[rotativo],"sí",tblTecnicos[especialidad],tblAsignaciones[[#This Row],[especialidad]],tblTecnicos[area],tblAsignaciones[[#This Row],[area]],tblTecnicos[activo],"sí")</f>
        <v/>
      </c>
      <c r="G2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4" t="n"/>
      <c r="J2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5">
        <f>_xlfn.XLOOKUP(tblAsignaciones[[#This Row],[tecnico]],tblTecnicos[nombre],tblTecnicos[supervisor],"")</f>
        <v/>
      </c>
      <c r="L22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5">
        <f>tblAsignaciones[[#This Row],[semana]]&amp;"|"&amp;tblAsignaciones[[#This Row],[dia]]&amp;"|"&amp;tblAsignaciones[[#This Row],[tecnico]]</f>
        <v/>
      </c>
      <c r="O229" s="5">
        <f>_xlfn.XLOOKUP(tblAsignaciones[[#This Row],[turno]],tblTurnos[turno],tblTurnos[hora_inicio],"")</f>
        <v/>
      </c>
      <c r="P229" s="5">
        <f>_xlfn.XLOOKUP(tblAsignaciones[[#This Row],[turno]],tblTurnos[turno],tblTurnos[hora_fin],"")</f>
        <v/>
      </c>
      <c r="Q229" s="5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5">
        <f>_xlfn.XLOOKUP(tblAsignaciones[[#This Row],[tecnico]],tblTecnicos[nombre],tblTecnicos[area],"")</f>
        <v/>
      </c>
      <c r="E230" s="5">
        <f>_xlfn.XLOOKUP(tblAsignaciones[[#This Row],[tecnico]],tblTecnicos[nombre],tblTecnicos[especialidad],"")</f>
        <v/>
      </c>
      <c r="F230" s="5">
        <f>COUNTIFS(tblTecnicos[rotativo],"sí",tblTecnicos[especialidad],tblAsignaciones[[#This Row],[especialidad]],tblTecnicos[area],tblAsignaciones[[#This Row],[area]],tblTecnicos[activo],"sí")</f>
        <v/>
      </c>
      <c r="G2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4" t="n"/>
      <c r="J2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5">
        <f>_xlfn.XLOOKUP(tblAsignaciones[[#This Row],[tecnico]],tblTecnicos[nombre],tblTecnicos[supervisor],"")</f>
        <v/>
      </c>
      <c r="L23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5">
        <f>tblAsignaciones[[#This Row],[semana]]&amp;"|"&amp;tblAsignaciones[[#This Row],[dia]]&amp;"|"&amp;tblAsignaciones[[#This Row],[tecnico]]</f>
        <v/>
      </c>
      <c r="O230" s="5">
        <f>_xlfn.XLOOKUP(tblAsignaciones[[#This Row],[turno]],tblTurnos[turno],tblTurnos[hora_inicio],"")</f>
        <v/>
      </c>
      <c r="P230" s="5">
        <f>_xlfn.XLOOKUP(tblAsignaciones[[#This Row],[turno]],tblTurnos[turno],tblTurnos[hora_fin],"")</f>
        <v/>
      </c>
      <c r="Q230" s="5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5">
        <f>_xlfn.XLOOKUP(tblAsignaciones[[#This Row],[tecnico]],tblTecnicos[nombre],tblTecnicos[area],"")</f>
        <v/>
      </c>
      <c r="E231" s="5">
        <f>_xlfn.XLOOKUP(tblAsignaciones[[#This Row],[tecnico]],tblTecnicos[nombre],tblTecnicos[especialidad],"")</f>
        <v/>
      </c>
      <c r="F231" s="5">
        <f>COUNTIFS(tblTecnicos[rotativo],"sí",tblTecnicos[especialidad],tblAsignaciones[[#This Row],[especialidad]],tblTecnicos[area],tblAsignaciones[[#This Row],[area]],tblTecnicos[activo],"sí")</f>
        <v/>
      </c>
      <c r="G2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4" t="n"/>
      <c r="J2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5">
        <f>_xlfn.XLOOKUP(tblAsignaciones[[#This Row],[tecnico]],tblTecnicos[nombre],tblTecnicos[supervisor],"")</f>
        <v/>
      </c>
      <c r="L23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5">
        <f>tblAsignaciones[[#This Row],[semana]]&amp;"|"&amp;tblAsignaciones[[#This Row],[dia]]&amp;"|"&amp;tblAsignaciones[[#This Row],[tecnico]]</f>
        <v/>
      </c>
      <c r="O231" s="5">
        <f>_xlfn.XLOOKUP(tblAsignaciones[[#This Row],[turno]],tblTurnos[turno],tblTurnos[hora_inicio],"")</f>
        <v/>
      </c>
      <c r="P231" s="5">
        <f>_xlfn.XLOOKUP(tblAsignaciones[[#This Row],[turno]],tblTurnos[turno],tblTurnos[hora_fin],"")</f>
        <v/>
      </c>
      <c r="Q231" s="5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5">
        <f>_xlfn.XLOOKUP(tblAsignaciones[[#This Row],[tecnico]],tblTecnicos[nombre],tblTecnicos[area],"")</f>
        <v/>
      </c>
      <c r="E232" s="5">
        <f>_xlfn.XLOOKUP(tblAsignaciones[[#This Row],[tecnico]],tblTecnicos[nombre],tblTecnicos[especialidad],"")</f>
        <v/>
      </c>
      <c r="F232" s="5">
        <f>COUNTIFS(tblTecnicos[rotativo],"sí",tblTecnicos[especialidad],tblAsignaciones[[#This Row],[especialidad]],tblTecnicos[area],tblAsignaciones[[#This Row],[area]],tblTecnicos[activo],"sí")</f>
        <v/>
      </c>
      <c r="G2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4" t="n"/>
      <c r="J2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5">
        <f>_xlfn.XLOOKUP(tblAsignaciones[[#This Row],[tecnico]],tblTecnicos[nombre],tblTecnicos[supervisor],"")</f>
        <v/>
      </c>
      <c r="L23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5">
        <f>tblAsignaciones[[#This Row],[semana]]&amp;"|"&amp;tblAsignaciones[[#This Row],[dia]]&amp;"|"&amp;tblAsignaciones[[#This Row],[tecnico]]</f>
        <v/>
      </c>
      <c r="O232" s="5">
        <f>_xlfn.XLOOKUP(tblAsignaciones[[#This Row],[turno]],tblTurnos[turno],tblTurnos[hora_inicio],"")</f>
        <v/>
      </c>
      <c r="P232" s="5">
        <f>_xlfn.XLOOKUP(tblAsignaciones[[#This Row],[turno]],tblTurnos[turno],tblTurnos[hora_fin],"")</f>
        <v/>
      </c>
      <c r="Q232" s="5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5">
        <f>_xlfn.XLOOKUP(tblAsignaciones[[#This Row],[tecnico]],tblTecnicos[nombre],tblTecnicos[area],"")</f>
        <v/>
      </c>
      <c r="E233" s="5">
        <f>_xlfn.XLOOKUP(tblAsignaciones[[#This Row],[tecnico]],tblTecnicos[nombre],tblTecnicos[especialidad],"")</f>
        <v/>
      </c>
      <c r="F233" s="5">
        <f>COUNTIFS(tblTecnicos[rotativo],"sí",tblTecnicos[especialidad],tblAsignaciones[[#This Row],[especialidad]],tblTecnicos[area],tblAsignaciones[[#This Row],[area]],tblTecnicos[activo],"sí")</f>
        <v/>
      </c>
      <c r="G2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4" t="n"/>
      <c r="J2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5">
        <f>_xlfn.XLOOKUP(tblAsignaciones[[#This Row],[tecnico]],tblTecnicos[nombre],tblTecnicos[supervisor],"")</f>
        <v/>
      </c>
      <c r="L23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5">
        <f>tblAsignaciones[[#This Row],[semana]]&amp;"|"&amp;tblAsignaciones[[#This Row],[dia]]&amp;"|"&amp;tblAsignaciones[[#This Row],[tecnico]]</f>
        <v/>
      </c>
      <c r="O233" s="5">
        <f>_xlfn.XLOOKUP(tblAsignaciones[[#This Row],[turno]],tblTurnos[turno],tblTurnos[hora_inicio],"")</f>
        <v/>
      </c>
      <c r="P233" s="5">
        <f>_xlfn.XLOOKUP(tblAsignaciones[[#This Row],[turno]],tblTurnos[turno],tblTurnos[hora_fin],"")</f>
        <v/>
      </c>
      <c r="Q233" s="5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5">
        <f>_xlfn.XLOOKUP(tblAsignaciones[[#This Row],[tecnico]],tblTecnicos[nombre],tblTecnicos[area],"")</f>
        <v/>
      </c>
      <c r="E234" s="5">
        <f>_xlfn.XLOOKUP(tblAsignaciones[[#This Row],[tecnico]],tblTecnicos[nombre],tblTecnicos[especialidad],"")</f>
        <v/>
      </c>
      <c r="F234" s="5">
        <f>COUNTIFS(tblTecnicos[rotativo],"sí",tblTecnicos[especialidad],tblAsignaciones[[#This Row],[especialidad]],tblTecnicos[area],tblAsignaciones[[#This Row],[area]],tblTecnicos[activo],"sí")</f>
        <v/>
      </c>
      <c r="G2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4" t="n"/>
      <c r="J2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5">
        <f>_xlfn.XLOOKUP(tblAsignaciones[[#This Row],[tecnico]],tblTecnicos[nombre],tblTecnicos[supervisor],"")</f>
        <v/>
      </c>
      <c r="L23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5">
        <f>tblAsignaciones[[#This Row],[semana]]&amp;"|"&amp;tblAsignaciones[[#This Row],[dia]]&amp;"|"&amp;tblAsignaciones[[#This Row],[tecnico]]</f>
        <v/>
      </c>
      <c r="O234" s="5">
        <f>_xlfn.XLOOKUP(tblAsignaciones[[#This Row],[turno]],tblTurnos[turno],tblTurnos[hora_inicio],"")</f>
        <v/>
      </c>
      <c r="P234" s="5">
        <f>_xlfn.XLOOKUP(tblAsignaciones[[#This Row],[turno]],tblTurnos[turno],tblTurnos[hora_fin],"")</f>
        <v/>
      </c>
      <c r="Q234" s="5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5">
        <f>_xlfn.XLOOKUP(tblAsignaciones[[#This Row],[tecnico]],tblTecnicos[nombre],tblTecnicos[area],"")</f>
        <v/>
      </c>
      <c r="E235" s="5">
        <f>_xlfn.XLOOKUP(tblAsignaciones[[#This Row],[tecnico]],tblTecnicos[nombre],tblTecnicos[especialidad],"")</f>
        <v/>
      </c>
      <c r="F235" s="5">
        <f>COUNTIFS(tblTecnicos[rotativo],"sí",tblTecnicos[especialidad],tblAsignaciones[[#This Row],[especialidad]],tblTecnicos[area],tblAsignaciones[[#This Row],[area]],tblTecnicos[activo],"sí")</f>
        <v/>
      </c>
      <c r="G2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4" t="n"/>
      <c r="J2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5">
        <f>_xlfn.XLOOKUP(tblAsignaciones[[#This Row],[tecnico]],tblTecnicos[nombre],tblTecnicos[supervisor],"")</f>
        <v/>
      </c>
      <c r="L23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5">
        <f>tblAsignaciones[[#This Row],[semana]]&amp;"|"&amp;tblAsignaciones[[#This Row],[dia]]&amp;"|"&amp;tblAsignaciones[[#This Row],[tecnico]]</f>
        <v/>
      </c>
      <c r="O235" s="5">
        <f>_xlfn.XLOOKUP(tblAsignaciones[[#This Row],[turno]],tblTurnos[turno],tblTurnos[hora_inicio],"")</f>
        <v/>
      </c>
      <c r="P235" s="5">
        <f>_xlfn.XLOOKUP(tblAsignaciones[[#This Row],[turno]],tblTurnos[turno],tblTurnos[hora_fin],"")</f>
        <v/>
      </c>
      <c r="Q235" s="5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5">
        <f>_xlfn.XLOOKUP(tblAsignaciones[[#This Row],[tecnico]],tblTecnicos[nombre],tblTecnicos[area],"")</f>
        <v/>
      </c>
      <c r="E236" s="5">
        <f>_xlfn.XLOOKUP(tblAsignaciones[[#This Row],[tecnico]],tblTecnicos[nombre],tblTecnicos[especialidad],"")</f>
        <v/>
      </c>
      <c r="F236" s="5">
        <f>COUNTIFS(tblTecnicos[rotativo],"sí",tblTecnicos[especialidad],tblAsignaciones[[#This Row],[especialidad]],tblTecnicos[area],tblAsignaciones[[#This Row],[area]],tblTecnicos[activo],"sí")</f>
        <v/>
      </c>
      <c r="G2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4" t="n"/>
      <c r="J2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5">
        <f>_xlfn.XLOOKUP(tblAsignaciones[[#This Row],[tecnico]],tblTecnicos[nombre],tblTecnicos[supervisor],"")</f>
        <v/>
      </c>
      <c r="L23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5">
        <f>tblAsignaciones[[#This Row],[semana]]&amp;"|"&amp;tblAsignaciones[[#This Row],[dia]]&amp;"|"&amp;tblAsignaciones[[#This Row],[tecnico]]</f>
        <v/>
      </c>
      <c r="O236" s="5">
        <f>_xlfn.XLOOKUP(tblAsignaciones[[#This Row],[turno]],tblTurnos[turno],tblTurnos[hora_inicio],"")</f>
        <v/>
      </c>
      <c r="P236" s="5">
        <f>_xlfn.XLOOKUP(tblAsignaciones[[#This Row],[turno]],tblTurnos[turno],tblTurnos[hora_fin],"")</f>
        <v/>
      </c>
      <c r="Q236" s="5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5">
        <f>_xlfn.XLOOKUP(tblAsignaciones[[#This Row],[tecnico]],tblTecnicos[nombre],tblTecnicos[area],"")</f>
        <v/>
      </c>
      <c r="E237" s="5">
        <f>_xlfn.XLOOKUP(tblAsignaciones[[#This Row],[tecnico]],tblTecnicos[nombre],tblTecnicos[especialidad],"")</f>
        <v/>
      </c>
      <c r="F237" s="5">
        <f>COUNTIFS(tblTecnicos[rotativo],"sí",tblTecnicos[especialidad],tblAsignaciones[[#This Row],[especialidad]],tblTecnicos[area],tblAsignaciones[[#This Row],[area]],tblTecnicos[activo],"sí")</f>
        <v/>
      </c>
      <c r="G2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4" t="n"/>
      <c r="J2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5">
        <f>_xlfn.XLOOKUP(tblAsignaciones[[#This Row],[tecnico]],tblTecnicos[nombre],tblTecnicos[supervisor],"")</f>
        <v/>
      </c>
      <c r="L23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5">
        <f>tblAsignaciones[[#This Row],[semana]]&amp;"|"&amp;tblAsignaciones[[#This Row],[dia]]&amp;"|"&amp;tblAsignaciones[[#This Row],[tecnico]]</f>
        <v/>
      </c>
      <c r="O237" s="5">
        <f>_xlfn.XLOOKUP(tblAsignaciones[[#This Row],[turno]],tblTurnos[turno],tblTurnos[hora_inicio],"")</f>
        <v/>
      </c>
      <c r="P237" s="5">
        <f>_xlfn.XLOOKUP(tblAsignaciones[[#This Row],[turno]],tblTurnos[turno],tblTurnos[hora_fin],"")</f>
        <v/>
      </c>
      <c r="Q237" s="5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5">
        <f>_xlfn.XLOOKUP(tblAsignaciones[[#This Row],[tecnico]],tblTecnicos[nombre],tblTecnicos[area],"")</f>
        <v/>
      </c>
      <c r="E238" s="5">
        <f>_xlfn.XLOOKUP(tblAsignaciones[[#This Row],[tecnico]],tblTecnicos[nombre],tblTecnicos[especialidad],"")</f>
        <v/>
      </c>
      <c r="F238" s="5">
        <f>COUNTIFS(tblTecnicos[rotativo],"sí",tblTecnicos[especialidad],tblAsignaciones[[#This Row],[especialidad]],tblTecnicos[area],tblAsignaciones[[#This Row],[area]],tblTecnicos[activo],"sí")</f>
        <v/>
      </c>
      <c r="G2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4" t="n"/>
      <c r="J2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5">
        <f>_xlfn.XLOOKUP(tblAsignaciones[[#This Row],[tecnico]],tblTecnicos[nombre],tblTecnicos[supervisor],"")</f>
        <v/>
      </c>
      <c r="L23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5">
        <f>tblAsignaciones[[#This Row],[semana]]&amp;"|"&amp;tblAsignaciones[[#This Row],[dia]]&amp;"|"&amp;tblAsignaciones[[#This Row],[tecnico]]</f>
        <v/>
      </c>
      <c r="O238" s="5">
        <f>_xlfn.XLOOKUP(tblAsignaciones[[#This Row],[turno]],tblTurnos[turno],tblTurnos[hora_inicio],"")</f>
        <v/>
      </c>
      <c r="P238" s="5">
        <f>_xlfn.XLOOKUP(tblAsignaciones[[#This Row],[turno]],tblTurnos[turno],tblTurnos[hora_fin],"")</f>
        <v/>
      </c>
      <c r="Q238" s="5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5">
        <f>_xlfn.XLOOKUP(tblAsignaciones[[#This Row],[tecnico]],tblTecnicos[nombre],tblTecnicos[area],"")</f>
        <v/>
      </c>
      <c r="E239" s="5">
        <f>_xlfn.XLOOKUP(tblAsignaciones[[#This Row],[tecnico]],tblTecnicos[nombre],tblTecnicos[especialidad],"")</f>
        <v/>
      </c>
      <c r="F239" s="5">
        <f>COUNTIFS(tblTecnicos[rotativo],"sí",tblTecnicos[especialidad],tblAsignaciones[[#This Row],[especialidad]],tblTecnicos[area],tblAsignaciones[[#This Row],[area]],tblTecnicos[activo],"sí")</f>
        <v/>
      </c>
      <c r="G2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4" t="n"/>
      <c r="J2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5">
        <f>_xlfn.XLOOKUP(tblAsignaciones[[#This Row],[tecnico]],tblTecnicos[nombre],tblTecnicos[supervisor],"")</f>
        <v/>
      </c>
      <c r="L23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5">
        <f>tblAsignaciones[[#This Row],[semana]]&amp;"|"&amp;tblAsignaciones[[#This Row],[dia]]&amp;"|"&amp;tblAsignaciones[[#This Row],[tecnico]]</f>
        <v/>
      </c>
      <c r="O239" s="5">
        <f>_xlfn.XLOOKUP(tblAsignaciones[[#This Row],[turno]],tblTurnos[turno],tblTurnos[hora_inicio],"")</f>
        <v/>
      </c>
      <c r="P239" s="5">
        <f>_xlfn.XLOOKUP(tblAsignaciones[[#This Row],[turno]],tblTurnos[turno],tblTurnos[hora_fin],"")</f>
        <v/>
      </c>
      <c r="Q239" s="5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5">
        <f>_xlfn.XLOOKUP(tblAsignaciones[[#This Row],[tecnico]],tblTecnicos[nombre],tblTecnicos[area],"")</f>
        <v/>
      </c>
      <c r="E240" s="5">
        <f>_xlfn.XLOOKUP(tblAsignaciones[[#This Row],[tecnico]],tblTecnicos[nombre],tblTecnicos[especialidad],"")</f>
        <v/>
      </c>
      <c r="F240" s="5">
        <f>COUNTIFS(tblTecnicos[rotativo],"sí",tblTecnicos[especialidad],tblAsignaciones[[#This Row],[especialidad]],tblTecnicos[area],tblAsignaciones[[#This Row],[area]],tblTecnicos[activo],"sí")</f>
        <v/>
      </c>
      <c r="G2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4" t="n"/>
      <c r="J2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5">
        <f>_xlfn.XLOOKUP(tblAsignaciones[[#This Row],[tecnico]],tblTecnicos[nombre],tblTecnicos[supervisor],"")</f>
        <v/>
      </c>
      <c r="L24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5">
        <f>tblAsignaciones[[#This Row],[semana]]&amp;"|"&amp;tblAsignaciones[[#This Row],[dia]]&amp;"|"&amp;tblAsignaciones[[#This Row],[tecnico]]</f>
        <v/>
      </c>
      <c r="O240" s="5">
        <f>_xlfn.XLOOKUP(tblAsignaciones[[#This Row],[turno]],tblTurnos[turno],tblTurnos[hora_inicio],"")</f>
        <v/>
      </c>
      <c r="P240" s="5">
        <f>_xlfn.XLOOKUP(tblAsignaciones[[#This Row],[turno]],tblTurnos[turno],tblTurnos[hora_fin],"")</f>
        <v/>
      </c>
      <c r="Q240" s="5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5">
        <f>_xlfn.XLOOKUP(tblAsignaciones[[#This Row],[tecnico]],tblTecnicos[nombre],tblTecnicos[area],"")</f>
        <v/>
      </c>
      <c r="E241" s="5">
        <f>_xlfn.XLOOKUP(tblAsignaciones[[#This Row],[tecnico]],tblTecnicos[nombre],tblTecnicos[especialidad],"")</f>
        <v/>
      </c>
      <c r="F241" s="5">
        <f>COUNTIFS(tblTecnicos[rotativo],"sí",tblTecnicos[especialidad],tblAsignaciones[[#This Row],[especialidad]],tblTecnicos[area],tblAsignaciones[[#This Row],[area]],tblTecnicos[activo],"sí")</f>
        <v/>
      </c>
      <c r="G2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4" t="n"/>
      <c r="J2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5">
        <f>_xlfn.XLOOKUP(tblAsignaciones[[#This Row],[tecnico]],tblTecnicos[nombre],tblTecnicos[supervisor],"")</f>
        <v/>
      </c>
      <c r="L24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5">
        <f>tblAsignaciones[[#This Row],[semana]]&amp;"|"&amp;tblAsignaciones[[#This Row],[dia]]&amp;"|"&amp;tblAsignaciones[[#This Row],[tecnico]]</f>
        <v/>
      </c>
      <c r="O241" s="5">
        <f>_xlfn.XLOOKUP(tblAsignaciones[[#This Row],[turno]],tblTurnos[turno],tblTurnos[hora_inicio],"")</f>
        <v/>
      </c>
      <c r="P241" s="5">
        <f>_xlfn.XLOOKUP(tblAsignaciones[[#This Row],[turno]],tblTurnos[turno],tblTurnos[hora_fin],"")</f>
        <v/>
      </c>
      <c r="Q241" s="5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5">
        <f>_xlfn.XLOOKUP(tblAsignaciones[[#This Row],[tecnico]],tblTecnicos[nombre],tblTecnicos[area],"")</f>
        <v/>
      </c>
      <c r="E242" s="5">
        <f>_xlfn.XLOOKUP(tblAsignaciones[[#This Row],[tecnico]],tblTecnicos[nombre],tblTecnicos[especialidad],"")</f>
        <v/>
      </c>
      <c r="F242" s="5">
        <f>COUNTIFS(tblTecnicos[rotativo],"sí",tblTecnicos[especialidad],tblAsignaciones[[#This Row],[especialidad]],tblTecnicos[area],tblAsignaciones[[#This Row],[area]],tblTecnicos[activo],"sí")</f>
        <v/>
      </c>
      <c r="G2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4" t="n"/>
      <c r="J2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5">
        <f>_xlfn.XLOOKUP(tblAsignaciones[[#This Row],[tecnico]],tblTecnicos[nombre],tblTecnicos[supervisor],"")</f>
        <v/>
      </c>
      <c r="L24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5">
        <f>tblAsignaciones[[#This Row],[semana]]&amp;"|"&amp;tblAsignaciones[[#This Row],[dia]]&amp;"|"&amp;tblAsignaciones[[#This Row],[tecnico]]</f>
        <v/>
      </c>
      <c r="O242" s="5">
        <f>_xlfn.XLOOKUP(tblAsignaciones[[#This Row],[turno]],tblTurnos[turno],tblTurnos[hora_inicio],"")</f>
        <v/>
      </c>
      <c r="P242" s="5">
        <f>_xlfn.XLOOKUP(tblAsignaciones[[#This Row],[turno]],tblTurnos[turno],tblTurnos[hora_fin],"")</f>
        <v/>
      </c>
      <c r="Q242" s="5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5">
        <f>_xlfn.XLOOKUP(tblAsignaciones[[#This Row],[tecnico]],tblTecnicos[nombre],tblTecnicos[area],"")</f>
        <v/>
      </c>
      <c r="E243" s="5">
        <f>_xlfn.XLOOKUP(tblAsignaciones[[#This Row],[tecnico]],tblTecnicos[nombre],tblTecnicos[especialidad],"")</f>
        <v/>
      </c>
      <c r="F243" s="5">
        <f>COUNTIFS(tblTecnicos[rotativo],"sí",tblTecnicos[especialidad],tblAsignaciones[[#This Row],[especialidad]],tblTecnicos[area],tblAsignaciones[[#This Row],[area]],tblTecnicos[activo],"sí")</f>
        <v/>
      </c>
      <c r="G2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4" t="n"/>
      <c r="J2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5">
        <f>_xlfn.XLOOKUP(tblAsignaciones[[#This Row],[tecnico]],tblTecnicos[nombre],tblTecnicos[supervisor],"")</f>
        <v/>
      </c>
      <c r="L24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5">
        <f>tblAsignaciones[[#This Row],[semana]]&amp;"|"&amp;tblAsignaciones[[#This Row],[dia]]&amp;"|"&amp;tblAsignaciones[[#This Row],[tecnico]]</f>
        <v/>
      </c>
      <c r="O243" s="5">
        <f>_xlfn.XLOOKUP(tblAsignaciones[[#This Row],[turno]],tblTurnos[turno],tblTurnos[hora_inicio],"")</f>
        <v/>
      </c>
      <c r="P243" s="5">
        <f>_xlfn.XLOOKUP(tblAsignaciones[[#This Row],[turno]],tblTurnos[turno],tblTurnos[hora_fin],"")</f>
        <v/>
      </c>
      <c r="Q243" s="5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5">
        <f>_xlfn.XLOOKUP(tblAsignaciones[[#This Row],[tecnico]],tblTecnicos[nombre],tblTecnicos[area],"")</f>
        <v/>
      </c>
      <c r="E244" s="5">
        <f>_xlfn.XLOOKUP(tblAsignaciones[[#This Row],[tecnico]],tblTecnicos[nombre],tblTecnicos[especialidad],"")</f>
        <v/>
      </c>
      <c r="F244" s="5">
        <f>COUNTIFS(tblTecnicos[rotativo],"sí",tblTecnicos[especialidad],tblAsignaciones[[#This Row],[especialidad]],tblTecnicos[area],tblAsignaciones[[#This Row],[area]],tblTecnicos[activo],"sí")</f>
        <v/>
      </c>
      <c r="G2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4" t="n"/>
      <c r="J2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5">
        <f>_xlfn.XLOOKUP(tblAsignaciones[[#This Row],[tecnico]],tblTecnicos[nombre],tblTecnicos[supervisor],"")</f>
        <v/>
      </c>
      <c r="L24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5">
        <f>tblAsignaciones[[#This Row],[semana]]&amp;"|"&amp;tblAsignaciones[[#This Row],[dia]]&amp;"|"&amp;tblAsignaciones[[#This Row],[tecnico]]</f>
        <v/>
      </c>
      <c r="O244" s="5">
        <f>_xlfn.XLOOKUP(tblAsignaciones[[#This Row],[turno]],tblTurnos[turno],tblTurnos[hora_inicio],"")</f>
        <v/>
      </c>
      <c r="P244" s="5">
        <f>_xlfn.XLOOKUP(tblAsignaciones[[#This Row],[turno]],tblTurnos[turno],tblTurnos[hora_fin],"")</f>
        <v/>
      </c>
      <c r="Q244" s="5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5">
        <f>_xlfn.XLOOKUP(tblAsignaciones[[#This Row],[tecnico]],tblTecnicos[nombre],tblTecnicos[area],"")</f>
        <v/>
      </c>
      <c r="E245" s="5">
        <f>_xlfn.XLOOKUP(tblAsignaciones[[#This Row],[tecnico]],tblTecnicos[nombre],tblTecnicos[especialidad],"")</f>
        <v/>
      </c>
      <c r="F245" s="5">
        <f>COUNTIFS(tblTecnicos[rotativo],"sí",tblTecnicos[especialidad],tblAsignaciones[[#This Row],[especialidad]],tblTecnicos[area],tblAsignaciones[[#This Row],[area]],tblTecnicos[activo],"sí")</f>
        <v/>
      </c>
      <c r="G2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4" t="n"/>
      <c r="J2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5">
        <f>_xlfn.XLOOKUP(tblAsignaciones[[#This Row],[tecnico]],tblTecnicos[nombre],tblTecnicos[supervisor],"")</f>
        <v/>
      </c>
      <c r="L24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5">
        <f>tblAsignaciones[[#This Row],[semana]]&amp;"|"&amp;tblAsignaciones[[#This Row],[dia]]&amp;"|"&amp;tblAsignaciones[[#This Row],[tecnico]]</f>
        <v/>
      </c>
      <c r="O245" s="5">
        <f>_xlfn.XLOOKUP(tblAsignaciones[[#This Row],[turno]],tblTurnos[turno],tblTurnos[hora_inicio],"")</f>
        <v/>
      </c>
      <c r="P245" s="5">
        <f>_xlfn.XLOOKUP(tblAsignaciones[[#This Row],[turno]],tblTurnos[turno],tblTurnos[hora_fin],"")</f>
        <v/>
      </c>
      <c r="Q245" s="5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5">
        <f>_xlfn.XLOOKUP(tblAsignaciones[[#This Row],[tecnico]],tblTecnicos[nombre],tblTecnicos[area],"")</f>
        <v/>
      </c>
      <c r="E246" s="5">
        <f>_xlfn.XLOOKUP(tblAsignaciones[[#This Row],[tecnico]],tblTecnicos[nombre],tblTecnicos[especialidad],"")</f>
        <v/>
      </c>
      <c r="F246" s="5">
        <f>COUNTIFS(tblTecnicos[rotativo],"sí",tblTecnicos[especialidad],tblAsignaciones[[#This Row],[especialidad]],tblTecnicos[area],tblAsignaciones[[#This Row],[area]],tblTecnicos[activo],"sí")</f>
        <v/>
      </c>
      <c r="G2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4" t="n"/>
      <c r="J2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5">
        <f>_xlfn.XLOOKUP(tblAsignaciones[[#This Row],[tecnico]],tblTecnicos[nombre],tblTecnicos[supervisor],"")</f>
        <v/>
      </c>
      <c r="L24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5">
        <f>tblAsignaciones[[#This Row],[semana]]&amp;"|"&amp;tblAsignaciones[[#This Row],[dia]]&amp;"|"&amp;tblAsignaciones[[#This Row],[tecnico]]</f>
        <v/>
      </c>
      <c r="O246" s="5">
        <f>_xlfn.XLOOKUP(tblAsignaciones[[#This Row],[turno]],tblTurnos[turno],tblTurnos[hora_inicio],"")</f>
        <v/>
      </c>
      <c r="P246" s="5">
        <f>_xlfn.XLOOKUP(tblAsignaciones[[#This Row],[turno]],tblTurnos[turno],tblTurnos[hora_fin],"")</f>
        <v/>
      </c>
      <c r="Q246" s="5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5">
        <f>_xlfn.XLOOKUP(tblAsignaciones[[#This Row],[tecnico]],tblTecnicos[nombre],tblTecnicos[area],"")</f>
        <v/>
      </c>
      <c r="E247" s="5">
        <f>_xlfn.XLOOKUP(tblAsignaciones[[#This Row],[tecnico]],tblTecnicos[nombre],tblTecnicos[especialidad],"")</f>
        <v/>
      </c>
      <c r="F247" s="5">
        <f>COUNTIFS(tblTecnicos[rotativo],"sí",tblTecnicos[especialidad],tblAsignaciones[[#This Row],[especialidad]],tblTecnicos[area],tblAsignaciones[[#This Row],[area]],tblTecnicos[activo],"sí")</f>
        <v/>
      </c>
      <c r="G2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4" t="n"/>
      <c r="J2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5">
        <f>_xlfn.XLOOKUP(tblAsignaciones[[#This Row],[tecnico]],tblTecnicos[nombre],tblTecnicos[supervisor],"")</f>
        <v/>
      </c>
      <c r="L24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5">
        <f>tblAsignaciones[[#This Row],[semana]]&amp;"|"&amp;tblAsignaciones[[#This Row],[dia]]&amp;"|"&amp;tblAsignaciones[[#This Row],[tecnico]]</f>
        <v/>
      </c>
      <c r="O247" s="5">
        <f>_xlfn.XLOOKUP(tblAsignaciones[[#This Row],[turno]],tblTurnos[turno],tblTurnos[hora_inicio],"")</f>
        <v/>
      </c>
      <c r="P247" s="5">
        <f>_xlfn.XLOOKUP(tblAsignaciones[[#This Row],[turno]],tblTurnos[turno],tblTurnos[hora_fin],"")</f>
        <v/>
      </c>
      <c r="Q247" s="5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5">
        <f>_xlfn.XLOOKUP(tblAsignaciones[[#This Row],[tecnico]],tblTecnicos[nombre],tblTecnicos[area],"")</f>
        <v/>
      </c>
      <c r="E248" s="5">
        <f>_xlfn.XLOOKUP(tblAsignaciones[[#This Row],[tecnico]],tblTecnicos[nombre],tblTecnicos[especialidad],"")</f>
        <v/>
      </c>
      <c r="F248" s="5">
        <f>COUNTIFS(tblTecnicos[rotativo],"sí",tblTecnicos[especialidad],tblAsignaciones[[#This Row],[especialidad]],tblTecnicos[area],tblAsignaciones[[#This Row],[area]],tblTecnicos[activo],"sí")</f>
        <v/>
      </c>
      <c r="G2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4" t="n"/>
      <c r="J2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5">
        <f>_xlfn.XLOOKUP(tblAsignaciones[[#This Row],[tecnico]],tblTecnicos[nombre],tblTecnicos[supervisor],"")</f>
        <v/>
      </c>
      <c r="L24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5">
        <f>tblAsignaciones[[#This Row],[semana]]&amp;"|"&amp;tblAsignaciones[[#This Row],[dia]]&amp;"|"&amp;tblAsignaciones[[#This Row],[tecnico]]</f>
        <v/>
      </c>
      <c r="O248" s="5">
        <f>_xlfn.XLOOKUP(tblAsignaciones[[#This Row],[turno]],tblTurnos[turno],tblTurnos[hora_inicio],"")</f>
        <v/>
      </c>
      <c r="P248" s="5">
        <f>_xlfn.XLOOKUP(tblAsignaciones[[#This Row],[turno]],tblTurnos[turno],tblTurnos[hora_fin],"")</f>
        <v/>
      </c>
      <c r="Q248" s="5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5">
        <f>_xlfn.XLOOKUP(tblAsignaciones[[#This Row],[tecnico]],tblTecnicos[nombre],tblTecnicos[area],"")</f>
        <v/>
      </c>
      <c r="E249" s="5">
        <f>_xlfn.XLOOKUP(tblAsignaciones[[#This Row],[tecnico]],tblTecnicos[nombre],tblTecnicos[especialidad],"")</f>
        <v/>
      </c>
      <c r="F249" s="5">
        <f>COUNTIFS(tblTecnicos[rotativo],"sí",tblTecnicos[especialidad],tblAsignaciones[[#This Row],[especialidad]],tblTecnicos[area],tblAsignaciones[[#This Row],[area]],tblTecnicos[activo],"sí")</f>
        <v/>
      </c>
      <c r="G2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4" t="n"/>
      <c r="J2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5">
        <f>_xlfn.XLOOKUP(tblAsignaciones[[#This Row],[tecnico]],tblTecnicos[nombre],tblTecnicos[supervisor],"")</f>
        <v/>
      </c>
      <c r="L24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5">
        <f>tblAsignaciones[[#This Row],[semana]]&amp;"|"&amp;tblAsignaciones[[#This Row],[dia]]&amp;"|"&amp;tblAsignaciones[[#This Row],[tecnico]]</f>
        <v/>
      </c>
      <c r="O249" s="5">
        <f>_xlfn.XLOOKUP(tblAsignaciones[[#This Row],[turno]],tblTurnos[turno],tblTurnos[hora_inicio],"")</f>
        <v/>
      </c>
      <c r="P249" s="5">
        <f>_xlfn.XLOOKUP(tblAsignaciones[[#This Row],[turno]],tblTurnos[turno],tblTurnos[hora_fin],"")</f>
        <v/>
      </c>
      <c r="Q249" s="5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5">
        <f>_xlfn.XLOOKUP(tblAsignaciones[[#This Row],[tecnico]],tblTecnicos[nombre],tblTecnicos[area],"")</f>
        <v/>
      </c>
      <c r="E250" s="5">
        <f>_xlfn.XLOOKUP(tblAsignaciones[[#This Row],[tecnico]],tblTecnicos[nombre],tblTecnicos[especialidad],"")</f>
        <v/>
      </c>
      <c r="F250" s="5">
        <f>COUNTIFS(tblTecnicos[rotativo],"sí",tblTecnicos[especialidad],tblAsignaciones[[#This Row],[especialidad]],tblTecnicos[area],tblAsignaciones[[#This Row],[area]],tblTecnicos[activo],"sí")</f>
        <v/>
      </c>
      <c r="G2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4" t="n"/>
      <c r="J2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5">
        <f>_xlfn.XLOOKUP(tblAsignaciones[[#This Row],[tecnico]],tblTecnicos[nombre],tblTecnicos[supervisor],"")</f>
        <v/>
      </c>
      <c r="L25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5">
        <f>tblAsignaciones[[#This Row],[semana]]&amp;"|"&amp;tblAsignaciones[[#This Row],[dia]]&amp;"|"&amp;tblAsignaciones[[#This Row],[tecnico]]</f>
        <v/>
      </c>
      <c r="O250" s="5">
        <f>_xlfn.XLOOKUP(tblAsignaciones[[#This Row],[turno]],tblTurnos[turno],tblTurnos[hora_inicio],"")</f>
        <v/>
      </c>
      <c r="P250" s="5">
        <f>_xlfn.XLOOKUP(tblAsignaciones[[#This Row],[turno]],tblTurnos[turno],tblTurnos[hora_fin],"")</f>
        <v/>
      </c>
      <c r="Q250" s="5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5">
        <f>_xlfn.XLOOKUP(tblAsignaciones[[#This Row],[tecnico]],tblTecnicos[nombre],tblTecnicos[area],"")</f>
        <v/>
      </c>
      <c r="E251" s="5">
        <f>_xlfn.XLOOKUP(tblAsignaciones[[#This Row],[tecnico]],tblTecnicos[nombre],tblTecnicos[especialidad],"")</f>
        <v/>
      </c>
      <c r="F251" s="5">
        <f>COUNTIFS(tblTecnicos[rotativo],"sí",tblTecnicos[especialidad],tblAsignaciones[[#This Row],[especialidad]],tblTecnicos[area],tblAsignaciones[[#This Row],[area]],tblTecnicos[activo],"sí")</f>
        <v/>
      </c>
      <c r="G2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4" t="n"/>
      <c r="J2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5">
        <f>_xlfn.XLOOKUP(tblAsignaciones[[#This Row],[tecnico]],tblTecnicos[nombre],tblTecnicos[supervisor],"")</f>
        <v/>
      </c>
      <c r="L25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5">
        <f>tblAsignaciones[[#This Row],[semana]]&amp;"|"&amp;tblAsignaciones[[#This Row],[dia]]&amp;"|"&amp;tblAsignaciones[[#This Row],[tecnico]]</f>
        <v/>
      </c>
      <c r="O251" s="5">
        <f>_xlfn.XLOOKUP(tblAsignaciones[[#This Row],[turno]],tblTurnos[turno],tblTurnos[hora_inicio],"")</f>
        <v/>
      </c>
      <c r="P251" s="5">
        <f>_xlfn.XLOOKUP(tblAsignaciones[[#This Row],[turno]],tblTurnos[turno],tblTurnos[hora_fin],"")</f>
        <v/>
      </c>
      <c r="Q251" s="5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5">
        <f>_xlfn.XLOOKUP(tblAsignaciones[[#This Row],[tecnico]],tblTecnicos[nombre],tblTecnicos[area],"")</f>
        <v/>
      </c>
      <c r="E252" s="5">
        <f>_xlfn.XLOOKUP(tblAsignaciones[[#This Row],[tecnico]],tblTecnicos[nombre],tblTecnicos[especialidad],"")</f>
        <v/>
      </c>
      <c r="F252" s="5">
        <f>COUNTIFS(tblTecnicos[rotativo],"sí",tblTecnicos[especialidad],tblAsignaciones[[#This Row],[especialidad]],tblTecnicos[area],tblAsignaciones[[#This Row],[area]],tblTecnicos[activo],"sí")</f>
        <v/>
      </c>
      <c r="G2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4" t="n"/>
      <c r="J2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5">
        <f>_xlfn.XLOOKUP(tblAsignaciones[[#This Row],[tecnico]],tblTecnicos[nombre],tblTecnicos[supervisor],"")</f>
        <v/>
      </c>
      <c r="L25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5">
        <f>tblAsignaciones[[#This Row],[semana]]&amp;"|"&amp;tblAsignaciones[[#This Row],[dia]]&amp;"|"&amp;tblAsignaciones[[#This Row],[tecnico]]</f>
        <v/>
      </c>
      <c r="O252" s="5">
        <f>_xlfn.XLOOKUP(tblAsignaciones[[#This Row],[turno]],tblTurnos[turno],tblTurnos[hora_inicio],"")</f>
        <v/>
      </c>
      <c r="P252" s="5">
        <f>_xlfn.XLOOKUP(tblAsignaciones[[#This Row],[turno]],tblTurnos[turno],tblTurnos[hora_fin],"")</f>
        <v/>
      </c>
      <c r="Q252" s="5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5">
        <f>_xlfn.XLOOKUP(tblAsignaciones[[#This Row],[tecnico]],tblTecnicos[nombre],tblTecnicos[area],"")</f>
        <v/>
      </c>
      <c r="E253" s="5">
        <f>_xlfn.XLOOKUP(tblAsignaciones[[#This Row],[tecnico]],tblTecnicos[nombre],tblTecnicos[especialidad],"")</f>
        <v/>
      </c>
      <c r="F253" s="5">
        <f>COUNTIFS(tblTecnicos[rotativo],"sí",tblTecnicos[especialidad],tblAsignaciones[[#This Row],[especialidad]],tblTecnicos[area],tblAsignaciones[[#This Row],[area]],tblTecnicos[activo],"sí")</f>
        <v/>
      </c>
      <c r="G2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4" t="n"/>
      <c r="J2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5">
        <f>_xlfn.XLOOKUP(tblAsignaciones[[#This Row],[tecnico]],tblTecnicos[nombre],tblTecnicos[supervisor],"")</f>
        <v/>
      </c>
      <c r="L25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5">
        <f>tblAsignaciones[[#This Row],[semana]]&amp;"|"&amp;tblAsignaciones[[#This Row],[dia]]&amp;"|"&amp;tblAsignaciones[[#This Row],[tecnico]]</f>
        <v/>
      </c>
      <c r="O253" s="5">
        <f>_xlfn.XLOOKUP(tblAsignaciones[[#This Row],[turno]],tblTurnos[turno],tblTurnos[hora_inicio],"")</f>
        <v/>
      </c>
      <c r="P253" s="5">
        <f>_xlfn.XLOOKUP(tblAsignaciones[[#This Row],[turno]],tblTurnos[turno],tblTurnos[hora_fin],"")</f>
        <v/>
      </c>
      <c r="Q253" s="5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5">
        <f>_xlfn.XLOOKUP(tblAsignaciones[[#This Row],[tecnico]],tblTecnicos[nombre],tblTecnicos[area],"")</f>
        <v/>
      </c>
      <c r="E254" s="5">
        <f>_xlfn.XLOOKUP(tblAsignaciones[[#This Row],[tecnico]],tblTecnicos[nombre],tblTecnicos[especialidad],"")</f>
        <v/>
      </c>
      <c r="F254" s="5">
        <f>COUNTIFS(tblTecnicos[rotativo],"sí",tblTecnicos[especialidad],tblAsignaciones[[#This Row],[especialidad]],tblTecnicos[area],tblAsignaciones[[#This Row],[area]],tblTecnicos[activo],"sí")</f>
        <v/>
      </c>
      <c r="G2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4" t="n"/>
      <c r="J2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5">
        <f>_xlfn.XLOOKUP(tblAsignaciones[[#This Row],[tecnico]],tblTecnicos[nombre],tblTecnicos[supervisor],"")</f>
        <v/>
      </c>
      <c r="L25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5">
        <f>tblAsignaciones[[#This Row],[semana]]&amp;"|"&amp;tblAsignaciones[[#This Row],[dia]]&amp;"|"&amp;tblAsignaciones[[#This Row],[tecnico]]</f>
        <v/>
      </c>
      <c r="O254" s="5">
        <f>_xlfn.XLOOKUP(tblAsignaciones[[#This Row],[turno]],tblTurnos[turno],tblTurnos[hora_inicio],"")</f>
        <v/>
      </c>
      <c r="P254" s="5">
        <f>_xlfn.XLOOKUP(tblAsignaciones[[#This Row],[turno]],tblTurnos[turno],tblTurnos[hora_fin],"")</f>
        <v/>
      </c>
      <c r="Q254" s="5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5">
        <f>_xlfn.XLOOKUP(tblAsignaciones[[#This Row],[tecnico]],tblTecnicos[nombre],tblTecnicos[area],"")</f>
        <v/>
      </c>
      <c r="E255" s="5">
        <f>_xlfn.XLOOKUP(tblAsignaciones[[#This Row],[tecnico]],tblTecnicos[nombre],tblTecnicos[especialidad],"")</f>
        <v/>
      </c>
      <c r="F255" s="5">
        <f>COUNTIFS(tblTecnicos[rotativo],"sí",tblTecnicos[especialidad],tblAsignaciones[[#This Row],[especialidad]],tblTecnicos[area],tblAsignaciones[[#This Row],[area]],tblTecnicos[activo],"sí")</f>
        <v/>
      </c>
      <c r="G2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4" t="n"/>
      <c r="J2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5">
        <f>_xlfn.XLOOKUP(tblAsignaciones[[#This Row],[tecnico]],tblTecnicos[nombre],tblTecnicos[supervisor],"")</f>
        <v/>
      </c>
      <c r="L25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5">
        <f>tblAsignaciones[[#This Row],[semana]]&amp;"|"&amp;tblAsignaciones[[#This Row],[dia]]&amp;"|"&amp;tblAsignaciones[[#This Row],[tecnico]]</f>
        <v/>
      </c>
      <c r="O255" s="5">
        <f>_xlfn.XLOOKUP(tblAsignaciones[[#This Row],[turno]],tblTurnos[turno],tblTurnos[hora_inicio],"")</f>
        <v/>
      </c>
      <c r="P255" s="5">
        <f>_xlfn.XLOOKUP(tblAsignaciones[[#This Row],[turno]],tblTurnos[turno],tblTurnos[hora_fin],"")</f>
        <v/>
      </c>
      <c r="Q255" s="5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5">
        <f>_xlfn.XLOOKUP(tblAsignaciones[[#This Row],[tecnico]],tblTecnicos[nombre],tblTecnicos[area],"")</f>
        <v/>
      </c>
      <c r="E256" s="5">
        <f>_xlfn.XLOOKUP(tblAsignaciones[[#This Row],[tecnico]],tblTecnicos[nombre],tblTecnicos[especialidad],"")</f>
        <v/>
      </c>
      <c r="F256" s="5">
        <f>COUNTIFS(tblTecnicos[rotativo],"sí",tblTecnicos[especialidad],tblAsignaciones[[#This Row],[especialidad]],tblTecnicos[area],tblAsignaciones[[#This Row],[area]],tblTecnicos[activo],"sí")</f>
        <v/>
      </c>
      <c r="G2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4" t="n"/>
      <c r="J2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5">
        <f>_xlfn.XLOOKUP(tblAsignaciones[[#This Row],[tecnico]],tblTecnicos[nombre],tblTecnicos[supervisor],"")</f>
        <v/>
      </c>
      <c r="L25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5">
        <f>tblAsignaciones[[#This Row],[semana]]&amp;"|"&amp;tblAsignaciones[[#This Row],[dia]]&amp;"|"&amp;tblAsignaciones[[#This Row],[tecnico]]</f>
        <v/>
      </c>
      <c r="O256" s="5">
        <f>_xlfn.XLOOKUP(tblAsignaciones[[#This Row],[turno]],tblTurnos[turno],tblTurnos[hora_inicio],"")</f>
        <v/>
      </c>
      <c r="P256" s="5">
        <f>_xlfn.XLOOKUP(tblAsignaciones[[#This Row],[turno]],tblTurnos[turno],tblTurnos[hora_fin],"")</f>
        <v/>
      </c>
      <c r="Q256" s="5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5">
        <f>_xlfn.XLOOKUP(tblAsignaciones[[#This Row],[tecnico]],tblTecnicos[nombre],tblTecnicos[area],"")</f>
        <v/>
      </c>
      <c r="E257" s="5">
        <f>_xlfn.XLOOKUP(tblAsignaciones[[#This Row],[tecnico]],tblTecnicos[nombre],tblTecnicos[especialidad],"")</f>
        <v/>
      </c>
      <c r="F257" s="5">
        <f>COUNTIFS(tblTecnicos[rotativo],"sí",tblTecnicos[especialidad],tblAsignaciones[[#This Row],[especialidad]],tblTecnicos[area],tblAsignaciones[[#This Row],[area]],tblTecnicos[activo],"sí")</f>
        <v/>
      </c>
      <c r="G2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4" t="n"/>
      <c r="J2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5">
        <f>_xlfn.XLOOKUP(tblAsignaciones[[#This Row],[tecnico]],tblTecnicos[nombre],tblTecnicos[supervisor],"")</f>
        <v/>
      </c>
      <c r="L25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5">
        <f>tblAsignaciones[[#This Row],[semana]]&amp;"|"&amp;tblAsignaciones[[#This Row],[dia]]&amp;"|"&amp;tblAsignaciones[[#This Row],[tecnico]]</f>
        <v/>
      </c>
      <c r="O257" s="5">
        <f>_xlfn.XLOOKUP(tblAsignaciones[[#This Row],[turno]],tblTurnos[turno],tblTurnos[hora_inicio],"")</f>
        <v/>
      </c>
      <c r="P257" s="5">
        <f>_xlfn.XLOOKUP(tblAsignaciones[[#This Row],[turno]],tblTurnos[turno],tblTurnos[hora_fin],"")</f>
        <v/>
      </c>
      <c r="Q257" s="5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5">
        <f>_xlfn.XLOOKUP(tblAsignaciones[[#This Row],[tecnico]],tblTecnicos[nombre],tblTecnicos[area],"")</f>
        <v/>
      </c>
      <c r="E258" s="5">
        <f>_xlfn.XLOOKUP(tblAsignaciones[[#This Row],[tecnico]],tblTecnicos[nombre],tblTecnicos[especialidad],"")</f>
        <v/>
      </c>
      <c r="F258" s="5">
        <f>COUNTIFS(tblTecnicos[rotativo],"sí",tblTecnicos[especialidad],tblAsignaciones[[#This Row],[especialidad]],tblTecnicos[area],tblAsignaciones[[#This Row],[area]],tblTecnicos[activo],"sí")</f>
        <v/>
      </c>
      <c r="G2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4" t="n"/>
      <c r="J2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5">
        <f>_xlfn.XLOOKUP(tblAsignaciones[[#This Row],[tecnico]],tblTecnicos[nombre],tblTecnicos[supervisor],"")</f>
        <v/>
      </c>
      <c r="L25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5">
        <f>tblAsignaciones[[#This Row],[semana]]&amp;"|"&amp;tblAsignaciones[[#This Row],[dia]]&amp;"|"&amp;tblAsignaciones[[#This Row],[tecnico]]</f>
        <v/>
      </c>
      <c r="O258" s="5">
        <f>_xlfn.XLOOKUP(tblAsignaciones[[#This Row],[turno]],tblTurnos[turno],tblTurnos[hora_inicio],"")</f>
        <v/>
      </c>
      <c r="P258" s="5">
        <f>_xlfn.XLOOKUP(tblAsignaciones[[#This Row],[turno]],tblTurnos[turno],tblTurnos[hora_fin],"")</f>
        <v/>
      </c>
      <c r="Q258" s="5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5">
        <f>_xlfn.XLOOKUP(tblAsignaciones[[#This Row],[tecnico]],tblTecnicos[nombre],tblTecnicos[area],"")</f>
        <v/>
      </c>
      <c r="E259" s="5">
        <f>_xlfn.XLOOKUP(tblAsignaciones[[#This Row],[tecnico]],tblTecnicos[nombre],tblTecnicos[especialidad],"")</f>
        <v/>
      </c>
      <c r="F259" s="5">
        <f>COUNTIFS(tblTecnicos[rotativo],"sí",tblTecnicos[especialidad],tblAsignaciones[[#This Row],[especialidad]],tblTecnicos[area],tblAsignaciones[[#This Row],[area]],tblTecnicos[activo],"sí")</f>
        <v/>
      </c>
      <c r="G2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4" t="n"/>
      <c r="J2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5">
        <f>_xlfn.XLOOKUP(tblAsignaciones[[#This Row],[tecnico]],tblTecnicos[nombre],tblTecnicos[supervisor],"")</f>
        <v/>
      </c>
      <c r="L25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5">
        <f>tblAsignaciones[[#This Row],[semana]]&amp;"|"&amp;tblAsignaciones[[#This Row],[dia]]&amp;"|"&amp;tblAsignaciones[[#This Row],[tecnico]]</f>
        <v/>
      </c>
      <c r="O259" s="5">
        <f>_xlfn.XLOOKUP(tblAsignaciones[[#This Row],[turno]],tblTurnos[turno],tblTurnos[hora_inicio],"")</f>
        <v/>
      </c>
      <c r="P259" s="5">
        <f>_xlfn.XLOOKUP(tblAsignaciones[[#This Row],[turno]],tblTurnos[turno],tblTurnos[hora_fin],"")</f>
        <v/>
      </c>
      <c r="Q259" s="5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5">
        <f>_xlfn.XLOOKUP(tblAsignaciones[[#This Row],[tecnico]],tblTecnicos[nombre],tblTecnicos[area],"")</f>
        <v/>
      </c>
      <c r="E260" s="5">
        <f>_xlfn.XLOOKUP(tblAsignaciones[[#This Row],[tecnico]],tblTecnicos[nombre],tblTecnicos[especialidad],"")</f>
        <v/>
      </c>
      <c r="F260" s="5">
        <f>COUNTIFS(tblTecnicos[rotativo],"sí",tblTecnicos[especialidad],tblAsignaciones[[#This Row],[especialidad]],tblTecnicos[area],tblAsignaciones[[#This Row],[area]],tblTecnicos[activo],"sí")</f>
        <v/>
      </c>
      <c r="G2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4" t="n"/>
      <c r="J2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5">
        <f>_xlfn.XLOOKUP(tblAsignaciones[[#This Row],[tecnico]],tblTecnicos[nombre],tblTecnicos[supervisor],"")</f>
        <v/>
      </c>
      <c r="L26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5">
        <f>tblAsignaciones[[#This Row],[semana]]&amp;"|"&amp;tblAsignaciones[[#This Row],[dia]]&amp;"|"&amp;tblAsignaciones[[#This Row],[tecnico]]</f>
        <v/>
      </c>
      <c r="O260" s="5">
        <f>_xlfn.XLOOKUP(tblAsignaciones[[#This Row],[turno]],tblTurnos[turno],tblTurnos[hora_inicio],"")</f>
        <v/>
      </c>
      <c r="P260" s="5">
        <f>_xlfn.XLOOKUP(tblAsignaciones[[#This Row],[turno]],tblTurnos[turno],tblTurnos[hora_fin],"")</f>
        <v/>
      </c>
      <c r="Q260" s="5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5">
        <f>_xlfn.XLOOKUP(tblAsignaciones[[#This Row],[tecnico]],tblTecnicos[nombre],tblTecnicos[area],"")</f>
        <v/>
      </c>
      <c r="E261" s="5">
        <f>_xlfn.XLOOKUP(tblAsignaciones[[#This Row],[tecnico]],tblTecnicos[nombre],tblTecnicos[especialidad],"")</f>
        <v/>
      </c>
      <c r="F261" s="5">
        <f>COUNTIFS(tblTecnicos[rotativo],"sí",tblTecnicos[especialidad],tblAsignaciones[[#This Row],[especialidad]],tblTecnicos[area],tblAsignaciones[[#This Row],[area]],tblTecnicos[activo],"sí")</f>
        <v/>
      </c>
      <c r="G2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4" t="n"/>
      <c r="J2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5">
        <f>_xlfn.XLOOKUP(tblAsignaciones[[#This Row],[tecnico]],tblTecnicos[nombre],tblTecnicos[supervisor],"")</f>
        <v/>
      </c>
      <c r="L26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5">
        <f>tblAsignaciones[[#This Row],[semana]]&amp;"|"&amp;tblAsignaciones[[#This Row],[dia]]&amp;"|"&amp;tblAsignaciones[[#This Row],[tecnico]]</f>
        <v/>
      </c>
      <c r="O261" s="5">
        <f>_xlfn.XLOOKUP(tblAsignaciones[[#This Row],[turno]],tblTurnos[turno],tblTurnos[hora_inicio],"")</f>
        <v/>
      </c>
      <c r="P261" s="5">
        <f>_xlfn.XLOOKUP(tblAsignaciones[[#This Row],[turno]],tblTurnos[turno],tblTurnos[hora_fin],"")</f>
        <v/>
      </c>
      <c r="Q261" s="5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5">
        <f>_xlfn.XLOOKUP(tblAsignaciones[[#This Row],[tecnico]],tblTecnicos[nombre],tblTecnicos[area],"")</f>
        <v/>
      </c>
      <c r="E262" s="5">
        <f>_xlfn.XLOOKUP(tblAsignaciones[[#This Row],[tecnico]],tblTecnicos[nombre],tblTecnicos[especialidad],"")</f>
        <v/>
      </c>
      <c r="F262" s="5">
        <f>COUNTIFS(tblTecnicos[rotativo],"sí",tblTecnicos[especialidad],tblAsignaciones[[#This Row],[especialidad]],tblTecnicos[area],tblAsignaciones[[#This Row],[area]],tblTecnicos[activo],"sí")</f>
        <v/>
      </c>
      <c r="G2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4" t="n"/>
      <c r="J2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5">
        <f>_xlfn.XLOOKUP(tblAsignaciones[[#This Row],[tecnico]],tblTecnicos[nombre],tblTecnicos[supervisor],"")</f>
        <v/>
      </c>
      <c r="L26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5">
        <f>tblAsignaciones[[#This Row],[semana]]&amp;"|"&amp;tblAsignaciones[[#This Row],[dia]]&amp;"|"&amp;tblAsignaciones[[#This Row],[tecnico]]</f>
        <v/>
      </c>
      <c r="O262" s="5">
        <f>_xlfn.XLOOKUP(tblAsignaciones[[#This Row],[turno]],tblTurnos[turno],tblTurnos[hora_inicio],"")</f>
        <v/>
      </c>
      <c r="P262" s="5">
        <f>_xlfn.XLOOKUP(tblAsignaciones[[#This Row],[turno]],tblTurnos[turno],tblTurnos[hora_fin],"")</f>
        <v/>
      </c>
      <c r="Q262" s="5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5">
        <f>_xlfn.XLOOKUP(tblAsignaciones[[#This Row],[tecnico]],tblTecnicos[nombre],tblTecnicos[area],"")</f>
        <v/>
      </c>
      <c r="E263" s="5">
        <f>_xlfn.XLOOKUP(tblAsignaciones[[#This Row],[tecnico]],tblTecnicos[nombre],tblTecnicos[especialidad],"")</f>
        <v/>
      </c>
      <c r="F263" s="5">
        <f>COUNTIFS(tblTecnicos[rotativo],"sí",tblTecnicos[especialidad],tblAsignaciones[[#This Row],[especialidad]],tblTecnicos[area],tblAsignaciones[[#This Row],[area]],tblTecnicos[activo],"sí")</f>
        <v/>
      </c>
      <c r="G2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4" t="n"/>
      <c r="J2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5">
        <f>_xlfn.XLOOKUP(tblAsignaciones[[#This Row],[tecnico]],tblTecnicos[nombre],tblTecnicos[supervisor],"")</f>
        <v/>
      </c>
      <c r="L26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5">
        <f>tblAsignaciones[[#This Row],[semana]]&amp;"|"&amp;tblAsignaciones[[#This Row],[dia]]&amp;"|"&amp;tblAsignaciones[[#This Row],[tecnico]]</f>
        <v/>
      </c>
      <c r="O263" s="5">
        <f>_xlfn.XLOOKUP(tblAsignaciones[[#This Row],[turno]],tblTurnos[turno],tblTurnos[hora_inicio],"")</f>
        <v/>
      </c>
      <c r="P263" s="5">
        <f>_xlfn.XLOOKUP(tblAsignaciones[[#This Row],[turno]],tblTurnos[turno],tblTurnos[hora_fin],"")</f>
        <v/>
      </c>
      <c r="Q263" s="5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5">
        <f>_xlfn.XLOOKUP(tblAsignaciones[[#This Row],[tecnico]],tblTecnicos[nombre],tblTecnicos[area],"")</f>
        <v/>
      </c>
      <c r="E264" s="5">
        <f>_xlfn.XLOOKUP(tblAsignaciones[[#This Row],[tecnico]],tblTecnicos[nombre],tblTecnicos[especialidad],"")</f>
        <v/>
      </c>
      <c r="F264" s="5">
        <f>COUNTIFS(tblTecnicos[rotativo],"sí",tblTecnicos[especialidad],tblAsignaciones[[#This Row],[especialidad]],tblTecnicos[area],tblAsignaciones[[#This Row],[area]],tblTecnicos[activo],"sí")</f>
        <v/>
      </c>
      <c r="G2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4" t="n"/>
      <c r="J2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5">
        <f>_xlfn.XLOOKUP(tblAsignaciones[[#This Row],[tecnico]],tblTecnicos[nombre],tblTecnicos[supervisor],"")</f>
        <v/>
      </c>
      <c r="L26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5">
        <f>tblAsignaciones[[#This Row],[semana]]&amp;"|"&amp;tblAsignaciones[[#This Row],[dia]]&amp;"|"&amp;tblAsignaciones[[#This Row],[tecnico]]</f>
        <v/>
      </c>
      <c r="O264" s="5">
        <f>_xlfn.XLOOKUP(tblAsignaciones[[#This Row],[turno]],tblTurnos[turno],tblTurnos[hora_inicio],"")</f>
        <v/>
      </c>
      <c r="P264" s="5">
        <f>_xlfn.XLOOKUP(tblAsignaciones[[#This Row],[turno]],tblTurnos[turno],tblTurnos[hora_fin],"")</f>
        <v/>
      </c>
      <c r="Q264" s="5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5">
        <f>_xlfn.XLOOKUP(tblAsignaciones[[#This Row],[tecnico]],tblTecnicos[nombre],tblTecnicos[area],"")</f>
        <v/>
      </c>
      <c r="E265" s="5">
        <f>_xlfn.XLOOKUP(tblAsignaciones[[#This Row],[tecnico]],tblTecnicos[nombre],tblTecnicos[especialidad],"")</f>
        <v/>
      </c>
      <c r="F265" s="5">
        <f>COUNTIFS(tblTecnicos[rotativo],"sí",tblTecnicos[especialidad],tblAsignaciones[[#This Row],[especialidad]],tblTecnicos[area],tblAsignaciones[[#This Row],[area]],tblTecnicos[activo],"sí")</f>
        <v/>
      </c>
      <c r="G2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4" t="n"/>
      <c r="J2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5">
        <f>_xlfn.XLOOKUP(tblAsignaciones[[#This Row],[tecnico]],tblTecnicos[nombre],tblTecnicos[supervisor],"")</f>
        <v/>
      </c>
      <c r="L26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5">
        <f>tblAsignaciones[[#This Row],[semana]]&amp;"|"&amp;tblAsignaciones[[#This Row],[dia]]&amp;"|"&amp;tblAsignaciones[[#This Row],[tecnico]]</f>
        <v/>
      </c>
      <c r="O265" s="5">
        <f>_xlfn.XLOOKUP(tblAsignaciones[[#This Row],[turno]],tblTurnos[turno],tblTurnos[hora_inicio],"")</f>
        <v/>
      </c>
      <c r="P265" s="5">
        <f>_xlfn.XLOOKUP(tblAsignaciones[[#This Row],[turno]],tblTurnos[turno],tblTurnos[hora_fin],"")</f>
        <v/>
      </c>
      <c r="Q265" s="5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5">
        <f>_xlfn.XLOOKUP(tblAsignaciones[[#This Row],[tecnico]],tblTecnicos[nombre],tblTecnicos[area],"")</f>
        <v/>
      </c>
      <c r="E266" s="5">
        <f>_xlfn.XLOOKUP(tblAsignaciones[[#This Row],[tecnico]],tblTecnicos[nombre],tblTecnicos[especialidad],"")</f>
        <v/>
      </c>
      <c r="F266" s="5">
        <f>COUNTIFS(tblTecnicos[rotativo],"sí",tblTecnicos[especialidad],tblAsignaciones[[#This Row],[especialidad]],tblTecnicos[area],tblAsignaciones[[#This Row],[area]],tblTecnicos[activo],"sí")</f>
        <v/>
      </c>
      <c r="G2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4" t="n"/>
      <c r="J2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5">
        <f>_xlfn.XLOOKUP(tblAsignaciones[[#This Row],[tecnico]],tblTecnicos[nombre],tblTecnicos[supervisor],"")</f>
        <v/>
      </c>
      <c r="L26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5">
        <f>tblAsignaciones[[#This Row],[semana]]&amp;"|"&amp;tblAsignaciones[[#This Row],[dia]]&amp;"|"&amp;tblAsignaciones[[#This Row],[tecnico]]</f>
        <v/>
      </c>
      <c r="O266" s="5">
        <f>_xlfn.XLOOKUP(tblAsignaciones[[#This Row],[turno]],tblTurnos[turno],tblTurnos[hora_inicio],"")</f>
        <v/>
      </c>
      <c r="P266" s="5">
        <f>_xlfn.XLOOKUP(tblAsignaciones[[#This Row],[turno]],tblTurnos[turno],tblTurnos[hora_fin],"")</f>
        <v/>
      </c>
      <c r="Q266" s="5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5">
        <f>_xlfn.XLOOKUP(tblAsignaciones[[#This Row],[tecnico]],tblTecnicos[nombre],tblTecnicos[area],"")</f>
        <v/>
      </c>
      <c r="E267" s="5">
        <f>_xlfn.XLOOKUP(tblAsignaciones[[#This Row],[tecnico]],tblTecnicos[nombre],tblTecnicos[especialidad],"")</f>
        <v/>
      </c>
      <c r="F267" s="5">
        <f>COUNTIFS(tblTecnicos[rotativo],"sí",tblTecnicos[especialidad],tblAsignaciones[[#This Row],[especialidad]],tblTecnicos[area],tblAsignaciones[[#This Row],[area]],tblTecnicos[activo],"sí")</f>
        <v/>
      </c>
      <c r="G2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4" t="n"/>
      <c r="J2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5">
        <f>_xlfn.XLOOKUP(tblAsignaciones[[#This Row],[tecnico]],tblTecnicos[nombre],tblTecnicos[supervisor],"")</f>
        <v/>
      </c>
      <c r="L26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5">
        <f>tblAsignaciones[[#This Row],[semana]]&amp;"|"&amp;tblAsignaciones[[#This Row],[dia]]&amp;"|"&amp;tblAsignaciones[[#This Row],[tecnico]]</f>
        <v/>
      </c>
      <c r="O267" s="5">
        <f>_xlfn.XLOOKUP(tblAsignaciones[[#This Row],[turno]],tblTurnos[turno],tblTurnos[hora_inicio],"")</f>
        <v/>
      </c>
      <c r="P267" s="5">
        <f>_xlfn.XLOOKUP(tblAsignaciones[[#This Row],[turno]],tblTurnos[turno],tblTurnos[hora_fin],"")</f>
        <v/>
      </c>
      <c r="Q267" s="5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5">
        <f>_xlfn.XLOOKUP(tblAsignaciones[[#This Row],[tecnico]],tblTecnicos[nombre],tblTecnicos[area],"")</f>
        <v/>
      </c>
      <c r="E268" s="5">
        <f>_xlfn.XLOOKUP(tblAsignaciones[[#This Row],[tecnico]],tblTecnicos[nombre],tblTecnicos[especialidad],"")</f>
        <v/>
      </c>
      <c r="F268" s="5">
        <f>COUNTIFS(tblTecnicos[rotativo],"sí",tblTecnicos[especialidad],tblAsignaciones[[#This Row],[especialidad]],tblTecnicos[area],tblAsignaciones[[#This Row],[area]],tblTecnicos[activo],"sí")</f>
        <v/>
      </c>
      <c r="G2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4" t="n"/>
      <c r="J2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5">
        <f>_xlfn.XLOOKUP(tblAsignaciones[[#This Row],[tecnico]],tblTecnicos[nombre],tblTecnicos[supervisor],"")</f>
        <v/>
      </c>
      <c r="L26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5">
        <f>tblAsignaciones[[#This Row],[semana]]&amp;"|"&amp;tblAsignaciones[[#This Row],[dia]]&amp;"|"&amp;tblAsignaciones[[#This Row],[tecnico]]</f>
        <v/>
      </c>
      <c r="O268" s="5">
        <f>_xlfn.XLOOKUP(tblAsignaciones[[#This Row],[turno]],tblTurnos[turno],tblTurnos[hora_inicio],"")</f>
        <v/>
      </c>
      <c r="P268" s="5">
        <f>_xlfn.XLOOKUP(tblAsignaciones[[#This Row],[turno]],tblTurnos[turno],tblTurnos[hora_fin],"")</f>
        <v/>
      </c>
      <c r="Q268" s="5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5">
        <f>_xlfn.XLOOKUP(tblAsignaciones[[#This Row],[tecnico]],tblTecnicos[nombre],tblTecnicos[area],"")</f>
        <v/>
      </c>
      <c r="E269" s="5">
        <f>_xlfn.XLOOKUP(tblAsignaciones[[#This Row],[tecnico]],tblTecnicos[nombre],tblTecnicos[especialidad],"")</f>
        <v/>
      </c>
      <c r="F269" s="5">
        <f>COUNTIFS(tblTecnicos[rotativo],"sí",tblTecnicos[especialidad],tblAsignaciones[[#This Row],[especialidad]],tblTecnicos[area],tblAsignaciones[[#This Row],[area]],tblTecnicos[activo],"sí")</f>
        <v/>
      </c>
      <c r="G2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4" t="n"/>
      <c r="J2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5">
        <f>_xlfn.XLOOKUP(tblAsignaciones[[#This Row],[tecnico]],tblTecnicos[nombre],tblTecnicos[supervisor],"")</f>
        <v/>
      </c>
      <c r="L26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5">
        <f>tblAsignaciones[[#This Row],[semana]]&amp;"|"&amp;tblAsignaciones[[#This Row],[dia]]&amp;"|"&amp;tblAsignaciones[[#This Row],[tecnico]]</f>
        <v/>
      </c>
      <c r="O269" s="5">
        <f>_xlfn.XLOOKUP(tblAsignaciones[[#This Row],[turno]],tblTurnos[turno],tblTurnos[hora_inicio],"")</f>
        <v/>
      </c>
      <c r="P269" s="5">
        <f>_xlfn.XLOOKUP(tblAsignaciones[[#This Row],[turno]],tblTurnos[turno],tblTurnos[hora_fin],"")</f>
        <v/>
      </c>
      <c r="Q269" s="5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5">
        <f>_xlfn.XLOOKUP(tblAsignaciones[[#This Row],[tecnico]],tblTecnicos[nombre],tblTecnicos[area],"")</f>
        <v/>
      </c>
      <c r="E270" s="5">
        <f>_xlfn.XLOOKUP(tblAsignaciones[[#This Row],[tecnico]],tblTecnicos[nombre],tblTecnicos[especialidad],"")</f>
        <v/>
      </c>
      <c r="F270" s="5">
        <f>COUNTIFS(tblTecnicos[rotativo],"sí",tblTecnicos[especialidad],tblAsignaciones[[#This Row],[especialidad]],tblTecnicos[area],tblAsignaciones[[#This Row],[area]],tblTecnicos[activo],"sí")</f>
        <v/>
      </c>
      <c r="G2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4" t="n"/>
      <c r="J2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5">
        <f>_xlfn.XLOOKUP(tblAsignaciones[[#This Row],[tecnico]],tblTecnicos[nombre],tblTecnicos[supervisor],"")</f>
        <v/>
      </c>
      <c r="L27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5">
        <f>tblAsignaciones[[#This Row],[semana]]&amp;"|"&amp;tblAsignaciones[[#This Row],[dia]]&amp;"|"&amp;tblAsignaciones[[#This Row],[tecnico]]</f>
        <v/>
      </c>
      <c r="O270" s="5">
        <f>_xlfn.XLOOKUP(tblAsignaciones[[#This Row],[turno]],tblTurnos[turno],tblTurnos[hora_inicio],"")</f>
        <v/>
      </c>
      <c r="P270" s="5">
        <f>_xlfn.XLOOKUP(tblAsignaciones[[#This Row],[turno]],tblTurnos[turno],tblTurnos[hora_fin],"")</f>
        <v/>
      </c>
      <c r="Q270" s="5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5">
        <f>_xlfn.XLOOKUP(tblAsignaciones[[#This Row],[tecnico]],tblTecnicos[nombre],tblTecnicos[area],"")</f>
        <v/>
      </c>
      <c r="E271" s="5">
        <f>_xlfn.XLOOKUP(tblAsignaciones[[#This Row],[tecnico]],tblTecnicos[nombre],tblTecnicos[especialidad],"")</f>
        <v/>
      </c>
      <c r="F271" s="5">
        <f>COUNTIFS(tblTecnicos[rotativo],"sí",tblTecnicos[especialidad],tblAsignaciones[[#This Row],[especialidad]],tblTecnicos[area],tblAsignaciones[[#This Row],[area]],tblTecnicos[activo],"sí")</f>
        <v/>
      </c>
      <c r="G2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4" t="n"/>
      <c r="J2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5">
        <f>_xlfn.XLOOKUP(tblAsignaciones[[#This Row],[tecnico]],tblTecnicos[nombre],tblTecnicos[supervisor],"")</f>
        <v/>
      </c>
      <c r="L27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5">
        <f>tblAsignaciones[[#This Row],[semana]]&amp;"|"&amp;tblAsignaciones[[#This Row],[dia]]&amp;"|"&amp;tblAsignaciones[[#This Row],[tecnico]]</f>
        <v/>
      </c>
      <c r="O271" s="5">
        <f>_xlfn.XLOOKUP(tblAsignaciones[[#This Row],[turno]],tblTurnos[turno],tblTurnos[hora_inicio],"")</f>
        <v/>
      </c>
      <c r="P271" s="5">
        <f>_xlfn.XLOOKUP(tblAsignaciones[[#This Row],[turno]],tblTurnos[turno],tblTurnos[hora_fin],"")</f>
        <v/>
      </c>
      <c r="Q271" s="5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5">
        <f>_xlfn.XLOOKUP(tblAsignaciones[[#This Row],[tecnico]],tblTecnicos[nombre],tblTecnicos[area],"")</f>
        <v/>
      </c>
      <c r="E272" s="5">
        <f>_xlfn.XLOOKUP(tblAsignaciones[[#This Row],[tecnico]],tblTecnicos[nombre],tblTecnicos[especialidad],"")</f>
        <v/>
      </c>
      <c r="F272" s="5">
        <f>COUNTIFS(tblTecnicos[rotativo],"sí",tblTecnicos[especialidad],tblAsignaciones[[#This Row],[especialidad]],tblTecnicos[area],tblAsignaciones[[#This Row],[area]],tblTecnicos[activo],"sí")</f>
        <v/>
      </c>
      <c r="G2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4" t="n"/>
      <c r="J2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5">
        <f>_xlfn.XLOOKUP(tblAsignaciones[[#This Row],[tecnico]],tblTecnicos[nombre],tblTecnicos[supervisor],"")</f>
        <v/>
      </c>
      <c r="L27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5">
        <f>tblAsignaciones[[#This Row],[semana]]&amp;"|"&amp;tblAsignaciones[[#This Row],[dia]]&amp;"|"&amp;tblAsignaciones[[#This Row],[tecnico]]</f>
        <v/>
      </c>
      <c r="O272" s="5">
        <f>_xlfn.XLOOKUP(tblAsignaciones[[#This Row],[turno]],tblTurnos[turno],tblTurnos[hora_inicio],"")</f>
        <v/>
      </c>
      <c r="P272" s="5">
        <f>_xlfn.XLOOKUP(tblAsignaciones[[#This Row],[turno]],tblTurnos[turno],tblTurnos[hora_fin],"")</f>
        <v/>
      </c>
      <c r="Q272" s="5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5">
        <f>_xlfn.XLOOKUP(tblAsignaciones[[#This Row],[tecnico]],tblTecnicos[nombre],tblTecnicos[area],"")</f>
        <v/>
      </c>
      <c r="E273" s="5">
        <f>_xlfn.XLOOKUP(tblAsignaciones[[#This Row],[tecnico]],tblTecnicos[nombre],tblTecnicos[especialidad],"")</f>
        <v/>
      </c>
      <c r="F273" s="5">
        <f>COUNTIFS(tblTecnicos[rotativo],"sí",tblTecnicos[especialidad],tblAsignaciones[[#This Row],[especialidad]],tblTecnicos[area],tblAsignaciones[[#This Row],[area]],tblTecnicos[activo],"sí")</f>
        <v/>
      </c>
      <c r="G2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4" t="n"/>
      <c r="J2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5">
        <f>_xlfn.XLOOKUP(tblAsignaciones[[#This Row],[tecnico]],tblTecnicos[nombre],tblTecnicos[supervisor],"")</f>
        <v/>
      </c>
      <c r="L27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5">
        <f>tblAsignaciones[[#This Row],[semana]]&amp;"|"&amp;tblAsignaciones[[#This Row],[dia]]&amp;"|"&amp;tblAsignaciones[[#This Row],[tecnico]]</f>
        <v/>
      </c>
      <c r="O273" s="5">
        <f>_xlfn.XLOOKUP(tblAsignaciones[[#This Row],[turno]],tblTurnos[turno],tblTurnos[hora_inicio],"")</f>
        <v/>
      </c>
      <c r="P273" s="5">
        <f>_xlfn.XLOOKUP(tblAsignaciones[[#This Row],[turno]],tblTurnos[turno],tblTurnos[hora_fin],"")</f>
        <v/>
      </c>
      <c r="Q273" s="5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5">
        <f>_xlfn.XLOOKUP(tblAsignaciones[[#This Row],[tecnico]],tblTecnicos[nombre],tblTecnicos[area],"")</f>
        <v/>
      </c>
      <c r="E274" s="5">
        <f>_xlfn.XLOOKUP(tblAsignaciones[[#This Row],[tecnico]],tblTecnicos[nombre],tblTecnicos[especialidad],"")</f>
        <v/>
      </c>
      <c r="F274" s="5">
        <f>COUNTIFS(tblTecnicos[rotativo],"sí",tblTecnicos[especialidad],tblAsignaciones[[#This Row],[especialidad]],tblTecnicos[area],tblAsignaciones[[#This Row],[area]],tblTecnicos[activo],"sí")</f>
        <v/>
      </c>
      <c r="G2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4" t="n"/>
      <c r="J2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5">
        <f>_xlfn.XLOOKUP(tblAsignaciones[[#This Row],[tecnico]],tblTecnicos[nombre],tblTecnicos[supervisor],"")</f>
        <v/>
      </c>
      <c r="L27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5">
        <f>tblAsignaciones[[#This Row],[semana]]&amp;"|"&amp;tblAsignaciones[[#This Row],[dia]]&amp;"|"&amp;tblAsignaciones[[#This Row],[tecnico]]</f>
        <v/>
      </c>
      <c r="O274" s="5">
        <f>_xlfn.XLOOKUP(tblAsignaciones[[#This Row],[turno]],tblTurnos[turno],tblTurnos[hora_inicio],"")</f>
        <v/>
      </c>
      <c r="P274" s="5">
        <f>_xlfn.XLOOKUP(tblAsignaciones[[#This Row],[turno]],tblTurnos[turno],tblTurnos[hora_fin],"")</f>
        <v/>
      </c>
      <c r="Q274" s="5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5">
        <f>_xlfn.XLOOKUP(tblAsignaciones[[#This Row],[tecnico]],tblTecnicos[nombre],tblTecnicos[area],"")</f>
        <v/>
      </c>
      <c r="E275" s="5">
        <f>_xlfn.XLOOKUP(tblAsignaciones[[#This Row],[tecnico]],tblTecnicos[nombre],tblTecnicos[especialidad],"")</f>
        <v/>
      </c>
      <c r="F275" s="5">
        <f>COUNTIFS(tblTecnicos[rotativo],"sí",tblTecnicos[especialidad],tblAsignaciones[[#This Row],[especialidad]],tblTecnicos[area],tblAsignaciones[[#This Row],[area]],tblTecnicos[activo],"sí")</f>
        <v/>
      </c>
      <c r="G2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4" t="n"/>
      <c r="J2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5">
        <f>_xlfn.XLOOKUP(tblAsignaciones[[#This Row],[tecnico]],tblTecnicos[nombre],tblTecnicos[supervisor],"")</f>
        <v/>
      </c>
      <c r="L27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5">
        <f>tblAsignaciones[[#This Row],[semana]]&amp;"|"&amp;tblAsignaciones[[#This Row],[dia]]&amp;"|"&amp;tblAsignaciones[[#This Row],[tecnico]]</f>
        <v/>
      </c>
      <c r="O275" s="5">
        <f>_xlfn.XLOOKUP(tblAsignaciones[[#This Row],[turno]],tblTurnos[turno],tblTurnos[hora_inicio],"")</f>
        <v/>
      </c>
      <c r="P275" s="5">
        <f>_xlfn.XLOOKUP(tblAsignaciones[[#This Row],[turno]],tblTurnos[turno],tblTurnos[hora_fin],"")</f>
        <v/>
      </c>
      <c r="Q275" s="5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5">
        <f>_xlfn.XLOOKUP(tblAsignaciones[[#This Row],[tecnico]],tblTecnicos[nombre],tblTecnicos[area],"")</f>
        <v/>
      </c>
      <c r="E276" s="5">
        <f>_xlfn.XLOOKUP(tblAsignaciones[[#This Row],[tecnico]],tblTecnicos[nombre],tblTecnicos[especialidad],"")</f>
        <v/>
      </c>
      <c r="F276" s="5">
        <f>COUNTIFS(tblTecnicos[rotativo],"sí",tblTecnicos[especialidad],tblAsignaciones[[#This Row],[especialidad]],tblTecnicos[area],tblAsignaciones[[#This Row],[area]],tblTecnicos[activo],"sí")</f>
        <v/>
      </c>
      <c r="G2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4" t="n"/>
      <c r="J2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5">
        <f>_xlfn.XLOOKUP(tblAsignaciones[[#This Row],[tecnico]],tblTecnicos[nombre],tblTecnicos[supervisor],"")</f>
        <v/>
      </c>
      <c r="L27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5">
        <f>tblAsignaciones[[#This Row],[semana]]&amp;"|"&amp;tblAsignaciones[[#This Row],[dia]]&amp;"|"&amp;tblAsignaciones[[#This Row],[tecnico]]</f>
        <v/>
      </c>
      <c r="O276" s="5">
        <f>_xlfn.XLOOKUP(tblAsignaciones[[#This Row],[turno]],tblTurnos[turno],tblTurnos[hora_inicio],"")</f>
        <v/>
      </c>
      <c r="P276" s="5">
        <f>_xlfn.XLOOKUP(tblAsignaciones[[#This Row],[turno]],tblTurnos[turno],tblTurnos[hora_fin],"")</f>
        <v/>
      </c>
      <c r="Q276" s="5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5">
        <f>_xlfn.XLOOKUP(tblAsignaciones[[#This Row],[tecnico]],tblTecnicos[nombre],tblTecnicos[area],"")</f>
        <v/>
      </c>
      <c r="E277" s="5">
        <f>_xlfn.XLOOKUP(tblAsignaciones[[#This Row],[tecnico]],tblTecnicos[nombre],tblTecnicos[especialidad],"")</f>
        <v/>
      </c>
      <c r="F277" s="5">
        <f>COUNTIFS(tblTecnicos[rotativo],"sí",tblTecnicos[especialidad],tblAsignaciones[[#This Row],[especialidad]],tblTecnicos[area],tblAsignaciones[[#This Row],[area]],tblTecnicos[activo],"sí")</f>
        <v/>
      </c>
      <c r="G2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4" t="n"/>
      <c r="J2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5">
        <f>_xlfn.XLOOKUP(tblAsignaciones[[#This Row],[tecnico]],tblTecnicos[nombre],tblTecnicos[supervisor],"")</f>
        <v/>
      </c>
      <c r="L27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5">
        <f>tblAsignaciones[[#This Row],[semana]]&amp;"|"&amp;tblAsignaciones[[#This Row],[dia]]&amp;"|"&amp;tblAsignaciones[[#This Row],[tecnico]]</f>
        <v/>
      </c>
      <c r="O277" s="5">
        <f>_xlfn.XLOOKUP(tblAsignaciones[[#This Row],[turno]],tblTurnos[turno],tblTurnos[hora_inicio],"")</f>
        <v/>
      </c>
      <c r="P277" s="5">
        <f>_xlfn.XLOOKUP(tblAsignaciones[[#This Row],[turno]],tblTurnos[turno],tblTurnos[hora_fin],"")</f>
        <v/>
      </c>
      <c r="Q277" s="5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5">
        <f>_xlfn.XLOOKUP(tblAsignaciones[[#This Row],[tecnico]],tblTecnicos[nombre],tblTecnicos[area],"")</f>
        <v/>
      </c>
      <c r="E278" s="5">
        <f>_xlfn.XLOOKUP(tblAsignaciones[[#This Row],[tecnico]],tblTecnicos[nombre],tblTecnicos[especialidad],"")</f>
        <v/>
      </c>
      <c r="F278" s="5">
        <f>COUNTIFS(tblTecnicos[rotativo],"sí",tblTecnicos[especialidad],tblAsignaciones[[#This Row],[especialidad]],tblTecnicos[area],tblAsignaciones[[#This Row],[area]],tblTecnicos[activo],"sí")</f>
        <v/>
      </c>
      <c r="G2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4" t="n"/>
      <c r="J2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5">
        <f>_xlfn.XLOOKUP(tblAsignaciones[[#This Row],[tecnico]],tblTecnicos[nombre],tblTecnicos[supervisor],"")</f>
        <v/>
      </c>
      <c r="L27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5">
        <f>tblAsignaciones[[#This Row],[semana]]&amp;"|"&amp;tblAsignaciones[[#This Row],[dia]]&amp;"|"&amp;tblAsignaciones[[#This Row],[tecnico]]</f>
        <v/>
      </c>
      <c r="O278" s="5">
        <f>_xlfn.XLOOKUP(tblAsignaciones[[#This Row],[turno]],tblTurnos[turno],tblTurnos[hora_inicio],"")</f>
        <v/>
      </c>
      <c r="P278" s="5">
        <f>_xlfn.XLOOKUP(tblAsignaciones[[#This Row],[turno]],tblTurnos[turno],tblTurnos[hora_fin],"")</f>
        <v/>
      </c>
      <c r="Q278" s="5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5">
        <f>_xlfn.XLOOKUP(tblAsignaciones[[#This Row],[tecnico]],tblTecnicos[nombre],tblTecnicos[area],"")</f>
        <v/>
      </c>
      <c r="E279" s="5">
        <f>_xlfn.XLOOKUP(tblAsignaciones[[#This Row],[tecnico]],tblTecnicos[nombre],tblTecnicos[especialidad],"")</f>
        <v/>
      </c>
      <c r="F279" s="5">
        <f>COUNTIFS(tblTecnicos[rotativo],"sí",tblTecnicos[especialidad],tblAsignaciones[[#This Row],[especialidad]],tblTecnicos[area],tblAsignaciones[[#This Row],[area]],tblTecnicos[activo],"sí")</f>
        <v/>
      </c>
      <c r="G2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4" t="n"/>
      <c r="J2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5">
        <f>_xlfn.XLOOKUP(tblAsignaciones[[#This Row],[tecnico]],tblTecnicos[nombre],tblTecnicos[supervisor],"")</f>
        <v/>
      </c>
      <c r="L27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5">
        <f>tblAsignaciones[[#This Row],[semana]]&amp;"|"&amp;tblAsignaciones[[#This Row],[dia]]&amp;"|"&amp;tblAsignaciones[[#This Row],[tecnico]]</f>
        <v/>
      </c>
      <c r="O279" s="5">
        <f>_xlfn.XLOOKUP(tblAsignaciones[[#This Row],[turno]],tblTurnos[turno],tblTurnos[hora_inicio],"")</f>
        <v/>
      </c>
      <c r="P279" s="5">
        <f>_xlfn.XLOOKUP(tblAsignaciones[[#This Row],[turno]],tblTurnos[turno],tblTurnos[hora_fin],"")</f>
        <v/>
      </c>
      <c r="Q279" s="5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5">
        <f>_xlfn.XLOOKUP(tblAsignaciones[[#This Row],[tecnico]],tblTecnicos[nombre],tblTecnicos[area],"")</f>
        <v/>
      </c>
      <c r="E280" s="5">
        <f>_xlfn.XLOOKUP(tblAsignaciones[[#This Row],[tecnico]],tblTecnicos[nombre],tblTecnicos[especialidad],"")</f>
        <v/>
      </c>
      <c r="F280" s="5">
        <f>COUNTIFS(tblTecnicos[rotativo],"sí",tblTecnicos[especialidad],tblAsignaciones[[#This Row],[especialidad]],tblTecnicos[area],tblAsignaciones[[#This Row],[area]],tblTecnicos[activo],"sí")</f>
        <v/>
      </c>
      <c r="G2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4" t="n"/>
      <c r="J2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5">
        <f>_xlfn.XLOOKUP(tblAsignaciones[[#This Row],[tecnico]],tblTecnicos[nombre],tblTecnicos[supervisor],"")</f>
        <v/>
      </c>
      <c r="L28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5">
        <f>tblAsignaciones[[#This Row],[semana]]&amp;"|"&amp;tblAsignaciones[[#This Row],[dia]]&amp;"|"&amp;tblAsignaciones[[#This Row],[tecnico]]</f>
        <v/>
      </c>
      <c r="O280" s="5">
        <f>_xlfn.XLOOKUP(tblAsignaciones[[#This Row],[turno]],tblTurnos[turno],tblTurnos[hora_inicio],"")</f>
        <v/>
      </c>
      <c r="P280" s="5">
        <f>_xlfn.XLOOKUP(tblAsignaciones[[#This Row],[turno]],tblTurnos[turno],tblTurnos[hora_fin],"")</f>
        <v/>
      </c>
      <c r="Q280" s="5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5">
        <f>_xlfn.XLOOKUP(tblAsignaciones[[#This Row],[tecnico]],tblTecnicos[nombre],tblTecnicos[area],"")</f>
        <v/>
      </c>
      <c r="E281" s="5">
        <f>_xlfn.XLOOKUP(tblAsignaciones[[#This Row],[tecnico]],tblTecnicos[nombre],tblTecnicos[especialidad],"")</f>
        <v/>
      </c>
      <c r="F281" s="5">
        <f>COUNTIFS(tblTecnicos[rotativo],"sí",tblTecnicos[especialidad],tblAsignaciones[[#This Row],[especialidad]],tblTecnicos[area],tblAsignaciones[[#This Row],[area]],tblTecnicos[activo],"sí")</f>
        <v/>
      </c>
      <c r="G2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4" t="n"/>
      <c r="J2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5">
        <f>_xlfn.XLOOKUP(tblAsignaciones[[#This Row],[tecnico]],tblTecnicos[nombre],tblTecnicos[supervisor],"")</f>
        <v/>
      </c>
      <c r="L28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5">
        <f>tblAsignaciones[[#This Row],[semana]]&amp;"|"&amp;tblAsignaciones[[#This Row],[dia]]&amp;"|"&amp;tblAsignaciones[[#This Row],[tecnico]]</f>
        <v/>
      </c>
      <c r="O281" s="5">
        <f>_xlfn.XLOOKUP(tblAsignaciones[[#This Row],[turno]],tblTurnos[turno],tblTurnos[hora_inicio],"")</f>
        <v/>
      </c>
      <c r="P281" s="5">
        <f>_xlfn.XLOOKUP(tblAsignaciones[[#This Row],[turno]],tblTurnos[turno],tblTurnos[hora_fin],"")</f>
        <v/>
      </c>
      <c r="Q281" s="5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5">
        <f>_xlfn.XLOOKUP(tblAsignaciones[[#This Row],[tecnico]],tblTecnicos[nombre],tblTecnicos[area],"")</f>
        <v/>
      </c>
      <c r="E282" s="5">
        <f>_xlfn.XLOOKUP(tblAsignaciones[[#This Row],[tecnico]],tblTecnicos[nombre],tblTecnicos[especialidad],"")</f>
        <v/>
      </c>
      <c r="F282" s="5">
        <f>COUNTIFS(tblTecnicos[rotativo],"sí",tblTecnicos[especialidad],tblAsignaciones[[#This Row],[especialidad]],tblTecnicos[area],tblAsignaciones[[#This Row],[area]],tblTecnicos[activo],"sí")</f>
        <v/>
      </c>
      <c r="G2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4" t="n"/>
      <c r="J2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5">
        <f>_xlfn.XLOOKUP(tblAsignaciones[[#This Row],[tecnico]],tblTecnicos[nombre],tblTecnicos[supervisor],"")</f>
        <v/>
      </c>
      <c r="L28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5">
        <f>tblAsignaciones[[#This Row],[semana]]&amp;"|"&amp;tblAsignaciones[[#This Row],[dia]]&amp;"|"&amp;tblAsignaciones[[#This Row],[tecnico]]</f>
        <v/>
      </c>
      <c r="O282" s="5">
        <f>_xlfn.XLOOKUP(tblAsignaciones[[#This Row],[turno]],tblTurnos[turno],tblTurnos[hora_inicio],"")</f>
        <v/>
      </c>
      <c r="P282" s="5">
        <f>_xlfn.XLOOKUP(tblAsignaciones[[#This Row],[turno]],tblTurnos[turno],tblTurnos[hora_fin],"")</f>
        <v/>
      </c>
      <c r="Q282" s="5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5">
        <f>_xlfn.XLOOKUP(tblAsignaciones[[#This Row],[tecnico]],tblTecnicos[nombre],tblTecnicos[area],"")</f>
        <v/>
      </c>
      <c r="E283" s="5">
        <f>_xlfn.XLOOKUP(tblAsignaciones[[#This Row],[tecnico]],tblTecnicos[nombre],tblTecnicos[especialidad],"")</f>
        <v/>
      </c>
      <c r="F283" s="5">
        <f>COUNTIFS(tblTecnicos[rotativo],"sí",tblTecnicos[especialidad],tblAsignaciones[[#This Row],[especialidad]],tblTecnicos[area],tblAsignaciones[[#This Row],[area]],tblTecnicos[activo],"sí")</f>
        <v/>
      </c>
      <c r="G2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4" t="n"/>
      <c r="J2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5">
        <f>_xlfn.XLOOKUP(tblAsignaciones[[#This Row],[tecnico]],tblTecnicos[nombre],tblTecnicos[supervisor],"")</f>
        <v/>
      </c>
      <c r="L28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5">
        <f>tblAsignaciones[[#This Row],[semana]]&amp;"|"&amp;tblAsignaciones[[#This Row],[dia]]&amp;"|"&amp;tblAsignaciones[[#This Row],[tecnico]]</f>
        <v/>
      </c>
      <c r="O283" s="5">
        <f>_xlfn.XLOOKUP(tblAsignaciones[[#This Row],[turno]],tblTurnos[turno],tblTurnos[hora_inicio],"")</f>
        <v/>
      </c>
      <c r="P283" s="5">
        <f>_xlfn.XLOOKUP(tblAsignaciones[[#This Row],[turno]],tblTurnos[turno],tblTurnos[hora_fin],"")</f>
        <v/>
      </c>
      <c r="Q283" s="5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5">
        <f>_xlfn.XLOOKUP(tblAsignaciones[[#This Row],[tecnico]],tblTecnicos[nombre],tblTecnicos[area],"")</f>
        <v/>
      </c>
      <c r="E284" s="5">
        <f>_xlfn.XLOOKUP(tblAsignaciones[[#This Row],[tecnico]],tblTecnicos[nombre],tblTecnicos[especialidad],"")</f>
        <v/>
      </c>
      <c r="F284" s="5">
        <f>COUNTIFS(tblTecnicos[rotativo],"sí",tblTecnicos[especialidad],tblAsignaciones[[#This Row],[especialidad]],tblTecnicos[area],tblAsignaciones[[#This Row],[area]],tblTecnicos[activo],"sí")</f>
        <v/>
      </c>
      <c r="G2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4" t="n"/>
      <c r="J2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5">
        <f>_xlfn.XLOOKUP(tblAsignaciones[[#This Row],[tecnico]],tblTecnicos[nombre],tblTecnicos[supervisor],"")</f>
        <v/>
      </c>
      <c r="L28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5">
        <f>tblAsignaciones[[#This Row],[semana]]&amp;"|"&amp;tblAsignaciones[[#This Row],[dia]]&amp;"|"&amp;tblAsignaciones[[#This Row],[tecnico]]</f>
        <v/>
      </c>
      <c r="O284" s="5">
        <f>_xlfn.XLOOKUP(tblAsignaciones[[#This Row],[turno]],tblTurnos[turno],tblTurnos[hora_inicio],"")</f>
        <v/>
      </c>
      <c r="P284" s="5">
        <f>_xlfn.XLOOKUP(tblAsignaciones[[#This Row],[turno]],tblTurnos[turno],tblTurnos[hora_fin],"")</f>
        <v/>
      </c>
      <c r="Q284" s="5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5">
        <f>_xlfn.XLOOKUP(tblAsignaciones[[#This Row],[tecnico]],tblTecnicos[nombre],tblTecnicos[area],"")</f>
        <v/>
      </c>
      <c r="E285" s="5">
        <f>_xlfn.XLOOKUP(tblAsignaciones[[#This Row],[tecnico]],tblTecnicos[nombre],tblTecnicos[especialidad],"")</f>
        <v/>
      </c>
      <c r="F285" s="5">
        <f>COUNTIFS(tblTecnicos[rotativo],"sí",tblTecnicos[especialidad],tblAsignaciones[[#This Row],[especialidad]],tblTecnicos[area],tblAsignaciones[[#This Row],[area]],tblTecnicos[activo],"sí")</f>
        <v/>
      </c>
      <c r="G2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4" t="n"/>
      <c r="J2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5">
        <f>_xlfn.XLOOKUP(tblAsignaciones[[#This Row],[tecnico]],tblTecnicos[nombre],tblTecnicos[supervisor],"")</f>
        <v/>
      </c>
      <c r="L28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5">
        <f>tblAsignaciones[[#This Row],[semana]]&amp;"|"&amp;tblAsignaciones[[#This Row],[dia]]&amp;"|"&amp;tblAsignaciones[[#This Row],[tecnico]]</f>
        <v/>
      </c>
      <c r="O285" s="5">
        <f>_xlfn.XLOOKUP(tblAsignaciones[[#This Row],[turno]],tblTurnos[turno],tblTurnos[hora_inicio],"")</f>
        <v/>
      </c>
      <c r="P285" s="5">
        <f>_xlfn.XLOOKUP(tblAsignaciones[[#This Row],[turno]],tblTurnos[turno],tblTurnos[hora_fin],"")</f>
        <v/>
      </c>
      <c r="Q285" s="5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5">
        <f>_xlfn.XLOOKUP(tblAsignaciones[[#This Row],[tecnico]],tblTecnicos[nombre],tblTecnicos[area],"")</f>
        <v/>
      </c>
      <c r="E286" s="5">
        <f>_xlfn.XLOOKUP(tblAsignaciones[[#This Row],[tecnico]],tblTecnicos[nombre],tblTecnicos[especialidad],"")</f>
        <v/>
      </c>
      <c r="F286" s="5">
        <f>COUNTIFS(tblTecnicos[rotativo],"sí",tblTecnicos[especialidad],tblAsignaciones[[#This Row],[especialidad]],tblTecnicos[area],tblAsignaciones[[#This Row],[area]],tblTecnicos[activo],"sí")</f>
        <v/>
      </c>
      <c r="G2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4" t="n"/>
      <c r="J2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5">
        <f>_xlfn.XLOOKUP(tblAsignaciones[[#This Row],[tecnico]],tblTecnicos[nombre],tblTecnicos[supervisor],"")</f>
        <v/>
      </c>
      <c r="L28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5">
        <f>tblAsignaciones[[#This Row],[semana]]&amp;"|"&amp;tblAsignaciones[[#This Row],[dia]]&amp;"|"&amp;tblAsignaciones[[#This Row],[tecnico]]</f>
        <v/>
      </c>
      <c r="O286" s="5">
        <f>_xlfn.XLOOKUP(tblAsignaciones[[#This Row],[turno]],tblTurnos[turno],tblTurnos[hora_inicio],"")</f>
        <v/>
      </c>
      <c r="P286" s="5">
        <f>_xlfn.XLOOKUP(tblAsignaciones[[#This Row],[turno]],tblTurnos[turno],tblTurnos[hora_fin],"")</f>
        <v/>
      </c>
      <c r="Q286" s="5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5">
        <f>_xlfn.XLOOKUP(tblAsignaciones[[#This Row],[tecnico]],tblTecnicos[nombre],tblTecnicos[area],"")</f>
        <v/>
      </c>
      <c r="E287" s="5">
        <f>_xlfn.XLOOKUP(tblAsignaciones[[#This Row],[tecnico]],tblTecnicos[nombre],tblTecnicos[especialidad],"")</f>
        <v/>
      </c>
      <c r="F287" s="5">
        <f>COUNTIFS(tblTecnicos[rotativo],"sí",tblTecnicos[especialidad],tblAsignaciones[[#This Row],[especialidad]],tblTecnicos[area],tblAsignaciones[[#This Row],[area]],tblTecnicos[activo],"sí")</f>
        <v/>
      </c>
      <c r="G2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4" t="n"/>
      <c r="J2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5">
        <f>_xlfn.XLOOKUP(tblAsignaciones[[#This Row],[tecnico]],tblTecnicos[nombre],tblTecnicos[supervisor],"")</f>
        <v/>
      </c>
      <c r="L28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5">
        <f>tblAsignaciones[[#This Row],[semana]]&amp;"|"&amp;tblAsignaciones[[#This Row],[dia]]&amp;"|"&amp;tblAsignaciones[[#This Row],[tecnico]]</f>
        <v/>
      </c>
      <c r="O287" s="5">
        <f>_xlfn.XLOOKUP(tblAsignaciones[[#This Row],[turno]],tblTurnos[turno],tblTurnos[hora_inicio],"")</f>
        <v/>
      </c>
      <c r="P287" s="5">
        <f>_xlfn.XLOOKUP(tblAsignaciones[[#This Row],[turno]],tblTurnos[turno],tblTurnos[hora_fin],"")</f>
        <v/>
      </c>
      <c r="Q287" s="5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5">
        <f>_xlfn.XLOOKUP(tblAsignaciones[[#This Row],[tecnico]],tblTecnicos[nombre],tblTecnicos[area],"")</f>
        <v/>
      </c>
      <c r="E288" s="5">
        <f>_xlfn.XLOOKUP(tblAsignaciones[[#This Row],[tecnico]],tblTecnicos[nombre],tblTecnicos[especialidad],"")</f>
        <v/>
      </c>
      <c r="F288" s="5">
        <f>COUNTIFS(tblTecnicos[rotativo],"sí",tblTecnicos[especialidad],tblAsignaciones[[#This Row],[especialidad]],tblTecnicos[area],tblAsignaciones[[#This Row],[area]],tblTecnicos[activo],"sí")</f>
        <v/>
      </c>
      <c r="G2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4" t="n"/>
      <c r="J2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5">
        <f>_xlfn.XLOOKUP(tblAsignaciones[[#This Row],[tecnico]],tblTecnicos[nombre],tblTecnicos[supervisor],"")</f>
        <v/>
      </c>
      <c r="L28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5">
        <f>tblAsignaciones[[#This Row],[semana]]&amp;"|"&amp;tblAsignaciones[[#This Row],[dia]]&amp;"|"&amp;tblAsignaciones[[#This Row],[tecnico]]</f>
        <v/>
      </c>
      <c r="O288" s="5">
        <f>_xlfn.XLOOKUP(tblAsignaciones[[#This Row],[turno]],tblTurnos[turno],tblTurnos[hora_inicio],"")</f>
        <v/>
      </c>
      <c r="P288" s="5">
        <f>_xlfn.XLOOKUP(tblAsignaciones[[#This Row],[turno]],tblTurnos[turno],tblTurnos[hora_fin],"")</f>
        <v/>
      </c>
      <c r="Q288" s="5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5">
        <f>_xlfn.XLOOKUP(tblAsignaciones[[#This Row],[tecnico]],tblTecnicos[nombre],tblTecnicos[area],"")</f>
        <v/>
      </c>
      <c r="E289" s="5">
        <f>_xlfn.XLOOKUP(tblAsignaciones[[#This Row],[tecnico]],tblTecnicos[nombre],tblTecnicos[especialidad],"")</f>
        <v/>
      </c>
      <c r="F289" s="5">
        <f>COUNTIFS(tblTecnicos[rotativo],"sí",tblTecnicos[especialidad],tblAsignaciones[[#This Row],[especialidad]],tblTecnicos[area],tblAsignaciones[[#This Row],[area]],tblTecnicos[activo],"sí")</f>
        <v/>
      </c>
      <c r="G2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4" t="n"/>
      <c r="J2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5">
        <f>_xlfn.XLOOKUP(tblAsignaciones[[#This Row],[tecnico]],tblTecnicos[nombre],tblTecnicos[supervisor],"")</f>
        <v/>
      </c>
      <c r="L28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5">
        <f>tblAsignaciones[[#This Row],[semana]]&amp;"|"&amp;tblAsignaciones[[#This Row],[dia]]&amp;"|"&amp;tblAsignaciones[[#This Row],[tecnico]]</f>
        <v/>
      </c>
      <c r="O289" s="5">
        <f>_xlfn.XLOOKUP(tblAsignaciones[[#This Row],[turno]],tblTurnos[turno],tblTurnos[hora_inicio],"")</f>
        <v/>
      </c>
      <c r="P289" s="5">
        <f>_xlfn.XLOOKUP(tblAsignaciones[[#This Row],[turno]],tblTurnos[turno],tblTurnos[hora_fin],"")</f>
        <v/>
      </c>
      <c r="Q289" s="5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5">
        <f>_xlfn.XLOOKUP(tblAsignaciones[[#This Row],[tecnico]],tblTecnicos[nombre],tblTecnicos[area],"")</f>
        <v/>
      </c>
      <c r="E290" s="5">
        <f>_xlfn.XLOOKUP(tblAsignaciones[[#This Row],[tecnico]],tblTecnicos[nombre],tblTecnicos[especialidad],"")</f>
        <v/>
      </c>
      <c r="F290" s="5">
        <f>COUNTIFS(tblTecnicos[rotativo],"sí",tblTecnicos[especialidad],tblAsignaciones[[#This Row],[especialidad]],tblTecnicos[area],tblAsignaciones[[#This Row],[area]],tblTecnicos[activo],"sí")</f>
        <v/>
      </c>
      <c r="G2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4" t="n"/>
      <c r="J2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5">
        <f>_xlfn.XLOOKUP(tblAsignaciones[[#This Row],[tecnico]],tblTecnicos[nombre],tblTecnicos[supervisor],"")</f>
        <v/>
      </c>
      <c r="L29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5">
        <f>tblAsignaciones[[#This Row],[semana]]&amp;"|"&amp;tblAsignaciones[[#This Row],[dia]]&amp;"|"&amp;tblAsignaciones[[#This Row],[tecnico]]</f>
        <v/>
      </c>
      <c r="O290" s="5">
        <f>_xlfn.XLOOKUP(tblAsignaciones[[#This Row],[turno]],tblTurnos[turno],tblTurnos[hora_inicio],"")</f>
        <v/>
      </c>
      <c r="P290" s="5">
        <f>_xlfn.XLOOKUP(tblAsignaciones[[#This Row],[turno]],tblTurnos[turno],tblTurnos[hora_fin],"")</f>
        <v/>
      </c>
      <c r="Q290" s="5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5">
        <f>_xlfn.XLOOKUP(tblAsignaciones[[#This Row],[tecnico]],tblTecnicos[nombre],tblTecnicos[area],"")</f>
        <v/>
      </c>
      <c r="E291" s="5">
        <f>_xlfn.XLOOKUP(tblAsignaciones[[#This Row],[tecnico]],tblTecnicos[nombre],tblTecnicos[especialidad],"")</f>
        <v/>
      </c>
      <c r="F291" s="5">
        <f>COUNTIFS(tblTecnicos[rotativo],"sí",tblTecnicos[especialidad],tblAsignaciones[[#This Row],[especialidad]],tblTecnicos[area],tblAsignaciones[[#This Row],[area]],tblTecnicos[activo],"sí")</f>
        <v/>
      </c>
      <c r="G2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4" t="n"/>
      <c r="J2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5">
        <f>_xlfn.XLOOKUP(tblAsignaciones[[#This Row],[tecnico]],tblTecnicos[nombre],tblTecnicos[supervisor],"")</f>
        <v/>
      </c>
      <c r="L29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5">
        <f>tblAsignaciones[[#This Row],[semana]]&amp;"|"&amp;tblAsignaciones[[#This Row],[dia]]&amp;"|"&amp;tblAsignaciones[[#This Row],[tecnico]]</f>
        <v/>
      </c>
      <c r="O291" s="5">
        <f>_xlfn.XLOOKUP(tblAsignaciones[[#This Row],[turno]],tblTurnos[turno],tblTurnos[hora_inicio],"")</f>
        <v/>
      </c>
      <c r="P291" s="5">
        <f>_xlfn.XLOOKUP(tblAsignaciones[[#This Row],[turno]],tblTurnos[turno],tblTurnos[hora_fin],"")</f>
        <v/>
      </c>
      <c r="Q291" s="5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5">
        <f>_xlfn.XLOOKUP(tblAsignaciones[[#This Row],[tecnico]],tblTecnicos[nombre],tblTecnicos[area],"")</f>
        <v/>
      </c>
      <c r="E292" s="5">
        <f>_xlfn.XLOOKUP(tblAsignaciones[[#This Row],[tecnico]],tblTecnicos[nombre],tblTecnicos[especialidad],"")</f>
        <v/>
      </c>
      <c r="F292" s="5">
        <f>COUNTIFS(tblTecnicos[rotativo],"sí",tblTecnicos[especialidad],tblAsignaciones[[#This Row],[especialidad]],tblTecnicos[area],tblAsignaciones[[#This Row],[area]],tblTecnicos[activo],"sí")</f>
        <v/>
      </c>
      <c r="G2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4" t="n"/>
      <c r="J2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5">
        <f>_xlfn.XLOOKUP(tblAsignaciones[[#This Row],[tecnico]],tblTecnicos[nombre],tblTecnicos[supervisor],"")</f>
        <v/>
      </c>
      <c r="L29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5">
        <f>tblAsignaciones[[#This Row],[semana]]&amp;"|"&amp;tblAsignaciones[[#This Row],[dia]]&amp;"|"&amp;tblAsignaciones[[#This Row],[tecnico]]</f>
        <v/>
      </c>
      <c r="O292" s="5">
        <f>_xlfn.XLOOKUP(tblAsignaciones[[#This Row],[turno]],tblTurnos[turno],tblTurnos[hora_inicio],"")</f>
        <v/>
      </c>
      <c r="P292" s="5">
        <f>_xlfn.XLOOKUP(tblAsignaciones[[#This Row],[turno]],tblTurnos[turno],tblTurnos[hora_fin],"")</f>
        <v/>
      </c>
      <c r="Q292" s="5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5">
        <f>_xlfn.XLOOKUP(tblAsignaciones[[#This Row],[tecnico]],tblTecnicos[nombre],tblTecnicos[area],"")</f>
        <v/>
      </c>
      <c r="E293" s="5">
        <f>_xlfn.XLOOKUP(tblAsignaciones[[#This Row],[tecnico]],tblTecnicos[nombre],tblTecnicos[especialidad],"")</f>
        <v/>
      </c>
      <c r="F293" s="5">
        <f>COUNTIFS(tblTecnicos[rotativo],"sí",tblTecnicos[especialidad],tblAsignaciones[[#This Row],[especialidad]],tblTecnicos[area],tblAsignaciones[[#This Row],[area]],tblTecnicos[activo],"sí")</f>
        <v/>
      </c>
      <c r="G2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4" t="n"/>
      <c r="J2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5">
        <f>_xlfn.XLOOKUP(tblAsignaciones[[#This Row],[tecnico]],tblTecnicos[nombre],tblTecnicos[supervisor],"")</f>
        <v/>
      </c>
      <c r="L29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5">
        <f>tblAsignaciones[[#This Row],[semana]]&amp;"|"&amp;tblAsignaciones[[#This Row],[dia]]&amp;"|"&amp;tblAsignaciones[[#This Row],[tecnico]]</f>
        <v/>
      </c>
      <c r="O293" s="5">
        <f>_xlfn.XLOOKUP(tblAsignaciones[[#This Row],[turno]],tblTurnos[turno],tblTurnos[hora_inicio],"")</f>
        <v/>
      </c>
      <c r="P293" s="5">
        <f>_xlfn.XLOOKUP(tblAsignaciones[[#This Row],[turno]],tblTurnos[turno],tblTurnos[hora_fin],"")</f>
        <v/>
      </c>
      <c r="Q293" s="5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5">
        <f>_xlfn.XLOOKUP(tblAsignaciones[[#This Row],[tecnico]],tblTecnicos[nombre],tblTecnicos[area],"")</f>
        <v/>
      </c>
      <c r="E294" s="5">
        <f>_xlfn.XLOOKUP(tblAsignaciones[[#This Row],[tecnico]],tblTecnicos[nombre],tblTecnicos[especialidad],"")</f>
        <v/>
      </c>
      <c r="F294" s="5">
        <f>COUNTIFS(tblTecnicos[rotativo],"sí",tblTecnicos[especialidad],tblAsignaciones[[#This Row],[especialidad]],tblTecnicos[area],tblAsignaciones[[#This Row],[area]],tblTecnicos[activo],"sí")</f>
        <v/>
      </c>
      <c r="G2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4" t="n"/>
      <c r="J2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5">
        <f>_xlfn.XLOOKUP(tblAsignaciones[[#This Row],[tecnico]],tblTecnicos[nombre],tblTecnicos[supervisor],"")</f>
        <v/>
      </c>
      <c r="L29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5">
        <f>tblAsignaciones[[#This Row],[semana]]&amp;"|"&amp;tblAsignaciones[[#This Row],[dia]]&amp;"|"&amp;tblAsignaciones[[#This Row],[tecnico]]</f>
        <v/>
      </c>
      <c r="O294" s="5">
        <f>_xlfn.XLOOKUP(tblAsignaciones[[#This Row],[turno]],tblTurnos[turno],tblTurnos[hora_inicio],"")</f>
        <v/>
      </c>
      <c r="P294" s="5">
        <f>_xlfn.XLOOKUP(tblAsignaciones[[#This Row],[turno]],tblTurnos[turno],tblTurnos[hora_fin],"")</f>
        <v/>
      </c>
      <c r="Q294" s="5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5">
        <f>_xlfn.XLOOKUP(tblAsignaciones[[#This Row],[tecnico]],tblTecnicos[nombre],tblTecnicos[area],"")</f>
        <v/>
      </c>
      <c r="E295" s="5">
        <f>_xlfn.XLOOKUP(tblAsignaciones[[#This Row],[tecnico]],tblTecnicos[nombre],tblTecnicos[especialidad],"")</f>
        <v/>
      </c>
      <c r="F295" s="5">
        <f>COUNTIFS(tblTecnicos[rotativo],"sí",tblTecnicos[especialidad],tblAsignaciones[[#This Row],[especialidad]],tblTecnicos[area],tblAsignaciones[[#This Row],[area]],tblTecnicos[activo],"sí")</f>
        <v/>
      </c>
      <c r="G2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4" t="n"/>
      <c r="J2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5">
        <f>_xlfn.XLOOKUP(tblAsignaciones[[#This Row],[tecnico]],tblTecnicos[nombre],tblTecnicos[supervisor],"")</f>
        <v/>
      </c>
      <c r="L29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5">
        <f>tblAsignaciones[[#This Row],[semana]]&amp;"|"&amp;tblAsignaciones[[#This Row],[dia]]&amp;"|"&amp;tblAsignaciones[[#This Row],[tecnico]]</f>
        <v/>
      </c>
      <c r="O295" s="5">
        <f>_xlfn.XLOOKUP(tblAsignaciones[[#This Row],[turno]],tblTurnos[turno],tblTurnos[hora_inicio],"")</f>
        <v/>
      </c>
      <c r="P295" s="5">
        <f>_xlfn.XLOOKUP(tblAsignaciones[[#This Row],[turno]],tblTurnos[turno],tblTurnos[hora_fin],"")</f>
        <v/>
      </c>
      <c r="Q295" s="5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5">
        <f>_xlfn.XLOOKUP(tblAsignaciones[[#This Row],[tecnico]],tblTecnicos[nombre],tblTecnicos[area],"")</f>
        <v/>
      </c>
      <c r="E296" s="5">
        <f>_xlfn.XLOOKUP(tblAsignaciones[[#This Row],[tecnico]],tblTecnicos[nombre],tblTecnicos[especialidad],"")</f>
        <v/>
      </c>
      <c r="F296" s="5">
        <f>COUNTIFS(tblTecnicos[rotativo],"sí",tblTecnicos[especialidad],tblAsignaciones[[#This Row],[especialidad]],tblTecnicos[area],tblAsignaciones[[#This Row],[area]],tblTecnicos[activo],"sí")</f>
        <v/>
      </c>
      <c r="G2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4" t="n"/>
      <c r="J2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5">
        <f>_xlfn.XLOOKUP(tblAsignaciones[[#This Row],[tecnico]],tblTecnicos[nombre],tblTecnicos[supervisor],"")</f>
        <v/>
      </c>
      <c r="L29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5">
        <f>tblAsignaciones[[#This Row],[semana]]&amp;"|"&amp;tblAsignaciones[[#This Row],[dia]]&amp;"|"&amp;tblAsignaciones[[#This Row],[tecnico]]</f>
        <v/>
      </c>
      <c r="O296" s="5">
        <f>_xlfn.XLOOKUP(tblAsignaciones[[#This Row],[turno]],tblTurnos[turno],tblTurnos[hora_inicio],"")</f>
        <v/>
      </c>
      <c r="P296" s="5">
        <f>_xlfn.XLOOKUP(tblAsignaciones[[#This Row],[turno]],tblTurnos[turno],tblTurnos[hora_fin],"")</f>
        <v/>
      </c>
      <c r="Q296" s="5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5">
        <f>_xlfn.XLOOKUP(tblAsignaciones[[#This Row],[tecnico]],tblTecnicos[nombre],tblTecnicos[area],"")</f>
        <v/>
      </c>
      <c r="E297" s="5">
        <f>_xlfn.XLOOKUP(tblAsignaciones[[#This Row],[tecnico]],tblTecnicos[nombre],tblTecnicos[especialidad],"")</f>
        <v/>
      </c>
      <c r="F297" s="5">
        <f>COUNTIFS(tblTecnicos[rotativo],"sí",tblTecnicos[especialidad],tblAsignaciones[[#This Row],[especialidad]],tblTecnicos[area],tblAsignaciones[[#This Row],[area]],tblTecnicos[activo],"sí")</f>
        <v/>
      </c>
      <c r="G2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4" t="n"/>
      <c r="J2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5">
        <f>_xlfn.XLOOKUP(tblAsignaciones[[#This Row],[tecnico]],tblTecnicos[nombre],tblTecnicos[supervisor],"")</f>
        <v/>
      </c>
      <c r="L29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5">
        <f>tblAsignaciones[[#This Row],[semana]]&amp;"|"&amp;tblAsignaciones[[#This Row],[dia]]&amp;"|"&amp;tblAsignaciones[[#This Row],[tecnico]]</f>
        <v/>
      </c>
      <c r="O297" s="5">
        <f>_xlfn.XLOOKUP(tblAsignaciones[[#This Row],[turno]],tblTurnos[turno],tblTurnos[hora_inicio],"")</f>
        <v/>
      </c>
      <c r="P297" s="5">
        <f>_xlfn.XLOOKUP(tblAsignaciones[[#This Row],[turno]],tblTurnos[turno],tblTurnos[hora_fin],"")</f>
        <v/>
      </c>
      <c r="Q297" s="5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5">
        <f>_xlfn.XLOOKUP(tblAsignaciones[[#This Row],[tecnico]],tblTecnicos[nombre],tblTecnicos[area],"")</f>
        <v/>
      </c>
      <c r="E298" s="5">
        <f>_xlfn.XLOOKUP(tblAsignaciones[[#This Row],[tecnico]],tblTecnicos[nombre],tblTecnicos[especialidad],"")</f>
        <v/>
      </c>
      <c r="F298" s="5">
        <f>COUNTIFS(tblTecnicos[rotativo],"sí",tblTecnicos[especialidad],tblAsignaciones[[#This Row],[especialidad]],tblTecnicos[area],tblAsignaciones[[#This Row],[area]],tblTecnicos[activo],"sí")</f>
        <v/>
      </c>
      <c r="G2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4" t="n"/>
      <c r="J2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5">
        <f>_xlfn.XLOOKUP(tblAsignaciones[[#This Row],[tecnico]],tblTecnicos[nombre],tblTecnicos[supervisor],"")</f>
        <v/>
      </c>
      <c r="L29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5">
        <f>tblAsignaciones[[#This Row],[semana]]&amp;"|"&amp;tblAsignaciones[[#This Row],[dia]]&amp;"|"&amp;tblAsignaciones[[#This Row],[tecnico]]</f>
        <v/>
      </c>
      <c r="O298" s="5">
        <f>_xlfn.XLOOKUP(tblAsignaciones[[#This Row],[turno]],tblTurnos[turno],tblTurnos[hora_inicio],"")</f>
        <v/>
      </c>
      <c r="P298" s="5">
        <f>_xlfn.XLOOKUP(tblAsignaciones[[#This Row],[turno]],tblTurnos[turno],tblTurnos[hora_fin],"")</f>
        <v/>
      </c>
      <c r="Q298" s="5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5">
        <f>_xlfn.XLOOKUP(tblAsignaciones[[#This Row],[tecnico]],tblTecnicos[nombre],tblTecnicos[area],"")</f>
        <v/>
      </c>
      <c r="E299" s="5">
        <f>_xlfn.XLOOKUP(tblAsignaciones[[#This Row],[tecnico]],tblTecnicos[nombre],tblTecnicos[especialidad],"")</f>
        <v/>
      </c>
      <c r="F299" s="5">
        <f>COUNTIFS(tblTecnicos[rotativo],"sí",tblTecnicos[especialidad],tblAsignaciones[[#This Row],[especialidad]],tblTecnicos[area],tblAsignaciones[[#This Row],[area]],tblTecnicos[activo],"sí")</f>
        <v/>
      </c>
      <c r="G2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4" t="n"/>
      <c r="J2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5">
        <f>_xlfn.XLOOKUP(tblAsignaciones[[#This Row],[tecnico]],tblTecnicos[nombre],tblTecnicos[supervisor],"")</f>
        <v/>
      </c>
      <c r="L29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5">
        <f>tblAsignaciones[[#This Row],[semana]]&amp;"|"&amp;tblAsignaciones[[#This Row],[dia]]&amp;"|"&amp;tblAsignaciones[[#This Row],[tecnico]]</f>
        <v/>
      </c>
      <c r="O299" s="5">
        <f>_xlfn.XLOOKUP(tblAsignaciones[[#This Row],[turno]],tblTurnos[turno],tblTurnos[hora_inicio],"")</f>
        <v/>
      </c>
      <c r="P299" s="5">
        <f>_xlfn.XLOOKUP(tblAsignaciones[[#This Row],[turno]],tblTurnos[turno],tblTurnos[hora_fin],"")</f>
        <v/>
      </c>
      <c r="Q299" s="5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5">
        <f>_xlfn.XLOOKUP(tblAsignaciones[[#This Row],[tecnico]],tblTecnicos[nombre],tblTecnicos[area],"")</f>
        <v/>
      </c>
      <c r="E300" s="5">
        <f>_xlfn.XLOOKUP(tblAsignaciones[[#This Row],[tecnico]],tblTecnicos[nombre],tblTecnicos[especialidad],"")</f>
        <v/>
      </c>
      <c r="F300" s="5">
        <f>COUNTIFS(tblTecnicos[rotativo],"sí",tblTecnicos[especialidad],tblAsignaciones[[#This Row],[especialidad]],tblTecnicos[area],tblAsignaciones[[#This Row],[area]],tblTecnicos[activo],"sí")</f>
        <v/>
      </c>
      <c r="G3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4" t="n"/>
      <c r="J3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5">
        <f>_xlfn.XLOOKUP(tblAsignaciones[[#This Row],[tecnico]],tblTecnicos[nombre],tblTecnicos[supervisor],"")</f>
        <v/>
      </c>
      <c r="L30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5">
        <f>tblAsignaciones[[#This Row],[semana]]&amp;"|"&amp;tblAsignaciones[[#This Row],[dia]]&amp;"|"&amp;tblAsignaciones[[#This Row],[tecnico]]</f>
        <v/>
      </c>
      <c r="O300" s="5">
        <f>_xlfn.XLOOKUP(tblAsignaciones[[#This Row],[turno]],tblTurnos[turno],tblTurnos[hora_inicio],"")</f>
        <v/>
      </c>
      <c r="P300" s="5">
        <f>_xlfn.XLOOKUP(tblAsignaciones[[#This Row],[turno]],tblTurnos[turno],tblTurnos[hora_fin],"")</f>
        <v/>
      </c>
      <c r="Q300" s="5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5">
        <f>_xlfn.XLOOKUP(tblAsignaciones[[#This Row],[tecnico]],tblTecnicos[nombre],tblTecnicos[area],"")</f>
        <v/>
      </c>
      <c r="E301" s="5">
        <f>_xlfn.XLOOKUP(tblAsignaciones[[#This Row],[tecnico]],tblTecnicos[nombre],tblTecnicos[especialidad],"")</f>
        <v/>
      </c>
      <c r="F301" s="5">
        <f>COUNTIFS(tblTecnicos[rotativo],"sí",tblTecnicos[especialidad],tblAsignaciones[[#This Row],[especialidad]],tblTecnicos[area],tblAsignaciones[[#This Row],[area]],tblTecnicos[activo],"sí")</f>
        <v/>
      </c>
      <c r="G3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4" t="n"/>
      <c r="J3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5">
        <f>_xlfn.XLOOKUP(tblAsignaciones[[#This Row],[tecnico]],tblTecnicos[nombre],tblTecnicos[supervisor],"")</f>
        <v/>
      </c>
      <c r="L30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5">
        <f>tblAsignaciones[[#This Row],[semana]]&amp;"|"&amp;tblAsignaciones[[#This Row],[dia]]&amp;"|"&amp;tblAsignaciones[[#This Row],[tecnico]]</f>
        <v/>
      </c>
      <c r="O301" s="5">
        <f>_xlfn.XLOOKUP(tblAsignaciones[[#This Row],[turno]],tblTurnos[turno],tblTurnos[hora_inicio],"")</f>
        <v/>
      </c>
      <c r="P301" s="5">
        <f>_xlfn.XLOOKUP(tblAsignaciones[[#This Row],[turno]],tblTurnos[turno],tblTurnos[hora_fin],"")</f>
        <v/>
      </c>
      <c r="Q301" s="5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5">
        <f>_xlfn.XLOOKUP(tblAsignaciones[[#This Row],[tecnico]],tblTecnicos[nombre],tblTecnicos[area],"")</f>
        <v/>
      </c>
      <c r="E302" s="5">
        <f>_xlfn.XLOOKUP(tblAsignaciones[[#This Row],[tecnico]],tblTecnicos[nombre],tblTecnicos[especialidad],"")</f>
        <v/>
      </c>
      <c r="F302" s="5">
        <f>COUNTIFS(tblTecnicos[rotativo],"sí",tblTecnicos[especialidad],tblAsignaciones[[#This Row],[especialidad]],tblTecnicos[area],tblAsignaciones[[#This Row],[area]],tblTecnicos[activo],"sí")</f>
        <v/>
      </c>
      <c r="G3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4" t="n"/>
      <c r="J3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5">
        <f>_xlfn.XLOOKUP(tblAsignaciones[[#This Row],[tecnico]],tblTecnicos[nombre],tblTecnicos[supervisor],"")</f>
        <v/>
      </c>
      <c r="L30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5">
        <f>tblAsignaciones[[#This Row],[semana]]&amp;"|"&amp;tblAsignaciones[[#This Row],[dia]]&amp;"|"&amp;tblAsignaciones[[#This Row],[tecnico]]</f>
        <v/>
      </c>
      <c r="O302" s="5">
        <f>_xlfn.XLOOKUP(tblAsignaciones[[#This Row],[turno]],tblTurnos[turno],tblTurnos[hora_inicio],"")</f>
        <v/>
      </c>
      <c r="P302" s="5">
        <f>_xlfn.XLOOKUP(tblAsignaciones[[#This Row],[turno]],tblTurnos[turno],tblTurnos[hora_fin],"")</f>
        <v/>
      </c>
      <c r="Q302" s="5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5">
        <f>_xlfn.XLOOKUP(tblAsignaciones[[#This Row],[tecnico]],tblTecnicos[nombre],tblTecnicos[area],"")</f>
        <v/>
      </c>
      <c r="E303" s="5">
        <f>_xlfn.XLOOKUP(tblAsignaciones[[#This Row],[tecnico]],tblTecnicos[nombre],tblTecnicos[especialidad],"")</f>
        <v/>
      </c>
      <c r="F303" s="5">
        <f>COUNTIFS(tblTecnicos[rotativo],"sí",tblTecnicos[especialidad],tblAsignaciones[[#This Row],[especialidad]],tblTecnicos[area],tblAsignaciones[[#This Row],[area]],tblTecnicos[activo],"sí")</f>
        <v/>
      </c>
      <c r="G3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4" t="n"/>
      <c r="J3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5">
        <f>_xlfn.XLOOKUP(tblAsignaciones[[#This Row],[tecnico]],tblTecnicos[nombre],tblTecnicos[supervisor],"")</f>
        <v/>
      </c>
      <c r="L30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5">
        <f>tblAsignaciones[[#This Row],[semana]]&amp;"|"&amp;tblAsignaciones[[#This Row],[dia]]&amp;"|"&amp;tblAsignaciones[[#This Row],[tecnico]]</f>
        <v/>
      </c>
      <c r="O303" s="5">
        <f>_xlfn.XLOOKUP(tblAsignaciones[[#This Row],[turno]],tblTurnos[turno],tblTurnos[hora_inicio],"")</f>
        <v/>
      </c>
      <c r="P303" s="5">
        <f>_xlfn.XLOOKUP(tblAsignaciones[[#This Row],[turno]],tblTurnos[turno],tblTurnos[hora_fin],"")</f>
        <v/>
      </c>
      <c r="Q303" s="5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5">
        <f>_xlfn.XLOOKUP(tblAsignaciones[[#This Row],[tecnico]],tblTecnicos[nombre],tblTecnicos[area],"")</f>
        <v/>
      </c>
      <c r="E304" s="5">
        <f>_xlfn.XLOOKUP(tblAsignaciones[[#This Row],[tecnico]],tblTecnicos[nombre],tblTecnicos[especialidad],"")</f>
        <v/>
      </c>
      <c r="F304" s="5">
        <f>COUNTIFS(tblTecnicos[rotativo],"sí",tblTecnicos[especialidad],tblAsignaciones[[#This Row],[especialidad]],tblTecnicos[area],tblAsignaciones[[#This Row],[area]],tblTecnicos[activo],"sí")</f>
        <v/>
      </c>
      <c r="G3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4" t="n"/>
      <c r="J3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5">
        <f>_xlfn.XLOOKUP(tblAsignaciones[[#This Row],[tecnico]],tblTecnicos[nombre],tblTecnicos[supervisor],"")</f>
        <v/>
      </c>
      <c r="L30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5">
        <f>tblAsignaciones[[#This Row],[semana]]&amp;"|"&amp;tblAsignaciones[[#This Row],[dia]]&amp;"|"&amp;tblAsignaciones[[#This Row],[tecnico]]</f>
        <v/>
      </c>
      <c r="O304" s="5">
        <f>_xlfn.XLOOKUP(tblAsignaciones[[#This Row],[turno]],tblTurnos[turno],tblTurnos[hora_inicio],"")</f>
        <v/>
      </c>
      <c r="P304" s="5">
        <f>_xlfn.XLOOKUP(tblAsignaciones[[#This Row],[turno]],tblTurnos[turno],tblTurnos[hora_fin],"")</f>
        <v/>
      </c>
      <c r="Q304" s="5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5">
        <f>_xlfn.XLOOKUP(tblAsignaciones[[#This Row],[tecnico]],tblTecnicos[nombre],tblTecnicos[area],"")</f>
        <v/>
      </c>
      <c r="E305" s="5">
        <f>_xlfn.XLOOKUP(tblAsignaciones[[#This Row],[tecnico]],tblTecnicos[nombre],tblTecnicos[especialidad],"")</f>
        <v/>
      </c>
      <c r="F305" s="5">
        <f>COUNTIFS(tblTecnicos[rotativo],"sí",tblTecnicos[especialidad],tblAsignaciones[[#This Row],[especialidad]],tblTecnicos[area],tblAsignaciones[[#This Row],[area]],tblTecnicos[activo],"sí")</f>
        <v/>
      </c>
      <c r="G3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4" t="n"/>
      <c r="J3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5">
        <f>_xlfn.XLOOKUP(tblAsignaciones[[#This Row],[tecnico]],tblTecnicos[nombre],tblTecnicos[supervisor],"")</f>
        <v/>
      </c>
      <c r="L30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5">
        <f>tblAsignaciones[[#This Row],[semana]]&amp;"|"&amp;tblAsignaciones[[#This Row],[dia]]&amp;"|"&amp;tblAsignaciones[[#This Row],[tecnico]]</f>
        <v/>
      </c>
      <c r="O305" s="5">
        <f>_xlfn.XLOOKUP(tblAsignaciones[[#This Row],[turno]],tblTurnos[turno],tblTurnos[hora_inicio],"")</f>
        <v/>
      </c>
      <c r="P305" s="5">
        <f>_xlfn.XLOOKUP(tblAsignaciones[[#This Row],[turno]],tblTurnos[turno],tblTurnos[hora_fin],"")</f>
        <v/>
      </c>
      <c r="Q305" s="5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5">
        <f>_xlfn.XLOOKUP(tblAsignaciones[[#This Row],[tecnico]],tblTecnicos[nombre],tblTecnicos[area],"")</f>
        <v/>
      </c>
      <c r="E306" s="5">
        <f>_xlfn.XLOOKUP(tblAsignaciones[[#This Row],[tecnico]],tblTecnicos[nombre],tblTecnicos[especialidad],"")</f>
        <v/>
      </c>
      <c r="F306" s="5">
        <f>COUNTIFS(tblTecnicos[rotativo],"sí",tblTecnicos[especialidad],tblAsignaciones[[#This Row],[especialidad]],tblTecnicos[area],tblAsignaciones[[#This Row],[area]],tblTecnicos[activo],"sí")</f>
        <v/>
      </c>
      <c r="G3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4" t="n"/>
      <c r="J3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5">
        <f>_xlfn.XLOOKUP(tblAsignaciones[[#This Row],[tecnico]],tblTecnicos[nombre],tblTecnicos[supervisor],"")</f>
        <v/>
      </c>
      <c r="L30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5">
        <f>tblAsignaciones[[#This Row],[semana]]&amp;"|"&amp;tblAsignaciones[[#This Row],[dia]]&amp;"|"&amp;tblAsignaciones[[#This Row],[tecnico]]</f>
        <v/>
      </c>
      <c r="O306" s="5">
        <f>_xlfn.XLOOKUP(tblAsignaciones[[#This Row],[turno]],tblTurnos[turno],tblTurnos[hora_inicio],"")</f>
        <v/>
      </c>
      <c r="P306" s="5">
        <f>_xlfn.XLOOKUP(tblAsignaciones[[#This Row],[turno]],tblTurnos[turno],tblTurnos[hora_fin],"")</f>
        <v/>
      </c>
      <c r="Q306" s="5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5">
        <f>_xlfn.XLOOKUP(tblAsignaciones[[#This Row],[tecnico]],tblTecnicos[nombre],tblTecnicos[area],"")</f>
        <v/>
      </c>
      <c r="E307" s="5">
        <f>_xlfn.XLOOKUP(tblAsignaciones[[#This Row],[tecnico]],tblTecnicos[nombre],tblTecnicos[especialidad],"")</f>
        <v/>
      </c>
      <c r="F307" s="5">
        <f>COUNTIFS(tblTecnicos[rotativo],"sí",tblTecnicos[especialidad],tblAsignaciones[[#This Row],[especialidad]],tblTecnicos[area],tblAsignaciones[[#This Row],[area]],tblTecnicos[activo],"sí")</f>
        <v/>
      </c>
      <c r="G3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4" t="n"/>
      <c r="J3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5">
        <f>_xlfn.XLOOKUP(tblAsignaciones[[#This Row],[tecnico]],tblTecnicos[nombre],tblTecnicos[supervisor],"")</f>
        <v/>
      </c>
      <c r="L30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5">
        <f>tblAsignaciones[[#This Row],[semana]]&amp;"|"&amp;tblAsignaciones[[#This Row],[dia]]&amp;"|"&amp;tblAsignaciones[[#This Row],[tecnico]]</f>
        <v/>
      </c>
      <c r="O307" s="5">
        <f>_xlfn.XLOOKUP(tblAsignaciones[[#This Row],[turno]],tblTurnos[turno],tblTurnos[hora_inicio],"")</f>
        <v/>
      </c>
      <c r="P307" s="5">
        <f>_xlfn.XLOOKUP(tblAsignaciones[[#This Row],[turno]],tblTurnos[turno],tblTurnos[hora_fin],"")</f>
        <v/>
      </c>
      <c r="Q307" s="5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5">
        <f>_xlfn.XLOOKUP(tblAsignaciones[[#This Row],[tecnico]],tblTecnicos[nombre],tblTecnicos[area],"")</f>
        <v/>
      </c>
      <c r="E308" s="5">
        <f>_xlfn.XLOOKUP(tblAsignaciones[[#This Row],[tecnico]],tblTecnicos[nombre],tblTecnicos[especialidad],"")</f>
        <v/>
      </c>
      <c r="F308" s="5">
        <f>COUNTIFS(tblTecnicos[rotativo],"sí",tblTecnicos[especialidad],tblAsignaciones[[#This Row],[especialidad]],tblTecnicos[area],tblAsignaciones[[#This Row],[area]],tblTecnicos[activo],"sí")</f>
        <v/>
      </c>
      <c r="G3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4" t="n"/>
      <c r="J3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5">
        <f>_xlfn.XLOOKUP(tblAsignaciones[[#This Row],[tecnico]],tblTecnicos[nombre],tblTecnicos[supervisor],"")</f>
        <v/>
      </c>
      <c r="L30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5">
        <f>tblAsignaciones[[#This Row],[semana]]&amp;"|"&amp;tblAsignaciones[[#This Row],[dia]]&amp;"|"&amp;tblAsignaciones[[#This Row],[tecnico]]</f>
        <v/>
      </c>
      <c r="O308" s="5">
        <f>_xlfn.XLOOKUP(tblAsignaciones[[#This Row],[turno]],tblTurnos[turno],tblTurnos[hora_inicio],"")</f>
        <v/>
      </c>
      <c r="P308" s="5">
        <f>_xlfn.XLOOKUP(tblAsignaciones[[#This Row],[turno]],tblTurnos[turno],tblTurnos[hora_fin],"")</f>
        <v/>
      </c>
      <c r="Q308" s="5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5">
        <f>_xlfn.XLOOKUP(tblAsignaciones[[#This Row],[tecnico]],tblTecnicos[nombre],tblTecnicos[area],"")</f>
        <v/>
      </c>
      <c r="E309" s="5">
        <f>_xlfn.XLOOKUP(tblAsignaciones[[#This Row],[tecnico]],tblTecnicos[nombre],tblTecnicos[especialidad],"")</f>
        <v/>
      </c>
      <c r="F309" s="5">
        <f>COUNTIFS(tblTecnicos[rotativo],"sí",tblTecnicos[especialidad],tblAsignaciones[[#This Row],[especialidad]],tblTecnicos[area],tblAsignaciones[[#This Row],[area]],tblTecnicos[activo],"sí")</f>
        <v/>
      </c>
      <c r="G3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4" t="n"/>
      <c r="J3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5">
        <f>_xlfn.XLOOKUP(tblAsignaciones[[#This Row],[tecnico]],tblTecnicos[nombre],tblTecnicos[supervisor],"")</f>
        <v/>
      </c>
      <c r="L30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5">
        <f>tblAsignaciones[[#This Row],[semana]]&amp;"|"&amp;tblAsignaciones[[#This Row],[dia]]&amp;"|"&amp;tblAsignaciones[[#This Row],[tecnico]]</f>
        <v/>
      </c>
      <c r="O309" s="5">
        <f>_xlfn.XLOOKUP(tblAsignaciones[[#This Row],[turno]],tblTurnos[turno],tblTurnos[hora_inicio],"")</f>
        <v/>
      </c>
      <c r="P309" s="5">
        <f>_xlfn.XLOOKUP(tblAsignaciones[[#This Row],[turno]],tblTurnos[turno],tblTurnos[hora_fin],"")</f>
        <v/>
      </c>
      <c r="Q309" s="5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5">
        <f>_xlfn.XLOOKUP(tblAsignaciones[[#This Row],[tecnico]],tblTecnicos[nombre],tblTecnicos[area],"")</f>
        <v/>
      </c>
      <c r="E310" s="5">
        <f>_xlfn.XLOOKUP(tblAsignaciones[[#This Row],[tecnico]],tblTecnicos[nombre],tblTecnicos[especialidad],"")</f>
        <v/>
      </c>
      <c r="F310" s="5">
        <f>COUNTIFS(tblTecnicos[rotativo],"sí",tblTecnicos[especialidad],tblAsignaciones[[#This Row],[especialidad]],tblTecnicos[area],tblAsignaciones[[#This Row],[area]],tblTecnicos[activo],"sí")</f>
        <v/>
      </c>
      <c r="G3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4" t="n"/>
      <c r="J3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5">
        <f>_xlfn.XLOOKUP(tblAsignaciones[[#This Row],[tecnico]],tblTecnicos[nombre],tblTecnicos[supervisor],"")</f>
        <v/>
      </c>
      <c r="L31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5">
        <f>tblAsignaciones[[#This Row],[semana]]&amp;"|"&amp;tblAsignaciones[[#This Row],[dia]]&amp;"|"&amp;tblAsignaciones[[#This Row],[tecnico]]</f>
        <v/>
      </c>
      <c r="O310" s="5">
        <f>_xlfn.XLOOKUP(tblAsignaciones[[#This Row],[turno]],tblTurnos[turno],tblTurnos[hora_inicio],"")</f>
        <v/>
      </c>
      <c r="P310" s="5">
        <f>_xlfn.XLOOKUP(tblAsignaciones[[#This Row],[turno]],tblTurnos[turno],tblTurnos[hora_fin],"")</f>
        <v/>
      </c>
      <c r="Q310" s="5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5">
        <f>_xlfn.XLOOKUP(tblAsignaciones[[#This Row],[tecnico]],tblTecnicos[nombre],tblTecnicos[area],"")</f>
        <v/>
      </c>
      <c r="E311" s="5">
        <f>_xlfn.XLOOKUP(tblAsignaciones[[#This Row],[tecnico]],tblTecnicos[nombre],tblTecnicos[especialidad],"")</f>
        <v/>
      </c>
      <c r="F311" s="5">
        <f>COUNTIFS(tblTecnicos[rotativo],"sí",tblTecnicos[especialidad],tblAsignaciones[[#This Row],[especialidad]],tblTecnicos[area],tblAsignaciones[[#This Row],[area]],tblTecnicos[activo],"sí")</f>
        <v/>
      </c>
      <c r="G3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4" t="n"/>
      <c r="J3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5">
        <f>_xlfn.XLOOKUP(tblAsignaciones[[#This Row],[tecnico]],tblTecnicos[nombre],tblTecnicos[supervisor],"")</f>
        <v/>
      </c>
      <c r="L31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5">
        <f>tblAsignaciones[[#This Row],[semana]]&amp;"|"&amp;tblAsignaciones[[#This Row],[dia]]&amp;"|"&amp;tblAsignaciones[[#This Row],[tecnico]]</f>
        <v/>
      </c>
      <c r="O311" s="5">
        <f>_xlfn.XLOOKUP(tblAsignaciones[[#This Row],[turno]],tblTurnos[turno],tblTurnos[hora_inicio],"")</f>
        <v/>
      </c>
      <c r="P311" s="5">
        <f>_xlfn.XLOOKUP(tblAsignaciones[[#This Row],[turno]],tblTurnos[turno],tblTurnos[hora_fin],"")</f>
        <v/>
      </c>
      <c r="Q311" s="5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5">
        <f>_xlfn.XLOOKUP(tblAsignaciones[[#This Row],[tecnico]],tblTecnicos[nombre],tblTecnicos[area],"")</f>
        <v/>
      </c>
      <c r="E312" s="5">
        <f>_xlfn.XLOOKUP(tblAsignaciones[[#This Row],[tecnico]],tblTecnicos[nombre],tblTecnicos[especialidad],"")</f>
        <v/>
      </c>
      <c r="F312" s="5">
        <f>COUNTIFS(tblTecnicos[rotativo],"sí",tblTecnicos[especialidad],tblAsignaciones[[#This Row],[especialidad]],tblTecnicos[area],tblAsignaciones[[#This Row],[area]],tblTecnicos[activo],"sí")</f>
        <v/>
      </c>
      <c r="G3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4" t="n"/>
      <c r="J3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5">
        <f>_xlfn.XLOOKUP(tblAsignaciones[[#This Row],[tecnico]],tblTecnicos[nombre],tblTecnicos[supervisor],"")</f>
        <v/>
      </c>
      <c r="L31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5">
        <f>tblAsignaciones[[#This Row],[semana]]&amp;"|"&amp;tblAsignaciones[[#This Row],[dia]]&amp;"|"&amp;tblAsignaciones[[#This Row],[tecnico]]</f>
        <v/>
      </c>
      <c r="O312" s="5">
        <f>_xlfn.XLOOKUP(tblAsignaciones[[#This Row],[turno]],tblTurnos[turno],tblTurnos[hora_inicio],"")</f>
        <v/>
      </c>
      <c r="P312" s="5">
        <f>_xlfn.XLOOKUP(tblAsignaciones[[#This Row],[turno]],tblTurnos[turno],tblTurnos[hora_fin],"")</f>
        <v/>
      </c>
      <c r="Q312" s="5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5">
        <f>_xlfn.XLOOKUP(tblAsignaciones[[#This Row],[tecnico]],tblTecnicos[nombre],tblTecnicos[area],"")</f>
        <v/>
      </c>
      <c r="E313" s="5">
        <f>_xlfn.XLOOKUP(tblAsignaciones[[#This Row],[tecnico]],tblTecnicos[nombre],tblTecnicos[especialidad],"")</f>
        <v/>
      </c>
      <c r="F313" s="5">
        <f>COUNTIFS(tblTecnicos[rotativo],"sí",tblTecnicos[especialidad],tblAsignaciones[[#This Row],[especialidad]],tblTecnicos[area],tblAsignaciones[[#This Row],[area]],tblTecnicos[activo],"sí")</f>
        <v/>
      </c>
      <c r="G3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4" t="n"/>
      <c r="J3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5">
        <f>_xlfn.XLOOKUP(tblAsignaciones[[#This Row],[tecnico]],tblTecnicos[nombre],tblTecnicos[supervisor],"")</f>
        <v/>
      </c>
      <c r="L31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5">
        <f>tblAsignaciones[[#This Row],[semana]]&amp;"|"&amp;tblAsignaciones[[#This Row],[dia]]&amp;"|"&amp;tblAsignaciones[[#This Row],[tecnico]]</f>
        <v/>
      </c>
      <c r="O313" s="5">
        <f>_xlfn.XLOOKUP(tblAsignaciones[[#This Row],[turno]],tblTurnos[turno],tblTurnos[hora_inicio],"")</f>
        <v/>
      </c>
      <c r="P313" s="5">
        <f>_xlfn.XLOOKUP(tblAsignaciones[[#This Row],[turno]],tblTurnos[turno],tblTurnos[hora_fin],"")</f>
        <v/>
      </c>
      <c r="Q313" s="5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5">
        <f>_xlfn.XLOOKUP(tblAsignaciones[[#This Row],[tecnico]],tblTecnicos[nombre],tblTecnicos[area],"")</f>
        <v/>
      </c>
      <c r="E314" s="5">
        <f>_xlfn.XLOOKUP(tblAsignaciones[[#This Row],[tecnico]],tblTecnicos[nombre],tblTecnicos[especialidad],"")</f>
        <v/>
      </c>
      <c r="F314" s="5">
        <f>COUNTIFS(tblTecnicos[rotativo],"sí",tblTecnicos[especialidad],tblAsignaciones[[#This Row],[especialidad]],tblTecnicos[area],tblAsignaciones[[#This Row],[area]],tblTecnicos[activo],"sí")</f>
        <v/>
      </c>
      <c r="G3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4" t="n"/>
      <c r="J3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5">
        <f>_xlfn.XLOOKUP(tblAsignaciones[[#This Row],[tecnico]],tblTecnicos[nombre],tblTecnicos[supervisor],"")</f>
        <v/>
      </c>
      <c r="L31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5">
        <f>tblAsignaciones[[#This Row],[semana]]&amp;"|"&amp;tblAsignaciones[[#This Row],[dia]]&amp;"|"&amp;tblAsignaciones[[#This Row],[tecnico]]</f>
        <v/>
      </c>
      <c r="O314" s="5">
        <f>_xlfn.XLOOKUP(tblAsignaciones[[#This Row],[turno]],tblTurnos[turno],tblTurnos[hora_inicio],"")</f>
        <v/>
      </c>
      <c r="P314" s="5">
        <f>_xlfn.XLOOKUP(tblAsignaciones[[#This Row],[turno]],tblTurnos[turno],tblTurnos[hora_fin],"")</f>
        <v/>
      </c>
      <c r="Q314" s="5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5">
        <f>_xlfn.XLOOKUP(tblAsignaciones[[#This Row],[tecnico]],tblTecnicos[nombre],tblTecnicos[area],"")</f>
        <v/>
      </c>
      <c r="E315" s="5">
        <f>_xlfn.XLOOKUP(tblAsignaciones[[#This Row],[tecnico]],tblTecnicos[nombre],tblTecnicos[especialidad],"")</f>
        <v/>
      </c>
      <c r="F315" s="5">
        <f>COUNTIFS(tblTecnicos[rotativo],"sí",tblTecnicos[especialidad],tblAsignaciones[[#This Row],[especialidad]],tblTecnicos[area],tblAsignaciones[[#This Row],[area]],tblTecnicos[activo],"sí")</f>
        <v/>
      </c>
      <c r="G3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4" t="n"/>
      <c r="J3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5">
        <f>_xlfn.XLOOKUP(tblAsignaciones[[#This Row],[tecnico]],tblTecnicos[nombre],tblTecnicos[supervisor],"")</f>
        <v/>
      </c>
      <c r="L31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5">
        <f>tblAsignaciones[[#This Row],[semana]]&amp;"|"&amp;tblAsignaciones[[#This Row],[dia]]&amp;"|"&amp;tblAsignaciones[[#This Row],[tecnico]]</f>
        <v/>
      </c>
      <c r="O315" s="5">
        <f>_xlfn.XLOOKUP(tblAsignaciones[[#This Row],[turno]],tblTurnos[turno],tblTurnos[hora_inicio],"")</f>
        <v/>
      </c>
      <c r="P315" s="5">
        <f>_xlfn.XLOOKUP(tblAsignaciones[[#This Row],[turno]],tblTurnos[turno],tblTurnos[hora_fin],"")</f>
        <v/>
      </c>
      <c r="Q315" s="5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5">
        <f>_xlfn.XLOOKUP(tblAsignaciones[[#This Row],[tecnico]],tblTecnicos[nombre],tblTecnicos[area],"")</f>
        <v/>
      </c>
      <c r="E316" s="5">
        <f>_xlfn.XLOOKUP(tblAsignaciones[[#This Row],[tecnico]],tblTecnicos[nombre],tblTecnicos[especialidad],"")</f>
        <v/>
      </c>
      <c r="F316" s="5">
        <f>COUNTIFS(tblTecnicos[rotativo],"sí",tblTecnicos[especialidad],tblAsignaciones[[#This Row],[especialidad]],tblTecnicos[area],tblAsignaciones[[#This Row],[area]],tblTecnicos[activo],"sí")</f>
        <v/>
      </c>
      <c r="G3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4" t="n"/>
      <c r="J3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5">
        <f>_xlfn.XLOOKUP(tblAsignaciones[[#This Row],[tecnico]],tblTecnicos[nombre],tblTecnicos[supervisor],"")</f>
        <v/>
      </c>
      <c r="L31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5">
        <f>tblAsignaciones[[#This Row],[semana]]&amp;"|"&amp;tblAsignaciones[[#This Row],[dia]]&amp;"|"&amp;tblAsignaciones[[#This Row],[tecnico]]</f>
        <v/>
      </c>
      <c r="O316" s="5">
        <f>_xlfn.XLOOKUP(tblAsignaciones[[#This Row],[turno]],tblTurnos[turno],tblTurnos[hora_inicio],"")</f>
        <v/>
      </c>
      <c r="P316" s="5">
        <f>_xlfn.XLOOKUP(tblAsignaciones[[#This Row],[turno]],tblTurnos[turno],tblTurnos[hora_fin],"")</f>
        <v/>
      </c>
      <c r="Q316" s="5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5">
        <f>_xlfn.XLOOKUP(tblAsignaciones[[#This Row],[tecnico]],tblTecnicos[nombre],tblTecnicos[area],"")</f>
        <v/>
      </c>
      <c r="E317" s="5">
        <f>_xlfn.XLOOKUP(tblAsignaciones[[#This Row],[tecnico]],tblTecnicos[nombre],tblTecnicos[especialidad],"")</f>
        <v/>
      </c>
      <c r="F317" s="5">
        <f>COUNTIFS(tblTecnicos[rotativo],"sí",tblTecnicos[especialidad],tblAsignaciones[[#This Row],[especialidad]],tblTecnicos[area],tblAsignaciones[[#This Row],[area]],tblTecnicos[activo],"sí")</f>
        <v/>
      </c>
      <c r="G3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4" t="n"/>
      <c r="J3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5">
        <f>_xlfn.XLOOKUP(tblAsignaciones[[#This Row],[tecnico]],tblTecnicos[nombre],tblTecnicos[supervisor],"")</f>
        <v/>
      </c>
      <c r="L31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5">
        <f>tblAsignaciones[[#This Row],[semana]]&amp;"|"&amp;tblAsignaciones[[#This Row],[dia]]&amp;"|"&amp;tblAsignaciones[[#This Row],[tecnico]]</f>
        <v/>
      </c>
      <c r="O317" s="5">
        <f>_xlfn.XLOOKUP(tblAsignaciones[[#This Row],[turno]],tblTurnos[turno],tblTurnos[hora_inicio],"")</f>
        <v/>
      </c>
      <c r="P317" s="5">
        <f>_xlfn.XLOOKUP(tblAsignaciones[[#This Row],[turno]],tblTurnos[turno],tblTurnos[hora_fin],"")</f>
        <v/>
      </c>
      <c r="Q317" s="5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5">
        <f>_xlfn.XLOOKUP(tblAsignaciones[[#This Row],[tecnico]],tblTecnicos[nombre],tblTecnicos[area],"")</f>
        <v/>
      </c>
      <c r="E318" s="5">
        <f>_xlfn.XLOOKUP(tblAsignaciones[[#This Row],[tecnico]],tblTecnicos[nombre],tblTecnicos[especialidad],"")</f>
        <v/>
      </c>
      <c r="F318" s="5">
        <f>COUNTIFS(tblTecnicos[rotativo],"sí",tblTecnicos[especialidad],tblAsignaciones[[#This Row],[especialidad]],tblTecnicos[area],tblAsignaciones[[#This Row],[area]],tblTecnicos[activo],"sí")</f>
        <v/>
      </c>
      <c r="G3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4" t="n"/>
      <c r="J3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5">
        <f>_xlfn.XLOOKUP(tblAsignaciones[[#This Row],[tecnico]],tblTecnicos[nombre],tblTecnicos[supervisor],"")</f>
        <v/>
      </c>
      <c r="L31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5">
        <f>tblAsignaciones[[#This Row],[semana]]&amp;"|"&amp;tblAsignaciones[[#This Row],[dia]]&amp;"|"&amp;tblAsignaciones[[#This Row],[tecnico]]</f>
        <v/>
      </c>
      <c r="O318" s="5">
        <f>_xlfn.XLOOKUP(tblAsignaciones[[#This Row],[turno]],tblTurnos[turno],tblTurnos[hora_inicio],"")</f>
        <v/>
      </c>
      <c r="P318" s="5">
        <f>_xlfn.XLOOKUP(tblAsignaciones[[#This Row],[turno]],tblTurnos[turno],tblTurnos[hora_fin],"")</f>
        <v/>
      </c>
      <c r="Q318" s="5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5">
        <f>_xlfn.XLOOKUP(tblAsignaciones[[#This Row],[tecnico]],tblTecnicos[nombre],tblTecnicos[area],"")</f>
        <v/>
      </c>
      <c r="E319" s="5">
        <f>_xlfn.XLOOKUP(tblAsignaciones[[#This Row],[tecnico]],tblTecnicos[nombre],tblTecnicos[especialidad],"")</f>
        <v/>
      </c>
      <c r="F319" s="5">
        <f>COUNTIFS(tblTecnicos[rotativo],"sí",tblTecnicos[especialidad],tblAsignaciones[[#This Row],[especialidad]],tblTecnicos[area],tblAsignaciones[[#This Row],[area]],tblTecnicos[activo],"sí")</f>
        <v/>
      </c>
      <c r="G3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4" t="n"/>
      <c r="J3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5">
        <f>_xlfn.XLOOKUP(tblAsignaciones[[#This Row],[tecnico]],tblTecnicos[nombre],tblTecnicos[supervisor],"")</f>
        <v/>
      </c>
      <c r="L31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5">
        <f>tblAsignaciones[[#This Row],[semana]]&amp;"|"&amp;tblAsignaciones[[#This Row],[dia]]&amp;"|"&amp;tblAsignaciones[[#This Row],[tecnico]]</f>
        <v/>
      </c>
      <c r="O319" s="5">
        <f>_xlfn.XLOOKUP(tblAsignaciones[[#This Row],[turno]],tblTurnos[turno],tblTurnos[hora_inicio],"")</f>
        <v/>
      </c>
      <c r="P319" s="5">
        <f>_xlfn.XLOOKUP(tblAsignaciones[[#This Row],[turno]],tblTurnos[turno],tblTurnos[hora_fin],"")</f>
        <v/>
      </c>
      <c r="Q319" s="5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5">
        <f>_xlfn.XLOOKUP(tblAsignaciones[[#This Row],[tecnico]],tblTecnicos[nombre],tblTecnicos[area],"")</f>
        <v/>
      </c>
      <c r="E320" s="5">
        <f>_xlfn.XLOOKUP(tblAsignaciones[[#This Row],[tecnico]],tblTecnicos[nombre],tblTecnicos[especialidad],"")</f>
        <v/>
      </c>
      <c r="F320" s="5">
        <f>COUNTIFS(tblTecnicos[rotativo],"sí",tblTecnicos[especialidad],tblAsignaciones[[#This Row],[especialidad]],tblTecnicos[area],tblAsignaciones[[#This Row],[area]],tblTecnicos[activo],"sí")</f>
        <v/>
      </c>
      <c r="G3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4" t="n"/>
      <c r="J3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5">
        <f>_xlfn.XLOOKUP(tblAsignaciones[[#This Row],[tecnico]],tblTecnicos[nombre],tblTecnicos[supervisor],"")</f>
        <v/>
      </c>
      <c r="L32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5">
        <f>tblAsignaciones[[#This Row],[semana]]&amp;"|"&amp;tblAsignaciones[[#This Row],[dia]]&amp;"|"&amp;tblAsignaciones[[#This Row],[tecnico]]</f>
        <v/>
      </c>
      <c r="O320" s="5">
        <f>_xlfn.XLOOKUP(tblAsignaciones[[#This Row],[turno]],tblTurnos[turno],tblTurnos[hora_inicio],"")</f>
        <v/>
      </c>
      <c r="P320" s="5">
        <f>_xlfn.XLOOKUP(tblAsignaciones[[#This Row],[turno]],tblTurnos[turno],tblTurnos[hora_fin],"")</f>
        <v/>
      </c>
      <c r="Q320" s="5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5">
        <f>_xlfn.XLOOKUP(tblAsignaciones[[#This Row],[tecnico]],tblTecnicos[nombre],tblTecnicos[area],"")</f>
        <v/>
      </c>
      <c r="E321" s="5">
        <f>_xlfn.XLOOKUP(tblAsignaciones[[#This Row],[tecnico]],tblTecnicos[nombre],tblTecnicos[especialidad],"")</f>
        <v/>
      </c>
      <c r="F321" s="5">
        <f>COUNTIFS(tblTecnicos[rotativo],"sí",tblTecnicos[especialidad],tblAsignaciones[[#This Row],[especialidad]],tblTecnicos[area],tblAsignaciones[[#This Row],[area]],tblTecnicos[activo],"sí")</f>
        <v/>
      </c>
      <c r="G3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4" t="n"/>
      <c r="J3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5">
        <f>_xlfn.XLOOKUP(tblAsignaciones[[#This Row],[tecnico]],tblTecnicos[nombre],tblTecnicos[supervisor],"")</f>
        <v/>
      </c>
      <c r="L32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5">
        <f>tblAsignaciones[[#This Row],[semana]]&amp;"|"&amp;tblAsignaciones[[#This Row],[dia]]&amp;"|"&amp;tblAsignaciones[[#This Row],[tecnico]]</f>
        <v/>
      </c>
      <c r="O321" s="5">
        <f>_xlfn.XLOOKUP(tblAsignaciones[[#This Row],[turno]],tblTurnos[turno],tblTurnos[hora_inicio],"")</f>
        <v/>
      </c>
      <c r="P321" s="5">
        <f>_xlfn.XLOOKUP(tblAsignaciones[[#This Row],[turno]],tblTurnos[turno],tblTurnos[hora_fin],"")</f>
        <v/>
      </c>
      <c r="Q321" s="5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5">
        <f>_xlfn.XLOOKUP(tblAsignaciones[[#This Row],[tecnico]],tblTecnicos[nombre],tblTecnicos[area],"")</f>
        <v/>
      </c>
      <c r="E322" s="5">
        <f>_xlfn.XLOOKUP(tblAsignaciones[[#This Row],[tecnico]],tblTecnicos[nombre],tblTecnicos[especialidad],"")</f>
        <v/>
      </c>
      <c r="F322" s="5">
        <f>COUNTIFS(tblTecnicos[rotativo],"sí",tblTecnicos[especialidad],tblAsignaciones[[#This Row],[especialidad]],tblTecnicos[area],tblAsignaciones[[#This Row],[area]],tblTecnicos[activo],"sí")</f>
        <v/>
      </c>
      <c r="G3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4" t="n"/>
      <c r="J3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5">
        <f>_xlfn.XLOOKUP(tblAsignaciones[[#This Row],[tecnico]],tblTecnicos[nombre],tblTecnicos[supervisor],"")</f>
        <v/>
      </c>
      <c r="L32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5">
        <f>tblAsignaciones[[#This Row],[semana]]&amp;"|"&amp;tblAsignaciones[[#This Row],[dia]]&amp;"|"&amp;tblAsignaciones[[#This Row],[tecnico]]</f>
        <v/>
      </c>
      <c r="O322" s="5">
        <f>_xlfn.XLOOKUP(tblAsignaciones[[#This Row],[turno]],tblTurnos[turno],tblTurnos[hora_inicio],"")</f>
        <v/>
      </c>
      <c r="P322" s="5">
        <f>_xlfn.XLOOKUP(tblAsignaciones[[#This Row],[turno]],tblTurnos[turno],tblTurnos[hora_fin],"")</f>
        <v/>
      </c>
      <c r="Q322" s="5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5">
        <f>_xlfn.XLOOKUP(tblAsignaciones[[#This Row],[tecnico]],tblTecnicos[nombre],tblTecnicos[area],"")</f>
        <v/>
      </c>
      <c r="E323" s="5">
        <f>_xlfn.XLOOKUP(tblAsignaciones[[#This Row],[tecnico]],tblTecnicos[nombre],tblTecnicos[especialidad],"")</f>
        <v/>
      </c>
      <c r="F323" s="5">
        <f>COUNTIFS(tblTecnicos[rotativo],"sí",tblTecnicos[especialidad],tblAsignaciones[[#This Row],[especialidad]],tblTecnicos[area],tblAsignaciones[[#This Row],[area]],tblTecnicos[activo],"sí")</f>
        <v/>
      </c>
      <c r="G3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4" t="n"/>
      <c r="J3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5">
        <f>_xlfn.XLOOKUP(tblAsignaciones[[#This Row],[tecnico]],tblTecnicos[nombre],tblTecnicos[supervisor],"")</f>
        <v/>
      </c>
      <c r="L32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5">
        <f>tblAsignaciones[[#This Row],[semana]]&amp;"|"&amp;tblAsignaciones[[#This Row],[dia]]&amp;"|"&amp;tblAsignaciones[[#This Row],[tecnico]]</f>
        <v/>
      </c>
      <c r="O323" s="5">
        <f>_xlfn.XLOOKUP(tblAsignaciones[[#This Row],[turno]],tblTurnos[turno],tblTurnos[hora_inicio],"")</f>
        <v/>
      </c>
      <c r="P323" s="5">
        <f>_xlfn.XLOOKUP(tblAsignaciones[[#This Row],[turno]],tblTurnos[turno],tblTurnos[hora_fin],"")</f>
        <v/>
      </c>
      <c r="Q323" s="5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5">
        <f>_xlfn.XLOOKUP(tblAsignaciones[[#This Row],[tecnico]],tblTecnicos[nombre],tblTecnicos[area],"")</f>
        <v/>
      </c>
      <c r="E324" s="5">
        <f>_xlfn.XLOOKUP(tblAsignaciones[[#This Row],[tecnico]],tblTecnicos[nombre],tblTecnicos[especialidad],"")</f>
        <v/>
      </c>
      <c r="F324" s="5">
        <f>COUNTIFS(tblTecnicos[rotativo],"sí",tblTecnicos[especialidad],tblAsignaciones[[#This Row],[especialidad]],tblTecnicos[area],tblAsignaciones[[#This Row],[area]],tblTecnicos[activo],"sí")</f>
        <v/>
      </c>
      <c r="G3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4" t="n"/>
      <c r="J3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5">
        <f>_xlfn.XLOOKUP(tblAsignaciones[[#This Row],[tecnico]],tblTecnicos[nombre],tblTecnicos[supervisor],"")</f>
        <v/>
      </c>
      <c r="L32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5">
        <f>tblAsignaciones[[#This Row],[semana]]&amp;"|"&amp;tblAsignaciones[[#This Row],[dia]]&amp;"|"&amp;tblAsignaciones[[#This Row],[tecnico]]</f>
        <v/>
      </c>
      <c r="O324" s="5">
        <f>_xlfn.XLOOKUP(tblAsignaciones[[#This Row],[turno]],tblTurnos[turno],tblTurnos[hora_inicio],"")</f>
        <v/>
      </c>
      <c r="P324" s="5">
        <f>_xlfn.XLOOKUP(tblAsignaciones[[#This Row],[turno]],tblTurnos[turno],tblTurnos[hora_fin],"")</f>
        <v/>
      </c>
      <c r="Q324" s="5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5">
        <f>_xlfn.XLOOKUP(tblAsignaciones[[#This Row],[tecnico]],tblTecnicos[nombre],tblTecnicos[area],"")</f>
        <v/>
      </c>
      <c r="E325" s="5">
        <f>_xlfn.XLOOKUP(tblAsignaciones[[#This Row],[tecnico]],tblTecnicos[nombre],tblTecnicos[especialidad],"")</f>
        <v/>
      </c>
      <c r="F325" s="5">
        <f>COUNTIFS(tblTecnicos[rotativo],"sí",tblTecnicos[especialidad],tblAsignaciones[[#This Row],[especialidad]],tblTecnicos[area],tblAsignaciones[[#This Row],[area]],tblTecnicos[activo],"sí")</f>
        <v/>
      </c>
      <c r="G3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4" t="n"/>
      <c r="J3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5">
        <f>_xlfn.XLOOKUP(tblAsignaciones[[#This Row],[tecnico]],tblTecnicos[nombre],tblTecnicos[supervisor],"")</f>
        <v/>
      </c>
      <c r="L32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5">
        <f>tblAsignaciones[[#This Row],[semana]]&amp;"|"&amp;tblAsignaciones[[#This Row],[dia]]&amp;"|"&amp;tblAsignaciones[[#This Row],[tecnico]]</f>
        <v/>
      </c>
      <c r="O325" s="5">
        <f>_xlfn.XLOOKUP(tblAsignaciones[[#This Row],[turno]],tblTurnos[turno],tblTurnos[hora_inicio],"")</f>
        <v/>
      </c>
      <c r="P325" s="5">
        <f>_xlfn.XLOOKUP(tblAsignaciones[[#This Row],[turno]],tblTurnos[turno],tblTurnos[hora_fin],"")</f>
        <v/>
      </c>
      <c r="Q325" s="5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5">
        <f>_xlfn.XLOOKUP(tblAsignaciones[[#This Row],[tecnico]],tblTecnicos[nombre],tblTecnicos[area],"")</f>
        <v/>
      </c>
      <c r="E326" s="5">
        <f>_xlfn.XLOOKUP(tblAsignaciones[[#This Row],[tecnico]],tblTecnicos[nombre],tblTecnicos[especialidad],"")</f>
        <v/>
      </c>
      <c r="F326" s="5">
        <f>COUNTIFS(tblTecnicos[rotativo],"sí",tblTecnicos[especialidad],tblAsignaciones[[#This Row],[especialidad]],tblTecnicos[area],tblAsignaciones[[#This Row],[area]],tblTecnicos[activo],"sí")</f>
        <v/>
      </c>
      <c r="G3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4" t="n"/>
      <c r="J3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5">
        <f>_xlfn.XLOOKUP(tblAsignaciones[[#This Row],[tecnico]],tblTecnicos[nombre],tblTecnicos[supervisor],"")</f>
        <v/>
      </c>
      <c r="L32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5">
        <f>tblAsignaciones[[#This Row],[semana]]&amp;"|"&amp;tblAsignaciones[[#This Row],[dia]]&amp;"|"&amp;tblAsignaciones[[#This Row],[tecnico]]</f>
        <v/>
      </c>
      <c r="O326" s="5">
        <f>_xlfn.XLOOKUP(tblAsignaciones[[#This Row],[turno]],tblTurnos[turno],tblTurnos[hora_inicio],"")</f>
        <v/>
      </c>
      <c r="P326" s="5">
        <f>_xlfn.XLOOKUP(tblAsignaciones[[#This Row],[turno]],tblTurnos[turno],tblTurnos[hora_fin],"")</f>
        <v/>
      </c>
      <c r="Q326" s="5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5">
        <f>_xlfn.XLOOKUP(tblAsignaciones[[#This Row],[tecnico]],tblTecnicos[nombre],tblTecnicos[area],"")</f>
        <v/>
      </c>
      <c r="E327" s="5">
        <f>_xlfn.XLOOKUP(tblAsignaciones[[#This Row],[tecnico]],tblTecnicos[nombre],tblTecnicos[especialidad],"")</f>
        <v/>
      </c>
      <c r="F327" s="5">
        <f>COUNTIFS(tblTecnicos[rotativo],"sí",tblTecnicos[especialidad],tblAsignaciones[[#This Row],[especialidad]],tblTecnicos[area],tblAsignaciones[[#This Row],[area]],tblTecnicos[activo],"sí")</f>
        <v/>
      </c>
      <c r="G3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4" t="n"/>
      <c r="J3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5">
        <f>_xlfn.XLOOKUP(tblAsignaciones[[#This Row],[tecnico]],tblTecnicos[nombre],tblTecnicos[supervisor],"")</f>
        <v/>
      </c>
      <c r="L32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5">
        <f>tblAsignaciones[[#This Row],[semana]]&amp;"|"&amp;tblAsignaciones[[#This Row],[dia]]&amp;"|"&amp;tblAsignaciones[[#This Row],[tecnico]]</f>
        <v/>
      </c>
      <c r="O327" s="5">
        <f>_xlfn.XLOOKUP(tblAsignaciones[[#This Row],[turno]],tblTurnos[turno],tblTurnos[hora_inicio],"")</f>
        <v/>
      </c>
      <c r="P327" s="5">
        <f>_xlfn.XLOOKUP(tblAsignaciones[[#This Row],[turno]],tblTurnos[turno],tblTurnos[hora_fin],"")</f>
        <v/>
      </c>
      <c r="Q327" s="5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5">
        <f>_xlfn.XLOOKUP(tblAsignaciones[[#This Row],[tecnico]],tblTecnicos[nombre],tblTecnicos[area],"")</f>
        <v/>
      </c>
      <c r="E328" s="5">
        <f>_xlfn.XLOOKUP(tblAsignaciones[[#This Row],[tecnico]],tblTecnicos[nombre],tblTecnicos[especialidad],"")</f>
        <v/>
      </c>
      <c r="F328" s="5">
        <f>COUNTIFS(tblTecnicos[rotativo],"sí",tblTecnicos[especialidad],tblAsignaciones[[#This Row],[especialidad]],tblTecnicos[area],tblAsignaciones[[#This Row],[area]],tblTecnicos[activo],"sí")</f>
        <v/>
      </c>
      <c r="G3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4" t="n"/>
      <c r="J3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5">
        <f>_xlfn.XLOOKUP(tblAsignaciones[[#This Row],[tecnico]],tblTecnicos[nombre],tblTecnicos[supervisor],"")</f>
        <v/>
      </c>
      <c r="L32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5">
        <f>tblAsignaciones[[#This Row],[semana]]&amp;"|"&amp;tblAsignaciones[[#This Row],[dia]]&amp;"|"&amp;tblAsignaciones[[#This Row],[tecnico]]</f>
        <v/>
      </c>
      <c r="O328" s="5">
        <f>_xlfn.XLOOKUP(tblAsignaciones[[#This Row],[turno]],tblTurnos[turno],tblTurnos[hora_inicio],"")</f>
        <v/>
      </c>
      <c r="P328" s="5">
        <f>_xlfn.XLOOKUP(tblAsignaciones[[#This Row],[turno]],tblTurnos[turno],tblTurnos[hora_fin],"")</f>
        <v/>
      </c>
      <c r="Q328" s="5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5">
        <f>_xlfn.XLOOKUP(tblAsignaciones[[#This Row],[tecnico]],tblTecnicos[nombre],tblTecnicos[area],"")</f>
        <v/>
      </c>
      <c r="E329" s="5">
        <f>_xlfn.XLOOKUP(tblAsignaciones[[#This Row],[tecnico]],tblTecnicos[nombre],tblTecnicos[especialidad],"")</f>
        <v/>
      </c>
      <c r="F329" s="5">
        <f>COUNTIFS(tblTecnicos[rotativo],"sí",tblTecnicos[especialidad],tblAsignaciones[[#This Row],[especialidad]],tblTecnicos[area],tblAsignaciones[[#This Row],[area]],tblTecnicos[activo],"sí")</f>
        <v/>
      </c>
      <c r="G3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4" t="n"/>
      <c r="J3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5">
        <f>_xlfn.XLOOKUP(tblAsignaciones[[#This Row],[tecnico]],tblTecnicos[nombre],tblTecnicos[supervisor],"")</f>
        <v/>
      </c>
      <c r="L32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5">
        <f>tblAsignaciones[[#This Row],[semana]]&amp;"|"&amp;tblAsignaciones[[#This Row],[dia]]&amp;"|"&amp;tblAsignaciones[[#This Row],[tecnico]]</f>
        <v/>
      </c>
      <c r="O329" s="5">
        <f>_xlfn.XLOOKUP(tblAsignaciones[[#This Row],[turno]],tblTurnos[turno],tblTurnos[hora_inicio],"")</f>
        <v/>
      </c>
      <c r="P329" s="5">
        <f>_xlfn.XLOOKUP(tblAsignaciones[[#This Row],[turno]],tblTurnos[turno],tblTurnos[hora_fin],"")</f>
        <v/>
      </c>
      <c r="Q329" s="5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5">
        <f>_xlfn.XLOOKUP(tblAsignaciones[[#This Row],[tecnico]],tblTecnicos[nombre],tblTecnicos[area],"")</f>
        <v/>
      </c>
      <c r="E330" s="5">
        <f>_xlfn.XLOOKUP(tblAsignaciones[[#This Row],[tecnico]],tblTecnicos[nombre],tblTecnicos[especialidad],"")</f>
        <v/>
      </c>
      <c r="F330" s="5">
        <f>COUNTIFS(tblTecnicos[rotativo],"sí",tblTecnicos[especialidad],tblAsignaciones[[#This Row],[especialidad]],tblTecnicos[area],tblAsignaciones[[#This Row],[area]],tblTecnicos[activo],"sí")</f>
        <v/>
      </c>
      <c r="G3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4" t="n"/>
      <c r="J3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5">
        <f>_xlfn.XLOOKUP(tblAsignaciones[[#This Row],[tecnico]],tblTecnicos[nombre],tblTecnicos[supervisor],"")</f>
        <v/>
      </c>
      <c r="L33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5">
        <f>tblAsignaciones[[#This Row],[semana]]&amp;"|"&amp;tblAsignaciones[[#This Row],[dia]]&amp;"|"&amp;tblAsignaciones[[#This Row],[tecnico]]</f>
        <v/>
      </c>
      <c r="O330" s="5">
        <f>_xlfn.XLOOKUP(tblAsignaciones[[#This Row],[turno]],tblTurnos[turno],tblTurnos[hora_inicio],"")</f>
        <v/>
      </c>
      <c r="P330" s="5">
        <f>_xlfn.XLOOKUP(tblAsignaciones[[#This Row],[turno]],tblTurnos[turno],tblTurnos[hora_fin],"")</f>
        <v/>
      </c>
      <c r="Q330" s="5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5">
        <f>_xlfn.XLOOKUP(tblAsignaciones[[#This Row],[tecnico]],tblTecnicos[nombre],tblTecnicos[area],"")</f>
        <v/>
      </c>
      <c r="E331" s="5">
        <f>_xlfn.XLOOKUP(tblAsignaciones[[#This Row],[tecnico]],tblTecnicos[nombre],tblTecnicos[especialidad],"")</f>
        <v/>
      </c>
      <c r="F331" s="5">
        <f>COUNTIFS(tblTecnicos[rotativo],"sí",tblTecnicos[especialidad],tblAsignaciones[[#This Row],[especialidad]],tblTecnicos[area],tblAsignaciones[[#This Row],[area]],tblTecnicos[activo],"sí")</f>
        <v/>
      </c>
      <c r="G3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4" t="n"/>
      <c r="J3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5">
        <f>_xlfn.XLOOKUP(tblAsignaciones[[#This Row],[tecnico]],tblTecnicos[nombre],tblTecnicos[supervisor],"")</f>
        <v/>
      </c>
      <c r="L33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5">
        <f>tblAsignaciones[[#This Row],[semana]]&amp;"|"&amp;tblAsignaciones[[#This Row],[dia]]&amp;"|"&amp;tblAsignaciones[[#This Row],[tecnico]]</f>
        <v/>
      </c>
      <c r="O331" s="5">
        <f>_xlfn.XLOOKUP(tblAsignaciones[[#This Row],[turno]],tblTurnos[turno],tblTurnos[hora_inicio],"")</f>
        <v/>
      </c>
      <c r="P331" s="5">
        <f>_xlfn.XLOOKUP(tblAsignaciones[[#This Row],[turno]],tblTurnos[turno],tblTurnos[hora_fin],"")</f>
        <v/>
      </c>
      <c r="Q331" s="5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5">
        <f>_xlfn.XLOOKUP(tblAsignaciones[[#This Row],[tecnico]],tblTecnicos[nombre],tblTecnicos[area],"")</f>
        <v/>
      </c>
      <c r="E332" s="5">
        <f>_xlfn.XLOOKUP(tblAsignaciones[[#This Row],[tecnico]],tblTecnicos[nombre],tblTecnicos[especialidad],"")</f>
        <v/>
      </c>
      <c r="F332" s="5">
        <f>COUNTIFS(tblTecnicos[rotativo],"sí",tblTecnicos[especialidad],tblAsignaciones[[#This Row],[especialidad]],tblTecnicos[area],tblAsignaciones[[#This Row],[area]],tblTecnicos[activo],"sí")</f>
        <v/>
      </c>
      <c r="G3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4" t="n"/>
      <c r="J3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5">
        <f>_xlfn.XLOOKUP(tblAsignaciones[[#This Row],[tecnico]],tblTecnicos[nombre],tblTecnicos[supervisor],"")</f>
        <v/>
      </c>
      <c r="L33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5">
        <f>tblAsignaciones[[#This Row],[semana]]&amp;"|"&amp;tblAsignaciones[[#This Row],[dia]]&amp;"|"&amp;tblAsignaciones[[#This Row],[tecnico]]</f>
        <v/>
      </c>
      <c r="O332" s="5">
        <f>_xlfn.XLOOKUP(tblAsignaciones[[#This Row],[turno]],tblTurnos[turno],tblTurnos[hora_inicio],"")</f>
        <v/>
      </c>
      <c r="P332" s="5">
        <f>_xlfn.XLOOKUP(tblAsignaciones[[#This Row],[turno]],tblTurnos[turno],tblTurnos[hora_fin],"")</f>
        <v/>
      </c>
      <c r="Q332" s="5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5">
        <f>_xlfn.XLOOKUP(tblAsignaciones[[#This Row],[tecnico]],tblTecnicos[nombre],tblTecnicos[area],"")</f>
        <v/>
      </c>
      <c r="E333" s="5">
        <f>_xlfn.XLOOKUP(tblAsignaciones[[#This Row],[tecnico]],tblTecnicos[nombre],tblTecnicos[especialidad],"")</f>
        <v/>
      </c>
      <c r="F333" s="5">
        <f>COUNTIFS(tblTecnicos[rotativo],"sí",tblTecnicos[especialidad],tblAsignaciones[[#This Row],[especialidad]],tblTecnicos[area],tblAsignaciones[[#This Row],[area]],tblTecnicos[activo],"sí")</f>
        <v/>
      </c>
      <c r="G3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4" t="n"/>
      <c r="J3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5">
        <f>_xlfn.XLOOKUP(tblAsignaciones[[#This Row],[tecnico]],tblTecnicos[nombre],tblTecnicos[supervisor],"")</f>
        <v/>
      </c>
      <c r="L33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5">
        <f>tblAsignaciones[[#This Row],[semana]]&amp;"|"&amp;tblAsignaciones[[#This Row],[dia]]&amp;"|"&amp;tblAsignaciones[[#This Row],[tecnico]]</f>
        <v/>
      </c>
      <c r="O333" s="5">
        <f>_xlfn.XLOOKUP(tblAsignaciones[[#This Row],[turno]],tblTurnos[turno],tblTurnos[hora_inicio],"")</f>
        <v/>
      </c>
      <c r="P333" s="5">
        <f>_xlfn.XLOOKUP(tblAsignaciones[[#This Row],[turno]],tblTurnos[turno],tblTurnos[hora_fin],"")</f>
        <v/>
      </c>
      <c r="Q333" s="5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5">
        <f>_xlfn.XLOOKUP(tblAsignaciones[[#This Row],[tecnico]],tblTecnicos[nombre],tblTecnicos[area],"")</f>
        <v/>
      </c>
      <c r="E334" s="5">
        <f>_xlfn.XLOOKUP(tblAsignaciones[[#This Row],[tecnico]],tblTecnicos[nombre],tblTecnicos[especialidad],"")</f>
        <v/>
      </c>
      <c r="F334" s="5">
        <f>COUNTIFS(tblTecnicos[rotativo],"sí",tblTecnicos[especialidad],tblAsignaciones[[#This Row],[especialidad]],tblTecnicos[area],tblAsignaciones[[#This Row],[area]],tblTecnicos[activo],"sí")</f>
        <v/>
      </c>
      <c r="G3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4" t="n"/>
      <c r="J3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5">
        <f>_xlfn.XLOOKUP(tblAsignaciones[[#This Row],[tecnico]],tblTecnicos[nombre],tblTecnicos[supervisor],"")</f>
        <v/>
      </c>
      <c r="L33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5">
        <f>tblAsignaciones[[#This Row],[semana]]&amp;"|"&amp;tblAsignaciones[[#This Row],[dia]]&amp;"|"&amp;tblAsignaciones[[#This Row],[tecnico]]</f>
        <v/>
      </c>
      <c r="O334" s="5">
        <f>_xlfn.XLOOKUP(tblAsignaciones[[#This Row],[turno]],tblTurnos[turno],tblTurnos[hora_inicio],"")</f>
        <v/>
      </c>
      <c r="P334" s="5">
        <f>_xlfn.XLOOKUP(tblAsignaciones[[#This Row],[turno]],tblTurnos[turno],tblTurnos[hora_fin],"")</f>
        <v/>
      </c>
      <c r="Q334" s="5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5">
        <f>_xlfn.XLOOKUP(tblAsignaciones[[#This Row],[tecnico]],tblTecnicos[nombre],tblTecnicos[area],"")</f>
        <v/>
      </c>
      <c r="E335" s="5">
        <f>_xlfn.XLOOKUP(tblAsignaciones[[#This Row],[tecnico]],tblTecnicos[nombre],tblTecnicos[especialidad],"")</f>
        <v/>
      </c>
      <c r="F335" s="5">
        <f>COUNTIFS(tblTecnicos[rotativo],"sí",tblTecnicos[especialidad],tblAsignaciones[[#This Row],[especialidad]],tblTecnicos[area],tblAsignaciones[[#This Row],[area]],tblTecnicos[activo],"sí")</f>
        <v/>
      </c>
      <c r="G3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4" t="n"/>
      <c r="J3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5">
        <f>_xlfn.XLOOKUP(tblAsignaciones[[#This Row],[tecnico]],tblTecnicos[nombre],tblTecnicos[supervisor],"")</f>
        <v/>
      </c>
      <c r="L33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5">
        <f>tblAsignaciones[[#This Row],[semana]]&amp;"|"&amp;tblAsignaciones[[#This Row],[dia]]&amp;"|"&amp;tblAsignaciones[[#This Row],[tecnico]]</f>
        <v/>
      </c>
      <c r="O335" s="5">
        <f>_xlfn.XLOOKUP(tblAsignaciones[[#This Row],[turno]],tblTurnos[turno],tblTurnos[hora_inicio],"")</f>
        <v/>
      </c>
      <c r="P335" s="5">
        <f>_xlfn.XLOOKUP(tblAsignaciones[[#This Row],[turno]],tblTurnos[turno],tblTurnos[hora_fin],"")</f>
        <v/>
      </c>
      <c r="Q335" s="5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5">
        <f>_xlfn.XLOOKUP(tblAsignaciones[[#This Row],[tecnico]],tblTecnicos[nombre],tblTecnicos[area],"")</f>
        <v/>
      </c>
      <c r="E336" s="5">
        <f>_xlfn.XLOOKUP(tblAsignaciones[[#This Row],[tecnico]],tblTecnicos[nombre],tblTecnicos[especialidad],"")</f>
        <v/>
      </c>
      <c r="F336" s="5">
        <f>COUNTIFS(tblTecnicos[rotativo],"sí",tblTecnicos[especialidad],tblAsignaciones[[#This Row],[especialidad]],tblTecnicos[area],tblAsignaciones[[#This Row],[area]],tblTecnicos[activo],"sí")</f>
        <v/>
      </c>
      <c r="G3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4" t="n"/>
      <c r="J3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5">
        <f>_xlfn.XLOOKUP(tblAsignaciones[[#This Row],[tecnico]],tblTecnicos[nombre],tblTecnicos[supervisor],"")</f>
        <v/>
      </c>
      <c r="L33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5">
        <f>tblAsignaciones[[#This Row],[semana]]&amp;"|"&amp;tblAsignaciones[[#This Row],[dia]]&amp;"|"&amp;tblAsignaciones[[#This Row],[tecnico]]</f>
        <v/>
      </c>
      <c r="O336" s="5">
        <f>_xlfn.XLOOKUP(tblAsignaciones[[#This Row],[turno]],tblTurnos[turno],tblTurnos[hora_inicio],"")</f>
        <v/>
      </c>
      <c r="P336" s="5">
        <f>_xlfn.XLOOKUP(tblAsignaciones[[#This Row],[turno]],tblTurnos[turno],tblTurnos[hora_fin],"")</f>
        <v/>
      </c>
      <c r="Q336" s="5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5">
        <f>_xlfn.XLOOKUP(tblAsignaciones[[#This Row],[tecnico]],tblTecnicos[nombre],tblTecnicos[area],"")</f>
        <v/>
      </c>
      <c r="E337" s="5">
        <f>_xlfn.XLOOKUP(tblAsignaciones[[#This Row],[tecnico]],tblTecnicos[nombre],tblTecnicos[especialidad],"")</f>
        <v/>
      </c>
      <c r="F337" s="5">
        <f>COUNTIFS(tblTecnicos[rotativo],"sí",tblTecnicos[especialidad],tblAsignaciones[[#This Row],[especialidad]],tblTecnicos[area],tblAsignaciones[[#This Row],[area]],tblTecnicos[activo],"sí")</f>
        <v/>
      </c>
      <c r="G3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4" t="n"/>
      <c r="J3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5">
        <f>_xlfn.XLOOKUP(tblAsignaciones[[#This Row],[tecnico]],tblTecnicos[nombre],tblTecnicos[supervisor],"")</f>
        <v/>
      </c>
      <c r="L33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5">
        <f>tblAsignaciones[[#This Row],[semana]]&amp;"|"&amp;tblAsignaciones[[#This Row],[dia]]&amp;"|"&amp;tblAsignaciones[[#This Row],[tecnico]]</f>
        <v/>
      </c>
      <c r="O337" s="5">
        <f>_xlfn.XLOOKUP(tblAsignaciones[[#This Row],[turno]],tblTurnos[turno],tblTurnos[hora_inicio],"")</f>
        <v/>
      </c>
      <c r="P337" s="5">
        <f>_xlfn.XLOOKUP(tblAsignaciones[[#This Row],[turno]],tblTurnos[turno],tblTurnos[hora_fin],"")</f>
        <v/>
      </c>
      <c r="Q337" s="5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5">
        <f>_xlfn.XLOOKUP(tblAsignaciones[[#This Row],[tecnico]],tblTecnicos[nombre],tblTecnicos[area],"")</f>
        <v/>
      </c>
      <c r="E338" s="5">
        <f>_xlfn.XLOOKUP(tblAsignaciones[[#This Row],[tecnico]],tblTecnicos[nombre],tblTecnicos[especialidad],"")</f>
        <v/>
      </c>
      <c r="F338" s="5">
        <f>COUNTIFS(tblTecnicos[rotativo],"sí",tblTecnicos[especialidad],tblAsignaciones[[#This Row],[especialidad]],tblTecnicos[area],tblAsignaciones[[#This Row],[area]],tblTecnicos[activo],"sí")</f>
        <v/>
      </c>
      <c r="G3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4" t="n"/>
      <c r="J3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5">
        <f>_xlfn.XLOOKUP(tblAsignaciones[[#This Row],[tecnico]],tblTecnicos[nombre],tblTecnicos[supervisor],"")</f>
        <v/>
      </c>
      <c r="L33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5">
        <f>tblAsignaciones[[#This Row],[semana]]&amp;"|"&amp;tblAsignaciones[[#This Row],[dia]]&amp;"|"&amp;tblAsignaciones[[#This Row],[tecnico]]</f>
        <v/>
      </c>
      <c r="O338" s="5">
        <f>_xlfn.XLOOKUP(tblAsignaciones[[#This Row],[turno]],tblTurnos[turno],tblTurnos[hora_inicio],"")</f>
        <v/>
      </c>
      <c r="P338" s="5">
        <f>_xlfn.XLOOKUP(tblAsignaciones[[#This Row],[turno]],tblTurnos[turno],tblTurnos[hora_fin],"")</f>
        <v/>
      </c>
      <c r="Q338" s="5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5">
        <f>_xlfn.XLOOKUP(tblAsignaciones[[#This Row],[tecnico]],tblTecnicos[nombre],tblTecnicos[area],"")</f>
        <v/>
      </c>
      <c r="E339" s="5">
        <f>_xlfn.XLOOKUP(tblAsignaciones[[#This Row],[tecnico]],tblTecnicos[nombre],tblTecnicos[especialidad],"")</f>
        <v/>
      </c>
      <c r="F339" s="5">
        <f>COUNTIFS(tblTecnicos[rotativo],"sí",tblTecnicos[especialidad],tblAsignaciones[[#This Row],[especialidad]],tblTecnicos[area],tblAsignaciones[[#This Row],[area]],tblTecnicos[activo],"sí")</f>
        <v/>
      </c>
      <c r="G3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4" t="n"/>
      <c r="J3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5">
        <f>_xlfn.XLOOKUP(tblAsignaciones[[#This Row],[tecnico]],tblTecnicos[nombre],tblTecnicos[supervisor],"")</f>
        <v/>
      </c>
      <c r="L33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5">
        <f>tblAsignaciones[[#This Row],[semana]]&amp;"|"&amp;tblAsignaciones[[#This Row],[dia]]&amp;"|"&amp;tblAsignaciones[[#This Row],[tecnico]]</f>
        <v/>
      </c>
      <c r="O339" s="5">
        <f>_xlfn.XLOOKUP(tblAsignaciones[[#This Row],[turno]],tblTurnos[turno],tblTurnos[hora_inicio],"")</f>
        <v/>
      </c>
      <c r="P339" s="5">
        <f>_xlfn.XLOOKUP(tblAsignaciones[[#This Row],[turno]],tblTurnos[turno],tblTurnos[hora_fin],"")</f>
        <v/>
      </c>
      <c r="Q339" s="5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5">
        <f>_xlfn.XLOOKUP(tblAsignaciones[[#This Row],[tecnico]],tblTecnicos[nombre],tblTecnicos[area],"")</f>
        <v/>
      </c>
      <c r="E340" s="5">
        <f>_xlfn.XLOOKUP(tblAsignaciones[[#This Row],[tecnico]],tblTecnicos[nombre],tblTecnicos[especialidad],"")</f>
        <v/>
      </c>
      <c r="F340" s="5">
        <f>COUNTIFS(tblTecnicos[rotativo],"sí",tblTecnicos[especialidad],tblAsignaciones[[#This Row],[especialidad]],tblTecnicos[area],tblAsignaciones[[#This Row],[area]],tblTecnicos[activo],"sí")</f>
        <v/>
      </c>
      <c r="G3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4" t="n"/>
      <c r="J3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5">
        <f>_xlfn.XLOOKUP(tblAsignaciones[[#This Row],[tecnico]],tblTecnicos[nombre],tblTecnicos[supervisor],"")</f>
        <v/>
      </c>
      <c r="L34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5">
        <f>tblAsignaciones[[#This Row],[semana]]&amp;"|"&amp;tblAsignaciones[[#This Row],[dia]]&amp;"|"&amp;tblAsignaciones[[#This Row],[tecnico]]</f>
        <v/>
      </c>
      <c r="O340" s="5">
        <f>_xlfn.XLOOKUP(tblAsignaciones[[#This Row],[turno]],tblTurnos[turno],tblTurnos[hora_inicio],"")</f>
        <v/>
      </c>
      <c r="P340" s="5">
        <f>_xlfn.XLOOKUP(tblAsignaciones[[#This Row],[turno]],tblTurnos[turno],tblTurnos[hora_fin],"")</f>
        <v/>
      </c>
      <c r="Q340" s="5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5">
        <f>_xlfn.XLOOKUP(tblAsignaciones[[#This Row],[tecnico]],tblTecnicos[nombre],tblTecnicos[area],"")</f>
        <v/>
      </c>
      <c r="E341" s="5">
        <f>_xlfn.XLOOKUP(tblAsignaciones[[#This Row],[tecnico]],tblTecnicos[nombre],tblTecnicos[especialidad],"")</f>
        <v/>
      </c>
      <c r="F341" s="5">
        <f>COUNTIFS(tblTecnicos[rotativo],"sí",tblTecnicos[especialidad],tblAsignaciones[[#This Row],[especialidad]],tblTecnicos[area],tblAsignaciones[[#This Row],[area]],tblTecnicos[activo],"sí")</f>
        <v/>
      </c>
      <c r="G3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4" t="n"/>
      <c r="J3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5">
        <f>_xlfn.XLOOKUP(tblAsignaciones[[#This Row],[tecnico]],tblTecnicos[nombre],tblTecnicos[supervisor],"")</f>
        <v/>
      </c>
      <c r="L34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5">
        <f>tblAsignaciones[[#This Row],[semana]]&amp;"|"&amp;tblAsignaciones[[#This Row],[dia]]&amp;"|"&amp;tblAsignaciones[[#This Row],[tecnico]]</f>
        <v/>
      </c>
      <c r="O341" s="5">
        <f>_xlfn.XLOOKUP(tblAsignaciones[[#This Row],[turno]],tblTurnos[turno],tblTurnos[hora_inicio],"")</f>
        <v/>
      </c>
      <c r="P341" s="5">
        <f>_xlfn.XLOOKUP(tblAsignaciones[[#This Row],[turno]],tblTurnos[turno],tblTurnos[hora_fin],"")</f>
        <v/>
      </c>
      <c r="Q341" s="5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5">
        <f>_xlfn.XLOOKUP(tblAsignaciones[[#This Row],[tecnico]],tblTecnicos[nombre],tblTecnicos[area],"")</f>
        <v/>
      </c>
      <c r="E342" s="5">
        <f>_xlfn.XLOOKUP(tblAsignaciones[[#This Row],[tecnico]],tblTecnicos[nombre],tblTecnicos[especialidad],"")</f>
        <v/>
      </c>
      <c r="F342" s="5">
        <f>COUNTIFS(tblTecnicos[rotativo],"sí",tblTecnicos[especialidad],tblAsignaciones[[#This Row],[especialidad]],tblTecnicos[area],tblAsignaciones[[#This Row],[area]],tblTecnicos[activo],"sí")</f>
        <v/>
      </c>
      <c r="G3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4" t="n"/>
      <c r="J3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5">
        <f>_xlfn.XLOOKUP(tblAsignaciones[[#This Row],[tecnico]],tblTecnicos[nombre],tblTecnicos[supervisor],"")</f>
        <v/>
      </c>
      <c r="L34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5">
        <f>tblAsignaciones[[#This Row],[semana]]&amp;"|"&amp;tblAsignaciones[[#This Row],[dia]]&amp;"|"&amp;tblAsignaciones[[#This Row],[tecnico]]</f>
        <v/>
      </c>
      <c r="O342" s="5">
        <f>_xlfn.XLOOKUP(tblAsignaciones[[#This Row],[turno]],tblTurnos[turno],tblTurnos[hora_inicio],"")</f>
        <v/>
      </c>
      <c r="P342" s="5">
        <f>_xlfn.XLOOKUP(tblAsignaciones[[#This Row],[turno]],tblTurnos[turno],tblTurnos[hora_fin],"")</f>
        <v/>
      </c>
      <c r="Q342" s="5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5">
        <f>_xlfn.XLOOKUP(tblAsignaciones[[#This Row],[tecnico]],tblTecnicos[nombre],tblTecnicos[area],"")</f>
        <v/>
      </c>
      <c r="E343" s="5">
        <f>_xlfn.XLOOKUP(tblAsignaciones[[#This Row],[tecnico]],tblTecnicos[nombre],tblTecnicos[especialidad],"")</f>
        <v/>
      </c>
      <c r="F343" s="5">
        <f>COUNTIFS(tblTecnicos[rotativo],"sí",tblTecnicos[especialidad],tblAsignaciones[[#This Row],[especialidad]],tblTecnicos[area],tblAsignaciones[[#This Row],[area]],tblTecnicos[activo],"sí")</f>
        <v/>
      </c>
      <c r="G3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4" t="n"/>
      <c r="J3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5">
        <f>_xlfn.XLOOKUP(tblAsignaciones[[#This Row],[tecnico]],tblTecnicos[nombre],tblTecnicos[supervisor],"")</f>
        <v/>
      </c>
      <c r="L34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5">
        <f>tblAsignaciones[[#This Row],[semana]]&amp;"|"&amp;tblAsignaciones[[#This Row],[dia]]&amp;"|"&amp;tblAsignaciones[[#This Row],[tecnico]]</f>
        <v/>
      </c>
      <c r="O343" s="5">
        <f>_xlfn.XLOOKUP(tblAsignaciones[[#This Row],[turno]],tblTurnos[turno],tblTurnos[hora_inicio],"")</f>
        <v/>
      </c>
      <c r="P343" s="5">
        <f>_xlfn.XLOOKUP(tblAsignaciones[[#This Row],[turno]],tblTurnos[turno],tblTurnos[hora_fin],"")</f>
        <v/>
      </c>
      <c r="Q343" s="5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5">
        <f>_xlfn.XLOOKUP(tblAsignaciones[[#This Row],[tecnico]],tblTecnicos[nombre],tblTecnicos[area],"")</f>
        <v/>
      </c>
      <c r="E344" s="5">
        <f>_xlfn.XLOOKUP(tblAsignaciones[[#This Row],[tecnico]],tblTecnicos[nombre],tblTecnicos[especialidad],"")</f>
        <v/>
      </c>
      <c r="F344" s="5">
        <f>COUNTIFS(tblTecnicos[rotativo],"sí",tblTecnicos[especialidad],tblAsignaciones[[#This Row],[especialidad]],tblTecnicos[area],tblAsignaciones[[#This Row],[area]],tblTecnicos[activo],"sí")</f>
        <v/>
      </c>
      <c r="G3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4" t="n"/>
      <c r="J3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5">
        <f>_xlfn.XLOOKUP(tblAsignaciones[[#This Row],[tecnico]],tblTecnicos[nombre],tblTecnicos[supervisor],"")</f>
        <v/>
      </c>
      <c r="L34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5">
        <f>tblAsignaciones[[#This Row],[semana]]&amp;"|"&amp;tblAsignaciones[[#This Row],[dia]]&amp;"|"&amp;tblAsignaciones[[#This Row],[tecnico]]</f>
        <v/>
      </c>
      <c r="O344" s="5">
        <f>_xlfn.XLOOKUP(tblAsignaciones[[#This Row],[turno]],tblTurnos[turno],tblTurnos[hora_inicio],"")</f>
        <v/>
      </c>
      <c r="P344" s="5">
        <f>_xlfn.XLOOKUP(tblAsignaciones[[#This Row],[turno]],tblTurnos[turno],tblTurnos[hora_fin],"")</f>
        <v/>
      </c>
      <c r="Q344" s="5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5">
        <f>_xlfn.XLOOKUP(tblAsignaciones[[#This Row],[tecnico]],tblTecnicos[nombre],tblTecnicos[area],"")</f>
        <v/>
      </c>
      <c r="E345" s="5">
        <f>_xlfn.XLOOKUP(tblAsignaciones[[#This Row],[tecnico]],tblTecnicos[nombre],tblTecnicos[especialidad],"")</f>
        <v/>
      </c>
      <c r="F345" s="5">
        <f>COUNTIFS(tblTecnicos[rotativo],"sí",tblTecnicos[especialidad],tblAsignaciones[[#This Row],[especialidad]],tblTecnicos[area],tblAsignaciones[[#This Row],[area]],tblTecnicos[activo],"sí")</f>
        <v/>
      </c>
      <c r="G3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4" t="n"/>
      <c r="J3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5">
        <f>_xlfn.XLOOKUP(tblAsignaciones[[#This Row],[tecnico]],tblTecnicos[nombre],tblTecnicos[supervisor],"")</f>
        <v/>
      </c>
      <c r="L34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5">
        <f>tblAsignaciones[[#This Row],[semana]]&amp;"|"&amp;tblAsignaciones[[#This Row],[dia]]&amp;"|"&amp;tblAsignaciones[[#This Row],[tecnico]]</f>
        <v/>
      </c>
      <c r="O345" s="5">
        <f>_xlfn.XLOOKUP(tblAsignaciones[[#This Row],[turno]],tblTurnos[turno],tblTurnos[hora_inicio],"")</f>
        <v/>
      </c>
      <c r="P345" s="5">
        <f>_xlfn.XLOOKUP(tblAsignaciones[[#This Row],[turno]],tblTurnos[turno],tblTurnos[hora_fin],"")</f>
        <v/>
      </c>
      <c r="Q345" s="5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5">
        <f>_xlfn.XLOOKUP(tblAsignaciones[[#This Row],[tecnico]],tblTecnicos[nombre],tblTecnicos[area],"")</f>
        <v/>
      </c>
      <c r="E346" s="5">
        <f>_xlfn.XLOOKUP(tblAsignaciones[[#This Row],[tecnico]],tblTecnicos[nombre],tblTecnicos[especialidad],"")</f>
        <v/>
      </c>
      <c r="F346" s="5">
        <f>COUNTIFS(tblTecnicos[rotativo],"sí",tblTecnicos[especialidad],tblAsignaciones[[#This Row],[especialidad]],tblTecnicos[area],tblAsignaciones[[#This Row],[area]],tblTecnicos[activo],"sí")</f>
        <v/>
      </c>
      <c r="G3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4" t="n"/>
      <c r="J3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5">
        <f>_xlfn.XLOOKUP(tblAsignaciones[[#This Row],[tecnico]],tblTecnicos[nombre],tblTecnicos[supervisor],"")</f>
        <v/>
      </c>
      <c r="L34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5">
        <f>tblAsignaciones[[#This Row],[semana]]&amp;"|"&amp;tblAsignaciones[[#This Row],[dia]]&amp;"|"&amp;tblAsignaciones[[#This Row],[tecnico]]</f>
        <v/>
      </c>
      <c r="O346" s="5">
        <f>_xlfn.XLOOKUP(tblAsignaciones[[#This Row],[turno]],tblTurnos[turno],tblTurnos[hora_inicio],"")</f>
        <v/>
      </c>
      <c r="P346" s="5">
        <f>_xlfn.XLOOKUP(tblAsignaciones[[#This Row],[turno]],tblTurnos[turno],tblTurnos[hora_fin],"")</f>
        <v/>
      </c>
      <c r="Q346" s="5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5">
        <f>_xlfn.XLOOKUP(tblAsignaciones[[#This Row],[tecnico]],tblTecnicos[nombre],tblTecnicos[area],"")</f>
        <v/>
      </c>
      <c r="E347" s="5">
        <f>_xlfn.XLOOKUP(tblAsignaciones[[#This Row],[tecnico]],tblTecnicos[nombre],tblTecnicos[especialidad],"")</f>
        <v/>
      </c>
      <c r="F347" s="5">
        <f>COUNTIFS(tblTecnicos[rotativo],"sí",tblTecnicos[especialidad],tblAsignaciones[[#This Row],[especialidad]],tblTecnicos[area],tblAsignaciones[[#This Row],[area]],tblTecnicos[activo],"sí")</f>
        <v/>
      </c>
      <c r="G3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4" t="n"/>
      <c r="J3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5">
        <f>_xlfn.XLOOKUP(tblAsignaciones[[#This Row],[tecnico]],tblTecnicos[nombre],tblTecnicos[supervisor],"")</f>
        <v/>
      </c>
      <c r="L34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5">
        <f>tblAsignaciones[[#This Row],[semana]]&amp;"|"&amp;tblAsignaciones[[#This Row],[dia]]&amp;"|"&amp;tblAsignaciones[[#This Row],[tecnico]]</f>
        <v/>
      </c>
      <c r="O347" s="5">
        <f>_xlfn.XLOOKUP(tblAsignaciones[[#This Row],[turno]],tblTurnos[turno],tblTurnos[hora_inicio],"")</f>
        <v/>
      </c>
      <c r="P347" s="5">
        <f>_xlfn.XLOOKUP(tblAsignaciones[[#This Row],[turno]],tblTurnos[turno],tblTurnos[hora_fin],"")</f>
        <v/>
      </c>
      <c r="Q347" s="5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5">
        <f>_xlfn.XLOOKUP(tblAsignaciones[[#This Row],[tecnico]],tblTecnicos[nombre],tblTecnicos[area],"")</f>
        <v/>
      </c>
      <c r="E348" s="5">
        <f>_xlfn.XLOOKUP(tblAsignaciones[[#This Row],[tecnico]],tblTecnicos[nombre],tblTecnicos[especialidad],"")</f>
        <v/>
      </c>
      <c r="F348" s="5">
        <f>COUNTIFS(tblTecnicos[rotativo],"sí",tblTecnicos[especialidad],tblAsignaciones[[#This Row],[especialidad]],tblTecnicos[area],tblAsignaciones[[#This Row],[area]],tblTecnicos[activo],"sí")</f>
        <v/>
      </c>
      <c r="G3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4" t="n"/>
      <c r="J3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5">
        <f>_xlfn.XLOOKUP(tblAsignaciones[[#This Row],[tecnico]],tblTecnicos[nombre],tblTecnicos[supervisor],"")</f>
        <v/>
      </c>
      <c r="L34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5">
        <f>tblAsignaciones[[#This Row],[semana]]&amp;"|"&amp;tblAsignaciones[[#This Row],[dia]]&amp;"|"&amp;tblAsignaciones[[#This Row],[tecnico]]</f>
        <v/>
      </c>
      <c r="O348" s="5">
        <f>_xlfn.XLOOKUP(tblAsignaciones[[#This Row],[turno]],tblTurnos[turno],tblTurnos[hora_inicio],"")</f>
        <v/>
      </c>
      <c r="P348" s="5">
        <f>_xlfn.XLOOKUP(tblAsignaciones[[#This Row],[turno]],tblTurnos[turno],tblTurnos[hora_fin],"")</f>
        <v/>
      </c>
      <c r="Q348" s="5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5">
        <f>_xlfn.XLOOKUP(tblAsignaciones[[#This Row],[tecnico]],tblTecnicos[nombre],tblTecnicos[area],"")</f>
        <v/>
      </c>
      <c r="E349" s="5">
        <f>_xlfn.XLOOKUP(tblAsignaciones[[#This Row],[tecnico]],tblTecnicos[nombre],tblTecnicos[especialidad],"")</f>
        <v/>
      </c>
      <c r="F349" s="5">
        <f>COUNTIFS(tblTecnicos[rotativo],"sí",tblTecnicos[especialidad],tblAsignaciones[[#This Row],[especialidad]],tblTecnicos[area],tblAsignaciones[[#This Row],[area]],tblTecnicos[activo],"sí")</f>
        <v/>
      </c>
      <c r="G3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4" t="n"/>
      <c r="J3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5">
        <f>_xlfn.XLOOKUP(tblAsignaciones[[#This Row],[tecnico]],tblTecnicos[nombre],tblTecnicos[supervisor],"")</f>
        <v/>
      </c>
      <c r="L34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5">
        <f>tblAsignaciones[[#This Row],[semana]]&amp;"|"&amp;tblAsignaciones[[#This Row],[dia]]&amp;"|"&amp;tblAsignaciones[[#This Row],[tecnico]]</f>
        <v/>
      </c>
      <c r="O349" s="5">
        <f>_xlfn.XLOOKUP(tblAsignaciones[[#This Row],[turno]],tblTurnos[turno],tblTurnos[hora_inicio],"")</f>
        <v/>
      </c>
      <c r="P349" s="5">
        <f>_xlfn.XLOOKUP(tblAsignaciones[[#This Row],[turno]],tblTurnos[turno],tblTurnos[hora_fin],"")</f>
        <v/>
      </c>
      <c r="Q349" s="5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5">
        <f>_xlfn.XLOOKUP(tblAsignaciones[[#This Row],[tecnico]],tblTecnicos[nombre],tblTecnicos[area],"")</f>
        <v/>
      </c>
      <c r="E350" s="5">
        <f>_xlfn.XLOOKUP(tblAsignaciones[[#This Row],[tecnico]],tblTecnicos[nombre],tblTecnicos[especialidad],"")</f>
        <v/>
      </c>
      <c r="F350" s="5">
        <f>COUNTIFS(tblTecnicos[rotativo],"sí",tblTecnicos[especialidad],tblAsignaciones[[#This Row],[especialidad]],tblTecnicos[area],tblAsignaciones[[#This Row],[area]],tblTecnicos[activo],"sí")</f>
        <v/>
      </c>
      <c r="G3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4" t="n"/>
      <c r="J3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5">
        <f>_xlfn.XLOOKUP(tblAsignaciones[[#This Row],[tecnico]],tblTecnicos[nombre],tblTecnicos[supervisor],"")</f>
        <v/>
      </c>
      <c r="L35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5">
        <f>tblAsignaciones[[#This Row],[semana]]&amp;"|"&amp;tblAsignaciones[[#This Row],[dia]]&amp;"|"&amp;tblAsignaciones[[#This Row],[tecnico]]</f>
        <v/>
      </c>
      <c r="O350" s="5">
        <f>_xlfn.XLOOKUP(tblAsignaciones[[#This Row],[turno]],tblTurnos[turno],tblTurnos[hora_inicio],"")</f>
        <v/>
      </c>
      <c r="P350" s="5">
        <f>_xlfn.XLOOKUP(tblAsignaciones[[#This Row],[turno]],tblTurnos[turno],tblTurnos[hora_fin],"")</f>
        <v/>
      </c>
      <c r="Q350" s="5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5">
        <f>_xlfn.XLOOKUP(tblAsignaciones[[#This Row],[tecnico]],tblTecnicos[nombre],tblTecnicos[area],"")</f>
        <v/>
      </c>
      <c r="E351" s="5">
        <f>_xlfn.XLOOKUP(tblAsignaciones[[#This Row],[tecnico]],tblTecnicos[nombre],tblTecnicos[especialidad],"")</f>
        <v/>
      </c>
      <c r="F351" s="5">
        <f>COUNTIFS(tblTecnicos[rotativo],"sí",tblTecnicos[especialidad],tblAsignaciones[[#This Row],[especialidad]],tblTecnicos[area],tblAsignaciones[[#This Row],[area]],tblTecnicos[activo],"sí")</f>
        <v/>
      </c>
      <c r="G3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4" t="n"/>
      <c r="J3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5">
        <f>_xlfn.XLOOKUP(tblAsignaciones[[#This Row],[tecnico]],tblTecnicos[nombre],tblTecnicos[supervisor],"")</f>
        <v/>
      </c>
      <c r="L35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5">
        <f>tblAsignaciones[[#This Row],[semana]]&amp;"|"&amp;tblAsignaciones[[#This Row],[dia]]&amp;"|"&amp;tblAsignaciones[[#This Row],[tecnico]]</f>
        <v/>
      </c>
      <c r="O351" s="5">
        <f>_xlfn.XLOOKUP(tblAsignaciones[[#This Row],[turno]],tblTurnos[turno],tblTurnos[hora_inicio],"")</f>
        <v/>
      </c>
      <c r="P351" s="5">
        <f>_xlfn.XLOOKUP(tblAsignaciones[[#This Row],[turno]],tblTurnos[turno],tblTurnos[hora_fin],"")</f>
        <v/>
      </c>
      <c r="Q351" s="5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5">
        <f>_xlfn.XLOOKUP(tblAsignaciones[[#This Row],[tecnico]],tblTecnicos[nombre],tblTecnicos[area],"")</f>
        <v/>
      </c>
      <c r="E352" s="5">
        <f>_xlfn.XLOOKUP(tblAsignaciones[[#This Row],[tecnico]],tblTecnicos[nombre],tblTecnicos[especialidad],"")</f>
        <v/>
      </c>
      <c r="F352" s="5">
        <f>COUNTIFS(tblTecnicos[rotativo],"sí",tblTecnicos[especialidad],tblAsignaciones[[#This Row],[especialidad]],tblTecnicos[area],tblAsignaciones[[#This Row],[area]],tblTecnicos[activo],"sí")</f>
        <v/>
      </c>
      <c r="G3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4" t="n"/>
      <c r="J3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5">
        <f>_xlfn.XLOOKUP(tblAsignaciones[[#This Row],[tecnico]],tblTecnicos[nombre],tblTecnicos[supervisor],"")</f>
        <v/>
      </c>
      <c r="L35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5">
        <f>tblAsignaciones[[#This Row],[semana]]&amp;"|"&amp;tblAsignaciones[[#This Row],[dia]]&amp;"|"&amp;tblAsignaciones[[#This Row],[tecnico]]</f>
        <v/>
      </c>
      <c r="O352" s="5">
        <f>_xlfn.XLOOKUP(tblAsignaciones[[#This Row],[turno]],tblTurnos[turno],tblTurnos[hora_inicio],"")</f>
        <v/>
      </c>
      <c r="P352" s="5">
        <f>_xlfn.XLOOKUP(tblAsignaciones[[#This Row],[turno]],tblTurnos[turno],tblTurnos[hora_fin],"")</f>
        <v/>
      </c>
      <c r="Q352" s="5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5">
        <f>_xlfn.XLOOKUP(tblAsignaciones[[#This Row],[tecnico]],tblTecnicos[nombre],tblTecnicos[area],"")</f>
        <v/>
      </c>
      <c r="E353" s="5">
        <f>_xlfn.XLOOKUP(tblAsignaciones[[#This Row],[tecnico]],tblTecnicos[nombre],tblTecnicos[especialidad],"")</f>
        <v/>
      </c>
      <c r="F353" s="5">
        <f>COUNTIFS(tblTecnicos[rotativo],"sí",tblTecnicos[especialidad],tblAsignaciones[[#This Row],[especialidad]],tblTecnicos[area],tblAsignaciones[[#This Row],[area]],tblTecnicos[activo],"sí")</f>
        <v/>
      </c>
      <c r="G3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4" t="n"/>
      <c r="J3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5">
        <f>_xlfn.XLOOKUP(tblAsignaciones[[#This Row],[tecnico]],tblTecnicos[nombre],tblTecnicos[supervisor],"")</f>
        <v/>
      </c>
      <c r="L35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5">
        <f>tblAsignaciones[[#This Row],[semana]]&amp;"|"&amp;tblAsignaciones[[#This Row],[dia]]&amp;"|"&amp;tblAsignaciones[[#This Row],[tecnico]]</f>
        <v/>
      </c>
      <c r="O353" s="5">
        <f>_xlfn.XLOOKUP(tblAsignaciones[[#This Row],[turno]],tblTurnos[turno],tblTurnos[hora_inicio],"")</f>
        <v/>
      </c>
      <c r="P353" s="5">
        <f>_xlfn.XLOOKUP(tblAsignaciones[[#This Row],[turno]],tblTurnos[turno],tblTurnos[hora_fin],"")</f>
        <v/>
      </c>
      <c r="Q353" s="5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5">
        <f>_xlfn.XLOOKUP(tblAsignaciones[[#This Row],[tecnico]],tblTecnicos[nombre],tblTecnicos[area],"")</f>
        <v/>
      </c>
      <c r="E354" s="5">
        <f>_xlfn.XLOOKUP(tblAsignaciones[[#This Row],[tecnico]],tblTecnicos[nombre],tblTecnicos[especialidad],"")</f>
        <v/>
      </c>
      <c r="F354" s="5">
        <f>COUNTIFS(tblTecnicos[rotativo],"sí",tblTecnicos[especialidad],tblAsignaciones[[#This Row],[especialidad]],tblTecnicos[area],tblAsignaciones[[#This Row],[area]],tblTecnicos[activo],"sí")</f>
        <v/>
      </c>
      <c r="G3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4" t="n"/>
      <c r="J3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5">
        <f>_xlfn.XLOOKUP(tblAsignaciones[[#This Row],[tecnico]],tblTecnicos[nombre],tblTecnicos[supervisor],"")</f>
        <v/>
      </c>
      <c r="L35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5">
        <f>tblAsignaciones[[#This Row],[semana]]&amp;"|"&amp;tblAsignaciones[[#This Row],[dia]]&amp;"|"&amp;tblAsignaciones[[#This Row],[tecnico]]</f>
        <v/>
      </c>
      <c r="O354" s="5">
        <f>_xlfn.XLOOKUP(tblAsignaciones[[#This Row],[turno]],tblTurnos[turno],tblTurnos[hora_inicio],"")</f>
        <v/>
      </c>
      <c r="P354" s="5">
        <f>_xlfn.XLOOKUP(tblAsignaciones[[#This Row],[turno]],tblTurnos[turno],tblTurnos[hora_fin],"")</f>
        <v/>
      </c>
      <c r="Q354" s="5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5">
        <f>_xlfn.XLOOKUP(tblAsignaciones[[#This Row],[tecnico]],tblTecnicos[nombre],tblTecnicos[area],"")</f>
        <v/>
      </c>
      <c r="E355" s="5">
        <f>_xlfn.XLOOKUP(tblAsignaciones[[#This Row],[tecnico]],tblTecnicos[nombre],tblTecnicos[especialidad],"")</f>
        <v/>
      </c>
      <c r="F355" s="5">
        <f>COUNTIFS(tblTecnicos[rotativo],"sí",tblTecnicos[especialidad],tblAsignaciones[[#This Row],[especialidad]],tblTecnicos[area],tblAsignaciones[[#This Row],[area]],tblTecnicos[activo],"sí")</f>
        <v/>
      </c>
      <c r="G3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4" t="n"/>
      <c r="J3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5">
        <f>_xlfn.XLOOKUP(tblAsignaciones[[#This Row],[tecnico]],tblTecnicos[nombre],tblTecnicos[supervisor],"")</f>
        <v/>
      </c>
      <c r="L35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5">
        <f>tblAsignaciones[[#This Row],[semana]]&amp;"|"&amp;tblAsignaciones[[#This Row],[dia]]&amp;"|"&amp;tblAsignaciones[[#This Row],[tecnico]]</f>
        <v/>
      </c>
      <c r="O355" s="5">
        <f>_xlfn.XLOOKUP(tblAsignaciones[[#This Row],[turno]],tblTurnos[turno],tblTurnos[hora_inicio],"")</f>
        <v/>
      </c>
      <c r="P355" s="5">
        <f>_xlfn.XLOOKUP(tblAsignaciones[[#This Row],[turno]],tblTurnos[turno],tblTurnos[hora_fin],"")</f>
        <v/>
      </c>
      <c r="Q355" s="5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5">
        <f>_xlfn.XLOOKUP(tblAsignaciones[[#This Row],[tecnico]],tblTecnicos[nombre],tblTecnicos[area],"")</f>
        <v/>
      </c>
      <c r="E356" s="5">
        <f>_xlfn.XLOOKUP(tblAsignaciones[[#This Row],[tecnico]],tblTecnicos[nombre],tblTecnicos[especialidad],"")</f>
        <v/>
      </c>
      <c r="F356" s="5">
        <f>COUNTIFS(tblTecnicos[rotativo],"sí",tblTecnicos[especialidad],tblAsignaciones[[#This Row],[especialidad]],tblTecnicos[area],tblAsignaciones[[#This Row],[area]],tblTecnicos[activo],"sí")</f>
        <v/>
      </c>
      <c r="G3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4" t="n"/>
      <c r="J3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5">
        <f>_xlfn.XLOOKUP(tblAsignaciones[[#This Row],[tecnico]],tblTecnicos[nombre],tblTecnicos[supervisor],"")</f>
        <v/>
      </c>
      <c r="L35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5">
        <f>tblAsignaciones[[#This Row],[semana]]&amp;"|"&amp;tblAsignaciones[[#This Row],[dia]]&amp;"|"&amp;tblAsignaciones[[#This Row],[tecnico]]</f>
        <v/>
      </c>
      <c r="O356" s="5">
        <f>_xlfn.XLOOKUP(tblAsignaciones[[#This Row],[turno]],tblTurnos[turno],tblTurnos[hora_inicio],"")</f>
        <v/>
      </c>
      <c r="P356" s="5">
        <f>_xlfn.XLOOKUP(tblAsignaciones[[#This Row],[turno]],tblTurnos[turno],tblTurnos[hora_fin],"")</f>
        <v/>
      </c>
      <c r="Q356" s="5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5">
        <f>_xlfn.XLOOKUP(tblAsignaciones[[#This Row],[tecnico]],tblTecnicos[nombre],tblTecnicos[area],"")</f>
        <v/>
      </c>
      <c r="E357" s="5">
        <f>_xlfn.XLOOKUP(tblAsignaciones[[#This Row],[tecnico]],tblTecnicos[nombre],tblTecnicos[especialidad],"")</f>
        <v/>
      </c>
      <c r="F357" s="5">
        <f>COUNTIFS(tblTecnicos[rotativo],"sí",tblTecnicos[especialidad],tblAsignaciones[[#This Row],[especialidad]],tblTecnicos[area],tblAsignaciones[[#This Row],[area]],tblTecnicos[activo],"sí")</f>
        <v/>
      </c>
      <c r="G3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4" t="n"/>
      <c r="J3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5">
        <f>_xlfn.XLOOKUP(tblAsignaciones[[#This Row],[tecnico]],tblTecnicos[nombre],tblTecnicos[supervisor],"")</f>
        <v/>
      </c>
      <c r="L35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5">
        <f>tblAsignaciones[[#This Row],[semana]]&amp;"|"&amp;tblAsignaciones[[#This Row],[dia]]&amp;"|"&amp;tblAsignaciones[[#This Row],[tecnico]]</f>
        <v/>
      </c>
      <c r="O357" s="5">
        <f>_xlfn.XLOOKUP(tblAsignaciones[[#This Row],[turno]],tblTurnos[turno],tblTurnos[hora_inicio],"")</f>
        <v/>
      </c>
      <c r="P357" s="5">
        <f>_xlfn.XLOOKUP(tblAsignaciones[[#This Row],[turno]],tblTurnos[turno],tblTurnos[hora_fin],"")</f>
        <v/>
      </c>
      <c r="Q357" s="5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5">
        <f>_xlfn.XLOOKUP(tblAsignaciones[[#This Row],[tecnico]],tblTecnicos[nombre],tblTecnicos[area],"")</f>
        <v/>
      </c>
      <c r="E358" s="5">
        <f>_xlfn.XLOOKUP(tblAsignaciones[[#This Row],[tecnico]],tblTecnicos[nombre],tblTecnicos[especialidad],"")</f>
        <v/>
      </c>
      <c r="F358" s="5">
        <f>COUNTIFS(tblTecnicos[rotativo],"sí",tblTecnicos[especialidad],tblAsignaciones[[#This Row],[especialidad]],tblTecnicos[area],tblAsignaciones[[#This Row],[area]],tblTecnicos[activo],"sí")</f>
        <v/>
      </c>
      <c r="G3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4" t="n"/>
      <c r="J3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5">
        <f>_xlfn.XLOOKUP(tblAsignaciones[[#This Row],[tecnico]],tblTecnicos[nombre],tblTecnicos[supervisor],"")</f>
        <v/>
      </c>
      <c r="L35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5">
        <f>tblAsignaciones[[#This Row],[semana]]&amp;"|"&amp;tblAsignaciones[[#This Row],[dia]]&amp;"|"&amp;tblAsignaciones[[#This Row],[tecnico]]</f>
        <v/>
      </c>
      <c r="O358" s="5">
        <f>_xlfn.XLOOKUP(tblAsignaciones[[#This Row],[turno]],tblTurnos[turno],tblTurnos[hora_inicio],"")</f>
        <v/>
      </c>
      <c r="P358" s="5">
        <f>_xlfn.XLOOKUP(tblAsignaciones[[#This Row],[turno]],tblTurnos[turno],tblTurnos[hora_fin],"")</f>
        <v/>
      </c>
      <c r="Q358" s="5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5">
        <f>_xlfn.XLOOKUP(tblAsignaciones[[#This Row],[tecnico]],tblTecnicos[nombre],tblTecnicos[area],"")</f>
        <v/>
      </c>
      <c r="E359" s="5">
        <f>_xlfn.XLOOKUP(tblAsignaciones[[#This Row],[tecnico]],tblTecnicos[nombre],tblTecnicos[especialidad],"")</f>
        <v/>
      </c>
      <c r="F359" s="5">
        <f>COUNTIFS(tblTecnicos[rotativo],"sí",tblTecnicos[especialidad],tblAsignaciones[[#This Row],[especialidad]],tblTecnicos[area],tblAsignaciones[[#This Row],[area]],tblTecnicos[activo],"sí")</f>
        <v/>
      </c>
      <c r="G3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4" t="n"/>
      <c r="J3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5">
        <f>_xlfn.XLOOKUP(tblAsignaciones[[#This Row],[tecnico]],tblTecnicos[nombre],tblTecnicos[supervisor],"")</f>
        <v/>
      </c>
      <c r="L35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5">
        <f>tblAsignaciones[[#This Row],[semana]]&amp;"|"&amp;tblAsignaciones[[#This Row],[dia]]&amp;"|"&amp;tblAsignaciones[[#This Row],[tecnico]]</f>
        <v/>
      </c>
      <c r="O359" s="5">
        <f>_xlfn.XLOOKUP(tblAsignaciones[[#This Row],[turno]],tblTurnos[turno],tblTurnos[hora_inicio],"")</f>
        <v/>
      </c>
      <c r="P359" s="5">
        <f>_xlfn.XLOOKUP(tblAsignaciones[[#This Row],[turno]],tblTurnos[turno],tblTurnos[hora_fin],"")</f>
        <v/>
      </c>
      <c r="Q359" s="5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5">
        <f>_xlfn.XLOOKUP(tblAsignaciones[[#This Row],[tecnico]],tblTecnicos[nombre],tblTecnicos[area],"")</f>
        <v/>
      </c>
      <c r="E360" s="5">
        <f>_xlfn.XLOOKUP(tblAsignaciones[[#This Row],[tecnico]],tblTecnicos[nombre],tblTecnicos[especialidad],"")</f>
        <v/>
      </c>
      <c r="F360" s="5">
        <f>COUNTIFS(tblTecnicos[rotativo],"sí",tblTecnicos[especialidad],tblAsignaciones[[#This Row],[especialidad]],tblTecnicos[area],tblAsignaciones[[#This Row],[area]],tblTecnicos[activo],"sí")</f>
        <v/>
      </c>
      <c r="G3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4" t="n"/>
      <c r="J3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5">
        <f>_xlfn.XLOOKUP(tblAsignaciones[[#This Row],[tecnico]],tblTecnicos[nombre],tblTecnicos[supervisor],"")</f>
        <v/>
      </c>
      <c r="L36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5">
        <f>tblAsignaciones[[#This Row],[semana]]&amp;"|"&amp;tblAsignaciones[[#This Row],[dia]]&amp;"|"&amp;tblAsignaciones[[#This Row],[tecnico]]</f>
        <v/>
      </c>
      <c r="O360" s="5">
        <f>_xlfn.XLOOKUP(tblAsignaciones[[#This Row],[turno]],tblTurnos[turno],tblTurnos[hora_inicio],"")</f>
        <v/>
      </c>
      <c r="P360" s="5">
        <f>_xlfn.XLOOKUP(tblAsignaciones[[#This Row],[turno]],tblTurnos[turno],tblTurnos[hora_fin],"")</f>
        <v/>
      </c>
      <c r="Q360" s="5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5">
        <f>_xlfn.XLOOKUP(tblAsignaciones[[#This Row],[tecnico]],tblTecnicos[nombre],tblTecnicos[area],"")</f>
        <v/>
      </c>
      <c r="E361" s="5">
        <f>_xlfn.XLOOKUP(tblAsignaciones[[#This Row],[tecnico]],tblTecnicos[nombre],tblTecnicos[especialidad],"")</f>
        <v/>
      </c>
      <c r="F361" s="5">
        <f>COUNTIFS(tblTecnicos[rotativo],"sí",tblTecnicos[especialidad],tblAsignaciones[[#This Row],[especialidad]],tblTecnicos[area],tblAsignaciones[[#This Row],[area]],tblTecnicos[activo],"sí")</f>
        <v/>
      </c>
      <c r="G3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4" t="n"/>
      <c r="J3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5">
        <f>_xlfn.XLOOKUP(tblAsignaciones[[#This Row],[tecnico]],tblTecnicos[nombre],tblTecnicos[supervisor],"")</f>
        <v/>
      </c>
      <c r="L36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5">
        <f>tblAsignaciones[[#This Row],[semana]]&amp;"|"&amp;tblAsignaciones[[#This Row],[dia]]&amp;"|"&amp;tblAsignaciones[[#This Row],[tecnico]]</f>
        <v/>
      </c>
      <c r="O361" s="5">
        <f>_xlfn.XLOOKUP(tblAsignaciones[[#This Row],[turno]],tblTurnos[turno],tblTurnos[hora_inicio],"")</f>
        <v/>
      </c>
      <c r="P361" s="5">
        <f>_xlfn.XLOOKUP(tblAsignaciones[[#This Row],[turno]],tblTurnos[turno],tblTurnos[hora_fin],"")</f>
        <v/>
      </c>
      <c r="Q361" s="5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5">
        <f>_xlfn.XLOOKUP(tblAsignaciones[[#This Row],[tecnico]],tblTecnicos[nombre],tblTecnicos[area],"")</f>
        <v/>
      </c>
      <c r="E362" s="5">
        <f>_xlfn.XLOOKUP(tblAsignaciones[[#This Row],[tecnico]],tblTecnicos[nombre],tblTecnicos[especialidad],"")</f>
        <v/>
      </c>
      <c r="F362" s="5">
        <f>COUNTIFS(tblTecnicos[rotativo],"sí",tblTecnicos[especialidad],tblAsignaciones[[#This Row],[especialidad]],tblTecnicos[area],tblAsignaciones[[#This Row],[area]],tblTecnicos[activo],"sí")</f>
        <v/>
      </c>
      <c r="G3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4" t="n"/>
      <c r="J3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5">
        <f>_xlfn.XLOOKUP(tblAsignaciones[[#This Row],[tecnico]],tblTecnicos[nombre],tblTecnicos[supervisor],"")</f>
        <v/>
      </c>
      <c r="L36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5">
        <f>tblAsignaciones[[#This Row],[semana]]&amp;"|"&amp;tblAsignaciones[[#This Row],[dia]]&amp;"|"&amp;tblAsignaciones[[#This Row],[tecnico]]</f>
        <v/>
      </c>
      <c r="O362" s="5">
        <f>_xlfn.XLOOKUP(tblAsignaciones[[#This Row],[turno]],tblTurnos[turno],tblTurnos[hora_inicio],"")</f>
        <v/>
      </c>
      <c r="P362" s="5">
        <f>_xlfn.XLOOKUP(tblAsignaciones[[#This Row],[turno]],tblTurnos[turno],tblTurnos[hora_fin],"")</f>
        <v/>
      </c>
      <c r="Q362" s="5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5">
        <f>_xlfn.XLOOKUP(tblAsignaciones[[#This Row],[tecnico]],tblTecnicos[nombre],tblTecnicos[area],"")</f>
        <v/>
      </c>
      <c r="E363" s="5">
        <f>_xlfn.XLOOKUP(tblAsignaciones[[#This Row],[tecnico]],tblTecnicos[nombre],tblTecnicos[especialidad],"")</f>
        <v/>
      </c>
      <c r="F363" s="5">
        <f>COUNTIFS(tblTecnicos[rotativo],"sí",tblTecnicos[especialidad],tblAsignaciones[[#This Row],[especialidad]],tblTecnicos[area],tblAsignaciones[[#This Row],[area]],tblTecnicos[activo],"sí")</f>
        <v/>
      </c>
      <c r="G3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4" t="n"/>
      <c r="J3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5">
        <f>_xlfn.XLOOKUP(tblAsignaciones[[#This Row],[tecnico]],tblTecnicos[nombre],tblTecnicos[supervisor],"")</f>
        <v/>
      </c>
      <c r="L36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5">
        <f>tblAsignaciones[[#This Row],[semana]]&amp;"|"&amp;tblAsignaciones[[#This Row],[dia]]&amp;"|"&amp;tblAsignaciones[[#This Row],[tecnico]]</f>
        <v/>
      </c>
      <c r="O363" s="5">
        <f>_xlfn.XLOOKUP(tblAsignaciones[[#This Row],[turno]],tblTurnos[turno],tblTurnos[hora_inicio],"")</f>
        <v/>
      </c>
      <c r="P363" s="5">
        <f>_xlfn.XLOOKUP(tblAsignaciones[[#This Row],[turno]],tblTurnos[turno],tblTurnos[hora_fin],"")</f>
        <v/>
      </c>
      <c r="Q363" s="5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5">
        <f>_xlfn.XLOOKUP(tblAsignaciones[[#This Row],[tecnico]],tblTecnicos[nombre],tblTecnicos[area],"")</f>
        <v/>
      </c>
      <c r="E364" s="5">
        <f>_xlfn.XLOOKUP(tblAsignaciones[[#This Row],[tecnico]],tblTecnicos[nombre],tblTecnicos[especialidad],"")</f>
        <v/>
      </c>
      <c r="F364" s="5">
        <f>COUNTIFS(tblTecnicos[rotativo],"sí",tblTecnicos[especialidad],tblAsignaciones[[#This Row],[especialidad]],tblTecnicos[area],tblAsignaciones[[#This Row],[area]],tblTecnicos[activo],"sí")</f>
        <v/>
      </c>
      <c r="G3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4" t="n"/>
      <c r="J3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5">
        <f>_xlfn.XLOOKUP(tblAsignaciones[[#This Row],[tecnico]],tblTecnicos[nombre],tblTecnicos[supervisor],"")</f>
        <v/>
      </c>
      <c r="L36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5">
        <f>tblAsignaciones[[#This Row],[semana]]&amp;"|"&amp;tblAsignaciones[[#This Row],[dia]]&amp;"|"&amp;tblAsignaciones[[#This Row],[tecnico]]</f>
        <v/>
      </c>
      <c r="O364" s="5">
        <f>_xlfn.XLOOKUP(tblAsignaciones[[#This Row],[turno]],tblTurnos[turno],tblTurnos[hora_inicio],"")</f>
        <v/>
      </c>
      <c r="P364" s="5">
        <f>_xlfn.XLOOKUP(tblAsignaciones[[#This Row],[turno]],tblTurnos[turno],tblTurnos[hora_fin],"")</f>
        <v/>
      </c>
      <c r="Q364" s="5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5">
        <f>_xlfn.XLOOKUP(tblAsignaciones[[#This Row],[tecnico]],tblTecnicos[nombre],tblTecnicos[area],"")</f>
        <v/>
      </c>
      <c r="E365" s="5">
        <f>_xlfn.XLOOKUP(tblAsignaciones[[#This Row],[tecnico]],tblTecnicos[nombre],tblTecnicos[especialidad],"")</f>
        <v/>
      </c>
      <c r="F365" s="5">
        <f>COUNTIFS(tblTecnicos[rotativo],"sí",tblTecnicos[especialidad],tblAsignaciones[[#This Row],[especialidad]],tblTecnicos[area],tblAsignaciones[[#This Row],[area]],tblTecnicos[activo],"sí")</f>
        <v/>
      </c>
      <c r="G3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4" t="n"/>
      <c r="J3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5">
        <f>_xlfn.XLOOKUP(tblAsignaciones[[#This Row],[tecnico]],tblTecnicos[nombre],tblTecnicos[supervisor],"")</f>
        <v/>
      </c>
      <c r="L36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5">
        <f>tblAsignaciones[[#This Row],[semana]]&amp;"|"&amp;tblAsignaciones[[#This Row],[dia]]&amp;"|"&amp;tblAsignaciones[[#This Row],[tecnico]]</f>
        <v/>
      </c>
      <c r="O365" s="5">
        <f>_xlfn.XLOOKUP(tblAsignaciones[[#This Row],[turno]],tblTurnos[turno],tblTurnos[hora_inicio],"")</f>
        <v/>
      </c>
      <c r="P365" s="5">
        <f>_xlfn.XLOOKUP(tblAsignaciones[[#This Row],[turno]],tblTurnos[turno],tblTurnos[hora_fin],"")</f>
        <v/>
      </c>
      <c r="Q365" s="5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5">
        <f>_xlfn.XLOOKUP(tblAsignaciones[[#This Row],[tecnico]],tblTecnicos[nombre],tblTecnicos[area],"")</f>
        <v/>
      </c>
      <c r="E366" s="5">
        <f>_xlfn.XLOOKUP(tblAsignaciones[[#This Row],[tecnico]],tblTecnicos[nombre],tblTecnicos[especialidad],"")</f>
        <v/>
      </c>
      <c r="F366" s="5">
        <f>COUNTIFS(tblTecnicos[rotativo],"sí",tblTecnicos[especialidad],tblAsignaciones[[#This Row],[especialidad]],tblTecnicos[area],tblAsignaciones[[#This Row],[area]],tblTecnicos[activo],"sí")</f>
        <v/>
      </c>
      <c r="G3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4" t="n"/>
      <c r="J3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5">
        <f>_xlfn.XLOOKUP(tblAsignaciones[[#This Row],[tecnico]],tblTecnicos[nombre],tblTecnicos[supervisor],"")</f>
        <v/>
      </c>
      <c r="L36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5">
        <f>tblAsignaciones[[#This Row],[semana]]&amp;"|"&amp;tblAsignaciones[[#This Row],[dia]]&amp;"|"&amp;tblAsignaciones[[#This Row],[tecnico]]</f>
        <v/>
      </c>
      <c r="O366" s="5">
        <f>_xlfn.XLOOKUP(tblAsignaciones[[#This Row],[turno]],tblTurnos[turno],tblTurnos[hora_inicio],"")</f>
        <v/>
      </c>
      <c r="P366" s="5">
        <f>_xlfn.XLOOKUP(tblAsignaciones[[#This Row],[turno]],tblTurnos[turno],tblTurnos[hora_fin],"")</f>
        <v/>
      </c>
      <c r="Q366" s="5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5">
        <f>_xlfn.XLOOKUP(tblAsignaciones[[#This Row],[tecnico]],tblTecnicos[nombre],tblTecnicos[area],"")</f>
        <v/>
      </c>
      <c r="E367" s="5">
        <f>_xlfn.XLOOKUP(tblAsignaciones[[#This Row],[tecnico]],tblTecnicos[nombre],tblTecnicos[especialidad],"")</f>
        <v/>
      </c>
      <c r="F367" s="5">
        <f>COUNTIFS(tblTecnicos[rotativo],"sí",tblTecnicos[especialidad],tblAsignaciones[[#This Row],[especialidad]],tblTecnicos[area],tblAsignaciones[[#This Row],[area]],tblTecnicos[activo],"sí")</f>
        <v/>
      </c>
      <c r="G3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4" t="n"/>
      <c r="J3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5">
        <f>_xlfn.XLOOKUP(tblAsignaciones[[#This Row],[tecnico]],tblTecnicos[nombre],tblTecnicos[supervisor],"")</f>
        <v/>
      </c>
      <c r="L36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5">
        <f>tblAsignaciones[[#This Row],[semana]]&amp;"|"&amp;tblAsignaciones[[#This Row],[dia]]&amp;"|"&amp;tblAsignaciones[[#This Row],[tecnico]]</f>
        <v/>
      </c>
      <c r="O367" s="5">
        <f>_xlfn.XLOOKUP(tblAsignaciones[[#This Row],[turno]],tblTurnos[turno],tblTurnos[hora_inicio],"")</f>
        <v/>
      </c>
      <c r="P367" s="5">
        <f>_xlfn.XLOOKUP(tblAsignaciones[[#This Row],[turno]],tblTurnos[turno],tblTurnos[hora_fin],"")</f>
        <v/>
      </c>
      <c r="Q367" s="5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5">
        <f>_xlfn.XLOOKUP(tblAsignaciones[[#This Row],[tecnico]],tblTecnicos[nombre],tblTecnicos[area],"")</f>
        <v/>
      </c>
      <c r="E368" s="5">
        <f>_xlfn.XLOOKUP(tblAsignaciones[[#This Row],[tecnico]],tblTecnicos[nombre],tblTecnicos[especialidad],"")</f>
        <v/>
      </c>
      <c r="F368" s="5">
        <f>COUNTIFS(tblTecnicos[rotativo],"sí",tblTecnicos[especialidad],tblAsignaciones[[#This Row],[especialidad]],tblTecnicos[area],tblAsignaciones[[#This Row],[area]],tblTecnicos[activo],"sí")</f>
        <v/>
      </c>
      <c r="G3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4" t="n"/>
      <c r="J3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5">
        <f>_xlfn.XLOOKUP(tblAsignaciones[[#This Row],[tecnico]],tblTecnicos[nombre],tblTecnicos[supervisor],"")</f>
        <v/>
      </c>
      <c r="L36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5">
        <f>tblAsignaciones[[#This Row],[semana]]&amp;"|"&amp;tblAsignaciones[[#This Row],[dia]]&amp;"|"&amp;tblAsignaciones[[#This Row],[tecnico]]</f>
        <v/>
      </c>
      <c r="O368" s="5">
        <f>_xlfn.XLOOKUP(tblAsignaciones[[#This Row],[turno]],tblTurnos[turno],tblTurnos[hora_inicio],"")</f>
        <v/>
      </c>
      <c r="P368" s="5">
        <f>_xlfn.XLOOKUP(tblAsignaciones[[#This Row],[turno]],tblTurnos[turno],tblTurnos[hora_fin],"")</f>
        <v/>
      </c>
      <c r="Q368" s="5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5">
        <f>_xlfn.XLOOKUP(tblAsignaciones[[#This Row],[tecnico]],tblTecnicos[nombre],tblTecnicos[area],"")</f>
        <v/>
      </c>
      <c r="E369" s="5">
        <f>_xlfn.XLOOKUP(tblAsignaciones[[#This Row],[tecnico]],tblTecnicos[nombre],tblTecnicos[especialidad],"")</f>
        <v/>
      </c>
      <c r="F369" s="5">
        <f>COUNTIFS(tblTecnicos[rotativo],"sí",tblTecnicos[especialidad],tblAsignaciones[[#This Row],[especialidad]],tblTecnicos[area],tblAsignaciones[[#This Row],[area]],tblTecnicos[activo],"sí")</f>
        <v/>
      </c>
      <c r="G3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4" t="n"/>
      <c r="J3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5">
        <f>_xlfn.XLOOKUP(tblAsignaciones[[#This Row],[tecnico]],tblTecnicos[nombre],tblTecnicos[supervisor],"")</f>
        <v/>
      </c>
      <c r="L36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5">
        <f>tblAsignaciones[[#This Row],[semana]]&amp;"|"&amp;tblAsignaciones[[#This Row],[dia]]&amp;"|"&amp;tblAsignaciones[[#This Row],[tecnico]]</f>
        <v/>
      </c>
      <c r="O369" s="5">
        <f>_xlfn.XLOOKUP(tblAsignaciones[[#This Row],[turno]],tblTurnos[turno],tblTurnos[hora_inicio],"")</f>
        <v/>
      </c>
      <c r="P369" s="5">
        <f>_xlfn.XLOOKUP(tblAsignaciones[[#This Row],[turno]],tblTurnos[turno],tblTurnos[hora_fin],"")</f>
        <v/>
      </c>
      <c r="Q369" s="5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5">
        <f>_xlfn.XLOOKUP(tblAsignaciones[[#This Row],[tecnico]],tblTecnicos[nombre],tblTecnicos[area],"")</f>
        <v/>
      </c>
      <c r="E370" s="5">
        <f>_xlfn.XLOOKUP(tblAsignaciones[[#This Row],[tecnico]],tblTecnicos[nombre],tblTecnicos[especialidad],"")</f>
        <v/>
      </c>
      <c r="F370" s="5">
        <f>COUNTIFS(tblTecnicos[rotativo],"sí",tblTecnicos[especialidad],tblAsignaciones[[#This Row],[especialidad]],tblTecnicos[area],tblAsignaciones[[#This Row],[area]],tblTecnicos[activo],"sí")</f>
        <v/>
      </c>
      <c r="G3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4" t="n"/>
      <c r="J3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5">
        <f>_xlfn.XLOOKUP(tblAsignaciones[[#This Row],[tecnico]],tblTecnicos[nombre],tblTecnicos[supervisor],"")</f>
        <v/>
      </c>
      <c r="L37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5">
        <f>tblAsignaciones[[#This Row],[semana]]&amp;"|"&amp;tblAsignaciones[[#This Row],[dia]]&amp;"|"&amp;tblAsignaciones[[#This Row],[tecnico]]</f>
        <v/>
      </c>
      <c r="O370" s="5">
        <f>_xlfn.XLOOKUP(tblAsignaciones[[#This Row],[turno]],tblTurnos[turno],tblTurnos[hora_inicio],"")</f>
        <v/>
      </c>
      <c r="P370" s="5">
        <f>_xlfn.XLOOKUP(tblAsignaciones[[#This Row],[turno]],tblTurnos[turno],tblTurnos[hora_fin],"")</f>
        <v/>
      </c>
      <c r="Q370" s="5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5">
        <f>_xlfn.XLOOKUP(tblAsignaciones[[#This Row],[tecnico]],tblTecnicos[nombre],tblTecnicos[area],"")</f>
        <v/>
      </c>
      <c r="E371" s="5">
        <f>_xlfn.XLOOKUP(tblAsignaciones[[#This Row],[tecnico]],tblTecnicos[nombre],tblTecnicos[especialidad],"")</f>
        <v/>
      </c>
      <c r="F371" s="5">
        <f>COUNTIFS(tblTecnicos[rotativo],"sí",tblTecnicos[especialidad],tblAsignaciones[[#This Row],[especialidad]],tblTecnicos[area],tblAsignaciones[[#This Row],[area]],tblTecnicos[activo],"sí")</f>
        <v/>
      </c>
      <c r="G3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4" t="n"/>
      <c r="J3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5">
        <f>_xlfn.XLOOKUP(tblAsignaciones[[#This Row],[tecnico]],tblTecnicos[nombre],tblTecnicos[supervisor],"")</f>
        <v/>
      </c>
      <c r="L37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5">
        <f>tblAsignaciones[[#This Row],[semana]]&amp;"|"&amp;tblAsignaciones[[#This Row],[dia]]&amp;"|"&amp;tblAsignaciones[[#This Row],[tecnico]]</f>
        <v/>
      </c>
      <c r="O371" s="5">
        <f>_xlfn.XLOOKUP(tblAsignaciones[[#This Row],[turno]],tblTurnos[turno],tblTurnos[hora_inicio],"")</f>
        <v/>
      </c>
      <c r="P371" s="5">
        <f>_xlfn.XLOOKUP(tblAsignaciones[[#This Row],[turno]],tblTurnos[turno],tblTurnos[hora_fin],"")</f>
        <v/>
      </c>
      <c r="Q371" s="5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5">
        <f>_xlfn.XLOOKUP(tblAsignaciones[[#This Row],[tecnico]],tblTecnicos[nombre],tblTecnicos[area],"")</f>
        <v/>
      </c>
      <c r="E372" s="5">
        <f>_xlfn.XLOOKUP(tblAsignaciones[[#This Row],[tecnico]],tblTecnicos[nombre],tblTecnicos[especialidad],"")</f>
        <v/>
      </c>
      <c r="F372" s="5">
        <f>COUNTIFS(tblTecnicos[rotativo],"sí",tblTecnicos[especialidad],tblAsignaciones[[#This Row],[especialidad]],tblTecnicos[area],tblAsignaciones[[#This Row],[area]],tblTecnicos[activo],"sí")</f>
        <v/>
      </c>
      <c r="G3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4" t="n"/>
      <c r="J3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5">
        <f>_xlfn.XLOOKUP(tblAsignaciones[[#This Row],[tecnico]],tblTecnicos[nombre],tblTecnicos[supervisor],"")</f>
        <v/>
      </c>
      <c r="L37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5">
        <f>tblAsignaciones[[#This Row],[semana]]&amp;"|"&amp;tblAsignaciones[[#This Row],[dia]]&amp;"|"&amp;tblAsignaciones[[#This Row],[tecnico]]</f>
        <v/>
      </c>
      <c r="O372" s="5">
        <f>_xlfn.XLOOKUP(tblAsignaciones[[#This Row],[turno]],tblTurnos[turno],tblTurnos[hora_inicio],"")</f>
        <v/>
      </c>
      <c r="P372" s="5">
        <f>_xlfn.XLOOKUP(tblAsignaciones[[#This Row],[turno]],tblTurnos[turno],tblTurnos[hora_fin],"")</f>
        <v/>
      </c>
      <c r="Q372" s="5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5">
        <f>_xlfn.XLOOKUP(tblAsignaciones[[#This Row],[tecnico]],tblTecnicos[nombre],tblTecnicos[area],"")</f>
        <v/>
      </c>
      <c r="E373" s="5">
        <f>_xlfn.XLOOKUP(tblAsignaciones[[#This Row],[tecnico]],tblTecnicos[nombre],tblTecnicos[especialidad],"")</f>
        <v/>
      </c>
      <c r="F373" s="5">
        <f>COUNTIFS(tblTecnicos[rotativo],"sí",tblTecnicos[especialidad],tblAsignaciones[[#This Row],[especialidad]],tblTecnicos[area],tblAsignaciones[[#This Row],[area]],tblTecnicos[activo],"sí")</f>
        <v/>
      </c>
      <c r="G3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4" t="n"/>
      <c r="J3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5">
        <f>_xlfn.XLOOKUP(tblAsignaciones[[#This Row],[tecnico]],tblTecnicos[nombre],tblTecnicos[supervisor],"")</f>
        <v/>
      </c>
      <c r="L37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5">
        <f>tblAsignaciones[[#This Row],[semana]]&amp;"|"&amp;tblAsignaciones[[#This Row],[dia]]&amp;"|"&amp;tblAsignaciones[[#This Row],[tecnico]]</f>
        <v/>
      </c>
      <c r="O373" s="5">
        <f>_xlfn.XLOOKUP(tblAsignaciones[[#This Row],[turno]],tblTurnos[turno],tblTurnos[hora_inicio],"")</f>
        <v/>
      </c>
      <c r="P373" s="5">
        <f>_xlfn.XLOOKUP(tblAsignaciones[[#This Row],[turno]],tblTurnos[turno],tblTurnos[hora_fin],"")</f>
        <v/>
      </c>
      <c r="Q373" s="5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5">
        <f>_xlfn.XLOOKUP(tblAsignaciones[[#This Row],[tecnico]],tblTecnicos[nombre],tblTecnicos[area],"")</f>
        <v/>
      </c>
      <c r="E374" s="5">
        <f>_xlfn.XLOOKUP(tblAsignaciones[[#This Row],[tecnico]],tblTecnicos[nombre],tblTecnicos[especialidad],"")</f>
        <v/>
      </c>
      <c r="F374" s="5">
        <f>COUNTIFS(tblTecnicos[rotativo],"sí",tblTecnicos[especialidad],tblAsignaciones[[#This Row],[especialidad]],tblTecnicos[area],tblAsignaciones[[#This Row],[area]],tblTecnicos[activo],"sí")</f>
        <v/>
      </c>
      <c r="G3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4" t="n"/>
      <c r="J3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5">
        <f>_xlfn.XLOOKUP(tblAsignaciones[[#This Row],[tecnico]],tblTecnicos[nombre],tblTecnicos[supervisor],"")</f>
        <v/>
      </c>
      <c r="L37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5">
        <f>tblAsignaciones[[#This Row],[semana]]&amp;"|"&amp;tblAsignaciones[[#This Row],[dia]]&amp;"|"&amp;tblAsignaciones[[#This Row],[tecnico]]</f>
        <v/>
      </c>
      <c r="O374" s="5">
        <f>_xlfn.XLOOKUP(tblAsignaciones[[#This Row],[turno]],tblTurnos[turno],tblTurnos[hora_inicio],"")</f>
        <v/>
      </c>
      <c r="P374" s="5">
        <f>_xlfn.XLOOKUP(tblAsignaciones[[#This Row],[turno]],tblTurnos[turno],tblTurnos[hora_fin],"")</f>
        <v/>
      </c>
      <c r="Q374" s="5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5">
        <f>_xlfn.XLOOKUP(tblAsignaciones[[#This Row],[tecnico]],tblTecnicos[nombre],tblTecnicos[area],"")</f>
        <v/>
      </c>
      <c r="E375" s="5">
        <f>_xlfn.XLOOKUP(tblAsignaciones[[#This Row],[tecnico]],tblTecnicos[nombre],tblTecnicos[especialidad],"")</f>
        <v/>
      </c>
      <c r="F375" s="5">
        <f>COUNTIFS(tblTecnicos[rotativo],"sí",tblTecnicos[especialidad],tblAsignaciones[[#This Row],[especialidad]],tblTecnicos[area],tblAsignaciones[[#This Row],[area]],tblTecnicos[activo],"sí")</f>
        <v/>
      </c>
      <c r="G3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4" t="n"/>
      <c r="J3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5">
        <f>_xlfn.XLOOKUP(tblAsignaciones[[#This Row],[tecnico]],tblTecnicos[nombre],tblTecnicos[supervisor],"")</f>
        <v/>
      </c>
      <c r="L37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5">
        <f>tblAsignaciones[[#This Row],[semana]]&amp;"|"&amp;tblAsignaciones[[#This Row],[dia]]&amp;"|"&amp;tblAsignaciones[[#This Row],[tecnico]]</f>
        <v/>
      </c>
      <c r="O375" s="5">
        <f>_xlfn.XLOOKUP(tblAsignaciones[[#This Row],[turno]],tblTurnos[turno],tblTurnos[hora_inicio],"")</f>
        <v/>
      </c>
      <c r="P375" s="5">
        <f>_xlfn.XLOOKUP(tblAsignaciones[[#This Row],[turno]],tblTurnos[turno],tblTurnos[hora_fin],"")</f>
        <v/>
      </c>
      <c r="Q375" s="5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5">
        <f>_xlfn.XLOOKUP(tblAsignaciones[[#This Row],[tecnico]],tblTecnicos[nombre],tblTecnicos[area],"")</f>
        <v/>
      </c>
      <c r="E376" s="5">
        <f>_xlfn.XLOOKUP(tblAsignaciones[[#This Row],[tecnico]],tblTecnicos[nombre],tblTecnicos[especialidad],"")</f>
        <v/>
      </c>
      <c r="F376" s="5">
        <f>COUNTIFS(tblTecnicos[rotativo],"sí",tblTecnicos[especialidad],tblAsignaciones[[#This Row],[especialidad]],tblTecnicos[area],tblAsignaciones[[#This Row],[area]],tblTecnicos[activo],"sí")</f>
        <v/>
      </c>
      <c r="G3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4" t="n"/>
      <c r="J3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5">
        <f>_xlfn.XLOOKUP(tblAsignaciones[[#This Row],[tecnico]],tblTecnicos[nombre],tblTecnicos[supervisor],"")</f>
        <v/>
      </c>
      <c r="L37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5">
        <f>tblAsignaciones[[#This Row],[semana]]&amp;"|"&amp;tblAsignaciones[[#This Row],[dia]]&amp;"|"&amp;tblAsignaciones[[#This Row],[tecnico]]</f>
        <v/>
      </c>
      <c r="O376" s="5">
        <f>_xlfn.XLOOKUP(tblAsignaciones[[#This Row],[turno]],tblTurnos[turno],tblTurnos[hora_inicio],"")</f>
        <v/>
      </c>
      <c r="P376" s="5">
        <f>_xlfn.XLOOKUP(tblAsignaciones[[#This Row],[turno]],tblTurnos[turno],tblTurnos[hora_fin],"")</f>
        <v/>
      </c>
      <c r="Q376" s="5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5">
        <f>_xlfn.XLOOKUP(tblAsignaciones[[#This Row],[tecnico]],tblTecnicos[nombre],tblTecnicos[area],"")</f>
        <v/>
      </c>
      <c r="E377" s="5">
        <f>_xlfn.XLOOKUP(tblAsignaciones[[#This Row],[tecnico]],tblTecnicos[nombre],tblTecnicos[especialidad],"")</f>
        <v/>
      </c>
      <c r="F377" s="5">
        <f>COUNTIFS(tblTecnicos[rotativo],"sí",tblTecnicos[especialidad],tblAsignaciones[[#This Row],[especialidad]],tblTecnicos[area],tblAsignaciones[[#This Row],[area]],tblTecnicos[activo],"sí")</f>
        <v/>
      </c>
      <c r="G3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4" t="n"/>
      <c r="J3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5">
        <f>_xlfn.XLOOKUP(tblAsignaciones[[#This Row],[tecnico]],tblTecnicos[nombre],tblTecnicos[supervisor],"")</f>
        <v/>
      </c>
      <c r="L37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5">
        <f>tblAsignaciones[[#This Row],[semana]]&amp;"|"&amp;tblAsignaciones[[#This Row],[dia]]&amp;"|"&amp;tblAsignaciones[[#This Row],[tecnico]]</f>
        <v/>
      </c>
      <c r="O377" s="5">
        <f>_xlfn.XLOOKUP(tblAsignaciones[[#This Row],[turno]],tblTurnos[turno],tblTurnos[hora_inicio],"")</f>
        <v/>
      </c>
      <c r="P377" s="5">
        <f>_xlfn.XLOOKUP(tblAsignaciones[[#This Row],[turno]],tblTurnos[turno],tblTurnos[hora_fin],"")</f>
        <v/>
      </c>
      <c r="Q377" s="5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5">
        <f>_xlfn.XLOOKUP(tblAsignaciones[[#This Row],[tecnico]],tblTecnicos[nombre],tblTecnicos[area],"")</f>
        <v/>
      </c>
      <c r="E378" s="5">
        <f>_xlfn.XLOOKUP(tblAsignaciones[[#This Row],[tecnico]],tblTecnicos[nombre],tblTecnicos[especialidad],"")</f>
        <v/>
      </c>
      <c r="F378" s="5">
        <f>COUNTIFS(tblTecnicos[rotativo],"sí",tblTecnicos[especialidad],tblAsignaciones[[#This Row],[especialidad]],tblTecnicos[area],tblAsignaciones[[#This Row],[area]],tblTecnicos[activo],"sí")</f>
        <v/>
      </c>
      <c r="G3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4" t="n"/>
      <c r="J3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5">
        <f>_xlfn.XLOOKUP(tblAsignaciones[[#This Row],[tecnico]],tblTecnicos[nombre],tblTecnicos[supervisor],"")</f>
        <v/>
      </c>
      <c r="L37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5">
        <f>tblAsignaciones[[#This Row],[semana]]&amp;"|"&amp;tblAsignaciones[[#This Row],[dia]]&amp;"|"&amp;tblAsignaciones[[#This Row],[tecnico]]</f>
        <v/>
      </c>
      <c r="O378" s="5">
        <f>_xlfn.XLOOKUP(tblAsignaciones[[#This Row],[turno]],tblTurnos[turno],tblTurnos[hora_inicio],"")</f>
        <v/>
      </c>
      <c r="P378" s="5">
        <f>_xlfn.XLOOKUP(tblAsignaciones[[#This Row],[turno]],tblTurnos[turno],tblTurnos[hora_fin],"")</f>
        <v/>
      </c>
      <c r="Q378" s="5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5">
        <f>_xlfn.XLOOKUP(tblAsignaciones[[#This Row],[tecnico]],tblTecnicos[nombre],tblTecnicos[area],"")</f>
        <v/>
      </c>
      <c r="E379" s="5">
        <f>_xlfn.XLOOKUP(tblAsignaciones[[#This Row],[tecnico]],tblTecnicos[nombre],tblTecnicos[especialidad],"")</f>
        <v/>
      </c>
      <c r="F379" s="5">
        <f>COUNTIFS(tblTecnicos[rotativo],"sí",tblTecnicos[especialidad],tblAsignaciones[[#This Row],[especialidad]],tblTecnicos[area],tblAsignaciones[[#This Row],[area]],tblTecnicos[activo],"sí")</f>
        <v/>
      </c>
      <c r="G3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4" t="n"/>
      <c r="J3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5">
        <f>_xlfn.XLOOKUP(tblAsignaciones[[#This Row],[tecnico]],tblTecnicos[nombre],tblTecnicos[supervisor],"")</f>
        <v/>
      </c>
      <c r="L37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5">
        <f>tblAsignaciones[[#This Row],[semana]]&amp;"|"&amp;tblAsignaciones[[#This Row],[dia]]&amp;"|"&amp;tblAsignaciones[[#This Row],[tecnico]]</f>
        <v/>
      </c>
      <c r="O379" s="5">
        <f>_xlfn.XLOOKUP(tblAsignaciones[[#This Row],[turno]],tblTurnos[turno],tblTurnos[hora_inicio],"")</f>
        <v/>
      </c>
      <c r="P379" s="5">
        <f>_xlfn.XLOOKUP(tblAsignaciones[[#This Row],[turno]],tblTurnos[turno],tblTurnos[hora_fin],"")</f>
        <v/>
      </c>
      <c r="Q379" s="5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5">
        <f>_xlfn.XLOOKUP(tblAsignaciones[[#This Row],[tecnico]],tblTecnicos[nombre],tblTecnicos[area],"")</f>
        <v/>
      </c>
      <c r="E380" s="5">
        <f>_xlfn.XLOOKUP(tblAsignaciones[[#This Row],[tecnico]],tblTecnicos[nombre],tblTecnicos[especialidad],"")</f>
        <v/>
      </c>
      <c r="F380" s="5">
        <f>COUNTIFS(tblTecnicos[rotativo],"sí",tblTecnicos[especialidad],tblAsignaciones[[#This Row],[especialidad]],tblTecnicos[area],tblAsignaciones[[#This Row],[area]],tblTecnicos[activo],"sí")</f>
        <v/>
      </c>
      <c r="G3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4" t="n"/>
      <c r="J3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5">
        <f>_xlfn.XLOOKUP(tblAsignaciones[[#This Row],[tecnico]],tblTecnicos[nombre],tblTecnicos[supervisor],"")</f>
        <v/>
      </c>
      <c r="L38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5">
        <f>tblAsignaciones[[#This Row],[semana]]&amp;"|"&amp;tblAsignaciones[[#This Row],[dia]]&amp;"|"&amp;tblAsignaciones[[#This Row],[tecnico]]</f>
        <v/>
      </c>
      <c r="O380" s="5">
        <f>_xlfn.XLOOKUP(tblAsignaciones[[#This Row],[turno]],tblTurnos[turno],tblTurnos[hora_inicio],"")</f>
        <v/>
      </c>
      <c r="P380" s="5">
        <f>_xlfn.XLOOKUP(tblAsignaciones[[#This Row],[turno]],tblTurnos[turno],tblTurnos[hora_fin],"")</f>
        <v/>
      </c>
      <c r="Q380" s="5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5">
        <f>_xlfn.XLOOKUP(tblAsignaciones[[#This Row],[tecnico]],tblTecnicos[nombre],tblTecnicos[area],"")</f>
        <v/>
      </c>
      <c r="E381" s="5">
        <f>_xlfn.XLOOKUP(tblAsignaciones[[#This Row],[tecnico]],tblTecnicos[nombre],tblTecnicos[especialidad],"")</f>
        <v/>
      </c>
      <c r="F381" s="5">
        <f>COUNTIFS(tblTecnicos[rotativo],"sí",tblTecnicos[especialidad],tblAsignaciones[[#This Row],[especialidad]],tblTecnicos[area],tblAsignaciones[[#This Row],[area]],tblTecnicos[activo],"sí")</f>
        <v/>
      </c>
      <c r="G3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4" t="n"/>
      <c r="J3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5">
        <f>_xlfn.XLOOKUP(tblAsignaciones[[#This Row],[tecnico]],tblTecnicos[nombre],tblTecnicos[supervisor],"")</f>
        <v/>
      </c>
      <c r="L38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5">
        <f>tblAsignaciones[[#This Row],[semana]]&amp;"|"&amp;tblAsignaciones[[#This Row],[dia]]&amp;"|"&amp;tblAsignaciones[[#This Row],[tecnico]]</f>
        <v/>
      </c>
      <c r="O381" s="5">
        <f>_xlfn.XLOOKUP(tblAsignaciones[[#This Row],[turno]],tblTurnos[turno],tblTurnos[hora_inicio],"")</f>
        <v/>
      </c>
      <c r="P381" s="5">
        <f>_xlfn.XLOOKUP(tblAsignaciones[[#This Row],[turno]],tblTurnos[turno],tblTurnos[hora_fin],"")</f>
        <v/>
      </c>
      <c r="Q381" s="5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5">
        <f>_xlfn.XLOOKUP(tblAsignaciones[[#This Row],[tecnico]],tblTecnicos[nombre],tblTecnicos[area],"")</f>
        <v/>
      </c>
      <c r="E382" s="5">
        <f>_xlfn.XLOOKUP(tblAsignaciones[[#This Row],[tecnico]],tblTecnicos[nombre],tblTecnicos[especialidad],"")</f>
        <v/>
      </c>
      <c r="F382" s="5">
        <f>COUNTIFS(tblTecnicos[rotativo],"sí",tblTecnicos[especialidad],tblAsignaciones[[#This Row],[especialidad]],tblTecnicos[area],tblAsignaciones[[#This Row],[area]],tblTecnicos[activo],"sí")</f>
        <v/>
      </c>
      <c r="G3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4" t="n"/>
      <c r="J3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5">
        <f>_xlfn.XLOOKUP(tblAsignaciones[[#This Row],[tecnico]],tblTecnicos[nombre],tblTecnicos[supervisor],"")</f>
        <v/>
      </c>
      <c r="L38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5">
        <f>tblAsignaciones[[#This Row],[semana]]&amp;"|"&amp;tblAsignaciones[[#This Row],[dia]]&amp;"|"&amp;tblAsignaciones[[#This Row],[tecnico]]</f>
        <v/>
      </c>
      <c r="O382" s="5">
        <f>_xlfn.XLOOKUP(tblAsignaciones[[#This Row],[turno]],tblTurnos[turno],tblTurnos[hora_inicio],"")</f>
        <v/>
      </c>
      <c r="P382" s="5">
        <f>_xlfn.XLOOKUP(tblAsignaciones[[#This Row],[turno]],tblTurnos[turno],tblTurnos[hora_fin],"")</f>
        <v/>
      </c>
      <c r="Q382" s="5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5">
        <f>_xlfn.XLOOKUP(tblAsignaciones[[#This Row],[tecnico]],tblTecnicos[nombre],tblTecnicos[area],"")</f>
        <v/>
      </c>
      <c r="E383" s="5">
        <f>_xlfn.XLOOKUP(tblAsignaciones[[#This Row],[tecnico]],tblTecnicos[nombre],tblTecnicos[especialidad],"")</f>
        <v/>
      </c>
      <c r="F383" s="5">
        <f>COUNTIFS(tblTecnicos[rotativo],"sí",tblTecnicos[especialidad],tblAsignaciones[[#This Row],[especialidad]],tblTecnicos[area],tblAsignaciones[[#This Row],[area]],tblTecnicos[activo],"sí")</f>
        <v/>
      </c>
      <c r="G3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4" t="n"/>
      <c r="J3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5">
        <f>_xlfn.XLOOKUP(tblAsignaciones[[#This Row],[tecnico]],tblTecnicos[nombre],tblTecnicos[supervisor],"")</f>
        <v/>
      </c>
      <c r="L38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5">
        <f>tblAsignaciones[[#This Row],[semana]]&amp;"|"&amp;tblAsignaciones[[#This Row],[dia]]&amp;"|"&amp;tblAsignaciones[[#This Row],[tecnico]]</f>
        <v/>
      </c>
      <c r="O383" s="5">
        <f>_xlfn.XLOOKUP(tblAsignaciones[[#This Row],[turno]],tblTurnos[turno],tblTurnos[hora_inicio],"")</f>
        <v/>
      </c>
      <c r="P383" s="5">
        <f>_xlfn.XLOOKUP(tblAsignaciones[[#This Row],[turno]],tblTurnos[turno],tblTurnos[hora_fin],"")</f>
        <v/>
      </c>
      <c r="Q383" s="5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5">
        <f>_xlfn.XLOOKUP(tblAsignaciones[[#This Row],[tecnico]],tblTecnicos[nombre],tblTecnicos[area],"")</f>
        <v/>
      </c>
      <c r="E384" s="5">
        <f>_xlfn.XLOOKUP(tblAsignaciones[[#This Row],[tecnico]],tblTecnicos[nombre],tblTecnicos[especialidad],"")</f>
        <v/>
      </c>
      <c r="F384" s="5">
        <f>COUNTIFS(tblTecnicos[rotativo],"sí",tblTecnicos[especialidad],tblAsignaciones[[#This Row],[especialidad]],tblTecnicos[area],tblAsignaciones[[#This Row],[area]],tblTecnicos[activo],"sí")</f>
        <v/>
      </c>
      <c r="G3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4" t="n"/>
      <c r="J3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5">
        <f>_xlfn.XLOOKUP(tblAsignaciones[[#This Row],[tecnico]],tblTecnicos[nombre],tblTecnicos[supervisor],"")</f>
        <v/>
      </c>
      <c r="L38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5">
        <f>tblAsignaciones[[#This Row],[semana]]&amp;"|"&amp;tblAsignaciones[[#This Row],[dia]]&amp;"|"&amp;tblAsignaciones[[#This Row],[tecnico]]</f>
        <v/>
      </c>
      <c r="O384" s="5">
        <f>_xlfn.XLOOKUP(tblAsignaciones[[#This Row],[turno]],tblTurnos[turno],tblTurnos[hora_inicio],"")</f>
        <v/>
      </c>
      <c r="P384" s="5">
        <f>_xlfn.XLOOKUP(tblAsignaciones[[#This Row],[turno]],tblTurnos[turno],tblTurnos[hora_fin],"")</f>
        <v/>
      </c>
      <c r="Q384" s="5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5">
        <f>_xlfn.XLOOKUP(tblAsignaciones[[#This Row],[tecnico]],tblTecnicos[nombre],tblTecnicos[area],"")</f>
        <v/>
      </c>
      <c r="E385" s="5">
        <f>_xlfn.XLOOKUP(tblAsignaciones[[#This Row],[tecnico]],tblTecnicos[nombre],tblTecnicos[especialidad],"")</f>
        <v/>
      </c>
      <c r="F385" s="5">
        <f>COUNTIFS(tblTecnicos[rotativo],"sí",tblTecnicos[especialidad],tblAsignaciones[[#This Row],[especialidad]],tblTecnicos[area],tblAsignaciones[[#This Row],[area]],tblTecnicos[activo],"sí")</f>
        <v/>
      </c>
      <c r="G3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4" t="n"/>
      <c r="J3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5">
        <f>_xlfn.XLOOKUP(tblAsignaciones[[#This Row],[tecnico]],tblTecnicos[nombre],tblTecnicos[supervisor],"")</f>
        <v/>
      </c>
      <c r="L38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5">
        <f>tblAsignaciones[[#This Row],[semana]]&amp;"|"&amp;tblAsignaciones[[#This Row],[dia]]&amp;"|"&amp;tblAsignaciones[[#This Row],[tecnico]]</f>
        <v/>
      </c>
      <c r="O385" s="5">
        <f>_xlfn.XLOOKUP(tblAsignaciones[[#This Row],[turno]],tblTurnos[turno],tblTurnos[hora_inicio],"")</f>
        <v/>
      </c>
      <c r="P385" s="5">
        <f>_xlfn.XLOOKUP(tblAsignaciones[[#This Row],[turno]],tblTurnos[turno],tblTurnos[hora_fin],"")</f>
        <v/>
      </c>
      <c r="Q385" s="5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5">
        <f>_xlfn.XLOOKUP(tblAsignaciones[[#This Row],[tecnico]],tblTecnicos[nombre],tblTecnicos[area],"")</f>
        <v/>
      </c>
      <c r="E386" s="5">
        <f>_xlfn.XLOOKUP(tblAsignaciones[[#This Row],[tecnico]],tblTecnicos[nombre],tblTecnicos[especialidad],"")</f>
        <v/>
      </c>
      <c r="F386" s="5">
        <f>COUNTIFS(tblTecnicos[rotativo],"sí",tblTecnicos[especialidad],tblAsignaciones[[#This Row],[especialidad]],tblTecnicos[area],tblAsignaciones[[#This Row],[area]],tblTecnicos[activo],"sí")</f>
        <v/>
      </c>
      <c r="G3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4" t="n"/>
      <c r="J3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5">
        <f>_xlfn.XLOOKUP(tblAsignaciones[[#This Row],[tecnico]],tblTecnicos[nombre],tblTecnicos[supervisor],"")</f>
        <v/>
      </c>
      <c r="L38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5">
        <f>tblAsignaciones[[#This Row],[semana]]&amp;"|"&amp;tblAsignaciones[[#This Row],[dia]]&amp;"|"&amp;tblAsignaciones[[#This Row],[tecnico]]</f>
        <v/>
      </c>
      <c r="O386" s="5">
        <f>_xlfn.XLOOKUP(tblAsignaciones[[#This Row],[turno]],tblTurnos[turno],tblTurnos[hora_inicio],"")</f>
        <v/>
      </c>
      <c r="P386" s="5">
        <f>_xlfn.XLOOKUP(tblAsignaciones[[#This Row],[turno]],tblTurnos[turno],tblTurnos[hora_fin],"")</f>
        <v/>
      </c>
      <c r="Q386" s="5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5">
        <f>_xlfn.XLOOKUP(tblAsignaciones[[#This Row],[tecnico]],tblTecnicos[nombre],tblTecnicos[area],"")</f>
        <v/>
      </c>
      <c r="E387" s="5">
        <f>_xlfn.XLOOKUP(tblAsignaciones[[#This Row],[tecnico]],tblTecnicos[nombre],tblTecnicos[especialidad],"")</f>
        <v/>
      </c>
      <c r="F387" s="5">
        <f>COUNTIFS(tblTecnicos[rotativo],"sí",tblTecnicos[especialidad],tblAsignaciones[[#This Row],[especialidad]],tblTecnicos[area],tblAsignaciones[[#This Row],[area]],tblTecnicos[activo],"sí")</f>
        <v/>
      </c>
      <c r="G3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4" t="n"/>
      <c r="J3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5">
        <f>_xlfn.XLOOKUP(tblAsignaciones[[#This Row],[tecnico]],tblTecnicos[nombre],tblTecnicos[supervisor],"")</f>
        <v/>
      </c>
      <c r="L38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5">
        <f>tblAsignaciones[[#This Row],[semana]]&amp;"|"&amp;tblAsignaciones[[#This Row],[dia]]&amp;"|"&amp;tblAsignaciones[[#This Row],[tecnico]]</f>
        <v/>
      </c>
      <c r="O387" s="5">
        <f>_xlfn.XLOOKUP(tblAsignaciones[[#This Row],[turno]],tblTurnos[turno],tblTurnos[hora_inicio],"")</f>
        <v/>
      </c>
      <c r="P387" s="5">
        <f>_xlfn.XLOOKUP(tblAsignaciones[[#This Row],[turno]],tblTurnos[turno],tblTurnos[hora_fin],"")</f>
        <v/>
      </c>
      <c r="Q387" s="5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5">
        <f>_xlfn.XLOOKUP(tblAsignaciones[[#This Row],[tecnico]],tblTecnicos[nombre],tblTecnicos[area],"")</f>
        <v/>
      </c>
      <c r="E388" s="5">
        <f>_xlfn.XLOOKUP(tblAsignaciones[[#This Row],[tecnico]],tblTecnicos[nombre],tblTecnicos[especialidad],"")</f>
        <v/>
      </c>
      <c r="F388" s="5">
        <f>COUNTIFS(tblTecnicos[rotativo],"sí",tblTecnicos[especialidad],tblAsignaciones[[#This Row],[especialidad]],tblTecnicos[area],tblAsignaciones[[#This Row],[area]],tblTecnicos[activo],"sí")</f>
        <v/>
      </c>
      <c r="G3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4" t="n"/>
      <c r="J3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5">
        <f>_xlfn.XLOOKUP(tblAsignaciones[[#This Row],[tecnico]],tblTecnicos[nombre],tblTecnicos[supervisor],"")</f>
        <v/>
      </c>
      <c r="L38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5">
        <f>tblAsignaciones[[#This Row],[semana]]&amp;"|"&amp;tblAsignaciones[[#This Row],[dia]]&amp;"|"&amp;tblAsignaciones[[#This Row],[tecnico]]</f>
        <v/>
      </c>
      <c r="O388" s="5">
        <f>_xlfn.XLOOKUP(tblAsignaciones[[#This Row],[turno]],tblTurnos[turno],tblTurnos[hora_inicio],"")</f>
        <v/>
      </c>
      <c r="P388" s="5">
        <f>_xlfn.XLOOKUP(tblAsignaciones[[#This Row],[turno]],tblTurnos[turno],tblTurnos[hora_fin],"")</f>
        <v/>
      </c>
      <c r="Q388" s="5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5">
        <f>_xlfn.XLOOKUP(tblAsignaciones[[#This Row],[tecnico]],tblTecnicos[nombre],tblTecnicos[area],"")</f>
        <v/>
      </c>
      <c r="E389" s="5">
        <f>_xlfn.XLOOKUP(tblAsignaciones[[#This Row],[tecnico]],tblTecnicos[nombre],tblTecnicos[especialidad],"")</f>
        <v/>
      </c>
      <c r="F389" s="5">
        <f>COUNTIFS(tblTecnicos[rotativo],"sí",tblTecnicos[especialidad],tblAsignaciones[[#This Row],[especialidad]],tblTecnicos[area],tblAsignaciones[[#This Row],[area]],tblTecnicos[activo],"sí")</f>
        <v/>
      </c>
      <c r="G3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4" t="n"/>
      <c r="J3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5">
        <f>_xlfn.XLOOKUP(tblAsignaciones[[#This Row],[tecnico]],tblTecnicos[nombre],tblTecnicos[supervisor],"")</f>
        <v/>
      </c>
      <c r="L38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5">
        <f>tblAsignaciones[[#This Row],[semana]]&amp;"|"&amp;tblAsignaciones[[#This Row],[dia]]&amp;"|"&amp;tblAsignaciones[[#This Row],[tecnico]]</f>
        <v/>
      </c>
      <c r="O389" s="5">
        <f>_xlfn.XLOOKUP(tblAsignaciones[[#This Row],[turno]],tblTurnos[turno],tblTurnos[hora_inicio],"")</f>
        <v/>
      </c>
      <c r="P389" s="5">
        <f>_xlfn.XLOOKUP(tblAsignaciones[[#This Row],[turno]],tblTurnos[turno],tblTurnos[hora_fin],"")</f>
        <v/>
      </c>
      <c r="Q389" s="5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5">
        <f>_xlfn.XLOOKUP(tblAsignaciones[[#This Row],[tecnico]],tblTecnicos[nombre],tblTecnicos[area],"")</f>
        <v/>
      </c>
      <c r="E390" s="5">
        <f>_xlfn.XLOOKUP(tblAsignaciones[[#This Row],[tecnico]],tblTecnicos[nombre],tblTecnicos[especialidad],"")</f>
        <v/>
      </c>
      <c r="F390" s="5">
        <f>COUNTIFS(tblTecnicos[rotativo],"sí",tblTecnicos[especialidad],tblAsignaciones[[#This Row],[especialidad]],tblTecnicos[area],tblAsignaciones[[#This Row],[area]],tblTecnicos[activo],"sí")</f>
        <v/>
      </c>
      <c r="G3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4" t="n"/>
      <c r="J3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5">
        <f>_xlfn.XLOOKUP(tblAsignaciones[[#This Row],[tecnico]],tblTecnicos[nombre],tblTecnicos[supervisor],"")</f>
        <v/>
      </c>
      <c r="L39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5">
        <f>tblAsignaciones[[#This Row],[semana]]&amp;"|"&amp;tblAsignaciones[[#This Row],[dia]]&amp;"|"&amp;tblAsignaciones[[#This Row],[tecnico]]</f>
        <v/>
      </c>
      <c r="O390" s="5">
        <f>_xlfn.XLOOKUP(tblAsignaciones[[#This Row],[turno]],tblTurnos[turno],tblTurnos[hora_inicio],"")</f>
        <v/>
      </c>
      <c r="P390" s="5">
        <f>_xlfn.XLOOKUP(tblAsignaciones[[#This Row],[turno]],tblTurnos[turno],tblTurnos[hora_fin],"")</f>
        <v/>
      </c>
      <c r="Q390" s="5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5">
        <f>_xlfn.XLOOKUP(tblAsignaciones[[#This Row],[tecnico]],tblTecnicos[nombre],tblTecnicos[area],"")</f>
        <v/>
      </c>
      <c r="E391" s="5">
        <f>_xlfn.XLOOKUP(tblAsignaciones[[#This Row],[tecnico]],tblTecnicos[nombre],tblTecnicos[especialidad],"")</f>
        <v/>
      </c>
      <c r="F391" s="5">
        <f>COUNTIFS(tblTecnicos[rotativo],"sí",tblTecnicos[especialidad],tblAsignaciones[[#This Row],[especialidad]],tblTecnicos[area],tblAsignaciones[[#This Row],[area]],tblTecnicos[activo],"sí")</f>
        <v/>
      </c>
      <c r="G3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4" t="n"/>
      <c r="J3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5">
        <f>_xlfn.XLOOKUP(tblAsignaciones[[#This Row],[tecnico]],tblTecnicos[nombre],tblTecnicos[supervisor],"")</f>
        <v/>
      </c>
      <c r="L39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5">
        <f>tblAsignaciones[[#This Row],[semana]]&amp;"|"&amp;tblAsignaciones[[#This Row],[dia]]&amp;"|"&amp;tblAsignaciones[[#This Row],[tecnico]]</f>
        <v/>
      </c>
      <c r="O391" s="5">
        <f>_xlfn.XLOOKUP(tblAsignaciones[[#This Row],[turno]],tblTurnos[turno],tblTurnos[hora_inicio],"")</f>
        <v/>
      </c>
      <c r="P391" s="5">
        <f>_xlfn.XLOOKUP(tblAsignaciones[[#This Row],[turno]],tblTurnos[turno],tblTurnos[hora_fin],"")</f>
        <v/>
      </c>
      <c r="Q391" s="5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5">
        <f>_xlfn.XLOOKUP(tblAsignaciones[[#This Row],[tecnico]],tblTecnicos[nombre],tblTecnicos[area],"")</f>
        <v/>
      </c>
      <c r="E392" s="5">
        <f>_xlfn.XLOOKUP(tblAsignaciones[[#This Row],[tecnico]],tblTecnicos[nombre],tblTecnicos[especialidad],"")</f>
        <v/>
      </c>
      <c r="F392" s="5">
        <f>COUNTIFS(tblTecnicos[rotativo],"sí",tblTecnicos[especialidad],tblAsignaciones[[#This Row],[especialidad]],tblTecnicos[area],tblAsignaciones[[#This Row],[area]],tblTecnicos[activo],"sí")</f>
        <v/>
      </c>
      <c r="G3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4" t="n"/>
      <c r="J3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5">
        <f>_xlfn.XLOOKUP(tblAsignaciones[[#This Row],[tecnico]],tblTecnicos[nombre],tblTecnicos[supervisor],"")</f>
        <v/>
      </c>
      <c r="L39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5">
        <f>tblAsignaciones[[#This Row],[semana]]&amp;"|"&amp;tblAsignaciones[[#This Row],[dia]]&amp;"|"&amp;tblAsignaciones[[#This Row],[tecnico]]</f>
        <v/>
      </c>
      <c r="O392" s="5">
        <f>_xlfn.XLOOKUP(tblAsignaciones[[#This Row],[turno]],tblTurnos[turno],tblTurnos[hora_inicio],"")</f>
        <v/>
      </c>
      <c r="P392" s="5">
        <f>_xlfn.XLOOKUP(tblAsignaciones[[#This Row],[turno]],tblTurnos[turno],tblTurnos[hora_fin],"")</f>
        <v/>
      </c>
      <c r="Q392" s="5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5">
        <f>_xlfn.XLOOKUP(tblAsignaciones[[#This Row],[tecnico]],tblTecnicos[nombre],tblTecnicos[area],"")</f>
        <v/>
      </c>
      <c r="E393" s="5">
        <f>_xlfn.XLOOKUP(tblAsignaciones[[#This Row],[tecnico]],tblTecnicos[nombre],tblTecnicos[especialidad],"")</f>
        <v/>
      </c>
      <c r="F393" s="5">
        <f>COUNTIFS(tblTecnicos[rotativo],"sí",tblTecnicos[especialidad],tblAsignaciones[[#This Row],[especialidad]],tblTecnicos[area],tblAsignaciones[[#This Row],[area]],tblTecnicos[activo],"sí")</f>
        <v/>
      </c>
      <c r="G3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4" t="n"/>
      <c r="J3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5">
        <f>_xlfn.XLOOKUP(tblAsignaciones[[#This Row],[tecnico]],tblTecnicos[nombre],tblTecnicos[supervisor],"")</f>
        <v/>
      </c>
      <c r="L39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5">
        <f>tblAsignaciones[[#This Row],[semana]]&amp;"|"&amp;tblAsignaciones[[#This Row],[dia]]&amp;"|"&amp;tblAsignaciones[[#This Row],[tecnico]]</f>
        <v/>
      </c>
      <c r="O393" s="5">
        <f>_xlfn.XLOOKUP(tblAsignaciones[[#This Row],[turno]],tblTurnos[turno],tblTurnos[hora_inicio],"")</f>
        <v/>
      </c>
      <c r="P393" s="5">
        <f>_xlfn.XLOOKUP(tblAsignaciones[[#This Row],[turno]],tblTurnos[turno],tblTurnos[hora_fin],"")</f>
        <v/>
      </c>
      <c r="Q393" s="5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5">
        <f>_xlfn.XLOOKUP(tblAsignaciones[[#This Row],[tecnico]],tblTecnicos[nombre],tblTecnicos[area],"")</f>
        <v/>
      </c>
      <c r="E394" s="5">
        <f>_xlfn.XLOOKUP(tblAsignaciones[[#This Row],[tecnico]],tblTecnicos[nombre],tblTecnicos[especialidad],"")</f>
        <v/>
      </c>
      <c r="F394" s="5">
        <f>COUNTIFS(tblTecnicos[rotativo],"sí",tblTecnicos[especialidad],tblAsignaciones[[#This Row],[especialidad]],tblTecnicos[area],tblAsignaciones[[#This Row],[area]],tblTecnicos[activo],"sí")</f>
        <v/>
      </c>
      <c r="G3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4" t="n"/>
      <c r="J3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5">
        <f>_xlfn.XLOOKUP(tblAsignaciones[[#This Row],[tecnico]],tblTecnicos[nombre],tblTecnicos[supervisor],"")</f>
        <v/>
      </c>
      <c r="L39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5">
        <f>tblAsignaciones[[#This Row],[semana]]&amp;"|"&amp;tblAsignaciones[[#This Row],[dia]]&amp;"|"&amp;tblAsignaciones[[#This Row],[tecnico]]</f>
        <v/>
      </c>
      <c r="O394" s="5">
        <f>_xlfn.XLOOKUP(tblAsignaciones[[#This Row],[turno]],tblTurnos[turno],tblTurnos[hora_inicio],"")</f>
        <v/>
      </c>
      <c r="P394" s="5">
        <f>_xlfn.XLOOKUP(tblAsignaciones[[#This Row],[turno]],tblTurnos[turno],tblTurnos[hora_fin],"")</f>
        <v/>
      </c>
      <c r="Q394" s="5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5">
        <f>_xlfn.XLOOKUP(tblAsignaciones[[#This Row],[tecnico]],tblTecnicos[nombre],tblTecnicos[area],"")</f>
        <v/>
      </c>
      <c r="E395" s="5">
        <f>_xlfn.XLOOKUP(tblAsignaciones[[#This Row],[tecnico]],tblTecnicos[nombre],tblTecnicos[especialidad],"")</f>
        <v/>
      </c>
      <c r="F395" s="5">
        <f>COUNTIFS(tblTecnicos[rotativo],"sí",tblTecnicos[especialidad],tblAsignaciones[[#This Row],[especialidad]],tblTecnicos[area],tblAsignaciones[[#This Row],[area]],tblTecnicos[activo],"sí")</f>
        <v/>
      </c>
      <c r="G3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4" t="n"/>
      <c r="J3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5">
        <f>_xlfn.XLOOKUP(tblAsignaciones[[#This Row],[tecnico]],tblTecnicos[nombre],tblTecnicos[supervisor],"")</f>
        <v/>
      </c>
      <c r="L39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5">
        <f>tblAsignaciones[[#This Row],[semana]]&amp;"|"&amp;tblAsignaciones[[#This Row],[dia]]&amp;"|"&amp;tblAsignaciones[[#This Row],[tecnico]]</f>
        <v/>
      </c>
      <c r="O395" s="5">
        <f>_xlfn.XLOOKUP(tblAsignaciones[[#This Row],[turno]],tblTurnos[turno],tblTurnos[hora_inicio],"")</f>
        <v/>
      </c>
      <c r="P395" s="5">
        <f>_xlfn.XLOOKUP(tblAsignaciones[[#This Row],[turno]],tblTurnos[turno],tblTurnos[hora_fin],"")</f>
        <v/>
      </c>
      <c r="Q395" s="5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5">
        <f>_xlfn.XLOOKUP(tblAsignaciones[[#This Row],[tecnico]],tblTecnicos[nombre],tblTecnicos[area],"")</f>
        <v/>
      </c>
      <c r="E396" s="5">
        <f>_xlfn.XLOOKUP(tblAsignaciones[[#This Row],[tecnico]],tblTecnicos[nombre],tblTecnicos[especialidad],"")</f>
        <v/>
      </c>
      <c r="F396" s="5">
        <f>COUNTIFS(tblTecnicos[rotativo],"sí",tblTecnicos[especialidad],tblAsignaciones[[#This Row],[especialidad]],tblTecnicos[area],tblAsignaciones[[#This Row],[area]],tblTecnicos[activo],"sí")</f>
        <v/>
      </c>
      <c r="G3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4" t="n"/>
      <c r="J3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5">
        <f>_xlfn.XLOOKUP(tblAsignaciones[[#This Row],[tecnico]],tblTecnicos[nombre],tblTecnicos[supervisor],"")</f>
        <v/>
      </c>
      <c r="L39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5">
        <f>tblAsignaciones[[#This Row],[semana]]&amp;"|"&amp;tblAsignaciones[[#This Row],[dia]]&amp;"|"&amp;tblAsignaciones[[#This Row],[tecnico]]</f>
        <v/>
      </c>
      <c r="O396" s="5">
        <f>_xlfn.XLOOKUP(tblAsignaciones[[#This Row],[turno]],tblTurnos[turno],tblTurnos[hora_inicio],"")</f>
        <v/>
      </c>
      <c r="P396" s="5">
        <f>_xlfn.XLOOKUP(tblAsignaciones[[#This Row],[turno]],tblTurnos[turno],tblTurnos[hora_fin],"")</f>
        <v/>
      </c>
      <c r="Q396" s="5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5">
        <f>_xlfn.XLOOKUP(tblAsignaciones[[#This Row],[tecnico]],tblTecnicos[nombre],tblTecnicos[area],"")</f>
        <v/>
      </c>
      <c r="E397" s="5">
        <f>_xlfn.XLOOKUP(tblAsignaciones[[#This Row],[tecnico]],tblTecnicos[nombre],tblTecnicos[especialidad],"")</f>
        <v/>
      </c>
      <c r="F397" s="5">
        <f>COUNTIFS(tblTecnicos[rotativo],"sí",tblTecnicos[especialidad],tblAsignaciones[[#This Row],[especialidad]],tblTecnicos[area],tblAsignaciones[[#This Row],[area]],tblTecnicos[activo],"sí")</f>
        <v/>
      </c>
      <c r="G3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4" t="n"/>
      <c r="J3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5">
        <f>_xlfn.XLOOKUP(tblAsignaciones[[#This Row],[tecnico]],tblTecnicos[nombre],tblTecnicos[supervisor],"")</f>
        <v/>
      </c>
      <c r="L39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5">
        <f>tblAsignaciones[[#This Row],[semana]]&amp;"|"&amp;tblAsignaciones[[#This Row],[dia]]&amp;"|"&amp;tblAsignaciones[[#This Row],[tecnico]]</f>
        <v/>
      </c>
      <c r="O397" s="5">
        <f>_xlfn.XLOOKUP(tblAsignaciones[[#This Row],[turno]],tblTurnos[turno],tblTurnos[hora_inicio],"")</f>
        <v/>
      </c>
      <c r="P397" s="5">
        <f>_xlfn.XLOOKUP(tblAsignaciones[[#This Row],[turno]],tblTurnos[turno],tblTurnos[hora_fin],"")</f>
        <v/>
      </c>
      <c r="Q397" s="5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5">
        <f>_xlfn.XLOOKUP(tblAsignaciones[[#This Row],[tecnico]],tblTecnicos[nombre],tblTecnicos[area],"")</f>
        <v/>
      </c>
      <c r="E398" s="5">
        <f>_xlfn.XLOOKUP(tblAsignaciones[[#This Row],[tecnico]],tblTecnicos[nombre],tblTecnicos[especialidad],"")</f>
        <v/>
      </c>
      <c r="F398" s="5">
        <f>COUNTIFS(tblTecnicos[rotativo],"sí",tblTecnicos[especialidad],tblAsignaciones[[#This Row],[especialidad]],tblTecnicos[area],tblAsignaciones[[#This Row],[area]],tblTecnicos[activo],"sí")</f>
        <v/>
      </c>
      <c r="G3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4" t="n"/>
      <c r="J3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5">
        <f>_xlfn.XLOOKUP(tblAsignaciones[[#This Row],[tecnico]],tblTecnicos[nombre],tblTecnicos[supervisor],"")</f>
        <v/>
      </c>
      <c r="L39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5">
        <f>tblAsignaciones[[#This Row],[semana]]&amp;"|"&amp;tblAsignaciones[[#This Row],[dia]]&amp;"|"&amp;tblAsignaciones[[#This Row],[tecnico]]</f>
        <v/>
      </c>
      <c r="O398" s="5">
        <f>_xlfn.XLOOKUP(tblAsignaciones[[#This Row],[turno]],tblTurnos[turno],tblTurnos[hora_inicio],"")</f>
        <v/>
      </c>
      <c r="P398" s="5">
        <f>_xlfn.XLOOKUP(tblAsignaciones[[#This Row],[turno]],tblTurnos[turno],tblTurnos[hora_fin],"")</f>
        <v/>
      </c>
      <c r="Q398" s="5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5">
        <f>_xlfn.XLOOKUP(tblAsignaciones[[#This Row],[tecnico]],tblTecnicos[nombre],tblTecnicos[area],"")</f>
        <v/>
      </c>
      <c r="E399" s="5">
        <f>_xlfn.XLOOKUP(tblAsignaciones[[#This Row],[tecnico]],tblTecnicos[nombre],tblTecnicos[especialidad],"")</f>
        <v/>
      </c>
      <c r="F399" s="5">
        <f>COUNTIFS(tblTecnicos[rotativo],"sí",tblTecnicos[especialidad],tblAsignaciones[[#This Row],[especialidad]],tblTecnicos[area],tblAsignaciones[[#This Row],[area]],tblTecnicos[activo],"sí")</f>
        <v/>
      </c>
      <c r="G3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4" t="n"/>
      <c r="J3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5">
        <f>_xlfn.XLOOKUP(tblAsignaciones[[#This Row],[tecnico]],tblTecnicos[nombre],tblTecnicos[supervisor],"")</f>
        <v/>
      </c>
      <c r="L39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5">
        <f>tblAsignaciones[[#This Row],[semana]]&amp;"|"&amp;tblAsignaciones[[#This Row],[dia]]&amp;"|"&amp;tblAsignaciones[[#This Row],[tecnico]]</f>
        <v/>
      </c>
      <c r="O399" s="5">
        <f>_xlfn.XLOOKUP(tblAsignaciones[[#This Row],[turno]],tblTurnos[turno],tblTurnos[hora_inicio],"")</f>
        <v/>
      </c>
      <c r="P399" s="5">
        <f>_xlfn.XLOOKUP(tblAsignaciones[[#This Row],[turno]],tblTurnos[turno],tblTurnos[hora_fin],"")</f>
        <v/>
      </c>
      <c r="Q399" s="5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5">
        <f>_xlfn.XLOOKUP(tblAsignaciones[[#This Row],[tecnico]],tblTecnicos[nombre],tblTecnicos[area],"")</f>
        <v/>
      </c>
      <c r="E400" s="5">
        <f>_xlfn.XLOOKUP(tblAsignaciones[[#This Row],[tecnico]],tblTecnicos[nombre],tblTecnicos[especialidad],"")</f>
        <v/>
      </c>
      <c r="F400" s="5">
        <f>COUNTIFS(tblTecnicos[rotativo],"sí",tblTecnicos[especialidad],tblAsignaciones[[#This Row],[especialidad]],tblTecnicos[area],tblAsignaciones[[#This Row],[area]],tblTecnicos[activo],"sí")</f>
        <v/>
      </c>
      <c r="G4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4" t="n"/>
      <c r="J4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5">
        <f>_xlfn.XLOOKUP(tblAsignaciones[[#This Row],[tecnico]],tblTecnicos[nombre],tblTecnicos[supervisor],"")</f>
        <v/>
      </c>
      <c r="L40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5">
        <f>tblAsignaciones[[#This Row],[semana]]&amp;"|"&amp;tblAsignaciones[[#This Row],[dia]]&amp;"|"&amp;tblAsignaciones[[#This Row],[tecnico]]</f>
        <v/>
      </c>
      <c r="O400" s="5">
        <f>_xlfn.XLOOKUP(tblAsignaciones[[#This Row],[turno]],tblTurnos[turno],tblTurnos[hora_inicio],"")</f>
        <v/>
      </c>
      <c r="P400" s="5">
        <f>_xlfn.XLOOKUP(tblAsignaciones[[#This Row],[turno]],tblTurnos[turno],tblTurnos[hora_fin],"")</f>
        <v/>
      </c>
      <c r="Q400" s="5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5">
        <f>_xlfn.XLOOKUP(tblAsignaciones[[#This Row],[tecnico]],tblTecnicos[nombre],tblTecnicos[area],"")</f>
        <v/>
      </c>
      <c r="E401" s="5">
        <f>_xlfn.XLOOKUP(tblAsignaciones[[#This Row],[tecnico]],tblTecnicos[nombre],tblTecnicos[especialidad],"")</f>
        <v/>
      </c>
      <c r="F401" s="5">
        <f>COUNTIFS(tblTecnicos[rotativo],"sí",tblTecnicos[especialidad],tblAsignaciones[[#This Row],[especialidad]],tblTecnicos[area],tblAsignaciones[[#This Row],[area]],tblTecnicos[activo],"sí")</f>
        <v/>
      </c>
      <c r="G4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4" t="n"/>
      <c r="J4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5">
        <f>_xlfn.XLOOKUP(tblAsignaciones[[#This Row],[tecnico]],tblTecnicos[nombre],tblTecnicos[supervisor],"")</f>
        <v/>
      </c>
      <c r="L40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5">
        <f>tblAsignaciones[[#This Row],[semana]]&amp;"|"&amp;tblAsignaciones[[#This Row],[dia]]&amp;"|"&amp;tblAsignaciones[[#This Row],[tecnico]]</f>
        <v/>
      </c>
      <c r="O401" s="5">
        <f>_xlfn.XLOOKUP(tblAsignaciones[[#This Row],[turno]],tblTurnos[turno],tblTurnos[hora_inicio],"")</f>
        <v/>
      </c>
      <c r="P401" s="5">
        <f>_xlfn.XLOOKUP(tblAsignaciones[[#This Row],[turno]],tblTurnos[turno],tblTurnos[hora_fin],"")</f>
        <v/>
      </c>
      <c r="Q401" s="5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5">
        <f>_xlfn.XLOOKUP(tblAsignaciones[[#This Row],[tecnico]],tblTecnicos[nombre],tblTecnicos[area],"")</f>
        <v/>
      </c>
      <c r="E402" s="5">
        <f>_xlfn.XLOOKUP(tblAsignaciones[[#This Row],[tecnico]],tblTecnicos[nombre],tblTecnicos[especialidad],"")</f>
        <v/>
      </c>
      <c r="F402" s="5">
        <f>COUNTIFS(tblTecnicos[rotativo],"sí",tblTecnicos[especialidad],tblAsignaciones[[#This Row],[especialidad]],tblTecnicos[area],tblAsignaciones[[#This Row],[area]],tblTecnicos[activo],"sí")</f>
        <v/>
      </c>
      <c r="G4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4" t="n"/>
      <c r="J4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5">
        <f>_xlfn.XLOOKUP(tblAsignaciones[[#This Row],[tecnico]],tblTecnicos[nombre],tblTecnicos[supervisor],"")</f>
        <v/>
      </c>
      <c r="L40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5">
        <f>tblAsignaciones[[#This Row],[semana]]&amp;"|"&amp;tblAsignaciones[[#This Row],[dia]]&amp;"|"&amp;tblAsignaciones[[#This Row],[tecnico]]</f>
        <v/>
      </c>
      <c r="O402" s="5">
        <f>_xlfn.XLOOKUP(tblAsignaciones[[#This Row],[turno]],tblTurnos[turno],tblTurnos[hora_inicio],"")</f>
        <v/>
      </c>
      <c r="P402" s="5">
        <f>_xlfn.XLOOKUP(tblAsignaciones[[#This Row],[turno]],tblTurnos[turno],tblTurnos[hora_fin],"")</f>
        <v/>
      </c>
      <c r="Q402" s="5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5">
        <f>_xlfn.XLOOKUP(tblAsignaciones[[#This Row],[tecnico]],tblTecnicos[nombre],tblTecnicos[area],"")</f>
        <v/>
      </c>
      <c r="E403" s="5">
        <f>_xlfn.XLOOKUP(tblAsignaciones[[#This Row],[tecnico]],tblTecnicos[nombre],tblTecnicos[especialidad],"")</f>
        <v/>
      </c>
      <c r="F403" s="5">
        <f>COUNTIFS(tblTecnicos[rotativo],"sí",tblTecnicos[especialidad],tblAsignaciones[[#This Row],[especialidad]],tblTecnicos[area],tblAsignaciones[[#This Row],[area]],tblTecnicos[activo],"sí")</f>
        <v/>
      </c>
      <c r="G4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4" t="n"/>
      <c r="J4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5">
        <f>_xlfn.XLOOKUP(tblAsignaciones[[#This Row],[tecnico]],tblTecnicos[nombre],tblTecnicos[supervisor],"")</f>
        <v/>
      </c>
      <c r="L40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5">
        <f>tblAsignaciones[[#This Row],[semana]]&amp;"|"&amp;tblAsignaciones[[#This Row],[dia]]&amp;"|"&amp;tblAsignaciones[[#This Row],[tecnico]]</f>
        <v/>
      </c>
      <c r="O403" s="5">
        <f>_xlfn.XLOOKUP(tblAsignaciones[[#This Row],[turno]],tblTurnos[turno],tblTurnos[hora_inicio],"")</f>
        <v/>
      </c>
      <c r="P403" s="5">
        <f>_xlfn.XLOOKUP(tblAsignaciones[[#This Row],[turno]],tblTurnos[turno],tblTurnos[hora_fin],"")</f>
        <v/>
      </c>
      <c r="Q403" s="5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5">
        <f>_xlfn.XLOOKUP(tblAsignaciones[[#This Row],[tecnico]],tblTecnicos[nombre],tblTecnicos[area],"")</f>
        <v/>
      </c>
      <c r="E404" s="5">
        <f>_xlfn.XLOOKUP(tblAsignaciones[[#This Row],[tecnico]],tblTecnicos[nombre],tblTecnicos[especialidad],"")</f>
        <v/>
      </c>
      <c r="F404" s="5">
        <f>COUNTIFS(tblTecnicos[rotativo],"sí",tblTecnicos[especialidad],tblAsignaciones[[#This Row],[especialidad]],tblTecnicos[area],tblAsignaciones[[#This Row],[area]],tblTecnicos[activo],"sí")</f>
        <v/>
      </c>
      <c r="G4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4" t="n"/>
      <c r="J4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5">
        <f>_xlfn.XLOOKUP(tblAsignaciones[[#This Row],[tecnico]],tblTecnicos[nombre],tblTecnicos[supervisor],"")</f>
        <v/>
      </c>
      <c r="L40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5">
        <f>tblAsignaciones[[#This Row],[semana]]&amp;"|"&amp;tblAsignaciones[[#This Row],[dia]]&amp;"|"&amp;tblAsignaciones[[#This Row],[tecnico]]</f>
        <v/>
      </c>
      <c r="O404" s="5">
        <f>_xlfn.XLOOKUP(tblAsignaciones[[#This Row],[turno]],tblTurnos[turno],tblTurnos[hora_inicio],"")</f>
        <v/>
      </c>
      <c r="P404" s="5">
        <f>_xlfn.XLOOKUP(tblAsignaciones[[#This Row],[turno]],tblTurnos[turno],tblTurnos[hora_fin],"")</f>
        <v/>
      </c>
      <c r="Q404" s="5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5">
        <f>_xlfn.XLOOKUP(tblAsignaciones[[#This Row],[tecnico]],tblTecnicos[nombre],tblTecnicos[area],"")</f>
        <v/>
      </c>
      <c r="E405" s="5">
        <f>_xlfn.XLOOKUP(tblAsignaciones[[#This Row],[tecnico]],tblTecnicos[nombre],tblTecnicos[especialidad],"")</f>
        <v/>
      </c>
      <c r="F405" s="5">
        <f>COUNTIFS(tblTecnicos[rotativo],"sí",tblTecnicos[especialidad],tblAsignaciones[[#This Row],[especialidad]],tblTecnicos[area],tblAsignaciones[[#This Row],[area]],tblTecnicos[activo],"sí")</f>
        <v/>
      </c>
      <c r="G4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4" t="n"/>
      <c r="J4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5">
        <f>_xlfn.XLOOKUP(tblAsignaciones[[#This Row],[tecnico]],tblTecnicos[nombre],tblTecnicos[supervisor],"")</f>
        <v/>
      </c>
      <c r="L40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5">
        <f>tblAsignaciones[[#This Row],[semana]]&amp;"|"&amp;tblAsignaciones[[#This Row],[dia]]&amp;"|"&amp;tblAsignaciones[[#This Row],[tecnico]]</f>
        <v/>
      </c>
      <c r="O405" s="5">
        <f>_xlfn.XLOOKUP(tblAsignaciones[[#This Row],[turno]],tblTurnos[turno],tblTurnos[hora_inicio],"")</f>
        <v/>
      </c>
      <c r="P405" s="5">
        <f>_xlfn.XLOOKUP(tblAsignaciones[[#This Row],[turno]],tblTurnos[turno],tblTurnos[hora_fin],"")</f>
        <v/>
      </c>
      <c r="Q405" s="5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5">
        <f>_xlfn.XLOOKUP(tblAsignaciones[[#This Row],[tecnico]],tblTecnicos[nombre],tblTecnicos[area],"")</f>
        <v/>
      </c>
      <c r="E406" s="5">
        <f>_xlfn.XLOOKUP(tblAsignaciones[[#This Row],[tecnico]],tblTecnicos[nombre],tblTecnicos[especialidad],"")</f>
        <v/>
      </c>
      <c r="F406" s="5">
        <f>COUNTIFS(tblTecnicos[rotativo],"sí",tblTecnicos[especialidad],tblAsignaciones[[#This Row],[especialidad]],tblTecnicos[area],tblAsignaciones[[#This Row],[area]],tblTecnicos[activo],"sí")</f>
        <v/>
      </c>
      <c r="G4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4" t="n"/>
      <c r="J4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5">
        <f>_xlfn.XLOOKUP(tblAsignaciones[[#This Row],[tecnico]],tblTecnicos[nombre],tblTecnicos[supervisor],"")</f>
        <v/>
      </c>
      <c r="L40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5">
        <f>tblAsignaciones[[#This Row],[semana]]&amp;"|"&amp;tblAsignaciones[[#This Row],[dia]]&amp;"|"&amp;tblAsignaciones[[#This Row],[tecnico]]</f>
        <v/>
      </c>
      <c r="O406" s="5">
        <f>_xlfn.XLOOKUP(tblAsignaciones[[#This Row],[turno]],tblTurnos[turno],tblTurnos[hora_inicio],"")</f>
        <v/>
      </c>
      <c r="P406" s="5">
        <f>_xlfn.XLOOKUP(tblAsignaciones[[#This Row],[turno]],tblTurnos[turno],tblTurnos[hora_fin],"")</f>
        <v/>
      </c>
      <c r="Q406" s="5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5">
        <f>_xlfn.XLOOKUP(tblAsignaciones[[#This Row],[tecnico]],tblTecnicos[nombre],tblTecnicos[area],"")</f>
        <v/>
      </c>
      <c r="E407" s="5">
        <f>_xlfn.XLOOKUP(tblAsignaciones[[#This Row],[tecnico]],tblTecnicos[nombre],tblTecnicos[especialidad],"")</f>
        <v/>
      </c>
      <c r="F407" s="5">
        <f>COUNTIFS(tblTecnicos[rotativo],"sí",tblTecnicos[especialidad],tblAsignaciones[[#This Row],[especialidad]],tblTecnicos[area],tblAsignaciones[[#This Row],[area]],tblTecnicos[activo],"sí")</f>
        <v/>
      </c>
      <c r="G4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4" t="n"/>
      <c r="J4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5">
        <f>_xlfn.XLOOKUP(tblAsignaciones[[#This Row],[tecnico]],tblTecnicos[nombre],tblTecnicos[supervisor],"")</f>
        <v/>
      </c>
      <c r="L40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5">
        <f>tblAsignaciones[[#This Row],[semana]]&amp;"|"&amp;tblAsignaciones[[#This Row],[dia]]&amp;"|"&amp;tblAsignaciones[[#This Row],[tecnico]]</f>
        <v/>
      </c>
      <c r="O407" s="5">
        <f>_xlfn.XLOOKUP(tblAsignaciones[[#This Row],[turno]],tblTurnos[turno],tblTurnos[hora_inicio],"")</f>
        <v/>
      </c>
      <c r="P407" s="5">
        <f>_xlfn.XLOOKUP(tblAsignaciones[[#This Row],[turno]],tblTurnos[turno],tblTurnos[hora_fin],"")</f>
        <v/>
      </c>
      <c r="Q407" s="5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5">
        <f>_xlfn.XLOOKUP(tblAsignaciones[[#This Row],[tecnico]],tblTecnicos[nombre],tblTecnicos[area],"")</f>
        <v/>
      </c>
      <c r="E408" s="5">
        <f>_xlfn.XLOOKUP(tblAsignaciones[[#This Row],[tecnico]],tblTecnicos[nombre],tblTecnicos[especialidad],"")</f>
        <v/>
      </c>
      <c r="F408" s="5">
        <f>COUNTIFS(tblTecnicos[rotativo],"sí",tblTecnicos[especialidad],tblAsignaciones[[#This Row],[especialidad]],tblTecnicos[area],tblAsignaciones[[#This Row],[area]],tblTecnicos[activo],"sí")</f>
        <v/>
      </c>
      <c r="G4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4" t="n"/>
      <c r="J4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5">
        <f>_xlfn.XLOOKUP(tblAsignaciones[[#This Row],[tecnico]],tblTecnicos[nombre],tblTecnicos[supervisor],"")</f>
        <v/>
      </c>
      <c r="L40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5">
        <f>tblAsignaciones[[#This Row],[semana]]&amp;"|"&amp;tblAsignaciones[[#This Row],[dia]]&amp;"|"&amp;tblAsignaciones[[#This Row],[tecnico]]</f>
        <v/>
      </c>
      <c r="O408" s="5">
        <f>_xlfn.XLOOKUP(tblAsignaciones[[#This Row],[turno]],tblTurnos[turno],tblTurnos[hora_inicio],"")</f>
        <v/>
      </c>
      <c r="P408" s="5">
        <f>_xlfn.XLOOKUP(tblAsignaciones[[#This Row],[turno]],tblTurnos[turno],tblTurnos[hora_fin],"")</f>
        <v/>
      </c>
      <c r="Q408" s="5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5">
        <f>_xlfn.XLOOKUP(tblAsignaciones[[#This Row],[tecnico]],tblTecnicos[nombre],tblTecnicos[area],"")</f>
        <v/>
      </c>
      <c r="E409" s="5">
        <f>_xlfn.XLOOKUP(tblAsignaciones[[#This Row],[tecnico]],tblTecnicos[nombre],tblTecnicos[especialidad],"")</f>
        <v/>
      </c>
      <c r="F409" s="5">
        <f>COUNTIFS(tblTecnicos[rotativo],"sí",tblTecnicos[especialidad],tblAsignaciones[[#This Row],[especialidad]],tblTecnicos[area],tblAsignaciones[[#This Row],[area]],tblTecnicos[activo],"sí")</f>
        <v/>
      </c>
      <c r="G4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4" t="n"/>
      <c r="J4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5">
        <f>_xlfn.XLOOKUP(tblAsignaciones[[#This Row],[tecnico]],tblTecnicos[nombre],tblTecnicos[supervisor],"")</f>
        <v/>
      </c>
      <c r="L40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5">
        <f>tblAsignaciones[[#This Row],[semana]]&amp;"|"&amp;tblAsignaciones[[#This Row],[dia]]&amp;"|"&amp;tblAsignaciones[[#This Row],[tecnico]]</f>
        <v/>
      </c>
      <c r="O409" s="5">
        <f>_xlfn.XLOOKUP(tblAsignaciones[[#This Row],[turno]],tblTurnos[turno],tblTurnos[hora_inicio],"")</f>
        <v/>
      </c>
      <c r="P409" s="5">
        <f>_xlfn.XLOOKUP(tblAsignaciones[[#This Row],[turno]],tblTurnos[turno],tblTurnos[hora_fin],"")</f>
        <v/>
      </c>
      <c r="Q409" s="5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5">
        <f>_xlfn.XLOOKUP(tblAsignaciones[[#This Row],[tecnico]],tblTecnicos[nombre],tblTecnicos[area],"")</f>
        <v/>
      </c>
      <c r="E410" s="5">
        <f>_xlfn.XLOOKUP(tblAsignaciones[[#This Row],[tecnico]],tblTecnicos[nombre],tblTecnicos[especialidad],"")</f>
        <v/>
      </c>
      <c r="F410" s="5">
        <f>COUNTIFS(tblTecnicos[rotativo],"sí",tblTecnicos[especialidad],tblAsignaciones[[#This Row],[especialidad]],tblTecnicos[area],tblAsignaciones[[#This Row],[area]],tblTecnicos[activo],"sí")</f>
        <v/>
      </c>
      <c r="G4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4" t="n"/>
      <c r="J4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5">
        <f>_xlfn.XLOOKUP(tblAsignaciones[[#This Row],[tecnico]],tblTecnicos[nombre],tblTecnicos[supervisor],"")</f>
        <v/>
      </c>
      <c r="L41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5">
        <f>tblAsignaciones[[#This Row],[semana]]&amp;"|"&amp;tblAsignaciones[[#This Row],[dia]]&amp;"|"&amp;tblAsignaciones[[#This Row],[tecnico]]</f>
        <v/>
      </c>
      <c r="O410" s="5">
        <f>_xlfn.XLOOKUP(tblAsignaciones[[#This Row],[turno]],tblTurnos[turno],tblTurnos[hora_inicio],"")</f>
        <v/>
      </c>
      <c r="P410" s="5">
        <f>_xlfn.XLOOKUP(tblAsignaciones[[#This Row],[turno]],tblTurnos[turno],tblTurnos[hora_fin],"")</f>
        <v/>
      </c>
      <c r="Q410" s="5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5">
        <f>_xlfn.XLOOKUP(tblAsignaciones[[#This Row],[tecnico]],tblTecnicos[nombre],tblTecnicos[area],"")</f>
        <v/>
      </c>
      <c r="E411" s="5">
        <f>_xlfn.XLOOKUP(tblAsignaciones[[#This Row],[tecnico]],tblTecnicos[nombre],tblTecnicos[especialidad],"")</f>
        <v/>
      </c>
      <c r="F411" s="5">
        <f>COUNTIFS(tblTecnicos[rotativo],"sí",tblTecnicos[especialidad],tblAsignaciones[[#This Row],[especialidad]],tblTecnicos[area],tblAsignaciones[[#This Row],[area]],tblTecnicos[activo],"sí")</f>
        <v/>
      </c>
      <c r="G4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4" t="n"/>
      <c r="J4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5">
        <f>_xlfn.XLOOKUP(tblAsignaciones[[#This Row],[tecnico]],tblTecnicos[nombre],tblTecnicos[supervisor],"")</f>
        <v/>
      </c>
      <c r="L41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5">
        <f>tblAsignaciones[[#This Row],[semana]]&amp;"|"&amp;tblAsignaciones[[#This Row],[dia]]&amp;"|"&amp;tblAsignaciones[[#This Row],[tecnico]]</f>
        <v/>
      </c>
      <c r="O411" s="5">
        <f>_xlfn.XLOOKUP(tblAsignaciones[[#This Row],[turno]],tblTurnos[turno],tblTurnos[hora_inicio],"")</f>
        <v/>
      </c>
      <c r="P411" s="5">
        <f>_xlfn.XLOOKUP(tblAsignaciones[[#This Row],[turno]],tblTurnos[turno],tblTurnos[hora_fin],"")</f>
        <v/>
      </c>
      <c r="Q411" s="5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5">
        <f>_xlfn.XLOOKUP(tblAsignaciones[[#This Row],[tecnico]],tblTecnicos[nombre],tblTecnicos[area],"")</f>
        <v/>
      </c>
      <c r="E412" s="5">
        <f>_xlfn.XLOOKUP(tblAsignaciones[[#This Row],[tecnico]],tblTecnicos[nombre],tblTecnicos[especialidad],"")</f>
        <v/>
      </c>
      <c r="F412" s="5">
        <f>COUNTIFS(tblTecnicos[rotativo],"sí",tblTecnicos[especialidad],tblAsignaciones[[#This Row],[especialidad]],tblTecnicos[area],tblAsignaciones[[#This Row],[area]],tblTecnicos[activo],"sí")</f>
        <v/>
      </c>
      <c r="G4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4" t="n"/>
      <c r="J4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5">
        <f>_xlfn.XLOOKUP(tblAsignaciones[[#This Row],[tecnico]],tblTecnicos[nombre],tblTecnicos[supervisor],"")</f>
        <v/>
      </c>
      <c r="L41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5">
        <f>tblAsignaciones[[#This Row],[semana]]&amp;"|"&amp;tblAsignaciones[[#This Row],[dia]]&amp;"|"&amp;tblAsignaciones[[#This Row],[tecnico]]</f>
        <v/>
      </c>
      <c r="O412" s="5">
        <f>_xlfn.XLOOKUP(tblAsignaciones[[#This Row],[turno]],tblTurnos[turno],tblTurnos[hora_inicio],"")</f>
        <v/>
      </c>
      <c r="P412" s="5">
        <f>_xlfn.XLOOKUP(tblAsignaciones[[#This Row],[turno]],tblTurnos[turno],tblTurnos[hora_fin],"")</f>
        <v/>
      </c>
      <c r="Q412" s="5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5">
        <f>_xlfn.XLOOKUP(tblAsignaciones[[#This Row],[tecnico]],tblTecnicos[nombre],tblTecnicos[area],"")</f>
        <v/>
      </c>
      <c r="E413" s="5">
        <f>_xlfn.XLOOKUP(tblAsignaciones[[#This Row],[tecnico]],tblTecnicos[nombre],tblTecnicos[especialidad],"")</f>
        <v/>
      </c>
      <c r="F413" s="5">
        <f>COUNTIFS(tblTecnicos[rotativo],"sí",tblTecnicos[especialidad],tblAsignaciones[[#This Row],[especialidad]],tblTecnicos[area],tblAsignaciones[[#This Row],[area]],tblTecnicos[activo],"sí")</f>
        <v/>
      </c>
      <c r="G4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4" t="n"/>
      <c r="J4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5">
        <f>_xlfn.XLOOKUP(tblAsignaciones[[#This Row],[tecnico]],tblTecnicos[nombre],tblTecnicos[supervisor],"")</f>
        <v/>
      </c>
      <c r="L41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5">
        <f>tblAsignaciones[[#This Row],[semana]]&amp;"|"&amp;tblAsignaciones[[#This Row],[dia]]&amp;"|"&amp;tblAsignaciones[[#This Row],[tecnico]]</f>
        <v/>
      </c>
      <c r="O413" s="5">
        <f>_xlfn.XLOOKUP(tblAsignaciones[[#This Row],[turno]],tblTurnos[turno],tblTurnos[hora_inicio],"")</f>
        <v/>
      </c>
      <c r="P413" s="5">
        <f>_xlfn.XLOOKUP(tblAsignaciones[[#This Row],[turno]],tblTurnos[turno],tblTurnos[hora_fin],"")</f>
        <v/>
      </c>
      <c r="Q413" s="5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5">
        <f>_xlfn.XLOOKUP(tblAsignaciones[[#This Row],[tecnico]],tblTecnicos[nombre],tblTecnicos[area],"")</f>
        <v/>
      </c>
      <c r="E414" s="5">
        <f>_xlfn.XLOOKUP(tblAsignaciones[[#This Row],[tecnico]],tblTecnicos[nombre],tblTecnicos[especialidad],"")</f>
        <v/>
      </c>
      <c r="F414" s="5">
        <f>COUNTIFS(tblTecnicos[rotativo],"sí",tblTecnicos[especialidad],tblAsignaciones[[#This Row],[especialidad]],tblTecnicos[area],tblAsignaciones[[#This Row],[area]],tblTecnicos[activo],"sí")</f>
        <v/>
      </c>
      <c r="G4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4" t="n"/>
      <c r="J4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5">
        <f>_xlfn.XLOOKUP(tblAsignaciones[[#This Row],[tecnico]],tblTecnicos[nombre],tblTecnicos[supervisor],"")</f>
        <v/>
      </c>
      <c r="L41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5">
        <f>tblAsignaciones[[#This Row],[semana]]&amp;"|"&amp;tblAsignaciones[[#This Row],[dia]]&amp;"|"&amp;tblAsignaciones[[#This Row],[tecnico]]</f>
        <v/>
      </c>
      <c r="O414" s="5">
        <f>_xlfn.XLOOKUP(tblAsignaciones[[#This Row],[turno]],tblTurnos[turno],tblTurnos[hora_inicio],"")</f>
        <v/>
      </c>
      <c r="P414" s="5">
        <f>_xlfn.XLOOKUP(tblAsignaciones[[#This Row],[turno]],tblTurnos[turno],tblTurnos[hora_fin],"")</f>
        <v/>
      </c>
      <c r="Q414" s="5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5">
        <f>_xlfn.XLOOKUP(tblAsignaciones[[#This Row],[tecnico]],tblTecnicos[nombre],tblTecnicos[area],"")</f>
        <v/>
      </c>
      <c r="E415" s="5">
        <f>_xlfn.XLOOKUP(tblAsignaciones[[#This Row],[tecnico]],tblTecnicos[nombre],tblTecnicos[especialidad],"")</f>
        <v/>
      </c>
      <c r="F415" s="5">
        <f>COUNTIFS(tblTecnicos[rotativo],"sí",tblTecnicos[especialidad],tblAsignaciones[[#This Row],[especialidad]],tblTecnicos[area],tblAsignaciones[[#This Row],[area]],tblTecnicos[activo],"sí")</f>
        <v/>
      </c>
      <c r="G4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4" t="n"/>
      <c r="J4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5">
        <f>_xlfn.XLOOKUP(tblAsignaciones[[#This Row],[tecnico]],tblTecnicos[nombre],tblTecnicos[supervisor],"")</f>
        <v/>
      </c>
      <c r="L41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5">
        <f>tblAsignaciones[[#This Row],[semana]]&amp;"|"&amp;tblAsignaciones[[#This Row],[dia]]&amp;"|"&amp;tblAsignaciones[[#This Row],[tecnico]]</f>
        <v/>
      </c>
      <c r="O415" s="5">
        <f>_xlfn.XLOOKUP(tblAsignaciones[[#This Row],[turno]],tblTurnos[turno],tblTurnos[hora_inicio],"")</f>
        <v/>
      </c>
      <c r="P415" s="5">
        <f>_xlfn.XLOOKUP(tblAsignaciones[[#This Row],[turno]],tblTurnos[turno],tblTurnos[hora_fin],"")</f>
        <v/>
      </c>
      <c r="Q415" s="5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5">
        <f>_xlfn.XLOOKUP(tblAsignaciones[[#This Row],[tecnico]],tblTecnicos[nombre],tblTecnicos[area],"")</f>
        <v/>
      </c>
      <c r="E416" s="5">
        <f>_xlfn.XLOOKUP(tblAsignaciones[[#This Row],[tecnico]],tblTecnicos[nombre],tblTecnicos[especialidad],"")</f>
        <v/>
      </c>
      <c r="F416" s="5">
        <f>COUNTIFS(tblTecnicos[rotativo],"sí",tblTecnicos[especialidad],tblAsignaciones[[#This Row],[especialidad]],tblTecnicos[area],tblAsignaciones[[#This Row],[area]],tblTecnicos[activo],"sí")</f>
        <v/>
      </c>
      <c r="G4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4" t="n"/>
      <c r="J4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5">
        <f>_xlfn.XLOOKUP(tblAsignaciones[[#This Row],[tecnico]],tblTecnicos[nombre],tblTecnicos[supervisor],"")</f>
        <v/>
      </c>
      <c r="L41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5">
        <f>tblAsignaciones[[#This Row],[semana]]&amp;"|"&amp;tblAsignaciones[[#This Row],[dia]]&amp;"|"&amp;tblAsignaciones[[#This Row],[tecnico]]</f>
        <v/>
      </c>
      <c r="O416" s="5">
        <f>_xlfn.XLOOKUP(tblAsignaciones[[#This Row],[turno]],tblTurnos[turno],tblTurnos[hora_inicio],"")</f>
        <v/>
      </c>
      <c r="P416" s="5">
        <f>_xlfn.XLOOKUP(tblAsignaciones[[#This Row],[turno]],tblTurnos[turno],tblTurnos[hora_fin],"")</f>
        <v/>
      </c>
      <c r="Q416" s="5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5">
        <f>_xlfn.XLOOKUP(tblAsignaciones[[#This Row],[tecnico]],tblTecnicos[nombre],tblTecnicos[area],"")</f>
        <v/>
      </c>
      <c r="E417" s="5">
        <f>_xlfn.XLOOKUP(tblAsignaciones[[#This Row],[tecnico]],tblTecnicos[nombre],tblTecnicos[especialidad],"")</f>
        <v/>
      </c>
      <c r="F417" s="5">
        <f>COUNTIFS(tblTecnicos[rotativo],"sí",tblTecnicos[especialidad],tblAsignaciones[[#This Row],[especialidad]],tblTecnicos[area],tblAsignaciones[[#This Row],[area]],tblTecnicos[activo],"sí")</f>
        <v/>
      </c>
      <c r="G4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4" t="n"/>
      <c r="J4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5">
        <f>_xlfn.XLOOKUP(tblAsignaciones[[#This Row],[tecnico]],tblTecnicos[nombre],tblTecnicos[supervisor],"")</f>
        <v/>
      </c>
      <c r="L41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5">
        <f>tblAsignaciones[[#This Row],[semana]]&amp;"|"&amp;tblAsignaciones[[#This Row],[dia]]&amp;"|"&amp;tblAsignaciones[[#This Row],[tecnico]]</f>
        <v/>
      </c>
      <c r="O417" s="5">
        <f>_xlfn.XLOOKUP(tblAsignaciones[[#This Row],[turno]],tblTurnos[turno],tblTurnos[hora_inicio],"")</f>
        <v/>
      </c>
      <c r="P417" s="5">
        <f>_xlfn.XLOOKUP(tblAsignaciones[[#This Row],[turno]],tblTurnos[turno],tblTurnos[hora_fin],"")</f>
        <v/>
      </c>
      <c r="Q417" s="5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5">
        <f>_xlfn.XLOOKUP(tblAsignaciones[[#This Row],[tecnico]],tblTecnicos[nombre],tblTecnicos[area],"")</f>
        <v/>
      </c>
      <c r="E418" s="5">
        <f>_xlfn.XLOOKUP(tblAsignaciones[[#This Row],[tecnico]],tblTecnicos[nombre],tblTecnicos[especialidad],"")</f>
        <v/>
      </c>
      <c r="F418" s="5">
        <f>COUNTIFS(tblTecnicos[rotativo],"sí",tblTecnicos[especialidad],tblAsignaciones[[#This Row],[especialidad]],tblTecnicos[area],tblAsignaciones[[#This Row],[area]],tblTecnicos[activo],"sí")</f>
        <v/>
      </c>
      <c r="G4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4" t="n"/>
      <c r="J4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5">
        <f>_xlfn.XLOOKUP(tblAsignaciones[[#This Row],[tecnico]],tblTecnicos[nombre],tblTecnicos[supervisor],"")</f>
        <v/>
      </c>
      <c r="L41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5">
        <f>tblAsignaciones[[#This Row],[semana]]&amp;"|"&amp;tblAsignaciones[[#This Row],[dia]]&amp;"|"&amp;tblAsignaciones[[#This Row],[tecnico]]</f>
        <v/>
      </c>
      <c r="O418" s="5">
        <f>_xlfn.XLOOKUP(tblAsignaciones[[#This Row],[turno]],tblTurnos[turno],tblTurnos[hora_inicio],"")</f>
        <v/>
      </c>
      <c r="P418" s="5">
        <f>_xlfn.XLOOKUP(tblAsignaciones[[#This Row],[turno]],tblTurnos[turno],tblTurnos[hora_fin],"")</f>
        <v/>
      </c>
      <c r="Q418" s="5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5">
        <f>_xlfn.XLOOKUP(tblAsignaciones[[#This Row],[tecnico]],tblTecnicos[nombre],tblTecnicos[area],"")</f>
        <v/>
      </c>
      <c r="E419" s="5">
        <f>_xlfn.XLOOKUP(tblAsignaciones[[#This Row],[tecnico]],tblTecnicos[nombre],tblTecnicos[especialidad],"")</f>
        <v/>
      </c>
      <c r="F419" s="5">
        <f>COUNTIFS(tblTecnicos[rotativo],"sí",tblTecnicos[especialidad],tblAsignaciones[[#This Row],[especialidad]],tblTecnicos[area],tblAsignaciones[[#This Row],[area]],tblTecnicos[activo],"sí")</f>
        <v/>
      </c>
      <c r="G4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4" t="n"/>
      <c r="J4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5">
        <f>_xlfn.XLOOKUP(tblAsignaciones[[#This Row],[tecnico]],tblTecnicos[nombre],tblTecnicos[supervisor],"")</f>
        <v/>
      </c>
      <c r="L41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5">
        <f>tblAsignaciones[[#This Row],[semana]]&amp;"|"&amp;tblAsignaciones[[#This Row],[dia]]&amp;"|"&amp;tblAsignaciones[[#This Row],[tecnico]]</f>
        <v/>
      </c>
      <c r="O419" s="5">
        <f>_xlfn.XLOOKUP(tblAsignaciones[[#This Row],[turno]],tblTurnos[turno],tblTurnos[hora_inicio],"")</f>
        <v/>
      </c>
      <c r="P419" s="5">
        <f>_xlfn.XLOOKUP(tblAsignaciones[[#This Row],[turno]],tblTurnos[turno],tblTurnos[hora_fin],"")</f>
        <v/>
      </c>
      <c r="Q419" s="5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5">
        <f>_xlfn.XLOOKUP(tblAsignaciones[[#This Row],[tecnico]],tblTecnicos[nombre],tblTecnicos[area],"")</f>
        <v/>
      </c>
      <c r="E420" s="5">
        <f>_xlfn.XLOOKUP(tblAsignaciones[[#This Row],[tecnico]],tblTecnicos[nombre],tblTecnicos[especialidad],"")</f>
        <v/>
      </c>
      <c r="F420" s="5">
        <f>COUNTIFS(tblTecnicos[rotativo],"sí",tblTecnicos[especialidad],tblAsignaciones[[#This Row],[especialidad]],tblTecnicos[area],tblAsignaciones[[#This Row],[area]],tblTecnicos[activo],"sí")</f>
        <v/>
      </c>
      <c r="G4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4" t="n"/>
      <c r="J4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5">
        <f>_xlfn.XLOOKUP(tblAsignaciones[[#This Row],[tecnico]],tblTecnicos[nombre],tblTecnicos[supervisor],"")</f>
        <v/>
      </c>
      <c r="L42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5">
        <f>tblAsignaciones[[#This Row],[semana]]&amp;"|"&amp;tblAsignaciones[[#This Row],[dia]]&amp;"|"&amp;tblAsignaciones[[#This Row],[tecnico]]</f>
        <v/>
      </c>
      <c r="O420" s="5">
        <f>_xlfn.XLOOKUP(tblAsignaciones[[#This Row],[turno]],tblTurnos[turno],tblTurnos[hora_inicio],"")</f>
        <v/>
      </c>
      <c r="P420" s="5">
        <f>_xlfn.XLOOKUP(tblAsignaciones[[#This Row],[turno]],tblTurnos[turno],tblTurnos[hora_fin],"")</f>
        <v/>
      </c>
      <c r="Q420" s="5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5">
        <f>_xlfn.XLOOKUP(tblAsignaciones[[#This Row],[tecnico]],tblTecnicos[nombre],tblTecnicos[area],"")</f>
        <v/>
      </c>
      <c r="E421" s="5">
        <f>_xlfn.XLOOKUP(tblAsignaciones[[#This Row],[tecnico]],tblTecnicos[nombre],tblTecnicos[especialidad],"")</f>
        <v/>
      </c>
      <c r="F421" s="5">
        <f>COUNTIFS(tblTecnicos[rotativo],"sí",tblTecnicos[especialidad],tblAsignaciones[[#This Row],[especialidad]],tblTecnicos[area],tblAsignaciones[[#This Row],[area]],tblTecnicos[activo],"sí")</f>
        <v/>
      </c>
      <c r="G4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4" t="n"/>
      <c r="J4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5">
        <f>_xlfn.XLOOKUP(tblAsignaciones[[#This Row],[tecnico]],tblTecnicos[nombre],tblTecnicos[supervisor],"")</f>
        <v/>
      </c>
      <c r="L42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5">
        <f>tblAsignaciones[[#This Row],[semana]]&amp;"|"&amp;tblAsignaciones[[#This Row],[dia]]&amp;"|"&amp;tblAsignaciones[[#This Row],[tecnico]]</f>
        <v/>
      </c>
      <c r="O421" s="5">
        <f>_xlfn.XLOOKUP(tblAsignaciones[[#This Row],[turno]],tblTurnos[turno],tblTurnos[hora_inicio],"")</f>
        <v/>
      </c>
      <c r="P421" s="5">
        <f>_xlfn.XLOOKUP(tblAsignaciones[[#This Row],[turno]],tblTurnos[turno],tblTurnos[hora_fin],"")</f>
        <v/>
      </c>
      <c r="Q421" s="5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5">
        <f>_xlfn.XLOOKUP(tblAsignaciones[[#This Row],[tecnico]],tblTecnicos[nombre],tblTecnicos[area],"")</f>
        <v/>
      </c>
      <c r="E422" s="5">
        <f>_xlfn.XLOOKUP(tblAsignaciones[[#This Row],[tecnico]],tblTecnicos[nombre],tblTecnicos[especialidad],"")</f>
        <v/>
      </c>
      <c r="F422" s="5">
        <f>COUNTIFS(tblTecnicos[rotativo],"sí",tblTecnicos[especialidad],tblAsignaciones[[#This Row],[especialidad]],tblTecnicos[area],tblAsignaciones[[#This Row],[area]],tblTecnicos[activo],"sí")</f>
        <v/>
      </c>
      <c r="G4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4" t="n"/>
      <c r="J4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5">
        <f>_xlfn.XLOOKUP(tblAsignaciones[[#This Row],[tecnico]],tblTecnicos[nombre],tblTecnicos[supervisor],"")</f>
        <v/>
      </c>
      <c r="L42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5">
        <f>tblAsignaciones[[#This Row],[semana]]&amp;"|"&amp;tblAsignaciones[[#This Row],[dia]]&amp;"|"&amp;tblAsignaciones[[#This Row],[tecnico]]</f>
        <v/>
      </c>
      <c r="O422" s="5">
        <f>_xlfn.XLOOKUP(tblAsignaciones[[#This Row],[turno]],tblTurnos[turno],tblTurnos[hora_inicio],"")</f>
        <v/>
      </c>
      <c r="P422" s="5">
        <f>_xlfn.XLOOKUP(tblAsignaciones[[#This Row],[turno]],tblTurnos[turno],tblTurnos[hora_fin],"")</f>
        <v/>
      </c>
      <c r="Q422" s="5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5">
        <f>_xlfn.XLOOKUP(tblAsignaciones[[#This Row],[tecnico]],tblTecnicos[nombre],tblTecnicos[area],"")</f>
        <v/>
      </c>
      <c r="E423" s="5">
        <f>_xlfn.XLOOKUP(tblAsignaciones[[#This Row],[tecnico]],tblTecnicos[nombre],tblTecnicos[especialidad],"")</f>
        <v/>
      </c>
      <c r="F423" s="5">
        <f>COUNTIFS(tblTecnicos[rotativo],"sí",tblTecnicos[especialidad],tblAsignaciones[[#This Row],[especialidad]],tblTecnicos[area],tblAsignaciones[[#This Row],[area]],tblTecnicos[activo],"sí")</f>
        <v/>
      </c>
      <c r="G4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4" t="n"/>
      <c r="J4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5">
        <f>_xlfn.XLOOKUP(tblAsignaciones[[#This Row],[tecnico]],tblTecnicos[nombre],tblTecnicos[supervisor],"")</f>
        <v/>
      </c>
      <c r="L42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5">
        <f>tblAsignaciones[[#This Row],[semana]]&amp;"|"&amp;tblAsignaciones[[#This Row],[dia]]&amp;"|"&amp;tblAsignaciones[[#This Row],[tecnico]]</f>
        <v/>
      </c>
      <c r="O423" s="5">
        <f>_xlfn.XLOOKUP(tblAsignaciones[[#This Row],[turno]],tblTurnos[turno],tblTurnos[hora_inicio],"")</f>
        <v/>
      </c>
      <c r="P423" s="5">
        <f>_xlfn.XLOOKUP(tblAsignaciones[[#This Row],[turno]],tblTurnos[turno],tblTurnos[hora_fin],"")</f>
        <v/>
      </c>
      <c r="Q423" s="5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5">
        <f>_xlfn.XLOOKUP(tblAsignaciones[[#This Row],[tecnico]],tblTecnicos[nombre],tblTecnicos[area],"")</f>
        <v/>
      </c>
      <c r="E424" s="5">
        <f>_xlfn.XLOOKUP(tblAsignaciones[[#This Row],[tecnico]],tblTecnicos[nombre],tblTecnicos[especialidad],"")</f>
        <v/>
      </c>
      <c r="F424" s="5">
        <f>COUNTIFS(tblTecnicos[rotativo],"sí",tblTecnicos[especialidad],tblAsignaciones[[#This Row],[especialidad]],tblTecnicos[area],tblAsignaciones[[#This Row],[area]],tblTecnicos[activo],"sí")</f>
        <v/>
      </c>
      <c r="G4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4" t="n"/>
      <c r="J4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5">
        <f>_xlfn.XLOOKUP(tblAsignaciones[[#This Row],[tecnico]],tblTecnicos[nombre],tblTecnicos[supervisor],"")</f>
        <v/>
      </c>
      <c r="L42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5">
        <f>tblAsignaciones[[#This Row],[semana]]&amp;"|"&amp;tblAsignaciones[[#This Row],[dia]]&amp;"|"&amp;tblAsignaciones[[#This Row],[tecnico]]</f>
        <v/>
      </c>
      <c r="O424" s="5">
        <f>_xlfn.XLOOKUP(tblAsignaciones[[#This Row],[turno]],tblTurnos[turno],tblTurnos[hora_inicio],"")</f>
        <v/>
      </c>
      <c r="P424" s="5">
        <f>_xlfn.XLOOKUP(tblAsignaciones[[#This Row],[turno]],tblTurnos[turno],tblTurnos[hora_fin],"")</f>
        <v/>
      </c>
      <c r="Q424" s="5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5">
        <f>_xlfn.XLOOKUP(tblAsignaciones[[#This Row],[tecnico]],tblTecnicos[nombre],tblTecnicos[area],"")</f>
        <v/>
      </c>
      <c r="E425" s="5">
        <f>_xlfn.XLOOKUP(tblAsignaciones[[#This Row],[tecnico]],tblTecnicos[nombre],tblTecnicos[especialidad],"")</f>
        <v/>
      </c>
      <c r="F425" s="5">
        <f>COUNTIFS(tblTecnicos[rotativo],"sí",tblTecnicos[especialidad],tblAsignaciones[[#This Row],[especialidad]],tblTecnicos[area],tblAsignaciones[[#This Row],[area]],tblTecnicos[activo],"sí")</f>
        <v/>
      </c>
      <c r="G4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4" t="n"/>
      <c r="J4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5">
        <f>_xlfn.XLOOKUP(tblAsignaciones[[#This Row],[tecnico]],tblTecnicos[nombre],tblTecnicos[supervisor],"")</f>
        <v/>
      </c>
      <c r="L42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5">
        <f>tblAsignaciones[[#This Row],[semana]]&amp;"|"&amp;tblAsignaciones[[#This Row],[dia]]&amp;"|"&amp;tblAsignaciones[[#This Row],[tecnico]]</f>
        <v/>
      </c>
      <c r="O425" s="5">
        <f>_xlfn.XLOOKUP(tblAsignaciones[[#This Row],[turno]],tblTurnos[turno],tblTurnos[hora_inicio],"")</f>
        <v/>
      </c>
      <c r="P425" s="5">
        <f>_xlfn.XLOOKUP(tblAsignaciones[[#This Row],[turno]],tblTurnos[turno],tblTurnos[hora_fin],"")</f>
        <v/>
      </c>
      <c r="Q425" s="5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5">
        <f>_xlfn.XLOOKUP(tblAsignaciones[[#This Row],[tecnico]],tblTecnicos[nombre],tblTecnicos[area],"")</f>
        <v/>
      </c>
      <c r="E426" s="5">
        <f>_xlfn.XLOOKUP(tblAsignaciones[[#This Row],[tecnico]],tblTecnicos[nombre],tblTecnicos[especialidad],"")</f>
        <v/>
      </c>
      <c r="F426" s="5">
        <f>COUNTIFS(tblTecnicos[rotativo],"sí",tblTecnicos[especialidad],tblAsignaciones[[#This Row],[especialidad]],tblTecnicos[area],tblAsignaciones[[#This Row],[area]],tblTecnicos[activo],"sí")</f>
        <v/>
      </c>
      <c r="G4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4" t="n"/>
      <c r="J4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5">
        <f>_xlfn.XLOOKUP(tblAsignaciones[[#This Row],[tecnico]],tblTecnicos[nombre],tblTecnicos[supervisor],"")</f>
        <v/>
      </c>
      <c r="L42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5">
        <f>tblAsignaciones[[#This Row],[semana]]&amp;"|"&amp;tblAsignaciones[[#This Row],[dia]]&amp;"|"&amp;tblAsignaciones[[#This Row],[tecnico]]</f>
        <v/>
      </c>
      <c r="O426" s="5">
        <f>_xlfn.XLOOKUP(tblAsignaciones[[#This Row],[turno]],tblTurnos[turno],tblTurnos[hora_inicio],"")</f>
        <v/>
      </c>
      <c r="P426" s="5">
        <f>_xlfn.XLOOKUP(tblAsignaciones[[#This Row],[turno]],tblTurnos[turno],tblTurnos[hora_fin],"")</f>
        <v/>
      </c>
      <c r="Q426" s="5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5">
        <f>_xlfn.XLOOKUP(tblAsignaciones[[#This Row],[tecnico]],tblTecnicos[nombre],tblTecnicos[area],"")</f>
        <v/>
      </c>
      <c r="E427" s="5">
        <f>_xlfn.XLOOKUP(tblAsignaciones[[#This Row],[tecnico]],tblTecnicos[nombre],tblTecnicos[especialidad],"")</f>
        <v/>
      </c>
      <c r="F427" s="5">
        <f>COUNTIFS(tblTecnicos[rotativo],"sí",tblTecnicos[especialidad],tblAsignaciones[[#This Row],[especialidad]],tblTecnicos[area],tblAsignaciones[[#This Row],[area]],tblTecnicos[activo],"sí")</f>
        <v/>
      </c>
      <c r="G4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4" t="n"/>
      <c r="J4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5">
        <f>_xlfn.XLOOKUP(tblAsignaciones[[#This Row],[tecnico]],tblTecnicos[nombre],tblTecnicos[supervisor],"")</f>
        <v/>
      </c>
      <c r="L42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5">
        <f>tblAsignaciones[[#This Row],[semana]]&amp;"|"&amp;tblAsignaciones[[#This Row],[dia]]&amp;"|"&amp;tblAsignaciones[[#This Row],[tecnico]]</f>
        <v/>
      </c>
      <c r="O427" s="5">
        <f>_xlfn.XLOOKUP(tblAsignaciones[[#This Row],[turno]],tblTurnos[turno],tblTurnos[hora_inicio],"")</f>
        <v/>
      </c>
      <c r="P427" s="5">
        <f>_xlfn.XLOOKUP(tblAsignaciones[[#This Row],[turno]],tblTurnos[turno],tblTurnos[hora_fin],"")</f>
        <v/>
      </c>
      <c r="Q427" s="5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5">
        <f>_xlfn.XLOOKUP(tblAsignaciones[[#This Row],[tecnico]],tblTecnicos[nombre],tblTecnicos[area],"")</f>
        <v/>
      </c>
      <c r="E428" s="5">
        <f>_xlfn.XLOOKUP(tblAsignaciones[[#This Row],[tecnico]],tblTecnicos[nombre],tblTecnicos[especialidad],"")</f>
        <v/>
      </c>
      <c r="F428" s="5">
        <f>COUNTIFS(tblTecnicos[rotativo],"sí",tblTecnicos[especialidad],tblAsignaciones[[#This Row],[especialidad]],tblTecnicos[area],tblAsignaciones[[#This Row],[area]],tblTecnicos[activo],"sí")</f>
        <v/>
      </c>
      <c r="G4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4" t="n"/>
      <c r="J4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5">
        <f>_xlfn.XLOOKUP(tblAsignaciones[[#This Row],[tecnico]],tblTecnicos[nombre],tblTecnicos[supervisor],"")</f>
        <v/>
      </c>
      <c r="L42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5">
        <f>tblAsignaciones[[#This Row],[semana]]&amp;"|"&amp;tblAsignaciones[[#This Row],[dia]]&amp;"|"&amp;tblAsignaciones[[#This Row],[tecnico]]</f>
        <v/>
      </c>
      <c r="O428" s="5">
        <f>_xlfn.XLOOKUP(tblAsignaciones[[#This Row],[turno]],tblTurnos[turno],tblTurnos[hora_inicio],"")</f>
        <v/>
      </c>
      <c r="P428" s="5">
        <f>_xlfn.XLOOKUP(tblAsignaciones[[#This Row],[turno]],tblTurnos[turno],tblTurnos[hora_fin],"")</f>
        <v/>
      </c>
      <c r="Q428" s="5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5">
        <f>_xlfn.XLOOKUP(tblAsignaciones[[#This Row],[tecnico]],tblTecnicos[nombre],tblTecnicos[area],"")</f>
        <v/>
      </c>
      <c r="E429" s="5">
        <f>_xlfn.XLOOKUP(tblAsignaciones[[#This Row],[tecnico]],tblTecnicos[nombre],tblTecnicos[especialidad],"")</f>
        <v/>
      </c>
      <c r="F429" s="5">
        <f>COUNTIFS(tblTecnicos[rotativo],"sí",tblTecnicos[especialidad],tblAsignaciones[[#This Row],[especialidad]],tblTecnicos[area],tblAsignaciones[[#This Row],[area]],tblTecnicos[activo],"sí")</f>
        <v/>
      </c>
      <c r="G4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4" t="n"/>
      <c r="J4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5">
        <f>_xlfn.XLOOKUP(tblAsignaciones[[#This Row],[tecnico]],tblTecnicos[nombre],tblTecnicos[supervisor],"")</f>
        <v/>
      </c>
      <c r="L42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5">
        <f>tblAsignaciones[[#This Row],[semana]]&amp;"|"&amp;tblAsignaciones[[#This Row],[dia]]&amp;"|"&amp;tblAsignaciones[[#This Row],[tecnico]]</f>
        <v/>
      </c>
      <c r="O429" s="5">
        <f>_xlfn.XLOOKUP(tblAsignaciones[[#This Row],[turno]],tblTurnos[turno],tblTurnos[hora_inicio],"")</f>
        <v/>
      </c>
      <c r="P429" s="5">
        <f>_xlfn.XLOOKUP(tblAsignaciones[[#This Row],[turno]],tblTurnos[turno],tblTurnos[hora_fin],"")</f>
        <v/>
      </c>
      <c r="Q429" s="5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5">
        <f>_xlfn.XLOOKUP(tblAsignaciones[[#This Row],[tecnico]],tblTecnicos[nombre],tblTecnicos[area],"")</f>
        <v/>
      </c>
      <c r="E430" s="5">
        <f>_xlfn.XLOOKUP(tblAsignaciones[[#This Row],[tecnico]],tblTecnicos[nombre],tblTecnicos[especialidad],"")</f>
        <v/>
      </c>
      <c r="F430" s="5">
        <f>COUNTIFS(tblTecnicos[rotativo],"sí",tblTecnicos[especialidad],tblAsignaciones[[#This Row],[especialidad]],tblTecnicos[area],tblAsignaciones[[#This Row],[area]],tblTecnicos[activo],"sí")</f>
        <v/>
      </c>
      <c r="G4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4" t="n"/>
      <c r="J4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5">
        <f>_xlfn.XLOOKUP(tblAsignaciones[[#This Row],[tecnico]],tblTecnicos[nombre],tblTecnicos[supervisor],"")</f>
        <v/>
      </c>
      <c r="L43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5">
        <f>tblAsignaciones[[#This Row],[semana]]&amp;"|"&amp;tblAsignaciones[[#This Row],[dia]]&amp;"|"&amp;tblAsignaciones[[#This Row],[tecnico]]</f>
        <v/>
      </c>
      <c r="O430" s="5">
        <f>_xlfn.XLOOKUP(tblAsignaciones[[#This Row],[turno]],tblTurnos[turno],tblTurnos[hora_inicio],"")</f>
        <v/>
      </c>
      <c r="P430" s="5">
        <f>_xlfn.XLOOKUP(tblAsignaciones[[#This Row],[turno]],tblTurnos[turno],tblTurnos[hora_fin],"")</f>
        <v/>
      </c>
      <c r="Q430" s="5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5">
        <f>_xlfn.XLOOKUP(tblAsignaciones[[#This Row],[tecnico]],tblTecnicos[nombre],tblTecnicos[area],"")</f>
        <v/>
      </c>
      <c r="E431" s="5">
        <f>_xlfn.XLOOKUP(tblAsignaciones[[#This Row],[tecnico]],tblTecnicos[nombre],tblTecnicos[especialidad],"")</f>
        <v/>
      </c>
      <c r="F431" s="5">
        <f>COUNTIFS(tblTecnicos[rotativo],"sí",tblTecnicos[especialidad],tblAsignaciones[[#This Row],[especialidad]],tblTecnicos[area],tblAsignaciones[[#This Row],[area]],tblTecnicos[activo],"sí")</f>
        <v/>
      </c>
      <c r="G4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4" t="n"/>
      <c r="J4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5">
        <f>_xlfn.XLOOKUP(tblAsignaciones[[#This Row],[tecnico]],tblTecnicos[nombre],tblTecnicos[supervisor],"")</f>
        <v/>
      </c>
      <c r="L43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5">
        <f>tblAsignaciones[[#This Row],[semana]]&amp;"|"&amp;tblAsignaciones[[#This Row],[dia]]&amp;"|"&amp;tblAsignaciones[[#This Row],[tecnico]]</f>
        <v/>
      </c>
      <c r="O431" s="5">
        <f>_xlfn.XLOOKUP(tblAsignaciones[[#This Row],[turno]],tblTurnos[turno],tblTurnos[hora_inicio],"")</f>
        <v/>
      </c>
      <c r="P431" s="5">
        <f>_xlfn.XLOOKUP(tblAsignaciones[[#This Row],[turno]],tblTurnos[turno],tblTurnos[hora_fin],"")</f>
        <v/>
      </c>
      <c r="Q431" s="5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5">
        <f>_xlfn.XLOOKUP(tblAsignaciones[[#This Row],[tecnico]],tblTecnicos[nombre],tblTecnicos[area],"")</f>
        <v/>
      </c>
      <c r="E432" s="5">
        <f>_xlfn.XLOOKUP(tblAsignaciones[[#This Row],[tecnico]],tblTecnicos[nombre],tblTecnicos[especialidad],"")</f>
        <v/>
      </c>
      <c r="F432" s="5">
        <f>COUNTIFS(tblTecnicos[rotativo],"sí",tblTecnicos[especialidad],tblAsignaciones[[#This Row],[especialidad]],tblTecnicos[area],tblAsignaciones[[#This Row],[area]],tblTecnicos[activo],"sí")</f>
        <v/>
      </c>
      <c r="G4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4" t="n"/>
      <c r="J4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5">
        <f>_xlfn.XLOOKUP(tblAsignaciones[[#This Row],[tecnico]],tblTecnicos[nombre],tblTecnicos[supervisor],"")</f>
        <v/>
      </c>
      <c r="L43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5">
        <f>tblAsignaciones[[#This Row],[semana]]&amp;"|"&amp;tblAsignaciones[[#This Row],[dia]]&amp;"|"&amp;tblAsignaciones[[#This Row],[tecnico]]</f>
        <v/>
      </c>
      <c r="O432" s="5">
        <f>_xlfn.XLOOKUP(tblAsignaciones[[#This Row],[turno]],tblTurnos[turno],tblTurnos[hora_inicio],"")</f>
        <v/>
      </c>
      <c r="P432" s="5">
        <f>_xlfn.XLOOKUP(tblAsignaciones[[#This Row],[turno]],tblTurnos[turno],tblTurnos[hora_fin],"")</f>
        <v/>
      </c>
      <c r="Q432" s="5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5">
        <f>_xlfn.XLOOKUP(tblAsignaciones[[#This Row],[tecnico]],tblTecnicos[nombre],tblTecnicos[area],"")</f>
        <v/>
      </c>
      <c r="E433" s="5">
        <f>_xlfn.XLOOKUP(tblAsignaciones[[#This Row],[tecnico]],tblTecnicos[nombre],tblTecnicos[especialidad],"")</f>
        <v/>
      </c>
      <c r="F433" s="5">
        <f>COUNTIFS(tblTecnicos[rotativo],"sí",tblTecnicos[especialidad],tblAsignaciones[[#This Row],[especialidad]],tblTecnicos[area],tblAsignaciones[[#This Row],[area]],tblTecnicos[activo],"sí")</f>
        <v/>
      </c>
      <c r="G4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4" t="n"/>
      <c r="J4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5">
        <f>_xlfn.XLOOKUP(tblAsignaciones[[#This Row],[tecnico]],tblTecnicos[nombre],tblTecnicos[supervisor],"")</f>
        <v/>
      </c>
      <c r="L43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5">
        <f>tblAsignaciones[[#This Row],[semana]]&amp;"|"&amp;tblAsignaciones[[#This Row],[dia]]&amp;"|"&amp;tblAsignaciones[[#This Row],[tecnico]]</f>
        <v/>
      </c>
      <c r="O433" s="5">
        <f>_xlfn.XLOOKUP(tblAsignaciones[[#This Row],[turno]],tblTurnos[turno],tblTurnos[hora_inicio],"")</f>
        <v/>
      </c>
      <c r="P433" s="5">
        <f>_xlfn.XLOOKUP(tblAsignaciones[[#This Row],[turno]],tblTurnos[turno],tblTurnos[hora_fin],"")</f>
        <v/>
      </c>
      <c r="Q433" s="5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5">
        <f>_xlfn.XLOOKUP(tblAsignaciones[[#This Row],[tecnico]],tblTecnicos[nombre],tblTecnicos[area],"")</f>
        <v/>
      </c>
      <c r="E434" s="5">
        <f>_xlfn.XLOOKUP(tblAsignaciones[[#This Row],[tecnico]],tblTecnicos[nombre],tblTecnicos[especialidad],"")</f>
        <v/>
      </c>
      <c r="F434" s="5">
        <f>COUNTIFS(tblTecnicos[rotativo],"sí",tblTecnicos[especialidad],tblAsignaciones[[#This Row],[especialidad]],tblTecnicos[area],tblAsignaciones[[#This Row],[area]],tblTecnicos[activo],"sí")</f>
        <v/>
      </c>
      <c r="G4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4" t="n"/>
      <c r="J4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5">
        <f>_xlfn.XLOOKUP(tblAsignaciones[[#This Row],[tecnico]],tblTecnicos[nombre],tblTecnicos[supervisor],"")</f>
        <v/>
      </c>
      <c r="L43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5">
        <f>tblAsignaciones[[#This Row],[semana]]&amp;"|"&amp;tblAsignaciones[[#This Row],[dia]]&amp;"|"&amp;tblAsignaciones[[#This Row],[tecnico]]</f>
        <v/>
      </c>
      <c r="O434" s="5">
        <f>_xlfn.XLOOKUP(tblAsignaciones[[#This Row],[turno]],tblTurnos[turno],tblTurnos[hora_inicio],"")</f>
        <v/>
      </c>
      <c r="P434" s="5">
        <f>_xlfn.XLOOKUP(tblAsignaciones[[#This Row],[turno]],tblTurnos[turno],tblTurnos[hora_fin],"")</f>
        <v/>
      </c>
      <c r="Q434" s="5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5">
        <f>_xlfn.XLOOKUP(tblAsignaciones[[#This Row],[tecnico]],tblTecnicos[nombre],tblTecnicos[area],"")</f>
        <v/>
      </c>
      <c r="E435" s="5">
        <f>_xlfn.XLOOKUP(tblAsignaciones[[#This Row],[tecnico]],tblTecnicos[nombre],tblTecnicos[especialidad],"")</f>
        <v/>
      </c>
      <c r="F435" s="5">
        <f>COUNTIFS(tblTecnicos[rotativo],"sí",tblTecnicos[especialidad],tblAsignaciones[[#This Row],[especialidad]],tblTecnicos[area],tblAsignaciones[[#This Row],[area]],tblTecnicos[activo],"sí")</f>
        <v/>
      </c>
      <c r="G4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4" t="n"/>
      <c r="J4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5">
        <f>_xlfn.XLOOKUP(tblAsignaciones[[#This Row],[tecnico]],tblTecnicos[nombre],tblTecnicos[supervisor],"")</f>
        <v/>
      </c>
      <c r="L43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5">
        <f>tblAsignaciones[[#This Row],[semana]]&amp;"|"&amp;tblAsignaciones[[#This Row],[dia]]&amp;"|"&amp;tblAsignaciones[[#This Row],[tecnico]]</f>
        <v/>
      </c>
      <c r="O435" s="5">
        <f>_xlfn.XLOOKUP(tblAsignaciones[[#This Row],[turno]],tblTurnos[turno],tblTurnos[hora_inicio],"")</f>
        <v/>
      </c>
      <c r="P435" s="5">
        <f>_xlfn.XLOOKUP(tblAsignaciones[[#This Row],[turno]],tblTurnos[turno],tblTurnos[hora_fin],"")</f>
        <v/>
      </c>
      <c r="Q435" s="5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5">
        <f>_xlfn.XLOOKUP(tblAsignaciones[[#This Row],[tecnico]],tblTecnicos[nombre],tblTecnicos[area],"")</f>
        <v/>
      </c>
      <c r="E436" s="5">
        <f>_xlfn.XLOOKUP(tblAsignaciones[[#This Row],[tecnico]],tblTecnicos[nombre],tblTecnicos[especialidad],"")</f>
        <v/>
      </c>
      <c r="F436" s="5">
        <f>COUNTIFS(tblTecnicos[rotativo],"sí",tblTecnicos[especialidad],tblAsignaciones[[#This Row],[especialidad]],tblTecnicos[area],tblAsignaciones[[#This Row],[area]],tblTecnicos[activo],"sí")</f>
        <v/>
      </c>
      <c r="G4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4" t="n"/>
      <c r="J4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5">
        <f>_xlfn.XLOOKUP(tblAsignaciones[[#This Row],[tecnico]],tblTecnicos[nombre],tblTecnicos[supervisor],"")</f>
        <v/>
      </c>
      <c r="L43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5">
        <f>tblAsignaciones[[#This Row],[semana]]&amp;"|"&amp;tblAsignaciones[[#This Row],[dia]]&amp;"|"&amp;tblAsignaciones[[#This Row],[tecnico]]</f>
        <v/>
      </c>
      <c r="O436" s="5">
        <f>_xlfn.XLOOKUP(tblAsignaciones[[#This Row],[turno]],tblTurnos[turno],tblTurnos[hora_inicio],"")</f>
        <v/>
      </c>
      <c r="P436" s="5">
        <f>_xlfn.XLOOKUP(tblAsignaciones[[#This Row],[turno]],tblTurnos[turno],tblTurnos[hora_fin],"")</f>
        <v/>
      </c>
      <c r="Q436" s="5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5">
        <f>_xlfn.XLOOKUP(tblAsignaciones[[#This Row],[tecnico]],tblTecnicos[nombre],tblTecnicos[area],"")</f>
        <v/>
      </c>
      <c r="E437" s="5">
        <f>_xlfn.XLOOKUP(tblAsignaciones[[#This Row],[tecnico]],tblTecnicos[nombre],tblTecnicos[especialidad],"")</f>
        <v/>
      </c>
      <c r="F437" s="5">
        <f>COUNTIFS(tblTecnicos[rotativo],"sí",tblTecnicos[especialidad],tblAsignaciones[[#This Row],[especialidad]],tblTecnicos[area],tblAsignaciones[[#This Row],[area]],tblTecnicos[activo],"sí")</f>
        <v/>
      </c>
      <c r="G4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4" t="n"/>
      <c r="J4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5">
        <f>_xlfn.XLOOKUP(tblAsignaciones[[#This Row],[tecnico]],tblTecnicos[nombre],tblTecnicos[supervisor],"")</f>
        <v/>
      </c>
      <c r="L43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5">
        <f>tblAsignaciones[[#This Row],[semana]]&amp;"|"&amp;tblAsignaciones[[#This Row],[dia]]&amp;"|"&amp;tblAsignaciones[[#This Row],[tecnico]]</f>
        <v/>
      </c>
      <c r="O437" s="5">
        <f>_xlfn.XLOOKUP(tblAsignaciones[[#This Row],[turno]],tblTurnos[turno],tblTurnos[hora_inicio],"")</f>
        <v/>
      </c>
      <c r="P437" s="5">
        <f>_xlfn.XLOOKUP(tblAsignaciones[[#This Row],[turno]],tblTurnos[turno],tblTurnos[hora_fin],"")</f>
        <v/>
      </c>
      <c r="Q437" s="5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5">
        <f>_xlfn.XLOOKUP(tblAsignaciones[[#This Row],[tecnico]],tblTecnicos[nombre],tblTecnicos[area],"")</f>
        <v/>
      </c>
      <c r="E438" s="5">
        <f>_xlfn.XLOOKUP(tblAsignaciones[[#This Row],[tecnico]],tblTecnicos[nombre],tblTecnicos[especialidad],"")</f>
        <v/>
      </c>
      <c r="F438" s="5">
        <f>COUNTIFS(tblTecnicos[rotativo],"sí",tblTecnicos[especialidad],tblAsignaciones[[#This Row],[especialidad]],tblTecnicos[area],tblAsignaciones[[#This Row],[area]],tblTecnicos[activo],"sí")</f>
        <v/>
      </c>
      <c r="G4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4" t="n"/>
      <c r="J4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5">
        <f>_xlfn.XLOOKUP(tblAsignaciones[[#This Row],[tecnico]],tblTecnicos[nombre],tblTecnicos[supervisor],"")</f>
        <v/>
      </c>
      <c r="L43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5">
        <f>tblAsignaciones[[#This Row],[semana]]&amp;"|"&amp;tblAsignaciones[[#This Row],[dia]]&amp;"|"&amp;tblAsignaciones[[#This Row],[tecnico]]</f>
        <v/>
      </c>
      <c r="O438" s="5">
        <f>_xlfn.XLOOKUP(tblAsignaciones[[#This Row],[turno]],tblTurnos[turno],tblTurnos[hora_inicio],"")</f>
        <v/>
      </c>
      <c r="P438" s="5">
        <f>_xlfn.XLOOKUP(tblAsignaciones[[#This Row],[turno]],tblTurnos[turno],tblTurnos[hora_fin],"")</f>
        <v/>
      </c>
      <c r="Q438" s="5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5">
        <f>_xlfn.XLOOKUP(tblAsignaciones[[#This Row],[tecnico]],tblTecnicos[nombre],tblTecnicos[area],"")</f>
        <v/>
      </c>
      <c r="E439" s="5">
        <f>_xlfn.XLOOKUP(tblAsignaciones[[#This Row],[tecnico]],tblTecnicos[nombre],tblTecnicos[especialidad],"")</f>
        <v/>
      </c>
      <c r="F439" s="5">
        <f>COUNTIFS(tblTecnicos[rotativo],"sí",tblTecnicos[especialidad],tblAsignaciones[[#This Row],[especialidad]],tblTecnicos[area],tblAsignaciones[[#This Row],[area]],tblTecnicos[activo],"sí")</f>
        <v/>
      </c>
      <c r="G4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4" t="n"/>
      <c r="J4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5">
        <f>_xlfn.XLOOKUP(tblAsignaciones[[#This Row],[tecnico]],tblTecnicos[nombre],tblTecnicos[supervisor],"")</f>
        <v/>
      </c>
      <c r="L43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5">
        <f>tblAsignaciones[[#This Row],[semana]]&amp;"|"&amp;tblAsignaciones[[#This Row],[dia]]&amp;"|"&amp;tblAsignaciones[[#This Row],[tecnico]]</f>
        <v/>
      </c>
      <c r="O439" s="5">
        <f>_xlfn.XLOOKUP(tblAsignaciones[[#This Row],[turno]],tblTurnos[turno],tblTurnos[hora_inicio],"")</f>
        <v/>
      </c>
      <c r="P439" s="5">
        <f>_xlfn.XLOOKUP(tblAsignaciones[[#This Row],[turno]],tblTurnos[turno],tblTurnos[hora_fin],"")</f>
        <v/>
      </c>
      <c r="Q439" s="5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5">
        <f>_xlfn.XLOOKUP(tblAsignaciones[[#This Row],[tecnico]],tblTecnicos[nombre],tblTecnicos[area],"")</f>
        <v/>
      </c>
      <c r="E440" s="5">
        <f>_xlfn.XLOOKUP(tblAsignaciones[[#This Row],[tecnico]],tblTecnicos[nombre],tblTecnicos[especialidad],"")</f>
        <v/>
      </c>
      <c r="F440" s="5">
        <f>COUNTIFS(tblTecnicos[rotativo],"sí",tblTecnicos[especialidad],tblAsignaciones[[#This Row],[especialidad]],tblTecnicos[area],tblAsignaciones[[#This Row],[area]],tblTecnicos[activo],"sí")</f>
        <v/>
      </c>
      <c r="G4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4" t="n"/>
      <c r="J4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5">
        <f>_xlfn.XLOOKUP(tblAsignaciones[[#This Row],[tecnico]],tblTecnicos[nombre],tblTecnicos[supervisor],"")</f>
        <v/>
      </c>
      <c r="L44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5">
        <f>tblAsignaciones[[#This Row],[semana]]&amp;"|"&amp;tblAsignaciones[[#This Row],[dia]]&amp;"|"&amp;tblAsignaciones[[#This Row],[tecnico]]</f>
        <v/>
      </c>
      <c r="O440" s="5">
        <f>_xlfn.XLOOKUP(tblAsignaciones[[#This Row],[turno]],tblTurnos[turno],tblTurnos[hora_inicio],"")</f>
        <v/>
      </c>
      <c r="P440" s="5">
        <f>_xlfn.XLOOKUP(tblAsignaciones[[#This Row],[turno]],tblTurnos[turno],tblTurnos[hora_fin],"")</f>
        <v/>
      </c>
      <c r="Q440" s="5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5">
        <f>_xlfn.XLOOKUP(tblAsignaciones[[#This Row],[tecnico]],tblTecnicos[nombre],tblTecnicos[area],"")</f>
        <v/>
      </c>
      <c r="E441" s="5">
        <f>_xlfn.XLOOKUP(tblAsignaciones[[#This Row],[tecnico]],tblTecnicos[nombre],tblTecnicos[especialidad],"")</f>
        <v/>
      </c>
      <c r="F441" s="5">
        <f>COUNTIFS(tblTecnicos[rotativo],"sí",tblTecnicos[especialidad],tblAsignaciones[[#This Row],[especialidad]],tblTecnicos[area],tblAsignaciones[[#This Row],[area]],tblTecnicos[activo],"sí")</f>
        <v/>
      </c>
      <c r="G4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4" t="n"/>
      <c r="J4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5">
        <f>_xlfn.XLOOKUP(tblAsignaciones[[#This Row],[tecnico]],tblTecnicos[nombre],tblTecnicos[supervisor],"")</f>
        <v/>
      </c>
      <c r="L44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5">
        <f>tblAsignaciones[[#This Row],[semana]]&amp;"|"&amp;tblAsignaciones[[#This Row],[dia]]&amp;"|"&amp;tblAsignaciones[[#This Row],[tecnico]]</f>
        <v/>
      </c>
      <c r="O441" s="5">
        <f>_xlfn.XLOOKUP(tblAsignaciones[[#This Row],[turno]],tblTurnos[turno],tblTurnos[hora_inicio],"")</f>
        <v/>
      </c>
      <c r="P441" s="5">
        <f>_xlfn.XLOOKUP(tblAsignaciones[[#This Row],[turno]],tblTurnos[turno],tblTurnos[hora_fin],"")</f>
        <v/>
      </c>
      <c r="Q441" s="5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5">
        <f>_xlfn.XLOOKUP(tblAsignaciones[[#This Row],[tecnico]],tblTecnicos[nombre],tblTecnicos[area],"")</f>
        <v/>
      </c>
      <c r="E442" s="5">
        <f>_xlfn.XLOOKUP(tblAsignaciones[[#This Row],[tecnico]],tblTecnicos[nombre],tblTecnicos[especialidad],"")</f>
        <v/>
      </c>
      <c r="F442" s="5">
        <f>COUNTIFS(tblTecnicos[rotativo],"sí",tblTecnicos[especialidad],tblAsignaciones[[#This Row],[especialidad]],tblTecnicos[area],tblAsignaciones[[#This Row],[area]],tblTecnicos[activo],"sí")</f>
        <v/>
      </c>
      <c r="G4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4" t="n"/>
      <c r="J4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5">
        <f>_xlfn.XLOOKUP(tblAsignaciones[[#This Row],[tecnico]],tblTecnicos[nombre],tblTecnicos[supervisor],"")</f>
        <v/>
      </c>
      <c r="L442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5">
        <f>tblAsignaciones[[#This Row],[semana]]&amp;"|"&amp;tblAsignaciones[[#This Row],[dia]]&amp;"|"&amp;tblAsignaciones[[#This Row],[tecnico]]</f>
        <v/>
      </c>
      <c r="O442" s="5">
        <f>_xlfn.XLOOKUP(tblAsignaciones[[#This Row],[turno]],tblTurnos[turno],tblTurnos[hora_inicio],"")</f>
        <v/>
      </c>
      <c r="P442" s="5">
        <f>_xlfn.XLOOKUP(tblAsignaciones[[#This Row],[turno]],tblTurnos[turno],tblTurnos[hora_fin],"")</f>
        <v/>
      </c>
      <c r="Q442" s="5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5">
        <f>_xlfn.XLOOKUP(tblAsignaciones[[#This Row],[tecnico]],tblTecnicos[nombre],tblTecnicos[area],"")</f>
        <v/>
      </c>
      <c r="E443" s="5">
        <f>_xlfn.XLOOKUP(tblAsignaciones[[#This Row],[tecnico]],tblTecnicos[nombre],tblTecnicos[especialidad],"")</f>
        <v/>
      </c>
      <c r="F443" s="5">
        <f>COUNTIFS(tblTecnicos[rotativo],"sí",tblTecnicos[especialidad],tblAsignaciones[[#This Row],[especialidad]],tblTecnicos[area],tblAsignaciones[[#This Row],[area]],tblTecnicos[activo],"sí")</f>
        <v/>
      </c>
      <c r="G4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4" t="n"/>
      <c r="J4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5">
        <f>_xlfn.XLOOKUP(tblAsignaciones[[#This Row],[tecnico]],tblTecnicos[nombre],tblTecnicos[supervisor],"")</f>
        <v/>
      </c>
      <c r="L443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5">
        <f>tblAsignaciones[[#This Row],[semana]]&amp;"|"&amp;tblAsignaciones[[#This Row],[dia]]&amp;"|"&amp;tblAsignaciones[[#This Row],[tecnico]]</f>
        <v/>
      </c>
      <c r="O443" s="5">
        <f>_xlfn.XLOOKUP(tblAsignaciones[[#This Row],[turno]],tblTurnos[turno],tblTurnos[hora_inicio],"")</f>
        <v/>
      </c>
      <c r="P443" s="5">
        <f>_xlfn.XLOOKUP(tblAsignaciones[[#This Row],[turno]],tblTurnos[turno],tblTurnos[hora_fin],"")</f>
        <v/>
      </c>
      <c r="Q443" s="5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5">
        <f>_xlfn.XLOOKUP(tblAsignaciones[[#This Row],[tecnico]],tblTecnicos[nombre],tblTecnicos[area],"")</f>
        <v/>
      </c>
      <c r="E444" s="5">
        <f>_xlfn.XLOOKUP(tblAsignaciones[[#This Row],[tecnico]],tblTecnicos[nombre],tblTecnicos[especialidad],"")</f>
        <v/>
      </c>
      <c r="F444" s="5">
        <f>COUNTIFS(tblTecnicos[rotativo],"sí",tblTecnicos[especialidad],tblAsignaciones[[#This Row],[especialidad]],tblTecnicos[area],tblAsignaciones[[#This Row],[area]],tblTecnicos[activo],"sí")</f>
        <v/>
      </c>
      <c r="G4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4" t="n"/>
      <c r="J4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5">
        <f>_xlfn.XLOOKUP(tblAsignaciones[[#This Row],[tecnico]],tblTecnicos[nombre],tblTecnicos[supervisor],"")</f>
        <v/>
      </c>
      <c r="L444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5">
        <f>tblAsignaciones[[#This Row],[semana]]&amp;"|"&amp;tblAsignaciones[[#This Row],[dia]]&amp;"|"&amp;tblAsignaciones[[#This Row],[tecnico]]</f>
        <v/>
      </c>
      <c r="O444" s="5">
        <f>_xlfn.XLOOKUP(tblAsignaciones[[#This Row],[turno]],tblTurnos[turno],tblTurnos[hora_inicio],"")</f>
        <v/>
      </c>
      <c r="P444" s="5">
        <f>_xlfn.XLOOKUP(tblAsignaciones[[#This Row],[turno]],tblTurnos[turno],tblTurnos[hora_fin],"")</f>
        <v/>
      </c>
      <c r="Q444" s="5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5">
        <f>_xlfn.XLOOKUP(tblAsignaciones[[#This Row],[tecnico]],tblTecnicos[nombre],tblTecnicos[area],"")</f>
        <v/>
      </c>
      <c r="E445" s="5">
        <f>_xlfn.XLOOKUP(tblAsignaciones[[#This Row],[tecnico]],tblTecnicos[nombre],tblTecnicos[especialidad],"")</f>
        <v/>
      </c>
      <c r="F445" s="5">
        <f>COUNTIFS(tblTecnicos[rotativo],"sí",tblTecnicos[especialidad],tblAsignaciones[[#This Row],[especialidad]],tblTecnicos[area],tblAsignaciones[[#This Row],[area]],tblTecnicos[activo],"sí")</f>
        <v/>
      </c>
      <c r="G4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4" t="n"/>
      <c r="J4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5">
        <f>_xlfn.XLOOKUP(tblAsignaciones[[#This Row],[tecnico]],tblTecnicos[nombre],tblTecnicos[supervisor],"")</f>
        <v/>
      </c>
      <c r="L445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5">
        <f>tblAsignaciones[[#This Row],[semana]]&amp;"|"&amp;tblAsignaciones[[#This Row],[dia]]&amp;"|"&amp;tblAsignaciones[[#This Row],[tecnico]]</f>
        <v/>
      </c>
      <c r="O445" s="5">
        <f>_xlfn.XLOOKUP(tblAsignaciones[[#This Row],[turno]],tblTurnos[turno],tblTurnos[hora_inicio],"")</f>
        <v/>
      </c>
      <c r="P445" s="5">
        <f>_xlfn.XLOOKUP(tblAsignaciones[[#This Row],[turno]],tblTurnos[turno],tblTurnos[hora_fin],"")</f>
        <v/>
      </c>
      <c r="Q445" s="5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5">
        <f>_xlfn.XLOOKUP(tblAsignaciones[[#This Row],[tecnico]],tblTecnicos[nombre],tblTecnicos[area],"")</f>
        <v/>
      </c>
      <c r="E446" s="5">
        <f>_xlfn.XLOOKUP(tblAsignaciones[[#This Row],[tecnico]],tblTecnicos[nombre],tblTecnicos[especialidad],"")</f>
        <v/>
      </c>
      <c r="F446" s="5">
        <f>COUNTIFS(tblTecnicos[rotativo],"sí",tblTecnicos[especialidad],tblAsignaciones[[#This Row],[especialidad]],tblTecnicos[area],tblAsignaciones[[#This Row],[area]],tblTecnicos[activo],"sí")</f>
        <v/>
      </c>
      <c r="G4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4" t="n"/>
      <c r="J4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5">
        <f>_xlfn.XLOOKUP(tblAsignaciones[[#This Row],[tecnico]],tblTecnicos[nombre],tblTecnicos[supervisor],"")</f>
        <v/>
      </c>
      <c r="L446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5">
        <f>tblAsignaciones[[#This Row],[semana]]&amp;"|"&amp;tblAsignaciones[[#This Row],[dia]]&amp;"|"&amp;tblAsignaciones[[#This Row],[tecnico]]</f>
        <v/>
      </c>
      <c r="O446" s="5">
        <f>_xlfn.XLOOKUP(tblAsignaciones[[#This Row],[turno]],tblTurnos[turno],tblTurnos[hora_inicio],"")</f>
        <v/>
      </c>
      <c r="P446" s="5">
        <f>_xlfn.XLOOKUP(tblAsignaciones[[#This Row],[turno]],tblTurnos[turno],tblTurnos[hora_fin],"")</f>
        <v/>
      </c>
      <c r="Q446" s="5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5">
        <f>_xlfn.XLOOKUP(tblAsignaciones[[#This Row],[tecnico]],tblTecnicos[nombre],tblTecnicos[area],"")</f>
        <v/>
      </c>
      <c r="E447" s="5">
        <f>_xlfn.XLOOKUP(tblAsignaciones[[#This Row],[tecnico]],tblTecnicos[nombre],tblTecnicos[especialidad],"")</f>
        <v/>
      </c>
      <c r="F447" s="5">
        <f>COUNTIFS(tblTecnicos[rotativo],"sí",tblTecnicos[especialidad],tblAsignaciones[[#This Row],[especialidad]],tblTecnicos[area],tblAsignaciones[[#This Row],[area]],tblTecnicos[activo],"sí")</f>
        <v/>
      </c>
      <c r="G4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4" t="n"/>
      <c r="J4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5">
        <f>_xlfn.XLOOKUP(tblAsignaciones[[#This Row],[tecnico]],tblTecnicos[nombre],tblTecnicos[supervisor],"")</f>
        <v/>
      </c>
      <c r="L447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5">
        <f>tblAsignaciones[[#This Row],[semana]]&amp;"|"&amp;tblAsignaciones[[#This Row],[dia]]&amp;"|"&amp;tblAsignaciones[[#This Row],[tecnico]]</f>
        <v/>
      </c>
      <c r="O447" s="5">
        <f>_xlfn.XLOOKUP(tblAsignaciones[[#This Row],[turno]],tblTurnos[turno],tblTurnos[hora_inicio],"")</f>
        <v/>
      </c>
      <c r="P447" s="5">
        <f>_xlfn.XLOOKUP(tblAsignaciones[[#This Row],[turno]],tblTurnos[turno],tblTurnos[hora_fin],"")</f>
        <v/>
      </c>
      <c r="Q447" s="5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5">
        <f>_xlfn.XLOOKUP(tblAsignaciones[[#This Row],[tecnico]],tblTecnicos[nombre],tblTecnicos[area],"")</f>
        <v/>
      </c>
      <c r="E448" s="5">
        <f>_xlfn.XLOOKUP(tblAsignaciones[[#This Row],[tecnico]],tblTecnicos[nombre],tblTecnicos[especialidad],"")</f>
        <v/>
      </c>
      <c r="F448" s="5">
        <f>COUNTIFS(tblTecnicos[rotativo],"sí",tblTecnicos[especialidad],tblAsignaciones[[#This Row],[especialidad]],tblTecnicos[area],tblAsignaciones[[#This Row],[area]],tblTecnicos[activo],"sí")</f>
        <v/>
      </c>
      <c r="G4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4" t="n"/>
      <c r="J4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5">
        <f>_xlfn.XLOOKUP(tblAsignaciones[[#This Row],[tecnico]],tblTecnicos[nombre],tblTecnicos[supervisor],"")</f>
        <v/>
      </c>
      <c r="L448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5">
        <f>tblAsignaciones[[#This Row],[semana]]&amp;"|"&amp;tblAsignaciones[[#This Row],[dia]]&amp;"|"&amp;tblAsignaciones[[#This Row],[tecnico]]</f>
        <v/>
      </c>
      <c r="O448" s="5">
        <f>_xlfn.XLOOKUP(tblAsignaciones[[#This Row],[turno]],tblTurnos[turno],tblTurnos[hora_inicio],"")</f>
        <v/>
      </c>
      <c r="P448" s="5">
        <f>_xlfn.XLOOKUP(tblAsignaciones[[#This Row],[turno]],tblTurnos[turno],tblTurnos[hora_fin],"")</f>
        <v/>
      </c>
      <c r="Q448" s="5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5">
        <f>_xlfn.XLOOKUP(tblAsignaciones[[#This Row],[tecnico]],tblTecnicos[nombre],tblTecnicos[area],"")</f>
        <v/>
      </c>
      <c r="E449" s="5">
        <f>_xlfn.XLOOKUP(tblAsignaciones[[#This Row],[tecnico]],tblTecnicos[nombre],tblTecnicos[especialidad],"")</f>
        <v/>
      </c>
      <c r="F449" s="5">
        <f>COUNTIFS(tblTecnicos[rotativo],"sí",tblTecnicos[especialidad],tblAsignaciones[[#This Row],[especialidad]],tblTecnicos[area],tblAsignaciones[[#This Row],[area]],tblTecnicos[activo],"sí")</f>
        <v/>
      </c>
      <c r="G4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4" t="n"/>
      <c r="J4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5">
        <f>_xlfn.XLOOKUP(tblAsignaciones[[#This Row],[tecnico]],tblTecnicos[nombre],tblTecnicos[supervisor],"")</f>
        <v/>
      </c>
      <c r="L449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5">
        <f>tblAsignaciones[[#This Row],[semana]]&amp;"|"&amp;tblAsignaciones[[#This Row],[dia]]&amp;"|"&amp;tblAsignaciones[[#This Row],[tecnico]]</f>
        <v/>
      </c>
      <c r="O449" s="5">
        <f>_xlfn.XLOOKUP(tblAsignaciones[[#This Row],[turno]],tblTurnos[turno],tblTurnos[hora_inicio],"")</f>
        <v/>
      </c>
      <c r="P449" s="5">
        <f>_xlfn.XLOOKUP(tblAsignaciones[[#This Row],[turno]],tblTurnos[turno],tblTurnos[hora_fin],"")</f>
        <v/>
      </c>
      <c r="Q449" s="5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5">
        <f>_xlfn.XLOOKUP(tblAsignaciones[[#This Row],[tecnico]],tblTecnicos[nombre],tblTecnicos[area],"")</f>
        <v/>
      </c>
      <c r="E450" s="5">
        <f>_xlfn.XLOOKUP(tblAsignaciones[[#This Row],[tecnico]],tblTecnicos[nombre],tblTecnicos[especialidad],"")</f>
        <v/>
      </c>
      <c r="F450" s="5">
        <f>COUNTIFS(tblTecnicos[rotativo],"sí",tblTecnicos[especialidad],tblAsignaciones[[#This Row],[especialidad]],tblTecnicos[area],tblAsignaciones[[#This Row],[area]],tblTecnicos[activo],"sí")</f>
        <v/>
      </c>
      <c r="G4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4" t="n"/>
      <c r="J4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5">
        <f>_xlfn.XLOOKUP(tblAsignaciones[[#This Row],[tecnico]],tblTecnicos[nombre],tblTecnicos[supervisor],"")</f>
        <v/>
      </c>
      <c r="L450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5">
        <f>tblAsignaciones[[#This Row],[semana]]&amp;"|"&amp;tblAsignaciones[[#This Row],[dia]]&amp;"|"&amp;tblAsignaciones[[#This Row],[tecnico]]</f>
        <v/>
      </c>
      <c r="O450" s="5">
        <f>_xlfn.XLOOKUP(tblAsignaciones[[#This Row],[turno]],tblTurnos[turno],tblTurnos[hora_inicio],"")</f>
        <v/>
      </c>
      <c r="P450" s="5">
        <f>_xlfn.XLOOKUP(tblAsignaciones[[#This Row],[turno]],tblTurnos[turno],tblTurnos[hora_fin],"")</f>
        <v/>
      </c>
      <c r="Q450" s="5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5">
        <f>_xlfn.XLOOKUP(tblAsignaciones[[#This Row],[tecnico]],tblTecnicos[nombre],tblTecnicos[area],"")</f>
        <v/>
      </c>
      <c r="E451" s="5">
        <f>_xlfn.XLOOKUP(tblAsignaciones[[#This Row],[tecnico]],tblTecnicos[nombre],tblTecnicos[especialidad],"")</f>
        <v/>
      </c>
      <c r="F451" s="5">
        <f>COUNTIFS(tblTecnicos[rotativo],"sí",tblTecnicos[especialidad],tblAsignaciones[[#This Row],[especialidad]],tblTecnicos[area],tblAsignaciones[[#This Row],[area]],tblTecnicos[activo],"sí")</f>
        <v/>
      </c>
      <c r="G4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4" t="n"/>
      <c r="J4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5">
        <f>_xlfn.XLOOKUP(tblAsignaciones[[#This Row],[tecnico]],tblTecnicos[nombre],tblTecnicos[supervisor],"")</f>
        <v/>
      </c>
      <c r="L451" s="2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5">
        <f>tblAsignaciones[[#This Row],[semana]]&amp;"|"&amp;tblAsignaciones[[#This Row],[dia]]&amp;"|"&amp;tblAsignaciones[[#This Row],[tecnico]]</f>
        <v/>
      </c>
      <c r="O451" s="5">
        <f>_xlfn.XLOOKUP(tblAsignaciones[[#This Row],[turno]],tblTurnos[turno],tblTurnos[hora_inicio],"")</f>
        <v/>
      </c>
      <c r="P451" s="5">
        <f>_xlfn.XLOOKUP(tblAsignaciones[[#This Row],[turno]],tblTurnos[turno],tblTurnos[hora_fin],"")</f>
        <v/>
      </c>
      <c r="Q451" s="5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15" t="inlineStr">
        <is>
          <t>id_operacion</t>
        </is>
      </c>
      <c r="B3" s="15" t="inlineStr">
        <is>
          <t>horas_ajustadas</t>
        </is>
      </c>
      <c r="C3" s="15" t="inlineStr">
        <is>
          <t>motivo</t>
        </is>
      </c>
      <c r="D3" s="15" t="inlineStr">
        <is>
          <t>fecha_ajuste</t>
        </is>
      </c>
      <c r="E3" s="15" t="inlineStr">
        <is>
          <t>descripcion</t>
        </is>
      </c>
      <c r="F3" s="15" t="inlineStr">
        <is>
          <t>estado_ajuste</t>
        </is>
      </c>
      <c r="G3" s="15" t="inlineStr">
        <is>
          <t>desviacion_h</t>
        </is>
      </c>
    </row>
    <row r="4">
      <c r="A4" s="4" t="inlineStr">
        <is>
          <t>OT-0000130010</t>
        </is>
      </c>
      <c r="B4" s="26" t="n">
        <v>12</v>
      </c>
      <c r="C4" s="4" t="inlineStr">
        <is>
          <t>Alcance real mayor al estándar del ERP</t>
        </is>
      </c>
      <c r="D4" s="27" t="n">
        <v>46230</v>
      </c>
      <c r="E4" s="5">
        <f>IF(tblAjustes[[#This Row],[id_operacion]]="","",_xlfn.XLOOKUP(tblAjustes[[#This Row],[id_operacion]],tblOrdenes[id_operacion],tblOrdenes[descripcion_operacion],"(no encontrada)"))</f>
        <v/>
      </c>
      <c r="F4" s="5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4" t="inlineStr">
        <is>
          <t>OT-0000590010</t>
        </is>
      </c>
      <c r="B5" s="26" t="n">
        <v>4</v>
      </c>
      <c r="C5" s="4" t="inlineStr">
        <is>
          <t>Alcance menor: tarea parcial</t>
        </is>
      </c>
      <c r="D5" s="27" t="n">
        <v>46230</v>
      </c>
      <c r="E5" s="5">
        <f>IF(tblAjustes[[#This Row],[id_operacion]]="","",_xlfn.XLOOKUP(tblAjustes[[#This Row],[id_operacion]],tblOrdenes[id_operacion],tblOrdenes[descripcion_operacion],"(no encontrada)"))</f>
        <v/>
      </c>
      <c r="F5" s="5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4" t="inlineStr">
        <is>
          <t>OT-0000130010</t>
        </is>
      </c>
      <c r="B6" s="26" t="n">
        <v>14</v>
      </c>
      <c r="C6" s="4" t="inlineStr">
        <is>
          <t>Duplicado (demo): se ignora, gana la primera fila</t>
        </is>
      </c>
      <c r="D6" s="27" t="n">
        <v>46230</v>
      </c>
      <c r="E6" s="5">
        <f>IF(tblAjustes[[#This Row],[id_operacion]]="","",_xlfn.XLOOKUP(tblAjustes[[#This Row],[id_operacion]],tblOrdenes[id_operacion],tblOrdenes[descripcion_operacion],"(no encontrada)"))</f>
        <v/>
      </c>
      <c r="F6" s="5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4" t="inlineStr">
        <is>
          <t>OT-0009990010</t>
        </is>
      </c>
      <c r="B7" s="26" t="n">
        <v>6</v>
      </c>
      <c r="C7" s="4" t="inlineStr">
        <is>
          <t>Huérfano (demo): la orden no existe en ORDENES</t>
        </is>
      </c>
      <c r="D7" s="27" t="n">
        <v>46230</v>
      </c>
      <c r="E7" s="5">
        <f>IF(tblAjustes[[#This Row],[id_operacion]]="","",_xlfn.XLOOKUP(tblAjustes[[#This Row],[id_operacion]],tblOrdenes[id_operacion],tblOrdenes[descripcion_operacion],"(no encontrada)"))</f>
        <v/>
      </c>
      <c r="F7" s="5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4" t="n"/>
      <c r="B8" s="26" t="n"/>
      <c r="C8" s="4" t="n"/>
      <c r="D8" s="27" t="n"/>
      <c r="E8" s="5">
        <f>IF(tblAjustes[[#This Row],[id_operacion]]="","",_xlfn.XLOOKUP(tblAjustes[[#This Row],[id_operacion]],tblOrdenes[id_operacion],tblOrdenes[descripcion_operacion],"(no encontrada)"))</f>
        <v/>
      </c>
      <c r="F8" s="5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4" t="n"/>
      <c r="B9" s="26" t="n"/>
      <c r="C9" s="4" t="n"/>
      <c r="D9" s="27" t="n"/>
      <c r="E9" s="5">
        <f>IF(tblAjustes[[#This Row],[id_operacion]]="","",_xlfn.XLOOKUP(tblAjustes[[#This Row],[id_operacion]],tblOrdenes[id_operacion],tblOrdenes[descripcion_operacion],"(no encontrada)"))</f>
        <v/>
      </c>
      <c r="F9" s="5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4" t="n"/>
      <c r="B10" s="26" t="n"/>
      <c r="C10" s="4" t="n"/>
      <c r="D10" s="27" t="n"/>
      <c r="E10" s="5">
        <f>IF(tblAjustes[[#This Row],[id_operacion]]="","",_xlfn.XLOOKUP(tblAjustes[[#This Row],[id_operacion]],tblOrdenes[id_operacion],tblOrdenes[descripcion_operacion],"(no encontrada)"))</f>
        <v/>
      </c>
      <c r="F10" s="5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4" t="n"/>
      <c r="B11" s="26" t="n"/>
      <c r="C11" s="4" t="n"/>
      <c r="D11" s="27" t="n"/>
      <c r="E11" s="5">
        <f>IF(tblAjustes[[#This Row],[id_operacion]]="","",_xlfn.XLOOKUP(tblAjustes[[#This Row],[id_operacion]],tblOrdenes[id_operacion],tblOrdenes[descripcion_operacion],"(no encontrada)"))</f>
        <v/>
      </c>
      <c r="F11" s="5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4" t="n"/>
      <c r="B12" s="26" t="n"/>
      <c r="C12" s="4" t="n"/>
      <c r="D12" s="27" t="n"/>
      <c r="E12" s="5">
        <f>IF(tblAjustes[[#This Row],[id_operacion]]="","",_xlfn.XLOOKUP(tblAjustes[[#This Row],[id_operacion]],tblOrdenes[id_operacion],tblOrdenes[descripcion_operacion],"(no encontrada)"))</f>
        <v/>
      </c>
      <c r="F12" s="5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4" t="n"/>
      <c r="B13" s="26" t="n"/>
      <c r="C13" s="4" t="n"/>
      <c r="D13" s="27" t="n"/>
      <c r="E13" s="5">
        <f>IF(tblAjustes[[#This Row],[id_operacion]]="","",_xlfn.XLOOKUP(tblAjustes[[#This Row],[id_operacion]],tblOrdenes[id_operacion],tblOrdenes[descripcion_operacion],"(no encontrada)"))</f>
        <v/>
      </c>
      <c r="F13" s="5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4" t="n"/>
      <c r="B14" s="26" t="n"/>
      <c r="C14" s="4" t="n"/>
      <c r="D14" s="27" t="n"/>
      <c r="E14" s="5">
        <f>IF(tblAjustes[[#This Row],[id_operacion]]="","",_xlfn.XLOOKUP(tblAjustes[[#This Row],[id_operacion]],tblOrdenes[id_operacion],tblOrdenes[descripcion_operacion],"(no encontrada)"))</f>
        <v/>
      </c>
      <c r="F14" s="5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4" t="n"/>
      <c r="B15" s="26" t="n"/>
      <c r="C15" s="4" t="n"/>
      <c r="D15" s="27" t="n"/>
      <c r="E15" s="5">
        <f>IF(tblAjustes[[#This Row],[id_operacion]]="","",_xlfn.XLOOKUP(tblAjustes[[#This Row],[id_operacion]],tblOrdenes[id_operacion],tblOrdenes[descripcion_operacion],"(no encontrada)"))</f>
        <v/>
      </c>
      <c r="F15" s="5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4" t="n"/>
      <c r="B16" s="26" t="n"/>
      <c r="C16" s="4" t="n"/>
      <c r="D16" s="27" t="n"/>
      <c r="E16" s="5">
        <f>IF(tblAjustes[[#This Row],[id_operacion]]="","",_xlfn.XLOOKUP(tblAjustes[[#This Row],[id_operacion]],tblOrdenes[id_operacion],tblOrdenes[descripcion_operacion],"(no encontrada)"))</f>
        <v/>
      </c>
      <c r="F16" s="5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4" t="n"/>
      <c r="B17" s="26" t="n"/>
      <c r="C17" s="4" t="n"/>
      <c r="D17" s="27" t="n"/>
      <c r="E17" s="5">
        <f>IF(tblAjustes[[#This Row],[id_operacion]]="","",_xlfn.XLOOKUP(tblAjustes[[#This Row],[id_operacion]],tblOrdenes[id_operacion],tblOrdenes[descripcion_operacion],"(no encontrada)"))</f>
        <v/>
      </c>
      <c r="F17" s="5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4" t="n"/>
      <c r="B18" s="26" t="n"/>
      <c r="C18" s="4" t="n"/>
      <c r="D18" s="27" t="n"/>
      <c r="E18" s="5">
        <f>IF(tblAjustes[[#This Row],[id_operacion]]="","",_xlfn.XLOOKUP(tblAjustes[[#This Row],[id_operacion]],tblOrdenes[id_operacion],tblOrdenes[descripcion_operacion],"(no encontrada)"))</f>
        <v/>
      </c>
      <c r="F18" s="5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4" t="n"/>
      <c r="B19" s="26" t="n"/>
      <c r="C19" s="4" t="n"/>
      <c r="D19" s="27" t="n"/>
      <c r="E19" s="5">
        <f>IF(tblAjustes[[#This Row],[id_operacion]]="","",_xlfn.XLOOKUP(tblAjustes[[#This Row],[id_operacion]],tblOrdenes[id_operacion],tblOrdenes[descripcion_operacion],"(no encontrada)"))</f>
        <v/>
      </c>
      <c r="F19" s="5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4" t="n"/>
      <c r="B20" s="26" t="n"/>
      <c r="C20" s="4" t="n"/>
      <c r="D20" s="27" t="n"/>
      <c r="E20" s="5">
        <f>IF(tblAjustes[[#This Row],[id_operacion]]="","",_xlfn.XLOOKUP(tblAjustes[[#This Row],[id_operacion]],tblOrdenes[id_operacion],tblOrdenes[descripcion_operacion],"(no encontrada)"))</f>
        <v/>
      </c>
      <c r="F20" s="5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4" t="n"/>
      <c r="B21" s="26" t="n"/>
      <c r="C21" s="4" t="n"/>
      <c r="D21" s="27" t="n"/>
      <c r="E21" s="5">
        <f>IF(tblAjustes[[#This Row],[id_operacion]]="","",_xlfn.XLOOKUP(tblAjustes[[#This Row],[id_operacion]],tblOrdenes[id_operacion],tblOrdenes[descripcion_operacion],"(no encontrada)"))</f>
        <v/>
      </c>
      <c r="F21" s="5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4" t="n"/>
      <c r="B22" s="26" t="n"/>
      <c r="C22" s="4" t="n"/>
      <c r="D22" s="27" t="n"/>
      <c r="E22" s="5">
        <f>IF(tblAjustes[[#This Row],[id_operacion]]="","",_xlfn.XLOOKUP(tblAjustes[[#This Row],[id_operacion]],tblOrdenes[id_operacion],tblOrdenes[descripcion_operacion],"(no encontrada)"))</f>
        <v/>
      </c>
      <c r="F22" s="5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4" t="n"/>
      <c r="B23" s="26" t="n"/>
      <c r="C23" s="4" t="n"/>
      <c r="D23" s="27" t="n"/>
      <c r="E23" s="5">
        <f>IF(tblAjustes[[#This Row],[id_operacion]]="","",_xlfn.XLOOKUP(tblAjustes[[#This Row],[id_operacion]],tblOrdenes[id_operacion],tblOrdenes[descripcion_operacion],"(no encontrada)"))</f>
        <v/>
      </c>
      <c r="F23" s="5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4" t="n"/>
      <c r="B24" s="26" t="n"/>
      <c r="C24" s="4" t="n"/>
      <c r="D24" s="27" t="n"/>
      <c r="E24" s="5">
        <f>IF(tblAjustes[[#This Row],[id_operacion]]="","",_xlfn.XLOOKUP(tblAjustes[[#This Row],[id_operacion]],tblOrdenes[id_operacion],tblOrdenes[descripcion_operacion],"(no encontrada)"))</f>
        <v/>
      </c>
      <c r="F24" s="5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4" t="n"/>
      <c r="B25" s="26" t="n"/>
      <c r="C25" s="4" t="n"/>
      <c r="D25" s="27" t="n"/>
      <c r="E25" s="5">
        <f>IF(tblAjustes[[#This Row],[id_operacion]]="","",_xlfn.XLOOKUP(tblAjustes[[#This Row],[id_operacion]],tblOrdenes[id_operacion],tblOrdenes[descripcion_operacion],"(no encontrada)"))</f>
        <v/>
      </c>
      <c r="F25" s="5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4" t="n"/>
      <c r="B26" s="26" t="n"/>
      <c r="C26" s="4" t="n"/>
      <c r="D26" s="27" t="n"/>
      <c r="E26" s="5">
        <f>IF(tblAjustes[[#This Row],[id_operacion]]="","",_xlfn.XLOOKUP(tblAjustes[[#This Row],[id_operacion]],tblOrdenes[id_operacion],tblOrdenes[descripcion_operacion],"(no encontrada)"))</f>
        <v/>
      </c>
      <c r="F26" s="5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4" t="n"/>
      <c r="B27" s="26" t="n"/>
      <c r="C27" s="4" t="n"/>
      <c r="D27" s="27" t="n"/>
      <c r="E27" s="5">
        <f>IF(tblAjustes[[#This Row],[id_operacion]]="","",_xlfn.XLOOKUP(tblAjustes[[#This Row],[id_operacion]],tblOrdenes[id_operacion],tblOrdenes[descripcion_operacion],"(no encontrada)"))</f>
        <v/>
      </c>
      <c r="F27" s="5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4" t="n"/>
      <c r="B28" s="26" t="n"/>
      <c r="C28" s="4" t="n"/>
      <c r="D28" s="27" t="n"/>
      <c r="E28" s="5">
        <f>IF(tblAjustes[[#This Row],[id_operacion]]="","",_xlfn.XLOOKUP(tblAjustes[[#This Row],[id_operacion]],tblOrdenes[id_operacion],tblOrdenes[descripcion_operacion],"(no encontrada)"))</f>
        <v/>
      </c>
      <c r="F28" s="5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4" t="n"/>
      <c r="B29" s="26" t="n"/>
      <c r="C29" s="4" t="n"/>
      <c r="D29" s="27" t="n"/>
      <c r="E29" s="5">
        <f>IF(tblAjustes[[#This Row],[id_operacion]]="","",_xlfn.XLOOKUP(tblAjustes[[#This Row],[id_operacion]],tblOrdenes[id_operacion],tblOrdenes[descripcion_operacion],"(no encontrada)"))</f>
        <v/>
      </c>
      <c r="F29" s="5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4" t="n"/>
      <c r="B30" s="26" t="n"/>
      <c r="C30" s="4" t="n"/>
      <c r="D30" s="27" t="n"/>
      <c r="E30" s="5">
        <f>IF(tblAjustes[[#This Row],[id_operacion]]="","",_xlfn.XLOOKUP(tblAjustes[[#This Row],[id_operacion]],tblOrdenes[id_operacion],tblOrdenes[descripcion_operacion],"(no encontrada)"))</f>
        <v/>
      </c>
      <c r="F30" s="5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4" t="n"/>
      <c r="B31" s="26" t="n"/>
      <c r="C31" s="4" t="n"/>
      <c r="D31" s="27" t="n"/>
      <c r="E31" s="5">
        <f>IF(tblAjustes[[#This Row],[id_operacion]]="","",_xlfn.XLOOKUP(tblAjustes[[#This Row],[id_operacion]],tblOrdenes[id_operacion],tblOrdenes[descripcion_operacion],"(no encontrada)"))</f>
        <v/>
      </c>
      <c r="F31" s="5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4" t="n"/>
      <c r="B32" s="26" t="n"/>
      <c r="C32" s="4" t="n"/>
      <c r="D32" s="27" t="n"/>
      <c r="E32" s="5">
        <f>IF(tblAjustes[[#This Row],[id_operacion]]="","",_xlfn.XLOOKUP(tblAjustes[[#This Row],[id_operacion]],tblOrdenes[id_operacion],tblOrdenes[descripcion_operacion],"(no encontrada)"))</f>
        <v/>
      </c>
      <c r="F32" s="5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4" t="n"/>
      <c r="B33" s="26" t="n"/>
      <c r="C33" s="4" t="n"/>
      <c r="D33" s="27" t="n"/>
      <c r="E33" s="5">
        <f>IF(tblAjustes[[#This Row],[id_operacion]]="","",_xlfn.XLOOKUP(tblAjustes[[#This Row],[id_operacion]],tblOrdenes[id_operacion],tblOrdenes[descripcion_operacion],"(no encontrada)"))</f>
        <v/>
      </c>
      <c r="F33" s="5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4" t="n"/>
      <c r="B34" s="26" t="n"/>
      <c r="C34" s="4" t="n"/>
      <c r="D34" s="27" t="n"/>
      <c r="E34" s="5">
        <f>IF(tblAjustes[[#This Row],[id_operacion]]="","",_xlfn.XLOOKUP(tblAjustes[[#This Row],[id_operacion]],tblOrdenes[id_operacion],tblOrdenes[descripcion_operacion],"(no encontrada)"))</f>
        <v/>
      </c>
      <c r="F34" s="5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4" t="n"/>
      <c r="B35" s="26" t="n"/>
      <c r="C35" s="4" t="n"/>
      <c r="D35" s="27" t="n"/>
      <c r="E35" s="5">
        <f>IF(tblAjustes[[#This Row],[id_operacion]]="","",_xlfn.XLOOKUP(tblAjustes[[#This Row],[id_operacion]],tblOrdenes[id_operacion],tblOrdenes[descripcion_operacion],"(no encontrada)"))</f>
        <v/>
      </c>
      <c r="F35" s="5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4" t="n"/>
      <c r="B36" s="26" t="n"/>
      <c r="C36" s="4" t="n"/>
      <c r="D36" s="27" t="n"/>
      <c r="E36" s="5">
        <f>IF(tblAjustes[[#This Row],[id_operacion]]="","",_xlfn.XLOOKUP(tblAjustes[[#This Row],[id_operacion]],tblOrdenes[id_operacion],tblOrdenes[descripcion_operacion],"(no encontrada)"))</f>
        <v/>
      </c>
      <c r="F36" s="5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4" t="n"/>
      <c r="B37" s="26" t="n"/>
      <c r="C37" s="4" t="n"/>
      <c r="D37" s="27" t="n"/>
      <c r="E37" s="5">
        <f>IF(tblAjustes[[#This Row],[id_operacion]]="","",_xlfn.XLOOKUP(tblAjustes[[#This Row],[id_operacion]],tblOrdenes[id_operacion],tblOrdenes[descripcion_operacion],"(no encontrada)"))</f>
        <v/>
      </c>
      <c r="F37" s="5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4" t="n"/>
      <c r="B38" s="26" t="n"/>
      <c r="C38" s="4" t="n"/>
      <c r="D38" s="27" t="n"/>
      <c r="E38" s="5">
        <f>IF(tblAjustes[[#This Row],[id_operacion]]="","",_xlfn.XLOOKUP(tblAjustes[[#This Row],[id_operacion]],tblOrdenes[id_operacion],tblOrdenes[descripcion_operacion],"(no encontrada)"))</f>
        <v/>
      </c>
      <c r="F38" s="5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4" t="n"/>
      <c r="B39" s="26" t="n"/>
      <c r="C39" s="4" t="n"/>
      <c r="D39" s="27" t="n"/>
      <c r="E39" s="5">
        <f>IF(tblAjustes[[#This Row],[id_operacion]]="","",_xlfn.XLOOKUP(tblAjustes[[#This Row],[id_operacion]],tblOrdenes[id_operacion],tblOrdenes[descripcion_operacion],"(no encontrada)"))</f>
        <v/>
      </c>
      <c r="F39" s="5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4" t="n"/>
      <c r="B40" s="26" t="n"/>
      <c r="C40" s="4" t="n"/>
      <c r="D40" s="27" t="n"/>
      <c r="E40" s="5">
        <f>IF(tblAjustes[[#This Row],[id_operacion]]="","",_xlfn.XLOOKUP(tblAjustes[[#This Row],[id_operacion]],tblOrdenes[id_operacion],tblOrdenes[descripcion_operacion],"(no encontrada)"))</f>
        <v/>
      </c>
      <c r="F40" s="5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4" t="n"/>
      <c r="B41" s="26" t="n"/>
      <c r="C41" s="4" t="n"/>
      <c r="D41" s="27" t="n"/>
      <c r="E41" s="5">
        <f>IF(tblAjustes[[#This Row],[id_operacion]]="","",_xlfn.XLOOKUP(tblAjustes[[#This Row],[id_operacion]],tblOrdenes[id_operacion],tblOrdenes[descripcion_operacion],"(no encontrada)"))</f>
        <v/>
      </c>
      <c r="F41" s="5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4" t="n"/>
      <c r="B42" s="26" t="n"/>
      <c r="C42" s="4" t="n"/>
      <c r="D42" s="27" t="n"/>
      <c r="E42" s="5">
        <f>IF(tblAjustes[[#This Row],[id_operacion]]="","",_xlfn.XLOOKUP(tblAjustes[[#This Row],[id_operacion]],tblOrdenes[id_operacion],tblOrdenes[descripcion_operacion],"(no encontrada)"))</f>
        <v/>
      </c>
      <c r="F42" s="5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4" t="n"/>
      <c r="B43" s="26" t="n"/>
      <c r="C43" s="4" t="n"/>
      <c r="D43" s="27" t="n"/>
      <c r="E43" s="5">
        <f>IF(tblAjustes[[#This Row],[id_operacion]]="","",_xlfn.XLOOKUP(tblAjustes[[#This Row],[id_operacion]],tblOrdenes[id_operacion],tblOrdenes[descripcion_operacion],"(no encontrada)"))</f>
        <v/>
      </c>
      <c r="F43" s="5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4" t="n"/>
      <c r="B44" s="26" t="n"/>
      <c r="C44" s="4" t="n"/>
      <c r="D44" s="27" t="n"/>
      <c r="E44" s="5">
        <f>IF(tblAjustes[[#This Row],[id_operacion]]="","",_xlfn.XLOOKUP(tblAjustes[[#This Row],[id_operacion]],tblOrdenes[id_operacion],tblOrdenes[descripcion_operacion],"(no encontrada)"))</f>
        <v/>
      </c>
      <c r="F44" s="5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4" t="n"/>
      <c r="B45" s="26" t="n"/>
      <c r="C45" s="4" t="n"/>
      <c r="D45" s="27" t="n"/>
      <c r="E45" s="5">
        <f>IF(tblAjustes[[#This Row],[id_operacion]]="","",_xlfn.XLOOKUP(tblAjustes[[#This Row],[id_operacion]],tblOrdenes[id_operacion],tblOrdenes[descripcion_operacion],"(no encontrada)"))</f>
        <v/>
      </c>
      <c r="F45" s="5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4" t="n"/>
      <c r="B46" s="26" t="n"/>
      <c r="C46" s="4" t="n"/>
      <c r="D46" s="27" t="n"/>
      <c r="E46" s="5">
        <f>IF(tblAjustes[[#This Row],[id_operacion]]="","",_xlfn.XLOOKUP(tblAjustes[[#This Row],[id_operacion]],tblOrdenes[id_operacion],tblOrdenes[descripcion_operacion],"(no encontrada)"))</f>
        <v/>
      </c>
      <c r="F46" s="5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4" t="n"/>
      <c r="B47" s="26" t="n"/>
      <c r="C47" s="4" t="n"/>
      <c r="D47" s="27" t="n"/>
      <c r="E47" s="5">
        <f>IF(tblAjustes[[#This Row],[id_operacion]]="","",_xlfn.XLOOKUP(tblAjustes[[#This Row],[id_operacion]],tblOrdenes[id_operacion],tblOrdenes[descripcion_operacion],"(no encontrada)"))</f>
        <v/>
      </c>
      <c r="F47" s="5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4" t="n"/>
      <c r="B48" s="26" t="n"/>
      <c r="C48" s="4" t="n"/>
      <c r="D48" s="27" t="n"/>
      <c r="E48" s="5">
        <f>IF(tblAjustes[[#This Row],[id_operacion]]="","",_xlfn.XLOOKUP(tblAjustes[[#This Row],[id_operacion]],tblOrdenes[id_operacion],tblOrdenes[descripcion_operacion],"(no encontrada)"))</f>
        <v/>
      </c>
      <c r="F48" s="5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4" t="n"/>
      <c r="B49" s="26" t="n"/>
      <c r="C49" s="4" t="n"/>
      <c r="D49" s="27" t="n"/>
      <c r="E49" s="5">
        <f>IF(tblAjustes[[#This Row],[id_operacion]]="","",_xlfn.XLOOKUP(tblAjustes[[#This Row],[id_operacion]],tblOrdenes[id_operacion],tblOrdenes[descripcion_operacion],"(no encontrada)"))</f>
        <v/>
      </c>
      <c r="F49" s="5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4" t="n"/>
      <c r="B50" s="26" t="n"/>
      <c r="C50" s="4" t="n"/>
      <c r="D50" s="27" t="n"/>
      <c r="E50" s="5">
        <f>IF(tblAjustes[[#This Row],[id_operacion]]="","",_xlfn.XLOOKUP(tblAjustes[[#This Row],[id_operacion]],tblOrdenes[id_operacion],tblOrdenes[descripcion_operacion],"(no encontrada)"))</f>
        <v/>
      </c>
      <c r="F50" s="5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4" t="n"/>
      <c r="B51" s="26" t="n"/>
      <c r="C51" s="4" t="n"/>
      <c r="D51" s="27" t="n"/>
      <c r="E51" s="5">
        <f>IF(tblAjustes[[#This Row],[id_operacion]]="","",_xlfn.XLOOKUP(tblAjustes[[#This Row],[id_operacion]],tblOrdenes[id_operacion],tblOrdenes[descripcion_operacion],"(no encontrada)"))</f>
        <v/>
      </c>
      <c r="F51" s="5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4" t="n"/>
      <c r="B52" s="26" t="n"/>
      <c r="C52" s="4" t="n"/>
      <c r="D52" s="27" t="n"/>
      <c r="E52" s="5">
        <f>IF(tblAjustes[[#This Row],[id_operacion]]="","",_xlfn.XLOOKUP(tblAjustes[[#This Row],[id_operacion]],tblOrdenes[id_operacion],tblOrdenes[descripcion_operacion],"(no encontrada)"))</f>
        <v/>
      </c>
      <c r="F52" s="5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4" t="n"/>
      <c r="B53" s="26" t="n"/>
      <c r="C53" s="4" t="n"/>
      <c r="D53" s="27" t="n"/>
      <c r="E53" s="5">
        <f>IF(tblAjustes[[#This Row],[id_operacion]]="","",_xlfn.XLOOKUP(tblAjustes[[#This Row],[id_operacion]],tblOrdenes[id_operacion],tblOrdenes[descripcion_operacion],"(no encontrada)"))</f>
        <v/>
      </c>
      <c r="F53" s="5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4" t="n"/>
      <c r="B54" s="26" t="n"/>
      <c r="C54" s="4" t="n"/>
      <c r="D54" s="27" t="n"/>
      <c r="E54" s="5">
        <f>IF(tblAjustes[[#This Row],[id_operacion]]="","",_xlfn.XLOOKUP(tblAjustes[[#This Row],[id_operacion]],tblOrdenes[id_operacion],tblOrdenes[descripcion_operacion],"(no encontrada)"))</f>
        <v/>
      </c>
      <c r="F54" s="5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4" t="n"/>
      <c r="B55" s="26" t="n"/>
      <c r="C55" s="4" t="n"/>
      <c r="D55" s="27" t="n"/>
      <c r="E55" s="5">
        <f>IF(tblAjustes[[#This Row],[id_operacion]]="","",_xlfn.XLOOKUP(tblAjustes[[#This Row],[id_operacion]],tblOrdenes[id_operacion],tblOrdenes[descripcion_operacion],"(no encontrada)"))</f>
        <v/>
      </c>
      <c r="F55" s="5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4" t="n"/>
      <c r="B56" s="26" t="n"/>
      <c r="C56" s="4" t="n"/>
      <c r="D56" s="27" t="n"/>
      <c r="E56" s="5">
        <f>IF(tblAjustes[[#This Row],[id_operacion]]="","",_xlfn.XLOOKUP(tblAjustes[[#This Row],[id_operacion]],tblOrdenes[id_operacion],tblOrdenes[descripcion_operacion],"(no encontrada)"))</f>
        <v/>
      </c>
      <c r="F56" s="5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4" t="n"/>
      <c r="B57" s="26" t="n"/>
      <c r="C57" s="4" t="n"/>
      <c r="D57" s="27" t="n"/>
      <c r="E57" s="5">
        <f>IF(tblAjustes[[#This Row],[id_operacion]]="","",_xlfn.XLOOKUP(tblAjustes[[#This Row],[id_operacion]],tblOrdenes[id_operacion],tblOrdenes[descripcion_operacion],"(no encontrada)"))</f>
        <v/>
      </c>
      <c r="F57" s="5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4" t="n"/>
      <c r="B58" s="26" t="n"/>
      <c r="C58" s="4" t="n"/>
      <c r="D58" s="27" t="n"/>
      <c r="E58" s="5">
        <f>IF(tblAjustes[[#This Row],[id_operacion]]="","",_xlfn.XLOOKUP(tblAjustes[[#This Row],[id_operacion]],tblOrdenes[id_operacion],tblOrdenes[descripcion_operacion],"(no encontrada)"))</f>
        <v/>
      </c>
      <c r="F58" s="5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4" t="n"/>
      <c r="B59" s="26" t="n"/>
      <c r="C59" s="4" t="n"/>
      <c r="D59" s="27" t="n"/>
      <c r="E59" s="5">
        <f>IF(tblAjustes[[#This Row],[id_operacion]]="","",_xlfn.XLOOKUP(tblAjustes[[#This Row],[id_operacion]],tblOrdenes[id_operacion],tblOrdenes[descripcion_operacion],"(no encontrada)"))</f>
        <v/>
      </c>
      <c r="F59" s="5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4" t="n"/>
      <c r="B60" s="26" t="n"/>
      <c r="C60" s="4" t="n"/>
      <c r="D60" s="27" t="n"/>
      <c r="E60" s="5">
        <f>IF(tblAjustes[[#This Row],[id_operacion]]="","",_xlfn.XLOOKUP(tblAjustes[[#This Row],[id_operacion]],tblOrdenes[id_operacion],tblOrdenes[descripcion_operacion],"(no encontrada)"))</f>
        <v/>
      </c>
      <c r="F60" s="5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4" t="n"/>
      <c r="B61" s="26" t="n"/>
      <c r="C61" s="4" t="n"/>
      <c r="D61" s="27" t="n"/>
      <c r="E61" s="5">
        <f>IF(tblAjustes[[#This Row],[id_operacion]]="","",_xlfn.XLOOKUP(tblAjustes[[#This Row],[id_operacion]],tblOrdenes[id_operacion],tblOrdenes[descripcion_operacion],"(no encontrada)"))</f>
        <v/>
      </c>
      <c r="F61" s="5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4" t="n"/>
      <c r="B62" s="26" t="n"/>
      <c r="C62" s="4" t="n"/>
      <c r="D62" s="27" t="n"/>
      <c r="E62" s="5">
        <f>IF(tblAjustes[[#This Row],[id_operacion]]="","",_xlfn.XLOOKUP(tblAjustes[[#This Row],[id_operacion]],tblOrdenes[id_operacion],tblOrdenes[descripcion_operacion],"(no encontrada)"))</f>
        <v/>
      </c>
      <c r="F62" s="5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4" t="n"/>
      <c r="B63" s="26" t="n"/>
      <c r="C63" s="4" t="n"/>
      <c r="D63" s="27" t="n"/>
      <c r="E63" s="5">
        <f>IF(tblAjustes[[#This Row],[id_operacion]]="","",_xlfn.XLOOKUP(tblAjustes[[#This Row],[id_operacion]],tblOrdenes[id_operacion],tblOrdenes[descripcion_operacion],"(no encontrada)"))</f>
        <v/>
      </c>
      <c r="F63" s="5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4" t="n"/>
      <c r="B64" s="26" t="n"/>
      <c r="C64" s="4" t="n"/>
      <c r="D64" s="27" t="n"/>
      <c r="E64" s="5">
        <f>IF(tblAjustes[[#This Row],[id_operacion]]="","",_xlfn.XLOOKUP(tblAjustes[[#This Row],[id_operacion]],tblOrdenes[id_operacion],tblOrdenes[descripcion_operacion],"(no encontrada)"))</f>
        <v/>
      </c>
      <c r="F64" s="5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4" t="n"/>
      <c r="B65" s="26" t="n"/>
      <c r="C65" s="4" t="n"/>
      <c r="D65" s="27" t="n"/>
      <c r="E65" s="5">
        <f>IF(tblAjustes[[#This Row],[id_operacion]]="","",_xlfn.XLOOKUP(tblAjustes[[#This Row],[id_operacion]],tblOrdenes[id_operacion],tblOrdenes[descripcion_operacion],"(no encontrada)"))</f>
        <v/>
      </c>
      <c r="F65" s="5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4" t="n"/>
      <c r="B66" s="26" t="n"/>
      <c r="C66" s="4" t="n"/>
      <c r="D66" s="27" t="n"/>
      <c r="E66" s="5">
        <f>IF(tblAjustes[[#This Row],[id_operacion]]="","",_xlfn.XLOOKUP(tblAjustes[[#This Row],[id_operacion]],tblOrdenes[id_operacion],tblOrdenes[descripcion_operacion],"(no encontrada)"))</f>
        <v/>
      </c>
      <c r="F66" s="5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4" t="n"/>
      <c r="B67" s="26" t="n"/>
      <c r="C67" s="4" t="n"/>
      <c r="D67" s="27" t="n"/>
      <c r="E67" s="5">
        <f>IF(tblAjustes[[#This Row],[id_operacion]]="","",_xlfn.XLOOKUP(tblAjustes[[#This Row],[id_operacion]],tblOrdenes[id_operacion],tblOrdenes[descripcion_operacion],"(no encontrada)"))</f>
        <v/>
      </c>
      <c r="F67" s="5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4" t="n"/>
      <c r="B68" s="26" t="n"/>
      <c r="C68" s="4" t="n"/>
      <c r="D68" s="27" t="n"/>
      <c r="E68" s="5">
        <f>IF(tblAjustes[[#This Row],[id_operacion]]="","",_xlfn.XLOOKUP(tblAjustes[[#This Row],[id_operacion]],tblOrdenes[id_operacion],tblOrdenes[descripcion_operacion],"(no encontrada)"))</f>
        <v/>
      </c>
      <c r="F68" s="5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4" t="n"/>
      <c r="B69" s="26" t="n"/>
      <c r="C69" s="4" t="n"/>
      <c r="D69" s="27" t="n"/>
      <c r="E69" s="5">
        <f>IF(tblAjustes[[#This Row],[id_operacion]]="","",_xlfn.XLOOKUP(tblAjustes[[#This Row],[id_operacion]],tblOrdenes[id_operacion],tblOrdenes[descripcion_operacion],"(no encontrada)"))</f>
        <v/>
      </c>
      <c r="F69" s="5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4" t="n"/>
      <c r="B70" s="26" t="n"/>
      <c r="C70" s="4" t="n"/>
      <c r="D70" s="27" t="n"/>
      <c r="E70" s="5">
        <f>IF(tblAjustes[[#This Row],[id_operacion]]="","",_xlfn.XLOOKUP(tblAjustes[[#This Row],[id_operacion]],tblOrdenes[id_operacion],tblOrdenes[descripcion_operacion],"(no encontrada)"))</f>
        <v/>
      </c>
      <c r="F70" s="5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4" t="n"/>
      <c r="B71" s="26" t="n"/>
      <c r="C71" s="4" t="n"/>
      <c r="D71" s="27" t="n"/>
      <c r="E71" s="5">
        <f>IF(tblAjustes[[#This Row],[id_operacion]]="","",_xlfn.XLOOKUP(tblAjustes[[#This Row],[id_operacion]],tblOrdenes[id_operacion],tblOrdenes[descripcion_operacion],"(no encontrada)"))</f>
        <v/>
      </c>
      <c r="F71" s="5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4" t="n"/>
      <c r="B72" s="26" t="n"/>
      <c r="C72" s="4" t="n"/>
      <c r="D72" s="27" t="n"/>
      <c r="E72" s="5">
        <f>IF(tblAjustes[[#This Row],[id_operacion]]="","",_xlfn.XLOOKUP(tblAjustes[[#This Row],[id_operacion]],tblOrdenes[id_operacion],tblOrdenes[descripcion_operacion],"(no encontrada)"))</f>
        <v/>
      </c>
      <c r="F72" s="5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4" t="n"/>
      <c r="B73" s="26" t="n"/>
      <c r="C73" s="4" t="n"/>
      <c r="D73" s="27" t="n"/>
      <c r="E73" s="5">
        <f>IF(tblAjustes[[#This Row],[id_operacion]]="","",_xlfn.XLOOKUP(tblAjustes[[#This Row],[id_operacion]],tblOrdenes[id_operacion],tblOrdenes[descripcion_operacion],"(no encontrada)"))</f>
        <v/>
      </c>
      <c r="F73" s="5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4" t="n"/>
      <c r="B74" s="26" t="n"/>
      <c r="C74" s="4" t="n"/>
      <c r="D74" s="27" t="n"/>
      <c r="E74" s="5">
        <f>IF(tblAjustes[[#This Row],[id_operacion]]="","",_xlfn.XLOOKUP(tblAjustes[[#This Row],[id_operacion]],tblOrdenes[id_operacion],tblOrdenes[descripcion_operacion],"(no encontrada)"))</f>
        <v/>
      </c>
      <c r="F74" s="5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4" t="n"/>
      <c r="B75" s="26" t="n"/>
      <c r="C75" s="4" t="n"/>
      <c r="D75" s="27" t="n"/>
      <c r="E75" s="5">
        <f>IF(tblAjustes[[#This Row],[id_operacion]]="","",_xlfn.XLOOKUP(tblAjustes[[#This Row],[id_operacion]],tblOrdenes[id_operacion],tblOrdenes[descripcion_operacion],"(no encontrada)"))</f>
        <v/>
      </c>
      <c r="F75" s="5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4" t="n"/>
      <c r="B76" s="26" t="n"/>
      <c r="C76" s="4" t="n"/>
      <c r="D76" s="27" t="n"/>
      <c r="E76" s="5">
        <f>IF(tblAjustes[[#This Row],[id_operacion]]="","",_xlfn.XLOOKUP(tblAjustes[[#This Row],[id_operacion]],tblOrdenes[id_operacion],tblOrdenes[descripcion_operacion],"(no encontrada)"))</f>
        <v/>
      </c>
      <c r="F76" s="5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4" t="n"/>
      <c r="B77" s="26" t="n"/>
      <c r="C77" s="4" t="n"/>
      <c r="D77" s="27" t="n"/>
      <c r="E77" s="5">
        <f>IF(tblAjustes[[#This Row],[id_operacion]]="","",_xlfn.XLOOKUP(tblAjustes[[#This Row],[id_operacion]],tblOrdenes[id_operacion],tblOrdenes[descripcion_operacion],"(no encontrada)"))</f>
        <v/>
      </c>
      <c r="F77" s="5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4" t="n"/>
      <c r="B78" s="26" t="n"/>
      <c r="C78" s="4" t="n"/>
      <c r="D78" s="27" t="n"/>
      <c r="E78" s="5">
        <f>IF(tblAjustes[[#This Row],[id_operacion]]="","",_xlfn.XLOOKUP(tblAjustes[[#This Row],[id_operacion]],tblOrdenes[id_operacion],tblOrdenes[descripcion_operacion],"(no encontrada)"))</f>
        <v/>
      </c>
      <c r="F78" s="5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4" t="n"/>
      <c r="B79" s="26" t="n"/>
      <c r="C79" s="4" t="n"/>
      <c r="D79" s="27" t="n"/>
      <c r="E79" s="5">
        <f>IF(tblAjustes[[#This Row],[id_operacion]]="","",_xlfn.XLOOKUP(tblAjustes[[#This Row],[id_operacion]],tblOrdenes[id_operacion],tblOrdenes[descripcion_operacion],"(no encontrada)"))</f>
        <v/>
      </c>
      <c r="F79" s="5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4" t="n"/>
      <c r="B80" s="26" t="n"/>
      <c r="C80" s="4" t="n"/>
      <c r="D80" s="27" t="n"/>
      <c r="E80" s="5">
        <f>IF(tblAjustes[[#This Row],[id_operacion]]="","",_xlfn.XLOOKUP(tblAjustes[[#This Row],[id_operacion]],tblOrdenes[id_operacion],tblOrdenes[descripcion_operacion],"(no encontrada)"))</f>
        <v/>
      </c>
      <c r="F80" s="5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4" t="n"/>
      <c r="B81" s="26" t="n"/>
      <c r="C81" s="4" t="n"/>
      <c r="D81" s="27" t="n"/>
      <c r="E81" s="5">
        <f>IF(tblAjustes[[#This Row],[id_operacion]]="","",_xlfn.XLOOKUP(tblAjustes[[#This Row],[id_operacion]],tblOrdenes[id_operacion],tblOrdenes[descripcion_operacion],"(no encontrada)"))</f>
        <v/>
      </c>
      <c r="F81" s="5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4" t="n"/>
      <c r="B82" s="26" t="n"/>
      <c r="C82" s="4" t="n"/>
      <c r="D82" s="27" t="n"/>
      <c r="E82" s="5">
        <f>IF(tblAjustes[[#This Row],[id_operacion]]="","",_xlfn.XLOOKUP(tblAjustes[[#This Row],[id_operacion]],tblOrdenes[id_operacion],tblOrdenes[descripcion_operacion],"(no encontrada)"))</f>
        <v/>
      </c>
      <c r="F82" s="5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4" t="n"/>
      <c r="B83" s="26" t="n"/>
      <c r="C83" s="4" t="n"/>
      <c r="D83" s="27" t="n"/>
      <c r="E83" s="5">
        <f>IF(tblAjustes[[#This Row],[id_operacion]]="","",_xlfn.XLOOKUP(tblAjustes[[#This Row],[id_operacion]],tblOrdenes[id_operacion],tblOrdenes[descripcion_operacion],"(no encontrada)"))</f>
        <v/>
      </c>
      <c r="F83" s="5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4" t="n"/>
      <c r="B84" s="26" t="n"/>
      <c r="C84" s="4" t="n"/>
      <c r="D84" s="27" t="n"/>
      <c r="E84" s="5">
        <f>IF(tblAjustes[[#This Row],[id_operacion]]="","",_xlfn.XLOOKUP(tblAjustes[[#This Row],[id_operacion]],tblOrdenes[id_operacion],tblOrdenes[descripcion_operacion],"(no encontrada)"))</f>
        <v/>
      </c>
      <c r="F84" s="5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4" t="n"/>
      <c r="B85" s="26" t="n"/>
      <c r="C85" s="4" t="n"/>
      <c r="D85" s="27" t="n"/>
      <c r="E85" s="5">
        <f>IF(tblAjustes[[#This Row],[id_operacion]]="","",_xlfn.XLOOKUP(tblAjustes[[#This Row],[id_operacion]],tblOrdenes[id_operacion],tblOrdenes[descripcion_operacion],"(no encontrada)"))</f>
        <v/>
      </c>
      <c r="F85" s="5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4" t="n"/>
      <c r="B86" s="26" t="n"/>
      <c r="C86" s="4" t="n"/>
      <c r="D86" s="27" t="n"/>
      <c r="E86" s="5">
        <f>IF(tblAjustes[[#This Row],[id_operacion]]="","",_xlfn.XLOOKUP(tblAjustes[[#This Row],[id_operacion]],tblOrdenes[id_operacion],tblOrdenes[descripcion_operacion],"(no encontrada)"))</f>
        <v/>
      </c>
      <c r="F86" s="5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4" t="n"/>
      <c r="B87" s="26" t="n"/>
      <c r="C87" s="4" t="n"/>
      <c r="D87" s="27" t="n"/>
      <c r="E87" s="5">
        <f>IF(tblAjustes[[#This Row],[id_operacion]]="","",_xlfn.XLOOKUP(tblAjustes[[#This Row],[id_operacion]],tblOrdenes[id_operacion],tblOrdenes[descripcion_operacion],"(no encontrada)"))</f>
        <v/>
      </c>
      <c r="F87" s="5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4" t="n"/>
      <c r="B88" s="26" t="n"/>
      <c r="C88" s="4" t="n"/>
      <c r="D88" s="27" t="n"/>
      <c r="E88" s="5">
        <f>IF(tblAjustes[[#This Row],[id_operacion]]="","",_xlfn.XLOOKUP(tblAjustes[[#This Row],[id_operacion]],tblOrdenes[id_operacion],tblOrdenes[descripcion_operacion],"(no encontrada)"))</f>
        <v/>
      </c>
      <c r="F88" s="5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4" t="n"/>
      <c r="B89" s="26" t="n"/>
      <c r="C89" s="4" t="n"/>
      <c r="D89" s="27" t="n"/>
      <c r="E89" s="5">
        <f>IF(tblAjustes[[#This Row],[id_operacion]]="","",_xlfn.XLOOKUP(tblAjustes[[#This Row],[id_operacion]],tblOrdenes[id_operacion],tblOrdenes[descripcion_operacion],"(no encontrada)"))</f>
        <v/>
      </c>
      <c r="F89" s="5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4" t="n"/>
      <c r="B90" s="26" t="n"/>
      <c r="C90" s="4" t="n"/>
      <c r="D90" s="27" t="n"/>
      <c r="E90" s="5">
        <f>IF(tblAjustes[[#This Row],[id_operacion]]="","",_xlfn.XLOOKUP(tblAjustes[[#This Row],[id_operacion]],tblOrdenes[id_operacion],tblOrdenes[descripcion_operacion],"(no encontrada)"))</f>
        <v/>
      </c>
      <c r="F90" s="5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4" t="n"/>
      <c r="B91" s="26" t="n"/>
      <c r="C91" s="4" t="n"/>
      <c r="D91" s="27" t="n"/>
      <c r="E91" s="5">
        <f>IF(tblAjustes[[#This Row],[id_operacion]]="","",_xlfn.XLOOKUP(tblAjustes[[#This Row],[id_operacion]],tblOrdenes[id_operacion],tblOrdenes[descripcion_operacion],"(no encontrada)"))</f>
        <v/>
      </c>
      <c r="F91" s="5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4" t="n"/>
      <c r="B92" s="26" t="n"/>
      <c r="C92" s="4" t="n"/>
      <c r="D92" s="27" t="n"/>
      <c r="E92" s="5">
        <f>IF(tblAjustes[[#This Row],[id_operacion]]="","",_xlfn.XLOOKUP(tblAjustes[[#This Row],[id_operacion]],tblOrdenes[id_operacion],tblOrdenes[descripcion_operacion],"(no encontrada)"))</f>
        <v/>
      </c>
      <c r="F92" s="5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4" t="n"/>
      <c r="B93" s="26" t="n"/>
      <c r="C93" s="4" t="n"/>
      <c r="D93" s="27" t="n"/>
      <c r="E93" s="5">
        <f>IF(tblAjustes[[#This Row],[id_operacion]]="","",_xlfn.XLOOKUP(tblAjustes[[#This Row],[id_operacion]],tblOrdenes[id_operacion],tblOrdenes[descripcion_operacion],"(no encontrada)"))</f>
        <v/>
      </c>
      <c r="F93" s="5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4" t="n"/>
      <c r="B94" s="26" t="n"/>
      <c r="C94" s="4" t="n"/>
      <c r="D94" s="27" t="n"/>
      <c r="E94" s="5">
        <f>IF(tblAjustes[[#This Row],[id_operacion]]="","",_xlfn.XLOOKUP(tblAjustes[[#This Row],[id_operacion]],tblOrdenes[id_operacion],tblOrdenes[descripcion_operacion],"(no encontrada)"))</f>
        <v/>
      </c>
      <c r="F94" s="5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4" t="n"/>
      <c r="B95" s="26" t="n"/>
      <c r="C95" s="4" t="n"/>
      <c r="D95" s="27" t="n"/>
      <c r="E95" s="5">
        <f>IF(tblAjustes[[#This Row],[id_operacion]]="","",_xlfn.XLOOKUP(tblAjustes[[#This Row],[id_operacion]],tblOrdenes[id_operacion],tblOrdenes[descripcion_operacion],"(no encontrada)"))</f>
        <v/>
      </c>
      <c r="F95" s="5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4" t="n"/>
      <c r="B96" s="26" t="n"/>
      <c r="C96" s="4" t="n"/>
      <c r="D96" s="27" t="n"/>
      <c r="E96" s="5">
        <f>IF(tblAjustes[[#This Row],[id_operacion]]="","",_xlfn.XLOOKUP(tblAjustes[[#This Row],[id_operacion]],tblOrdenes[id_operacion],tblOrdenes[descripcion_operacion],"(no encontrada)"))</f>
        <v/>
      </c>
      <c r="F96" s="5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4" t="n"/>
      <c r="B97" s="26" t="n"/>
      <c r="C97" s="4" t="n"/>
      <c r="D97" s="27" t="n"/>
      <c r="E97" s="5">
        <f>IF(tblAjustes[[#This Row],[id_operacion]]="","",_xlfn.XLOOKUP(tblAjustes[[#This Row],[id_operacion]],tblOrdenes[id_operacion],tblOrdenes[descripcion_operacion],"(no encontrada)"))</f>
        <v/>
      </c>
      <c r="F97" s="5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4" t="n"/>
      <c r="B98" s="26" t="n"/>
      <c r="C98" s="4" t="n"/>
      <c r="D98" s="27" t="n"/>
      <c r="E98" s="5">
        <f>IF(tblAjustes[[#This Row],[id_operacion]]="","",_xlfn.XLOOKUP(tblAjustes[[#This Row],[id_operacion]],tblOrdenes[id_operacion],tblOrdenes[descripcion_operacion],"(no encontrada)"))</f>
        <v/>
      </c>
      <c r="F98" s="5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4" t="n"/>
      <c r="B99" s="26" t="n"/>
      <c r="C99" s="4" t="n"/>
      <c r="D99" s="27" t="n"/>
      <c r="E99" s="5">
        <f>IF(tblAjustes[[#This Row],[id_operacion]]="","",_xlfn.XLOOKUP(tblAjustes[[#This Row],[id_operacion]],tblOrdenes[id_operacion],tblOrdenes[descripcion_operacion],"(no encontrada)"))</f>
        <v/>
      </c>
      <c r="F99" s="5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4" t="n"/>
      <c r="B100" s="26" t="n"/>
      <c r="C100" s="4" t="n"/>
      <c r="D100" s="27" t="n"/>
      <c r="E100" s="5">
        <f>IF(tblAjustes[[#This Row],[id_operacion]]="","",_xlfn.XLOOKUP(tblAjustes[[#This Row],[id_operacion]],tblOrdenes[id_operacion],tblOrdenes[descripcion_operacion],"(no encontrada)"))</f>
        <v/>
      </c>
      <c r="F100" s="5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4" t="n"/>
      <c r="B101" s="26" t="n"/>
      <c r="C101" s="4" t="n"/>
      <c r="D101" s="27" t="n"/>
      <c r="E101" s="5">
        <f>IF(tblAjustes[[#This Row],[id_operacion]]="","",_xlfn.XLOOKUP(tblAjustes[[#This Row],[id_operacion]],tblOrdenes[id_operacion],tblOrdenes[descripcion_operacion],"(no encontrada)"))</f>
        <v/>
      </c>
      <c r="F101" s="5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4" t="n"/>
      <c r="B102" s="26" t="n"/>
      <c r="C102" s="4" t="n"/>
      <c r="D102" s="27" t="n"/>
      <c r="E102" s="5">
        <f>IF(tblAjustes[[#This Row],[id_operacion]]="","",_xlfn.XLOOKUP(tblAjustes[[#This Row],[id_operacion]],tblOrdenes[id_operacion],tblOrdenes[descripcion_operacion],"(no encontrada)"))</f>
        <v/>
      </c>
      <c r="F102" s="5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4" t="n"/>
      <c r="B103" s="26" t="n"/>
      <c r="C103" s="4" t="n"/>
      <c r="D103" s="27" t="n"/>
      <c r="E103" s="5">
        <f>IF(tblAjustes[[#This Row],[id_operacion]]="","",_xlfn.XLOOKUP(tblAjustes[[#This Row],[id_operacion]],tblOrdenes[id_operacion],tblOrdenes[descripcion_operacion],"(no encontrada)"))</f>
        <v/>
      </c>
      <c r="F103" s="5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4" t="n"/>
      <c r="B104" s="26" t="n"/>
      <c r="C104" s="4" t="n"/>
      <c r="D104" s="27" t="n"/>
      <c r="E104" s="5">
        <f>IF(tblAjustes[[#This Row],[id_operacion]]="","",_xlfn.XLOOKUP(tblAjustes[[#This Row],[id_operacion]],tblOrdenes[id_operacion],tblOrdenes[descripcion_operacion],"(no encontrada)"))</f>
        <v/>
      </c>
      <c r="F104" s="5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4" t="n"/>
      <c r="B105" s="26" t="n"/>
      <c r="C105" s="4" t="n"/>
      <c r="D105" s="27" t="n"/>
      <c r="E105" s="5">
        <f>IF(tblAjustes[[#This Row],[id_operacion]]="","",_xlfn.XLOOKUP(tblAjustes[[#This Row],[id_operacion]],tblOrdenes[id_operacion],tblOrdenes[descripcion_operacion],"(no encontrada)"))</f>
        <v/>
      </c>
      <c r="F105" s="5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4" t="n"/>
      <c r="B106" s="26" t="n"/>
      <c r="C106" s="4" t="n"/>
      <c r="D106" s="27" t="n"/>
      <c r="E106" s="5">
        <f>IF(tblAjustes[[#This Row],[id_operacion]]="","",_xlfn.XLOOKUP(tblAjustes[[#This Row],[id_operacion]],tblOrdenes[id_operacion],tblOrdenes[descripcion_operacion],"(no encontrada)"))</f>
        <v/>
      </c>
      <c r="F106" s="5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4" t="n"/>
      <c r="B107" s="26" t="n"/>
      <c r="C107" s="4" t="n"/>
      <c r="D107" s="27" t="n"/>
      <c r="E107" s="5">
        <f>IF(tblAjustes[[#This Row],[id_operacion]]="","",_xlfn.XLOOKUP(tblAjustes[[#This Row],[id_operacion]],tblOrdenes[id_operacion],tblOrdenes[descripcion_operacion],"(no encontrada)"))</f>
        <v/>
      </c>
      <c r="F107" s="5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4" t="n"/>
      <c r="B108" s="26" t="n"/>
      <c r="C108" s="4" t="n"/>
      <c r="D108" s="27" t="n"/>
      <c r="E108" s="5">
        <f>IF(tblAjustes[[#This Row],[id_operacion]]="","",_xlfn.XLOOKUP(tblAjustes[[#This Row],[id_operacion]],tblOrdenes[id_operacion],tblOrdenes[descripcion_operacion],"(no encontrada)"))</f>
        <v/>
      </c>
      <c r="F108" s="5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4" t="n"/>
      <c r="B109" s="26" t="n"/>
      <c r="C109" s="4" t="n"/>
      <c r="D109" s="27" t="n"/>
      <c r="E109" s="5">
        <f>IF(tblAjustes[[#This Row],[id_operacion]]="","",_xlfn.XLOOKUP(tblAjustes[[#This Row],[id_operacion]],tblOrdenes[id_operacion],tblOrdenes[descripcion_operacion],"(no encontrada)"))</f>
        <v/>
      </c>
      <c r="F109" s="5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4" t="n"/>
      <c r="B110" s="26" t="n"/>
      <c r="C110" s="4" t="n"/>
      <c r="D110" s="27" t="n"/>
      <c r="E110" s="5">
        <f>IF(tblAjustes[[#This Row],[id_operacion]]="","",_xlfn.XLOOKUP(tblAjustes[[#This Row],[id_operacion]],tblOrdenes[id_operacion],tblOrdenes[descripcion_operacion],"(no encontrada)"))</f>
        <v/>
      </c>
      <c r="F110" s="5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4" t="n"/>
      <c r="B111" s="26" t="n"/>
      <c r="C111" s="4" t="n"/>
      <c r="D111" s="27" t="n"/>
      <c r="E111" s="5">
        <f>IF(tblAjustes[[#This Row],[id_operacion]]="","",_xlfn.XLOOKUP(tblAjustes[[#This Row],[id_operacion]],tblOrdenes[id_operacion],tblOrdenes[descripcion_operacion],"(no encontrada)"))</f>
        <v/>
      </c>
      <c r="F111" s="5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4" t="n"/>
      <c r="B112" s="26" t="n"/>
      <c r="C112" s="4" t="n"/>
      <c r="D112" s="27" t="n"/>
      <c r="E112" s="5">
        <f>IF(tblAjustes[[#This Row],[id_operacion]]="","",_xlfn.XLOOKUP(tblAjustes[[#This Row],[id_operacion]],tblOrdenes[id_operacion],tblOrdenes[descripcion_operacion],"(no encontrada)"))</f>
        <v/>
      </c>
      <c r="F112" s="5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4" t="n"/>
      <c r="B113" s="26" t="n"/>
      <c r="C113" s="4" t="n"/>
      <c r="D113" s="27" t="n"/>
      <c r="E113" s="5">
        <f>IF(tblAjustes[[#This Row],[id_operacion]]="","",_xlfn.XLOOKUP(tblAjustes[[#This Row],[id_operacion]],tblOrdenes[id_operacion],tblOrdenes[descripcion_operacion],"(no encontrada)"))</f>
        <v/>
      </c>
      <c r="F113" s="5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4" t="n"/>
      <c r="B114" s="26" t="n"/>
      <c r="C114" s="4" t="n"/>
      <c r="D114" s="27" t="n"/>
      <c r="E114" s="5">
        <f>IF(tblAjustes[[#This Row],[id_operacion]]="","",_xlfn.XLOOKUP(tblAjustes[[#This Row],[id_operacion]],tblOrdenes[id_operacion],tblOrdenes[descripcion_operacion],"(no encontrada)"))</f>
        <v/>
      </c>
      <c r="F114" s="5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4" t="n"/>
      <c r="B115" s="26" t="n"/>
      <c r="C115" s="4" t="n"/>
      <c r="D115" s="27" t="n"/>
      <c r="E115" s="5">
        <f>IF(tblAjustes[[#This Row],[id_operacion]]="","",_xlfn.XLOOKUP(tblAjustes[[#This Row],[id_operacion]],tblOrdenes[id_operacion],tblOrdenes[descripcion_operacion],"(no encontrada)"))</f>
        <v/>
      </c>
      <c r="F115" s="5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4" t="n"/>
      <c r="B116" s="26" t="n"/>
      <c r="C116" s="4" t="n"/>
      <c r="D116" s="27" t="n"/>
      <c r="E116" s="5">
        <f>IF(tblAjustes[[#This Row],[id_operacion]]="","",_xlfn.XLOOKUP(tblAjustes[[#This Row],[id_operacion]],tblOrdenes[id_operacion],tblOrdenes[descripcion_operacion],"(no encontrada)"))</f>
        <v/>
      </c>
      <c r="F116" s="5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4" t="n"/>
      <c r="B117" s="26" t="n"/>
      <c r="C117" s="4" t="n"/>
      <c r="D117" s="27" t="n"/>
      <c r="E117" s="5">
        <f>IF(tblAjustes[[#This Row],[id_operacion]]="","",_xlfn.XLOOKUP(tblAjustes[[#This Row],[id_operacion]],tblOrdenes[id_operacion],tblOrdenes[descripcion_operacion],"(no encontrada)"))</f>
        <v/>
      </c>
      <c r="F117" s="5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4" t="n"/>
      <c r="B118" s="26" t="n"/>
      <c r="C118" s="4" t="n"/>
      <c r="D118" s="27" t="n"/>
      <c r="E118" s="5">
        <f>IF(tblAjustes[[#This Row],[id_operacion]]="","",_xlfn.XLOOKUP(tblAjustes[[#This Row],[id_operacion]],tblOrdenes[id_operacion],tblOrdenes[descripcion_operacion],"(no encontrada)"))</f>
        <v/>
      </c>
      <c r="F118" s="5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4" t="n"/>
      <c r="B119" s="26" t="n"/>
      <c r="C119" s="4" t="n"/>
      <c r="D119" s="27" t="n"/>
      <c r="E119" s="5">
        <f>IF(tblAjustes[[#This Row],[id_operacion]]="","",_xlfn.XLOOKUP(tblAjustes[[#This Row],[id_operacion]],tblOrdenes[id_operacion],tblOrdenes[descripcion_operacion],"(no encontrada)"))</f>
        <v/>
      </c>
      <c r="F119" s="5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4" t="n"/>
      <c r="B120" s="26" t="n"/>
      <c r="C120" s="4" t="n"/>
      <c r="D120" s="27" t="n"/>
      <c r="E120" s="5">
        <f>IF(tblAjustes[[#This Row],[id_operacion]]="","",_xlfn.XLOOKUP(tblAjustes[[#This Row],[id_operacion]],tblOrdenes[id_operacion],tblOrdenes[descripcion_operacion],"(no encontrada)"))</f>
        <v/>
      </c>
      <c r="F120" s="5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4" t="n"/>
      <c r="B121" s="26" t="n"/>
      <c r="C121" s="4" t="n"/>
      <c r="D121" s="27" t="n"/>
      <c r="E121" s="5">
        <f>IF(tblAjustes[[#This Row],[id_operacion]]="","",_xlfn.XLOOKUP(tblAjustes[[#This Row],[id_operacion]],tblOrdenes[id_operacion],tblOrdenes[descripcion_operacion],"(no encontrada)"))</f>
        <v/>
      </c>
      <c r="F121" s="5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4" t="n"/>
      <c r="B122" s="26" t="n"/>
      <c r="C122" s="4" t="n"/>
      <c r="D122" s="27" t="n"/>
      <c r="E122" s="5">
        <f>IF(tblAjustes[[#This Row],[id_operacion]]="","",_xlfn.XLOOKUP(tblAjustes[[#This Row],[id_operacion]],tblOrdenes[id_operacion],tblOrdenes[descripcion_operacion],"(no encontrada)"))</f>
        <v/>
      </c>
      <c r="F122" s="5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4" t="n"/>
      <c r="B123" s="26" t="n"/>
      <c r="C123" s="4" t="n"/>
      <c r="D123" s="27" t="n"/>
      <c r="E123" s="5">
        <f>IF(tblAjustes[[#This Row],[id_operacion]]="","",_xlfn.XLOOKUP(tblAjustes[[#This Row],[id_operacion]],tblOrdenes[id_operacion],tblOrdenes[descripcion_operacion],"(no encontrada)"))</f>
        <v/>
      </c>
      <c r="F123" s="5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4" t="n"/>
      <c r="B124" s="26" t="n"/>
      <c r="C124" s="4" t="n"/>
      <c r="D124" s="27" t="n"/>
      <c r="E124" s="5">
        <f>IF(tblAjustes[[#This Row],[id_operacion]]="","",_xlfn.XLOOKUP(tblAjustes[[#This Row],[id_operacion]],tblOrdenes[id_operacion],tblOrdenes[descripcion_operacion],"(no encontrada)"))</f>
        <v/>
      </c>
      <c r="F124" s="5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4" t="n"/>
      <c r="B125" s="26" t="n"/>
      <c r="C125" s="4" t="n"/>
      <c r="D125" s="27" t="n"/>
      <c r="E125" s="5">
        <f>IF(tblAjustes[[#This Row],[id_operacion]]="","",_xlfn.XLOOKUP(tblAjustes[[#This Row],[id_operacion]],tblOrdenes[id_operacion],tblOrdenes[descripcion_operacion],"(no encontrada)"))</f>
        <v/>
      </c>
      <c r="F125" s="5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4" t="n"/>
      <c r="B126" s="26" t="n"/>
      <c r="C126" s="4" t="n"/>
      <c r="D126" s="27" t="n"/>
      <c r="E126" s="5">
        <f>IF(tblAjustes[[#This Row],[id_operacion]]="","",_xlfn.XLOOKUP(tblAjustes[[#This Row],[id_operacion]],tblOrdenes[id_operacion],tblOrdenes[descripcion_operacion],"(no encontrada)"))</f>
        <v/>
      </c>
      <c r="F126" s="5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4" t="n"/>
      <c r="B127" s="26" t="n"/>
      <c r="C127" s="4" t="n"/>
      <c r="D127" s="27" t="n"/>
      <c r="E127" s="5">
        <f>IF(tblAjustes[[#This Row],[id_operacion]]="","",_xlfn.XLOOKUP(tblAjustes[[#This Row],[id_operacion]],tblOrdenes[id_operacion],tblOrdenes[descripcion_operacion],"(no encontrada)"))</f>
        <v/>
      </c>
      <c r="F127" s="5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4" t="n"/>
      <c r="B128" s="26" t="n"/>
      <c r="C128" s="4" t="n"/>
      <c r="D128" s="27" t="n"/>
      <c r="E128" s="5">
        <f>IF(tblAjustes[[#This Row],[id_operacion]]="","",_xlfn.XLOOKUP(tblAjustes[[#This Row],[id_operacion]],tblOrdenes[id_operacion],tblOrdenes[descripcion_operacion],"(no encontrada)"))</f>
        <v/>
      </c>
      <c r="F128" s="5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4" t="n"/>
      <c r="B129" s="26" t="n"/>
      <c r="C129" s="4" t="n"/>
      <c r="D129" s="27" t="n"/>
      <c r="E129" s="5">
        <f>IF(tblAjustes[[#This Row],[id_operacion]]="","",_xlfn.XLOOKUP(tblAjustes[[#This Row],[id_operacion]],tblOrdenes[id_operacion],tblOrdenes[descripcion_operacion],"(no encontrada)"))</f>
        <v/>
      </c>
      <c r="F129" s="5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4" t="n"/>
      <c r="B130" s="26" t="n"/>
      <c r="C130" s="4" t="n"/>
      <c r="D130" s="27" t="n"/>
      <c r="E130" s="5">
        <f>IF(tblAjustes[[#This Row],[id_operacion]]="","",_xlfn.XLOOKUP(tblAjustes[[#This Row],[id_operacion]],tblOrdenes[id_operacion],tblOrdenes[descripcion_operacion],"(no encontrada)"))</f>
        <v/>
      </c>
      <c r="F130" s="5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4" t="n"/>
      <c r="B131" s="26" t="n"/>
      <c r="C131" s="4" t="n"/>
      <c r="D131" s="27" t="n"/>
      <c r="E131" s="5">
        <f>IF(tblAjustes[[#This Row],[id_operacion]]="","",_xlfn.XLOOKUP(tblAjustes[[#This Row],[id_operacion]],tblOrdenes[id_operacion],tblOrdenes[descripcion_operacion],"(no encontrada)"))</f>
        <v/>
      </c>
      <c r="F131" s="5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4" t="n"/>
      <c r="B132" s="26" t="n"/>
      <c r="C132" s="4" t="n"/>
      <c r="D132" s="27" t="n"/>
      <c r="E132" s="5">
        <f>IF(tblAjustes[[#This Row],[id_operacion]]="","",_xlfn.XLOOKUP(tblAjustes[[#This Row],[id_operacion]],tblOrdenes[id_operacion],tblOrdenes[descripcion_operacion],"(no encontrada)"))</f>
        <v/>
      </c>
      <c r="F132" s="5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4" t="n"/>
      <c r="B133" s="26" t="n"/>
      <c r="C133" s="4" t="n"/>
      <c r="D133" s="27" t="n"/>
      <c r="E133" s="5">
        <f>IF(tblAjustes[[#This Row],[id_operacion]]="","",_xlfn.XLOOKUP(tblAjustes[[#This Row],[id_operacion]],tblOrdenes[id_operacion],tblOrdenes[descripcion_operacion],"(no encontrada)"))</f>
        <v/>
      </c>
      <c r="F133" s="5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4" t="n"/>
      <c r="B134" s="26" t="n"/>
      <c r="C134" s="4" t="n"/>
      <c r="D134" s="27" t="n"/>
      <c r="E134" s="5">
        <f>IF(tblAjustes[[#This Row],[id_operacion]]="","",_xlfn.XLOOKUP(tblAjustes[[#This Row],[id_operacion]],tblOrdenes[id_operacion],tblOrdenes[descripcion_operacion],"(no encontrada)"))</f>
        <v/>
      </c>
      <c r="F134" s="5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4" t="n"/>
      <c r="B135" s="26" t="n"/>
      <c r="C135" s="4" t="n"/>
      <c r="D135" s="27" t="n"/>
      <c r="E135" s="5">
        <f>IF(tblAjustes[[#This Row],[id_operacion]]="","",_xlfn.XLOOKUP(tblAjustes[[#This Row],[id_operacion]],tblOrdenes[id_operacion],tblOrdenes[descripcion_operacion],"(no encontrada)"))</f>
        <v/>
      </c>
      <c r="F135" s="5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4" t="n"/>
      <c r="B136" s="26" t="n"/>
      <c r="C136" s="4" t="n"/>
      <c r="D136" s="27" t="n"/>
      <c r="E136" s="5">
        <f>IF(tblAjustes[[#This Row],[id_operacion]]="","",_xlfn.XLOOKUP(tblAjustes[[#This Row],[id_operacion]],tblOrdenes[id_operacion],tblOrdenes[descripcion_operacion],"(no encontrada)"))</f>
        <v/>
      </c>
      <c r="F136" s="5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4" t="n"/>
      <c r="B137" s="26" t="n"/>
      <c r="C137" s="4" t="n"/>
      <c r="D137" s="27" t="n"/>
      <c r="E137" s="5">
        <f>IF(tblAjustes[[#This Row],[id_operacion]]="","",_xlfn.XLOOKUP(tblAjustes[[#This Row],[id_operacion]],tblOrdenes[id_operacion],tblOrdenes[descripcion_operacion],"(no encontrada)"))</f>
        <v/>
      </c>
      <c r="F137" s="5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4" t="n"/>
      <c r="B138" s="26" t="n"/>
      <c r="C138" s="4" t="n"/>
      <c r="D138" s="27" t="n"/>
      <c r="E138" s="5">
        <f>IF(tblAjustes[[#This Row],[id_operacion]]="","",_xlfn.XLOOKUP(tblAjustes[[#This Row],[id_operacion]],tblOrdenes[id_operacion],tblOrdenes[descripcion_operacion],"(no encontrada)"))</f>
        <v/>
      </c>
      <c r="F138" s="5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4" t="n"/>
      <c r="B139" s="26" t="n"/>
      <c r="C139" s="4" t="n"/>
      <c r="D139" s="27" t="n"/>
      <c r="E139" s="5">
        <f>IF(tblAjustes[[#This Row],[id_operacion]]="","",_xlfn.XLOOKUP(tblAjustes[[#This Row],[id_operacion]],tblOrdenes[id_operacion],tblOrdenes[descripcion_operacion],"(no encontrada)"))</f>
        <v/>
      </c>
      <c r="F139" s="5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4" t="n"/>
      <c r="B140" s="26" t="n"/>
      <c r="C140" s="4" t="n"/>
      <c r="D140" s="27" t="n"/>
      <c r="E140" s="5">
        <f>IF(tblAjustes[[#This Row],[id_operacion]]="","",_xlfn.XLOOKUP(tblAjustes[[#This Row],[id_operacion]],tblOrdenes[id_operacion],tblOrdenes[descripcion_operacion],"(no encontrada)"))</f>
        <v/>
      </c>
      <c r="F140" s="5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4" t="n"/>
      <c r="B141" s="26" t="n"/>
      <c r="C141" s="4" t="n"/>
      <c r="D141" s="27" t="n"/>
      <c r="E141" s="5">
        <f>IF(tblAjustes[[#This Row],[id_operacion]]="","",_xlfn.XLOOKUP(tblAjustes[[#This Row],[id_operacion]],tblOrdenes[id_operacion],tblOrdenes[descripcion_operacion],"(no encontrada)"))</f>
        <v/>
      </c>
      <c r="F141" s="5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4" t="n"/>
      <c r="B142" s="26" t="n"/>
      <c r="C142" s="4" t="n"/>
      <c r="D142" s="27" t="n"/>
      <c r="E142" s="5">
        <f>IF(tblAjustes[[#This Row],[id_operacion]]="","",_xlfn.XLOOKUP(tblAjustes[[#This Row],[id_operacion]],tblOrdenes[id_operacion],tblOrdenes[descripcion_operacion],"(no encontrada)"))</f>
        <v/>
      </c>
      <c r="F142" s="5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4" t="n"/>
      <c r="B143" s="26" t="n"/>
      <c r="C143" s="4" t="n"/>
      <c r="D143" s="27" t="n"/>
      <c r="E143" s="5">
        <f>IF(tblAjustes[[#This Row],[id_operacion]]="","",_xlfn.XLOOKUP(tblAjustes[[#This Row],[id_operacion]],tblOrdenes[id_operacion],tblOrdenes[descripcion_operacion],"(no encontrada)"))</f>
        <v/>
      </c>
      <c r="F143" s="5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4" t="n"/>
      <c r="B144" s="26" t="n"/>
      <c r="C144" s="4" t="n"/>
      <c r="D144" s="27" t="n"/>
      <c r="E144" s="5">
        <f>IF(tblAjustes[[#This Row],[id_operacion]]="","",_xlfn.XLOOKUP(tblAjustes[[#This Row],[id_operacion]],tblOrdenes[id_operacion],tblOrdenes[descripcion_operacion],"(no encontrada)"))</f>
        <v/>
      </c>
      <c r="F144" s="5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4" t="n"/>
      <c r="B145" s="26" t="n"/>
      <c r="C145" s="4" t="n"/>
      <c r="D145" s="27" t="n"/>
      <c r="E145" s="5">
        <f>IF(tblAjustes[[#This Row],[id_operacion]]="","",_xlfn.XLOOKUP(tblAjustes[[#This Row],[id_operacion]],tblOrdenes[id_operacion],tblOrdenes[descripcion_operacion],"(no encontrada)"))</f>
        <v/>
      </c>
      <c r="F145" s="5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4" t="n"/>
      <c r="B146" s="26" t="n"/>
      <c r="C146" s="4" t="n"/>
      <c r="D146" s="27" t="n"/>
      <c r="E146" s="5">
        <f>IF(tblAjustes[[#This Row],[id_operacion]]="","",_xlfn.XLOOKUP(tblAjustes[[#This Row],[id_operacion]],tblOrdenes[id_operacion],tblOrdenes[descripcion_operacion],"(no encontrada)"))</f>
        <v/>
      </c>
      <c r="F146" s="5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4" t="n"/>
      <c r="B147" s="26" t="n"/>
      <c r="C147" s="4" t="n"/>
      <c r="D147" s="27" t="n"/>
      <c r="E147" s="5">
        <f>IF(tblAjustes[[#This Row],[id_operacion]]="","",_xlfn.XLOOKUP(tblAjustes[[#This Row],[id_operacion]],tblOrdenes[id_operacion],tblOrdenes[descripcion_operacion],"(no encontrada)"))</f>
        <v/>
      </c>
      <c r="F147" s="5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4" t="n"/>
      <c r="B148" s="26" t="n"/>
      <c r="C148" s="4" t="n"/>
      <c r="D148" s="27" t="n"/>
      <c r="E148" s="5">
        <f>IF(tblAjustes[[#This Row],[id_operacion]]="","",_xlfn.XLOOKUP(tblAjustes[[#This Row],[id_operacion]],tblOrdenes[id_operacion],tblOrdenes[descripcion_operacion],"(no encontrada)"))</f>
        <v/>
      </c>
      <c r="F148" s="5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4" t="n"/>
      <c r="B149" s="26" t="n"/>
      <c r="C149" s="4" t="n"/>
      <c r="D149" s="27" t="n"/>
      <c r="E149" s="5">
        <f>IF(tblAjustes[[#This Row],[id_operacion]]="","",_xlfn.XLOOKUP(tblAjustes[[#This Row],[id_operacion]],tblOrdenes[id_operacion],tblOrdenes[descripcion_operacion],"(no encontrada)"))</f>
        <v/>
      </c>
      <c r="F149" s="5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4" t="n"/>
      <c r="B150" s="26" t="n"/>
      <c r="C150" s="4" t="n"/>
      <c r="D150" s="27" t="n"/>
      <c r="E150" s="5">
        <f>IF(tblAjustes[[#This Row],[id_operacion]]="","",_xlfn.XLOOKUP(tblAjustes[[#This Row],[id_operacion]],tblOrdenes[id_operacion],tblOrdenes[descripcion_operacion],"(no encontrada)"))</f>
        <v/>
      </c>
      <c r="F150" s="5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4" t="n"/>
      <c r="B151" s="26" t="n"/>
      <c r="C151" s="4" t="n"/>
      <c r="D151" s="27" t="n"/>
      <c r="E151" s="5">
        <f>IF(tblAjustes[[#This Row],[id_operacion]]="","",_xlfn.XLOOKUP(tblAjustes[[#This Row],[id_operacion]],tblOrdenes[id_operacion],tblOrdenes[descripcion_operacion],"(no encontrada)"))</f>
        <v/>
      </c>
      <c r="F151" s="5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4" t="n"/>
      <c r="B152" s="26" t="n"/>
      <c r="C152" s="4" t="n"/>
      <c r="D152" s="27" t="n"/>
      <c r="E152" s="5">
        <f>IF(tblAjustes[[#This Row],[id_operacion]]="","",_xlfn.XLOOKUP(tblAjustes[[#This Row],[id_operacion]],tblOrdenes[id_operacion],tblOrdenes[descripcion_operacion],"(no encontrada)"))</f>
        <v/>
      </c>
      <c r="F152" s="5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4" t="n"/>
      <c r="B153" s="26" t="n"/>
      <c r="C153" s="4" t="n"/>
      <c r="D153" s="27" t="n"/>
      <c r="E153" s="5">
        <f>IF(tblAjustes[[#This Row],[id_operacion]]="","",_xlfn.XLOOKUP(tblAjustes[[#This Row],[id_operacion]],tblOrdenes[id_operacion],tblOrdenes[descripcion_operacion],"(no encontrada)"))</f>
        <v/>
      </c>
      <c r="F153" s="5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4" t="n"/>
      <c r="B154" s="26" t="n"/>
      <c r="C154" s="4" t="n"/>
      <c r="D154" s="27" t="n"/>
      <c r="E154" s="5">
        <f>IF(tblAjustes[[#This Row],[id_operacion]]="","",_xlfn.XLOOKUP(tblAjustes[[#This Row],[id_operacion]],tblOrdenes[id_operacion],tblOrdenes[descripcion_operacion],"(no encontrada)"))</f>
        <v/>
      </c>
      <c r="F154" s="5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4" t="n"/>
      <c r="B155" s="26" t="n"/>
      <c r="C155" s="4" t="n"/>
      <c r="D155" s="27" t="n"/>
      <c r="E155" s="5">
        <f>IF(tblAjustes[[#This Row],[id_operacion]]="","",_xlfn.XLOOKUP(tblAjustes[[#This Row],[id_operacion]],tblOrdenes[id_operacion],tblOrdenes[descripcion_operacion],"(no encontrada)"))</f>
        <v/>
      </c>
      <c r="F155" s="5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4" t="n"/>
      <c r="B156" s="26" t="n"/>
      <c r="C156" s="4" t="n"/>
      <c r="D156" s="27" t="n"/>
      <c r="E156" s="5">
        <f>IF(tblAjustes[[#This Row],[id_operacion]]="","",_xlfn.XLOOKUP(tblAjustes[[#This Row],[id_operacion]],tblOrdenes[id_operacion],tblOrdenes[descripcion_operacion],"(no encontrada)"))</f>
        <v/>
      </c>
      <c r="F156" s="5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4" t="n"/>
      <c r="B157" s="26" t="n"/>
      <c r="C157" s="4" t="n"/>
      <c r="D157" s="27" t="n"/>
      <c r="E157" s="5">
        <f>IF(tblAjustes[[#This Row],[id_operacion]]="","",_xlfn.XLOOKUP(tblAjustes[[#This Row],[id_operacion]],tblOrdenes[id_operacion],tblOrdenes[descripcion_operacion],"(no encontrada)"))</f>
        <v/>
      </c>
      <c r="F157" s="5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4" t="n"/>
      <c r="B158" s="26" t="n"/>
      <c r="C158" s="4" t="n"/>
      <c r="D158" s="27" t="n"/>
      <c r="E158" s="5">
        <f>IF(tblAjustes[[#This Row],[id_operacion]]="","",_xlfn.XLOOKUP(tblAjustes[[#This Row],[id_operacion]],tblOrdenes[id_operacion],tblOrdenes[descripcion_operacion],"(no encontrada)"))</f>
        <v/>
      </c>
      <c r="F158" s="5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4" t="n"/>
      <c r="B159" s="26" t="n"/>
      <c r="C159" s="4" t="n"/>
      <c r="D159" s="27" t="n"/>
      <c r="E159" s="5">
        <f>IF(tblAjustes[[#This Row],[id_operacion]]="","",_xlfn.XLOOKUP(tblAjustes[[#This Row],[id_operacion]],tblOrdenes[id_operacion],tblOrdenes[descripcion_operacion],"(no encontrada)"))</f>
        <v/>
      </c>
      <c r="F159" s="5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4" t="n"/>
      <c r="B160" s="26" t="n"/>
      <c r="C160" s="4" t="n"/>
      <c r="D160" s="27" t="n"/>
      <c r="E160" s="5">
        <f>IF(tblAjustes[[#This Row],[id_operacion]]="","",_xlfn.XLOOKUP(tblAjustes[[#This Row],[id_operacion]],tblOrdenes[id_operacion],tblOrdenes[descripcion_operacion],"(no encontrada)"))</f>
        <v/>
      </c>
      <c r="F160" s="5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4" t="n"/>
      <c r="B161" s="26" t="n"/>
      <c r="C161" s="4" t="n"/>
      <c r="D161" s="27" t="n"/>
      <c r="E161" s="5">
        <f>IF(tblAjustes[[#This Row],[id_operacion]]="","",_xlfn.XLOOKUP(tblAjustes[[#This Row],[id_operacion]],tblOrdenes[id_operacion],tblOrdenes[descripcion_operacion],"(no encontrada)"))</f>
        <v/>
      </c>
      <c r="F161" s="5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4" t="n"/>
      <c r="B162" s="26" t="n"/>
      <c r="C162" s="4" t="n"/>
      <c r="D162" s="27" t="n"/>
      <c r="E162" s="5">
        <f>IF(tblAjustes[[#This Row],[id_operacion]]="","",_xlfn.XLOOKUP(tblAjustes[[#This Row],[id_operacion]],tblOrdenes[id_operacion],tblOrdenes[descripcion_operacion],"(no encontrada)"))</f>
        <v/>
      </c>
      <c r="F162" s="5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4" t="n"/>
      <c r="B163" s="26" t="n"/>
      <c r="C163" s="4" t="n"/>
      <c r="D163" s="27" t="n"/>
      <c r="E163" s="5">
        <f>IF(tblAjustes[[#This Row],[id_operacion]]="","",_xlfn.XLOOKUP(tblAjustes[[#This Row],[id_operacion]],tblOrdenes[id_operacion],tblOrdenes[descripcion_operacion],"(no encontrada)"))</f>
        <v/>
      </c>
      <c r="F163" s="5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4" t="n"/>
      <c r="B164" s="26" t="n"/>
      <c r="C164" s="4" t="n"/>
      <c r="D164" s="27" t="n"/>
      <c r="E164" s="5">
        <f>IF(tblAjustes[[#This Row],[id_operacion]]="","",_xlfn.XLOOKUP(tblAjustes[[#This Row],[id_operacion]],tblOrdenes[id_operacion],tblOrdenes[descripcion_operacion],"(no encontrada)"))</f>
        <v/>
      </c>
      <c r="F164" s="5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4" t="n"/>
      <c r="B165" s="26" t="n"/>
      <c r="C165" s="4" t="n"/>
      <c r="D165" s="27" t="n"/>
      <c r="E165" s="5">
        <f>IF(tblAjustes[[#This Row],[id_operacion]]="","",_xlfn.XLOOKUP(tblAjustes[[#This Row],[id_operacion]],tblOrdenes[id_operacion],tblOrdenes[descripcion_operacion],"(no encontrada)"))</f>
        <v/>
      </c>
      <c r="F165" s="5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4" t="n"/>
      <c r="B166" s="26" t="n"/>
      <c r="C166" s="4" t="n"/>
      <c r="D166" s="27" t="n"/>
      <c r="E166" s="5">
        <f>IF(tblAjustes[[#This Row],[id_operacion]]="","",_xlfn.XLOOKUP(tblAjustes[[#This Row],[id_operacion]],tblOrdenes[id_operacion],tblOrdenes[descripcion_operacion],"(no encontrada)"))</f>
        <v/>
      </c>
      <c r="F166" s="5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4" t="n"/>
      <c r="B167" s="26" t="n"/>
      <c r="C167" s="4" t="n"/>
      <c r="D167" s="27" t="n"/>
      <c r="E167" s="5">
        <f>IF(tblAjustes[[#This Row],[id_operacion]]="","",_xlfn.XLOOKUP(tblAjustes[[#This Row],[id_operacion]],tblOrdenes[id_operacion],tblOrdenes[descripcion_operacion],"(no encontrada)"))</f>
        <v/>
      </c>
      <c r="F167" s="5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4" t="n"/>
      <c r="B168" s="26" t="n"/>
      <c r="C168" s="4" t="n"/>
      <c r="D168" s="27" t="n"/>
      <c r="E168" s="5">
        <f>IF(tblAjustes[[#This Row],[id_operacion]]="","",_xlfn.XLOOKUP(tblAjustes[[#This Row],[id_operacion]],tblOrdenes[id_operacion],tblOrdenes[descripcion_operacion],"(no encontrada)"))</f>
        <v/>
      </c>
      <c r="F168" s="5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4" t="n"/>
      <c r="B169" s="26" t="n"/>
      <c r="C169" s="4" t="n"/>
      <c r="D169" s="27" t="n"/>
      <c r="E169" s="5">
        <f>IF(tblAjustes[[#This Row],[id_operacion]]="","",_xlfn.XLOOKUP(tblAjustes[[#This Row],[id_operacion]],tblOrdenes[id_operacion],tblOrdenes[descripcion_operacion],"(no encontrada)"))</f>
        <v/>
      </c>
      <c r="F169" s="5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4" t="n"/>
      <c r="B170" s="26" t="n"/>
      <c r="C170" s="4" t="n"/>
      <c r="D170" s="27" t="n"/>
      <c r="E170" s="5">
        <f>IF(tblAjustes[[#This Row],[id_operacion]]="","",_xlfn.XLOOKUP(tblAjustes[[#This Row],[id_operacion]],tblOrdenes[id_operacion],tblOrdenes[descripcion_operacion],"(no encontrada)"))</f>
        <v/>
      </c>
      <c r="F170" s="5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4" t="n"/>
      <c r="B171" s="26" t="n"/>
      <c r="C171" s="4" t="n"/>
      <c r="D171" s="27" t="n"/>
      <c r="E171" s="5">
        <f>IF(tblAjustes[[#This Row],[id_operacion]]="","",_xlfn.XLOOKUP(tblAjustes[[#This Row],[id_operacion]],tblOrdenes[id_operacion],tblOrdenes[descripcion_operacion],"(no encontrada)"))</f>
        <v/>
      </c>
      <c r="F171" s="5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4" t="n"/>
      <c r="B172" s="26" t="n"/>
      <c r="C172" s="4" t="n"/>
      <c r="D172" s="27" t="n"/>
      <c r="E172" s="5">
        <f>IF(tblAjustes[[#This Row],[id_operacion]]="","",_xlfn.XLOOKUP(tblAjustes[[#This Row],[id_operacion]],tblOrdenes[id_operacion],tblOrdenes[descripcion_operacion],"(no encontrada)"))</f>
        <v/>
      </c>
      <c r="F172" s="5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4" t="n"/>
      <c r="B173" s="26" t="n"/>
      <c r="C173" s="4" t="n"/>
      <c r="D173" s="27" t="n"/>
      <c r="E173" s="5">
        <f>IF(tblAjustes[[#This Row],[id_operacion]]="","",_xlfn.XLOOKUP(tblAjustes[[#This Row],[id_operacion]],tblOrdenes[id_operacion],tblOrdenes[descripcion_operacion],"(no encontrada)"))</f>
        <v/>
      </c>
      <c r="F173" s="5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4" t="n"/>
      <c r="B174" s="26" t="n"/>
      <c r="C174" s="4" t="n"/>
      <c r="D174" s="27" t="n"/>
      <c r="E174" s="5">
        <f>IF(tblAjustes[[#This Row],[id_operacion]]="","",_xlfn.XLOOKUP(tblAjustes[[#This Row],[id_operacion]],tblOrdenes[id_operacion],tblOrdenes[descripcion_operacion],"(no encontrada)"))</f>
        <v/>
      </c>
      <c r="F174" s="5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4" t="n"/>
      <c r="B175" s="26" t="n"/>
      <c r="C175" s="4" t="n"/>
      <c r="D175" s="27" t="n"/>
      <c r="E175" s="5">
        <f>IF(tblAjustes[[#This Row],[id_operacion]]="","",_xlfn.XLOOKUP(tblAjustes[[#This Row],[id_operacion]],tblOrdenes[id_operacion],tblOrdenes[descripcion_operacion],"(no encontrada)"))</f>
        <v/>
      </c>
      <c r="F175" s="5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4" t="n"/>
      <c r="B176" s="26" t="n"/>
      <c r="C176" s="4" t="n"/>
      <c r="D176" s="27" t="n"/>
      <c r="E176" s="5">
        <f>IF(tblAjustes[[#This Row],[id_operacion]]="","",_xlfn.XLOOKUP(tblAjustes[[#This Row],[id_operacion]],tblOrdenes[id_operacion],tblOrdenes[descripcion_operacion],"(no encontrada)"))</f>
        <v/>
      </c>
      <c r="F176" s="5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4" t="n"/>
      <c r="B177" s="26" t="n"/>
      <c r="C177" s="4" t="n"/>
      <c r="D177" s="27" t="n"/>
      <c r="E177" s="5">
        <f>IF(tblAjustes[[#This Row],[id_operacion]]="","",_xlfn.XLOOKUP(tblAjustes[[#This Row],[id_operacion]],tblOrdenes[id_operacion],tblOrdenes[descripcion_operacion],"(no encontrada)"))</f>
        <v/>
      </c>
      <c r="F177" s="5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4" t="n"/>
      <c r="B178" s="26" t="n"/>
      <c r="C178" s="4" t="n"/>
      <c r="D178" s="27" t="n"/>
      <c r="E178" s="5">
        <f>IF(tblAjustes[[#This Row],[id_operacion]]="","",_xlfn.XLOOKUP(tblAjustes[[#This Row],[id_operacion]],tblOrdenes[id_operacion],tblOrdenes[descripcion_operacion],"(no encontrada)"))</f>
        <v/>
      </c>
      <c r="F178" s="5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4" t="n"/>
      <c r="B179" s="26" t="n"/>
      <c r="C179" s="4" t="n"/>
      <c r="D179" s="27" t="n"/>
      <c r="E179" s="5">
        <f>IF(tblAjustes[[#This Row],[id_operacion]]="","",_xlfn.XLOOKUP(tblAjustes[[#This Row],[id_operacion]],tblOrdenes[id_operacion],tblOrdenes[descripcion_operacion],"(no encontrada)"))</f>
        <v/>
      </c>
      <c r="F179" s="5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4" t="n"/>
      <c r="B180" s="26" t="n"/>
      <c r="C180" s="4" t="n"/>
      <c r="D180" s="27" t="n"/>
      <c r="E180" s="5">
        <f>IF(tblAjustes[[#This Row],[id_operacion]]="","",_xlfn.XLOOKUP(tblAjustes[[#This Row],[id_operacion]],tblOrdenes[id_operacion],tblOrdenes[descripcion_operacion],"(no encontrada)"))</f>
        <v/>
      </c>
      <c r="F180" s="5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4" t="n"/>
      <c r="B181" s="26" t="n"/>
      <c r="C181" s="4" t="n"/>
      <c r="D181" s="27" t="n"/>
      <c r="E181" s="5">
        <f>IF(tblAjustes[[#This Row],[id_operacion]]="","",_xlfn.XLOOKUP(tblAjustes[[#This Row],[id_operacion]],tblOrdenes[id_operacion],tblOrdenes[descripcion_operacion],"(no encontrada)"))</f>
        <v/>
      </c>
      <c r="F181" s="5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4" t="n"/>
      <c r="B182" s="26" t="n"/>
      <c r="C182" s="4" t="n"/>
      <c r="D182" s="27" t="n"/>
      <c r="E182" s="5">
        <f>IF(tblAjustes[[#This Row],[id_operacion]]="","",_xlfn.XLOOKUP(tblAjustes[[#This Row],[id_operacion]],tblOrdenes[id_operacion],tblOrdenes[descripcion_operacion],"(no encontrada)"))</f>
        <v/>
      </c>
      <c r="F182" s="5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4" t="n"/>
      <c r="B183" s="26" t="n"/>
      <c r="C183" s="4" t="n"/>
      <c r="D183" s="27" t="n"/>
      <c r="E183" s="5">
        <f>IF(tblAjustes[[#This Row],[id_operacion]]="","",_xlfn.XLOOKUP(tblAjustes[[#This Row],[id_operacion]],tblOrdenes[id_operacion],tblOrdenes[descripcion_operacion],"(no encontrada)"))</f>
        <v/>
      </c>
      <c r="F183" s="5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4" t="n"/>
      <c r="B184" s="26" t="n"/>
      <c r="C184" s="4" t="n"/>
      <c r="D184" s="27" t="n"/>
      <c r="E184" s="5">
        <f>IF(tblAjustes[[#This Row],[id_operacion]]="","",_xlfn.XLOOKUP(tblAjustes[[#This Row],[id_operacion]],tblOrdenes[id_operacion],tblOrdenes[descripcion_operacion],"(no encontrada)"))</f>
        <v/>
      </c>
      <c r="F184" s="5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4" t="n"/>
      <c r="B185" s="26" t="n"/>
      <c r="C185" s="4" t="n"/>
      <c r="D185" s="27" t="n"/>
      <c r="E185" s="5">
        <f>IF(tblAjustes[[#This Row],[id_operacion]]="","",_xlfn.XLOOKUP(tblAjustes[[#This Row],[id_operacion]],tblOrdenes[id_operacion],tblOrdenes[descripcion_operacion],"(no encontrada)"))</f>
        <v/>
      </c>
      <c r="F185" s="5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4" t="n"/>
      <c r="B186" s="26" t="n"/>
      <c r="C186" s="4" t="n"/>
      <c r="D186" s="27" t="n"/>
      <c r="E186" s="5">
        <f>IF(tblAjustes[[#This Row],[id_operacion]]="","",_xlfn.XLOOKUP(tblAjustes[[#This Row],[id_operacion]],tblOrdenes[id_operacion],tblOrdenes[descripcion_operacion],"(no encontrada)"))</f>
        <v/>
      </c>
      <c r="F186" s="5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4" t="n"/>
      <c r="B187" s="26" t="n"/>
      <c r="C187" s="4" t="n"/>
      <c r="D187" s="27" t="n"/>
      <c r="E187" s="5">
        <f>IF(tblAjustes[[#This Row],[id_operacion]]="","",_xlfn.XLOOKUP(tblAjustes[[#This Row],[id_operacion]],tblOrdenes[id_operacion],tblOrdenes[descripcion_operacion],"(no encontrada)"))</f>
        <v/>
      </c>
      <c r="F187" s="5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4" t="n"/>
      <c r="B188" s="26" t="n"/>
      <c r="C188" s="4" t="n"/>
      <c r="D188" s="27" t="n"/>
      <c r="E188" s="5">
        <f>IF(tblAjustes[[#This Row],[id_operacion]]="","",_xlfn.XLOOKUP(tblAjustes[[#This Row],[id_operacion]],tblOrdenes[id_operacion],tblOrdenes[descripcion_operacion],"(no encontrada)"))</f>
        <v/>
      </c>
      <c r="F188" s="5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4" t="n"/>
      <c r="B189" s="26" t="n"/>
      <c r="C189" s="4" t="n"/>
      <c r="D189" s="27" t="n"/>
      <c r="E189" s="5">
        <f>IF(tblAjustes[[#This Row],[id_operacion]]="","",_xlfn.XLOOKUP(tblAjustes[[#This Row],[id_operacion]],tblOrdenes[id_operacion],tblOrdenes[descripcion_operacion],"(no encontrada)"))</f>
        <v/>
      </c>
      <c r="F189" s="5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4" t="n"/>
      <c r="B190" s="26" t="n"/>
      <c r="C190" s="4" t="n"/>
      <c r="D190" s="27" t="n"/>
      <c r="E190" s="5">
        <f>IF(tblAjustes[[#This Row],[id_operacion]]="","",_xlfn.XLOOKUP(tblAjustes[[#This Row],[id_operacion]],tblOrdenes[id_operacion],tblOrdenes[descripcion_operacion],"(no encontrada)"))</f>
        <v/>
      </c>
      <c r="F190" s="5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4" t="n"/>
      <c r="B191" s="26" t="n"/>
      <c r="C191" s="4" t="n"/>
      <c r="D191" s="27" t="n"/>
      <c r="E191" s="5">
        <f>IF(tblAjustes[[#This Row],[id_operacion]]="","",_xlfn.XLOOKUP(tblAjustes[[#This Row],[id_operacion]],tblOrdenes[id_operacion],tblOrdenes[descripcion_operacion],"(no encontrada)"))</f>
        <v/>
      </c>
      <c r="F191" s="5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4" t="n"/>
      <c r="B192" s="26" t="n"/>
      <c r="C192" s="4" t="n"/>
      <c r="D192" s="27" t="n"/>
      <c r="E192" s="5">
        <f>IF(tblAjustes[[#This Row],[id_operacion]]="","",_xlfn.XLOOKUP(tblAjustes[[#This Row],[id_operacion]],tblOrdenes[id_operacion],tblOrdenes[descripcion_operacion],"(no encontrada)"))</f>
        <v/>
      </c>
      <c r="F192" s="5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4" t="n"/>
      <c r="B193" s="26" t="n"/>
      <c r="C193" s="4" t="n"/>
      <c r="D193" s="27" t="n"/>
      <c r="E193" s="5">
        <f>IF(tblAjustes[[#This Row],[id_operacion]]="","",_xlfn.XLOOKUP(tblAjustes[[#This Row],[id_operacion]],tblOrdenes[id_operacion],tblOrdenes[descripcion_operacion],"(no encontrada)"))</f>
        <v/>
      </c>
      <c r="F193" s="5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4" t="n"/>
      <c r="B194" s="26" t="n"/>
      <c r="C194" s="4" t="n"/>
      <c r="D194" s="27" t="n"/>
      <c r="E194" s="5">
        <f>IF(tblAjustes[[#This Row],[id_operacion]]="","",_xlfn.XLOOKUP(tblAjustes[[#This Row],[id_operacion]],tblOrdenes[id_operacion],tblOrdenes[descripcion_operacion],"(no encontrada)"))</f>
        <v/>
      </c>
      <c r="F194" s="5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4" t="n"/>
      <c r="B195" s="26" t="n"/>
      <c r="C195" s="4" t="n"/>
      <c r="D195" s="27" t="n"/>
      <c r="E195" s="5">
        <f>IF(tblAjustes[[#This Row],[id_operacion]]="","",_xlfn.XLOOKUP(tblAjustes[[#This Row],[id_operacion]],tblOrdenes[id_operacion],tblOrdenes[descripcion_operacion],"(no encontrada)"))</f>
        <v/>
      </c>
      <c r="F195" s="5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4" t="n"/>
      <c r="B196" s="26" t="n"/>
      <c r="C196" s="4" t="n"/>
      <c r="D196" s="27" t="n"/>
      <c r="E196" s="5">
        <f>IF(tblAjustes[[#This Row],[id_operacion]]="","",_xlfn.XLOOKUP(tblAjustes[[#This Row],[id_operacion]],tblOrdenes[id_operacion],tblOrdenes[descripcion_operacion],"(no encontrada)"))</f>
        <v/>
      </c>
      <c r="F196" s="5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4" t="n"/>
      <c r="B197" s="26" t="n"/>
      <c r="C197" s="4" t="n"/>
      <c r="D197" s="27" t="n"/>
      <c r="E197" s="5">
        <f>IF(tblAjustes[[#This Row],[id_operacion]]="","",_xlfn.XLOOKUP(tblAjustes[[#This Row],[id_operacion]],tblOrdenes[id_operacion],tblOrdenes[descripcion_operacion],"(no encontrada)"))</f>
        <v/>
      </c>
      <c r="F197" s="5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4" t="n"/>
      <c r="B198" s="26" t="n"/>
      <c r="C198" s="4" t="n"/>
      <c r="D198" s="27" t="n"/>
      <c r="E198" s="5">
        <f>IF(tblAjustes[[#This Row],[id_operacion]]="","",_xlfn.XLOOKUP(tblAjustes[[#This Row],[id_operacion]],tblOrdenes[id_operacion],tblOrdenes[descripcion_operacion],"(no encontrada)"))</f>
        <v/>
      </c>
      <c r="F198" s="5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4" t="n"/>
      <c r="B199" s="26" t="n"/>
      <c r="C199" s="4" t="n"/>
      <c r="D199" s="27" t="n"/>
      <c r="E199" s="5">
        <f>IF(tblAjustes[[#This Row],[id_operacion]]="","",_xlfn.XLOOKUP(tblAjustes[[#This Row],[id_operacion]],tblOrdenes[id_operacion],tblOrdenes[descripcion_operacion],"(no encontrada)"))</f>
        <v/>
      </c>
      <c r="F199" s="5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4" t="n"/>
      <c r="B200" s="26" t="n"/>
      <c r="C200" s="4" t="n"/>
      <c r="D200" s="27" t="n"/>
      <c r="E200" s="5">
        <f>IF(tblAjustes[[#This Row],[id_operacion]]="","",_xlfn.XLOOKUP(tblAjustes[[#This Row],[id_operacion]],tblOrdenes[id_operacion],tblOrdenes[descripcion_operacion],"(no encontrada)"))</f>
        <v/>
      </c>
      <c r="F200" s="5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4" t="n"/>
      <c r="B201" s="26" t="n"/>
      <c r="C201" s="4" t="n"/>
      <c r="D201" s="27" t="n"/>
      <c r="E201" s="5">
        <f>IF(tblAjustes[[#This Row],[id_operacion]]="","",_xlfn.XLOOKUP(tblAjustes[[#This Row],[id_operacion]],tblOrdenes[id_operacion],tblOrdenes[descripcion_operacion],"(no encontrada)"))</f>
        <v/>
      </c>
      <c r="F201" s="5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4" t="n"/>
      <c r="B202" s="26" t="n"/>
      <c r="C202" s="4" t="n"/>
      <c r="D202" s="27" t="n"/>
      <c r="E202" s="5">
        <f>IF(tblAjustes[[#This Row],[id_operacion]]="","",_xlfn.XLOOKUP(tblAjustes[[#This Row],[id_operacion]],tblOrdenes[id_operacion],tblOrdenes[descripcion_operacion],"(no encontrada)"))</f>
        <v/>
      </c>
      <c r="F202" s="5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4" t="n"/>
      <c r="B203" s="26" t="n"/>
      <c r="C203" s="4" t="n"/>
      <c r="D203" s="27" t="n"/>
      <c r="E203" s="5">
        <f>IF(tblAjustes[[#This Row],[id_operacion]]="","",_xlfn.XLOOKUP(tblAjustes[[#This Row],[id_operacion]],tblOrdenes[id_operacion],tblOrdenes[descripcion_operacion],"(no encontrada)"))</f>
        <v/>
      </c>
      <c r="F203" s="5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4" t="n"/>
      <c r="B204" s="26" t="n"/>
      <c r="C204" s="4" t="n"/>
      <c r="D204" s="27" t="n"/>
      <c r="E204" s="5">
        <f>IF(tblAjustes[[#This Row],[id_operacion]]="","",_xlfn.XLOOKUP(tblAjustes[[#This Row],[id_operacion]],tblOrdenes[id_operacion],tblOrdenes[descripcion_operacion],"(no encontrada)"))</f>
        <v/>
      </c>
      <c r="F204" s="5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4" t="n"/>
      <c r="B205" s="26" t="n"/>
      <c r="C205" s="4" t="n"/>
      <c r="D205" s="27" t="n"/>
      <c r="E205" s="5">
        <f>IF(tblAjustes[[#This Row],[id_operacion]]="","",_xlfn.XLOOKUP(tblAjustes[[#This Row],[id_operacion]],tblOrdenes[id_operacion],tblOrdenes[descripcion_operacion],"(no encontrada)"))</f>
        <v/>
      </c>
      <c r="F205" s="5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4" t="n"/>
      <c r="B206" s="26" t="n"/>
      <c r="C206" s="4" t="n"/>
      <c r="D206" s="27" t="n"/>
      <c r="E206" s="5">
        <f>IF(tblAjustes[[#This Row],[id_operacion]]="","",_xlfn.XLOOKUP(tblAjustes[[#This Row],[id_operacion]],tblOrdenes[id_operacion],tblOrdenes[descripcion_operacion],"(no encontrada)"))</f>
        <v/>
      </c>
      <c r="F206" s="5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4" t="n"/>
      <c r="B207" s="26" t="n"/>
      <c r="C207" s="4" t="n"/>
      <c r="D207" s="27" t="n"/>
      <c r="E207" s="5">
        <f>IF(tblAjustes[[#This Row],[id_operacion]]="","",_xlfn.XLOOKUP(tblAjustes[[#This Row],[id_operacion]],tblOrdenes[id_operacion],tblOrdenes[descripcion_operacion],"(no encontrada)"))</f>
        <v/>
      </c>
      <c r="F207" s="5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4" t="n"/>
      <c r="B208" s="26" t="n"/>
      <c r="C208" s="4" t="n"/>
      <c r="D208" s="27" t="n"/>
      <c r="E208" s="5">
        <f>IF(tblAjustes[[#This Row],[id_operacion]]="","",_xlfn.XLOOKUP(tblAjustes[[#This Row],[id_operacion]],tblOrdenes[id_operacion],tblOrdenes[descripcion_operacion],"(no encontrada)"))</f>
        <v/>
      </c>
      <c r="F208" s="5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4" t="n"/>
      <c r="B209" s="26" t="n"/>
      <c r="C209" s="4" t="n"/>
      <c r="D209" s="27" t="n"/>
      <c r="E209" s="5">
        <f>IF(tblAjustes[[#This Row],[id_operacion]]="","",_xlfn.XLOOKUP(tblAjustes[[#This Row],[id_operacion]],tblOrdenes[id_operacion],tblOrdenes[descripcion_operacion],"(no encontrada)"))</f>
        <v/>
      </c>
      <c r="F209" s="5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4" t="n"/>
      <c r="B210" s="26" t="n"/>
      <c r="C210" s="4" t="n"/>
      <c r="D210" s="27" t="n"/>
      <c r="E210" s="5">
        <f>IF(tblAjustes[[#This Row],[id_operacion]]="","",_xlfn.XLOOKUP(tblAjustes[[#This Row],[id_operacion]],tblOrdenes[id_operacion],tblOrdenes[descripcion_operacion],"(no encontrada)"))</f>
        <v/>
      </c>
      <c r="F210" s="5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4" t="n"/>
      <c r="B211" s="26" t="n"/>
      <c r="C211" s="4" t="n"/>
      <c r="D211" s="27" t="n"/>
      <c r="E211" s="5">
        <f>IF(tblAjustes[[#This Row],[id_operacion]]="","",_xlfn.XLOOKUP(tblAjustes[[#This Row],[id_operacion]],tblOrdenes[id_operacion],tblOrdenes[descripcion_operacion],"(no encontrada)"))</f>
        <v/>
      </c>
      <c r="F211" s="5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4" t="n"/>
      <c r="B212" s="26" t="n"/>
      <c r="C212" s="4" t="n"/>
      <c r="D212" s="27" t="n"/>
      <c r="E212" s="5">
        <f>IF(tblAjustes[[#This Row],[id_operacion]]="","",_xlfn.XLOOKUP(tblAjustes[[#This Row],[id_operacion]],tblOrdenes[id_operacion],tblOrdenes[descripcion_operacion],"(no encontrada)"))</f>
        <v/>
      </c>
      <c r="F212" s="5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4" t="n"/>
      <c r="B213" s="26" t="n"/>
      <c r="C213" s="4" t="n"/>
      <c r="D213" s="27" t="n"/>
      <c r="E213" s="5">
        <f>IF(tblAjustes[[#This Row],[id_operacion]]="","",_xlfn.XLOOKUP(tblAjustes[[#This Row],[id_operacion]],tblOrdenes[id_operacion],tblOrdenes[descripcion_operacion],"(no encontrada)"))</f>
        <v/>
      </c>
      <c r="F213" s="5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4" t="n"/>
      <c r="B214" s="26" t="n"/>
      <c r="C214" s="4" t="n"/>
      <c r="D214" s="27" t="n"/>
      <c r="E214" s="5">
        <f>IF(tblAjustes[[#This Row],[id_operacion]]="","",_xlfn.XLOOKUP(tblAjustes[[#This Row],[id_operacion]],tblOrdenes[id_operacion],tblOrdenes[descripcion_operacion],"(no encontrada)"))</f>
        <v/>
      </c>
      <c r="F214" s="5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4" t="n"/>
      <c r="B215" s="26" t="n"/>
      <c r="C215" s="4" t="n"/>
      <c r="D215" s="27" t="n"/>
      <c r="E215" s="5">
        <f>IF(tblAjustes[[#This Row],[id_operacion]]="","",_xlfn.XLOOKUP(tblAjustes[[#This Row],[id_operacion]],tblOrdenes[id_operacion],tblOrdenes[descripcion_operacion],"(no encontrada)"))</f>
        <v/>
      </c>
      <c r="F215" s="5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4" t="n"/>
      <c r="B216" s="26" t="n"/>
      <c r="C216" s="4" t="n"/>
      <c r="D216" s="27" t="n"/>
      <c r="E216" s="5">
        <f>IF(tblAjustes[[#This Row],[id_operacion]]="","",_xlfn.XLOOKUP(tblAjustes[[#This Row],[id_operacion]],tblOrdenes[id_operacion],tblOrdenes[descripcion_operacion],"(no encontrada)"))</f>
        <v/>
      </c>
      <c r="F216" s="5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4" t="n"/>
      <c r="B217" s="26" t="n"/>
      <c r="C217" s="4" t="n"/>
      <c r="D217" s="27" t="n"/>
      <c r="E217" s="5">
        <f>IF(tblAjustes[[#This Row],[id_operacion]]="","",_xlfn.XLOOKUP(tblAjustes[[#This Row],[id_operacion]],tblOrdenes[id_operacion],tblOrdenes[descripcion_operacion],"(no encontrada)"))</f>
        <v/>
      </c>
      <c r="F217" s="5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4" t="n"/>
      <c r="B218" s="26" t="n"/>
      <c r="C218" s="4" t="n"/>
      <c r="D218" s="27" t="n"/>
      <c r="E218" s="5">
        <f>IF(tblAjustes[[#This Row],[id_operacion]]="","",_xlfn.XLOOKUP(tblAjustes[[#This Row],[id_operacion]],tblOrdenes[id_operacion],tblOrdenes[descripcion_operacion],"(no encontrada)"))</f>
        <v/>
      </c>
      <c r="F218" s="5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4" t="n"/>
      <c r="B219" s="26" t="n"/>
      <c r="C219" s="4" t="n"/>
      <c r="D219" s="27" t="n"/>
      <c r="E219" s="5">
        <f>IF(tblAjustes[[#This Row],[id_operacion]]="","",_xlfn.XLOOKUP(tblAjustes[[#This Row],[id_operacion]],tblOrdenes[id_operacion],tblOrdenes[descripcion_operacion],"(no encontrada)"))</f>
        <v/>
      </c>
      <c r="F219" s="5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4" t="n"/>
      <c r="B220" s="26" t="n"/>
      <c r="C220" s="4" t="n"/>
      <c r="D220" s="27" t="n"/>
      <c r="E220" s="5">
        <f>IF(tblAjustes[[#This Row],[id_operacion]]="","",_xlfn.XLOOKUP(tblAjustes[[#This Row],[id_operacion]],tblOrdenes[id_operacion],tblOrdenes[descripcion_operacion],"(no encontrada)"))</f>
        <v/>
      </c>
      <c r="F220" s="5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4" t="n"/>
      <c r="B221" s="26" t="n"/>
      <c r="C221" s="4" t="n"/>
      <c r="D221" s="27" t="n"/>
      <c r="E221" s="5">
        <f>IF(tblAjustes[[#This Row],[id_operacion]]="","",_xlfn.XLOOKUP(tblAjustes[[#This Row],[id_operacion]],tblOrdenes[id_operacion],tblOrdenes[descripcion_operacion],"(no encontrada)"))</f>
        <v/>
      </c>
      <c r="F221" s="5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4" t="n"/>
      <c r="B222" s="26" t="n"/>
      <c r="C222" s="4" t="n"/>
      <c r="D222" s="27" t="n"/>
      <c r="E222" s="5">
        <f>IF(tblAjustes[[#This Row],[id_operacion]]="","",_xlfn.XLOOKUP(tblAjustes[[#This Row],[id_operacion]],tblOrdenes[id_operacion],tblOrdenes[descripcion_operacion],"(no encontrada)"))</f>
        <v/>
      </c>
      <c r="F222" s="5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4" t="n"/>
      <c r="B223" s="26" t="n"/>
      <c r="C223" s="4" t="n"/>
      <c r="D223" s="27" t="n"/>
      <c r="E223" s="5">
        <f>IF(tblAjustes[[#This Row],[id_operacion]]="","",_xlfn.XLOOKUP(tblAjustes[[#This Row],[id_operacion]],tblOrdenes[id_operacion],tblOrdenes[descripcion_operacion],"(no encontrada)"))</f>
        <v/>
      </c>
      <c r="F223" s="5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4" t="n"/>
      <c r="B224" s="26" t="n"/>
      <c r="C224" s="4" t="n"/>
      <c r="D224" s="27" t="n"/>
      <c r="E224" s="5">
        <f>IF(tblAjustes[[#This Row],[id_operacion]]="","",_xlfn.XLOOKUP(tblAjustes[[#This Row],[id_operacion]],tblOrdenes[id_operacion],tblOrdenes[descripcion_operacion],"(no encontrada)"))</f>
        <v/>
      </c>
      <c r="F224" s="5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4" t="n"/>
      <c r="B225" s="26" t="n"/>
      <c r="C225" s="4" t="n"/>
      <c r="D225" s="27" t="n"/>
      <c r="E225" s="5">
        <f>IF(tblAjustes[[#This Row],[id_operacion]]="","",_xlfn.XLOOKUP(tblAjustes[[#This Row],[id_operacion]],tblOrdenes[id_operacion],tblOrdenes[descripcion_operacion],"(no encontrada)"))</f>
        <v/>
      </c>
      <c r="F225" s="5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4" t="n"/>
      <c r="B226" s="26" t="n"/>
      <c r="C226" s="4" t="n"/>
      <c r="D226" s="27" t="n"/>
      <c r="E226" s="5">
        <f>IF(tblAjustes[[#This Row],[id_operacion]]="","",_xlfn.XLOOKUP(tblAjustes[[#This Row],[id_operacion]],tblOrdenes[id_operacion],tblOrdenes[descripcion_operacion],"(no encontrada)"))</f>
        <v/>
      </c>
      <c r="F226" s="5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4" t="n"/>
      <c r="B227" s="26" t="n"/>
      <c r="C227" s="4" t="n"/>
      <c r="D227" s="27" t="n"/>
      <c r="E227" s="5">
        <f>IF(tblAjustes[[#This Row],[id_operacion]]="","",_xlfn.XLOOKUP(tblAjustes[[#This Row],[id_operacion]],tblOrdenes[id_operacion],tblOrdenes[descripcion_operacion],"(no encontrada)"))</f>
        <v/>
      </c>
      <c r="F227" s="5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4" t="n"/>
      <c r="B228" s="26" t="n"/>
      <c r="C228" s="4" t="n"/>
      <c r="D228" s="27" t="n"/>
      <c r="E228" s="5">
        <f>IF(tblAjustes[[#This Row],[id_operacion]]="","",_xlfn.XLOOKUP(tblAjustes[[#This Row],[id_operacion]],tblOrdenes[id_operacion],tblOrdenes[descripcion_operacion],"(no encontrada)"))</f>
        <v/>
      </c>
      <c r="F228" s="5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4" t="n"/>
      <c r="B229" s="26" t="n"/>
      <c r="C229" s="4" t="n"/>
      <c r="D229" s="27" t="n"/>
      <c r="E229" s="5">
        <f>IF(tblAjustes[[#This Row],[id_operacion]]="","",_xlfn.XLOOKUP(tblAjustes[[#This Row],[id_operacion]],tblOrdenes[id_operacion],tblOrdenes[descripcion_operacion],"(no encontrada)"))</f>
        <v/>
      </c>
      <c r="F229" s="5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4" t="n"/>
      <c r="B230" s="26" t="n"/>
      <c r="C230" s="4" t="n"/>
      <c r="D230" s="27" t="n"/>
      <c r="E230" s="5">
        <f>IF(tblAjustes[[#This Row],[id_operacion]]="","",_xlfn.XLOOKUP(tblAjustes[[#This Row],[id_operacion]],tblOrdenes[id_operacion],tblOrdenes[descripcion_operacion],"(no encontrada)"))</f>
        <v/>
      </c>
      <c r="F230" s="5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4" t="n"/>
      <c r="B231" s="26" t="n"/>
      <c r="C231" s="4" t="n"/>
      <c r="D231" s="27" t="n"/>
      <c r="E231" s="5">
        <f>IF(tblAjustes[[#This Row],[id_operacion]]="","",_xlfn.XLOOKUP(tblAjustes[[#This Row],[id_operacion]],tblOrdenes[id_operacion],tblOrdenes[descripcion_operacion],"(no encontrada)"))</f>
        <v/>
      </c>
      <c r="F231" s="5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4" t="n"/>
      <c r="B232" s="26" t="n"/>
      <c r="C232" s="4" t="n"/>
      <c r="D232" s="27" t="n"/>
      <c r="E232" s="5">
        <f>IF(tblAjustes[[#This Row],[id_operacion]]="","",_xlfn.XLOOKUP(tblAjustes[[#This Row],[id_operacion]],tblOrdenes[id_operacion],tblOrdenes[descripcion_operacion],"(no encontrada)"))</f>
        <v/>
      </c>
      <c r="F232" s="5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4" t="n"/>
      <c r="B233" s="26" t="n"/>
      <c r="C233" s="4" t="n"/>
      <c r="D233" s="27" t="n"/>
      <c r="E233" s="5">
        <f>IF(tblAjustes[[#This Row],[id_operacion]]="","",_xlfn.XLOOKUP(tblAjustes[[#This Row],[id_operacion]],tblOrdenes[id_operacion],tblOrdenes[descripcion_operacion],"(no encontrada)"))</f>
        <v/>
      </c>
      <c r="F233" s="5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4" t="n"/>
      <c r="B234" s="26" t="n"/>
      <c r="C234" s="4" t="n"/>
      <c r="D234" s="27" t="n"/>
      <c r="E234" s="5">
        <f>IF(tblAjustes[[#This Row],[id_operacion]]="","",_xlfn.XLOOKUP(tblAjustes[[#This Row],[id_operacion]],tblOrdenes[id_operacion],tblOrdenes[descripcion_operacion],"(no encontrada)"))</f>
        <v/>
      </c>
      <c r="F234" s="5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4" t="n"/>
      <c r="B235" s="26" t="n"/>
      <c r="C235" s="4" t="n"/>
      <c r="D235" s="27" t="n"/>
      <c r="E235" s="5">
        <f>IF(tblAjustes[[#This Row],[id_operacion]]="","",_xlfn.XLOOKUP(tblAjustes[[#This Row],[id_operacion]],tblOrdenes[id_operacion],tblOrdenes[descripcion_operacion],"(no encontrada)"))</f>
        <v/>
      </c>
      <c r="F235" s="5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4" t="n"/>
      <c r="B236" s="26" t="n"/>
      <c r="C236" s="4" t="n"/>
      <c r="D236" s="27" t="n"/>
      <c r="E236" s="5">
        <f>IF(tblAjustes[[#This Row],[id_operacion]]="","",_xlfn.XLOOKUP(tblAjustes[[#This Row],[id_operacion]],tblOrdenes[id_operacion],tblOrdenes[descripcion_operacion],"(no encontrada)"))</f>
        <v/>
      </c>
      <c r="F236" s="5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4" t="n"/>
      <c r="B237" s="26" t="n"/>
      <c r="C237" s="4" t="n"/>
      <c r="D237" s="27" t="n"/>
      <c r="E237" s="5">
        <f>IF(tblAjustes[[#This Row],[id_operacion]]="","",_xlfn.XLOOKUP(tblAjustes[[#This Row],[id_operacion]],tblOrdenes[id_operacion],tblOrdenes[descripcion_operacion],"(no encontrada)"))</f>
        <v/>
      </c>
      <c r="F237" s="5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4" t="n"/>
      <c r="B238" s="26" t="n"/>
      <c r="C238" s="4" t="n"/>
      <c r="D238" s="27" t="n"/>
      <c r="E238" s="5">
        <f>IF(tblAjustes[[#This Row],[id_operacion]]="","",_xlfn.XLOOKUP(tblAjustes[[#This Row],[id_operacion]],tblOrdenes[id_operacion],tblOrdenes[descripcion_operacion],"(no encontrada)"))</f>
        <v/>
      </c>
      <c r="F238" s="5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4" t="n"/>
      <c r="B239" s="26" t="n"/>
      <c r="C239" s="4" t="n"/>
      <c r="D239" s="27" t="n"/>
      <c r="E239" s="5">
        <f>IF(tblAjustes[[#This Row],[id_operacion]]="","",_xlfn.XLOOKUP(tblAjustes[[#This Row],[id_operacion]],tblOrdenes[id_operacion],tblOrdenes[descripcion_operacion],"(no encontrada)"))</f>
        <v/>
      </c>
      <c r="F239" s="5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4" t="n"/>
      <c r="B240" s="26" t="n"/>
      <c r="C240" s="4" t="n"/>
      <c r="D240" s="27" t="n"/>
      <c r="E240" s="5">
        <f>IF(tblAjustes[[#This Row],[id_operacion]]="","",_xlfn.XLOOKUP(tblAjustes[[#This Row],[id_operacion]],tblOrdenes[id_operacion],tblOrdenes[descripcion_operacion],"(no encontrada)"))</f>
        <v/>
      </c>
      <c r="F240" s="5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4" t="n"/>
      <c r="B241" s="26" t="n"/>
      <c r="C241" s="4" t="n"/>
      <c r="D241" s="27" t="n"/>
      <c r="E241" s="5">
        <f>IF(tblAjustes[[#This Row],[id_operacion]]="","",_xlfn.XLOOKUP(tblAjustes[[#This Row],[id_operacion]],tblOrdenes[id_operacion],tblOrdenes[descripcion_operacion],"(no encontrada)"))</f>
        <v/>
      </c>
      <c r="F241" s="5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4" t="n"/>
      <c r="B242" s="26" t="n"/>
      <c r="C242" s="4" t="n"/>
      <c r="D242" s="27" t="n"/>
      <c r="E242" s="5">
        <f>IF(tblAjustes[[#This Row],[id_operacion]]="","",_xlfn.XLOOKUP(tblAjustes[[#This Row],[id_operacion]],tblOrdenes[id_operacion],tblOrdenes[descripcion_operacion],"(no encontrada)"))</f>
        <v/>
      </c>
      <c r="F242" s="5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4" t="n"/>
      <c r="B243" s="26" t="n"/>
      <c r="C243" s="4" t="n"/>
      <c r="D243" s="27" t="n"/>
      <c r="E243" s="5">
        <f>IF(tblAjustes[[#This Row],[id_operacion]]="","",_xlfn.XLOOKUP(tblAjustes[[#This Row],[id_operacion]],tblOrdenes[id_operacion],tblOrdenes[descripcion_operacion],"(no encontrada)"))</f>
        <v/>
      </c>
      <c r="F243" s="5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4" t="n"/>
      <c r="B244" s="26" t="n"/>
      <c r="C244" s="4" t="n"/>
      <c r="D244" s="27" t="n"/>
      <c r="E244" s="5">
        <f>IF(tblAjustes[[#This Row],[id_operacion]]="","",_xlfn.XLOOKUP(tblAjustes[[#This Row],[id_operacion]],tblOrdenes[id_operacion],tblOrdenes[descripcion_operacion],"(no encontrada)"))</f>
        <v/>
      </c>
      <c r="F244" s="5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4" t="n"/>
      <c r="B245" s="26" t="n"/>
      <c r="C245" s="4" t="n"/>
      <c r="D245" s="27" t="n"/>
      <c r="E245" s="5">
        <f>IF(tblAjustes[[#This Row],[id_operacion]]="","",_xlfn.XLOOKUP(tblAjustes[[#This Row],[id_operacion]],tblOrdenes[id_operacion],tblOrdenes[descripcion_operacion],"(no encontrada)"))</f>
        <v/>
      </c>
      <c r="F245" s="5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4" t="n"/>
      <c r="B246" s="26" t="n"/>
      <c r="C246" s="4" t="n"/>
      <c r="D246" s="27" t="n"/>
      <c r="E246" s="5">
        <f>IF(tblAjustes[[#This Row],[id_operacion]]="","",_xlfn.XLOOKUP(tblAjustes[[#This Row],[id_operacion]],tblOrdenes[id_operacion],tblOrdenes[descripcion_operacion],"(no encontrada)"))</f>
        <v/>
      </c>
      <c r="F246" s="5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4" t="n"/>
      <c r="B247" s="26" t="n"/>
      <c r="C247" s="4" t="n"/>
      <c r="D247" s="27" t="n"/>
      <c r="E247" s="5">
        <f>IF(tblAjustes[[#This Row],[id_operacion]]="","",_xlfn.XLOOKUP(tblAjustes[[#This Row],[id_operacion]],tblOrdenes[id_operacion],tblOrdenes[descripcion_operacion],"(no encontrada)"))</f>
        <v/>
      </c>
      <c r="F247" s="5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4" t="n"/>
      <c r="B248" s="26" t="n"/>
      <c r="C248" s="4" t="n"/>
      <c r="D248" s="27" t="n"/>
      <c r="E248" s="5">
        <f>IF(tblAjustes[[#This Row],[id_operacion]]="","",_xlfn.XLOOKUP(tblAjustes[[#This Row],[id_operacion]],tblOrdenes[id_operacion],tblOrdenes[descripcion_operacion],"(no encontrada)"))</f>
        <v/>
      </c>
      <c r="F248" s="5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4" t="n"/>
      <c r="B249" s="26" t="n"/>
      <c r="C249" s="4" t="n"/>
      <c r="D249" s="27" t="n"/>
      <c r="E249" s="5">
        <f>IF(tblAjustes[[#This Row],[id_operacion]]="","",_xlfn.XLOOKUP(tblAjustes[[#This Row],[id_operacion]],tblOrdenes[id_operacion],tblOrdenes[descripcion_operacion],"(no encontrada)"))</f>
        <v/>
      </c>
      <c r="F249" s="5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4" t="n"/>
      <c r="B250" s="26" t="n"/>
      <c r="C250" s="4" t="n"/>
      <c r="D250" s="27" t="n"/>
      <c r="E250" s="5">
        <f>IF(tblAjustes[[#This Row],[id_operacion]]="","",_xlfn.XLOOKUP(tblAjustes[[#This Row],[id_operacion]],tblOrdenes[id_operacion],tblOrdenes[descripcion_operacion],"(no encontrada)"))</f>
        <v/>
      </c>
      <c r="F250" s="5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4" t="n"/>
      <c r="B251" s="26" t="n"/>
      <c r="C251" s="4" t="n"/>
      <c r="D251" s="27" t="n"/>
      <c r="E251" s="5">
        <f>IF(tblAjustes[[#This Row],[id_operacion]]="","",_xlfn.XLOOKUP(tblAjustes[[#This Row],[id_operacion]],tblOrdenes[id_operacion],tblOrdenes[descripcion_operacion],"(no encontrada)"))</f>
        <v/>
      </c>
      <c r="F251" s="5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4" t="n"/>
      <c r="B252" s="26" t="n"/>
      <c r="C252" s="4" t="n"/>
      <c r="D252" s="27" t="n"/>
      <c r="E252" s="5">
        <f>IF(tblAjustes[[#This Row],[id_operacion]]="","",_xlfn.XLOOKUP(tblAjustes[[#This Row],[id_operacion]],tblOrdenes[id_operacion],tblOrdenes[descripcion_operacion],"(no encontrada)"))</f>
        <v/>
      </c>
      <c r="F252" s="5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4" t="n"/>
      <c r="B253" s="26" t="n"/>
      <c r="C253" s="4" t="n"/>
      <c r="D253" s="27" t="n"/>
      <c r="E253" s="5">
        <f>IF(tblAjustes[[#This Row],[id_operacion]]="","",_xlfn.XLOOKUP(tblAjustes[[#This Row],[id_operacion]],tblOrdenes[id_operacion],tblOrdenes[descripcion_operacion],"(no encontrada)"))</f>
        <v/>
      </c>
      <c r="F253" s="5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4" t="n"/>
      <c r="B254" s="26" t="n"/>
      <c r="C254" s="4" t="n"/>
      <c r="D254" s="27" t="n"/>
      <c r="E254" s="5">
        <f>IF(tblAjustes[[#This Row],[id_operacion]]="","",_xlfn.XLOOKUP(tblAjustes[[#This Row],[id_operacion]],tblOrdenes[id_operacion],tblOrdenes[descripcion_operacion],"(no encontrada)"))</f>
        <v/>
      </c>
      <c r="F254" s="5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4" t="n"/>
      <c r="B255" s="26" t="n"/>
      <c r="C255" s="4" t="n"/>
      <c r="D255" s="27" t="n"/>
      <c r="E255" s="5">
        <f>IF(tblAjustes[[#This Row],[id_operacion]]="","",_xlfn.XLOOKUP(tblAjustes[[#This Row],[id_operacion]],tblOrdenes[id_operacion],tblOrdenes[descripcion_operacion],"(no encontrada)"))</f>
        <v/>
      </c>
      <c r="F255" s="5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4" t="n"/>
      <c r="B256" s="26" t="n"/>
      <c r="C256" s="4" t="n"/>
      <c r="D256" s="27" t="n"/>
      <c r="E256" s="5">
        <f>IF(tblAjustes[[#This Row],[id_operacion]]="","",_xlfn.XLOOKUP(tblAjustes[[#This Row],[id_operacion]],tblOrdenes[id_operacion],tblOrdenes[descripcion_operacion],"(no encontrada)"))</f>
        <v/>
      </c>
      <c r="F256" s="5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4" t="n"/>
      <c r="B257" s="26" t="n"/>
      <c r="C257" s="4" t="n"/>
      <c r="D257" s="27" t="n"/>
      <c r="E257" s="5">
        <f>IF(tblAjustes[[#This Row],[id_operacion]]="","",_xlfn.XLOOKUP(tblAjustes[[#This Row],[id_operacion]],tblOrdenes[id_operacion],tblOrdenes[descripcion_operacion],"(no encontrada)"))</f>
        <v/>
      </c>
      <c r="F257" s="5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4" t="n"/>
      <c r="B258" s="26" t="n"/>
      <c r="C258" s="4" t="n"/>
      <c r="D258" s="27" t="n"/>
      <c r="E258" s="5">
        <f>IF(tblAjustes[[#This Row],[id_operacion]]="","",_xlfn.XLOOKUP(tblAjustes[[#This Row],[id_operacion]],tblOrdenes[id_operacion],tblOrdenes[descripcion_operacion],"(no encontrada)"))</f>
        <v/>
      </c>
      <c r="F258" s="5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4" t="n"/>
      <c r="B259" s="26" t="n"/>
      <c r="C259" s="4" t="n"/>
      <c r="D259" s="27" t="n"/>
      <c r="E259" s="5">
        <f>IF(tblAjustes[[#This Row],[id_operacion]]="","",_xlfn.XLOOKUP(tblAjustes[[#This Row],[id_operacion]],tblOrdenes[id_operacion],tblOrdenes[descripcion_operacion],"(no encontrada)"))</f>
        <v/>
      </c>
      <c r="F259" s="5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4" t="n"/>
      <c r="B260" s="26" t="n"/>
      <c r="C260" s="4" t="n"/>
      <c r="D260" s="27" t="n"/>
      <c r="E260" s="5">
        <f>IF(tblAjustes[[#This Row],[id_operacion]]="","",_xlfn.XLOOKUP(tblAjustes[[#This Row],[id_operacion]],tblOrdenes[id_operacion],tblOrdenes[descripcion_operacion],"(no encontrada)"))</f>
        <v/>
      </c>
      <c r="F260" s="5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4" t="n"/>
      <c r="B261" s="26" t="n"/>
      <c r="C261" s="4" t="n"/>
      <c r="D261" s="27" t="n"/>
      <c r="E261" s="5">
        <f>IF(tblAjustes[[#This Row],[id_operacion]]="","",_xlfn.XLOOKUP(tblAjustes[[#This Row],[id_operacion]],tblOrdenes[id_operacion],tblOrdenes[descripcion_operacion],"(no encontrada)"))</f>
        <v/>
      </c>
      <c r="F261" s="5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4" t="n"/>
      <c r="B262" s="26" t="n"/>
      <c r="C262" s="4" t="n"/>
      <c r="D262" s="27" t="n"/>
      <c r="E262" s="5">
        <f>IF(tblAjustes[[#This Row],[id_operacion]]="","",_xlfn.XLOOKUP(tblAjustes[[#This Row],[id_operacion]],tblOrdenes[id_operacion],tblOrdenes[descripcion_operacion],"(no encontrada)"))</f>
        <v/>
      </c>
      <c r="F262" s="5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4" t="n"/>
      <c r="B263" s="26" t="n"/>
      <c r="C263" s="4" t="n"/>
      <c r="D263" s="27" t="n"/>
      <c r="E263" s="5">
        <f>IF(tblAjustes[[#This Row],[id_operacion]]="","",_xlfn.XLOOKUP(tblAjustes[[#This Row],[id_operacion]],tblOrdenes[id_operacion],tblOrdenes[descripcion_operacion],"(no encontrada)"))</f>
        <v/>
      </c>
      <c r="F263" s="5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4" t="n"/>
      <c r="B264" s="26" t="n"/>
      <c r="C264" s="4" t="n"/>
      <c r="D264" s="27" t="n"/>
      <c r="E264" s="5">
        <f>IF(tblAjustes[[#This Row],[id_operacion]]="","",_xlfn.XLOOKUP(tblAjustes[[#This Row],[id_operacion]],tblOrdenes[id_operacion],tblOrdenes[descripcion_operacion],"(no encontrada)"))</f>
        <v/>
      </c>
      <c r="F264" s="5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4" t="n"/>
      <c r="B265" s="26" t="n"/>
      <c r="C265" s="4" t="n"/>
      <c r="D265" s="27" t="n"/>
      <c r="E265" s="5">
        <f>IF(tblAjustes[[#This Row],[id_operacion]]="","",_xlfn.XLOOKUP(tblAjustes[[#This Row],[id_operacion]],tblOrdenes[id_operacion],tblOrdenes[descripcion_operacion],"(no encontrada)"))</f>
        <v/>
      </c>
      <c r="F265" s="5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4" t="n"/>
      <c r="B266" s="26" t="n"/>
      <c r="C266" s="4" t="n"/>
      <c r="D266" s="27" t="n"/>
      <c r="E266" s="5">
        <f>IF(tblAjustes[[#This Row],[id_operacion]]="","",_xlfn.XLOOKUP(tblAjustes[[#This Row],[id_operacion]],tblOrdenes[id_operacion],tblOrdenes[descripcion_operacion],"(no encontrada)"))</f>
        <v/>
      </c>
      <c r="F266" s="5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4" t="n"/>
      <c r="B267" s="26" t="n"/>
      <c r="C267" s="4" t="n"/>
      <c r="D267" s="27" t="n"/>
      <c r="E267" s="5">
        <f>IF(tblAjustes[[#This Row],[id_operacion]]="","",_xlfn.XLOOKUP(tblAjustes[[#This Row],[id_operacion]],tblOrdenes[id_operacion],tblOrdenes[descripcion_operacion],"(no encontrada)"))</f>
        <v/>
      </c>
      <c r="F267" s="5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4" t="n"/>
      <c r="B268" s="26" t="n"/>
      <c r="C268" s="4" t="n"/>
      <c r="D268" s="27" t="n"/>
      <c r="E268" s="5">
        <f>IF(tblAjustes[[#This Row],[id_operacion]]="","",_xlfn.XLOOKUP(tblAjustes[[#This Row],[id_operacion]],tblOrdenes[id_operacion],tblOrdenes[descripcion_operacion],"(no encontrada)"))</f>
        <v/>
      </c>
      <c r="F268" s="5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4" t="n"/>
      <c r="B269" s="26" t="n"/>
      <c r="C269" s="4" t="n"/>
      <c r="D269" s="27" t="n"/>
      <c r="E269" s="5">
        <f>IF(tblAjustes[[#This Row],[id_operacion]]="","",_xlfn.XLOOKUP(tblAjustes[[#This Row],[id_operacion]],tblOrdenes[id_operacion],tblOrdenes[descripcion_operacion],"(no encontrada)"))</f>
        <v/>
      </c>
      <c r="F269" s="5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4" t="n"/>
      <c r="B270" s="26" t="n"/>
      <c r="C270" s="4" t="n"/>
      <c r="D270" s="27" t="n"/>
      <c r="E270" s="5">
        <f>IF(tblAjustes[[#This Row],[id_operacion]]="","",_xlfn.XLOOKUP(tblAjustes[[#This Row],[id_operacion]],tblOrdenes[id_operacion],tblOrdenes[descripcion_operacion],"(no encontrada)"))</f>
        <v/>
      </c>
      <c r="F270" s="5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4" t="n"/>
      <c r="B271" s="26" t="n"/>
      <c r="C271" s="4" t="n"/>
      <c r="D271" s="27" t="n"/>
      <c r="E271" s="5">
        <f>IF(tblAjustes[[#This Row],[id_operacion]]="","",_xlfn.XLOOKUP(tblAjustes[[#This Row],[id_operacion]],tblOrdenes[id_operacion],tblOrdenes[descripcion_operacion],"(no encontrada)"))</f>
        <v/>
      </c>
      <c r="F271" s="5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4" t="n"/>
      <c r="B272" s="26" t="n"/>
      <c r="C272" s="4" t="n"/>
      <c r="D272" s="27" t="n"/>
      <c r="E272" s="5">
        <f>IF(tblAjustes[[#This Row],[id_operacion]]="","",_xlfn.XLOOKUP(tblAjustes[[#This Row],[id_operacion]],tblOrdenes[id_operacion],tblOrdenes[descripcion_operacion],"(no encontrada)"))</f>
        <v/>
      </c>
      <c r="F272" s="5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4" t="n"/>
      <c r="B273" s="26" t="n"/>
      <c r="C273" s="4" t="n"/>
      <c r="D273" s="27" t="n"/>
      <c r="E273" s="5">
        <f>IF(tblAjustes[[#This Row],[id_operacion]]="","",_xlfn.XLOOKUP(tblAjustes[[#This Row],[id_operacion]],tblOrdenes[id_operacion],tblOrdenes[descripcion_operacion],"(no encontrada)"))</f>
        <v/>
      </c>
      <c r="F273" s="5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4" t="n"/>
      <c r="B274" s="26" t="n"/>
      <c r="C274" s="4" t="n"/>
      <c r="D274" s="27" t="n"/>
      <c r="E274" s="5">
        <f>IF(tblAjustes[[#This Row],[id_operacion]]="","",_xlfn.XLOOKUP(tblAjustes[[#This Row],[id_operacion]],tblOrdenes[id_operacion],tblOrdenes[descripcion_operacion],"(no encontrada)"))</f>
        <v/>
      </c>
      <c r="F274" s="5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4" t="n"/>
      <c r="B275" s="26" t="n"/>
      <c r="C275" s="4" t="n"/>
      <c r="D275" s="27" t="n"/>
      <c r="E275" s="5">
        <f>IF(tblAjustes[[#This Row],[id_operacion]]="","",_xlfn.XLOOKUP(tblAjustes[[#This Row],[id_operacion]],tblOrdenes[id_operacion],tblOrdenes[descripcion_operacion],"(no encontrada)"))</f>
        <v/>
      </c>
      <c r="F275" s="5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4" t="n"/>
      <c r="B276" s="26" t="n"/>
      <c r="C276" s="4" t="n"/>
      <c r="D276" s="27" t="n"/>
      <c r="E276" s="5">
        <f>IF(tblAjustes[[#This Row],[id_operacion]]="","",_xlfn.XLOOKUP(tblAjustes[[#This Row],[id_operacion]],tblOrdenes[id_operacion],tblOrdenes[descripcion_operacion],"(no encontrada)"))</f>
        <v/>
      </c>
      <c r="F276" s="5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4" t="n"/>
      <c r="B277" s="26" t="n"/>
      <c r="C277" s="4" t="n"/>
      <c r="D277" s="27" t="n"/>
      <c r="E277" s="5">
        <f>IF(tblAjustes[[#This Row],[id_operacion]]="","",_xlfn.XLOOKUP(tblAjustes[[#This Row],[id_operacion]],tblOrdenes[id_operacion],tblOrdenes[descripcion_operacion],"(no encontrada)"))</f>
        <v/>
      </c>
      <c r="F277" s="5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4" t="n"/>
      <c r="B278" s="26" t="n"/>
      <c r="C278" s="4" t="n"/>
      <c r="D278" s="27" t="n"/>
      <c r="E278" s="5">
        <f>IF(tblAjustes[[#This Row],[id_operacion]]="","",_xlfn.XLOOKUP(tblAjustes[[#This Row],[id_operacion]],tblOrdenes[id_operacion],tblOrdenes[descripcion_operacion],"(no encontrada)"))</f>
        <v/>
      </c>
      <c r="F278" s="5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4" t="n"/>
      <c r="B279" s="26" t="n"/>
      <c r="C279" s="4" t="n"/>
      <c r="D279" s="27" t="n"/>
      <c r="E279" s="5">
        <f>IF(tblAjustes[[#This Row],[id_operacion]]="","",_xlfn.XLOOKUP(tblAjustes[[#This Row],[id_operacion]],tblOrdenes[id_operacion],tblOrdenes[descripcion_operacion],"(no encontrada)"))</f>
        <v/>
      </c>
      <c r="F279" s="5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4" t="n"/>
      <c r="B280" s="26" t="n"/>
      <c r="C280" s="4" t="n"/>
      <c r="D280" s="27" t="n"/>
      <c r="E280" s="5">
        <f>IF(tblAjustes[[#This Row],[id_operacion]]="","",_xlfn.XLOOKUP(tblAjustes[[#This Row],[id_operacion]],tblOrdenes[id_operacion],tblOrdenes[descripcion_operacion],"(no encontrada)"))</f>
        <v/>
      </c>
      <c r="F280" s="5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4" t="n"/>
      <c r="B281" s="26" t="n"/>
      <c r="C281" s="4" t="n"/>
      <c r="D281" s="27" t="n"/>
      <c r="E281" s="5">
        <f>IF(tblAjustes[[#This Row],[id_operacion]]="","",_xlfn.XLOOKUP(tblAjustes[[#This Row],[id_operacion]],tblOrdenes[id_operacion],tblOrdenes[descripcion_operacion],"(no encontrada)"))</f>
        <v/>
      </c>
      <c r="F281" s="5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4" t="n"/>
      <c r="B282" s="26" t="n"/>
      <c r="C282" s="4" t="n"/>
      <c r="D282" s="27" t="n"/>
      <c r="E282" s="5">
        <f>IF(tblAjustes[[#This Row],[id_operacion]]="","",_xlfn.XLOOKUP(tblAjustes[[#This Row],[id_operacion]],tblOrdenes[id_operacion],tblOrdenes[descripcion_operacion],"(no encontrada)"))</f>
        <v/>
      </c>
      <c r="F282" s="5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4" t="n"/>
      <c r="B283" s="26" t="n"/>
      <c r="C283" s="4" t="n"/>
      <c r="D283" s="27" t="n"/>
      <c r="E283" s="5">
        <f>IF(tblAjustes[[#This Row],[id_operacion]]="","",_xlfn.XLOOKUP(tblAjustes[[#This Row],[id_operacion]],tblOrdenes[id_operacion],tblOrdenes[descripcion_operacion],"(no encontrada)"))</f>
        <v/>
      </c>
      <c r="F283" s="5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4" t="n"/>
      <c r="B284" s="26" t="n"/>
      <c r="C284" s="4" t="n"/>
      <c r="D284" s="27" t="n"/>
      <c r="E284" s="5">
        <f>IF(tblAjustes[[#This Row],[id_operacion]]="","",_xlfn.XLOOKUP(tblAjustes[[#This Row],[id_operacion]],tblOrdenes[id_operacion],tblOrdenes[descripcion_operacion],"(no encontrada)"))</f>
        <v/>
      </c>
      <c r="F284" s="5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4" t="n"/>
      <c r="B285" s="26" t="n"/>
      <c r="C285" s="4" t="n"/>
      <c r="D285" s="27" t="n"/>
      <c r="E285" s="5">
        <f>IF(tblAjustes[[#This Row],[id_operacion]]="","",_xlfn.XLOOKUP(tblAjustes[[#This Row],[id_operacion]],tblOrdenes[id_operacion],tblOrdenes[descripcion_operacion],"(no encontrada)"))</f>
        <v/>
      </c>
      <c r="F285" s="5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4" t="n"/>
      <c r="B286" s="26" t="n"/>
      <c r="C286" s="4" t="n"/>
      <c r="D286" s="27" t="n"/>
      <c r="E286" s="5">
        <f>IF(tblAjustes[[#This Row],[id_operacion]]="","",_xlfn.XLOOKUP(tblAjustes[[#This Row],[id_operacion]],tblOrdenes[id_operacion],tblOrdenes[descripcion_operacion],"(no encontrada)"))</f>
        <v/>
      </c>
      <c r="F286" s="5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4" t="n"/>
      <c r="B287" s="26" t="n"/>
      <c r="C287" s="4" t="n"/>
      <c r="D287" s="27" t="n"/>
      <c r="E287" s="5">
        <f>IF(tblAjustes[[#This Row],[id_operacion]]="","",_xlfn.XLOOKUP(tblAjustes[[#This Row],[id_operacion]],tblOrdenes[id_operacion],tblOrdenes[descripcion_operacion],"(no encontrada)"))</f>
        <v/>
      </c>
      <c r="F287" s="5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4" t="n"/>
      <c r="B288" s="26" t="n"/>
      <c r="C288" s="4" t="n"/>
      <c r="D288" s="27" t="n"/>
      <c r="E288" s="5">
        <f>IF(tblAjustes[[#This Row],[id_operacion]]="","",_xlfn.XLOOKUP(tblAjustes[[#This Row],[id_operacion]],tblOrdenes[id_operacion],tblOrdenes[descripcion_operacion],"(no encontrada)"))</f>
        <v/>
      </c>
      <c r="F288" s="5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4" t="n"/>
      <c r="B289" s="26" t="n"/>
      <c r="C289" s="4" t="n"/>
      <c r="D289" s="27" t="n"/>
      <c r="E289" s="5">
        <f>IF(tblAjustes[[#This Row],[id_operacion]]="","",_xlfn.XLOOKUP(tblAjustes[[#This Row],[id_operacion]],tblOrdenes[id_operacion],tblOrdenes[descripcion_operacion],"(no encontrada)"))</f>
        <v/>
      </c>
      <c r="F289" s="5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4" t="n"/>
      <c r="B290" s="26" t="n"/>
      <c r="C290" s="4" t="n"/>
      <c r="D290" s="27" t="n"/>
      <c r="E290" s="5">
        <f>IF(tblAjustes[[#This Row],[id_operacion]]="","",_xlfn.XLOOKUP(tblAjustes[[#This Row],[id_operacion]],tblOrdenes[id_operacion],tblOrdenes[descripcion_operacion],"(no encontrada)"))</f>
        <v/>
      </c>
      <c r="F290" s="5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4" t="n"/>
      <c r="B291" s="26" t="n"/>
      <c r="C291" s="4" t="n"/>
      <c r="D291" s="27" t="n"/>
      <c r="E291" s="5">
        <f>IF(tblAjustes[[#This Row],[id_operacion]]="","",_xlfn.XLOOKUP(tblAjustes[[#This Row],[id_operacion]],tblOrdenes[id_operacion],tblOrdenes[descripcion_operacion],"(no encontrada)"))</f>
        <v/>
      </c>
      <c r="F291" s="5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4" t="n"/>
      <c r="B292" s="26" t="n"/>
      <c r="C292" s="4" t="n"/>
      <c r="D292" s="27" t="n"/>
      <c r="E292" s="5">
        <f>IF(tblAjustes[[#This Row],[id_operacion]]="","",_xlfn.XLOOKUP(tblAjustes[[#This Row],[id_operacion]],tblOrdenes[id_operacion],tblOrdenes[descripcion_operacion],"(no encontrada)"))</f>
        <v/>
      </c>
      <c r="F292" s="5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4" t="n"/>
      <c r="B293" s="26" t="n"/>
      <c r="C293" s="4" t="n"/>
      <c r="D293" s="27" t="n"/>
      <c r="E293" s="5">
        <f>IF(tblAjustes[[#This Row],[id_operacion]]="","",_xlfn.XLOOKUP(tblAjustes[[#This Row],[id_operacion]],tblOrdenes[id_operacion],tblOrdenes[descripcion_operacion],"(no encontrada)"))</f>
        <v/>
      </c>
      <c r="F293" s="5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4" t="n"/>
      <c r="B294" s="26" t="n"/>
      <c r="C294" s="4" t="n"/>
      <c r="D294" s="27" t="n"/>
      <c r="E294" s="5">
        <f>IF(tblAjustes[[#This Row],[id_operacion]]="","",_xlfn.XLOOKUP(tblAjustes[[#This Row],[id_operacion]],tblOrdenes[id_operacion],tblOrdenes[descripcion_operacion],"(no encontrada)"))</f>
        <v/>
      </c>
      <c r="F294" s="5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4" t="n"/>
      <c r="B295" s="26" t="n"/>
      <c r="C295" s="4" t="n"/>
      <c r="D295" s="27" t="n"/>
      <c r="E295" s="5">
        <f>IF(tblAjustes[[#This Row],[id_operacion]]="","",_xlfn.XLOOKUP(tblAjustes[[#This Row],[id_operacion]],tblOrdenes[id_operacion],tblOrdenes[descripcion_operacion],"(no encontrada)"))</f>
        <v/>
      </c>
      <c r="F295" s="5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4" t="n"/>
      <c r="B296" s="26" t="n"/>
      <c r="C296" s="4" t="n"/>
      <c r="D296" s="27" t="n"/>
      <c r="E296" s="5">
        <f>IF(tblAjustes[[#This Row],[id_operacion]]="","",_xlfn.XLOOKUP(tblAjustes[[#This Row],[id_operacion]],tblOrdenes[id_operacion],tblOrdenes[descripcion_operacion],"(no encontrada)"))</f>
        <v/>
      </c>
      <c r="F296" s="5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4" t="n"/>
      <c r="B297" s="26" t="n"/>
      <c r="C297" s="4" t="n"/>
      <c r="D297" s="27" t="n"/>
      <c r="E297" s="5">
        <f>IF(tblAjustes[[#This Row],[id_operacion]]="","",_xlfn.XLOOKUP(tblAjustes[[#This Row],[id_operacion]],tblOrdenes[id_operacion],tblOrdenes[descripcion_operacion],"(no encontrada)"))</f>
        <v/>
      </c>
      <c r="F297" s="5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4" t="n"/>
      <c r="B298" s="26" t="n"/>
      <c r="C298" s="4" t="n"/>
      <c r="D298" s="27" t="n"/>
      <c r="E298" s="5">
        <f>IF(tblAjustes[[#This Row],[id_operacion]]="","",_xlfn.XLOOKUP(tblAjustes[[#This Row],[id_operacion]],tblOrdenes[id_operacion],tblOrdenes[descripcion_operacion],"(no encontrada)"))</f>
        <v/>
      </c>
      <c r="F298" s="5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4" t="n"/>
      <c r="B299" s="26" t="n"/>
      <c r="C299" s="4" t="n"/>
      <c r="D299" s="27" t="n"/>
      <c r="E299" s="5">
        <f>IF(tblAjustes[[#This Row],[id_operacion]]="","",_xlfn.XLOOKUP(tblAjustes[[#This Row],[id_operacion]],tblOrdenes[id_operacion],tblOrdenes[descripcion_operacion],"(no encontrada)"))</f>
        <v/>
      </c>
      <c r="F299" s="5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4" t="n"/>
      <c r="B300" s="26" t="n"/>
      <c r="C300" s="4" t="n"/>
      <c r="D300" s="27" t="n"/>
      <c r="E300" s="5">
        <f>IF(tblAjustes[[#This Row],[id_operacion]]="","",_xlfn.XLOOKUP(tblAjustes[[#This Row],[id_operacion]],tblOrdenes[id_operacion],tblOrdenes[descripcion_operacion],"(no encontrada)"))</f>
        <v/>
      </c>
      <c r="F300" s="5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4" t="n"/>
      <c r="B301" s="26" t="n"/>
      <c r="C301" s="4" t="n"/>
      <c r="D301" s="27" t="n"/>
      <c r="E301" s="5">
        <f>IF(tblAjustes[[#This Row],[id_operacion]]="","",_xlfn.XLOOKUP(tblAjustes[[#This Row],[id_operacion]],tblOrdenes[id_operacion],tblOrdenes[descripcion_operacion],"(no encontrada)"))</f>
        <v/>
      </c>
      <c r="F301" s="5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4" t="n"/>
      <c r="B302" s="26" t="n"/>
      <c r="C302" s="4" t="n"/>
      <c r="D302" s="27" t="n"/>
      <c r="E302" s="5">
        <f>IF(tblAjustes[[#This Row],[id_operacion]]="","",_xlfn.XLOOKUP(tblAjustes[[#This Row],[id_operacion]],tblOrdenes[id_operacion],tblOrdenes[descripcion_operacion],"(no encontrada)"))</f>
        <v/>
      </c>
      <c r="F302" s="5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4" t="n"/>
      <c r="B303" s="26" t="n"/>
      <c r="C303" s="4" t="n"/>
      <c r="D303" s="27" t="n"/>
      <c r="E303" s="5">
        <f>IF(tblAjustes[[#This Row],[id_operacion]]="","",_xlfn.XLOOKUP(tblAjustes[[#This Row],[id_operacion]],tblOrdenes[id_operacion],tblOrdenes[descripcion_operacion],"(no encontrada)"))</f>
        <v/>
      </c>
      <c r="F303" s="5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2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15" t="inlineStr">
        <is>
          <t>tecnico</t>
        </is>
      </c>
      <c r="B3" s="15" t="inlineStr">
        <is>
          <t>fecha_inicio</t>
        </is>
      </c>
      <c r="C3" s="15" t="inlineStr">
        <is>
          <t>fecha_fin</t>
        </is>
      </c>
      <c r="D3" s="15" t="inlineStr">
        <is>
          <t>motivo</t>
        </is>
      </c>
    </row>
    <row r="4">
      <c r="A4" s="4" t="inlineStr">
        <is>
          <t>Ana Sánchez</t>
        </is>
      </c>
      <c r="B4" s="27" t="n">
        <v>46230</v>
      </c>
      <c r="C4" s="27" t="n">
        <v>46257</v>
      </c>
      <c r="D4" s="4" t="inlineStr">
        <is>
          <t>Vacaciones anuales</t>
        </is>
      </c>
    </row>
    <row r="5">
      <c r="A5" s="4" t="inlineStr">
        <is>
          <t>Ana Sánchez</t>
        </is>
      </c>
      <c r="B5" s="27" t="n">
        <v>46279</v>
      </c>
      <c r="C5" s="27" t="n">
        <v>46285</v>
      </c>
      <c r="D5" s="4" t="inlineStr">
        <is>
          <t>Permiso</t>
        </is>
      </c>
    </row>
    <row r="6">
      <c r="A6" s="4" t="n"/>
      <c r="B6" s="27" t="n"/>
      <c r="C6" s="27" t="n"/>
      <c r="D6" s="4" t="n"/>
    </row>
    <row r="7">
      <c r="A7" s="4" t="n"/>
      <c r="B7" s="27" t="n"/>
      <c r="C7" s="27" t="n"/>
      <c r="D7" s="4" t="n"/>
    </row>
    <row r="8">
      <c r="A8" s="4" t="n"/>
      <c r="B8" s="27" t="n"/>
      <c r="C8" s="27" t="n"/>
      <c r="D8" s="4" t="n"/>
    </row>
    <row r="9">
      <c r="A9" s="4" t="n"/>
      <c r="B9" s="27" t="n"/>
      <c r="C9" s="27" t="n"/>
      <c r="D9" s="4" t="n"/>
    </row>
    <row r="10">
      <c r="A10" s="4" t="n"/>
      <c r="B10" s="27" t="n"/>
      <c r="C10" s="27" t="n"/>
      <c r="D10" s="4" t="n"/>
    </row>
    <row r="11">
      <c r="A11" s="4" t="n"/>
      <c r="B11" s="27" t="n"/>
      <c r="C11" s="27" t="n"/>
      <c r="D11" s="4" t="n"/>
    </row>
    <row r="12">
      <c r="A12" s="4" t="n"/>
      <c r="B12" s="27" t="n"/>
      <c r="C12" s="27" t="n"/>
      <c r="D12" s="4" t="n"/>
    </row>
    <row r="13">
      <c r="A13" s="4" t="n"/>
      <c r="B13" s="27" t="n"/>
      <c r="C13" s="27" t="n"/>
      <c r="D13" s="4" t="n"/>
    </row>
    <row r="14">
      <c r="A14" s="4" t="n"/>
      <c r="B14" s="27" t="n"/>
      <c r="C14" s="27" t="n"/>
      <c r="D14" s="4" t="n"/>
    </row>
    <row r="15">
      <c r="A15" s="4" t="n"/>
      <c r="B15" s="27" t="n"/>
      <c r="C15" s="27" t="n"/>
      <c r="D15" s="4" t="n"/>
    </row>
    <row r="16">
      <c r="A16" s="4" t="n"/>
      <c r="B16" s="27" t="n"/>
      <c r="C16" s="27" t="n"/>
      <c r="D16" s="4" t="n"/>
    </row>
    <row r="17">
      <c r="A17" s="4" t="n"/>
      <c r="B17" s="27" t="n"/>
      <c r="C17" s="27" t="n"/>
      <c r="D17" s="4" t="n"/>
    </row>
    <row r="18">
      <c r="A18" s="4" t="n"/>
      <c r="B18" s="27" t="n"/>
      <c r="C18" s="27" t="n"/>
      <c r="D18" s="4" t="n"/>
    </row>
    <row r="19">
      <c r="A19" s="4" t="n"/>
      <c r="B19" s="27" t="n"/>
      <c r="C19" s="27" t="n"/>
      <c r="D19" s="4" t="n"/>
    </row>
    <row r="20">
      <c r="A20" s="4" t="n"/>
      <c r="B20" s="27" t="n"/>
      <c r="C20" s="27" t="n"/>
      <c r="D20" s="4" t="n"/>
    </row>
    <row r="21">
      <c r="A21" s="4" t="n"/>
      <c r="B21" s="27" t="n"/>
      <c r="C21" s="27" t="n"/>
      <c r="D21" s="4" t="n"/>
    </row>
    <row r="22">
      <c r="A22" s="4" t="n"/>
      <c r="B22" s="27" t="n"/>
      <c r="C22" s="27" t="n"/>
      <c r="D22" s="4" t="n"/>
    </row>
    <row r="23">
      <c r="A23" s="4" t="n"/>
      <c r="B23" s="27" t="n"/>
      <c r="C23" s="27" t="n"/>
      <c r="D23" s="4" t="n"/>
    </row>
    <row r="24">
      <c r="A24" s="4" t="n"/>
      <c r="B24" s="27" t="n"/>
      <c r="C24" s="27" t="n"/>
      <c r="D24" s="4" t="n"/>
    </row>
    <row r="25">
      <c r="A25" s="4" t="n"/>
      <c r="B25" s="27" t="n"/>
      <c r="C25" s="27" t="n"/>
      <c r="D25" s="4" t="n"/>
    </row>
    <row r="26">
      <c r="A26" s="4" t="n"/>
      <c r="B26" s="27" t="n"/>
      <c r="C26" s="27" t="n"/>
      <c r="D26" s="4" t="n"/>
    </row>
    <row r="27">
      <c r="A27" s="4" t="n"/>
      <c r="B27" s="27" t="n"/>
      <c r="C27" s="27" t="n"/>
      <c r="D27" s="4" t="n"/>
    </row>
    <row r="28">
      <c r="A28" s="4" t="n"/>
      <c r="B28" s="27" t="n"/>
      <c r="C28" s="27" t="n"/>
      <c r="D28" s="4" t="n"/>
    </row>
    <row r="29">
      <c r="A29" s="4" t="n"/>
      <c r="B29" s="27" t="n"/>
      <c r="C29" s="27" t="n"/>
      <c r="D29" s="4" t="n"/>
    </row>
    <row r="30">
      <c r="A30" s="4" t="n"/>
      <c r="B30" s="27" t="n"/>
      <c r="C30" s="27" t="n"/>
      <c r="D30" s="4" t="n"/>
    </row>
    <row r="31">
      <c r="A31" s="4" t="n"/>
      <c r="B31" s="27" t="n"/>
      <c r="C31" s="27" t="n"/>
      <c r="D31" s="4" t="n"/>
    </row>
    <row r="32">
      <c r="A32" s="4" t="n"/>
      <c r="B32" s="27" t="n"/>
      <c r="C32" s="27" t="n"/>
      <c r="D32" s="4" t="n"/>
    </row>
    <row r="33">
      <c r="A33" s="4" t="n"/>
      <c r="B33" s="27" t="n"/>
      <c r="C33" s="27" t="n"/>
      <c r="D33" s="4" t="n"/>
    </row>
    <row r="34">
      <c r="A34" s="4" t="n"/>
      <c r="B34" s="27" t="n"/>
      <c r="C34" s="27" t="n"/>
      <c r="D34" s="4" t="n"/>
    </row>
    <row r="35">
      <c r="A35" s="4" t="n"/>
      <c r="B35" s="27" t="n"/>
      <c r="C35" s="27" t="n"/>
      <c r="D35" s="4" t="n"/>
    </row>
    <row r="36">
      <c r="A36" s="4" t="n"/>
      <c r="B36" s="27" t="n"/>
      <c r="C36" s="27" t="n"/>
      <c r="D36" s="4" t="n"/>
    </row>
    <row r="37">
      <c r="A37" s="4" t="n"/>
      <c r="B37" s="27" t="n"/>
      <c r="C37" s="27" t="n"/>
      <c r="D37" s="4" t="n"/>
    </row>
    <row r="38">
      <c r="A38" s="4" t="n"/>
      <c r="B38" s="27" t="n"/>
      <c r="C38" s="27" t="n"/>
      <c r="D38" s="4" t="n"/>
    </row>
    <row r="39">
      <c r="A39" s="4" t="n"/>
      <c r="B39" s="27" t="n"/>
      <c r="C39" s="27" t="n"/>
      <c r="D39" s="4" t="n"/>
    </row>
    <row r="40">
      <c r="A40" s="4" t="n"/>
      <c r="B40" s="27" t="n"/>
      <c r="C40" s="27" t="n"/>
      <c r="D40" s="4" t="n"/>
    </row>
    <row r="41">
      <c r="A41" s="4" t="n"/>
      <c r="B41" s="27" t="n"/>
      <c r="C41" s="27" t="n"/>
      <c r="D41" s="4" t="n"/>
    </row>
    <row r="42">
      <c r="A42" s="4" t="n"/>
      <c r="B42" s="27" t="n"/>
      <c r="C42" s="27" t="n"/>
      <c r="D42" s="4" t="n"/>
    </row>
    <row r="43">
      <c r="A43" s="4" t="n"/>
      <c r="B43" s="27" t="n"/>
      <c r="C43" s="27" t="n"/>
      <c r="D43" s="4" t="n"/>
    </row>
    <row r="44">
      <c r="A44" s="4" t="n"/>
      <c r="B44" s="27" t="n"/>
      <c r="C44" s="27" t="n"/>
      <c r="D44" s="4" t="n"/>
    </row>
    <row r="45">
      <c r="A45" s="4" t="n"/>
      <c r="B45" s="27" t="n"/>
      <c r="C45" s="27" t="n"/>
      <c r="D45" s="4" t="n"/>
    </row>
    <row r="46">
      <c r="A46" s="4" t="n"/>
      <c r="B46" s="27" t="n"/>
      <c r="C46" s="27" t="n"/>
      <c r="D46" s="4" t="n"/>
    </row>
    <row r="47">
      <c r="A47" s="4" t="n"/>
      <c r="B47" s="27" t="n"/>
      <c r="C47" s="27" t="n"/>
      <c r="D47" s="4" t="n"/>
    </row>
    <row r="48">
      <c r="A48" s="4" t="n"/>
      <c r="B48" s="27" t="n"/>
      <c r="C48" s="27" t="n"/>
      <c r="D48" s="4" t="n"/>
    </row>
    <row r="49">
      <c r="A49" s="4" t="n"/>
      <c r="B49" s="27" t="n"/>
      <c r="C49" s="27" t="n"/>
      <c r="D49" s="4" t="n"/>
    </row>
    <row r="50">
      <c r="A50" s="4" t="n"/>
      <c r="B50" s="27" t="n"/>
      <c r="C50" s="27" t="n"/>
      <c r="D50" s="4" t="n"/>
    </row>
    <row r="51">
      <c r="A51" s="4" t="n"/>
      <c r="B51" s="27" t="n"/>
      <c r="C51" s="27" t="n"/>
      <c r="D51" s="4" t="n"/>
    </row>
    <row r="52">
      <c r="A52" s="4" t="n"/>
      <c r="B52" s="27" t="n"/>
      <c r="C52" s="27" t="n"/>
      <c r="D52" s="4" t="n"/>
    </row>
    <row r="53">
      <c r="A53" s="4" t="n"/>
      <c r="B53" s="27" t="n"/>
      <c r="C53" s="27" t="n"/>
      <c r="D53" s="4" t="n"/>
    </row>
    <row r="54">
      <c r="A54" s="4" t="n"/>
      <c r="B54" s="27" t="n"/>
      <c r="C54" s="27" t="n"/>
      <c r="D54" s="4" t="n"/>
    </row>
    <row r="55">
      <c r="A55" s="4" t="n"/>
      <c r="B55" s="27" t="n"/>
      <c r="C55" s="27" t="n"/>
      <c r="D55" s="4" t="n"/>
    </row>
    <row r="56">
      <c r="A56" s="4" t="n"/>
      <c r="B56" s="27" t="n"/>
      <c r="C56" s="27" t="n"/>
      <c r="D56" s="4" t="n"/>
    </row>
    <row r="57">
      <c r="A57" s="4" t="n"/>
      <c r="B57" s="27" t="n"/>
      <c r="C57" s="27" t="n"/>
      <c r="D57" s="4" t="n"/>
    </row>
    <row r="58">
      <c r="A58" s="4" t="n"/>
      <c r="B58" s="27" t="n"/>
      <c r="C58" s="27" t="n"/>
      <c r="D58" s="4" t="n"/>
    </row>
    <row r="59">
      <c r="A59" s="4" t="n"/>
      <c r="B59" s="27" t="n"/>
      <c r="C59" s="27" t="n"/>
      <c r="D59" s="4" t="n"/>
    </row>
    <row r="60">
      <c r="A60" s="4" t="n"/>
      <c r="B60" s="27" t="n"/>
      <c r="C60" s="27" t="n"/>
      <c r="D60" s="4" t="n"/>
    </row>
    <row r="61">
      <c r="A61" s="4" t="n"/>
      <c r="B61" s="27" t="n"/>
      <c r="C61" s="27" t="n"/>
      <c r="D61" s="4" t="n"/>
    </row>
    <row r="62">
      <c r="A62" s="4" t="n"/>
      <c r="B62" s="27" t="n"/>
      <c r="C62" s="27" t="n"/>
      <c r="D62" s="4" t="n"/>
    </row>
    <row r="63">
      <c r="A63" s="4" t="n"/>
      <c r="B63" s="27" t="n"/>
      <c r="C63" s="27" t="n"/>
      <c r="D63" s="4" t="n"/>
    </row>
    <row r="64">
      <c r="A64" s="4" t="n"/>
      <c r="B64" s="27" t="n"/>
      <c r="C64" s="27" t="n"/>
      <c r="D64" s="4" t="n"/>
    </row>
    <row r="65">
      <c r="A65" s="4" t="n"/>
      <c r="B65" s="27" t="n"/>
      <c r="C65" s="27" t="n"/>
      <c r="D65" s="4" t="n"/>
    </row>
    <row r="66">
      <c r="A66" s="4" t="n"/>
      <c r="B66" s="27" t="n"/>
      <c r="C66" s="27" t="n"/>
      <c r="D66" s="4" t="n"/>
    </row>
    <row r="67">
      <c r="A67" s="4" t="n"/>
      <c r="B67" s="27" t="n"/>
      <c r="C67" s="27" t="n"/>
      <c r="D67" s="4" t="n"/>
    </row>
    <row r="68">
      <c r="A68" s="4" t="n"/>
      <c r="B68" s="27" t="n"/>
      <c r="C68" s="27" t="n"/>
      <c r="D68" s="4" t="n"/>
    </row>
    <row r="69">
      <c r="A69" s="4" t="n"/>
      <c r="B69" s="27" t="n"/>
      <c r="C69" s="27" t="n"/>
      <c r="D69" s="4" t="n"/>
    </row>
    <row r="70">
      <c r="A70" s="4" t="n"/>
      <c r="B70" s="27" t="n"/>
      <c r="C70" s="27" t="n"/>
      <c r="D70" s="4" t="n"/>
    </row>
    <row r="71">
      <c r="A71" s="4" t="n"/>
      <c r="B71" s="27" t="n"/>
      <c r="C71" s="27" t="n"/>
      <c r="D71" s="4" t="n"/>
    </row>
    <row r="72">
      <c r="A72" s="4" t="n"/>
      <c r="B72" s="27" t="n"/>
      <c r="C72" s="27" t="n"/>
      <c r="D72" s="4" t="n"/>
    </row>
    <row r="73">
      <c r="A73" s="4" t="n"/>
      <c r="B73" s="27" t="n"/>
      <c r="C73" s="27" t="n"/>
      <c r="D73" s="4" t="n"/>
    </row>
    <row r="74">
      <c r="A74" s="4" t="n"/>
      <c r="B74" s="27" t="n"/>
      <c r="C74" s="27" t="n"/>
      <c r="D74" s="4" t="n"/>
    </row>
    <row r="75">
      <c r="A75" s="4" t="n"/>
      <c r="B75" s="27" t="n"/>
      <c r="C75" s="27" t="n"/>
      <c r="D75" s="4" t="n"/>
    </row>
    <row r="76">
      <c r="A76" s="4" t="n"/>
      <c r="B76" s="27" t="n"/>
      <c r="C76" s="27" t="n"/>
      <c r="D76" s="4" t="n"/>
    </row>
    <row r="77">
      <c r="A77" s="4" t="n"/>
      <c r="B77" s="27" t="n"/>
      <c r="C77" s="27" t="n"/>
      <c r="D77" s="4" t="n"/>
    </row>
    <row r="78">
      <c r="A78" s="4" t="n"/>
      <c r="B78" s="27" t="n"/>
      <c r="C78" s="27" t="n"/>
      <c r="D78" s="4" t="n"/>
    </row>
    <row r="79">
      <c r="A79" s="4" t="n"/>
      <c r="B79" s="27" t="n"/>
      <c r="C79" s="27" t="n"/>
      <c r="D79" s="4" t="n"/>
    </row>
    <row r="80">
      <c r="A80" s="4" t="n"/>
      <c r="B80" s="27" t="n"/>
      <c r="C80" s="27" t="n"/>
      <c r="D80" s="4" t="n"/>
    </row>
    <row r="81">
      <c r="A81" s="4" t="n"/>
      <c r="B81" s="27" t="n"/>
      <c r="C81" s="27" t="n"/>
      <c r="D81" s="4" t="n"/>
    </row>
    <row r="82">
      <c r="A82" s="4" t="n"/>
      <c r="B82" s="27" t="n"/>
      <c r="C82" s="27" t="n"/>
      <c r="D82" s="4" t="n"/>
    </row>
    <row r="83">
      <c r="A83" s="4" t="n"/>
      <c r="B83" s="27" t="n"/>
      <c r="C83" s="27" t="n"/>
      <c r="D83" s="4" t="n"/>
    </row>
    <row r="84">
      <c r="A84" s="4" t="n"/>
      <c r="B84" s="27" t="n"/>
      <c r="C84" s="27" t="n"/>
      <c r="D84" s="4" t="n"/>
    </row>
    <row r="85">
      <c r="A85" s="4" t="n"/>
      <c r="B85" s="27" t="n"/>
      <c r="C85" s="27" t="n"/>
      <c r="D85" s="4" t="n"/>
    </row>
    <row r="86">
      <c r="A86" s="4" t="n"/>
      <c r="B86" s="27" t="n"/>
      <c r="C86" s="27" t="n"/>
      <c r="D86" s="4" t="n"/>
    </row>
    <row r="87">
      <c r="A87" s="4" t="n"/>
      <c r="B87" s="27" t="n"/>
      <c r="C87" s="27" t="n"/>
      <c r="D87" s="4" t="n"/>
    </row>
    <row r="88">
      <c r="A88" s="4" t="n"/>
      <c r="B88" s="27" t="n"/>
      <c r="C88" s="27" t="n"/>
      <c r="D88" s="4" t="n"/>
    </row>
    <row r="89">
      <c r="A89" s="4" t="n"/>
      <c r="B89" s="27" t="n"/>
      <c r="C89" s="27" t="n"/>
      <c r="D89" s="4" t="n"/>
    </row>
    <row r="90">
      <c r="A90" s="4" t="n"/>
      <c r="B90" s="27" t="n"/>
      <c r="C90" s="27" t="n"/>
      <c r="D90" s="4" t="n"/>
    </row>
    <row r="91">
      <c r="A91" s="4" t="n"/>
      <c r="B91" s="27" t="n"/>
      <c r="C91" s="27" t="n"/>
      <c r="D91" s="4" t="n"/>
    </row>
    <row r="92">
      <c r="A92" s="4" t="n"/>
      <c r="B92" s="27" t="n"/>
      <c r="C92" s="27" t="n"/>
      <c r="D92" s="4" t="n"/>
    </row>
    <row r="93">
      <c r="A93" s="4" t="n"/>
      <c r="B93" s="27" t="n"/>
      <c r="C93" s="27" t="n"/>
      <c r="D93" s="4" t="n"/>
    </row>
    <row r="94">
      <c r="A94" s="4" t="n"/>
      <c r="B94" s="27" t="n"/>
      <c r="C94" s="27" t="n"/>
      <c r="D94" s="4" t="n"/>
    </row>
    <row r="95">
      <c r="A95" s="4" t="n"/>
      <c r="B95" s="27" t="n"/>
      <c r="C95" s="27" t="n"/>
      <c r="D95" s="4" t="n"/>
    </row>
    <row r="96">
      <c r="A96" s="4" t="n"/>
      <c r="B96" s="27" t="n"/>
      <c r="C96" s="27" t="n"/>
      <c r="D96" s="4" t="n"/>
    </row>
    <row r="97">
      <c r="A97" s="4" t="n"/>
      <c r="B97" s="27" t="n"/>
      <c r="C97" s="27" t="n"/>
      <c r="D97" s="4" t="n"/>
    </row>
    <row r="98">
      <c r="A98" s="4" t="n"/>
      <c r="B98" s="27" t="n"/>
      <c r="C98" s="27" t="n"/>
      <c r="D98" s="4" t="n"/>
    </row>
    <row r="99">
      <c r="A99" s="4" t="n"/>
      <c r="B99" s="27" t="n"/>
      <c r="C99" s="27" t="n"/>
      <c r="D99" s="4" t="n"/>
    </row>
    <row r="100">
      <c r="A100" s="4" t="n"/>
      <c r="B100" s="27" t="n"/>
      <c r="C100" s="27" t="n"/>
      <c r="D100" s="4" t="n"/>
    </row>
    <row r="101">
      <c r="A101" s="4" t="n"/>
      <c r="B101" s="27" t="n"/>
      <c r="C101" s="27" t="n"/>
      <c r="D101" s="4" t="n"/>
    </row>
    <row r="102">
      <c r="A102" s="4" t="n"/>
      <c r="B102" s="27" t="n"/>
      <c r="C102" s="27" t="n"/>
      <c r="D102" s="4" t="n"/>
    </row>
    <row r="103">
      <c r="A103" s="4" t="n"/>
      <c r="B103" s="27" t="n"/>
      <c r="C103" s="27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15" t="inlineStr">
        <is>
          <t>orden</t>
        </is>
      </c>
      <c r="B8" s="15" t="inlineStr">
        <is>
          <t>operacion</t>
        </is>
      </c>
      <c r="C8" s="15" t="inlineStr">
        <is>
          <t>estado_sistema</t>
        </is>
      </c>
      <c r="D8" s="15" t="inlineStr">
        <is>
          <t>prioridad</t>
        </is>
      </c>
      <c r="E8" s="15" t="inlineStr">
        <is>
          <t>estado_instalacion</t>
        </is>
      </c>
      <c r="F8" s="15" t="inlineStr">
        <is>
          <t>precio</t>
        </is>
      </c>
      <c r="G8" s="15" t="inlineStr">
        <is>
          <t>costo_real</t>
        </is>
      </c>
      <c r="H8" s="15" t="inlineStr">
        <is>
          <t>costo_plan_total</t>
        </is>
      </c>
      <c r="I8" s="15" t="inlineStr">
        <is>
          <t>estado_usuario</t>
        </is>
      </c>
      <c r="J8" s="15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8" t="n">
        <v>100</v>
      </c>
      <c r="G9" s="18" t="n">
        <v>0</v>
      </c>
      <c r="H9" s="18" t="n">
        <v>250</v>
      </c>
      <c r="I9" s="5" t="inlineStr">
        <is>
          <t>LIBERADA</t>
        </is>
      </c>
      <c r="J9" s="5">
        <f>IF(tblEjecucion[[#This Row],[orden]]="","",tblEjecucion[[#This Row],[orden]]&amp;IF(tblEjecucion[[#This Row],[operacion]]="","0010",tblEjecucion[[#This Row],[operacion]]))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8" t="n">
        <v>80</v>
      </c>
      <c r="G10" s="18" t="n">
        <v>200</v>
      </c>
      <c r="H10" s="18" t="n">
        <v>200</v>
      </c>
      <c r="I10" s="5" t="inlineStr">
        <is>
          <t>CERRADA</t>
        </is>
      </c>
      <c r="J10" s="5">
        <f>IF(tblEjecucion[[#This Row],[orden]]="","",tblEjecucion[[#This Row],[orden]]&amp;IF(tblEjecucion[[#This Row],[operacion]]="","0010",tblEjecucion[[#This Row],[operacion]]))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8" t="n">
        <v>60</v>
      </c>
      <c r="G11" s="18" t="n">
        <v>150</v>
      </c>
      <c r="H11" s="18" t="n">
        <v>150</v>
      </c>
      <c r="I11" s="5" t="inlineStr">
        <is>
          <t>CERRADA</t>
        </is>
      </c>
      <c r="J11" s="5">
        <f>IF(tblEjecucion[[#This Row],[orden]]="","",tblEjecucion[[#This Row],[orden]]&amp;IF(tblEjecucion[[#This Row],[operacion]]="","0010",tblEjecucion[[#This Row],[operacion]]))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8" t="n">
        <v>100</v>
      </c>
      <c r="G12" s="18" t="n">
        <v>250</v>
      </c>
      <c r="H12" s="18" t="n">
        <v>250</v>
      </c>
      <c r="I12" s="5" t="inlineStr">
        <is>
          <t>CERRADA</t>
        </is>
      </c>
      <c r="J12" s="5">
        <f>IF(tblEjecucion[[#This Row],[orden]]="","",tblEjecucion[[#This Row],[orden]]&amp;IF(tblEjecucion[[#This Row],[operacion]]="","0010",tblEjecucion[[#This Row],[operacion]]))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8" t="n">
        <v>80</v>
      </c>
      <c r="G13" s="18" t="n">
        <v>200</v>
      </c>
      <c r="H13" s="18" t="n">
        <v>200</v>
      </c>
      <c r="I13" s="5" t="inlineStr">
        <is>
          <t>CERRADA</t>
        </is>
      </c>
      <c r="J13" s="5">
        <f>IF(tblEjecucion[[#This Row],[orden]]="","",tblEjecucion[[#This Row],[orden]]&amp;IF(tblEjecucion[[#This Row],[operacion]]="","0010",tblEjecucion[[#This Row],[operacion]]))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8" t="n">
        <v>60</v>
      </c>
      <c r="G14" s="18" t="n">
        <v>150</v>
      </c>
      <c r="H14" s="18" t="n">
        <v>150</v>
      </c>
      <c r="I14" s="5" t="inlineStr">
        <is>
          <t>CERRADA</t>
        </is>
      </c>
      <c r="J14" s="5">
        <f>IF(tblEjecucion[[#This Row],[orden]]="","",tblEjecucion[[#This Row],[orden]]&amp;IF(tblEjecucion[[#This Row],[operacion]]="","0010",tblEjecucion[[#This Row],[operacion]]))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8" t="n">
        <v>100</v>
      </c>
      <c r="G15" s="18" t="n">
        <v>250</v>
      </c>
      <c r="H15" s="18" t="n">
        <v>250</v>
      </c>
      <c r="I15" s="5" t="inlineStr">
        <is>
          <t>CERRADA</t>
        </is>
      </c>
      <c r="J15" s="5">
        <f>IF(tblEjecucion[[#This Row],[orden]]="","",tblEjecucion[[#This Row],[orden]]&amp;IF(tblEjecucion[[#This Row],[operacion]]="","0010",tblEjecucion[[#This Row],[operacion]]))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8" t="n">
        <v>80</v>
      </c>
      <c r="G16" s="18" t="n">
        <v>200</v>
      </c>
      <c r="H16" s="18" t="n">
        <v>200</v>
      </c>
      <c r="I16" s="5" t="inlineStr">
        <is>
          <t>CERRADA</t>
        </is>
      </c>
      <c r="J16" s="5">
        <f>IF(tblEjecucion[[#This Row],[orden]]="","",tblEjecucion[[#This Row],[orden]]&amp;IF(tblEjecucion[[#This Row],[operacion]]="","0010",tblEjecucion[[#This Row],[operacion]]))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8" t="n">
        <v>60</v>
      </c>
      <c r="G17" s="18" t="n">
        <v>150</v>
      </c>
      <c r="H17" s="18" t="n">
        <v>150</v>
      </c>
      <c r="I17" s="5" t="inlineStr">
        <is>
          <t>CERRADA</t>
        </is>
      </c>
      <c r="J17" s="5">
        <f>IF(tblEjecucion[[#This Row],[orden]]="","",tblEjecucion[[#This Row],[orden]]&amp;IF(tblEjecucion[[#This Row],[operacion]]="","0010",tblEjecucion[[#This Row],[operacion]]))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8" t="n">
        <v>80</v>
      </c>
      <c r="G18" s="18" t="n">
        <v>200</v>
      </c>
      <c r="H18" s="18" t="n">
        <v>200</v>
      </c>
      <c r="I18" s="5" t="inlineStr">
        <is>
          <t>CERRADA</t>
        </is>
      </c>
      <c r="J18" s="5">
        <f>IF(tblEjecucion[[#This Row],[orden]]="","",tblEjecucion[[#This Row],[orden]]&amp;IF(tblEjecucion[[#This Row],[operacion]]="","0010",tblEjecucion[[#This Row],[operacion]]))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8" t="n">
        <v>160</v>
      </c>
      <c r="G19" s="18" t="n">
        <v>400</v>
      </c>
      <c r="H19" s="18" t="n">
        <v>400</v>
      </c>
      <c r="I19" s="5" t="inlineStr">
        <is>
          <t>CERRADA</t>
        </is>
      </c>
      <c r="J19" s="5">
        <f>IF(tblEjecucion[[#This Row],[orden]]="","",tblEjecucion[[#This Row],[orden]]&amp;IF(tblEjecucion[[#This Row],[operacion]]="","0010",tblEjecucion[[#This Row],[operacion]]))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8" t="n">
        <v>160</v>
      </c>
      <c r="G20" s="18" t="n">
        <v>400</v>
      </c>
      <c r="H20" s="18" t="n">
        <v>400</v>
      </c>
      <c r="I20" s="5" t="inlineStr">
        <is>
          <t>CERRADA</t>
        </is>
      </c>
      <c r="J20" s="5">
        <f>IF(tblEjecucion[[#This Row],[orden]]="","",tblEjecucion[[#This Row],[orden]]&amp;IF(tblEjecucion[[#This Row],[operacion]]="","0010",tblEjecucion[[#This Row],[operacion]]))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8" t="n">
        <v>80</v>
      </c>
      <c r="G21" s="18" t="n">
        <v>200</v>
      </c>
      <c r="H21" s="18" t="n">
        <v>200</v>
      </c>
      <c r="I21" s="5" t="inlineStr">
        <is>
          <t>CERRADA</t>
        </is>
      </c>
      <c r="J21" s="5">
        <f>IF(tblEjecucion[[#This Row],[orden]]="","",tblEjecucion[[#This Row],[orden]]&amp;IF(tblEjecucion[[#This Row],[operacion]]="","0010",tblEjecucion[[#This Row],[operacion]]))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8" t="n">
        <v>80</v>
      </c>
      <c r="G22" s="18" t="n">
        <v>0</v>
      </c>
      <c r="H22" s="18" t="n">
        <v>200</v>
      </c>
      <c r="I22" s="5" t="inlineStr">
        <is>
          <t>EN EJECUCION</t>
        </is>
      </c>
      <c r="J22" s="5">
        <f>IF(tblEjecucion[[#This Row],[orden]]="","",tblEjecucion[[#This Row],[orden]]&amp;IF(tblEjecucion[[#This Row],[operacion]]="","0010",tblEjecucion[[#This Row],[operacion]]))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8" t="n">
        <v>60</v>
      </c>
      <c r="G23" s="18" t="n">
        <v>150</v>
      </c>
      <c r="H23" s="18" t="n">
        <v>150</v>
      </c>
      <c r="I23" s="5" t="inlineStr">
        <is>
          <t>CERRADA</t>
        </is>
      </c>
      <c r="J23" s="5">
        <f>IF(tblEjecucion[[#This Row],[orden]]="","",tblEjecucion[[#This Row],[orden]]&amp;IF(tblEjecucion[[#This Row],[operacion]]="","0010",tblEjecucion[[#This Row],[operacion]]))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8" t="n">
        <v>100</v>
      </c>
      <c r="G24" s="18" t="n">
        <v>0</v>
      </c>
      <c r="H24" s="18" t="n">
        <v>250</v>
      </c>
      <c r="I24" s="5" t="inlineStr">
        <is>
          <t>EN EJECUCION</t>
        </is>
      </c>
      <c r="J24" s="5">
        <f>IF(tblEjecucion[[#This Row],[orden]]="","",tblEjecucion[[#This Row],[orden]]&amp;IF(tblEjecucion[[#This Row],[operacion]]="","0010",tblEjecucion[[#This Row],[operacion]]))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8" t="n">
        <v>80</v>
      </c>
      <c r="G25" s="18" t="n">
        <v>200</v>
      </c>
      <c r="H25" s="18" t="n">
        <v>200</v>
      </c>
      <c r="I25" s="5" t="inlineStr">
        <is>
          <t>CERRADA</t>
        </is>
      </c>
      <c r="J25" s="5">
        <f>IF(tblEjecucion[[#This Row],[orden]]="","",tblEjecucion[[#This Row],[orden]]&amp;IF(tblEjecucion[[#This Row],[operacion]]="","0010",tblEjecucion[[#This Row],[operacion]]))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8" t="n">
        <v>60</v>
      </c>
      <c r="G26" s="18" t="n">
        <v>0</v>
      </c>
      <c r="H26" s="18" t="n">
        <v>150</v>
      </c>
      <c r="I26" s="5" t="inlineStr">
        <is>
          <t>EN EJECUCION</t>
        </is>
      </c>
      <c r="J26" s="5">
        <f>IF(tblEjecucion[[#This Row],[orden]]="","",tblEjecucion[[#This Row],[orden]]&amp;IF(tblEjecucion[[#This Row],[operacion]]="","0010",tblEjecucion[[#This Row],[operacion]]))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8" t="n">
        <v>100</v>
      </c>
      <c r="G27" s="18" t="n">
        <v>250</v>
      </c>
      <c r="H27" s="18" t="n">
        <v>250</v>
      </c>
      <c r="I27" s="5" t="inlineStr">
        <is>
          <t>CERRADA</t>
        </is>
      </c>
      <c r="J27" s="5">
        <f>IF(tblEjecucion[[#This Row],[orden]]="","",tblEjecucion[[#This Row],[orden]]&amp;IF(tblEjecucion[[#This Row],[operacion]]="","0010",tblEjecucion[[#This Row],[operacion]]))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8" t="n">
        <v>80</v>
      </c>
      <c r="G28" s="18" t="n">
        <v>0</v>
      </c>
      <c r="H28" s="18" t="n">
        <v>200</v>
      </c>
      <c r="I28" s="5" t="inlineStr">
        <is>
          <t>EN EJECUCION</t>
        </is>
      </c>
      <c r="J28" s="5">
        <f>IF(tblEjecucion[[#This Row],[orden]]="","",tblEjecucion[[#This Row],[orden]]&amp;IF(tblEjecucion[[#This Row],[operacion]]="","0010",tblEjecucion[[#This Row],[operacion]]))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8" t="n">
        <v>60</v>
      </c>
      <c r="G29" s="18" t="n">
        <v>150</v>
      </c>
      <c r="H29" s="18" t="n">
        <v>150</v>
      </c>
      <c r="I29" s="5" t="inlineStr">
        <is>
          <t>CERRADA</t>
        </is>
      </c>
      <c r="J29" s="5">
        <f>IF(tblEjecucion[[#This Row],[orden]]="","",tblEjecucion[[#This Row],[orden]]&amp;IF(tblEjecucion[[#This Row],[operacion]]="","0010",tblEjecucion[[#This Row],[operacion]]))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8" t="n">
        <v>80</v>
      </c>
      <c r="G30" s="18" t="n">
        <v>0</v>
      </c>
      <c r="H30" s="18" t="n">
        <v>200</v>
      </c>
      <c r="I30" s="5" t="inlineStr">
        <is>
          <t>EN EJECUCION</t>
        </is>
      </c>
      <c r="J30" s="5">
        <f>IF(tblEjecucion[[#This Row],[orden]]="","",tblEjecucion[[#This Row],[orden]]&amp;IF(tblEjecucion[[#This Row],[operacion]]="","0010",tblEjecucion[[#This Row],[operacion]]))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8" t="n">
        <v>160</v>
      </c>
      <c r="G31" s="18" t="n">
        <v>400</v>
      </c>
      <c r="H31" s="18" t="n">
        <v>400</v>
      </c>
      <c r="I31" s="5" t="inlineStr">
        <is>
          <t>CERRADA</t>
        </is>
      </c>
      <c r="J31" s="5">
        <f>IF(tblEjecucion[[#This Row],[orden]]="","",tblEjecucion[[#This Row],[orden]]&amp;IF(tblEjecucion[[#This Row],[operacion]]="","0010",tblEjecucion[[#This Row],[operacion]]))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8" t="n">
        <v>128</v>
      </c>
      <c r="G32" s="18" t="n">
        <v>0</v>
      </c>
      <c r="H32" s="18" t="n">
        <v>320</v>
      </c>
      <c r="I32" s="5" t="inlineStr">
        <is>
          <t>EN EJECUCION</t>
        </is>
      </c>
      <c r="J32" s="5">
        <f>IF(tblEjecucion[[#This Row],[orden]]="","",tblEjecucion[[#This Row],[orden]]&amp;IF(tblEjecucion[[#This Row],[operacion]]="","0010",tblEjecucion[[#This Row],[operacion]]))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8" t="n">
        <v>112</v>
      </c>
      <c r="G33" s="18" t="n">
        <v>280</v>
      </c>
      <c r="H33" s="18" t="n">
        <v>280</v>
      </c>
      <c r="I33" s="5" t="inlineStr">
        <is>
          <t>CERRADA</t>
        </is>
      </c>
      <c r="J33" s="5">
        <f>IF(tblEjecucion[[#This Row],[orden]]="","",tblEjecucion[[#This Row],[orden]]&amp;IF(tblEjecucion[[#This Row],[operacion]]="","0010",tblEjecucion[[#This Row],[operacion]]))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8" t="n">
        <v>80</v>
      </c>
      <c r="G34" s="18" t="n">
        <v>0</v>
      </c>
      <c r="H34" s="18" t="n">
        <v>200</v>
      </c>
      <c r="I34" s="5" t="inlineStr">
        <is>
          <t>LIBERADA</t>
        </is>
      </c>
      <c r="J34" s="5">
        <f>IF(tblEjecucion[[#This Row],[orden]]="","",tblEjecucion[[#This Row],[orden]]&amp;IF(tblEjecucion[[#This Row],[operacion]]="","0010",tblEjecucion[[#This Row],[operacion]]))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8" t="n">
        <v>100</v>
      </c>
      <c r="G35" s="18" t="n">
        <v>0</v>
      </c>
      <c r="H35" s="18" t="n">
        <v>250</v>
      </c>
      <c r="I35" s="5" t="inlineStr">
        <is>
          <t>LIBERADA</t>
        </is>
      </c>
      <c r="J35" s="5">
        <f>IF(tblEjecucion[[#This Row],[orden]]="","",tblEjecucion[[#This Row],[orden]]&amp;IF(tblEjecucion[[#This Row],[operacion]]="","0010",tblEjecucion[[#This Row],[operacion]]))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8" t="n">
        <v>60</v>
      </c>
      <c r="G36" s="18" t="n">
        <v>0</v>
      </c>
      <c r="H36" s="18" t="n">
        <v>150</v>
      </c>
      <c r="I36" s="5" t="inlineStr">
        <is>
          <t>LIBERADA</t>
        </is>
      </c>
      <c r="J36" s="5">
        <f>IF(tblEjecucion[[#This Row],[orden]]="","",tblEjecucion[[#This Row],[orden]]&amp;IF(tblEjecucion[[#This Row],[operacion]]="","0010",tblEjecucion[[#This Row],[operacion]]))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8" t="n">
        <v>80</v>
      </c>
      <c r="G37" s="18" t="n">
        <v>0</v>
      </c>
      <c r="H37" s="18" t="n">
        <v>200</v>
      </c>
      <c r="I37" s="5" t="inlineStr">
        <is>
          <t>LIBERADA</t>
        </is>
      </c>
      <c r="J37" s="5">
        <f>IF(tblEjecucion[[#This Row],[orden]]="","",tblEjecucion[[#This Row],[orden]]&amp;IF(tblEjecucion[[#This Row],[operacion]]="","0010",tblEjecucion[[#This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8" t="n">
        <v>80</v>
      </c>
      <c r="G38" s="18" t="n">
        <v>0</v>
      </c>
      <c r="H38" s="18" t="n">
        <v>200</v>
      </c>
      <c r="I38" s="5" t="inlineStr">
        <is>
          <t>LIBERADA</t>
        </is>
      </c>
      <c r="J38" s="5">
        <f>IF(tblEjecucion[[#This Row],[orden]]="","",tblEjecucion[[#This Row],[orden]]&amp;IF(tblEjecucion[[#This Row],[operacion]]="","0010",tblEjecucion[[#This Row],[operacion]]))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8" t="n">
        <v>160</v>
      </c>
      <c r="G39" s="18" t="n">
        <v>0</v>
      </c>
      <c r="H39" s="18" t="n">
        <v>400</v>
      </c>
      <c r="I39" s="5" t="inlineStr">
        <is>
          <t>LIBERADA</t>
        </is>
      </c>
      <c r="J39" s="5">
        <f>IF(tblEjecucion[[#This Row],[orden]]="","",tblEjecucion[[#This Row],[orden]]&amp;IF(tblEjecucion[[#This Row],[operacion]]="","0010",tblEjecucion[[#This Row],[operacion]]))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8" t="n">
        <v>80</v>
      </c>
      <c r="G40" s="18" t="n">
        <v>0</v>
      </c>
      <c r="H40" s="18" t="n">
        <v>200</v>
      </c>
      <c r="I40" s="5" t="inlineStr">
        <is>
          <t>LIBERADA</t>
        </is>
      </c>
      <c r="J40" s="5">
        <f>IF(tblEjecucion[[#This Row],[orden]]="","",tblEjecucion[[#This Row],[orden]]&amp;IF(tblEjecucion[[#This Row],[operacion]]="","0010",tblEjecucion[[#This Row],[operacion]]))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8" t="n">
        <v>100</v>
      </c>
      <c r="G41" s="18" t="n">
        <v>0</v>
      </c>
      <c r="H41" s="18" t="n">
        <v>250</v>
      </c>
      <c r="I41" s="5" t="inlineStr">
        <is>
          <t>LIBERADA</t>
        </is>
      </c>
      <c r="J41" s="5">
        <f>IF(tblEjecucion[[#This Row],[orden]]="","",tblEjecucion[[#This Row],[orden]]&amp;IF(tblEjecucion[[#This Row],[operacion]]="","0010",tblEjecucion[[#This Row],[operacion]]))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8" t="n">
        <v>60</v>
      </c>
      <c r="G42" s="18" t="n">
        <v>0</v>
      </c>
      <c r="H42" s="18" t="n">
        <v>150</v>
      </c>
      <c r="I42" s="5" t="inlineStr">
        <is>
          <t>LIBERADA</t>
        </is>
      </c>
      <c r="J42" s="5">
        <f>IF(tblEjecucion[[#This Row],[orden]]="","",tblEjecucion[[#This Row],[orden]]&amp;IF(tblEjecucion[[#This Row],[operacion]]="","0010",tblEjecucion[[#This Row],[operacion]]))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8" t="n">
        <v>80</v>
      </c>
      <c r="G43" s="18" t="n">
        <v>0</v>
      </c>
      <c r="H43" s="18" t="n">
        <v>200</v>
      </c>
      <c r="I43" s="5" t="inlineStr">
        <is>
          <t>LIBERADA</t>
        </is>
      </c>
      <c r="J43" s="5">
        <f>IF(tblEjecucion[[#This Row],[orden]]="","",tblEjecucion[[#This Row],[orden]]&amp;IF(tblEjecucion[[#This Row],[operacion]]="","0010",tblEjecucion[[#This Row],[operacion]]))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8" t="n">
        <v>160</v>
      </c>
      <c r="G44" s="18" t="n">
        <v>0</v>
      </c>
      <c r="H44" s="18" t="n">
        <v>400</v>
      </c>
      <c r="I44" s="5" t="inlineStr">
        <is>
          <t>LIBERADA</t>
        </is>
      </c>
      <c r="J44" s="5">
        <f>IF(tblEjecucion[[#This Row],[orden]]="","",tblEjecucion[[#This Row],[orden]]&amp;IF(tblEjecucion[[#This Row],[operacion]]="","0010",tblEjecucion[[#This Row],[operacion]]))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8" t="n">
        <v>100</v>
      </c>
      <c r="G45" s="18" t="n">
        <v>0</v>
      </c>
      <c r="H45" s="18" t="n">
        <v>250</v>
      </c>
      <c r="I45" s="5" t="inlineStr">
        <is>
          <t>LIBERADA</t>
        </is>
      </c>
      <c r="J45" s="5">
        <f>IF(tblEjecucion[[#This Row],[orden]]="","",tblEjecucion[[#This Row],[orden]]&amp;IF(tblEjecucion[[#This Row],[operacion]]="","0010",tblEjecucion[[#This Row],[operacion]]))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8" t="n">
        <v>80</v>
      </c>
      <c r="G46" s="18" t="n">
        <v>200</v>
      </c>
      <c r="H46" s="18" t="n">
        <v>200</v>
      </c>
      <c r="I46" s="5" t="inlineStr">
        <is>
          <t>CERRADA</t>
        </is>
      </c>
      <c r="J46" s="5">
        <f>IF(tblEjecucion[[#This Row],[orden]]="","",tblEjecucion[[#This Row],[orden]]&amp;IF(tblEjecucion[[#This Row],[operacion]]="","0010",tblEjecucion[[#This Row],[operacion]]))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8" t="n">
        <v>60</v>
      </c>
      <c r="G47" s="18" t="n">
        <v>150</v>
      </c>
      <c r="H47" s="18" t="n">
        <v>150</v>
      </c>
      <c r="I47" s="5" t="inlineStr">
        <is>
          <t>CERRADA</t>
        </is>
      </c>
      <c r="J47" s="5">
        <f>IF(tblEjecucion[[#This Row],[orden]]="","",tblEjecucion[[#This Row],[orden]]&amp;IF(tblEjecucion[[#This Row],[operacion]]="","0010",tblEjecucion[[#This Row],[operacion]]))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8" t="n">
        <v>100</v>
      </c>
      <c r="G48" s="18" t="n">
        <v>250</v>
      </c>
      <c r="H48" s="18" t="n">
        <v>250</v>
      </c>
      <c r="I48" s="5" t="inlineStr">
        <is>
          <t>CERRADA</t>
        </is>
      </c>
      <c r="J48" s="5">
        <f>IF(tblEjecucion[[#This Row],[orden]]="","",tblEjecucion[[#This Row],[orden]]&amp;IF(tblEjecucion[[#This Row],[operacion]]="","0010",tblEjecucion[[#This Row],[operacion]]))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8" t="n">
        <v>80</v>
      </c>
      <c r="G49" s="18" t="n">
        <v>200</v>
      </c>
      <c r="H49" s="18" t="n">
        <v>200</v>
      </c>
      <c r="I49" s="5" t="inlineStr">
        <is>
          <t>CERRADA</t>
        </is>
      </c>
      <c r="J49" s="5">
        <f>IF(tblEjecucion[[#This Row],[orden]]="","",tblEjecucion[[#This Row],[orden]]&amp;IF(tblEjecucion[[#This Row],[operacion]]="","0010",tblEjecucion[[#This Row],[operacion]]))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8" t="n">
        <v>60</v>
      </c>
      <c r="G50" s="18" t="n">
        <v>150</v>
      </c>
      <c r="H50" s="18" t="n">
        <v>150</v>
      </c>
      <c r="I50" s="5" t="inlineStr">
        <is>
          <t>CERRADA</t>
        </is>
      </c>
      <c r="J50" s="5">
        <f>IF(tblEjecucion[[#This Row],[orden]]="","",tblEjecucion[[#This Row],[orden]]&amp;IF(tblEjecucion[[#This Row],[operacion]]="","0010",tblEjecucion[[#This Row],[operacion]]))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8" t="n">
        <v>100</v>
      </c>
      <c r="G51" s="18" t="n">
        <v>250</v>
      </c>
      <c r="H51" s="18" t="n">
        <v>250</v>
      </c>
      <c r="I51" s="5" t="inlineStr">
        <is>
          <t>CERRADA</t>
        </is>
      </c>
      <c r="J51" s="5">
        <f>IF(tblEjecucion[[#This Row],[orden]]="","",tblEjecucion[[#This Row],[orden]]&amp;IF(tblEjecucion[[#This Row],[operacion]]="","0010",tblEjecucion[[#This Row],[operacion]]))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8" t="n">
        <v>20</v>
      </c>
      <c r="G52" s="18" t="n">
        <v>50</v>
      </c>
      <c r="H52" s="18" t="n">
        <v>50</v>
      </c>
      <c r="I52" s="5" t="inlineStr">
        <is>
          <t>CERRADA</t>
        </is>
      </c>
      <c r="J52" s="5">
        <f>IF(tblEjecucion[[#This Row],[orden]]="","",tblEjecucion[[#This Row],[orden]]&amp;IF(tblEjecucion[[#This Row],[operacion]]="","0010",tblEjecucion[[#This Row],[operacion]]))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8" t="n">
        <v>160</v>
      </c>
      <c r="G53" s="18" t="n">
        <v>400</v>
      </c>
      <c r="H53" s="18" t="n">
        <v>400</v>
      </c>
      <c r="I53" s="5" t="inlineStr">
        <is>
          <t>CERRADA</t>
        </is>
      </c>
      <c r="J53" s="5">
        <f>IF(tblEjecucion[[#This Row],[orden]]="","",tblEjecucion[[#This Row],[orden]]&amp;IF(tblEjecucion[[#This Row],[operacion]]="","0010",tblEjecucion[[#This Row],[operacion]]))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8" t="n">
        <v>80</v>
      </c>
      <c r="G54" s="18" t="n">
        <v>200</v>
      </c>
      <c r="H54" s="18" t="n">
        <v>200</v>
      </c>
      <c r="I54" s="5" t="inlineStr">
        <is>
          <t>CERRADA</t>
        </is>
      </c>
      <c r="J54" s="5">
        <f>IF(tblEjecucion[[#This Row],[orden]]="","",tblEjecucion[[#This Row],[orden]]&amp;IF(tblEjecucion[[#This Row],[operacion]]="","0010",tblEjecucion[[#This Row],[operacion]]))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8" t="n">
        <v>60</v>
      </c>
      <c r="G55" s="18" t="n">
        <v>150</v>
      </c>
      <c r="H55" s="18" t="n">
        <v>150</v>
      </c>
      <c r="I55" s="5" t="inlineStr">
        <is>
          <t>CERRADA</t>
        </is>
      </c>
      <c r="J55" s="5">
        <f>IF(tblEjecucion[[#This Row],[orden]]="","",tblEjecucion[[#This Row],[orden]]&amp;IF(tblEjecucion[[#This Row],[operacion]]="","0010",tblEjecucion[[#This Row],[operacion]]))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8" t="n">
        <v>80</v>
      </c>
      <c r="G56" s="18" t="n">
        <v>0</v>
      </c>
      <c r="H56" s="18" t="n">
        <v>200</v>
      </c>
      <c r="I56" s="5" t="inlineStr">
        <is>
          <t>EN EJECUCION</t>
        </is>
      </c>
      <c r="J56" s="5">
        <f>IF(tblEjecucion[[#This Row],[orden]]="","",tblEjecucion[[#This Row],[orden]]&amp;IF(tblEjecucion[[#This Row],[operacion]]="","0010",tblEjecucion[[#This Row],[operacion]]))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8" t="n">
        <v>60</v>
      </c>
      <c r="G57" s="18" t="n">
        <v>150</v>
      </c>
      <c r="H57" s="18" t="n">
        <v>150</v>
      </c>
      <c r="I57" s="5" t="inlineStr">
        <is>
          <t>CERRADA</t>
        </is>
      </c>
      <c r="J57" s="5">
        <f>IF(tblEjecucion[[#This Row],[orden]]="","",tblEjecucion[[#This Row],[orden]]&amp;IF(tblEjecucion[[#This Row],[operacion]]="","0010",tblEjecucion[[#This Row],[operacion]]))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8" t="n">
        <v>100</v>
      </c>
      <c r="G58" s="18" t="n">
        <v>0</v>
      </c>
      <c r="H58" s="18" t="n">
        <v>250</v>
      </c>
      <c r="I58" s="5" t="inlineStr">
        <is>
          <t>EN EJECUCION</t>
        </is>
      </c>
      <c r="J58" s="5">
        <f>IF(tblEjecucion[[#This Row],[orden]]="","",tblEjecucion[[#This Row],[orden]]&amp;IF(tblEjecucion[[#This Row],[operacion]]="","0010",tblEjecucion[[#This Row],[operacion]]))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8" t="n">
        <v>80</v>
      </c>
      <c r="G59" s="18" t="n">
        <v>200</v>
      </c>
      <c r="H59" s="18" t="n">
        <v>200</v>
      </c>
      <c r="I59" s="5" t="inlineStr">
        <is>
          <t>CERRADA</t>
        </is>
      </c>
      <c r="J59" s="5">
        <f>IF(tblEjecucion[[#This Row],[orden]]="","",tblEjecucion[[#This Row],[orden]]&amp;IF(tblEjecucion[[#This Row],[operacion]]="","0010",tblEjecucion[[#This Row],[operacion]]))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8" t="n">
        <v>60</v>
      </c>
      <c r="G60" s="18" t="n">
        <v>0</v>
      </c>
      <c r="H60" s="18" t="n">
        <v>150</v>
      </c>
      <c r="I60" s="5" t="inlineStr">
        <is>
          <t>EN EJECUCION</t>
        </is>
      </c>
      <c r="J60" s="5">
        <f>IF(tblEjecucion[[#This Row],[orden]]="","",tblEjecucion[[#This Row],[orden]]&amp;IF(tblEjecucion[[#This Row],[operacion]]="","0010",tblEjecucion[[#This Row],[operacion]]))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8" t="n">
        <v>100</v>
      </c>
      <c r="G61" s="18" t="n">
        <v>250</v>
      </c>
      <c r="H61" s="18" t="n">
        <v>250</v>
      </c>
      <c r="I61" s="5" t="inlineStr">
        <is>
          <t>CERRADA</t>
        </is>
      </c>
      <c r="J61" s="5">
        <f>IF(tblEjecucion[[#This Row],[orden]]="","",tblEjecucion[[#This Row],[orden]]&amp;IF(tblEjecucion[[#This Row],[operacion]]="","0010",tblEjecucion[[#This Row],[operacion]]))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8" t="n">
        <v>70</v>
      </c>
      <c r="G62" s="18" t="n">
        <v>0</v>
      </c>
      <c r="H62" s="18" t="n">
        <v>175</v>
      </c>
      <c r="I62" s="5" t="inlineStr">
        <is>
          <t>EN EJECUCION</t>
        </is>
      </c>
      <c r="J62" s="5">
        <f>IF(tblEjecucion[[#This Row],[orden]]="","",tblEjecucion[[#This Row],[orden]]&amp;IF(tblEjecucion[[#This Row],[operacion]]="","0010",tblEjecucion[[#This Row],[operacion]]))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8" t="n">
        <v>160</v>
      </c>
      <c r="G63" s="18" t="n">
        <v>400</v>
      </c>
      <c r="H63" s="18" t="n">
        <v>400</v>
      </c>
      <c r="I63" s="5" t="inlineStr">
        <is>
          <t>CERRADA</t>
        </is>
      </c>
      <c r="J63" s="5">
        <f>IF(tblEjecucion[[#This Row],[orden]]="","",tblEjecucion[[#This Row],[orden]]&amp;IF(tblEjecucion[[#This Row],[operacion]]="","0010",tblEjecucion[[#This Row],[operacion]]))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8" t="n">
        <v>160</v>
      </c>
      <c r="G64" s="18" t="n">
        <v>0</v>
      </c>
      <c r="H64" s="18" t="n">
        <v>400</v>
      </c>
      <c r="I64" s="5" t="inlineStr">
        <is>
          <t>EN EJECUCION</t>
        </is>
      </c>
      <c r="J64" s="5">
        <f>IF(tblEjecucion[[#This Row],[orden]]="","",tblEjecucion[[#This Row],[orden]]&amp;IF(tblEjecucion[[#This Row],[operacion]]="","0010",tblEjecucion[[#This Row],[operacion]]))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8" t="n">
        <v>100</v>
      </c>
      <c r="G65" s="18" t="n">
        <v>0</v>
      </c>
      <c r="H65" s="18" t="n">
        <v>250</v>
      </c>
      <c r="I65" s="5" t="inlineStr">
        <is>
          <t>LIBERADA</t>
        </is>
      </c>
      <c r="J65" s="5">
        <f>IF(tblEjecucion[[#This Row],[orden]]="","",tblEjecucion[[#This Row],[orden]]&amp;IF(tblEjecucion[[#This Row],[operacion]]="","0010",tblEjecucion[[#This Row],[operacion]]))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8" t="n">
        <v>60</v>
      </c>
      <c r="G66" s="18" t="n">
        <v>0</v>
      </c>
      <c r="H66" s="18" t="n">
        <v>150</v>
      </c>
      <c r="I66" s="5" t="inlineStr">
        <is>
          <t>LIBERADA</t>
        </is>
      </c>
      <c r="J66" s="5">
        <f>IF(tblEjecucion[[#This Row],[orden]]="","",tblEjecucion[[#This Row],[orden]]&amp;IF(tblEjecucion[[#This Row],[operacion]]="","0010",tblEjecucion[[#This Row],[operacion]]))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8" t="n">
        <v>80</v>
      </c>
      <c r="G67" s="18" t="n">
        <v>0</v>
      </c>
      <c r="H67" s="18" t="n">
        <v>200</v>
      </c>
      <c r="I67" s="5" t="inlineStr">
        <is>
          <t>LIBERADA</t>
        </is>
      </c>
      <c r="J67" s="5">
        <f>IF(tblEjecucion[[#This Row],[orden]]="","",tblEjecucion[[#This Row],[orden]]&amp;IF(tblEjecucion[[#This Row],[operacion]]="","0010",tblEjecucion[[#This Row],[operacion]]))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8" t="n">
        <v>100</v>
      </c>
      <c r="G68" s="18" t="n">
        <v>0</v>
      </c>
      <c r="H68" s="18" t="n">
        <v>250</v>
      </c>
      <c r="I68" s="5" t="inlineStr">
        <is>
          <t>LIBERADA</t>
        </is>
      </c>
      <c r="J68" s="5">
        <f>IF(tblEjecucion[[#This Row],[orden]]="","",tblEjecucion[[#This Row],[orden]]&amp;IF(tblEjecucion[[#This Row],[operacion]]="","0010",tblEjecucion[[#This Row],[operacion]]))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8" t="n">
        <v>160</v>
      </c>
      <c r="G69" s="18" t="n">
        <v>0</v>
      </c>
      <c r="H69" s="18" t="n">
        <v>400</v>
      </c>
      <c r="I69" s="5" t="inlineStr">
        <is>
          <t>LIBERADA</t>
        </is>
      </c>
      <c r="J69" s="5">
        <f>IF(tblEjecucion[[#This Row],[orden]]="","",tblEjecucion[[#This Row],[orden]]&amp;IF(tblEjecucion[[#This Row],[operacion]]="","0010",tblEjecucion[[#This Row],[operacion]]))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8" t="n">
        <v>80</v>
      </c>
      <c r="G70" s="18" t="n">
        <v>0</v>
      </c>
      <c r="H70" s="18" t="n">
        <v>200</v>
      </c>
      <c r="I70" s="5" t="inlineStr">
        <is>
          <t>LIBERADA</t>
        </is>
      </c>
      <c r="J70" s="5">
        <f>IF(tblEjecucion[[#This Row],[orden]]="","",tblEjecucion[[#This Row],[orden]]&amp;IF(tblEjecucion[[#This Row],[operacion]]="","0010",tblEjecucion[[#This Row],[operacion]]))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8" t="n">
        <v>100</v>
      </c>
      <c r="G71" s="18" t="n">
        <v>0</v>
      </c>
      <c r="H71" s="18" t="n">
        <v>250</v>
      </c>
      <c r="I71" s="5" t="inlineStr">
        <is>
          <t>LIBERADA</t>
        </is>
      </c>
      <c r="J71" s="5">
        <f>IF(tblEjecucion[[#This Row],[orden]]="","",tblEjecucion[[#This Row],[orden]]&amp;IF(tblEjecucion[[#This Row],[operacion]]="","0010",tblEjecucion[[#This Row],[operacion]]))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8" t="n">
        <v>80</v>
      </c>
      <c r="G72" s="18" t="n">
        <v>0</v>
      </c>
      <c r="H72" s="18" t="n">
        <v>200</v>
      </c>
      <c r="I72" s="5" t="inlineStr">
        <is>
          <t>LIBERADA</t>
        </is>
      </c>
      <c r="J72" s="5">
        <f>IF(tblEjecucion[[#This Row],[orden]]="","",tblEjecucion[[#This Row],[orden]]&amp;IF(tblEjecucion[[#This Row],[operacion]]="","0010",tblEjecucion[[#This Row],[operacion]]))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8" t="n">
        <v>100</v>
      </c>
      <c r="G73" s="18" t="n">
        <v>0</v>
      </c>
      <c r="H73" s="18" t="n">
        <v>250</v>
      </c>
      <c r="I73" s="5" t="inlineStr">
        <is>
          <t>LIBERADA</t>
        </is>
      </c>
      <c r="J73" s="5">
        <f>IF(tblEjecucion[[#This Row],[orden]]="","",tblEjecucion[[#This Row],[orden]]&amp;IF(tblEjecucion[[#This Row],[operacion]]="","0010",tblEjecucion[[#This Row],[operacion]]))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8" t="n">
        <v>80</v>
      </c>
      <c r="G74" s="18" t="n">
        <v>200</v>
      </c>
      <c r="H74" s="18" t="n">
        <v>200</v>
      </c>
      <c r="I74" s="5" t="inlineStr">
        <is>
          <t>CERRADA</t>
        </is>
      </c>
      <c r="J74" s="5">
        <f>IF(tblEjecucion[[#This Row],[orden]]="","",tblEjecucion[[#This Row],[orden]]&amp;IF(tblEjecucion[[#This Row],[operacion]]="","0010",tblEjecucion[[#This Row],[operacion]]))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8" t="n">
        <v>60</v>
      </c>
      <c r="G75" s="18" t="n">
        <v>150</v>
      </c>
      <c r="H75" s="18" t="n">
        <v>150</v>
      </c>
      <c r="I75" s="5" t="inlineStr">
        <is>
          <t>CERRADA</t>
        </is>
      </c>
      <c r="J75" s="5">
        <f>IF(tblEjecucion[[#This Row],[orden]]="","",tblEjecucion[[#This Row],[orden]]&amp;IF(tblEjecucion[[#This Row],[operacion]]="","0010",tblEjecucion[[#This Row],[operacion]]))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8" t="n">
        <v>100</v>
      </c>
      <c r="G76" s="18" t="n">
        <v>250</v>
      </c>
      <c r="H76" s="18" t="n">
        <v>250</v>
      </c>
      <c r="I76" s="5" t="inlineStr">
        <is>
          <t>CERRADA</t>
        </is>
      </c>
      <c r="J76" s="5">
        <f>IF(tblEjecucion[[#This Row],[orden]]="","",tblEjecucion[[#This Row],[orden]]&amp;IF(tblEjecucion[[#This Row],[operacion]]="","0010",tblEjecucion[[#This Row],[operacion]]))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8" t="n">
        <v>60</v>
      </c>
      <c r="G77" s="18" t="n">
        <v>150</v>
      </c>
      <c r="H77" s="18" t="n">
        <v>150</v>
      </c>
      <c r="I77" s="5" t="inlineStr">
        <is>
          <t>CERRADA</t>
        </is>
      </c>
      <c r="J77" s="5">
        <f>IF(tblEjecucion[[#This Row],[orden]]="","",tblEjecucion[[#This Row],[orden]]&amp;IF(tblEjecucion[[#This Row],[operacion]]="","0010",tblEjecucion[[#This Row],[operacion]]))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8" t="n">
        <v>160</v>
      </c>
      <c r="G78" s="18" t="n">
        <v>400</v>
      </c>
      <c r="H78" s="18" t="n">
        <v>400</v>
      </c>
      <c r="I78" s="5" t="inlineStr">
        <is>
          <t>CERRADA</t>
        </is>
      </c>
      <c r="J78" s="5">
        <f>IF(tblEjecucion[[#This Row],[orden]]="","",tblEjecucion[[#This Row],[orden]]&amp;IF(tblEjecucion[[#This Row],[operacion]]="","0010",tblEjecucion[[#This Row],[operacion]]))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8" t="n">
        <v>100</v>
      </c>
      <c r="G79" s="18" t="n">
        <v>250</v>
      </c>
      <c r="H79" s="18" t="n">
        <v>250</v>
      </c>
      <c r="I79" s="5" t="inlineStr">
        <is>
          <t>CERRADA</t>
        </is>
      </c>
      <c r="J79" s="5">
        <f>IF(tblEjecucion[[#This Row],[orden]]="","",tblEjecucion[[#This Row],[orden]]&amp;IF(tblEjecucion[[#This Row],[operacion]]="","0010",tblEjecucion[[#This Row],[operacion]]))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8" t="n">
        <v>80</v>
      </c>
      <c r="G80" s="18" t="n">
        <v>0</v>
      </c>
      <c r="H80" s="18" t="n">
        <v>200</v>
      </c>
      <c r="I80" s="5" t="inlineStr">
        <is>
          <t>EN EJECUCION</t>
        </is>
      </c>
      <c r="J80" s="5">
        <f>IF(tblEjecucion[[#This Row],[orden]]="","",tblEjecucion[[#This Row],[orden]]&amp;IF(tblEjecucion[[#This Row],[operacion]]="","0010",tblEjecucion[[#This Row],[operacion]]))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8" t="n">
        <v>60</v>
      </c>
      <c r="G81" s="18" t="n">
        <v>150</v>
      </c>
      <c r="H81" s="18" t="n">
        <v>150</v>
      </c>
      <c r="I81" s="5" t="inlineStr">
        <is>
          <t>CERRADA</t>
        </is>
      </c>
      <c r="J81" s="5">
        <f>IF(tblEjecucion[[#This Row],[orden]]="","",tblEjecucion[[#This Row],[orden]]&amp;IF(tblEjecucion[[#This Row],[operacion]]="","0010",tblEjecucion[[#This Row],[operacion]]))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8" t="n">
        <v>100</v>
      </c>
      <c r="G82" s="18" t="n">
        <v>0</v>
      </c>
      <c r="H82" s="18" t="n">
        <v>250</v>
      </c>
      <c r="I82" s="5" t="inlineStr">
        <is>
          <t>EN EJECUCION</t>
        </is>
      </c>
      <c r="J82" s="5">
        <f>IF(tblEjecucion[[#This Row],[orden]]="","",tblEjecucion[[#This Row],[orden]]&amp;IF(tblEjecucion[[#This Row],[operacion]]="","0010",tblEjecucion[[#This Row],[operacion]]))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8" t="n">
        <v>110</v>
      </c>
      <c r="G83" s="18" t="n">
        <v>275</v>
      </c>
      <c r="H83" s="18" t="n">
        <v>275</v>
      </c>
      <c r="I83" s="5" t="inlineStr">
        <is>
          <t>CERRADA</t>
        </is>
      </c>
      <c r="J83" s="5">
        <f>IF(tblEjecucion[[#This Row],[orden]]="","",tblEjecucion[[#This Row],[orden]]&amp;IF(tblEjecucion[[#This Row],[operacion]]="","0010",tblEjecucion[[#This Row],[operacion]]))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8" t="n">
        <v>160</v>
      </c>
      <c r="G84" s="18" t="n">
        <v>0</v>
      </c>
      <c r="H84" s="18" t="n">
        <v>400</v>
      </c>
      <c r="I84" s="5" t="inlineStr">
        <is>
          <t>EN EJECUCION</t>
        </is>
      </c>
      <c r="J84" s="5">
        <f>IF(tblEjecucion[[#This Row],[orden]]="","",tblEjecucion[[#This Row],[orden]]&amp;IF(tblEjecucion[[#This Row],[operacion]]="","0010",tblEjecucion[[#This Row],[operacion]]))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8" t="n">
        <v>100</v>
      </c>
      <c r="G85" s="18" t="n">
        <v>0</v>
      </c>
      <c r="H85" s="18" t="n">
        <v>250</v>
      </c>
      <c r="I85" s="5" t="inlineStr">
        <is>
          <t>LIBERADA</t>
        </is>
      </c>
      <c r="J85" s="5">
        <f>IF(tblEjecucion[[#This Row],[orden]]="","",tblEjecucion[[#This Row],[orden]]&amp;IF(tblEjecucion[[#This Row],[operacion]]="","0010",tblEjecucion[[#This Row],[operacion]]))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8" t="n">
        <v>60</v>
      </c>
      <c r="G86" s="18" t="n">
        <v>0</v>
      </c>
      <c r="H86" s="18" t="n">
        <v>150</v>
      </c>
      <c r="I86" s="5" t="inlineStr">
        <is>
          <t>LIBERADA</t>
        </is>
      </c>
      <c r="J86" s="5">
        <f>IF(tblEjecucion[[#This Row],[orden]]="","",tblEjecucion[[#This Row],[orden]]&amp;IF(tblEjecucion[[#This Row],[operacion]]="","0010",tblEjecucion[[#This Row],[operacion]]))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8" t="n">
        <v>112</v>
      </c>
      <c r="G87" s="18" t="n">
        <v>0</v>
      </c>
      <c r="H87" s="18" t="n">
        <v>280</v>
      </c>
      <c r="I87" s="5" t="inlineStr">
        <is>
          <t>LIBERADA</t>
        </is>
      </c>
      <c r="J87" s="5">
        <f>IF(tblEjecucion[[#This Row],[orden]]="","",tblEjecucion[[#This Row],[orden]]&amp;IF(tblEjecucion[[#This Row],[operacion]]="","0010",tblEjecucion[[#This Row],[operacion]]))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8" t="n">
        <v>80</v>
      </c>
      <c r="G88" s="18" t="n">
        <v>0</v>
      </c>
      <c r="H88" s="18" t="n">
        <v>200</v>
      </c>
      <c r="I88" s="5" t="inlineStr">
        <is>
          <t>LIBERADA</t>
        </is>
      </c>
      <c r="J88" s="5">
        <f>IF(tblEjecucion[[#This Row],[orden]]="","",tblEjecucion[[#This Row],[orden]]&amp;IF(tblEjecucion[[#This Row],[operacion]]="","0010",tblEjecucion[[#This Row],[operacion]]))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8" t="n">
        <v>60</v>
      </c>
      <c r="G89" s="18" t="n">
        <v>0</v>
      </c>
      <c r="H89" s="18" t="n">
        <v>150</v>
      </c>
      <c r="I89" s="5" t="inlineStr">
        <is>
          <t>LIBERADA</t>
        </is>
      </c>
      <c r="J89" s="5">
        <f>IF(tblEjecucion[[#This Row],[orden]]="","",tblEjecucion[[#This Row],[orden]]&amp;IF(tblEjecucion[[#This Row],[operacion]]="","0010",tblEjecucion[[#This Row],[operacion]]))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8" t="n">
        <v>100</v>
      </c>
      <c r="G90" s="18" t="n">
        <v>250</v>
      </c>
      <c r="H90" s="18" t="n">
        <v>250</v>
      </c>
      <c r="I90" s="5" t="inlineStr">
        <is>
          <t>CERRADA</t>
        </is>
      </c>
      <c r="J90" s="5">
        <f>IF(tblEjecucion[[#This Row],[orden]]="","",tblEjecucion[[#This Row],[orden]]&amp;IF(tblEjecucion[[#This Row],[operacion]]="","0010",tblEjecucion[[#This Row],[operacion]]))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8" t="n">
        <v>60</v>
      </c>
      <c r="G91" s="18" t="n">
        <v>0</v>
      </c>
      <c r="H91" s="18" t="n">
        <v>150</v>
      </c>
      <c r="I91" s="5" t="inlineStr">
        <is>
          <t>EN EJECUCION</t>
        </is>
      </c>
      <c r="J91" s="5">
        <f>IF(tblEjecucion[[#This Row],[orden]]="","",tblEjecucion[[#This Row],[orden]]&amp;IF(tblEjecucion[[#This Row],[operacion]]="","0010",tblEjecucion[[#This Row],[operacion]]))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8" t="n">
        <v>100</v>
      </c>
      <c r="G92" s="18" t="n">
        <v>0</v>
      </c>
      <c r="H92" s="18" t="n">
        <v>250</v>
      </c>
      <c r="I92" s="5" t="inlineStr">
        <is>
          <t>LIBERADA</t>
        </is>
      </c>
      <c r="J92" s="5">
        <f>IF(tblEjecucion[[#This Row],[orden]]="","",tblEjecucion[[#This Row],[orden]]&amp;IF(tblEjecucion[[#This Row],[operacion]]="","0010",tblEjecucion[[#This Row],[operacion]]))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8" t="n">
        <v>20</v>
      </c>
      <c r="G93" s="18" t="n">
        <v>50</v>
      </c>
      <c r="H93" s="18" t="n">
        <v>50</v>
      </c>
      <c r="I93" s="5" t="inlineStr">
        <is>
          <t>CERRADA</t>
        </is>
      </c>
      <c r="J93" s="5">
        <f>IF(tblEjecucion[[#This Row],[orden]]="","",tblEjecucion[[#This Row],[orden]]&amp;IF(tblEjecucion[[#This Row],[operacion]]="","0010",tblEjecucion[[#This Row],[operacion]]))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8" t="n">
        <v>20</v>
      </c>
      <c r="G94" s="18" t="n">
        <v>0</v>
      </c>
      <c r="H94" s="18" t="n">
        <v>50</v>
      </c>
      <c r="I94" s="5" t="inlineStr">
        <is>
          <t>LIBERADA</t>
        </is>
      </c>
      <c r="J94" s="5">
        <f>IF(tblEjecucion[[#This Row],[orden]]="","",tblEjecucion[[#This Row],[orden]]&amp;IF(tblEjecucion[[#This Row],[operacion]]="","0010",tblEjecucion[[#This Row],[operacion]]))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8" t="n">
        <v>64</v>
      </c>
      <c r="G95" s="18" t="n">
        <v>0</v>
      </c>
      <c r="H95" s="18" t="n">
        <v>160</v>
      </c>
      <c r="I95" s="5" t="inlineStr">
        <is>
          <t>EN EJECUCION</t>
        </is>
      </c>
      <c r="J95" s="5">
        <f>IF(tblEjecucion[[#This Row],[orden]]="","",tblEjecucion[[#This Row],[orden]]&amp;IF(tblEjecucion[[#This Row],[operacion]]="","0010",tblEjecucion[[#This Row],[operacion]]))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8" t="n">
        <v>96</v>
      </c>
      <c r="G96" s="18" t="n">
        <v>0</v>
      </c>
      <c r="H96" s="18" t="n">
        <v>240</v>
      </c>
      <c r="I96" s="5" t="inlineStr">
        <is>
          <t>ABIERTA</t>
        </is>
      </c>
      <c r="J96" s="5">
        <f>IF(tblEjecucion[[#This Row],[orden]]="","",tblEjecucion[[#This Row],[orden]]&amp;IF(tblEjecucion[[#This Row],[operacion]]="","0010",tblEjecucion[[#This Row],[operacion]]))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8" t="n">
        <v>128</v>
      </c>
      <c r="G97" s="18" t="n">
        <v>0</v>
      </c>
      <c r="H97" s="18" t="n">
        <v>320</v>
      </c>
      <c r="I97" s="5" t="inlineStr">
        <is>
          <t>EN EJECUCION</t>
        </is>
      </c>
      <c r="J97" s="5">
        <f>IF(tblEjecucion[[#This Row],[orden]]="","",tblEjecucion[[#This Row],[orden]]&amp;IF(tblEjecucion[[#This Row],[operacion]]="","0010",tblEjecucion[[#This Row],[operacion]]))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8" t="n">
        <v>40</v>
      </c>
      <c r="G98" s="18" t="n">
        <v>0</v>
      </c>
      <c r="H98" s="18" t="n">
        <v>100</v>
      </c>
      <c r="I98" s="5" t="inlineStr">
        <is>
          <t>ABIERTA</t>
        </is>
      </c>
      <c r="J98" s="5">
        <f>IF(tblEjecucion[[#This Row],[orden]]="","",tblEjecucion[[#This Row],[orden]]&amp;IF(tblEjecucion[[#This Row],[operacion]]="","0010",tblEjecucion[[#This Row],[operacion]]))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8" t="n">
        <v>96</v>
      </c>
      <c r="G99" s="18" t="n">
        <v>0</v>
      </c>
      <c r="H99" s="18" t="n">
        <v>240</v>
      </c>
      <c r="I99" s="5" t="inlineStr">
        <is>
          <t>EN EJECUCION</t>
        </is>
      </c>
      <c r="J99" s="5">
        <f>IF(tblEjecucion[[#This Row],[orden]]="","",tblEjecucion[[#This Row],[orden]]&amp;IF(tblEjecucion[[#This Row],[operacion]]="","0010",tblEjecucion[[#This Row],[operacion]]))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8" t="n">
        <v>128</v>
      </c>
      <c r="G100" s="18" t="n">
        <v>0</v>
      </c>
      <c r="H100" s="18" t="n">
        <v>320</v>
      </c>
      <c r="I100" s="5" t="inlineStr">
        <is>
          <t>ABIERTA</t>
        </is>
      </c>
      <c r="J100" s="5">
        <f>IF(tblEjecucion[[#This Row],[orden]]="","",tblEjecucion[[#This Row],[orden]]&amp;IF(tblEjecucion[[#This Row],[operacion]]="","0010",tblEjecucion[[#This Row],[operacion]]))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8" t="n">
        <v>64</v>
      </c>
      <c r="G101" s="18" t="n">
        <v>0</v>
      </c>
      <c r="H101" s="18" t="n">
        <v>160</v>
      </c>
      <c r="I101" s="5" t="inlineStr">
        <is>
          <t>EN EJECUCION</t>
        </is>
      </c>
      <c r="J101" s="5">
        <f>IF(tblEjecucion[[#This Row],[orden]]="","",tblEjecucion[[#This Row],[orden]]&amp;IF(tblEjecucion[[#This Row],[operacion]]="","0010",tblEjecucion[[#This Row],[operacion]]))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8" t="n">
        <v>60</v>
      </c>
      <c r="G102" s="18" t="n">
        <v>0</v>
      </c>
      <c r="H102" s="18" t="n">
        <v>150</v>
      </c>
      <c r="I102" s="5" t="inlineStr">
        <is>
          <t>ABIERTA</t>
        </is>
      </c>
      <c r="J102" s="5">
        <f>IF(tblEjecucion[[#This Row],[orden]]="","",tblEjecucion[[#This Row],[orden]]&amp;IF(tblEjecucion[[#This Row],[operacion]]="","0010",tblEjecucion[[#This Row],[operacion]]))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8" t="n">
        <v>64</v>
      </c>
      <c r="G103" s="18" t="n">
        <v>0</v>
      </c>
      <c r="H103" s="18" t="n">
        <v>160</v>
      </c>
      <c r="I103" s="5" t="inlineStr">
        <is>
          <t>EN EJECUCION</t>
        </is>
      </c>
      <c r="J103" s="5">
        <f>IF(tblEjecucion[[#This Row],[orden]]="","",tblEjecucion[[#This Row],[orden]]&amp;IF(tblEjecucion[[#This Row],[operacion]]="","0010",tblEjecucion[[#This Row],[operacion]]))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8" t="n">
        <v>96</v>
      </c>
      <c r="G104" s="18" t="n">
        <v>0</v>
      </c>
      <c r="H104" s="18" t="n">
        <v>240</v>
      </c>
      <c r="I104" s="5" t="inlineStr">
        <is>
          <t>ABIERTA</t>
        </is>
      </c>
      <c r="J104" s="5">
        <f>IF(tblEjecucion[[#This Row],[orden]]="","",tblEjecucion[[#This Row],[orden]]&amp;IF(tblEjecucion[[#This Row],[operacion]]="","0010",tblEjecucion[[#This Row],[operacion]]))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8" t="n">
        <v>128</v>
      </c>
      <c r="G105" s="18" t="n">
        <v>0</v>
      </c>
      <c r="H105" s="18" t="n">
        <v>320</v>
      </c>
      <c r="I105" s="5" t="inlineStr">
        <is>
          <t>EN EJECUCION</t>
        </is>
      </c>
      <c r="J105" s="5">
        <f>IF(tblEjecucion[[#This Row],[orden]]="","",tblEjecucion[[#This Row],[orden]]&amp;IF(tblEjecucion[[#This Row],[operacion]]="","0010",tblEjecucion[[#This Row],[operacion]]))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8" t="n">
        <v>40</v>
      </c>
      <c r="G106" s="18" t="n">
        <v>0</v>
      </c>
      <c r="H106" s="18" t="n">
        <v>100</v>
      </c>
      <c r="I106" s="5" t="inlineStr">
        <is>
          <t>ABIERTA</t>
        </is>
      </c>
      <c r="J106" s="5">
        <f>IF(tblEjecucion[[#This Row],[orden]]="","",tblEjecucion[[#This Row],[orden]]&amp;IF(tblEjecucion[[#This Row],[operacion]]="","0010",tblEjecucion[[#This Row],[operacion]]))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8" t="n">
        <v>96</v>
      </c>
      <c r="G107" s="18" t="n">
        <v>0</v>
      </c>
      <c r="H107" s="18" t="n">
        <v>240</v>
      </c>
      <c r="I107" s="5" t="inlineStr">
        <is>
          <t>EN EJECUCION</t>
        </is>
      </c>
      <c r="J107" s="5">
        <f>IF(tblEjecucion[[#This Row],[orden]]="","",tblEjecucion[[#This Row],[orden]]&amp;IF(tblEjecucion[[#This Row],[operacion]]="","0010",tblEjecucion[[#This Row],[operacion]]))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8" t="n">
        <v>128</v>
      </c>
      <c r="G108" s="18" t="n">
        <v>0</v>
      </c>
      <c r="H108" s="18" t="n">
        <v>320</v>
      </c>
      <c r="I108" s="5" t="inlineStr">
        <is>
          <t>ABIERTA</t>
        </is>
      </c>
      <c r="J108" s="5">
        <f>IF(tblEjecucion[[#This Row],[orden]]="","",tblEjecucion[[#This Row],[orden]]&amp;IF(tblEjecucion[[#This Row],[operacion]]="","0010",tblEjecucion[[#This Row],[operacion]]))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8" t="n">
        <v>64</v>
      </c>
      <c r="G109" s="18" t="n">
        <v>0</v>
      </c>
      <c r="H109" s="18" t="n">
        <v>160</v>
      </c>
      <c r="I109" s="5" t="inlineStr">
        <is>
          <t>EN EJECUCION</t>
        </is>
      </c>
      <c r="J109" s="5">
        <f>IF(tblEjecucion[[#This Row],[orden]]="","",tblEjecucion[[#This Row],[orden]]&amp;IF(tblEjecucion[[#This Row],[operacion]]="","0010",tblEjecucion[[#This Row],[operacion]]))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8" t="n">
        <v>96</v>
      </c>
      <c r="G110" s="18" t="n">
        <v>0</v>
      </c>
      <c r="H110" s="18" t="n">
        <v>240</v>
      </c>
      <c r="I110" s="5" t="inlineStr">
        <is>
          <t>ABIERTA</t>
        </is>
      </c>
      <c r="J110" s="5">
        <f>IF(tblEjecucion[[#This Row],[orden]]="","",tblEjecucion[[#This Row],[orden]]&amp;IF(tblEjecucion[[#This Row],[operacion]]="","0010",tblEjecucion[[#This Row],[operacion]]))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8" t="n">
        <v>128</v>
      </c>
      <c r="G111" s="18" t="n">
        <v>0</v>
      </c>
      <c r="H111" s="18" t="n">
        <v>320</v>
      </c>
      <c r="I111" s="5" t="inlineStr">
        <is>
          <t>EN EJECUCION</t>
        </is>
      </c>
      <c r="J111" s="5">
        <f>IF(tblEjecucion[[#This Row],[orden]]="","",tblEjecucion[[#This Row],[orden]]&amp;IF(tblEjecucion[[#This Row],[operacion]]="","0010",tblEjecucion[[#This Row],[operacion]]))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8" t="n">
        <v>40</v>
      </c>
      <c r="G112" s="18" t="n">
        <v>0</v>
      </c>
      <c r="H112" s="18" t="n">
        <v>100</v>
      </c>
      <c r="I112" s="5" t="inlineStr">
        <is>
          <t>ABIERTA</t>
        </is>
      </c>
      <c r="J112" s="5">
        <f>IF(tblEjecucion[[#This Row],[orden]]="","",tblEjecucion[[#This Row],[orden]]&amp;IF(tblEjecucion[[#This Row],[operacion]]="","0010",tblEjecucion[[#This Row],[operacion]]))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8" t="n">
        <v>96</v>
      </c>
      <c r="G113" s="18" t="n">
        <v>0</v>
      </c>
      <c r="H113" s="18" t="n">
        <v>240</v>
      </c>
      <c r="I113" s="5" t="inlineStr">
        <is>
          <t>EN EJECUCION</t>
        </is>
      </c>
      <c r="J113" s="5">
        <f>IF(tblEjecucion[[#This Row],[orden]]="","",tblEjecucion[[#This Row],[orden]]&amp;IF(tblEjecucion[[#This Row],[operacion]]="","0010",tblEjecucion[[#This Row],[operacion]]))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8" t="n">
        <v>128</v>
      </c>
      <c r="G114" s="18" t="n">
        <v>0</v>
      </c>
      <c r="H114" s="18" t="n">
        <v>320</v>
      </c>
      <c r="I114" s="5" t="inlineStr">
        <is>
          <t>ABIERTA</t>
        </is>
      </c>
      <c r="J114" s="5">
        <f>IF(tblEjecucion[[#This Row],[orden]]="","",tblEjecucion[[#This Row],[orden]]&amp;IF(tblEjecucion[[#This Row],[operacion]]="","0010",tblEjecucion[[#This Row],[operacion]]))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8" t="n">
        <v>64</v>
      </c>
      <c r="G115" s="18" t="n">
        <v>0</v>
      </c>
      <c r="H115" s="18" t="n">
        <v>160</v>
      </c>
      <c r="I115" s="5" t="inlineStr">
        <is>
          <t>EN EJECUCION</t>
        </is>
      </c>
      <c r="J115" s="5">
        <f>IF(tblEjecucion[[#This Row],[orden]]="","",tblEjecucion[[#This Row],[orden]]&amp;IF(tblEjecucion[[#This Row],[operacion]]="","0010",tblEjecucion[[#This Row],[operacion]]))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8" t="n">
        <v>96</v>
      </c>
      <c r="G116" s="18" t="n">
        <v>0</v>
      </c>
      <c r="H116" s="18" t="n">
        <v>240</v>
      </c>
      <c r="I116" s="5" t="inlineStr">
        <is>
          <t>ABIERTA</t>
        </is>
      </c>
      <c r="J116" s="5">
        <f>IF(tblEjecucion[[#This Row],[orden]]="","",tblEjecucion[[#This Row],[orden]]&amp;IF(tblEjecucion[[#This Row],[operacion]]="","0010",tblEjecucion[[#This Row],[operacion]]))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8" t="n">
        <v>128</v>
      </c>
      <c r="G117" s="18" t="n">
        <v>0</v>
      </c>
      <c r="H117" s="18" t="n">
        <v>320</v>
      </c>
      <c r="I117" s="5" t="inlineStr">
        <is>
          <t>EN EJECUCION</t>
        </is>
      </c>
      <c r="J117" s="5">
        <f>IF(tblEjecucion[[#This Row],[orden]]="","",tblEjecucion[[#This Row],[orden]]&amp;IF(tblEjecucion[[#This Row],[operacion]]="","0010",tblEjecucion[[#This Row],[operacion]]))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8" t="n">
        <v>40</v>
      </c>
      <c r="G118" s="18" t="n">
        <v>0</v>
      </c>
      <c r="H118" s="18" t="n">
        <v>100</v>
      </c>
      <c r="I118" s="5" t="inlineStr">
        <is>
          <t>ABIERTA</t>
        </is>
      </c>
      <c r="J118" s="5">
        <f>IF(tblEjecucion[[#This Row],[orden]]="","",tblEjecucion[[#This Row],[orden]]&amp;IF(tblEjecucion[[#This Row],[operacion]]="","0010",tblEjecucion[[#This Row],[operacion]]))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8" t="n">
        <v>64</v>
      </c>
      <c r="G119" s="18" t="n">
        <v>0</v>
      </c>
      <c r="H119" s="18" t="n">
        <v>160</v>
      </c>
      <c r="I119" s="5" t="inlineStr">
        <is>
          <t>EN EJECUCION</t>
        </is>
      </c>
      <c r="J119" s="5">
        <f>IF(tblEjecucion[[#This Row],[orden]]="","",tblEjecucion[[#This Row],[orden]]&amp;IF(tblEjecucion[[#This Row],[operacion]]="","0010",tblEjecucion[[#This Row],[operacion]]))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8" t="n">
        <v>96</v>
      </c>
      <c r="G120" s="18" t="n">
        <v>0</v>
      </c>
      <c r="H120" s="18" t="n">
        <v>240</v>
      </c>
      <c r="I120" s="5" t="inlineStr">
        <is>
          <t>ABIERTA</t>
        </is>
      </c>
      <c r="J120" s="5">
        <f>IF(tblEjecucion[[#This Row],[orden]]="","",tblEjecucion[[#This Row],[orden]]&amp;IF(tblEjecucion[[#This Row],[operacion]]="","0010",tblEjecucion[[#This Row],[operacion]]))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8" t="n">
        <v>128</v>
      </c>
      <c r="G121" s="18" t="n">
        <v>0</v>
      </c>
      <c r="H121" s="18" t="n">
        <v>320</v>
      </c>
      <c r="I121" s="5" t="inlineStr">
        <is>
          <t>EN EJECUCION</t>
        </is>
      </c>
      <c r="J121" s="5">
        <f>IF(tblEjecucion[[#This Row],[orden]]="","",tblEjecucion[[#This Row],[orden]]&amp;IF(tblEjecucion[[#This Row],[operacion]]="","0010",tblEjecucion[[#This Row],[operacion]]))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8" t="n">
        <v>40</v>
      </c>
      <c r="G122" s="18" t="n">
        <v>0</v>
      </c>
      <c r="H122" s="18" t="n">
        <v>100</v>
      </c>
      <c r="I122" s="5" t="inlineStr">
        <is>
          <t>ABIERTA</t>
        </is>
      </c>
      <c r="J122" s="5">
        <f>IF(tblEjecucion[[#This Row],[orden]]="","",tblEjecucion[[#This Row],[orden]]&amp;IF(tblEjecucion[[#This Row],[operacion]]="","0010",tblEjecucion[[#This Row],[operacion]]))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8" t="n">
        <v>40</v>
      </c>
      <c r="G123" s="18" t="n">
        <v>100</v>
      </c>
      <c r="H123" s="18" t="n">
        <v>100</v>
      </c>
      <c r="I123" s="5" t="inlineStr">
        <is>
          <t>CERRADA</t>
        </is>
      </c>
      <c r="J123" s="5">
        <f>IF(tblEjecucion[[#This Row],[orden]]="","",tblEjecucion[[#This Row],[orden]]&amp;IF(tblEjecucion[[#This Row],[operacion]]="","0010",tblEjecucion[[#This Row],[operacion]]))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8" t="n">
        <v>96</v>
      </c>
      <c r="G124" s="18" t="n">
        <v>240</v>
      </c>
      <c r="H124" s="18" t="n">
        <v>240</v>
      </c>
      <c r="I124" s="5" t="inlineStr">
        <is>
          <t>CERRADA</t>
        </is>
      </c>
      <c r="J124" s="5">
        <f>IF(tblEjecucion[[#This Row],[orden]]="","",tblEjecucion[[#This Row],[orden]]&amp;IF(tblEjecucion[[#This Row],[operacion]]="","0010",tblEjecucion[[#This Row],[operacion]]))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8" t="n">
        <v>80</v>
      </c>
      <c r="G125" s="18" t="n">
        <v>200</v>
      </c>
      <c r="H125" s="18" t="n">
        <v>200</v>
      </c>
      <c r="I125" s="5" t="inlineStr">
        <is>
          <t>CERRADA</t>
        </is>
      </c>
      <c r="J125" s="5">
        <f>IF(tblEjecucion[[#This Row],[orden]]="","",tblEjecucion[[#This Row],[orden]]&amp;IF(tblEjecucion[[#This Row],[operacion]]="","0010",tblEjecucion[[#This Row],[operacion]]))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8" t="n">
        <v>260</v>
      </c>
      <c r="G126" s="18" t="n">
        <v>160</v>
      </c>
      <c r="H126" s="18" t="n">
        <v>160</v>
      </c>
      <c r="I126" s="5" t="inlineStr">
        <is>
          <t>CERRADA</t>
        </is>
      </c>
      <c r="J126" s="5">
        <f>IF(tblEjecucion[[#This Row],[orden]]="","",tblEjecucion[[#This Row],[orden]]&amp;IF(tblEjecucion[[#This Row],[operacion]]="","0010",tblEjecucion[[#This Row],[operacion]]))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8" t="n">
        <v>60</v>
      </c>
      <c r="G127" s="18" t="n">
        <v>150</v>
      </c>
      <c r="H127" s="18" t="n">
        <v>150</v>
      </c>
      <c r="I127" s="5" t="inlineStr">
        <is>
          <t>CERRADA</t>
        </is>
      </c>
      <c r="J127" s="5">
        <f>IF(tblEjecucion[[#This Row],[orden]]="","",tblEjecucion[[#This Row],[orden]]&amp;IF(tblEjecucion[[#This Row],[operacion]]="","0010",tblEjecucion[[#This Row],[operacion]]))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8" t="n">
        <v>128</v>
      </c>
      <c r="G128" s="18" t="n">
        <v>320</v>
      </c>
      <c r="H128" s="18" t="n">
        <v>320</v>
      </c>
      <c r="I128" s="5" t="inlineStr">
        <is>
          <t>CERRADA</t>
        </is>
      </c>
      <c r="J128" s="5">
        <f>IF(tblEjecucion[[#This Row],[orden]]="","",tblEjecucion[[#This Row],[orden]]&amp;IF(tblEjecucion[[#This Row],[operacion]]="","0010",tblEjecucion[[#This Row],[operacion]]))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8" t="n">
        <v>40</v>
      </c>
      <c r="G129" s="18" t="n">
        <v>100</v>
      </c>
      <c r="H129" s="18" t="n">
        <v>100</v>
      </c>
      <c r="I129" s="5" t="inlineStr">
        <is>
          <t>CERRADA</t>
        </is>
      </c>
      <c r="J129" s="5">
        <f>IF(tblEjecucion[[#This Row],[orden]]="","",tblEjecucion[[#This Row],[orden]]&amp;IF(tblEjecucion[[#This Row],[operacion]]="","0010",tblEjecucion[[#This Row],[operacion]]))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8" t="n">
        <v>96</v>
      </c>
      <c r="G130" s="18" t="n">
        <v>240</v>
      </c>
      <c r="H130" s="18" t="n">
        <v>240</v>
      </c>
      <c r="I130" s="5" t="inlineStr">
        <is>
          <t>CERRADA</t>
        </is>
      </c>
      <c r="J130" s="5">
        <f>IF(tblEjecucion[[#This Row],[orden]]="","",tblEjecucion[[#This Row],[orden]]&amp;IF(tblEjecucion[[#This Row],[operacion]]="","0010",tblEjecucion[[#This Row],[operacion]]))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8" t="n">
        <v>80</v>
      </c>
      <c r="G131" s="18" t="n">
        <v>200</v>
      </c>
      <c r="H131" s="18" t="n">
        <v>200</v>
      </c>
      <c r="I131" s="5" t="inlineStr">
        <is>
          <t>CERRADA</t>
        </is>
      </c>
      <c r="J131" s="5">
        <f>IF(tblEjecucion[[#This Row],[orden]]="","",tblEjecucion[[#This Row],[orden]]&amp;IF(tblEjecucion[[#This Row],[operacion]]="","0010",tblEjecucion[[#This Row],[operacion]]))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8" t="n">
        <v>64</v>
      </c>
      <c r="G132" s="18" t="n">
        <v>160</v>
      </c>
      <c r="H132" s="18" t="n">
        <v>160</v>
      </c>
      <c r="I132" s="5" t="inlineStr">
        <is>
          <t>CERRADA</t>
        </is>
      </c>
      <c r="J132" s="5">
        <f>IF(tblEjecucion[[#This Row],[orden]]="","",tblEjecucion[[#This Row],[orden]]&amp;IF(tblEjecucion[[#This Row],[operacion]]="","0010",tblEjecucion[[#This Row],[operacion]]))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8" t="n">
        <v>250</v>
      </c>
      <c r="G133" s="18" t="n">
        <v>150</v>
      </c>
      <c r="H133" s="18" t="n">
        <v>150</v>
      </c>
      <c r="I133" s="5" t="inlineStr">
        <is>
          <t>CERRADA</t>
        </is>
      </c>
      <c r="J133" s="5">
        <f>IF(tblEjecucion[[#This Row],[orden]]="","",tblEjecucion[[#This Row],[orden]]&amp;IF(tblEjecucion[[#This Row],[operacion]]="","0010",tblEjecucion[[#This Row],[operacion]]))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8" t="n">
        <v>128</v>
      </c>
      <c r="G134" s="18" t="n">
        <v>320</v>
      </c>
      <c r="H134" s="18" t="n">
        <v>320</v>
      </c>
      <c r="I134" s="5" t="inlineStr">
        <is>
          <t>CERRADA</t>
        </is>
      </c>
      <c r="J134" s="5">
        <f>IF(tblEjecucion[[#This Row],[orden]]="","",tblEjecucion[[#This Row],[orden]]&amp;IF(tblEjecucion[[#This Row],[operacion]]="","0010",tblEjecucion[[#This Row],[operacion]]))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8" t="n">
        <v>40</v>
      </c>
      <c r="G135" s="18" t="n">
        <v>100</v>
      </c>
      <c r="H135" s="18" t="n">
        <v>100</v>
      </c>
      <c r="I135" s="5" t="inlineStr">
        <is>
          <t>CERRADA</t>
        </is>
      </c>
      <c r="J135" s="5">
        <f>IF(tblEjecucion[[#This Row],[orden]]="","",tblEjecucion[[#This Row],[orden]]&amp;IF(tblEjecucion[[#This Row],[operacion]]="","0010",tblEjecucion[[#This Row],[operacion]]))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8" t="n">
        <v>96</v>
      </c>
      <c r="G136" s="18" t="n">
        <v>240</v>
      </c>
      <c r="H136" s="18" t="n">
        <v>240</v>
      </c>
      <c r="I136" s="5" t="inlineStr">
        <is>
          <t>CERRADA</t>
        </is>
      </c>
      <c r="J136" s="5">
        <f>IF(tblEjecucion[[#This Row],[orden]]="","",tblEjecucion[[#This Row],[orden]]&amp;IF(tblEjecucion[[#This Row],[operacion]]="","0010",tblEjecucion[[#This Row],[operacion]]))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8" t="n">
        <v>80</v>
      </c>
      <c r="G137" s="18" t="n">
        <v>200</v>
      </c>
      <c r="H137" s="18" t="n">
        <v>200</v>
      </c>
      <c r="I137" s="5" t="inlineStr">
        <is>
          <t>CERRADA</t>
        </is>
      </c>
      <c r="J137" s="5">
        <f>IF(tblEjecucion[[#This Row],[orden]]="","",tblEjecucion[[#This Row],[orden]]&amp;IF(tblEjecucion[[#This Row],[operacion]]="","0010",tblEjecucion[[#This Row],[operacion]]))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8" t="n">
        <v>96</v>
      </c>
      <c r="G138" s="18" t="n">
        <v>0</v>
      </c>
      <c r="H138" s="18" t="n">
        <v>240</v>
      </c>
      <c r="I138" s="5" t="inlineStr">
        <is>
          <t>EN EJECUCION</t>
        </is>
      </c>
      <c r="J138" s="5">
        <f>IF(tblEjecucion[[#This Row],[orden]]="","",tblEjecucion[[#This Row],[orden]]&amp;IF(tblEjecucion[[#This Row],[operacion]]="","0010",tblEjecucion[[#This Row],[operacion]]))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8" t="n">
        <v>0</v>
      </c>
      <c r="G139" s="18" t="n">
        <v>0</v>
      </c>
      <c r="H139" s="18" t="n">
        <v>0</v>
      </c>
      <c r="I139" s="5" t="inlineStr">
        <is>
          <t>EN EJECUCION</t>
        </is>
      </c>
      <c r="J139" s="5">
        <f>IF(tblEjecucion[[#This Row],[orden]]="","",tblEjecucion[[#This Row],[orden]]&amp;IF(tblEjecucion[[#This Row],[operacion]]="","0010",tblEjecucion[[#This Row],[operacion]]))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8" t="n">
        <v>0</v>
      </c>
      <c r="G140" s="18" t="n">
        <v>0</v>
      </c>
      <c r="H140" s="18" t="n">
        <v>0</v>
      </c>
      <c r="I140" s="5" t="inlineStr">
        <is>
          <t>EN EJECUCION</t>
        </is>
      </c>
      <c r="J140" s="5">
        <f>IF(tblEjecucion[[#This Row],[orden]]="","",tblEjecucion[[#This Row],[orden]]&amp;IF(tblEjecucion[[#This Row],[operacion]]="","0010",tblEjecucion[[#This Row],[operacion]]))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8" t="n">
        <v>64</v>
      </c>
      <c r="G141" s="18" t="n">
        <v>0</v>
      </c>
      <c r="H141" s="18" t="n">
        <v>160</v>
      </c>
      <c r="I141" s="5" t="inlineStr">
        <is>
          <t>EN EJECUCION</t>
        </is>
      </c>
      <c r="J141" s="5">
        <f>IF(tblEjecucion[[#This Row],[orden]]="","",tblEjecucion[[#This Row],[orden]]&amp;IF(tblEjecucion[[#This Row],[operacion]]="","0010",tblEjecucion[[#This Row],[operacion]]))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8" t="n">
        <v>64</v>
      </c>
      <c r="G142" s="18" t="n">
        <v>0</v>
      </c>
      <c r="H142" s="18" t="n">
        <v>160</v>
      </c>
      <c r="I142" s="5" t="inlineStr">
        <is>
          <t>EN EJECUCION</t>
        </is>
      </c>
      <c r="J142" s="5">
        <f>IF(tblEjecucion[[#This Row],[orden]]="","",tblEjecucion[[#This Row],[orden]]&amp;IF(tblEjecucion[[#This Row],[operacion]]="","0010",tblEjecucion[[#This Row],[operacion]]))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8" t="n">
        <v>64</v>
      </c>
      <c r="G143" s="18" t="n">
        <v>0</v>
      </c>
      <c r="H143" s="18" t="n">
        <v>160</v>
      </c>
      <c r="I143" s="5" t="inlineStr">
        <is>
          <t>EN EJECUCION</t>
        </is>
      </c>
      <c r="J143" s="5">
        <f>IF(tblEjecucion[[#This Row],[orden]]="","",tblEjecucion[[#This Row],[orden]]&amp;IF(tblEjecucion[[#This Row],[operacion]]="","0010",tblEjecucion[[#This Row],[operacion]]))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8" t="n">
        <v>64</v>
      </c>
      <c r="G144" s="18" t="n">
        <v>0</v>
      </c>
      <c r="H144" s="18" t="n">
        <v>160</v>
      </c>
      <c r="I144" s="5" t="inlineStr">
        <is>
          <t>EN EJECUCION</t>
        </is>
      </c>
      <c r="J144" s="5">
        <f>IF(tblEjecucion[[#This Row],[orden]]="","",tblEjecucion[[#This Row],[orden]]&amp;IF(tblEjecucion[[#This Row],[operacion]]="","0010",tblEjecucion[[#This Row],[operacion]]))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8" t="n">
        <v>64</v>
      </c>
      <c r="G145" s="18" t="n">
        <v>0</v>
      </c>
      <c r="H145" s="18" t="n">
        <v>160</v>
      </c>
      <c r="I145" s="5" t="inlineStr">
        <is>
          <t>EN EJECUCION</t>
        </is>
      </c>
      <c r="J145" s="5">
        <f>IF(tblEjecucion[[#This Row],[orden]]="","",tblEjecucion[[#This Row],[orden]]&amp;IF(tblEjecucion[[#This Row],[operacion]]="","0010",tblEjecucion[[#This Row],[operacion]]))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8" t="n">
        <v>32</v>
      </c>
      <c r="G146" s="18" t="n">
        <v>0</v>
      </c>
      <c r="H146" s="18" t="n">
        <v>80</v>
      </c>
      <c r="I146" s="5" t="inlineStr">
        <is>
          <t>EN EJECUCION</t>
        </is>
      </c>
      <c r="J146" s="5">
        <f>IF(tblEjecucion[[#This Row],[orden]]="","",tblEjecucion[[#This Row],[orden]]&amp;IF(tblEjecucion[[#This Row],[operacion]]="","0010",tblEjecucion[[#This Row],[operacion]]))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8" t="n">
        <v>32</v>
      </c>
      <c r="G147" s="18" t="n">
        <v>0</v>
      </c>
      <c r="H147" s="18" t="n">
        <v>80</v>
      </c>
      <c r="I147" s="5" t="inlineStr">
        <is>
          <t>ABIERTA</t>
        </is>
      </c>
      <c r="J147" s="5">
        <f>IF(tblEjecucion[[#This Row],[orden]]="","",tblEjecucion[[#This Row],[orden]]&amp;IF(tblEjecucion[[#This Row],[operacion]]="","0010",tblEjecucion[[#This Row],[operacion]]))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8" t="n">
        <v>32</v>
      </c>
      <c r="G148" s="18" t="n">
        <v>0</v>
      </c>
      <c r="H148" s="18" t="n">
        <v>80</v>
      </c>
      <c r="I148" s="5" t="inlineStr">
        <is>
          <t>EN EJECUCION</t>
        </is>
      </c>
      <c r="J148" s="5">
        <f>IF(tblEjecucion[[#This Row],[orden]]="","",tblEjecucion[[#This Row],[orden]]&amp;IF(tblEjecucion[[#This Row],[operacion]]="","0010",tblEjecucion[[#This Row],[operacion]]))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8" t="n">
        <v>32</v>
      </c>
      <c r="G149" s="18" t="n">
        <v>0</v>
      </c>
      <c r="H149" s="18" t="n">
        <v>80</v>
      </c>
      <c r="I149" s="5" t="inlineStr">
        <is>
          <t>ABIERTA</t>
        </is>
      </c>
      <c r="J149" s="5">
        <f>IF(tblEjecucion[[#This Row],[orden]]="","",tblEjecucion[[#This Row],[orden]]&amp;IF(tblEjecucion[[#This Row],[operacion]]="","0010",tblEjecucion[[#This Row],[operacion]]))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8" t="n">
        <v>32</v>
      </c>
      <c r="G150" s="18" t="n">
        <v>0</v>
      </c>
      <c r="H150" s="18" t="n">
        <v>80</v>
      </c>
      <c r="I150" s="5" t="inlineStr">
        <is>
          <t>EN EJECUCION</t>
        </is>
      </c>
      <c r="J150" s="5">
        <f>IF(tblEjecucion[[#This Row],[orden]]="","",tblEjecucion[[#This Row],[orden]]&amp;IF(tblEjecucion[[#This Row],[operacion]]="","0010",tblEjecucion[[#This Row],[operacion]]))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8" t="n">
        <v>32</v>
      </c>
      <c r="G151" s="18" t="n">
        <v>0</v>
      </c>
      <c r="H151" s="18" t="n">
        <v>80</v>
      </c>
      <c r="I151" s="5" t="inlineStr">
        <is>
          <t>ABIERTA</t>
        </is>
      </c>
      <c r="J151" s="5">
        <f>IF(tblEjecucion[[#This Row],[orden]]="","",tblEjecucion[[#This Row],[orden]]&amp;IF(tblEjecucion[[#This Row],[operacion]]="","0010",tblEjecucion[[#This Row],[operacion]]))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8" t="n">
        <v>32</v>
      </c>
      <c r="G152" s="18" t="n">
        <v>0</v>
      </c>
      <c r="H152" s="18" t="n">
        <v>80</v>
      </c>
      <c r="I152" s="5" t="inlineStr">
        <is>
          <t>EN EJECUCION</t>
        </is>
      </c>
      <c r="J152" s="5">
        <f>IF(tblEjecucion[[#This Row],[orden]]="","",tblEjecucion[[#This Row],[orden]]&amp;IF(tblEjecucion[[#This Row],[operacion]]="","0010",tblEjecucion[[#This Row],[operacion]]))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8" t="n">
        <v>32</v>
      </c>
      <c r="G153" s="18" t="n">
        <v>0</v>
      </c>
      <c r="H153" s="18" t="n">
        <v>80</v>
      </c>
      <c r="I153" s="5" t="inlineStr">
        <is>
          <t>ABIERTA</t>
        </is>
      </c>
      <c r="J153" s="5">
        <f>IF(tblEjecucion[[#This Row],[orden]]="","",tblEjecucion[[#This Row],[orden]]&amp;IF(tblEjecucion[[#This Row],[operacion]]="","0010",tblEjecucion[[#This Row],[operacion]]))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8" t="n">
        <v>32</v>
      </c>
      <c r="G154" s="18" t="n">
        <v>0</v>
      </c>
      <c r="H154" s="18" t="n">
        <v>80</v>
      </c>
      <c r="I154" s="5" t="inlineStr">
        <is>
          <t>EN EJECUCION</t>
        </is>
      </c>
      <c r="J154" s="5">
        <f>IF(tblEjecucion[[#This Row],[orden]]="","",tblEjecucion[[#This Row],[orden]]&amp;IF(tblEjecucion[[#This Row],[operacion]]="","0010",tblEjecucion[[#This Row],[operacion]]))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8" t="n">
        <v>32</v>
      </c>
      <c r="G155" s="18" t="n">
        <v>0</v>
      </c>
      <c r="H155" s="18" t="n">
        <v>80</v>
      </c>
      <c r="I155" s="5" t="inlineStr">
        <is>
          <t>ABIERTA</t>
        </is>
      </c>
      <c r="J155" s="5">
        <f>IF(tblEjecucion[[#This Row],[orden]]="","",tblEjecucion[[#This Row],[orden]]&amp;IF(tblEjecucion[[#This Row],[operacion]]="","0010",tblEjecucion[[#This Row],[operacion]]))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8" t="n">
        <v>32</v>
      </c>
      <c r="G156" s="18" t="n">
        <v>0</v>
      </c>
      <c r="H156" s="18" t="n">
        <v>80</v>
      </c>
      <c r="I156" s="5" t="inlineStr">
        <is>
          <t>EN EJECUCION</t>
        </is>
      </c>
      <c r="J156" s="5">
        <f>IF(tblEjecucion[[#This Row],[orden]]="","",tblEjecucion[[#This Row],[orden]]&amp;IF(tblEjecucion[[#This Row],[operacion]]="","0010",tblEjecucion[[#This Row],[operacion]]))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8" t="n">
        <v>32</v>
      </c>
      <c r="G157" s="18" t="n">
        <v>0</v>
      </c>
      <c r="H157" s="18" t="n">
        <v>80</v>
      </c>
      <c r="I157" s="5" t="inlineStr">
        <is>
          <t>ABIERTA</t>
        </is>
      </c>
      <c r="J157" s="5">
        <f>IF(tblEjecucion[[#This Row],[orden]]="","",tblEjecucion[[#This Row],[orden]]&amp;IF(tblEjecucion[[#This Row],[operacion]]="","0010",tblEjecucion[[#This Row],[operacion]]))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8" t="n">
        <v>32</v>
      </c>
      <c r="G158" s="18" t="n">
        <v>0</v>
      </c>
      <c r="H158" s="18" t="n">
        <v>80</v>
      </c>
      <c r="I158" s="5" t="inlineStr">
        <is>
          <t>EN EJECUCION</t>
        </is>
      </c>
      <c r="J158" s="5">
        <f>IF(tblEjecucion[[#This Row],[orden]]="","",tblEjecucion[[#This Row],[orden]]&amp;IF(tblEjecucion[[#This Row],[operacion]]="","0010",tblEjecucion[[#This Row],[operacion]]))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8" t="n">
        <v>32</v>
      </c>
      <c r="G159" s="18" t="n">
        <v>0</v>
      </c>
      <c r="H159" s="18" t="n">
        <v>80</v>
      </c>
      <c r="I159" s="5" t="inlineStr">
        <is>
          <t>ABIERTA</t>
        </is>
      </c>
      <c r="J159" s="5">
        <f>IF(tblEjecucion[[#This Row],[orden]]="","",tblEjecucion[[#This Row],[orden]]&amp;IF(tblEjecucion[[#This Row],[operacion]]="","0010",tblEjecucion[[#This Row],[operacion]]))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8" t="n">
        <v>32</v>
      </c>
      <c r="G160" s="18" t="n">
        <v>0</v>
      </c>
      <c r="H160" s="18" t="n">
        <v>80</v>
      </c>
      <c r="I160" s="5" t="inlineStr">
        <is>
          <t>EN EJECUCION</t>
        </is>
      </c>
      <c r="J160" s="5">
        <f>IF(tblEjecucion[[#This Row],[orden]]="","",tblEjecucion[[#This Row],[orden]]&amp;IF(tblEjecucion[[#This Row],[operacion]]="","0010",tblEjecucion[[#This Row],[operacion]]))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8" t="n">
        <v>32</v>
      </c>
      <c r="G161" s="18" t="n">
        <v>0</v>
      </c>
      <c r="H161" s="18" t="n">
        <v>80</v>
      </c>
      <c r="I161" s="5" t="inlineStr">
        <is>
          <t>ABIERTA</t>
        </is>
      </c>
      <c r="J161" s="5">
        <f>IF(tblEjecucion[[#This Row],[orden]]="","",tblEjecucion[[#This Row],[orden]]&amp;IF(tblEjecucion[[#This Row],[operacion]]="","0010",tblEjecucion[[#This Row],[operacion]]))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8" t="n">
        <v>32</v>
      </c>
      <c r="G162" s="18" t="n">
        <v>0</v>
      </c>
      <c r="H162" s="18" t="n">
        <v>80</v>
      </c>
      <c r="I162" s="5" t="inlineStr">
        <is>
          <t>EN EJECUCION</t>
        </is>
      </c>
      <c r="J162" s="5">
        <f>IF(tblEjecucion[[#This Row],[orden]]="","",tblEjecucion[[#This Row],[orden]]&amp;IF(tblEjecucion[[#This Row],[operacion]]="","0010",tblEjecucion[[#This Row],[operacion]]))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8" t="n">
        <v>32</v>
      </c>
      <c r="G163" s="18" t="n">
        <v>0</v>
      </c>
      <c r="H163" s="18" t="n">
        <v>80</v>
      </c>
      <c r="I163" s="5" t="inlineStr">
        <is>
          <t>ABIERTA</t>
        </is>
      </c>
      <c r="J163" s="5">
        <f>IF(tblEjecucion[[#This Row],[orden]]="","",tblEjecucion[[#This Row],[orden]]&amp;IF(tblEjecucion[[#This Row],[operacion]]="","0010",tblEjecucion[[#This Row],[operacion]]))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8" t="n">
        <v>32</v>
      </c>
      <c r="G164" s="18" t="n">
        <v>0</v>
      </c>
      <c r="H164" s="18" t="n">
        <v>80</v>
      </c>
      <c r="I164" s="5" t="inlineStr">
        <is>
          <t>EN EJECUCION</t>
        </is>
      </c>
      <c r="J164" s="5">
        <f>IF(tblEjecucion[[#This Row],[orden]]="","",tblEjecucion[[#This Row],[orden]]&amp;IF(tblEjecucion[[#This Row],[operacion]]="","0010",tblEjecucion[[#This Row],[operacion]]))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8" t="n">
        <v>32</v>
      </c>
      <c r="G165" s="18" t="n">
        <v>0</v>
      </c>
      <c r="H165" s="18" t="n">
        <v>80</v>
      </c>
      <c r="I165" s="5" t="inlineStr">
        <is>
          <t>ABIERTA</t>
        </is>
      </c>
      <c r="J165" s="5">
        <f>IF(tblEjecucion[[#This Row],[orden]]="","",tblEjecucion[[#This Row],[orden]]&amp;IF(tblEjecucion[[#This Row],[operacion]]="","0010",tblEjecucion[[#This Row],[operacion]]))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8" t="n">
        <v>32</v>
      </c>
      <c r="G166" s="18" t="n">
        <v>0</v>
      </c>
      <c r="H166" s="18" t="n">
        <v>80</v>
      </c>
      <c r="I166" s="5" t="inlineStr">
        <is>
          <t>EN EJECUCION</t>
        </is>
      </c>
      <c r="J166" s="5">
        <f>IF(tblEjecucion[[#This Row],[orden]]="","",tblEjecucion[[#This Row],[orden]]&amp;IF(tblEjecucion[[#This Row],[operacion]]="","0010",tblEjecucion[[#This Row],[operacion]]))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8" t="n">
        <v>32</v>
      </c>
      <c r="G167" s="18" t="n">
        <v>0</v>
      </c>
      <c r="H167" s="18" t="n">
        <v>80</v>
      </c>
      <c r="I167" s="5" t="inlineStr">
        <is>
          <t>ABIERTA</t>
        </is>
      </c>
      <c r="J167" s="5">
        <f>IF(tblEjecucion[[#This Row],[orden]]="","",tblEjecucion[[#This Row],[orden]]&amp;IF(tblEjecucion[[#This Row],[operacion]]="","0010",tblEjecucion[[#This Row],[operacion]]))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8" t="n">
        <v>50</v>
      </c>
      <c r="G168" s="18" t="n">
        <v>0</v>
      </c>
      <c r="H168" s="18" t="n">
        <v>150</v>
      </c>
      <c r="I168" s="5" t="inlineStr">
        <is>
          <t>LIBERADA</t>
        </is>
      </c>
      <c r="J168" s="5">
        <f>IF(tblEjecucion[[#This Row],[orden]]="","",tblEjecucion[[#This Row],[orden]]&amp;IF(tblEjecucion[[#This Row],[operacion]]="","0010",tblEjecucion[[#This Row],[operacion]]))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8" t="n">
        <v>50</v>
      </c>
      <c r="G169" s="18" t="n">
        <v>0</v>
      </c>
      <c r="H169" s="18" t="n">
        <v>150</v>
      </c>
      <c r="I169" s="5" t="inlineStr">
        <is>
          <t>LIBERADA</t>
        </is>
      </c>
      <c r="J169" s="5">
        <f>IF(tblEjecucion[[#This Row],[orden]]="","",tblEjecucion[[#This Row],[orden]]&amp;IF(tblEjecucion[[#This Row],[operacion]]="","0010",tblEjecucion[[#This Row],[operacion]]))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8" t="n">
        <v>50</v>
      </c>
      <c r="G170" s="18" t="n">
        <v>0</v>
      </c>
      <c r="H170" s="18" t="n">
        <v>150</v>
      </c>
      <c r="I170" s="5" t="inlineStr">
        <is>
          <t>LIBERADA</t>
        </is>
      </c>
      <c r="J170" s="5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5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5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5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5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5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5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5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5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5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5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5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5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5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5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5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5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5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5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5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5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5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5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5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5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5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5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5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5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5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5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5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5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5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5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5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5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5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5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5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5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5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5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5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5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5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5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5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5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5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5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5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5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5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5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5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5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5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5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5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5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5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5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5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5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5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5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5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5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5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5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5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5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5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5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5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5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5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5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5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5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5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5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5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5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5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5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5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5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5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5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5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5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5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5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5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5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5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5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5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5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5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5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5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5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5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5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5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5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5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5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5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5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5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5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5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5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5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5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5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5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5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5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5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5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5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5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5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5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5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5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5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5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5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5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5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5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5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5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5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5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5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5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5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5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5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5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5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5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5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5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5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5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5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5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5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5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5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5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5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5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5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5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5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5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5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5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5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5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5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5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5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5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5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5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5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5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5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5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5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5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5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5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5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5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5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5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5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5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5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5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5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5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5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5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5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5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5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5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5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5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5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5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5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5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5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5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5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5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5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5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5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5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5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5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5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5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5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5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5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5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5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5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5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5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5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5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5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5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5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5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5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5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5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5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5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5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5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5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5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5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5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5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5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5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5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5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5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5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5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5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5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5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5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5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5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5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5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5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5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5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5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5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5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5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5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5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5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5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5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5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5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5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5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5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5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5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5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5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5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5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5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5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5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5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5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5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5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5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5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5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5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5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5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5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5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5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5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5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5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5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5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5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5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5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5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5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5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5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5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5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5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5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5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5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5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5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5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5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5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5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5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5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5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5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5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5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5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5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5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5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5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5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5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5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5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5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5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5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5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5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5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5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5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5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5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5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5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5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5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5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5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5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5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5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5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5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5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5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5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5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5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5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5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5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5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5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5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5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5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5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5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5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5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5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5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5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5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5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5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5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5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5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5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5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5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5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5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5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5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5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5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5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5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5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5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5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5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5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5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5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5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5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5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5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5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5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5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5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5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5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5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5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5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5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5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5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5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5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5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5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5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5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5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5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5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5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5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5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5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5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5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5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5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5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5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5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5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5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5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5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5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5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5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5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5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5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5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5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5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5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5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5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5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5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5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5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5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5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5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5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5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5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5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5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5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5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5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5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5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5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5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5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5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5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5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5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5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5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5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5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5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5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5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5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5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5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5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5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5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5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5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5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5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5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5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5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5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5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5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5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5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5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5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5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5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5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5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5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5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5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5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5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5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5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5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5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5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5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5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5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5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5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5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5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5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5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5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5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5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5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5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5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5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5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5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5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5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5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5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5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5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5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5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5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5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5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5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5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5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5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5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5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5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5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5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5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5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5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5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5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5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5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5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5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5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5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5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5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5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5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5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5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5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5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5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5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5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5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5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5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5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5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5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5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5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5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5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5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5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5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5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5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5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5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5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5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5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5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5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5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5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5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5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5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5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5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5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5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5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5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5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5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5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5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5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5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5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5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5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5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5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5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5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5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5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5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5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5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5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5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5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5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5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5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5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5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5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5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5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5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5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5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5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5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5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5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5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5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5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5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5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5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5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5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5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5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5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5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5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5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5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5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5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5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5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5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5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5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5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5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5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5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5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5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5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5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5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5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5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5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5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5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5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5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5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5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5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5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5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5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5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5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5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5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5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5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5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5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5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5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5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5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5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5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5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5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5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5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5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5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5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5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5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5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5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5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5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5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5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5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5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5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5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5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5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5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5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5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5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5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5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5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5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5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5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5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5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5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5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5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5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5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5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5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5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5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5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5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5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5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5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5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5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5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5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5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5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5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5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5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5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5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5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5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5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5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5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5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5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5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5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5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5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5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5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5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5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5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5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5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5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5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5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5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5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5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5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5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5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5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5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5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5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5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5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5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5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5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5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5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5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5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5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5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5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5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5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5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5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5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5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5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5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5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5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5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5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5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5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5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5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5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5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5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5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5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5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5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5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5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5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5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5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5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5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5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5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5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5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5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5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5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5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5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5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5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5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5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5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5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5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5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5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5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5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5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5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5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5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5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5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5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5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5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5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5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5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5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5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5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5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5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5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5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5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5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5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5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5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5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5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5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5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5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5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5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5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5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5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5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5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5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5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5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5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5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5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5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5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5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5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5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5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5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5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5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5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5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5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5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5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5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5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5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5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5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5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5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5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5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5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5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5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5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5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5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5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5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5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5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5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5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5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5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5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5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5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5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5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5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5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5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5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5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5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5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5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5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5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5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5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5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5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5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5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5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5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5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5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5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5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5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5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5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5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5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5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5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5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5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5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5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5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5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5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5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5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5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5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5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5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5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5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5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5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5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5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5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5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5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5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5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5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5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5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5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5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5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5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5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5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5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5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5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5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5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5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5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5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5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5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5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5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5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5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5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5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5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5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5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5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5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5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5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5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5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5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5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5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5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5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5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5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5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5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5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5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5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15" t="inlineStr">
        <is>
          <t>id</t>
        </is>
      </c>
      <c r="B3" s="15" t="inlineStr">
        <is>
          <t>nombre</t>
        </is>
      </c>
      <c r="C3" s="15" t="inlineStr">
        <is>
          <t>especialidad</t>
        </is>
      </c>
      <c r="D3" s="15" t="inlineStr">
        <is>
          <t>area</t>
        </is>
      </c>
      <c r="E3" s="15" t="inlineStr">
        <is>
          <t>supervisor</t>
        </is>
      </c>
      <c r="F3" s="15" t="inlineStr">
        <is>
          <t>rotativo</t>
        </is>
      </c>
      <c r="G3" s="15" t="inlineStr">
        <is>
          <t>orden_rotacion</t>
        </is>
      </c>
      <c r="H3" s="15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5">
        <f>IF($H4="sí",COUNTIFS($H$4:$H4,"sí"),"")</f>
        <v/>
      </c>
      <c r="K4" s="5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5">
        <f>IF($H5="sí",COUNTIFS($H$4:$H5,"sí"),"")</f>
        <v/>
      </c>
      <c r="K5" s="5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5">
        <f>IF($H6="sí",COUNTIFS($H$4:$H6,"sí"),"")</f>
        <v/>
      </c>
      <c r="K6" s="5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5">
        <f>IF($H7="sí",COUNTIFS($H$4:$H7,"sí"),"")</f>
        <v/>
      </c>
      <c r="K7" s="5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5">
        <f>IF($H8="sí",COUNTIFS($H$4:$H8,"sí"),"")</f>
        <v/>
      </c>
      <c r="K8" s="5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5">
        <f>IF($H9="sí",COUNTIFS($H$4:$H9,"sí"),"")</f>
        <v/>
      </c>
      <c r="K9" s="5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5">
        <f>IF($H10="sí",COUNTIFS($H$4:$H10,"sí"),"")</f>
        <v/>
      </c>
      <c r="K10" s="5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5">
        <f>IF($H11="sí",COUNTIFS($H$4:$H11,"sí"),"")</f>
        <v/>
      </c>
      <c r="K11" s="5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5">
        <f>IF($H12="sí",COUNTIFS($H$4:$H12,"sí"),"")</f>
        <v/>
      </c>
      <c r="K12" s="5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5">
        <f>IF($H13="sí",COUNTIFS($H$4:$H13,"sí"),"")</f>
        <v/>
      </c>
      <c r="K13" s="5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5">
        <f>IF($H14="sí",COUNTIFS($H$4:$H14,"sí"),"")</f>
        <v/>
      </c>
      <c r="K14" s="5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5">
        <f>IF($H15="sí",COUNTIFS($H$4:$H15,"sí"),"")</f>
        <v/>
      </c>
      <c r="K15" s="5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5">
        <f>IF($H16="sí",COUNTIFS($H$4:$H16,"sí"),"")</f>
        <v/>
      </c>
      <c r="K16" s="5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5">
        <f>IF($H17="sí",COUNTIFS($H$4:$H17,"sí"),"")</f>
        <v/>
      </c>
      <c r="K17" s="5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5">
        <f>IF($H18="sí",COUNTIFS($H$4:$H18,"sí"),"")</f>
        <v/>
      </c>
      <c r="K18" s="5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5">
        <f>IF($H19="sí",COUNTIFS($H$4:$H19,"sí"),"")</f>
        <v/>
      </c>
      <c r="K19" s="5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5" t="inlineStr">
        <is>
          <t>dia</t>
        </is>
      </c>
      <c r="B4" s="15" t="inlineStr">
        <is>
          <t>habil</t>
        </is>
      </c>
      <c r="I4" s="15" t="inlineStr">
        <is>
          <t>fecha</t>
        </is>
      </c>
      <c r="J4" s="15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22" t="n">
        <v>46023</v>
      </c>
      <c r="J5" s="5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22" t="n">
        <v>46024</v>
      </c>
      <c r="J6" s="5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22" t="n">
        <v>46025</v>
      </c>
      <c r="J7" s="5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22" t="n">
        <v>46026</v>
      </c>
      <c r="J8" s="5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22" t="n">
        <v>46027</v>
      </c>
      <c r="J9" s="5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22" t="n">
        <v>46028</v>
      </c>
      <c r="J10" s="5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22" t="n">
        <v>46029</v>
      </c>
      <c r="J11" s="5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22" t="n">
        <v>46030</v>
      </c>
      <c r="J12" s="5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22" t="n">
        <v>46031</v>
      </c>
      <c r="J13" s="5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15" t="inlineStr">
        <is>
          <t>fecha</t>
        </is>
      </c>
      <c r="B14" s="15" t="inlineStr">
        <is>
          <t>tipo</t>
        </is>
      </c>
      <c r="C14" s="15" t="inlineStr">
        <is>
          <t>habil</t>
        </is>
      </c>
      <c r="D14" s="15" t="inlineStr">
        <is>
          <t>area</t>
        </is>
      </c>
      <c r="E14" s="15" t="inlineStr">
        <is>
          <t>sub_area</t>
        </is>
      </c>
      <c r="F14" s="15" t="inlineStr">
        <is>
          <t>motivo</t>
        </is>
      </c>
      <c r="G14" s="15" t="inlineStr">
        <is>
          <t>clave</t>
        </is>
      </c>
      <c r="I14" s="22" t="n">
        <v>46032</v>
      </c>
      <c r="J14" s="5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27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5">
        <f>IF(tblExcepciones[[#This Row],[fecha]]="","",TEXT(tblExcepciones[[#This Row],[fecha]],"yyyy-mm-dd")&amp;"|"&amp;tblExcepciones[[#This Row],[area]]&amp;"|"&amp;tblExcepciones[[#This Row],[sub_area]])</f>
        <v/>
      </c>
      <c r="I15" s="22" t="n">
        <v>46033</v>
      </c>
      <c r="J15" s="5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27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5">
        <f>IF(tblExcepciones[[#This Row],[fecha]]="","",TEXT(tblExcepciones[[#This Row],[fecha]],"yyyy-mm-dd")&amp;"|"&amp;tblExcepciones[[#This Row],[area]]&amp;"|"&amp;tblExcepciones[[#This Row],[sub_area]])</f>
        <v/>
      </c>
      <c r="I16" s="22" t="n">
        <v>46034</v>
      </c>
      <c r="J16" s="5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27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5">
        <f>IF(tblExcepciones[[#This Row],[fecha]]="","",TEXT(tblExcepciones[[#This Row],[fecha]],"yyyy-mm-dd")&amp;"|"&amp;tblExcepciones[[#This Row],[area]]&amp;"|"&amp;tblExcepciones[[#This Row],[sub_area]])</f>
        <v/>
      </c>
      <c r="I17" s="22" t="n">
        <v>46035</v>
      </c>
      <c r="J17" s="5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27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5">
        <f>IF(tblExcepciones[[#This Row],[fecha]]="","",TEXT(tblExcepciones[[#This Row],[fecha]],"yyyy-mm-dd")&amp;"|"&amp;tblExcepciones[[#This Row],[area]]&amp;"|"&amp;tblExcepciones[[#This Row],[sub_area]])</f>
        <v/>
      </c>
      <c r="I18" s="22" t="n">
        <v>46036</v>
      </c>
      <c r="J18" s="5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27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5">
        <f>IF(tblExcepciones[[#This Row],[fecha]]="","",TEXT(tblExcepciones[[#This Row],[fecha]],"yyyy-mm-dd")&amp;"|"&amp;tblExcepciones[[#This Row],[area]]&amp;"|"&amp;tblExcepciones[[#This Row],[sub_area]])</f>
        <v/>
      </c>
      <c r="I19" s="22" t="n">
        <v>46037</v>
      </c>
      <c r="J19" s="5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27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5">
        <f>IF(tblExcepciones[[#This Row],[fecha]]="","",TEXT(tblExcepciones[[#This Row],[fecha]],"yyyy-mm-dd")&amp;"|"&amp;tblExcepciones[[#This Row],[area]]&amp;"|"&amp;tblExcepciones[[#This Row],[sub_area]])</f>
        <v/>
      </c>
      <c r="I20" s="22" t="n">
        <v>46038</v>
      </c>
      <c r="J20" s="5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27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5">
        <f>IF(tblExcepciones[[#This Row],[fecha]]="","",TEXT(tblExcepciones[[#This Row],[fecha]],"yyyy-mm-dd")&amp;"|"&amp;tblExcepciones[[#This Row],[area]]&amp;"|"&amp;tblExcepciones[[#This Row],[sub_area]])</f>
        <v/>
      </c>
      <c r="I21" s="22" t="n">
        <v>46039</v>
      </c>
      <c r="J21" s="5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27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5">
        <f>IF(tblExcepciones[[#This Row],[fecha]]="","",TEXT(tblExcepciones[[#This Row],[fecha]],"yyyy-mm-dd")&amp;"|"&amp;tblExcepciones[[#This Row],[area]]&amp;"|"&amp;tblExcepciones[[#This Row],[sub_area]])</f>
        <v/>
      </c>
      <c r="I22" s="22" t="n">
        <v>46040</v>
      </c>
      <c r="J22" s="5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27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5">
        <f>IF(tblExcepciones[[#This Row],[fecha]]="","",TEXT(tblExcepciones[[#This Row],[fecha]],"yyyy-mm-dd")&amp;"|"&amp;tblExcepciones[[#This Row],[area]]&amp;"|"&amp;tblExcepciones[[#This Row],[sub_area]])</f>
        <v/>
      </c>
      <c r="I23" s="22" t="n">
        <v>46041</v>
      </c>
      <c r="J23" s="5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27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5">
        <f>IF(tblExcepciones[[#This Row],[fecha]]="","",TEXT(tblExcepciones[[#This Row],[fecha]],"yyyy-mm-dd")&amp;"|"&amp;tblExcepciones[[#This Row],[area]]&amp;"|"&amp;tblExcepciones[[#This Row],[sub_area]])</f>
        <v/>
      </c>
      <c r="I24" s="22" t="n">
        <v>46042</v>
      </c>
      <c r="J24" s="5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27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5">
        <f>IF(tblExcepciones[[#This Row],[fecha]]="","",TEXT(tblExcepciones[[#This Row],[fecha]],"yyyy-mm-dd")&amp;"|"&amp;tblExcepciones[[#This Row],[area]]&amp;"|"&amp;tblExcepciones[[#This Row],[sub_area]])</f>
        <v/>
      </c>
      <c r="I25" s="22" t="n">
        <v>46043</v>
      </c>
      <c r="J25" s="5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27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5">
        <f>IF(tblExcepciones[[#This Row],[fecha]]="","",TEXT(tblExcepciones[[#This Row],[fecha]],"yyyy-mm-dd")&amp;"|"&amp;tblExcepciones[[#This Row],[area]]&amp;"|"&amp;tblExcepciones[[#This Row],[sub_area]])</f>
        <v/>
      </c>
      <c r="I26" s="22" t="n">
        <v>46044</v>
      </c>
      <c r="J26" s="5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27" t="n">
        <v>46239</v>
      </c>
      <c r="B27" s="4" t="inlineStr">
        <is>
          <t>feriado</t>
        </is>
      </c>
      <c r="C27" s="4" t="inlineStr">
        <is>
          <t>no</t>
        </is>
      </c>
      <c r="D27" s="4" t="inlineStr"/>
      <c r="E27" s="4" t="inlineStr"/>
      <c r="F27" s="4" t="inlineStr">
        <is>
          <t>Feriado de planta (demo capacidad)</t>
        </is>
      </c>
      <c r="G27" s="5">
        <f>IF(tblExcepciones[[#This Row],[fecha]]="","",TEXT(tblExcepciones[[#This Row],[fecha]],"yyyy-mm-dd")&amp;"|"&amp;tblExcepciones[[#This Row],[area]]&amp;"|"&amp;tblExcepciones[[#This Row],[sub_area]])</f>
        <v/>
      </c>
      <c r="I27" s="22" t="n">
        <v>46045</v>
      </c>
      <c r="J27" s="5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27" t="n">
        <v>46243</v>
      </c>
      <c r="B28" s="4" t="inlineStr">
        <is>
          <t>día especial laborable</t>
        </is>
      </c>
      <c r="C28" s="4" t="inlineStr">
        <is>
          <t>sí</t>
        </is>
      </c>
      <c r="D28" s="4" t="inlineStr">
        <is>
          <t>SERVICIOS</t>
        </is>
      </c>
      <c r="E28" s="4" t="inlineStr"/>
      <c r="F28" s="4" t="inlineStr">
        <is>
          <t>Turno especial de mantenimiento (solo SERVICIOS)</t>
        </is>
      </c>
      <c r="G28" s="5">
        <f>IF(tblExcepciones[[#This Row],[fecha]]="","",TEXT(tblExcepciones[[#This Row],[fecha]],"yyyy-mm-dd")&amp;"|"&amp;tblExcepciones[[#This Row],[area]]&amp;"|"&amp;tblExcepciones[[#This Row],[sub_area]])</f>
        <v/>
      </c>
      <c r="I28" s="22" t="n">
        <v>46046</v>
      </c>
      <c r="J28" s="5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27" t="n">
        <v>46233</v>
      </c>
      <c r="B29" s="4" t="inlineStr">
        <is>
          <t>paro</t>
        </is>
      </c>
      <c r="C29" s="4" t="inlineStr">
        <is>
          <t>no</t>
        </is>
      </c>
      <c r="D29" s="4" t="inlineStr">
        <is>
          <t>SERVICIOS</t>
        </is>
      </c>
      <c r="E29" s="4" t="inlineStr">
        <is>
          <t>Vapor</t>
        </is>
      </c>
      <c r="F29" s="4" t="inlineStr">
        <is>
          <t>Paro planta de vapor</t>
        </is>
      </c>
      <c r="G29" s="5">
        <f>IF(tblExcepciones[[#This Row],[fecha]]="","",TEXT(tblExcepciones[[#This Row],[fecha]],"yyyy-mm-dd")&amp;"|"&amp;tblExcepciones[[#This Row],[area]]&amp;"|"&amp;tblExcepciones[[#This Row],[sub_area]])</f>
        <v/>
      </c>
      <c r="I29" s="22" t="n">
        <v>46047</v>
      </c>
      <c r="J29" s="5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27" t="n">
        <v>46280</v>
      </c>
      <c r="B30" s="4" t="inlineStr">
        <is>
          <t>feriado</t>
        </is>
      </c>
      <c r="C30" s="4" t="inlineStr">
        <is>
          <t>no</t>
        </is>
      </c>
      <c r="D30" s="4" t="inlineStr">
        <is>
          <t>ZONA-X</t>
        </is>
      </c>
      <c r="E30" s="4" t="inlineStr"/>
      <c r="F30" s="4" t="inlineStr">
        <is>
          <t>Área inexistente (demo validación)</t>
        </is>
      </c>
      <c r="G30" s="5">
        <f>IF(tblExcepciones[[#This Row],[fecha]]="","",TEXT(tblExcepciones[[#This Row],[fecha]],"yyyy-mm-dd")&amp;"|"&amp;tblExcepciones[[#This Row],[area]]&amp;"|"&amp;tblExcepciones[[#This Row],[sub_area]])</f>
        <v/>
      </c>
      <c r="I30" s="22" t="n">
        <v>46048</v>
      </c>
      <c r="J30" s="5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27" t="n">
        <v>46281</v>
      </c>
      <c r="B31" s="4" t="inlineStr">
        <is>
          <t>paro</t>
        </is>
      </c>
      <c r="C31" s="4" t="inlineStr">
        <is>
          <t>no</t>
        </is>
      </c>
      <c r="D31" s="4" t="inlineStr">
        <is>
          <t>SERVICIOS</t>
        </is>
      </c>
      <c r="E31" s="4" t="inlineStr">
        <is>
          <t>Nitrógeno</t>
        </is>
      </c>
      <c r="F31" s="4" t="inlineStr">
        <is>
          <t>Sub-área inexistente (demo)</t>
        </is>
      </c>
      <c r="G31" s="5">
        <f>IF(tblExcepciones[[#This Row],[fecha]]="","",TEXT(tblExcepciones[[#This Row],[fecha]],"yyyy-mm-dd")&amp;"|"&amp;tblExcepciones[[#This Row],[area]]&amp;"|"&amp;tblExcepciones[[#This Row],[sub_area]])</f>
        <v/>
      </c>
      <c r="I31" s="22" t="n">
        <v>46049</v>
      </c>
      <c r="J31" s="5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27" t="n"/>
      <c r="B32" s="4" t="n"/>
      <c r="C32" s="4" t="n"/>
      <c r="D32" s="4" t="n"/>
      <c r="E32" s="4" t="n"/>
      <c r="F32" s="4" t="n"/>
      <c r="G32" s="5">
        <f>IF(tblExcepciones[[#This Row],[fecha]]="","",TEXT(tblExcepciones[[#This Row],[fecha]],"yyyy-mm-dd")&amp;"|"&amp;tblExcepciones[[#This Row],[area]]&amp;"|"&amp;tblExcepciones[[#This Row],[sub_area]])</f>
        <v/>
      </c>
      <c r="I32" s="22" t="n">
        <v>46050</v>
      </c>
      <c r="J32" s="5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27" t="n"/>
      <c r="B33" s="4" t="n"/>
      <c r="C33" s="4" t="n"/>
      <c r="D33" s="4" t="n"/>
      <c r="E33" s="4" t="n"/>
      <c r="F33" s="4" t="n"/>
      <c r="G33" s="5">
        <f>IF(tblExcepciones[[#This Row],[fecha]]="","",TEXT(tblExcepciones[[#This Row],[fecha]],"yyyy-mm-dd")&amp;"|"&amp;tblExcepciones[[#This Row],[area]]&amp;"|"&amp;tblExcepciones[[#This Row],[sub_area]])</f>
        <v/>
      </c>
      <c r="I33" s="22" t="n">
        <v>46051</v>
      </c>
      <c r="J33" s="5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27" t="n"/>
      <c r="B34" s="4" t="n"/>
      <c r="C34" s="4" t="n"/>
      <c r="D34" s="4" t="n"/>
      <c r="E34" s="4" t="n"/>
      <c r="F34" s="4" t="n"/>
      <c r="G34" s="5">
        <f>IF(tblExcepciones[[#This Row],[fecha]]="","",TEXT(tblExcepciones[[#This Row],[fecha]],"yyyy-mm-dd")&amp;"|"&amp;tblExcepciones[[#This Row],[area]]&amp;"|"&amp;tblExcepciones[[#This Row],[sub_area]])</f>
        <v/>
      </c>
      <c r="I34" s="22" t="n">
        <v>46052</v>
      </c>
      <c r="J34" s="5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27" t="n"/>
      <c r="B35" s="4" t="n"/>
      <c r="C35" s="4" t="n"/>
      <c r="D35" s="4" t="n"/>
      <c r="E35" s="4" t="n"/>
      <c r="F35" s="4" t="n"/>
      <c r="G35" s="5">
        <f>IF(tblExcepciones[[#This Row],[fecha]]="","",TEXT(tblExcepciones[[#This Row],[fecha]],"yyyy-mm-dd")&amp;"|"&amp;tblExcepciones[[#This Row],[area]]&amp;"|"&amp;tblExcepciones[[#This Row],[sub_area]])</f>
        <v/>
      </c>
      <c r="I35" s="22" t="n">
        <v>46053</v>
      </c>
      <c r="J35" s="5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27" t="n"/>
      <c r="B36" s="4" t="n"/>
      <c r="C36" s="4" t="n"/>
      <c r="D36" s="4" t="n"/>
      <c r="E36" s="4" t="n"/>
      <c r="F36" s="4" t="n"/>
      <c r="G36" s="5">
        <f>IF(tblExcepciones[[#This Row],[fecha]]="","",TEXT(tblExcepciones[[#This Row],[fecha]],"yyyy-mm-dd")&amp;"|"&amp;tblExcepciones[[#This Row],[area]]&amp;"|"&amp;tblExcepciones[[#This Row],[sub_area]])</f>
        <v/>
      </c>
      <c r="I36" s="22" t="n">
        <v>46054</v>
      </c>
      <c r="J36" s="5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27" t="n"/>
      <c r="B37" s="4" t="n"/>
      <c r="C37" s="4" t="n"/>
      <c r="D37" s="4" t="n"/>
      <c r="E37" s="4" t="n"/>
      <c r="F37" s="4" t="n"/>
      <c r="G37" s="5">
        <f>IF(tblExcepciones[[#This Row],[fecha]]="","",TEXT(tblExcepciones[[#This Row],[fecha]],"yyyy-mm-dd")&amp;"|"&amp;tblExcepciones[[#This Row],[area]]&amp;"|"&amp;tblExcepciones[[#This Row],[sub_area]])</f>
        <v/>
      </c>
      <c r="I37" s="22" t="n">
        <v>46055</v>
      </c>
      <c r="J37" s="5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27" t="n"/>
      <c r="B38" s="4" t="n"/>
      <c r="C38" s="4" t="n"/>
      <c r="D38" s="4" t="n"/>
      <c r="E38" s="4" t="n"/>
      <c r="F38" s="4" t="n"/>
      <c r="G38" s="5">
        <f>IF(tblExcepciones[[#This Row],[fecha]]="","",TEXT(tblExcepciones[[#This Row],[fecha]],"yyyy-mm-dd")&amp;"|"&amp;tblExcepciones[[#This Row],[area]]&amp;"|"&amp;tblExcepciones[[#This Row],[sub_area]])</f>
        <v/>
      </c>
      <c r="I38" s="22" t="n">
        <v>46056</v>
      </c>
      <c r="J38" s="5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27" t="n"/>
      <c r="B39" s="4" t="n"/>
      <c r="C39" s="4" t="n"/>
      <c r="D39" s="4" t="n"/>
      <c r="E39" s="4" t="n"/>
      <c r="F39" s="4" t="n"/>
      <c r="G39" s="5">
        <f>IF(tblExcepciones[[#This Row],[fecha]]="","",TEXT(tblExcepciones[[#This Row],[fecha]],"yyyy-mm-dd")&amp;"|"&amp;tblExcepciones[[#This Row],[area]]&amp;"|"&amp;tblExcepciones[[#This Row],[sub_area]])</f>
        <v/>
      </c>
      <c r="I39" s="22" t="n">
        <v>46057</v>
      </c>
      <c r="J39" s="5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27" t="n"/>
      <c r="B40" s="4" t="n"/>
      <c r="C40" s="4" t="n"/>
      <c r="D40" s="4" t="n"/>
      <c r="E40" s="4" t="n"/>
      <c r="F40" s="4" t="n"/>
      <c r="G40" s="5">
        <f>IF(tblExcepciones[[#This Row],[fecha]]="","",TEXT(tblExcepciones[[#This Row],[fecha]],"yyyy-mm-dd")&amp;"|"&amp;tblExcepciones[[#This Row],[area]]&amp;"|"&amp;tblExcepciones[[#This Row],[sub_area]])</f>
        <v/>
      </c>
      <c r="I40" s="22" t="n">
        <v>46058</v>
      </c>
      <c r="J40" s="5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27" t="n"/>
      <c r="B41" s="4" t="n"/>
      <c r="C41" s="4" t="n"/>
      <c r="D41" s="4" t="n"/>
      <c r="E41" s="4" t="n"/>
      <c r="F41" s="4" t="n"/>
      <c r="G41" s="5">
        <f>IF(tblExcepciones[[#This Row],[fecha]]="","",TEXT(tblExcepciones[[#This Row],[fecha]],"yyyy-mm-dd")&amp;"|"&amp;tblExcepciones[[#This Row],[area]]&amp;"|"&amp;tblExcepciones[[#This Row],[sub_area]])</f>
        <v/>
      </c>
      <c r="I41" s="22" t="n">
        <v>46059</v>
      </c>
      <c r="J41" s="5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27" t="n"/>
      <c r="B42" s="4" t="n"/>
      <c r="C42" s="4" t="n"/>
      <c r="D42" s="4" t="n"/>
      <c r="E42" s="4" t="n"/>
      <c r="F42" s="4" t="n"/>
      <c r="G42" s="5">
        <f>IF(tblExcepciones[[#This Row],[fecha]]="","",TEXT(tblExcepciones[[#This Row],[fecha]],"yyyy-mm-dd")&amp;"|"&amp;tblExcepciones[[#This Row],[area]]&amp;"|"&amp;tblExcepciones[[#This Row],[sub_area]])</f>
        <v/>
      </c>
      <c r="I42" s="22" t="n">
        <v>46060</v>
      </c>
      <c r="J42" s="5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27" t="n"/>
      <c r="B43" s="4" t="n"/>
      <c r="C43" s="4" t="n"/>
      <c r="D43" s="4" t="n"/>
      <c r="E43" s="4" t="n"/>
      <c r="F43" s="4" t="n"/>
      <c r="G43" s="5">
        <f>IF(tblExcepciones[[#This Row],[fecha]]="","",TEXT(tblExcepciones[[#This Row],[fecha]],"yyyy-mm-dd")&amp;"|"&amp;tblExcepciones[[#This Row],[area]]&amp;"|"&amp;tblExcepciones[[#This Row],[sub_area]])</f>
        <v/>
      </c>
      <c r="I43" s="22" t="n">
        <v>46061</v>
      </c>
      <c r="J43" s="5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27" t="n"/>
      <c r="B44" s="4" t="n"/>
      <c r="C44" s="4" t="n"/>
      <c r="D44" s="4" t="n"/>
      <c r="E44" s="4" t="n"/>
      <c r="F44" s="4" t="n"/>
      <c r="G44" s="5">
        <f>IF(tblExcepciones[[#This Row],[fecha]]="","",TEXT(tblExcepciones[[#This Row],[fecha]],"yyyy-mm-dd")&amp;"|"&amp;tblExcepciones[[#This Row],[area]]&amp;"|"&amp;tblExcepciones[[#This Row],[sub_area]])</f>
        <v/>
      </c>
      <c r="I44" s="22" t="n">
        <v>46062</v>
      </c>
      <c r="J44" s="5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27" t="n"/>
      <c r="B45" s="4" t="n"/>
      <c r="C45" s="4" t="n"/>
      <c r="D45" s="4" t="n"/>
      <c r="E45" s="4" t="n"/>
      <c r="F45" s="4" t="n"/>
      <c r="G45" s="5">
        <f>IF(tblExcepciones[[#This Row],[fecha]]="","",TEXT(tblExcepciones[[#This Row],[fecha]],"yyyy-mm-dd")&amp;"|"&amp;tblExcepciones[[#This Row],[area]]&amp;"|"&amp;tblExcepciones[[#This Row],[sub_area]])</f>
        <v/>
      </c>
      <c r="I45" s="22" t="n">
        <v>46063</v>
      </c>
      <c r="J45" s="5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27" t="n"/>
      <c r="B46" s="4" t="n"/>
      <c r="C46" s="4" t="n"/>
      <c r="D46" s="4" t="n"/>
      <c r="E46" s="4" t="n"/>
      <c r="F46" s="4" t="n"/>
      <c r="G46" s="5">
        <f>IF(tblExcepciones[[#This Row],[fecha]]="","",TEXT(tblExcepciones[[#This Row],[fecha]],"yyyy-mm-dd")&amp;"|"&amp;tblExcepciones[[#This Row],[area]]&amp;"|"&amp;tblExcepciones[[#This Row],[sub_area]])</f>
        <v/>
      </c>
      <c r="I46" s="22" t="n">
        <v>46064</v>
      </c>
      <c r="J46" s="5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27" t="n"/>
      <c r="B47" s="4" t="n"/>
      <c r="C47" s="4" t="n"/>
      <c r="D47" s="4" t="n"/>
      <c r="E47" s="4" t="n"/>
      <c r="F47" s="4" t="n"/>
      <c r="G47" s="5">
        <f>IF(tblExcepciones[[#This Row],[fecha]]="","",TEXT(tblExcepciones[[#This Row],[fecha]],"yyyy-mm-dd")&amp;"|"&amp;tblExcepciones[[#This Row],[area]]&amp;"|"&amp;tblExcepciones[[#This Row],[sub_area]])</f>
        <v/>
      </c>
      <c r="I47" s="22" t="n">
        <v>46065</v>
      </c>
      <c r="J47" s="5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27" t="n"/>
      <c r="B48" s="4" t="n"/>
      <c r="C48" s="4" t="n"/>
      <c r="D48" s="4" t="n"/>
      <c r="E48" s="4" t="n"/>
      <c r="F48" s="4" t="n"/>
      <c r="G48" s="5">
        <f>IF(tblExcepciones[[#This Row],[fecha]]="","",TEXT(tblExcepciones[[#This Row],[fecha]],"yyyy-mm-dd")&amp;"|"&amp;tblExcepciones[[#This Row],[area]]&amp;"|"&amp;tblExcepciones[[#This Row],[sub_area]])</f>
        <v/>
      </c>
      <c r="I48" s="22" t="n">
        <v>46066</v>
      </c>
      <c r="J48" s="5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27" t="n"/>
      <c r="B49" s="4" t="n"/>
      <c r="C49" s="4" t="n"/>
      <c r="D49" s="4" t="n"/>
      <c r="E49" s="4" t="n"/>
      <c r="F49" s="4" t="n"/>
      <c r="G49" s="5">
        <f>IF(tblExcepciones[[#This Row],[fecha]]="","",TEXT(tblExcepciones[[#This Row],[fecha]],"yyyy-mm-dd")&amp;"|"&amp;tblExcepciones[[#This Row],[area]]&amp;"|"&amp;tblExcepciones[[#This Row],[sub_area]])</f>
        <v/>
      </c>
      <c r="I49" s="22" t="n">
        <v>46067</v>
      </c>
      <c r="J49" s="5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27" t="n"/>
      <c r="B50" s="4" t="n"/>
      <c r="C50" s="4" t="n"/>
      <c r="D50" s="4" t="n"/>
      <c r="E50" s="4" t="n"/>
      <c r="F50" s="4" t="n"/>
      <c r="G50" s="5">
        <f>IF(tblExcepciones[[#This Row],[fecha]]="","",TEXT(tblExcepciones[[#This Row],[fecha]],"yyyy-mm-dd")&amp;"|"&amp;tblExcepciones[[#This Row],[area]]&amp;"|"&amp;tblExcepciones[[#This Row],[sub_area]])</f>
        <v/>
      </c>
      <c r="I50" s="22" t="n">
        <v>46068</v>
      </c>
      <c r="J50" s="5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27" t="n"/>
      <c r="B51" s="4" t="n"/>
      <c r="C51" s="4" t="n"/>
      <c r="D51" s="4" t="n"/>
      <c r="E51" s="4" t="n"/>
      <c r="F51" s="4" t="n"/>
      <c r="G51" s="5">
        <f>IF(tblExcepciones[[#This Row],[fecha]]="","",TEXT(tblExcepciones[[#This Row],[fecha]],"yyyy-mm-dd")&amp;"|"&amp;tblExcepciones[[#This Row],[area]]&amp;"|"&amp;tblExcepciones[[#This Row],[sub_area]])</f>
        <v/>
      </c>
      <c r="I51" s="22" t="n">
        <v>46069</v>
      </c>
      <c r="J51" s="5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27" t="n"/>
      <c r="B52" s="4" t="n"/>
      <c r="C52" s="4" t="n"/>
      <c r="D52" s="4" t="n"/>
      <c r="E52" s="4" t="n"/>
      <c r="F52" s="4" t="n"/>
      <c r="G52" s="5">
        <f>IF(tblExcepciones[[#This Row],[fecha]]="","",TEXT(tblExcepciones[[#This Row],[fecha]],"yyyy-mm-dd")&amp;"|"&amp;tblExcepciones[[#This Row],[area]]&amp;"|"&amp;tblExcepciones[[#This Row],[sub_area]])</f>
        <v/>
      </c>
      <c r="I52" s="22" t="n">
        <v>46070</v>
      </c>
      <c r="J52" s="5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27" t="n"/>
      <c r="B53" s="4" t="n"/>
      <c r="C53" s="4" t="n"/>
      <c r="D53" s="4" t="n"/>
      <c r="E53" s="4" t="n"/>
      <c r="F53" s="4" t="n"/>
      <c r="G53" s="5">
        <f>IF(tblExcepciones[[#This Row],[fecha]]="","",TEXT(tblExcepciones[[#This Row],[fecha]],"yyyy-mm-dd")&amp;"|"&amp;tblExcepciones[[#This Row],[area]]&amp;"|"&amp;tblExcepciones[[#This Row],[sub_area]])</f>
        <v/>
      </c>
      <c r="I53" s="22" t="n">
        <v>46071</v>
      </c>
      <c r="J53" s="5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27" t="n"/>
      <c r="B54" s="4" t="n"/>
      <c r="C54" s="4" t="n"/>
      <c r="D54" s="4" t="n"/>
      <c r="E54" s="4" t="n"/>
      <c r="F54" s="4" t="n"/>
      <c r="G54" s="5">
        <f>IF(tblExcepciones[[#This Row],[fecha]]="","",TEXT(tblExcepciones[[#This Row],[fecha]],"yyyy-mm-dd")&amp;"|"&amp;tblExcepciones[[#This Row],[area]]&amp;"|"&amp;tblExcepciones[[#This Row],[sub_area]])</f>
        <v/>
      </c>
      <c r="I54" s="22" t="n">
        <v>46072</v>
      </c>
      <c r="J54" s="5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27" t="n"/>
      <c r="B55" s="4" t="n"/>
      <c r="C55" s="4" t="n"/>
      <c r="D55" s="4" t="n"/>
      <c r="E55" s="4" t="n"/>
      <c r="F55" s="4" t="n"/>
      <c r="G55" s="5">
        <f>IF(tblExcepciones[[#This Row],[fecha]]="","",TEXT(tblExcepciones[[#This Row],[fecha]],"yyyy-mm-dd")&amp;"|"&amp;tblExcepciones[[#This Row],[area]]&amp;"|"&amp;tblExcepciones[[#This Row],[sub_area]])</f>
        <v/>
      </c>
      <c r="I55" s="22" t="n">
        <v>46073</v>
      </c>
      <c r="J55" s="5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27" t="n"/>
      <c r="B56" s="4" t="n"/>
      <c r="C56" s="4" t="n"/>
      <c r="D56" s="4" t="n"/>
      <c r="E56" s="4" t="n"/>
      <c r="F56" s="4" t="n"/>
      <c r="G56" s="5">
        <f>IF(tblExcepciones[[#This Row],[fecha]]="","",TEXT(tblExcepciones[[#This Row],[fecha]],"yyyy-mm-dd")&amp;"|"&amp;tblExcepciones[[#This Row],[area]]&amp;"|"&amp;tblExcepciones[[#This Row],[sub_area]])</f>
        <v/>
      </c>
      <c r="I56" s="22" t="n">
        <v>46074</v>
      </c>
      <c r="J56" s="5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27" t="n"/>
      <c r="B57" s="4" t="n"/>
      <c r="C57" s="4" t="n"/>
      <c r="D57" s="4" t="n"/>
      <c r="E57" s="4" t="n"/>
      <c r="F57" s="4" t="n"/>
      <c r="G57" s="5">
        <f>IF(tblExcepciones[[#This Row],[fecha]]="","",TEXT(tblExcepciones[[#This Row],[fecha]],"yyyy-mm-dd")&amp;"|"&amp;tblExcepciones[[#This Row],[area]]&amp;"|"&amp;tblExcepciones[[#This Row],[sub_area]])</f>
        <v/>
      </c>
      <c r="I57" s="22" t="n">
        <v>46075</v>
      </c>
      <c r="J57" s="5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27" t="n"/>
      <c r="B58" s="4" t="n"/>
      <c r="C58" s="4" t="n"/>
      <c r="D58" s="4" t="n"/>
      <c r="E58" s="4" t="n"/>
      <c r="F58" s="4" t="n"/>
      <c r="G58" s="5">
        <f>IF(tblExcepciones[[#This Row],[fecha]]="","",TEXT(tblExcepciones[[#This Row],[fecha]],"yyyy-mm-dd")&amp;"|"&amp;tblExcepciones[[#This Row],[area]]&amp;"|"&amp;tblExcepciones[[#This Row],[sub_area]])</f>
        <v/>
      </c>
      <c r="I58" s="22" t="n">
        <v>46076</v>
      </c>
      <c r="J58" s="5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27" t="n"/>
      <c r="B59" s="4" t="n"/>
      <c r="C59" s="4" t="n"/>
      <c r="D59" s="4" t="n"/>
      <c r="E59" s="4" t="n"/>
      <c r="F59" s="4" t="n"/>
      <c r="G59" s="5">
        <f>IF(tblExcepciones[[#This Row],[fecha]]="","",TEXT(tblExcepciones[[#This Row],[fecha]],"yyyy-mm-dd")&amp;"|"&amp;tblExcepciones[[#This Row],[area]]&amp;"|"&amp;tblExcepciones[[#This Row],[sub_area]])</f>
        <v/>
      </c>
      <c r="I59" s="22" t="n">
        <v>46077</v>
      </c>
      <c r="J59" s="5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27" t="n"/>
      <c r="B60" s="4" t="n"/>
      <c r="C60" s="4" t="n"/>
      <c r="D60" s="4" t="n"/>
      <c r="E60" s="4" t="n"/>
      <c r="F60" s="4" t="n"/>
      <c r="G60" s="5">
        <f>IF(tblExcepciones[[#This Row],[fecha]]="","",TEXT(tblExcepciones[[#This Row],[fecha]],"yyyy-mm-dd")&amp;"|"&amp;tblExcepciones[[#This Row],[area]]&amp;"|"&amp;tblExcepciones[[#This Row],[sub_area]])</f>
        <v/>
      </c>
      <c r="I60" s="22" t="n">
        <v>46078</v>
      </c>
      <c r="J60" s="5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27" t="n"/>
      <c r="B61" s="4" t="n"/>
      <c r="C61" s="4" t="n"/>
      <c r="D61" s="4" t="n"/>
      <c r="E61" s="4" t="n"/>
      <c r="F61" s="4" t="n"/>
      <c r="G61" s="5">
        <f>IF(tblExcepciones[[#This Row],[fecha]]="","",TEXT(tblExcepciones[[#This Row],[fecha]],"yyyy-mm-dd")&amp;"|"&amp;tblExcepciones[[#This Row],[area]]&amp;"|"&amp;tblExcepciones[[#This Row],[sub_area]])</f>
        <v/>
      </c>
      <c r="I61" s="22" t="n">
        <v>46079</v>
      </c>
      <c r="J61" s="5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27" t="n"/>
      <c r="B62" s="4" t="n"/>
      <c r="C62" s="4" t="n"/>
      <c r="D62" s="4" t="n"/>
      <c r="E62" s="4" t="n"/>
      <c r="F62" s="4" t="n"/>
      <c r="G62" s="5">
        <f>IF(tblExcepciones[[#This Row],[fecha]]="","",TEXT(tblExcepciones[[#This Row],[fecha]],"yyyy-mm-dd")&amp;"|"&amp;tblExcepciones[[#This Row],[area]]&amp;"|"&amp;tblExcepciones[[#This Row],[sub_area]])</f>
        <v/>
      </c>
      <c r="I62" s="22" t="n">
        <v>46080</v>
      </c>
      <c r="J62" s="5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27" t="n"/>
      <c r="B63" s="4" t="n"/>
      <c r="C63" s="4" t="n"/>
      <c r="D63" s="4" t="n"/>
      <c r="E63" s="4" t="n"/>
      <c r="F63" s="4" t="n"/>
      <c r="G63" s="5">
        <f>IF(tblExcepciones[[#This Row],[fecha]]="","",TEXT(tblExcepciones[[#This Row],[fecha]],"yyyy-mm-dd")&amp;"|"&amp;tblExcepciones[[#This Row],[area]]&amp;"|"&amp;tblExcepciones[[#This Row],[sub_area]])</f>
        <v/>
      </c>
      <c r="I63" s="22" t="n">
        <v>46081</v>
      </c>
      <c r="J63" s="5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27" t="n"/>
      <c r="B64" s="4" t="n"/>
      <c r="C64" s="4" t="n"/>
      <c r="D64" s="4" t="n"/>
      <c r="E64" s="4" t="n"/>
      <c r="F64" s="4" t="n"/>
      <c r="G64" s="5">
        <f>IF(tblExcepciones[[#This Row],[fecha]]="","",TEXT(tblExcepciones[[#This Row],[fecha]],"yyyy-mm-dd")&amp;"|"&amp;tblExcepciones[[#This Row],[area]]&amp;"|"&amp;tblExcepciones[[#This Row],[sub_area]])</f>
        <v/>
      </c>
      <c r="I64" s="22" t="n">
        <v>46082</v>
      </c>
      <c r="J64" s="5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27" t="n"/>
      <c r="B65" s="4" t="n"/>
      <c r="C65" s="4" t="n"/>
      <c r="D65" s="4" t="n"/>
      <c r="E65" s="4" t="n"/>
      <c r="F65" s="4" t="n"/>
      <c r="G65" s="5">
        <f>IF(tblExcepciones[[#This Row],[fecha]]="","",TEXT(tblExcepciones[[#This Row],[fecha]],"yyyy-mm-dd")&amp;"|"&amp;tblExcepciones[[#This Row],[area]]&amp;"|"&amp;tblExcepciones[[#This Row],[sub_area]])</f>
        <v/>
      </c>
      <c r="I65" s="22" t="n">
        <v>46083</v>
      </c>
      <c r="J65" s="5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27" t="n"/>
      <c r="B66" s="4" t="n"/>
      <c r="C66" s="4" t="n"/>
      <c r="D66" s="4" t="n"/>
      <c r="E66" s="4" t="n"/>
      <c r="F66" s="4" t="n"/>
      <c r="G66" s="5">
        <f>IF(tblExcepciones[[#This Row],[fecha]]="","",TEXT(tblExcepciones[[#This Row],[fecha]],"yyyy-mm-dd")&amp;"|"&amp;tblExcepciones[[#This Row],[area]]&amp;"|"&amp;tblExcepciones[[#This Row],[sub_area]])</f>
        <v/>
      </c>
      <c r="I66" s="22" t="n">
        <v>46084</v>
      </c>
      <c r="J66" s="5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27" t="n"/>
      <c r="B67" s="4" t="n"/>
      <c r="C67" s="4" t="n"/>
      <c r="D67" s="4" t="n"/>
      <c r="E67" s="4" t="n"/>
      <c r="F67" s="4" t="n"/>
      <c r="G67" s="5">
        <f>IF(tblExcepciones[[#This Row],[fecha]]="","",TEXT(tblExcepciones[[#This Row],[fecha]],"yyyy-mm-dd")&amp;"|"&amp;tblExcepciones[[#This Row],[area]]&amp;"|"&amp;tblExcepciones[[#This Row],[sub_area]])</f>
        <v/>
      </c>
      <c r="I67" s="22" t="n">
        <v>46085</v>
      </c>
      <c r="J67" s="5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27" t="n"/>
      <c r="B68" s="4" t="n"/>
      <c r="C68" s="4" t="n"/>
      <c r="D68" s="4" t="n"/>
      <c r="E68" s="4" t="n"/>
      <c r="F68" s="4" t="n"/>
      <c r="G68" s="5">
        <f>IF(tblExcepciones[[#This Row],[fecha]]="","",TEXT(tblExcepciones[[#This Row],[fecha]],"yyyy-mm-dd")&amp;"|"&amp;tblExcepciones[[#This Row],[area]]&amp;"|"&amp;tblExcepciones[[#This Row],[sub_area]])</f>
        <v/>
      </c>
      <c r="I68" s="22" t="n">
        <v>46086</v>
      </c>
      <c r="J68" s="5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27" t="n"/>
      <c r="B69" s="4" t="n"/>
      <c r="C69" s="4" t="n"/>
      <c r="D69" s="4" t="n"/>
      <c r="E69" s="4" t="n"/>
      <c r="F69" s="4" t="n"/>
      <c r="G69" s="5">
        <f>IF(tblExcepciones[[#This Row],[fecha]]="","",TEXT(tblExcepciones[[#This Row],[fecha]],"yyyy-mm-dd")&amp;"|"&amp;tblExcepciones[[#This Row],[area]]&amp;"|"&amp;tblExcepciones[[#This Row],[sub_area]])</f>
        <v/>
      </c>
      <c r="I69" s="22" t="n">
        <v>46087</v>
      </c>
      <c r="J69" s="5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27" t="n"/>
      <c r="B70" s="4" t="n"/>
      <c r="C70" s="4" t="n"/>
      <c r="D70" s="4" t="n"/>
      <c r="E70" s="4" t="n"/>
      <c r="F70" s="4" t="n"/>
      <c r="G70" s="5">
        <f>IF(tblExcepciones[[#This Row],[fecha]]="","",TEXT(tblExcepciones[[#This Row],[fecha]],"yyyy-mm-dd")&amp;"|"&amp;tblExcepciones[[#This Row],[area]]&amp;"|"&amp;tblExcepciones[[#This Row],[sub_area]])</f>
        <v/>
      </c>
      <c r="I70" s="22" t="n">
        <v>46088</v>
      </c>
      <c r="J70" s="5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27" t="n"/>
      <c r="B71" s="4" t="n"/>
      <c r="C71" s="4" t="n"/>
      <c r="D71" s="4" t="n"/>
      <c r="E71" s="4" t="n"/>
      <c r="F71" s="4" t="n"/>
      <c r="G71" s="5">
        <f>IF(tblExcepciones[[#This Row],[fecha]]="","",TEXT(tblExcepciones[[#This Row],[fecha]],"yyyy-mm-dd")&amp;"|"&amp;tblExcepciones[[#This Row],[area]]&amp;"|"&amp;tblExcepciones[[#This Row],[sub_area]])</f>
        <v/>
      </c>
      <c r="I71" s="22" t="n">
        <v>46089</v>
      </c>
      <c r="J71" s="5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27" t="n"/>
      <c r="B72" s="4" t="n"/>
      <c r="C72" s="4" t="n"/>
      <c r="D72" s="4" t="n"/>
      <c r="E72" s="4" t="n"/>
      <c r="F72" s="4" t="n"/>
      <c r="G72" s="5">
        <f>IF(tblExcepciones[[#This Row],[fecha]]="","",TEXT(tblExcepciones[[#This Row],[fecha]],"yyyy-mm-dd")&amp;"|"&amp;tblExcepciones[[#This Row],[area]]&amp;"|"&amp;tblExcepciones[[#This Row],[sub_area]])</f>
        <v/>
      </c>
      <c r="I72" s="22" t="n">
        <v>46090</v>
      </c>
      <c r="J72" s="5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27" t="n"/>
      <c r="B73" s="4" t="n"/>
      <c r="C73" s="4" t="n"/>
      <c r="D73" s="4" t="n"/>
      <c r="E73" s="4" t="n"/>
      <c r="F73" s="4" t="n"/>
      <c r="G73" s="5">
        <f>IF(tblExcepciones[[#This Row],[fecha]]="","",TEXT(tblExcepciones[[#This Row],[fecha]],"yyyy-mm-dd")&amp;"|"&amp;tblExcepciones[[#This Row],[area]]&amp;"|"&amp;tblExcepciones[[#This Row],[sub_area]])</f>
        <v/>
      </c>
      <c r="I73" s="22" t="n">
        <v>46091</v>
      </c>
      <c r="J73" s="5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27" t="n"/>
      <c r="B74" s="4" t="n"/>
      <c r="C74" s="4" t="n"/>
      <c r="D74" s="4" t="n"/>
      <c r="E74" s="4" t="n"/>
      <c r="F74" s="4" t="n"/>
      <c r="G74" s="5">
        <f>IF(tblExcepciones[[#This Row],[fecha]]="","",TEXT(tblExcepciones[[#This Row],[fecha]],"yyyy-mm-dd")&amp;"|"&amp;tblExcepciones[[#This Row],[area]]&amp;"|"&amp;tblExcepciones[[#This Row],[sub_area]])</f>
        <v/>
      </c>
      <c r="I74" s="22" t="n">
        <v>46092</v>
      </c>
      <c r="J74" s="5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27" t="n"/>
      <c r="B75" s="4" t="n"/>
      <c r="C75" s="4" t="n"/>
      <c r="D75" s="4" t="n"/>
      <c r="E75" s="4" t="n"/>
      <c r="F75" s="4" t="n"/>
      <c r="G75" s="5">
        <f>IF(tblExcepciones[[#This Row],[fecha]]="","",TEXT(tblExcepciones[[#This Row],[fecha]],"yyyy-mm-dd")&amp;"|"&amp;tblExcepciones[[#This Row],[area]]&amp;"|"&amp;tblExcepciones[[#This Row],[sub_area]])</f>
        <v/>
      </c>
      <c r="I75" s="22" t="n">
        <v>46093</v>
      </c>
      <c r="J75" s="5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27" t="n"/>
      <c r="B76" s="4" t="n"/>
      <c r="C76" s="4" t="n"/>
      <c r="D76" s="4" t="n"/>
      <c r="E76" s="4" t="n"/>
      <c r="F76" s="4" t="n"/>
      <c r="G76" s="5">
        <f>IF(tblExcepciones[[#This Row],[fecha]]="","",TEXT(tblExcepciones[[#This Row],[fecha]],"yyyy-mm-dd")&amp;"|"&amp;tblExcepciones[[#This Row],[area]]&amp;"|"&amp;tblExcepciones[[#This Row],[sub_area]])</f>
        <v/>
      </c>
      <c r="I76" s="22" t="n">
        <v>46094</v>
      </c>
      <c r="J76" s="5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27" t="n"/>
      <c r="B77" s="4" t="n"/>
      <c r="C77" s="4" t="n"/>
      <c r="D77" s="4" t="n"/>
      <c r="E77" s="4" t="n"/>
      <c r="F77" s="4" t="n"/>
      <c r="G77" s="5">
        <f>IF(tblExcepciones[[#This Row],[fecha]]="","",TEXT(tblExcepciones[[#This Row],[fecha]],"yyyy-mm-dd")&amp;"|"&amp;tblExcepciones[[#This Row],[area]]&amp;"|"&amp;tblExcepciones[[#This Row],[sub_area]])</f>
        <v/>
      </c>
      <c r="I77" s="22" t="n">
        <v>46095</v>
      </c>
      <c r="J77" s="5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27" t="n"/>
      <c r="B78" s="4" t="n"/>
      <c r="C78" s="4" t="n"/>
      <c r="D78" s="4" t="n"/>
      <c r="E78" s="4" t="n"/>
      <c r="F78" s="4" t="n"/>
      <c r="G78" s="5">
        <f>IF(tblExcepciones[[#This Row],[fecha]]="","",TEXT(tblExcepciones[[#This Row],[fecha]],"yyyy-mm-dd")&amp;"|"&amp;tblExcepciones[[#This Row],[area]]&amp;"|"&amp;tblExcepciones[[#This Row],[sub_area]])</f>
        <v/>
      </c>
      <c r="I78" s="22" t="n">
        <v>46096</v>
      </c>
      <c r="J78" s="5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27" t="n"/>
      <c r="B79" s="4" t="n"/>
      <c r="C79" s="4" t="n"/>
      <c r="D79" s="4" t="n"/>
      <c r="E79" s="4" t="n"/>
      <c r="F79" s="4" t="n"/>
      <c r="G79" s="5">
        <f>IF(tblExcepciones[[#This Row],[fecha]]="","",TEXT(tblExcepciones[[#This Row],[fecha]],"yyyy-mm-dd")&amp;"|"&amp;tblExcepciones[[#This Row],[area]]&amp;"|"&amp;tblExcepciones[[#This Row],[sub_area]])</f>
        <v/>
      </c>
      <c r="I79" s="22" t="n">
        <v>46097</v>
      </c>
      <c r="J79" s="5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27" t="n"/>
      <c r="B80" s="4" t="n"/>
      <c r="C80" s="4" t="n"/>
      <c r="D80" s="4" t="n"/>
      <c r="E80" s="4" t="n"/>
      <c r="F80" s="4" t="n"/>
      <c r="G80" s="5">
        <f>IF(tblExcepciones[[#This Row],[fecha]]="","",TEXT(tblExcepciones[[#This Row],[fecha]],"yyyy-mm-dd")&amp;"|"&amp;tblExcepciones[[#This Row],[area]]&amp;"|"&amp;tblExcepciones[[#This Row],[sub_area]])</f>
        <v/>
      </c>
      <c r="I80" s="22" t="n">
        <v>46098</v>
      </c>
      <c r="J80" s="5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27" t="n"/>
      <c r="B81" s="4" t="n"/>
      <c r="C81" s="4" t="n"/>
      <c r="D81" s="4" t="n"/>
      <c r="E81" s="4" t="n"/>
      <c r="F81" s="4" t="n"/>
      <c r="G81" s="5">
        <f>IF(tblExcepciones[[#This Row],[fecha]]="","",TEXT(tblExcepciones[[#This Row],[fecha]],"yyyy-mm-dd")&amp;"|"&amp;tblExcepciones[[#This Row],[area]]&amp;"|"&amp;tblExcepciones[[#This Row],[sub_area]])</f>
        <v/>
      </c>
      <c r="I81" s="22" t="n">
        <v>46099</v>
      </c>
      <c r="J81" s="5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27" t="n"/>
      <c r="B82" s="4" t="n"/>
      <c r="C82" s="4" t="n"/>
      <c r="D82" s="4" t="n"/>
      <c r="E82" s="4" t="n"/>
      <c r="F82" s="4" t="n"/>
      <c r="G82" s="5">
        <f>IF(tblExcepciones[[#This Row],[fecha]]="","",TEXT(tblExcepciones[[#This Row],[fecha]],"yyyy-mm-dd")&amp;"|"&amp;tblExcepciones[[#This Row],[area]]&amp;"|"&amp;tblExcepciones[[#This Row],[sub_area]])</f>
        <v/>
      </c>
      <c r="I82" s="22" t="n">
        <v>46100</v>
      </c>
      <c r="J82" s="5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27" t="n"/>
      <c r="B83" s="4" t="n"/>
      <c r="C83" s="4" t="n"/>
      <c r="D83" s="4" t="n"/>
      <c r="E83" s="4" t="n"/>
      <c r="F83" s="4" t="n"/>
      <c r="G83" s="5">
        <f>IF(tblExcepciones[[#This Row],[fecha]]="","",TEXT(tblExcepciones[[#This Row],[fecha]],"yyyy-mm-dd")&amp;"|"&amp;tblExcepciones[[#This Row],[area]]&amp;"|"&amp;tblExcepciones[[#This Row],[sub_area]])</f>
        <v/>
      </c>
      <c r="I83" s="22" t="n">
        <v>46101</v>
      </c>
      <c r="J83" s="5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27" t="n"/>
      <c r="B84" s="4" t="n"/>
      <c r="C84" s="4" t="n"/>
      <c r="D84" s="4" t="n"/>
      <c r="E84" s="4" t="n"/>
      <c r="F84" s="4" t="n"/>
      <c r="G84" s="5">
        <f>IF(tblExcepciones[[#This Row],[fecha]]="","",TEXT(tblExcepciones[[#This Row],[fecha]],"yyyy-mm-dd")&amp;"|"&amp;tblExcepciones[[#This Row],[area]]&amp;"|"&amp;tblExcepciones[[#This Row],[sub_area]])</f>
        <v/>
      </c>
      <c r="I84" s="22" t="n">
        <v>46102</v>
      </c>
      <c r="J84" s="5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27" t="n"/>
      <c r="B85" s="4" t="n"/>
      <c r="C85" s="4" t="n"/>
      <c r="D85" s="4" t="n"/>
      <c r="E85" s="4" t="n"/>
      <c r="F85" s="4" t="n"/>
      <c r="G85" s="5">
        <f>IF(tblExcepciones[[#This Row],[fecha]]="","",TEXT(tblExcepciones[[#This Row],[fecha]],"yyyy-mm-dd")&amp;"|"&amp;tblExcepciones[[#This Row],[area]]&amp;"|"&amp;tblExcepciones[[#This Row],[sub_area]])</f>
        <v/>
      </c>
      <c r="I85" s="22" t="n">
        <v>46103</v>
      </c>
      <c r="J85" s="5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27" t="n"/>
      <c r="B86" s="4" t="n"/>
      <c r="C86" s="4" t="n"/>
      <c r="D86" s="4" t="n"/>
      <c r="E86" s="4" t="n"/>
      <c r="F86" s="4" t="n"/>
      <c r="G86" s="5">
        <f>IF(tblExcepciones[[#This Row],[fecha]]="","",TEXT(tblExcepciones[[#This Row],[fecha]],"yyyy-mm-dd")&amp;"|"&amp;tblExcepciones[[#This Row],[area]]&amp;"|"&amp;tblExcepciones[[#This Row],[sub_area]])</f>
        <v/>
      </c>
      <c r="I86" s="22" t="n">
        <v>46104</v>
      </c>
      <c r="J86" s="5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27" t="n"/>
      <c r="B87" s="4" t="n"/>
      <c r="C87" s="4" t="n"/>
      <c r="D87" s="4" t="n"/>
      <c r="E87" s="4" t="n"/>
      <c r="F87" s="4" t="n"/>
      <c r="G87" s="5">
        <f>IF(tblExcepciones[[#This Row],[fecha]]="","",TEXT(tblExcepciones[[#This Row],[fecha]],"yyyy-mm-dd")&amp;"|"&amp;tblExcepciones[[#This Row],[area]]&amp;"|"&amp;tblExcepciones[[#This Row],[sub_area]])</f>
        <v/>
      </c>
      <c r="I87" s="22" t="n">
        <v>46105</v>
      </c>
      <c r="J87" s="5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27" t="n"/>
      <c r="B88" s="4" t="n"/>
      <c r="C88" s="4" t="n"/>
      <c r="D88" s="4" t="n"/>
      <c r="E88" s="4" t="n"/>
      <c r="F88" s="4" t="n"/>
      <c r="G88" s="5">
        <f>IF(tblExcepciones[[#This Row],[fecha]]="","",TEXT(tblExcepciones[[#This Row],[fecha]],"yyyy-mm-dd")&amp;"|"&amp;tblExcepciones[[#This Row],[area]]&amp;"|"&amp;tblExcepciones[[#This Row],[sub_area]])</f>
        <v/>
      </c>
      <c r="I88" s="22" t="n">
        <v>46106</v>
      </c>
      <c r="J88" s="5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27" t="n"/>
      <c r="B89" s="4" t="n"/>
      <c r="C89" s="4" t="n"/>
      <c r="D89" s="4" t="n"/>
      <c r="E89" s="4" t="n"/>
      <c r="F89" s="4" t="n"/>
      <c r="G89" s="5">
        <f>IF(tblExcepciones[[#This Row],[fecha]]="","",TEXT(tblExcepciones[[#This Row],[fecha]],"yyyy-mm-dd")&amp;"|"&amp;tblExcepciones[[#This Row],[area]]&amp;"|"&amp;tblExcepciones[[#This Row],[sub_area]])</f>
        <v/>
      </c>
      <c r="I89" s="22" t="n">
        <v>46107</v>
      </c>
      <c r="J89" s="5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27" t="n"/>
      <c r="B90" s="4" t="n"/>
      <c r="C90" s="4" t="n"/>
      <c r="D90" s="4" t="n"/>
      <c r="E90" s="4" t="n"/>
      <c r="F90" s="4" t="n"/>
      <c r="G90" s="5">
        <f>IF(tblExcepciones[[#This Row],[fecha]]="","",TEXT(tblExcepciones[[#This Row],[fecha]],"yyyy-mm-dd")&amp;"|"&amp;tblExcepciones[[#This Row],[area]]&amp;"|"&amp;tblExcepciones[[#This Row],[sub_area]])</f>
        <v/>
      </c>
      <c r="I90" s="22" t="n">
        <v>46108</v>
      </c>
      <c r="J90" s="5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27" t="n"/>
      <c r="B91" s="4" t="n"/>
      <c r="C91" s="4" t="n"/>
      <c r="D91" s="4" t="n"/>
      <c r="E91" s="4" t="n"/>
      <c r="F91" s="4" t="n"/>
      <c r="G91" s="5">
        <f>IF(tblExcepciones[[#This Row],[fecha]]="","",TEXT(tblExcepciones[[#This Row],[fecha]],"yyyy-mm-dd")&amp;"|"&amp;tblExcepciones[[#This Row],[area]]&amp;"|"&amp;tblExcepciones[[#This Row],[sub_area]])</f>
        <v/>
      </c>
      <c r="I91" s="22" t="n">
        <v>46109</v>
      </c>
      <c r="J91" s="5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27" t="n"/>
      <c r="B92" s="4" t="n"/>
      <c r="C92" s="4" t="n"/>
      <c r="D92" s="4" t="n"/>
      <c r="E92" s="4" t="n"/>
      <c r="F92" s="4" t="n"/>
      <c r="G92" s="5">
        <f>IF(tblExcepciones[[#This Row],[fecha]]="","",TEXT(tblExcepciones[[#This Row],[fecha]],"yyyy-mm-dd")&amp;"|"&amp;tblExcepciones[[#This Row],[area]]&amp;"|"&amp;tblExcepciones[[#This Row],[sub_area]])</f>
        <v/>
      </c>
      <c r="I92" s="22" t="n">
        <v>46110</v>
      </c>
      <c r="J92" s="5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27" t="n"/>
      <c r="B93" s="4" t="n"/>
      <c r="C93" s="4" t="n"/>
      <c r="D93" s="4" t="n"/>
      <c r="E93" s="4" t="n"/>
      <c r="F93" s="4" t="n"/>
      <c r="G93" s="5">
        <f>IF(tblExcepciones[[#This Row],[fecha]]="","",TEXT(tblExcepciones[[#This Row],[fecha]],"yyyy-mm-dd")&amp;"|"&amp;tblExcepciones[[#This Row],[area]]&amp;"|"&amp;tblExcepciones[[#This Row],[sub_area]])</f>
        <v/>
      </c>
      <c r="I93" s="22" t="n">
        <v>46111</v>
      </c>
      <c r="J93" s="5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27" t="n"/>
      <c r="B94" s="4" t="n"/>
      <c r="C94" s="4" t="n"/>
      <c r="D94" s="4" t="n"/>
      <c r="E94" s="4" t="n"/>
      <c r="F94" s="4" t="n"/>
      <c r="G94" s="5">
        <f>IF(tblExcepciones[[#This Row],[fecha]]="","",TEXT(tblExcepciones[[#This Row],[fecha]],"yyyy-mm-dd")&amp;"|"&amp;tblExcepciones[[#This Row],[area]]&amp;"|"&amp;tblExcepciones[[#This Row],[sub_area]])</f>
        <v/>
      </c>
      <c r="I94" s="22" t="n">
        <v>46112</v>
      </c>
      <c r="J94" s="5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27" t="n"/>
      <c r="B95" s="4" t="n"/>
      <c r="C95" s="4" t="n"/>
      <c r="D95" s="4" t="n"/>
      <c r="E95" s="4" t="n"/>
      <c r="F95" s="4" t="n"/>
      <c r="G95" s="5">
        <f>IF(tblExcepciones[[#This Row],[fecha]]="","",TEXT(tblExcepciones[[#This Row],[fecha]],"yyyy-mm-dd")&amp;"|"&amp;tblExcepciones[[#This Row],[area]]&amp;"|"&amp;tblExcepciones[[#This Row],[sub_area]])</f>
        <v/>
      </c>
      <c r="I95" s="22" t="n">
        <v>46113</v>
      </c>
      <c r="J95" s="5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27" t="n"/>
      <c r="B96" s="4" t="n"/>
      <c r="C96" s="4" t="n"/>
      <c r="D96" s="4" t="n"/>
      <c r="E96" s="4" t="n"/>
      <c r="F96" s="4" t="n"/>
      <c r="G96" s="5">
        <f>IF(tblExcepciones[[#This Row],[fecha]]="","",TEXT(tblExcepciones[[#This Row],[fecha]],"yyyy-mm-dd")&amp;"|"&amp;tblExcepciones[[#This Row],[area]]&amp;"|"&amp;tblExcepciones[[#This Row],[sub_area]])</f>
        <v/>
      </c>
      <c r="I96" s="22" t="n">
        <v>46114</v>
      </c>
      <c r="J96" s="5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27" t="n"/>
      <c r="B97" s="4" t="n"/>
      <c r="C97" s="4" t="n"/>
      <c r="D97" s="4" t="n"/>
      <c r="E97" s="4" t="n"/>
      <c r="F97" s="4" t="n"/>
      <c r="G97" s="5">
        <f>IF(tblExcepciones[[#This Row],[fecha]]="","",TEXT(tblExcepciones[[#This Row],[fecha]],"yyyy-mm-dd")&amp;"|"&amp;tblExcepciones[[#This Row],[area]]&amp;"|"&amp;tblExcepciones[[#This Row],[sub_area]])</f>
        <v/>
      </c>
      <c r="I97" s="22" t="n">
        <v>46115</v>
      </c>
      <c r="J97" s="5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27" t="n"/>
      <c r="B98" s="4" t="n"/>
      <c r="C98" s="4" t="n"/>
      <c r="D98" s="4" t="n"/>
      <c r="E98" s="4" t="n"/>
      <c r="F98" s="4" t="n"/>
      <c r="G98" s="5">
        <f>IF(tblExcepciones[[#This Row],[fecha]]="","",TEXT(tblExcepciones[[#This Row],[fecha]],"yyyy-mm-dd")&amp;"|"&amp;tblExcepciones[[#This Row],[area]]&amp;"|"&amp;tblExcepciones[[#This Row],[sub_area]])</f>
        <v/>
      </c>
      <c r="I98" s="22" t="n">
        <v>46116</v>
      </c>
      <c r="J98" s="5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27" t="n"/>
      <c r="B99" s="4" t="n"/>
      <c r="C99" s="4" t="n"/>
      <c r="D99" s="4" t="n"/>
      <c r="E99" s="4" t="n"/>
      <c r="F99" s="4" t="n"/>
      <c r="G99" s="5">
        <f>IF(tblExcepciones[[#This Row],[fecha]]="","",TEXT(tblExcepciones[[#This Row],[fecha]],"yyyy-mm-dd")&amp;"|"&amp;tblExcepciones[[#This Row],[area]]&amp;"|"&amp;tblExcepciones[[#This Row],[sub_area]])</f>
        <v/>
      </c>
      <c r="I99" s="22" t="n">
        <v>46117</v>
      </c>
      <c r="J99" s="5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27" t="n"/>
      <c r="B100" s="4" t="n"/>
      <c r="C100" s="4" t="n"/>
      <c r="D100" s="4" t="n"/>
      <c r="E100" s="4" t="n"/>
      <c r="F100" s="4" t="n"/>
      <c r="G100" s="5">
        <f>IF(tblExcepciones[[#This Row],[fecha]]="","",TEXT(tblExcepciones[[#This Row],[fecha]],"yyyy-mm-dd")&amp;"|"&amp;tblExcepciones[[#This Row],[area]]&amp;"|"&amp;tblExcepciones[[#This Row],[sub_area]])</f>
        <v/>
      </c>
      <c r="I100" s="22" t="n">
        <v>46118</v>
      </c>
      <c r="J100" s="5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27" t="n"/>
      <c r="B101" s="4" t="n"/>
      <c r="C101" s="4" t="n"/>
      <c r="D101" s="4" t="n"/>
      <c r="E101" s="4" t="n"/>
      <c r="F101" s="4" t="n"/>
      <c r="G101" s="5">
        <f>IF(tblExcepciones[[#This Row],[fecha]]="","",TEXT(tblExcepciones[[#This Row],[fecha]],"yyyy-mm-dd")&amp;"|"&amp;tblExcepciones[[#This Row],[area]]&amp;"|"&amp;tblExcepciones[[#This Row],[sub_area]])</f>
        <v/>
      </c>
      <c r="I101" s="22" t="n">
        <v>46119</v>
      </c>
      <c r="J101" s="5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27" t="n"/>
      <c r="B102" s="4" t="n"/>
      <c r="C102" s="4" t="n"/>
      <c r="D102" s="4" t="n"/>
      <c r="E102" s="4" t="n"/>
      <c r="F102" s="4" t="n"/>
      <c r="G102" s="5">
        <f>IF(tblExcepciones[[#This Row],[fecha]]="","",TEXT(tblExcepciones[[#This Row],[fecha]],"yyyy-mm-dd")&amp;"|"&amp;tblExcepciones[[#This Row],[area]]&amp;"|"&amp;tblExcepciones[[#This Row],[sub_area]])</f>
        <v/>
      </c>
      <c r="I102" s="22" t="n">
        <v>46120</v>
      </c>
      <c r="J102" s="5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27" t="n"/>
      <c r="B103" s="4" t="n"/>
      <c r="C103" s="4" t="n"/>
      <c r="D103" s="4" t="n"/>
      <c r="E103" s="4" t="n"/>
      <c r="F103" s="4" t="n"/>
      <c r="G103" s="5">
        <f>IF(tblExcepciones[[#This Row],[fecha]]="","",TEXT(tblExcepciones[[#This Row],[fecha]],"yyyy-mm-dd")&amp;"|"&amp;tblExcepciones[[#This Row],[area]]&amp;"|"&amp;tblExcepciones[[#This Row],[sub_area]])</f>
        <v/>
      </c>
      <c r="I103" s="22" t="n">
        <v>46121</v>
      </c>
      <c r="J103" s="5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27" t="n"/>
      <c r="B104" s="4" t="n"/>
      <c r="C104" s="4" t="n"/>
      <c r="D104" s="4" t="n"/>
      <c r="E104" s="4" t="n"/>
      <c r="F104" s="4" t="n"/>
      <c r="G104" s="5">
        <f>IF(tblExcepciones[[#This Row],[fecha]]="","",TEXT(tblExcepciones[[#This Row],[fecha]],"yyyy-mm-dd")&amp;"|"&amp;tblExcepciones[[#This Row],[area]]&amp;"|"&amp;tblExcepciones[[#This Row],[sub_area]])</f>
        <v/>
      </c>
      <c r="I104" s="22" t="n">
        <v>46122</v>
      </c>
      <c r="J104" s="5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27" t="n"/>
      <c r="B105" s="4" t="n"/>
      <c r="C105" s="4" t="n"/>
      <c r="D105" s="4" t="n"/>
      <c r="E105" s="4" t="n"/>
      <c r="F105" s="4" t="n"/>
      <c r="G105" s="5">
        <f>IF(tblExcepciones[[#This Row],[fecha]]="","",TEXT(tblExcepciones[[#This Row],[fecha]],"yyyy-mm-dd")&amp;"|"&amp;tblExcepciones[[#This Row],[area]]&amp;"|"&amp;tblExcepciones[[#This Row],[sub_area]])</f>
        <v/>
      </c>
      <c r="I105" s="22" t="n">
        <v>46123</v>
      </c>
      <c r="J105" s="5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27" t="n"/>
      <c r="B106" s="4" t="n"/>
      <c r="C106" s="4" t="n"/>
      <c r="D106" s="4" t="n"/>
      <c r="E106" s="4" t="n"/>
      <c r="F106" s="4" t="n"/>
      <c r="G106" s="5">
        <f>IF(tblExcepciones[[#This Row],[fecha]]="","",TEXT(tblExcepciones[[#This Row],[fecha]],"yyyy-mm-dd")&amp;"|"&amp;tblExcepciones[[#This Row],[area]]&amp;"|"&amp;tblExcepciones[[#This Row],[sub_area]])</f>
        <v/>
      </c>
      <c r="I106" s="22" t="n">
        <v>46124</v>
      </c>
      <c r="J106" s="5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27" t="n"/>
      <c r="B107" s="4" t="n"/>
      <c r="C107" s="4" t="n"/>
      <c r="D107" s="4" t="n"/>
      <c r="E107" s="4" t="n"/>
      <c r="F107" s="4" t="n"/>
      <c r="G107" s="5">
        <f>IF(tblExcepciones[[#This Row],[fecha]]="","",TEXT(tblExcepciones[[#This Row],[fecha]],"yyyy-mm-dd")&amp;"|"&amp;tblExcepciones[[#This Row],[area]]&amp;"|"&amp;tblExcepciones[[#This Row],[sub_area]])</f>
        <v/>
      </c>
      <c r="I107" s="22" t="n">
        <v>46125</v>
      </c>
      <c r="J107" s="5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27" t="n"/>
      <c r="B108" s="4" t="n"/>
      <c r="C108" s="4" t="n"/>
      <c r="D108" s="4" t="n"/>
      <c r="E108" s="4" t="n"/>
      <c r="F108" s="4" t="n"/>
      <c r="G108" s="5">
        <f>IF(tblExcepciones[[#This Row],[fecha]]="","",TEXT(tblExcepciones[[#This Row],[fecha]],"yyyy-mm-dd")&amp;"|"&amp;tblExcepciones[[#This Row],[area]]&amp;"|"&amp;tblExcepciones[[#This Row],[sub_area]])</f>
        <v/>
      </c>
      <c r="I108" s="22" t="n">
        <v>46126</v>
      </c>
      <c r="J108" s="5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27" t="n"/>
      <c r="B109" s="4" t="n"/>
      <c r="C109" s="4" t="n"/>
      <c r="D109" s="4" t="n"/>
      <c r="E109" s="4" t="n"/>
      <c r="F109" s="4" t="n"/>
      <c r="G109" s="5">
        <f>IF(tblExcepciones[[#This Row],[fecha]]="","",TEXT(tblExcepciones[[#This Row],[fecha]],"yyyy-mm-dd")&amp;"|"&amp;tblExcepciones[[#This Row],[area]]&amp;"|"&amp;tblExcepciones[[#This Row],[sub_area]])</f>
        <v/>
      </c>
      <c r="I109" s="22" t="n">
        <v>46127</v>
      </c>
      <c r="J109" s="5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27" t="n"/>
      <c r="B110" s="4" t="n"/>
      <c r="C110" s="4" t="n"/>
      <c r="D110" s="4" t="n"/>
      <c r="E110" s="4" t="n"/>
      <c r="F110" s="4" t="n"/>
      <c r="G110" s="5">
        <f>IF(tblExcepciones[[#This Row],[fecha]]="","",TEXT(tblExcepciones[[#This Row],[fecha]],"yyyy-mm-dd")&amp;"|"&amp;tblExcepciones[[#This Row],[area]]&amp;"|"&amp;tblExcepciones[[#This Row],[sub_area]])</f>
        <v/>
      </c>
      <c r="I110" s="22" t="n">
        <v>46128</v>
      </c>
      <c r="J110" s="5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27" t="n"/>
      <c r="B111" s="4" t="n"/>
      <c r="C111" s="4" t="n"/>
      <c r="D111" s="4" t="n"/>
      <c r="E111" s="4" t="n"/>
      <c r="F111" s="4" t="n"/>
      <c r="G111" s="5">
        <f>IF(tblExcepciones[[#This Row],[fecha]]="","",TEXT(tblExcepciones[[#This Row],[fecha]],"yyyy-mm-dd")&amp;"|"&amp;tblExcepciones[[#This Row],[area]]&amp;"|"&amp;tblExcepciones[[#This Row],[sub_area]])</f>
        <v/>
      </c>
      <c r="I111" s="22" t="n">
        <v>46129</v>
      </c>
      <c r="J111" s="5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27" t="n"/>
      <c r="B112" s="4" t="n"/>
      <c r="C112" s="4" t="n"/>
      <c r="D112" s="4" t="n"/>
      <c r="E112" s="4" t="n"/>
      <c r="F112" s="4" t="n"/>
      <c r="G112" s="5">
        <f>IF(tblExcepciones[[#This Row],[fecha]]="","",TEXT(tblExcepciones[[#This Row],[fecha]],"yyyy-mm-dd")&amp;"|"&amp;tblExcepciones[[#This Row],[area]]&amp;"|"&amp;tblExcepciones[[#This Row],[sub_area]])</f>
        <v/>
      </c>
      <c r="I112" s="22" t="n">
        <v>46130</v>
      </c>
      <c r="J112" s="5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27" t="n"/>
      <c r="B113" s="4" t="n"/>
      <c r="C113" s="4" t="n"/>
      <c r="D113" s="4" t="n"/>
      <c r="E113" s="4" t="n"/>
      <c r="F113" s="4" t="n"/>
      <c r="G113" s="5">
        <f>IF(tblExcepciones[[#This Row],[fecha]]="","",TEXT(tblExcepciones[[#This Row],[fecha]],"yyyy-mm-dd")&amp;"|"&amp;tblExcepciones[[#This Row],[area]]&amp;"|"&amp;tblExcepciones[[#This Row],[sub_area]])</f>
        <v/>
      </c>
      <c r="I113" s="22" t="n">
        <v>46131</v>
      </c>
      <c r="J113" s="5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27" t="n"/>
      <c r="B114" s="4" t="n"/>
      <c r="C114" s="4" t="n"/>
      <c r="D114" s="4" t="n"/>
      <c r="E114" s="4" t="n"/>
      <c r="F114" s="4" t="n"/>
      <c r="G114" s="5">
        <f>IF(tblExcepciones[[#This Row],[fecha]]="","",TEXT(tblExcepciones[[#This Row],[fecha]],"yyyy-mm-dd")&amp;"|"&amp;tblExcepciones[[#This Row],[area]]&amp;"|"&amp;tblExcepciones[[#This Row],[sub_area]])</f>
        <v/>
      </c>
      <c r="I114" s="22" t="n">
        <v>46132</v>
      </c>
      <c r="J114" s="5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27" t="n"/>
      <c r="B115" s="4" t="n"/>
      <c r="C115" s="4" t="n"/>
      <c r="D115" s="4" t="n"/>
      <c r="E115" s="4" t="n"/>
      <c r="F115" s="4" t="n"/>
      <c r="G115" s="5">
        <f>IF(tblExcepciones[[#This Row],[fecha]]="","",TEXT(tblExcepciones[[#This Row],[fecha]],"yyyy-mm-dd")&amp;"|"&amp;tblExcepciones[[#This Row],[area]]&amp;"|"&amp;tblExcepciones[[#This Row],[sub_area]])</f>
        <v/>
      </c>
      <c r="I115" s="22" t="n">
        <v>46133</v>
      </c>
      <c r="J115" s="5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27" t="n"/>
      <c r="B116" s="4" t="n"/>
      <c r="C116" s="4" t="n"/>
      <c r="D116" s="4" t="n"/>
      <c r="E116" s="4" t="n"/>
      <c r="F116" s="4" t="n"/>
      <c r="G116" s="5">
        <f>IF(tblExcepciones[[#This Row],[fecha]]="","",TEXT(tblExcepciones[[#This Row],[fecha]],"yyyy-mm-dd")&amp;"|"&amp;tblExcepciones[[#This Row],[area]]&amp;"|"&amp;tblExcepciones[[#This Row],[sub_area]])</f>
        <v/>
      </c>
      <c r="I116" s="22" t="n">
        <v>46134</v>
      </c>
      <c r="J116" s="5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27" t="n"/>
      <c r="B117" s="4" t="n"/>
      <c r="C117" s="4" t="n"/>
      <c r="D117" s="4" t="n"/>
      <c r="E117" s="4" t="n"/>
      <c r="F117" s="4" t="n"/>
      <c r="G117" s="5">
        <f>IF(tblExcepciones[[#This Row],[fecha]]="","",TEXT(tblExcepciones[[#This Row],[fecha]],"yyyy-mm-dd")&amp;"|"&amp;tblExcepciones[[#This Row],[area]]&amp;"|"&amp;tblExcepciones[[#This Row],[sub_area]])</f>
        <v/>
      </c>
      <c r="I117" s="22" t="n">
        <v>46135</v>
      </c>
      <c r="J117" s="5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27" t="n"/>
      <c r="B118" s="4" t="n"/>
      <c r="C118" s="4" t="n"/>
      <c r="D118" s="4" t="n"/>
      <c r="E118" s="4" t="n"/>
      <c r="F118" s="4" t="n"/>
      <c r="G118" s="5">
        <f>IF(tblExcepciones[[#This Row],[fecha]]="","",TEXT(tblExcepciones[[#This Row],[fecha]],"yyyy-mm-dd")&amp;"|"&amp;tblExcepciones[[#This Row],[area]]&amp;"|"&amp;tblExcepciones[[#This Row],[sub_area]])</f>
        <v/>
      </c>
      <c r="I118" s="22" t="n">
        <v>46136</v>
      </c>
      <c r="J118" s="5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27" t="n"/>
      <c r="B119" s="4" t="n"/>
      <c r="C119" s="4" t="n"/>
      <c r="D119" s="4" t="n"/>
      <c r="E119" s="4" t="n"/>
      <c r="F119" s="4" t="n"/>
      <c r="G119" s="5">
        <f>IF(tblExcepciones[[#This Row],[fecha]]="","",TEXT(tblExcepciones[[#This Row],[fecha]],"yyyy-mm-dd")&amp;"|"&amp;tblExcepciones[[#This Row],[area]]&amp;"|"&amp;tblExcepciones[[#This Row],[sub_area]])</f>
        <v/>
      </c>
      <c r="I119" s="22" t="n">
        <v>46137</v>
      </c>
      <c r="J119" s="5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27" t="n"/>
      <c r="B120" s="4" t="n"/>
      <c r="C120" s="4" t="n"/>
      <c r="D120" s="4" t="n"/>
      <c r="E120" s="4" t="n"/>
      <c r="F120" s="4" t="n"/>
      <c r="G120" s="5">
        <f>IF(tblExcepciones[[#This Row],[fecha]]="","",TEXT(tblExcepciones[[#This Row],[fecha]],"yyyy-mm-dd")&amp;"|"&amp;tblExcepciones[[#This Row],[area]]&amp;"|"&amp;tblExcepciones[[#This Row],[sub_area]])</f>
        <v/>
      </c>
      <c r="I120" s="22" t="n">
        <v>46138</v>
      </c>
      <c r="J120" s="5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27" t="n"/>
      <c r="B121" s="4" t="n"/>
      <c r="C121" s="4" t="n"/>
      <c r="D121" s="4" t="n"/>
      <c r="E121" s="4" t="n"/>
      <c r="F121" s="4" t="n"/>
      <c r="G121" s="5">
        <f>IF(tblExcepciones[[#This Row],[fecha]]="","",TEXT(tblExcepciones[[#This Row],[fecha]],"yyyy-mm-dd")&amp;"|"&amp;tblExcepciones[[#This Row],[area]]&amp;"|"&amp;tblExcepciones[[#This Row],[sub_area]])</f>
        <v/>
      </c>
      <c r="I121" s="22" t="n">
        <v>46139</v>
      </c>
      <c r="J121" s="5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27" t="n"/>
      <c r="B122" s="4" t="n"/>
      <c r="C122" s="4" t="n"/>
      <c r="D122" s="4" t="n"/>
      <c r="E122" s="4" t="n"/>
      <c r="F122" s="4" t="n"/>
      <c r="G122" s="5">
        <f>IF(tblExcepciones[[#This Row],[fecha]]="","",TEXT(tblExcepciones[[#This Row],[fecha]],"yyyy-mm-dd")&amp;"|"&amp;tblExcepciones[[#This Row],[area]]&amp;"|"&amp;tblExcepciones[[#This Row],[sub_area]])</f>
        <v/>
      </c>
      <c r="I122" s="22" t="n">
        <v>46140</v>
      </c>
      <c r="J122" s="5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27" t="n"/>
      <c r="B123" s="4" t="n"/>
      <c r="C123" s="4" t="n"/>
      <c r="D123" s="4" t="n"/>
      <c r="E123" s="4" t="n"/>
      <c r="F123" s="4" t="n"/>
      <c r="G123" s="5">
        <f>IF(tblExcepciones[[#This Row],[fecha]]="","",TEXT(tblExcepciones[[#This Row],[fecha]],"yyyy-mm-dd")&amp;"|"&amp;tblExcepciones[[#This Row],[area]]&amp;"|"&amp;tblExcepciones[[#This Row],[sub_area]])</f>
        <v/>
      </c>
      <c r="I123" s="22" t="n">
        <v>46141</v>
      </c>
      <c r="J123" s="5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27" t="n"/>
      <c r="B124" s="4" t="n"/>
      <c r="C124" s="4" t="n"/>
      <c r="D124" s="4" t="n"/>
      <c r="E124" s="4" t="n"/>
      <c r="F124" s="4" t="n"/>
      <c r="G124" s="5">
        <f>IF(tblExcepciones[[#This Row],[fecha]]="","",TEXT(tblExcepciones[[#This Row],[fecha]],"yyyy-mm-dd")&amp;"|"&amp;tblExcepciones[[#This Row],[area]]&amp;"|"&amp;tblExcepciones[[#This Row],[sub_area]])</f>
        <v/>
      </c>
      <c r="I124" s="22" t="n">
        <v>46142</v>
      </c>
      <c r="J124" s="5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27" t="n"/>
      <c r="B125" s="4" t="n"/>
      <c r="C125" s="4" t="n"/>
      <c r="D125" s="4" t="n"/>
      <c r="E125" s="4" t="n"/>
      <c r="F125" s="4" t="n"/>
      <c r="G125" s="5">
        <f>IF(tblExcepciones[[#This Row],[fecha]]="","",TEXT(tblExcepciones[[#This Row],[fecha]],"yyyy-mm-dd")&amp;"|"&amp;tblExcepciones[[#This Row],[area]]&amp;"|"&amp;tblExcepciones[[#This Row],[sub_area]])</f>
        <v/>
      </c>
      <c r="I125" s="22" t="n">
        <v>46143</v>
      </c>
      <c r="J125" s="5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27" t="n"/>
      <c r="B126" s="4" t="n"/>
      <c r="C126" s="4" t="n"/>
      <c r="D126" s="4" t="n"/>
      <c r="E126" s="4" t="n"/>
      <c r="F126" s="4" t="n"/>
      <c r="G126" s="5">
        <f>IF(tblExcepciones[[#This Row],[fecha]]="","",TEXT(tblExcepciones[[#This Row],[fecha]],"yyyy-mm-dd")&amp;"|"&amp;tblExcepciones[[#This Row],[area]]&amp;"|"&amp;tblExcepciones[[#This Row],[sub_area]])</f>
        <v/>
      </c>
      <c r="I126" s="22" t="n">
        <v>46144</v>
      </c>
      <c r="J126" s="5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27" t="n"/>
      <c r="B127" s="4" t="n"/>
      <c r="C127" s="4" t="n"/>
      <c r="D127" s="4" t="n"/>
      <c r="E127" s="4" t="n"/>
      <c r="F127" s="4" t="n"/>
      <c r="G127" s="5">
        <f>IF(tblExcepciones[[#This Row],[fecha]]="","",TEXT(tblExcepciones[[#This Row],[fecha]],"yyyy-mm-dd")&amp;"|"&amp;tblExcepciones[[#This Row],[area]]&amp;"|"&amp;tblExcepciones[[#This Row],[sub_area]])</f>
        <v/>
      </c>
      <c r="I127" s="22" t="n">
        <v>46145</v>
      </c>
      <c r="J127" s="5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27" t="n"/>
      <c r="B128" s="4" t="n"/>
      <c r="C128" s="4" t="n"/>
      <c r="D128" s="4" t="n"/>
      <c r="E128" s="4" t="n"/>
      <c r="F128" s="4" t="n"/>
      <c r="G128" s="5">
        <f>IF(tblExcepciones[[#This Row],[fecha]]="","",TEXT(tblExcepciones[[#This Row],[fecha]],"yyyy-mm-dd")&amp;"|"&amp;tblExcepciones[[#This Row],[area]]&amp;"|"&amp;tblExcepciones[[#This Row],[sub_area]])</f>
        <v/>
      </c>
      <c r="I128" s="22" t="n">
        <v>46146</v>
      </c>
      <c r="J128" s="5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27" t="n"/>
      <c r="B129" s="4" t="n"/>
      <c r="C129" s="4" t="n"/>
      <c r="D129" s="4" t="n"/>
      <c r="E129" s="4" t="n"/>
      <c r="F129" s="4" t="n"/>
      <c r="G129" s="5">
        <f>IF(tblExcepciones[[#This Row],[fecha]]="","",TEXT(tblExcepciones[[#This Row],[fecha]],"yyyy-mm-dd")&amp;"|"&amp;tblExcepciones[[#This Row],[area]]&amp;"|"&amp;tblExcepciones[[#This Row],[sub_area]])</f>
        <v/>
      </c>
      <c r="I129" s="22" t="n">
        <v>46147</v>
      </c>
      <c r="J129" s="5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27" t="n"/>
      <c r="B130" s="4" t="n"/>
      <c r="C130" s="4" t="n"/>
      <c r="D130" s="4" t="n"/>
      <c r="E130" s="4" t="n"/>
      <c r="F130" s="4" t="n"/>
      <c r="G130" s="5">
        <f>IF(tblExcepciones[[#This Row],[fecha]]="","",TEXT(tblExcepciones[[#This Row],[fecha]],"yyyy-mm-dd")&amp;"|"&amp;tblExcepciones[[#This Row],[area]]&amp;"|"&amp;tblExcepciones[[#This Row],[sub_area]])</f>
        <v/>
      </c>
      <c r="I130" s="22" t="n">
        <v>46148</v>
      </c>
      <c r="J130" s="5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27" t="n"/>
      <c r="B131" s="4" t="n"/>
      <c r="C131" s="4" t="n"/>
      <c r="D131" s="4" t="n"/>
      <c r="E131" s="4" t="n"/>
      <c r="F131" s="4" t="n"/>
      <c r="G131" s="5">
        <f>IF(tblExcepciones[[#This Row],[fecha]]="","",TEXT(tblExcepciones[[#This Row],[fecha]],"yyyy-mm-dd")&amp;"|"&amp;tblExcepciones[[#This Row],[area]]&amp;"|"&amp;tblExcepciones[[#This Row],[sub_area]])</f>
        <v/>
      </c>
      <c r="I131" s="22" t="n">
        <v>46149</v>
      </c>
      <c r="J131" s="5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27" t="n"/>
      <c r="B132" s="4" t="n"/>
      <c r="C132" s="4" t="n"/>
      <c r="D132" s="4" t="n"/>
      <c r="E132" s="4" t="n"/>
      <c r="F132" s="4" t="n"/>
      <c r="G132" s="5">
        <f>IF(tblExcepciones[[#This Row],[fecha]]="","",TEXT(tblExcepciones[[#This Row],[fecha]],"yyyy-mm-dd")&amp;"|"&amp;tblExcepciones[[#This Row],[area]]&amp;"|"&amp;tblExcepciones[[#This Row],[sub_area]])</f>
        <v/>
      </c>
      <c r="I132" s="22" t="n">
        <v>46150</v>
      </c>
      <c r="J132" s="5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27" t="n"/>
      <c r="B133" s="4" t="n"/>
      <c r="C133" s="4" t="n"/>
      <c r="D133" s="4" t="n"/>
      <c r="E133" s="4" t="n"/>
      <c r="F133" s="4" t="n"/>
      <c r="G133" s="5">
        <f>IF(tblExcepciones[[#This Row],[fecha]]="","",TEXT(tblExcepciones[[#This Row],[fecha]],"yyyy-mm-dd")&amp;"|"&amp;tblExcepciones[[#This Row],[area]]&amp;"|"&amp;tblExcepciones[[#This Row],[sub_area]])</f>
        <v/>
      </c>
      <c r="I133" s="22" t="n">
        <v>46151</v>
      </c>
      <c r="J133" s="5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27" t="n"/>
      <c r="B134" s="4" t="n"/>
      <c r="C134" s="4" t="n"/>
      <c r="D134" s="4" t="n"/>
      <c r="E134" s="4" t="n"/>
      <c r="F134" s="4" t="n"/>
      <c r="G134" s="5">
        <f>IF(tblExcepciones[[#This Row],[fecha]]="","",TEXT(tblExcepciones[[#This Row],[fecha]],"yyyy-mm-dd")&amp;"|"&amp;tblExcepciones[[#This Row],[area]]&amp;"|"&amp;tblExcepciones[[#This Row],[sub_area]])</f>
        <v/>
      </c>
      <c r="I134" s="22" t="n">
        <v>46152</v>
      </c>
      <c r="J134" s="5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27" t="n"/>
      <c r="B135" s="4" t="n"/>
      <c r="C135" s="4" t="n"/>
      <c r="D135" s="4" t="n"/>
      <c r="E135" s="4" t="n"/>
      <c r="F135" s="4" t="n"/>
      <c r="G135" s="5">
        <f>IF(tblExcepciones[[#This Row],[fecha]]="","",TEXT(tblExcepciones[[#This Row],[fecha]],"yyyy-mm-dd")&amp;"|"&amp;tblExcepciones[[#This Row],[area]]&amp;"|"&amp;tblExcepciones[[#This Row],[sub_area]])</f>
        <v/>
      </c>
      <c r="I135" s="22" t="n">
        <v>46153</v>
      </c>
      <c r="J135" s="5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27" t="n"/>
      <c r="B136" s="4" t="n"/>
      <c r="C136" s="4" t="n"/>
      <c r="D136" s="4" t="n"/>
      <c r="E136" s="4" t="n"/>
      <c r="F136" s="4" t="n"/>
      <c r="G136" s="5">
        <f>IF(tblExcepciones[[#This Row],[fecha]]="","",TEXT(tblExcepciones[[#This Row],[fecha]],"yyyy-mm-dd")&amp;"|"&amp;tblExcepciones[[#This Row],[area]]&amp;"|"&amp;tblExcepciones[[#This Row],[sub_area]])</f>
        <v/>
      </c>
      <c r="I136" s="22" t="n">
        <v>46154</v>
      </c>
      <c r="J136" s="5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27" t="n"/>
      <c r="B137" s="4" t="n"/>
      <c r="C137" s="4" t="n"/>
      <c r="D137" s="4" t="n"/>
      <c r="E137" s="4" t="n"/>
      <c r="F137" s="4" t="n"/>
      <c r="G137" s="5">
        <f>IF(tblExcepciones[[#This Row],[fecha]]="","",TEXT(tblExcepciones[[#This Row],[fecha]],"yyyy-mm-dd")&amp;"|"&amp;tblExcepciones[[#This Row],[area]]&amp;"|"&amp;tblExcepciones[[#This Row],[sub_area]])</f>
        <v/>
      </c>
      <c r="I137" s="22" t="n">
        <v>46155</v>
      </c>
      <c r="J137" s="5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27" t="n"/>
      <c r="B138" s="4" t="n"/>
      <c r="C138" s="4" t="n"/>
      <c r="D138" s="4" t="n"/>
      <c r="E138" s="4" t="n"/>
      <c r="F138" s="4" t="n"/>
      <c r="G138" s="5">
        <f>IF(tblExcepciones[[#This Row],[fecha]]="","",TEXT(tblExcepciones[[#This Row],[fecha]],"yyyy-mm-dd")&amp;"|"&amp;tblExcepciones[[#This Row],[area]]&amp;"|"&amp;tblExcepciones[[#This Row],[sub_area]])</f>
        <v/>
      </c>
      <c r="I138" s="22" t="n">
        <v>46156</v>
      </c>
      <c r="J138" s="5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27" t="n"/>
      <c r="B139" s="4" t="n"/>
      <c r="C139" s="4" t="n"/>
      <c r="D139" s="4" t="n"/>
      <c r="E139" s="4" t="n"/>
      <c r="F139" s="4" t="n"/>
      <c r="G139" s="5">
        <f>IF(tblExcepciones[[#This Row],[fecha]]="","",TEXT(tblExcepciones[[#This Row],[fecha]],"yyyy-mm-dd")&amp;"|"&amp;tblExcepciones[[#This Row],[area]]&amp;"|"&amp;tblExcepciones[[#This Row],[sub_area]])</f>
        <v/>
      </c>
      <c r="I139" s="22" t="n">
        <v>46157</v>
      </c>
      <c r="J139" s="5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27" t="n"/>
      <c r="B140" s="4" t="n"/>
      <c r="C140" s="4" t="n"/>
      <c r="D140" s="4" t="n"/>
      <c r="E140" s="4" t="n"/>
      <c r="F140" s="4" t="n"/>
      <c r="G140" s="5">
        <f>IF(tblExcepciones[[#This Row],[fecha]]="","",TEXT(tblExcepciones[[#This Row],[fecha]],"yyyy-mm-dd")&amp;"|"&amp;tblExcepciones[[#This Row],[area]]&amp;"|"&amp;tblExcepciones[[#This Row],[sub_area]])</f>
        <v/>
      </c>
      <c r="I140" s="22" t="n">
        <v>46158</v>
      </c>
      <c r="J140" s="5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27" t="n"/>
      <c r="B141" s="4" t="n"/>
      <c r="C141" s="4" t="n"/>
      <c r="D141" s="4" t="n"/>
      <c r="E141" s="4" t="n"/>
      <c r="F141" s="4" t="n"/>
      <c r="G141" s="5">
        <f>IF(tblExcepciones[[#This Row],[fecha]]="","",TEXT(tblExcepciones[[#This Row],[fecha]],"yyyy-mm-dd")&amp;"|"&amp;tblExcepciones[[#This Row],[area]]&amp;"|"&amp;tblExcepciones[[#This Row],[sub_area]])</f>
        <v/>
      </c>
      <c r="I141" s="22" t="n">
        <v>46159</v>
      </c>
      <c r="J141" s="5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27" t="n"/>
      <c r="B142" s="4" t="n"/>
      <c r="C142" s="4" t="n"/>
      <c r="D142" s="4" t="n"/>
      <c r="E142" s="4" t="n"/>
      <c r="F142" s="4" t="n"/>
      <c r="G142" s="5">
        <f>IF(tblExcepciones[[#This Row],[fecha]]="","",TEXT(tblExcepciones[[#This Row],[fecha]],"yyyy-mm-dd")&amp;"|"&amp;tblExcepciones[[#This Row],[area]]&amp;"|"&amp;tblExcepciones[[#This Row],[sub_area]])</f>
        <v/>
      </c>
      <c r="I142" s="22" t="n">
        <v>46160</v>
      </c>
      <c r="J142" s="5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27" t="n"/>
      <c r="B143" s="4" t="n"/>
      <c r="C143" s="4" t="n"/>
      <c r="D143" s="4" t="n"/>
      <c r="E143" s="4" t="n"/>
      <c r="F143" s="4" t="n"/>
      <c r="G143" s="5">
        <f>IF(tblExcepciones[[#This Row],[fecha]]="","",TEXT(tblExcepciones[[#This Row],[fecha]],"yyyy-mm-dd")&amp;"|"&amp;tblExcepciones[[#This Row],[area]]&amp;"|"&amp;tblExcepciones[[#This Row],[sub_area]])</f>
        <v/>
      </c>
      <c r="I143" s="22" t="n">
        <v>46161</v>
      </c>
      <c r="J143" s="5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27" t="n"/>
      <c r="B144" s="4" t="n"/>
      <c r="C144" s="4" t="n"/>
      <c r="D144" s="4" t="n"/>
      <c r="E144" s="4" t="n"/>
      <c r="F144" s="4" t="n"/>
      <c r="G144" s="5">
        <f>IF(tblExcepciones[[#This Row],[fecha]]="","",TEXT(tblExcepciones[[#This Row],[fecha]],"yyyy-mm-dd")&amp;"|"&amp;tblExcepciones[[#This Row],[area]]&amp;"|"&amp;tblExcepciones[[#This Row],[sub_area]])</f>
        <v/>
      </c>
      <c r="I144" s="22" t="n">
        <v>46162</v>
      </c>
      <c r="J144" s="5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27" t="n"/>
      <c r="B145" s="4" t="n"/>
      <c r="C145" s="4" t="n"/>
      <c r="D145" s="4" t="n"/>
      <c r="E145" s="4" t="n"/>
      <c r="F145" s="4" t="n"/>
      <c r="G145" s="5">
        <f>IF(tblExcepciones[[#This Row],[fecha]]="","",TEXT(tblExcepciones[[#This Row],[fecha]],"yyyy-mm-dd")&amp;"|"&amp;tblExcepciones[[#This Row],[area]]&amp;"|"&amp;tblExcepciones[[#This Row],[sub_area]])</f>
        <v/>
      </c>
      <c r="I145" s="22" t="n">
        <v>46163</v>
      </c>
      <c r="J145" s="5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27" t="n"/>
      <c r="B146" s="4" t="n"/>
      <c r="C146" s="4" t="n"/>
      <c r="D146" s="4" t="n"/>
      <c r="E146" s="4" t="n"/>
      <c r="F146" s="4" t="n"/>
      <c r="G146" s="5">
        <f>IF(tblExcepciones[[#This Row],[fecha]]="","",TEXT(tblExcepciones[[#This Row],[fecha]],"yyyy-mm-dd")&amp;"|"&amp;tblExcepciones[[#This Row],[area]]&amp;"|"&amp;tblExcepciones[[#This Row],[sub_area]])</f>
        <v/>
      </c>
      <c r="I146" s="22" t="n">
        <v>46164</v>
      </c>
      <c r="J146" s="5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27" t="n"/>
      <c r="B147" s="4" t="n"/>
      <c r="C147" s="4" t="n"/>
      <c r="D147" s="4" t="n"/>
      <c r="E147" s="4" t="n"/>
      <c r="F147" s="4" t="n"/>
      <c r="G147" s="5">
        <f>IF(tblExcepciones[[#This Row],[fecha]]="","",TEXT(tblExcepciones[[#This Row],[fecha]],"yyyy-mm-dd")&amp;"|"&amp;tblExcepciones[[#This Row],[area]]&amp;"|"&amp;tblExcepciones[[#This Row],[sub_area]])</f>
        <v/>
      </c>
      <c r="I147" s="22" t="n">
        <v>46165</v>
      </c>
      <c r="J147" s="5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27" t="n"/>
      <c r="B148" s="4" t="n"/>
      <c r="C148" s="4" t="n"/>
      <c r="D148" s="4" t="n"/>
      <c r="E148" s="4" t="n"/>
      <c r="F148" s="4" t="n"/>
      <c r="G148" s="5">
        <f>IF(tblExcepciones[[#This Row],[fecha]]="","",TEXT(tblExcepciones[[#This Row],[fecha]],"yyyy-mm-dd")&amp;"|"&amp;tblExcepciones[[#This Row],[area]]&amp;"|"&amp;tblExcepciones[[#This Row],[sub_area]])</f>
        <v/>
      </c>
      <c r="I148" s="22" t="n">
        <v>46166</v>
      </c>
      <c r="J148" s="5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27" t="n"/>
      <c r="B149" s="4" t="n"/>
      <c r="C149" s="4" t="n"/>
      <c r="D149" s="4" t="n"/>
      <c r="E149" s="4" t="n"/>
      <c r="F149" s="4" t="n"/>
      <c r="G149" s="5">
        <f>IF(tblExcepciones[[#This Row],[fecha]]="","",TEXT(tblExcepciones[[#This Row],[fecha]],"yyyy-mm-dd")&amp;"|"&amp;tblExcepciones[[#This Row],[area]]&amp;"|"&amp;tblExcepciones[[#This Row],[sub_area]])</f>
        <v/>
      </c>
      <c r="I149" s="22" t="n">
        <v>46167</v>
      </c>
      <c r="J149" s="5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27" t="n"/>
      <c r="B150" s="4" t="n"/>
      <c r="C150" s="4" t="n"/>
      <c r="D150" s="4" t="n"/>
      <c r="E150" s="4" t="n"/>
      <c r="F150" s="4" t="n"/>
      <c r="G150" s="5">
        <f>IF(tblExcepciones[[#This Row],[fecha]]="","",TEXT(tblExcepciones[[#This Row],[fecha]],"yyyy-mm-dd")&amp;"|"&amp;tblExcepciones[[#This Row],[area]]&amp;"|"&amp;tblExcepciones[[#This Row],[sub_area]])</f>
        <v/>
      </c>
      <c r="I150" s="22" t="n">
        <v>46168</v>
      </c>
      <c r="J150" s="5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27" t="n"/>
      <c r="B151" s="4" t="n"/>
      <c r="C151" s="4" t="n"/>
      <c r="D151" s="4" t="n"/>
      <c r="E151" s="4" t="n"/>
      <c r="F151" s="4" t="n"/>
      <c r="G151" s="5">
        <f>IF(tblExcepciones[[#This Row],[fecha]]="","",TEXT(tblExcepciones[[#This Row],[fecha]],"yyyy-mm-dd")&amp;"|"&amp;tblExcepciones[[#This Row],[area]]&amp;"|"&amp;tblExcepciones[[#This Row],[sub_area]])</f>
        <v/>
      </c>
      <c r="I151" s="22" t="n">
        <v>46169</v>
      </c>
      <c r="J151" s="5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27" t="n"/>
      <c r="B152" s="4" t="n"/>
      <c r="C152" s="4" t="n"/>
      <c r="D152" s="4" t="n"/>
      <c r="E152" s="4" t="n"/>
      <c r="F152" s="4" t="n"/>
      <c r="G152" s="5">
        <f>IF(tblExcepciones[[#This Row],[fecha]]="","",TEXT(tblExcepciones[[#This Row],[fecha]],"yyyy-mm-dd")&amp;"|"&amp;tblExcepciones[[#This Row],[area]]&amp;"|"&amp;tblExcepciones[[#This Row],[sub_area]])</f>
        <v/>
      </c>
      <c r="I152" s="22" t="n">
        <v>46170</v>
      </c>
      <c r="J152" s="5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27" t="n"/>
      <c r="B153" s="4" t="n"/>
      <c r="C153" s="4" t="n"/>
      <c r="D153" s="4" t="n"/>
      <c r="E153" s="4" t="n"/>
      <c r="F153" s="4" t="n"/>
      <c r="G153" s="5">
        <f>IF(tblExcepciones[[#This Row],[fecha]]="","",TEXT(tblExcepciones[[#This Row],[fecha]],"yyyy-mm-dd")&amp;"|"&amp;tblExcepciones[[#This Row],[area]]&amp;"|"&amp;tblExcepciones[[#This Row],[sub_area]])</f>
        <v/>
      </c>
      <c r="I153" s="22" t="n">
        <v>46171</v>
      </c>
      <c r="J153" s="5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27" t="n"/>
      <c r="B154" s="4" t="n"/>
      <c r="C154" s="4" t="n"/>
      <c r="D154" s="4" t="n"/>
      <c r="E154" s="4" t="n"/>
      <c r="F154" s="4" t="n"/>
      <c r="G154" s="5">
        <f>IF(tblExcepciones[[#This Row],[fecha]]="","",TEXT(tblExcepciones[[#This Row],[fecha]],"yyyy-mm-dd")&amp;"|"&amp;tblExcepciones[[#This Row],[area]]&amp;"|"&amp;tblExcepciones[[#This Row],[sub_area]])</f>
        <v/>
      </c>
      <c r="I154" s="22" t="n">
        <v>46172</v>
      </c>
      <c r="J154" s="5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27" t="n"/>
      <c r="B155" s="4" t="n"/>
      <c r="C155" s="4" t="n"/>
      <c r="D155" s="4" t="n"/>
      <c r="E155" s="4" t="n"/>
      <c r="F155" s="4" t="n"/>
      <c r="G155" s="5">
        <f>IF(tblExcepciones[[#This Row],[fecha]]="","",TEXT(tblExcepciones[[#This Row],[fecha]],"yyyy-mm-dd")&amp;"|"&amp;tblExcepciones[[#This Row],[area]]&amp;"|"&amp;tblExcepciones[[#This Row],[sub_area]])</f>
        <v/>
      </c>
      <c r="I155" s="22" t="n">
        <v>46173</v>
      </c>
      <c r="J155" s="5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27" t="n"/>
      <c r="B156" s="4" t="n"/>
      <c r="C156" s="4" t="n"/>
      <c r="D156" s="4" t="n"/>
      <c r="E156" s="4" t="n"/>
      <c r="F156" s="4" t="n"/>
      <c r="G156" s="5">
        <f>IF(tblExcepciones[[#This Row],[fecha]]="","",TEXT(tblExcepciones[[#This Row],[fecha]],"yyyy-mm-dd")&amp;"|"&amp;tblExcepciones[[#This Row],[area]]&amp;"|"&amp;tblExcepciones[[#This Row],[sub_area]])</f>
        <v/>
      </c>
      <c r="I156" s="22" t="n">
        <v>46174</v>
      </c>
      <c r="J156" s="5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27" t="n"/>
      <c r="B157" s="4" t="n"/>
      <c r="C157" s="4" t="n"/>
      <c r="D157" s="4" t="n"/>
      <c r="E157" s="4" t="n"/>
      <c r="F157" s="4" t="n"/>
      <c r="G157" s="5">
        <f>IF(tblExcepciones[[#This Row],[fecha]]="","",TEXT(tblExcepciones[[#This Row],[fecha]],"yyyy-mm-dd")&amp;"|"&amp;tblExcepciones[[#This Row],[area]]&amp;"|"&amp;tblExcepciones[[#This Row],[sub_area]])</f>
        <v/>
      </c>
      <c r="I157" s="22" t="n">
        <v>46175</v>
      </c>
      <c r="J157" s="5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27" t="n"/>
      <c r="B158" s="4" t="n"/>
      <c r="C158" s="4" t="n"/>
      <c r="D158" s="4" t="n"/>
      <c r="E158" s="4" t="n"/>
      <c r="F158" s="4" t="n"/>
      <c r="G158" s="5">
        <f>IF(tblExcepciones[[#This Row],[fecha]]="","",TEXT(tblExcepciones[[#This Row],[fecha]],"yyyy-mm-dd")&amp;"|"&amp;tblExcepciones[[#This Row],[area]]&amp;"|"&amp;tblExcepciones[[#This Row],[sub_area]])</f>
        <v/>
      </c>
      <c r="I158" s="22" t="n">
        <v>46176</v>
      </c>
      <c r="J158" s="5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27" t="n"/>
      <c r="B159" s="4" t="n"/>
      <c r="C159" s="4" t="n"/>
      <c r="D159" s="4" t="n"/>
      <c r="E159" s="4" t="n"/>
      <c r="F159" s="4" t="n"/>
      <c r="G159" s="5">
        <f>IF(tblExcepciones[[#This Row],[fecha]]="","",TEXT(tblExcepciones[[#This Row],[fecha]],"yyyy-mm-dd")&amp;"|"&amp;tblExcepciones[[#This Row],[area]]&amp;"|"&amp;tblExcepciones[[#This Row],[sub_area]])</f>
        <v/>
      </c>
      <c r="I159" s="22" t="n">
        <v>46177</v>
      </c>
      <c r="J159" s="5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27" t="n"/>
      <c r="B160" s="4" t="n"/>
      <c r="C160" s="4" t="n"/>
      <c r="D160" s="4" t="n"/>
      <c r="E160" s="4" t="n"/>
      <c r="F160" s="4" t="n"/>
      <c r="G160" s="5">
        <f>IF(tblExcepciones[[#This Row],[fecha]]="","",TEXT(tblExcepciones[[#This Row],[fecha]],"yyyy-mm-dd")&amp;"|"&amp;tblExcepciones[[#This Row],[area]]&amp;"|"&amp;tblExcepciones[[#This Row],[sub_area]])</f>
        <v/>
      </c>
      <c r="I160" s="22" t="n">
        <v>46178</v>
      </c>
      <c r="J160" s="5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27" t="n"/>
      <c r="B161" s="4" t="n"/>
      <c r="C161" s="4" t="n"/>
      <c r="D161" s="4" t="n"/>
      <c r="E161" s="4" t="n"/>
      <c r="F161" s="4" t="n"/>
      <c r="G161" s="5">
        <f>IF(tblExcepciones[[#This Row],[fecha]]="","",TEXT(tblExcepciones[[#This Row],[fecha]],"yyyy-mm-dd")&amp;"|"&amp;tblExcepciones[[#This Row],[area]]&amp;"|"&amp;tblExcepciones[[#This Row],[sub_area]])</f>
        <v/>
      </c>
      <c r="I161" s="22" t="n">
        <v>46179</v>
      </c>
      <c r="J161" s="5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27" t="n"/>
      <c r="B162" s="4" t="n"/>
      <c r="C162" s="4" t="n"/>
      <c r="D162" s="4" t="n"/>
      <c r="E162" s="4" t="n"/>
      <c r="F162" s="4" t="n"/>
      <c r="G162" s="5">
        <f>IF(tblExcepciones[[#This Row],[fecha]]="","",TEXT(tblExcepciones[[#This Row],[fecha]],"yyyy-mm-dd")&amp;"|"&amp;tblExcepciones[[#This Row],[area]]&amp;"|"&amp;tblExcepciones[[#This Row],[sub_area]])</f>
        <v/>
      </c>
      <c r="I162" s="22" t="n">
        <v>46180</v>
      </c>
      <c r="J162" s="5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27" t="n"/>
      <c r="B163" s="4" t="n"/>
      <c r="C163" s="4" t="n"/>
      <c r="D163" s="4" t="n"/>
      <c r="E163" s="4" t="n"/>
      <c r="F163" s="4" t="n"/>
      <c r="G163" s="5">
        <f>IF(tblExcepciones[[#This Row],[fecha]]="","",TEXT(tblExcepciones[[#This Row],[fecha]],"yyyy-mm-dd")&amp;"|"&amp;tblExcepciones[[#This Row],[area]]&amp;"|"&amp;tblExcepciones[[#This Row],[sub_area]])</f>
        <v/>
      </c>
      <c r="I163" s="22" t="n">
        <v>46181</v>
      </c>
      <c r="J163" s="5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27" t="n"/>
      <c r="B164" s="4" t="n"/>
      <c r="C164" s="4" t="n"/>
      <c r="D164" s="4" t="n"/>
      <c r="E164" s="4" t="n"/>
      <c r="F164" s="4" t="n"/>
      <c r="G164" s="5">
        <f>IF(tblExcepciones[[#This Row],[fecha]]="","",TEXT(tblExcepciones[[#This Row],[fecha]],"yyyy-mm-dd")&amp;"|"&amp;tblExcepciones[[#This Row],[area]]&amp;"|"&amp;tblExcepciones[[#This Row],[sub_area]])</f>
        <v/>
      </c>
      <c r="I164" s="22" t="n">
        <v>46182</v>
      </c>
      <c r="J164" s="5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27" t="n"/>
      <c r="B165" s="4" t="n"/>
      <c r="C165" s="4" t="n"/>
      <c r="D165" s="4" t="n"/>
      <c r="E165" s="4" t="n"/>
      <c r="F165" s="4" t="n"/>
      <c r="G165" s="5">
        <f>IF(tblExcepciones[[#This Row],[fecha]]="","",TEXT(tblExcepciones[[#This Row],[fecha]],"yyyy-mm-dd")&amp;"|"&amp;tblExcepciones[[#This Row],[area]]&amp;"|"&amp;tblExcepciones[[#This Row],[sub_area]])</f>
        <v/>
      </c>
      <c r="I165" s="22" t="n">
        <v>46183</v>
      </c>
      <c r="J165" s="5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27" t="n"/>
      <c r="B166" s="4" t="n"/>
      <c r="C166" s="4" t="n"/>
      <c r="D166" s="4" t="n"/>
      <c r="E166" s="4" t="n"/>
      <c r="F166" s="4" t="n"/>
      <c r="G166" s="5">
        <f>IF(tblExcepciones[[#This Row],[fecha]]="","",TEXT(tblExcepciones[[#This Row],[fecha]],"yyyy-mm-dd")&amp;"|"&amp;tblExcepciones[[#This Row],[area]]&amp;"|"&amp;tblExcepciones[[#This Row],[sub_area]])</f>
        <v/>
      </c>
      <c r="I166" s="22" t="n">
        <v>46184</v>
      </c>
      <c r="J166" s="5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27" t="n"/>
      <c r="B167" s="4" t="n"/>
      <c r="C167" s="4" t="n"/>
      <c r="D167" s="4" t="n"/>
      <c r="E167" s="4" t="n"/>
      <c r="F167" s="4" t="n"/>
      <c r="G167" s="5">
        <f>IF(tblExcepciones[[#This Row],[fecha]]="","",TEXT(tblExcepciones[[#This Row],[fecha]],"yyyy-mm-dd")&amp;"|"&amp;tblExcepciones[[#This Row],[area]]&amp;"|"&amp;tblExcepciones[[#This Row],[sub_area]])</f>
        <v/>
      </c>
      <c r="I167" s="22" t="n">
        <v>46185</v>
      </c>
      <c r="J167" s="5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27" t="n"/>
      <c r="B168" s="4" t="n"/>
      <c r="C168" s="4" t="n"/>
      <c r="D168" s="4" t="n"/>
      <c r="E168" s="4" t="n"/>
      <c r="F168" s="4" t="n"/>
      <c r="G168" s="5">
        <f>IF(tblExcepciones[[#This Row],[fecha]]="","",TEXT(tblExcepciones[[#This Row],[fecha]],"yyyy-mm-dd")&amp;"|"&amp;tblExcepciones[[#This Row],[area]]&amp;"|"&amp;tblExcepciones[[#This Row],[sub_area]])</f>
        <v/>
      </c>
      <c r="I168" s="22" t="n">
        <v>46186</v>
      </c>
      <c r="J168" s="5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27" t="n"/>
      <c r="B169" s="4" t="n"/>
      <c r="C169" s="4" t="n"/>
      <c r="D169" s="4" t="n"/>
      <c r="E169" s="4" t="n"/>
      <c r="F169" s="4" t="n"/>
      <c r="G169" s="5">
        <f>IF(tblExcepciones[[#This Row],[fecha]]="","",TEXT(tblExcepciones[[#This Row],[fecha]],"yyyy-mm-dd")&amp;"|"&amp;tblExcepciones[[#This Row],[area]]&amp;"|"&amp;tblExcepciones[[#This Row],[sub_area]])</f>
        <v/>
      </c>
      <c r="I169" s="22" t="n">
        <v>46187</v>
      </c>
      <c r="J169" s="5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27" t="n"/>
      <c r="B170" s="4" t="n"/>
      <c r="C170" s="4" t="n"/>
      <c r="D170" s="4" t="n"/>
      <c r="E170" s="4" t="n"/>
      <c r="F170" s="4" t="n"/>
      <c r="G170" s="5">
        <f>IF(tblExcepciones[[#This Row],[fecha]]="","",TEXT(tblExcepciones[[#This Row],[fecha]],"yyyy-mm-dd")&amp;"|"&amp;tblExcepciones[[#This Row],[area]]&amp;"|"&amp;tblExcepciones[[#This Row],[sub_area]])</f>
        <v/>
      </c>
      <c r="I170" s="22" t="n">
        <v>46188</v>
      </c>
      <c r="J170" s="5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27" t="n"/>
      <c r="B171" s="4" t="n"/>
      <c r="C171" s="4" t="n"/>
      <c r="D171" s="4" t="n"/>
      <c r="E171" s="4" t="n"/>
      <c r="F171" s="4" t="n"/>
      <c r="G171" s="5">
        <f>IF(tblExcepciones[[#This Row],[fecha]]="","",TEXT(tblExcepciones[[#This Row],[fecha]],"yyyy-mm-dd")&amp;"|"&amp;tblExcepciones[[#This Row],[area]]&amp;"|"&amp;tblExcepciones[[#This Row],[sub_area]])</f>
        <v/>
      </c>
      <c r="I171" s="22" t="n">
        <v>46189</v>
      </c>
      <c r="J171" s="5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27" t="n"/>
      <c r="B172" s="4" t="n"/>
      <c r="C172" s="4" t="n"/>
      <c r="D172" s="4" t="n"/>
      <c r="E172" s="4" t="n"/>
      <c r="F172" s="4" t="n"/>
      <c r="G172" s="5">
        <f>IF(tblExcepciones[[#This Row],[fecha]]="","",TEXT(tblExcepciones[[#This Row],[fecha]],"yyyy-mm-dd")&amp;"|"&amp;tblExcepciones[[#This Row],[area]]&amp;"|"&amp;tblExcepciones[[#This Row],[sub_area]])</f>
        <v/>
      </c>
      <c r="I172" s="22" t="n">
        <v>46190</v>
      </c>
      <c r="J172" s="5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27" t="n"/>
      <c r="B173" s="4" t="n"/>
      <c r="C173" s="4" t="n"/>
      <c r="D173" s="4" t="n"/>
      <c r="E173" s="4" t="n"/>
      <c r="F173" s="4" t="n"/>
      <c r="G173" s="5">
        <f>IF(tblExcepciones[[#This Row],[fecha]]="","",TEXT(tblExcepciones[[#This Row],[fecha]],"yyyy-mm-dd")&amp;"|"&amp;tblExcepciones[[#This Row],[area]]&amp;"|"&amp;tblExcepciones[[#This Row],[sub_area]])</f>
        <v/>
      </c>
      <c r="I173" s="22" t="n">
        <v>46191</v>
      </c>
      <c r="J173" s="5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27" t="n"/>
      <c r="B174" s="4" t="n"/>
      <c r="C174" s="4" t="n"/>
      <c r="D174" s="4" t="n"/>
      <c r="E174" s="4" t="n"/>
      <c r="F174" s="4" t="n"/>
      <c r="G174" s="5">
        <f>IF(tblExcepciones[[#This Row],[fecha]]="","",TEXT(tblExcepciones[[#This Row],[fecha]],"yyyy-mm-dd")&amp;"|"&amp;tblExcepciones[[#This Row],[area]]&amp;"|"&amp;tblExcepciones[[#This Row],[sub_area]])</f>
        <v/>
      </c>
      <c r="I174" s="22" t="n">
        <v>46192</v>
      </c>
      <c r="J174" s="5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27" t="n"/>
      <c r="B175" s="4" t="n"/>
      <c r="C175" s="4" t="n"/>
      <c r="D175" s="4" t="n"/>
      <c r="E175" s="4" t="n"/>
      <c r="F175" s="4" t="n"/>
      <c r="G175" s="5">
        <f>IF(tblExcepciones[[#This Row],[fecha]]="","",TEXT(tblExcepciones[[#This Row],[fecha]],"yyyy-mm-dd")&amp;"|"&amp;tblExcepciones[[#This Row],[area]]&amp;"|"&amp;tblExcepciones[[#This Row],[sub_area]])</f>
        <v/>
      </c>
      <c r="I175" s="22" t="n">
        <v>46193</v>
      </c>
      <c r="J175" s="5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27" t="n"/>
      <c r="B176" s="4" t="n"/>
      <c r="C176" s="4" t="n"/>
      <c r="D176" s="4" t="n"/>
      <c r="E176" s="4" t="n"/>
      <c r="F176" s="4" t="n"/>
      <c r="G176" s="5">
        <f>IF(tblExcepciones[[#This Row],[fecha]]="","",TEXT(tblExcepciones[[#This Row],[fecha]],"yyyy-mm-dd")&amp;"|"&amp;tblExcepciones[[#This Row],[area]]&amp;"|"&amp;tblExcepciones[[#This Row],[sub_area]])</f>
        <v/>
      </c>
      <c r="I176" s="22" t="n">
        <v>46194</v>
      </c>
      <c r="J176" s="5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27" t="n"/>
      <c r="B177" s="4" t="n"/>
      <c r="C177" s="4" t="n"/>
      <c r="D177" s="4" t="n"/>
      <c r="E177" s="4" t="n"/>
      <c r="F177" s="4" t="n"/>
      <c r="G177" s="5">
        <f>IF(tblExcepciones[[#This Row],[fecha]]="","",TEXT(tblExcepciones[[#This Row],[fecha]],"yyyy-mm-dd")&amp;"|"&amp;tblExcepciones[[#This Row],[area]]&amp;"|"&amp;tblExcepciones[[#This Row],[sub_area]])</f>
        <v/>
      </c>
      <c r="I177" s="22" t="n">
        <v>46195</v>
      </c>
      <c r="J177" s="5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27" t="n"/>
      <c r="B178" s="4" t="n"/>
      <c r="C178" s="4" t="n"/>
      <c r="D178" s="4" t="n"/>
      <c r="E178" s="4" t="n"/>
      <c r="F178" s="4" t="n"/>
      <c r="G178" s="5">
        <f>IF(tblExcepciones[[#This Row],[fecha]]="","",TEXT(tblExcepciones[[#This Row],[fecha]],"yyyy-mm-dd")&amp;"|"&amp;tblExcepciones[[#This Row],[area]]&amp;"|"&amp;tblExcepciones[[#This Row],[sub_area]])</f>
        <v/>
      </c>
      <c r="I178" s="22" t="n">
        <v>46196</v>
      </c>
      <c r="J178" s="5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27" t="n"/>
      <c r="B179" s="4" t="n"/>
      <c r="C179" s="4" t="n"/>
      <c r="D179" s="4" t="n"/>
      <c r="E179" s="4" t="n"/>
      <c r="F179" s="4" t="n"/>
      <c r="G179" s="5">
        <f>IF(tblExcepciones[[#This Row],[fecha]]="","",TEXT(tblExcepciones[[#This Row],[fecha]],"yyyy-mm-dd")&amp;"|"&amp;tblExcepciones[[#This Row],[area]]&amp;"|"&amp;tblExcepciones[[#This Row],[sub_area]])</f>
        <v/>
      </c>
      <c r="I179" s="22" t="n">
        <v>46197</v>
      </c>
      <c r="J179" s="5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27" t="n"/>
      <c r="B180" s="4" t="n"/>
      <c r="C180" s="4" t="n"/>
      <c r="D180" s="4" t="n"/>
      <c r="E180" s="4" t="n"/>
      <c r="F180" s="4" t="n"/>
      <c r="G180" s="5">
        <f>IF(tblExcepciones[[#This Row],[fecha]]="","",TEXT(tblExcepciones[[#This Row],[fecha]],"yyyy-mm-dd")&amp;"|"&amp;tblExcepciones[[#This Row],[area]]&amp;"|"&amp;tblExcepciones[[#This Row],[sub_area]])</f>
        <v/>
      </c>
      <c r="I180" s="22" t="n">
        <v>46198</v>
      </c>
      <c r="J180" s="5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27" t="n"/>
      <c r="B181" s="4" t="n"/>
      <c r="C181" s="4" t="n"/>
      <c r="D181" s="4" t="n"/>
      <c r="E181" s="4" t="n"/>
      <c r="F181" s="4" t="n"/>
      <c r="G181" s="5">
        <f>IF(tblExcepciones[[#This Row],[fecha]]="","",TEXT(tblExcepciones[[#This Row],[fecha]],"yyyy-mm-dd")&amp;"|"&amp;tblExcepciones[[#This Row],[area]]&amp;"|"&amp;tblExcepciones[[#This Row],[sub_area]])</f>
        <v/>
      </c>
      <c r="I181" s="22" t="n">
        <v>46199</v>
      </c>
      <c r="J181" s="5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27" t="n"/>
      <c r="B182" s="4" t="n"/>
      <c r="C182" s="4" t="n"/>
      <c r="D182" s="4" t="n"/>
      <c r="E182" s="4" t="n"/>
      <c r="F182" s="4" t="n"/>
      <c r="G182" s="5">
        <f>IF(tblExcepciones[[#This Row],[fecha]]="","",TEXT(tblExcepciones[[#This Row],[fecha]],"yyyy-mm-dd")&amp;"|"&amp;tblExcepciones[[#This Row],[area]]&amp;"|"&amp;tblExcepciones[[#This Row],[sub_area]])</f>
        <v/>
      </c>
      <c r="I182" s="22" t="n">
        <v>46200</v>
      </c>
      <c r="J182" s="5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27" t="n"/>
      <c r="B183" s="4" t="n"/>
      <c r="C183" s="4" t="n"/>
      <c r="D183" s="4" t="n"/>
      <c r="E183" s="4" t="n"/>
      <c r="F183" s="4" t="n"/>
      <c r="G183" s="5">
        <f>IF(tblExcepciones[[#This Row],[fecha]]="","",TEXT(tblExcepciones[[#This Row],[fecha]],"yyyy-mm-dd")&amp;"|"&amp;tblExcepciones[[#This Row],[area]]&amp;"|"&amp;tblExcepciones[[#This Row],[sub_area]])</f>
        <v/>
      </c>
      <c r="I183" s="22" t="n">
        <v>46201</v>
      </c>
      <c r="J183" s="5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27" t="n"/>
      <c r="B184" s="4" t="n"/>
      <c r="C184" s="4" t="n"/>
      <c r="D184" s="4" t="n"/>
      <c r="E184" s="4" t="n"/>
      <c r="F184" s="4" t="n"/>
      <c r="G184" s="5">
        <f>IF(tblExcepciones[[#This Row],[fecha]]="","",TEXT(tblExcepciones[[#This Row],[fecha]],"yyyy-mm-dd")&amp;"|"&amp;tblExcepciones[[#This Row],[area]]&amp;"|"&amp;tblExcepciones[[#This Row],[sub_area]])</f>
        <v/>
      </c>
      <c r="I184" s="22" t="n">
        <v>46202</v>
      </c>
      <c r="J184" s="5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27" t="n"/>
      <c r="B185" s="4" t="n"/>
      <c r="C185" s="4" t="n"/>
      <c r="D185" s="4" t="n"/>
      <c r="E185" s="4" t="n"/>
      <c r="F185" s="4" t="n"/>
      <c r="G185" s="5">
        <f>IF(tblExcepciones[[#This Row],[fecha]]="","",TEXT(tblExcepciones[[#This Row],[fecha]],"yyyy-mm-dd")&amp;"|"&amp;tblExcepciones[[#This Row],[area]]&amp;"|"&amp;tblExcepciones[[#This Row],[sub_area]])</f>
        <v/>
      </c>
      <c r="I185" s="22" t="n">
        <v>46203</v>
      </c>
      <c r="J185" s="5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27" t="n"/>
      <c r="B186" s="4" t="n"/>
      <c r="C186" s="4" t="n"/>
      <c r="D186" s="4" t="n"/>
      <c r="E186" s="4" t="n"/>
      <c r="F186" s="4" t="n"/>
      <c r="G186" s="5">
        <f>IF(tblExcepciones[[#This Row],[fecha]]="","",TEXT(tblExcepciones[[#This Row],[fecha]],"yyyy-mm-dd")&amp;"|"&amp;tblExcepciones[[#This Row],[area]]&amp;"|"&amp;tblExcepciones[[#This Row],[sub_area]])</f>
        <v/>
      </c>
      <c r="I186" s="22" t="n">
        <v>46204</v>
      </c>
      <c r="J186" s="5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27" t="n"/>
      <c r="B187" s="4" t="n"/>
      <c r="C187" s="4" t="n"/>
      <c r="D187" s="4" t="n"/>
      <c r="E187" s="4" t="n"/>
      <c r="F187" s="4" t="n"/>
      <c r="G187" s="5">
        <f>IF(tblExcepciones[[#This Row],[fecha]]="","",TEXT(tblExcepciones[[#This Row],[fecha]],"yyyy-mm-dd")&amp;"|"&amp;tblExcepciones[[#This Row],[area]]&amp;"|"&amp;tblExcepciones[[#This Row],[sub_area]])</f>
        <v/>
      </c>
      <c r="I187" s="22" t="n">
        <v>46205</v>
      </c>
      <c r="J187" s="5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27" t="n"/>
      <c r="B188" s="4" t="n"/>
      <c r="C188" s="4" t="n"/>
      <c r="D188" s="4" t="n"/>
      <c r="E188" s="4" t="n"/>
      <c r="F188" s="4" t="n"/>
      <c r="G188" s="5">
        <f>IF(tblExcepciones[[#This Row],[fecha]]="","",TEXT(tblExcepciones[[#This Row],[fecha]],"yyyy-mm-dd")&amp;"|"&amp;tblExcepciones[[#This Row],[area]]&amp;"|"&amp;tblExcepciones[[#This Row],[sub_area]])</f>
        <v/>
      </c>
      <c r="I188" s="22" t="n">
        <v>46206</v>
      </c>
      <c r="J188" s="5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27" t="n"/>
      <c r="B189" s="4" t="n"/>
      <c r="C189" s="4" t="n"/>
      <c r="D189" s="4" t="n"/>
      <c r="E189" s="4" t="n"/>
      <c r="F189" s="4" t="n"/>
      <c r="G189" s="5">
        <f>IF(tblExcepciones[[#This Row],[fecha]]="","",TEXT(tblExcepciones[[#This Row],[fecha]],"yyyy-mm-dd")&amp;"|"&amp;tblExcepciones[[#This Row],[area]]&amp;"|"&amp;tblExcepciones[[#This Row],[sub_area]])</f>
        <v/>
      </c>
      <c r="I189" s="22" t="n">
        <v>46207</v>
      </c>
      <c r="J189" s="5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27" t="n"/>
      <c r="B190" s="4" t="n"/>
      <c r="C190" s="4" t="n"/>
      <c r="D190" s="4" t="n"/>
      <c r="E190" s="4" t="n"/>
      <c r="F190" s="4" t="n"/>
      <c r="G190" s="5">
        <f>IF(tblExcepciones[[#This Row],[fecha]]="","",TEXT(tblExcepciones[[#This Row],[fecha]],"yyyy-mm-dd")&amp;"|"&amp;tblExcepciones[[#This Row],[area]]&amp;"|"&amp;tblExcepciones[[#This Row],[sub_area]])</f>
        <v/>
      </c>
      <c r="I190" s="22" t="n">
        <v>46208</v>
      </c>
      <c r="J190" s="5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27" t="n"/>
      <c r="B191" s="4" t="n"/>
      <c r="C191" s="4" t="n"/>
      <c r="D191" s="4" t="n"/>
      <c r="E191" s="4" t="n"/>
      <c r="F191" s="4" t="n"/>
      <c r="G191" s="5">
        <f>IF(tblExcepciones[[#This Row],[fecha]]="","",TEXT(tblExcepciones[[#This Row],[fecha]],"yyyy-mm-dd")&amp;"|"&amp;tblExcepciones[[#This Row],[area]]&amp;"|"&amp;tblExcepciones[[#This Row],[sub_area]])</f>
        <v/>
      </c>
      <c r="I191" s="22" t="n">
        <v>46209</v>
      </c>
      <c r="J191" s="5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27" t="n"/>
      <c r="B192" s="4" t="n"/>
      <c r="C192" s="4" t="n"/>
      <c r="D192" s="4" t="n"/>
      <c r="E192" s="4" t="n"/>
      <c r="F192" s="4" t="n"/>
      <c r="G192" s="5">
        <f>IF(tblExcepciones[[#This Row],[fecha]]="","",TEXT(tblExcepciones[[#This Row],[fecha]],"yyyy-mm-dd")&amp;"|"&amp;tblExcepciones[[#This Row],[area]]&amp;"|"&amp;tblExcepciones[[#This Row],[sub_area]])</f>
        <v/>
      </c>
      <c r="I192" s="22" t="n">
        <v>46210</v>
      </c>
      <c r="J192" s="5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27" t="n"/>
      <c r="B193" s="4" t="n"/>
      <c r="C193" s="4" t="n"/>
      <c r="D193" s="4" t="n"/>
      <c r="E193" s="4" t="n"/>
      <c r="F193" s="4" t="n"/>
      <c r="G193" s="5">
        <f>IF(tblExcepciones[[#This Row],[fecha]]="","",TEXT(tblExcepciones[[#This Row],[fecha]],"yyyy-mm-dd")&amp;"|"&amp;tblExcepciones[[#This Row],[area]]&amp;"|"&amp;tblExcepciones[[#This Row],[sub_area]])</f>
        <v/>
      </c>
      <c r="I193" s="22" t="n">
        <v>46211</v>
      </c>
      <c r="J193" s="5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27" t="n"/>
      <c r="B194" s="4" t="n"/>
      <c r="C194" s="4" t="n"/>
      <c r="D194" s="4" t="n"/>
      <c r="E194" s="4" t="n"/>
      <c r="F194" s="4" t="n"/>
      <c r="G194" s="5">
        <f>IF(tblExcepciones[[#This Row],[fecha]]="","",TEXT(tblExcepciones[[#This Row],[fecha]],"yyyy-mm-dd")&amp;"|"&amp;tblExcepciones[[#This Row],[area]]&amp;"|"&amp;tblExcepciones[[#This Row],[sub_area]])</f>
        <v/>
      </c>
      <c r="I194" s="22" t="n">
        <v>46212</v>
      </c>
      <c r="J194" s="5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27" t="n"/>
      <c r="B195" s="4" t="n"/>
      <c r="C195" s="4" t="n"/>
      <c r="D195" s="4" t="n"/>
      <c r="E195" s="4" t="n"/>
      <c r="F195" s="4" t="n"/>
      <c r="G195" s="5">
        <f>IF(tblExcepciones[[#This Row],[fecha]]="","",TEXT(tblExcepciones[[#This Row],[fecha]],"yyyy-mm-dd")&amp;"|"&amp;tblExcepciones[[#This Row],[area]]&amp;"|"&amp;tblExcepciones[[#This Row],[sub_area]])</f>
        <v/>
      </c>
      <c r="I195" s="22" t="n">
        <v>46213</v>
      </c>
      <c r="J195" s="5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27" t="n"/>
      <c r="B196" s="4" t="n"/>
      <c r="C196" s="4" t="n"/>
      <c r="D196" s="4" t="n"/>
      <c r="E196" s="4" t="n"/>
      <c r="F196" s="4" t="n"/>
      <c r="G196" s="5">
        <f>IF(tblExcepciones[[#This Row],[fecha]]="","",TEXT(tblExcepciones[[#This Row],[fecha]],"yyyy-mm-dd")&amp;"|"&amp;tblExcepciones[[#This Row],[area]]&amp;"|"&amp;tblExcepciones[[#This Row],[sub_area]])</f>
        <v/>
      </c>
      <c r="I196" s="22" t="n">
        <v>46214</v>
      </c>
      <c r="J196" s="5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27" t="n"/>
      <c r="B197" s="4" t="n"/>
      <c r="C197" s="4" t="n"/>
      <c r="D197" s="4" t="n"/>
      <c r="E197" s="4" t="n"/>
      <c r="F197" s="4" t="n"/>
      <c r="G197" s="5">
        <f>IF(tblExcepciones[[#This Row],[fecha]]="","",TEXT(tblExcepciones[[#This Row],[fecha]],"yyyy-mm-dd")&amp;"|"&amp;tblExcepciones[[#This Row],[area]]&amp;"|"&amp;tblExcepciones[[#This Row],[sub_area]])</f>
        <v/>
      </c>
      <c r="I197" s="22" t="n">
        <v>46215</v>
      </c>
      <c r="J197" s="5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27" t="n"/>
      <c r="B198" s="4" t="n"/>
      <c r="C198" s="4" t="n"/>
      <c r="D198" s="4" t="n"/>
      <c r="E198" s="4" t="n"/>
      <c r="F198" s="4" t="n"/>
      <c r="G198" s="5">
        <f>IF(tblExcepciones[[#This Row],[fecha]]="","",TEXT(tblExcepciones[[#This Row],[fecha]],"yyyy-mm-dd")&amp;"|"&amp;tblExcepciones[[#This Row],[area]]&amp;"|"&amp;tblExcepciones[[#This Row],[sub_area]])</f>
        <v/>
      </c>
      <c r="I198" s="22" t="n">
        <v>46216</v>
      </c>
      <c r="J198" s="5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27" t="n"/>
      <c r="B199" s="4" t="n"/>
      <c r="C199" s="4" t="n"/>
      <c r="D199" s="4" t="n"/>
      <c r="E199" s="4" t="n"/>
      <c r="F199" s="4" t="n"/>
      <c r="G199" s="5">
        <f>IF(tblExcepciones[[#This Row],[fecha]]="","",TEXT(tblExcepciones[[#This Row],[fecha]],"yyyy-mm-dd")&amp;"|"&amp;tblExcepciones[[#This Row],[area]]&amp;"|"&amp;tblExcepciones[[#This Row],[sub_area]])</f>
        <v/>
      </c>
      <c r="I199" s="22" t="n">
        <v>46217</v>
      </c>
      <c r="J199" s="5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27" t="n"/>
      <c r="B200" s="4" t="n"/>
      <c r="C200" s="4" t="n"/>
      <c r="D200" s="4" t="n"/>
      <c r="E200" s="4" t="n"/>
      <c r="F200" s="4" t="n"/>
      <c r="G200" s="5">
        <f>IF(tblExcepciones[[#This Row],[fecha]]="","",TEXT(tblExcepciones[[#This Row],[fecha]],"yyyy-mm-dd")&amp;"|"&amp;tblExcepciones[[#This Row],[area]]&amp;"|"&amp;tblExcepciones[[#This Row],[sub_area]])</f>
        <v/>
      </c>
      <c r="I200" s="22" t="n">
        <v>46218</v>
      </c>
      <c r="J200" s="5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27" t="n"/>
      <c r="B201" s="4" t="n"/>
      <c r="C201" s="4" t="n"/>
      <c r="D201" s="4" t="n"/>
      <c r="E201" s="4" t="n"/>
      <c r="F201" s="4" t="n"/>
      <c r="G201" s="5">
        <f>IF(tblExcepciones[[#This Row],[fecha]]="","",TEXT(tblExcepciones[[#This Row],[fecha]],"yyyy-mm-dd")&amp;"|"&amp;tblExcepciones[[#This Row],[area]]&amp;"|"&amp;tblExcepciones[[#This Row],[sub_area]])</f>
        <v/>
      </c>
      <c r="I201" s="22" t="n">
        <v>46219</v>
      </c>
      <c r="J201" s="5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27" t="n"/>
      <c r="B202" s="4" t="n"/>
      <c r="C202" s="4" t="n"/>
      <c r="D202" s="4" t="n"/>
      <c r="E202" s="4" t="n"/>
      <c r="F202" s="4" t="n"/>
      <c r="G202" s="5">
        <f>IF(tblExcepciones[[#This Row],[fecha]]="","",TEXT(tblExcepciones[[#This Row],[fecha]],"yyyy-mm-dd")&amp;"|"&amp;tblExcepciones[[#This Row],[area]]&amp;"|"&amp;tblExcepciones[[#This Row],[sub_area]])</f>
        <v/>
      </c>
      <c r="I202" s="22" t="n">
        <v>46220</v>
      </c>
      <c r="J202" s="5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27" t="n"/>
      <c r="B203" s="4" t="n"/>
      <c r="C203" s="4" t="n"/>
      <c r="D203" s="4" t="n"/>
      <c r="E203" s="4" t="n"/>
      <c r="F203" s="4" t="n"/>
      <c r="G203" s="5">
        <f>IF(tblExcepciones[[#This Row],[fecha]]="","",TEXT(tblExcepciones[[#This Row],[fecha]],"yyyy-mm-dd")&amp;"|"&amp;tblExcepciones[[#This Row],[area]]&amp;"|"&amp;tblExcepciones[[#This Row],[sub_area]])</f>
        <v/>
      </c>
      <c r="I203" s="22" t="n">
        <v>46221</v>
      </c>
      <c r="J203" s="5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27" t="n"/>
      <c r="B204" s="4" t="n"/>
      <c r="C204" s="4" t="n"/>
      <c r="D204" s="4" t="n"/>
      <c r="E204" s="4" t="n"/>
      <c r="F204" s="4" t="n"/>
      <c r="G204" s="5">
        <f>IF(tblExcepciones[[#This Row],[fecha]]="","",TEXT(tblExcepciones[[#This Row],[fecha]],"yyyy-mm-dd")&amp;"|"&amp;tblExcepciones[[#This Row],[area]]&amp;"|"&amp;tblExcepciones[[#This Row],[sub_area]])</f>
        <v/>
      </c>
      <c r="I204" s="22" t="n">
        <v>46222</v>
      </c>
      <c r="J204" s="5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27" t="n"/>
      <c r="B205" s="4" t="n"/>
      <c r="C205" s="4" t="n"/>
      <c r="D205" s="4" t="n"/>
      <c r="E205" s="4" t="n"/>
      <c r="F205" s="4" t="n"/>
      <c r="G205" s="5">
        <f>IF(tblExcepciones[[#This Row],[fecha]]="","",TEXT(tblExcepciones[[#This Row],[fecha]],"yyyy-mm-dd")&amp;"|"&amp;tblExcepciones[[#This Row],[area]]&amp;"|"&amp;tblExcepciones[[#This Row],[sub_area]])</f>
        <v/>
      </c>
      <c r="I205" s="22" t="n">
        <v>46223</v>
      </c>
      <c r="J205" s="5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27" t="n"/>
      <c r="B206" s="4" t="n"/>
      <c r="C206" s="4" t="n"/>
      <c r="D206" s="4" t="n"/>
      <c r="E206" s="4" t="n"/>
      <c r="F206" s="4" t="n"/>
      <c r="G206" s="5">
        <f>IF(tblExcepciones[[#This Row],[fecha]]="","",TEXT(tblExcepciones[[#This Row],[fecha]],"yyyy-mm-dd")&amp;"|"&amp;tblExcepciones[[#This Row],[area]]&amp;"|"&amp;tblExcepciones[[#This Row],[sub_area]])</f>
        <v/>
      </c>
      <c r="I206" s="22" t="n">
        <v>46224</v>
      </c>
      <c r="J206" s="5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27" t="n"/>
      <c r="B207" s="4" t="n"/>
      <c r="C207" s="4" t="n"/>
      <c r="D207" s="4" t="n"/>
      <c r="E207" s="4" t="n"/>
      <c r="F207" s="4" t="n"/>
      <c r="G207" s="5">
        <f>IF(tblExcepciones[[#This Row],[fecha]]="","",TEXT(tblExcepciones[[#This Row],[fecha]],"yyyy-mm-dd")&amp;"|"&amp;tblExcepciones[[#This Row],[area]]&amp;"|"&amp;tblExcepciones[[#This Row],[sub_area]])</f>
        <v/>
      </c>
      <c r="I207" s="22" t="n">
        <v>46225</v>
      </c>
      <c r="J207" s="5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27" t="n"/>
      <c r="B208" s="4" t="n"/>
      <c r="C208" s="4" t="n"/>
      <c r="D208" s="4" t="n"/>
      <c r="E208" s="4" t="n"/>
      <c r="F208" s="4" t="n"/>
      <c r="G208" s="5">
        <f>IF(tblExcepciones[[#This Row],[fecha]]="","",TEXT(tblExcepciones[[#This Row],[fecha]],"yyyy-mm-dd")&amp;"|"&amp;tblExcepciones[[#This Row],[area]]&amp;"|"&amp;tblExcepciones[[#This Row],[sub_area]])</f>
        <v/>
      </c>
      <c r="I208" s="22" t="n">
        <v>46226</v>
      </c>
      <c r="J208" s="5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27" t="n"/>
      <c r="B209" s="4" t="n"/>
      <c r="C209" s="4" t="n"/>
      <c r="D209" s="4" t="n"/>
      <c r="E209" s="4" t="n"/>
      <c r="F209" s="4" t="n"/>
      <c r="G209" s="5">
        <f>IF(tblExcepciones[[#This Row],[fecha]]="","",TEXT(tblExcepciones[[#This Row],[fecha]],"yyyy-mm-dd")&amp;"|"&amp;tblExcepciones[[#This Row],[area]]&amp;"|"&amp;tblExcepciones[[#This Row],[sub_area]])</f>
        <v/>
      </c>
      <c r="I209" s="22" t="n">
        <v>46227</v>
      </c>
      <c r="J209" s="5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27" t="n"/>
      <c r="B210" s="4" t="n"/>
      <c r="C210" s="4" t="n"/>
      <c r="D210" s="4" t="n"/>
      <c r="E210" s="4" t="n"/>
      <c r="F210" s="4" t="n"/>
      <c r="G210" s="5">
        <f>IF(tblExcepciones[[#This Row],[fecha]]="","",TEXT(tblExcepciones[[#This Row],[fecha]],"yyyy-mm-dd")&amp;"|"&amp;tblExcepciones[[#This Row],[area]]&amp;"|"&amp;tblExcepciones[[#This Row],[sub_area]])</f>
        <v/>
      </c>
      <c r="I210" s="22" t="n">
        <v>46228</v>
      </c>
      <c r="J210" s="5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27" t="n"/>
      <c r="B211" s="4" t="n"/>
      <c r="C211" s="4" t="n"/>
      <c r="D211" s="4" t="n"/>
      <c r="E211" s="4" t="n"/>
      <c r="F211" s="4" t="n"/>
      <c r="G211" s="5">
        <f>IF(tblExcepciones[[#This Row],[fecha]]="","",TEXT(tblExcepciones[[#This Row],[fecha]],"yyyy-mm-dd")&amp;"|"&amp;tblExcepciones[[#This Row],[area]]&amp;"|"&amp;tblExcepciones[[#This Row],[sub_area]])</f>
        <v/>
      </c>
      <c r="I211" s="22" t="n">
        <v>46229</v>
      </c>
      <c r="J211" s="5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27" t="n"/>
      <c r="B212" s="4" t="n"/>
      <c r="C212" s="4" t="n"/>
      <c r="D212" s="4" t="n"/>
      <c r="E212" s="4" t="n"/>
      <c r="F212" s="4" t="n"/>
      <c r="G212" s="5">
        <f>IF(tblExcepciones[[#This Row],[fecha]]="","",TEXT(tblExcepciones[[#This Row],[fecha]],"yyyy-mm-dd")&amp;"|"&amp;tblExcepciones[[#This Row],[area]]&amp;"|"&amp;tblExcepciones[[#This Row],[sub_area]])</f>
        <v/>
      </c>
      <c r="I212" s="22" t="n">
        <v>46230</v>
      </c>
      <c r="J212" s="5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27" t="n"/>
      <c r="B213" s="4" t="n"/>
      <c r="C213" s="4" t="n"/>
      <c r="D213" s="4" t="n"/>
      <c r="E213" s="4" t="n"/>
      <c r="F213" s="4" t="n"/>
      <c r="G213" s="5">
        <f>IF(tblExcepciones[[#This Row],[fecha]]="","",TEXT(tblExcepciones[[#This Row],[fecha]],"yyyy-mm-dd")&amp;"|"&amp;tblExcepciones[[#This Row],[area]]&amp;"|"&amp;tblExcepciones[[#This Row],[sub_area]])</f>
        <v/>
      </c>
      <c r="I213" s="22" t="n">
        <v>46231</v>
      </c>
      <c r="J213" s="5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27" t="n"/>
      <c r="B214" s="4" t="n"/>
      <c r="C214" s="4" t="n"/>
      <c r="D214" s="4" t="n"/>
      <c r="E214" s="4" t="n"/>
      <c r="F214" s="4" t="n"/>
      <c r="G214" s="5">
        <f>IF(tblExcepciones[[#This Row],[fecha]]="","",TEXT(tblExcepciones[[#This Row],[fecha]],"yyyy-mm-dd")&amp;"|"&amp;tblExcepciones[[#This Row],[area]]&amp;"|"&amp;tblExcepciones[[#This Row],[sub_area]])</f>
        <v/>
      </c>
      <c r="I214" s="22" t="n">
        <v>46232</v>
      </c>
      <c r="J214" s="5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22" t="n">
        <v>46233</v>
      </c>
      <c r="J215" s="5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22" t="n">
        <v>46234</v>
      </c>
      <c r="J216" s="5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22" t="n">
        <v>46235</v>
      </c>
      <c r="J217" s="5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22" t="n">
        <v>46236</v>
      </c>
      <c r="J218" s="5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22" t="n">
        <v>46237</v>
      </c>
      <c r="J219" s="5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22" t="n">
        <v>46238</v>
      </c>
      <c r="J220" s="5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22" t="n">
        <v>46239</v>
      </c>
      <c r="J221" s="5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22" t="n">
        <v>46240</v>
      </c>
      <c r="J222" s="5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22" t="n">
        <v>46241</v>
      </c>
      <c r="J223" s="5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22" t="n">
        <v>46242</v>
      </c>
      <c r="J224" s="5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22" t="n">
        <v>46243</v>
      </c>
      <c r="J225" s="5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22" t="n">
        <v>46244</v>
      </c>
      <c r="J226" s="5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22" t="n">
        <v>46245</v>
      </c>
      <c r="J227" s="5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22" t="n">
        <v>46246</v>
      </c>
      <c r="J228" s="5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22" t="n">
        <v>46247</v>
      </c>
      <c r="J229" s="5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22" t="n">
        <v>46248</v>
      </c>
      <c r="J230" s="5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22" t="n">
        <v>46249</v>
      </c>
      <c r="J231" s="5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22" t="n">
        <v>46250</v>
      </c>
      <c r="J232" s="5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22" t="n">
        <v>46251</v>
      </c>
      <c r="J233" s="5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22" t="n">
        <v>46252</v>
      </c>
      <c r="J234" s="5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22" t="n">
        <v>46253</v>
      </c>
      <c r="J235" s="5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22" t="n">
        <v>46254</v>
      </c>
      <c r="J236" s="5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22" t="n">
        <v>46255</v>
      </c>
      <c r="J237" s="5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22" t="n">
        <v>46256</v>
      </c>
      <c r="J238" s="5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22" t="n">
        <v>46257</v>
      </c>
      <c r="J239" s="5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22" t="n">
        <v>46258</v>
      </c>
      <c r="J240" s="5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22" t="n">
        <v>46259</v>
      </c>
      <c r="J241" s="5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22" t="n">
        <v>46260</v>
      </c>
      <c r="J242" s="5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22" t="n">
        <v>46261</v>
      </c>
      <c r="J243" s="5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22" t="n">
        <v>46262</v>
      </c>
      <c r="J244" s="5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22" t="n">
        <v>46263</v>
      </c>
      <c r="J245" s="5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22" t="n">
        <v>46264</v>
      </c>
      <c r="J246" s="5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22" t="n">
        <v>46265</v>
      </c>
      <c r="J247" s="5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22" t="n">
        <v>46266</v>
      </c>
      <c r="J248" s="5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22" t="n">
        <v>46267</v>
      </c>
      <c r="J249" s="5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22" t="n">
        <v>46268</v>
      </c>
      <c r="J250" s="5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22" t="n">
        <v>46269</v>
      </c>
      <c r="J251" s="5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22" t="n">
        <v>46270</v>
      </c>
      <c r="J252" s="5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22" t="n">
        <v>46271</v>
      </c>
      <c r="J253" s="5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22" t="n">
        <v>46272</v>
      </c>
      <c r="J254" s="5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22" t="n">
        <v>46273</v>
      </c>
      <c r="J255" s="5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22" t="n">
        <v>46274</v>
      </c>
      <c r="J256" s="5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22" t="n">
        <v>46275</v>
      </c>
      <c r="J257" s="5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22" t="n">
        <v>46276</v>
      </c>
      <c r="J258" s="5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22" t="n">
        <v>46277</v>
      </c>
      <c r="J259" s="5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22" t="n">
        <v>46278</v>
      </c>
      <c r="J260" s="5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22" t="n">
        <v>46279</v>
      </c>
      <c r="J261" s="5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22" t="n">
        <v>46280</v>
      </c>
      <c r="J262" s="5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22" t="n">
        <v>46281</v>
      </c>
      <c r="J263" s="5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22" t="n">
        <v>46282</v>
      </c>
      <c r="J264" s="5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22" t="n">
        <v>46283</v>
      </c>
      <c r="J265" s="5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22" t="n">
        <v>46284</v>
      </c>
      <c r="J266" s="5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22" t="n">
        <v>46285</v>
      </c>
      <c r="J267" s="5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22" t="n">
        <v>46286</v>
      </c>
      <c r="J268" s="5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22" t="n">
        <v>46287</v>
      </c>
      <c r="J269" s="5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22" t="n">
        <v>46288</v>
      </c>
      <c r="J270" s="5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22" t="n">
        <v>46289</v>
      </c>
      <c r="J271" s="5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22" t="n">
        <v>46290</v>
      </c>
      <c r="J272" s="5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22" t="n">
        <v>46291</v>
      </c>
      <c r="J273" s="5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22" t="n">
        <v>46292</v>
      </c>
      <c r="J274" s="5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22" t="n">
        <v>46293</v>
      </c>
      <c r="J275" s="5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22" t="n">
        <v>46294</v>
      </c>
      <c r="J276" s="5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22" t="n">
        <v>46295</v>
      </c>
      <c r="J277" s="5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22" t="n">
        <v>46296</v>
      </c>
      <c r="J278" s="5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22" t="n">
        <v>46297</v>
      </c>
      <c r="J279" s="5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22" t="n">
        <v>46298</v>
      </c>
      <c r="J280" s="5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22" t="n">
        <v>46299</v>
      </c>
      <c r="J281" s="5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22" t="n">
        <v>46300</v>
      </c>
      <c r="J282" s="5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22" t="n">
        <v>46301</v>
      </c>
      <c r="J283" s="5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22" t="n">
        <v>46302</v>
      </c>
      <c r="J284" s="5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22" t="n">
        <v>46303</v>
      </c>
      <c r="J285" s="5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22" t="n">
        <v>46304</v>
      </c>
      <c r="J286" s="5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22" t="n">
        <v>46305</v>
      </c>
      <c r="J287" s="5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22" t="n">
        <v>46306</v>
      </c>
      <c r="J288" s="5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22" t="n">
        <v>46307</v>
      </c>
      <c r="J289" s="5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22" t="n">
        <v>46308</v>
      </c>
      <c r="J290" s="5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22" t="n">
        <v>46309</v>
      </c>
      <c r="J291" s="5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22" t="n">
        <v>46310</v>
      </c>
      <c r="J292" s="5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22" t="n">
        <v>46311</v>
      </c>
      <c r="J293" s="5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22" t="n">
        <v>46312</v>
      </c>
      <c r="J294" s="5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22" t="n">
        <v>46313</v>
      </c>
      <c r="J295" s="5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22" t="n">
        <v>46314</v>
      </c>
      <c r="J296" s="5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22" t="n">
        <v>46315</v>
      </c>
      <c r="J297" s="5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22" t="n">
        <v>46316</v>
      </c>
      <c r="J298" s="5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22" t="n">
        <v>46317</v>
      </c>
      <c r="J299" s="5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22" t="n">
        <v>46318</v>
      </c>
      <c r="J300" s="5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22" t="n">
        <v>46319</v>
      </c>
      <c r="J301" s="5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22" t="n">
        <v>46320</v>
      </c>
      <c r="J302" s="5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22" t="n">
        <v>46321</v>
      </c>
      <c r="J303" s="5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22" t="n">
        <v>46322</v>
      </c>
      <c r="J304" s="5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22" t="n">
        <v>46323</v>
      </c>
      <c r="J305" s="5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22" t="n">
        <v>46324</v>
      </c>
      <c r="J306" s="5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22" t="n">
        <v>46325</v>
      </c>
      <c r="J307" s="5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22" t="n">
        <v>46326</v>
      </c>
      <c r="J308" s="5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22" t="n">
        <v>46327</v>
      </c>
      <c r="J309" s="5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22" t="n">
        <v>46328</v>
      </c>
      <c r="J310" s="5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22" t="n">
        <v>46329</v>
      </c>
      <c r="J311" s="5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22" t="n">
        <v>46330</v>
      </c>
      <c r="J312" s="5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22" t="n">
        <v>46331</v>
      </c>
      <c r="J313" s="5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22" t="n">
        <v>46332</v>
      </c>
      <c r="J314" s="5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22" t="n">
        <v>46333</v>
      </c>
      <c r="J315" s="5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22" t="n">
        <v>46334</v>
      </c>
      <c r="J316" s="5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22" t="n">
        <v>46335</v>
      </c>
      <c r="J317" s="5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22" t="n">
        <v>46336</v>
      </c>
      <c r="J318" s="5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22" t="n">
        <v>46337</v>
      </c>
      <c r="J319" s="5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22" t="n">
        <v>46338</v>
      </c>
      <c r="J320" s="5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22" t="n">
        <v>46339</v>
      </c>
      <c r="J321" s="5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22" t="n">
        <v>46340</v>
      </c>
      <c r="J322" s="5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22" t="n">
        <v>46341</v>
      </c>
      <c r="J323" s="5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22" t="n">
        <v>46342</v>
      </c>
      <c r="J324" s="5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22" t="n">
        <v>46343</v>
      </c>
      <c r="J325" s="5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22" t="n">
        <v>46344</v>
      </c>
      <c r="J326" s="5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22" t="n">
        <v>46345</v>
      </c>
      <c r="J327" s="5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22" t="n">
        <v>46346</v>
      </c>
      <c r="J328" s="5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22" t="n">
        <v>46347</v>
      </c>
      <c r="J329" s="5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22" t="n">
        <v>46348</v>
      </c>
      <c r="J330" s="5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22" t="n">
        <v>46349</v>
      </c>
      <c r="J331" s="5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22" t="n">
        <v>46350</v>
      </c>
      <c r="J332" s="5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22" t="n">
        <v>46351</v>
      </c>
      <c r="J333" s="5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22" t="n">
        <v>46352</v>
      </c>
      <c r="J334" s="5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22" t="n">
        <v>46353</v>
      </c>
      <c r="J335" s="5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22" t="n">
        <v>46354</v>
      </c>
      <c r="J336" s="5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22" t="n">
        <v>46355</v>
      </c>
      <c r="J337" s="5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22" t="n">
        <v>46356</v>
      </c>
      <c r="J338" s="5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22" t="n">
        <v>46357</v>
      </c>
      <c r="J339" s="5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22" t="n">
        <v>46358</v>
      </c>
      <c r="J340" s="5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22" t="n">
        <v>46359</v>
      </c>
      <c r="J341" s="5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22" t="n">
        <v>46360</v>
      </c>
      <c r="J342" s="5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22" t="n">
        <v>46361</v>
      </c>
      <c r="J343" s="5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22" t="n">
        <v>46362</v>
      </c>
      <c r="J344" s="5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22" t="n">
        <v>46363</v>
      </c>
      <c r="J345" s="5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22" t="n">
        <v>46364</v>
      </c>
      <c r="J346" s="5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22" t="n">
        <v>46365</v>
      </c>
      <c r="J347" s="5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22" t="n">
        <v>46366</v>
      </c>
      <c r="J348" s="5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22" t="n">
        <v>46367</v>
      </c>
      <c r="J349" s="5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22" t="n">
        <v>46368</v>
      </c>
      <c r="J350" s="5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22" t="n">
        <v>46369</v>
      </c>
      <c r="J351" s="5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22" t="n">
        <v>46370</v>
      </c>
      <c r="J352" s="5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22" t="n">
        <v>46371</v>
      </c>
      <c r="J353" s="5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22" t="n">
        <v>46372</v>
      </c>
      <c r="J354" s="5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22" t="n">
        <v>46373</v>
      </c>
      <c r="J355" s="5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22" t="n">
        <v>46374</v>
      </c>
      <c r="J356" s="5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22" t="n">
        <v>46375</v>
      </c>
      <c r="J357" s="5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22" t="n">
        <v>46376</v>
      </c>
      <c r="J358" s="5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22" t="n">
        <v>46377</v>
      </c>
      <c r="J359" s="5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22" t="n">
        <v>46378</v>
      </c>
      <c r="J360" s="5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22" t="n">
        <v>46379</v>
      </c>
      <c r="J361" s="5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22" t="n">
        <v>46380</v>
      </c>
      <c r="J362" s="5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22" t="n">
        <v>46381</v>
      </c>
      <c r="J363" s="5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22" t="n">
        <v>46382</v>
      </c>
      <c r="J364" s="5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22" t="n">
        <v>46383</v>
      </c>
      <c r="J365" s="5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22" t="n">
        <v>46384</v>
      </c>
      <c r="J366" s="5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22" t="n">
        <v>46385</v>
      </c>
      <c r="J367" s="5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22" t="n">
        <v>46386</v>
      </c>
      <c r="J368" s="5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22" t="n">
        <v>46387</v>
      </c>
      <c r="J369" s="5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22" t="n">
        <v>46388</v>
      </c>
      <c r="J370" s="5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22" t="n">
        <v>46389</v>
      </c>
      <c r="J371" s="5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22" t="n">
        <v>46390</v>
      </c>
      <c r="J372" s="5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22" t="n">
        <v>46391</v>
      </c>
      <c r="J373" s="5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22" t="n">
        <v>46392</v>
      </c>
      <c r="J374" s="5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22" t="n">
        <v>46393</v>
      </c>
      <c r="J375" s="5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22" t="n">
        <v>46394</v>
      </c>
      <c r="J376" s="5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22" t="n">
        <v>46395</v>
      </c>
      <c r="J377" s="5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22" t="n">
        <v>46396</v>
      </c>
      <c r="J378" s="5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22" t="n">
        <v>46397</v>
      </c>
      <c r="J379" s="5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22" t="n">
        <v>46398</v>
      </c>
      <c r="J380" s="5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22" t="n">
        <v>46399</v>
      </c>
      <c r="J381" s="5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22" t="n">
        <v>46400</v>
      </c>
      <c r="J382" s="5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22" t="n">
        <v>46401</v>
      </c>
      <c r="J383" s="5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22" t="n">
        <v>46402</v>
      </c>
      <c r="J384" s="5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22" t="n">
        <v>46403</v>
      </c>
      <c r="J385" s="5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22" t="n">
        <v>46404</v>
      </c>
      <c r="J386" s="5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22" t="n">
        <v>46405</v>
      </c>
      <c r="J387" s="5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22" t="n">
        <v>46406</v>
      </c>
      <c r="J388" s="5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22" t="n">
        <v>46407</v>
      </c>
      <c r="J389" s="5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22" t="n">
        <v>46408</v>
      </c>
      <c r="J390" s="5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22" t="n">
        <v>46409</v>
      </c>
      <c r="J391" s="5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22" t="n">
        <v>46410</v>
      </c>
      <c r="J392" s="5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22" t="n">
        <v>46411</v>
      </c>
      <c r="J393" s="5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22" t="n">
        <v>46412</v>
      </c>
      <c r="J394" s="5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22" t="n">
        <v>46413</v>
      </c>
      <c r="J395" s="5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22" t="n">
        <v>46414</v>
      </c>
      <c r="J396" s="5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22" t="n">
        <v>46415</v>
      </c>
      <c r="J397" s="5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22" t="n">
        <v>46416</v>
      </c>
      <c r="J398" s="5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22" t="n">
        <v>46417</v>
      </c>
      <c r="J399" s="5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22" t="n">
        <v>46418</v>
      </c>
      <c r="J400" s="5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22" t="n">
        <v>46419</v>
      </c>
      <c r="J401" s="5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22" t="n">
        <v>46420</v>
      </c>
      <c r="J402" s="5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22" t="n">
        <v>46421</v>
      </c>
      <c r="J403" s="5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22" t="n">
        <v>46422</v>
      </c>
      <c r="J404" s="5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22" t="n">
        <v>46423</v>
      </c>
      <c r="J405" s="5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22" t="n">
        <v>46424</v>
      </c>
      <c r="J406" s="5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22" t="n">
        <v>46425</v>
      </c>
      <c r="J407" s="5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22" t="n">
        <v>46426</v>
      </c>
      <c r="J408" s="5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22" t="n">
        <v>46427</v>
      </c>
      <c r="J409" s="5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22" t="n">
        <v>46428</v>
      </c>
      <c r="J410" s="5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22" t="n">
        <v>46429</v>
      </c>
      <c r="J411" s="5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22" t="n">
        <v>46430</v>
      </c>
      <c r="J412" s="5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22" t="n">
        <v>46431</v>
      </c>
      <c r="J413" s="5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22" t="n">
        <v>46432</v>
      </c>
      <c r="J414" s="5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22" t="n">
        <v>46433</v>
      </c>
      <c r="J415" s="5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22" t="n">
        <v>46434</v>
      </c>
      <c r="J416" s="5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22" t="n">
        <v>46435</v>
      </c>
      <c r="J417" s="5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22" t="n">
        <v>46436</v>
      </c>
      <c r="J418" s="5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22" t="n">
        <v>46437</v>
      </c>
      <c r="J419" s="5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22" t="n">
        <v>46438</v>
      </c>
      <c r="J420" s="5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22" t="n">
        <v>46439</v>
      </c>
      <c r="J421" s="5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22" t="n">
        <v>46440</v>
      </c>
      <c r="J422" s="5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22" t="n">
        <v>46441</v>
      </c>
      <c r="J423" s="5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22" t="n">
        <v>46442</v>
      </c>
      <c r="J424" s="5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22" t="n">
        <v>46443</v>
      </c>
      <c r="J425" s="5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22" t="n">
        <v>46444</v>
      </c>
      <c r="J426" s="5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22" t="n">
        <v>46445</v>
      </c>
      <c r="J427" s="5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22" t="n">
        <v>46446</v>
      </c>
      <c r="J428" s="5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22" t="n">
        <v>46447</v>
      </c>
      <c r="J429" s="5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22" t="n">
        <v>46448</v>
      </c>
      <c r="J430" s="5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22" t="n">
        <v>46449</v>
      </c>
      <c r="J431" s="5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22" t="n">
        <v>46450</v>
      </c>
      <c r="J432" s="5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22" t="n">
        <v>46451</v>
      </c>
      <c r="J433" s="5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22" t="n">
        <v>46452</v>
      </c>
      <c r="J434" s="5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22" t="n">
        <v>46453</v>
      </c>
      <c r="J435" s="5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22" t="n">
        <v>46454</v>
      </c>
      <c r="J436" s="5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22" t="n">
        <v>46455</v>
      </c>
      <c r="J437" s="5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22" t="n">
        <v>46456</v>
      </c>
      <c r="J438" s="5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22" t="n">
        <v>46457</v>
      </c>
      <c r="J439" s="5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22" t="n">
        <v>46458</v>
      </c>
      <c r="J440" s="5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22" t="n">
        <v>46459</v>
      </c>
      <c r="J441" s="5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22" t="n">
        <v>46460</v>
      </c>
      <c r="J442" s="5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22" t="n">
        <v>46461</v>
      </c>
      <c r="J443" s="5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22" t="n">
        <v>46462</v>
      </c>
      <c r="J444" s="5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22" t="n">
        <v>46463</v>
      </c>
      <c r="J445" s="5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22" t="n">
        <v>46464</v>
      </c>
      <c r="J446" s="5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22" t="n">
        <v>46465</v>
      </c>
      <c r="J447" s="5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22" t="n">
        <v>46466</v>
      </c>
      <c r="J448" s="5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22" t="n">
        <v>46467</v>
      </c>
      <c r="J449" s="5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22" t="n">
        <v>46468</v>
      </c>
      <c r="J450" s="5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22" t="n">
        <v>46469</v>
      </c>
      <c r="J451" s="5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22" t="n">
        <v>46470</v>
      </c>
      <c r="J452" s="5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22" t="n">
        <v>46471</v>
      </c>
      <c r="J453" s="5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22" t="n">
        <v>46472</v>
      </c>
      <c r="J454" s="5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22" t="n">
        <v>46473</v>
      </c>
      <c r="J455" s="5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22" t="n">
        <v>46474</v>
      </c>
      <c r="J456" s="5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22" t="n">
        <v>46475</v>
      </c>
      <c r="J457" s="5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22" t="n">
        <v>46476</v>
      </c>
      <c r="J458" s="5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22" t="n">
        <v>46477</v>
      </c>
      <c r="J459" s="5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22" t="n">
        <v>46478</v>
      </c>
      <c r="J460" s="5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22" t="n">
        <v>46479</v>
      </c>
      <c r="J461" s="5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22" t="n">
        <v>46480</v>
      </c>
      <c r="J462" s="5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22" t="n">
        <v>46481</v>
      </c>
      <c r="J463" s="5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22" t="n">
        <v>46482</v>
      </c>
      <c r="J464" s="5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22" t="n">
        <v>46483</v>
      </c>
      <c r="J465" s="5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22" t="n">
        <v>46484</v>
      </c>
      <c r="J466" s="5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22" t="n">
        <v>46485</v>
      </c>
      <c r="J467" s="5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22" t="n">
        <v>46486</v>
      </c>
      <c r="J468" s="5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22" t="n">
        <v>46487</v>
      </c>
      <c r="J469" s="5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22" t="n">
        <v>46488</v>
      </c>
      <c r="J470" s="5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22" t="n">
        <v>46489</v>
      </c>
      <c r="J471" s="5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22" t="n">
        <v>46490</v>
      </c>
      <c r="J472" s="5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22" t="n">
        <v>46491</v>
      </c>
      <c r="J473" s="5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22" t="n">
        <v>46492</v>
      </c>
      <c r="J474" s="5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22" t="n">
        <v>46493</v>
      </c>
      <c r="J475" s="5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22" t="n">
        <v>46494</v>
      </c>
      <c r="J476" s="5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22" t="n">
        <v>46495</v>
      </c>
      <c r="J477" s="5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22" t="n">
        <v>46496</v>
      </c>
      <c r="J478" s="5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22" t="n">
        <v>46497</v>
      </c>
      <c r="J479" s="5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22" t="n">
        <v>46498</v>
      </c>
      <c r="J480" s="5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22" t="n">
        <v>46499</v>
      </c>
      <c r="J481" s="5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22" t="n">
        <v>46500</v>
      </c>
      <c r="J482" s="5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22" t="n">
        <v>46501</v>
      </c>
      <c r="J483" s="5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22" t="n">
        <v>46502</v>
      </c>
      <c r="J484" s="5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22" t="n">
        <v>46503</v>
      </c>
      <c r="J485" s="5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22" t="n">
        <v>46504</v>
      </c>
      <c r="J486" s="5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22" t="n">
        <v>46505</v>
      </c>
      <c r="J487" s="5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22" t="n">
        <v>46506</v>
      </c>
      <c r="J488" s="5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22" t="n">
        <v>46507</v>
      </c>
      <c r="J489" s="5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22" t="n">
        <v>46508</v>
      </c>
      <c r="J490" s="5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22" t="n">
        <v>46509</v>
      </c>
      <c r="J491" s="5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22" t="n">
        <v>46510</v>
      </c>
      <c r="J492" s="5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22" t="n">
        <v>46511</v>
      </c>
      <c r="J493" s="5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22" t="n">
        <v>46512</v>
      </c>
      <c r="J494" s="5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22" t="n">
        <v>46513</v>
      </c>
      <c r="J495" s="5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22" t="n">
        <v>46514</v>
      </c>
      <c r="J496" s="5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22" t="n">
        <v>46515</v>
      </c>
      <c r="J497" s="5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22" t="n">
        <v>46516</v>
      </c>
      <c r="J498" s="5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22" t="n">
        <v>46517</v>
      </c>
      <c r="J499" s="5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22" t="n">
        <v>46518</v>
      </c>
      <c r="J500" s="5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22" t="n">
        <v>46519</v>
      </c>
      <c r="J501" s="5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22" t="n">
        <v>46520</v>
      </c>
      <c r="J502" s="5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22" t="n">
        <v>46521</v>
      </c>
      <c r="J503" s="5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22" t="n">
        <v>46522</v>
      </c>
      <c r="J504" s="5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22" t="n">
        <v>46523</v>
      </c>
      <c r="J505" s="5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22" t="n">
        <v>46524</v>
      </c>
      <c r="J506" s="5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22" t="n">
        <v>46525</v>
      </c>
      <c r="J507" s="5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22" t="n">
        <v>46526</v>
      </c>
      <c r="J508" s="5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22" t="n">
        <v>46527</v>
      </c>
      <c r="J509" s="5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22" t="n">
        <v>46528</v>
      </c>
      <c r="J510" s="5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22" t="n">
        <v>46529</v>
      </c>
      <c r="J511" s="5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22" t="n">
        <v>46530</v>
      </c>
      <c r="J512" s="5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22" t="n">
        <v>46531</v>
      </c>
      <c r="J513" s="5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22" t="n">
        <v>46532</v>
      </c>
      <c r="J514" s="5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22" t="n">
        <v>46533</v>
      </c>
      <c r="J515" s="5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22" t="n">
        <v>46534</v>
      </c>
      <c r="J516" s="5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22" t="n">
        <v>46535</v>
      </c>
      <c r="J517" s="5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22" t="n">
        <v>46536</v>
      </c>
      <c r="J518" s="5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22" t="n">
        <v>46537</v>
      </c>
      <c r="J519" s="5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22" t="n">
        <v>46538</v>
      </c>
      <c r="J520" s="5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22" t="n">
        <v>46539</v>
      </c>
      <c r="J521" s="5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22" t="n">
        <v>46540</v>
      </c>
      <c r="J522" s="5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22" t="n">
        <v>46541</v>
      </c>
      <c r="J523" s="5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22" t="n">
        <v>46542</v>
      </c>
      <c r="J524" s="5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22" t="n">
        <v>46543</v>
      </c>
      <c r="J525" s="5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22" t="n">
        <v>46544</v>
      </c>
      <c r="J526" s="5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22" t="n">
        <v>46545</v>
      </c>
      <c r="J527" s="5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22" t="n">
        <v>46546</v>
      </c>
      <c r="J528" s="5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22" t="n">
        <v>46547</v>
      </c>
      <c r="J529" s="5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22" t="n">
        <v>46548</v>
      </c>
      <c r="J530" s="5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22" t="n">
        <v>46549</v>
      </c>
      <c r="J531" s="5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22" t="n">
        <v>46550</v>
      </c>
      <c r="J532" s="5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22" t="n">
        <v>46551</v>
      </c>
      <c r="J533" s="5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22" t="n">
        <v>46552</v>
      </c>
      <c r="J534" s="5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22" t="n">
        <v>46553</v>
      </c>
      <c r="J535" s="5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22" t="n">
        <v>46554</v>
      </c>
      <c r="J536" s="5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22" t="n">
        <v>46555</v>
      </c>
      <c r="J537" s="5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22" t="n">
        <v>46556</v>
      </c>
      <c r="J538" s="5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22" t="n">
        <v>46557</v>
      </c>
      <c r="J539" s="5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22" t="n">
        <v>46558</v>
      </c>
      <c r="J540" s="5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22" t="n">
        <v>46559</v>
      </c>
      <c r="J541" s="5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22" t="n">
        <v>46560</v>
      </c>
      <c r="J542" s="5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22" t="n">
        <v>46561</v>
      </c>
      <c r="J543" s="5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22" t="n">
        <v>46562</v>
      </c>
      <c r="J544" s="5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22" t="n">
        <v>46563</v>
      </c>
      <c r="J545" s="5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22" t="n">
        <v>46564</v>
      </c>
      <c r="J546" s="5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22" t="n">
        <v>46565</v>
      </c>
      <c r="J547" s="5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22" t="n">
        <v>46566</v>
      </c>
      <c r="J548" s="5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22" t="n">
        <v>46567</v>
      </c>
      <c r="J549" s="5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22" t="n">
        <v>46568</v>
      </c>
      <c r="J550" s="5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22" t="n">
        <v>46569</v>
      </c>
      <c r="J551" s="5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22" t="n">
        <v>46570</v>
      </c>
      <c r="J552" s="5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22" t="n">
        <v>46571</v>
      </c>
      <c r="J553" s="5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22" t="n">
        <v>46572</v>
      </c>
      <c r="J554" s="5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22" t="n">
        <v>46573</v>
      </c>
      <c r="J555" s="5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22" t="n">
        <v>46574</v>
      </c>
      <c r="J556" s="5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22" t="n">
        <v>46575</v>
      </c>
      <c r="J557" s="5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22" t="n">
        <v>46576</v>
      </c>
      <c r="J558" s="5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22" t="n">
        <v>46577</v>
      </c>
      <c r="J559" s="5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22" t="n">
        <v>46578</v>
      </c>
      <c r="J560" s="5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22" t="n">
        <v>46579</v>
      </c>
      <c r="J561" s="5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22" t="n">
        <v>46580</v>
      </c>
      <c r="J562" s="5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22" t="n">
        <v>46581</v>
      </c>
      <c r="J563" s="5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22" t="n">
        <v>46582</v>
      </c>
      <c r="J564" s="5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22" t="n">
        <v>46583</v>
      </c>
      <c r="J565" s="5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22" t="n">
        <v>46584</v>
      </c>
      <c r="J566" s="5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22" t="n">
        <v>46585</v>
      </c>
      <c r="J567" s="5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22" t="n">
        <v>46586</v>
      </c>
      <c r="J568" s="5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22" t="n">
        <v>46587</v>
      </c>
      <c r="J569" s="5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22" t="n">
        <v>46588</v>
      </c>
      <c r="J570" s="5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22" t="n">
        <v>46589</v>
      </c>
      <c r="J571" s="5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22" t="n">
        <v>46590</v>
      </c>
      <c r="J572" s="5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22" t="n">
        <v>46591</v>
      </c>
      <c r="J573" s="5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22" t="n">
        <v>46592</v>
      </c>
      <c r="J574" s="5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22" t="n">
        <v>46593</v>
      </c>
      <c r="J575" s="5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22" t="n">
        <v>46594</v>
      </c>
      <c r="J576" s="5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22" t="n">
        <v>46595</v>
      </c>
      <c r="J577" s="5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22" t="n">
        <v>46596</v>
      </c>
      <c r="J578" s="5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22" t="n">
        <v>46597</v>
      </c>
      <c r="J579" s="5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22" t="n">
        <v>46598</v>
      </c>
      <c r="J580" s="5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22" t="n">
        <v>46599</v>
      </c>
      <c r="J581" s="5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22" t="n">
        <v>46600</v>
      </c>
      <c r="J582" s="5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22" t="n">
        <v>46601</v>
      </c>
      <c r="J583" s="5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22" t="n">
        <v>46602</v>
      </c>
      <c r="J584" s="5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22" t="n">
        <v>46603</v>
      </c>
      <c r="J585" s="5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22" t="n">
        <v>46604</v>
      </c>
      <c r="J586" s="5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22" t="n">
        <v>46605</v>
      </c>
      <c r="J587" s="5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22" t="n">
        <v>46606</v>
      </c>
      <c r="J588" s="5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22" t="n">
        <v>46607</v>
      </c>
      <c r="J589" s="5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22" t="n">
        <v>46608</v>
      </c>
      <c r="J590" s="5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22" t="n">
        <v>46609</v>
      </c>
      <c r="J591" s="5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22" t="n">
        <v>46610</v>
      </c>
      <c r="J592" s="5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22" t="n">
        <v>46611</v>
      </c>
      <c r="J593" s="5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22" t="n">
        <v>46612</v>
      </c>
      <c r="J594" s="5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22" t="n">
        <v>46613</v>
      </c>
      <c r="J595" s="5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22" t="n">
        <v>46614</v>
      </c>
      <c r="J596" s="5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22" t="n">
        <v>46615</v>
      </c>
      <c r="J597" s="5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22" t="n">
        <v>46616</v>
      </c>
      <c r="J598" s="5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22" t="n">
        <v>46617</v>
      </c>
      <c r="J599" s="5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22" t="n">
        <v>46618</v>
      </c>
      <c r="J600" s="5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22" t="n">
        <v>46619</v>
      </c>
      <c r="J601" s="5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22" t="n">
        <v>46620</v>
      </c>
      <c r="J602" s="5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22" t="n">
        <v>46621</v>
      </c>
      <c r="J603" s="5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22" t="n">
        <v>46622</v>
      </c>
      <c r="J604" s="5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22" t="n">
        <v>46623</v>
      </c>
      <c r="J605" s="5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22" t="n">
        <v>46624</v>
      </c>
      <c r="J606" s="5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22" t="n">
        <v>46625</v>
      </c>
      <c r="J607" s="5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22" t="n">
        <v>46626</v>
      </c>
      <c r="J608" s="5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22" t="n">
        <v>46627</v>
      </c>
      <c r="J609" s="5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22" t="n">
        <v>46628</v>
      </c>
      <c r="J610" s="5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22" t="n">
        <v>46629</v>
      </c>
      <c r="J611" s="5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22" t="n">
        <v>46630</v>
      </c>
      <c r="J612" s="5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22" t="n">
        <v>46631</v>
      </c>
      <c r="J613" s="5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22" t="n">
        <v>46632</v>
      </c>
      <c r="J614" s="5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22" t="n">
        <v>46633</v>
      </c>
      <c r="J615" s="5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22" t="n">
        <v>46634</v>
      </c>
      <c r="J616" s="5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22" t="n">
        <v>46635</v>
      </c>
      <c r="J617" s="5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22" t="n">
        <v>46636</v>
      </c>
      <c r="J618" s="5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22" t="n">
        <v>46637</v>
      </c>
      <c r="J619" s="5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22" t="n">
        <v>46638</v>
      </c>
      <c r="J620" s="5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22" t="n">
        <v>46639</v>
      </c>
      <c r="J621" s="5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22" t="n">
        <v>46640</v>
      </c>
      <c r="J622" s="5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22" t="n">
        <v>46641</v>
      </c>
      <c r="J623" s="5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22" t="n">
        <v>46642</v>
      </c>
      <c r="J624" s="5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22" t="n">
        <v>46643</v>
      </c>
      <c r="J625" s="5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22" t="n">
        <v>46644</v>
      </c>
      <c r="J626" s="5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22" t="n">
        <v>46645</v>
      </c>
      <c r="J627" s="5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22" t="n">
        <v>46646</v>
      </c>
      <c r="J628" s="5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22" t="n">
        <v>46647</v>
      </c>
      <c r="J629" s="5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22" t="n">
        <v>46648</v>
      </c>
      <c r="J630" s="5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22" t="n">
        <v>46649</v>
      </c>
      <c r="J631" s="5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22" t="n">
        <v>46650</v>
      </c>
      <c r="J632" s="5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22" t="n">
        <v>46651</v>
      </c>
      <c r="J633" s="5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22" t="n">
        <v>46652</v>
      </c>
      <c r="J634" s="5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22" t="n">
        <v>46653</v>
      </c>
      <c r="J635" s="5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22" t="n">
        <v>46654</v>
      </c>
      <c r="J636" s="5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22" t="n">
        <v>46655</v>
      </c>
      <c r="J637" s="5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22" t="n">
        <v>46656</v>
      </c>
      <c r="J638" s="5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22" t="n">
        <v>46657</v>
      </c>
      <c r="J639" s="5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22" t="n">
        <v>46658</v>
      </c>
      <c r="J640" s="5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22" t="n">
        <v>46659</v>
      </c>
      <c r="J641" s="5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22" t="n">
        <v>46660</v>
      </c>
      <c r="J642" s="5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22" t="n">
        <v>46661</v>
      </c>
      <c r="J643" s="5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22" t="n">
        <v>46662</v>
      </c>
      <c r="J644" s="5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22" t="n">
        <v>46663</v>
      </c>
      <c r="J645" s="5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22" t="n">
        <v>46664</v>
      </c>
      <c r="J646" s="5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22" t="n">
        <v>46665</v>
      </c>
      <c r="J647" s="5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22" t="n">
        <v>46666</v>
      </c>
      <c r="J648" s="5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22" t="n">
        <v>46667</v>
      </c>
      <c r="J649" s="5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22" t="n">
        <v>46668</v>
      </c>
      <c r="J650" s="5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22" t="n">
        <v>46669</v>
      </c>
      <c r="J651" s="5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22" t="n">
        <v>46670</v>
      </c>
      <c r="J652" s="5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22" t="n">
        <v>46671</v>
      </c>
      <c r="J653" s="5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22" t="n">
        <v>46672</v>
      </c>
      <c r="J654" s="5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22" t="n">
        <v>46673</v>
      </c>
      <c r="J655" s="5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22" t="n">
        <v>46674</v>
      </c>
      <c r="J656" s="5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22" t="n">
        <v>46675</v>
      </c>
      <c r="J657" s="5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22" t="n">
        <v>46676</v>
      </c>
      <c r="J658" s="5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22" t="n">
        <v>46677</v>
      </c>
      <c r="J659" s="5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22" t="n">
        <v>46678</v>
      </c>
      <c r="J660" s="5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22" t="n">
        <v>46679</v>
      </c>
      <c r="J661" s="5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22" t="n">
        <v>46680</v>
      </c>
      <c r="J662" s="5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22" t="n">
        <v>46681</v>
      </c>
      <c r="J663" s="5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22" t="n">
        <v>46682</v>
      </c>
      <c r="J664" s="5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22" t="n">
        <v>46683</v>
      </c>
      <c r="J665" s="5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22" t="n">
        <v>46684</v>
      </c>
      <c r="J666" s="5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22" t="n">
        <v>46685</v>
      </c>
      <c r="J667" s="5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22" t="n">
        <v>46686</v>
      </c>
      <c r="J668" s="5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22" t="n">
        <v>46687</v>
      </c>
      <c r="J669" s="5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22" t="n">
        <v>46688</v>
      </c>
      <c r="J670" s="5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22" t="n">
        <v>46689</v>
      </c>
      <c r="J671" s="5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22" t="n">
        <v>46690</v>
      </c>
      <c r="J672" s="5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22" t="n">
        <v>46691</v>
      </c>
      <c r="J673" s="5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22" t="n">
        <v>46692</v>
      </c>
      <c r="J674" s="5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22" t="n">
        <v>46693</v>
      </c>
      <c r="J675" s="5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22" t="n">
        <v>46694</v>
      </c>
      <c r="J676" s="5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22" t="n">
        <v>46695</v>
      </c>
      <c r="J677" s="5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22" t="n">
        <v>46696</v>
      </c>
      <c r="J678" s="5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22" t="n">
        <v>46697</v>
      </c>
      <c r="J679" s="5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22" t="n">
        <v>46698</v>
      </c>
      <c r="J680" s="5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22" t="n">
        <v>46699</v>
      </c>
      <c r="J681" s="5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22" t="n">
        <v>46700</v>
      </c>
      <c r="J682" s="5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22" t="n">
        <v>46701</v>
      </c>
      <c r="J683" s="5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22" t="n">
        <v>46702</v>
      </c>
      <c r="J684" s="5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22" t="n">
        <v>46703</v>
      </c>
      <c r="J685" s="5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22" t="n">
        <v>46704</v>
      </c>
      <c r="J686" s="5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22" t="n">
        <v>46705</v>
      </c>
      <c r="J687" s="5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22" t="n">
        <v>46706</v>
      </c>
      <c r="J688" s="5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22" t="n">
        <v>46707</v>
      </c>
      <c r="J689" s="5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22" t="n">
        <v>46708</v>
      </c>
      <c r="J690" s="5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22" t="n">
        <v>46709</v>
      </c>
      <c r="J691" s="5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22" t="n">
        <v>46710</v>
      </c>
      <c r="J692" s="5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22" t="n">
        <v>46711</v>
      </c>
      <c r="J693" s="5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22" t="n">
        <v>46712</v>
      </c>
      <c r="J694" s="5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22" t="n">
        <v>46713</v>
      </c>
      <c r="J695" s="5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22" t="n">
        <v>46714</v>
      </c>
      <c r="J696" s="5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22" t="n">
        <v>46715</v>
      </c>
      <c r="J697" s="5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22" t="n">
        <v>46716</v>
      </c>
      <c r="J698" s="5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22" t="n">
        <v>46717</v>
      </c>
      <c r="J699" s="5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22" t="n">
        <v>46718</v>
      </c>
      <c r="J700" s="5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22" t="n">
        <v>46719</v>
      </c>
      <c r="J701" s="5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22" t="n">
        <v>46720</v>
      </c>
      <c r="J702" s="5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22" t="n">
        <v>46721</v>
      </c>
      <c r="J703" s="5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22" t="n">
        <v>46722</v>
      </c>
      <c r="J704" s="5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22" t="n">
        <v>46723</v>
      </c>
      <c r="J705" s="5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22" t="n">
        <v>46724</v>
      </c>
      <c r="J706" s="5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22" t="n">
        <v>46725</v>
      </c>
      <c r="J707" s="5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22" t="n">
        <v>46726</v>
      </c>
      <c r="J708" s="5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22" t="n">
        <v>46727</v>
      </c>
      <c r="J709" s="5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22" t="n">
        <v>46728</v>
      </c>
      <c r="J710" s="5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22" t="n">
        <v>46729</v>
      </c>
      <c r="J711" s="5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22" t="n">
        <v>46730</v>
      </c>
      <c r="J712" s="5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22" t="n">
        <v>46731</v>
      </c>
      <c r="J713" s="5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22" t="n">
        <v>46732</v>
      </c>
      <c r="J714" s="5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22" t="n">
        <v>46733</v>
      </c>
      <c r="J715" s="5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22" t="n">
        <v>46734</v>
      </c>
      <c r="J716" s="5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22" t="n">
        <v>46735</v>
      </c>
      <c r="J717" s="5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22" t="n">
        <v>46736</v>
      </c>
      <c r="J718" s="5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22" t="n">
        <v>46737</v>
      </c>
      <c r="J719" s="5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22" t="n">
        <v>46738</v>
      </c>
      <c r="J720" s="5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22" t="n">
        <v>46739</v>
      </c>
      <c r="J721" s="5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22" t="n">
        <v>46740</v>
      </c>
      <c r="J722" s="5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22" t="n">
        <v>46741</v>
      </c>
      <c r="J723" s="5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22" t="n">
        <v>46742</v>
      </c>
      <c r="J724" s="5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22" t="n">
        <v>46743</v>
      </c>
      <c r="J725" s="5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22" t="n">
        <v>46744</v>
      </c>
      <c r="J726" s="5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22" t="n">
        <v>46745</v>
      </c>
      <c r="J727" s="5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22" t="n">
        <v>46746</v>
      </c>
      <c r="J728" s="5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22" t="n">
        <v>46747</v>
      </c>
      <c r="J729" s="5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22" t="n">
        <v>46748</v>
      </c>
      <c r="J730" s="5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22" t="n">
        <v>46749</v>
      </c>
      <c r="J731" s="5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22" t="n">
        <v>46750</v>
      </c>
      <c r="J732" s="5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22" t="n">
        <v>46751</v>
      </c>
      <c r="J733" s="5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22" t="n">
        <v>46752</v>
      </c>
      <c r="J734" s="5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22" t="n">
        <v>46753</v>
      </c>
      <c r="J735" s="5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22" t="n">
        <v>46754</v>
      </c>
      <c r="J736" s="5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22" t="n">
        <v>46755</v>
      </c>
      <c r="J737" s="5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22" t="n">
        <v>46756</v>
      </c>
      <c r="J738" s="5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22" t="n">
        <v>46757</v>
      </c>
      <c r="J739" s="5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22" t="n">
        <v>46758</v>
      </c>
      <c r="J740" s="5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22" t="n">
        <v>46759</v>
      </c>
      <c r="J741" s="5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22" t="n">
        <v>46760</v>
      </c>
      <c r="J742" s="5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22" t="n">
        <v>46761</v>
      </c>
      <c r="J743" s="5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22" t="n">
        <v>46762</v>
      </c>
      <c r="J744" s="5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22" t="n">
        <v>46763</v>
      </c>
      <c r="J745" s="5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22" t="n">
        <v>46764</v>
      </c>
      <c r="J746" s="5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22" t="n">
        <v>46765</v>
      </c>
      <c r="J747" s="5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22" t="n">
        <v>46766</v>
      </c>
      <c r="J748" s="5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22" t="n">
        <v>46767</v>
      </c>
      <c r="J749" s="5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22" t="n">
        <v>46768</v>
      </c>
      <c r="J750" s="5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22" t="n">
        <v>46769</v>
      </c>
      <c r="J751" s="5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22" t="n">
        <v>46770</v>
      </c>
      <c r="J752" s="5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22" t="n">
        <v>46771</v>
      </c>
      <c r="J753" s="5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22" t="n">
        <v>46772</v>
      </c>
      <c r="J754" s="5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22" t="n">
        <v>46773</v>
      </c>
      <c r="J755" s="5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22" t="n">
        <v>46774</v>
      </c>
      <c r="J756" s="5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22" t="n">
        <v>46775</v>
      </c>
      <c r="J757" s="5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22" t="n">
        <v>46776</v>
      </c>
      <c r="J758" s="5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22" t="n">
        <v>46777</v>
      </c>
      <c r="J759" s="5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22" t="n">
        <v>46778</v>
      </c>
      <c r="J760" s="5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22" t="n">
        <v>46779</v>
      </c>
      <c r="J761" s="5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22" t="n">
        <v>46780</v>
      </c>
      <c r="J762" s="5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22" t="n">
        <v>46781</v>
      </c>
      <c r="J763" s="5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22" t="n">
        <v>46782</v>
      </c>
      <c r="J764" s="5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15" t="inlineStr">
        <is>
          <t>chequeo</t>
        </is>
      </c>
      <c r="B3" s="15" t="inlineStr">
        <is>
          <t>resultado</t>
        </is>
      </c>
      <c r="C3" s="15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SUM(tblAjustes[desviacion_h])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3">
      <c r="A3" s="15" t="inlineStr">
        <is>
          <t>parametro</t>
        </is>
      </c>
      <c r="B3" s="15" t="inlineStr">
        <is>
          <t>valor</t>
        </is>
      </c>
      <c r="C3" s="15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(CAT_SUBAREAS)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 t="inlineStr">
        <is>
          <t>(todos)</t>
        </is>
      </c>
      <c r="M5" s="5" t="inlineStr">
        <is>
          <t>PRODUCCION</t>
        </is>
      </c>
      <c r="N5" s="5" t="inlineStr">
        <is>
          <t>(todos)</t>
        </is>
      </c>
      <c r="O5" s="5" t="inlineStr">
        <is>
          <t>(todos)</t>
        </is>
      </c>
      <c r="P5" s="5" t="inlineStr">
        <is>
          <t>PRODUCCION</t>
        </is>
      </c>
      <c r="Q5" s="5" t="inlineStr">
        <is>
          <t>(todos)</t>
        </is>
      </c>
      <c r="R5" s="5" t="inlineStr">
        <is>
          <t>MEC</t>
        </is>
      </c>
      <c r="S5" s="5">
        <f>CAT_CENTROS_COSTO!$A$4</f>
        <v/>
      </c>
      <c r="T5" s="5">
        <f>CAT_PUESTOS!$A$4</f>
        <v/>
      </c>
      <c r="U5" s="5">
        <f>CAT_ACTIVIDADES!$A$4</f>
        <v/>
      </c>
      <c r="V5" s="5">
        <f>CAT_TIPOS_OT!$A$4</f>
        <v/>
      </c>
      <c r="W5" s="5">
        <f>CAT_SUPERVISORES!$B$4</f>
        <v/>
      </c>
      <c r="X5" s="5">
        <f>CAT_MOTIVOS_AUSENCIA!$A$4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CAT_TURNOS!$A$4</f>
        <v/>
      </c>
      <c r="L6" s="5" t="inlineStr">
        <is>
          <t>PRODUCCION</t>
        </is>
      </c>
      <c r="M6" s="5" t="inlineStr">
        <is>
          <t>EMPAQUE</t>
        </is>
      </c>
      <c r="N6" s="5" t="inlineStr">
        <is>
          <t>Coordinador A</t>
        </is>
      </c>
      <c r="O6" s="5" t="inlineStr">
        <is>
          <t>PRODUCCION</t>
        </is>
      </c>
      <c r="P6" s="5" t="inlineStr">
        <is>
          <t>EMPAQUE</t>
        </is>
      </c>
      <c r="Q6" s="5" t="inlineStr">
        <is>
          <t>MEC</t>
        </is>
      </c>
      <c r="R6" s="5" t="inlineStr">
        <is>
          <t>ELE</t>
        </is>
      </c>
      <c r="S6" s="5">
        <f>CAT_CENTROS_COSTO!$A$5</f>
        <v/>
      </c>
      <c r="T6" s="5">
        <f>CAT_PUESTOS!$A$5</f>
        <v/>
      </c>
      <c r="U6" s="5">
        <f>CAT_ACTIVIDADES!$A$5</f>
        <v/>
      </c>
      <c r="V6" s="5">
        <f>CAT_TIPOS_OT!$A$5</f>
        <v/>
      </c>
      <c r="W6" s="5">
        <f>CAT_SUPERVISORES!$B$5</f>
        <v/>
      </c>
      <c r="X6" s="5">
        <f>CAT_MOTIVOS_AUSENCIA!$A$5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CAT_TURNOS!$A$5</f>
        <v/>
      </c>
      <c r="L7" s="5" t="inlineStr">
        <is>
          <t>EMPAQUE</t>
        </is>
      </c>
      <c r="M7" s="5" t="inlineStr">
        <is>
          <t>SERVICIOS</t>
        </is>
      </c>
      <c r="N7" s="5" t="inlineStr">
        <is>
          <t>Coordinador B</t>
        </is>
      </c>
      <c r="O7" s="5" t="inlineStr">
        <is>
          <t>EMPAQUE</t>
        </is>
      </c>
      <c r="P7" s="5" t="inlineStr">
        <is>
          <t>Vapor</t>
        </is>
      </c>
      <c r="Q7" s="5" t="inlineStr">
        <is>
          <t>ELE</t>
        </is>
      </c>
      <c r="R7" s="5" t="inlineStr">
        <is>
          <t>AUT</t>
        </is>
      </c>
      <c r="S7" s="5">
        <f>CAT_CENTROS_COSTO!$A$6</f>
        <v/>
      </c>
      <c r="T7" s="5">
        <f>CAT_PUESTOS!$A$6</f>
        <v/>
      </c>
      <c r="U7" s="5">
        <f>CAT_ACTIVIDADES!$A$6</f>
        <v/>
      </c>
      <c r="V7" s="5">
        <f>CAT_TIPOS_OT!$A$6</f>
        <v/>
      </c>
      <c r="W7" s="5">
        <f>CAT_SUPERVISORES!$B$6</f>
        <v/>
      </c>
      <c r="X7" s="5">
        <f>CAT_MOTIVOS_AUSENCIA!$A$6</f>
        <v/>
      </c>
    </row>
    <row r="8">
      <c r="A8" s="5" t="inlineStr">
        <is>
          <t>factor_productividad</t>
        </is>
      </c>
      <c r="B8" s="29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CAT_TURNOS!$A$6</f>
        <v/>
      </c>
      <c r="L8" s="5" t="inlineStr">
        <is>
          <t>SERVICIOS</t>
        </is>
      </c>
      <c r="N8" s="5" t="inlineStr">
        <is>
          <t>Coordinador C</t>
        </is>
      </c>
      <c r="O8" s="5" t="inlineStr">
        <is>
          <t>Vapor</t>
        </is>
      </c>
      <c r="P8" s="5" t="inlineStr">
        <is>
          <t>Refrigeración</t>
        </is>
      </c>
      <c r="Q8" s="5" t="inlineStr">
        <is>
          <t>AUT</t>
        </is>
      </c>
      <c r="S8" s="5">
        <f>CAT_CENTROS_COSTO!$A$7</f>
        <v/>
      </c>
      <c r="T8" s="5">
        <f>CAT_PUESTOS!$A$7</f>
        <v/>
      </c>
      <c r="U8" s="5">
        <f>CAT_ACTIVIDADES!$A$7</f>
        <v/>
      </c>
      <c r="V8" s="5">
        <f>CAT_TIPOS_OT!$A$7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CAT_TURNOS!$A$7</f>
        <v/>
      </c>
      <c r="O9" s="5" t="inlineStr">
        <is>
          <t>Refrigeración</t>
        </is>
      </c>
      <c r="P9" s="5" t="inlineStr">
        <is>
          <t>CO2</t>
        </is>
      </c>
      <c r="Q9" s="5" t="inlineStr">
        <is>
          <t>TERCERO</t>
        </is>
      </c>
      <c r="S9" s="5">
        <f>CAT_CENTROS_COSTO!$A$8</f>
        <v/>
      </c>
      <c r="T9" s="5">
        <f>CAT_PUESTOS!$A$8</f>
        <v/>
      </c>
      <c r="U9" s="5">
        <f>CAT_ACTIVIDADES!$A$8</f>
        <v/>
      </c>
      <c r="V9" s="5">
        <f>CAT_TIPOS_OT!$A$8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O10" s="5" t="inlineStr">
        <is>
          <t>CO2</t>
        </is>
      </c>
      <c r="P10" s="5" t="inlineStr">
        <is>
          <t>Aire comprimido</t>
        </is>
      </c>
      <c r="S10" s="5">
        <f>CAT_CENTROS_COSTO!$A$9</f>
        <v/>
      </c>
      <c r="U10" s="5">
        <f>CAT_ACTIVIDADES!$A$9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O11" s="5" t="inlineStr">
        <is>
          <t>Aire comprimido</t>
        </is>
      </c>
      <c r="S11" s="5">
        <f>CAT_CENTROS_COSTO!$A$10</f>
        <v/>
      </c>
      <c r="U11" s="5">
        <f>CAT_ACTIVIDADES!$A$10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S12" s="5">
        <f>CAT_CENTROS_COSTO!$A$11</f>
        <v/>
      </c>
      <c r="U12" s="5">
        <f>CAT_ACTIVIDADES!$A$11</f>
        <v/>
      </c>
    </row>
    <row r="13">
      <c r="A13" s="5" t="inlineStr">
        <is>
          <t>meta_adherencia</t>
        </is>
      </c>
      <c r="B13" s="29" t="n">
        <v>0.95</v>
      </c>
      <c r="C13" s="2" t="inlineStr">
        <is>
          <t>Meta de adherencia semanal (REGLA-7).</t>
        </is>
      </c>
      <c r="S13" s="5">
        <f>CAT_CENTROS_COSTO!$A$12</f>
        <v/>
      </c>
    </row>
    <row r="14">
      <c r="A14" s="5" t="inlineStr">
        <is>
          <t>meta_ratio_prev_corr</t>
        </is>
      </c>
      <c r="B14" s="29" t="n">
        <v>0.8</v>
      </c>
      <c r="C14" s="2" t="inlineStr">
        <is>
          <t>Meta: fracción preventiva mínima de las HH (REGLA-9).</t>
        </is>
      </c>
      <c r="S14" s="5">
        <f>CAT_CENTROS_COSTO!$A$13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27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29" t="n">
        <v>0.1</v>
      </c>
      <c r="C23" s="2" t="inlineStr">
        <is>
          <t>Desviación relativa tolerada antes de marcar sobre/bajo presupuesto (semáforo).</t>
        </is>
      </c>
    </row>
    <row r="24">
      <c r="A24" s="5" t="inlineStr">
        <is>
          <t>fecha_datos</t>
        </is>
      </c>
      <c r="B24" s="27" t="n">
        <v>46230</v>
      </c>
      <c r="C24" s="2" t="inlineStr">
        <is>
          <t>FECHA de los datos del libro. El DASHBOARD corta con ella (mes en curso: hasta el día anterior).</t>
        </is>
      </c>
    </row>
    <row r="25">
      <c r="A25" s="5" t="inlineStr">
        <is>
          <t>meta_pct_predictivo</t>
        </is>
      </c>
      <c r="B25" s="4" t="n">
        <v>25</v>
      </c>
      <c r="C25" s="2" t="inlineStr">
        <is>
          <t>Meta de mix: % de órdenes predictivas. Convención, NO norma.</t>
        </is>
      </c>
    </row>
    <row r="26">
      <c r="A26" s="5" t="inlineStr">
        <is>
          <t>meta_pct_preventivo</t>
        </is>
      </c>
      <c r="B26" s="4" t="n">
        <v>40</v>
      </c>
      <c r="C26" s="2" t="inlineStr">
        <is>
          <t>Meta de mix: % de órdenes preventivas. Convención, NO norma.</t>
        </is>
      </c>
    </row>
    <row r="27">
      <c r="A27" s="5" t="inlineStr">
        <is>
          <t>meta_pct_correctivo_programado</t>
        </is>
      </c>
      <c r="B27" s="4" t="n">
        <v>20</v>
      </c>
      <c r="C27" s="2" t="inlineStr">
        <is>
          <t>Meta de mix: % de correctivos programados. Convención, NO norma.</t>
        </is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mix: % de emergencias. Convención, NO norma.</t>
        </is>
      </c>
    </row>
    <row r="29">
      <c r="A29" s="5" t="inlineStr">
        <is>
          <t>meta_pct_legal</t>
        </is>
      </c>
      <c r="B29" s="4" t="n">
        <v>10</v>
      </c>
      <c r="C29" s="2" t="inlineStr">
        <is>
          <t>Meta de mix: % de órdenes legales. Convención, NO norma.</t>
        </is>
      </c>
    </row>
    <row r="30">
      <c r="A30" s="5" t="inlineStr">
        <is>
          <t>cuadre_metas_mix</t>
        </is>
      </c>
      <c r="B30" s="5">
        <f>IF(p_meta_pct_predictivo+p_meta_pct_preventivo+p_meta_pct_correctivo_programado+p_meta_pct_emergencia+p_meta_pct_legal=100,"cuadra: 100 %","DESCUADRE: suman "&amp;(p_meta_pct_predictivo+p_meta_pct_preventivo+p_meta_pct_correctivo_programado+p_meta_pct_emergencia+p_meta_pct_legal)&amp;" %, deben sumar 100")</f>
        <v/>
      </c>
      <c r="C30" s="2" t="inlineStr">
        <is>
          <t>Cuadre de las metas de mix. Derivado: avisa si los cinco porcentajes no suman 100.</t>
        </is>
      </c>
    </row>
  </sheetData>
  <conditionalFormatting sqref="B30">
    <cfRule type="expression" priority="1" dxfId="0">
      <formula>LEFT($B$30,9)="DESCUADRE"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 B29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Catálogo de centros de costo — se carga por empresa — editable</t>
        </is>
      </c>
    </row>
    <row r="3">
      <c r="A3" s="15" t="inlineStr">
        <is>
          <t>codigo</t>
        </is>
      </c>
      <c r="B3" s="15" t="inlineStr">
        <is>
          <t>descripcion</t>
        </is>
      </c>
      <c r="C3" s="15" t="inlineStr">
        <is>
          <t>planta</t>
        </is>
      </c>
      <c r="D3" s="15" t="inlineStr">
        <is>
          <t>area</t>
        </is>
      </c>
      <c r="E3" s="15" t="inlineStr">
        <is>
          <t>sub_area</t>
        </is>
      </c>
      <c r="F3" s="15" t="inlineStr">
        <is>
          <t>linea</t>
        </is>
      </c>
      <c r="G3" s="15" t="inlineStr">
        <is>
          <t>coordinador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5" t="inlineStr">
        <is>
          <t>codigo</t>
        </is>
      </c>
      <c r="B3" s="15" t="inlineStr">
        <is>
          <t>especialidad</t>
        </is>
      </c>
      <c r="C3" s="15" t="inlineStr">
        <is>
          <t>descripcion</t>
        </is>
      </c>
      <c r="D3" s="15" t="inlineStr">
        <is>
          <t>es_especialidad_propia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</row>
  </sheetData>
  <dataValidations count="2">
    <dataValidation sqref="B4:B8" showDropDown="0" showInputMessage="0" showErrorMessage="0" allowBlank="0" type="list">
      <formula1>"ELE,MEC,AUT,OP,TERCERO"</formula1>
    </dataValidation>
    <dataValidation sqref="D4:D8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3" t="inlineStr">
        <is>
          <t>Catálogo de actividades — editable</t>
        </is>
      </c>
    </row>
    <row r="3">
      <c r="A3" s="15" t="inlineStr">
        <is>
          <t>codigo</t>
        </is>
      </c>
      <c r="B3" s="15" t="inlineStr">
        <is>
          <t>descripcion</t>
        </is>
      </c>
      <c r="C3" s="15" t="inlineStr">
        <is>
          <t>tipo</t>
        </is>
      </c>
      <c r="D3" s="15" t="inlineStr">
        <is>
          <t>categoria_presupuesto</t>
        </is>
      </c>
      <c r="E3" s="15" t="inlineStr">
        <is>
          <t>clasificacion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</row>
  </sheetData>
  <dataValidations count="1">
    <dataValidation sqref="C4:C11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5" t="inlineStr">
        <is>
          <t>codigo</t>
        </is>
      </c>
      <c r="B3" s="15" t="inlineStr">
        <is>
          <t>descripcion</t>
        </is>
      </c>
      <c r="C3" s="15" t="inlineStr">
        <is>
          <t>clasificacion</t>
        </is>
      </c>
      <c r="D3" s="15" t="inlineStr">
        <is>
          <t>clase_mantenimiento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</row>
    <row r="6">
      <c r="A6" s="4" t="inlineStr">
        <is>
          <t>TIPO-P3</t>
        </is>
      </c>
      <c r="B6" s="4" t="inlineStr">
        <is>
          <t>Orden legal / calibración obligatoria</t>
        </is>
      </c>
      <c r="C6" s="4" t="inlineStr">
        <is>
          <t>preventiva</t>
        </is>
      </c>
      <c r="D6" s="4" t="inlineStr">
        <is>
          <t>legal</t>
        </is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</row>
  </sheetData>
  <dataValidations count="2">
    <dataValidation sqref="C4:C8" showDropDown="0" showInputMessage="0" showErrorMessage="0" allowBlank="0" type="list">
      <formula1>"preventiva,correctiva"</formula1>
    </dataValidation>
    <dataValidation sqref="D4:D8" showDropDown="0" showInputMessage="0" showErrorMessage="0" allowBlank="0" type="list">
      <formula1>"predictivo,preventivo,correctivo_programado,emergencia,legal"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5" t="inlineStr">
        <is>
          <t>estado_sistema</t>
        </is>
      </c>
      <c r="B3" s="15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5" t="inlineStr">
        <is>
          <t>turno</t>
        </is>
      </c>
      <c r="B3" s="15" t="inlineStr">
        <is>
          <t>nombre</t>
        </is>
      </c>
      <c r="C3" s="15" t="inlineStr">
        <is>
          <t>hora_inicio</t>
        </is>
      </c>
      <c r="D3" s="15" t="inlineStr">
        <is>
          <t>hora_fin</t>
        </is>
      </c>
      <c r="E3" s="15" t="inlineStr">
        <is>
          <t>tipo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Supervisores por especialidad — TECNICOS.supervisor sale de aquí — editable</t>
        </is>
      </c>
    </row>
    <row r="3">
      <c r="A3" s="15" t="inlineStr">
        <is>
          <t>codigo</t>
        </is>
      </c>
      <c r="B3" s="15" t="inlineStr">
        <is>
          <t>nombre</t>
        </is>
      </c>
      <c r="C3" s="15" t="inlineStr">
        <is>
          <t>especialidad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</row>
  </sheetData>
  <dataValidations count="1">
    <dataValidation sqref="C4:C6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3" t="inlineStr">
        <is>
          <t>Motivos de ausencia — PLAN_VACACIONES.motivo sale de aquí — editable</t>
        </is>
      </c>
    </row>
    <row r="3">
      <c r="A3" s="15" t="inlineStr">
        <is>
          <t>motivo</t>
        </is>
      </c>
    </row>
    <row r="4">
      <c r="A4" s="4" t="inlineStr">
        <is>
          <t>Vacaciones anuales</t>
        </is>
      </c>
    </row>
    <row r="5">
      <c r="A5" s="4" t="inlineStr">
        <is>
          <t>Día libre pagado</t>
        </is>
      </c>
    </row>
    <row r="6">
      <c r="A6" s="4" t="inlineStr">
        <is>
          <t>Permiso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3.3.0 · generado 2026-07-27 · datos 100 % sintéticos de ejemplo</t>
        </is>
      </c>
    </row>
    <row r="3">
      <c r="A3" s="5" t="inlineStr"/>
    </row>
    <row r="4">
      <c r="A4" s="3" t="inlineStr">
        <is>
          <t>PRINCIPIO RECTOR — separación entre lógica y datos:</t>
        </is>
      </c>
    </row>
    <row r="5">
      <c r="A5" s="5" t="inlineStr">
        <is>
          <t xml:space="preserve">  · MOTOR: las 10 reglas de negocio viven en las fórmulas de este libro y nunca cambian.</t>
        </is>
      </c>
    </row>
    <row r="6">
      <c r="A6" s="5" t="inlineStr">
        <is>
          <t xml:space="preserve">  · CATÁLOGOS: centros de costo, puestos, actividades, tipos de OT y estados se cargan por empresa.</t>
        </is>
      </c>
    </row>
    <row r="7">
      <c r="A7" s="5" t="inlineStr">
        <is>
          <t xml:space="preserve">  · PARÁMETROS: jornada, productividad, ventanas de backlog y metas se ajustan en PARAMETROS.</t>
        </is>
      </c>
    </row>
    <row r="8">
      <c r="A8" s="5" t="inlineStr">
        <is>
          <t xml:space="preserve">  · No hay macros, ni enlaces externos, ni códigos de empresa dentro de ninguna fórmula.</t>
        </is>
      </c>
    </row>
    <row r="9">
      <c r="A9" s="5" t="inlineStr"/>
    </row>
    <row r="10">
      <c r="A10" s="3" t="inlineStr">
        <is>
          <t>FLUJO DE USO EN 5 PASOS:</t>
        </is>
      </c>
    </row>
    <row r="11">
      <c r="A11" s="5" t="inlineStr">
        <is>
          <t xml:space="preserve">  1. Ajuste PARAMETROS y cargue los catálogos de su empresa (hojas CAT_*).</t>
        </is>
      </c>
    </row>
    <row r="12">
      <c r="A12" s="3" t="inlineStr">
        <is>
          <t xml:space="preserve">  2. Pegue la exportación de órdenes (12 columnas, en este orden) directamente en ORDENES!A4:</t>
        </is>
      </c>
    </row>
    <row r="13">
      <c r="A13" s="5" t="inlineStr">
        <is>
          <t xml:space="preserve">     un solo bloque contiguo A:L. Hay 1.200 filas provisionadas con las fórmulas ya escritas.</t>
        </is>
      </c>
    </row>
    <row r="14">
      <c r="A14" s="5" t="inlineStr">
        <is>
          <t xml:space="preserve">  3. Pegue la segunda exportación (estados y costos) en 2_IMPORTAR_EJECUCION.</t>
        </is>
      </c>
    </row>
    <row r="15">
      <c r="A15" s="5" t="inlineStr">
        <is>
          <t xml:space="preserve">  4. Complete TECNICOS (incl. rotativo y orden_rotacion) y fije semana_referencia en</t>
        </is>
      </c>
    </row>
    <row r="16">
      <c r="A16" s="5" t="inlineStr">
        <is>
          <t xml:space="preserve">     PARAMETROS: el turno de ASIGNACIONES se DERIVA solo de la rotación. Para una</t>
        </is>
      </c>
    </row>
    <row r="17">
      <c r="A17" s="5" t="inlineStr">
        <is>
          <t xml:space="preserve">     excepción puntual escriba en turno_manual. Asigne técnicos en ORDENES. Los ajustes</t>
        </is>
      </c>
    </row>
    <row r="18">
      <c r="A18" s="5" t="inlineStr">
        <is>
          <t xml:space="preserve">     de duración van en AJUSTES por id_operacion: se re-aplican solos tras re-importar.</t>
        </is>
      </c>
    </row>
    <row r="19">
      <c r="A19" s="5" t="inlineStr">
        <is>
          <t xml:space="preserve">  5. Revise VALIDACION y trabaje con PERFIL_HH, PLAN_SEMANAL, ADHERENCIA, COSTOS y BACKLOG.</t>
        </is>
      </c>
    </row>
    <row r="20">
      <c r="A20" s="5" t="inlineStr"/>
    </row>
    <row r="21">
      <c r="A21" s="3" t="inlineStr">
        <is>
          <t>CONVENCIONES:</t>
        </is>
      </c>
    </row>
    <row r="22">
      <c r="A22" s="5" t="inlineStr">
        <is>
          <t xml:space="preserve">  · Celdas de texto azul = editables por el usuario. El resto se calcula solo.</t>
        </is>
      </c>
    </row>
    <row r="23">
      <c r="A23" s="5" t="inlineStr">
        <is>
          <t xml:space="preserve">  · El libro recalcula automáticamente al abrir (sin macros).</t>
        </is>
      </c>
    </row>
    <row r="24">
      <c r="A24" s="5" t="inlineStr">
        <is>
          <t xml:space="preserve">  · Las fórmulas usan XLOOKUP (Excel 2021/365). Para Excel 2016 vea la hoja _COMPATIBILIDAD.</t>
        </is>
      </c>
    </row>
    <row r="25">
      <c r="A25" s="5" t="inlineStr">
        <is>
          <t xml:space="preserve">  · Los filtros se hacen con los autofiltros de cada tabla y con los selectores de PLAN_SEMANAL.</t>
        </is>
      </c>
    </row>
    <row r="26">
      <c r="A26" s="5" t="inlineStr">
        <is>
          <t xml:space="preserve">  · ORDENES: HHA/HHD agregan las horas del técnico en ese día; HHD negativo (rojo) = sobreasignado.</t>
        </is>
      </c>
    </row>
    <row r="27">
      <c r="A27" s="5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5" t="inlineStr">
        <is>
          <t>col.</t>
        </is>
      </c>
      <c r="B13" s="15" t="inlineStr">
        <is>
          <t>nombre de la columna</t>
        </is>
      </c>
      <c r="C13" s="15" t="inlineStr">
        <is>
          <t>EJEMPLO (no pegar)</t>
        </is>
      </c>
      <c r="D13" s="15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30" t="inlineStr">
        <is>
          <t>OT-000001</t>
        </is>
      </c>
      <c r="D14" s="30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30" t="inlineStr">
        <is>
          <t>0010</t>
        </is>
      </c>
      <c r="D15" s="30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30" t="inlineStr">
        <is>
          <t>Lubricación programada — EQ-102</t>
        </is>
      </c>
      <c r="D16" s="30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30" t="inlineStr">
        <is>
          <t>Lubricación programada en EQ-102</t>
        </is>
      </c>
      <c r="D17" s="30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30" t="inlineStr">
        <is>
          <t>EQ-102</t>
        </is>
      </c>
      <c r="D18" s="30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30" t="inlineStr">
        <is>
          <t>CC-110</t>
        </is>
      </c>
      <c r="D19" s="30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30" t="inlineStr">
        <is>
          <t>PU-MEC</t>
        </is>
      </c>
      <c r="D20" s="30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30" t="inlineStr">
        <is>
          <t>ACT-02</t>
        </is>
      </c>
      <c r="D21" s="30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30" t="inlineStr">
        <is>
          <t>TIPO-P1</t>
        </is>
      </c>
      <c r="D22" s="30" t="inlineStr">
        <is>
          <t>TIPO-P2</t>
        </is>
      </c>
    </row>
    <row r="23">
      <c r="A23" s="5" t="inlineStr">
        <is>
          <t>J</t>
        </is>
      </c>
      <c r="B23" s="5" t="inlineStr">
        <is>
          <t>fecha_inicio</t>
        </is>
      </c>
      <c r="C23" s="31" t="n">
        <v>46223</v>
      </c>
      <c r="D23" s="31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30" t="n">
        <v>10</v>
      </c>
      <c r="D24" s="30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30" t="n">
        <v>250</v>
      </c>
      <c r="D25" s="30" t="n">
        <v>200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3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5" t="inlineStr">
        <is>
          <t>campo</t>
        </is>
      </c>
      <c r="B4" s="15" t="inlineStr">
        <is>
          <t>fórmula con XLOOKUP (como en tblOrdenes)</t>
        </is>
      </c>
      <c r="C4" s="15" t="inlineStr">
        <is>
          <t>equivalente INDEX/MATCH</t>
        </is>
      </c>
      <c r="D4" s="15" t="inlineStr">
        <is>
          <t>ejemplo vivo (fila 1 de ORDENES)</t>
        </is>
      </c>
    </row>
    <row r="5">
      <c r="A5" s="5" t="inlineStr">
        <is>
          <t>estado</t>
        </is>
      </c>
      <c r="B5" s="3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32" t="inlineStr">
        <is>
          <t>IFERROR(INDEX(tblEstados[estado_normalizado],MATCH(IFERROR(INDEX(tblEjecucion[estado_sistema],MATCH('ORDENES'!$AT$4,tblEjecucion[id_operacion],0)),""),tblEstados[estado_sistema],0)),"Pendiente")</t>
        </is>
      </c>
      <c r="D5" s="5">
        <f>IFERROR(INDEX(tblEstados[estado_normalizado],MATCH(IFERROR(INDEX(tblEjecucion[estado_sistema],MATCH('ORDENES'!$AT$4,tblEjecucion[id_operacion],0)),""),tblEstados[estado_sistema],0)),"Pendiente")</f>
        <v/>
      </c>
    </row>
    <row r="6">
      <c r="A6" s="5" t="inlineStr">
        <is>
          <t>clasificacion</t>
        </is>
      </c>
      <c r="B6" s="32" t="inlineStr">
        <is>
          <t>IF(tblOrdenes[[#This Row],[tipo_ot]]="","",XLOOKUP(tblOrdenes[[#This Row],[tipo_ot]],tblTiposOT[codigo],tblTiposOT[clasificacion],"sin_clasificar"))</t>
        </is>
      </c>
      <c r="C6" s="32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32" t="inlineStr">
        <is>
          <t>IF(tblOrdenes[[#This Row],[centro_costo]]="","",XLOOKUP(tblOrdenes[[#This Row],[centro_costo]],tblCECO[codigo],tblCECO[linea],"(sin catálogo)"))</t>
        </is>
      </c>
      <c r="C7" s="32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32" t="inlineStr">
        <is>
          <t>IF(tblOrdenes[[#This Row],[centro_costo]]="","",XLOOKUP(tblOrdenes[[#This Row],[centro_costo]],tblCECO[codigo],tblCECO[area],"(sin catálogo)"))</t>
        </is>
      </c>
      <c r="C8" s="32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3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3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32" t="inlineStr">
        <is>
          <t>IF(tblOrdenes[[#This Row],[centro_costo]]="","",XLOOKUP(tblOrdenes[[#This Row],[centro_costo]],tblCECO[codigo],tblCECO[coordinador],"(sin catálogo)"))</t>
        </is>
      </c>
      <c r="C10" s="32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32" t="inlineStr">
        <is>
          <t>IF(tblOrdenes[[#This Row],[puesto_trabajo]]="","",XLOOKUP(tblOrdenes[[#This Row],[puesto_trabajo]],tblPuestos[codigo],tblPuestos[especialidad],"(sin catálogo)"))</t>
        </is>
      </c>
      <c r="C11" s="32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32" t="inlineStr">
        <is>
          <t>IF(tblOrdenes[[#This Row],[cod_actividad]]="","",XLOOKUP(tblOrdenes[[#This Row],[cod_actividad]],tblActividades[codigo],tblActividades[descripcion],"(sin catálogo)"))</t>
        </is>
      </c>
      <c r="C12" s="32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3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32" t="inlineStr">
        <is>
          <t>IF('ORDENES'!$J$4="","",IFERROR(INDEX('CALENDARIO'!$C$15:$C$214,MATCH(TEXT('ORDENES'!$J$4,"yyyy-mm-dd")&amp;"|"&amp;'ORDENES'!$X$4&amp;"|"&amp;'ORDENES'!$Y$4,'CALENDARIO'!$G$15:$G$214,0)),IFERROR(INDEX('CALENDARIO'!$C$15:$C$214,MATCH(TEXT('ORDENES'!$J$4,"yyyy-mm-dd")&amp;"|"&amp;'ORDENES'!$X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X$4&amp;"|"&amp;'ORDENES'!$Y$4,'CALENDARIO'!$G$15:$G$214,0)),IFERROR(INDEX('CALENDARIO'!$C$15:$C$214,MATCH(TEXT('ORDENES'!$J$4,"yyyy-mm-dd")&amp;"|"&amp;'ORDENES'!$X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3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32" t="inlineStr">
        <is>
          <t>IFERROR(INDEX(tblAjustes[horas_ajustadas],MATCH('ORDENES'!$AT$4,tblAjustes[id_operacion],0)),IF('ORDENES'!$K$4="","",'ORDENES'!$K$4))</t>
        </is>
      </c>
      <c r="D14" s="5">
        <f>IFERROR(INDEX(tblAjustes[horas_ajustadas],MATCH('ORDENES'!$AT$4,tblAjustes[id_operacion],0)),IF('ORDENES'!$K$4="","",'ORDENES'!$K$4))</f>
        <v/>
      </c>
    </row>
    <row r="15">
      <c r="A15" s="5" t="inlineStr">
        <is>
          <t>turno_asignado</t>
        </is>
      </c>
      <c r="B15" s="3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32" t="inlineStr">
        <is>
          <t>IF('ORDENES'!$AG$4="","",IFERROR(INDEX(tblAsignaciones[turno],MATCH('ORDENES'!$O$4&amp;"|"&amp;'ORDENES'!$S$4&amp;"|"&amp;'ORDENES'!$AG$4,tblAsignaciones[clave],0)),""))</t>
        </is>
      </c>
      <c r="D15" s="5">
        <f>IF('ORDENES'!$AG$4="","",IFERROR(INDEX(tblAsignaciones[turno],MATCH('ORDENES'!$O$4&amp;"|"&amp;'ORDENES'!$S$4&amp;"|"&amp;'ORDENES'!$AG$4,tblAsignaciones[clave],0)),""))</f>
        <v/>
      </c>
    </row>
    <row r="16">
      <c r="A16" s="5" t="inlineStr">
        <is>
          <t>costo_servicio</t>
        </is>
      </c>
      <c r="B16" s="32" t="inlineStr">
        <is>
          <t>IF(tblOrdenes[[#This Row],[orden]]="","",XLOOKUP(tblOrdenes[[#This Row],[id_operacion]],tblEjecucion[id_operacion],tblEjecucion[precio],0))</t>
        </is>
      </c>
      <c r="C16" s="32" t="inlineStr">
        <is>
          <t>IFERROR(INDEX(tblEjecucion[precio],MATCH('ORDENES'!$AT$4,tblEjecucion[id_operacion],0)),0)</t>
        </is>
      </c>
      <c r="D16" s="5">
        <f>IFERROR(INDEX(tblEjecucion[precio],MATCH('ORDENES'!$AT$4,tblEjecucion[id_operacion],0)),0)</f>
        <v/>
      </c>
    </row>
    <row r="17">
      <c r="A17" s="5" t="inlineStr">
        <is>
          <t>costo_materiales</t>
        </is>
      </c>
      <c r="B17" s="3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32" t="inlineStr">
        <is>
          <t>MAX(0,IFERROR(INDEX(tblEjecucion[costo_plan_total],MATCH('ORDENES'!$AT$4,tblEjecucion[id_operacion],0)),0)-'ORDENES'!$AK$4)</t>
        </is>
      </c>
      <c r="D17" s="5">
        <f>MAX(0,IFERROR(INDEX(tblEjecucion[costo_plan_total],MATCH('ORDENES'!$AT$4,tblEjecucion[id_operacion],0)),0)-'ORDENES'!$AK$4)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2026-07-28T00:13:30Z</dcterms:created>
  <dcterms:modified xsi:type="dcterms:W3CDTF">2026-07-28T00:13:31Z</dcterms:modified>
</cp:coreProperties>
</file>